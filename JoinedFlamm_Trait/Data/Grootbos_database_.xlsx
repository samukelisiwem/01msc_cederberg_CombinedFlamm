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livenmmuac-my.sharepoint.com/personal/samukelisiwem_mandela_ac_za/Documents/Documents/3_SCHOLARY/PhD/Data collection/Analysis/01msc_cederberg_CombinedFlamm/JoinedFlamm_Trait/Data/"/>
    </mc:Choice>
  </mc:AlternateContent>
  <xr:revisionPtr revIDLastSave="53" documentId="8_{1B6B7A21-4390-4BC5-BC8C-5FF9DE686A19}" xr6:coauthVersionLast="47" xr6:coauthVersionMax="47" xr10:uidLastSave="{6F1196F4-6217-4870-BF52-035D4923E115}"/>
  <bookViews>
    <workbookView xWindow="-120" yWindow="-120" windowWidth="20730" windowHeight="11040" firstSheet="1" activeTab="1" xr2:uid="{B6AB3E37-5381-47A6-9B5D-0E737E79F649}"/>
  </bookViews>
  <sheets>
    <sheet name="start" sheetId="5" r:id="rId1"/>
    <sheet name="flora (2)" sheetId="18" r:id="rId2"/>
    <sheet name="flora" sheetId="9" r:id="rId3"/>
    <sheet name="releves" sheetId="6" r:id="rId4"/>
    <sheet name="notes" sheetId="13" r:id="rId5"/>
    <sheet name="sampling" sheetId="1" r:id="rId6"/>
    <sheet name="matrix taxon" sheetId="8" r:id="rId7"/>
    <sheet name="matrix shape" sheetId="14" r:id="rId8"/>
    <sheet name="floristic statistics" sheetId="15" r:id="rId9"/>
    <sheet name="community statistics (1)" sheetId="3" r:id="rId10"/>
    <sheet name="community statistics (2)" sheetId="4" r:id="rId11"/>
    <sheet name="export" sheetId="16" r:id="rId12"/>
    <sheet name="releves (2)" sheetId="17" r:id="rId1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7" i="18" l="1"/>
  <c r="B736" i="18"/>
  <c r="B735" i="18"/>
  <c r="B734" i="18"/>
  <c r="B733" i="18"/>
  <c r="B732" i="18"/>
  <c r="B731" i="18"/>
  <c r="B730" i="18"/>
  <c r="B729" i="18"/>
  <c r="B728" i="18"/>
  <c r="B727" i="18"/>
  <c r="B726" i="18"/>
  <c r="B725" i="18"/>
  <c r="B724" i="18"/>
  <c r="B723" i="18"/>
  <c r="B722" i="18"/>
  <c r="B721" i="18"/>
  <c r="B720" i="18"/>
  <c r="B719" i="18"/>
  <c r="B718" i="18"/>
  <c r="B717" i="18"/>
  <c r="B716" i="18"/>
  <c r="B715" i="18"/>
  <c r="B714" i="18"/>
  <c r="B713" i="18"/>
  <c r="B712" i="18"/>
  <c r="B711" i="18"/>
  <c r="B710" i="18"/>
  <c r="B709" i="18"/>
  <c r="B708" i="18"/>
  <c r="B707" i="18"/>
  <c r="B706" i="18"/>
  <c r="B705" i="18"/>
  <c r="B704" i="18"/>
  <c r="B703" i="18"/>
  <c r="B702" i="18"/>
  <c r="B701" i="18"/>
  <c r="B700" i="18"/>
  <c r="B699" i="18"/>
  <c r="B698" i="18"/>
  <c r="B697" i="18"/>
  <c r="B696" i="18"/>
  <c r="B695" i="18"/>
  <c r="B694" i="18"/>
  <c r="B693" i="18"/>
  <c r="B692" i="18"/>
  <c r="B691" i="18"/>
  <c r="B690" i="18"/>
  <c r="B689" i="18"/>
  <c r="B688" i="18"/>
  <c r="B687" i="18"/>
  <c r="B686" i="18"/>
  <c r="B685" i="18"/>
  <c r="B684" i="18"/>
  <c r="B683" i="18"/>
  <c r="B682" i="18"/>
  <c r="B681" i="18"/>
  <c r="B680" i="18"/>
  <c r="B679" i="18"/>
  <c r="B678" i="18"/>
  <c r="B677" i="18"/>
  <c r="B676" i="18"/>
  <c r="B675" i="18"/>
  <c r="B674" i="18"/>
  <c r="B673" i="18"/>
  <c r="B672" i="18"/>
  <c r="B671" i="18"/>
  <c r="B670" i="18"/>
  <c r="B669" i="18"/>
  <c r="B668" i="18"/>
  <c r="B667" i="18"/>
  <c r="B666" i="18"/>
  <c r="B665" i="18"/>
  <c r="B664" i="18"/>
  <c r="B663" i="18"/>
  <c r="B662" i="18"/>
  <c r="B661" i="18"/>
  <c r="B660" i="18"/>
  <c r="B659" i="18"/>
  <c r="B658" i="18"/>
  <c r="B657" i="18"/>
  <c r="B656" i="18"/>
  <c r="B655" i="18"/>
  <c r="B654" i="18"/>
  <c r="B653" i="18"/>
  <c r="B652" i="18"/>
  <c r="B651" i="18"/>
  <c r="B650" i="18"/>
  <c r="B649" i="18"/>
  <c r="B648" i="18"/>
  <c r="B647" i="18"/>
  <c r="B646" i="18"/>
  <c r="B645" i="18"/>
  <c r="B644" i="18"/>
  <c r="B643" i="18"/>
  <c r="B642" i="18"/>
  <c r="B641" i="18"/>
  <c r="B640" i="18"/>
  <c r="B639" i="18"/>
  <c r="B638" i="18"/>
  <c r="B637" i="18"/>
  <c r="B636" i="18"/>
  <c r="B635" i="18"/>
  <c r="B634" i="18"/>
  <c r="B633" i="18"/>
  <c r="B632" i="18"/>
  <c r="B631" i="18"/>
  <c r="B630" i="18"/>
  <c r="B629" i="18"/>
  <c r="B628" i="18"/>
  <c r="B627" i="18"/>
  <c r="B626" i="18"/>
  <c r="B625" i="18"/>
  <c r="B624" i="18"/>
  <c r="B623" i="18"/>
  <c r="B622" i="18"/>
  <c r="B621" i="18"/>
  <c r="B620" i="18"/>
  <c r="B619" i="18"/>
  <c r="B618" i="18"/>
  <c r="B617" i="18"/>
  <c r="B616" i="18"/>
  <c r="B615" i="18"/>
  <c r="B614" i="18"/>
  <c r="B613" i="18"/>
  <c r="B612" i="18"/>
  <c r="B611" i="18"/>
  <c r="B610" i="18"/>
  <c r="B609" i="18"/>
  <c r="B608" i="18"/>
  <c r="B607" i="18"/>
  <c r="B606" i="18"/>
  <c r="B605" i="18"/>
  <c r="B604" i="18"/>
  <c r="B603" i="18"/>
  <c r="B602" i="18"/>
  <c r="B601" i="18"/>
  <c r="B600" i="18"/>
  <c r="B599" i="18"/>
  <c r="B598" i="18"/>
  <c r="B597" i="18"/>
  <c r="B596" i="18"/>
  <c r="B595" i="18"/>
  <c r="B594" i="18"/>
  <c r="B593" i="18"/>
  <c r="B592" i="18"/>
  <c r="B591" i="18"/>
  <c r="B590" i="18"/>
  <c r="B589" i="18"/>
  <c r="B588" i="18"/>
  <c r="B587" i="18"/>
  <c r="B586" i="18"/>
  <c r="B585" i="18"/>
  <c r="B584" i="18"/>
  <c r="B583" i="18"/>
  <c r="B582" i="18"/>
  <c r="B581" i="18"/>
  <c r="B580" i="18"/>
  <c r="B579" i="18"/>
  <c r="B578" i="18"/>
  <c r="B577" i="18"/>
  <c r="B576" i="18"/>
  <c r="B575" i="18"/>
  <c r="B574" i="18"/>
  <c r="B573" i="18"/>
  <c r="B572" i="18"/>
  <c r="B571" i="18"/>
  <c r="B570" i="18"/>
  <c r="B569" i="18"/>
  <c r="B568" i="18"/>
  <c r="B567" i="18"/>
  <c r="B566" i="18"/>
  <c r="B565" i="18"/>
  <c r="B564" i="18"/>
  <c r="B563" i="18"/>
  <c r="B562" i="18"/>
  <c r="B561" i="18"/>
  <c r="B560" i="18"/>
  <c r="B559" i="18"/>
  <c r="B558" i="18"/>
  <c r="B557" i="18"/>
  <c r="B556" i="18"/>
  <c r="B555" i="18"/>
  <c r="B554" i="18"/>
  <c r="B553" i="18"/>
  <c r="B552" i="18"/>
  <c r="B551" i="18"/>
  <c r="B550" i="18"/>
  <c r="B549" i="18"/>
  <c r="B548" i="18"/>
  <c r="B547" i="18"/>
  <c r="B546" i="18"/>
  <c r="B545" i="18"/>
  <c r="B544" i="18"/>
  <c r="B543" i="18"/>
  <c r="B542" i="18"/>
  <c r="B541" i="18"/>
  <c r="B540" i="18"/>
  <c r="B539" i="18"/>
  <c r="B538" i="18"/>
  <c r="B537" i="18"/>
  <c r="B536" i="18"/>
  <c r="B535" i="18"/>
  <c r="B534" i="18"/>
  <c r="B533" i="18"/>
  <c r="B532" i="18"/>
  <c r="B531" i="18"/>
  <c r="B530" i="18"/>
  <c r="B529" i="18"/>
  <c r="B528" i="18"/>
  <c r="B527" i="18"/>
  <c r="B526" i="18"/>
  <c r="B525" i="18"/>
  <c r="B524" i="18"/>
  <c r="B523" i="18"/>
  <c r="B522" i="18"/>
  <c r="B521" i="18"/>
  <c r="B520" i="18"/>
  <c r="B519" i="18"/>
  <c r="B518" i="18"/>
  <c r="B517" i="18"/>
  <c r="B516" i="18"/>
  <c r="B515" i="18"/>
  <c r="B514" i="18"/>
  <c r="B513" i="18"/>
  <c r="B512" i="18"/>
  <c r="B511" i="18"/>
  <c r="B510" i="18"/>
  <c r="B509" i="18"/>
  <c r="B508" i="18"/>
  <c r="B507" i="18"/>
  <c r="B506" i="18"/>
  <c r="B505" i="18"/>
  <c r="B504" i="18"/>
  <c r="B503" i="18"/>
  <c r="B502" i="18"/>
  <c r="B501" i="18"/>
  <c r="B500" i="18"/>
  <c r="B499" i="18"/>
  <c r="B498" i="18"/>
  <c r="B497" i="18"/>
  <c r="B496" i="18"/>
  <c r="B495" i="18"/>
  <c r="B494" i="18"/>
  <c r="B493" i="18"/>
  <c r="B492" i="18"/>
  <c r="B491" i="18"/>
  <c r="B490" i="18"/>
  <c r="B489" i="18"/>
  <c r="B488" i="18"/>
  <c r="B487" i="18"/>
  <c r="B486" i="18"/>
  <c r="B485" i="18"/>
  <c r="B484" i="18"/>
  <c r="B483" i="18"/>
  <c r="B482" i="18"/>
  <c r="B481" i="18"/>
  <c r="B480" i="18"/>
  <c r="B479" i="18"/>
  <c r="B478" i="18"/>
  <c r="B477" i="18"/>
  <c r="B476" i="18"/>
  <c r="B475" i="18"/>
  <c r="B474" i="18"/>
  <c r="B473" i="18"/>
  <c r="B472" i="18"/>
  <c r="B471" i="18"/>
  <c r="B470" i="18"/>
  <c r="B469" i="18"/>
  <c r="B468" i="18"/>
  <c r="B467" i="18"/>
  <c r="B466" i="18"/>
  <c r="B465" i="18"/>
  <c r="B464" i="18"/>
  <c r="B463" i="18"/>
  <c r="B462" i="18"/>
  <c r="B461" i="18"/>
  <c r="B460" i="18"/>
  <c r="B459" i="18"/>
  <c r="B458" i="18"/>
  <c r="B457" i="18"/>
  <c r="B456" i="18"/>
  <c r="B455" i="18"/>
  <c r="B454" i="18"/>
  <c r="B453" i="18"/>
  <c r="B452" i="18"/>
  <c r="B451" i="18"/>
  <c r="B450" i="18"/>
  <c r="B449" i="18"/>
  <c r="B448" i="18"/>
  <c r="B447" i="18"/>
  <c r="B446" i="18"/>
  <c r="B445" i="18"/>
  <c r="B444" i="18"/>
  <c r="B443" i="18"/>
  <c r="B442" i="18"/>
  <c r="B441" i="18"/>
  <c r="B440" i="18"/>
  <c r="B439" i="18"/>
  <c r="B438" i="18"/>
  <c r="B437" i="18"/>
  <c r="B436" i="18"/>
  <c r="B435" i="18"/>
  <c r="B434" i="18"/>
  <c r="B433" i="18"/>
  <c r="B432" i="18"/>
  <c r="B431" i="18"/>
  <c r="B430" i="18"/>
  <c r="B429" i="18"/>
  <c r="B428" i="18"/>
  <c r="B427" i="18"/>
  <c r="B426" i="18"/>
  <c r="B425" i="18"/>
  <c r="B424" i="18"/>
  <c r="B423" i="18"/>
  <c r="B422" i="18"/>
  <c r="B421" i="18"/>
  <c r="B420" i="18"/>
  <c r="B419" i="18"/>
  <c r="B418" i="18"/>
  <c r="B417" i="18"/>
  <c r="B416" i="18"/>
  <c r="B415" i="18"/>
  <c r="B414" i="18"/>
  <c r="B413" i="18"/>
  <c r="B412" i="18"/>
  <c r="B411" i="18"/>
  <c r="B410" i="18"/>
  <c r="B409" i="18"/>
  <c r="B408" i="18"/>
  <c r="B407" i="18"/>
  <c r="B406" i="18"/>
  <c r="B405" i="18"/>
  <c r="B404" i="18"/>
  <c r="B403" i="18"/>
  <c r="B402" i="18"/>
  <c r="B401" i="18"/>
  <c r="B400" i="18"/>
  <c r="B399" i="18"/>
  <c r="B398" i="18"/>
  <c r="B397" i="18"/>
  <c r="B396" i="18"/>
  <c r="B395" i="18"/>
  <c r="B394" i="18"/>
  <c r="B393" i="18"/>
  <c r="B392" i="18"/>
  <c r="B391" i="18"/>
  <c r="B390" i="18"/>
  <c r="B389" i="18"/>
  <c r="B388" i="18"/>
  <c r="B387" i="18"/>
  <c r="B386" i="18"/>
  <c r="B385" i="18"/>
  <c r="B384" i="18"/>
  <c r="B383" i="18"/>
  <c r="B382" i="18"/>
  <c r="B381" i="18"/>
  <c r="B380" i="18"/>
  <c r="B379" i="18"/>
  <c r="B378" i="18"/>
  <c r="B377" i="18"/>
  <c r="B376" i="18"/>
  <c r="B375" i="18"/>
  <c r="B374" i="18"/>
  <c r="B373" i="18"/>
  <c r="B372" i="18"/>
  <c r="B371" i="18"/>
  <c r="B370" i="18"/>
  <c r="B369" i="18"/>
  <c r="B368" i="18"/>
  <c r="B367" i="18"/>
  <c r="B366" i="18"/>
  <c r="B365" i="18"/>
  <c r="B364" i="18"/>
  <c r="B363" i="18"/>
  <c r="B362" i="18"/>
  <c r="B361" i="18"/>
  <c r="B360" i="18"/>
  <c r="B359" i="18"/>
  <c r="B358" i="18"/>
  <c r="B357" i="18"/>
  <c r="B356" i="18"/>
  <c r="B355" i="18"/>
  <c r="B354" i="18"/>
  <c r="B353" i="18"/>
  <c r="B352" i="18"/>
  <c r="B351" i="18"/>
  <c r="B350" i="18"/>
  <c r="B349" i="18"/>
  <c r="B348" i="18"/>
  <c r="B347" i="18"/>
  <c r="B346" i="18"/>
  <c r="B345" i="18"/>
  <c r="B344" i="18"/>
  <c r="B343" i="18"/>
  <c r="B342" i="18"/>
  <c r="B341" i="18"/>
  <c r="B340" i="18"/>
  <c r="B339" i="18"/>
  <c r="B338" i="18"/>
  <c r="B337" i="18"/>
  <c r="B336" i="18"/>
  <c r="B335" i="18"/>
  <c r="B334" i="18"/>
  <c r="B333" i="18"/>
  <c r="B332" i="18"/>
  <c r="B331" i="18"/>
  <c r="B330" i="18"/>
  <c r="B329" i="18"/>
  <c r="B328" i="18"/>
  <c r="B327" i="18"/>
  <c r="B326" i="18"/>
  <c r="B325" i="18"/>
  <c r="B324" i="18"/>
  <c r="B323" i="18"/>
  <c r="B322" i="18"/>
  <c r="B321" i="18"/>
  <c r="B320" i="18"/>
  <c r="B319" i="18"/>
  <c r="B318" i="18"/>
  <c r="B317" i="18"/>
  <c r="B316" i="18"/>
  <c r="B315" i="18"/>
  <c r="B314" i="18"/>
  <c r="B313" i="18"/>
  <c r="B312" i="18"/>
  <c r="B311" i="18"/>
  <c r="B310" i="18"/>
  <c r="B309" i="18"/>
  <c r="B308" i="18"/>
  <c r="B307" i="18"/>
  <c r="B306" i="18"/>
  <c r="B305" i="18"/>
  <c r="B304" i="18"/>
  <c r="B303" i="18"/>
  <c r="B302" i="18"/>
  <c r="B301" i="18"/>
  <c r="B300" i="18"/>
  <c r="B299" i="18"/>
  <c r="B298" i="18"/>
  <c r="B297" i="18"/>
  <c r="B296" i="18"/>
  <c r="B295" i="18"/>
  <c r="B294" i="18"/>
  <c r="B293" i="18"/>
  <c r="B292" i="18"/>
  <c r="B291" i="18"/>
  <c r="B290" i="18"/>
  <c r="B289" i="18"/>
  <c r="B288" i="18"/>
  <c r="B287" i="18"/>
  <c r="B286" i="18"/>
  <c r="B285" i="18"/>
  <c r="B284" i="18"/>
  <c r="B283" i="18"/>
  <c r="B282" i="18"/>
  <c r="B281" i="18"/>
  <c r="B280" i="18"/>
  <c r="B279" i="18"/>
  <c r="B278" i="18"/>
  <c r="B277" i="18"/>
  <c r="B276" i="18"/>
  <c r="B275" i="18"/>
  <c r="B274" i="18"/>
  <c r="B273" i="18"/>
  <c r="B272" i="18"/>
  <c r="B271" i="18"/>
  <c r="B270" i="18"/>
  <c r="B269" i="18"/>
  <c r="B268" i="18"/>
  <c r="B267" i="18"/>
  <c r="B266" i="18"/>
  <c r="B265" i="18"/>
  <c r="B264" i="18"/>
  <c r="B263" i="18"/>
  <c r="B262" i="18"/>
  <c r="B261" i="18"/>
  <c r="B260" i="18"/>
  <c r="B259" i="18"/>
  <c r="B258" i="18"/>
  <c r="B257" i="18"/>
  <c r="B256" i="18"/>
  <c r="B255" i="18"/>
  <c r="B254" i="18"/>
  <c r="B253" i="18"/>
  <c r="B252" i="18"/>
  <c r="B251" i="18"/>
  <c r="B250" i="18"/>
  <c r="B249" i="18"/>
  <c r="B248" i="18"/>
  <c r="B247" i="18"/>
  <c r="B246" i="18"/>
  <c r="B245" i="18"/>
  <c r="B244" i="18"/>
  <c r="B243" i="18"/>
  <c r="B242" i="18"/>
  <c r="B241" i="18"/>
  <c r="B240" i="18"/>
  <c r="B239" i="18"/>
  <c r="B238" i="18"/>
  <c r="B237" i="18"/>
  <c r="B236" i="18"/>
  <c r="B235" i="18"/>
  <c r="B234" i="18"/>
  <c r="B233" i="18"/>
  <c r="B232" i="18"/>
  <c r="B231" i="18"/>
  <c r="B230" i="18"/>
  <c r="B229" i="18"/>
  <c r="B228" i="18"/>
  <c r="B227" i="18"/>
  <c r="B226" i="18"/>
  <c r="B225" i="18"/>
  <c r="B224" i="18"/>
  <c r="B223" i="18"/>
  <c r="B222" i="18"/>
  <c r="B221" i="18"/>
  <c r="B220" i="18"/>
  <c r="B219" i="18"/>
  <c r="B218" i="18"/>
  <c r="B217" i="18"/>
  <c r="B216" i="18"/>
  <c r="B215" i="18"/>
  <c r="B214" i="18"/>
  <c r="B213" i="18"/>
  <c r="B212" i="18"/>
  <c r="B211" i="18"/>
  <c r="B210" i="18"/>
  <c r="B209" i="18"/>
  <c r="B208" i="18"/>
  <c r="B207" i="18"/>
  <c r="B206" i="18"/>
  <c r="B205" i="18"/>
  <c r="B204" i="18"/>
  <c r="B203" i="18"/>
  <c r="B202" i="18"/>
  <c r="B201" i="18"/>
  <c r="B200" i="18"/>
  <c r="B199" i="18"/>
  <c r="B198" i="18"/>
  <c r="B197" i="18"/>
  <c r="B196" i="18"/>
  <c r="B195" i="18"/>
  <c r="B194" i="18"/>
  <c r="B193" i="18"/>
  <c r="B192" i="18"/>
  <c r="B191" i="18"/>
  <c r="B190" i="18"/>
  <c r="B189" i="18"/>
  <c r="B188" i="18"/>
  <c r="B187" i="18"/>
  <c r="B186" i="18"/>
  <c r="B185" i="18"/>
  <c r="B184" i="18"/>
  <c r="B183" i="18"/>
  <c r="B182" i="18"/>
  <c r="B181" i="18"/>
  <c r="B180" i="18"/>
  <c r="B179" i="18"/>
  <c r="B178" i="18"/>
  <c r="B177" i="18"/>
  <c r="B176" i="18"/>
  <c r="B175" i="18"/>
  <c r="B174" i="18"/>
  <c r="B173" i="18"/>
  <c r="B172" i="18"/>
  <c r="B171" i="18"/>
  <c r="B170" i="18"/>
  <c r="B169" i="18"/>
  <c r="B168" i="18"/>
  <c r="B167" i="18"/>
  <c r="B166" i="18"/>
  <c r="B165" i="18"/>
  <c r="B164" i="18"/>
  <c r="B163" i="18"/>
  <c r="B162" i="18"/>
  <c r="B161" i="18"/>
  <c r="B160" i="18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B4" i="18"/>
  <c r="B3" i="18"/>
  <c r="B2" i="18"/>
  <c r="AD198" i="17"/>
  <c r="W198" i="17"/>
  <c r="X198" i="17"/>
  <c r="T198" i="17"/>
  <c r="AD197" i="17"/>
  <c r="W197" i="17"/>
  <c r="X197" i="17"/>
  <c r="T197" i="17"/>
  <c r="AD196" i="17"/>
  <c r="W196" i="17"/>
  <c r="X196" i="17"/>
  <c r="T196" i="17"/>
  <c r="AD195" i="17"/>
  <c r="W195" i="17"/>
  <c r="X195" i="17"/>
  <c r="T195" i="17"/>
  <c r="AD194" i="17"/>
  <c r="W194" i="17"/>
  <c r="X194" i="17"/>
  <c r="T194" i="17"/>
  <c r="AD193" i="17"/>
  <c r="W193" i="17"/>
  <c r="X193" i="17"/>
  <c r="T193" i="17"/>
  <c r="AD192" i="17"/>
  <c r="W192" i="17"/>
  <c r="X192" i="17"/>
  <c r="T192" i="17"/>
  <c r="AD191" i="17"/>
  <c r="W191" i="17"/>
  <c r="X191" i="17"/>
  <c r="T191" i="17"/>
  <c r="AD190" i="17"/>
  <c r="W190" i="17"/>
  <c r="X190" i="17"/>
  <c r="T190" i="17"/>
  <c r="AD189" i="17"/>
  <c r="W189" i="17"/>
  <c r="X189" i="17"/>
  <c r="T189" i="17"/>
  <c r="AD188" i="17"/>
  <c r="W188" i="17"/>
  <c r="X188" i="17"/>
  <c r="T188" i="17"/>
  <c r="AD187" i="17"/>
  <c r="W187" i="17"/>
  <c r="X187" i="17"/>
  <c r="T187" i="17"/>
  <c r="AD186" i="17"/>
  <c r="W186" i="17"/>
  <c r="X186" i="17"/>
  <c r="T186" i="17"/>
  <c r="AD185" i="17"/>
  <c r="W185" i="17"/>
  <c r="X185" i="17"/>
  <c r="T185" i="17"/>
  <c r="AD184" i="17"/>
  <c r="W184" i="17"/>
  <c r="X184" i="17"/>
  <c r="T184" i="17"/>
  <c r="AD183" i="17"/>
  <c r="W183" i="17"/>
  <c r="X183" i="17"/>
  <c r="T183" i="17"/>
  <c r="AD182" i="17"/>
  <c r="W182" i="17"/>
  <c r="X182" i="17"/>
  <c r="T182" i="17"/>
  <c r="AD181" i="17"/>
  <c r="W181" i="17"/>
  <c r="X181" i="17"/>
  <c r="T181" i="17"/>
  <c r="AD180" i="17"/>
  <c r="W180" i="17"/>
  <c r="X180" i="17"/>
  <c r="T180" i="17"/>
  <c r="AD179" i="17"/>
  <c r="W179" i="17"/>
  <c r="X179" i="17"/>
  <c r="T179" i="17"/>
  <c r="AD178" i="17"/>
  <c r="W178" i="17"/>
  <c r="X178" i="17"/>
  <c r="T178" i="17"/>
  <c r="AD177" i="17"/>
  <c r="W177" i="17"/>
  <c r="X177" i="17"/>
  <c r="T177" i="17"/>
  <c r="AD176" i="17"/>
  <c r="W176" i="17"/>
  <c r="X176" i="17"/>
  <c r="T176" i="17"/>
  <c r="AD175" i="17"/>
  <c r="W175" i="17"/>
  <c r="X175" i="17"/>
  <c r="T175" i="17"/>
  <c r="AD174" i="17"/>
  <c r="W174" i="17"/>
  <c r="X174" i="17"/>
  <c r="T174" i="17"/>
  <c r="AD173" i="17"/>
  <c r="W173" i="17"/>
  <c r="X173" i="17"/>
  <c r="T173" i="17"/>
  <c r="AD172" i="17"/>
  <c r="W172" i="17"/>
  <c r="X172" i="17"/>
  <c r="T172" i="17"/>
  <c r="AD171" i="17"/>
  <c r="W171" i="17"/>
  <c r="X171" i="17"/>
  <c r="T171" i="17"/>
  <c r="AD170" i="17"/>
  <c r="W170" i="17"/>
  <c r="X170" i="17"/>
  <c r="T170" i="17"/>
  <c r="AD169" i="17"/>
  <c r="W169" i="17"/>
  <c r="X169" i="17"/>
  <c r="T169" i="17"/>
  <c r="AD168" i="17"/>
  <c r="W168" i="17"/>
  <c r="X168" i="17"/>
  <c r="T168" i="17"/>
  <c r="AD167" i="17"/>
  <c r="W167" i="17"/>
  <c r="X167" i="17"/>
  <c r="T167" i="17"/>
  <c r="AD166" i="17"/>
  <c r="W166" i="17"/>
  <c r="X166" i="17"/>
  <c r="T166" i="17"/>
  <c r="AD165" i="17"/>
  <c r="W165" i="17"/>
  <c r="X165" i="17"/>
  <c r="T165" i="17"/>
  <c r="AD164" i="17"/>
  <c r="W164" i="17"/>
  <c r="X164" i="17"/>
  <c r="T164" i="17"/>
  <c r="AD163" i="17"/>
  <c r="W163" i="17"/>
  <c r="X163" i="17"/>
  <c r="T163" i="17"/>
  <c r="AD162" i="17"/>
  <c r="W162" i="17"/>
  <c r="X162" i="17"/>
  <c r="T162" i="17"/>
  <c r="AD161" i="17"/>
  <c r="W161" i="17"/>
  <c r="X161" i="17"/>
  <c r="T161" i="17"/>
  <c r="AD160" i="17"/>
  <c r="W160" i="17"/>
  <c r="X160" i="17"/>
  <c r="T160" i="17"/>
  <c r="AD159" i="17"/>
  <c r="W159" i="17"/>
  <c r="X159" i="17"/>
  <c r="T159" i="17"/>
  <c r="AD158" i="17"/>
  <c r="W158" i="17"/>
  <c r="X158" i="17"/>
  <c r="T158" i="17"/>
  <c r="AD157" i="17"/>
  <c r="W157" i="17"/>
  <c r="X157" i="17"/>
  <c r="T157" i="17"/>
  <c r="AD156" i="17"/>
  <c r="W156" i="17"/>
  <c r="X156" i="17"/>
  <c r="T156" i="17"/>
  <c r="AD155" i="17"/>
  <c r="W155" i="17"/>
  <c r="X155" i="17"/>
  <c r="T155" i="17"/>
  <c r="AD154" i="17"/>
  <c r="W154" i="17"/>
  <c r="X154" i="17"/>
  <c r="T154" i="17"/>
  <c r="AD153" i="17"/>
  <c r="W153" i="17"/>
  <c r="X153" i="17"/>
  <c r="T153" i="17"/>
  <c r="AD152" i="17"/>
  <c r="W152" i="17"/>
  <c r="X152" i="17"/>
  <c r="T152" i="17"/>
  <c r="AD151" i="17"/>
  <c r="W151" i="17"/>
  <c r="X151" i="17"/>
  <c r="T151" i="17"/>
  <c r="AD150" i="17"/>
  <c r="W150" i="17"/>
  <c r="X150" i="17"/>
  <c r="T150" i="17"/>
  <c r="AD149" i="17"/>
  <c r="W149" i="17"/>
  <c r="X149" i="17"/>
  <c r="T149" i="17"/>
  <c r="AD148" i="17"/>
  <c r="W148" i="17"/>
  <c r="X148" i="17"/>
  <c r="T148" i="17"/>
  <c r="AD147" i="17"/>
  <c r="W147" i="17"/>
  <c r="X147" i="17"/>
  <c r="T147" i="17"/>
  <c r="AD146" i="17"/>
  <c r="W146" i="17"/>
  <c r="X146" i="17"/>
  <c r="T146" i="17"/>
  <c r="AD145" i="17"/>
  <c r="W145" i="17"/>
  <c r="X145" i="17"/>
  <c r="T145" i="17"/>
  <c r="AD144" i="17"/>
  <c r="W144" i="17"/>
  <c r="X144" i="17"/>
  <c r="T144" i="17"/>
  <c r="AD143" i="17"/>
  <c r="W143" i="17"/>
  <c r="X143" i="17"/>
  <c r="T143" i="17"/>
  <c r="AD142" i="17"/>
  <c r="W142" i="17"/>
  <c r="X142" i="17"/>
  <c r="T142" i="17"/>
  <c r="AD141" i="17"/>
  <c r="W141" i="17"/>
  <c r="X141" i="17"/>
  <c r="T141" i="17"/>
  <c r="AD140" i="17"/>
  <c r="W140" i="17"/>
  <c r="X140" i="17"/>
  <c r="T140" i="17"/>
  <c r="AD139" i="17"/>
  <c r="W139" i="17"/>
  <c r="X139" i="17"/>
  <c r="T139" i="17"/>
  <c r="AD138" i="17"/>
  <c r="W138" i="17"/>
  <c r="X138" i="17"/>
  <c r="T138" i="17"/>
  <c r="AD137" i="17"/>
  <c r="W137" i="17"/>
  <c r="X137" i="17"/>
  <c r="T137" i="17"/>
  <c r="AD136" i="17"/>
  <c r="W136" i="17"/>
  <c r="X136" i="17"/>
  <c r="T136" i="17"/>
  <c r="AD135" i="17"/>
  <c r="W135" i="17"/>
  <c r="X135" i="17"/>
  <c r="T135" i="17"/>
  <c r="AD134" i="17"/>
  <c r="W134" i="17"/>
  <c r="X134" i="17"/>
  <c r="T134" i="17"/>
  <c r="AD133" i="17"/>
  <c r="W133" i="17"/>
  <c r="X133" i="17"/>
  <c r="T133" i="17"/>
  <c r="AD132" i="17"/>
  <c r="W132" i="17"/>
  <c r="X132" i="17"/>
  <c r="T132" i="17"/>
  <c r="AD131" i="17"/>
  <c r="W131" i="17"/>
  <c r="X131" i="17"/>
  <c r="T131" i="17"/>
  <c r="AD130" i="17"/>
  <c r="W130" i="17"/>
  <c r="X130" i="17"/>
  <c r="T130" i="17"/>
  <c r="AD129" i="17"/>
  <c r="W129" i="17"/>
  <c r="X129" i="17"/>
  <c r="T129" i="17"/>
  <c r="AD128" i="17"/>
  <c r="W128" i="17"/>
  <c r="X128" i="17"/>
  <c r="T128" i="17"/>
  <c r="AD127" i="17"/>
  <c r="W127" i="17"/>
  <c r="X127" i="17"/>
  <c r="T127" i="17"/>
  <c r="AD126" i="17"/>
  <c r="W126" i="17"/>
  <c r="X126" i="17"/>
  <c r="T126" i="17"/>
  <c r="AD125" i="17"/>
  <c r="W125" i="17"/>
  <c r="X125" i="17"/>
  <c r="T125" i="17"/>
  <c r="AD124" i="17"/>
  <c r="W124" i="17"/>
  <c r="X124" i="17"/>
  <c r="T124" i="17"/>
  <c r="AD123" i="17"/>
  <c r="W123" i="17"/>
  <c r="X123" i="17"/>
  <c r="T123" i="17"/>
  <c r="AD122" i="17"/>
  <c r="W122" i="17"/>
  <c r="X122" i="17"/>
  <c r="T122" i="17"/>
  <c r="AD121" i="17"/>
  <c r="W121" i="17"/>
  <c r="X121" i="17"/>
  <c r="T121" i="17"/>
  <c r="AD120" i="17"/>
  <c r="W120" i="17"/>
  <c r="X120" i="17"/>
  <c r="T120" i="17"/>
  <c r="AD119" i="17"/>
  <c r="W119" i="17"/>
  <c r="X119" i="17"/>
  <c r="T119" i="17"/>
  <c r="AD118" i="17"/>
  <c r="W118" i="17"/>
  <c r="X118" i="17"/>
  <c r="T118" i="17"/>
  <c r="AD117" i="17"/>
  <c r="W117" i="17"/>
  <c r="X117" i="17"/>
  <c r="T117" i="17"/>
  <c r="AD116" i="17"/>
  <c r="W116" i="17"/>
  <c r="X116" i="17"/>
  <c r="T116" i="17"/>
  <c r="AD115" i="17"/>
  <c r="W115" i="17"/>
  <c r="X115" i="17"/>
  <c r="T115" i="17"/>
  <c r="AD114" i="17"/>
  <c r="W114" i="17"/>
  <c r="X114" i="17"/>
  <c r="T114" i="17"/>
  <c r="AD113" i="17"/>
  <c r="W113" i="17"/>
  <c r="X113" i="17"/>
  <c r="T113" i="17"/>
  <c r="AD112" i="17"/>
  <c r="W112" i="17"/>
  <c r="X112" i="17"/>
  <c r="T112" i="17"/>
  <c r="AD111" i="17"/>
  <c r="W111" i="17"/>
  <c r="X111" i="17"/>
  <c r="T111" i="17"/>
  <c r="AD110" i="17"/>
  <c r="W110" i="17"/>
  <c r="X110" i="17"/>
  <c r="T110" i="17"/>
  <c r="AD109" i="17"/>
  <c r="W109" i="17"/>
  <c r="X109" i="17"/>
  <c r="T109" i="17"/>
  <c r="AD108" i="17"/>
  <c r="W108" i="17"/>
  <c r="X108" i="17"/>
  <c r="T108" i="17"/>
  <c r="AD107" i="17"/>
  <c r="W107" i="17"/>
  <c r="X107" i="17"/>
  <c r="T107" i="17"/>
  <c r="AD106" i="17"/>
  <c r="W106" i="17"/>
  <c r="X106" i="17"/>
  <c r="T106" i="17"/>
  <c r="AD105" i="17"/>
  <c r="W105" i="17"/>
  <c r="X105" i="17"/>
  <c r="T105" i="17"/>
  <c r="AD104" i="17"/>
  <c r="W104" i="17"/>
  <c r="X104" i="17"/>
  <c r="T104" i="17"/>
  <c r="AD103" i="17"/>
  <c r="W103" i="17"/>
  <c r="X103" i="17"/>
  <c r="T103" i="17"/>
  <c r="AD102" i="17"/>
  <c r="W102" i="17"/>
  <c r="X102" i="17"/>
  <c r="T102" i="17"/>
  <c r="AD101" i="17"/>
  <c r="W101" i="17"/>
  <c r="X101" i="17"/>
  <c r="T101" i="17"/>
  <c r="AD100" i="17"/>
  <c r="W100" i="17"/>
  <c r="X100" i="17"/>
  <c r="T100" i="17"/>
  <c r="AD99" i="17"/>
  <c r="W99" i="17"/>
  <c r="X99" i="17"/>
  <c r="T99" i="17"/>
  <c r="AD98" i="17"/>
  <c r="W98" i="17"/>
  <c r="X98" i="17"/>
  <c r="T98" i="17"/>
  <c r="AD97" i="17"/>
  <c r="W97" i="17"/>
  <c r="X97" i="17"/>
  <c r="T97" i="17"/>
  <c r="AD96" i="17"/>
  <c r="W96" i="17"/>
  <c r="X96" i="17"/>
  <c r="T96" i="17"/>
  <c r="AD95" i="17"/>
  <c r="W95" i="17"/>
  <c r="X95" i="17"/>
  <c r="T95" i="17"/>
  <c r="AD94" i="17"/>
  <c r="W94" i="17"/>
  <c r="X94" i="17"/>
  <c r="T94" i="17"/>
  <c r="AD93" i="17"/>
  <c r="W93" i="17"/>
  <c r="X93" i="17"/>
  <c r="T93" i="17"/>
  <c r="AD92" i="17"/>
  <c r="W92" i="17"/>
  <c r="X92" i="17"/>
  <c r="T92" i="17"/>
  <c r="AD91" i="17"/>
  <c r="W91" i="17"/>
  <c r="X91" i="17"/>
  <c r="T91" i="17"/>
  <c r="AD90" i="17"/>
  <c r="W90" i="17"/>
  <c r="X90" i="17"/>
  <c r="T90" i="17"/>
  <c r="AD89" i="17"/>
  <c r="W89" i="17"/>
  <c r="X89" i="17"/>
  <c r="T89" i="17"/>
  <c r="AD88" i="17"/>
  <c r="W88" i="17"/>
  <c r="X88" i="17"/>
  <c r="T88" i="17"/>
  <c r="AD87" i="17"/>
  <c r="W87" i="17"/>
  <c r="X87" i="17"/>
  <c r="T87" i="17"/>
  <c r="AD86" i="17"/>
  <c r="W86" i="17"/>
  <c r="X86" i="17"/>
  <c r="T86" i="17"/>
  <c r="AD85" i="17"/>
  <c r="W85" i="17"/>
  <c r="X85" i="17"/>
  <c r="T85" i="17"/>
  <c r="AD84" i="17"/>
  <c r="W84" i="17"/>
  <c r="X84" i="17"/>
  <c r="T84" i="17"/>
  <c r="AD83" i="17"/>
  <c r="W83" i="17"/>
  <c r="X83" i="17"/>
  <c r="T83" i="17"/>
  <c r="AD82" i="17"/>
  <c r="W82" i="17"/>
  <c r="X82" i="17"/>
  <c r="T82" i="17"/>
  <c r="AD81" i="17"/>
  <c r="W81" i="17"/>
  <c r="X81" i="17"/>
  <c r="T81" i="17"/>
  <c r="AD80" i="17"/>
  <c r="W80" i="17"/>
  <c r="X80" i="17"/>
  <c r="T80" i="17"/>
  <c r="AD79" i="17"/>
  <c r="W79" i="17"/>
  <c r="X79" i="17"/>
  <c r="T79" i="17"/>
  <c r="AD78" i="17"/>
  <c r="W78" i="17"/>
  <c r="X78" i="17"/>
  <c r="T78" i="17"/>
  <c r="AD77" i="17"/>
  <c r="W77" i="17"/>
  <c r="X77" i="17"/>
  <c r="T77" i="17"/>
  <c r="AD76" i="17"/>
  <c r="W76" i="17"/>
  <c r="X76" i="17"/>
  <c r="T76" i="17"/>
  <c r="AD75" i="17"/>
  <c r="W75" i="17"/>
  <c r="X75" i="17"/>
  <c r="T75" i="17"/>
  <c r="AD74" i="17"/>
  <c r="W74" i="17"/>
  <c r="X74" i="17"/>
  <c r="T74" i="17"/>
  <c r="AD73" i="17"/>
  <c r="W73" i="17"/>
  <c r="X73" i="17"/>
  <c r="T73" i="17"/>
  <c r="AD72" i="17"/>
  <c r="W72" i="17"/>
  <c r="X72" i="17"/>
  <c r="T72" i="17"/>
  <c r="AD71" i="17"/>
  <c r="W71" i="17"/>
  <c r="X71" i="17"/>
  <c r="T71" i="17"/>
  <c r="AD70" i="17"/>
  <c r="W70" i="17"/>
  <c r="X70" i="17"/>
  <c r="T70" i="17"/>
  <c r="AD69" i="17"/>
  <c r="W69" i="17"/>
  <c r="X69" i="17"/>
  <c r="T69" i="17"/>
  <c r="AD68" i="17"/>
  <c r="W68" i="17"/>
  <c r="X68" i="17"/>
  <c r="T68" i="17"/>
  <c r="AD67" i="17"/>
  <c r="W67" i="17"/>
  <c r="X67" i="17"/>
  <c r="T67" i="17"/>
  <c r="AD66" i="17"/>
  <c r="W66" i="17"/>
  <c r="X66" i="17"/>
  <c r="T66" i="17"/>
  <c r="AD65" i="17"/>
  <c r="W65" i="17"/>
  <c r="X65" i="17"/>
  <c r="T65" i="17"/>
  <c r="AD64" i="17"/>
  <c r="W64" i="17"/>
  <c r="X64" i="17"/>
  <c r="T64" i="17"/>
  <c r="AD63" i="17"/>
  <c r="W63" i="17"/>
  <c r="X63" i="17"/>
  <c r="T63" i="17"/>
  <c r="AD62" i="17"/>
  <c r="W62" i="17"/>
  <c r="X62" i="17"/>
  <c r="T62" i="17"/>
  <c r="AD61" i="17"/>
  <c r="W61" i="17"/>
  <c r="X61" i="17"/>
  <c r="T61" i="17"/>
  <c r="AD60" i="17"/>
  <c r="W60" i="17"/>
  <c r="X60" i="17"/>
  <c r="T60" i="17"/>
  <c r="AD59" i="17"/>
  <c r="W59" i="17"/>
  <c r="X59" i="17"/>
  <c r="T59" i="17"/>
  <c r="AD58" i="17"/>
  <c r="W58" i="17"/>
  <c r="X58" i="17"/>
  <c r="T58" i="17"/>
  <c r="AD57" i="17"/>
  <c r="W57" i="17"/>
  <c r="X57" i="17"/>
  <c r="T57" i="17"/>
  <c r="AD56" i="17"/>
  <c r="W56" i="17"/>
  <c r="X56" i="17"/>
  <c r="T56" i="17"/>
  <c r="AD55" i="17"/>
  <c r="W55" i="17"/>
  <c r="X55" i="17"/>
  <c r="T55" i="17"/>
  <c r="AD54" i="17"/>
  <c r="W54" i="17"/>
  <c r="X54" i="17"/>
  <c r="T54" i="17"/>
  <c r="AD53" i="17"/>
  <c r="W53" i="17"/>
  <c r="X53" i="17"/>
  <c r="T53" i="17"/>
  <c r="AD52" i="17"/>
  <c r="W52" i="17"/>
  <c r="X52" i="17"/>
  <c r="T52" i="17"/>
  <c r="AD51" i="17"/>
  <c r="W51" i="17"/>
  <c r="X51" i="17"/>
  <c r="T51" i="17"/>
  <c r="AD50" i="17"/>
  <c r="W50" i="17"/>
  <c r="X50" i="17"/>
  <c r="T50" i="17"/>
  <c r="AD49" i="17"/>
  <c r="W49" i="17"/>
  <c r="X49" i="17"/>
  <c r="T49" i="17"/>
  <c r="AD48" i="17"/>
  <c r="W48" i="17"/>
  <c r="T48" i="17"/>
  <c r="AD47" i="17"/>
  <c r="W47" i="17"/>
  <c r="T47" i="17"/>
  <c r="AD46" i="17"/>
  <c r="W46" i="17"/>
  <c r="T46" i="17"/>
  <c r="AD45" i="17"/>
  <c r="W45" i="17"/>
  <c r="T45" i="17"/>
  <c r="AD44" i="17"/>
  <c r="W44" i="17"/>
  <c r="T44" i="17"/>
  <c r="AD43" i="17"/>
  <c r="W43" i="17"/>
  <c r="T43" i="17"/>
  <c r="AD42" i="17"/>
  <c r="W42" i="17"/>
  <c r="T42" i="17"/>
  <c r="AD41" i="17"/>
  <c r="W41" i="17"/>
  <c r="T41" i="17"/>
  <c r="AD40" i="17"/>
  <c r="W40" i="17"/>
  <c r="T40" i="17"/>
  <c r="AD39" i="17"/>
  <c r="W39" i="17"/>
  <c r="T39" i="17"/>
  <c r="AD38" i="17"/>
  <c r="W38" i="17"/>
  <c r="T38" i="17"/>
  <c r="AD37" i="17"/>
  <c r="W37" i="17"/>
  <c r="T37" i="17"/>
  <c r="AD36" i="17"/>
  <c r="W36" i="17"/>
  <c r="T36" i="17"/>
  <c r="AD35" i="17"/>
  <c r="W35" i="17"/>
  <c r="T35" i="17"/>
  <c r="AD34" i="17"/>
  <c r="W34" i="17"/>
  <c r="T34" i="17"/>
  <c r="AD33" i="17"/>
  <c r="W33" i="17"/>
  <c r="T33" i="17"/>
  <c r="AD32" i="17"/>
  <c r="W32" i="17"/>
  <c r="T32" i="17"/>
  <c r="AD31" i="17"/>
  <c r="W31" i="17"/>
  <c r="T31" i="17"/>
  <c r="AD30" i="17"/>
  <c r="W30" i="17"/>
  <c r="T30" i="17"/>
  <c r="AD29" i="17"/>
  <c r="W29" i="17"/>
  <c r="T29" i="17"/>
  <c r="AD28" i="17"/>
  <c r="W28" i="17"/>
  <c r="T28" i="17"/>
  <c r="AD27" i="17"/>
  <c r="W27" i="17"/>
  <c r="T27" i="17"/>
  <c r="AD26" i="17"/>
  <c r="W26" i="17"/>
  <c r="T26" i="17"/>
  <c r="AD25" i="17"/>
  <c r="W25" i="17"/>
  <c r="T25" i="17"/>
  <c r="AD24" i="17"/>
  <c r="W24" i="17"/>
  <c r="T24" i="17"/>
  <c r="AD23" i="17"/>
  <c r="W23" i="17"/>
  <c r="T23" i="17"/>
  <c r="AD22" i="17"/>
  <c r="W22" i="17"/>
  <c r="T22" i="17"/>
  <c r="AD21" i="17"/>
  <c r="W21" i="17"/>
  <c r="T21" i="17"/>
  <c r="AD20" i="17"/>
  <c r="W20" i="17"/>
  <c r="T20" i="17"/>
  <c r="AD19" i="17"/>
  <c r="W19" i="17"/>
  <c r="T19" i="17"/>
  <c r="AD18" i="17"/>
  <c r="W18" i="17"/>
  <c r="T18" i="17"/>
  <c r="AD17" i="17"/>
  <c r="W17" i="17"/>
  <c r="T17" i="17"/>
  <c r="AD16" i="17"/>
  <c r="W16" i="17"/>
  <c r="T16" i="17"/>
  <c r="AD15" i="17"/>
  <c r="W15" i="17"/>
  <c r="T15" i="17"/>
  <c r="AD14" i="17"/>
  <c r="W14" i="17"/>
  <c r="T14" i="17"/>
  <c r="AD13" i="17"/>
  <c r="W13" i="17"/>
  <c r="T13" i="17"/>
  <c r="AD12" i="17"/>
  <c r="W12" i="17"/>
  <c r="T12" i="17"/>
  <c r="AD11" i="17"/>
  <c r="W11" i="17"/>
  <c r="T11" i="17"/>
  <c r="AD10" i="17"/>
  <c r="W10" i="17"/>
  <c r="T10" i="17"/>
  <c r="AD9" i="17"/>
  <c r="W9" i="17"/>
  <c r="T9" i="17"/>
  <c r="AD8" i="17"/>
  <c r="W8" i="17"/>
  <c r="T8" i="17"/>
  <c r="AD7" i="17"/>
  <c r="W7" i="17"/>
  <c r="T7" i="17"/>
  <c r="AD6" i="17"/>
  <c r="W6" i="17"/>
  <c r="T6" i="17"/>
  <c r="AD5" i="17"/>
  <c r="W5" i="17"/>
  <c r="T5" i="17"/>
  <c r="AD4" i="17"/>
  <c r="W4" i="17"/>
  <c r="T4" i="17"/>
  <c r="AD3" i="17"/>
  <c r="W3" i="17"/>
  <c r="T3" i="17"/>
  <c r="AD2" i="17"/>
  <c r="W2" i="17"/>
  <c r="T2" i="17"/>
  <c r="AD1" i="17"/>
  <c r="W1" i="17"/>
  <c r="T1" i="17"/>
  <c r="E5" i="15"/>
  <c r="E7" i="15"/>
  <c r="J3" i="15"/>
  <c r="J4" i="15"/>
  <c r="J5" i="15"/>
  <c r="J6" i="15"/>
  <c r="J7" i="15"/>
  <c r="J8" i="15"/>
  <c r="J9" i="15"/>
  <c r="J10" i="15"/>
  <c r="K26" i="15"/>
  <c r="B22" i="15"/>
  <c r="C22" i="15"/>
  <c r="D22" i="15"/>
  <c r="E22" i="15"/>
  <c r="F22" i="15"/>
  <c r="G22" i="15"/>
  <c r="H22" i="15"/>
  <c r="I22" i="15"/>
  <c r="J22" i="15"/>
  <c r="K22" i="15"/>
  <c r="B23" i="15"/>
  <c r="C23" i="15"/>
  <c r="D23" i="15"/>
  <c r="E23" i="15"/>
  <c r="F23" i="15"/>
  <c r="G23" i="15"/>
  <c r="H23" i="15"/>
  <c r="I23" i="15"/>
  <c r="J23" i="15"/>
  <c r="K23" i="15"/>
  <c r="B24" i="15"/>
  <c r="C24" i="15"/>
  <c r="D24" i="15"/>
  <c r="E24" i="15"/>
  <c r="F24" i="15"/>
  <c r="G24" i="15"/>
  <c r="H24" i="15"/>
  <c r="I24" i="15"/>
  <c r="J24" i="15"/>
  <c r="K24" i="15"/>
  <c r="G25" i="15"/>
  <c r="I25" i="15"/>
  <c r="B25" i="15"/>
  <c r="C25" i="15"/>
  <c r="D25" i="15"/>
  <c r="E25" i="15"/>
  <c r="F25" i="15"/>
  <c r="H25" i="15"/>
  <c r="J25" i="15"/>
  <c r="K25" i="15"/>
  <c r="B15" i="15"/>
  <c r="C15" i="15"/>
  <c r="D15" i="15"/>
  <c r="E15" i="15"/>
  <c r="F15" i="15"/>
  <c r="G15" i="15"/>
  <c r="H15" i="15"/>
  <c r="I15" i="15"/>
  <c r="J15" i="15"/>
  <c r="K15" i="15"/>
  <c r="B16" i="15"/>
  <c r="C16" i="15"/>
  <c r="D16" i="15"/>
  <c r="E16" i="15"/>
  <c r="F16" i="15"/>
  <c r="G16" i="15"/>
  <c r="H16" i="15"/>
  <c r="I16" i="15"/>
  <c r="J16" i="15"/>
  <c r="K16" i="15"/>
  <c r="B17" i="15"/>
  <c r="C17" i="15"/>
  <c r="D17" i="15"/>
  <c r="E17" i="15"/>
  <c r="F17" i="15"/>
  <c r="G17" i="15"/>
  <c r="H17" i="15"/>
  <c r="I17" i="15"/>
  <c r="J17" i="15"/>
  <c r="K17" i="15"/>
  <c r="B18" i="15"/>
  <c r="C18" i="15"/>
  <c r="D18" i="15"/>
  <c r="E18" i="15"/>
  <c r="F18" i="15"/>
  <c r="G18" i="15"/>
  <c r="H18" i="15"/>
  <c r="I18" i="15"/>
  <c r="J18" i="15"/>
  <c r="K18" i="15"/>
  <c r="B19" i="15"/>
  <c r="C19" i="15"/>
  <c r="D19" i="15"/>
  <c r="E19" i="15"/>
  <c r="F19" i="15"/>
  <c r="G19" i="15"/>
  <c r="H19" i="15"/>
  <c r="I19" i="15"/>
  <c r="J19" i="15"/>
  <c r="K19" i="15"/>
  <c r="B20" i="15"/>
  <c r="C20" i="15"/>
  <c r="D20" i="15"/>
  <c r="E20" i="15"/>
  <c r="F20" i="15"/>
  <c r="G20" i="15"/>
  <c r="H20" i="15"/>
  <c r="I20" i="15"/>
  <c r="J20" i="15"/>
  <c r="K20" i="15"/>
  <c r="B21" i="15"/>
  <c r="C21" i="15"/>
  <c r="D21" i="15"/>
  <c r="E21" i="15"/>
  <c r="F21" i="15"/>
  <c r="G21" i="15"/>
  <c r="H21" i="15"/>
  <c r="I21" i="15"/>
  <c r="J21" i="15"/>
  <c r="K21" i="15"/>
  <c r="B14" i="15"/>
  <c r="C14" i="15"/>
  <c r="D14" i="15"/>
  <c r="E14" i="15"/>
  <c r="F14" i="15"/>
  <c r="G14" i="15"/>
  <c r="H14" i="15"/>
  <c r="I14" i="15"/>
  <c r="J14" i="15"/>
  <c r="K14" i="15"/>
  <c r="K27" i="15"/>
  <c r="H27" i="15"/>
  <c r="I27" i="15"/>
  <c r="J27" i="15"/>
  <c r="B27" i="15"/>
  <c r="C27" i="15"/>
  <c r="D27" i="15"/>
  <c r="E27" i="15"/>
  <c r="F27" i="15"/>
  <c r="G27" i="15"/>
  <c r="E9" i="15"/>
  <c r="B738" i="9"/>
  <c r="B737" i="9"/>
  <c r="B736" i="9"/>
  <c r="B735" i="9"/>
  <c r="B734" i="9"/>
  <c r="B733" i="9"/>
  <c r="B732" i="9"/>
  <c r="B731" i="9"/>
  <c r="B722" i="9"/>
  <c r="B730" i="9"/>
  <c r="B729" i="9"/>
  <c r="B728" i="9"/>
  <c r="B727" i="9"/>
  <c r="B726" i="9"/>
  <c r="B725" i="9"/>
  <c r="B724" i="9"/>
  <c r="B723" i="9"/>
  <c r="B721" i="9"/>
  <c r="B720" i="9"/>
  <c r="B719" i="9"/>
  <c r="B718" i="9"/>
  <c r="B717" i="9"/>
  <c r="B716" i="9"/>
  <c r="B715" i="9"/>
  <c r="B714" i="9"/>
  <c r="B713" i="9"/>
  <c r="B712" i="9"/>
  <c r="B711" i="9"/>
  <c r="B710" i="9"/>
  <c r="B709" i="9"/>
  <c r="B708" i="9"/>
  <c r="B707" i="9"/>
  <c r="B706" i="9"/>
  <c r="B705" i="9"/>
  <c r="B704" i="9"/>
  <c r="B703" i="9"/>
  <c r="B702" i="9"/>
  <c r="B701" i="9"/>
  <c r="B700" i="9"/>
  <c r="B699" i="9"/>
  <c r="B698" i="9"/>
  <c r="B697" i="9"/>
  <c r="B696" i="9"/>
  <c r="B695" i="9"/>
  <c r="B694" i="9"/>
  <c r="B693" i="9"/>
  <c r="B692" i="9"/>
  <c r="B691" i="9"/>
  <c r="B690" i="9"/>
  <c r="B689" i="9"/>
  <c r="B688" i="9"/>
  <c r="B687" i="9"/>
  <c r="B686" i="9"/>
  <c r="B685" i="9"/>
  <c r="B684" i="9"/>
  <c r="B683" i="9"/>
  <c r="B682" i="9"/>
  <c r="B681" i="9"/>
  <c r="B680" i="9"/>
  <c r="B679" i="9"/>
  <c r="B678" i="9"/>
  <c r="B677" i="9"/>
  <c r="B676" i="9"/>
  <c r="B675" i="9"/>
  <c r="B674" i="9"/>
  <c r="B673" i="9"/>
  <c r="B672" i="9"/>
  <c r="B671" i="9"/>
  <c r="B670" i="9"/>
  <c r="B669" i="9"/>
  <c r="B668" i="9"/>
  <c r="B667" i="9"/>
  <c r="B666" i="9"/>
  <c r="B665" i="9"/>
  <c r="B664" i="9"/>
  <c r="B663" i="9"/>
  <c r="B662" i="9"/>
  <c r="B661" i="9"/>
  <c r="B660" i="9"/>
  <c r="B659" i="9"/>
  <c r="B658" i="9"/>
  <c r="B657" i="9"/>
  <c r="B656" i="9"/>
  <c r="B655" i="9"/>
  <c r="B654" i="9"/>
  <c r="B653" i="9"/>
  <c r="B652" i="9"/>
  <c r="B651" i="9"/>
  <c r="B650" i="9"/>
  <c r="B649" i="9"/>
  <c r="B648" i="9"/>
  <c r="B647" i="9"/>
  <c r="B646" i="9"/>
  <c r="B645" i="9"/>
  <c r="B644" i="9"/>
  <c r="B643" i="9"/>
  <c r="B642" i="9"/>
  <c r="B641" i="9"/>
  <c r="B640" i="9"/>
  <c r="B639" i="9"/>
  <c r="B638" i="9"/>
  <c r="B637" i="9"/>
  <c r="B636" i="9"/>
  <c r="B635" i="9"/>
  <c r="B634" i="9"/>
  <c r="B633" i="9"/>
  <c r="B631" i="9"/>
  <c r="B632" i="9"/>
  <c r="B630" i="9"/>
  <c r="B629" i="9"/>
  <c r="B628" i="9"/>
  <c r="B627" i="9"/>
  <c r="B626" i="9"/>
  <c r="B625" i="9"/>
  <c r="B624" i="9"/>
  <c r="B623" i="9"/>
  <c r="B622" i="9"/>
  <c r="B621" i="9"/>
  <c r="B620" i="9"/>
  <c r="B619" i="9"/>
  <c r="B618" i="9"/>
  <c r="B617" i="9"/>
  <c r="B616" i="9"/>
  <c r="B615" i="9"/>
  <c r="B614" i="9"/>
  <c r="B613" i="9"/>
  <c r="B612" i="9"/>
  <c r="B611" i="9"/>
  <c r="B610" i="9"/>
  <c r="B609" i="9"/>
  <c r="B608" i="9"/>
  <c r="B607" i="9"/>
  <c r="B606" i="9"/>
  <c r="B605" i="9"/>
  <c r="B604" i="9"/>
  <c r="B603" i="9"/>
  <c r="B602" i="9"/>
  <c r="B601" i="9"/>
  <c r="B600" i="9"/>
  <c r="B599" i="9"/>
  <c r="B598" i="9"/>
  <c r="B597" i="9"/>
  <c r="B596" i="9"/>
  <c r="B595" i="9"/>
  <c r="B594" i="9"/>
  <c r="B593" i="9"/>
  <c r="B592" i="9"/>
  <c r="B591" i="9"/>
  <c r="B590" i="9"/>
  <c r="B589" i="9"/>
  <c r="B588" i="9"/>
  <c r="B587" i="9"/>
  <c r="B586" i="9"/>
  <c r="B585" i="9"/>
  <c r="B584" i="9"/>
  <c r="B583" i="9"/>
  <c r="B582" i="9"/>
  <c r="B581" i="9"/>
  <c r="B580" i="9"/>
  <c r="B579" i="9"/>
  <c r="B578" i="9"/>
  <c r="B577" i="9"/>
  <c r="B576" i="9"/>
  <c r="B575" i="9"/>
  <c r="B574" i="9"/>
  <c r="B573" i="9"/>
  <c r="B572" i="9"/>
  <c r="B571" i="9"/>
  <c r="B570" i="9"/>
  <c r="B569" i="9"/>
  <c r="B568" i="9"/>
  <c r="B567" i="9"/>
  <c r="B566" i="9"/>
  <c r="B565" i="9"/>
  <c r="B564" i="9"/>
  <c r="B563" i="9"/>
  <c r="B562" i="9"/>
  <c r="B561" i="9"/>
  <c r="B560" i="9"/>
  <c r="B559" i="9"/>
  <c r="B558" i="9"/>
  <c r="B557" i="9"/>
  <c r="B556" i="9"/>
  <c r="B555" i="9"/>
  <c r="B554" i="9"/>
  <c r="B553" i="9"/>
  <c r="B552" i="9"/>
  <c r="B551" i="9"/>
  <c r="B550" i="9"/>
  <c r="B549" i="9"/>
  <c r="B548" i="9"/>
  <c r="B547" i="9"/>
  <c r="B546" i="9"/>
  <c r="B545" i="9"/>
  <c r="B544" i="9"/>
  <c r="B543" i="9"/>
  <c r="B542" i="9"/>
  <c r="B541" i="9"/>
  <c r="B540" i="9"/>
  <c r="B539" i="9"/>
  <c r="B538" i="9"/>
  <c r="B537" i="9"/>
  <c r="B536" i="9"/>
  <c r="B535" i="9"/>
  <c r="B534" i="9"/>
  <c r="B533" i="9"/>
  <c r="B532" i="9"/>
  <c r="B531" i="9"/>
  <c r="B530" i="9"/>
  <c r="B529" i="9"/>
  <c r="B528" i="9"/>
  <c r="B527" i="9"/>
  <c r="B526" i="9"/>
  <c r="B525" i="9"/>
  <c r="B524" i="9"/>
  <c r="B523" i="9"/>
  <c r="B522" i="9"/>
  <c r="B521" i="9"/>
  <c r="B520" i="9"/>
  <c r="B519" i="9"/>
  <c r="B518" i="9"/>
  <c r="B517" i="9"/>
  <c r="B516" i="9"/>
  <c r="B515" i="9"/>
  <c r="B514" i="9"/>
  <c r="B513" i="9"/>
  <c r="B512" i="9"/>
  <c r="B511" i="9"/>
  <c r="B510" i="9"/>
  <c r="B509" i="9"/>
  <c r="B508" i="9"/>
  <c r="B507" i="9"/>
  <c r="B506" i="9"/>
  <c r="B505" i="9"/>
  <c r="B504" i="9"/>
  <c r="B503" i="9"/>
  <c r="B502" i="9"/>
  <c r="B501" i="9"/>
  <c r="B500" i="9"/>
  <c r="B499" i="9"/>
  <c r="B498" i="9"/>
  <c r="B497" i="9"/>
  <c r="B496" i="9"/>
  <c r="B495" i="9"/>
  <c r="B494" i="9"/>
  <c r="B493" i="9"/>
  <c r="B492" i="9"/>
  <c r="B491" i="9"/>
  <c r="B490" i="9"/>
  <c r="B489" i="9"/>
  <c r="B488" i="9"/>
  <c r="B487" i="9"/>
  <c r="B486" i="9"/>
  <c r="B485" i="9"/>
  <c r="B484" i="9"/>
  <c r="B483" i="9"/>
  <c r="B482" i="9"/>
  <c r="B481" i="9"/>
  <c r="B480" i="9"/>
  <c r="B479" i="9"/>
  <c r="B478" i="9"/>
  <c r="B477" i="9"/>
  <c r="B476" i="9"/>
  <c r="B475" i="9"/>
  <c r="B474" i="9"/>
  <c r="B473" i="9"/>
  <c r="B472" i="9"/>
  <c r="B471" i="9"/>
  <c r="B470" i="9"/>
  <c r="B469" i="9"/>
  <c r="B468" i="9"/>
  <c r="B467" i="9"/>
  <c r="B466" i="9"/>
  <c r="B465" i="9"/>
  <c r="B464" i="9"/>
  <c r="B463" i="9"/>
  <c r="B462" i="9"/>
  <c r="B461" i="9"/>
  <c r="B460" i="9"/>
  <c r="B459" i="9"/>
  <c r="B458" i="9"/>
  <c r="B457" i="9"/>
  <c r="B456" i="9"/>
  <c r="B455" i="9"/>
  <c r="B454" i="9"/>
  <c r="B453" i="9"/>
  <c r="B452" i="9"/>
  <c r="B451" i="9"/>
  <c r="B450" i="9"/>
  <c r="B449" i="9"/>
  <c r="B448" i="9"/>
  <c r="B447" i="9"/>
  <c r="B446" i="9"/>
  <c r="B445" i="9"/>
  <c r="B444" i="9"/>
  <c r="B443" i="9"/>
  <c r="B442" i="9"/>
  <c r="B441" i="9"/>
  <c r="B440" i="9"/>
  <c r="B439" i="9"/>
  <c r="B438" i="9"/>
  <c r="B437" i="9"/>
  <c r="B436" i="9"/>
  <c r="B435" i="9"/>
  <c r="B434" i="9"/>
  <c r="B433" i="9"/>
  <c r="B432" i="9"/>
  <c r="B431" i="9"/>
  <c r="B430" i="9"/>
  <c r="B429" i="9"/>
  <c r="B428" i="9"/>
  <c r="B427" i="9"/>
  <c r="B426" i="9"/>
  <c r="B425" i="9"/>
  <c r="B424" i="9"/>
  <c r="B423" i="9"/>
  <c r="B422" i="9"/>
  <c r="B421" i="9"/>
  <c r="B420" i="9"/>
  <c r="B419" i="9"/>
  <c r="B418" i="9"/>
  <c r="B417" i="9"/>
  <c r="B416" i="9"/>
  <c r="B415" i="9"/>
  <c r="B414" i="9"/>
  <c r="B413" i="9"/>
  <c r="B412" i="9"/>
  <c r="B411" i="9"/>
  <c r="B410" i="9"/>
  <c r="B409" i="9"/>
  <c r="B408" i="9"/>
  <c r="B407" i="9"/>
  <c r="B406" i="9"/>
  <c r="B405" i="9"/>
  <c r="B404" i="9"/>
  <c r="B403" i="9"/>
  <c r="B402" i="9"/>
  <c r="B401" i="9"/>
  <c r="B400" i="9"/>
  <c r="B399" i="9"/>
  <c r="B398" i="9"/>
  <c r="B397" i="9"/>
  <c r="B396" i="9"/>
  <c r="B395" i="9"/>
  <c r="B394" i="9"/>
  <c r="B393" i="9"/>
  <c r="B392" i="9"/>
  <c r="B391" i="9"/>
  <c r="B27" i="9"/>
  <c r="B390" i="9"/>
  <c r="B389" i="9"/>
  <c r="B388" i="9"/>
  <c r="B387" i="9"/>
  <c r="B386" i="9"/>
  <c r="B385" i="9"/>
  <c r="B384" i="9"/>
  <c r="B383" i="9"/>
  <c r="B382" i="9"/>
  <c r="B381" i="9"/>
  <c r="B380" i="9"/>
  <c r="B379" i="9"/>
  <c r="B378" i="9"/>
  <c r="B377" i="9"/>
  <c r="B376" i="9"/>
  <c r="B375" i="9"/>
  <c r="B374" i="9"/>
  <c r="B373" i="9"/>
  <c r="B372" i="9"/>
  <c r="B371" i="9"/>
  <c r="B370" i="9"/>
  <c r="B369" i="9"/>
  <c r="B368" i="9"/>
  <c r="B367" i="9"/>
  <c r="B366" i="9"/>
  <c r="B365" i="9"/>
  <c r="B364" i="9"/>
  <c r="B363" i="9"/>
  <c r="B362" i="9"/>
  <c r="B361" i="9"/>
  <c r="B360" i="9"/>
  <c r="B359" i="9"/>
  <c r="B358" i="9"/>
  <c r="B357" i="9"/>
  <c r="B356" i="9"/>
  <c r="B355" i="9"/>
  <c r="B354" i="9"/>
  <c r="B353" i="9"/>
  <c r="B352" i="9"/>
  <c r="B351" i="9"/>
  <c r="B350" i="9"/>
  <c r="B349" i="9"/>
  <c r="B348" i="9"/>
  <c r="B347" i="9"/>
  <c r="B346" i="9"/>
  <c r="B345" i="9"/>
  <c r="B344" i="9"/>
  <c r="B34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26" i="9"/>
  <c r="B325" i="9"/>
  <c r="B324" i="9"/>
  <c r="B323" i="9"/>
  <c r="B322" i="9"/>
  <c r="B321" i="9"/>
  <c r="B320" i="9"/>
  <c r="B319" i="9"/>
  <c r="B318" i="9"/>
  <c r="B317" i="9"/>
  <c r="B316" i="9"/>
  <c r="B315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B298" i="9"/>
  <c r="B297" i="9"/>
  <c r="B296" i="9"/>
  <c r="B295" i="9"/>
  <c r="B294" i="9"/>
  <c r="B293" i="9"/>
  <c r="B292" i="9"/>
  <c r="B291" i="9"/>
  <c r="B290" i="9"/>
  <c r="B289" i="9"/>
  <c r="B288" i="9"/>
  <c r="B287" i="9"/>
  <c r="B286" i="9"/>
  <c r="B285" i="9"/>
  <c r="B284" i="9"/>
  <c r="B283" i="9"/>
  <c r="B282" i="9"/>
  <c r="B281" i="9"/>
  <c r="B280" i="9"/>
  <c r="B279" i="9"/>
  <c r="B278" i="9"/>
  <c r="B277" i="9"/>
  <c r="B276" i="9"/>
  <c r="B275" i="9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D189" i="6"/>
  <c r="AD190" i="6"/>
  <c r="AD191" i="6"/>
  <c r="AD192" i="6"/>
  <c r="AD193" i="6"/>
  <c r="AD194" i="6"/>
  <c r="AD195" i="6"/>
  <c r="AD196" i="6"/>
  <c r="AD197" i="6"/>
  <c r="AD198" i="6"/>
  <c r="AD199" i="6"/>
  <c r="AD200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X51" i="6"/>
  <c r="W52" i="6"/>
  <c r="X52" i="6"/>
  <c r="W53" i="6"/>
  <c r="X53" i="6"/>
  <c r="W54" i="6"/>
  <c r="X54" i="6"/>
  <c r="W55" i="6"/>
  <c r="X55" i="6"/>
  <c r="W56" i="6"/>
  <c r="X56" i="6"/>
  <c r="W57" i="6"/>
  <c r="X57" i="6"/>
  <c r="W58" i="6"/>
  <c r="X58" i="6"/>
  <c r="W59" i="6"/>
  <c r="X59" i="6"/>
  <c r="W60" i="6"/>
  <c r="X60" i="6"/>
  <c r="W61" i="6"/>
  <c r="X61" i="6"/>
  <c r="W62" i="6"/>
  <c r="X62" i="6"/>
  <c r="W63" i="6"/>
  <c r="X63" i="6"/>
  <c r="W64" i="6"/>
  <c r="X64" i="6"/>
  <c r="W65" i="6"/>
  <c r="X65" i="6"/>
  <c r="W66" i="6"/>
  <c r="X66" i="6"/>
  <c r="W67" i="6"/>
  <c r="X67" i="6"/>
  <c r="W68" i="6"/>
  <c r="X68" i="6"/>
  <c r="W69" i="6"/>
  <c r="X69" i="6"/>
  <c r="W70" i="6"/>
  <c r="X70" i="6"/>
  <c r="W71" i="6"/>
  <c r="X71" i="6"/>
  <c r="W72" i="6"/>
  <c r="X72" i="6"/>
  <c r="W73" i="6"/>
  <c r="X73" i="6"/>
  <c r="W74" i="6"/>
  <c r="X74" i="6"/>
  <c r="W75" i="6"/>
  <c r="X75" i="6"/>
  <c r="W76" i="6"/>
  <c r="X76" i="6"/>
  <c r="W77" i="6"/>
  <c r="X77" i="6"/>
  <c r="W78" i="6"/>
  <c r="X78" i="6"/>
  <c r="W79" i="6"/>
  <c r="X79" i="6"/>
  <c r="W80" i="6"/>
  <c r="X80" i="6"/>
  <c r="W81" i="6"/>
  <c r="X81" i="6"/>
  <c r="W82" i="6"/>
  <c r="X82" i="6"/>
  <c r="W83" i="6"/>
  <c r="X83" i="6"/>
  <c r="W84" i="6"/>
  <c r="X84" i="6"/>
  <c r="W85" i="6"/>
  <c r="X85" i="6"/>
  <c r="W86" i="6"/>
  <c r="X86" i="6"/>
  <c r="W87" i="6"/>
  <c r="X87" i="6"/>
  <c r="W88" i="6"/>
  <c r="X88" i="6"/>
  <c r="W89" i="6"/>
  <c r="X89" i="6"/>
  <c r="W90" i="6"/>
  <c r="X90" i="6"/>
  <c r="W91" i="6"/>
  <c r="X91" i="6"/>
  <c r="W92" i="6"/>
  <c r="X92" i="6"/>
  <c r="W93" i="6"/>
  <c r="X93" i="6"/>
  <c r="W94" i="6"/>
  <c r="X94" i="6"/>
  <c r="W95" i="6"/>
  <c r="X95" i="6"/>
  <c r="W96" i="6"/>
  <c r="X96" i="6"/>
  <c r="W97" i="6"/>
  <c r="X97" i="6"/>
  <c r="W98" i="6"/>
  <c r="X98" i="6"/>
  <c r="W99" i="6"/>
  <c r="X99" i="6"/>
  <c r="W100" i="6"/>
  <c r="X100" i="6"/>
  <c r="W101" i="6"/>
  <c r="X101" i="6"/>
  <c r="W102" i="6"/>
  <c r="X102" i="6"/>
  <c r="W103" i="6"/>
  <c r="X103" i="6"/>
  <c r="W104" i="6"/>
  <c r="X104" i="6"/>
  <c r="W105" i="6"/>
  <c r="X105" i="6"/>
  <c r="W106" i="6"/>
  <c r="X106" i="6"/>
  <c r="W107" i="6"/>
  <c r="X107" i="6"/>
  <c r="W108" i="6"/>
  <c r="X108" i="6"/>
  <c r="W109" i="6"/>
  <c r="X109" i="6"/>
  <c r="W110" i="6"/>
  <c r="X110" i="6"/>
  <c r="W111" i="6"/>
  <c r="X111" i="6"/>
  <c r="W112" i="6"/>
  <c r="X112" i="6"/>
  <c r="W113" i="6"/>
  <c r="X113" i="6"/>
  <c r="W114" i="6"/>
  <c r="X114" i="6"/>
  <c r="W115" i="6"/>
  <c r="X115" i="6"/>
  <c r="W116" i="6"/>
  <c r="X116" i="6"/>
  <c r="W117" i="6"/>
  <c r="X117" i="6"/>
  <c r="W118" i="6"/>
  <c r="X118" i="6"/>
  <c r="W119" i="6"/>
  <c r="X119" i="6"/>
  <c r="W120" i="6"/>
  <c r="X120" i="6"/>
  <c r="W121" i="6"/>
  <c r="X121" i="6"/>
  <c r="W122" i="6"/>
  <c r="X122" i="6"/>
  <c r="W123" i="6"/>
  <c r="X123" i="6"/>
  <c r="W124" i="6"/>
  <c r="X124" i="6"/>
  <c r="W125" i="6"/>
  <c r="X125" i="6"/>
  <c r="W126" i="6"/>
  <c r="X126" i="6"/>
  <c r="W127" i="6"/>
  <c r="X127" i="6"/>
  <c r="W128" i="6"/>
  <c r="X128" i="6"/>
  <c r="W129" i="6"/>
  <c r="X129" i="6"/>
  <c r="W130" i="6"/>
  <c r="X130" i="6"/>
  <c r="W131" i="6"/>
  <c r="X131" i="6"/>
  <c r="W132" i="6"/>
  <c r="X132" i="6"/>
  <c r="W133" i="6"/>
  <c r="X133" i="6"/>
  <c r="W134" i="6"/>
  <c r="X134" i="6"/>
  <c r="W135" i="6"/>
  <c r="X135" i="6"/>
  <c r="W136" i="6"/>
  <c r="X136" i="6"/>
  <c r="W137" i="6"/>
  <c r="X137" i="6"/>
  <c r="W138" i="6"/>
  <c r="X138" i="6"/>
  <c r="W139" i="6"/>
  <c r="X139" i="6"/>
  <c r="W140" i="6"/>
  <c r="X140" i="6"/>
  <c r="W141" i="6"/>
  <c r="X141" i="6"/>
  <c r="W142" i="6"/>
  <c r="X142" i="6"/>
  <c r="W143" i="6"/>
  <c r="X143" i="6"/>
  <c r="W144" i="6"/>
  <c r="X144" i="6"/>
  <c r="W145" i="6"/>
  <c r="X145" i="6"/>
  <c r="W146" i="6"/>
  <c r="X146" i="6"/>
  <c r="W147" i="6"/>
  <c r="X147" i="6"/>
  <c r="W148" i="6"/>
  <c r="X148" i="6"/>
  <c r="W149" i="6"/>
  <c r="X149" i="6"/>
  <c r="W150" i="6"/>
  <c r="X150" i="6"/>
  <c r="W151" i="6"/>
  <c r="X151" i="6"/>
  <c r="W152" i="6"/>
  <c r="X152" i="6"/>
  <c r="W153" i="6"/>
  <c r="X153" i="6"/>
  <c r="W154" i="6"/>
  <c r="X154" i="6"/>
  <c r="W155" i="6"/>
  <c r="X155" i="6"/>
  <c r="W156" i="6"/>
  <c r="X156" i="6"/>
  <c r="W157" i="6"/>
  <c r="X157" i="6"/>
  <c r="W158" i="6"/>
  <c r="X158" i="6"/>
  <c r="W159" i="6"/>
  <c r="X159" i="6"/>
  <c r="W160" i="6"/>
  <c r="X160" i="6"/>
  <c r="W161" i="6"/>
  <c r="X161" i="6"/>
  <c r="W162" i="6"/>
  <c r="X162" i="6"/>
  <c r="W163" i="6"/>
  <c r="X163" i="6"/>
  <c r="W164" i="6"/>
  <c r="X164" i="6"/>
  <c r="W165" i="6"/>
  <c r="X165" i="6"/>
  <c r="W166" i="6"/>
  <c r="X166" i="6"/>
  <c r="W167" i="6"/>
  <c r="X167" i="6"/>
  <c r="W168" i="6"/>
  <c r="X168" i="6"/>
  <c r="W169" i="6"/>
  <c r="X169" i="6"/>
  <c r="W170" i="6"/>
  <c r="X170" i="6"/>
  <c r="W171" i="6"/>
  <c r="X171" i="6"/>
  <c r="W172" i="6"/>
  <c r="X172" i="6"/>
  <c r="W173" i="6"/>
  <c r="X173" i="6"/>
  <c r="W174" i="6"/>
  <c r="X174" i="6"/>
  <c r="W175" i="6"/>
  <c r="X175" i="6"/>
  <c r="W176" i="6"/>
  <c r="X176" i="6"/>
  <c r="W177" i="6"/>
  <c r="X177" i="6"/>
  <c r="W178" i="6"/>
  <c r="X178" i="6"/>
  <c r="W179" i="6"/>
  <c r="X179" i="6"/>
  <c r="W180" i="6"/>
  <c r="X180" i="6"/>
  <c r="W181" i="6"/>
  <c r="X181" i="6"/>
  <c r="W182" i="6"/>
  <c r="X182" i="6"/>
  <c r="W183" i="6"/>
  <c r="X183" i="6"/>
  <c r="W184" i="6"/>
  <c r="X184" i="6"/>
  <c r="W185" i="6"/>
  <c r="X185" i="6"/>
  <c r="W186" i="6"/>
  <c r="X186" i="6"/>
  <c r="W187" i="6"/>
  <c r="X187" i="6"/>
  <c r="W188" i="6"/>
  <c r="X188" i="6"/>
  <c r="W189" i="6"/>
  <c r="X189" i="6"/>
  <c r="W190" i="6"/>
  <c r="X190" i="6"/>
  <c r="W191" i="6"/>
  <c r="X191" i="6"/>
  <c r="W192" i="6"/>
  <c r="X192" i="6"/>
  <c r="W193" i="6"/>
  <c r="X193" i="6"/>
  <c r="W194" i="6"/>
  <c r="X194" i="6"/>
  <c r="W195" i="6"/>
  <c r="X195" i="6"/>
  <c r="W196" i="6"/>
  <c r="X196" i="6"/>
  <c r="W197" i="6"/>
  <c r="X197" i="6"/>
  <c r="W198" i="6"/>
  <c r="X198" i="6"/>
  <c r="W199" i="6"/>
  <c r="X199" i="6"/>
  <c r="W200" i="6"/>
  <c r="X200" i="6"/>
  <c r="W3" i="6"/>
  <c r="AD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3" i="6"/>
</calcChain>
</file>

<file path=xl/sharedStrings.xml><?xml version="1.0" encoding="utf-8"?>
<sst xmlns="http://schemas.openxmlformats.org/spreadsheetml/2006/main" count="34223" uniqueCount="3624">
  <si>
    <t>poisonous ragwort</t>
  </si>
  <si>
    <t>vaalrenosterbos, vaalhartbeeskaroo</t>
  </si>
  <si>
    <t>slangbos</t>
  </si>
  <si>
    <t>witsewejaartjie</t>
  </si>
  <si>
    <t>pienksewejaartjie</t>
  </si>
  <si>
    <t>witnaaldebossie</t>
  </si>
  <si>
    <t>magriet</t>
  </si>
  <si>
    <t>kaapsewolwekos</t>
  </si>
  <si>
    <t>bloubekkie</t>
  </si>
  <si>
    <t>vleiknopbos</t>
  </si>
  <si>
    <t>sterretjie</t>
  </si>
  <si>
    <t>wild lobelia</t>
  </si>
  <si>
    <t>yellow lobelia</t>
  </si>
  <si>
    <t>hare bell</t>
  </si>
  <si>
    <t>horingblom</t>
  </si>
  <si>
    <t>wild pink, wilde-angelier</t>
  </si>
  <si>
    <t>European weed</t>
  </si>
  <si>
    <t>wild tobacco, wildetabak</t>
  </si>
  <si>
    <t>bastersaffraan, lepelhout</t>
  </si>
  <si>
    <t>gewone pendoring</t>
  </si>
  <si>
    <t>klipkershout</t>
  </si>
  <si>
    <t>cherrywood, kershout</t>
  </si>
  <si>
    <t>duine-sybas</t>
  </si>
  <si>
    <t>white stinkwood, wit stinkhout</t>
  </si>
  <si>
    <t>Beetle lily</t>
  </si>
  <si>
    <t>Eendjies, Slangkop</t>
  </si>
  <si>
    <t>Varkoor</t>
  </si>
  <si>
    <t>Cape snowdrop</t>
  </si>
  <si>
    <t>klipblom</t>
  </si>
  <si>
    <t>brakvygie</t>
  </si>
  <si>
    <t>bryony, ystervarkpatats</t>
  </si>
  <si>
    <t>dawedjies</t>
  </si>
  <si>
    <t>biesie</t>
  </si>
  <si>
    <t>hedgehog sedge</t>
  </si>
  <si>
    <t>Vleibiesie</t>
  </si>
  <si>
    <t>biesie, biesiegras</t>
  </si>
  <si>
    <t>bitterbos, scabios</t>
  </si>
  <si>
    <t>sundew, doublom, vlieevangertjie</t>
  </si>
  <si>
    <t>wild coffee, bladder-nut, bostolbos</t>
  </si>
  <si>
    <t>sea guarri, seeghwarrie</t>
  </si>
  <si>
    <t>trilheide</t>
  </si>
  <si>
    <t>melkbol</t>
  </si>
  <si>
    <t>persblom</t>
  </si>
  <si>
    <t>wasblommetjiesbossie</t>
  </si>
  <si>
    <t>geelkapelbos</t>
  </si>
  <si>
    <t>wildeboontjie</t>
  </si>
  <si>
    <t>beesbossie, nentabossie</t>
  </si>
  <si>
    <t>harslagbossie</t>
  </si>
  <si>
    <t>cancer bush, kankerbos</t>
  </si>
  <si>
    <t>mountain dahlia, klipblom</t>
  </si>
  <si>
    <t>skaapbostee, swawelbos</t>
  </si>
  <si>
    <t>wilde-ertjie</t>
  </si>
  <si>
    <t>bloukeur, fonteinbos</t>
  </si>
  <si>
    <t>elev. 343 mts, slope 8°, aspect 45°, flow acc. 1,768, rad. 112349, wind exp. 906</t>
  </si>
  <si>
    <t>elev. 196 mts, slope 0°, aspect 225°, flow acc. 0,565, rad. 104583, wind exp. 1287</t>
  </si>
  <si>
    <t>elev. 388 mts, slope 17°, aspect 0°, flow acc. 0,414, rad. 119272, wind exp. 646</t>
  </si>
  <si>
    <t>elev. 247 mts, slope 6°, aspect 205°, flow acc. 0,259, rad. 101822, wind exp. 1186</t>
  </si>
  <si>
    <t>elev. 293 mts, slope 2°, aspect 315°, flow acc. 0,906, rad. 105544, wind exp. 1029</t>
  </si>
  <si>
    <t>67 (core) Protea repens Proteoid Fynbos (post-fire regenerating) 17/159</t>
  </si>
  <si>
    <t>elev. 312 mts, slope 1°, aspect 305°, flow acc. 0,37, rad. 106297, wind exp. 713</t>
  </si>
  <si>
    <t>elev. 367 mts, slope 14°, aspect 0°, flow acc. 0,161, rad. 112335, wind exp. 770</t>
  </si>
  <si>
    <t>elev. 297 mts, slope 9°, aspect 230°, flow acc. 0,485, rad. 86860, wind exp. 925</t>
  </si>
  <si>
    <t>elev. 233 mts, slope 2°, aspect 340°, flow acc. 0,791, rad. 110872, wind exp. 1088</t>
  </si>
  <si>
    <t>elev. 317 mts, slope 40°, aspect 50°, flow acc. 0,698, rad. 115471, wind exp. 713</t>
  </si>
  <si>
    <t>elev. 314 mts, slope 9°, aspect 227°, flow acc. 2,597, rad. 99673, wind exp. 447</t>
  </si>
  <si>
    <t>elev. 326 mts, slope 17°, aspect 333°, flow acc. 0,809, rad. 117226, wind exp. 447</t>
  </si>
  <si>
    <t>elev. 223 mts, slope 9°, aspect 170°, flow acc. 0,63, rad. 95688, wind exp. 1229</t>
  </si>
  <si>
    <t>elev. 226 mts, slope 11°, aspect 188°, flow acc. 0,623, rad. 92936, wind exp. 1140</t>
  </si>
  <si>
    <t>elev. 232 mts, slope 9°, aspect 48°, flow acc. 0,075, rad. 110981, wind exp. 1427</t>
  </si>
  <si>
    <t>elev. 222 mts, slope 6°, aspect 104°, flow acc. 2,057, rad. 103575, wind exp. 1220</t>
  </si>
  <si>
    <t>elev. 224 mts, slope 8°, aspect 60°, flow acc. 0,564, rad. 108567, wind exp. 1251</t>
  </si>
  <si>
    <t>elev. 201 mts, slope 19°, aspect 165°, flow acc. 0,986, rad. 82367, wind exp. 1396</t>
  </si>
  <si>
    <t>elev. 213 mts, slope 14°, aspect 180°, flow acc. 0,94, rad. 88377, wind exp. 1451</t>
  </si>
  <si>
    <t>elev. 226 mts, slope 8°, aspect 183°, flow acc. 0,153, rad. 98226, wind exp. 1596</t>
  </si>
  <si>
    <t>elev. 180 mts, slope 32°, aspect 167°, flow acc. 0,741, rad. 61223, wind exp. 1166</t>
  </si>
  <si>
    <t>elev. 179 mts, slope 23°, aspect 65°, flow acc. 0,898, rad. 106936, wind exp. 1180</t>
  </si>
  <si>
    <t>elev. 207 mts, slope 12°, aspect 66°, flow acc. 0,1, rad. 109085, wind exp. 1387</t>
  </si>
  <si>
    <t>elev. 227 mts, slope 16°, aspect 60°, flow acc. 0,793, rad. 110322, wind exp. 1305</t>
  </si>
  <si>
    <t>elev. 271 mts, slope 14°, aspect 54°, flow acc. 0,795, rad. 112176, wind exp. 1385</t>
  </si>
  <si>
    <t>elev. 252 mts, slope 25°, aspect 180°, flow acc. 1,626, rad. 70627, wind exp. 354</t>
  </si>
  <si>
    <t>elev. 239 mts, slope 13°, aspect 201°, flow acc. 2,132, rad. 88404, wind exp. 217</t>
  </si>
  <si>
    <t>elev. 243 mts, slope 21°, aspect 309°, flow acc. 1,107, rad. 108337, wind exp. 179</t>
  </si>
  <si>
    <t>elev. 244 mts, slope 15°, aspect 305°, flow acc. 2,95, rad. 107251, wind exp. 159</t>
  </si>
  <si>
    <t>elev. 272 mts, slope 32°, aspect 320°, flow acc. 1,143, rad. 111897, wind exp. 267</t>
  </si>
  <si>
    <t>elev. 277 mts, slope 6°, aspect 341°, flow acc. 0,642, rad. 112395, wind exp. 922</t>
  </si>
  <si>
    <t>elev. 266 mts, slope 7°, aspect 342°, flow acc. 0,4, rad. 112948, wind exp. 931</t>
  </si>
  <si>
    <t>elev. 334 mts, slope 10°, aspect 20°, flow acc. 0,221, rad. 115325, wind exp. 1151</t>
  </si>
  <si>
    <t>elev. 340 mts, slope 13°, aspect 341°, flow acc. 1,187, rad. 115998, wind exp. 645</t>
  </si>
  <si>
    <t>elev. 375 mts, slope 15°, aspect 36°, flow acc. 0,666, rad. 116154, wind exp. 863</t>
  </si>
  <si>
    <t>elev. 368 mts, slope 11°, aspect 42°, flow acc. 0,849, rad. 112141, wind exp. 761</t>
  </si>
  <si>
    <t>elev. 299 mts, slope 8°, aspect 322°, flow acc. 0,519, rad. 112783, wind exp. 862</t>
  </si>
  <si>
    <t>elev. 302 mts, slope 6°, aspect 336°, flow acc. 0,215, rad. 112851, wind exp. 1162</t>
  </si>
  <si>
    <t>elev. 269 mts, slope 31°, aspect 106°, flow acc. 1,53, rad. 84885, wind exp. 989</t>
  </si>
  <si>
    <t>elev. 276 mts, slope 28°, aspect 154°, flow acc. 0,243, rad. 71559, wind exp. 1335</t>
  </si>
  <si>
    <t>elev. 288 mts, slope 29°, aspect 109°, flow acc. 0,883, rad. 85318, wind exp. 1251</t>
  </si>
  <si>
    <t>elev. 277 mts, slope 32°, aspect 118°, flow acc. 0,92, rad. 77829, wind exp. 1195</t>
  </si>
  <si>
    <t>elev. 262 mts, slope 35°, aspect 106°, flow acc. 1,042, rad. 78673, wind exp. 1028</t>
  </si>
  <si>
    <t>elev. 254 mts, slope 25°, aspect 129°, flow acc. 0,496, rad. 81392, wind exp. 1250</t>
  </si>
  <si>
    <t>elev. 243 mts, slope 28°, aspect 95°, flow acc. 0,158, rad. 91282, wind exp. 1148</t>
  </si>
  <si>
    <t>elev. 212 mts, slope 23°, aspect 106°, flow acc. 0,39, rad. 89375, wind exp. 486</t>
  </si>
  <si>
    <t>elev. 205 mts, slope 3°, aspect 247°, flow acc. 0,573, rad. 102063, wind exp. 414</t>
  </si>
  <si>
    <t>elev. 205 mts, slope 7°, aspect 288°, flow acc. 0,496, rad. 103561, wind exp. 309</t>
  </si>
  <si>
    <t>elev. 374 mts, slope 14°, aspect 301°, flow acc. 0,522, rad. 111483, wind exp. 639</t>
  </si>
  <si>
    <t>elev. 339 mts, slope 5°, aspect 299°, flow acc. 0,691, rad. 109851, wind exp. 843</t>
  </si>
  <si>
    <t>elev. 331 mts, slope 2°, aspect 289°, flow acc. 0,328, rad. 108514, wind exp. 1027</t>
  </si>
  <si>
    <t>elev. 292 mts, slope 9°, aspect 321°, flow acc. 0,663, rad. 112726, wind exp. 956</t>
  </si>
  <si>
    <t>elev. 285 mts, slope 4°, aspect 299°, flow acc. 0,869, rad. 108997, wind exp. 972</t>
  </si>
  <si>
    <t>elev. 287 mts, slope 28°, aspect 84°, flow acc. 0,592, rad. 98160, wind exp. 1094</t>
  </si>
  <si>
    <t>elev. 228 mts, slope 1°, aspect 51°, flow acc. 0,367, rad. 106634, wind exp. 1140</t>
  </si>
  <si>
    <t>elev. 228 mts, slope 1°, aspect 163°, flow acc. 0,052, rad. 104862, wind exp. 1132</t>
  </si>
  <si>
    <t>elev. 216 mts, slope 3°, aspect 276°, flow acc. 1,311, rad. 107009, wind exp. 1207</t>
  </si>
  <si>
    <t>elev. 210 mts, slope 3°, aspect 219°, flow acc. 0,942, rad. 104151, wind exp. 1156</t>
  </si>
  <si>
    <t>elev. 230 mts, slope 9°, aspect 219°, flow acc. 1,099, rad. 98316, wind exp. 1209</t>
  </si>
  <si>
    <t>elev. 254 mts, slope 8°, aspect 242°, flow acc. 0,604, rad. 102642, wind exp. 1172</t>
  </si>
  <si>
    <t>elev. 273 mts, slope 23°, aspect 249°, flow acc. 0,285, rad. 92498, wind exp. 904</t>
  </si>
  <si>
    <t>elev. 288 mts, slope 22°, aspect 216°, flow acc. 0,17, rad. 83184, wind exp. 1274</t>
  </si>
  <si>
    <t>elev. 275 mts, slope 22°, aspect 134°, flow acc. 0,484, rad. 84834, wind exp. 1168</t>
  </si>
  <si>
    <t>elev. 268 mts, slope 16°, aspect 137°, flow acc. 0,6, rad. 90642, wind exp. 1177</t>
  </si>
  <si>
    <t>elev. 260 mts, slope 8°, aspect 180°, flow acc. 0,444, rad. 96799, wind exp. 1136</t>
  </si>
  <si>
    <t>elev. 278 mts, slope 5°, aspect 264°, flow acc. 1,454, rad. 106203, wind exp. 1094</t>
  </si>
  <si>
    <t>elev. 278 mts, slope 5°, aspect 259°, flow acc. 2,35, rad. 105766, wind exp. 1082</t>
  </si>
  <si>
    <t>elev. 283 mts, slope 4°, aspect 247°, flow acc. 2,698, rad. 105302, wind exp. 1095</t>
  </si>
  <si>
    <t>elev. 316 mts, slope 20°, aspect 216°, flow acc. 0,917, rad. 85345, wind exp. 779</t>
  </si>
  <si>
    <t>elev. 322 mts, slope 13°, aspect 197°, flow acc. 1,121, rad. 91731, wind exp. 574</t>
  </si>
  <si>
    <t>elev. 329 mts, slope 6°, aspect 274°, flow acc. 2,481, rad. 107053, wind exp. 432</t>
  </si>
  <si>
    <t>elev. 349 mts, slope 17°, aspect 330°, flow acc. 0,982, rad. 118145, wind exp. 546</t>
  </si>
  <si>
    <t>elev. 350 mts, slope 18°, aspect 330°, flow acc. 0,887, rad. 118253, wind exp. 542</t>
  </si>
  <si>
    <t>elev. 357 mts, slope 17°, aspect 322°, flow acc. 0,912, rad. 116776, wind exp. 611</t>
  </si>
  <si>
    <t>elev. 397 mts, slope 19°, aspect 313°, flow acc. 0,567, rad. 116205, wind exp. 694</t>
  </si>
  <si>
    <t>elev. 382 mts, slope 17°, aspect 198°, flow acc. 0,709, rad. 88058, wind exp. 1355</t>
  </si>
  <si>
    <t>elev. 404 mts, slope 16°, aspect 213°, flow acc. 0,578, rad. 92365, wind exp. 1391</t>
  </si>
  <si>
    <t>elev. 331 mts, slope 21°, aspect 178°, flow acc. 0,672, rad. 79949, wind exp. 798</t>
  </si>
  <si>
    <t>elev. 351 mts, slope 6°, aspect 298°, flow acc. 0,497, rad. 110352, wind exp. 1146</t>
  </si>
  <si>
    <t>elev. 323 mts, slope 10°, aspect 286°, flow acc. 1,496, rad. 109182, wind exp. 950</t>
  </si>
  <si>
    <t>elev. 287 mts, slope 5°, aspect 271°, flow acc. 0,633, rad. 107076, wind exp. 1135</t>
  </si>
  <si>
    <t>elev. 270 mts, slope 6°, aspect 261°, flow acc. 0,219, rad. 105783, wind exp. 932</t>
  </si>
  <si>
    <t>elev. 253 mts, slope 3°, aspect 286°, flow acc. 1,166, rad. 107575, wind exp. 1173</t>
  </si>
  <si>
    <t>elev. 301 mts, slope 4°, aspect 347°, flow acc. 0,805, rad. 110172, wind exp. 894</t>
  </si>
  <si>
    <t>elev. 275 mts, slope 17°, aspect 341°, flow acc. 0,366, rad. 118149, wind exp. 646</t>
  </si>
  <si>
    <t>elev. 286 mts, slope 19°, aspect 342°, flow acc. 0,814, rad. 118873, wind exp. 633</t>
  </si>
  <si>
    <t>elev. 304 mts, slope 12°, aspect 333°, flow acc. 1,132, rad. 115655, wind exp. 832</t>
  </si>
  <si>
    <t>elev. 301 mts, slope 14°, aspect 325°, flow acc. 0,884, rad. 115780, wind exp. 799</t>
  </si>
  <si>
    <t>elev. 309 mts, slope 9°, aspect 71°, flow acc. 0,745, rad. 109534, wind exp. 1510</t>
  </si>
  <si>
    <t>elev. 281 mts, slope 10°, aspect 121°, flow acc. 0,351, rad. 100578, wind exp. 1417</t>
  </si>
  <si>
    <t>elev. 288 mts, slope 14°, aspect 39°, flow acc. 1,202, rad. 114373, wind exp. 1053</t>
  </si>
  <si>
    <t>elev. 266 mts, slope 13°, aspect 80°, flow acc. 1,364, rad. 107110, wind exp. 1380</t>
  </si>
  <si>
    <t>elev. 231 mts, slope 9°, aspect 65°, flow acc. 1,096, rad. 109083, wind exp. 1354</t>
  </si>
  <si>
    <t>elev. 225 mts, slope 16°, aspect 61°, flow acc. 0,754, rad. 110096, wind exp. 1285</t>
  </si>
  <si>
    <t>elev. 249 mts, slope 12°, aspect 59°, flow acc. 0,983, rad. 110650, wind exp. 1415</t>
  </si>
  <si>
    <t>elev. 287 mts, slope 11°, aspect 99°, flow acc. 0,842, rad. 104361, wind exp. 1404</t>
  </si>
  <si>
    <t>elev. 290 mts, slope 9°, aspect 27°, flow acc. 0,261, rad. 113994, wind exp. 1482</t>
  </si>
  <si>
    <t>elev. 247 mts, slope 13°, aspect 23°, flow acc. 0,83, rad. 114930, wind exp. 994</t>
  </si>
  <si>
    <t>elev. 273 mts, slope 18°, aspect 31°, flow acc. 0,74, rad. 116099, wind exp. 760</t>
  </si>
  <si>
    <t>elev. 278 mts, slope 11°, aspect 17°, flow acc. 0,603, rad. 114261, wind exp. 737</t>
  </si>
  <si>
    <t>elev. 275 mts, slope 8°, aspect 24°, flow acc. 0,548, rad. 111832, wind exp. 722</t>
  </si>
  <si>
    <t>elev. 290 mts, slope 11°, aspect 347°, flow acc. 1,168, rad. 114832, wind exp. 582</t>
  </si>
  <si>
    <t>elev. 290 mts, slope 7°, aspect 304°, flow acc. 1,159, rad. 108593, wind exp. 444</t>
  </si>
  <si>
    <t>elev. 295 mts, slope 11°, aspect 200°, flow acc. 0,659, rad. 94177, wind exp. 954</t>
  </si>
  <si>
    <t>elev. 303 mts, slope 12°, aspect 303°, flow acc. 1,808, rad. 110278, wind exp. 501</t>
  </si>
  <si>
    <t>elev. 341 mts, slope 14°, aspect 313°, flow acc. 0,368, rad. 114181, wind exp. 572</t>
  </si>
  <si>
    <t>elev. 361 mts, slope 23°, aspect 169°, flow acc. 0,442, rad. 121830, wind exp. 593</t>
  </si>
  <si>
    <t>elev. 372 mts, slope 12°, aspect 349°, flow acc. 0,118, rad. 118639, wind exp. 1180</t>
  </si>
  <si>
    <t>elev. 344 mts, slope 5°, aspect 245°, flow acc. 0,171, rad. 105390, wind exp. 1535</t>
  </si>
  <si>
    <t>elev. 341 mts, slope 2°, aspect 147°, flow acc. 0,35, rad. 106325, wind exp. 1556</t>
  </si>
  <si>
    <t>elev. 344 mts, slope 8°, aspect 292°, flow acc. 0,854, rad. 110071, wind exp. 796</t>
  </si>
  <si>
    <t>elev. 330 mts, slope 11°, aspect 294°, flow acc. 0,509, rad. 110188, wind exp. 609</t>
  </si>
  <si>
    <t>elev. 327 mts, slope 9°, aspect 10°, flow acc. 0,143, rad. 114446, wind exp. 849</t>
  </si>
  <si>
    <t>elev. 314 mts, slope 8°, aspect 326°, flow acc. 1,143, rad. 112943, wind exp. 908</t>
  </si>
  <si>
    <t>elev. 317 mts, slope 6°, aspect 330°, flow acc. 0,696, rad. 112314, wind exp. 896</t>
  </si>
  <si>
    <t>elev. 282 mts, slope 7°, aspect 318°, flow acc. 1,086, rad. 113502, wind exp. 896</t>
  </si>
  <si>
    <t>elev. 324 mts, slope 3°, aspect 328°, flow acc. 0,002, rad. 109949, wind exp. 1157</t>
  </si>
  <si>
    <t>elev. 308 mts, slope 7°, aspect 266°, flow acc. 0,543, rad. 106421, wind exp. 885</t>
  </si>
  <si>
    <t>elev. 284 mts, slope 4°, aspect 276°, flow acc. 0,831, rad. 107632, wind exp. 1083</t>
  </si>
  <si>
    <t>elev. 230 mts, slope 6°, aspect 285°, flow acc. 0,517, rad. 107778, wind exp. 1073</t>
  </si>
  <si>
    <t>elev. 270 mts, slope 11°, aspect 5°, flow acc. 1,149, rad. 115508, wind exp. 980</t>
  </si>
  <si>
    <t>elev. 364 mts, slope 8°, aspect 216°, flow acc. 0,826, rad. 100536, wind exp. 1178</t>
  </si>
  <si>
    <t>elev. 366 mts, slope 2°, aspect 48°, flow acc. 0,141, rad. 110603, wind exp. 1041</t>
  </si>
  <si>
    <t>elev. 374 mts, slope 8°, aspect 196°, flow acc. 0,243, rad. 100190, wind exp. 1154</t>
  </si>
  <si>
    <t>elev. 379 mts, slope 7°, aspect 19°, flow acc. 0,382, rad. 114284, wind exp. 1309</t>
  </si>
  <si>
    <t>elev. 455 mts, slope 14°, aspect 255°, flow acc. 0,744, rad. 103646, wind exp. 961</t>
  </si>
  <si>
    <t>elev. 414 mts, slope 26°, aspect 233°, flow acc. 0,575, rad. 84434, wind exp. 707</t>
  </si>
  <si>
    <t>elev. 433 mts, slope 16°, aspect 347°, flow acc. 0,654, rad. 121024, wind exp. 770</t>
  </si>
  <si>
    <t>elev. 415 mts, slope 19°, aspect 18°, flow acc. 0,73, rad. 121205, wind exp. 816</t>
  </si>
  <si>
    <t>elev. 379 mts, slope 11°, aspect 292°, flow acc. 1,519, rad. 108971, wind exp. 516</t>
  </si>
  <si>
    <t>elev. 408 mts, slope 19°, aspect 281°, flow acc. 0,83, rad. 106049, wind exp. 688</t>
  </si>
  <si>
    <t>elev. 426 mts, slope 11°, aspect 304°, flow acc. 0,516, rad. 112595, wind exp. 904</t>
  </si>
  <si>
    <t>elev. 399 mts, slope 5°, aspect 66°, flow acc. 0,334, rad. 111170, wind exp. 1200</t>
  </si>
  <si>
    <t>elev. 406 mts, slope 12°, aspect 143°, flow acc. 0,516, rad. 98002, wind exp. 1513</t>
  </si>
  <si>
    <t>elev. 408 mts, slope 17°, aspect 262°, flow acc. 0,915, rad. 102363, wind exp. 802</t>
  </si>
  <si>
    <t>elev. 399 mts, slope 13°, aspect 24°, flow acc. 0,765, rad. 117901, wind exp. 1108</t>
  </si>
  <si>
    <t>elev. 369 mts, slope 6°, aspect 305°, flow acc. 0,505, rad. 111836, wind exp. 1205</t>
  </si>
  <si>
    <t>Bokuitntjie, papieruintjie</t>
  </si>
  <si>
    <t>blou uintjie</t>
  </si>
  <si>
    <t>volstruisuintjie</t>
  </si>
  <si>
    <t xml:space="preserve">    </t>
  </si>
  <si>
    <t>frutang, geelknikkertjie</t>
  </si>
  <si>
    <t>frutang,  rooi knikkertjie</t>
  </si>
  <si>
    <t>XXXX BLS</t>
  </si>
  <si>
    <t>PERM XXX</t>
  </si>
  <si>
    <t>XXXX XXX</t>
  </si>
  <si>
    <t xml:space="preserve">Botterblom </t>
  </si>
  <si>
    <t>botterblom, pers- or witkalkoentjie</t>
  </si>
  <si>
    <t>lion's ear, klipdagga</t>
  </si>
  <si>
    <t>water mint</t>
  </si>
  <si>
    <t>balderjan, kruisement, wild mint</t>
  </si>
  <si>
    <t>wild sage, bruinsalie, strandsalie</t>
  </si>
  <si>
    <t>katbossie</t>
  </si>
  <si>
    <t>false dodder, devil's fresses</t>
  </si>
  <si>
    <t>Bladderwort</t>
  </si>
  <si>
    <t>African flax</t>
  </si>
  <si>
    <t>sandroos</t>
  </si>
  <si>
    <t>granny bonnets, poprosie</t>
  </si>
  <si>
    <t>agtdaegeneesbossie, pokkiesblom</t>
  </si>
  <si>
    <t>Tandebossie</t>
  </si>
  <si>
    <t>davidjies, fynblaarklimop</t>
  </si>
  <si>
    <t>waxberry, wasbessie, glashout</t>
  </si>
  <si>
    <t>maagpynbos</t>
  </si>
  <si>
    <t>Cape myrtle, mirting, vlieebos</t>
  </si>
  <si>
    <t>Cape beech, boekenhout</t>
  </si>
  <si>
    <t>fineleafed ironwood</t>
  </si>
  <si>
    <t>ironwood ysterhout</t>
  </si>
  <si>
    <t>ironwood</t>
  </si>
  <si>
    <t>wild olive, swartolienhout</t>
  </si>
  <si>
    <t>basterolienhout, dune olive</t>
  </si>
  <si>
    <t>hard pear, hardepeer</t>
  </si>
  <si>
    <t>willowherb</t>
  </si>
  <si>
    <t>spider orchid</t>
  </si>
  <si>
    <t>moederkappie, Oktoberlelie</t>
  </si>
  <si>
    <t>blue disa, bloumoederkappie</t>
  </si>
  <si>
    <t>moederkappie</t>
  </si>
  <si>
    <t>aandblommetjie</t>
  </si>
  <si>
    <t>rooikoppie, rooitrewwa</t>
  </si>
  <si>
    <t>ewwa-trewwa</t>
  </si>
  <si>
    <t>ruiktrewwa</t>
  </si>
  <si>
    <t>yellow witchweed, verfblommetjie</t>
  </si>
  <si>
    <t>wit-inkblom</t>
  </si>
  <si>
    <t>jakkalskosinkblom</t>
  </si>
  <si>
    <t>jakaranda-inkblom</t>
  </si>
  <si>
    <t>snail flower, katnaels, wolwekos</t>
  </si>
  <si>
    <t>witch's foxclove</t>
  </si>
  <si>
    <t>broomrape, blouduiwel</t>
  </si>
  <si>
    <t>bokspootjie, boksuring</t>
  </si>
  <si>
    <t>tapytsuring</t>
  </si>
  <si>
    <t>vingersuring</t>
  </si>
  <si>
    <t>sea lavender, brakblommetjie</t>
  </si>
  <si>
    <t>Valsbromus</t>
  </si>
  <si>
    <t>lemon grass, turpentine grass</t>
  </si>
  <si>
    <t>rooigras, polgras</t>
  </si>
  <si>
    <t>pypgrass</t>
  </si>
  <si>
    <t>berg-soetgras, blousaadgras</t>
  </si>
  <si>
    <t>munniksgras</t>
  </si>
  <si>
    <t>polgras, strandgras</t>
  </si>
  <si>
    <t>haakgras, dronkgras</t>
  </si>
  <si>
    <t>buffalo grasss</t>
  </si>
  <si>
    <t>red grass, rooigras</t>
  </si>
  <si>
    <t>skilpadbessie, duinebessie</t>
  </si>
  <si>
    <t>blouertjieboom, septemberbos</t>
  </si>
  <si>
    <t>**</t>
  </si>
  <si>
    <t>devil's thorn</t>
  </si>
  <si>
    <t>maksuring, suring, tongblaar</t>
  </si>
  <si>
    <t>Shield sorus polypody</t>
  </si>
  <si>
    <t>Broad-leaf Featherbush</t>
  </si>
  <si>
    <t>Dune Conebush, Duinegeelbos</t>
  </si>
  <si>
    <t>Common Sunshine Conebush</t>
  </si>
  <si>
    <t>Common Spear-leaf Conebush</t>
  </si>
  <si>
    <t>Spicy Conebush, Toffie-appel</t>
  </si>
  <si>
    <t>Sickle-leaf Conebush</t>
  </si>
  <si>
    <t>Silver-edge Pincushion</t>
  </si>
  <si>
    <t>Yellow Trailing Pincushion</t>
  </si>
  <si>
    <t>Common Pagoda, Rooistompie</t>
  </si>
  <si>
    <t>Common Ground Sugerbush</t>
  </si>
  <si>
    <t>King Protea, Koningsuikerbos</t>
  </si>
  <si>
    <t>Long-leaf Sugarbush</t>
  </si>
  <si>
    <t>Limestone Sugarbush</t>
  </si>
  <si>
    <t>Common Sugarbush, Suikerbos</t>
  </si>
  <si>
    <t>Brown-beard Sugarbush</t>
  </si>
  <si>
    <t>dakriet</t>
  </si>
  <si>
    <t>wyfieriet</t>
  </si>
  <si>
    <t>hondegesig</t>
  </si>
  <si>
    <t>glastee, teringtee, pypsteelbos</t>
  </si>
  <si>
    <t>doringtee, Jankoensedoring</t>
  </si>
  <si>
    <t>kammiebos, vleibos</t>
  </si>
  <si>
    <t>kleefgras</t>
  </si>
  <si>
    <t>knoffelboegoe</t>
  </si>
  <si>
    <t>anysboegoe, strandboegoe</t>
  </si>
  <si>
    <t>bergboegoe</t>
  </si>
  <si>
    <t>wildeboegoe</t>
  </si>
  <si>
    <t>Cape may, aasbossie, klipbuchu</t>
  </si>
  <si>
    <t>rooiboegoe, hottentotsboegoe</t>
  </si>
  <si>
    <t>Cape sumach, pruimbas</t>
  </si>
  <si>
    <t xml:space="preserve"> </t>
  </si>
  <si>
    <t>lidjiestee</t>
  </si>
  <si>
    <t>teringbos</t>
  </si>
  <si>
    <t>Milkwood, witmelkhout</t>
  </si>
  <si>
    <t>false slugwort, basterwslakblom</t>
  </si>
  <si>
    <t>tree-fuschia, notsung</t>
  </si>
  <si>
    <t>Slugwort</t>
  </si>
  <si>
    <t>leeubekkie, weeskindertjies</t>
  </si>
  <si>
    <t>Kaapseleeubekkie</t>
  </si>
  <si>
    <t>drumstick</t>
  </si>
  <si>
    <t>kraal honey-thorn, kraalkriekdoring</t>
  </si>
  <si>
    <t>Dronkbessie</t>
  </si>
  <si>
    <t>lady's-hand, raaptoluintjie</t>
  </si>
  <si>
    <t>katstertjie, roemenaggie, veertjie</t>
  </si>
  <si>
    <t>bulrush</t>
  </si>
  <si>
    <t>lidjiestee, voelent</t>
  </si>
  <si>
    <t>bobbejaandruif, wildepatat</t>
  </si>
  <si>
    <t>maerbos, spekbos</t>
  </si>
  <si>
    <t>witspekbos</t>
  </si>
  <si>
    <t>family</t>
  </si>
  <si>
    <t>genus</t>
  </si>
  <si>
    <t>scientific name</t>
  </si>
  <si>
    <t>taxon</t>
  </si>
  <si>
    <t>Nr.</t>
  </si>
  <si>
    <t>abbreviations</t>
  </si>
  <si>
    <t>to collect</t>
  </si>
  <si>
    <t>collected</t>
  </si>
  <si>
    <t>AM</t>
  </si>
  <si>
    <t>WL</t>
  </si>
  <si>
    <t>RP</t>
  </si>
  <si>
    <t>MW</t>
  </si>
  <si>
    <t>TM</t>
  </si>
  <si>
    <t>SP</t>
  </si>
  <si>
    <t>LS</t>
  </si>
  <si>
    <t>DN</t>
  </si>
  <si>
    <t>record</t>
  </si>
  <si>
    <t>Sideroxylon inerme</t>
  </si>
  <si>
    <t>Myrsine africana</t>
  </si>
  <si>
    <t>Zantedeschia aethiopica</t>
  </si>
  <si>
    <t>Cynanchum obtusifolium</t>
  </si>
  <si>
    <t>Stipa dregeana</t>
  </si>
  <si>
    <t>Chasmanthe aethiopica</t>
  </si>
  <si>
    <t>Chionanthus foveolatus</t>
  </si>
  <si>
    <t>Zehneria scabra</t>
  </si>
  <si>
    <t>Ehrharta erecta</t>
  </si>
  <si>
    <t>Haemanthus coccineus</t>
  </si>
  <si>
    <t>Kiggelaria africana</t>
  </si>
  <si>
    <t>Diospyros whyteana</t>
  </si>
  <si>
    <t>Celtis africana</t>
  </si>
  <si>
    <t>Rhoicissus tomentosa</t>
  </si>
  <si>
    <t>Passerina vulgaris</t>
  </si>
  <si>
    <t>Metalasia muricata</t>
  </si>
  <si>
    <t>Indigofera brachystachya</t>
  </si>
  <si>
    <t>Cassytha ciliolata</t>
  </si>
  <si>
    <t>Phylica dodii</t>
  </si>
  <si>
    <t>Olea capensis</t>
  </si>
  <si>
    <t>Hypodiscus willdenowia</t>
  </si>
  <si>
    <t>Ischyrolepis eleocharis</t>
  </si>
  <si>
    <t>Pentaschistis colorata</t>
  </si>
  <si>
    <t>Pelargonium betulinum</t>
  </si>
  <si>
    <t>Anthospermum aethiopicum</t>
  </si>
  <si>
    <t>Helichrysum niveum</t>
  </si>
  <si>
    <t>Cullumia squarrosa</t>
  </si>
  <si>
    <t>Cynanchum africanum</t>
  </si>
  <si>
    <t>Scabiosa columbaria</t>
  </si>
  <si>
    <t>Clutia polygonoides</t>
  </si>
  <si>
    <t>Chrysanthemoides monilifera</t>
  </si>
  <si>
    <t>Oedera capensis</t>
  </si>
  <si>
    <t>Phylica ericoides</t>
  </si>
  <si>
    <t>Senecio sophiodes</t>
  </si>
  <si>
    <t>Olea exasperata</t>
  </si>
  <si>
    <t>Erica irregularis</t>
  </si>
  <si>
    <t>Cassine peragua</t>
  </si>
  <si>
    <t>Helichrysum dasyanthum</t>
  </si>
  <si>
    <t>Thamnochortus erectus</t>
  </si>
  <si>
    <t>Oxalis purpurea</t>
  </si>
  <si>
    <t>Chironia baccifera</t>
  </si>
  <si>
    <t>Rhus glauca</t>
  </si>
  <si>
    <t>Pelargonium elegans</t>
  </si>
  <si>
    <t>Carpobrotus acinaciformis</t>
  </si>
  <si>
    <t>Selago aspera</t>
  </si>
  <si>
    <t>Agathosma imbricata</t>
  </si>
  <si>
    <t>Wahlenbergia tenella</t>
  </si>
  <si>
    <t>Chondropetalum microcarpum</t>
  </si>
  <si>
    <t>Watsonia stenosiphon</t>
  </si>
  <si>
    <t>Struthiola salteri</t>
  </si>
  <si>
    <t>Leucadendron coniferum</t>
  </si>
  <si>
    <t>Zygophyllum sessilifolium</t>
  </si>
  <si>
    <t>Haplocarpha lanata</t>
  </si>
  <si>
    <t>Aspalathus dentata</t>
  </si>
  <si>
    <t>Rhus lucida</t>
  </si>
  <si>
    <t>Geranium incanum</t>
  </si>
  <si>
    <t>Ehrharta villosa</t>
  </si>
  <si>
    <t>Herniaria capensis</t>
  </si>
  <si>
    <t>Manulea leiostachys</t>
  </si>
  <si>
    <t>Ficinia tenuifolia</t>
  </si>
  <si>
    <t>Linum africanum</t>
  </si>
  <si>
    <t>Manulea tomentosa</t>
  </si>
  <si>
    <t>Ficinia trichodes</t>
  </si>
  <si>
    <t>Ursinia dentata</t>
  </si>
  <si>
    <t>Chironia tetragona</t>
  </si>
  <si>
    <t>Ficinia tristachya</t>
  </si>
  <si>
    <t>Protea obtusifolia</t>
  </si>
  <si>
    <t>Disperis capensis</t>
  </si>
  <si>
    <t>Leucospermum patersonii</t>
  </si>
  <si>
    <t>Erica lineata</t>
  </si>
  <si>
    <t>Lobostemon argenteus</t>
  </si>
  <si>
    <t>Lachenalia bulbifera</t>
  </si>
  <si>
    <t>Aspalathus salteri</t>
  </si>
  <si>
    <t>Aspalathus ciliaris</t>
  </si>
  <si>
    <t>Cliffortia ilicifolia</t>
  </si>
  <si>
    <t>Leucadendron tinctum</t>
  </si>
  <si>
    <t>Ficinia indica</t>
  </si>
  <si>
    <t>Cliffortia falcata</t>
  </si>
  <si>
    <t>Leucadendron salignum</t>
  </si>
  <si>
    <t>Erica glabella</t>
  </si>
  <si>
    <t>Edmondia sesamoides</t>
  </si>
  <si>
    <t>Erica vestita</t>
  </si>
  <si>
    <t>Leucospermum prostratum</t>
  </si>
  <si>
    <t>Erica penicilliformis</t>
  </si>
  <si>
    <t>Thesium scabrum</t>
  </si>
  <si>
    <t>Senecio arniciflorus</t>
  </si>
  <si>
    <t>Elegia juncea</t>
  </si>
  <si>
    <t>Erica nudiflora</t>
  </si>
  <si>
    <t>Protea longifolia</t>
  </si>
  <si>
    <t>Erica sessiliflora</t>
  </si>
  <si>
    <t>Cliffortia ferruginea</t>
  </si>
  <si>
    <t>Helichrysum tenuiculum</t>
  </si>
  <si>
    <t>Mariscus thunbergii</t>
  </si>
  <si>
    <t>Persicaria serrulata</t>
  </si>
  <si>
    <t>Cliffortia cordifolia</t>
  </si>
  <si>
    <t>Hippia frutescens</t>
  </si>
  <si>
    <t>Tetraria compar</t>
  </si>
  <si>
    <t>Restio triticeus</t>
  </si>
  <si>
    <t>Phylica imberbis</t>
  </si>
  <si>
    <t>Indigofera angustifolia</t>
  </si>
  <si>
    <t>Elegia filacea</t>
  </si>
  <si>
    <t>Hermas villosa</t>
  </si>
  <si>
    <t>Protea acaulos</t>
  </si>
  <si>
    <t>Liparia splendens</t>
  </si>
  <si>
    <t>Aristea spiralis</t>
  </si>
  <si>
    <t>Wachendorfia paniculata</t>
  </si>
  <si>
    <t>Tetraria cuspidata</t>
  </si>
  <si>
    <t>Babiana nana</t>
  </si>
  <si>
    <t>Adiantum aethiopicum</t>
  </si>
  <si>
    <t>Wachendorfia thyrsiflora</t>
  </si>
  <si>
    <t>Sutera hispida</t>
  </si>
  <si>
    <t>Cymbopogon marginatus</t>
  </si>
  <si>
    <t>Polygala umbellata</t>
  </si>
  <si>
    <t>Romulea flava</t>
  </si>
  <si>
    <t>Lobelia comosa</t>
  </si>
  <si>
    <t>Mimetes cucullatus</t>
  </si>
  <si>
    <t>Thesium euphrasioides</t>
  </si>
  <si>
    <t>Muraltia filiformis</t>
  </si>
  <si>
    <t>Protea cynaroides</t>
  </si>
  <si>
    <t>Protea repens</t>
  </si>
  <si>
    <t>Thesium strictum</t>
  </si>
  <si>
    <t>Struthiola striata</t>
  </si>
  <si>
    <t>Ficinia secunda</t>
  </si>
  <si>
    <t>Ficinia paradoxa</t>
  </si>
  <si>
    <t>Stoebe incana</t>
  </si>
  <si>
    <t>Thesium capitatum</t>
  </si>
  <si>
    <t>Dischisma ciliatum</t>
  </si>
  <si>
    <t>Olea capensis ssp. capensis</t>
  </si>
  <si>
    <t>Erica coccinea var. (yellow)</t>
  </si>
  <si>
    <t>Thesium spicatum</t>
  </si>
  <si>
    <t>Drosera capensis</t>
  </si>
  <si>
    <t>Watsonia schlechteri</t>
  </si>
  <si>
    <t>spissifolium ssp. spissifolium</t>
  </si>
  <si>
    <t>Nylandtia spinosa</t>
  </si>
  <si>
    <t>erecta ssp. thunbergii</t>
  </si>
  <si>
    <t>quinquedentata ssp. quinquedentata</t>
  </si>
  <si>
    <t>amoena ssp. latifolia</t>
  </si>
  <si>
    <t>tenella ssp. longifolia</t>
  </si>
  <si>
    <t>crispum ssp. crassifolium</t>
  </si>
  <si>
    <t>cymosum ssp. cymosum</t>
  </si>
  <si>
    <t>anthemoides ssp. anthemoides</t>
  </si>
  <si>
    <t>ericifolia ssp. ericifolia</t>
  </si>
  <si>
    <t>hirta ssp. hirta</t>
  </si>
  <si>
    <t>suburbanum ssp. suburbanum</t>
  </si>
  <si>
    <t>repens ssp. brachypoda</t>
  </si>
  <si>
    <t>capensis ssp. capensis</t>
  </si>
  <si>
    <t>europaea ssp. africana</t>
  </si>
  <si>
    <t>aculeata ssp. aculeata</t>
  </si>
  <si>
    <t>rehmannii ssp. subspicata</t>
  </si>
  <si>
    <t>Crassula sp.</t>
  </si>
  <si>
    <t>Senecio burchellii</t>
  </si>
  <si>
    <t>Acrolophia sp.</t>
  </si>
  <si>
    <t>Gnidia tenella</t>
  </si>
  <si>
    <t>Lycium</t>
  </si>
  <si>
    <t>res.</t>
  </si>
  <si>
    <t>pH</t>
  </si>
  <si>
    <t>Cissampelos capensis</t>
  </si>
  <si>
    <t>Heli bul</t>
  </si>
  <si>
    <t>Sisy cap</t>
  </si>
  <si>
    <t>Erag cur</t>
  </si>
  <si>
    <t>Neri bow</t>
  </si>
  <si>
    <t>Cony alb</t>
  </si>
  <si>
    <t>Tanacetum</t>
  </si>
  <si>
    <t>Tana par</t>
  </si>
  <si>
    <t>Myos arv</t>
  </si>
  <si>
    <t>Raph rap</t>
  </si>
  <si>
    <t>Petr pro</t>
  </si>
  <si>
    <t>Poly tet</t>
  </si>
  <si>
    <t>Sile gal</t>
  </si>
  <si>
    <t>Sile cre</t>
  </si>
  <si>
    <t>Stel med</t>
  </si>
  <si>
    <t>Euph hel</t>
  </si>
  <si>
    <t>Euph pep</t>
  </si>
  <si>
    <t>Rici com</t>
  </si>
  <si>
    <t>Meli ind</t>
  </si>
  <si>
    <t>Trif cam</t>
  </si>
  <si>
    <t>Lotu sub</t>
  </si>
  <si>
    <t>Acac lon</t>
  </si>
  <si>
    <t>Acac sal</t>
  </si>
  <si>
    <t>Fuma mur</t>
  </si>
  <si>
    <t>Erod bot</t>
  </si>
  <si>
    <t>Lyth hys</t>
  </si>
  <si>
    <t>Myop sp.</t>
  </si>
  <si>
    <t>Euca gom</t>
  </si>
  <si>
    <t>Pinu pin</t>
  </si>
  <si>
    <t>Plan lan</t>
  </si>
  <si>
    <t>Axon aff</t>
  </si>
  <si>
    <t>Briz max</t>
  </si>
  <si>
    <t>Brom dia</t>
  </si>
  <si>
    <t>Hord mar</t>
  </si>
  <si>
    <t>Lagu ova</t>
  </si>
  <si>
    <t>Penn cla</t>
  </si>
  <si>
    <t>Rume ace</t>
  </si>
  <si>
    <t>Anag arv</t>
  </si>
  <si>
    <t>Samo val</t>
  </si>
  <si>
    <t>Hake dru</t>
  </si>
  <si>
    <t>Ranu mur</t>
  </si>
  <si>
    <t>Datu str</t>
  </si>
  <si>
    <t>Phys per</t>
  </si>
  <si>
    <t>capensis ssp. macrocarpa</t>
  </si>
  <si>
    <t>Helichrysum cymosum ssp. cymosum</t>
  </si>
  <si>
    <t>Lobelia sp.</t>
  </si>
  <si>
    <t>Ranunculus sp.</t>
  </si>
  <si>
    <t>Polygala myrtifolia</t>
  </si>
  <si>
    <t>Gunnera perpensa</t>
  </si>
  <si>
    <t>Sutera sp. nov.</t>
  </si>
  <si>
    <t>Eric crd</t>
  </si>
  <si>
    <t>Eric cry</t>
  </si>
  <si>
    <t>Eric cye</t>
  </si>
  <si>
    <t>Fici trs</t>
  </si>
  <si>
    <t>Glad can</t>
  </si>
  <si>
    <t>Thes cat</t>
  </si>
  <si>
    <t>Fici ram</t>
  </si>
  <si>
    <t>Aspa sp.</t>
  </si>
  <si>
    <t>Acac cyc</t>
  </si>
  <si>
    <t>Aust lan</t>
  </si>
  <si>
    <t>Pers ser</t>
  </si>
  <si>
    <t>Pent sp.</t>
  </si>
  <si>
    <t>Acro sp.</t>
  </si>
  <si>
    <t>Rhoi tom</t>
  </si>
  <si>
    <t>Cras sp.</t>
  </si>
  <si>
    <t>Isch ere</t>
  </si>
  <si>
    <t>Tham arg</t>
  </si>
  <si>
    <t>Fici sp.</t>
  </si>
  <si>
    <t>Aspa den</t>
  </si>
  <si>
    <t>Indi lep</t>
  </si>
  <si>
    <t>Clif cor</t>
  </si>
  <si>
    <t>Oxal sp.</t>
  </si>
  <si>
    <t>Rume sag</t>
  </si>
  <si>
    <t>Ehrh sp.</t>
  </si>
  <si>
    <t>Wach sp.</t>
  </si>
  <si>
    <t>Manu lei</t>
  </si>
  <si>
    <t>Lobe sp.</t>
  </si>
  <si>
    <t>Ranu sp.</t>
  </si>
  <si>
    <t>Scab sp.</t>
  </si>
  <si>
    <t>Gunn per</t>
  </si>
  <si>
    <t>Carp sp.</t>
  </si>
  <si>
    <t>Acac mea</t>
  </si>
  <si>
    <t>Sute sn.</t>
  </si>
  <si>
    <t>botrys</t>
  </si>
  <si>
    <t>chium</t>
  </si>
  <si>
    <t>Nemesia sp.</t>
  </si>
  <si>
    <t>Neme sp.</t>
  </si>
  <si>
    <t>Zaluzianskya villosa</t>
  </si>
  <si>
    <t>Thesium funale</t>
  </si>
  <si>
    <t>Tetraria bolusii</t>
  </si>
  <si>
    <t>Bobartia indica</t>
  </si>
  <si>
    <t>identified species</t>
  </si>
  <si>
    <t>Number of indigenous taxa</t>
  </si>
  <si>
    <t>Number of introduced taxa</t>
  </si>
  <si>
    <t>Total  number of taxa</t>
  </si>
  <si>
    <t>Herbarium taxa not from reserve</t>
  </si>
  <si>
    <t>Herbarium taxa from reserve</t>
  </si>
  <si>
    <t>Total number of taxa in herbarium</t>
  </si>
  <si>
    <t>Total number of red data species</t>
  </si>
  <si>
    <t>red data species</t>
  </si>
  <si>
    <t>Ruschia sarmentosa</t>
  </si>
  <si>
    <t>Pelargonium myrrhifolium</t>
  </si>
  <si>
    <t>Linum thunbergii</t>
  </si>
  <si>
    <t>Gnidia galpinii</t>
  </si>
  <si>
    <t>Aspalathus pycnantha</t>
  </si>
  <si>
    <t>Heliophila africana</t>
  </si>
  <si>
    <t>Senecio triqueter</t>
  </si>
  <si>
    <t>Gazania pectinata</t>
  </si>
  <si>
    <t>Polygala meridionalis</t>
  </si>
  <si>
    <t>Senecio purpureus</t>
  </si>
  <si>
    <t>Aspalathus globulosa</t>
  </si>
  <si>
    <t>Rhus laevigata</t>
  </si>
  <si>
    <t>Gladiolus debilis</t>
  </si>
  <si>
    <t>Disparago anomala</t>
  </si>
  <si>
    <t>Rhus rosmarinifolia</t>
  </si>
  <si>
    <t>Metalasia brevifolia</t>
  </si>
  <si>
    <t>Pteris dentata</t>
  </si>
  <si>
    <t>Melica racemosa</t>
  </si>
  <si>
    <t>Agathosma cerefolium</t>
  </si>
  <si>
    <t>Aspalathus forbesii</t>
  </si>
  <si>
    <t>Athanasia dentata</t>
  </si>
  <si>
    <t>Australina lanceolata</t>
  </si>
  <si>
    <t>Carpacoce vaginellata</t>
  </si>
  <si>
    <t>Drosera cistiflora</t>
  </si>
  <si>
    <t>Erica magnisylvae</t>
  </si>
  <si>
    <t>Euryops abrotanifolius</t>
  </si>
  <si>
    <t>Ficinia deusta</t>
  </si>
  <si>
    <t>Ficinia bulbosa</t>
  </si>
  <si>
    <t>Harveya tubulosa</t>
  </si>
  <si>
    <t>Indigofera leptocladis</t>
  </si>
  <si>
    <t>Kedrostis nana</t>
  </si>
  <si>
    <t>Knowltonia vesicatoria</t>
  </si>
  <si>
    <t>Lampranthus explanatus</t>
  </si>
  <si>
    <t>Othonna quinquedentata</t>
  </si>
  <si>
    <t>Pelargonium cucullatum</t>
  </si>
  <si>
    <t>pH 7,9, res. 620, Na 252, P 94, K 54, Ca 31,59, Mg 2,88</t>
  </si>
  <si>
    <t>51 (core) Milkwood Scrub Forest 7/141,5</t>
  </si>
  <si>
    <t>pH 7,5, res. 1080, Na 141, P 79, K 47, Ca 57,95, Mg 2,73</t>
  </si>
  <si>
    <t>52 (core) Dune Asteraceous Fynbos 19/158,5</t>
  </si>
  <si>
    <t>pH 8,2, res. 2040, Na 111, P 26, K 21, Ca 44,15, Mg 1,73</t>
  </si>
  <si>
    <t>53 (core) Dune Asteraceous Fynbos 30/163</t>
  </si>
  <si>
    <t>pH 8,3, res. 2120, Na 145, P 24, K 16, Ca 51,15, Mg 1,41</t>
  </si>
  <si>
    <t>54 (core) Erica coccinea Ericoid Fynbos 21/146,5</t>
  </si>
  <si>
    <t>pH 8, res. 1080, Na 57, P 11, K 38, Ca 29,13, Mg 1,32</t>
  </si>
  <si>
    <t>55 (core) Neutral Sand Proteoid Fynbos 21/124</t>
  </si>
  <si>
    <t>pH 6,8, res. 3340, Na 23, P 13, K 17, Ca 4,59, Mg 0,48</t>
  </si>
  <si>
    <t>56 (core) Protea repens Proteoid Fynbos 19/164</t>
  </si>
  <si>
    <t>pH 6,4, res. 3530, Na 24, P 16, K 15, Ca 3,6, Mg 0,36</t>
  </si>
  <si>
    <t>pH 5,5, res. 4360, Na 18, P 1, K 10, Ca 2,74, Mg 0,55</t>
  </si>
  <si>
    <t>69 (core) Erica sessiliflora Ericaceous Fynbos 22/145,5</t>
  </si>
  <si>
    <t>pH 5,6, res. 1800, Na 65, P 8, K 65, Ca 17,33, Mg 3</t>
  </si>
  <si>
    <t>70 (core) Protea obtusifolia Proteoid Fynbos 35/176,5</t>
  </si>
  <si>
    <t>pH 8, res. 2380, Na 90, P 20, K 14, Ca 48,44, Mg 1,23</t>
  </si>
  <si>
    <t>71 (core) Dune Asteraceous Fynbos 33/98</t>
  </si>
  <si>
    <t>pH 7,9, res. 680, Na 145, P 31, K 78, Ca 45,31, Mg 3,38</t>
  </si>
  <si>
    <t>M. Mergili, 18.10.2004 NN/NN/NN/NN</t>
  </si>
  <si>
    <t>X 359335, Y 6178573</t>
  </si>
  <si>
    <t>pH ND, res. ND, Na ND, P ND, K ND, Ca ND, Mg ND</t>
  </si>
  <si>
    <t>X 359379, Y 6178524</t>
  </si>
  <si>
    <t>M. Mergili, 22.10.2004 NN/NN/NN/NN</t>
  </si>
  <si>
    <t>X 355800, Y 6175377</t>
  </si>
  <si>
    <t>X 355799, Y 6175404</t>
  </si>
  <si>
    <t>X 355816, Y 6175470</t>
  </si>
  <si>
    <t>X 355786, Y 6175364</t>
  </si>
  <si>
    <t>X 355768, Y 6175357</t>
  </si>
  <si>
    <t>X 356296, Y 6175057</t>
  </si>
  <si>
    <t>X 356291, Y 6175098</t>
  </si>
  <si>
    <t>X 356309, Y 6175154</t>
  </si>
  <si>
    <t>X 356264, Y 6175007</t>
  </si>
  <si>
    <t>X 356236, Y 6174946</t>
  </si>
  <si>
    <t>X 356153, Y 6174923</t>
  </si>
  <si>
    <t>X 355877, Y 6175160</t>
  </si>
  <si>
    <t>X 355642, Y 6175184</t>
  </si>
  <si>
    <t>M. Mergili, 23.10.2004 NN/NN/NN/NN</t>
  </si>
  <si>
    <t>X 356537, Y 6176499</t>
  </si>
  <si>
    <t>X 356532, Y 6176465</t>
  </si>
  <si>
    <t>X 356547, Y 6176435</t>
  </si>
  <si>
    <t>X 356571, Y 6176454</t>
  </si>
  <si>
    <t>X 356586, Y 6176401</t>
  </si>
  <si>
    <t>M. Mergili, 24.10.2004 NN/NN/NN/NN</t>
  </si>
  <si>
    <t>X 357749, Y 6178190</t>
  </si>
  <si>
    <t>X 357736, Y 6178276</t>
  </si>
  <si>
    <t>X 357615, Y 6177812</t>
  </si>
  <si>
    <t>X 357437, Y 6177759</t>
  </si>
  <si>
    <t>X 357709, Y 6177527</t>
  </si>
  <si>
    <t>X 358142, Y 6177330</t>
  </si>
  <si>
    <t>M. Mergili, 30.10.2004 NN/NN/NN/NN</t>
  </si>
  <si>
    <t>X 355930, Y 6176390</t>
  </si>
  <si>
    <t>X 355837, Y 6176315</t>
  </si>
  <si>
    <t>X 355972, Y 6176155</t>
  </si>
  <si>
    <t>X 356069, Y 6176185</t>
  </si>
  <si>
    <t>X 356084, Y 6176262</t>
  </si>
  <si>
    <t>Araliaceae</t>
  </si>
  <si>
    <t>Centella</t>
  </si>
  <si>
    <t>affinis</t>
  </si>
  <si>
    <t>tridentata</t>
  </si>
  <si>
    <t>Asparagaceae</t>
  </si>
  <si>
    <t>Asparagus</t>
  </si>
  <si>
    <t>aethiopicus</t>
  </si>
  <si>
    <t>ovatus</t>
  </si>
  <si>
    <t>rubicundus</t>
  </si>
  <si>
    <t>scandens</t>
  </si>
  <si>
    <t>volubilis</t>
  </si>
  <si>
    <t>Asphodelaceae</t>
  </si>
  <si>
    <t>Bulbine</t>
  </si>
  <si>
    <t>annua</t>
  </si>
  <si>
    <t>favosa</t>
  </si>
  <si>
    <t>foleyi</t>
  </si>
  <si>
    <t>lagopus</t>
  </si>
  <si>
    <t>Bulbinella</t>
  </si>
  <si>
    <t>triquetra</t>
  </si>
  <si>
    <t>Kniphofia</t>
  </si>
  <si>
    <t>uvaria</t>
  </si>
  <si>
    <t>Trachyandra</t>
  </si>
  <si>
    <t>ciliata</t>
  </si>
  <si>
    <t>hirsuta</t>
  </si>
  <si>
    <t>revoluta</t>
  </si>
  <si>
    <t>tabularis</t>
  </si>
  <si>
    <t>Aspleniaceae</t>
  </si>
  <si>
    <t>Asplenium</t>
  </si>
  <si>
    <t>adiantum-nigrum</t>
  </si>
  <si>
    <t>Asteraceae</t>
  </si>
  <si>
    <t>Arctotheca</t>
  </si>
  <si>
    <t>calendula</t>
  </si>
  <si>
    <t>Arctotis</t>
  </si>
  <si>
    <t>acaulis</t>
  </si>
  <si>
    <t>schlechteri</t>
  </si>
  <si>
    <t>Artemisia</t>
  </si>
  <si>
    <t>afra</t>
  </si>
  <si>
    <t>Athanasia</t>
  </si>
  <si>
    <t>dentata</t>
  </si>
  <si>
    <t>trifurcata</t>
  </si>
  <si>
    <t>Berkheya</t>
  </si>
  <si>
    <t>rigida</t>
  </si>
  <si>
    <t>Chrysanthemoides</t>
  </si>
  <si>
    <t>monilifera</t>
  </si>
  <si>
    <t>Chrysocoma</t>
  </si>
  <si>
    <t>coma-aurea</t>
  </si>
  <si>
    <t>Cineraria</t>
  </si>
  <si>
    <t>geifolia</t>
  </si>
  <si>
    <t>Conyza</t>
  </si>
  <si>
    <t>albida</t>
  </si>
  <si>
    <t>Corymbium</t>
  </si>
  <si>
    <t>Cotula</t>
  </si>
  <si>
    <t>turbinata</t>
  </si>
  <si>
    <t>Cullumia</t>
  </si>
  <si>
    <t>setosa</t>
  </si>
  <si>
    <t>squarrosa</t>
  </si>
  <si>
    <t>Dimorphotheca</t>
  </si>
  <si>
    <t>nudicaulis</t>
  </si>
  <si>
    <t>Disparago</t>
  </si>
  <si>
    <t>anomala</t>
  </si>
  <si>
    <t>ericoides</t>
  </si>
  <si>
    <t>Edmondia</t>
  </si>
  <si>
    <t>sesamoides</t>
  </si>
  <si>
    <t>Eriocephalus</t>
  </si>
  <si>
    <t>racemosus</t>
  </si>
  <si>
    <t>Euryops</t>
  </si>
  <si>
    <t>abrotanifolius</t>
  </si>
  <si>
    <t>Felicia</t>
  </si>
  <si>
    <t>a-diversity [sp.]</t>
  </si>
  <si>
    <t>NN</t>
  </si>
  <si>
    <t>Gazania</t>
  </si>
  <si>
    <t>pectinata</t>
  </si>
  <si>
    <t>Gerbera</t>
  </si>
  <si>
    <t>crocea</t>
  </si>
  <si>
    <t>Gymnodiscus</t>
  </si>
  <si>
    <t>capillaris</t>
  </si>
  <si>
    <t>Haplocarpha</t>
  </si>
  <si>
    <t>lanata</t>
  </si>
  <si>
    <t>Helichrysum</t>
  </si>
  <si>
    <t>dasyanthum</t>
  </si>
  <si>
    <t>foetidum</t>
  </si>
  <si>
    <t>indicum</t>
  </si>
  <si>
    <t>niveum</t>
  </si>
  <si>
    <t>patulum</t>
  </si>
  <si>
    <t>retortum</t>
  </si>
  <si>
    <t>spiralepis</t>
  </si>
  <si>
    <t>tenuiculum</t>
  </si>
  <si>
    <t>teretifolium</t>
  </si>
  <si>
    <t>Hippia</t>
  </si>
  <si>
    <t>frutescens</t>
  </si>
  <si>
    <t>hutchinsonii</t>
  </si>
  <si>
    <t>Mairia</t>
  </si>
  <si>
    <t>coriacea</t>
  </si>
  <si>
    <t>Metalasia</t>
  </si>
  <si>
    <t>brevifolia</t>
  </si>
  <si>
    <t>densa</t>
  </si>
  <si>
    <t>muricata</t>
  </si>
  <si>
    <t>Oedera</t>
  </si>
  <si>
    <t>imbricata</t>
  </si>
  <si>
    <t>Oncosiphon</t>
  </si>
  <si>
    <t>suffruticosum</t>
  </si>
  <si>
    <t>Osmitopsis</t>
  </si>
  <si>
    <t>asteriscoides</t>
  </si>
  <si>
    <t>Osteospermum</t>
  </si>
  <si>
    <t>rotundifolium</t>
  </si>
  <si>
    <t>Othonna</t>
  </si>
  <si>
    <t>quinquedentata</t>
  </si>
  <si>
    <t>Plecostachys</t>
  </si>
  <si>
    <t>serpyllifolia</t>
  </si>
  <si>
    <t>Polyarrhena</t>
  </si>
  <si>
    <t>reflexa</t>
  </si>
  <si>
    <t>Pulicaria</t>
  </si>
  <si>
    <t>scabra</t>
  </si>
  <si>
    <t>Senecio</t>
  </si>
  <si>
    <t>arenarius</t>
  </si>
  <si>
    <t>arniciflorus</t>
  </si>
  <si>
    <t>burchellii</t>
  </si>
  <si>
    <t>elegans</t>
  </si>
  <si>
    <t>halimifolius</t>
  </si>
  <si>
    <t>transition to 69 (lower side)</t>
  </si>
  <si>
    <t>hastifolius</t>
  </si>
  <si>
    <t>lanifer</t>
  </si>
  <si>
    <t>littoreus</t>
  </si>
  <si>
    <t>mimetes</t>
  </si>
  <si>
    <t>pillansii</t>
  </si>
  <si>
    <t>pubigerus</t>
  </si>
  <si>
    <t>purpureus</t>
  </si>
  <si>
    <t>rigidus</t>
  </si>
  <si>
    <t>rosmarinifolius</t>
  </si>
  <si>
    <t>sophiodes</t>
  </si>
  <si>
    <t>triqueter</t>
  </si>
  <si>
    <t>Stoebe</t>
  </si>
  <si>
    <t>cinerea</t>
  </si>
  <si>
    <t>incana</t>
  </si>
  <si>
    <t>plumosa</t>
  </si>
  <si>
    <t>Syncarpha</t>
  </si>
  <si>
    <t>argyropsis</t>
  </si>
  <si>
    <t>canescens</t>
  </si>
  <si>
    <t>gnaphaloides</t>
  </si>
  <si>
    <t>Trichogyne</t>
  </si>
  <si>
    <t>repens</t>
  </si>
  <si>
    <t>Ursinia</t>
  </si>
  <si>
    <t>paleaecea</t>
  </si>
  <si>
    <t>punctata</t>
  </si>
  <si>
    <t>Vellereophyton</t>
  </si>
  <si>
    <t>dealbatum</t>
  </si>
  <si>
    <t>Balanophoraceae</t>
  </si>
  <si>
    <t>Mystropetalon</t>
  </si>
  <si>
    <t>thomii</t>
  </si>
  <si>
    <t>Blechnaceae</t>
  </si>
  <si>
    <t>Blechnum</t>
  </si>
  <si>
    <t>attenuatum</t>
  </si>
  <si>
    <t>Boraginaceae</t>
  </si>
  <si>
    <t>Lobostemon</t>
  </si>
  <si>
    <t>argenteus</t>
  </si>
  <si>
    <t>montanus</t>
  </si>
  <si>
    <t>Brassicaceae</t>
  </si>
  <si>
    <t>Heliophila</t>
  </si>
  <si>
    <t>africana</t>
  </si>
  <si>
    <t>cf. bulbostyla</t>
  </si>
  <si>
    <t>linearis var. linearifolia</t>
  </si>
  <si>
    <t>linearis var. reticulata</t>
  </si>
  <si>
    <t>pusilla var. pusilla</t>
  </si>
  <si>
    <t>subulata var. subulata</t>
  </si>
  <si>
    <t>Sisymbrium</t>
  </si>
  <si>
    <t>Bruniaceae</t>
  </si>
  <si>
    <t>Berzelia</t>
  </si>
  <si>
    <t>lanuginosa</t>
  </si>
  <si>
    <t>Staavia</t>
  </si>
  <si>
    <t>radiata</t>
  </si>
  <si>
    <t>Campanulaceae</t>
  </si>
  <si>
    <t>Lobelia</t>
  </si>
  <si>
    <t>anceps</t>
  </si>
  <si>
    <t>comosa</t>
  </si>
  <si>
    <t>coronopifolia</t>
  </si>
  <si>
    <t>erinus</t>
  </si>
  <si>
    <t>linearis</t>
  </si>
  <si>
    <t>setacea</t>
  </si>
  <si>
    <t>Microcodon</t>
  </si>
  <si>
    <t>glomeratum</t>
  </si>
  <si>
    <t>Monopsis</t>
  </si>
  <si>
    <t>debilis</t>
  </si>
  <si>
    <t>lutea</t>
  </si>
  <si>
    <t>simplex</t>
  </si>
  <si>
    <t>Roella</t>
  </si>
  <si>
    <t>compacta</t>
  </si>
  <si>
    <t>incurva</t>
  </si>
  <si>
    <t>Wahlenbergia</t>
  </si>
  <si>
    <t>cernua</t>
  </si>
  <si>
    <t>Leucadendron xanthoconus</t>
  </si>
  <si>
    <t>start of restioid fynbos</t>
  </si>
  <si>
    <t>Mimetes (also about 30 m down)</t>
  </si>
  <si>
    <t>end of acid sand?</t>
  </si>
  <si>
    <t>start of Aulax</t>
  </si>
  <si>
    <t>start od Aulax</t>
  </si>
  <si>
    <t>end of restioid</t>
  </si>
  <si>
    <t>end of acid</t>
  </si>
  <si>
    <t>restioid</t>
  </si>
  <si>
    <t>start of Leucadendron coniferum</t>
  </si>
  <si>
    <t>start of small L. coniferum</t>
  </si>
  <si>
    <t>end of Erica sessiliflora</t>
  </si>
  <si>
    <t>transition to ericoid</t>
  </si>
  <si>
    <t>E. sessiliflora</t>
  </si>
  <si>
    <t>start of Erica sessiliflora</t>
  </si>
  <si>
    <t>transition to Erica sessiliflora</t>
  </si>
  <si>
    <t>transition to 741</t>
  </si>
  <si>
    <t>about triple junction</t>
  </si>
  <si>
    <t>transition to grassy (fire?)</t>
  </si>
  <si>
    <t>cf. androsacea</t>
  </si>
  <si>
    <t>longifolia</t>
  </si>
  <si>
    <t>paniculata</t>
  </si>
  <si>
    <t>polyantha</t>
  </si>
  <si>
    <t>tenella</t>
  </si>
  <si>
    <t>Caryophyllaceae</t>
  </si>
  <si>
    <t>Cerastium</t>
  </si>
  <si>
    <t>formation</t>
  </si>
  <si>
    <t>G. Siebritz</t>
  </si>
  <si>
    <t>G. Siebritz, 19.06.1997 IP/NN/NN/NN</t>
  </si>
  <si>
    <t>G. Siebritz, 20.06.1997 IP/NN/NN/NN</t>
  </si>
  <si>
    <t>G. Siebritz, 30.06.1997 IP/NN/NN/NN</t>
  </si>
  <si>
    <t>G. Siebritz, 01.07.1997 IP/NN/NN/NN</t>
  </si>
  <si>
    <t>G. Siebritz, 02.07.1997 IP/NN/NN/NN</t>
  </si>
  <si>
    <t>G. Siebritz, 03.07.1997 IP/NN/NN/NN</t>
  </si>
  <si>
    <t>G. Siebritz, 07.07.1997 IP/NN/NN/NN</t>
  </si>
  <si>
    <t>G. Siebritz, 08.07.1997 IP/NN/NN/NN</t>
  </si>
  <si>
    <t>G. Siebritz, 10.07.1997 IP/NN/NN/NN</t>
  </si>
  <si>
    <t>G. Siebritz, 14.07.1997 IP/NN/NN/NN</t>
  </si>
  <si>
    <t>G. Siebritz, 21.07.1997 IP/NN/NN/NN</t>
  </si>
  <si>
    <t>G. Siebritz, 22.07.1997 IP/NN/NN/NN</t>
  </si>
  <si>
    <t>G. Siebritz, 23.07.1997 IP/NN/NN/NN</t>
  </si>
  <si>
    <t>G. Siebritz, 25.07.1997 IP/NN/NN/NN</t>
  </si>
  <si>
    <t>G. Siebritz, 28.07.1997 IP/NN/NN/NN</t>
  </si>
  <si>
    <t>G. Siebritz, 29.07.1997 IP/NN/NN/NN</t>
  </si>
  <si>
    <t>G. Siebritz, 30.07.1997 IP/NN/NN/NN</t>
  </si>
  <si>
    <t>G. Siebritz, 31.07.1997 IP/NN/NN/NN</t>
  </si>
  <si>
    <t>G. Siebritz, 05.08.1997 IP/NN/NN/NN</t>
  </si>
  <si>
    <t>G. Siebritz, 07.08.1997 IP/NN/NN/NN</t>
  </si>
  <si>
    <t>G. Siebritz, 09.08.1997 IP/NN/NN/NN</t>
  </si>
  <si>
    <t>G. Siebritz, 11.08.1997 IP/NN/NN/NN</t>
  </si>
  <si>
    <t>G. Siebritz, 12.08.1997 IP/NN/NN/NN</t>
  </si>
  <si>
    <t>G. Siebritz, 13.08.1997 IP/NN/NN/NN</t>
  </si>
  <si>
    <t>G. Siebritz, 14.08.1997 IP/NN/NN/NN</t>
  </si>
  <si>
    <t>G. Siebritz, 15.08.1997 IP/NN/NN/NN</t>
  </si>
  <si>
    <t>G. Siebritz, 18.08.1997 IP/NN/NN/NN</t>
  </si>
  <si>
    <t>G. Siebritz, 19.08.1997 IP/NN/NN/NN</t>
  </si>
  <si>
    <t>G. Siebritz, 20.08.1997 IP/NN/NN/NN</t>
  </si>
  <si>
    <t>G. Siebritz, 01.09.1997 IP/NN/NN/NN</t>
  </si>
  <si>
    <t>G. Siebritz, 25.08.1997 IP/NN/NN/NN</t>
  </si>
  <si>
    <t>G. Siebritz, 03.09.1997 IP/NN/NN/NN</t>
  </si>
  <si>
    <t>G. Siebritz, 04.09.1997 IP/NN/NN/NN</t>
  </si>
  <si>
    <t>G. Siebritz, 05.09.1997 IP/NN/NN/NN</t>
  </si>
  <si>
    <t>G. Siebritz, 16.09.1997 IP/NN/NN/NN</t>
  </si>
  <si>
    <t>160 (ext) Erica coccinea Ericoid Fynbos ND/ND</t>
  </si>
  <si>
    <t>161 (ext) Protea obtusifolia Proteoid Fynbos ND/ND</t>
  </si>
  <si>
    <t>162 (ext) Neutral Sand Proteoid Fynbos ND/ND</t>
  </si>
  <si>
    <t>163 (ext) Elegia thyrsifera Restioid Fynbos ND/ND</t>
  </si>
  <si>
    <t>164 (ext) True Wetland ND/ND</t>
  </si>
  <si>
    <t>165 (ext) Erica sessiliflora Ericaceous Fynbos ND/ND</t>
  </si>
  <si>
    <t>166 (ext) Erica sessiliflora Ericaceous Fynbos ND/ND</t>
  </si>
  <si>
    <t>167 (ext) Elegia thyrsifera Restioid Fynbos ND/ND</t>
  </si>
  <si>
    <t>168 (ext) Transitional Proteoid Fynbos ND/ND</t>
  </si>
  <si>
    <t>169 (ext) Acid Sand Proteoid Fynbos ND/ND</t>
  </si>
  <si>
    <t>170 (ext) Acid Sand Fynbos (post-fire regenerating) ND/ND</t>
  </si>
  <si>
    <t>171 (ext) Protea repens Proteoid Fynbos (post-fire regenerating) ND/ND</t>
  </si>
  <si>
    <t>172 (ext) Acid Sand Fynbos (post-fire regenerating) ND/ND</t>
  </si>
  <si>
    <t>173 (ext) Erica sessiliflora Ericaceous Fynbos ND/ND</t>
  </si>
  <si>
    <t>174 (ext) Neutral Sand Proteoid Fynbos ND/ND</t>
  </si>
  <si>
    <t>175 (ext) Dune Asteraceous Fynbos ND/ND</t>
  </si>
  <si>
    <t>176 (ext) Neutral Sand Proteoid Fynbos ND/ND</t>
  </si>
  <si>
    <t>177 (ext) Protea obtusifolia Proteoid Fynbos ND/ND</t>
  </si>
  <si>
    <t>178 (ext) Protea repens Proteoid Fynbos ND/ND</t>
  </si>
  <si>
    <t>capense</t>
  </si>
  <si>
    <t>Dianthus</t>
  </si>
  <si>
    <t>albens</t>
  </si>
  <si>
    <t>D:\ResearchProjects\GrootbosVegetation\VegetationAnalysis\Tools\TABWIN</t>
  </si>
  <si>
    <t>caespitosus</t>
  </si>
  <si>
    <t>Herniaria</t>
  </si>
  <si>
    <t>Silene</t>
  </si>
  <si>
    <t>cretica</t>
  </si>
  <si>
    <t>gallica</t>
  </si>
  <si>
    <t>undulata</t>
  </si>
  <si>
    <t>Celastraceae</t>
  </si>
  <si>
    <t>Cassine</t>
  </si>
  <si>
    <t>peragua</t>
  </si>
  <si>
    <t>Gymnosporia</t>
  </si>
  <si>
    <t>buxifolia</t>
  </si>
  <si>
    <t>Maytenus</t>
  </si>
  <si>
    <t>oleoides</t>
  </si>
  <si>
    <t>Pterocelastrus</t>
  </si>
  <si>
    <t>tricuspidatus</t>
  </si>
  <si>
    <t>Robsonodendron</t>
  </si>
  <si>
    <t>maritimum</t>
  </si>
  <si>
    <t>Celtidaceae</t>
  </si>
  <si>
    <t>Celtis</t>
  </si>
  <si>
    <t>Colchicaceae</t>
  </si>
  <si>
    <t>Androcymbium</t>
  </si>
  <si>
    <t>eucomoides</t>
  </si>
  <si>
    <t>Baeometra</t>
  </si>
  <si>
    <t>uniflora</t>
  </si>
  <si>
    <t>Ornithoglossum</t>
  </si>
  <si>
    <t>viride</t>
  </si>
  <si>
    <t>Crassulaceae</t>
  </si>
  <si>
    <t xml:space="preserve">Cotyledon </t>
  </si>
  <si>
    <t>orbiculata</t>
  </si>
  <si>
    <t>Crassula</t>
  </si>
  <si>
    <t>campestris</t>
  </si>
  <si>
    <t>depressa</t>
  </si>
  <si>
    <t>Ehrharta calycina</t>
  </si>
  <si>
    <t>Psoralea arborea</t>
  </si>
  <si>
    <t>Crassula glomerata</t>
  </si>
  <si>
    <t>Rhynchosia capensis</t>
  </si>
  <si>
    <t>dichotoma</t>
  </si>
  <si>
    <t>fascicularis</t>
  </si>
  <si>
    <t>glomerata</t>
  </si>
  <si>
    <t>Cucurbitaceae</t>
  </si>
  <si>
    <t>Kedrostis</t>
  </si>
  <si>
    <t>nana</t>
  </si>
  <si>
    <t>Zehneria</t>
  </si>
  <si>
    <t>Cyperaceae</t>
  </si>
  <si>
    <t>Ficinia</t>
  </si>
  <si>
    <t>bulbosa</t>
  </si>
  <si>
    <t>deusta</t>
  </si>
  <si>
    <t>gracilis</t>
  </si>
  <si>
    <t>indica</t>
  </si>
  <si>
    <t>paradoxa</t>
  </si>
  <si>
    <t>secunda</t>
  </si>
  <si>
    <t>tenuifolia</t>
  </si>
  <si>
    <t>trichodes</t>
  </si>
  <si>
    <t>tristachya</t>
  </si>
  <si>
    <t>Hellmuthia</t>
  </si>
  <si>
    <t>membranacea</t>
  </si>
  <si>
    <t>Isolepis</t>
  </si>
  <si>
    <t>antarctica</t>
  </si>
  <si>
    <t>marginata</t>
  </si>
  <si>
    <t>Mariscus</t>
  </si>
  <si>
    <t>congestus</t>
  </si>
  <si>
    <t>thunbergii</t>
  </si>
  <si>
    <t>Scirpoides</t>
  </si>
  <si>
    <t>nodosus</t>
  </si>
  <si>
    <t>Tetraria</t>
  </si>
  <si>
    <t>bolusii</t>
  </si>
  <si>
    <t>brachyphylla</t>
  </si>
  <si>
    <t>compar</t>
  </si>
  <si>
    <t>cuspidata</t>
  </si>
  <si>
    <t xml:space="preserve">gracilis </t>
  </si>
  <si>
    <t>Dipsacaceae</t>
  </si>
  <si>
    <t>Scabiosa</t>
  </si>
  <si>
    <t>columbaria</t>
  </si>
  <si>
    <t>incisa</t>
  </si>
  <si>
    <t>Droseraceae</t>
  </si>
  <si>
    <t>Drosera</t>
  </si>
  <si>
    <t>cistiflora</t>
  </si>
  <si>
    <t>trinervia</t>
  </si>
  <si>
    <t>Ebenaceae</t>
  </si>
  <si>
    <t>Diospyros</t>
  </si>
  <si>
    <t>whyteana</t>
  </si>
  <si>
    <t>Euclea</t>
  </si>
  <si>
    <t>racemosa</t>
  </si>
  <si>
    <t>Ericaceae</t>
  </si>
  <si>
    <t>Erica</t>
  </si>
  <si>
    <t>axillaris</t>
  </si>
  <si>
    <t>coccinea var. (red)</t>
  </si>
  <si>
    <t>coccinea var. (red/yellow)</t>
  </si>
  <si>
    <t>coccinea var. (yellow)</t>
  </si>
  <si>
    <t>corifolia</t>
  </si>
  <si>
    <t>discolor</t>
  </si>
  <si>
    <t>glabella</t>
  </si>
  <si>
    <t>hispidula</t>
  </si>
  <si>
    <t>irregularis</t>
  </si>
  <si>
    <t>lineata</t>
  </si>
  <si>
    <t>magnisylvae</t>
  </si>
  <si>
    <t>nudiflora</t>
  </si>
  <si>
    <t>parviflora</t>
  </si>
  <si>
    <t>penicilliformis</t>
  </si>
  <si>
    <t>propinqua</t>
  </si>
  <si>
    <t>pulchella</t>
  </si>
  <si>
    <t>sessiliflora</t>
  </si>
  <si>
    <t>vestita</t>
  </si>
  <si>
    <t>Euphorbiaceae</t>
  </si>
  <si>
    <t>Adenocline</t>
  </si>
  <si>
    <t>acuta</t>
  </si>
  <si>
    <t>pauciflora</t>
  </si>
  <si>
    <t>Clutia</t>
  </si>
  <si>
    <t>alaternoides</t>
  </si>
  <si>
    <t>polygonoides</t>
  </si>
  <si>
    <t>Euphorbia</t>
  </si>
  <si>
    <t>tuberosa</t>
  </si>
  <si>
    <t>Fabaceae</t>
  </si>
  <si>
    <t>Amphithalea</t>
  </si>
  <si>
    <t>Aspalathus</t>
  </si>
  <si>
    <t>biflora</t>
  </si>
  <si>
    <t>callosa</t>
  </si>
  <si>
    <t>ciliaris</t>
  </si>
  <si>
    <t>crassisepala</t>
  </si>
  <si>
    <t>forbesii</t>
  </si>
  <si>
    <t>globulosa</t>
  </si>
  <si>
    <t>linguiloba</t>
  </si>
  <si>
    <t>microphylla</t>
  </si>
  <si>
    <t>nigra</t>
  </si>
  <si>
    <t>pycnantha</t>
  </si>
  <si>
    <t>salteri</t>
  </si>
  <si>
    <t>sericea</t>
  </si>
  <si>
    <t>Dipogon</t>
  </si>
  <si>
    <t>lignosus</t>
  </si>
  <si>
    <t>Indigofera</t>
  </si>
  <si>
    <t>angustifolia</t>
  </si>
  <si>
    <t>brachystachya</t>
  </si>
  <si>
    <t>nigromontana</t>
  </si>
  <si>
    <t>porrecta</t>
  </si>
  <si>
    <t>Protea repens Proteoid Fynbos (post-fire regenerating)</t>
  </si>
  <si>
    <t>Neutral Sand Proteoid Fynbos (7 releves)</t>
  </si>
  <si>
    <t>Transitional Proteoid Fynbos (3 releves)</t>
  </si>
  <si>
    <t>True Wetland (2 releves)</t>
  </si>
  <si>
    <t>Acid Sand Fynbos (post-fire regenerating) (3 releves)</t>
  </si>
  <si>
    <t>Protea repens Proteoid Fynbos (post-fire regenerating) (1 releves)</t>
  </si>
  <si>
    <t>Erica sessiliflora Ericaceous Fynbos (1 releves)</t>
  </si>
  <si>
    <t>0 (0)</t>
  </si>
  <si>
    <t>5 (1)</t>
  </si>
  <si>
    <t>3 (0)</t>
  </si>
  <si>
    <t>X 354652, Y 6176530</t>
  </si>
  <si>
    <t>X 354967, Y 6176375</t>
  </si>
  <si>
    <t>X 356748, Y 6176730</t>
  </si>
  <si>
    <t>X 356754, Y 6176646</t>
  </si>
  <si>
    <t>X 356754, Y 6176549</t>
  </si>
  <si>
    <t>X 356783, Y 6176517</t>
  </si>
  <si>
    <t>X 356829, Y 6176537</t>
  </si>
  <si>
    <t>X 354471, Y 6176855</t>
  </si>
  <si>
    <t>X 354193, Y 6176715</t>
  </si>
  <si>
    <t>X 354397, Y 6177243</t>
  </si>
  <si>
    <t>X 354444, Y 6177191</t>
  </si>
  <si>
    <t>X 354534, Y 6176788</t>
  </si>
  <si>
    <t>X 354448, Y 6176758</t>
  </si>
  <si>
    <t>X 355364, Y 6176396</t>
  </si>
  <si>
    <t>X 355321, Y 6176331</t>
  </si>
  <si>
    <t>X 355065, Y 6177630</t>
  </si>
  <si>
    <t>X 354834, Y 6177804</t>
  </si>
  <si>
    <t>X 355316, Y 6177042</t>
  </si>
  <si>
    <t>X 355328, Y 6177096</t>
  </si>
  <si>
    <t>X 356254, Y 6177547</t>
  </si>
  <si>
    <t>X 356252, Y 6177454</t>
  </si>
  <si>
    <t>X 356480, Y 6177510</t>
  </si>
  <si>
    <t>X 356020, Y 6177445</t>
  </si>
  <si>
    <t>X 355877, Y 6177171</t>
  </si>
  <si>
    <t>X 356209, Y 6177045</t>
  </si>
  <si>
    <t>X 356975, Y 6176974</t>
  </si>
  <si>
    <t>X 357253, Y 6177132</t>
  </si>
  <si>
    <t>X 357367, Y 6176606</t>
  </si>
  <si>
    <t>X 357228, Y 6176698</t>
  </si>
  <si>
    <t>X 357234, Y 6176523</t>
  </si>
  <si>
    <t>X 357063, Y 6176436</t>
  </si>
  <si>
    <t>X 357694, Y 6176143</t>
  </si>
  <si>
    <t>X 357409, Y 6176060</t>
  </si>
  <si>
    <t>X 356622, Y 6176374</t>
  </si>
  <si>
    <t>X 355872, Y 6176770</t>
  </si>
  <si>
    <t>X 357598, Y 6177427</t>
  </si>
  <si>
    <t>X 357196, Y 6177784</t>
  </si>
  <si>
    <t>X 357309, Y 6177911</t>
  </si>
  <si>
    <t>X 357798, Y 6177610</t>
  </si>
  <si>
    <t>X 358341, Y 6177517</t>
  </si>
  <si>
    <t>X 358662, Y 6177808</t>
  </si>
  <si>
    <t>X 358534, Y 6177565</t>
  </si>
  <si>
    <t>X 358862, Y 6178200</t>
  </si>
  <si>
    <t>X 359057, Y 6178447</t>
  </si>
  <si>
    <t>X 355708, Y 6176283</t>
  </si>
  <si>
    <t>X 357165, Y 6178330</t>
  </si>
  <si>
    <t>X 356545, Y 6176592</t>
  </si>
  <si>
    <t>M. Mergili, 17.10.2004 IP/IP/IP/IP</t>
  </si>
  <si>
    <t>X 356255, Y 6174980</t>
  </si>
  <si>
    <t>M. Mergili, 08.10.2004 CL/IP/IP/IP</t>
  </si>
  <si>
    <t>X 354611, Y 6175669</t>
  </si>
  <si>
    <t>Eric ses</t>
  </si>
  <si>
    <t>Eric ves</t>
  </si>
  <si>
    <t>Aden acu</t>
  </si>
  <si>
    <t>Aden pau</t>
  </si>
  <si>
    <t>Clut ala</t>
  </si>
  <si>
    <t>Clut eri</t>
  </si>
  <si>
    <t>Clut pol</t>
  </si>
  <si>
    <t>Euph tub</t>
  </si>
  <si>
    <t>Amph eri</t>
  </si>
  <si>
    <t>Aspa bif</t>
  </si>
  <si>
    <t>Aspa cal</t>
  </si>
  <si>
    <t>Aspa cil</t>
  </si>
  <si>
    <t>Aspa cra</t>
  </si>
  <si>
    <t>Aspa for</t>
  </si>
  <si>
    <t>Aspa glo</t>
  </si>
  <si>
    <t>Aspa hir</t>
  </si>
  <si>
    <t>Aspa his</t>
  </si>
  <si>
    <t>Aspa lin</t>
  </si>
  <si>
    <t>Aspa mic</t>
  </si>
  <si>
    <t>Aspa nig</t>
  </si>
  <si>
    <t>Aspa pyc</t>
  </si>
  <si>
    <t>Aspa sal</t>
  </si>
  <si>
    <t>Aspa ser</t>
  </si>
  <si>
    <t>Dipo lig</t>
  </si>
  <si>
    <t>Indi ang</t>
  </si>
  <si>
    <t>Indi bra</t>
  </si>
  <si>
    <t>Indi cap</t>
  </si>
  <si>
    <t>Indi nig</t>
  </si>
  <si>
    <t>Indi por</t>
  </si>
  <si>
    <t>Less cap</t>
  </si>
  <si>
    <t>Less fru</t>
  </si>
  <si>
    <t>Lipa spl</t>
  </si>
  <si>
    <t>Loto umb</t>
  </si>
  <si>
    <t>Otho bra</t>
  </si>
  <si>
    <t>Poda cun</t>
  </si>
  <si>
    <t>Psor aph</t>
  </si>
  <si>
    <t>Psor arb</t>
  </si>
  <si>
    <t>Otho vir</t>
  </si>
  <si>
    <t>Psor res</t>
  </si>
  <si>
    <t>Rafn tri</t>
  </si>
  <si>
    <t>Rhyn cap</t>
  </si>
  <si>
    <t>Teph cap</t>
  </si>
  <si>
    <t>Cyst ves</t>
  </si>
  <si>
    <t>Chir bac</t>
  </si>
  <si>
    <t>Chir dec</t>
  </si>
  <si>
    <t>Chir lin</t>
  </si>
  <si>
    <t>Chir sto</t>
  </si>
  <si>
    <t>Chir tet</t>
  </si>
  <si>
    <t>Seba alb</t>
  </si>
  <si>
    <t>Seba aur</t>
  </si>
  <si>
    <t>Seba exa</t>
  </si>
  <si>
    <t>Seba min</t>
  </si>
  <si>
    <t>Erod chi</t>
  </si>
  <si>
    <t>Gera inc</t>
  </si>
  <si>
    <t>Gera orn</t>
  </si>
  <si>
    <t>Pela alc</t>
  </si>
  <si>
    <t>Pela bet</t>
  </si>
  <si>
    <t>Pela cap</t>
  </si>
  <si>
    <t>Pela cuc</t>
  </si>
  <si>
    <t>Pela ele</t>
  </si>
  <si>
    <t>Pela gro</t>
  </si>
  <si>
    <t>Pela hyp</t>
  </si>
  <si>
    <t>Pela lon</t>
  </si>
  <si>
    <t>Pela myr</t>
  </si>
  <si>
    <t>Pela sub</t>
  </si>
  <si>
    <t>Pela tri</t>
  </si>
  <si>
    <t>Wach pan</t>
  </si>
  <si>
    <t>Wach thy</t>
  </si>
  <si>
    <t>Laur rep</t>
  </si>
  <si>
    <t>Albu acu</t>
  </si>
  <si>
    <t>Albu coo</t>
  </si>
  <si>
    <t>Albu fla</t>
  </si>
  <si>
    <t>Albu fra</t>
  </si>
  <si>
    <t>Albu jun</t>
  </si>
  <si>
    <t>Albu max</t>
  </si>
  <si>
    <t>Drim exu</t>
  </si>
  <si>
    <t>Drim fil</t>
  </si>
  <si>
    <t>Drim med</t>
  </si>
  <si>
    <t>Lach bul</t>
  </si>
  <si>
    <t>Lach mon</t>
  </si>
  <si>
    <t>Lach ros</t>
  </si>
  <si>
    <t>Lach var</t>
  </si>
  <si>
    <t>Mass pus</t>
  </si>
  <si>
    <t>Orni gra</t>
  </si>
  <si>
    <t>Orni jun</t>
  </si>
  <si>
    <t>Orni thy</t>
  </si>
  <si>
    <t>Empo pli</t>
  </si>
  <si>
    <t>Spil cap</t>
  </si>
  <si>
    <t>Apod dim</t>
  </si>
  <si>
    <t>Aris afr</t>
  </si>
  <si>
    <t>Aris gla</t>
  </si>
  <si>
    <t>Aris mac</t>
  </si>
  <si>
    <t>Aris oli</t>
  </si>
  <si>
    <t>Aris spi</t>
  </si>
  <si>
    <t>Babi amb</t>
  </si>
  <si>
    <t>Babi nan</t>
  </si>
  <si>
    <t>Boba ind</t>
  </si>
  <si>
    <t>Chas aet</t>
  </si>
  <si>
    <t>Geis asp</t>
  </si>
  <si>
    <t>Glad bre</t>
  </si>
  <si>
    <t>Glad car</t>
  </si>
  <si>
    <t>Glad cun</t>
  </si>
  <si>
    <t>Glad deb</t>
  </si>
  <si>
    <t>Glad mar</t>
  </si>
  <si>
    <t>Glad mer</t>
  </si>
  <si>
    <t>Glad min</t>
  </si>
  <si>
    <t>Glad ove</t>
  </si>
  <si>
    <t>Transitional Proteoid Fynbos</t>
  </si>
  <si>
    <t>Acid Sand Proteoid Fynbos</t>
  </si>
  <si>
    <t>Milkwood Scrub Forest</t>
  </si>
  <si>
    <t>Glad rog</t>
  </si>
  <si>
    <t>Glad vag</t>
  </si>
  <si>
    <t>Glad var</t>
  </si>
  <si>
    <t>Hesp fal</t>
  </si>
  <si>
    <t>Hesp rad</t>
  </si>
  <si>
    <t>Ixia dub</t>
  </si>
  <si>
    <t>Ixia fle</t>
  </si>
  <si>
    <t>Ixia odo</t>
  </si>
  <si>
    <t>Ixia ori</t>
  </si>
  <si>
    <t>Ixia pol</t>
  </si>
  <si>
    <t>Mora ang</t>
  </si>
  <si>
    <t>Mora bul</t>
  </si>
  <si>
    <t>Mora col</t>
  </si>
  <si>
    <t>Mora fug</t>
  </si>
  <si>
    <t>Mora min</t>
  </si>
  <si>
    <t>Mora neg</t>
  </si>
  <si>
    <t>Mora ram</t>
  </si>
  <si>
    <t>Mora set</t>
  </si>
  <si>
    <t>Mora tri</t>
  </si>
  <si>
    <t>Mora vir</t>
  </si>
  <si>
    <t>Mora vis</t>
  </si>
  <si>
    <t>Romu dic</t>
  </si>
  <si>
    <t>Romu fla</t>
  </si>
  <si>
    <t>Romu obs</t>
  </si>
  <si>
    <t>Romu ros</t>
  </si>
  <si>
    <t>Romu set</t>
  </si>
  <si>
    <t>Spar bul</t>
  </si>
  <si>
    <t>Spar gra</t>
  </si>
  <si>
    <t>Wats sch</t>
  </si>
  <si>
    <t>Wats ste</t>
  </si>
  <si>
    <t>Junc cep</t>
  </si>
  <si>
    <t>Junc cap</t>
  </si>
  <si>
    <t>Muraltia cf. salsolacea</t>
  </si>
  <si>
    <t>GEOL BLS</t>
  </si>
  <si>
    <t>ANNL BLF</t>
  </si>
  <si>
    <t>PERL BLF</t>
  </si>
  <si>
    <t>X 356112, Y 6176230</t>
  </si>
  <si>
    <t>X 356114, Y 6176167</t>
  </si>
  <si>
    <t>X 356144, Y 6176171</t>
  </si>
  <si>
    <t>X 356198, Y 6176131</t>
  </si>
  <si>
    <t>X 356239, Y 6176129</t>
  </si>
  <si>
    <t>X 356250, Y 6176128</t>
  </si>
  <si>
    <t>X 358339, Y 6177467</t>
  </si>
  <si>
    <t>elev. 225 mts, slope 35°, aspect 209°, flow acc. 0,54, rad. 89172, wind exp. 1361</t>
  </si>
  <si>
    <t>elev. 225 mts, slope 0°, aspect 217°, flow acc. 1,296, rad. 96788, wind exp. 1241</t>
  </si>
  <si>
    <t>elev. 233 mts, slope 5°, aspect 198°, flow acc. 0,159, rad. 98648, wind exp. 1438</t>
  </si>
  <si>
    <t>elev. 332 mts, slope 40°, aspect 155°, flow acc. 1,755, rad. 98799, wind exp. 832</t>
  </si>
  <si>
    <t>elev. 324 mts, slope 40°, aspect 179°, flow acc. 0,913, rad. 88113, wind exp. 927</t>
  </si>
  <si>
    <t>elev. 295 mts, slope 20°, aspect 227°, flow acc. 0,669, rad. 67548, wind exp. 480</t>
  </si>
  <si>
    <t>elev. 285 mts, slope 40°, aspect 190°, flow acc. 0,076, rad. 48215, wind exp. 311</t>
  </si>
  <si>
    <t>elev. 306 mts, slope 45°, aspect 200°, flow acc. 0,635, rad. 49015, wind exp. 539</t>
  </si>
  <si>
    <t>elev. 238 mts, slope 2°, aspect 285°, flow acc. 1,213, rad. 107814, wind exp. 917</t>
  </si>
  <si>
    <t>elev. 201 mts, slope 2°, aspect 226°, flow acc. 1,439, rad. 102326, wind exp. 1380</t>
  </si>
  <si>
    <t>elev. 223 mts, slope 2°, aspect 305°, flow acc. 1,152, rad. 109535, wind exp. 1202</t>
  </si>
  <si>
    <t>elev. 228 mts, slope 2°, aspect 311°, flow acc. 0,818, rad. 109381, wind exp. 1214</t>
  </si>
  <si>
    <t>elev. 251 mts, slope 20°, aspect 310°, flow acc. 0,705, rad. 113193, wind exp. 658</t>
  </si>
  <si>
    <t>elev. 240 mts, slope 2°, aspect 271°, flow acc. 0,261, rad. 105498, wind exp. 1062</t>
  </si>
  <si>
    <t>elev. 241 mts, slope 8°, aspect 114°, flow acc. 0,005, rad. 103375, wind exp. 639</t>
  </si>
  <si>
    <t>elev. 246 mts, slope 30°, aspect 318°, flow acc. 0,552, rad. 113614, wind exp. 722</t>
  </si>
  <si>
    <t>elev. 238 mts, slope 2°, aspect 312°, flow acc. 1,396, rad. 110763, wind exp. 1044</t>
  </si>
  <si>
    <t>elev. 217 mts, slope 2°, aspect 301°, flow acc. 0,47, rad. 109655, wind exp. 1057</t>
  </si>
  <si>
    <t>elev. 340 mts, slope 20°, aspect 296°, flow acc. 0,208, rad. 111270, wind exp. 913</t>
  </si>
  <si>
    <t>elev. 329 mts, slope 8°, aspect 340°, flow acc. 0,637, rad. 119625, wind exp. 645</t>
  </si>
  <si>
    <t>elev. 309 mts, slope 5°, aspect 323°, flow acc. 0,334, rad. 115284, wind exp. 589</t>
  </si>
  <si>
    <t>elev. 342 mts, slope 40°, aspect 103°, flow acc. 0,464, rad. 121175, wind exp. 803</t>
  </si>
  <si>
    <t>elev. 304 mts, slope 15°, aspect 305°, flow acc. 0,02, rad. 110807, wind exp. 702</t>
  </si>
  <si>
    <t>elev. 340 mts, slope 20°, aspect 30°, flow acc. 0,652, rad. 120932, wind exp. 720</t>
  </si>
  <si>
    <t>elev. 363 mts, slope 25°, aspect 290°, flow acc. 0,336, rad. 109447, wind exp. 636</t>
  </si>
  <si>
    <t>elev. 408 mts, slope 2°, aspect 313°, flow acc. 0,012, rad. 111321, wind exp. 1686</t>
  </si>
  <si>
    <t>elev. 362 mts, slope 16°, aspect 25°, flow acc. 0,546, rad. 114271, wind exp. 745</t>
  </si>
  <si>
    <t>elev. 347 mts, slope 0°, aspect 243°, flow acc. 0,829, rad. 102683, wind exp. 1084</t>
  </si>
  <si>
    <t>elev. 380 mts, slope 2°, aspect 205°, flow acc. 0,033, rad. 104433, wind exp. 1316</t>
  </si>
  <si>
    <t>elev. 377 mts, slope 2°, aspect 228°, flow acc. 0,252, rad. 104829, wind exp. 1279</t>
  </si>
  <si>
    <t>elev. 364 mts, slope 5°, aspect 203°, flow acc. 1,204, rad. 100485, wind exp. 1151</t>
  </si>
  <si>
    <t>elev. 345 mts, slope 0°, aspect 309°, flow acc. 1,28, rad. 109749, wind exp. 1011</t>
  </si>
  <si>
    <t>elev. 418 mts, slope 22°, aspect 57°, flow acc. 0,65, rad. 121627, wind exp. 557</t>
  </si>
  <si>
    <t>34 (core) Acid Sand Fynbos (post-fire regenerating) 44/130,5</t>
  </si>
  <si>
    <t>elev. 375 mts, slope 22°, aspect 198°, flow acc. 0,231, rad. 74376, wind exp. 937</t>
  </si>
  <si>
    <t>elev. 295 mts, slope 30°, aspect 327°, flow acc. 0,861, rad. 115678, wind exp. 285</t>
  </si>
  <si>
    <t>elev. 318 mts, slope 20°, aspect 166°, flow acc. 0,612, rad. 90981, wind exp. 1292</t>
  </si>
  <si>
    <t>elev. 416 mts, slope 12°, aspect 353°, flow acc. 0,983, rad. 121595, wind exp. 787</t>
  </si>
  <si>
    <t>elev. 358 mts, slope 5°, aspect 348°, flow acc. 0,488, rad. 118142, wind exp. 968</t>
  </si>
  <si>
    <t>elev. 319 mts, slope 2°, aspect 14°, flow acc. 0,54, rad. 114243, wind exp. 905</t>
  </si>
  <si>
    <t>elev. 348 mts, slope 2°, aspect 33°, flow acc. 0,761, rad. 112760, wind exp. 1012</t>
  </si>
  <si>
    <t>elev. 368 mts, slope 2°, aspect 312°, flow acc. 1,114, rad. 113012, wind exp. 627</t>
  </si>
  <si>
    <t>42 (core) Acid Sand Fynbos (post-fire regenerating) 46/98,5</t>
  </si>
  <si>
    <t>elev. 381 mts, slope 10°, aspect 329°, flow acc. 0,382, rad. 118416, wind exp. 642</t>
  </si>
  <si>
    <t>43 (core) Acid Sand Fynbos (post-fire regenerating) 42/92,5</t>
  </si>
  <si>
    <t>elev. 397 mts, slope 15°, aspect 335°, flow acc. 0,095, rad. 118654, wind exp. 818</t>
  </si>
  <si>
    <t>elev. 347 mts, slope 2°, aspect 320°, flow acc. 0,125, rad. 113227, wind exp. 885</t>
  </si>
  <si>
    <t>elev. 306 mts, slope 5°, aspect 6°, flow acc. 0,716, rad. 114994, wind exp. 629</t>
  </si>
  <si>
    <t>elev. 300 mts, slope 7°, aspect 342°, flow acc. 0,224, rad. 117074, wind exp. 749</t>
  </si>
  <si>
    <t>elev. 262 mts, slope 5°, aspect 8°, flow acc. 1,243, rad. 114940, wind exp. 960</t>
  </si>
  <si>
    <t>elev. 304 mts, slope 10°, aspect 185°, flow acc. 1,205, rad. 68928, wind exp. 856</t>
  </si>
  <si>
    <t>elev. 170 mts, slope 40°, aspect 215°, flow acc. 0,879, rad. 90853, wind exp. 1055</t>
  </si>
  <si>
    <t>elev. 246 mts, slope 6°, aspect 35°, flow acc. 0,304, rad. 112652, wind exp. 860</t>
  </si>
  <si>
    <t>elev. 269 mts, slope 10°, aspect 0°, flow acc. 1,036, rad. 115273, wind exp. 686</t>
  </si>
  <si>
    <t>elev. 205 mts, slope 1°, aspect 290°, flow acc. 0,059, rad. 109027, wind exp. 1052</t>
  </si>
  <si>
    <t>elev. 181 mts, slope 34°, aspect 210°, flow acc. 0,861, rad. 60183, wind exp. 1236</t>
  </si>
  <si>
    <t>elev. 209 mts, slope 24°, aspect 215°, flow acc. 1,181, rad. 88467, wind exp. 1434</t>
  </si>
  <si>
    <t>elev. 315 mts, slope 4°, aspect 60°, flow acc. 0,794, rad. 111647, wind exp. 1519</t>
  </si>
  <si>
    <t>elev. 315 mts, slope 8°, aspect 215°, flow acc. 1,858, rad. 113325, wind exp. 1014</t>
  </si>
  <si>
    <t>elev. 301 mts, slope 13°, aspect 45°, flow acc. 0,807, rad. 117686, wind exp. 992</t>
  </si>
  <si>
    <t>elev. 236 mts, slope 8°, aspect 190°, flow acc. 2,047, rad. 93173, wind exp. 188</t>
  </si>
  <si>
    <t>elev. 236 mts, slope 9°, aspect 335°, flow acc. 1, rad. 106255, wind exp. 193</t>
  </si>
  <si>
    <t>elev. 228 mts, slope 1°, aspect 245°, flow acc. 0,294, rad. 106354, wind exp. 1173</t>
  </si>
  <si>
    <t>elev. 237 mts, slope 4°, aspect 264°, flow acc. 1,669, rad. 106256, wind exp. 1113</t>
  </si>
  <si>
    <t>Acro lam</t>
  </si>
  <si>
    <t>Acro mic</t>
  </si>
  <si>
    <t>M. Mergili, 31.10.2004 NN/NN/NN/NN</t>
  </si>
  <si>
    <t>X 357720, Y 6179069</t>
  </si>
  <si>
    <t>pH 6,7, res. 2870, Na 26, P 55, K 22, Ca 5,52, Mg 0,82</t>
  </si>
  <si>
    <t>X 357650, Y 6179138</t>
  </si>
  <si>
    <t>X 357415, Y 6179224</t>
  </si>
  <si>
    <t>X 357268, Y 6179434</t>
  </si>
  <si>
    <t>X 357421, Y 6179539</t>
  </si>
  <si>
    <t>X 357659, Y 6179581</t>
  </si>
  <si>
    <t>X 357748, Y 6179542</t>
  </si>
  <si>
    <t>X 357796, Y 6179531</t>
  </si>
  <si>
    <t>X 357887, Y 6179522</t>
  </si>
  <si>
    <t>X 357904, Y 6179508</t>
  </si>
  <si>
    <t>X 358016, Y 6179463</t>
  </si>
  <si>
    <t>X 358549, Y 6179218</t>
  </si>
  <si>
    <t>X 358540, Y 6179225</t>
  </si>
  <si>
    <t>X 358590, Y 6179265</t>
  </si>
  <si>
    <t>X 358976, Y 6179311</t>
  </si>
  <si>
    <t>X 359159, Y 6179235</t>
  </si>
  <si>
    <t>X 359303, Y 6179217</t>
  </si>
  <si>
    <t>X 359263, Y 6179111</t>
  </si>
  <si>
    <t>X 359261, Y 6179107</t>
  </si>
  <si>
    <t>X 359223, Y 6179051</t>
  </si>
  <si>
    <t>X 359338, Y 6179002</t>
  </si>
  <si>
    <t>X 359445, Y 6178775</t>
  </si>
  <si>
    <t>X 359416, Y 6178854</t>
  </si>
  <si>
    <t>X 359335, Y 6178624</t>
  </si>
  <si>
    <t>X 359083, Y 6178881</t>
  </si>
  <si>
    <t>X 358900, Y 6178935</t>
  </si>
  <si>
    <t>X 358605, Y 6179065</t>
  </si>
  <si>
    <t>X 358417, Y 6179015</t>
  </si>
  <si>
    <t>M. Mergili, 03.11.2004 NN/NN/NN/NN</t>
  </si>
  <si>
    <t>X 358231, Y 6179133</t>
  </si>
  <si>
    <t>pH 6,3, res. 3190, Na 24, P 18, K 14, Ca 3,63, Mg 0,35</t>
  </si>
  <si>
    <t>X 358872, Y 6179202</t>
  </si>
  <si>
    <t>pH 6,2, res. 5920, Na 15, P 8, K 9, Ca 2,87, Mg 0,37</t>
  </si>
  <si>
    <t>X 354692, Y 6175522</t>
  </si>
  <si>
    <t>Tham luc</t>
  </si>
  <si>
    <t>Will ter</t>
  </si>
  <si>
    <t>Phyl axi</t>
  </si>
  <si>
    <t>Phyl dis</t>
  </si>
  <si>
    <t>Phyl dod</t>
  </si>
  <si>
    <t>Phyl eri</t>
  </si>
  <si>
    <t>Phyl imb</t>
  </si>
  <si>
    <t>Tric sti</t>
  </si>
  <si>
    <t>Clif ant</t>
  </si>
  <si>
    <t>Clif fal</t>
  </si>
  <si>
    <t>Clif fer</t>
  </si>
  <si>
    <t>Clif fil</t>
  </si>
  <si>
    <t>Clif ili</t>
  </si>
  <si>
    <t>Clif obc</t>
  </si>
  <si>
    <t>Clif phy</t>
  </si>
  <si>
    <t>Clif str</t>
  </si>
  <si>
    <t>Anth aet</t>
  </si>
  <si>
    <t>Anth hir</t>
  </si>
  <si>
    <t>Anth pro</t>
  </si>
  <si>
    <t>Anth spa</t>
  </si>
  <si>
    <t>Carp vag</t>
  </si>
  <si>
    <t>Gali tom</t>
  </si>
  <si>
    <t>Nena ace</t>
  </si>
  <si>
    <t>Agat api</t>
  </si>
  <si>
    <t>Agat cer</t>
  </si>
  <si>
    <t>Agat cil</t>
  </si>
  <si>
    <t>Agat imb</t>
  </si>
  <si>
    <t>Agat rob</t>
  </si>
  <si>
    <t>Agat ser</t>
  </si>
  <si>
    <t>Cole alb</t>
  </si>
  <si>
    <t>Dios hir</t>
  </si>
  <si>
    <t>Dios sub</t>
  </si>
  <si>
    <t>Osyr com</t>
  </si>
  <si>
    <t>Osyr spe</t>
  </si>
  <si>
    <t>Thes fra</t>
  </si>
  <si>
    <t>Thes cap</t>
  </si>
  <si>
    <t>Thes com</t>
  </si>
  <si>
    <t>Thes eup</t>
  </si>
  <si>
    <t>start of P. repens on right side</t>
  </si>
  <si>
    <t>end of P, repens on right side</t>
  </si>
  <si>
    <t>end of P. repens on left side</t>
  </si>
  <si>
    <t>end of P. obtusifolia on right side</t>
  </si>
  <si>
    <t>Berzelia lanuginosa</t>
  </si>
  <si>
    <t>right side of road rooikrans, wet thicket; left E. sessiliflora</t>
  </si>
  <si>
    <t>start of fire</t>
  </si>
  <si>
    <t>real start of fire</t>
  </si>
  <si>
    <t>Thamnochortus fruticosus</t>
  </si>
  <si>
    <t>start of Mimetes</t>
  </si>
  <si>
    <t>margin of fire</t>
  </si>
  <si>
    <t>triple juinction</t>
  </si>
  <si>
    <t>nothing</t>
  </si>
  <si>
    <t>edge of Aulax fynbos</t>
  </si>
  <si>
    <t>start of rooikrans clearing</t>
  </si>
  <si>
    <t>patch of disturbed wetland</t>
  </si>
  <si>
    <t>transition to 550</t>
  </si>
  <si>
    <t>fire margin</t>
  </si>
  <si>
    <t>triple junction to 581</t>
  </si>
  <si>
    <t>end of 585</t>
  </si>
  <si>
    <t>Thesidium fragile</t>
  </si>
  <si>
    <t>transition to 589</t>
  </si>
  <si>
    <t>transition to more L. coniferum</t>
  </si>
  <si>
    <t>transition to more L. coniferum; first P. repens</t>
  </si>
  <si>
    <t>25 m W: start of P. repens</t>
  </si>
  <si>
    <t>edge dune /Neutral Sand</t>
  </si>
  <si>
    <t>transition 20 m N; P. repens 50 m NW</t>
  </si>
  <si>
    <t>edge of L. coniferum</t>
  </si>
  <si>
    <t>P. repens 20 m away</t>
  </si>
  <si>
    <t>edge of P. repens</t>
  </si>
  <si>
    <t>P. repens 50-80 m N</t>
  </si>
  <si>
    <t>P. repens upwards</t>
  </si>
  <si>
    <t>P. repens 30 m south</t>
  </si>
  <si>
    <t>(end of E. thyrsifera fynbos)</t>
  </si>
  <si>
    <t>patch of A. microphylla (fire?)</t>
  </si>
  <si>
    <t>upwards: wedge of E. sessiliflora fynbos</t>
  </si>
  <si>
    <t>fire margin; below: L. coniferum thicket</t>
  </si>
  <si>
    <t>ridge with E. coccinea</t>
  </si>
  <si>
    <t>P. obtusifolia crossing road</t>
  </si>
  <si>
    <t>(right side: end of limestone fynbos)</t>
  </si>
  <si>
    <t>80 m away: P. repens</t>
  </si>
  <si>
    <t>end of limestone ridge - continues on other side</t>
  </si>
  <si>
    <t>(edge of limestone)</t>
  </si>
  <si>
    <t>(again P. obtusifolia, E. coccinea on left side, also on right side)</t>
  </si>
  <si>
    <t>end of limestone on right side about 100 m away</t>
  </si>
  <si>
    <t>transition to dune; like 624e continues further W</t>
  </si>
  <si>
    <t>uppermost P. obtusifolia</t>
  </si>
  <si>
    <t>beginning of intermixed L. coniferum</t>
  </si>
  <si>
    <t>dead Passerrinas - near L. coniferum canopy</t>
  </si>
  <si>
    <t>P, obtusifolia, L. coniferum</t>
  </si>
  <si>
    <t>Thes fun</t>
  </si>
  <si>
    <t>Thes nig</t>
  </si>
  <si>
    <t>Thes sca</t>
  </si>
  <si>
    <t>Thes spi</t>
  </si>
  <si>
    <t>Thes str</t>
  </si>
  <si>
    <t>Side ine</t>
  </si>
  <si>
    <t>Schi pec</t>
  </si>
  <si>
    <t>Disc cil</t>
  </si>
  <si>
    <t>Hall luc</t>
  </si>
  <si>
    <t>Hebe den</t>
  </si>
  <si>
    <t>Hemi rac</t>
  </si>
  <si>
    <t>Hemi sab</t>
  </si>
  <si>
    <t>Jame alb</t>
  </si>
  <si>
    <t>Lype tri</t>
  </si>
  <si>
    <t>Manu cal</t>
  </si>
  <si>
    <t>Manu che</t>
  </si>
  <si>
    <t>Manu rub</t>
  </si>
  <si>
    <t>Manu tom</t>
  </si>
  <si>
    <t>Neme aff</t>
  </si>
  <si>
    <t>Neme bic</t>
  </si>
  <si>
    <t>Neme dif</t>
  </si>
  <si>
    <t>Pseu spu</t>
  </si>
  <si>
    <t>Sela can</t>
  </si>
  <si>
    <t>Sela sca</t>
  </si>
  <si>
    <t>Sela tho</t>
  </si>
  <si>
    <t>Sute cae</t>
  </si>
  <si>
    <t>Sute his</t>
  </si>
  <si>
    <t>Zalu cap</t>
  </si>
  <si>
    <t>Zalu vil</t>
  </si>
  <si>
    <t>Lycu afr</t>
  </si>
  <si>
    <t>Sola afr</t>
  </si>
  <si>
    <t>Sola gui</t>
  </si>
  <si>
    <t>Sola lin</t>
  </si>
  <si>
    <t>Sola nig</t>
  </si>
  <si>
    <t>Sola ret</t>
  </si>
  <si>
    <t>Cyan hya</t>
  </si>
  <si>
    <t>Gnid gal</t>
  </si>
  <si>
    <t>Gnid jun</t>
  </si>
  <si>
    <t>Gnid squ</t>
  </si>
  <si>
    <t>Gnid sub</t>
  </si>
  <si>
    <t>Gnid ten</t>
  </si>
  <si>
    <t>Pass pal</t>
  </si>
  <si>
    <t>Pass vul</t>
  </si>
  <si>
    <t>Stru sal</t>
  </si>
  <si>
    <t>Stru str</t>
  </si>
  <si>
    <t>Typh cap</t>
  </si>
  <si>
    <t>Didy cap</t>
  </si>
  <si>
    <t>Drog ine</t>
  </si>
  <si>
    <t>Chas cer</t>
  </si>
  <si>
    <t>Viol dec</t>
  </si>
  <si>
    <t>Visc cap</t>
  </si>
  <si>
    <t>Rhoi dig</t>
  </si>
  <si>
    <t>Zygo fle</t>
  </si>
  <si>
    <t>Zygo ses</t>
  </si>
  <si>
    <t>Psoralea</t>
  </si>
  <si>
    <t>aphylla</t>
  </si>
  <si>
    <t>arborea</t>
  </si>
  <si>
    <t>virgatum</t>
  </si>
  <si>
    <t>restioides</t>
  </si>
  <si>
    <t>Rafnia</t>
  </si>
  <si>
    <t>triflora</t>
  </si>
  <si>
    <t>Rhynchosia</t>
  </si>
  <si>
    <t>Tephrosia</t>
  </si>
  <si>
    <t>Fumariaceae</t>
  </si>
  <si>
    <t>Cysticapnos</t>
  </si>
  <si>
    <t>vesicaria</t>
  </si>
  <si>
    <t>Gentianaceae</t>
  </si>
  <si>
    <t>Chironia</t>
  </si>
  <si>
    <t>baccifera</t>
  </si>
  <si>
    <t>decumbens</t>
  </si>
  <si>
    <t>linoides</t>
  </si>
  <si>
    <t>stokoei</t>
  </si>
  <si>
    <t>tetragona</t>
  </si>
  <si>
    <t>Sebaea</t>
  </si>
  <si>
    <t>aurea</t>
  </si>
  <si>
    <t>exacoides</t>
  </si>
  <si>
    <t>minutiflora</t>
  </si>
  <si>
    <t>Geraniaceae</t>
  </si>
  <si>
    <t>Erodium</t>
  </si>
  <si>
    <t>Geranium</t>
  </si>
  <si>
    <t>incanum</t>
  </si>
  <si>
    <t>ornithopodon</t>
  </si>
  <si>
    <t>Pelargonium</t>
  </si>
  <si>
    <t>alchemilloides</t>
  </si>
  <si>
    <t>betulinum</t>
  </si>
  <si>
    <t>capitatum</t>
  </si>
  <si>
    <t>type</t>
  </si>
  <si>
    <t>cucullatum</t>
  </si>
  <si>
    <t>grossularioides</t>
  </si>
  <si>
    <t>hypoleucum</t>
  </si>
  <si>
    <t>longifolium</t>
  </si>
  <si>
    <t>myrrhifolium</t>
  </si>
  <si>
    <t>myrrhifolium var. coriandrifolium</t>
  </si>
  <si>
    <t>triste</t>
  </si>
  <si>
    <t>Haemodoraceae</t>
  </si>
  <si>
    <t>Wachendorfia</t>
  </si>
  <si>
    <t>Phylica disticha</t>
  </si>
  <si>
    <t>Rumex sagittarius</t>
  </si>
  <si>
    <t>Rapanea melanophloeos</t>
  </si>
  <si>
    <t>Solanum africanum</t>
  </si>
  <si>
    <t>Stipa</t>
  </si>
  <si>
    <t>Erica canescens</t>
  </si>
  <si>
    <t>Leonotis leonurus</t>
  </si>
  <si>
    <t>thyrsiflora</t>
  </si>
  <si>
    <t>Haloragaceae</t>
  </si>
  <si>
    <t>Laurembergia</t>
  </si>
  <si>
    <t>Hyacinthaceae</t>
  </si>
  <si>
    <t>Albuca</t>
  </si>
  <si>
    <t>acuminata</t>
  </si>
  <si>
    <t>cooperi</t>
  </si>
  <si>
    <t>flaccida</t>
  </si>
  <si>
    <t>fragrans</t>
  </si>
  <si>
    <t>juncifolia</t>
  </si>
  <si>
    <t>maxima</t>
  </si>
  <si>
    <t>Drimia</t>
  </si>
  <si>
    <t>exuviata</t>
  </si>
  <si>
    <t>media</t>
  </si>
  <si>
    <t>Lachenalia</t>
  </si>
  <si>
    <t>bulbifera</t>
  </si>
  <si>
    <t>montana</t>
  </si>
  <si>
    <t>rosea</t>
  </si>
  <si>
    <t>variegata</t>
  </si>
  <si>
    <t>Massonia</t>
  </si>
  <si>
    <t>pustulata</t>
  </si>
  <si>
    <t>Ornithogalum</t>
  </si>
  <si>
    <t>graminifolium</t>
  </si>
  <si>
    <t>juncifolium</t>
  </si>
  <si>
    <t>thyrsoides</t>
  </si>
  <si>
    <t>Hypoxidaceae</t>
  </si>
  <si>
    <t>Empodium</t>
  </si>
  <si>
    <t>plicatum</t>
  </si>
  <si>
    <t>Spiloxene</t>
  </si>
  <si>
    <t>Icacinaceae</t>
  </si>
  <si>
    <t>Apodytes</t>
  </si>
  <si>
    <t>dimidiata</t>
  </si>
  <si>
    <t>Iridaceae</t>
  </si>
  <si>
    <t>Aristea</t>
  </si>
  <si>
    <t>oligocephala</t>
  </si>
  <si>
    <t>spiralis</t>
  </si>
  <si>
    <t>Babiana</t>
  </si>
  <si>
    <t>ambigua</t>
  </si>
  <si>
    <t>Bobartia</t>
  </si>
  <si>
    <t>Chasmanthe</t>
  </si>
  <si>
    <t>Geissorhiza</t>
  </si>
  <si>
    <t>aspera</t>
  </si>
  <si>
    <t>Gladiolus</t>
  </si>
  <si>
    <t>brevifolius</t>
  </si>
  <si>
    <t>carinatus</t>
  </si>
  <si>
    <t>carneus</t>
  </si>
  <si>
    <t>cunonius</t>
  </si>
  <si>
    <t>martleyi</t>
  </si>
  <si>
    <t>meridionalis</t>
  </si>
  <si>
    <t>miniatus</t>
  </si>
  <si>
    <t>overbergensis</t>
  </si>
  <si>
    <t>rogersii</t>
  </si>
  <si>
    <t>vaginatus</t>
  </si>
  <si>
    <t>variegatus</t>
  </si>
  <si>
    <t>Hesperantha</t>
  </si>
  <si>
    <t>falcata</t>
  </si>
  <si>
    <t>Ixia</t>
  </si>
  <si>
    <t>dubia</t>
  </si>
  <si>
    <t>flexuosa</t>
  </si>
  <si>
    <t>odorata</t>
  </si>
  <si>
    <t>Moraea</t>
  </si>
  <si>
    <t>angusta</t>
  </si>
  <si>
    <t>bulbillifera</t>
  </si>
  <si>
    <t>collina</t>
  </si>
  <si>
    <t>fugax</t>
  </si>
  <si>
    <t>miniata</t>
  </si>
  <si>
    <t>neglecta</t>
  </si>
  <si>
    <t>climber</t>
  </si>
  <si>
    <t>ramosissima</t>
  </si>
  <si>
    <t>setifolia</t>
  </si>
  <si>
    <t>tripetala</t>
  </si>
  <si>
    <t>virgata</t>
  </si>
  <si>
    <t>viscaria</t>
  </si>
  <si>
    <t>Romulea</t>
  </si>
  <si>
    <t>flava</t>
  </si>
  <si>
    <t>obscura</t>
  </si>
  <si>
    <t>Sparaxis</t>
  </si>
  <si>
    <t>grandiflora</t>
  </si>
  <si>
    <t>Watsonia</t>
  </si>
  <si>
    <t>stenosiphon</t>
  </si>
  <si>
    <t>Juncaceae</t>
  </si>
  <si>
    <t>Juncus</t>
  </si>
  <si>
    <t>cephalotes</t>
  </si>
  <si>
    <t>Juncaginaceae</t>
  </si>
  <si>
    <t>Triglochin</t>
  </si>
  <si>
    <t>striata</t>
  </si>
  <si>
    <t>Kiggelariaceae</t>
  </si>
  <si>
    <t>Kiggelaria</t>
  </si>
  <si>
    <t>code</t>
  </si>
  <si>
    <t>Lamiaceae</t>
  </si>
  <si>
    <t>Leonotis</t>
  </si>
  <si>
    <t>leonurus</t>
  </si>
  <si>
    <t xml:space="preserve">Mentha </t>
  </si>
  <si>
    <t>aquatica</t>
  </si>
  <si>
    <t>Salvia</t>
  </si>
  <si>
    <t>africana-lutea</t>
  </si>
  <si>
    <t>Stachys</t>
  </si>
  <si>
    <t>Lauraceae</t>
  </si>
  <si>
    <t>Cassytha</t>
  </si>
  <si>
    <t>ciliolata</t>
  </si>
  <si>
    <t>Lentibulariaceae</t>
  </si>
  <si>
    <t>Utricularia</t>
  </si>
  <si>
    <t>bisquamata</t>
  </si>
  <si>
    <t>Linaceae</t>
  </si>
  <si>
    <t>Linum</t>
  </si>
  <si>
    <t>Malvaceae</t>
  </si>
  <si>
    <t>Anisodontea</t>
  </si>
  <si>
    <t>scabrosa</t>
  </si>
  <si>
    <t>Hermannia</t>
  </si>
  <si>
    <t>flammea</t>
  </si>
  <si>
    <t>grossularifolia</t>
  </si>
  <si>
    <t>hyssopifolia</t>
  </si>
  <si>
    <t>joubertiana</t>
  </si>
  <si>
    <t>ternifolia</t>
  </si>
  <si>
    <t>trifoliata</t>
  </si>
  <si>
    <t>Hibiscus</t>
  </si>
  <si>
    <t>trionum</t>
  </si>
  <si>
    <t>Menispermaceae</t>
  </si>
  <si>
    <t>Cissampelos</t>
  </si>
  <si>
    <t>Molluginaceae</t>
  </si>
  <si>
    <t>Adenogramma</t>
  </si>
  <si>
    <t>lichtensteiniana</t>
  </si>
  <si>
    <t>Mollugo</t>
  </si>
  <si>
    <t>cerviana</t>
  </si>
  <si>
    <t>Pharnaceum</t>
  </si>
  <si>
    <t>lanatum</t>
  </si>
  <si>
    <t>lineare</t>
  </si>
  <si>
    <t>Myricaceae</t>
  </si>
  <si>
    <t>Morella</t>
  </si>
  <si>
    <t>cordifolia</t>
  </si>
  <si>
    <t>quercifolia</t>
  </si>
  <si>
    <t>Myrsinaceae</t>
  </si>
  <si>
    <t>Myrsine</t>
  </si>
  <si>
    <t>Rapanea</t>
  </si>
  <si>
    <t>X 354712, Y 6175495</t>
  </si>
  <si>
    <t>X 354682, Y 6175411</t>
  </si>
  <si>
    <t>X 354630, Y 6175398</t>
  </si>
  <si>
    <t>X 355281, Y 6175238</t>
  </si>
  <si>
    <t>X 355431, Y 6175319</t>
  </si>
  <si>
    <t>X 355413, Y 6175194</t>
  </si>
  <si>
    <t>X 355738, Y 6174998</t>
  </si>
  <si>
    <t>X 355904, Y 6175069</t>
  </si>
  <si>
    <t>X 355885, Y 6175157</t>
  </si>
  <si>
    <t>X 355752, Y 6175225</t>
  </si>
  <si>
    <t>X 355388, Y 6175299</t>
  </si>
  <si>
    <t>X 355320, Y 6175418</t>
  </si>
  <si>
    <t>X 355331, Y 6175667</t>
  </si>
  <si>
    <t>X 354955, Y 6175596</t>
  </si>
  <si>
    <t>M. Mergili, 04.11.2004 NN/NN/NN/NN</t>
  </si>
  <si>
    <t>X 358561, Y 6178650</t>
  </si>
  <si>
    <t>X 358545, Y 6178671</t>
  </si>
  <si>
    <t>X 358792, Y 6178578</t>
  </si>
  <si>
    <t>X 358998, Y 6178504</t>
  </si>
  <si>
    <t>X 358863, Y 6178639</t>
  </si>
  <si>
    <t>X 359185, Y 6178446</t>
  </si>
  <si>
    <t>X 359381, Y 6178461</t>
  </si>
  <si>
    <t>X 359518, Y 6178467</t>
  </si>
  <si>
    <t>X 359509, Y 6178434</t>
  </si>
  <si>
    <t>X 359468, Y 6178146</t>
  </si>
  <si>
    <t>X 359426, Y 6178079</t>
  </si>
  <si>
    <t>X 358836, Y 6178193</t>
  </si>
  <si>
    <t>X 358740, Y 6178129</t>
  </si>
  <si>
    <t>X 358607, Y 6178106</t>
  </si>
  <si>
    <t>X 358541, Y 6178188</t>
  </si>
  <si>
    <t>X 358607, Y 6178204</t>
  </si>
  <si>
    <t>X 358013, Y 6178197</t>
  </si>
  <si>
    <t>X 359057, Y 6178331</t>
  </si>
  <si>
    <t>X 358685, Y 6178442</t>
  </si>
  <si>
    <t>X 358335, Y 6178475</t>
  </si>
  <si>
    <t>X 357255, Y 6178660</t>
  </si>
  <si>
    <t>melanophloeos</t>
  </si>
  <si>
    <t>Oleaceae</t>
  </si>
  <si>
    <t>Chionanthus</t>
  </si>
  <si>
    <t>foveolatus</t>
  </si>
  <si>
    <t>Olea</t>
  </si>
  <si>
    <t>exasperata</t>
  </si>
  <si>
    <t>Oliniaceae</t>
  </si>
  <si>
    <t>Olinia</t>
  </si>
  <si>
    <t>ventosa</t>
  </si>
  <si>
    <t>Onagraceae</t>
  </si>
  <si>
    <t>Epilobium</t>
  </si>
  <si>
    <t>hirsutum</t>
  </si>
  <si>
    <t>Orchidaceae</t>
  </si>
  <si>
    <t>Acrolophia</t>
  </si>
  <si>
    <t>lamellata</t>
  </si>
  <si>
    <t>micrantha</t>
  </si>
  <si>
    <t>Bartholina</t>
  </si>
  <si>
    <t>etheliae</t>
  </si>
  <si>
    <t>Bonatea</t>
  </si>
  <si>
    <t>speciosa</t>
  </si>
  <si>
    <t>Corycium</t>
  </si>
  <si>
    <t>bicolorum</t>
  </si>
  <si>
    <t>carnosum</t>
  </si>
  <si>
    <t>orobanchoides</t>
  </si>
  <si>
    <t>Disa</t>
  </si>
  <si>
    <t>bracteata</t>
  </si>
  <si>
    <t>cornuta</t>
  </si>
  <si>
    <t>densiflora</t>
  </si>
  <si>
    <t>graminifolia</t>
  </si>
  <si>
    <t>hallackii</t>
  </si>
  <si>
    <t>Disperis</t>
  </si>
  <si>
    <t>Eulophia</t>
  </si>
  <si>
    <t>Holothrix</t>
  </si>
  <si>
    <t>exilis</t>
  </si>
  <si>
    <t>mundii</t>
  </si>
  <si>
    <t>Pterygodium</t>
  </si>
  <si>
    <t>caffrum</t>
  </si>
  <si>
    <t>catholicum</t>
  </si>
  <si>
    <t>volucris</t>
  </si>
  <si>
    <t>Satyrium</t>
  </si>
  <si>
    <t>bicallosum</t>
  </si>
  <si>
    <t>bracteatum</t>
  </si>
  <si>
    <t>carneum</t>
  </si>
  <si>
    <t>coriifolium</t>
  </si>
  <si>
    <t>ligulatum</t>
  </si>
  <si>
    <t>lupulinum</t>
  </si>
  <si>
    <t>odorum</t>
  </si>
  <si>
    <t>Orobanchaceae</t>
  </si>
  <si>
    <t>Alectra</t>
  </si>
  <si>
    <t>lurida</t>
  </si>
  <si>
    <t>Harveya</t>
  </si>
  <si>
    <t>squamosa</t>
  </si>
  <si>
    <t>tubulosa</t>
  </si>
  <si>
    <t>Hyobanche</t>
  </si>
  <si>
    <t>sanguinea</t>
  </si>
  <si>
    <t>Melasma</t>
  </si>
  <si>
    <t>scabrum</t>
  </si>
  <si>
    <t>Orobanche</t>
  </si>
  <si>
    <t>ramosa</t>
  </si>
  <si>
    <t>Oxalidaceae</t>
  </si>
  <si>
    <t>Oxalis</t>
  </si>
  <si>
    <t>caprina</t>
  </si>
  <si>
    <t>glabra</t>
  </si>
  <si>
    <t>lindaviana</t>
  </si>
  <si>
    <t>luteola</t>
  </si>
  <si>
    <t>obtusa</t>
  </si>
  <si>
    <t>pardalis</t>
  </si>
  <si>
    <t>polyphylla</t>
  </si>
  <si>
    <t>purpurea</t>
  </si>
  <si>
    <t>stellata</t>
  </si>
  <si>
    <t>Penaeaceae</t>
  </si>
  <si>
    <t>Penaea</t>
  </si>
  <si>
    <t>mucronata</t>
  </si>
  <si>
    <t>Plumbaginaceae</t>
  </si>
  <si>
    <t>Limonium</t>
  </si>
  <si>
    <t>Axonopus</t>
  </si>
  <si>
    <t>Brachypodium</t>
  </si>
  <si>
    <t>flexum</t>
  </si>
  <si>
    <t>Cymbopogon</t>
  </si>
  <si>
    <t>marginatus</t>
  </si>
  <si>
    <t>Ehrharta</t>
  </si>
  <si>
    <t>calycina</t>
  </si>
  <si>
    <t>erecta</t>
  </si>
  <si>
    <t>schlechteriana</t>
  </si>
  <si>
    <t>Eragrostis</t>
  </si>
  <si>
    <t xml:space="preserve">Festuca </t>
  </si>
  <si>
    <t>Helictotrichon</t>
  </si>
  <si>
    <t>Koeleria</t>
  </si>
  <si>
    <t>Melica</t>
  </si>
  <si>
    <t>Pentaschistis</t>
  </si>
  <si>
    <t>barbata</t>
  </si>
  <si>
    <t>colorata</t>
  </si>
  <si>
    <t>pallida</t>
  </si>
  <si>
    <t>spots</t>
  </si>
  <si>
    <r>
      <t>a</t>
    </r>
    <r>
      <rPr>
        <sz val="10"/>
        <rFont val="Arial"/>
      </rPr>
      <t>-diversity</t>
    </r>
  </si>
  <si>
    <r>
      <t>g</t>
    </r>
    <r>
      <rPr>
        <sz val="10"/>
        <rFont val="Arial"/>
      </rPr>
      <t>-diversity</t>
    </r>
  </si>
  <si>
    <t>description</t>
  </si>
  <si>
    <t>note</t>
  </si>
  <si>
    <t>transition 61/115</t>
  </si>
  <si>
    <t>transition 61/60</t>
  </si>
  <si>
    <t>like releve 61</t>
  </si>
  <si>
    <t>top of ridge</t>
  </si>
  <si>
    <t>ridge</t>
  </si>
  <si>
    <t>fence</t>
  </si>
  <si>
    <t>transition 104/106</t>
  </si>
  <si>
    <t>transition 106/108</t>
  </si>
  <si>
    <t>Senecio rigidus</t>
  </si>
  <si>
    <t>tenuifolia ssp. ciliaris</t>
  </si>
  <si>
    <t>Wahl and</t>
  </si>
  <si>
    <t>Erica sp.</t>
  </si>
  <si>
    <t>Eric sp.</t>
  </si>
  <si>
    <t>ANNM XXX</t>
  </si>
  <si>
    <t>XXXX BLH</t>
  </si>
  <si>
    <t>GEOM XXX</t>
  </si>
  <si>
    <t>ANNM BLS</t>
  </si>
  <si>
    <t>Sela asp</t>
  </si>
  <si>
    <t>transition to Rooikrans</t>
  </si>
  <si>
    <t>lower edge of forest</t>
  </si>
  <si>
    <t>transition 153/154</t>
  </si>
  <si>
    <t>transition to 134</t>
  </si>
  <si>
    <t>like 63 Leucsp7, Chrys 7</t>
  </si>
  <si>
    <t>transition 58/acid sand</t>
  </si>
  <si>
    <t>end of repens left side</t>
  </si>
  <si>
    <t>transition 63/f63worepens leuc.con40, asp. Cil 15, othol 10</t>
  </si>
  <si>
    <t>fence 10 m down</t>
  </si>
  <si>
    <t>directory:</t>
  </si>
  <si>
    <t>statistics</t>
  </si>
  <si>
    <t>a</t>
  </si>
  <si>
    <t>b</t>
  </si>
  <si>
    <t>Afromontane Forest (6 releves)</t>
  </si>
  <si>
    <t>transition to L. coniferum dominated</t>
  </si>
  <si>
    <t>more L. coniferum (45%)</t>
  </si>
  <si>
    <t>transition</t>
  </si>
  <si>
    <t>Olea capensis ssp. macrocarpa</t>
  </si>
  <si>
    <t>transition to 210</t>
  </si>
  <si>
    <t>transition to mesic fynbos</t>
  </si>
  <si>
    <t>transition to sparse fynbos</t>
  </si>
  <si>
    <t>Scabiosa sp.</t>
  </si>
  <si>
    <t>content: S. Privett, M. Mergili; design: M. Mergili - © 2005 Grootbos Nature Reserve</t>
  </si>
  <si>
    <t>Nr. old</t>
  </si>
  <si>
    <t>core</t>
  </si>
  <si>
    <t>ext</t>
  </si>
  <si>
    <t>Endemic</t>
  </si>
  <si>
    <t xml:space="preserve">Endangered </t>
  </si>
  <si>
    <t>Vulnerable</t>
  </si>
  <si>
    <t>Rare</t>
  </si>
  <si>
    <t xml:space="preserve">Indeterminate </t>
  </si>
  <si>
    <t xml:space="preserve">Insufficiently Known </t>
  </si>
  <si>
    <t>Not threatened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</si>
  <si>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</si>
  <si>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</si>
  <si>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</si>
  <si>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</si>
  <si>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</si>
  <si>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</si>
  <si>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</si>
  <si>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</si>
  <si>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</si>
  <si>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</si>
  <si>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</si>
  <si>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</si>
  <si>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</si>
  <si>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Unknown</t>
  </si>
  <si>
    <t>beginning of shrubs (Euclea, Rhus laevigata) and Stoebe</t>
  </si>
  <si>
    <t>transition to Leucadendron forest</t>
  </si>
  <si>
    <t>transition to wet wetland</t>
  </si>
  <si>
    <t>transition to medium wetland</t>
  </si>
  <si>
    <t>transition to fynbos</t>
  </si>
  <si>
    <t>Rhus tomentosa</t>
  </si>
  <si>
    <t>down in valley: lots of ferns</t>
  </si>
  <si>
    <t>one individual of Protea obtusifolia</t>
  </si>
  <si>
    <t>beginning of Aspalathus microphylla</t>
  </si>
  <si>
    <t>beginning of Protea repens</t>
  </si>
  <si>
    <t>end of Protea repens fynbos</t>
  </si>
  <si>
    <t>end of P. repens undergrowth/beginning of E. coccinea</t>
  </si>
  <si>
    <t>Rooikrans</t>
  </si>
  <si>
    <t>Carpobrotus sp.</t>
  </si>
  <si>
    <t>end of Erica coccinea</t>
  </si>
  <si>
    <t>Pseudopentameris</t>
  </si>
  <si>
    <t>macrantha</t>
  </si>
  <si>
    <t>Sporobolus</t>
  </si>
  <si>
    <t>Stenotaphrum</t>
  </si>
  <si>
    <t>secundatum</t>
  </si>
  <si>
    <t>dregeana</t>
  </si>
  <si>
    <t>Themeda</t>
  </si>
  <si>
    <t>triandra</t>
  </si>
  <si>
    <t xml:space="preserve">Tribolium </t>
  </si>
  <si>
    <t>hispidum</t>
  </si>
  <si>
    <t>Polygalaceae</t>
  </si>
  <si>
    <t>Muraltia</t>
  </si>
  <si>
    <t>divaricata</t>
  </si>
  <si>
    <t>filiformis</t>
  </si>
  <si>
    <t>heisteria</t>
  </si>
  <si>
    <t>satureioides</t>
  </si>
  <si>
    <t>stipulacea</t>
  </si>
  <si>
    <t>Nylandtia</t>
  </si>
  <si>
    <t>spinosa</t>
  </si>
  <si>
    <t>Polygala</t>
  </si>
  <si>
    <t>bracteolata</t>
  </si>
  <si>
    <t>dasyphylla</t>
  </si>
  <si>
    <t>myrtifolia</t>
  </si>
  <si>
    <t>pubiflora</t>
  </si>
  <si>
    <t>uncinata</t>
  </si>
  <si>
    <t>Polygonaceae</t>
  </si>
  <si>
    <t>Emex</t>
  </si>
  <si>
    <t>australis</t>
  </si>
  <si>
    <t>Rumex</t>
  </si>
  <si>
    <t>cordatus</t>
  </si>
  <si>
    <t>Polypodiaceae</t>
  </si>
  <si>
    <t>Pleopeltis</t>
  </si>
  <si>
    <t>Proteaceae</t>
  </si>
  <si>
    <t>Aulax</t>
  </si>
  <si>
    <t>Leucadendron</t>
  </si>
  <si>
    <t>coniferum</t>
  </si>
  <si>
    <t>salignum</t>
  </si>
  <si>
    <t>tinctum</t>
  </si>
  <si>
    <t>xanthoconus</t>
  </si>
  <si>
    <t>Leucospermum</t>
  </si>
  <si>
    <t>Dune Asteraceous Fynbos (disturbed)</t>
  </si>
  <si>
    <t>Dune Asteraceous Fynbos (19 releves)</t>
  </si>
  <si>
    <t>Dune Asteraceous Fynbos (disturbed) (1 releves)</t>
  </si>
  <si>
    <t>Thamnochortus fraternus Restioid Fynbos (7 releves)</t>
  </si>
  <si>
    <t>Erica coccinea Ericoid Fynbos (1 releves)</t>
  </si>
  <si>
    <t>Protea obtusifolia Proteoid Fynbos (3 releves)</t>
  </si>
  <si>
    <t>1 (1)</t>
  </si>
  <si>
    <t>2 (0)</t>
  </si>
  <si>
    <t>patersonii</t>
  </si>
  <si>
    <t>prostratum</t>
  </si>
  <si>
    <t>Mimetes</t>
  </si>
  <si>
    <t>cucullatus</t>
  </si>
  <si>
    <t>Protea</t>
  </si>
  <si>
    <t>acaulos</t>
  </si>
  <si>
    <t>cynaroides</t>
  </si>
  <si>
    <t>obtusifolia</t>
  </si>
  <si>
    <t>Pteridaceae</t>
  </si>
  <si>
    <t>Adiantum</t>
  </si>
  <si>
    <t>aethiopicum</t>
  </si>
  <si>
    <t>capillus-veneris</t>
  </si>
  <si>
    <t>Pteris</t>
  </si>
  <si>
    <t>Ranunculaceae</t>
  </si>
  <si>
    <t>Knowltonia</t>
  </si>
  <si>
    <t>vesicatoria ssp. grossa</t>
  </si>
  <si>
    <t>vesicatoria ssp. humilis</t>
  </si>
  <si>
    <t>Restionaceae</t>
  </si>
  <si>
    <t>Calopsis</t>
  </si>
  <si>
    <t>adpressa</t>
  </si>
  <si>
    <t>viminea</t>
  </si>
  <si>
    <t>Cannomois</t>
  </si>
  <si>
    <t>Chondropetalum</t>
  </si>
  <si>
    <t>microcarpum</t>
  </si>
  <si>
    <t>tectorum</t>
  </si>
  <si>
    <t>Elegia</t>
  </si>
  <si>
    <t>filacea</t>
  </si>
  <si>
    <t>juncea</t>
  </si>
  <si>
    <t>muirii</t>
  </si>
  <si>
    <t>thyrsifera</t>
  </si>
  <si>
    <t>Hypodiscus</t>
  </si>
  <si>
    <t>willdenowia</t>
  </si>
  <si>
    <t>Ischyrolepis</t>
  </si>
  <si>
    <t>eleocharis</t>
  </si>
  <si>
    <t>leptoclados</t>
  </si>
  <si>
    <t>Restio</t>
  </si>
  <si>
    <t>triticeus</t>
  </si>
  <si>
    <t>Thamnochortus</t>
  </si>
  <si>
    <t>erectus</t>
  </si>
  <si>
    <t>fraternus</t>
  </si>
  <si>
    <t>lucens</t>
  </si>
  <si>
    <t>Willdenowia</t>
  </si>
  <si>
    <t>teres</t>
  </si>
  <si>
    <t>Rhamnaceae</t>
  </si>
  <si>
    <t>Phylica</t>
  </si>
  <si>
    <t>axillaris var. maritima</t>
  </si>
  <si>
    <t>disticha</t>
  </si>
  <si>
    <t>dodii</t>
  </si>
  <si>
    <t>imberbis</t>
  </si>
  <si>
    <t>Trichocephalus</t>
  </si>
  <si>
    <t>stipularis</t>
  </si>
  <si>
    <t>Rosaceae</t>
  </si>
  <si>
    <t>Cliffortia</t>
  </si>
  <si>
    <t>anthospermoides</t>
  </si>
  <si>
    <t>ferruginea</t>
  </si>
  <si>
    <t>ilicifolia</t>
  </si>
  <si>
    <t>obcordata</t>
  </si>
  <si>
    <t>phyllanthoides</t>
  </si>
  <si>
    <t>strobilifera</t>
  </si>
  <si>
    <t>Rubiaceae</t>
  </si>
  <si>
    <t>hirtum</t>
  </si>
  <si>
    <t>Carpacoce</t>
  </si>
  <si>
    <t>vaginellata</t>
  </si>
  <si>
    <t>Galium</t>
  </si>
  <si>
    <t>tomentosum</t>
  </si>
  <si>
    <t>Nenax</t>
  </si>
  <si>
    <t>acerosa</t>
  </si>
  <si>
    <t>Rutaceae</t>
  </si>
  <si>
    <t>Agathosma</t>
  </si>
  <si>
    <t>apiculata</t>
  </si>
  <si>
    <t>cerefolium</t>
  </si>
  <si>
    <t>robusta</t>
  </si>
  <si>
    <t>serpyllacea</t>
  </si>
  <si>
    <t>Coleonema</t>
  </si>
  <si>
    <t>album</t>
  </si>
  <si>
    <t>Diosma</t>
  </si>
  <si>
    <t>Santalaceae</t>
  </si>
  <si>
    <t>Osyris</t>
  </si>
  <si>
    <t>compressa</t>
  </si>
  <si>
    <t>Thesidium</t>
  </si>
  <si>
    <t>fragile</t>
  </si>
  <si>
    <t>Thesium</t>
  </si>
  <si>
    <t>capituliflorum</t>
  </si>
  <si>
    <t>commutatum</t>
  </si>
  <si>
    <t>euphrasioides</t>
  </si>
  <si>
    <t>funale</t>
  </si>
  <si>
    <t>nigromontanum</t>
  </si>
  <si>
    <t>spicatum</t>
  </si>
  <si>
    <t>strictum</t>
  </si>
  <si>
    <t>Sapotaceae</t>
  </si>
  <si>
    <t>Sideroxylon</t>
  </si>
  <si>
    <t>inerme</t>
  </si>
  <si>
    <t>Schizaeaceae</t>
  </si>
  <si>
    <t>Schizaea</t>
  </si>
  <si>
    <t>Scrophulariaceae</t>
  </si>
  <si>
    <t>Dischisma</t>
  </si>
  <si>
    <t>ciliatum</t>
  </si>
  <si>
    <t>Halleria</t>
  </si>
  <si>
    <t>X 357155, Y 6178282</t>
  </si>
  <si>
    <t>M. Mergili, 06.11.2004 NN/NN/NN/NN</t>
  </si>
  <si>
    <t>X 357142, Y 6176645</t>
  </si>
  <si>
    <t>X 357487, Y 6176460</t>
  </si>
  <si>
    <t>X 357370, Y 6176543</t>
  </si>
  <si>
    <t>X 357431, Y 6176703</t>
  </si>
  <si>
    <t>X 357611, Y 6177207</t>
  </si>
  <si>
    <t>X 357488, Y 6177227</t>
  </si>
  <si>
    <t>X 357577, Y 6177365</t>
  </si>
  <si>
    <t>X 357641, Y 6177424</t>
  </si>
  <si>
    <t>X 358301, Y 6177290</t>
  </si>
  <si>
    <t>X 358418, Y 6177308</t>
  </si>
  <si>
    <t>X 358501, Y 6177350</t>
  </si>
  <si>
    <t>X 358730, Y 6177518</t>
  </si>
  <si>
    <t>X 358756, Y 6177588</t>
  </si>
  <si>
    <t>X 358646, Y 6177650</t>
  </si>
  <si>
    <t>X 358809, Y 6177767</t>
  </si>
  <si>
    <t>X 358906, Y 6178065</t>
  </si>
  <si>
    <t>X 354499, Y 6175422</t>
  </si>
  <si>
    <t>M. Mergili, 26.09.2004 CL/IP/IP/IP</t>
  </si>
  <si>
    <t>X 354755, Y 6176102</t>
  </si>
  <si>
    <t>M. Mergili, 22.10.2004 CL/IP/IP/IP</t>
  </si>
  <si>
    <t>X 356297, Y 6175012</t>
  </si>
  <si>
    <t>X 356288, Y 6175082</t>
  </si>
  <si>
    <t>M. Mergili, 09.10.2004 CL/IP/IP/IP</t>
  </si>
  <si>
    <t>X 355115, Y 6175318</t>
  </si>
  <si>
    <t>M. Mergili, 24.10.2004 CL/IP/IP/IP</t>
  </si>
  <si>
    <t>X 357749, Y 6177908</t>
  </si>
  <si>
    <t>X 354958, Y 6175491</t>
  </si>
  <si>
    <t>M. Mergili, 23.10.2004 CL/IP/IP/IP</t>
  </si>
  <si>
    <t>X 356500, Y 6176447</t>
  </si>
  <si>
    <t>X 356507, Y 6176425</t>
  </si>
  <si>
    <t>M. Mergili, 05.10.2004 CL/IP/IP/IP</t>
  </si>
  <si>
    <t>X 357686, Y 6179197</t>
  </si>
  <si>
    <t>M. Mergili, 29.09.2004 CL/IP/IP/IP</t>
  </si>
  <si>
    <t>X 357904, Y 6179160</t>
  </si>
  <si>
    <t>X 357939, Y 6177577</t>
  </si>
  <si>
    <t>X 356586, Y 6179143</t>
  </si>
  <si>
    <t>M. Mergili, 01.10.2004 IP/IP/IP/IP</t>
  </si>
  <si>
    <t>X 359444, Y 6179087</t>
  </si>
  <si>
    <t>X 357999, Y 6179354</t>
  </si>
  <si>
    <t>M. Mergili, 01.10.2004 CL/IP/IP/IP</t>
  </si>
  <si>
    <t>X 358660, Y 6179080</t>
  </si>
  <si>
    <t>X 359046, Y 6179207</t>
  </si>
  <si>
    <t>M. Mergili, 03.10.2004 IP/IP/IP/IP</t>
  </si>
  <si>
    <t>X 359447, Y 6178415</t>
  </si>
  <si>
    <t>X 358962, Y 6178591</t>
  </si>
  <si>
    <t>X 357503, Y 6178735</t>
  </si>
  <si>
    <t>M. Mergili, 18.10.2004 IP/IP/IP/IP</t>
  </si>
  <si>
    <t>X 359162, Y 6178383</t>
  </si>
  <si>
    <t>1 (core) Milkwood Scrub Forest 12/128,5</t>
  </si>
  <si>
    <t>pH 7,4, res. 590, Na 216, P 156, K 147, Ca 42,05, Mg 6,92</t>
  </si>
  <si>
    <t>2 (core) Milkwood Scrub Forest 12/216,5</t>
  </si>
  <si>
    <t>pH 7,5, res. 640, Na 173, P 129, K 125, Ca 36,04, Mg 4,49</t>
  </si>
  <si>
    <t>3 (core) Milkwood Scrub Forest 13/109</t>
  </si>
  <si>
    <t>pH 7,5, res. 490, Na 238, P 121, K 179, Ca 54,5, Mg 5,98</t>
  </si>
  <si>
    <t>4 (core) Afromontane Forest 18/137</t>
  </si>
  <si>
    <t>pH 6,4, res. 440, Na 169, P 126, K 207, Ca 43,02, Mg 7,24</t>
  </si>
  <si>
    <t>5 (core) Afromontane Forest 16/128,5</t>
  </si>
  <si>
    <t>pH 6,1, res. 530, Na 265, P 63, K 175, Ca 33,53, Mg 8,3</t>
  </si>
  <si>
    <t>6 (core) Afromontane Forest 12/121</t>
  </si>
  <si>
    <t>pH 7,1, res. 260, Na 99, P 128, K 116, Ca 40,07, Mg 4,01</t>
  </si>
  <si>
    <t>7 (core) Afromontane Forest 8/108,5</t>
  </si>
  <si>
    <t>pH 7,1, res. 290, Na 206, P 217, K 364, Ca 52,2, Mg 8,13</t>
  </si>
  <si>
    <t>8 (core) Afromontane Forest 14/126</t>
  </si>
  <si>
    <t>pH 6, res. 320, Na 296, P 139, K 311, Ca 39,8, Mg 7,79</t>
  </si>
  <si>
    <t>9 (core) Dune Asteraceous Fynbos 34/194,5</t>
  </si>
  <si>
    <t>pH 7,9, res. 2100, Na 110, P 35, K 21, Ca 26,45, Mg 2,1</t>
  </si>
  <si>
    <t>Hebenstretia</t>
  </si>
  <si>
    <t>Hemimeris</t>
  </si>
  <si>
    <t>sabulosa</t>
  </si>
  <si>
    <t>calcicola</t>
  </si>
  <si>
    <t>curvula</t>
  </si>
  <si>
    <t>skraarlbossie</t>
  </si>
  <si>
    <t>kapkoppie</t>
  </si>
  <si>
    <t>bergharpuisbos</t>
  </si>
  <si>
    <t>wildemargriet</t>
  </si>
  <si>
    <t>roosmaryntaaibos</t>
  </si>
  <si>
    <t>renostergousblom</t>
  </si>
  <si>
    <t>Geophyte</t>
  </si>
  <si>
    <t>Succulent</t>
  </si>
  <si>
    <t>Shrublet</t>
  </si>
  <si>
    <t>Shrublet*</t>
  </si>
  <si>
    <t>Shrub to tree</t>
  </si>
  <si>
    <t>Shrub</t>
  </si>
  <si>
    <t>Climber</t>
  </si>
  <si>
    <t>ann. or per.</t>
  </si>
  <si>
    <t>Fern</t>
  </si>
  <si>
    <t>biannual</t>
  </si>
  <si>
    <t>Tree</t>
  </si>
  <si>
    <t>shrublet*</t>
  </si>
  <si>
    <t>shrub*</t>
  </si>
  <si>
    <t>Graminoid</t>
  </si>
  <si>
    <t xml:space="preserve">Graminoid  </t>
  </si>
  <si>
    <t>climber**</t>
  </si>
  <si>
    <t>Parasite</t>
  </si>
  <si>
    <t xml:space="preserve">Shrub </t>
  </si>
  <si>
    <t>shrublet**</t>
  </si>
  <si>
    <t>life form</t>
  </si>
  <si>
    <t>Jamesbrittenia</t>
  </si>
  <si>
    <t>albomarginata</t>
  </si>
  <si>
    <t>Lyperia</t>
  </si>
  <si>
    <t>tristis</t>
  </si>
  <si>
    <t>Manulea</t>
  </si>
  <si>
    <t>caledonica</t>
  </si>
  <si>
    <t>cheiranthus</t>
  </si>
  <si>
    <t>rubra</t>
  </si>
  <si>
    <t>Nemesia</t>
  </si>
  <si>
    <t>bicornis</t>
  </si>
  <si>
    <t>diffusa</t>
  </si>
  <si>
    <t>Pseudoselago</t>
  </si>
  <si>
    <t>spuria</t>
  </si>
  <si>
    <t>Selago</t>
  </si>
  <si>
    <t>scabrida</t>
  </si>
  <si>
    <t>Sutera</t>
  </si>
  <si>
    <t>caerula</t>
  </si>
  <si>
    <t>Zaluzianskya</t>
  </si>
  <si>
    <t>Solanaceae</t>
  </si>
  <si>
    <t>afrum</t>
  </si>
  <si>
    <t>Solanum</t>
  </si>
  <si>
    <t>guineense</t>
  </si>
  <si>
    <t>linnaeanum</t>
  </si>
  <si>
    <t>nigrum</t>
  </si>
  <si>
    <t>retroflexum</t>
  </si>
  <si>
    <t>Tecophilaeaceae</t>
  </si>
  <si>
    <t>Cyanella</t>
  </si>
  <si>
    <t>hyacinthoides</t>
  </si>
  <si>
    <t>Thymelaeaceae</t>
  </si>
  <si>
    <t>Gnidia</t>
  </si>
  <si>
    <t>galpinii</t>
  </si>
  <si>
    <t>juniperifolia</t>
  </si>
  <si>
    <t>subulata</t>
  </si>
  <si>
    <t>Passerina</t>
  </si>
  <si>
    <t>paleacea</t>
  </si>
  <si>
    <t>vulgaris</t>
  </si>
  <si>
    <t>Struthiola</t>
  </si>
  <si>
    <t>Typhaceae</t>
  </si>
  <si>
    <t>Typha</t>
  </si>
  <si>
    <t>Urticaceae</t>
  </si>
  <si>
    <t>Didymodoxa</t>
  </si>
  <si>
    <t>Droguetia</t>
  </si>
  <si>
    <t>iners</t>
  </si>
  <si>
    <t>Verbenaceae</t>
  </si>
  <si>
    <t>Chascanum</t>
  </si>
  <si>
    <t>cernuum</t>
  </si>
  <si>
    <t>Violaceae</t>
  </si>
  <si>
    <t>Viola</t>
  </si>
  <si>
    <t>decumbens var. decumbens</t>
  </si>
  <si>
    <t>Viscaceae</t>
  </si>
  <si>
    <t>Viscum</t>
  </si>
  <si>
    <t>Vitaceae</t>
  </si>
  <si>
    <t>Rhoicissus</t>
  </si>
  <si>
    <t>digitata</t>
  </si>
  <si>
    <t>Zygophyllaceae</t>
  </si>
  <si>
    <t>Zygophyllum</t>
  </si>
  <si>
    <t>flexuosum</t>
  </si>
  <si>
    <t>sessilifolium</t>
  </si>
  <si>
    <t>spathulatum ssp. spathulatum</t>
  </si>
  <si>
    <t>expansa ssp. expansa</t>
  </si>
  <si>
    <t>expansa ssp. filicaulis</t>
  </si>
  <si>
    <t>Habitat</t>
  </si>
  <si>
    <t>Common Name</t>
  </si>
  <si>
    <t>bloulelie</t>
  </si>
  <si>
    <t>Elegia thyrsifera Restioid Fynbos</t>
  </si>
  <si>
    <t>Erica sessiliflora Ericaceous Fynbos</t>
  </si>
  <si>
    <t>Pteris dentata Shrubland</t>
  </si>
  <si>
    <t>X</t>
  </si>
  <si>
    <t>vetkousie</t>
  </si>
  <si>
    <t>Sand</t>
  </si>
  <si>
    <t>Loam</t>
  </si>
  <si>
    <t>hottentot fig, sour fig, suurvy</t>
  </si>
  <si>
    <t>livingstone daisy, bokbaaivygie</t>
  </si>
  <si>
    <t>rooiloodjie</t>
  </si>
  <si>
    <t>kinkelbossie</t>
  </si>
  <si>
    <t>wild garlic</t>
  </si>
  <si>
    <t>brakbossie</t>
  </si>
  <si>
    <t>candelabra flower</t>
  </si>
  <si>
    <t>witbrandlelie</t>
  </si>
  <si>
    <t>April fool, velskoenblaar, brandlelie</t>
  </si>
  <si>
    <t>dune crow-berry, duinekraaibessie</t>
  </si>
  <si>
    <t>blue kuni-bush, bloukoenibos</t>
  </si>
  <si>
    <t>dune taaibos, duinetaaibos</t>
  </si>
  <si>
    <t>blinktaaibos</t>
  </si>
  <si>
    <t>wild currant, korentebos</t>
  </si>
  <si>
    <t>wilde-anyswortel</t>
  </si>
  <si>
    <t>platdoring, pokkiesdoring</t>
  </si>
  <si>
    <t>tandpynwortel, water parsnip</t>
  </si>
  <si>
    <t>tontelblaar, tonteldoek</t>
  </si>
  <si>
    <t>grass-parsley</t>
  </si>
  <si>
    <t>bergseldery</t>
  </si>
  <si>
    <t>tandpynwortel</t>
  </si>
  <si>
    <t>transition to 62</t>
  </si>
  <si>
    <t>transition to (140)</t>
  </si>
  <si>
    <t>inconsistencies</t>
  </si>
  <si>
    <t>code shape</t>
  </si>
  <si>
    <t>transition to Thamnochortus erectus restioid fynbos</t>
  </si>
  <si>
    <t>transition to Elegia thyrsifera restioid fynbos</t>
  </si>
  <si>
    <t>triple junction</t>
  </si>
  <si>
    <t>transition to Leucadendron/first Elegia</t>
  </si>
  <si>
    <t>transition to Erica coccinea</t>
  </si>
  <si>
    <t>lower limit of Thamnochortus erectus</t>
  </si>
  <si>
    <t>transition to (171)</t>
  </si>
  <si>
    <t>lower margin of Thamnochortus erectus restioid fynbos</t>
  </si>
  <si>
    <t>transition to limestone</t>
  </si>
  <si>
    <t>like 64</t>
  </si>
  <si>
    <t>limestone</t>
  </si>
  <si>
    <t>margin of limestone</t>
  </si>
  <si>
    <t>patch of Erica lineata</t>
  </si>
  <si>
    <t>patch of Leucadendron coniferum</t>
  </si>
  <si>
    <t>Hellmuthia membranacea</t>
  </si>
  <si>
    <t>transition to like 161 with L. con. 8, L. pat. 2</t>
  </si>
  <si>
    <t>end of Thamnochortus erectus restioid fynbos</t>
  </si>
  <si>
    <t>bobbejaantou, bokhoring, klimop</t>
  </si>
  <si>
    <t>monkey rope, melktou</t>
  </si>
  <si>
    <t>shruppy, milkweed, tontelbossie</t>
  </si>
  <si>
    <t>bokhorinkies, wax creeper</t>
  </si>
  <si>
    <t>wax vine, kannetjies, skilpadbos</t>
  </si>
  <si>
    <t>arum or pig lily, varkblom</t>
  </si>
  <si>
    <t>haakdoring</t>
  </si>
  <si>
    <t>katdoring</t>
  </si>
  <si>
    <t>Wag-'n-bietjie</t>
  </si>
  <si>
    <t>red hot poker</t>
  </si>
  <si>
    <t>wildeblomkool</t>
  </si>
  <si>
    <t>watergras, hottentotskool</t>
  </si>
  <si>
    <t>Cape weed</t>
  </si>
  <si>
    <t>wormwood, wilde-alsies</t>
  </si>
  <si>
    <t>kouterbossie</t>
  </si>
  <si>
    <t>brother berry, bietou</t>
  </si>
  <si>
    <t>heuningbossie, plampers</t>
  </si>
  <si>
    <t>batchelor buttons, ganskos</t>
  </si>
  <si>
    <t>steekhaarbossie</t>
  </si>
  <si>
    <t>grootsteekhaarbos</t>
  </si>
  <si>
    <t>sewejaartjie, strooiblommetjie</t>
  </si>
  <si>
    <t>wild rosmary, kapokbossie</t>
  </si>
  <si>
    <t>dialsabossie, danielsbossie</t>
  </si>
  <si>
    <t>tontelblaarbossie</t>
  </si>
  <si>
    <t>brandbossie</t>
  </si>
  <si>
    <t>kooigoed</t>
  </si>
  <si>
    <t>rankals</t>
  </si>
  <si>
    <t>pluimaster</t>
  </si>
  <si>
    <t>blombossie</t>
  </si>
  <si>
    <t>blombos</t>
  </si>
  <si>
    <t>blombos, witsteekbossie</t>
  </si>
  <si>
    <t>stinkkruid</t>
  </si>
  <si>
    <t>Cliffortia obcordata</t>
  </si>
  <si>
    <t>belskruie, mountain daisy</t>
  </si>
  <si>
    <t>vaaltee</t>
  </si>
  <si>
    <t>flea-bane</t>
  </si>
  <si>
    <t>hongerblom</t>
  </si>
  <si>
    <t>Molteno disease plant</t>
  </si>
  <si>
    <t>wild cineraria, strandblommetjie</t>
  </si>
  <si>
    <t>tabakbos</t>
  </si>
  <si>
    <t>geelhongerblom</t>
  </si>
  <si>
    <t>179 (ext) Protea obtusifolia Proteoid Fynbos ND/ND</t>
  </si>
  <si>
    <t>180 (ext) Erica coccinea Ericoid Fynbos ND/ND</t>
  </si>
  <si>
    <t>181 (ext) Protea obtusifolia Proteoid Fynbos ND/ND</t>
  </si>
  <si>
    <t>182 (ext) Dune Asteraceous Fynbos ND/ND</t>
  </si>
  <si>
    <t>183 (ext) Elegia thyrsifera Restioid Fynbos ND/ND</t>
  </si>
  <si>
    <t>184 (ext) Transitional Proteoid Fynbos ND/ND</t>
  </si>
  <si>
    <t>185 (ext) Transitional Proteoid Fynbos ND/ND</t>
  </si>
  <si>
    <t>186 (ext) Transitional Proteoid Fynbos ND/ND</t>
  </si>
  <si>
    <t>187 (ext) Acid Sand Proteoid Fynbos ND/ND</t>
  </si>
  <si>
    <t>188 (ext) Transitional Proteoid Fynbos ND/ND</t>
  </si>
  <si>
    <t>189 (ext) Transitional Proteoid Fynbos ND/ND</t>
  </si>
  <si>
    <t>190 (ext) Transitional Proteoid Fynbos ND/ND</t>
  </si>
  <si>
    <t>191 (ext) Erica sessiliflora Ericaceous Fynbos ND/ND</t>
  </si>
  <si>
    <t>192 (ext) Acid Sand Proteoid Fynbos ND/ND</t>
  </si>
  <si>
    <t>193 (ext) Acid Sand Fynbos (post-fire regenerating) ND/ND</t>
  </si>
  <si>
    <t>194 (ext) Elegia thyrsifera Restioid Fynbos ND/ND</t>
  </si>
  <si>
    <t>195 (ext) Erica sessiliflora Ericaceous Fynbos ND/ND</t>
  </si>
  <si>
    <t>196 (ext) Acid Sand Proteoid Fynbos ND/ND</t>
  </si>
  <si>
    <t>197 (ext) Transitional Proteoid Fynbos ND/ND</t>
  </si>
  <si>
    <t>198 (ext) Transitional Proteoid Fynbos ND/ND</t>
  </si>
  <si>
    <t>fountain bush, bloukeur, penwortel</t>
  </si>
  <si>
    <t>klappertjies</t>
  </si>
  <si>
    <t>christmas berry,aambeibossie</t>
  </si>
  <si>
    <t>naeltjiesblom</t>
  </si>
  <si>
    <t>horlosies, vrouebossie</t>
  </si>
  <si>
    <t>wildemalva</t>
  </si>
  <si>
    <t>maagpynbossie, kanferblaar</t>
  </si>
  <si>
    <t>rose-scented pelargonium</t>
  </si>
  <si>
    <t>rooirabas, rooistingelhoutbas</t>
  </si>
  <si>
    <t>kaneeltjie, naelblom</t>
  </si>
  <si>
    <t>rooikanol</t>
  </si>
  <si>
    <t>wittamarak</t>
  </si>
  <si>
    <t>jeukbol</t>
  </si>
  <si>
    <t>rooinaeltjie</t>
  </si>
  <si>
    <t>chinkerinchee</t>
  </si>
  <si>
    <t>ploegtydblommetjie</t>
  </si>
  <si>
    <t>peacock flower, sterretjie</t>
  </si>
  <si>
    <t>white pear, witpeer</t>
  </si>
  <si>
    <t>maagbossie</t>
  </si>
  <si>
    <t>klipuintjie</t>
  </si>
  <si>
    <t>besembiesie, biesiesriet</t>
  </si>
  <si>
    <t>suurkanolpypie</t>
  </si>
  <si>
    <t>sysie, symblom</t>
  </si>
  <si>
    <t>rooipypie, painted lady</t>
  </si>
  <si>
    <t>blue afrikaner</t>
  </si>
  <si>
    <t>painted lady, bergpypie</t>
  </si>
  <si>
    <t>suikerkannetjie, lepelblom</t>
  </si>
  <si>
    <t>little painted lady</t>
  </si>
  <si>
    <t>riversdale bluebell</t>
  </si>
  <si>
    <t>aandblom, bontrokkie</t>
  </si>
  <si>
    <t>koringblommetjie, waaikalossie</t>
  </si>
  <si>
    <t>geeltulp</t>
  </si>
  <si>
    <t>uintjiestulp</t>
  </si>
  <si>
    <t>Cape tulip, aasuintjie</t>
  </si>
  <si>
    <t>hottentotsbrood, hottentotsuintjie</t>
  </si>
  <si>
    <t>pronktulp</t>
  </si>
  <si>
    <t>vleiuintjie</t>
  </si>
  <si>
    <t>10 (core) Dune Asteraceous Fynbos 31/140</t>
  </si>
  <si>
    <t>pH 8, res. 2460, Na 104, P 36, K 11, Ca 29,61, Mg 2,45</t>
  </si>
  <si>
    <t>11 (core) Dune Asteraceous Fynbos 27/110</t>
  </si>
  <si>
    <t>pH 8,1, res. 2500, Na 76, P 23, K 15, Ca 26,88, Mg 1,8</t>
  </si>
  <si>
    <t>12 (core) Dune Asteraceous Fynbos 22/156</t>
  </si>
  <si>
    <t>pH 8, res. 2160, Na 81, P 30, K 16, Ca 25,6, Mg 1,78</t>
  </si>
  <si>
    <t>13 (core) Dune Asteraceous Fynbos 39/111</t>
  </si>
  <si>
    <t>pH 8, res. 1570, Na 69, P 19, K 23, Ca 24,87, Mg 1,8</t>
  </si>
  <si>
    <t>14 (core) Neutral Sand Proteoid Fynbos 36/112</t>
  </si>
  <si>
    <t>pH 7,7, res. 1240, Na 134, P 55, K 55, Ca 46,26, Mg 2,64</t>
  </si>
  <si>
    <t>15 (core) Dune Asteraceous Fynbos (disturbed) 18/130</t>
  </si>
  <si>
    <t>pH 8, res. 2340, Na 116, P 44, K 16, Ca 56, Mg 1,51</t>
  </si>
  <si>
    <t>16 (core) Dune Asteraceous Fynbos 33/112,5</t>
  </si>
  <si>
    <t>pH 8, res. 1320, Na 46, P 22, K 26, Ca 29,3, Mg 2,09</t>
  </si>
  <si>
    <t>17 (core) Dune Asteraceous Fynbos 26/115,5</t>
  </si>
  <si>
    <t>pH 8, res. 2470, Na 90, P 34, K 13, Ca 25,56, Mg 1,72</t>
  </si>
  <si>
    <t>18 (core) Dune Asteraceous Fynbos 29/126,5</t>
  </si>
  <si>
    <t>pH 8, res. 2460, Na 86, P 32, K 19, Ca 24,82, Mg 2,01</t>
  </si>
  <si>
    <t>19 (core) Thamnochortus fraternus Restioid Fynbos 18/130</t>
  </si>
  <si>
    <t>pH 7,7, res. 730, Na 130, P 33, K 71, Ca 33,07, Mg 2,63</t>
  </si>
  <si>
    <t>20 (core) Thamnochortus fraternus Restioid Fynbos 22/114</t>
  </si>
  <si>
    <t>pH 7,8, res. 1420, Na 93, P 19, K 70, Ca 53,2, Mg 2,2</t>
  </si>
  <si>
    <t>21 (core) Thamnochortus fraternus Restioid Fynbos 25/118</t>
  </si>
  <si>
    <t>pH 7,6, res. 350, Na 211, P 74, K 132, Ca 43,57, Mg 3,25</t>
  </si>
  <si>
    <t>22 (core) Thamnochortus fraternus Restioid Fynbos 15/87,5</t>
  </si>
  <si>
    <t>pH 6,1, res. 1970, Na 36, P 13, K 57, Ca 15,18, Mg 1,84</t>
  </si>
  <si>
    <t>23 (core) Thamnochortus fraternus Restioid Fynbos 19/114,5</t>
  </si>
  <si>
    <t>pH 6, res. 1800, Na 87, P 13, K 61, Ca 11,56, Mg 1,66</t>
  </si>
  <si>
    <t>24 (core) Thamnochortus fraternus Restioid Fynbos 17/102,5</t>
  </si>
  <si>
    <t>pH 7,7, res. 1640, Na 76, P 22, K 45, Ca 35,51, Mg 1,83</t>
  </si>
  <si>
    <t>25 (core) Dune Asteraceous Fynbos 40/121,5</t>
  </si>
  <si>
    <t>pH 7,5, res. 480, Na 198, P 130, K 126, Ca 85,85, Mg 4,25</t>
  </si>
  <si>
    <t>26 (core) Neutral Sand Proteoid Fynbos 20/108</t>
  </si>
  <si>
    <t>pH 5,8, res. 3040, Na 6, P 6, K 8, Ca 6,36, Mg 0,61</t>
  </si>
  <si>
    <t>27 (core) Neutral Sand Proteoid Fynbos 19/109</t>
  </si>
  <si>
    <t>pH 4,8, res. 4450, Na 28, P 6, K 37, Ca 2,87, Mg 0,5</t>
  </si>
  <si>
    <t>28 (core) Neutral Sand Proteoid Fynbos 34/115</t>
  </si>
  <si>
    <t>pH 7,8, res. 3200, Na 108, P 47, K 18, Ca 64,65, Mg 1,02</t>
  </si>
  <si>
    <t>29 (core) Acid Sand Proteoid Fynbos 20/110</t>
  </si>
  <si>
    <t>pH 5,2, res. 2630, Na 36, P 5, K 32, Ca 6,05, Mg 0,91</t>
  </si>
  <si>
    <t>30 (core) Acid Sand Proteoid Fynbos 18/110</t>
  </si>
  <si>
    <t>pH 5,3, res. 2500, Na 6, P 6, K 10, Ca 4,25, Mg 0,91</t>
  </si>
  <si>
    <t>pH 5,3, res. 3100, Na 16, P 4, K 27, Ca 3,47, Mg 0,79</t>
  </si>
  <si>
    <t>pH 6,3, res. 1120, Na 20, P 52, K 36, Ca 20,79, Mg 1,87</t>
  </si>
  <si>
    <t>33 (core) Acid Sand Proteoid Fynbos 38/139,5</t>
  </si>
  <si>
    <t>pH 5,5, res. 1200, Na 71, P 12, K 101, Ca 11,79, Mg 3,19</t>
  </si>
  <si>
    <t>pH 5,5, res. 3200, Na 29, P 6, K 52, Ca 8,52, Mg 1,49</t>
  </si>
  <si>
    <t>35 (core) Dune Asteraceous Fynbos 21/94,5</t>
  </si>
  <si>
    <t>pH 5,9, res. 1590, Na 46, P 8, K 69, Ca 9,48, Mg 1,56</t>
  </si>
  <si>
    <t>36 (core) Neutral Sand Proteoid Fynbos 33/122</t>
  </si>
  <si>
    <t>pH 7,8, res. 1660, Na 87, P 122, K 38, Ca 66, Mg 1,14</t>
  </si>
  <si>
    <t>37 (core) Transitional Proteoid Fynbos 40/170</t>
  </si>
  <si>
    <t>pH 6, res. 1350, Na 20, P 5, K 23, Ca 8,71, Mg 1,19</t>
  </si>
  <si>
    <t>38 (core) Neutral Sand Proteoid Fynbos 17/103,5</t>
  </si>
  <si>
    <t>pH 5,1, res. 1520, Na 60, P 7, K 37, Ca 5,79, Mg 0,8</t>
  </si>
  <si>
    <t>39 (core) Protea repens Proteoid Fynbos 19/100,5</t>
  </si>
  <si>
    <t>pH 6,1, res. 4350, Na 10, P 48, K 32, Ca 5,64, Mg 0,65</t>
  </si>
  <si>
    <t>40 (core) Dune Asteraceous Fynbos 22/94</t>
  </si>
  <si>
    <t>pH 5,9, res. 3430, Na 11, P 9, K 21, Ca 4,07, Mg 0,71</t>
  </si>
  <si>
    <t>41 (core) Dune Asteraceous Fynbos 24/102,5</t>
  </si>
  <si>
    <t>pH 5,9, res. 2620, Na 12, P 12, K 30, Ca 7,95, Mg 0,86</t>
  </si>
  <si>
    <t>pH 5,2, res. 2440, Na 56, P 10, K 77, Ca 11,14, Mg 2,54</t>
  </si>
  <si>
    <t>pH 5,6, res. 1670, Na 23, P 9, K 54, Ca 11,68, Mg 1,75</t>
  </si>
  <si>
    <t>44 (core) Transitional Proteoid Fynbos 48/130</t>
  </si>
  <si>
    <t>pH 5,6, res. 2000, Na 22, P 7, K 37, Ca 7,61, Mg 1,39</t>
  </si>
  <si>
    <t>45 (core) Milkwood Scrub Forest 13/112,5</t>
  </si>
  <si>
    <t>pH 7,4, res. 890, Na 88, P 230, K 140, Ca 68,3, Mg 3,36</t>
  </si>
  <si>
    <t>46 (core) Thamnochortus fraternus Restioid Fynbos 23/92,5</t>
  </si>
  <si>
    <t>pH 8, res. 2180, Na 78, P 24, K 25, Ca 58,75, Mg 1,34</t>
  </si>
  <si>
    <t>47 (core) Dune Asteraceous Fynbos 16/103</t>
  </si>
  <si>
    <t>pH 7,9, res. 1540, Na 80, P 29, K 46, Ca 28,8, Mg 1,72</t>
  </si>
  <si>
    <t>48 (core) Afromontane Forest 11/88,5</t>
  </si>
  <si>
    <t>pH 7,4, res. 360, Na 131, P 131, K 213, Ca 60,5, Mg 5,43</t>
  </si>
  <si>
    <t>49 (core) Dune Asteraceous Fynbos 29/80,5</t>
  </si>
  <si>
    <t>pH 8,2, res. 2140, Na 41, P 51, K 22, Ca 33,75, Mg 1,27</t>
  </si>
  <si>
    <t>50 (core) Milkwood Scrub Forest 12/161</t>
  </si>
  <si>
    <t>True Wetland</t>
  </si>
  <si>
    <t>True Thicket</t>
  </si>
  <si>
    <t>31 (core) Transitional Proteoid Fynbos 25/124,5</t>
  </si>
  <si>
    <t>32 (core) True Wetland 9/94,5</t>
  </si>
  <si>
    <t>59 (core) True Wetland 13/120</t>
  </si>
  <si>
    <t>pH 8,1, res. 1070, Na 72, P 14, K 23, Ca 39,72, Mg 1,57</t>
  </si>
  <si>
    <t>58 (core) Pteris dentata Fernland 6/113</t>
  </si>
  <si>
    <t>pH 6,1, res. 1230, Na 29, P 79, K 90, Ca 19,5, Mg 1,62</t>
  </si>
  <si>
    <t>pH 7,9, res. 910, Na 66, P 23, K 44, Ca 35,65, Mg 1,58</t>
  </si>
  <si>
    <t>60 (core) Milkwood Scrub Forest 10/217</t>
  </si>
  <si>
    <t>pH 6,3, res. 1180, Na 39, P 72, K 19, Ca 12,9, Mg 0,63</t>
  </si>
  <si>
    <t>61 (core) Milkwood Scrub Forest 9/168,5</t>
  </si>
  <si>
    <t>pH 6,4, res. 1040, Na 38, P 119, K 28, Ca 9,03, Mg 1,35</t>
  </si>
  <si>
    <t>62 (core) Protea repens Proteoid Fynbos 19/141</t>
  </si>
  <si>
    <t>pH 5,6, res. 3250, Na 23, P 8, K 12, Ca 3,44, Mg 0,46</t>
  </si>
  <si>
    <t>63 (core) Dune Asteraceous Fynbos 22/109,5</t>
  </si>
  <si>
    <t>pH 8,2, res. 2150, Na 115, P 20, K 15, Ca 32,97, Mg 1,47</t>
  </si>
  <si>
    <t>64 (core) Acid Sand Proteoid Fynbos 40/120</t>
  </si>
  <si>
    <t>age 1000 yrs, substrate 5, soil depth 100 cm, rock cover 0 pc., texture Sand</t>
  </si>
  <si>
    <t>age 1000 yrs, substrate 4, soil depth 100 cm, rock cover 0 pc., texture Sand</t>
  </si>
  <si>
    <t>age 1000 yrs, substrate 1, soil depth 35 cm, rock cover 10 pc., texture Sand</t>
  </si>
  <si>
    <t>age 1000 yrs, substrate 1, soil depth 45 cm, rock cover 3 pc., texture Sand</t>
  </si>
  <si>
    <t>age 1000 yrs, substrate 1, soil depth 35 cm, rock cover 20 pc., texture Sand</t>
  </si>
  <si>
    <t>age 1000 yrs, substrate 1, soil depth 35 cm, rock cover 5 pc., texture Sand</t>
  </si>
  <si>
    <t>age 1000 yrs, substrate 1, soil depth 35 cm, rock cover 15 pc., texture Sand</t>
  </si>
  <si>
    <t>age 9 yrs, substrate 3, soil depth 100 cm, rock cover 0 pc., texture Sand</t>
  </si>
  <si>
    <t>age 9 yrs, substrate 6, soil depth 100 cm, rock cover 0 pc., texture Sand</t>
  </si>
  <si>
    <t>age 9 yrs, substrate 2, soil depth 0 cm, rock cover 25 pc., texture Sand</t>
  </si>
  <si>
    <t>age 9 yrs, substrate 1, soil depth 0 cm, rock cover 20 pc., texture Sand</t>
  </si>
  <si>
    <t>age 7 yrs, substrate 3, soil depth 100 cm, rock cover 0 pc., texture Sand</t>
  </si>
  <si>
    <t>age 7 yrs, substrate 2, soil depth 12 cm, rock cover 40 pc., texture Sand</t>
  </si>
  <si>
    <t>age 9 yrs, substrate 4, soil depth 100 cm, rock cover 0 pc., texture Sand</t>
  </si>
  <si>
    <t>age 7 yrs, substrate 1, soil depth 0 cm, rock cover 20 pc., texture Sand</t>
  </si>
  <si>
    <t>age 7 yrs, substrate 2, soil depth 5 cm, rock cover 15 pc., texture Sand</t>
  </si>
  <si>
    <t>age 9 yrs, substrate 2, soil depth 0 cm, rock cover 20 pc., texture Sand</t>
  </si>
  <si>
    <t>age 7 yrs, substrate 1, soil depth 0 cm, rock cover 15 pc., texture Sand</t>
  </si>
  <si>
    <t>age 7 yrs, substrate 1, soil depth 0 cm, rock cover 10 pc., texture Sand</t>
  </si>
  <si>
    <t>age 7 yrs, substrate 1, soil depth 0 cm, rock cover 25 pc., texture Sand</t>
  </si>
  <si>
    <t>age 7 yrs, substrate 1, soil depth 10 cm, rock cover 10 pc., texture Sand</t>
  </si>
  <si>
    <t>age 5 yrs, substrate 3, soil depth 100 cm, rock cover 0 pc., texture Sand</t>
  </si>
  <si>
    <t>age 7 yrs, substrate 1, soil depth 10 cm, rock cover 15 pc., texture Sand</t>
  </si>
  <si>
    <t>age 7 yrs, substrate 7, soil depth 15 cm, rock cover 20 pc., texture Sand</t>
  </si>
  <si>
    <t>age 7 yrs, substrate 8, soil depth 100 cm, rock cover 0 pc., texture Sand</t>
  </si>
  <si>
    <t>age 7 yrs, substrate 1, soil depth 10 cm, rock cover 20 pc., texture Sand</t>
  </si>
  <si>
    <t>age 7 yrs, substrate 1, soil depth 12 cm, rock cover 15 pc., texture Sand</t>
  </si>
  <si>
    <t>age 7 yrs, substrate 1, soil depth 100 cm, rock cover 25 pc., texture Sand</t>
  </si>
  <si>
    <t>age 9 yrs, substrate 1, soil depth 100 cm, rock cover 0 pc., texture Sand</t>
  </si>
  <si>
    <t>age 5 yrs, substrate 1, soil depth 100 cm, rock cover 5 pc., texture Sand</t>
  </si>
  <si>
    <t>age 5 yrs, substrate 1, soil depth 0 cm, rock cover 10 pc., texture Sand</t>
  </si>
  <si>
    <t>age 1 yrs, substrate 3, soil depth 100 cm, rock cover 0 pc., texture Sand</t>
  </si>
  <si>
    <t>age 1 yrs, substrate 1, soil depth 100 cm, rock cover 0 pc., texture Sand</t>
  </si>
  <si>
    <t>age 1 yrs, substrate 1, soil depth 5 cm, rock cover 20 pc., texture Sand</t>
  </si>
  <si>
    <t>age 5 yrs, substrate 1, soil depth 12 cm, rock cover 20 pc., texture Sand</t>
  </si>
  <si>
    <t>age 1 yrs, substrate 1, soil depth 5 cm, rock cover 15 pc., texture Sand</t>
  </si>
  <si>
    <t>age 1000 yrs, substrate 4, soil depth 25 cm, rock cover 10 pc., texture Sand</t>
  </si>
  <si>
    <t>age 7 yrs, substrate 4, soil depth 10 cm, rock cover 20 pc., texture Sand</t>
  </si>
  <si>
    <t>age 5 yrs, substrate ND, soil depth 100 cm, rock cover 0 pc., texture Sand</t>
  </si>
  <si>
    <t>age 1000 yrs, substrate ND, soil depth 20 cm, rock cover 15 pc., texture Sand</t>
  </si>
  <si>
    <t>age 10 yrs, substrate ND, soil depth 100 cm, rock cover 15 pc., texture Sand</t>
  </si>
  <si>
    <t>age 1000 yrs, substrate ND, soil depth 100 cm, rock cover 0 pc., texture Sand</t>
  </si>
  <si>
    <t>age 10 yrs, substrate ND, soil depth 100 cm, rock cover 0 pc., texture Sand</t>
  </si>
  <si>
    <t>age 10 yrs, substrate ND, soil depth 30 cm, rock cover 0 pc., texture Loam</t>
  </si>
  <si>
    <t>age 8 yrs, substrate ND, soil depth 100 cm, rock cover 0 pc., texture Sand</t>
  </si>
  <si>
    <t>age 10 yrs, substrate ND, soil depth 28 cm, rock cover 0 pc., texture Sand</t>
  </si>
  <si>
    <t>age 14 yrs, substrate ND, soil depth 100 cm, rock cover 0 pc., texture Sand</t>
  </si>
  <si>
    <t>age 14 yrs, substrate ND, soil depth 100 cm, rock cover 0 pc., texture Loam</t>
  </si>
  <si>
    <t>age 4 yrs, substrate ND, soil depth 100 cm, rock cover 0 pc., texture Sand</t>
  </si>
  <si>
    <t>age 4 yrs, substrate ND, soil depth 6 cm, rock cover 18 pc., texture Sand</t>
  </si>
  <si>
    <t>age 3 yrs, substrate ND, soil depth 2 cm, rock cover 40 pc., texture Sand</t>
  </si>
  <si>
    <t>age 8 yrs, substrate ND, soil depth 55 cm, rock cover 0 pc., texture Loam</t>
  </si>
  <si>
    <t>age 8 yrs, substrate ND, soil depth 45 cm, rock cover 0 pc., texture Sand</t>
  </si>
  <si>
    <t>age 3 yrs, substrate ND, soil depth 15 cm, rock cover 65 pc., texture Loam</t>
  </si>
  <si>
    <t>age 1904 yrs, substrate ND, soil depth ND cm, rock cover ND pc., texture ND</t>
  </si>
  <si>
    <t>age 8 yrs, substrate ND, soil depth ND cm, rock cover ND pc., texture ND</t>
  </si>
  <si>
    <t>age 10 yrs, substrate ND, soil depth ND cm, rock cover ND pc., texture ND</t>
  </si>
  <si>
    <t>age 14 yrs, substrate ND, soil depth ND cm, rock cover ND pc., texture ND</t>
  </si>
  <si>
    <t>age 8 yrs, substrate ND, soil depth ND cm, rock cover ND pc., texture Sand</t>
  </si>
  <si>
    <t>age 4 yrs, substrate ND, soil depth ND cm, rock cover ND pc., texture ND</t>
  </si>
  <si>
    <t>age 5 yrs, substrate ND, soil depth ND cm, rock cover ND pc., texture ND</t>
  </si>
  <si>
    <t>age 7 yrs, substrate ND, soil depth ND cm, rock cover ND pc., texture ND</t>
  </si>
  <si>
    <t>age 3 yrs, substrate ND, soil depth ND cm, rock cover ND pc., texture ND</t>
  </si>
  <si>
    <t>age 4 yrs, substrate ND, soil depth ND cm, rock cover ND pc., texture Sand</t>
  </si>
  <si>
    <t>age 1523 yrs, substrate ND, soil depth ND cm, rock cover ND pc., texture ND</t>
  </si>
  <si>
    <t>age 12 yrs, substrate ND, soil depth ND cm, rock cover ND pc., texture ND</t>
  </si>
  <si>
    <t>57 (core) Dune Asteraceous Fynbos 30/72</t>
  </si>
  <si>
    <t>pH 5,6, res. 3120, Na 39, P 4, K 54, Ca 13,26, Mg 2,27</t>
  </si>
  <si>
    <t>65 (core) Protea obtusifolia Proteoid Fynbos 27/104</t>
  </si>
  <si>
    <t>pH 6,9, res. 3440, Na 18, P 43, K 22, Ca 6,95, Mg 0,63</t>
  </si>
  <si>
    <t>66 (core) Protea obtusifolia Proteoid Fynbos 25/167,5</t>
  </si>
  <si>
    <t>pH 8,1, res. 1830, Na 94, P 23, K 27, Ca 62, Mg 1,28</t>
  </si>
  <si>
    <t>pH 6,2, res. 4180, Na 15, P 8, K 9, Ca 3,65, Mg 0,53</t>
  </si>
  <si>
    <t>68 (core) Acid Sand Proteoid Fynbos 37/118</t>
  </si>
  <si>
    <t>Acid Sand Fynbos (post-fire regenerating)</t>
  </si>
  <si>
    <t>X 356101, Y 6176255</t>
  </si>
  <si>
    <t>Polygala bracteolata</t>
  </si>
  <si>
    <t>Pseudopentameris macrantha</t>
  </si>
  <si>
    <t>Salvia africana-lutea</t>
  </si>
  <si>
    <t>Senecio halimifolius</t>
  </si>
  <si>
    <t>Stenotaphrum secundatum</t>
  </si>
  <si>
    <t>Thamnochortus fraternus</t>
  </si>
  <si>
    <t>Thamnochortus argenteus</t>
  </si>
  <si>
    <t>Thesium commutatum</t>
  </si>
  <si>
    <t>Thesium nigromontanum</t>
  </si>
  <si>
    <t>Asparagus rubicundus</t>
  </si>
  <si>
    <t>Massonia pustulata</t>
  </si>
  <si>
    <t>Willdenowia teres</t>
  </si>
  <si>
    <t>Stoebe plumosa</t>
  </si>
  <si>
    <t>Athanasia trifurcata</t>
  </si>
  <si>
    <t>Morella cordifolia</t>
  </si>
  <si>
    <t>Morella quercifolia</t>
  </si>
  <si>
    <t>Artemisia afra</t>
  </si>
  <si>
    <t>Hermannia trifoliata</t>
  </si>
  <si>
    <t>Muraltia satureioides</t>
  </si>
  <si>
    <t>Otholobium bracteolatum</t>
  </si>
  <si>
    <t>Milkwood Scrub Forest (8 releves)</t>
  </si>
  <si>
    <t>Acid Sand Proteoid Fynbos (5 releves)</t>
  </si>
  <si>
    <t>Protea repens Proteoid Fynbos (3 releves)</t>
  </si>
  <si>
    <t>Pteris dentata Fernland (1 releves)</t>
  </si>
  <si>
    <t>Ficinia sp.</t>
  </si>
  <si>
    <t>Sebaea exacoides</t>
  </si>
  <si>
    <t>Droguetia iners</t>
  </si>
  <si>
    <t>Asparagus aethiopicus</t>
  </si>
  <si>
    <t>Dipogon lignosus</t>
  </si>
  <si>
    <t>Eriocephalus racemosus</t>
  </si>
  <si>
    <t>Satyrium carneum</t>
  </si>
  <si>
    <t>Poaceae</t>
  </si>
  <si>
    <t>Pelargonium capitatum</t>
  </si>
  <si>
    <t>Rhus crenata</t>
  </si>
  <si>
    <t>Arctopus echinatus</t>
  </si>
  <si>
    <t>Haemanthus sanguineus</t>
  </si>
  <si>
    <t>Crassula fascicularis</t>
  </si>
  <si>
    <t>Trichocephalus stipularis</t>
  </si>
  <si>
    <t>Penaea mucronata</t>
  </si>
  <si>
    <t>Corymbium africanum</t>
  </si>
  <si>
    <t>Hyobanche sanguinea</t>
  </si>
  <si>
    <t>Erica corifolia</t>
  </si>
  <si>
    <t>Euphorbia tuberosa</t>
  </si>
  <si>
    <t>Lampranthus furvus</t>
  </si>
  <si>
    <t>Protea speciosa</t>
  </si>
  <si>
    <t>Adenocline acuta</t>
  </si>
  <si>
    <t>Pentaschistis sp.</t>
  </si>
  <si>
    <t>Koeleria capensis</t>
  </si>
  <si>
    <t>Oxalis sp.</t>
  </si>
  <si>
    <t>Solanum guineense</t>
  </si>
  <si>
    <t>releve</t>
  </si>
  <si>
    <t>total cover</t>
  </si>
  <si>
    <t>Afromontane Forest</t>
  </si>
  <si>
    <t>Dune Asteraceous Fynbos</t>
  </si>
  <si>
    <t>Neutral Sand Proteoid Fynbos</t>
  </si>
  <si>
    <t>releves</t>
  </si>
  <si>
    <t>Protea repens Proteoid Fynbos</t>
  </si>
  <si>
    <t>Aristea africana</t>
  </si>
  <si>
    <t>Gerbera tomentosa</t>
  </si>
  <si>
    <t>Lycium afrum</t>
  </si>
  <si>
    <t>total species number</t>
  </si>
  <si>
    <t>Asparagus capensis</t>
  </si>
  <si>
    <t>Vellereophyton dealbatum</t>
  </si>
  <si>
    <t>Scabiosa incisa</t>
  </si>
  <si>
    <t>Clutia ericoides</t>
  </si>
  <si>
    <t>Aspalathus microphylla</t>
  </si>
  <si>
    <t>Ehrharta sp.</t>
  </si>
  <si>
    <t>Aspalathus sp.</t>
  </si>
  <si>
    <t>Gymnosporia buxifolia</t>
  </si>
  <si>
    <t>Asparagus scandens</t>
  </si>
  <si>
    <t>Asplenium adiantum-nigrum</t>
  </si>
  <si>
    <t>Secamone alpini</t>
  </si>
  <si>
    <t>Hermannia joubertiana</t>
  </si>
  <si>
    <t>Jamesbrittenia albomarginata</t>
  </si>
  <si>
    <t>Crassula subulata var. subulata</t>
  </si>
  <si>
    <t>Diosma subulata var. subulata</t>
  </si>
  <si>
    <t>Zygophyllum flexuosum</t>
  </si>
  <si>
    <t>Anthospermum spathulatum ssp. spathulatum</t>
  </si>
  <si>
    <t>Clutia alaternoides</t>
  </si>
  <si>
    <t>Ischyrolepis erectus</t>
  </si>
  <si>
    <t>Anthospermum hirtum</t>
  </si>
  <si>
    <t>Chascanum cernuum</t>
  </si>
  <si>
    <t>Osyris compressa</t>
  </si>
  <si>
    <t>Syncarpha argyropsis</t>
  </si>
  <si>
    <t>Crassula expansa ssp. filicaulis</t>
  </si>
  <si>
    <t>Helichrysum patulum</t>
  </si>
  <si>
    <t>Geranium ornithopodon</t>
  </si>
  <si>
    <t>Amphithalea ericifolia ssp. ericifolia</t>
  </si>
  <si>
    <t>Leucadendron spissifolium ssp. spissifolium</t>
  </si>
  <si>
    <t>Acacia mearnsii</t>
  </si>
  <si>
    <t>Acacia cyclops</t>
  </si>
  <si>
    <t>transition 112/dune (elev. as 104)</t>
  </si>
  <si>
    <t>Erica axillaris</t>
  </si>
  <si>
    <t>Lotononis umbellata</t>
  </si>
  <si>
    <t>Viola decumbens var. decumbens</t>
  </si>
  <si>
    <t>Felicia amoena ssp. latifolia</t>
  </si>
  <si>
    <t>Ischyrolepis leptoclados</t>
  </si>
  <si>
    <t>Pseudoselago spuria</t>
  </si>
  <si>
    <t>Felicia tenella ssp. longifolia</t>
  </si>
  <si>
    <t>Ischyrolepis capensis</t>
  </si>
  <si>
    <t>Mairia coriacea</t>
  </si>
  <si>
    <t>Helichrysum crispum ssp. crassifolium</t>
  </si>
  <si>
    <t>Pelargonium suburbanum ssp. suburbanum</t>
  </si>
  <si>
    <t>Cliffortia phyllanthoides</t>
  </si>
  <si>
    <t>Protea obtusifolia Proteoid Fynbos</t>
  </si>
  <si>
    <t>Erica coccinea Ericoid Fynbos</t>
  </si>
  <si>
    <t>Pteris dentata Fernland</t>
  </si>
  <si>
    <t>Thamnochortus fraternus Restioid Fynbos</t>
  </si>
  <si>
    <t>Zaluzianskya capensis</t>
  </si>
  <si>
    <t>Dimorphotheca nudicaulis</t>
  </si>
  <si>
    <t>rel.</t>
  </si>
  <si>
    <t>sampling</t>
  </si>
  <si>
    <t>coordinates [m UTM WGS84]</t>
  </si>
  <si>
    <t>altitude [m]</t>
  </si>
  <si>
    <t>slope [°]</t>
  </si>
  <si>
    <t>aspect [°]</t>
  </si>
  <si>
    <t>vegetation age [a]</t>
  </si>
  <si>
    <t>soil physical properties</t>
  </si>
  <si>
    <t>soil chemical properties</t>
  </si>
  <si>
    <t>dir.</t>
  </si>
  <si>
    <t>SW</t>
  </si>
  <si>
    <t>SE</t>
  </si>
  <si>
    <t>NW</t>
  </si>
  <si>
    <t>NE</t>
  </si>
  <si>
    <t>date</t>
  </si>
  <si>
    <t>researcher</t>
  </si>
  <si>
    <t>x</t>
  </si>
  <si>
    <t>y</t>
  </si>
  <si>
    <t>GPS</t>
  </si>
  <si>
    <t>altimeter</t>
  </si>
  <si>
    <t>DEM</t>
  </si>
  <si>
    <t>average</t>
  </si>
  <si>
    <t>clinometer</t>
  </si>
  <si>
    <t>compass</t>
  </si>
  <si>
    <t>substrate</t>
  </si>
  <si>
    <t>soil depth [cm]</t>
  </si>
  <si>
    <t>rock cover [%]</t>
  </si>
  <si>
    <t>Na</t>
  </si>
  <si>
    <t>P</t>
  </si>
  <si>
    <t>K</t>
  </si>
  <si>
    <t>Ca</t>
  </si>
  <si>
    <t>Mg</t>
  </si>
  <si>
    <t>N</t>
  </si>
  <si>
    <t>IP</t>
  </si>
  <si>
    <t>ND</t>
  </si>
  <si>
    <t>M. Mergili</t>
  </si>
  <si>
    <t>CL</t>
  </si>
  <si>
    <t>species</t>
  </si>
  <si>
    <t>cover</t>
  </si>
  <si>
    <t>Heliophila linearis var. reticulata</t>
  </si>
  <si>
    <t>Osyris speciosa</t>
  </si>
  <si>
    <t>Roella compacta</t>
  </si>
  <si>
    <t>Adiantum capillus-veneris</t>
  </si>
  <si>
    <t>Aspalathus crassisepala</t>
  </si>
  <si>
    <t>Polygala scabra</t>
  </si>
  <si>
    <t>Anthospermum</t>
  </si>
  <si>
    <t>Wachendorfia sp.</t>
  </si>
  <si>
    <t>Syncarpha gnaphaloides</t>
  </si>
  <si>
    <t>Elegia thyrsifera</t>
  </si>
  <si>
    <t>Gnidia juniperifolia</t>
  </si>
  <si>
    <t>total cover [%]</t>
  </si>
  <si>
    <t>Aulax umbellata</t>
  </si>
  <si>
    <t>Agapanthaceae</t>
  </si>
  <si>
    <t>Agapanthus</t>
  </si>
  <si>
    <t>africanus</t>
  </si>
  <si>
    <t>Aizoaceae</t>
  </si>
  <si>
    <t>Carpanthea</t>
  </si>
  <si>
    <t>pomeridiana</t>
  </si>
  <si>
    <t>Carpobrotus</t>
  </si>
  <si>
    <t>acinaciformis</t>
  </si>
  <si>
    <t>edulis</t>
  </si>
  <si>
    <t>Dorotheanthus</t>
  </si>
  <si>
    <t>bellidiformis</t>
  </si>
  <si>
    <t>Drosanthemum</t>
  </si>
  <si>
    <t>intermedium</t>
  </si>
  <si>
    <t>Galenia</t>
  </si>
  <si>
    <t>ecklonis</t>
  </si>
  <si>
    <t>Lampranthus</t>
  </si>
  <si>
    <t>aestivus</t>
  </si>
  <si>
    <t>caudatus</t>
  </si>
  <si>
    <t>explanatus</t>
  </si>
  <si>
    <t>furvus</t>
  </si>
  <si>
    <t>simulans</t>
  </si>
  <si>
    <t>Phyllobolus</t>
  </si>
  <si>
    <t>canaliculatus</t>
  </si>
  <si>
    <t>Ruschia</t>
  </si>
  <si>
    <t>sarmentosa</t>
  </si>
  <si>
    <t>Tetragonia</t>
  </si>
  <si>
    <t>echinata</t>
  </si>
  <si>
    <t>fruticosa</t>
  </si>
  <si>
    <t>Alliaceae</t>
  </si>
  <si>
    <t>Tulbaghia</t>
  </si>
  <si>
    <t>capensis</t>
  </si>
  <si>
    <t>Amaranthaceae</t>
  </si>
  <si>
    <t>Exomis</t>
  </si>
  <si>
    <t>microphylla var. axyroides</t>
  </si>
  <si>
    <t>Amaryllidaceae</t>
  </si>
  <si>
    <t>Brunsvigia</t>
  </si>
  <si>
    <t>orientalis</t>
  </si>
  <si>
    <t>Cyrtanthus</t>
  </si>
  <si>
    <t>leucanthus</t>
  </si>
  <si>
    <t>Haemanthus</t>
  </si>
  <si>
    <t>coccineus</t>
  </si>
  <si>
    <t>sanguineus</t>
  </si>
  <si>
    <t>Anacardiaceae</t>
  </si>
  <si>
    <t>Rhus</t>
  </si>
  <si>
    <t>crenata</t>
  </si>
  <si>
    <t>glauca</t>
  </si>
  <si>
    <t>laevigata var. laevigata</t>
  </si>
  <si>
    <t>laevigata var. villosa</t>
  </si>
  <si>
    <t>lucida</t>
  </si>
  <si>
    <t>rosmarinifolia</t>
  </si>
  <si>
    <t>tomentosa</t>
  </si>
  <si>
    <t>Apiaceae</t>
  </si>
  <si>
    <t>Annesorhiza</t>
  </si>
  <si>
    <t>macrocarpa</t>
  </si>
  <si>
    <t>Arctopus</t>
  </si>
  <si>
    <t>echinatus</t>
  </si>
  <si>
    <t>Berula</t>
  </si>
  <si>
    <t>Hermas</t>
  </si>
  <si>
    <t>villosa</t>
  </si>
  <si>
    <t>Itasina</t>
  </si>
  <si>
    <t>filifolia</t>
  </si>
  <si>
    <t>Peucedanum</t>
  </si>
  <si>
    <t>capillaceum</t>
  </si>
  <si>
    <t>ferulaceum</t>
  </si>
  <si>
    <t>Sonderina</t>
  </si>
  <si>
    <t>hispida</t>
  </si>
  <si>
    <t>tenuis</t>
  </si>
  <si>
    <t>Apocynaceae</t>
  </si>
  <si>
    <t>Astephanus</t>
  </si>
  <si>
    <t>triflorus</t>
  </si>
  <si>
    <t>Cynanchum</t>
  </si>
  <si>
    <t>africanum</t>
  </si>
  <si>
    <t>obtusifolium</t>
  </si>
  <si>
    <t>Gomphocarpus</t>
  </si>
  <si>
    <t>fruticosus</t>
  </si>
  <si>
    <t>Microloma</t>
  </si>
  <si>
    <t>sagittatum</t>
  </si>
  <si>
    <t>tenuifolium</t>
  </si>
  <si>
    <t>Schizoglossum</t>
  </si>
  <si>
    <t>aschersonianum</t>
  </si>
  <si>
    <t>Secamone</t>
  </si>
  <si>
    <t>alpini</t>
  </si>
  <si>
    <t>Carpobrotus edulis</t>
  </si>
  <si>
    <t>Erodium chium</t>
  </si>
  <si>
    <t>Rhus sp.</t>
  </si>
  <si>
    <t>Chondropetalum tectorum</t>
  </si>
  <si>
    <t>Diosma hirsuta</t>
  </si>
  <si>
    <t>slope</t>
  </si>
  <si>
    <t>aspect</t>
  </si>
  <si>
    <t>Araceae</t>
  </si>
  <si>
    <t>Zantedeschia</t>
  </si>
  <si>
    <t>aethiopica</t>
  </si>
  <si>
    <t>Lessertia</t>
  </si>
  <si>
    <t>Liparia</t>
  </si>
  <si>
    <t>splendens</t>
  </si>
  <si>
    <t>Lotononis</t>
  </si>
  <si>
    <t>umbellata</t>
  </si>
  <si>
    <t>Otholobium</t>
  </si>
  <si>
    <t>bracteolatum</t>
  </si>
  <si>
    <t>Podalyria</t>
  </si>
  <si>
    <t>code taxon</t>
  </si>
  <si>
    <t>Agap afr</t>
  </si>
  <si>
    <t>Carp pom</t>
  </si>
  <si>
    <t>Carp aci</t>
  </si>
  <si>
    <t>Carp edu</t>
  </si>
  <si>
    <t>Doro bel</t>
  </si>
  <si>
    <t>Dros int</t>
  </si>
  <si>
    <t>Gale eck</t>
  </si>
  <si>
    <t>Lamp aes</t>
  </si>
  <si>
    <t>Lamp cau</t>
  </si>
  <si>
    <t>Lamp exp</t>
  </si>
  <si>
    <t>Lamp fur</t>
  </si>
  <si>
    <t>Lamp sim</t>
  </si>
  <si>
    <t>Phyl can</t>
  </si>
  <si>
    <t>Rusc cal</t>
  </si>
  <si>
    <t>Rusc sar</t>
  </si>
  <si>
    <t>Tetr ech</t>
  </si>
  <si>
    <t>Tetr fru</t>
  </si>
  <si>
    <t>Tulb cap</t>
  </si>
  <si>
    <t>Exom mic</t>
  </si>
  <si>
    <t>Brun ori</t>
  </si>
  <si>
    <t>Cyrt leu</t>
  </si>
  <si>
    <t>Haem coc</t>
  </si>
  <si>
    <t>Haem san</t>
  </si>
  <si>
    <t>Rhus cre</t>
  </si>
  <si>
    <t>Rhus gla</t>
  </si>
  <si>
    <t>Rhus lae</t>
  </si>
  <si>
    <t>Rhus luc</t>
  </si>
  <si>
    <t>Rhus ros</t>
  </si>
  <si>
    <t>Rhus tom</t>
  </si>
  <si>
    <t>Anne mac</t>
  </si>
  <si>
    <t>Arct ech</t>
  </si>
  <si>
    <t>Beru ere</t>
  </si>
  <si>
    <t>Herm vil</t>
  </si>
  <si>
    <t>Itas fil</t>
  </si>
  <si>
    <t>Peuc cap</t>
  </si>
  <si>
    <t>Peuc fer</t>
  </si>
  <si>
    <t>Sond his</t>
  </si>
  <si>
    <t>Sond ten</t>
  </si>
  <si>
    <t>Aste tri</t>
  </si>
  <si>
    <t>Cyna afr</t>
  </si>
  <si>
    <t>Cyna obt</t>
  </si>
  <si>
    <t>Gomp fru</t>
  </si>
  <si>
    <t>Micr sag</t>
  </si>
  <si>
    <t>Micr ten</t>
  </si>
  <si>
    <t>Schi asc</t>
  </si>
  <si>
    <t>Seca alp</t>
  </si>
  <si>
    <t>Zant aet</t>
  </si>
  <si>
    <t>Cent aff</t>
  </si>
  <si>
    <t>Cent mac</t>
  </si>
  <si>
    <t>Cent tri</t>
  </si>
  <si>
    <t>Aspa aet</t>
  </si>
  <si>
    <t>Aspa cap</t>
  </si>
  <si>
    <t>Aspa ova</t>
  </si>
  <si>
    <t>Aspa rub</t>
  </si>
  <si>
    <t>Aspa sca</t>
  </si>
  <si>
    <t>Aspa vol</t>
  </si>
  <si>
    <t>Bulb ann</t>
  </si>
  <si>
    <t>Bulb fav</t>
  </si>
  <si>
    <t>Bulb fol</t>
  </si>
  <si>
    <t>Bulb lag</t>
  </si>
  <si>
    <t>Bulb tri</t>
  </si>
  <si>
    <t>Knip uva</t>
  </si>
  <si>
    <t>Trac cil</t>
  </si>
  <si>
    <t>Trac hir</t>
  </si>
  <si>
    <t>Trac rev</t>
  </si>
  <si>
    <t>Trac tab</t>
  </si>
  <si>
    <t>Aspl adi</t>
  </si>
  <si>
    <t>Arct cal</t>
  </si>
  <si>
    <t>Arct aca</t>
  </si>
  <si>
    <t>Arct sch</t>
  </si>
  <si>
    <t>Arte afr</t>
  </si>
  <si>
    <t>Atha den</t>
  </si>
  <si>
    <t>Atha qui</t>
  </si>
  <si>
    <t>Atha tri</t>
  </si>
  <si>
    <t>Berk rig</t>
  </si>
  <si>
    <t>Chry mon</t>
  </si>
  <si>
    <t>Chry com</t>
  </si>
  <si>
    <t>Cine gei</t>
  </si>
  <si>
    <t>Cory afr</t>
  </si>
  <si>
    <t>Cotu tur</t>
  </si>
  <si>
    <t>Cull set</t>
  </si>
  <si>
    <t>Cull squ</t>
  </si>
  <si>
    <t>Dimo nud</t>
  </si>
  <si>
    <t>herb</t>
  </si>
  <si>
    <t>strandvygie</t>
  </si>
  <si>
    <t>Jordaaniella</t>
  </si>
  <si>
    <t>Jord dub</t>
  </si>
  <si>
    <t>shrub</t>
  </si>
  <si>
    <t>annual</t>
  </si>
  <si>
    <t>parasite</t>
  </si>
  <si>
    <t>Cyphia</t>
  </si>
  <si>
    <t>Cyph vol</t>
  </si>
  <si>
    <t>graminoid</t>
  </si>
  <si>
    <t>myrtillifolia</t>
  </si>
  <si>
    <t>polystachya</t>
  </si>
  <si>
    <t>Nerine</t>
  </si>
  <si>
    <t>humilis</t>
  </si>
  <si>
    <t>Neri hum</t>
  </si>
  <si>
    <t>cf. salsolacea</t>
  </si>
  <si>
    <t>Mura sal</t>
  </si>
  <si>
    <t>ebracteatum</t>
  </si>
  <si>
    <t>bowdenii</t>
  </si>
  <si>
    <t>Tall fleabane</t>
  </si>
  <si>
    <t>Feverfew</t>
  </si>
  <si>
    <t>parthenium</t>
  </si>
  <si>
    <t>Boraginacea</t>
  </si>
  <si>
    <t>Forget me not</t>
  </si>
  <si>
    <t>Myosotis</t>
  </si>
  <si>
    <t>arvensis</t>
  </si>
  <si>
    <t>Wild raddish</t>
  </si>
  <si>
    <t>Raphanus</t>
  </si>
  <si>
    <t>raphanistrum</t>
  </si>
  <si>
    <t>Petrorhagia</t>
  </si>
  <si>
    <t>prolifera</t>
  </si>
  <si>
    <t>Polycarpon</t>
  </si>
  <si>
    <t>tetraphyllum</t>
  </si>
  <si>
    <t>Gunpowder weed</t>
  </si>
  <si>
    <t>Stellaria</t>
  </si>
  <si>
    <t>helioscopia</t>
  </si>
  <si>
    <t>peplus</t>
  </si>
  <si>
    <t>Ricinus</t>
  </si>
  <si>
    <t>communis</t>
  </si>
  <si>
    <t>Melilotus</t>
  </si>
  <si>
    <t xml:space="preserve">Trifolium </t>
  </si>
  <si>
    <t>campestre</t>
  </si>
  <si>
    <t xml:space="preserve">Fabaceae </t>
  </si>
  <si>
    <t>Lotus</t>
  </si>
  <si>
    <t>subbiflorus</t>
  </si>
  <si>
    <t>rooikrans</t>
  </si>
  <si>
    <t>Acacia</t>
  </si>
  <si>
    <t>cyclops</t>
  </si>
  <si>
    <t>langbaarwattel</t>
  </si>
  <si>
    <t>mearnsii</t>
  </si>
  <si>
    <t>Port Jackson</t>
  </si>
  <si>
    <t>saligna</t>
  </si>
  <si>
    <t>fumitory,duiwelskerwel</t>
  </si>
  <si>
    <t>Fumaria</t>
  </si>
  <si>
    <t>muralis</t>
  </si>
  <si>
    <t>Lythraceae</t>
  </si>
  <si>
    <t>Lythrum</t>
  </si>
  <si>
    <t>hyssopifolium</t>
  </si>
  <si>
    <t>Myoporaceae</t>
  </si>
  <si>
    <t>Myoporum</t>
  </si>
  <si>
    <t>sp.</t>
  </si>
  <si>
    <t>Myritaceae</t>
  </si>
  <si>
    <t>Australian white-gum</t>
  </si>
  <si>
    <t>Eucalyptus</t>
  </si>
  <si>
    <t>gomphocephala</t>
  </si>
  <si>
    <t>Pinaceae</t>
  </si>
  <si>
    <t>Cluster pine</t>
  </si>
  <si>
    <t>Pinus</t>
  </si>
  <si>
    <t>pinaster</t>
  </si>
  <si>
    <t>Plantaginaceae</t>
  </si>
  <si>
    <t>Plantago</t>
  </si>
  <si>
    <t>lanceolata</t>
  </si>
  <si>
    <t>quarking grass, grootbewertjie</t>
  </si>
  <si>
    <t>Briza</t>
  </si>
  <si>
    <t>langnaaldbromus</t>
  </si>
  <si>
    <t>Bromus</t>
  </si>
  <si>
    <t>diandrus</t>
  </si>
  <si>
    <t>Hordeum</t>
  </si>
  <si>
    <t>marinum</t>
  </si>
  <si>
    <t>Lagurus</t>
  </si>
  <si>
    <t>kikuju</t>
  </si>
  <si>
    <t>Pennisetum</t>
  </si>
  <si>
    <t>clandestinum</t>
  </si>
  <si>
    <t>knotweed</t>
  </si>
  <si>
    <t>Persicaria</t>
  </si>
  <si>
    <t>serrulata</t>
  </si>
  <si>
    <t>sheep sorrel, steenboksuring</t>
  </si>
  <si>
    <t>acetosella</t>
  </si>
  <si>
    <t>Primulaceae</t>
  </si>
  <si>
    <t xml:space="preserve">Blue pimpernel, </t>
  </si>
  <si>
    <t>Anagallis</t>
  </si>
  <si>
    <t>brook weed</t>
  </si>
  <si>
    <t>Samolus</t>
  </si>
  <si>
    <t>valerandi</t>
  </si>
  <si>
    <t>Sweet Needlebush</t>
  </si>
  <si>
    <t>Hakea</t>
  </si>
  <si>
    <t>drupacea</t>
  </si>
  <si>
    <t>pepergras</t>
  </si>
  <si>
    <t>Ranunculus</t>
  </si>
  <si>
    <t>muricatus</t>
  </si>
  <si>
    <t>Datura</t>
  </si>
  <si>
    <t>stramonium</t>
  </si>
  <si>
    <t>Cape gooseberry</t>
  </si>
  <si>
    <t xml:space="preserve">Physalis </t>
  </si>
  <si>
    <t>peruviana</t>
  </si>
  <si>
    <t>laevigata</t>
  </si>
  <si>
    <t>leptocladis</t>
  </si>
  <si>
    <t>sagittarius</t>
  </si>
  <si>
    <t>vesicatoria</t>
  </si>
  <si>
    <t>leiostachys</t>
  </si>
  <si>
    <t>Australina</t>
  </si>
  <si>
    <t>racemosa f. (shrub)</t>
  </si>
  <si>
    <t>racemosa f. (tree)</t>
  </si>
  <si>
    <t>Gunneraceae</t>
  </si>
  <si>
    <t>Gunnera</t>
  </si>
  <si>
    <t>perpensa</t>
  </si>
  <si>
    <t>sp. nov.</t>
  </si>
  <si>
    <r>
      <t xml:space="preserve">life form </t>
    </r>
    <r>
      <rPr>
        <sz val="10"/>
        <rFont val="Arial"/>
      </rPr>
      <t>(Mergili)</t>
    </r>
  </si>
  <si>
    <r>
      <t xml:space="preserve">life form </t>
    </r>
    <r>
      <rPr>
        <sz val="10"/>
        <rFont val="Arial"/>
      </rPr>
      <t>(Gernandt &amp; Privett)</t>
    </r>
  </si>
  <si>
    <r>
      <t xml:space="preserve">status </t>
    </r>
    <r>
      <rPr>
        <sz val="10"/>
        <rFont val="Arial"/>
      </rPr>
      <t>(red data)</t>
    </r>
  </si>
  <si>
    <t>succulent</t>
  </si>
  <si>
    <t>shrublet</t>
  </si>
  <si>
    <t>perennial</t>
  </si>
  <si>
    <t>Disp ano</t>
  </si>
  <si>
    <t>Disp eri</t>
  </si>
  <si>
    <t>Edmo ses</t>
  </si>
  <si>
    <t>Erio afr</t>
  </si>
  <si>
    <t>Erio rac</t>
  </si>
  <si>
    <t>Eury abr</t>
  </si>
  <si>
    <t>Feli amo</t>
  </si>
  <si>
    <t>Feli ten</t>
  </si>
  <si>
    <t>Gaza pec</t>
  </si>
  <si>
    <t>Gerb cro</t>
  </si>
  <si>
    <t>Gerb tom</t>
  </si>
  <si>
    <t>Gymn cap</t>
  </si>
  <si>
    <t>Hapl lan</t>
  </si>
  <si>
    <t>Heli cri</t>
  </si>
  <si>
    <t>Heli cym</t>
  </si>
  <si>
    <t>Heli das</t>
  </si>
  <si>
    <t>Heli foe</t>
  </si>
  <si>
    <t>Heli ind</t>
  </si>
  <si>
    <t>Heli niv</t>
  </si>
  <si>
    <t>Heli pat</t>
  </si>
  <si>
    <t>Heli ret</t>
  </si>
  <si>
    <t>Heli spi</t>
  </si>
  <si>
    <t>Heli ten</t>
  </si>
  <si>
    <t>Heli ter</t>
  </si>
  <si>
    <t>Hipp fru</t>
  </si>
  <si>
    <t>Hipp hut</t>
  </si>
  <si>
    <t>Mair cor</t>
  </si>
  <si>
    <t>Meta bre</t>
  </si>
  <si>
    <t>Meta den</t>
  </si>
  <si>
    <t>Meta mur</t>
  </si>
  <si>
    <t>Oede cap</t>
  </si>
  <si>
    <t>Oede imb</t>
  </si>
  <si>
    <t>Onco suf</t>
  </si>
  <si>
    <t>Osmi ast</t>
  </si>
  <si>
    <t>Oste rot</t>
  </si>
  <si>
    <t>Otho qui</t>
  </si>
  <si>
    <t>Plec ser</t>
  </si>
  <si>
    <t>Poly ref</t>
  </si>
  <si>
    <t>Puli sca</t>
  </si>
  <si>
    <t>Sene are</t>
  </si>
  <si>
    <t>Sene arn</t>
  </si>
  <si>
    <t>Sene bur</t>
  </si>
  <si>
    <t>Sene ele</t>
  </si>
  <si>
    <t>Sene hal</t>
  </si>
  <si>
    <t>Sene has</t>
  </si>
  <si>
    <t>Sene lan</t>
  </si>
  <si>
    <t>Sene lit</t>
  </si>
  <si>
    <t>Sene mim</t>
  </si>
  <si>
    <t>Sene pil</t>
  </si>
  <si>
    <t>Sene pub</t>
  </si>
  <si>
    <t>Sene pur</t>
  </si>
  <si>
    <t>Sene rig</t>
  </si>
  <si>
    <t>Sene ros</t>
  </si>
  <si>
    <t>Sene sop</t>
  </si>
  <si>
    <t>Sene tri</t>
  </si>
  <si>
    <t>Stoe cin</t>
  </si>
  <si>
    <t>Stoe inc</t>
  </si>
  <si>
    <t>Stoe plu</t>
  </si>
  <si>
    <t>Sync arg</t>
  </si>
  <si>
    <t>Sync can</t>
  </si>
  <si>
    <t>Sync gna</t>
  </si>
  <si>
    <t>Tric rep</t>
  </si>
  <si>
    <t>Ursi ant</t>
  </si>
  <si>
    <t>Ursi den</t>
  </si>
  <si>
    <t>Ursi nud</t>
  </si>
  <si>
    <t>Ursi pal</t>
  </si>
  <si>
    <t>Ursi pun</t>
  </si>
  <si>
    <t>Ursi ten</t>
  </si>
  <si>
    <t>Vell dea</t>
  </si>
  <si>
    <t>09.11. 2004</t>
  </si>
  <si>
    <t>Myst tho</t>
  </si>
  <si>
    <t>Blec att</t>
  </si>
  <si>
    <t>Lobo arg</t>
  </si>
  <si>
    <t>Lobo mon</t>
  </si>
  <si>
    <t>Heli afr</t>
  </si>
  <si>
    <t>Heli lin</t>
  </si>
  <si>
    <t>Heli pus</t>
  </si>
  <si>
    <t>Heli sub</t>
  </si>
  <si>
    <t>Berz lan</t>
  </si>
  <si>
    <t>Staa rad</t>
  </si>
  <si>
    <t>Lobe anc</t>
  </si>
  <si>
    <t>Lobe com</t>
  </si>
  <si>
    <t>Lobe cor</t>
  </si>
  <si>
    <t>Lobe eri</t>
  </si>
  <si>
    <t>Lobe lin</t>
  </si>
  <si>
    <t>Lobe set</t>
  </si>
  <si>
    <t>Micr glo</t>
  </si>
  <si>
    <t>Mono deb</t>
  </si>
  <si>
    <t>Mono lut</t>
  </si>
  <si>
    <t>Mono sim</t>
  </si>
  <si>
    <t>Roel com</t>
  </si>
  <si>
    <t>Roel inc</t>
  </si>
  <si>
    <t>Wahl cer</t>
  </si>
  <si>
    <t>Wahl lon</t>
  </si>
  <si>
    <t>Wahl pan</t>
  </si>
  <si>
    <t>Wahl pol</t>
  </si>
  <si>
    <t>Wahl ten</t>
  </si>
  <si>
    <t>Cera cap</t>
  </si>
  <si>
    <t>Dian alb</t>
  </si>
  <si>
    <t>Dian cae</t>
  </si>
  <si>
    <t>Hern cap</t>
  </si>
  <si>
    <t>Sile und</t>
  </si>
  <si>
    <t>Cass per</t>
  </si>
  <si>
    <t>Gymn bux</t>
  </si>
  <si>
    <t>Mayt ole</t>
  </si>
  <si>
    <t>Pter tri</t>
  </si>
  <si>
    <t>Robs mar</t>
  </si>
  <si>
    <t>Celt afr</t>
  </si>
  <si>
    <t>Andr cap</t>
  </si>
  <si>
    <t>Andr euc</t>
  </si>
  <si>
    <t>Baeo uni</t>
  </si>
  <si>
    <t>nt</t>
  </si>
  <si>
    <t>R</t>
  </si>
  <si>
    <t>End</t>
  </si>
  <si>
    <t>I</t>
  </si>
  <si>
    <t>V</t>
  </si>
  <si>
    <t>E</t>
  </si>
  <si>
    <t>Euclea racemosa f. (tree)</t>
  </si>
  <si>
    <t>Euclea racemosa f. (shrub)</t>
  </si>
  <si>
    <t>Orni vir</t>
  </si>
  <si>
    <t>Coty orb</t>
  </si>
  <si>
    <t>Cras cam</t>
  </si>
  <si>
    <t>Cras cap</t>
  </si>
  <si>
    <t>Cras dep</t>
  </si>
  <si>
    <t>Cras dic</t>
  </si>
  <si>
    <t>flow</t>
  </si>
  <si>
    <t>wind</t>
  </si>
  <si>
    <t>irradiation</t>
  </si>
  <si>
    <t>advanced topography (DEM)</t>
  </si>
  <si>
    <t>Cras exp</t>
  </si>
  <si>
    <t>Cras fas</t>
  </si>
  <si>
    <t>Cras glo</t>
  </si>
  <si>
    <t>Cras sub</t>
  </si>
  <si>
    <t>Kedr nan</t>
  </si>
  <si>
    <t>Zehn sca</t>
  </si>
  <si>
    <t>Fici bul</t>
  </si>
  <si>
    <t>Fici deu</t>
  </si>
  <si>
    <t>Fici gra</t>
  </si>
  <si>
    <t>Fici ind</t>
  </si>
  <si>
    <t>Fici par</t>
  </si>
  <si>
    <t>Fici sec</t>
  </si>
  <si>
    <t>Fici ten</t>
  </si>
  <si>
    <t>Fici tri</t>
  </si>
  <si>
    <t>Hell mem</t>
  </si>
  <si>
    <t>Isol ant</t>
  </si>
  <si>
    <t>Isol mar</t>
  </si>
  <si>
    <t>Mari con</t>
  </si>
  <si>
    <t>Mari thu</t>
  </si>
  <si>
    <t>Scir nod</t>
  </si>
  <si>
    <t>Scir thu</t>
  </si>
  <si>
    <t>Tetr bol</t>
  </si>
  <si>
    <t>Tetr bra</t>
  </si>
  <si>
    <t>Tetr com</t>
  </si>
  <si>
    <t>Tetr cus</t>
  </si>
  <si>
    <t>Tetr gra</t>
  </si>
  <si>
    <t>Scab col</t>
  </si>
  <si>
    <t>Scab inc</t>
  </si>
  <si>
    <t>Dros cap</t>
  </si>
  <si>
    <t>Dros cis</t>
  </si>
  <si>
    <t>Dros tri</t>
  </si>
  <si>
    <t>Dios why</t>
  </si>
  <si>
    <t>Eucl rac</t>
  </si>
  <si>
    <t>Eric axi</t>
  </si>
  <si>
    <t>Eric can</t>
  </si>
  <si>
    <t>Eric cor</t>
  </si>
  <si>
    <t>Eric dis</t>
  </si>
  <si>
    <t>Eric gla</t>
  </si>
  <si>
    <t>Eric his</t>
  </si>
  <si>
    <t>Eric irr</t>
  </si>
  <si>
    <t>Eric lin</t>
  </si>
  <si>
    <t>Eric mag</t>
  </si>
  <si>
    <t>Eric nud</t>
  </si>
  <si>
    <t>Eric par</t>
  </si>
  <si>
    <t>Eric pen</t>
  </si>
  <si>
    <t>Eric pro</t>
  </si>
  <si>
    <t>Eric pul</t>
  </si>
  <si>
    <t>X 354569, Y 6176568</t>
  </si>
  <si>
    <t>X 358305, Y 6177796</t>
  </si>
  <si>
    <t>X 358243, Y 6177905</t>
  </si>
  <si>
    <t>X 358302, Y 6178248</t>
  </si>
  <si>
    <t>X 358320, Y 6178330</t>
  </si>
  <si>
    <t>X 355942, Y 6176155</t>
  </si>
  <si>
    <t>SHRD ERI</t>
  </si>
  <si>
    <t>SHRD SLF</t>
  </si>
  <si>
    <t>PERL SLF</t>
  </si>
  <si>
    <t>GEOL SLF</t>
  </si>
  <si>
    <t>SHRD BLF</t>
  </si>
  <si>
    <t>ANNL SLF</t>
  </si>
  <si>
    <t>SHRL SLF</t>
  </si>
  <si>
    <t>GEOL GRA</t>
  </si>
  <si>
    <t>SHRL BLS</t>
  </si>
  <si>
    <t>GEOL BLF</t>
  </si>
  <si>
    <t>GEOL XXX</t>
  </si>
  <si>
    <t>SHRH SLH</t>
  </si>
  <si>
    <t>SHRH BLH</t>
  </si>
  <si>
    <t>SHRL NED</t>
  </si>
  <si>
    <t>PERH PIN</t>
  </si>
  <si>
    <t>PERL BLH</t>
  </si>
  <si>
    <t>ANNM SLS</t>
  </si>
  <si>
    <t>SHRL BLH</t>
  </si>
  <si>
    <t>PERL APH</t>
  </si>
  <si>
    <t>PERM PIN</t>
  </si>
  <si>
    <t>ANNL PIN</t>
  </si>
  <si>
    <t>CLIM SLS</t>
  </si>
  <si>
    <t>CLIM NED</t>
  </si>
  <si>
    <t>CLIM BLH</t>
  </si>
  <si>
    <t>SHRM BLS</t>
  </si>
  <si>
    <t>CLIM SLH</t>
  </si>
  <si>
    <t>PERL BLS</t>
  </si>
  <si>
    <t>CLIM BLS</t>
  </si>
  <si>
    <t>GEOM BLH</t>
  </si>
  <si>
    <t>PERL LNG</t>
  </si>
  <si>
    <t>PERL PIN</t>
  </si>
  <si>
    <t>ANNL BLS</t>
  </si>
  <si>
    <t>CLIM ERI</t>
  </si>
  <si>
    <t>SHRL ERI</t>
  </si>
  <si>
    <t>SHRM ERI</t>
  </si>
  <si>
    <t>SHRM SLS</t>
  </si>
  <si>
    <t>GEOL LNG</t>
  </si>
  <si>
    <t>PERM BLS</t>
  </si>
  <si>
    <t>PERL GRA</t>
  </si>
  <si>
    <t>PERM GRA</t>
  </si>
  <si>
    <t>PERH GRA</t>
  </si>
  <si>
    <t>ANNL SLS</t>
  </si>
  <si>
    <t>SHRL PIN</t>
  </si>
  <si>
    <t>SHRM BLH</t>
  </si>
  <si>
    <t>SHRD SLH</t>
  </si>
  <si>
    <t>SHRD BLS</t>
  </si>
  <si>
    <t>ANNL ERI</t>
  </si>
  <si>
    <t>SHRD SLS</t>
  </si>
  <si>
    <t>SHRL SLS</t>
  </si>
  <si>
    <t>PERL SLS</t>
  </si>
  <si>
    <t>SHRD XXX</t>
  </si>
  <si>
    <t>SHRH ERI</t>
  </si>
  <si>
    <t>SHRD LNG</t>
  </si>
  <si>
    <t>PERL ERI</t>
  </si>
  <si>
    <t>PERM LNG</t>
  </si>
  <si>
    <t>PERG BLS</t>
  </si>
  <si>
    <t>SHRL LNG</t>
  </si>
  <si>
    <t>ANNL XXX</t>
  </si>
  <si>
    <t>SHRM XXX</t>
  </si>
  <si>
    <t>SHRD PIN</t>
  </si>
  <si>
    <t>SHRD NED</t>
  </si>
  <si>
    <t>XXXX APH</t>
  </si>
  <si>
    <t>ANNH LNG</t>
  </si>
  <si>
    <t>ANNL LNG</t>
  </si>
  <si>
    <t>PERM ERI</t>
  </si>
  <si>
    <t>TREM BLH</t>
  </si>
  <si>
    <t>TREH BLS</t>
  </si>
  <si>
    <t>SHRL BLF</t>
  </si>
  <si>
    <t>ANNL APH</t>
  </si>
  <si>
    <t>GRAL GRA</t>
  </si>
  <si>
    <t>GRAM GRA</t>
  </si>
  <si>
    <t>GRAH GRA</t>
  </si>
  <si>
    <t>SHRL SLH</t>
  </si>
  <si>
    <t>SHRM SLH</t>
  </si>
  <si>
    <t>SHRM LNG</t>
  </si>
  <si>
    <t>ANNM PIN</t>
  </si>
  <si>
    <t>PERL XXX</t>
  </si>
  <si>
    <t>SHRD BLH</t>
  </si>
  <si>
    <t>GEOL PIN</t>
  </si>
  <si>
    <t>GEOH BLS</t>
  </si>
  <si>
    <t>GEOM BLS</t>
  </si>
  <si>
    <t>GEOM GRA</t>
  </si>
  <si>
    <t>TREH BLH</t>
  </si>
  <si>
    <t>PERM BLH</t>
  </si>
  <si>
    <t>GEOL BLH</t>
  </si>
  <si>
    <t>GEOL SLH</t>
  </si>
  <si>
    <t>SHRH BLS</t>
  </si>
  <si>
    <t>PERH LNG</t>
  </si>
  <si>
    <t>CLIM APH</t>
  </si>
  <si>
    <t>SHRL APH</t>
  </si>
  <si>
    <t>XXXX LNG</t>
  </si>
  <si>
    <t>TREH XXX</t>
  </si>
  <si>
    <t>GEOM BLF</t>
  </si>
  <si>
    <t>GEOL ERI</t>
  </si>
  <si>
    <t>PERH BLH</t>
  </si>
  <si>
    <t>GRAM APH</t>
  </si>
  <si>
    <t>GRAG APH</t>
  </si>
  <si>
    <t>GRAL APH</t>
  </si>
  <si>
    <t>GRAH APH</t>
  </si>
  <si>
    <t>SHRL XXX</t>
  </si>
  <si>
    <t>XXXX ERI</t>
  </si>
  <si>
    <t>SHRH NED</t>
  </si>
  <si>
    <t>SHRD APH</t>
  </si>
  <si>
    <t>SHRD RED</t>
  </si>
  <si>
    <t>SHRH GRA</t>
  </si>
  <si>
    <t>PERM SLH</t>
  </si>
  <si>
    <t>PERG BLF</t>
  </si>
  <si>
    <t>CLIM LNG</t>
  </si>
  <si>
    <t>TREH SLS</t>
  </si>
  <si>
    <t>PERH BLS</t>
  </si>
  <si>
    <t>Trig bul</t>
  </si>
  <si>
    <t>Trig str</t>
  </si>
  <si>
    <t>Kigg afr</t>
  </si>
  <si>
    <t>Leon leo</t>
  </si>
  <si>
    <t>Ment aqu</t>
  </si>
  <si>
    <t>Ment lon</t>
  </si>
  <si>
    <t>Salv afr</t>
  </si>
  <si>
    <t>Stac aet</t>
  </si>
  <si>
    <t>Stac thu</t>
  </si>
  <si>
    <t>Cass cil</t>
  </si>
  <si>
    <t>Utri bis</t>
  </si>
  <si>
    <t>Bart eth</t>
  </si>
  <si>
    <t>Bona spe</t>
  </si>
  <si>
    <t>Cory bic</t>
  </si>
  <si>
    <t>Cory car</t>
  </si>
  <si>
    <t>Cory oro</t>
  </si>
  <si>
    <t>Disa bra</t>
  </si>
  <si>
    <t>Disa cor</t>
  </si>
  <si>
    <t>Disa den</t>
  </si>
  <si>
    <t>Disa gra</t>
  </si>
  <si>
    <t>Disa hal</t>
  </si>
  <si>
    <t>Disp cap</t>
  </si>
  <si>
    <t>Disp vil</t>
  </si>
  <si>
    <t>Eulo acu</t>
  </si>
  <si>
    <t>Holo cer</t>
  </si>
  <si>
    <t>Holo exi</t>
  </si>
  <si>
    <t>Holo gra</t>
  </si>
  <si>
    <t>Holo mun</t>
  </si>
  <si>
    <t>Holo sch</t>
  </si>
  <si>
    <t>Pter caf</t>
  </si>
  <si>
    <t>Pter cat</t>
  </si>
  <si>
    <t>Pter vol</t>
  </si>
  <si>
    <t>Saty bic</t>
  </si>
  <si>
    <t>Saty bra</t>
  </si>
  <si>
    <t>Saty car</t>
  </si>
  <si>
    <t>Saty cor</t>
  </si>
  <si>
    <t>Saty lig</t>
  </si>
  <si>
    <t>Saty lup</t>
  </si>
  <si>
    <t>Saty odo</t>
  </si>
  <si>
    <t>Alec lur</t>
  </si>
  <si>
    <t>Alec ses</t>
  </si>
  <si>
    <t>Harv cap</t>
  </si>
  <si>
    <t>Harv squ</t>
  </si>
  <si>
    <t>Harv tub</t>
  </si>
  <si>
    <t>Hyob san</t>
  </si>
  <si>
    <t>Mela sca</t>
  </si>
  <si>
    <t>Orob ram</t>
  </si>
  <si>
    <t>Oxal cap</t>
  </si>
  <si>
    <t>Oxal dep</t>
  </si>
  <si>
    <t>Oxal gla</t>
  </si>
  <si>
    <t>Oxal lin</t>
  </si>
  <si>
    <t>Oxal lut</t>
  </si>
  <si>
    <t>Oxal obt</t>
  </si>
  <si>
    <t>Oxal par</t>
  </si>
  <si>
    <t>Oxal pol</t>
  </si>
  <si>
    <t>Oxal pur</t>
  </si>
  <si>
    <t>Oxal ste</t>
  </si>
  <si>
    <t>Pena muc</t>
  </si>
  <si>
    <t>Limo sca</t>
  </si>
  <si>
    <t>Brac fle</t>
  </si>
  <si>
    <t>Cymb mar</t>
  </si>
  <si>
    <t>Ehrh cal</t>
  </si>
  <si>
    <t>Ehrh ere</t>
  </si>
  <si>
    <t>Ficinia ramosissima</t>
  </si>
  <si>
    <t>transition fynbos/thicket</t>
  </si>
  <si>
    <t>end of proteoid fynbos</t>
  </si>
  <si>
    <t>transition to low, disturbed fynbos</t>
  </si>
  <si>
    <t>towards milkwood forest: disturbance?</t>
  </si>
  <si>
    <t>transition thicket/dune fynbos</t>
  </si>
  <si>
    <t>D:\ResearchProjects\GrootbosVegetation\SpatialData\Ecosystems</t>
  </si>
  <si>
    <t>transition to Pelargonium-rich variety</t>
  </si>
  <si>
    <t>patch with mass of Ischyrolepis eleocharis</t>
  </si>
  <si>
    <t>end of Thesium strictum 10 m down</t>
  </si>
  <si>
    <t>corner of Thesium</t>
  </si>
  <si>
    <t>transition to disturbed</t>
  </si>
  <si>
    <t>end of Rooikrans</t>
  </si>
  <si>
    <t>?</t>
  </si>
  <si>
    <t>lots of A. ciliaris; S limit of P. obtusifolia</t>
  </si>
  <si>
    <t>P. obtusifolia, L. coniferum</t>
  </si>
  <si>
    <t>P. repens Fynbos towards N</t>
  </si>
  <si>
    <t>start of Aspalathus microphylla</t>
  </si>
  <si>
    <t>end of Aspalathus microphylla</t>
  </si>
  <si>
    <t>last Protea repens</t>
  </si>
  <si>
    <t>end of Protea repens</t>
  </si>
  <si>
    <t>8 m ahead: end of Protea repens</t>
  </si>
  <si>
    <t>upper margin of Thesium strictum</t>
  </si>
  <si>
    <t>lower margin of Acid Sand Proteoid Fynbos</t>
  </si>
  <si>
    <t>patch of Protea obtusifolia</t>
  </si>
  <si>
    <t>triple junction (Aulax, Leucospermum, Pseudopentameris Fynbos)</t>
  </si>
  <si>
    <t>margin of high Leucadendron coniferum</t>
  </si>
  <si>
    <t>Psoralea arborea, Helichrysum patulum</t>
  </si>
  <si>
    <t>transition Leucadendron Fynbos/Aulax Fynbos</t>
  </si>
  <si>
    <t>upper margin of moist fynbos</t>
  </si>
  <si>
    <t>increasing Leucospermum patersonii</t>
  </si>
  <si>
    <t>value</t>
  </si>
  <si>
    <t>vegetation age</t>
  </si>
  <si>
    <t>age [a]</t>
  </si>
  <si>
    <t>fire [map]</t>
  </si>
  <si>
    <t>fire [record]</t>
  </si>
  <si>
    <t>texture</t>
  </si>
  <si>
    <t>margin of Protea repens Proteoid Fynbos</t>
  </si>
  <si>
    <t>Ehrh reh</t>
  </si>
  <si>
    <t>Ehrh vil</t>
  </si>
  <si>
    <t>Fest sca</t>
  </si>
  <si>
    <t>Heli cap</t>
  </si>
  <si>
    <t>Koel cap</t>
  </si>
  <si>
    <t>Meli rac</t>
  </si>
  <si>
    <t>Pent bar</t>
  </si>
  <si>
    <t>Pent col</t>
  </si>
  <si>
    <t>Pent pal</t>
  </si>
  <si>
    <t>Pseu mac</t>
  </si>
  <si>
    <t>Spor afr</t>
  </si>
  <si>
    <t>Sten sec</t>
  </si>
  <si>
    <t>Stip dre</t>
  </si>
  <si>
    <t>Them tri</t>
  </si>
  <si>
    <t>Trib his</t>
  </si>
  <si>
    <t>Mura bol</t>
  </si>
  <si>
    <t>Mura div</t>
  </si>
  <si>
    <t>Mura cf.</t>
  </si>
  <si>
    <t>Mura eri</t>
  </si>
  <si>
    <t>Mura fil</t>
  </si>
  <si>
    <t>Mura hei</t>
  </si>
  <si>
    <t>Mura sat</t>
  </si>
  <si>
    <t>Mura sti</t>
  </si>
  <si>
    <t>Nyla spi</t>
  </si>
  <si>
    <t>Poly bra</t>
  </si>
  <si>
    <t>Poly das</t>
  </si>
  <si>
    <t>Poly mer</t>
  </si>
  <si>
    <t>Poly myr</t>
  </si>
  <si>
    <t>Poly pub</t>
  </si>
  <si>
    <t>Poly sca</t>
  </si>
  <si>
    <t>Poly umb</t>
  </si>
  <si>
    <t>Poly unc</t>
  </si>
  <si>
    <t>Emex aus</t>
  </si>
  <si>
    <t>Rume cor</t>
  </si>
  <si>
    <t>Pleo mac</t>
  </si>
  <si>
    <t>Aula umb</t>
  </si>
  <si>
    <t>Leuc con</t>
  </si>
  <si>
    <t>Leuc sal</t>
  </si>
  <si>
    <t>Leuc spi</t>
  </si>
  <si>
    <t>Leuc tin</t>
  </si>
  <si>
    <t>Leuc xan</t>
  </si>
  <si>
    <t>Leuc pat</t>
  </si>
  <si>
    <t>Leuc pro</t>
  </si>
  <si>
    <t>Mime cuc</t>
  </si>
  <si>
    <t>Prot aca</t>
  </si>
  <si>
    <t>Prot cyn</t>
  </si>
  <si>
    <t>Prot lon</t>
  </si>
  <si>
    <t>Prot obt</t>
  </si>
  <si>
    <t>Prot rep</t>
  </si>
  <si>
    <t>Prot spe</t>
  </si>
  <si>
    <t>Adia aet</t>
  </si>
  <si>
    <t>Adia cap</t>
  </si>
  <si>
    <t>Pter den</t>
  </si>
  <si>
    <t>Know ves</t>
  </si>
  <si>
    <t>Calo adp</t>
  </si>
  <si>
    <t>Calo vim</t>
  </si>
  <si>
    <t>Cann vir</t>
  </si>
  <si>
    <t>Chon hoo</t>
  </si>
  <si>
    <t>Chon mic</t>
  </si>
  <si>
    <t>Chon tec</t>
  </si>
  <si>
    <t>Eleg fil</t>
  </si>
  <si>
    <t>Eleg jun</t>
  </si>
  <si>
    <t>Eleg mui</t>
  </si>
  <si>
    <t>Eleg thy</t>
  </si>
  <si>
    <t>Hypo wil</t>
  </si>
  <si>
    <t>Isch cap</t>
  </si>
  <si>
    <t>Isch ele</t>
  </si>
  <si>
    <t>Isch lep</t>
  </si>
  <si>
    <t>Rest tri</t>
  </si>
  <si>
    <t>Tham ere</t>
  </si>
  <si>
    <t>Tham fra</t>
  </si>
  <si>
    <t>Tham fru</t>
  </si>
  <si>
    <t>Linu afr</t>
  </si>
  <si>
    <t>Linu thu</t>
  </si>
  <si>
    <t>Anis sca</t>
  </si>
  <si>
    <t>Herm fla</t>
  </si>
  <si>
    <t>Herm gro</t>
  </si>
  <si>
    <t>Herm hys</t>
  </si>
  <si>
    <t>Herm jou</t>
  </si>
  <si>
    <t>Herm ter</t>
  </si>
  <si>
    <t>Herm tri</t>
  </si>
  <si>
    <t>Hibi tri</t>
  </si>
  <si>
    <t>Ciss cap</t>
  </si>
  <si>
    <t>Aden glo</t>
  </si>
  <si>
    <t>Aden lic</t>
  </si>
  <si>
    <t>Moll cer</t>
  </si>
  <si>
    <t>Phar inc</t>
  </si>
  <si>
    <t>Phar lan</t>
  </si>
  <si>
    <t>Phar lin</t>
  </si>
  <si>
    <t>More cor</t>
  </si>
  <si>
    <t>More que</t>
  </si>
  <si>
    <t>Myrs afr</t>
  </si>
  <si>
    <t>Rapa mel</t>
  </si>
  <si>
    <t>Chio fov</t>
  </si>
  <si>
    <t>Olea cap</t>
  </si>
  <si>
    <t>Olea eur</t>
  </si>
  <si>
    <t>Olea exa</t>
  </si>
  <si>
    <t>Olin ven</t>
  </si>
  <si>
    <t>Epil hir</t>
  </si>
  <si>
    <t>Acro bol</t>
  </si>
  <si>
    <t>72 (ext) Acid Sand Proteoid Fynbos ND/ND</t>
  </si>
  <si>
    <t>73 (ext) Transitional Proteoid Fynbos ND/ND</t>
  </si>
  <si>
    <t>74 (ext) Dune Asteraceous Fynbos ND/ND</t>
  </si>
  <si>
    <t>75 (ext) Erica coccinea Ericoid Fynbos ND/ND</t>
  </si>
  <si>
    <t>76 (ext) Erica coccinea Ericoid Fynbos ND/ND</t>
  </si>
  <si>
    <t>77 (ext) Neutral Sand Proteoid Fynbos ND/ND</t>
  </si>
  <si>
    <t>78 (ext) Neutral Sand Proteoid Fynbos ND/ND</t>
  </si>
  <si>
    <t>79 (ext) Dune Asteraceous Fynbos ND/ND</t>
  </si>
  <si>
    <t>80 (ext) Erica coccinea Ericoid Fynbos ND/ND</t>
  </si>
  <si>
    <t>81 (ext) Neutral Sand Proteoid Fynbos ND/ND</t>
  </si>
  <si>
    <t>82 (ext) Erica coccinea Ericoid Fynbos ND/ND</t>
  </si>
  <si>
    <t>83 (ext) Erica coccinea Ericoid Fynbos ND/ND</t>
  </si>
  <si>
    <t>84 (ext) Dune Asteraceous Fynbos ND/ND</t>
  </si>
  <si>
    <t>85 (ext) Neutral Sand Proteoid Fynbos ND/ND</t>
  </si>
  <si>
    <t>86 (ext) Elegia thyrsifera Restioid Fynbos ND/ND</t>
  </si>
  <si>
    <t>87 (ext) Pteris dentata Shrubland ND/ND</t>
  </si>
  <si>
    <t>88 (ext) Pteris dentata Fernland ND/ND</t>
  </si>
  <si>
    <t>89 (ext) Dune Asteraceous Fynbos ND/ND</t>
  </si>
  <si>
    <t>90 (ext) True Wetland ND/ND</t>
  </si>
  <si>
    <t>91 (ext) Transitional Proteoid Fynbos ND/ND</t>
  </si>
  <si>
    <t>92 (ext) Dune Asteraceous Fynbos ND/ND</t>
  </si>
  <si>
    <t>93 (ext) Dune Asteraceous Fynbos ND/ND</t>
  </si>
  <si>
    <t>94 (ext) Neutral Sand Proteoid Fynbos ND/ND</t>
  </si>
  <si>
    <t>95 (ext) Protea repens Proteoid Fynbos ND/ND</t>
  </si>
  <si>
    <t>96 (ext) Erica sessiliflora Ericaceous Fynbos ND/ND</t>
  </si>
  <si>
    <t>97 (ext) Erica sessiliflora Ericaceous Fynbos ND/ND</t>
  </si>
  <si>
    <t>98 (ext) Neutral Sand Proteoid Fynbos ND/ND</t>
  </si>
  <si>
    <t>99 (ext) Neutral Sand Proteoid Fynbos ND/ND</t>
  </si>
  <si>
    <t>100 (ext) True Thicket ND/ND</t>
  </si>
  <si>
    <t>101 (ext) Neutral Sand Proteoid Fynbos ND/ND</t>
  </si>
  <si>
    <t>102 (ext) Transitional Proteoid Fynbos ND/ND</t>
  </si>
  <si>
    <t>103 (ext) Neutral Sand Proteoid Fynbos ND/ND</t>
  </si>
  <si>
    <t>104 (ext) Neutral Sand Proteoid Fynbos ND/ND</t>
  </si>
  <si>
    <t>105 (ext) Elegia thyrsifera Restioid Fynbos ND/ND</t>
  </si>
  <si>
    <t>106 (ext) True Thicket ND/ND</t>
  </si>
  <si>
    <t>107 (ext) True Thicket ND/ND</t>
  </si>
  <si>
    <t>108 (ext) True Wetland ND/ND</t>
  </si>
  <si>
    <t>109 (ext) Dune Asteraceous Fynbos ND/ND</t>
  </si>
  <si>
    <t>110 (ext) Neutral Sand Proteoid Fynbos ND/ND</t>
  </si>
  <si>
    <t>111 (ext) Protea repens Proteoid Fynbos ND/ND</t>
  </si>
  <si>
    <t>112 (ext) Erica coccinea Ericoid Fynbos ND/ND</t>
  </si>
  <si>
    <t>113 (ext) Dune Asteraceous Fynbos ND/ND</t>
  </si>
  <si>
    <t>114 (ext) Neutral Sand Proteoid Fynbos ND/ND</t>
  </si>
  <si>
    <t>115 (ext) Neutral Sand Proteoid Fynbos ND/ND</t>
  </si>
  <si>
    <t>116 (ext) Protea repens Proteoid Fynbos ND/ND</t>
  </si>
  <si>
    <t>117 (ext) Protea obtusifolia Proteoid Fynbos ND/ND</t>
  </si>
  <si>
    <t>118 (ext) Neutral Sand Proteoid Fynbos ND/ND</t>
  </si>
  <si>
    <t>119 (ext) Dune Asteraceous Fynbos ND/ND</t>
  </si>
  <si>
    <t>120 (ext) Dune Asteraceous Fynbos ND/ND</t>
  </si>
  <si>
    <t>121 (ext) Erica coccinea Ericoid Fynbos ND/ND</t>
  </si>
  <si>
    <t>122 (ext) Neutral Sand Proteoid Fynbos ND/ND</t>
  </si>
  <si>
    <t>123 (ext) Acid Sand Fynbos (post-fire regenerating) ND/ND</t>
  </si>
  <si>
    <t>124 (ext) Elegia thyrsifera Restioid Fynbos ND/ND</t>
  </si>
  <si>
    <t>125 (ext) Dune Asteraceous Fynbos ND/ND</t>
  </si>
  <si>
    <t>126 (ext) Erica coccinea Ericoid Fynbos ND/ND</t>
  </si>
  <si>
    <t>127 (ext) Protea repens Proteoid Fynbos ND/ND</t>
  </si>
  <si>
    <t>128 (ext) Protea repens Proteoid Fynbos ND/ND</t>
  </si>
  <si>
    <t>129 (ext) Protea repens Proteoid Fynbos (post-fire regenerating) ND/ND</t>
  </si>
  <si>
    <t>130 (ext) Acid Sand Fynbos (post-fire regenerating) ND/ND</t>
  </si>
  <si>
    <t>131 (ext) Acid Sand Fynbos (post-fire regenerating) ND/ND</t>
  </si>
  <si>
    <t>132 (ext) True Wetland ND/ND</t>
  </si>
  <si>
    <t>133 (ext) Acid Sand Proteoid Fynbos ND/ND</t>
  </si>
  <si>
    <t>134 (ext) Transitional Proteoid Fynbos ND/ND</t>
  </si>
  <si>
    <t>135 (ext) Transitional Proteoid Fynbos ND/ND</t>
  </si>
  <si>
    <t>136 (ext) Erica sessiliflora Ericaceous Fynbos ND/ND</t>
  </si>
  <si>
    <t>137 (ext) Erica sessiliflora Ericaceous Fynbos ND/ND</t>
  </si>
  <si>
    <t>138 (ext) Acid Sand Fynbos (post-fire regenerating) ND/ND</t>
  </si>
  <si>
    <t>139 (ext) Transitional Proteoid Fynbos ND/ND</t>
  </si>
  <si>
    <t>140 (ext) Transitional Proteoid Fynbos ND/ND</t>
  </si>
  <si>
    <t>141 (ext) Elegia thyrsifera Restioid Fynbos ND/ND</t>
  </si>
  <si>
    <t>142 (ext) Erica coccinea Ericoid Fynbos ND/ND</t>
  </si>
  <si>
    <t>143 (ext) Neutral Sand Proteoid Fynbos ND/ND</t>
  </si>
  <si>
    <t>144 (ext) Protea repens Proteoid Fynbos ND/ND</t>
  </si>
  <si>
    <t>145 (ext) Protea repens Proteoid Fynbos ND/ND</t>
  </si>
  <si>
    <t>146 (ext) Thamnochortus fraternus Restioid Fynbos ND/ND</t>
  </si>
  <si>
    <t>147 (ext) Thamnochortus fraternus Restioid Fynbos ND/ND</t>
  </si>
  <si>
    <t>148 (ext) Dune Asteraceous Fynbos ND/ND</t>
  </si>
  <si>
    <t>149 (ext) Thamnochortus fraternus Restioid Fynbos ND/ND</t>
  </si>
  <si>
    <t>150 (ext) Neutral Sand Proteoid Fynbos ND/ND</t>
  </si>
  <si>
    <t>151 (ext) Neutral Sand Proteoid Fynbos ND/ND</t>
  </si>
  <si>
    <t>152 (ext) Neutral Sand Proteoid Fynbos ND/ND</t>
  </si>
  <si>
    <t>153 (ext) Acid Sand Fynbos (post-fire regenerating) ND/ND</t>
  </si>
  <si>
    <t>154 (ext) Dune Asteraceous Fynbos ND/ND</t>
  </si>
  <si>
    <t>155 (ext) Erica coccinea Ericoid Fynbos ND/ND</t>
  </si>
  <si>
    <t>156 (ext) Neutral Sand Proteoid Fynbos ND/ND</t>
  </si>
  <si>
    <t>157 (ext) Erica coccinea Ericoid Fynbos ND/ND</t>
  </si>
  <si>
    <t>158 (ext) Erica coccinea Ericoid Fynbos ND/ND</t>
  </si>
  <si>
    <t>159 (ext) Erica coccinea Ericoid Fynbos ND/ND</t>
  </si>
  <si>
    <t>LF1</t>
  </si>
  <si>
    <t>LF2</t>
  </si>
  <si>
    <t>LF3</t>
  </si>
  <si>
    <t>LF4</t>
  </si>
  <si>
    <t>LF5</t>
  </si>
  <si>
    <t>LF6</t>
  </si>
  <si>
    <t>LF_GandP</t>
  </si>
  <si>
    <t>LF_GandP2</t>
  </si>
  <si>
    <t>status (red data)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</si>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</sst>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/mm/yyyy;@"/>
    <numFmt numFmtId="166" formatCode="mm&quot;/&quot;yyyy"/>
  </numFmts>
  <fonts count="85" x14ac:knownFonts="1">
    <font>
      <sz val="10"/>
      <name val="Arial"/>
    </font>
    <font>
      <sz val="10"/>
      <name val="Arial"/>
    </font>
    <font>
      <sz val="10"/>
      <name val="Arial"/>
    </font>
    <font>
      <sz val="8"/>
      <name val="Arial"/>
    </font>
    <font>
      <b/>
      <sz val="10"/>
      <color indexed="18"/>
      <name val="Arial"/>
    </font>
    <font>
      <b/>
      <sz val="10"/>
      <color indexed="18"/>
      <name val="Arial"/>
    </font>
    <font>
      <i/>
      <sz val="10"/>
      <name val="Times New Roman"/>
      <family val="1"/>
    </font>
    <font>
      <sz val="10"/>
      <name val="Arial"/>
    </font>
    <font>
      <b/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0"/>
      <name val="Arial"/>
      <family val="2"/>
    </font>
    <font>
      <sz val="8"/>
      <color indexed="23"/>
      <name val="Arial Narrow"/>
      <family val="2"/>
    </font>
    <font>
      <b/>
      <sz val="10"/>
      <color indexed="18"/>
      <name val="Arial Narrow"/>
      <family val="2"/>
    </font>
    <font>
      <b/>
      <sz val="10"/>
      <color indexed="62"/>
      <name val="Arial Narrow"/>
      <family val="2"/>
    </font>
    <font>
      <sz val="10"/>
      <color indexed="23"/>
      <name val="Arial Narrow"/>
      <family val="2"/>
    </font>
    <font>
      <b/>
      <sz val="10"/>
      <color indexed="62"/>
      <name val="Arial"/>
    </font>
    <font>
      <u/>
      <sz val="10"/>
      <color indexed="12"/>
      <name val="Arial"/>
    </font>
    <font>
      <b/>
      <u/>
      <sz val="10"/>
      <name val="Arial"/>
      <family val="2"/>
    </font>
    <font>
      <sz val="10"/>
      <name val="Symbol"/>
      <family val="1"/>
    </font>
    <font>
      <sz val="10"/>
      <name val="Arial"/>
    </font>
    <font>
      <sz val="8"/>
      <color indexed="10"/>
      <name val="Arial"/>
    </font>
    <font>
      <i/>
      <sz val="10"/>
      <color indexed="18"/>
      <name val="Times New Roman"/>
      <family val="1"/>
    </font>
    <font>
      <sz val="10"/>
      <color indexed="18"/>
      <name val="Arial Narrow"/>
      <family val="2"/>
    </font>
    <font>
      <sz val="10"/>
      <color indexed="18"/>
      <name val="Arial"/>
    </font>
    <font>
      <sz val="10"/>
      <color indexed="18"/>
      <name val="Arial"/>
    </font>
    <font>
      <b/>
      <i/>
      <sz val="10"/>
      <color indexed="18"/>
      <name val="Times New Roman"/>
      <family val="1"/>
    </font>
    <font>
      <sz val="10"/>
      <color indexed="8"/>
      <name val="Arial Narrow"/>
      <family val="2"/>
    </font>
    <font>
      <i/>
      <sz val="10"/>
      <name val="Arial"/>
      <family val="2"/>
    </font>
    <font>
      <b/>
      <sz val="10"/>
      <color indexed="18"/>
      <name val="Courier New"/>
      <family val="3"/>
    </font>
    <font>
      <b/>
      <sz val="10"/>
      <name val="Courier New"/>
      <family val="3"/>
    </font>
    <font>
      <sz val="8"/>
      <name val="Arial"/>
    </font>
    <font>
      <sz val="10"/>
      <name val="Arial"/>
    </font>
    <font>
      <sz val="10"/>
      <color indexed="23"/>
      <name val="Arial"/>
      <family val="2"/>
    </font>
    <font>
      <sz val="10"/>
      <color indexed="8"/>
      <name val="Arial"/>
    </font>
    <font>
      <b/>
      <sz val="10"/>
      <color indexed="8"/>
      <name val="Arial"/>
      <family val="2"/>
    </font>
    <font>
      <sz val="10"/>
      <color indexed="8"/>
      <name val="Arial"/>
    </font>
    <font>
      <sz val="10"/>
      <color indexed="8"/>
      <name val="Times New Roman"/>
      <family val="1"/>
    </font>
    <font>
      <b/>
      <sz val="9"/>
      <name val="Courier New"/>
      <family val="3"/>
    </font>
    <font>
      <b/>
      <sz val="9"/>
      <color indexed="18"/>
      <name val="Courier New"/>
      <family val="3"/>
    </font>
    <font>
      <i/>
      <sz val="10"/>
      <color indexed="60"/>
      <name val="Times New Roman"/>
      <family val="1"/>
    </font>
    <font>
      <sz val="9"/>
      <color indexed="8"/>
      <name val="Courier New"/>
      <family val="3"/>
    </font>
    <font>
      <sz val="9"/>
      <color indexed="18"/>
      <name val="Courier New"/>
      <family val="3"/>
    </font>
    <font>
      <sz val="8"/>
      <color indexed="17"/>
      <name val="Arial"/>
    </font>
    <font>
      <b/>
      <i/>
      <sz val="10"/>
      <color indexed="17"/>
      <name val="Times New Roman"/>
      <family val="1"/>
    </font>
    <font>
      <b/>
      <sz val="8"/>
      <color indexed="18"/>
      <name val="Courier New"/>
      <family val="3"/>
    </font>
    <font>
      <b/>
      <i/>
      <sz val="10"/>
      <color indexed="10"/>
      <name val="Times New Roman"/>
      <family val="1"/>
    </font>
    <font>
      <b/>
      <sz val="8"/>
      <color indexed="10"/>
      <name val="Courier New"/>
      <family val="3"/>
    </font>
    <font>
      <b/>
      <sz val="10"/>
      <color indexed="10"/>
      <name val="Courier New"/>
      <family val="3"/>
    </font>
    <font>
      <b/>
      <sz val="10"/>
      <color indexed="10"/>
      <name val="Arial"/>
      <family val="2"/>
    </font>
    <font>
      <sz val="8"/>
      <color indexed="10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i/>
      <sz val="10"/>
      <color indexed="16"/>
      <name val="Times New Roman"/>
      <family val="1"/>
    </font>
    <font>
      <sz val="8"/>
      <color indexed="16"/>
      <name val="Arial"/>
    </font>
    <font>
      <b/>
      <i/>
      <sz val="10"/>
      <color indexed="23"/>
      <name val="Times New Roman"/>
      <family val="1"/>
    </font>
    <font>
      <sz val="8"/>
      <color indexed="23"/>
      <name val="Arial"/>
    </font>
    <font>
      <sz val="8"/>
      <color indexed="18"/>
      <name val="Arial"/>
    </font>
    <font>
      <b/>
      <i/>
      <sz val="10"/>
      <color indexed="61"/>
      <name val="Times New Roman"/>
      <family val="1"/>
    </font>
    <font>
      <sz val="8"/>
      <color indexed="61"/>
      <name val="Arial"/>
    </font>
    <font>
      <b/>
      <sz val="10"/>
      <color indexed="17"/>
      <name val="Arial"/>
      <family val="2"/>
    </font>
    <font>
      <b/>
      <sz val="10"/>
      <color indexed="17"/>
      <name val="Arial Narrow"/>
      <family val="2"/>
    </font>
    <font>
      <sz val="10"/>
      <color indexed="17"/>
      <name val="Arial Narrow"/>
      <family val="2"/>
    </font>
    <font>
      <i/>
      <sz val="10"/>
      <name val="Arial"/>
      <family val="2"/>
    </font>
    <font>
      <b/>
      <sz val="14"/>
      <name val="Arial"/>
      <family val="2"/>
    </font>
    <font>
      <b/>
      <sz val="10"/>
      <color indexed="17"/>
      <name val="Courier New"/>
      <family val="3"/>
    </font>
    <font>
      <b/>
      <sz val="10"/>
      <color indexed="16"/>
      <name val="Courier New"/>
      <family val="3"/>
    </font>
    <font>
      <b/>
      <sz val="10"/>
      <color indexed="23"/>
      <name val="Courier New"/>
      <family val="3"/>
    </font>
    <font>
      <b/>
      <sz val="10"/>
      <color indexed="61"/>
      <name val="Courier New"/>
      <family val="3"/>
    </font>
    <font>
      <b/>
      <sz val="8"/>
      <color indexed="17"/>
      <name val="Courier New"/>
      <family val="3"/>
    </font>
    <font>
      <i/>
      <sz val="10"/>
      <color indexed="1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</font>
    <font>
      <b/>
      <sz val="10"/>
      <color indexed="16"/>
      <name val="Arial"/>
      <family val="2"/>
    </font>
    <font>
      <b/>
      <sz val="12"/>
      <name val="Arial"/>
    </font>
    <font>
      <b/>
      <sz val="12"/>
      <color indexed="9"/>
      <name val="Arial"/>
      <family val="2"/>
    </font>
    <font>
      <sz val="10"/>
      <color indexed="22"/>
      <name val="Arial"/>
    </font>
    <font>
      <b/>
      <sz val="10"/>
      <color indexed="8"/>
      <name val="Times New Roman"/>
      <family val="1"/>
    </font>
    <font>
      <sz val="10"/>
      <color indexed="18"/>
      <name val="Times New Roman"/>
      <family val="1"/>
    </font>
    <font>
      <b/>
      <sz val="10"/>
      <color indexed="18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i/>
      <sz val="8"/>
      <name val="Arial"/>
      <family val="2"/>
    </font>
    <font>
      <b/>
      <sz val="10"/>
      <color indexed="8"/>
      <name val="Arial"/>
      <family val="2"/>
    </font>
    <font>
      <b/>
      <i/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lightGray">
        <fgColor indexed="44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4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lightGray">
        <fgColor indexed="31"/>
        <bgColor indexed="9"/>
      </patternFill>
    </fill>
    <fill>
      <patternFill patternType="lightGray">
        <fgColor indexed="22"/>
        <bgColor indexed="9"/>
      </patternFill>
    </fill>
    <fill>
      <patternFill patternType="solid">
        <fgColor indexed="9"/>
        <bgColor indexed="22"/>
      </patternFill>
    </fill>
    <fill>
      <patternFill patternType="solid">
        <fgColor indexed="31"/>
        <bgColor indexed="64"/>
      </patternFill>
    </fill>
    <fill>
      <patternFill patternType="lightGray">
        <fgColor indexed="47"/>
        <bgColor indexed="9"/>
      </patternFill>
    </fill>
    <fill>
      <patternFill patternType="lightGray">
        <fgColor indexed="42"/>
        <bgColor indexed="9"/>
      </patternFill>
    </fill>
    <fill>
      <patternFill patternType="lightGray">
        <fgColor indexed="45"/>
        <bgColor indexed="9"/>
      </patternFill>
    </fill>
    <fill>
      <patternFill patternType="lightGray">
        <fgColor indexed="42"/>
        <bgColor indexed="13"/>
      </patternFill>
    </fill>
    <fill>
      <patternFill patternType="lightGray">
        <fgColor indexed="44"/>
      </patternFill>
    </fill>
    <fill>
      <patternFill patternType="solid">
        <fgColor indexed="10"/>
        <bgColor indexed="64"/>
      </patternFill>
    </fill>
    <fill>
      <patternFill patternType="lightGray">
        <fgColor indexed="42"/>
        <bgColor indexed="58"/>
      </patternFill>
    </fill>
  </fills>
  <borders count="5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22"/>
      </left>
      <right/>
      <top/>
      <bottom/>
      <diagonal/>
    </border>
    <border>
      <left/>
      <right style="medium">
        <color indexed="22"/>
      </right>
      <top/>
      <bottom/>
      <diagonal/>
    </border>
    <border>
      <left style="medium">
        <color indexed="22"/>
      </left>
      <right/>
      <top/>
      <bottom style="medium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 style="medium">
        <color indexed="22"/>
      </right>
      <top/>
      <bottom style="medium">
        <color indexed="22"/>
      </bottom>
      <diagonal/>
    </border>
    <border>
      <left style="medium">
        <color indexed="22"/>
      </left>
      <right/>
      <top style="medium">
        <color indexed="22"/>
      </top>
      <bottom/>
      <diagonal/>
    </border>
    <border>
      <left/>
      <right/>
      <top style="medium">
        <color indexed="22"/>
      </top>
      <bottom/>
      <diagonal/>
    </border>
    <border>
      <left/>
      <right style="medium">
        <color indexed="22"/>
      </right>
      <top style="medium">
        <color indexed="2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542">
    <xf numFmtId="0" fontId="0" fillId="0" borderId="0" xfId="0"/>
    <xf numFmtId="0" fontId="1" fillId="0" borderId="0" xfId="0" applyFont="1" applyAlignment="1">
      <alignment horizontal="center" vertical="center" wrapText="1"/>
    </xf>
    <xf numFmtId="165" fontId="10" fillId="2" borderId="1" xfId="0" applyNumberFormat="1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2" borderId="3" xfId="0" applyNumberFormat="1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165" fontId="10" fillId="0" borderId="5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1" fontId="15" fillId="0" borderId="5" xfId="0" applyNumberFormat="1" applyFont="1" applyBorder="1" applyAlignment="1">
      <alignment horizontal="center" vertical="center"/>
    </xf>
    <xf numFmtId="1" fontId="15" fillId="0" borderId="6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49" fontId="10" fillId="0" borderId="12" xfId="0" applyNumberFormat="1" applyFont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1" fontId="10" fillId="0" borderId="12" xfId="0" applyNumberFormat="1" applyFont="1" applyBorder="1" applyAlignment="1">
      <alignment horizontal="center" vertical="center"/>
    </xf>
    <xf numFmtId="1" fontId="15" fillId="0" borderId="10" xfId="0" applyNumberFormat="1" applyFont="1" applyBorder="1" applyAlignment="1">
      <alignment horizontal="center" vertical="center"/>
    </xf>
    <xf numFmtId="1" fontId="15" fillId="0" borderId="11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1" fontId="16" fillId="0" borderId="12" xfId="0" applyNumberFormat="1" applyFont="1" applyBorder="1" applyAlignment="1">
      <alignment horizontal="center" vertical="center"/>
    </xf>
    <xf numFmtId="1" fontId="14" fillId="0" borderId="9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8" fillId="2" borderId="14" xfId="0" applyFont="1" applyFill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0" fontId="6" fillId="0" borderId="11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27" fillId="3" borderId="1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2" fillId="0" borderId="0" xfId="0" applyFont="1" applyAlignment="1">
      <alignment horizontal="left" vertical="center" indent="1"/>
    </xf>
    <xf numFmtId="0" fontId="2" fillId="0" borderId="11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 indent="1"/>
    </xf>
    <xf numFmtId="0" fontId="3" fillId="0" borderId="11" xfId="0" applyFont="1" applyBorder="1" applyAlignment="1">
      <alignment horizontal="left" vertical="center" indent="1"/>
    </xf>
    <xf numFmtId="0" fontId="21" fillId="0" borderId="11" xfId="0" applyFont="1" applyBorder="1" applyAlignment="1">
      <alignment horizontal="left" vertical="center" indent="1"/>
    </xf>
    <xf numFmtId="0" fontId="3" fillId="0" borderId="11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indent="1"/>
    </xf>
    <xf numFmtId="0" fontId="29" fillId="4" borderId="10" xfId="0" applyFont="1" applyFill="1" applyBorder="1" applyAlignment="1">
      <alignment horizontal="center" vertical="center"/>
    </xf>
    <xf numFmtId="0" fontId="30" fillId="4" borderId="12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" fontId="8" fillId="2" borderId="7" xfId="0" applyNumberFormat="1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49" fontId="14" fillId="0" borderId="9" xfId="0" applyNumberFormat="1" applyFont="1" applyBorder="1" applyAlignment="1">
      <alignment horizontal="center" vertical="center"/>
    </xf>
    <xf numFmtId="164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" fontId="20" fillId="0" borderId="0" xfId="0" applyNumberFormat="1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 wrapText="1"/>
    </xf>
    <xf numFmtId="1" fontId="20" fillId="0" borderId="0" xfId="0" applyNumberFormat="1" applyFont="1" applyAlignment="1">
      <alignment vertical="center"/>
    </xf>
    <xf numFmtId="164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164" fontId="19" fillId="7" borderId="16" xfId="0" applyNumberFormat="1" applyFont="1" applyFill="1" applyBorder="1" applyAlignment="1">
      <alignment horizontal="center" vertical="center" wrapText="1"/>
    </xf>
    <xf numFmtId="1" fontId="20" fillId="0" borderId="11" xfId="0" applyNumberFormat="1" applyFont="1" applyBorder="1" applyAlignment="1">
      <alignment horizontal="center" vertical="center"/>
    </xf>
    <xf numFmtId="164" fontId="20" fillId="0" borderId="11" xfId="0" applyNumberFormat="1" applyFont="1" applyBorder="1" applyAlignment="1">
      <alignment horizontal="center" vertical="center"/>
    </xf>
    <xf numFmtId="1" fontId="20" fillId="0" borderId="17" xfId="0" applyNumberFormat="1" applyFont="1" applyBorder="1" applyAlignment="1">
      <alignment horizontal="center" vertical="center"/>
    </xf>
    <xf numFmtId="164" fontId="20" fillId="0" borderId="17" xfId="0" applyNumberFormat="1" applyFont="1" applyBorder="1" applyAlignment="1">
      <alignment horizontal="center" vertical="center"/>
    </xf>
    <xf numFmtId="1" fontId="33" fillId="0" borderId="17" xfId="0" applyNumberFormat="1" applyFont="1" applyBorder="1" applyAlignment="1">
      <alignment horizontal="center" vertical="center"/>
    </xf>
    <xf numFmtId="1" fontId="33" fillId="0" borderId="11" xfId="0" applyNumberFormat="1" applyFont="1" applyBorder="1" applyAlignment="1">
      <alignment horizontal="center" vertical="center"/>
    </xf>
    <xf numFmtId="164" fontId="2" fillId="7" borderId="16" xfId="0" applyNumberFormat="1" applyFont="1" applyFill="1" applyBorder="1" applyAlignment="1">
      <alignment horizontal="center" vertical="center" wrapText="1"/>
    </xf>
    <xf numFmtId="164" fontId="19" fillId="7" borderId="3" xfId="0" applyNumberFormat="1" applyFont="1" applyFill="1" applyBorder="1" applyAlignment="1">
      <alignment horizontal="center" vertical="center" wrapText="1"/>
    </xf>
    <xf numFmtId="164" fontId="20" fillId="0" borderId="18" xfId="0" applyNumberFormat="1" applyFont="1" applyBorder="1" applyAlignment="1">
      <alignment horizontal="center" vertical="center"/>
    </xf>
    <xf numFmtId="164" fontId="20" fillId="0" borderId="12" xfId="0" applyNumberFormat="1" applyFont="1" applyBorder="1" applyAlignment="1">
      <alignment horizontal="center" vertical="center"/>
    </xf>
    <xf numFmtId="0" fontId="20" fillId="2" borderId="19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49" fontId="5" fillId="2" borderId="18" xfId="0" applyNumberFormat="1" applyFont="1" applyFill="1" applyBorder="1" applyAlignment="1">
      <alignment horizontal="left" vertical="center" indent="1"/>
    </xf>
    <xf numFmtId="49" fontId="5" fillId="2" borderId="12" xfId="0" applyNumberFormat="1" applyFont="1" applyFill="1" applyBorder="1" applyAlignment="1">
      <alignment horizontal="left" vertical="center" indent="1"/>
    </xf>
    <xf numFmtId="0" fontId="24" fillId="0" borderId="0" xfId="0" applyFont="1" applyAlignment="1">
      <alignment horizontal="left" vertical="center" indent="1"/>
    </xf>
    <xf numFmtId="0" fontId="0" fillId="8" borderId="0" xfId="0" applyFill="1"/>
    <xf numFmtId="0" fontId="0" fillId="9" borderId="0" xfId="0" applyFill="1"/>
    <xf numFmtId="0" fontId="8" fillId="9" borderId="0" xfId="0" applyFont="1" applyFill="1"/>
    <xf numFmtId="0" fontId="0" fillId="8" borderId="20" xfId="0" applyFill="1" applyBorder="1"/>
    <xf numFmtId="0" fontId="10" fillId="8" borderId="0" xfId="0" applyFont="1" applyFill="1"/>
    <xf numFmtId="0" fontId="8" fillId="8" borderId="0" xfId="0" applyFont="1" applyFill="1" applyAlignment="1">
      <alignment horizontal="left" indent="1"/>
    </xf>
    <xf numFmtId="0" fontId="9" fillId="4" borderId="11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center" vertical="center"/>
    </xf>
    <xf numFmtId="0" fontId="40" fillId="0" borderId="0" xfId="0" applyFont="1" applyAlignment="1">
      <alignment horizontal="left" vertical="center" indent="1"/>
    </xf>
    <xf numFmtId="0" fontId="9" fillId="4" borderId="22" xfId="0" applyFont="1" applyFill="1" applyBorder="1" applyAlignment="1">
      <alignment horizontal="center" vertical="center"/>
    </xf>
    <xf numFmtId="0" fontId="13" fillId="10" borderId="11" xfId="0" applyFont="1" applyFill="1" applyBorder="1" applyAlignment="1">
      <alignment horizontal="center" vertical="center"/>
    </xf>
    <xf numFmtId="0" fontId="39" fillId="2" borderId="11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41" fillId="2" borderId="11" xfId="0" applyFont="1" applyFill="1" applyBorder="1" applyAlignment="1">
      <alignment horizontal="center" vertical="center"/>
    </xf>
    <xf numFmtId="0" fontId="42" fillId="2" borderId="11" xfId="0" applyFont="1" applyFill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23" fillId="2" borderId="9" xfId="0" applyNumberFormat="1" applyFont="1" applyFill="1" applyBorder="1" applyAlignment="1">
      <alignment horizontal="left" vertical="center" indent="1"/>
    </xf>
    <xf numFmtId="0" fontId="3" fillId="11" borderId="9" xfId="0" applyFont="1" applyFill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/>
    </xf>
    <xf numFmtId="1" fontId="15" fillId="0" borderId="9" xfId="0" applyNumberFormat="1" applyFont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1" fontId="15" fillId="0" borderId="23" xfId="0" applyNumberFormat="1" applyFont="1" applyBorder="1" applyAlignment="1">
      <alignment horizontal="center" vertical="center"/>
    </xf>
    <xf numFmtId="1" fontId="15" fillId="0" borderId="24" xfId="0" applyNumberFormat="1" applyFont="1" applyBorder="1" applyAlignment="1">
      <alignment horizontal="center" vertical="center"/>
    </xf>
    <xf numFmtId="1" fontId="15" fillId="0" borderId="25" xfId="0" applyNumberFormat="1" applyFont="1" applyBorder="1" applyAlignment="1">
      <alignment horizontal="center" vertical="center"/>
    </xf>
    <xf numFmtId="0" fontId="3" fillId="8" borderId="0" xfId="0" applyFont="1" applyFill="1"/>
    <xf numFmtId="0" fontId="3" fillId="8" borderId="0" xfId="0" applyFont="1" applyFill="1" applyAlignment="1">
      <alignment horizontal="left" indent="1"/>
    </xf>
    <xf numFmtId="0" fontId="44" fillId="12" borderId="10" xfId="0" applyFont="1" applyFill="1" applyBorder="1" applyAlignment="1">
      <alignment horizontal="left" vertical="center" indent="1"/>
    </xf>
    <xf numFmtId="0" fontId="43" fillId="12" borderId="11" xfId="0" applyFont="1" applyFill="1" applyBorder="1" applyAlignment="1">
      <alignment horizontal="left" vertical="center" indent="1"/>
    </xf>
    <xf numFmtId="0" fontId="30" fillId="0" borderId="18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" fillId="0" borderId="26" xfId="0" applyFont="1" applyBorder="1" applyAlignment="1">
      <alignment horizontal="left" vertical="center" indent="1"/>
    </xf>
    <xf numFmtId="0" fontId="46" fillId="12" borderId="10" xfId="0" applyFont="1" applyFill="1" applyBorder="1" applyAlignment="1">
      <alignment horizontal="left" vertical="center" indent="1"/>
    </xf>
    <xf numFmtId="0" fontId="21" fillId="12" borderId="11" xfId="0" applyFont="1" applyFill="1" applyBorder="1" applyAlignment="1">
      <alignment horizontal="left" vertical="center" indent="1"/>
    </xf>
    <xf numFmtId="0" fontId="48" fillId="0" borderId="10" xfId="0" applyFont="1" applyBorder="1" applyAlignment="1">
      <alignment horizontal="center" vertical="center"/>
    </xf>
    <xf numFmtId="0" fontId="48" fillId="0" borderId="12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0" fontId="49" fillId="0" borderId="9" xfId="0" applyFont="1" applyBorder="1" applyAlignment="1">
      <alignment horizontal="center" vertical="center"/>
    </xf>
    <xf numFmtId="0" fontId="51" fillId="0" borderId="11" xfId="0" applyFont="1" applyBorder="1" applyAlignment="1">
      <alignment horizontal="center" vertical="center"/>
    </xf>
    <xf numFmtId="0" fontId="51" fillId="0" borderId="12" xfId="0" applyFont="1" applyBorder="1" applyAlignment="1">
      <alignment horizontal="center" vertical="center"/>
    </xf>
    <xf numFmtId="0" fontId="52" fillId="0" borderId="10" xfId="0" applyFont="1" applyBorder="1" applyAlignment="1">
      <alignment horizontal="center" vertical="center"/>
    </xf>
    <xf numFmtId="0" fontId="52" fillId="0" borderId="11" xfId="0" applyFont="1" applyBorder="1" applyAlignment="1">
      <alignment horizontal="center" vertical="center"/>
    </xf>
    <xf numFmtId="0" fontId="52" fillId="0" borderId="12" xfId="0" applyFont="1" applyBorder="1" applyAlignment="1">
      <alignment horizontal="center" vertical="center"/>
    </xf>
    <xf numFmtId="0" fontId="48" fillId="4" borderId="10" xfId="0" applyFont="1" applyFill="1" applyBorder="1" applyAlignment="1">
      <alignment horizontal="center" vertical="center"/>
    </xf>
    <xf numFmtId="0" fontId="48" fillId="4" borderId="12" xfId="0" applyFont="1" applyFill="1" applyBorder="1" applyAlignment="1">
      <alignment horizontal="center" vertical="center"/>
    </xf>
    <xf numFmtId="0" fontId="53" fillId="11" borderId="10" xfId="0" applyFont="1" applyFill="1" applyBorder="1" applyAlignment="1">
      <alignment horizontal="left" vertical="center" indent="1"/>
    </xf>
    <xf numFmtId="0" fontId="54" fillId="11" borderId="11" xfId="0" applyFont="1" applyFill="1" applyBorder="1" applyAlignment="1">
      <alignment horizontal="left" vertical="center" indent="1"/>
    </xf>
    <xf numFmtId="0" fontId="3" fillId="8" borderId="9" xfId="0" applyFont="1" applyFill="1" applyBorder="1" applyAlignment="1">
      <alignment horizontal="center" vertical="center"/>
    </xf>
    <xf numFmtId="0" fontId="55" fillId="8" borderId="10" xfId="0" applyFont="1" applyFill="1" applyBorder="1" applyAlignment="1">
      <alignment horizontal="left" vertical="center" indent="1"/>
    </xf>
    <xf numFmtId="0" fontId="56" fillId="8" borderId="11" xfId="0" applyFont="1" applyFill="1" applyBorder="1" applyAlignment="1">
      <alignment horizontal="left" vertical="center" indent="1"/>
    </xf>
    <xf numFmtId="0" fontId="26" fillId="2" borderId="10" xfId="0" applyFont="1" applyFill="1" applyBorder="1" applyAlignment="1">
      <alignment horizontal="left" vertical="center" indent="1"/>
    </xf>
    <xf numFmtId="0" fontId="57" fillId="2" borderId="11" xfId="0" applyFont="1" applyFill="1" applyBorder="1" applyAlignment="1">
      <alignment horizontal="left" vertical="center" indent="1"/>
    </xf>
    <xf numFmtId="0" fontId="3" fillId="13" borderId="9" xfId="0" applyFont="1" applyFill="1" applyBorder="1" applyAlignment="1">
      <alignment horizontal="center" vertical="center"/>
    </xf>
    <xf numFmtId="0" fontId="58" fillId="13" borderId="10" xfId="0" applyFont="1" applyFill="1" applyBorder="1" applyAlignment="1">
      <alignment horizontal="left" vertical="center" indent="1"/>
    </xf>
    <xf numFmtId="0" fontId="59" fillId="13" borderId="11" xfId="0" applyFont="1" applyFill="1" applyBorder="1" applyAlignment="1">
      <alignment horizontal="left" vertical="center" indent="1"/>
    </xf>
    <xf numFmtId="1" fontId="3" fillId="0" borderId="19" xfId="0" applyNumberFormat="1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3" fillId="0" borderId="28" xfId="0" applyNumberFormat="1" applyFont="1" applyBorder="1" applyAlignment="1">
      <alignment horizontal="center" vertical="center"/>
    </xf>
    <xf numFmtId="1" fontId="3" fillId="0" borderId="26" xfId="0" applyNumberFormat="1" applyFont="1" applyBorder="1" applyAlignment="1">
      <alignment horizontal="center" vertical="center"/>
    </xf>
    <xf numFmtId="1" fontId="21" fillId="0" borderId="26" xfId="0" applyNumberFormat="1" applyFont="1" applyBorder="1" applyAlignment="1">
      <alignment horizontal="center" vertical="center"/>
    </xf>
    <xf numFmtId="0" fontId="47" fillId="0" borderId="11" xfId="0" applyFont="1" applyBorder="1" applyAlignment="1">
      <alignment horizontal="left" vertical="center" indent="1"/>
    </xf>
    <xf numFmtId="0" fontId="45" fillId="4" borderId="11" xfId="0" applyFont="1" applyFill="1" applyBorder="1" applyAlignment="1">
      <alignment horizontal="left" vertical="center" indent="1"/>
    </xf>
    <xf numFmtId="0" fontId="47" fillId="4" borderId="11" xfId="0" applyFont="1" applyFill="1" applyBorder="1" applyAlignment="1">
      <alignment horizontal="left" vertical="center" indent="1"/>
    </xf>
    <xf numFmtId="0" fontId="3" fillId="0" borderId="29" xfId="0" applyFont="1" applyBorder="1" applyAlignment="1">
      <alignment horizontal="left" vertical="center" indent="2"/>
    </xf>
    <xf numFmtId="166" fontId="31" fillId="0" borderId="5" xfId="0" applyNumberFormat="1" applyFont="1" applyBorder="1" applyAlignment="1">
      <alignment horizontal="left" vertical="center" indent="1"/>
    </xf>
    <xf numFmtId="166" fontId="31" fillId="0" borderId="30" xfId="0" applyNumberFormat="1" applyFont="1" applyBorder="1" applyAlignment="1">
      <alignment horizontal="left" vertical="center" indent="1"/>
    </xf>
    <xf numFmtId="166" fontId="31" fillId="0" borderId="22" xfId="0" applyNumberFormat="1" applyFont="1" applyBorder="1" applyAlignment="1">
      <alignment horizontal="left" vertical="center" indent="1"/>
    </xf>
    <xf numFmtId="166" fontId="50" fillId="0" borderId="22" xfId="0" applyNumberFormat="1" applyFont="1" applyBorder="1" applyAlignment="1">
      <alignment horizontal="left" vertical="center" indent="1"/>
    </xf>
    <xf numFmtId="166" fontId="31" fillId="0" borderId="0" xfId="0" applyNumberFormat="1" applyFont="1" applyAlignment="1">
      <alignment horizontal="left" vertical="center" indent="1"/>
    </xf>
    <xf numFmtId="0" fontId="3" fillId="12" borderId="31" xfId="0" applyFont="1" applyFill="1" applyBorder="1" applyAlignment="1">
      <alignment horizontal="center" vertical="center"/>
    </xf>
    <xf numFmtId="0" fontId="3" fillId="14" borderId="31" xfId="0" applyFont="1" applyFill="1" applyBorder="1" applyAlignment="1">
      <alignment horizontal="center" vertical="center"/>
    </xf>
    <xf numFmtId="0" fontId="3" fillId="9" borderId="0" xfId="0" applyFont="1" applyFill="1"/>
    <xf numFmtId="0" fontId="5" fillId="2" borderId="9" xfId="1" applyNumberFormat="1" applyFont="1" applyFill="1" applyBorder="1" applyAlignment="1" applyProtection="1">
      <alignment horizontal="center" vertical="center"/>
    </xf>
    <xf numFmtId="49" fontId="10" fillId="12" borderId="1" xfId="0" applyNumberFormat="1" applyFont="1" applyFill="1" applyBorder="1" applyAlignment="1">
      <alignment horizontal="center" vertical="center" wrapText="1"/>
    </xf>
    <xf numFmtId="49" fontId="10" fillId="12" borderId="16" xfId="0" applyNumberFormat="1" applyFont="1" applyFill="1" applyBorder="1" applyAlignment="1">
      <alignment horizontal="center" vertical="center" wrapText="1"/>
    </xf>
    <xf numFmtId="49" fontId="10" fillId="12" borderId="3" xfId="0" applyNumberFormat="1" applyFont="1" applyFill="1" applyBorder="1" applyAlignment="1">
      <alignment horizontal="center" vertical="center" wrapText="1"/>
    </xf>
    <xf numFmtId="165" fontId="10" fillId="12" borderId="1" xfId="0" applyNumberFormat="1" applyFont="1" applyFill="1" applyBorder="1" applyAlignment="1">
      <alignment horizontal="center" vertical="center" wrapText="1"/>
    </xf>
    <xf numFmtId="49" fontId="10" fillId="12" borderId="2" xfId="0" applyNumberFormat="1" applyFont="1" applyFill="1" applyBorder="1" applyAlignment="1">
      <alignment horizontal="center" vertical="center" wrapText="1"/>
    </xf>
    <xf numFmtId="1" fontId="10" fillId="12" borderId="1" xfId="0" applyNumberFormat="1" applyFont="1" applyFill="1" applyBorder="1" applyAlignment="1">
      <alignment horizontal="center" vertical="center" wrapText="1"/>
    </xf>
    <xf numFmtId="1" fontId="10" fillId="12" borderId="3" xfId="0" applyNumberFormat="1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6" xfId="0" applyFont="1" applyFill="1" applyBorder="1" applyAlignment="1">
      <alignment horizontal="center" vertical="center" wrapText="1"/>
    </xf>
    <xf numFmtId="1" fontId="12" fillId="12" borderId="1" xfId="0" applyNumberFormat="1" applyFont="1" applyFill="1" applyBorder="1" applyAlignment="1">
      <alignment horizontal="center" vertical="center" wrapText="1"/>
    </xf>
    <xf numFmtId="1" fontId="12" fillId="12" borderId="16" xfId="0" applyNumberFormat="1" applyFont="1" applyFill="1" applyBorder="1" applyAlignment="1">
      <alignment horizontal="center" vertical="center" wrapText="1"/>
    </xf>
    <xf numFmtId="1" fontId="12" fillId="12" borderId="32" xfId="0" applyNumberFormat="1" applyFont="1" applyFill="1" applyBorder="1" applyAlignment="1">
      <alignment horizontal="center" vertical="center" wrapText="1"/>
    </xf>
    <xf numFmtId="1" fontId="15" fillId="12" borderId="33" xfId="0" applyNumberFormat="1" applyFont="1" applyFill="1" applyBorder="1" applyAlignment="1">
      <alignment horizontal="center" vertical="center" wrapText="1"/>
    </xf>
    <xf numFmtId="1" fontId="15" fillId="12" borderId="34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0" fontId="9" fillId="12" borderId="9" xfId="1" applyNumberFormat="1" applyFont="1" applyFill="1" applyBorder="1" applyAlignment="1" applyProtection="1">
      <alignment horizontal="center" vertical="center"/>
    </xf>
    <xf numFmtId="0" fontId="10" fillId="12" borderId="9" xfId="1" applyNumberFormat="1" applyFont="1" applyFill="1" applyBorder="1" applyAlignment="1" applyProtection="1">
      <alignment horizontal="center" vertical="center"/>
    </xf>
    <xf numFmtId="1" fontId="61" fillId="12" borderId="3" xfId="0" applyNumberFormat="1" applyFont="1" applyFill="1" applyBorder="1" applyAlignment="1">
      <alignment horizontal="center" vertical="center" wrapText="1"/>
    </xf>
    <xf numFmtId="164" fontId="61" fillId="12" borderId="35" xfId="0" applyNumberFormat="1" applyFont="1" applyFill="1" applyBorder="1" applyAlignment="1">
      <alignment horizontal="center" vertical="center" wrapText="1"/>
    </xf>
    <xf numFmtId="1" fontId="61" fillId="12" borderId="35" xfId="0" applyNumberFormat="1" applyFont="1" applyFill="1" applyBorder="1" applyAlignment="1">
      <alignment horizontal="center" vertical="center" wrapText="1"/>
    </xf>
    <xf numFmtId="1" fontId="61" fillId="12" borderId="36" xfId="0" applyNumberFormat="1" applyFont="1" applyFill="1" applyBorder="1" applyAlignment="1">
      <alignment horizontal="center" vertical="center" wrapText="1"/>
    </xf>
    <xf numFmtId="2" fontId="61" fillId="12" borderId="35" xfId="0" applyNumberFormat="1" applyFont="1" applyFill="1" applyBorder="1" applyAlignment="1">
      <alignment horizontal="center" vertical="center" wrapText="1"/>
    </xf>
    <xf numFmtId="1" fontId="61" fillId="0" borderId="7" xfId="0" applyNumberFormat="1" applyFont="1" applyBorder="1" applyAlignment="1">
      <alignment horizontal="center" vertical="center"/>
    </xf>
    <xf numFmtId="164" fontId="62" fillId="0" borderId="5" xfId="0" applyNumberFormat="1" applyFont="1" applyBorder="1" applyAlignment="1">
      <alignment horizontal="center" vertical="center"/>
    </xf>
    <xf numFmtId="1" fontId="62" fillId="0" borderId="5" xfId="0" applyNumberFormat="1" applyFont="1" applyBorder="1" applyAlignment="1">
      <alignment horizontal="center" vertical="center"/>
    </xf>
    <xf numFmtId="2" fontId="62" fillId="0" borderId="5" xfId="0" applyNumberFormat="1" applyFont="1" applyBorder="1" applyAlignment="1">
      <alignment horizontal="center" vertical="center"/>
    </xf>
    <xf numFmtId="1" fontId="61" fillId="0" borderId="12" xfId="0" applyNumberFormat="1" applyFont="1" applyBorder="1" applyAlignment="1">
      <alignment horizontal="center" vertical="center"/>
    </xf>
    <xf numFmtId="164" fontId="62" fillId="0" borderId="10" xfId="0" applyNumberFormat="1" applyFont="1" applyBorder="1" applyAlignment="1">
      <alignment horizontal="center" vertical="center"/>
    </xf>
    <xf numFmtId="1" fontId="62" fillId="0" borderId="10" xfId="0" applyNumberFormat="1" applyFont="1" applyBorder="1" applyAlignment="1">
      <alignment horizontal="center" vertical="center"/>
    </xf>
    <xf numFmtId="2" fontId="62" fillId="0" borderId="10" xfId="0" applyNumberFormat="1" applyFont="1" applyBorder="1" applyAlignment="1">
      <alignment horizontal="center" vertical="center"/>
    </xf>
    <xf numFmtId="1" fontId="61" fillId="0" borderId="0" xfId="0" applyNumberFormat="1" applyFont="1" applyAlignment="1">
      <alignment horizontal="center" vertical="center"/>
    </xf>
    <xf numFmtId="164" fontId="62" fillId="0" borderId="0" xfId="0" applyNumberFormat="1" applyFont="1" applyAlignment="1">
      <alignment horizontal="center" vertical="center"/>
    </xf>
    <xf numFmtId="1" fontId="62" fillId="0" borderId="0" xfId="0" applyNumberFormat="1" applyFont="1" applyAlignment="1">
      <alignment horizontal="center" vertical="center"/>
    </xf>
    <xf numFmtId="2" fontId="62" fillId="0" borderId="0" xfId="0" applyNumberFormat="1" applyFont="1" applyAlignment="1">
      <alignment horizontal="center" vertical="center"/>
    </xf>
    <xf numFmtId="1" fontId="61" fillId="12" borderId="16" xfId="0" applyNumberFormat="1" applyFont="1" applyFill="1" applyBorder="1" applyAlignment="1">
      <alignment horizontal="center" vertical="center" wrapText="1"/>
    </xf>
    <xf numFmtId="1" fontId="61" fillId="0" borderId="6" xfId="0" applyNumberFormat="1" applyFont="1" applyBorder="1" applyAlignment="1">
      <alignment horizontal="center" vertical="center"/>
    </xf>
    <xf numFmtId="1" fontId="61" fillId="0" borderId="11" xfId="0" applyNumberFormat="1" applyFont="1" applyBorder="1" applyAlignment="1">
      <alignment horizontal="center" vertical="center"/>
    </xf>
    <xf numFmtId="1" fontId="61" fillId="12" borderId="34" xfId="0" applyNumberFormat="1" applyFont="1" applyFill="1" applyBorder="1" applyAlignment="1">
      <alignment horizontal="center" vertical="center" wrapText="1"/>
    </xf>
    <xf numFmtId="1" fontId="61" fillId="0" borderId="4" xfId="0" applyNumberFormat="1" applyFont="1" applyBorder="1" applyAlignment="1">
      <alignment horizontal="center" vertical="center"/>
    </xf>
    <xf numFmtId="0" fontId="62" fillId="12" borderId="9" xfId="1" applyNumberFormat="1" applyFont="1" applyFill="1" applyBorder="1" applyAlignment="1" applyProtection="1">
      <alignment horizontal="center" vertical="center"/>
    </xf>
    <xf numFmtId="0" fontId="62" fillId="12" borderId="9" xfId="0" applyFont="1" applyFill="1" applyBorder="1" applyAlignment="1">
      <alignment horizontal="left" vertical="center" indent="1"/>
    </xf>
    <xf numFmtId="0" fontId="61" fillId="0" borderId="0" xfId="0" applyFont="1" applyAlignment="1">
      <alignment horizontal="center" vertical="center"/>
    </xf>
    <xf numFmtId="0" fontId="62" fillId="0" borderId="0" xfId="0" applyFont="1" applyAlignment="1">
      <alignment horizontal="left" vertical="center" indent="1"/>
    </xf>
    <xf numFmtId="0" fontId="61" fillId="0" borderId="7" xfId="0" applyFont="1" applyBorder="1" applyAlignment="1">
      <alignment horizontal="center" vertical="center"/>
    </xf>
    <xf numFmtId="0" fontId="61" fillId="0" borderId="12" xfId="0" applyFont="1" applyBorder="1" applyAlignment="1">
      <alignment horizontal="center" vertical="center"/>
    </xf>
    <xf numFmtId="0" fontId="61" fillId="12" borderId="3" xfId="0" applyFont="1" applyFill="1" applyBorder="1" applyAlignment="1">
      <alignment horizontal="center" vertical="center" wrapText="1"/>
    </xf>
    <xf numFmtId="1" fontId="62" fillId="0" borderId="34" xfId="0" applyNumberFormat="1" applyFont="1" applyBorder="1" applyAlignment="1">
      <alignment horizontal="center" vertical="center" wrapText="1"/>
    </xf>
    <xf numFmtId="164" fontId="62" fillId="0" borderId="34" xfId="0" applyNumberFormat="1" applyFont="1" applyBorder="1" applyAlignment="1">
      <alignment horizontal="center" vertical="center" wrapText="1"/>
    </xf>
    <xf numFmtId="1" fontId="62" fillId="12" borderId="9" xfId="0" applyNumberFormat="1" applyFont="1" applyFill="1" applyBorder="1" applyAlignment="1">
      <alignment horizontal="center" vertical="center"/>
    </xf>
    <xf numFmtId="164" fontId="62" fillId="12" borderId="9" xfId="0" applyNumberFormat="1" applyFont="1" applyFill="1" applyBorder="1" applyAlignment="1">
      <alignment horizontal="center" vertical="center"/>
    </xf>
    <xf numFmtId="0" fontId="62" fillId="12" borderId="4" xfId="1" applyNumberFormat="1" applyFont="1" applyFill="1" applyBorder="1" applyAlignment="1" applyProtection="1">
      <alignment horizontal="center" vertical="center"/>
    </xf>
    <xf numFmtId="1" fontId="62" fillId="12" borderId="4" xfId="0" applyNumberFormat="1" applyFont="1" applyFill="1" applyBorder="1" applyAlignment="1">
      <alignment horizontal="center" vertical="center"/>
    </xf>
    <xf numFmtId="164" fontId="62" fillId="12" borderId="4" xfId="0" applyNumberFormat="1" applyFont="1" applyFill="1" applyBorder="1" applyAlignment="1">
      <alignment horizontal="center" vertical="center"/>
    </xf>
    <xf numFmtId="0" fontId="9" fillId="11" borderId="9" xfId="1" applyNumberFormat="1" applyFont="1" applyFill="1" applyBorder="1" applyAlignment="1" applyProtection="1">
      <alignment horizontal="center" vertical="center"/>
    </xf>
    <xf numFmtId="0" fontId="62" fillId="11" borderId="9" xfId="1" applyNumberFormat="1" applyFont="1" applyFill="1" applyBorder="1" applyAlignment="1" applyProtection="1">
      <alignment horizontal="center" vertical="center"/>
    </xf>
    <xf numFmtId="0" fontId="62" fillId="11" borderId="9" xfId="0" applyFont="1" applyFill="1" applyBorder="1" applyAlignment="1">
      <alignment horizontal="left" vertical="center" indent="1"/>
    </xf>
    <xf numFmtId="1" fontId="62" fillId="11" borderId="9" xfId="0" applyNumberFormat="1" applyFont="1" applyFill="1" applyBorder="1" applyAlignment="1">
      <alignment horizontal="center" vertical="center"/>
    </xf>
    <xf numFmtId="164" fontId="62" fillId="11" borderId="9" xfId="0" applyNumberFormat="1" applyFont="1" applyFill="1" applyBorder="1" applyAlignment="1">
      <alignment horizontal="center" vertical="center"/>
    </xf>
    <xf numFmtId="0" fontId="10" fillId="11" borderId="9" xfId="1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8" fillId="12" borderId="8" xfId="0" applyFont="1" applyFill="1" applyBorder="1" applyAlignment="1">
      <alignment vertical="center"/>
    </xf>
    <xf numFmtId="0" fontId="3" fillId="12" borderId="11" xfId="0" applyFont="1" applyFill="1" applyBorder="1" applyAlignment="1">
      <alignment horizontal="left" vertical="center" indent="1"/>
    </xf>
    <xf numFmtId="0" fontId="2" fillId="12" borderId="1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1" fontId="2" fillId="12" borderId="1" xfId="0" applyNumberFormat="1" applyFont="1" applyFill="1" applyBorder="1" applyAlignment="1">
      <alignment horizontal="center" vertical="center"/>
    </xf>
    <xf numFmtId="1" fontId="2" fillId="12" borderId="16" xfId="0" applyNumberFormat="1" applyFont="1" applyFill="1" applyBorder="1" applyAlignment="1">
      <alignment horizontal="center" vertical="center"/>
    </xf>
    <xf numFmtId="1" fontId="2" fillId="12" borderId="32" xfId="0" applyNumberFormat="1" applyFont="1" applyFill="1" applyBorder="1" applyAlignment="1">
      <alignment horizontal="center" vertical="center"/>
    </xf>
    <xf numFmtId="166" fontId="31" fillId="12" borderId="1" xfId="0" applyNumberFormat="1" applyFont="1" applyFill="1" applyBorder="1" applyAlignment="1">
      <alignment horizontal="left" vertical="center" indent="1"/>
    </xf>
    <xf numFmtId="0" fontId="2" fillId="12" borderId="16" xfId="0" applyFont="1" applyFill="1" applyBorder="1" applyAlignment="1">
      <alignment horizontal="center" vertical="center"/>
    </xf>
    <xf numFmtId="0" fontId="65" fillId="0" borderId="5" xfId="0" applyFont="1" applyBorder="1" applyAlignment="1">
      <alignment horizontal="center" vertical="center"/>
    </xf>
    <xf numFmtId="0" fontId="65" fillId="0" borderId="19" xfId="0" applyFont="1" applyBorder="1" applyAlignment="1">
      <alignment horizontal="center" vertical="center"/>
    </xf>
    <xf numFmtId="0" fontId="65" fillId="0" borderId="10" xfId="0" applyFont="1" applyBorder="1" applyAlignment="1">
      <alignment horizontal="center" vertical="center"/>
    </xf>
    <xf numFmtId="0" fontId="65" fillId="4" borderId="10" xfId="0" applyFont="1" applyFill="1" applyBorder="1" applyAlignment="1">
      <alignment horizontal="center" vertical="center"/>
    </xf>
    <xf numFmtId="0" fontId="66" fillId="4" borderId="10" xfId="0" applyFont="1" applyFill="1" applyBorder="1" applyAlignment="1">
      <alignment horizontal="center" vertical="center"/>
    </xf>
    <xf numFmtId="0" fontId="67" fillId="4" borderId="10" xfId="0" applyFont="1" applyFill="1" applyBorder="1" applyAlignment="1">
      <alignment horizontal="center" vertical="center"/>
    </xf>
    <xf numFmtId="0" fontId="68" fillId="4" borderId="10" xfId="0" applyFont="1" applyFill="1" applyBorder="1" applyAlignment="1">
      <alignment horizontal="center" vertical="center"/>
    </xf>
    <xf numFmtId="0" fontId="69" fillId="0" borderId="11" xfId="0" applyFont="1" applyBorder="1" applyAlignment="1">
      <alignment horizontal="left" vertical="center" indent="1"/>
    </xf>
    <xf numFmtId="0" fontId="60" fillId="0" borderId="4" xfId="0" applyFont="1" applyBorder="1" applyAlignment="1">
      <alignment horizontal="center" vertical="center"/>
    </xf>
    <xf numFmtId="0" fontId="69" fillId="0" borderId="17" xfId="0" applyFont="1" applyBorder="1" applyAlignment="1">
      <alignment horizontal="left" vertical="center" indent="1"/>
    </xf>
    <xf numFmtId="0" fontId="60" fillId="0" borderId="31" xfId="0" applyFont="1" applyBorder="1" applyAlignment="1">
      <alignment horizontal="center" vertical="center"/>
    </xf>
    <xf numFmtId="0" fontId="60" fillId="0" borderId="9" xfId="0" applyFont="1" applyBorder="1" applyAlignment="1">
      <alignment horizontal="center" vertical="center"/>
    </xf>
    <xf numFmtId="0" fontId="70" fillId="0" borderId="9" xfId="0" applyFont="1" applyBorder="1" applyAlignment="1">
      <alignment horizontal="center" vertical="center"/>
    </xf>
    <xf numFmtId="0" fontId="69" fillId="4" borderId="11" xfId="0" applyFont="1" applyFill="1" applyBorder="1" applyAlignment="1">
      <alignment horizontal="left" vertical="center" indent="1"/>
    </xf>
    <xf numFmtId="0" fontId="71" fillId="0" borderId="11" xfId="0" applyFont="1" applyBorder="1" applyAlignment="1">
      <alignment horizontal="center" vertical="center"/>
    </xf>
    <xf numFmtId="0" fontId="72" fillId="0" borderId="11" xfId="0" applyFont="1" applyBorder="1" applyAlignment="1">
      <alignment horizontal="center" vertical="center"/>
    </xf>
    <xf numFmtId="0" fontId="73" fillId="0" borderId="11" xfId="0" applyFont="1" applyBorder="1" applyAlignment="1">
      <alignment horizontal="center" vertical="center"/>
    </xf>
    <xf numFmtId="0" fontId="71" fillId="0" borderId="6" xfId="0" applyFont="1" applyBorder="1" applyAlignment="1">
      <alignment horizontal="center" vertical="center"/>
    </xf>
    <xf numFmtId="0" fontId="71" fillId="0" borderId="17" xfId="0" applyFont="1" applyBorder="1" applyAlignment="1">
      <alignment horizontal="center" vertical="center"/>
    </xf>
    <xf numFmtId="0" fontId="28" fillId="0" borderId="22" xfId="0" applyFont="1" applyBorder="1" applyAlignment="1">
      <alignment horizontal="left" vertical="center" indent="1"/>
    </xf>
    <xf numFmtId="14" fontId="0" fillId="0" borderId="0" xfId="0" applyNumberFormat="1"/>
    <xf numFmtId="0" fontId="63" fillId="0" borderId="0" xfId="0" applyFont="1"/>
    <xf numFmtId="0" fontId="64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74" fillId="0" borderId="0" xfId="0" applyFont="1" applyAlignment="1">
      <alignment horizontal="center"/>
    </xf>
    <xf numFmtId="0" fontId="74" fillId="0" borderId="0" xfId="0" applyFont="1"/>
    <xf numFmtId="166" fontId="76" fillId="0" borderId="0" xfId="0" applyNumberFormat="1" applyFont="1"/>
    <xf numFmtId="0" fontId="0" fillId="15" borderId="11" xfId="0" applyFill="1" applyBorder="1"/>
    <xf numFmtId="0" fontId="5" fillId="0" borderId="11" xfId="0" applyFont="1" applyBorder="1" applyAlignment="1">
      <alignment horizontal="center"/>
    </xf>
    <xf numFmtId="0" fontId="5" fillId="0" borderId="11" xfId="0" applyFont="1" applyBorder="1"/>
    <xf numFmtId="0" fontId="8" fillId="0" borderId="11" xfId="0" applyFont="1" applyBorder="1"/>
    <xf numFmtId="0" fontId="0" fillId="0" borderId="0" xfId="0" applyAlignment="1">
      <alignment horizontal="left" indent="1"/>
    </xf>
    <xf numFmtId="0" fontId="8" fillId="15" borderId="11" xfId="0" applyFont="1" applyFill="1" applyBorder="1" applyAlignment="1">
      <alignment horizontal="center"/>
    </xf>
    <xf numFmtId="0" fontId="74" fillId="0" borderId="0" xfId="0" applyFont="1" applyAlignment="1">
      <alignment horizontal="left"/>
    </xf>
    <xf numFmtId="1" fontId="61" fillId="12" borderId="37" xfId="0" applyNumberFormat="1" applyFont="1" applyFill="1" applyBorder="1" applyAlignment="1">
      <alignment horizontal="center" vertical="center" wrapText="1"/>
    </xf>
    <xf numFmtId="0" fontId="61" fillId="0" borderId="38" xfId="0" applyFont="1" applyBorder="1" applyAlignment="1">
      <alignment horizontal="center" vertical="center"/>
    </xf>
    <xf numFmtId="0" fontId="61" fillId="0" borderId="39" xfId="0" applyFont="1" applyBorder="1" applyAlignment="1">
      <alignment horizontal="center" vertical="center"/>
    </xf>
    <xf numFmtId="0" fontId="69" fillId="0" borderId="40" xfId="0" applyFont="1" applyBorder="1" applyAlignment="1">
      <alignment horizontal="left" vertical="center" indent="1"/>
    </xf>
    <xf numFmtId="0" fontId="69" fillId="0" borderId="13" xfId="0" applyFont="1" applyBorder="1" applyAlignment="1">
      <alignment horizontal="left" vertical="center" indent="1"/>
    </xf>
    <xf numFmtId="0" fontId="47" fillId="0" borderId="13" xfId="0" applyFont="1" applyBorder="1" applyAlignment="1">
      <alignment horizontal="left" vertical="center" indent="1"/>
    </xf>
    <xf numFmtId="0" fontId="69" fillId="4" borderId="13" xfId="0" applyFont="1" applyFill="1" applyBorder="1" applyAlignment="1">
      <alignment horizontal="left" vertical="center" indent="1"/>
    </xf>
    <xf numFmtId="0" fontId="47" fillId="4" borderId="13" xfId="0" applyFont="1" applyFill="1" applyBorder="1" applyAlignment="1">
      <alignment horizontal="left" vertical="center" indent="1"/>
    </xf>
    <xf numFmtId="0" fontId="45" fillId="4" borderId="13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164" fontId="8" fillId="0" borderId="11" xfId="0" applyNumberFormat="1" applyFont="1" applyBorder="1" applyAlignment="1">
      <alignment horizontal="center" vertical="center"/>
    </xf>
    <xf numFmtId="0" fontId="24" fillId="16" borderId="0" xfId="0" applyFont="1" applyFill="1" applyAlignment="1">
      <alignment horizontal="right" vertical="center"/>
    </xf>
    <xf numFmtId="0" fontId="78" fillId="16" borderId="0" xfId="0" applyFont="1" applyFill="1" applyAlignment="1">
      <alignment horizontal="left" vertical="center" indent="1"/>
    </xf>
    <xf numFmtId="164" fontId="24" fillId="16" borderId="0" xfId="0" applyNumberFormat="1" applyFont="1" applyFill="1" applyAlignment="1">
      <alignment horizontal="right" vertical="center"/>
    </xf>
    <xf numFmtId="0" fontId="34" fillId="16" borderId="0" xfId="0" applyFont="1" applyFill="1" applyAlignment="1">
      <alignment horizontal="right" vertical="center"/>
    </xf>
    <xf numFmtId="0" fontId="37" fillId="16" borderId="0" xfId="0" applyFont="1" applyFill="1" applyAlignment="1">
      <alignment horizontal="left" vertical="center" indent="1"/>
    </xf>
    <xf numFmtId="164" fontId="34" fillId="16" borderId="0" xfId="0" applyNumberFormat="1" applyFont="1" applyFill="1" applyAlignment="1">
      <alignment horizontal="right" vertical="center"/>
    </xf>
    <xf numFmtId="0" fontId="80" fillId="0" borderId="0" xfId="0" applyFont="1"/>
    <xf numFmtId="0" fontId="81" fillId="0" borderId="0" xfId="0" applyFont="1"/>
    <xf numFmtId="0" fontId="3" fillId="0" borderId="0" xfId="0" applyFont="1"/>
    <xf numFmtId="0" fontId="31" fillId="0" borderId="0" xfId="0" applyFont="1"/>
    <xf numFmtId="0" fontId="82" fillId="0" borderId="0" xfId="0" applyFont="1"/>
    <xf numFmtId="0" fontId="35" fillId="3" borderId="41" xfId="0" applyFont="1" applyFill="1" applyBorder="1" applyAlignment="1">
      <alignment horizontal="right" vertical="top"/>
    </xf>
    <xf numFmtId="0" fontId="77" fillId="3" borderId="0" xfId="0" applyFont="1" applyFill="1" applyAlignment="1">
      <alignment horizontal="left" vertical="top" indent="1"/>
    </xf>
    <xf numFmtId="164" fontId="35" fillId="3" borderId="0" xfId="0" applyNumberFormat="1" applyFont="1" applyFill="1" applyAlignment="1">
      <alignment horizontal="right" vertical="top"/>
    </xf>
    <xf numFmtId="0" fontId="34" fillId="3" borderId="42" xfId="0" applyFont="1" applyFill="1" applyBorder="1" applyAlignment="1">
      <alignment horizontal="center" vertical="top"/>
    </xf>
    <xf numFmtId="0" fontId="5" fillId="3" borderId="41" xfId="0" applyFont="1" applyFill="1" applyBorder="1" applyAlignment="1">
      <alignment horizontal="right" vertical="top"/>
    </xf>
    <xf numFmtId="0" fontId="79" fillId="3" borderId="0" xfId="0" applyFont="1" applyFill="1" applyAlignment="1">
      <alignment horizontal="left" vertical="top" indent="1"/>
    </xf>
    <xf numFmtId="164" fontId="5" fillId="3" borderId="0" xfId="0" applyNumberFormat="1" applyFont="1" applyFill="1" applyAlignment="1">
      <alignment horizontal="right" vertical="top"/>
    </xf>
    <xf numFmtId="0" fontId="36" fillId="3" borderId="41" xfId="0" applyFont="1" applyFill="1" applyBorder="1" applyAlignment="1">
      <alignment horizontal="right" vertical="top"/>
    </xf>
    <xf numFmtId="0" fontId="37" fillId="3" borderId="0" xfId="0" applyFont="1" applyFill="1" applyAlignment="1">
      <alignment horizontal="left" vertical="top" indent="1"/>
    </xf>
    <xf numFmtId="164" fontId="36" fillId="3" borderId="0" xfId="0" applyNumberFormat="1" applyFont="1" applyFill="1" applyAlignment="1">
      <alignment horizontal="right" vertical="top"/>
    </xf>
    <xf numFmtId="0" fontId="34" fillId="3" borderId="0" xfId="0" applyFont="1" applyFill="1" applyAlignment="1">
      <alignment horizontal="center" vertical="top"/>
    </xf>
    <xf numFmtId="0" fontId="25" fillId="3" borderId="41" xfId="0" applyFont="1" applyFill="1" applyBorder="1" applyAlignment="1">
      <alignment horizontal="right" vertical="top"/>
    </xf>
    <xf numFmtId="0" fontId="78" fillId="3" borderId="0" xfId="0" applyFont="1" applyFill="1" applyAlignment="1">
      <alignment horizontal="left" vertical="top" indent="1"/>
    </xf>
    <xf numFmtId="164" fontId="25" fillId="3" borderId="0" xfId="0" applyNumberFormat="1" applyFont="1" applyFill="1" applyAlignment="1">
      <alignment horizontal="right" vertical="top"/>
    </xf>
    <xf numFmtId="0" fontId="34" fillId="3" borderId="41" xfId="0" applyFont="1" applyFill="1" applyBorder="1" applyAlignment="1">
      <alignment horizontal="right" vertical="top"/>
    </xf>
    <xf numFmtId="164" fontId="34" fillId="3" borderId="0" xfId="0" applyNumberFormat="1" applyFont="1" applyFill="1" applyAlignment="1">
      <alignment horizontal="right" vertical="top"/>
    </xf>
    <xf numFmtId="0" fontId="24" fillId="3" borderId="41" xfId="0" applyFont="1" applyFill="1" applyBorder="1" applyAlignment="1">
      <alignment horizontal="right" vertical="top"/>
    </xf>
    <xf numFmtId="164" fontId="24" fillId="3" borderId="0" xfId="0" applyNumberFormat="1" applyFont="1" applyFill="1" applyAlignment="1">
      <alignment horizontal="right" vertical="top"/>
    </xf>
    <xf numFmtId="0" fontId="34" fillId="3" borderId="43" xfId="0" applyFont="1" applyFill="1" applyBorder="1" applyAlignment="1">
      <alignment horizontal="right" vertical="top"/>
    </xf>
    <xf numFmtId="0" fontId="37" fillId="3" borderId="44" xfId="0" applyFont="1" applyFill="1" applyBorder="1" applyAlignment="1">
      <alignment horizontal="left" vertical="top" indent="1"/>
    </xf>
    <xf numFmtId="164" fontId="34" fillId="3" borderId="44" xfId="0" applyNumberFormat="1" applyFont="1" applyFill="1" applyBorder="1" applyAlignment="1">
      <alignment horizontal="right" vertical="top"/>
    </xf>
    <xf numFmtId="0" fontId="34" fillId="3" borderId="45" xfId="0" applyFont="1" applyFill="1" applyBorder="1" applyAlignment="1">
      <alignment horizontal="center" vertical="top"/>
    </xf>
    <xf numFmtId="0" fontId="36" fillId="3" borderId="43" xfId="0" applyFont="1" applyFill="1" applyBorder="1" applyAlignment="1">
      <alignment horizontal="right" vertical="top"/>
    </xf>
    <xf numFmtId="164" fontId="36" fillId="3" borderId="44" xfId="0" applyNumberFormat="1" applyFont="1" applyFill="1" applyBorder="1" applyAlignment="1">
      <alignment horizontal="right" vertical="top"/>
    </xf>
    <xf numFmtId="0" fontId="24" fillId="3" borderId="43" xfId="0" applyFont="1" applyFill="1" applyBorder="1" applyAlignment="1">
      <alignment horizontal="right" vertical="top"/>
    </xf>
    <xf numFmtId="0" fontId="78" fillId="3" borderId="44" xfId="0" applyFont="1" applyFill="1" applyBorder="1" applyAlignment="1">
      <alignment horizontal="left" vertical="top" indent="1"/>
    </xf>
    <xf numFmtId="164" fontId="24" fillId="3" borderId="44" xfId="0" applyNumberFormat="1" applyFont="1" applyFill="1" applyBorder="1" applyAlignment="1">
      <alignment horizontal="right" vertical="top"/>
    </xf>
    <xf numFmtId="0" fontId="35" fillId="3" borderId="43" xfId="0" applyFont="1" applyFill="1" applyBorder="1" applyAlignment="1">
      <alignment horizontal="right" vertical="top"/>
    </xf>
    <xf numFmtId="0" fontId="77" fillId="3" borderId="44" xfId="0" applyFont="1" applyFill="1" applyBorder="1" applyAlignment="1">
      <alignment horizontal="left" vertical="top" indent="1"/>
    </xf>
    <xf numFmtId="164" fontId="35" fillId="3" borderId="44" xfId="0" applyNumberFormat="1" applyFont="1" applyFill="1" applyBorder="1" applyAlignment="1">
      <alignment horizontal="right" vertical="top"/>
    </xf>
    <xf numFmtId="0" fontId="34" fillId="3" borderId="0" xfId="0" applyFont="1" applyFill="1" applyAlignment="1">
      <alignment horizontal="right" vertical="center"/>
    </xf>
    <xf numFmtId="0" fontId="37" fillId="3" borderId="0" xfId="0" applyFont="1" applyFill="1" applyAlignment="1">
      <alignment horizontal="left" vertical="center" indent="1"/>
    </xf>
    <xf numFmtId="164" fontId="34" fillId="3" borderId="0" xfId="0" applyNumberFormat="1" applyFont="1" applyFill="1" applyAlignment="1">
      <alignment horizontal="right" vertical="center"/>
    </xf>
    <xf numFmtId="0" fontId="34" fillId="3" borderId="0" xfId="0" applyFont="1" applyFill="1" applyAlignment="1">
      <alignment horizontal="center" vertical="center"/>
    </xf>
    <xf numFmtId="0" fontId="36" fillId="3" borderId="0" xfId="0" applyFont="1" applyFill="1" applyAlignment="1">
      <alignment horizontal="right" vertical="center"/>
    </xf>
    <xf numFmtId="164" fontId="36" fillId="3" borderId="0" xfId="0" applyNumberFormat="1" applyFont="1" applyFill="1" applyAlignment="1">
      <alignment horizontal="right" vertical="center"/>
    </xf>
    <xf numFmtId="0" fontId="35" fillId="3" borderId="0" xfId="0" applyFont="1" applyFill="1" applyAlignment="1">
      <alignment horizontal="right" vertical="center"/>
    </xf>
    <xf numFmtId="0" fontId="77" fillId="3" borderId="0" xfId="0" applyFont="1" applyFill="1" applyAlignment="1">
      <alignment horizontal="left" vertical="center" indent="1"/>
    </xf>
    <xf numFmtId="164" fontId="35" fillId="3" borderId="0" xfId="0" applyNumberFormat="1" applyFont="1" applyFill="1" applyAlignment="1">
      <alignment horizontal="right" vertical="center"/>
    </xf>
    <xf numFmtId="0" fontId="24" fillId="3" borderId="0" xfId="0" applyFont="1" applyFill="1" applyAlignment="1">
      <alignment horizontal="right" vertical="center"/>
    </xf>
    <xf numFmtId="0" fontId="78" fillId="3" borderId="0" xfId="0" applyFont="1" applyFill="1" applyAlignment="1">
      <alignment horizontal="left" vertical="center" indent="1"/>
    </xf>
    <xf numFmtId="164" fontId="24" fillId="3" borderId="0" xfId="0" applyNumberFormat="1" applyFont="1" applyFill="1" applyAlignment="1">
      <alignment horizontal="right" vertical="center"/>
    </xf>
    <xf numFmtId="1" fontId="34" fillId="3" borderId="0" xfId="0" applyNumberFormat="1" applyFont="1" applyFill="1" applyAlignment="1">
      <alignment horizontal="right" vertical="center"/>
    </xf>
    <xf numFmtId="1" fontId="37" fillId="3" borderId="0" xfId="0" applyNumberFormat="1" applyFont="1" applyFill="1" applyAlignment="1">
      <alignment horizontal="left" vertical="center" indent="1"/>
    </xf>
    <xf numFmtId="1" fontId="34" fillId="3" borderId="0" xfId="0" applyNumberFormat="1" applyFont="1" applyFill="1" applyAlignment="1">
      <alignment horizontal="center" vertical="center"/>
    </xf>
    <xf numFmtId="0" fontId="36" fillId="3" borderId="41" xfId="0" applyFont="1" applyFill="1" applyBorder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164" fontId="36" fillId="3" borderId="0" xfId="0" applyNumberFormat="1" applyFont="1" applyFill="1" applyAlignment="1">
      <alignment horizontal="center" vertical="center"/>
    </xf>
    <xf numFmtId="0" fontId="34" fillId="3" borderId="42" xfId="0" applyFont="1" applyFill="1" applyBorder="1" applyAlignment="1">
      <alignment horizontal="center" vertical="center"/>
    </xf>
    <xf numFmtId="0" fontId="34" fillId="16" borderId="41" xfId="0" applyFont="1" applyFill="1" applyBorder="1" applyAlignment="1">
      <alignment horizontal="right" vertical="top"/>
    </xf>
    <xf numFmtId="0" fontId="37" fillId="16" borderId="0" xfId="0" applyFont="1" applyFill="1" applyAlignment="1">
      <alignment horizontal="left" vertical="top" indent="1"/>
    </xf>
    <xf numFmtId="164" fontId="34" fillId="16" borderId="0" xfId="0" applyNumberFormat="1" applyFont="1" applyFill="1" applyAlignment="1">
      <alignment horizontal="right" vertical="top"/>
    </xf>
    <xf numFmtId="0" fontId="36" fillId="16" borderId="41" xfId="0" applyFont="1" applyFill="1" applyBorder="1" applyAlignment="1">
      <alignment horizontal="right" vertical="top"/>
    </xf>
    <xf numFmtId="164" fontId="36" fillId="16" borderId="0" xfId="0" applyNumberFormat="1" applyFont="1" applyFill="1" applyAlignment="1">
      <alignment horizontal="right" vertical="top"/>
    </xf>
    <xf numFmtId="0" fontId="36" fillId="16" borderId="0" xfId="0" applyFont="1" applyFill="1" applyAlignment="1">
      <alignment horizontal="right" vertical="center"/>
    </xf>
    <xf numFmtId="164" fontId="36" fillId="16" borderId="0" xfId="0" applyNumberFormat="1" applyFont="1" applyFill="1" applyAlignment="1">
      <alignment horizontal="right" vertical="center"/>
    </xf>
    <xf numFmtId="0" fontId="25" fillId="16" borderId="41" xfId="0" applyFont="1" applyFill="1" applyBorder="1" applyAlignment="1">
      <alignment horizontal="right" vertical="top"/>
    </xf>
    <xf numFmtId="0" fontId="78" fillId="16" borderId="0" xfId="0" applyFont="1" applyFill="1" applyAlignment="1">
      <alignment horizontal="left" vertical="top" indent="1"/>
    </xf>
    <xf numFmtId="164" fontId="25" fillId="16" borderId="0" xfId="0" applyNumberFormat="1" applyFont="1" applyFill="1" applyAlignment="1">
      <alignment horizontal="right" vertical="top"/>
    </xf>
    <xf numFmtId="0" fontId="35" fillId="3" borderId="46" xfId="0" applyFont="1" applyFill="1" applyBorder="1" applyAlignment="1">
      <alignment horizontal="left" indent="1"/>
    </xf>
    <xf numFmtId="0" fontId="77" fillId="3" borderId="47" xfId="0" applyFont="1" applyFill="1" applyBorder="1" applyAlignment="1">
      <alignment horizontal="left" indent="1"/>
    </xf>
    <xf numFmtId="164" fontId="83" fillId="3" borderId="47" xfId="0" applyNumberFormat="1" applyFont="1" applyFill="1" applyBorder="1" applyAlignment="1">
      <alignment horizontal="right"/>
    </xf>
    <xf numFmtId="0" fontId="83" fillId="3" borderId="48" xfId="0" applyFont="1" applyFill="1" applyBorder="1" applyAlignment="1">
      <alignment horizontal="center"/>
    </xf>
    <xf numFmtId="0" fontId="83" fillId="3" borderId="0" xfId="0" applyFont="1" applyFill="1" applyAlignment="1">
      <alignment horizontal="center"/>
    </xf>
    <xf numFmtId="0" fontId="8" fillId="12" borderId="0" xfId="0" applyFont="1" applyFill="1" applyAlignment="1">
      <alignment vertical="center"/>
    </xf>
    <xf numFmtId="0" fontId="3" fillId="12" borderId="0" xfId="0" applyFont="1" applyFill="1" applyAlignment="1">
      <alignment horizontal="center" vertical="center"/>
    </xf>
    <xf numFmtId="0" fontId="44" fillId="12" borderId="0" xfId="0" applyFont="1" applyFill="1" applyAlignment="1">
      <alignment horizontal="left" vertical="center" indent="1"/>
    </xf>
    <xf numFmtId="0" fontId="43" fillId="12" borderId="0" xfId="0" applyFont="1" applyFill="1" applyAlignment="1">
      <alignment horizontal="left" vertical="center" indent="1"/>
    </xf>
    <xf numFmtId="0" fontId="65" fillId="0" borderId="0" xfId="0" applyFont="1" applyAlignment="1">
      <alignment horizontal="center" vertical="center"/>
    </xf>
    <xf numFmtId="0" fontId="69" fillId="0" borderId="0" xfId="0" applyFont="1" applyAlignment="1">
      <alignment horizontal="left" vertical="center" indent="1"/>
    </xf>
    <xf numFmtId="0" fontId="60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46" fillId="12" borderId="0" xfId="0" applyFont="1" applyFill="1" applyAlignment="1">
      <alignment horizontal="left" vertical="center" indent="1"/>
    </xf>
    <xf numFmtId="0" fontId="21" fillId="12" borderId="0" xfId="0" applyFont="1" applyFill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48" fillId="0" borderId="0" xfId="0" applyFont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left" vertical="center" indent="1"/>
    </xf>
    <xf numFmtId="0" fontId="49" fillId="0" borderId="0" xfId="0" applyFont="1" applyAlignment="1">
      <alignment horizontal="center" vertical="center"/>
    </xf>
    <xf numFmtId="166" fontId="50" fillId="0" borderId="0" xfId="0" applyNumberFormat="1" applyFont="1" applyAlignment="1">
      <alignment horizontal="left" vertical="center" indent="1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72" fillId="0" borderId="0" xfId="0" applyFont="1" applyAlignment="1">
      <alignment horizontal="center" vertical="center"/>
    </xf>
    <xf numFmtId="0" fontId="65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69" fillId="4" borderId="0" xfId="0" applyFont="1" applyFill="1" applyAlignment="1">
      <alignment horizontal="left" vertical="center" indent="1"/>
    </xf>
    <xf numFmtId="0" fontId="48" fillId="4" borderId="0" xfId="0" applyFont="1" applyFill="1" applyAlignment="1">
      <alignment horizontal="center" vertical="center"/>
    </xf>
    <xf numFmtId="0" fontId="47" fillId="4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center" vertical="center"/>
    </xf>
    <xf numFmtId="0" fontId="53" fillId="11" borderId="0" xfId="0" applyFont="1" applyFill="1" applyAlignment="1">
      <alignment horizontal="left" vertical="center" indent="1"/>
    </xf>
    <xf numFmtId="0" fontId="54" fillId="11" borderId="0" xfId="0" applyFont="1" applyFill="1" applyAlignment="1">
      <alignment horizontal="left" vertical="center" indent="1"/>
    </xf>
    <xf numFmtId="0" fontId="66" fillId="4" borderId="0" xfId="0" applyFont="1" applyFill="1" applyAlignment="1">
      <alignment horizontal="center" vertical="center"/>
    </xf>
    <xf numFmtId="0" fontId="45" fillId="4" borderId="0" xfId="0" applyFont="1" applyFill="1" applyAlignment="1">
      <alignment horizontal="left" vertical="center" indent="1"/>
    </xf>
    <xf numFmtId="0" fontId="73" fillId="0" borderId="0" xfId="0" applyFont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55" fillId="8" borderId="0" xfId="0" applyFont="1" applyFill="1" applyAlignment="1">
      <alignment horizontal="left" vertical="center" indent="1"/>
    </xf>
    <xf numFmtId="0" fontId="56" fillId="8" borderId="0" xfId="0" applyFont="1" applyFill="1" applyAlignment="1">
      <alignment horizontal="left" vertical="center" indent="1"/>
    </xf>
    <xf numFmtId="0" fontId="67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left" vertical="center" indent="1"/>
    </xf>
    <xf numFmtId="0" fontId="57" fillId="2" borderId="0" xfId="0" applyFont="1" applyFill="1" applyAlignment="1">
      <alignment horizontal="left" vertical="center" indent="1"/>
    </xf>
    <xf numFmtId="0" fontId="29" fillId="4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58" fillId="13" borderId="0" xfId="0" applyFont="1" applyFill="1" applyAlignment="1">
      <alignment horizontal="left" vertical="center" indent="1"/>
    </xf>
    <xf numFmtId="0" fontId="59" fillId="13" borderId="0" xfId="0" applyFont="1" applyFill="1" applyAlignment="1">
      <alignment horizontal="left" vertical="center" indent="1"/>
    </xf>
    <xf numFmtId="0" fontId="68" fillId="4" borderId="0" xfId="0" applyFont="1" applyFill="1" applyAlignment="1">
      <alignment horizontal="center" vertical="center"/>
    </xf>
    <xf numFmtId="0" fontId="75" fillId="17" borderId="0" xfId="0" applyFont="1" applyFill="1" applyAlignment="1">
      <alignment vertical="center" wrapText="1"/>
    </xf>
    <xf numFmtId="0" fontId="8" fillId="12" borderId="0" xfId="0" applyFont="1" applyFill="1" applyAlignment="1">
      <alignment horizontal="center" vertical="center"/>
    </xf>
    <xf numFmtId="0" fontId="84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0" fillId="12" borderId="0" xfId="0" applyFont="1" applyFill="1" applyAlignment="1">
      <alignment horizontal="left" vertical="center" indent="1"/>
    </xf>
    <xf numFmtId="1" fontId="8" fillId="12" borderId="0" xfId="0" applyNumberFormat="1" applyFont="1" applyFill="1" applyAlignment="1">
      <alignment horizontal="center" vertical="center"/>
    </xf>
    <xf numFmtId="166" fontId="80" fillId="12" borderId="0" xfId="0" applyNumberFormat="1" applyFont="1" applyFill="1" applyAlignment="1">
      <alignment horizontal="left" vertical="center" indent="1"/>
    </xf>
    <xf numFmtId="0" fontId="8" fillId="0" borderId="0" xfId="0" applyFont="1" applyAlignment="1">
      <alignment vertical="center"/>
    </xf>
    <xf numFmtId="0" fontId="75" fillId="17" borderId="49" xfId="0" applyFont="1" applyFill="1" applyBorder="1" applyAlignment="1">
      <alignment horizontal="center" vertical="center" wrapText="1"/>
    </xf>
    <xf numFmtId="0" fontId="75" fillId="17" borderId="50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12" borderId="7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8" fillId="12" borderId="51" xfId="0" applyFont="1" applyFill="1" applyBorder="1" applyAlignment="1">
      <alignment horizontal="center" vertical="center" wrapText="1"/>
    </xf>
    <xf numFmtId="0" fontId="8" fillId="12" borderId="33" xfId="0" applyFont="1" applyFill="1" applyBorder="1" applyAlignment="1">
      <alignment horizontal="center" vertical="center" wrapText="1"/>
    </xf>
    <xf numFmtId="15" fontId="8" fillId="12" borderId="23" xfId="0" applyNumberFormat="1" applyFont="1" applyFill="1" applyBorder="1" applyAlignment="1">
      <alignment horizontal="center" vertical="center"/>
    </xf>
    <xf numFmtId="15" fontId="8" fillId="12" borderId="8" xfId="0" applyNumberFormat="1" applyFont="1" applyFill="1" applyBorder="1" applyAlignment="1">
      <alignment horizontal="center" vertical="center"/>
    </xf>
    <xf numFmtId="15" fontId="8" fillId="12" borderId="38" xfId="0" applyNumberFormat="1" applyFont="1" applyFill="1" applyBorder="1" applyAlignment="1">
      <alignment horizontal="center" vertical="center"/>
    </xf>
    <xf numFmtId="0" fontId="8" fillId="12" borderId="52" xfId="0" applyFont="1" applyFill="1" applyBorder="1" applyAlignment="1">
      <alignment horizontal="center" vertical="center" wrapText="1"/>
    </xf>
    <xf numFmtId="0" fontId="8" fillId="12" borderId="53" xfId="0" applyFont="1" applyFill="1" applyBorder="1" applyAlignment="1">
      <alignment horizontal="center" vertical="center" wrapText="1"/>
    </xf>
    <xf numFmtId="0" fontId="8" fillId="12" borderId="29" xfId="0" applyFont="1" applyFill="1" applyBorder="1" applyAlignment="1">
      <alignment horizontal="center" vertical="center" wrapText="1"/>
    </xf>
    <xf numFmtId="0" fontId="8" fillId="12" borderId="5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12" borderId="5" xfId="0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0" fontId="9" fillId="12" borderId="7" xfId="0" applyFont="1" applyFill="1" applyBorder="1" applyAlignment="1">
      <alignment horizontal="center" vertical="center" wrapText="1"/>
    </xf>
    <xf numFmtId="1" fontId="9" fillId="12" borderId="5" xfId="0" applyNumberFormat="1" applyFont="1" applyFill="1" applyBorder="1" applyAlignment="1">
      <alignment horizontal="center" vertical="center" wrapText="1"/>
    </xf>
    <xf numFmtId="1" fontId="9" fillId="12" borderId="6" xfId="0" applyNumberFormat="1" applyFont="1" applyFill="1" applyBorder="1" applyAlignment="1">
      <alignment horizontal="center" vertical="center" wrapText="1"/>
    </xf>
    <xf numFmtId="1" fontId="9" fillId="12" borderId="27" xfId="0" applyNumberFormat="1" applyFont="1" applyFill="1" applyBorder="1" applyAlignment="1">
      <alignment horizontal="center" vertical="center" wrapText="1"/>
    </xf>
    <xf numFmtId="1" fontId="9" fillId="12" borderId="7" xfId="0" applyNumberFormat="1" applyFont="1" applyFill="1" applyBorder="1" applyAlignment="1">
      <alignment horizontal="center" vertical="center" wrapText="1"/>
    </xf>
    <xf numFmtId="49" fontId="9" fillId="12" borderId="23" xfId="0" applyNumberFormat="1" applyFont="1" applyFill="1" applyBorder="1" applyAlignment="1">
      <alignment horizontal="center" vertical="center" wrapText="1"/>
    </xf>
    <xf numFmtId="49" fontId="9" fillId="12" borderId="8" xfId="0" applyNumberFormat="1" applyFont="1" applyFill="1" applyBorder="1" applyAlignment="1">
      <alignment horizontal="center" vertical="center" wrapText="1"/>
    </xf>
    <xf numFmtId="49" fontId="9" fillId="12" borderId="38" xfId="0" applyNumberFormat="1" applyFont="1" applyFill="1" applyBorder="1" applyAlignment="1">
      <alignment horizontal="center" vertical="center" wrapText="1"/>
    </xf>
    <xf numFmtId="0" fontId="61" fillId="0" borderId="51" xfId="0" applyFont="1" applyBorder="1" applyAlignment="1">
      <alignment horizontal="left" vertical="center" wrapText="1" indent="1"/>
    </xf>
    <xf numFmtId="0" fontId="61" fillId="0" borderId="33" xfId="0" applyFont="1" applyBorder="1" applyAlignment="1">
      <alignment horizontal="left" vertical="center" wrapText="1" indent="1"/>
    </xf>
    <xf numFmtId="0" fontId="61" fillId="0" borderId="57" xfId="0" applyFont="1" applyBorder="1" applyAlignment="1">
      <alignment horizontal="center" vertical="center" wrapText="1"/>
    </xf>
    <xf numFmtId="0" fontId="61" fillId="0" borderId="53" xfId="0" applyFont="1" applyBorder="1" applyAlignment="1">
      <alignment horizontal="center" vertical="center" wrapText="1"/>
    </xf>
    <xf numFmtId="0" fontId="61" fillId="0" borderId="51" xfId="0" applyFont="1" applyBorder="1" applyAlignment="1">
      <alignment horizontal="center" vertical="center" wrapText="1"/>
    </xf>
    <xf numFmtId="0" fontId="61" fillId="0" borderId="33" xfId="0" applyFont="1" applyBorder="1" applyAlignment="1">
      <alignment horizontal="center" vertical="center" wrapText="1"/>
    </xf>
    <xf numFmtId="0" fontId="61" fillId="12" borderId="5" xfId="0" applyFont="1" applyFill="1" applyBorder="1" applyAlignment="1">
      <alignment horizontal="center" vertical="center" wrapText="1"/>
    </xf>
    <xf numFmtId="0" fontId="61" fillId="12" borderId="6" xfId="0" applyFont="1" applyFill="1" applyBorder="1" applyAlignment="1">
      <alignment horizontal="center" vertical="center" wrapText="1"/>
    </xf>
    <xf numFmtId="165" fontId="9" fillId="12" borderId="23" xfId="0" applyNumberFormat="1" applyFont="1" applyFill="1" applyBorder="1" applyAlignment="1">
      <alignment horizontal="center" vertical="center" wrapText="1"/>
    </xf>
    <xf numFmtId="165" fontId="9" fillId="12" borderId="38" xfId="0" applyNumberFormat="1" applyFont="1" applyFill="1" applyBorder="1" applyAlignment="1">
      <alignment horizontal="center" vertical="center" wrapText="1"/>
    </xf>
    <xf numFmtId="1" fontId="9" fillId="12" borderId="23" xfId="0" applyNumberFormat="1" applyFont="1" applyFill="1" applyBorder="1" applyAlignment="1">
      <alignment horizontal="center" vertical="center" wrapText="1"/>
    </xf>
    <xf numFmtId="1" fontId="9" fillId="12" borderId="8" xfId="0" applyNumberFormat="1" applyFont="1" applyFill="1" applyBorder="1" applyAlignment="1">
      <alignment horizontal="center" vertical="center" wrapText="1"/>
    </xf>
    <xf numFmtId="1" fontId="9" fillId="12" borderId="38" xfId="0" applyNumberFormat="1" applyFont="1" applyFill="1" applyBorder="1" applyAlignment="1">
      <alignment horizontal="center" vertical="center" wrapText="1"/>
    </xf>
    <xf numFmtId="0" fontId="9" fillId="12" borderId="55" xfId="0" applyFont="1" applyFill="1" applyBorder="1" applyAlignment="1">
      <alignment horizontal="center" vertical="center" wrapText="1"/>
    </xf>
    <xf numFmtId="0" fontId="9" fillId="12" borderId="40" xfId="0" applyFont="1" applyFill="1" applyBorder="1" applyAlignment="1">
      <alignment horizontal="center" vertical="center" wrapText="1"/>
    </xf>
    <xf numFmtId="0" fontId="9" fillId="12" borderId="56" xfId="0" applyFont="1" applyFill="1" applyBorder="1" applyAlignment="1">
      <alignment horizontal="center" vertical="center" wrapText="1"/>
    </xf>
    <xf numFmtId="0" fontId="11" fillId="2" borderId="51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165" fontId="9" fillId="2" borderId="23" xfId="0" applyNumberFormat="1" applyFont="1" applyFill="1" applyBorder="1" applyAlignment="1">
      <alignment horizontal="center" vertical="center" wrapText="1"/>
    </xf>
    <xf numFmtId="165" fontId="9" fillId="2" borderId="38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1" fontId="9" fillId="2" borderId="4" xfId="0" applyNumberFormat="1" applyFont="1" applyFill="1" applyBorder="1" applyAlignment="1">
      <alignment horizontal="center" vertical="center" wrapText="1"/>
    </xf>
    <xf numFmtId="1" fontId="9" fillId="2" borderId="35" xfId="0" applyNumberFormat="1" applyFont="1" applyFill="1" applyBorder="1" applyAlignment="1">
      <alignment horizontal="center" vertical="center" wrapText="1"/>
    </xf>
    <xf numFmtId="1" fontId="8" fillId="2" borderId="23" xfId="0" applyNumberFormat="1" applyFont="1" applyFill="1" applyBorder="1" applyAlignment="1">
      <alignment horizontal="center" vertical="center" wrapText="1"/>
    </xf>
    <xf numFmtId="1" fontId="8" fillId="2" borderId="38" xfId="0" applyNumberFormat="1" applyFont="1" applyFill="1" applyBorder="1" applyAlignment="1">
      <alignment horizontal="center" vertical="center" wrapText="1"/>
    </xf>
    <xf numFmtId="0" fontId="9" fillId="0" borderId="51" xfId="0" applyFont="1" applyBorder="1" applyAlignment="1">
      <alignment horizontal="left" vertical="center" wrapText="1" indent="1"/>
    </xf>
    <xf numFmtId="0" fontId="9" fillId="0" borderId="58" xfId="0" applyFont="1" applyBorder="1" applyAlignment="1">
      <alignment horizontal="left" vertical="center" wrapText="1" indent="1"/>
    </xf>
    <xf numFmtId="1" fontId="8" fillId="2" borderId="5" xfId="0" applyNumberFormat="1" applyFont="1" applyFill="1" applyBorder="1" applyAlignment="1">
      <alignment horizontal="center" vertical="center" wrapText="1"/>
    </xf>
    <xf numFmtId="1" fontId="8" fillId="2" borderId="7" xfId="0" applyNumberFormat="1" applyFont="1" applyFill="1" applyBorder="1" applyAlignment="1">
      <alignment horizontal="center" vertical="center" wrapText="1"/>
    </xf>
    <xf numFmtId="0" fontId="0" fillId="15" borderId="26" xfId="0" applyFill="1" applyBorder="1" applyAlignment="1">
      <alignment horizontal="left" indent="1"/>
    </xf>
    <xf numFmtId="0" fontId="0" fillId="15" borderId="13" xfId="0" applyFill="1" applyBorder="1" applyAlignment="1">
      <alignment horizontal="left" indent="1"/>
    </xf>
    <xf numFmtId="0" fontId="0" fillId="15" borderId="22" xfId="0" applyFill="1" applyBorder="1" applyAlignment="1">
      <alignment horizontal="left" indent="1"/>
    </xf>
    <xf numFmtId="0" fontId="5" fillId="0" borderId="26" xfId="0" applyFont="1" applyBorder="1" applyAlignment="1">
      <alignment horizontal="left" indent="1"/>
    </xf>
    <xf numFmtId="0" fontId="5" fillId="0" borderId="13" xfId="0" applyFont="1" applyBorder="1" applyAlignment="1">
      <alignment horizontal="left" indent="1"/>
    </xf>
    <xf numFmtId="0" fontId="5" fillId="0" borderId="22" xfId="0" applyFont="1" applyBorder="1" applyAlignment="1">
      <alignment horizontal="left" indent="1"/>
    </xf>
    <xf numFmtId="164" fontId="20" fillId="7" borderId="6" xfId="0" applyNumberFormat="1" applyFont="1" applyFill="1" applyBorder="1" applyAlignment="1">
      <alignment horizontal="center" vertical="center"/>
    </xf>
    <xf numFmtId="164" fontId="20" fillId="7" borderId="7" xfId="0" applyNumberFormat="1" applyFont="1" applyFill="1" applyBorder="1" applyAlignment="1">
      <alignment horizontal="center" vertical="center"/>
    </xf>
    <xf numFmtId="1" fontId="33" fillId="7" borderId="6" xfId="0" applyNumberFormat="1" applyFont="1" applyFill="1" applyBorder="1" applyAlignment="1">
      <alignment horizontal="center" vertical="center" wrapText="1"/>
    </xf>
    <xf numFmtId="1" fontId="33" fillId="7" borderId="16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left" vertical="center" wrapText="1" indent="1"/>
    </xf>
    <xf numFmtId="49" fontId="5" fillId="0" borderId="3" xfId="0" applyNumberFormat="1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8" fillId="7" borderId="5" xfId="0" applyNumberFormat="1" applyFont="1" applyFill="1" applyBorder="1" applyAlignment="1">
      <alignment horizontal="center" vertical="center" wrapText="1"/>
    </xf>
    <xf numFmtId="1" fontId="8" fillId="7" borderId="1" xfId="0" applyNumberFormat="1" applyFont="1" applyFill="1" applyBorder="1" applyAlignment="1">
      <alignment horizontal="center" vertical="center" wrapText="1"/>
    </xf>
    <xf numFmtId="1" fontId="20" fillId="7" borderId="6" xfId="0" applyNumberFormat="1" applyFont="1" applyFill="1" applyBorder="1" applyAlignment="1">
      <alignment horizontal="center" vertical="center" wrapText="1"/>
    </xf>
    <xf numFmtId="1" fontId="20" fillId="7" borderId="16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8820246837122886"/>
          <c:y val="3.738317757009345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64048815831027"/>
          <c:y val="0.36448556548722544"/>
          <c:w val="0.24719126551726148"/>
          <c:h val="0.41121448413943379"/>
        </c:manualLayout>
      </c:layout>
      <c:pieChart>
        <c:varyColors val="1"/>
        <c:ser>
          <c:idx val="0"/>
          <c:order val="0"/>
          <c:tx>
            <c:v>Percentage of species identified per year</c:v>
          </c:tx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pattFill prst="pct90">
                <a:fgClr>
                  <a:srgbClr xmlns:mc="http://schemas.openxmlformats.org/markup-compatibility/2006" xmlns:a14="http://schemas.microsoft.com/office/drawing/2010/main" val="FFFFFF" mc:Ignorable="a14" a14:legacySpreadsheetColorIndex="1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1"/>
                </a:bgClr>
              </a:pattFill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F0F5-4E0A-BB98-80CABC695496}"/>
              </c:ext>
            </c:extLst>
          </c:dPt>
          <c:dPt>
            <c:idx val="1"/>
            <c:bubble3D val="0"/>
            <c:spPr>
              <a:pattFill prst="pct80">
                <a:fgClr>
                  <a:srgbClr xmlns:mc="http://schemas.openxmlformats.org/markup-compatibility/2006" xmlns:a14="http://schemas.microsoft.com/office/drawing/2010/main" val="FFFFFF" mc:Ignorable="a14" a14:legacySpreadsheetColorIndex="1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1"/>
                </a:bgClr>
              </a:pattFill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0F5-4E0A-BB98-80CABC695496}"/>
              </c:ext>
            </c:extLst>
          </c:dPt>
          <c:dPt>
            <c:idx val="2"/>
            <c:bubble3D val="0"/>
            <c:spPr>
              <a:pattFill prst="pct75">
                <a:fgClr>
                  <a:srgbClr xmlns:mc="http://schemas.openxmlformats.org/markup-compatibility/2006" xmlns:a14="http://schemas.microsoft.com/office/drawing/2010/main" val="FFFFFF" mc:Ignorable="a14" a14:legacySpreadsheetColorIndex="1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1"/>
                </a:bgClr>
              </a:pattFill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0F5-4E0A-BB98-80CABC695496}"/>
              </c:ext>
            </c:extLst>
          </c:dPt>
          <c:dPt>
            <c:idx val="3"/>
            <c:bubble3D val="0"/>
            <c:spPr>
              <a:pattFill prst="pct70">
                <a:fgClr>
                  <a:srgbClr xmlns:mc="http://schemas.openxmlformats.org/markup-compatibility/2006" xmlns:a14="http://schemas.microsoft.com/office/drawing/2010/main" val="FFFFFF" mc:Ignorable="a14" a14:legacySpreadsheetColorIndex="1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1"/>
                </a:bgClr>
              </a:pattFill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0F5-4E0A-BB98-80CABC695496}"/>
              </c:ext>
            </c:extLst>
          </c:dPt>
          <c:dPt>
            <c:idx val="4"/>
            <c:bubble3D val="0"/>
            <c:spPr>
              <a:pattFill prst="pct60">
                <a:fgClr>
                  <a:srgbClr xmlns:mc="http://schemas.openxmlformats.org/markup-compatibility/2006" xmlns:a14="http://schemas.microsoft.com/office/drawing/2010/main" val="FFFFFF" mc:Ignorable="a14" a14:legacySpreadsheetColorIndex="1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1"/>
                </a:bgClr>
              </a:pattFill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F0F5-4E0A-BB98-80CABC695496}"/>
              </c:ext>
            </c:extLst>
          </c:dPt>
          <c:dPt>
            <c:idx val="5"/>
            <c:bubble3D val="0"/>
            <c:spPr>
              <a:pattFill prst="pct50">
                <a:fgClr>
                  <a:srgbClr xmlns:mc="http://schemas.openxmlformats.org/markup-compatibility/2006" xmlns:a14="http://schemas.microsoft.com/office/drawing/2010/main" val="FFFFFF" mc:Ignorable="a14" a14:legacySpreadsheetColorIndex="1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1"/>
                </a:bgClr>
              </a:pattFill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0F5-4E0A-BB98-80CABC695496}"/>
              </c:ext>
            </c:extLst>
          </c:dPt>
          <c:dPt>
            <c:idx val="6"/>
            <c:bubble3D val="0"/>
            <c:spPr>
              <a:pattFill prst="pct25">
                <a:fgClr>
                  <a:srgbClr xmlns:mc="http://schemas.openxmlformats.org/markup-compatibility/2006" xmlns:a14="http://schemas.microsoft.com/office/drawing/2010/main" val="FFFFFF" mc:Ignorable="a14" a14:legacySpreadsheetColorIndex="1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1"/>
                </a:bgClr>
              </a:pattFill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F0F5-4E0A-BB98-80CABC695496}"/>
              </c:ext>
            </c:extLst>
          </c:dPt>
          <c:dPt>
            <c:idx val="7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FFFFFF" mc:Ignorable="a14" a14:legacySpreadsheetColorIndex="1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1"/>
                </a:bgClr>
              </a:pattFill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0F5-4E0A-BB98-80CABC695496}"/>
              </c:ext>
            </c:extLst>
          </c:dPt>
          <c:dPt>
            <c:idx val="8"/>
            <c:bubble3D val="0"/>
            <c:spPr>
              <a:pattFill prst="dkDnDiag">
                <a:fgClr>
                  <a:srgbClr xmlns:mc="http://schemas.openxmlformats.org/markup-compatibility/2006" xmlns:a14="http://schemas.microsoft.com/office/drawing/2010/main" val="FFFFFF" mc:Ignorable="a14" a14:legacySpreadsheetColorIndex="1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1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F0F5-4E0A-BB98-80CABC695496}"/>
              </c:ext>
            </c:extLst>
          </c:dPt>
          <c:dPt>
            <c:idx val="9"/>
            <c:bubble3D val="0"/>
            <c:spPr>
              <a:pattFill prst="dkUpDiag">
                <a:fgClr>
                  <a:srgbClr xmlns:mc="http://schemas.openxmlformats.org/markup-compatibility/2006" xmlns:a14="http://schemas.microsoft.com/office/drawing/2010/main" val="FFFFFF" mc:Ignorable="a14" a14:legacySpreadsheetColorIndex="1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1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0F5-4E0A-BB98-80CABC695496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'floristic statistics'!$B$13:$J$13</c:f>
              <c:numCache>
                <c:formatCode>General</c:formatCode>
                <c:ptCount val="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</c:numCache>
            </c:numRef>
          </c:cat>
          <c:val>
            <c:numRef>
              <c:f>'floristic statistics'!$B$27:$J$27</c:f>
              <c:numCache>
                <c:formatCode>General</c:formatCode>
                <c:ptCount val="9"/>
                <c:pt idx="0">
                  <c:v>318</c:v>
                </c:pt>
                <c:pt idx="1">
                  <c:v>115</c:v>
                </c:pt>
                <c:pt idx="2">
                  <c:v>39</c:v>
                </c:pt>
                <c:pt idx="3">
                  <c:v>45</c:v>
                </c:pt>
                <c:pt idx="4">
                  <c:v>64</c:v>
                </c:pt>
                <c:pt idx="5">
                  <c:v>53</c:v>
                </c:pt>
                <c:pt idx="6">
                  <c:v>2</c:v>
                </c:pt>
                <c:pt idx="7">
                  <c:v>11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0F5-4E0A-BB98-80CABC695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ZA"/>
              <a:t>Number of species identified per year</a:t>
            </a:r>
          </a:p>
        </c:rich>
      </c:tx>
      <c:layout>
        <c:manualLayout>
          <c:xMode val="edge"/>
          <c:yMode val="edge"/>
          <c:x val="0.20380434782608695"/>
          <c:y val="3.92156862745098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97826086956522"/>
          <c:y val="0.24019550351489852"/>
          <c:w val="0.86413043478260865"/>
          <c:h val="0.59803778426158405"/>
        </c:manualLayout>
      </c:layout>
      <c:barChart>
        <c:barDir val="col"/>
        <c:grouping val="clustered"/>
        <c:varyColors val="0"/>
        <c:ser>
          <c:idx val="1"/>
          <c:order val="0"/>
          <c:tx>
            <c:v>Number of species identified per year</c:v>
          </c:tx>
          <c:spPr>
            <a:solidFill>
              <a:srgbClr val="CCCCFF"/>
            </a:solidFill>
            <a:ln w="12700">
              <a:solidFill>
                <a:srgbClr val="C0C0C0"/>
              </a:solidFill>
              <a:prstDash val="solid"/>
            </a:ln>
          </c:spPr>
          <c:invertIfNegative val="0"/>
          <c:cat>
            <c:numRef>
              <c:f>'floristic statistics'!$B$13:$J$13</c:f>
              <c:numCache>
                <c:formatCode>General</c:formatCode>
                <c:ptCount val="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</c:numCache>
            </c:numRef>
          </c:cat>
          <c:val>
            <c:numRef>
              <c:f>'floristic statistics'!$B$27:$J$27</c:f>
              <c:numCache>
                <c:formatCode>General</c:formatCode>
                <c:ptCount val="9"/>
                <c:pt idx="0">
                  <c:v>318</c:v>
                </c:pt>
                <c:pt idx="1">
                  <c:v>115</c:v>
                </c:pt>
                <c:pt idx="2">
                  <c:v>39</c:v>
                </c:pt>
                <c:pt idx="3">
                  <c:v>45</c:v>
                </c:pt>
                <c:pt idx="4">
                  <c:v>64</c:v>
                </c:pt>
                <c:pt idx="5">
                  <c:v>53</c:v>
                </c:pt>
                <c:pt idx="6">
                  <c:v>2</c:v>
                </c:pt>
                <c:pt idx="7">
                  <c:v>11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E-4DD1-942A-6DE83ABA2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0244655"/>
        <c:axId val="1"/>
      </c:barChart>
      <c:lineChart>
        <c:grouping val="standard"/>
        <c:varyColors val="0"/>
        <c:ser>
          <c:idx val="0"/>
          <c:order val="1"/>
          <c:tx>
            <c:v>trend</c:v>
          </c:tx>
          <c:spPr>
            <a:ln w="25400">
              <a:solidFill>
                <a:srgbClr val="00009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val>
            <c:numRef>
              <c:f>'floristic statistics'!$B$27:$J$27</c:f>
              <c:numCache>
                <c:formatCode>General</c:formatCode>
                <c:ptCount val="9"/>
                <c:pt idx="0">
                  <c:v>318</c:v>
                </c:pt>
                <c:pt idx="1">
                  <c:v>115</c:v>
                </c:pt>
                <c:pt idx="2">
                  <c:v>39</c:v>
                </c:pt>
                <c:pt idx="3">
                  <c:v>45</c:v>
                </c:pt>
                <c:pt idx="4">
                  <c:v>64</c:v>
                </c:pt>
                <c:pt idx="5">
                  <c:v>53</c:v>
                </c:pt>
                <c:pt idx="6">
                  <c:v>2</c:v>
                </c:pt>
                <c:pt idx="7">
                  <c:v>11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FE-4DD1-942A-6DE83ABA2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270244655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0244655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2</xdr:row>
      <xdr:rowOff>28575</xdr:rowOff>
    </xdr:from>
    <xdr:to>
      <xdr:col>7</xdr:col>
      <xdr:colOff>371475</xdr:colOff>
      <xdr:row>17</xdr:row>
      <xdr:rowOff>66675</xdr:rowOff>
    </xdr:to>
    <xdr:pic>
      <xdr:nvPicPr>
        <xdr:cNvPr id="3458" name="Picture 96" descr="Mimestes cucullatus (detail, Proteaceae)">
          <a:extLst>
            <a:ext uri="{FF2B5EF4-FFF2-40B4-BE49-F238E27FC236}">
              <a16:creationId xmlns:a16="http://schemas.microsoft.com/office/drawing/2014/main" id="{235D47C5-AA12-DB1C-8CFF-3E6AB2ADA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2425"/>
          <a:ext cx="3267075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317500</xdr:colOff>
      <xdr:row>26</xdr:row>
      <xdr:rowOff>98425</xdr:rowOff>
    </xdr:from>
    <xdr:to>
      <xdr:col>3</xdr:col>
      <xdr:colOff>682750</xdr:colOff>
      <xdr:row>28</xdr:row>
      <xdr:rowOff>60325</xdr:rowOff>
    </xdr:to>
    <xdr:sp macro="[0]!export_map_BeiKlick" textlink="">
      <xdr:nvSpPr>
        <xdr:cNvPr id="3093" name="export_map" descr="30%">
          <a:extLst>
            <a:ext uri="{FF2B5EF4-FFF2-40B4-BE49-F238E27FC236}">
              <a16:creationId xmlns:a16="http://schemas.microsoft.com/office/drawing/2014/main" id="{8BE07DDF-2121-720D-8FFA-1A03ED2DFFEA}"/>
            </a:ext>
          </a:extLst>
        </xdr:cNvPr>
        <xdr:cNvSpPr txBox="1">
          <a:spLocks noChangeArrowheads="1"/>
        </xdr:cNvSpPr>
      </xdr:nvSpPr>
      <xdr:spPr bwMode="auto">
        <a:xfrm>
          <a:off x="1231900" y="4051300"/>
          <a:ext cx="2184400" cy="266700"/>
        </a:xfrm>
        <a:prstGeom prst="rect">
          <a:avLst/>
        </a:prstGeom>
        <a:pattFill prst="pct3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CCCCFF" mc:Ignorable="a14" a14:legacySpreadsheetColorIndex="31"/>
          </a:bgClr>
        </a:pattFill>
        <a:ln w="19050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6411"/>
              </a:solidFill>
              <a:latin typeface="Arial"/>
              <a:ea typeface="Arial"/>
              <a:cs typeface="Arial"/>
            </a:rPr>
            <a:t>refresh spatial datasets</a:t>
          </a:r>
        </a:p>
      </xdr:txBody>
    </xdr:sp>
    <xdr:clientData/>
  </xdr:twoCellAnchor>
  <xdr:twoCellAnchor editAs="oneCell">
    <xdr:from>
      <xdr:col>6</xdr:col>
      <xdr:colOff>317500</xdr:colOff>
      <xdr:row>26</xdr:row>
      <xdr:rowOff>98425</xdr:rowOff>
    </xdr:from>
    <xdr:to>
      <xdr:col>8</xdr:col>
      <xdr:colOff>695372</xdr:colOff>
      <xdr:row>28</xdr:row>
      <xdr:rowOff>38209</xdr:rowOff>
    </xdr:to>
    <xdr:sp macro="[0]!export_class_BeiKlick" textlink="">
      <xdr:nvSpPr>
        <xdr:cNvPr id="3094" name="export_class" descr="30%">
          <a:extLst>
            <a:ext uri="{FF2B5EF4-FFF2-40B4-BE49-F238E27FC236}">
              <a16:creationId xmlns:a16="http://schemas.microsoft.com/office/drawing/2014/main" id="{7E9E7667-5466-50E9-89CA-75C44C9A2355}"/>
            </a:ext>
          </a:extLst>
        </xdr:cNvPr>
        <xdr:cNvSpPr txBox="1">
          <a:spLocks noChangeArrowheads="1"/>
        </xdr:cNvSpPr>
      </xdr:nvSpPr>
      <xdr:spPr bwMode="auto">
        <a:xfrm>
          <a:off x="5613400" y="4051300"/>
          <a:ext cx="2197100" cy="254000"/>
        </a:xfrm>
        <a:prstGeom prst="rect">
          <a:avLst/>
        </a:prstGeom>
        <a:pattFill prst="pct3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CCCCFF" mc:Ignorable="a14" a14:legacySpreadsheetColorIndex="31"/>
          </a:bgClr>
        </a:pattFill>
        <a:ln w="19050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6411"/>
              </a:solidFill>
              <a:latin typeface="Arial"/>
              <a:ea typeface="Arial"/>
              <a:cs typeface="Arial"/>
            </a:rPr>
            <a:t>refresh classification datasets</a:t>
          </a:r>
        </a:p>
      </xdr:txBody>
    </xdr:sp>
    <xdr:clientData/>
  </xdr:twoCellAnchor>
  <xdr:twoCellAnchor editAs="oneCell">
    <xdr:from>
      <xdr:col>7</xdr:col>
      <xdr:colOff>215900</xdr:colOff>
      <xdr:row>21</xdr:row>
      <xdr:rowOff>98425</xdr:rowOff>
    </xdr:from>
    <xdr:to>
      <xdr:col>9</xdr:col>
      <xdr:colOff>82550</xdr:colOff>
      <xdr:row>23</xdr:row>
      <xdr:rowOff>38209</xdr:rowOff>
    </xdr:to>
    <xdr:sp macro="[0]!statistics.statistics" textlink="">
      <xdr:nvSpPr>
        <xdr:cNvPr id="3096" name="statistics" descr="30%">
          <a:extLst>
            <a:ext uri="{FF2B5EF4-FFF2-40B4-BE49-F238E27FC236}">
              <a16:creationId xmlns:a16="http://schemas.microsoft.com/office/drawing/2014/main" id="{39425CB7-BB8E-8CA8-FCA4-9D909898DDBD}"/>
            </a:ext>
          </a:extLst>
        </xdr:cNvPr>
        <xdr:cNvSpPr txBox="1">
          <a:spLocks noChangeArrowheads="1"/>
        </xdr:cNvSpPr>
      </xdr:nvSpPr>
      <xdr:spPr bwMode="auto">
        <a:xfrm>
          <a:off x="6388100" y="3289300"/>
          <a:ext cx="1600200" cy="254000"/>
        </a:xfrm>
        <a:prstGeom prst="rect">
          <a:avLst/>
        </a:prstGeom>
        <a:pattFill prst="pct3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CCCCFF" mc:Ignorable="a14" a14:legacySpreadsheetColorIndex="31"/>
          </a:bgClr>
        </a:pattFill>
        <a:ln w="19050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90"/>
              </a:solidFill>
              <a:latin typeface="Arial"/>
              <a:ea typeface="Arial"/>
              <a:cs typeface="Arial"/>
            </a:rPr>
            <a:t>refresh statistics</a:t>
          </a:r>
        </a:p>
      </xdr:txBody>
    </xdr:sp>
    <xdr:clientData/>
  </xdr:twoCellAnchor>
  <xdr:twoCellAnchor editAs="oneCell">
    <xdr:from>
      <xdr:col>4</xdr:col>
      <xdr:colOff>746125</xdr:colOff>
      <xdr:row>21</xdr:row>
      <xdr:rowOff>98425</xdr:rowOff>
    </xdr:from>
    <xdr:to>
      <xdr:col>6</xdr:col>
      <xdr:colOff>612775</xdr:colOff>
      <xdr:row>23</xdr:row>
      <xdr:rowOff>38209</xdr:rowOff>
    </xdr:to>
    <xdr:sp macro="[0]!creatematrix_BeiKlick" textlink="">
      <xdr:nvSpPr>
        <xdr:cNvPr id="3097" name="matrix" descr="30%">
          <a:extLst>
            <a:ext uri="{FF2B5EF4-FFF2-40B4-BE49-F238E27FC236}">
              <a16:creationId xmlns:a16="http://schemas.microsoft.com/office/drawing/2014/main" id="{F78CA40A-6E8D-CCFA-A12F-4B3A6976B41B}"/>
            </a:ext>
          </a:extLst>
        </xdr:cNvPr>
        <xdr:cNvSpPr txBox="1">
          <a:spLocks noChangeArrowheads="1"/>
        </xdr:cNvSpPr>
      </xdr:nvSpPr>
      <xdr:spPr bwMode="auto">
        <a:xfrm>
          <a:off x="4356100" y="3289300"/>
          <a:ext cx="1600200" cy="254000"/>
        </a:xfrm>
        <a:prstGeom prst="rect">
          <a:avLst/>
        </a:prstGeom>
        <a:pattFill prst="pct3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CCCCFF" mc:Ignorable="a14" a14:legacySpreadsheetColorIndex="31"/>
          </a:bgClr>
        </a:pattFill>
        <a:ln w="19050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900000"/>
              </a:solidFill>
              <a:latin typeface="Arial"/>
              <a:ea typeface="Arial"/>
              <a:cs typeface="Arial"/>
            </a:rPr>
            <a:t>refresh matrices</a:t>
          </a:r>
        </a:p>
      </xdr:txBody>
    </xdr:sp>
    <xdr:clientData/>
  </xdr:twoCellAnchor>
  <xdr:twoCellAnchor editAs="oneCell">
    <xdr:from>
      <xdr:col>1</xdr:col>
      <xdr:colOff>82550</xdr:colOff>
      <xdr:row>21</xdr:row>
      <xdr:rowOff>98425</xdr:rowOff>
    </xdr:from>
    <xdr:to>
      <xdr:col>2</xdr:col>
      <xdr:colOff>711200</xdr:colOff>
      <xdr:row>23</xdr:row>
      <xdr:rowOff>38209</xdr:rowOff>
    </xdr:to>
    <xdr:sp macro="[0]!testconsistence_BeiKlick" textlink="">
      <xdr:nvSpPr>
        <xdr:cNvPr id="3098" name="consistence" descr="30%">
          <a:extLst>
            <a:ext uri="{FF2B5EF4-FFF2-40B4-BE49-F238E27FC236}">
              <a16:creationId xmlns:a16="http://schemas.microsoft.com/office/drawing/2014/main" id="{0A302AFF-4E4F-9D59-0956-DFBAD3A50A0A}"/>
            </a:ext>
          </a:extLst>
        </xdr:cNvPr>
        <xdr:cNvSpPr txBox="1">
          <a:spLocks noChangeArrowheads="1"/>
        </xdr:cNvSpPr>
      </xdr:nvSpPr>
      <xdr:spPr bwMode="auto">
        <a:xfrm>
          <a:off x="977900" y="3289300"/>
          <a:ext cx="1600200" cy="254000"/>
        </a:xfrm>
        <a:prstGeom prst="rect">
          <a:avLst/>
        </a:prstGeom>
        <a:pattFill prst="pct3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CCCCFF" mc:Ignorable="a14" a14:legacySpreadsheetColorIndex="31"/>
          </a:bgClr>
        </a:pattFill>
        <a:ln w="19050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900000"/>
              </a:solidFill>
              <a:latin typeface="Arial"/>
              <a:ea typeface="Arial"/>
              <a:cs typeface="Arial"/>
            </a:rPr>
            <a:t>test consistence</a:t>
          </a:r>
        </a:p>
      </xdr:txBody>
    </xdr:sp>
    <xdr:clientData/>
  </xdr:twoCellAnchor>
  <xdr:twoCellAnchor editAs="oneCell">
    <xdr:from>
      <xdr:col>3</xdr:col>
      <xdr:colOff>38100</xdr:colOff>
      <xdr:row>21</xdr:row>
      <xdr:rowOff>98425</xdr:rowOff>
    </xdr:from>
    <xdr:to>
      <xdr:col>4</xdr:col>
      <xdr:colOff>666750</xdr:colOff>
      <xdr:row>23</xdr:row>
      <xdr:rowOff>38209</xdr:rowOff>
    </xdr:to>
    <xdr:sp macro="[0]!Textfeld64_BeiKlick" textlink="">
      <xdr:nvSpPr>
        <xdr:cNvPr id="3136" name="codes" descr="30%">
          <a:extLst>
            <a:ext uri="{FF2B5EF4-FFF2-40B4-BE49-F238E27FC236}">
              <a16:creationId xmlns:a16="http://schemas.microsoft.com/office/drawing/2014/main" id="{DB23508F-8F5A-0262-C03F-126C2EFD64E0}"/>
            </a:ext>
          </a:extLst>
        </xdr:cNvPr>
        <xdr:cNvSpPr txBox="1">
          <a:spLocks noChangeArrowheads="1"/>
        </xdr:cNvSpPr>
      </xdr:nvSpPr>
      <xdr:spPr bwMode="auto">
        <a:xfrm>
          <a:off x="2667000" y="3289300"/>
          <a:ext cx="1600200" cy="254000"/>
        </a:xfrm>
        <a:prstGeom prst="rect">
          <a:avLst/>
        </a:prstGeom>
        <a:pattFill prst="pct3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CCCCFF" mc:Ignorable="a14" a14:legacySpreadsheetColorIndex="31"/>
          </a:bgClr>
        </a:pattFill>
        <a:ln w="19050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900000"/>
              </a:solidFill>
              <a:latin typeface="Arial"/>
              <a:ea typeface="Arial"/>
              <a:cs typeface="Arial"/>
            </a:rPr>
            <a:t>assign codes</a:t>
          </a:r>
        </a:p>
      </xdr:txBody>
    </xdr:sp>
    <xdr:clientData/>
  </xdr:twoCellAnchor>
  <xdr:twoCellAnchor editAs="oneCell">
    <xdr:from>
      <xdr:col>2</xdr:col>
      <xdr:colOff>320675</xdr:colOff>
      <xdr:row>15</xdr:row>
      <xdr:rowOff>25400</xdr:rowOff>
    </xdr:from>
    <xdr:to>
      <xdr:col>8</xdr:col>
      <xdr:colOff>215900</xdr:colOff>
      <xdr:row>19</xdr:row>
      <xdr:rowOff>149225</xdr:rowOff>
    </xdr:to>
    <xdr:sp macro="" textlink="">
      <xdr:nvSpPr>
        <xdr:cNvPr id="3140" name="Text Box 68">
          <a:extLst>
            <a:ext uri="{FF2B5EF4-FFF2-40B4-BE49-F238E27FC236}">
              <a16:creationId xmlns:a16="http://schemas.microsoft.com/office/drawing/2014/main" id="{A15A3451-FFA8-2D06-A873-D64E69D718AB}"/>
            </a:ext>
          </a:extLst>
        </xdr:cNvPr>
        <xdr:cNvSpPr txBox="1">
          <a:spLocks noChangeArrowheads="1"/>
        </xdr:cNvSpPr>
      </xdr:nvSpPr>
      <xdr:spPr bwMode="auto">
        <a:xfrm>
          <a:off x="2120900" y="2311400"/>
          <a:ext cx="51435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6576" rIns="36576" bIns="0" anchor="t" upright="1"/>
        <a:lstStyle/>
        <a:p>
          <a:pPr algn="ctr" rtl="0">
            <a:lnSpc>
              <a:spcPts val="2700"/>
            </a:lnSpc>
            <a:defRPr sz="1000"/>
          </a:pPr>
          <a:r>
            <a:rPr lang="en-US" sz="2200" b="1" i="0" u="none" strike="noStrike" baseline="0">
              <a:solidFill>
                <a:srgbClr val="FFFFFF"/>
              </a:solidFill>
              <a:latin typeface="Book Antiqua"/>
              <a:ea typeface="Book Antiqua"/>
              <a:cs typeface="Book Antiqua"/>
            </a:rPr>
            <a:t>Grootbos Nature Reserve</a:t>
          </a:r>
          <a:endParaRPr lang="en-US" sz="1800" b="1" i="0" u="none" strike="noStrike" baseline="0">
            <a:solidFill>
              <a:srgbClr val="000090"/>
            </a:solidFill>
            <a:latin typeface="Book Antiqua"/>
            <a:ea typeface="Book Antiqua"/>
            <a:cs typeface="Book Antiqua"/>
          </a:endParaRPr>
        </a:p>
        <a:p>
          <a:pPr algn="ctr" rtl="0">
            <a:defRPr sz="1000"/>
          </a:pPr>
          <a:r>
            <a:rPr lang="en-US" sz="2400" b="1" i="0" u="none" strike="noStrike" baseline="0">
              <a:solidFill>
                <a:srgbClr val="000090"/>
              </a:solidFill>
              <a:latin typeface="Book Antiqua"/>
              <a:ea typeface="Book Antiqua"/>
              <a:cs typeface="Book Antiqua"/>
            </a:rPr>
            <a:t>Flora and Vegetation Database</a:t>
          </a:r>
        </a:p>
      </xdr:txBody>
    </xdr:sp>
    <xdr:clientData/>
  </xdr:twoCellAnchor>
  <xdr:twoCellAnchor editAs="oneCell">
    <xdr:from>
      <xdr:col>4</xdr:col>
      <xdr:colOff>38100</xdr:colOff>
      <xdr:row>26</xdr:row>
      <xdr:rowOff>98425</xdr:rowOff>
    </xdr:from>
    <xdr:to>
      <xdr:col>6</xdr:col>
      <xdr:colOff>200025</xdr:colOff>
      <xdr:row>28</xdr:row>
      <xdr:rowOff>38209</xdr:rowOff>
    </xdr:to>
    <xdr:sp macro="[0]!export_rel_BeiKlick" textlink="">
      <xdr:nvSpPr>
        <xdr:cNvPr id="3169" name="export_rel" descr="30%">
          <a:extLst>
            <a:ext uri="{FF2B5EF4-FFF2-40B4-BE49-F238E27FC236}">
              <a16:creationId xmlns:a16="http://schemas.microsoft.com/office/drawing/2014/main" id="{A15F7453-46C8-DB04-06FD-4FF3806ABD9D}"/>
            </a:ext>
          </a:extLst>
        </xdr:cNvPr>
        <xdr:cNvSpPr txBox="1">
          <a:spLocks noChangeArrowheads="1"/>
        </xdr:cNvSpPr>
      </xdr:nvSpPr>
      <xdr:spPr bwMode="auto">
        <a:xfrm>
          <a:off x="3543300" y="4051300"/>
          <a:ext cx="1943100" cy="254000"/>
        </a:xfrm>
        <a:prstGeom prst="rect">
          <a:avLst/>
        </a:prstGeom>
        <a:pattFill prst="pct3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CCCCFF" mc:Ignorable="a14" a14:legacySpreadsheetColorIndex="31"/>
          </a:bgClr>
        </a:pattFill>
        <a:ln w="19050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6411"/>
              </a:solidFill>
              <a:latin typeface="Arial"/>
              <a:ea typeface="Arial"/>
              <a:cs typeface="Arial"/>
            </a:rPr>
            <a:t>export releve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8925C91F-A60A-40AE-8BDF-7AF337175609}"/>
            </a:ext>
          </a:extLst>
        </xdr:cNvPr>
        <xdr:cNvSpPr txBox="1">
          <a:spLocks noChangeArrowheads="1"/>
        </xdr:cNvSpPr>
      </xdr:nvSpPr>
      <xdr:spPr bwMode="auto">
        <a:xfrm>
          <a:off x="7194550" y="0"/>
          <a:ext cx="9969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mpd="dbl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800" b="0" i="0" u="sng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Herbarium Grootbos Nature Rerserve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I Plant species list 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April  2004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858F081E-CCD5-6419-5034-CC37952EA8A0}"/>
            </a:ext>
          </a:extLst>
        </xdr:cNvPr>
        <xdr:cNvSpPr txBox="1">
          <a:spLocks noChangeArrowheads="1"/>
        </xdr:cNvSpPr>
      </xdr:nvSpPr>
      <xdr:spPr bwMode="auto">
        <a:xfrm>
          <a:off x="8216900" y="0"/>
          <a:ext cx="11430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mpd="dbl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800" b="0" i="0" u="sng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Herbarium Grootbos Nature Rerserve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I Plant species list 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April  2004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12700</xdr:rowOff>
    </xdr:from>
    <xdr:to>
      <xdr:col>2</xdr:col>
      <xdr:colOff>0</xdr:colOff>
      <xdr:row>1</xdr:row>
      <xdr:rowOff>12700</xdr:rowOff>
    </xdr:to>
    <xdr:sp macro="[0]!statistics.statistics" textlink="">
      <xdr:nvSpPr>
        <xdr:cNvPr id="12289" name="Text Box 1">
          <a:extLst>
            <a:ext uri="{FF2B5EF4-FFF2-40B4-BE49-F238E27FC236}">
              <a16:creationId xmlns:a16="http://schemas.microsoft.com/office/drawing/2014/main" id="{E5F46F7B-FA52-D3FF-F7B0-340C1C4317B6}"/>
            </a:ext>
          </a:extLst>
        </xdr:cNvPr>
        <xdr:cNvSpPr txBox="1">
          <a:spLocks noChangeArrowheads="1"/>
        </xdr:cNvSpPr>
      </xdr:nvSpPr>
      <xdr:spPr bwMode="auto">
        <a:xfrm>
          <a:off x="3632200" y="127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28575">
              <a:solidFill>
                <a:srgbClr xmlns:mc="http://schemas.openxmlformats.org/markup-compatibility/2006" val="C0C0C0" mc:Ignorable="a14" a14:legacySpreadsheetColorIndex="22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rPr>
            <a:t>calculate statistics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27</xdr:row>
      <xdr:rowOff>123825</xdr:rowOff>
    </xdr:from>
    <xdr:to>
      <xdr:col>5</xdr:col>
      <xdr:colOff>209550</xdr:colOff>
      <xdr:row>45</xdr:row>
      <xdr:rowOff>95250</xdr:rowOff>
    </xdr:to>
    <xdr:graphicFrame macro="">
      <xdr:nvGraphicFramePr>
        <xdr:cNvPr id="13379" name="Chart 1">
          <a:extLst>
            <a:ext uri="{FF2B5EF4-FFF2-40B4-BE49-F238E27FC236}">
              <a16:creationId xmlns:a16="http://schemas.microsoft.com/office/drawing/2014/main" id="{3B08BFB8-1381-A6FA-5A2B-BC3EE97DF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390525</xdr:colOff>
      <xdr:row>27</xdr:row>
      <xdr:rowOff>95250</xdr:rowOff>
    </xdr:from>
    <xdr:to>
      <xdr:col>10</xdr:col>
      <xdr:colOff>638175</xdr:colOff>
      <xdr:row>44</xdr:row>
      <xdr:rowOff>95250</xdr:rowOff>
    </xdr:to>
    <xdr:graphicFrame macro="">
      <xdr:nvGraphicFramePr>
        <xdr:cNvPr id="13380" name="Chart 2">
          <a:extLst>
            <a:ext uri="{FF2B5EF4-FFF2-40B4-BE49-F238E27FC236}">
              <a16:creationId xmlns:a16="http://schemas.microsoft.com/office/drawing/2014/main" id="{DB61ADF5-42F6-EBD7-3664-29A805227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4AE9-1315-4ECE-A471-72A1F14900EB}">
  <sheetPr codeName="Tabelle1"/>
  <dimension ref="A1:H32"/>
  <sheetViews>
    <sheetView workbookViewId="0">
      <selection activeCell="I16" sqref="I16"/>
    </sheetView>
  </sheetViews>
  <sheetFormatPr defaultColWidth="11.42578125" defaultRowHeight="12.75" x14ac:dyDescent="0.2"/>
  <cols>
    <col min="1" max="16384" width="11.42578125" style="113"/>
  </cols>
  <sheetData>
    <row r="1" s="114" customFormat="1" x14ac:dyDescent="0.2"/>
    <row r="2" s="114" customFormat="1" x14ac:dyDescent="0.2"/>
    <row r="3" s="114" customFormat="1" x14ac:dyDescent="0.2"/>
    <row r="4" s="114" customFormat="1" x14ac:dyDescent="0.2"/>
    <row r="5" s="114" customFormat="1" x14ac:dyDescent="0.2"/>
    <row r="6" s="114" customFormat="1" x14ac:dyDescent="0.2"/>
    <row r="7" s="114" customFormat="1" x14ac:dyDescent="0.2"/>
    <row r="8" s="114" customFormat="1" x14ac:dyDescent="0.2"/>
    <row r="9" s="114" customFormat="1" x14ac:dyDescent="0.2"/>
    <row r="10" s="114" customFormat="1" x14ac:dyDescent="0.2"/>
    <row r="11" s="114" customFormat="1" x14ac:dyDescent="0.2"/>
    <row r="12" s="114" customFormat="1" x14ac:dyDescent="0.2"/>
    <row r="13" s="114" customFormat="1" x14ac:dyDescent="0.2"/>
    <row r="14" s="114" customFormat="1" x14ac:dyDescent="0.2"/>
    <row r="15" s="114" customFormat="1" x14ac:dyDescent="0.2"/>
    <row r="16" s="114" customFormat="1" x14ac:dyDescent="0.2"/>
    <row r="17" spans="1:8" s="114" customFormat="1" x14ac:dyDescent="0.2"/>
    <row r="18" spans="1:8" s="114" customFormat="1" x14ac:dyDescent="0.2"/>
    <row r="19" spans="1:8" s="114" customFormat="1" x14ac:dyDescent="0.2">
      <c r="C19" s="115"/>
    </row>
    <row r="20" spans="1:8" s="114" customFormat="1" x14ac:dyDescent="0.2"/>
    <row r="21" spans="1:8" s="114" customFormat="1" x14ac:dyDescent="0.2"/>
    <row r="22" spans="1:8" s="114" customFormat="1" x14ac:dyDescent="0.2"/>
    <row r="23" spans="1:8" s="114" customFormat="1" x14ac:dyDescent="0.2"/>
    <row r="24" spans="1:8" s="114" customFormat="1" x14ac:dyDescent="0.2"/>
    <row r="25" spans="1:8" s="114" customFormat="1" x14ac:dyDescent="0.2">
      <c r="A25" s="214" t="s">
        <v>1898</v>
      </c>
      <c r="C25" s="115"/>
    </row>
    <row r="26" spans="1:8" s="116" customFormat="1" x14ac:dyDescent="0.2"/>
    <row r="30" spans="1:8" x14ac:dyDescent="0.2">
      <c r="B30" s="118" t="s">
        <v>1885</v>
      </c>
      <c r="C30" s="117" t="s">
        <v>3394</v>
      </c>
      <c r="F30" s="118"/>
      <c r="G30" s="118" t="s">
        <v>1885</v>
      </c>
      <c r="H30" s="117" t="s">
        <v>948</v>
      </c>
    </row>
    <row r="31" spans="1:8" x14ac:dyDescent="0.2">
      <c r="G31" s="158"/>
      <c r="H31" s="157"/>
    </row>
    <row r="32" spans="1:8" x14ac:dyDescent="0.2">
      <c r="G32" s="158"/>
    </row>
  </sheetData>
  <phoneticPr fontId="3" type="noConversion"/>
  <pageMargins left="0.75" right="0.75" top="1" bottom="1" header="0.4921259845" footer="0.4921259845"/>
  <pageSetup paperSize="9" orientation="portrait" horizontalDpi="200" verticalDpi="2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AB53-3871-4949-8C2E-9969B79221A7}">
  <dimension ref="A1:AB737"/>
  <sheetViews>
    <sheetView tabSelected="1" workbookViewId="0">
      <selection activeCell="Q12" sqref="Q12"/>
    </sheetView>
  </sheetViews>
  <sheetFormatPr defaultColWidth="8.85546875" defaultRowHeight="15.6" customHeight="1" x14ac:dyDescent="0.2"/>
  <cols>
    <col min="1" max="1" width="7.5703125" style="64" bestFit="1" customWidth="1"/>
    <col min="2" max="2" width="39.42578125" style="68" customWidth="1"/>
    <col min="3" max="3" width="18.85546875" style="75" customWidth="1"/>
    <col min="4" max="4" width="25" style="75" customWidth="1"/>
    <col min="5" max="6" width="15.7109375" style="75" customWidth="1"/>
    <col min="7" max="7" width="11" style="65" customWidth="1"/>
    <col min="8" max="8" width="11" style="66" customWidth="1"/>
    <col min="9" max="14" width="4.140625" style="144" bestFit="1" customWidth="1"/>
    <col min="15" max="15" width="24.85546875" style="330" customWidth="1"/>
    <col min="16" max="16" width="24.7109375" style="330" bestFit="1" customWidth="1"/>
    <col min="17" max="17" width="14.7109375" style="62" bestFit="1" customWidth="1"/>
    <col min="18" max="18" width="8.7109375" style="211" customWidth="1"/>
    <col min="19" max="20" width="8.85546875" style="64" customWidth="1"/>
    <col min="21" max="28" width="4" style="64" customWidth="1"/>
    <col min="29" max="16384" width="8.85546875" style="67"/>
  </cols>
  <sheetData>
    <row r="1" spans="1:28" s="464" customFormat="1" ht="15.6" customHeight="1" x14ac:dyDescent="0.2">
      <c r="A1" s="457" t="s">
        <v>3102</v>
      </c>
      <c r="B1" s="459" t="s">
        <v>311</v>
      </c>
      <c r="C1" s="460" t="s">
        <v>309</v>
      </c>
      <c r="D1" s="461" t="s">
        <v>2245</v>
      </c>
      <c r="E1" s="461" t="s">
        <v>310</v>
      </c>
      <c r="F1" s="461" t="s">
        <v>2711</v>
      </c>
      <c r="G1" s="458" t="s">
        <v>312</v>
      </c>
      <c r="H1" s="458" t="s">
        <v>2182</v>
      </c>
      <c r="I1" s="462" t="s">
        <v>3614</v>
      </c>
      <c r="J1" s="462" t="s">
        <v>3615</v>
      </c>
      <c r="K1" s="462" t="s">
        <v>3616</v>
      </c>
      <c r="L1" s="462" t="s">
        <v>3617</v>
      </c>
      <c r="M1" s="462" t="s">
        <v>3618</v>
      </c>
      <c r="N1" s="462" t="s">
        <v>3619</v>
      </c>
      <c r="O1" s="407" t="s">
        <v>3620</v>
      </c>
      <c r="P1" s="407" t="s">
        <v>3621</v>
      </c>
      <c r="Q1" s="407" t="s">
        <v>3622</v>
      </c>
      <c r="R1" s="463" t="s">
        <v>3623</v>
      </c>
      <c r="S1" s="458" t="s">
        <v>315</v>
      </c>
      <c r="T1" s="458" t="s">
        <v>316</v>
      </c>
      <c r="U1" s="458" t="s">
        <v>324</v>
      </c>
      <c r="V1" s="458" t="s">
        <v>323</v>
      </c>
      <c r="W1" s="458" t="s">
        <v>322</v>
      </c>
      <c r="X1" s="458" t="s">
        <v>321</v>
      </c>
      <c r="Y1" s="458" t="s">
        <v>320</v>
      </c>
      <c r="Z1" s="458" t="s">
        <v>317</v>
      </c>
      <c r="AA1" s="458" t="s">
        <v>318</v>
      </c>
      <c r="AB1" s="458" t="s">
        <v>319</v>
      </c>
    </row>
    <row r="2" spans="1:28" ht="15.6" customHeight="1" x14ac:dyDescent="0.2">
      <c r="A2" s="408">
        <v>1</v>
      </c>
      <c r="B2" s="409" t="str">
        <f t="shared" ref="B2:B65" si="0">E2&amp;" "&amp;F2</f>
        <v>Agapanthus africanus</v>
      </c>
      <c r="C2" s="410" t="s">
        <v>2726</v>
      </c>
      <c r="D2" s="75" t="s">
        <v>2246</v>
      </c>
      <c r="E2" s="75" t="s">
        <v>2727</v>
      </c>
      <c r="F2" s="75" t="s">
        <v>2728</v>
      </c>
      <c r="G2" s="411" t="s">
        <v>2827</v>
      </c>
      <c r="H2" s="66" t="s">
        <v>1287</v>
      </c>
      <c r="I2" s="144">
        <v>4</v>
      </c>
      <c r="J2" s="144">
        <v>6</v>
      </c>
      <c r="K2" s="144">
        <v>5</v>
      </c>
      <c r="L2" s="144">
        <v>2</v>
      </c>
      <c r="M2" s="144">
        <v>1</v>
      </c>
      <c r="N2" s="144">
        <v>1</v>
      </c>
      <c r="O2" s="412" t="s">
        <v>2163</v>
      </c>
      <c r="P2" s="412" t="s">
        <v>3032</v>
      </c>
      <c r="Q2" s="413"/>
      <c r="R2" s="211">
        <v>35612</v>
      </c>
      <c r="S2" s="414" t="s">
        <v>2250</v>
      </c>
      <c r="T2" s="415"/>
      <c r="U2" s="62">
        <v>1</v>
      </c>
      <c r="V2" s="62"/>
      <c r="W2" s="62"/>
      <c r="X2" s="62"/>
      <c r="Y2" s="62"/>
      <c r="Z2" s="62"/>
      <c r="AA2" s="62"/>
      <c r="AB2" s="62"/>
    </row>
    <row r="3" spans="1:28" ht="15.6" customHeight="1" x14ac:dyDescent="0.2">
      <c r="A3" s="408">
        <v>2</v>
      </c>
      <c r="B3" s="409" t="str">
        <f t="shared" si="0"/>
        <v>Carpanthea pomeridiana</v>
      </c>
      <c r="C3" s="410" t="s">
        <v>2729</v>
      </c>
      <c r="D3" s="75" t="s">
        <v>2251</v>
      </c>
      <c r="E3" s="75" t="s">
        <v>2730</v>
      </c>
      <c r="F3" s="75" t="s">
        <v>2731</v>
      </c>
      <c r="G3" s="411" t="s">
        <v>2828</v>
      </c>
      <c r="H3" s="66" t="s">
        <v>1288</v>
      </c>
      <c r="I3" s="144">
        <v>6</v>
      </c>
      <c r="J3" s="144">
        <v>6</v>
      </c>
      <c r="K3" s="144">
        <v>3</v>
      </c>
      <c r="L3" s="144">
        <v>1</v>
      </c>
      <c r="M3" s="144">
        <v>4</v>
      </c>
      <c r="N3" s="144">
        <v>3</v>
      </c>
      <c r="O3" s="412" t="s">
        <v>2910</v>
      </c>
      <c r="P3" s="412" t="s">
        <v>2915</v>
      </c>
      <c r="Q3" s="413"/>
      <c r="R3" s="211">
        <v>36069</v>
      </c>
      <c r="S3" s="414"/>
      <c r="T3" s="415">
        <v>1</v>
      </c>
      <c r="U3" s="62">
        <v>1</v>
      </c>
      <c r="V3" s="62"/>
      <c r="W3" s="62"/>
      <c r="X3" s="62"/>
      <c r="Y3" s="62"/>
      <c r="Z3" s="62"/>
      <c r="AA3" s="62"/>
      <c r="AB3" s="62"/>
    </row>
    <row r="4" spans="1:28" ht="15.6" customHeight="1" x14ac:dyDescent="0.2">
      <c r="A4" s="408">
        <v>3</v>
      </c>
      <c r="B4" s="409" t="str">
        <f t="shared" si="0"/>
        <v>Carpobrotus acinaciformis</v>
      </c>
      <c r="C4" s="410" t="s">
        <v>2729</v>
      </c>
      <c r="D4" s="75" t="s">
        <v>2254</v>
      </c>
      <c r="E4" s="75" t="s">
        <v>2732</v>
      </c>
      <c r="F4" s="75" t="s">
        <v>2733</v>
      </c>
      <c r="G4" s="411" t="s">
        <v>2829</v>
      </c>
      <c r="H4" s="66" t="s">
        <v>1289</v>
      </c>
      <c r="I4" s="144">
        <v>3</v>
      </c>
      <c r="J4" s="144">
        <v>6</v>
      </c>
      <c r="K4" s="144">
        <v>3</v>
      </c>
      <c r="L4" s="144">
        <v>2</v>
      </c>
      <c r="M4" s="144">
        <v>3</v>
      </c>
      <c r="N4" s="144">
        <v>3</v>
      </c>
      <c r="O4" s="412" t="s">
        <v>2164</v>
      </c>
      <c r="P4" s="412" t="s">
        <v>3032</v>
      </c>
      <c r="Q4" s="413"/>
      <c r="R4" s="211">
        <v>35612</v>
      </c>
      <c r="S4" s="414"/>
      <c r="T4" s="415">
        <v>1</v>
      </c>
      <c r="U4" s="62">
        <v>1</v>
      </c>
      <c r="V4" s="62">
        <v>1</v>
      </c>
      <c r="W4" s="62">
        <v>1</v>
      </c>
      <c r="X4" s="62">
        <v>1</v>
      </c>
      <c r="Y4" s="62"/>
      <c r="Z4" s="62"/>
      <c r="AA4" s="62"/>
      <c r="AB4" s="62">
        <v>1</v>
      </c>
    </row>
    <row r="5" spans="1:28" ht="15.6" customHeight="1" x14ac:dyDescent="0.2">
      <c r="A5" s="408">
        <v>4</v>
      </c>
      <c r="B5" s="409" t="str">
        <f t="shared" si="0"/>
        <v>Carpobrotus edulis</v>
      </c>
      <c r="C5" s="410" t="s">
        <v>2729</v>
      </c>
      <c r="D5" s="75" t="s">
        <v>2254</v>
      </c>
      <c r="E5" s="75" t="s">
        <v>2732</v>
      </c>
      <c r="F5" s="75" t="s">
        <v>2734</v>
      </c>
      <c r="G5" s="411" t="s">
        <v>2830</v>
      </c>
      <c r="H5" s="66" t="s">
        <v>1289</v>
      </c>
      <c r="I5" s="144">
        <v>3</v>
      </c>
      <c r="J5" s="144">
        <v>6</v>
      </c>
      <c r="K5" s="144">
        <v>3</v>
      </c>
      <c r="L5" s="144">
        <v>2</v>
      </c>
      <c r="M5" s="144">
        <v>3</v>
      </c>
      <c r="N5" s="144">
        <v>3</v>
      </c>
      <c r="O5" s="412" t="s">
        <v>2164</v>
      </c>
      <c r="P5" s="412" t="s">
        <v>3032</v>
      </c>
      <c r="Q5" s="413"/>
      <c r="R5" s="211">
        <v>35612</v>
      </c>
      <c r="S5" s="414"/>
      <c r="T5" s="415">
        <v>1</v>
      </c>
      <c r="U5" s="62">
        <v>1</v>
      </c>
      <c r="V5" s="62"/>
      <c r="W5" s="62"/>
      <c r="X5" s="62"/>
      <c r="Y5" s="62"/>
      <c r="Z5" s="62"/>
      <c r="AA5" s="62"/>
      <c r="AB5" s="62"/>
    </row>
    <row r="6" spans="1:28" ht="15.6" customHeight="1" x14ac:dyDescent="0.2">
      <c r="A6" s="408">
        <v>5</v>
      </c>
      <c r="B6" s="409" t="str">
        <f t="shared" si="0"/>
        <v>Dorotheanthus bellidiformis</v>
      </c>
      <c r="C6" s="410" t="s">
        <v>2729</v>
      </c>
      <c r="D6" s="75" t="s">
        <v>2255</v>
      </c>
      <c r="E6" s="75" t="s">
        <v>2735</v>
      </c>
      <c r="F6" s="75" t="s">
        <v>2736</v>
      </c>
      <c r="G6" s="411" t="s">
        <v>2831</v>
      </c>
      <c r="H6" s="66" t="s">
        <v>1288</v>
      </c>
      <c r="I6" s="144">
        <v>6</v>
      </c>
      <c r="J6" s="144">
        <v>6</v>
      </c>
      <c r="K6" s="144">
        <v>3</v>
      </c>
      <c r="L6" s="144">
        <v>2</v>
      </c>
      <c r="M6" s="144">
        <v>3</v>
      </c>
      <c r="N6" s="144">
        <v>3</v>
      </c>
      <c r="O6" s="412" t="s">
        <v>3030</v>
      </c>
      <c r="P6" s="412" t="s">
        <v>2915</v>
      </c>
      <c r="Q6" s="413" t="s">
        <v>3144</v>
      </c>
      <c r="R6" s="211">
        <v>36069</v>
      </c>
      <c r="S6" s="414"/>
      <c r="T6" s="415">
        <v>1</v>
      </c>
      <c r="U6" s="62">
        <v>1</v>
      </c>
      <c r="V6" s="62"/>
      <c r="W6" s="62"/>
      <c r="X6" s="62"/>
      <c r="Y6" s="62"/>
      <c r="Z6" s="62"/>
      <c r="AA6" s="62"/>
      <c r="AB6" s="62"/>
    </row>
    <row r="7" spans="1:28" ht="15.6" customHeight="1" x14ac:dyDescent="0.2">
      <c r="A7" s="408">
        <v>6</v>
      </c>
      <c r="B7" s="409" t="str">
        <f t="shared" si="0"/>
        <v>Drosanthemum intermedium</v>
      </c>
      <c r="C7" s="410" t="s">
        <v>2729</v>
      </c>
      <c r="E7" s="75" t="s">
        <v>2737</v>
      </c>
      <c r="F7" s="75" t="s">
        <v>2738</v>
      </c>
      <c r="G7" s="411" t="s">
        <v>2832</v>
      </c>
      <c r="H7" s="66" t="s">
        <v>3215</v>
      </c>
      <c r="I7" s="144">
        <v>2</v>
      </c>
      <c r="J7" s="144">
        <v>6</v>
      </c>
      <c r="K7" s="144">
        <v>3</v>
      </c>
      <c r="L7" s="144">
        <v>2</v>
      </c>
      <c r="M7" s="144">
        <v>3</v>
      </c>
      <c r="N7" s="144">
        <v>5</v>
      </c>
      <c r="O7" s="412" t="s">
        <v>2165</v>
      </c>
      <c r="P7" s="412" t="s">
        <v>3032</v>
      </c>
      <c r="Q7" s="413"/>
      <c r="R7" s="211">
        <v>35947</v>
      </c>
      <c r="S7" s="414"/>
      <c r="T7" s="415">
        <v>1</v>
      </c>
      <c r="U7" s="62">
        <v>1</v>
      </c>
      <c r="V7" s="62"/>
      <c r="W7" s="62"/>
      <c r="X7" s="62"/>
      <c r="Y7" s="62"/>
      <c r="Z7" s="62"/>
      <c r="AA7" s="62"/>
      <c r="AB7" s="62"/>
    </row>
    <row r="8" spans="1:28" ht="15.6" customHeight="1" x14ac:dyDescent="0.2">
      <c r="A8" s="416">
        <v>7</v>
      </c>
      <c r="B8" s="409" t="str">
        <f t="shared" si="0"/>
        <v>Galenia ecklonis</v>
      </c>
      <c r="C8" s="410" t="s">
        <v>2729</v>
      </c>
      <c r="D8" s="75" t="s">
        <v>2256</v>
      </c>
      <c r="E8" s="75" t="s">
        <v>2739</v>
      </c>
      <c r="F8" s="75" t="s">
        <v>2740</v>
      </c>
      <c r="G8" s="411" t="s">
        <v>2833</v>
      </c>
      <c r="H8" s="66" t="s">
        <v>3215</v>
      </c>
      <c r="I8" s="144">
        <v>2</v>
      </c>
      <c r="J8" s="144">
        <v>6</v>
      </c>
      <c r="K8" s="144">
        <v>3</v>
      </c>
      <c r="L8" s="144">
        <v>3</v>
      </c>
      <c r="M8" s="144">
        <v>4</v>
      </c>
      <c r="N8" s="144">
        <v>5</v>
      </c>
      <c r="O8" s="412" t="s">
        <v>2165</v>
      </c>
      <c r="P8" s="412" t="s">
        <v>3032</v>
      </c>
      <c r="Q8" s="413"/>
      <c r="R8" s="211">
        <v>37257</v>
      </c>
      <c r="S8" s="414"/>
      <c r="T8" s="415">
        <v>1</v>
      </c>
      <c r="U8" s="62"/>
      <c r="V8" s="62"/>
      <c r="W8" s="62"/>
      <c r="X8" s="62"/>
      <c r="Y8" s="62"/>
      <c r="Z8" s="62"/>
      <c r="AA8" s="62"/>
      <c r="AB8" s="62"/>
    </row>
    <row r="9" spans="1:28" ht="15.6" customHeight="1" x14ac:dyDescent="0.2">
      <c r="A9" s="408">
        <v>8</v>
      </c>
      <c r="B9" s="409" t="str">
        <f t="shared" si="0"/>
        <v>Jordaaniella dubia</v>
      </c>
      <c r="C9" s="410" t="s">
        <v>2729</v>
      </c>
      <c r="D9" s="75" t="s">
        <v>2911</v>
      </c>
      <c r="E9" s="75" t="s">
        <v>2912</v>
      </c>
      <c r="F9" s="75" t="s">
        <v>1647</v>
      </c>
      <c r="G9" s="411" t="s">
        <v>2913</v>
      </c>
      <c r="H9" s="66" t="s">
        <v>199</v>
      </c>
      <c r="I9" s="144">
        <v>9</v>
      </c>
      <c r="J9" s="144">
        <v>6</v>
      </c>
      <c r="K9" s="144">
        <v>9</v>
      </c>
      <c r="L9" s="144">
        <v>9</v>
      </c>
      <c r="M9" s="144">
        <v>4</v>
      </c>
      <c r="N9" s="144">
        <v>9</v>
      </c>
      <c r="O9" s="412" t="s">
        <v>2164</v>
      </c>
      <c r="P9" s="412" t="s">
        <v>3032</v>
      </c>
      <c r="Q9" s="413"/>
      <c r="R9" s="211">
        <v>38108</v>
      </c>
      <c r="S9" s="414"/>
      <c r="T9" s="415"/>
      <c r="U9" s="62">
        <v>1</v>
      </c>
      <c r="V9" s="62"/>
      <c r="W9" s="62"/>
      <c r="X9" s="62"/>
      <c r="Y9" s="62"/>
      <c r="Z9" s="62"/>
      <c r="AA9" s="62"/>
      <c r="AB9" s="62"/>
    </row>
    <row r="10" spans="1:28" ht="15.6" customHeight="1" x14ac:dyDescent="0.2">
      <c r="A10" s="408">
        <v>9</v>
      </c>
      <c r="B10" s="409" t="str">
        <f t="shared" si="0"/>
        <v>Lampranthus aestivus</v>
      </c>
      <c r="C10" s="410" t="s">
        <v>2729</v>
      </c>
      <c r="E10" s="75" t="s">
        <v>2741</v>
      </c>
      <c r="F10" s="75" t="s">
        <v>2742</v>
      </c>
      <c r="G10" s="411" t="s">
        <v>2834</v>
      </c>
      <c r="H10" s="66" t="s">
        <v>3216</v>
      </c>
      <c r="I10" s="144">
        <v>2</v>
      </c>
      <c r="J10" s="144">
        <v>6</v>
      </c>
      <c r="K10" s="144">
        <v>3</v>
      </c>
      <c r="L10" s="144">
        <v>2</v>
      </c>
      <c r="M10" s="144">
        <v>3</v>
      </c>
      <c r="N10" s="144">
        <v>4</v>
      </c>
      <c r="O10" s="412" t="s">
        <v>2166</v>
      </c>
      <c r="P10" s="412" t="s">
        <v>3032</v>
      </c>
      <c r="Q10" s="413"/>
      <c r="S10" s="414"/>
      <c r="T10" s="415">
        <v>1</v>
      </c>
      <c r="U10" s="62"/>
      <c r="V10" s="62"/>
      <c r="W10" s="62"/>
      <c r="X10" s="62">
        <v>1</v>
      </c>
      <c r="Y10" s="62"/>
      <c r="Z10" s="62"/>
      <c r="AA10" s="62"/>
      <c r="AB10" s="62"/>
    </row>
    <row r="11" spans="1:28" ht="15.6" customHeight="1" x14ac:dyDescent="0.2">
      <c r="A11" s="408">
        <v>10</v>
      </c>
      <c r="B11" s="409" t="str">
        <f t="shared" si="0"/>
        <v>Lampranthus caudatus</v>
      </c>
      <c r="C11" s="410" t="s">
        <v>2729</v>
      </c>
      <c r="E11" s="75" t="s">
        <v>2741</v>
      </c>
      <c r="F11" s="75" t="s">
        <v>2743</v>
      </c>
      <c r="G11" s="411" t="s">
        <v>2835</v>
      </c>
      <c r="H11" s="66" t="s">
        <v>3215</v>
      </c>
      <c r="I11" s="144">
        <v>2</v>
      </c>
      <c r="J11" s="144">
        <v>6</v>
      </c>
      <c r="K11" s="144">
        <v>3</v>
      </c>
      <c r="L11" s="144">
        <v>2</v>
      </c>
      <c r="M11" s="144">
        <v>3</v>
      </c>
      <c r="N11" s="144">
        <v>5</v>
      </c>
      <c r="O11" s="412" t="s">
        <v>2166</v>
      </c>
      <c r="P11" s="412" t="s">
        <v>3032</v>
      </c>
      <c r="Q11" s="413"/>
      <c r="R11" s="211">
        <v>36892</v>
      </c>
      <c r="S11" s="414"/>
      <c r="T11" s="415">
        <v>1</v>
      </c>
      <c r="U11" s="62"/>
      <c r="V11" s="62"/>
      <c r="W11" s="62"/>
      <c r="X11" s="62">
        <v>1</v>
      </c>
      <c r="Y11" s="62"/>
      <c r="Z11" s="62"/>
      <c r="AA11" s="62"/>
      <c r="AB11" s="62"/>
    </row>
    <row r="12" spans="1:28" ht="15.6" customHeight="1" x14ac:dyDescent="0.2">
      <c r="A12" s="408">
        <v>11</v>
      </c>
      <c r="B12" s="409" t="str">
        <f t="shared" si="0"/>
        <v>Lampranthus explanatus</v>
      </c>
      <c r="C12" s="410" t="s">
        <v>2729</v>
      </c>
      <c r="E12" s="75" t="s">
        <v>2741</v>
      </c>
      <c r="F12" s="75" t="s">
        <v>2744</v>
      </c>
      <c r="G12" s="411" t="s">
        <v>2836</v>
      </c>
      <c r="H12" s="66" t="s">
        <v>3217</v>
      </c>
      <c r="I12" s="144">
        <v>3</v>
      </c>
      <c r="J12" s="144">
        <v>6</v>
      </c>
      <c r="K12" s="144">
        <v>5</v>
      </c>
      <c r="L12" s="144">
        <v>2</v>
      </c>
      <c r="M12" s="144">
        <v>3</v>
      </c>
      <c r="N12" s="144">
        <v>4</v>
      </c>
      <c r="O12" s="412" t="s">
        <v>2166</v>
      </c>
      <c r="P12" s="412" t="s">
        <v>3032</v>
      </c>
      <c r="Q12" s="413"/>
      <c r="R12" s="211">
        <v>35612</v>
      </c>
      <c r="S12" s="414"/>
      <c r="T12" s="415">
        <v>1</v>
      </c>
      <c r="U12" s="62">
        <v>1</v>
      </c>
      <c r="V12" s="62">
        <v>1</v>
      </c>
      <c r="W12" s="62"/>
      <c r="X12" s="62"/>
      <c r="Y12" s="62"/>
      <c r="Z12" s="62"/>
      <c r="AA12" s="62"/>
      <c r="AB12" s="62"/>
    </row>
    <row r="13" spans="1:28" ht="15.6" customHeight="1" x14ac:dyDescent="0.2">
      <c r="A13" s="408">
        <v>12</v>
      </c>
      <c r="B13" s="409" t="str">
        <f t="shared" si="0"/>
        <v>Lampranthus furvus</v>
      </c>
      <c r="C13" s="410" t="s">
        <v>2729</v>
      </c>
      <c r="E13" s="75" t="s">
        <v>2741</v>
      </c>
      <c r="F13" s="75" t="s">
        <v>2745</v>
      </c>
      <c r="G13" s="411" t="s">
        <v>2837</v>
      </c>
      <c r="H13" s="66" t="s">
        <v>3215</v>
      </c>
      <c r="I13" s="144">
        <v>2</v>
      </c>
      <c r="J13" s="144">
        <v>6</v>
      </c>
      <c r="K13" s="144">
        <v>2</v>
      </c>
      <c r="L13" s="144">
        <v>2</v>
      </c>
      <c r="M13" s="144">
        <v>3</v>
      </c>
      <c r="N13" s="144">
        <v>5</v>
      </c>
      <c r="O13" s="412" t="s">
        <v>2166</v>
      </c>
      <c r="P13" s="412" t="s">
        <v>3032</v>
      </c>
      <c r="Q13" s="417"/>
      <c r="R13" s="211">
        <v>35947</v>
      </c>
      <c r="S13" s="414"/>
      <c r="T13" s="415">
        <v>1</v>
      </c>
      <c r="U13" s="62"/>
      <c r="V13" s="62">
        <v>1</v>
      </c>
      <c r="W13" s="62"/>
      <c r="X13" s="62"/>
      <c r="Y13" s="62"/>
      <c r="Z13" s="62"/>
      <c r="AA13" s="62"/>
      <c r="AB13" s="62"/>
    </row>
    <row r="14" spans="1:28" ht="15.6" customHeight="1" x14ac:dyDescent="0.2">
      <c r="A14" s="408">
        <v>13</v>
      </c>
      <c r="B14" s="418" t="str">
        <f t="shared" si="0"/>
        <v>Lampranthus simulans</v>
      </c>
      <c r="C14" s="419" t="s">
        <v>2729</v>
      </c>
      <c r="D14" s="420"/>
      <c r="E14" s="420" t="s">
        <v>2741</v>
      </c>
      <c r="F14" s="420" t="s">
        <v>2746</v>
      </c>
      <c r="G14" s="421" t="s">
        <v>2838</v>
      </c>
      <c r="H14" s="421" t="s">
        <v>3215</v>
      </c>
      <c r="I14" s="422">
        <v>2</v>
      </c>
      <c r="J14" s="422">
        <v>6</v>
      </c>
      <c r="K14" s="422">
        <v>2</v>
      </c>
      <c r="L14" s="422">
        <v>2</v>
      </c>
      <c r="M14" s="422">
        <v>3</v>
      </c>
      <c r="N14" s="422">
        <v>5</v>
      </c>
      <c r="O14" s="423" t="s">
        <v>2166</v>
      </c>
      <c r="P14" s="423" t="s">
        <v>3032</v>
      </c>
      <c r="Q14" s="424"/>
      <c r="R14" s="425">
        <v>35886</v>
      </c>
      <c r="S14" s="426"/>
      <c r="T14" s="426">
        <v>1</v>
      </c>
      <c r="U14" s="427"/>
      <c r="V14" s="427"/>
      <c r="W14" s="427"/>
      <c r="X14" s="427">
        <v>1</v>
      </c>
      <c r="Y14" s="427"/>
      <c r="Z14" s="427"/>
      <c r="AA14" s="427"/>
      <c r="AB14" s="427"/>
    </row>
    <row r="15" spans="1:28" ht="15.6" customHeight="1" x14ac:dyDescent="0.2">
      <c r="A15" s="408">
        <v>14</v>
      </c>
      <c r="B15" s="409" t="str">
        <f t="shared" si="0"/>
        <v>Phyllobolus canaliculatus</v>
      </c>
      <c r="C15" s="410" t="s">
        <v>2729</v>
      </c>
      <c r="E15" s="75" t="s">
        <v>2747</v>
      </c>
      <c r="F15" s="75" t="s">
        <v>2748</v>
      </c>
      <c r="G15" s="411" t="s">
        <v>2839</v>
      </c>
      <c r="H15" s="66" t="s">
        <v>3218</v>
      </c>
      <c r="I15" s="144">
        <v>4</v>
      </c>
      <c r="J15" s="144">
        <v>6</v>
      </c>
      <c r="K15" s="144">
        <v>2</v>
      </c>
      <c r="L15" s="144">
        <v>2</v>
      </c>
      <c r="M15" s="144">
        <v>4</v>
      </c>
      <c r="N15" s="144">
        <v>4</v>
      </c>
      <c r="O15" s="412" t="s">
        <v>2163</v>
      </c>
      <c r="P15" s="412" t="s">
        <v>3032</v>
      </c>
      <c r="Q15" s="413"/>
      <c r="R15" s="211">
        <v>36861</v>
      </c>
      <c r="S15" s="414"/>
      <c r="T15" s="415">
        <v>1</v>
      </c>
      <c r="U15" s="62"/>
      <c r="V15" s="62"/>
      <c r="W15" s="62">
        <v>1</v>
      </c>
      <c r="X15" s="62">
        <v>1</v>
      </c>
      <c r="Y15" s="62"/>
      <c r="Z15" s="62"/>
      <c r="AA15" s="62"/>
      <c r="AB15" s="62"/>
    </row>
    <row r="16" spans="1:28" ht="15.6" customHeight="1" x14ac:dyDescent="0.2">
      <c r="A16" s="408">
        <v>15</v>
      </c>
      <c r="B16" s="409" t="str">
        <f t="shared" si="0"/>
        <v>Ruschia calcicola</v>
      </c>
      <c r="C16" s="410" t="s">
        <v>2729</v>
      </c>
      <c r="E16" s="75" t="s">
        <v>2749</v>
      </c>
      <c r="F16" s="75" t="s">
        <v>2155</v>
      </c>
      <c r="G16" s="411" t="s">
        <v>2840</v>
      </c>
      <c r="H16" s="66" t="s">
        <v>3216</v>
      </c>
      <c r="I16" s="144">
        <v>2</v>
      </c>
      <c r="J16" s="144">
        <v>6</v>
      </c>
      <c r="K16" s="144">
        <v>2</v>
      </c>
      <c r="L16" s="144">
        <v>2</v>
      </c>
      <c r="M16" s="144">
        <v>3</v>
      </c>
      <c r="N16" s="144">
        <v>4</v>
      </c>
      <c r="O16" s="412" t="s">
        <v>3031</v>
      </c>
      <c r="P16" s="412" t="s">
        <v>3032</v>
      </c>
      <c r="Q16" s="413"/>
      <c r="R16" s="211">
        <v>35947</v>
      </c>
      <c r="S16" s="414"/>
      <c r="T16" s="415">
        <v>1</v>
      </c>
      <c r="U16" s="62"/>
      <c r="V16" s="62">
        <v>1</v>
      </c>
      <c r="W16" s="62"/>
      <c r="X16" s="62"/>
      <c r="Y16" s="62"/>
      <c r="Z16" s="62"/>
      <c r="AA16" s="62"/>
      <c r="AB16" s="62"/>
    </row>
    <row r="17" spans="1:28" ht="15.6" customHeight="1" x14ac:dyDescent="0.2">
      <c r="A17" s="408">
        <v>16</v>
      </c>
      <c r="B17" s="409" t="str">
        <f t="shared" si="0"/>
        <v>Ruschia sarmentosa</v>
      </c>
      <c r="C17" s="410" t="s">
        <v>2729</v>
      </c>
      <c r="E17" s="75" t="s">
        <v>2749</v>
      </c>
      <c r="F17" s="75" t="s">
        <v>2750</v>
      </c>
      <c r="G17" s="411" t="s">
        <v>2841</v>
      </c>
      <c r="H17" s="66" t="s">
        <v>3219</v>
      </c>
      <c r="I17" s="144">
        <v>2</v>
      </c>
      <c r="J17" s="144">
        <v>6</v>
      </c>
      <c r="K17" s="144">
        <v>5</v>
      </c>
      <c r="L17" s="144">
        <v>2</v>
      </c>
      <c r="M17" s="144">
        <v>3</v>
      </c>
      <c r="N17" s="144">
        <v>3</v>
      </c>
      <c r="O17" s="412" t="s">
        <v>3031</v>
      </c>
      <c r="P17" s="412" t="s">
        <v>3032</v>
      </c>
      <c r="Q17" s="413"/>
      <c r="R17" s="211">
        <v>35612</v>
      </c>
      <c r="S17" s="414"/>
      <c r="T17" s="415">
        <v>1</v>
      </c>
      <c r="U17" s="62">
        <v>1</v>
      </c>
      <c r="V17" s="62">
        <v>1</v>
      </c>
      <c r="W17" s="62"/>
      <c r="X17" s="62">
        <v>1</v>
      </c>
      <c r="Y17" s="62"/>
      <c r="Z17" s="62"/>
      <c r="AA17" s="62"/>
      <c r="AB17" s="62"/>
    </row>
    <row r="18" spans="1:28" ht="15.6" customHeight="1" x14ac:dyDescent="0.2">
      <c r="A18" s="408">
        <v>17</v>
      </c>
      <c r="B18" s="409" t="str">
        <f t="shared" si="0"/>
        <v>Tetragonia echinata</v>
      </c>
      <c r="C18" s="410" t="s">
        <v>2729</v>
      </c>
      <c r="E18" s="75" t="s">
        <v>2751</v>
      </c>
      <c r="F18" s="75" t="s">
        <v>2752</v>
      </c>
      <c r="G18" s="411" t="s">
        <v>2842</v>
      </c>
      <c r="H18" s="66" t="s">
        <v>3220</v>
      </c>
      <c r="I18" s="144">
        <v>6</v>
      </c>
      <c r="J18" s="144">
        <v>6</v>
      </c>
      <c r="K18" s="144">
        <v>3</v>
      </c>
      <c r="L18" s="144">
        <v>1</v>
      </c>
      <c r="M18" s="144">
        <v>3</v>
      </c>
      <c r="N18" s="144">
        <v>4</v>
      </c>
      <c r="O18" s="412" t="s">
        <v>2164</v>
      </c>
      <c r="P18" s="412" t="s">
        <v>2915</v>
      </c>
      <c r="Q18" s="413"/>
      <c r="R18" s="211">
        <v>37226</v>
      </c>
      <c r="S18" s="414"/>
      <c r="T18" s="415">
        <v>1</v>
      </c>
      <c r="U18" s="62">
        <v>1</v>
      </c>
      <c r="V18" s="62"/>
      <c r="W18" s="62"/>
      <c r="X18" s="62"/>
      <c r="Y18" s="62"/>
      <c r="Z18" s="62"/>
      <c r="AA18" s="62"/>
      <c r="AB18" s="62"/>
    </row>
    <row r="19" spans="1:28" ht="15.6" customHeight="1" x14ac:dyDescent="0.2">
      <c r="A19" s="408">
        <v>18</v>
      </c>
      <c r="B19" s="409" t="str">
        <f t="shared" si="0"/>
        <v>Tetragonia fruticosa</v>
      </c>
      <c r="C19" s="410" t="s">
        <v>2729</v>
      </c>
      <c r="D19" s="75" t="s">
        <v>2257</v>
      </c>
      <c r="E19" s="75" t="s">
        <v>2751</v>
      </c>
      <c r="F19" s="75" t="s">
        <v>2753</v>
      </c>
      <c r="G19" s="411" t="s">
        <v>2843</v>
      </c>
      <c r="H19" s="66" t="s">
        <v>3221</v>
      </c>
      <c r="I19" s="144">
        <v>2</v>
      </c>
      <c r="J19" s="144">
        <v>5</v>
      </c>
      <c r="K19" s="144">
        <v>3</v>
      </c>
      <c r="L19" s="144">
        <v>2</v>
      </c>
      <c r="M19" s="144">
        <v>3</v>
      </c>
      <c r="N19" s="144">
        <v>4</v>
      </c>
      <c r="O19" s="412" t="s">
        <v>2914</v>
      </c>
      <c r="P19" s="412" t="s">
        <v>3032</v>
      </c>
      <c r="Q19" s="413"/>
      <c r="R19" s="211">
        <v>35855</v>
      </c>
      <c r="S19" s="414"/>
      <c r="T19" s="415">
        <v>1</v>
      </c>
      <c r="U19" s="62">
        <v>1</v>
      </c>
      <c r="V19" s="62"/>
      <c r="W19" s="62"/>
      <c r="X19" s="62"/>
      <c r="Y19" s="62">
        <v>1</v>
      </c>
      <c r="Z19" s="62"/>
      <c r="AA19" s="62"/>
      <c r="AB19" s="62"/>
    </row>
    <row r="20" spans="1:28" ht="15.6" customHeight="1" x14ac:dyDescent="0.2">
      <c r="A20" s="408">
        <v>19</v>
      </c>
      <c r="B20" s="409" t="str">
        <f t="shared" si="0"/>
        <v>Tulbaghia capensis</v>
      </c>
      <c r="C20" s="410" t="s">
        <v>2754</v>
      </c>
      <c r="D20" s="75" t="s">
        <v>2258</v>
      </c>
      <c r="E20" s="75" t="s">
        <v>2755</v>
      </c>
      <c r="F20" s="75" t="s">
        <v>2756</v>
      </c>
      <c r="G20" s="411" t="s">
        <v>2844</v>
      </c>
      <c r="H20" s="66" t="s">
        <v>3222</v>
      </c>
      <c r="I20" s="144">
        <v>4</v>
      </c>
      <c r="J20" s="144">
        <v>6</v>
      </c>
      <c r="K20" s="144">
        <v>5</v>
      </c>
      <c r="L20" s="144">
        <v>3</v>
      </c>
      <c r="M20" s="144">
        <v>1</v>
      </c>
      <c r="N20" s="144">
        <v>1</v>
      </c>
      <c r="O20" s="412" t="s">
        <v>2163</v>
      </c>
      <c r="P20" s="412" t="s">
        <v>3032</v>
      </c>
      <c r="Q20" s="413"/>
      <c r="R20" s="211">
        <v>36586</v>
      </c>
      <c r="S20" s="414" t="s">
        <v>2250</v>
      </c>
      <c r="T20" s="415"/>
      <c r="U20" s="62"/>
      <c r="V20" s="62"/>
      <c r="W20" s="62"/>
      <c r="X20" s="62">
        <v>1</v>
      </c>
      <c r="Y20" s="62"/>
      <c r="Z20" s="62"/>
      <c r="AA20" s="62"/>
      <c r="AB20" s="62"/>
    </row>
    <row r="21" spans="1:28" ht="15.6" customHeight="1" x14ac:dyDescent="0.2">
      <c r="A21" s="408">
        <v>20</v>
      </c>
      <c r="B21" s="409" t="str">
        <f t="shared" si="0"/>
        <v>Exomis microphylla var. axyroides</v>
      </c>
      <c r="C21" s="410" t="s">
        <v>2757</v>
      </c>
      <c r="D21" s="75" t="s">
        <v>2259</v>
      </c>
      <c r="E21" s="75" t="s">
        <v>2758</v>
      </c>
      <c r="F21" s="75" t="s">
        <v>2759</v>
      </c>
      <c r="G21" s="411" t="s">
        <v>2845</v>
      </c>
      <c r="H21" s="66" t="s">
        <v>3223</v>
      </c>
      <c r="I21" s="144">
        <v>2</v>
      </c>
      <c r="J21" s="144">
        <v>5</v>
      </c>
      <c r="K21" s="144">
        <v>3</v>
      </c>
      <c r="L21" s="144">
        <v>2</v>
      </c>
      <c r="M21" s="144">
        <v>1</v>
      </c>
      <c r="N21" s="144">
        <v>3</v>
      </c>
      <c r="O21" s="412" t="s">
        <v>2914</v>
      </c>
      <c r="P21" s="412" t="s">
        <v>3032</v>
      </c>
      <c r="Q21" s="413"/>
      <c r="R21" s="211">
        <v>37012</v>
      </c>
      <c r="S21" s="414"/>
      <c r="T21" s="415">
        <v>1</v>
      </c>
      <c r="U21" s="62">
        <v>1</v>
      </c>
      <c r="V21" s="62"/>
      <c r="W21" s="62"/>
      <c r="X21" s="62"/>
      <c r="Y21" s="62"/>
      <c r="Z21" s="62"/>
      <c r="AA21" s="62"/>
      <c r="AB21" s="62"/>
    </row>
    <row r="22" spans="1:28" ht="15.6" customHeight="1" x14ac:dyDescent="0.2">
      <c r="A22" s="408">
        <v>21</v>
      </c>
      <c r="B22" s="409" t="str">
        <f t="shared" si="0"/>
        <v>Brunsvigia orientalis</v>
      </c>
      <c r="C22" s="410" t="s">
        <v>2760</v>
      </c>
      <c r="D22" s="75" t="s">
        <v>2260</v>
      </c>
      <c r="E22" s="75" t="s">
        <v>2761</v>
      </c>
      <c r="F22" s="75" t="s">
        <v>2762</v>
      </c>
      <c r="G22" s="411" t="s">
        <v>2846</v>
      </c>
      <c r="H22" s="66" t="s">
        <v>1287</v>
      </c>
      <c r="I22" s="144">
        <v>4</v>
      </c>
      <c r="J22" s="144">
        <v>6</v>
      </c>
      <c r="K22" s="144">
        <v>5</v>
      </c>
      <c r="L22" s="144">
        <v>1</v>
      </c>
      <c r="M22" s="144">
        <v>1</v>
      </c>
      <c r="N22" s="144">
        <v>3</v>
      </c>
      <c r="O22" s="412" t="s">
        <v>2163</v>
      </c>
      <c r="P22" s="412" t="s">
        <v>3032</v>
      </c>
      <c r="Q22" s="413"/>
      <c r="R22" s="211">
        <v>35612</v>
      </c>
      <c r="S22" s="414" t="s">
        <v>2702</v>
      </c>
      <c r="T22" s="415"/>
      <c r="U22" s="62">
        <v>1</v>
      </c>
      <c r="V22" s="62"/>
      <c r="W22" s="62"/>
      <c r="X22" s="62"/>
      <c r="Y22" s="62"/>
      <c r="Z22" s="62"/>
      <c r="AA22" s="62"/>
      <c r="AB22" s="62"/>
    </row>
    <row r="23" spans="1:28" ht="15.6" customHeight="1" x14ac:dyDescent="0.2">
      <c r="A23" s="408">
        <v>22</v>
      </c>
      <c r="B23" s="409" t="str">
        <f t="shared" si="0"/>
        <v>Cyrtanthus leucanthus</v>
      </c>
      <c r="C23" s="410" t="s">
        <v>2760</v>
      </c>
      <c r="D23" s="75" t="s">
        <v>2261</v>
      </c>
      <c r="E23" s="75" t="s">
        <v>2763</v>
      </c>
      <c r="F23" s="75" t="s">
        <v>2764</v>
      </c>
      <c r="G23" s="411" t="s">
        <v>2847</v>
      </c>
      <c r="H23" s="66" t="s">
        <v>1287</v>
      </c>
      <c r="I23" s="144">
        <v>4</v>
      </c>
      <c r="J23" s="144">
        <v>6</v>
      </c>
      <c r="K23" s="144">
        <v>5</v>
      </c>
      <c r="L23" s="144">
        <v>2</v>
      </c>
      <c r="M23" s="144">
        <v>1</v>
      </c>
      <c r="N23" s="144">
        <v>1</v>
      </c>
      <c r="O23" s="412" t="s">
        <v>2163</v>
      </c>
      <c r="P23" s="412" t="s">
        <v>3032</v>
      </c>
      <c r="Q23" s="413" t="s">
        <v>3145</v>
      </c>
      <c r="R23" s="211">
        <v>35796</v>
      </c>
      <c r="S23" s="414"/>
      <c r="T23" s="415">
        <v>1</v>
      </c>
      <c r="U23" s="62"/>
      <c r="V23" s="62"/>
      <c r="W23" s="62"/>
      <c r="X23" s="62">
        <v>1</v>
      </c>
      <c r="Y23" s="62"/>
      <c r="Z23" s="62"/>
      <c r="AA23" s="62"/>
      <c r="AB23" s="62"/>
    </row>
    <row r="24" spans="1:28" ht="15.6" customHeight="1" x14ac:dyDescent="0.2">
      <c r="A24" s="408">
        <v>23</v>
      </c>
      <c r="B24" s="409" t="str">
        <f t="shared" si="0"/>
        <v>Haemanthus coccineus</v>
      </c>
      <c r="C24" s="410" t="s">
        <v>2760</v>
      </c>
      <c r="D24" s="75" t="s">
        <v>2262</v>
      </c>
      <c r="E24" s="75" t="s">
        <v>2765</v>
      </c>
      <c r="F24" s="75" t="s">
        <v>2766</v>
      </c>
      <c r="G24" s="411" t="s">
        <v>2848</v>
      </c>
      <c r="H24" s="66" t="s">
        <v>3224</v>
      </c>
      <c r="I24" s="144">
        <v>4</v>
      </c>
      <c r="J24" s="144">
        <v>6</v>
      </c>
      <c r="K24" s="144">
        <v>5</v>
      </c>
      <c r="L24" s="144">
        <v>1</v>
      </c>
      <c r="M24" s="144">
        <v>4</v>
      </c>
      <c r="N24" s="144">
        <v>1</v>
      </c>
      <c r="O24" s="412" t="s">
        <v>2163</v>
      </c>
      <c r="P24" s="412" t="s">
        <v>3032</v>
      </c>
      <c r="Q24" s="413"/>
      <c r="R24" s="211">
        <v>35612</v>
      </c>
      <c r="S24" s="414"/>
      <c r="T24" s="415">
        <v>1</v>
      </c>
      <c r="U24" s="62">
        <v>1</v>
      </c>
      <c r="V24" s="62"/>
      <c r="W24" s="62"/>
      <c r="X24" s="62"/>
      <c r="Y24" s="62"/>
      <c r="Z24" s="62">
        <v>1</v>
      </c>
      <c r="AA24" s="62"/>
      <c r="AB24" s="62"/>
    </row>
    <row r="25" spans="1:28" ht="15.6" customHeight="1" x14ac:dyDescent="0.2">
      <c r="A25" s="408">
        <v>24</v>
      </c>
      <c r="B25" s="409" t="str">
        <f t="shared" si="0"/>
        <v>Haemanthus sanguineus</v>
      </c>
      <c r="C25" s="410" t="s">
        <v>2760</v>
      </c>
      <c r="D25" s="75" t="s">
        <v>2262</v>
      </c>
      <c r="E25" s="75" t="s">
        <v>2765</v>
      </c>
      <c r="F25" s="75" t="s">
        <v>2767</v>
      </c>
      <c r="G25" s="411" t="s">
        <v>2849</v>
      </c>
      <c r="H25" s="66" t="s">
        <v>3224</v>
      </c>
      <c r="I25" s="144">
        <v>4</v>
      </c>
      <c r="J25" s="144">
        <v>6</v>
      </c>
      <c r="K25" s="144">
        <v>5</v>
      </c>
      <c r="L25" s="144">
        <v>1</v>
      </c>
      <c r="M25" s="144">
        <v>4</v>
      </c>
      <c r="N25" s="144">
        <v>1</v>
      </c>
      <c r="O25" s="412" t="s">
        <v>2163</v>
      </c>
      <c r="P25" s="412" t="s">
        <v>3032</v>
      </c>
      <c r="Q25" s="413"/>
      <c r="R25" s="211">
        <v>35855</v>
      </c>
      <c r="S25" s="414"/>
      <c r="T25" s="415">
        <v>1</v>
      </c>
      <c r="U25" s="62">
        <v>1</v>
      </c>
      <c r="V25" s="62"/>
      <c r="W25" s="62"/>
      <c r="X25" s="62"/>
      <c r="Y25" s="62"/>
      <c r="Z25" s="62"/>
      <c r="AA25" s="62"/>
      <c r="AB25" s="62"/>
    </row>
    <row r="26" spans="1:28" ht="15.6" customHeight="1" x14ac:dyDescent="0.2">
      <c r="A26" s="408">
        <v>25</v>
      </c>
      <c r="B26" s="409" t="str">
        <f t="shared" si="0"/>
        <v>Nerine humilis</v>
      </c>
      <c r="C26" s="410" t="s">
        <v>2760</v>
      </c>
      <c r="E26" s="75" t="s">
        <v>2922</v>
      </c>
      <c r="F26" s="75" t="s">
        <v>2923</v>
      </c>
      <c r="G26" s="411" t="s">
        <v>2924</v>
      </c>
      <c r="H26" s="66" t="s">
        <v>3225</v>
      </c>
      <c r="I26" s="144">
        <v>4</v>
      </c>
      <c r="J26" s="144">
        <v>6</v>
      </c>
      <c r="K26" s="144">
        <v>5</v>
      </c>
      <c r="L26" s="144">
        <v>9</v>
      </c>
      <c r="M26" s="144">
        <v>9</v>
      </c>
      <c r="N26" s="144">
        <v>9</v>
      </c>
      <c r="O26" s="412" t="s">
        <v>2163</v>
      </c>
      <c r="P26" s="412" t="s">
        <v>3032</v>
      </c>
      <c r="Q26" s="413"/>
      <c r="R26" s="211">
        <v>38108</v>
      </c>
      <c r="S26" s="414"/>
      <c r="T26" s="415">
        <v>1</v>
      </c>
      <c r="U26" s="62">
        <v>1</v>
      </c>
      <c r="V26" s="62"/>
      <c r="W26" s="62"/>
      <c r="X26" s="62"/>
      <c r="Y26" s="62"/>
      <c r="Z26" s="62"/>
      <c r="AA26" s="62"/>
      <c r="AB26" s="62"/>
    </row>
    <row r="27" spans="1:28" ht="15.6" customHeight="1" x14ac:dyDescent="0.2">
      <c r="A27" s="408">
        <v>26</v>
      </c>
      <c r="B27" s="409" t="str">
        <f t="shared" si="0"/>
        <v>Rhus crenata</v>
      </c>
      <c r="C27" s="410" t="s">
        <v>2768</v>
      </c>
      <c r="D27" s="75" t="s">
        <v>2263</v>
      </c>
      <c r="E27" s="75" t="s">
        <v>2769</v>
      </c>
      <c r="F27" s="75" t="s">
        <v>2770</v>
      </c>
      <c r="G27" s="411" t="s">
        <v>2850</v>
      </c>
      <c r="H27" s="66" t="s">
        <v>3226</v>
      </c>
      <c r="I27" s="144">
        <v>2</v>
      </c>
      <c r="J27" s="144">
        <v>3</v>
      </c>
      <c r="K27" s="144">
        <v>2</v>
      </c>
      <c r="L27" s="144">
        <v>1</v>
      </c>
      <c r="M27" s="144">
        <v>2</v>
      </c>
      <c r="N27" s="144">
        <v>4</v>
      </c>
      <c r="O27" s="412" t="s">
        <v>2167</v>
      </c>
      <c r="P27" s="412" t="s">
        <v>3032</v>
      </c>
      <c r="Q27" s="413"/>
      <c r="R27" s="211">
        <v>35796</v>
      </c>
      <c r="S27" s="414"/>
      <c r="T27" s="415">
        <v>1</v>
      </c>
      <c r="U27" s="62">
        <v>1</v>
      </c>
      <c r="V27" s="62"/>
      <c r="W27" s="62"/>
      <c r="X27" s="62"/>
      <c r="Y27" s="62"/>
      <c r="Z27" s="62"/>
      <c r="AA27" s="62"/>
      <c r="AB27" s="62"/>
    </row>
    <row r="28" spans="1:28" ht="15.6" customHeight="1" x14ac:dyDescent="0.2">
      <c r="A28" s="408">
        <v>27</v>
      </c>
      <c r="B28" s="409" t="str">
        <f t="shared" si="0"/>
        <v>Rhus glauca</v>
      </c>
      <c r="C28" s="410" t="s">
        <v>2768</v>
      </c>
      <c r="D28" s="75" t="s">
        <v>2264</v>
      </c>
      <c r="E28" s="75" t="s">
        <v>2769</v>
      </c>
      <c r="F28" s="75" t="s">
        <v>2771</v>
      </c>
      <c r="G28" s="411" t="s">
        <v>2851</v>
      </c>
      <c r="H28" s="66" t="s">
        <v>3226</v>
      </c>
      <c r="I28" s="144">
        <v>2</v>
      </c>
      <c r="J28" s="144">
        <v>3</v>
      </c>
      <c r="K28" s="144">
        <v>2</v>
      </c>
      <c r="L28" s="144">
        <v>1</v>
      </c>
      <c r="M28" s="144">
        <v>2</v>
      </c>
      <c r="N28" s="144">
        <v>4</v>
      </c>
      <c r="O28" s="412" t="s">
        <v>2167</v>
      </c>
      <c r="P28" s="412" t="s">
        <v>3032</v>
      </c>
      <c r="Q28" s="413"/>
      <c r="R28" s="211">
        <v>35612</v>
      </c>
      <c r="S28" s="414"/>
      <c r="T28" s="415">
        <v>1</v>
      </c>
      <c r="U28" s="62">
        <v>1</v>
      </c>
      <c r="V28" s="62"/>
      <c r="W28" s="62"/>
      <c r="X28" s="62"/>
      <c r="Y28" s="62">
        <v>1</v>
      </c>
      <c r="Z28" s="62"/>
      <c r="AA28" s="62"/>
      <c r="AB28" s="62"/>
    </row>
    <row r="29" spans="1:28" ht="15.6" customHeight="1" x14ac:dyDescent="0.2">
      <c r="A29" s="408">
        <v>28</v>
      </c>
      <c r="B29" s="409" t="str">
        <f t="shared" si="0"/>
        <v>Rhus laevigata var. laevigata</v>
      </c>
      <c r="C29" s="410" t="s">
        <v>2768</v>
      </c>
      <c r="D29" s="75" t="s">
        <v>2265</v>
      </c>
      <c r="E29" s="75" t="s">
        <v>2769</v>
      </c>
      <c r="F29" s="75" t="s">
        <v>2772</v>
      </c>
      <c r="G29" s="411" t="s">
        <v>2852</v>
      </c>
      <c r="H29" s="66" t="s">
        <v>3227</v>
      </c>
      <c r="I29" s="144">
        <v>2</v>
      </c>
      <c r="J29" s="144">
        <v>3</v>
      </c>
      <c r="K29" s="144">
        <v>2</v>
      </c>
      <c r="L29" s="144">
        <v>1</v>
      </c>
      <c r="M29" s="144">
        <v>2</v>
      </c>
      <c r="N29" s="144">
        <v>3</v>
      </c>
      <c r="O29" s="412" t="s">
        <v>2168</v>
      </c>
      <c r="P29" s="412" t="s">
        <v>3032</v>
      </c>
      <c r="Q29" s="413"/>
      <c r="R29" s="211">
        <v>35612</v>
      </c>
      <c r="S29" s="414"/>
      <c r="T29" s="415">
        <v>1</v>
      </c>
      <c r="U29" s="62">
        <v>1</v>
      </c>
      <c r="V29" s="62">
        <v>1</v>
      </c>
      <c r="W29" s="62"/>
      <c r="X29" s="62"/>
      <c r="Y29" s="62">
        <v>1</v>
      </c>
      <c r="Z29" s="62"/>
      <c r="AA29" s="62"/>
      <c r="AB29" s="62"/>
    </row>
    <row r="30" spans="1:28" ht="15.6" customHeight="1" x14ac:dyDescent="0.2">
      <c r="A30" s="408">
        <v>29</v>
      </c>
      <c r="B30" s="409" t="str">
        <f t="shared" si="0"/>
        <v>Rhus laevigata var. villosa</v>
      </c>
      <c r="C30" s="410" t="s">
        <v>2768</v>
      </c>
      <c r="D30" s="75" t="s">
        <v>2265</v>
      </c>
      <c r="E30" s="75" t="s">
        <v>2769</v>
      </c>
      <c r="F30" s="75" t="s">
        <v>2773</v>
      </c>
      <c r="G30" s="411" t="s">
        <v>2852</v>
      </c>
      <c r="H30" s="66" t="s">
        <v>3227</v>
      </c>
      <c r="I30" s="144">
        <v>2</v>
      </c>
      <c r="J30" s="144">
        <v>3</v>
      </c>
      <c r="K30" s="144">
        <v>2</v>
      </c>
      <c r="L30" s="144">
        <v>1</v>
      </c>
      <c r="M30" s="144">
        <v>2</v>
      </c>
      <c r="N30" s="144">
        <v>3</v>
      </c>
      <c r="O30" s="412" t="s">
        <v>2168</v>
      </c>
      <c r="P30" s="412" t="s">
        <v>3032</v>
      </c>
      <c r="Q30" s="413"/>
      <c r="R30" s="211">
        <v>35612</v>
      </c>
      <c r="S30" s="414"/>
      <c r="T30" s="428"/>
      <c r="U30" s="62">
        <v>1</v>
      </c>
      <c r="V30" s="62">
        <v>1</v>
      </c>
      <c r="W30" s="62"/>
      <c r="X30" s="62"/>
      <c r="Y30" s="62"/>
      <c r="Z30" s="62"/>
      <c r="AA30" s="62"/>
      <c r="AB30" s="62"/>
    </row>
    <row r="31" spans="1:28" ht="15.6" customHeight="1" x14ac:dyDescent="0.2">
      <c r="A31" s="408">
        <v>30</v>
      </c>
      <c r="B31" s="409" t="str">
        <f t="shared" si="0"/>
        <v>Rhus lucida</v>
      </c>
      <c r="C31" s="410" t="s">
        <v>2768</v>
      </c>
      <c r="D31" s="75" t="s">
        <v>2266</v>
      </c>
      <c r="E31" s="75" t="s">
        <v>2769</v>
      </c>
      <c r="F31" s="75" t="s">
        <v>2774</v>
      </c>
      <c r="G31" s="411" t="s">
        <v>2853</v>
      </c>
      <c r="H31" s="66" t="s">
        <v>3227</v>
      </c>
      <c r="I31" s="144">
        <v>2</v>
      </c>
      <c r="J31" s="144">
        <v>3</v>
      </c>
      <c r="K31" s="144">
        <v>2</v>
      </c>
      <c r="L31" s="144">
        <v>1</v>
      </c>
      <c r="M31" s="144">
        <v>2</v>
      </c>
      <c r="N31" s="144">
        <v>3</v>
      </c>
      <c r="O31" s="412" t="s">
        <v>2168</v>
      </c>
      <c r="P31" s="412" t="s">
        <v>3032</v>
      </c>
      <c r="Q31" s="413"/>
      <c r="R31" s="211">
        <v>35612</v>
      </c>
      <c r="S31" s="414"/>
      <c r="T31" s="415">
        <v>1</v>
      </c>
      <c r="U31" s="62">
        <v>1</v>
      </c>
      <c r="V31" s="62">
        <v>1</v>
      </c>
      <c r="W31" s="62">
        <v>1</v>
      </c>
      <c r="X31" s="62">
        <v>1</v>
      </c>
      <c r="Y31" s="62">
        <v>1</v>
      </c>
      <c r="Z31" s="62"/>
      <c r="AA31" s="62">
        <v>1</v>
      </c>
      <c r="AB31" s="62"/>
    </row>
    <row r="32" spans="1:28" ht="15.6" customHeight="1" x14ac:dyDescent="0.2">
      <c r="A32" s="408">
        <v>31</v>
      </c>
      <c r="B32" s="409" t="str">
        <f t="shared" si="0"/>
        <v>Rhus rosmarinifolia</v>
      </c>
      <c r="C32" s="410" t="s">
        <v>2768</v>
      </c>
      <c r="D32" s="75" t="s">
        <v>2161</v>
      </c>
      <c r="E32" s="75" t="s">
        <v>2769</v>
      </c>
      <c r="F32" s="75" t="s">
        <v>2775</v>
      </c>
      <c r="G32" s="411" t="s">
        <v>2854</v>
      </c>
      <c r="H32" s="66" t="s">
        <v>3228</v>
      </c>
      <c r="I32" s="144">
        <v>2</v>
      </c>
      <c r="J32" s="144">
        <v>5</v>
      </c>
      <c r="K32" s="144">
        <v>2</v>
      </c>
      <c r="L32" s="144">
        <v>3</v>
      </c>
      <c r="M32" s="144">
        <v>2</v>
      </c>
      <c r="N32" s="144">
        <v>3</v>
      </c>
      <c r="O32" s="412" t="s">
        <v>2168</v>
      </c>
      <c r="P32" s="412" t="s">
        <v>3032</v>
      </c>
      <c r="Q32" s="413"/>
      <c r="R32" s="211">
        <v>35612</v>
      </c>
      <c r="S32" s="414"/>
      <c r="T32" s="415">
        <v>1</v>
      </c>
      <c r="U32" s="62"/>
      <c r="V32" s="62">
        <v>1</v>
      </c>
      <c r="W32" s="62"/>
      <c r="X32" s="62">
        <v>1</v>
      </c>
      <c r="Y32" s="62"/>
      <c r="Z32" s="62"/>
      <c r="AA32" s="62"/>
      <c r="AB32" s="62"/>
    </row>
    <row r="33" spans="1:28" ht="15.6" customHeight="1" x14ac:dyDescent="0.2">
      <c r="A33" s="408">
        <v>32</v>
      </c>
      <c r="B33" s="409" t="str">
        <f t="shared" si="0"/>
        <v>Rhus tomentosa</v>
      </c>
      <c r="C33" s="410" t="s">
        <v>2768</v>
      </c>
      <c r="D33" s="75" t="s">
        <v>2267</v>
      </c>
      <c r="E33" s="75" t="s">
        <v>2769</v>
      </c>
      <c r="F33" s="75" t="s">
        <v>2776</v>
      </c>
      <c r="G33" s="411" t="s">
        <v>2855</v>
      </c>
      <c r="H33" s="66" t="s">
        <v>3227</v>
      </c>
      <c r="I33" s="144">
        <v>2</v>
      </c>
      <c r="J33" s="144">
        <v>3</v>
      </c>
      <c r="K33" s="144">
        <v>2</v>
      </c>
      <c r="L33" s="144">
        <v>1</v>
      </c>
      <c r="M33" s="144">
        <v>2</v>
      </c>
      <c r="N33" s="144">
        <v>3</v>
      </c>
      <c r="O33" s="412" t="s">
        <v>2167</v>
      </c>
      <c r="P33" s="412" t="s">
        <v>3032</v>
      </c>
      <c r="Q33" s="413"/>
      <c r="R33" s="211">
        <v>35886</v>
      </c>
      <c r="S33" s="414"/>
      <c r="T33" s="415">
        <v>1</v>
      </c>
      <c r="U33" s="62">
        <v>1</v>
      </c>
      <c r="V33" s="62"/>
      <c r="W33" s="62"/>
      <c r="X33" s="62"/>
      <c r="Y33" s="62"/>
      <c r="Z33" s="62">
        <v>1</v>
      </c>
      <c r="AA33" s="62"/>
      <c r="AB33" s="62"/>
    </row>
    <row r="34" spans="1:28" ht="15.6" customHeight="1" x14ac:dyDescent="0.2">
      <c r="A34" s="408">
        <v>33</v>
      </c>
      <c r="B34" s="409" t="str">
        <f t="shared" si="0"/>
        <v>Annesorhiza macrocarpa</v>
      </c>
      <c r="C34" s="410" t="s">
        <v>2777</v>
      </c>
      <c r="D34" s="75" t="s">
        <v>2268</v>
      </c>
      <c r="E34" s="75" t="s">
        <v>2778</v>
      </c>
      <c r="F34" s="75" t="s">
        <v>2779</v>
      </c>
      <c r="G34" s="411" t="s">
        <v>2856</v>
      </c>
      <c r="H34" s="66" t="s">
        <v>3229</v>
      </c>
      <c r="I34" s="144">
        <v>3</v>
      </c>
      <c r="J34" s="144">
        <v>4</v>
      </c>
      <c r="K34" s="144">
        <v>2</v>
      </c>
      <c r="L34" s="144">
        <v>5</v>
      </c>
      <c r="M34" s="144">
        <v>1</v>
      </c>
      <c r="N34" s="144">
        <v>2</v>
      </c>
      <c r="O34" s="412"/>
      <c r="P34" s="412" t="s">
        <v>3032</v>
      </c>
      <c r="Q34" s="413"/>
      <c r="R34" s="211">
        <v>35612</v>
      </c>
      <c r="S34" s="414"/>
      <c r="T34" s="415">
        <v>1</v>
      </c>
      <c r="U34" s="62"/>
      <c r="V34" s="62">
        <v>1</v>
      </c>
      <c r="W34" s="62"/>
      <c r="X34" s="62"/>
      <c r="Y34" s="62"/>
      <c r="Z34" s="62"/>
      <c r="AA34" s="62"/>
      <c r="AB34" s="62"/>
    </row>
    <row r="35" spans="1:28" ht="15.6" customHeight="1" x14ac:dyDescent="0.2">
      <c r="A35" s="408">
        <v>34</v>
      </c>
      <c r="B35" s="409" t="str">
        <f t="shared" si="0"/>
        <v>Arctopus echinatus</v>
      </c>
      <c r="C35" s="410" t="s">
        <v>2777</v>
      </c>
      <c r="D35" s="75" t="s">
        <v>2269</v>
      </c>
      <c r="E35" s="75" t="s">
        <v>2780</v>
      </c>
      <c r="F35" s="75" t="s">
        <v>2781</v>
      </c>
      <c r="G35" s="411" t="s">
        <v>2857</v>
      </c>
      <c r="H35" s="66" t="s">
        <v>3230</v>
      </c>
      <c r="I35" s="144">
        <v>3</v>
      </c>
      <c r="J35" s="144">
        <v>6</v>
      </c>
      <c r="K35" s="144">
        <v>5</v>
      </c>
      <c r="L35" s="144">
        <v>1</v>
      </c>
      <c r="M35" s="144">
        <v>2</v>
      </c>
      <c r="N35" s="144">
        <v>1</v>
      </c>
      <c r="O35" s="412" t="s">
        <v>2910</v>
      </c>
      <c r="P35" s="412" t="s">
        <v>3032</v>
      </c>
      <c r="Q35" s="413"/>
      <c r="R35" s="211">
        <v>35855</v>
      </c>
      <c r="S35" s="414"/>
      <c r="T35" s="415">
        <v>1</v>
      </c>
      <c r="U35" s="62"/>
      <c r="V35" s="62"/>
      <c r="W35" s="62"/>
      <c r="X35" s="62">
        <v>1</v>
      </c>
      <c r="Y35" s="62"/>
      <c r="Z35" s="62"/>
      <c r="AA35" s="62"/>
      <c r="AB35" s="62"/>
    </row>
    <row r="36" spans="1:28" ht="15.6" customHeight="1" x14ac:dyDescent="0.2">
      <c r="A36" s="408">
        <v>35</v>
      </c>
      <c r="B36" s="409" t="str">
        <f t="shared" si="0"/>
        <v>Berula erecta ssp. thunbergii</v>
      </c>
      <c r="C36" s="410" t="s">
        <v>2777</v>
      </c>
      <c r="D36" s="75" t="s">
        <v>2270</v>
      </c>
      <c r="E36" s="75" t="s">
        <v>2782</v>
      </c>
      <c r="F36" s="75" t="s">
        <v>460</v>
      </c>
      <c r="G36" s="411" t="s">
        <v>2858</v>
      </c>
      <c r="H36" s="66" t="s">
        <v>3231</v>
      </c>
      <c r="I36" s="144">
        <v>6</v>
      </c>
      <c r="J36" s="144">
        <v>5</v>
      </c>
      <c r="K36" s="144">
        <v>4</v>
      </c>
      <c r="L36" s="144">
        <v>1</v>
      </c>
      <c r="M36" s="144">
        <v>1</v>
      </c>
      <c r="N36" s="144">
        <v>4</v>
      </c>
      <c r="O36" s="412" t="s">
        <v>2910</v>
      </c>
      <c r="P36" s="412" t="s">
        <v>2915</v>
      </c>
      <c r="Q36" s="413"/>
      <c r="R36" s="211">
        <v>35947</v>
      </c>
      <c r="S36" s="414"/>
      <c r="T36" s="415">
        <v>1</v>
      </c>
      <c r="U36" s="62"/>
      <c r="V36" s="62"/>
      <c r="W36" s="62"/>
      <c r="X36" s="62"/>
      <c r="Y36" s="62"/>
      <c r="Z36" s="62"/>
      <c r="AA36" s="62">
        <v>1</v>
      </c>
      <c r="AB36" s="62"/>
    </row>
    <row r="37" spans="1:28" ht="15.6" customHeight="1" x14ac:dyDescent="0.2">
      <c r="A37" s="408">
        <v>36</v>
      </c>
      <c r="B37" s="409" t="str">
        <f t="shared" si="0"/>
        <v>Hermas villosa</v>
      </c>
      <c r="C37" s="410" t="s">
        <v>2777</v>
      </c>
      <c r="D37" s="75" t="s">
        <v>2271</v>
      </c>
      <c r="E37" s="75" t="s">
        <v>2783</v>
      </c>
      <c r="F37" s="75" t="s">
        <v>2784</v>
      </c>
      <c r="G37" s="411" t="s">
        <v>2859</v>
      </c>
      <c r="H37" s="66" t="s">
        <v>3232</v>
      </c>
      <c r="I37" s="144">
        <v>2</v>
      </c>
      <c r="J37" s="144">
        <v>5</v>
      </c>
      <c r="K37" s="144">
        <v>5</v>
      </c>
      <c r="L37" s="144">
        <v>1</v>
      </c>
      <c r="M37" s="144">
        <v>2</v>
      </c>
      <c r="N37" s="144">
        <v>2</v>
      </c>
      <c r="O37" s="412" t="s">
        <v>2168</v>
      </c>
      <c r="P37" s="412" t="s">
        <v>3032</v>
      </c>
      <c r="Q37" s="413"/>
      <c r="R37" s="211">
        <v>35612</v>
      </c>
      <c r="S37" s="414"/>
      <c r="T37" s="415">
        <v>1</v>
      </c>
      <c r="U37" s="62"/>
      <c r="V37" s="62"/>
      <c r="W37" s="62"/>
      <c r="X37" s="62">
        <v>1</v>
      </c>
      <c r="Y37" s="62"/>
      <c r="Z37" s="62"/>
      <c r="AA37" s="62"/>
      <c r="AB37" s="62"/>
    </row>
    <row r="38" spans="1:28" ht="15.6" customHeight="1" x14ac:dyDescent="0.2">
      <c r="A38" s="408">
        <v>37</v>
      </c>
      <c r="B38" s="409" t="str">
        <f t="shared" si="0"/>
        <v>Itasina filifolia</v>
      </c>
      <c r="C38" s="410" t="s">
        <v>2777</v>
      </c>
      <c r="D38" s="75" t="s">
        <v>2272</v>
      </c>
      <c r="E38" s="75" t="s">
        <v>2785</v>
      </c>
      <c r="F38" s="75" t="s">
        <v>2786</v>
      </c>
      <c r="G38" s="411" t="s">
        <v>2860</v>
      </c>
      <c r="H38" s="66" t="s">
        <v>3233</v>
      </c>
      <c r="I38" s="144">
        <v>3</v>
      </c>
      <c r="J38" s="144">
        <v>6</v>
      </c>
      <c r="K38" s="144">
        <v>0</v>
      </c>
      <c r="L38" s="144">
        <v>7</v>
      </c>
      <c r="M38" s="144">
        <v>0</v>
      </c>
      <c r="N38" s="144">
        <v>0</v>
      </c>
      <c r="O38" s="412" t="s">
        <v>2910</v>
      </c>
      <c r="P38" s="412" t="s">
        <v>3032</v>
      </c>
      <c r="Q38" s="413"/>
      <c r="R38" s="211">
        <v>36923</v>
      </c>
      <c r="S38" s="414"/>
      <c r="T38" s="415">
        <v>1</v>
      </c>
      <c r="U38" s="62"/>
      <c r="V38" s="62"/>
      <c r="W38" s="62"/>
      <c r="X38" s="62">
        <v>1</v>
      </c>
      <c r="Y38" s="62"/>
      <c r="Z38" s="62"/>
      <c r="AA38" s="62"/>
      <c r="AB38" s="62"/>
    </row>
    <row r="39" spans="1:28" ht="15.6" customHeight="1" x14ac:dyDescent="0.2">
      <c r="A39" s="408">
        <v>38</v>
      </c>
      <c r="B39" s="409" t="str">
        <f t="shared" si="0"/>
        <v>Peucedanum capillaceum</v>
      </c>
      <c r="C39" s="410" t="s">
        <v>2777</v>
      </c>
      <c r="E39" s="75" t="s">
        <v>2787</v>
      </c>
      <c r="F39" s="75" t="s">
        <v>2788</v>
      </c>
      <c r="G39" s="411" t="s">
        <v>2861</v>
      </c>
      <c r="H39" s="66" t="s">
        <v>3234</v>
      </c>
      <c r="I39" s="144">
        <v>3</v>
      </c>
      <c r="J39" s="144">
        <v>5</v>
      </c>
      <c r="K39" s="144">
        <v>2</v>
      </c>
      <c r="L39" s="144">
        <v>5</v>
      </c>
      <c r="M39" s="144">
        <v>1</v>
      </c>
      <c r="N39" s="144">
        <v>3</v>
      </c>
      <c r="O39" s="412" t="s">
        <v>2910</v>
      </c>
      <c r="P39" s="412" t="s">
        <v>3032</v>
      </c>
      <c r="Q39" s="413"/>
      <c r="R39" s="211">
        <v>36923</v>
      </c>
      <c r="S39" s="414"/>
      <c r="T39" s="415">
        <v>1</v>
      </c>
      <c r="U39" s="62"/>
      <c r="V39" s="62"/>
      <c r="W39" s="62"/>
      <c r="X39" s="62">
        <v>1</v>
      </c>
      <c r="Y39" s="62"/>
      <c r="Z39" s="62"/>
      <c r="AA39" s="62"/>
      <c r="AB39" s="62"/>
    </row>
    <row r="40" spans="1:28" ht="15.6" customHeight="1" x14ac:dyDescent="0.2">
      <c r="A40" s="408">
        <v>39</v>
      </c>
      <c r="B40" s="409" t="str">
        <f t="shared" si="0"/>
        <v>Peucedanum ferulaceum</v>
      </c>
      <c r="C40" s="410" t="s">
        <v>2777</v>
      </c>
      <c r="D40" s="75" t="s">
        <v>2273</v>
      </c>
      <c r="E40" s="75" t="s">
        <v>2787</v>
      </c>
      <c r="F40" s="75" t="s">
        <v>2789</v>
      </c>
      <c r="G40" s="411" t="s">
        <v>2862</v>
      </c>
      <c r="H40" s="66" t="s">
        <v>3229</v>
      </c>
      <c r="I40" s="144">
        <v>3</v>
      </c>
      <c r="J40" s="144">
        <v>4</v>
      </c>
      <c r="K40" s="144">
        <v>4</v>
      </c>
      <c r="L40" s="144">
        <v>5</v>
      </c>
      <c r="M40" s="144">
        <v>1</v>
      </c>
      <c r="N40" s="144">
        <v>3</v>
      </c>
      <c r="O40" s="412" t="s">
        <v>2914</v>
      </c>
      <c r="P40" s="412" t="s">
        <v>3032</v>
      </c>
      <c r="Q40" s="413"/>
      <c r="R40" s="211">
        <v>36161</v>
      </c>
      <c r="S40" s="414"/>
      <c r="T40" s="415">
        <v>1</v>
      </c>
      <c r="U40" s="62">
        <v>1</v>
      </c>
      <c r="V40" s="62"/>
      <c r="W40" s="62"/>
      <c r="X40" s="62">
        <v>1</v>
      </c>
      <c r="Y40" s="62"/>
      <c r="Z40" s="62"/>
      <c r="AA40" s="62"/>
      <c r="AB40" s="62"/>
    </row>
    <row r="41" spans="1:28" ht="15.6" customHeight="1" x14ac:dyDescent="0.2">
      <c r="A41" s="408">
        <v>40</v>
      </c>
      <c r="B41" s="409" t="str">
        <f t="shared" si="0"/>
        <v>Sonderina hispida</v>
      </c>
      <c r="C41" s="410" t="s">
        <v>2777</v>
      </c>
      <c r="E41" s="75" t="s">
        <v>2790</v>
      </c>
      <c r="F41" s="75" t="s">
        <v>2791</v>
      </c>
      <c r="G41" s="411" t="s">
        <v>2863</v>
      </c>
      <c r="H41" s="66" t="s">
        <v>3235</v>
      </c>
      <c r="I41" s="144">
        <v>6</v>
      </c>
      <c r="J41" s="144">
        <v>6</v>
      </c>
      <c r="K41" s="144">
        <v>3</v>
      </c>
      <c r="L41" s="144">
        <v>5</v>
      </c>
      <c r="M41" s="144">
        <v>1</v>
      </c>
      <c r="N41" s="144">
        <v>4</v>
      </c>
      <c r="O41" s="412" t="s">
        <v>2910</v>
      </c>
      <c r="P41" s="412" t="s">
        <v>2915</v>
      </c>
      <c r="Q41" s="413"/>
      <c r="R41" s="211">
        <v>36161</v>
      </c>
      <c r="S41" s="414"/>
      <c r="T41" s="415">
        <v>1</v>
      </c>
      <c r="U41" s="62">
        <v>1</v>
      </c>
      <c r="V41" s="62"/>
      <c r="W41" s="62">
        <v>1</v>
      </c>
      <c r="X41" s="62">
        <v>1</v>
      </c>
      <c r="Y41" s="62"/>
      <c r="Z41" s="62"/>
      <c r="AA41" s="62"/>
      <c r="AB41" s="62"/>
    </row>
    <row r="42" spans="1:28" ht="15.6" customHeight="1" x14ac:dyDescent="0.2">
      <c r="A42" s="408">
        <v>41</v>
      </c>
      <c r="B42" s="409" t="str">
        <f t="shared" si="0"/>
        <v>Sonderina tenuis</v>
      </c>
      <c r="C42" s="410" t="s">
        <v>2777</v>
      </c>
      <c r="D42" s="75" t="s">
        <v>2274</v>
      </c>
      <c r="E42" s="75" t="s">
        <v>2790</v>
      </c>
      <c r="F42" s="75" t="s">
        <v>2792</v>
      </c>
      <c r="G42" s="411" t="s">
        <v>2864</v>
      </c>
      <c r="H42" s="66" t="s">
        <v>3235</v>
      </c>
      <c r="I42" s="144">
        <v>6</v>
      </c>
      <c r="J42" s="144">
        <v>6</v>
      </c>
      <c r="K42" s="144">
        <v>3</v>
      </c>
      <c r="L42" s="144">
        <v>5</v>
      </c>
      <c r="M42" s="144">
        <v>1</v>
      </c>
      <c r="N42" s="144">
        <v>4</v>
      </c>
      <c r="O42" s="412" t="s">
        <v>2910</v>
      </c>
      <c r="P42" s="412" t="s">
        <v>2915</v>
      </c>
      <c r="Q42" s="413"/>
      <c r="R42" s="211">
        <v>36220</v>
      </c>
      <c r="S42" s="414" t="s">
        <v>2250</v>
      </c>
      <c r="T42" s="415"/>
      <c r="U42" s="62">
        <v>1</v>
      </c>
      <c r="V42" s="62"/>
      <c r="W42" s="62">
        <v>1</v>
      </c>
      <c r="X42" s="62">
        <v>1</v>
      </c>
      <c r="Y42" s="62"/>
      <c r="Z42" s="62"/>
      <c r="AA42" s="62"/>
      <c r="AB42" s="62"/>
    </row>
    <row r="43" spans="1:28" ht="15.6" customHeight="1" x14ac:dyDescent="0.2">
      <c r="A43" s="408">
        <v>42</v>
      </c>
      <c r="B43" s="409" t="str">
        <f t="shared" si="0"/>
        <v>Astephanus triflorus</v>
      </c>
      <c r="C43" s="410" t="s">
        <v>2793</v>
      </c>
      <c r="E43" s="75" t="s">
        <v>2794</v>
      </c>
      <c r="F43" s="75" t="s">
        <v>2795</v>
      </c>
      <c r="G43" s="411" t="s">
        <v>2865</v>
      </c>
      <c r="H43" s="66" t="s">
        <v>3236</v>
      </c>
      <c r="I43" s="144">
        <v>7</v>
      </c>
      <c r="J43" s="144">
        <v>5</v>
      </c>
      <c r="K43" s="144">
        <v>3</v>
      </c>
      <c r="L43" s="144">
        <v>2</v>
      </c>
      <c r="M43" s="144">
        <v>1</v>
      </c>
      <c r="N43" s="144">
        <v>4</v>
      </c>
      <c r="O43" s="412" t="s">
        <v>1657</v>
      </c>
      <c r="P43" s="412" t="s">
        <v>3032</v>
      </c>
      <c r="Q43" s="413"/>
      <c r="R43" s="211">
        <v>37073</v>
      </c>
      <c r="S43" s="414"/>
      <c r="T43" s="415">
        <v>1</v>
      </c>
      <c r="U43" s="62"/>
      <c r="V43" s="62"/>
      <c r="W43" s="62"/>
      <c r="X43" s="62">
        <v>1</v>
      </c>
      <c r="Y43" s="62"/>
      <c r="Z43" s="62"/>
      <c r="AA43" s="62"/>
      <c r="AB43" s="62"/>
    </row>
    <row r="44" spans="1:28" ht="15.6" customHeight="1" x14ac:dyDescent="0.2">
      <c r="A44" s="408">
        <v>43</v>
      </c>
      <c r="B44" s="409" t="str">
        <f t="shared" si="0"/>
        <v>Cynanchum africanum</v>
      </c>
      <c r="C44" s="410" t="s">
        <v>2793</v>
      </c>
      <c r="D44" s="75" t="s">
        <v>2296</v>
      </c>
      <c r="E44" s="75" t="s">
        <v>2796</v>
      </c>
      <c r="F44" s="75" t="s">
        <v>2797</v>
      </c>
      <c r="G44" s="411" t="s">
        <v>2866</v>
      </c>
      <c r="H44" s="66" t="s">
        <v>3237</v>
      </c>
      <c r="I44" s="144">
        <v>7</v>
      </c>
      <c r="J44" s="144">
        <v>5</v>
      </c>
      <c r="K44" s="144">
        <v>3</v>
      </c>
      <c r="L44" s="144">
        <v>3</v>
      </c>
      <c r="M44" s="144">
        <v>2</v>
      </c>
      <c r="N44" s="144">
        <v>3</v>
      </c>
      <c r="O44" s="412" t="s">
        <v>1657</v>
      </c>
      <c r="P44" s="412" t="s">
        <v>3032</v>
      </c>
      <c r="Q44" s="413"/>
      <c r="R44" s="211">
        <v>35612</v>
      </c>
      <c r="S44" s="414"/>
      <c r="T44" s="415">
        <v>1</v>
      </c>
      <c r="U44" s="62">
        <v>1</v>
      </c>
      <c r="V44" s="62"/>
      <c r="W44" s="62"/>
      <c r="X44" s="62">
        <v>1</v>
      </c>
      <c r="Y44" s="62"/>
      <c r="Z44" s="62"/>
      <c r="AA44" s="62"/>
      <c r="AB44" s="62"/>
    </row>
    <row r="45" spans="1:28" ht="15.6" customHeight="1" x14ac:dyDescent="0.2">
      <c r="A45" s="408">
        <v>44</v>
      </c>
      <c r="B45" s="409" t="str">
        <f t="shared" si="0"/>
        <v>Cynanchum obtusifolium</v>
      </c>
      <c r="C45" s="410" t="s">
        <v>2793</v>
      </c>
      <c r="D45" s="75" t="s">
        <v>2297</v>
      </c>
      <c r="E45" s="75" t="s">
        <v>2796</v>
      </c>
      <c r="F45" s="75" t="s">
        <v>2798</v>
      </c>
      <c r="G45" s="411" t="s">
        <v>2867</v>
      </c>
      <c r="H45" s="66" t="s">
        <v>3238</v>
      </c>
      <c r="I45" s="144">
        <v>7</v>
      </c>
      <c r="J45" s="144">
        <v>3</v>
      </c>
      <c r="K45" s="144">
        <v>3</v>
      </c>
      <c r="L45" s="144">
        <v>1</v>
      </c>
      <c r="M45" s="144">
        <v>2</v>
      </c>
      <c r="N45" s="144">
        <v>3</v>
      </c>
      <c r="O45" s="412" t="s">
        <v>2169</v>
      </c>
      <c r="P45" s="412" t="s">
        <v>3032</v>
      </c>
      <c r="Q45" s="413"/>
      <c r="R45" s="211">
        <v>35612</v>
      </c>
      <c r="S45" s="414" t="s">
        <v>2250</v>
      </c>
      <c r="T45" s="415"/>
      <c r="U45" s="62"/>
      <c r="V45" s="62">
        <v>1</v>
      </c>
      <c r="W45" s="62"/>
      <c r="X45" s="62"/>
      <c r="Y45" s="62">
        <v>1</v>
      </c>
      <c r="Z45" s="62">
        <v>1</v>
      </c>
      <c r="AA45" s="62"/>
      <c r="AB45" s="62"/>
    </row>
    <row r="46" spans="1:28" ht="15.6" customHeight="1" x14ac:dyDescent="0.2">
      <c r="A46" s="408">
        <v>45</v>
      </c>
      <c r="B46" s="409" t="str">
        <f t="shared" si="0"/>
        <v>Gomphocarpus fruticosus</v>
      </c>
      <c r="C46" s="410" t="s">
        <v>2793</v>
      </c>
      <c r="D46" s="75" t="s">
        <v>2298</v>
      </c>
      <c r="E46" s="75" t="s">
        <v>2799</v>
      </c>
      <c r="F46" s="75" t="s">
        <v>2800</v>
      </c>
      <c r="G46" s="411" t="s">
        <v>2868</v>
      </c>
      <c r="H46" s="66" t="s">
        <v>3239</v>
      </c>
      <c r="I46" s="144">
        <v>2</v>
      </c>
      <c r="J46" s="144">
        <v>4</v>
      </c>
      <c r="K46" s="144">
        <v>2</v>
      </c>
      <c r="L46" s="144">
        <v>2</v>
      </c>
      <c r="M46" s="144">
        <v>1</v>
      </c>
      <c r="N46" s="144">
        <v>2</v>
      </c>
      <c r="O46" s="412" t="s">
        <v>2168</v>
      </c>
      <c r="P46" s="412" t="s">
        <v>3032</v>
      </c>
      <c r="Q46" s="413"/>
      <c r="R46" s="211">
        <v>35855</v>
      </c>
      <c r="S46" s="414"/>
      <c r="T46" s="415">
        <v>1</v>
      </c>
      <c r="U46" s="429"/>
      <c r="V46" s="62"/>
      <c r="W46" s="62"/>
      <c r="X46" s="62"/>
      <c r="Y46" s="62"/>
      <c r="Z46" s="62"/>
      <c r="AA46" s="62"/>
      <c r="AB46" s="62"/>
    </row>
    <row r="47" spans="1:28" ht="15.6" customHeight="1" x14ac:dyDescent="0.2">
      <c r="A47" s="408">
        <v>46</v>
      </c>
      <c r="B47" s="409" t="str">
        <f t="shared" si="0"/>
        <v>Microloma sagittatum</v>
      </c>
      <c r="C47" s="410" t="s">
        <v>2793</v>
      </c>
      <c r="D47" s="75" t="s">
        <v>2299</v>
      </c>
      <c r="E47" s="75" t="s">
        <v>2801</v>
      </c>
      <c r="F47" s="75" t="s">
        <v>2802</v>
      </c>
      <c r="G47" s="411" t="s">
        <v>2869</v>
      </c>
      <c r="H47" s="66" t="s">
        <v>3240</v>
      </c>
      <c r="I47" s="144">
        <v>7</v>
      </c>
      <c r="J47" s="144">
        <v>5</v>
      </c>
      <c r="K47" s="144">
        <v>3</v>
      </c>
      <c r="L47" s="144">
        <v>2</v>
      </c>
      <c r="M47" s="144">
        <v>2</v>
      </c>
      <c r="N47" s="144">
        <v>4</v>
      </c>
      <c r="O47" s="412" t="s">
        <v>2169</v>
      </c>
      <c r="P47" s="412" t="s">
        <v>3032</v>
      </c>
      <c r="Q47" s="413"/>
      <c r="R47" s="211">
        <v>36404</v>
      </c>
      <c r="S47" s="414"/>
      <c r="T47" s="415">
        <v>1</v>
      </c>
      <c r="U47" s="62">
        <v>1</v>
      </c>
      <c r="V47" s="62"/>
      <c r="W47" s="62">
        <v>1</v>
      </c>
      <c r="X47" s="62">
        <v>1</v>
      </c>
      <c r="Y47" s="62"/>
      <c r="Z47" s="62"/>
      <c r="AA47" s="62"/>
      <c r="AB47" s="62"/>
    </row>
    <row r="48" spans="1:28" ht="15.6" customHeight="1" x14ac:dyDescent="0.2">
      <c r="A48" s="408">
        <v>47</v>
      </c>
      <c r="B48" s="409" t="str">
        <f t="shared" si="0"/>
        <v>Microloma tenuifolium</v>
      </c>
      <c r="C48" s="410" t="s">
        <v>2793</v>
      </c>
      <c r="D48" s="75" t="s">
        <v>2300</v>
      </c>
      <c r="E48" s="75" t="s">
        <v>2801</v>
      </c>
      <c r="F48" s="75" t="s">
        <v>2803</v>
      </c>
      <c r="G48" s="411" t="s">
        <v>2870</v>
      </c>
      <c r="H48" s="66" t="s">
        <v>3238</v>
      </c>
      <c r="I48" s="144">
        <v>7</v>
      </c>
      <c r="J48" s="144">
        <v>5</v>
      </c>
      <c r="K48" s="144">
        <v>3</v>
      </c>
      <c r="L48" s="144">
        <v>2</v>
      </c>
      <c r="M48" s="144">
        <v>2</v>
      </c>
      <c r="N48" s="144">
        <v>2</v>
      </c>
      <c r="O48" s="412" t="s">
        <v>2169</v>
      </c>
      <c r="P48" s="412" t="s">
        <v>3032</v>
      </c>
      <c r="Q48" s="413"/>
      <c r="R48" s="211">
        <v>36039</v>
      </c>
      <c r="S48" s="414" t="s">
        <v>2250</v>
      </c>
      <c r="T48" s="415"/>
      <c r="U48" s="62">
        <v>1</v>
      </c>
      <c r="V48" s="62"/>
      <c r="W48" s="62">
        <v>1</v>
      </c>
      <c r="X48" s="62">
        <v>1</v>
      </c>
      <c r="Y48" s="62"/>
      <c r="Z48" s="62"/>
      <c r="AA48" s="62"/>
      <c r="AB48" s="62"/>
    </row>
    <row r="49" spans="1:28" ht="15.6" customHeight="1" x14ac:dyDescent="0.2">
      <c r="A49" s="408">
        <v>48</v>
      </c>
      <c r="B49" s="409" t="str">
        <f t="shared" si="0"/>
        <v>Schizoglossum aschersonianum</v>
      </c>
      <c r="C49" s="410" t="s">
        <v>2793</v>
      </c>
      <c r="E49" s="75" t="s">
        <v>2804</v>
      </c>
      <c r="F49" s="75" t="s">
        <v>2805</v>
      </c>
      <c r="G49" s="411" t="s">
        <v>2871</v>
      </c>
      <c r="H49" s="66" t="s">
        <v>3241</v>
      </c>
      <c r="I49" s="144">
        <v>3</v>
      </c>
      <c r="J49" s="144">
        <v>6</v>
      </c>
      <c r="K49" s="144">
        <v>2</v>
      </c>
      <c r="L49" s="144">
        <v>2</v>
      </c>
      <c r="M49" s="144">
        <v>1</v>
      </c>
      <c r="N49" s="144">
        <v>3</v>
      </c>
      <c r="O49" s="412"/>
      <c r="P49" s="412" t="s">
        <v>3032</v>
      </c>
      <c r="Q49" s="413"/>
      <c r="R49" s="211">
        <v>37257</v>
      </c>
      <c r="S49" s="414"/>
      <c r="T49" s="415">
        <v>1</v>
      </c>
      <c r="U49" s="62"/>
      <c r="V49" s="62"/>
      <c r="W49" s="62"/>
      <c r="X49" s="62">
        <v>1</v>
      </c>
      <c r="Y49" s="62"/>
      <c r="Z49" s="62"/>
      <c r="AA49" s="62"/>
      <c r="AB49" s="62"/>
    </row>
    <row r="50" spans="1:28" ht="15.6" customHeight="1" x14ac:dyDescent="0.2">
      <c r="A50" s="408">
        <v>49</v>
      </c>
      <c r="B50" s="409" t="str">
        <f t="shared" si="0"/>
        <v>Secamone alpini</v>
      </c>
      <c r="C50" s="410" t="s">
        <v>2793</v>
      </c>
      <c r="D50" s="75" t="s">
        <v>2297</v>
      </c>
      <c r="E50" s="75" t="s">
        <v>2806</v>
      </c>
      <c r="F50" s="75" t="s">
        <v>2807</v>
      </c>
      <c r="G50" s="411" t="s">
        <v>2872</v>
      </c>
      <c r="H50" s="66" t="s">
        <v>3242</v>
      </c>
      <c r="I50" s="144">
        <v>7</v>
      </c>
      <c r="J50" s="144">
        <v>2</v>
      </c>
      <c r="K50" s="144">
        <v>3</v>
      </c>
      <c r="L50" s="144">
        <v>1</v>
      </c>
      <c r="M50" s="144">
        <v>1</v>
      </c>
      <c r="N50" s="144">
        <v>3</v>
      </c>
      <c r="O50" s="412" t="s">
        <v>2914</v>
      </c>
      <c r="P50" s="412" t="s">
        <v>3032</v>
      </c>
      <c r="Q50" s="413"/>
      <c r="R50" s="211">
        <v>35612</v>
      </c>
      <c r="S50" s="414"/>
      <c r="T50" s="415">
        <v>1</v>
      </c>
      <c r="U50" s="62"/>
      <c r="V50" s="62"/>
      <c r="W50" s="62"/>
      <c r="X50" s="62"/>
      <c r="Y50" s="62"/>
      <c r="Z50" s="62">
        <v>1</v>
      </c>
      <c r="AA50" s="62"/>
      <c r="AB50" s="62"/>
    </row>
    <row r="51" spans="1:28" ht="15.6" customHeight="1" x14ac:dyDescent="0.2">
      <c r="A51" s="408">
        <v>50</v>
      </c>
      <c r="B51" s="409" t="str">
        <f t="shared" si="0"/>
        <v>Zantedeschia aethiopica</v>
      </c>
      <c r="C51" s="410" t="s">
        <v>2815</v>
      </c>
      <c r="D51" s="75" t="s">
        <v>2301</v>
      </c>
      <c r="E51" s="75" t="s">
        <v>2816</v>
      </c>
      <c r="F51" s="75" t="s">
        <v>2817</v>
      </c>
      <c r="G51" s="411" t="s">
        <v>2873</v>
      </c>
      <c r="H51" s="66" t="s">
        <v>3243</v>
      </c>
      <c r="I51" s="144">
        <v>4</v>
      </c>
      <c r="J51" s="144">
        <v>5</v>
      </c>
      <c r="K51" s="144">
        <v>5</v>
      </c>
      <c r="L51" s="144">
        <v>1</v>
      </c>
      <c r="M51" s="144">
        <v>2</v>
      </c>
      <c r="N51" s="144">
        <v>1</v>
      </c>
      <c r="O51" s="412" t="s">
        <v>2163</v>
      </c>
      <c r="P51" s="412" t="s">
        <v>3032</v>
      </c>
      <c r="Q51" s="413"/>
      <c r="R51" s="211">
        <v>35612</v>
      </c>
      <c r="S51" s="414"/>
      <c r="T51" s="415">
        <v>1</v>
      </c>
      <c r="U51" s="62"/>
      <c r="V51" s="62"/>
      <c r="W51" s="62"/>
      <c r="X51" s="62"/>
      <c r="Y51" s="62">
        <v>1</v>
      </c>
      <c r="Z51" s="62"/>
      <c r="AA51" s="62">
        <v>1</v>
      </c>
      <c r="AB51" s="62"/>
    </row>
    <row r="52" spans="1:28" ht="15.6" customHeight="1" x14ac:dyDescent="0.2">
      <c r="A52" s="408">
        <v>51</v>
      </c>
      <c r="B52" s="409" t="str">
        <f t="shared" si="0"/>
        <v>Centella affinis</v>
      </c>
      <c r="C52" s="410" t="s">
        <v>674</v>
      </c>
      <c r="E52" s="75" t="s">
        <v>675</v>
      </c>
      <c r="F52" s="75" t="s">
        <v>676</v>
      </c>
      <c r="G52" s="411" t="s">
        <v>2874</v>
      </c>
      <c r="H52" s="66" t="s">
        <v>3244</v>
      </c>
      <c r="I52" s="144">
        <v>3</v>
      </c>
      <c r="J52" s="144">
        <v>6</v>
      </c>
      <c r="K52" s="144">
        <v>3</v>
      </c>
      <c r="L52" s="144">
        <v>3</v>
      </c>
      <c r="M52" s="144">
        <v>1</v>
      </c>
      <c r="N52" s="144">
        <v>3</v>
      </c>
      <c r="O52" s="412" t="s">
        <v>2910</v>
      </c>
      <c r="P52" s="412" t="s">
        <v>3032</v>
      </c>
      <c r="Q52" s="413"/>
      <c r="R52" s="211">
        <v>37316</v>
      </c>
      <c r="S52" s="414"/>
      <c r="T52" s="415">
        <v>1</v>
      </c>
      <c r="U52" s="429"/>
      <c r="V52" s="62"/>
      <c r="W52" s="62"/>
      <c r="X52" s="62"/>
      <c r="Y52" s="62"/>
      <c r="Z52" s="62"/>
      <c r="AA52" s="62"/>
      <c r="AB52" s="62"/>
    </row>
    <row r="53" spans="1:28" ht="15.6" customHeight="1" x14ac:dyDescent="0.2">
      <c r="A53" s="408">
        <v>52</v>
      </c>
      <c r="B53" s="409" t="str">
        <f t="shared" si="0"/>
        <v>Centella macrocarpa</v>
      </c>
      <c r="C53" s="410" t="s">
        <v>674</v>
      </c>
      <c r="E53" s="75" t="s">
        <v>675</v>
      </c>
      <c r="F53" s="75" t="s">
        <v>2779</v>
      </c>
      <c r="G53" s="411" t="s">
        <v>2875</v>
      </c>
      <c r="H53" s="66" t="s">
        <v>3245</v>
      </c>
      <c r="I53" s="144">
        <v>3</v>
      </c>
      <c r="J53" s="144">
        <v>6</v>
      </c>
      <c r="K53" s="144">
        <v>2</v>
      </c>
      <c r="L53" s="144">
        <v>5</v>
      </c>
      <c r="M53" s="144">
        <v>2</v>
      </c>
      <c r="N53" s="144">
        <v>2</v>
      </c>
      <c r="O53" s="412" t="s">
        <v>2910</v>
      </c>
      <c r="P53" s="412" t="s">
        <v>3032</v>
      </c>
      <c r="Q53" s="413"/>
      <c r="R53" s="211">
        <v>37288</v>
      </c>
      <c r="S53" s="414"/>
      <c r="T53" s="415">
        <v>1</v>
      </c>
      <c r="U53" s="62"/>
      <c r="V53" s="62"/>
      <c r="W53" s="62"/>
      <c r="X53" s="62">
        <v>1</v>
      </c>
      <c r="Y53" s="62"/>
      <c r="Z53" s="62"/>
      <c r="AA53" s="62"/>
      <c r="AB53" s="62"/>
    </row>
    <row r="54" spans="1:28" ht="15.6" customHeight="1" x14ac:dyDescent="0.2">
      <c r="A54" s="408">
        <v>53</v>
      </c>
      <c r="B54" s="409" t="str">
        <f t="shared" si="0"/>
        <v>Centella tridentata</v>
      </c>
      <c r="C54" s="410" t="s">
        <v>674</v>
      </c>
      <c r="E54" s="75" t="s">
        <v>675</v>
      </c>
      <c r="F54" s="75" t="s">
        <v>677</v>
      </c>
      <c r="G54" s="411" t="s">
        <v>2876</v>
      </c>
      <c r="H54" s="66" t="s">
        <v>3246</v>
      </c>
      <c r="I54" s="144">
        <v>6</v>
      </c>
      <c r="J54" s="144">
        <v>6</v>
      </c>
      <c r="K54" s="144">
        <v>2</v>
      </c>
      <c r="L54" s="144">
        <v>2</v>
      </c>
      <c r="M54" s="144">
        <v>1</v>
      </c>
      <c r="N54" s="144">
        <v>3</v>
      </c>
      <c r="O54" s="412" t="s">
        <v>2910</v>
      </c>
      <c r="P54" s="412" t="s">
        <v>2170</v>
      </c>
      <c r="Q54" s="413"/>
      <c r="R54" s="211">
        <v>37591</v>
      </c>
      <c r="S54" s="414"/>
      <c r="T54" s="415">
        <v>1</v>
      </c>
      <c r="U54" s="62"/>
      <c r="V54" s="62"/>
      <c r="W54" s="62">
        <v>1</v>
      </c>
      <c r="X54" s="62">
        <v>1</v>
      </c>
      <c r="Y54" s="62"/>
      <c r="Z54" s="62"/>
      <c r="AA54" s="62"/>
      <c r="AB54" s="62"/>
    </row>
    <row r="55" spans="1:28" ht="15.6" customHeight="1" x14ac:dyDescent="0.2">
      <c r="A55" s="408">
        <v>54</v>
      </c>
      <c r="B55" s="409" t="str">
        <f t="shared" si="0"/>
        <v>Asparagus aethiopicus</v>
      </c>
      <c r="C55" s="410" t="s">
        <v>678</v>
      </c>
      <c r="D55" s="75" t="s">
        <v>2302</v>
      </c>
      <c r="E55" s="75" t="s">
        <v>679</v>
      </c>
      <c r="F55" s="75" t="s">
        <v>680</v>
      </c>
      <c r="G55" s="411" t="s">
        <v>2877</v>
      </c>
      <c r="H55" s="66" t="s">
        <v>3247</v>
      </c>
      <c r="I55" s="144">
        <v>7</v>
      </c>
      <c r="J55" s="144">
        <v>3</v>
      </c>
      <c r="K55" s="144">
        <v>3</v>
      </c>
      <c r="L55" s="144">
        <v>3</v>
      </c>
      <c r="M55" s="144">
        <v>1</v>
      </c>
      <c r="N55" s="144">
        <v>4</v>
      </c>
      <c r="O55" s="412" t="s">
        <v>2169</v>
      </c>
      <c r="P55" s="412" t="s">
        <v>3032</v>
      </c>
      <c r="Q55" s="413"/>
      <c r="R55" s="211">
        <v>35612</v>
      </c>
      <c r="S55" s="414"/>
      <c r="T55" s="415">
        <v>1</v>
      </c>
      <c r="U55" s="62"/>
      <c r="V55" s="62"/>
      <c r="W55" s="62"/>
      <c r="X55" s="62"/>
      <c r="Y55" s="62">
        <v>1</v>
      </c>
      <c r="Z55" s="62">
        <v>1</v>
      </c>
      <c r="AA55" s="62"/>
      <c r="AB55" s="62"/>
    </row>
    <row r="56" spans="1:28" ht="15.6" customHeight="1" x14ac:dyDescent="0.2">
      <c r="A56" s="408">
        <v>55</v>
      </c>
      <c r="B56" s="409" t="str">
        <f t="shared" si="0"/>
        <v>Asparagus capensis</v>
      </c>
      <c r="C56" s="410" t="s">
        <v>678</v>
      </c>
      <c r="D56" s="75" t="s">
        <v>2303</v>
      </c>
      <c r="E56" s="75" t="s">
        <v>679</v>
      </c>
      <c r="F56" s="75" t="s">
        <v>2756</v>
      </c>
      <c r="G56" s="411" t="s">
        <v>2878</v>
      </c>
      <c r="H56" s="66" t="s">
        <v>3248</v>
      </c>
      <c r="I56" s="144">
        <v>2</v>
      </c>
      <c r="J56" s="144">
        <v>5</v>
      </c>
      <c r="K56" s="144">
        <v>3</v>
      </c>
      <c r="L56" s="144">
        <v>3</v>
      </c>
      <c r="M56" s="144">
        <v>2</v>
      </c>
      <c r="N56" s="144">
        <v>5</v>
      </c>
      <c r="O56" s="412" t="s">
        <v>2168</v>
      </c>
      <c r="P56" s="412" t="s">
        <v>3032</v>
      </c>
      <c r="Q56" s="413"/>
      <c r="R56" s="211">
        <v>36617</v>
      </c>
      <c r="S56" s="414" t="s">
        <v>2250</v>
      </c>
      <c r="T56" s="415"/>
      <c r="U56" s="62"/>
      <c r="V56" s="62"/>
      <c r="W56" s="62"/>
      <c r="X56" s="62">
        <v>1</v>
      </c>
      <c r="Y56" s="62"/>
      <c r="Z56" s="62"/>
      <c r="AA56" s="62"/>
      <c r="AB56" s="62"/>
    </row>
    <row r="57" spans="1:28" ht="15.6" customHeight="1" x14ac:dyDescent="0.2">
      <c r="A57" s="408">
        <v>56</v>
      </c>
      <c r="B57" s="409" t="str">
        <f t="shared" si="0"/>
        <v>Asparagus ovatus</v>
      </c>
      <c r="C57" s="410" t="s">
        <v>678</v>
      </c>
      <c r="E57" s="75" t="s">
        <v>679</v>
      </c>
      <c r="F57" s="75" t="s">
        <v>681</v>
      </c>
      <c r="G57" s="411" t="s">
        <v>2879</v>
      </c>
      <c r="H57" s="66" t="s">
        <v>3223</v>
      </c>
      <c r="I57" s="144">
        <v>2</v>
      </c>
      <c r="J57" s="144">
        <v>5</v>
      </c>
      <c r="K57" s="144">
        <v>2</v>
      </c>
      <c r="L57" s="144">
        <v>1</v>
      </c>
      <c r="M57" s="144">
        <v>1</v>
      </c>
      <c r="N57" s="144">
        <v>3</v>
      </c>
      <c r="O57" s="412" t="s">
        <v>2914</v>
      </c>
      <c r="P57" s="412" t="s">
        <v>3032</v>
      </c>
      <c r="Q57" s="413"/>
      <c r="R57" s="211">
        <v>37196</v>
      </c>
      <c r="S57" s="414"/>
      <c r="T57" s="415">
        <v>1</v>
      </c>
      <c r="U57" s="62">
        <v>1</v>
      </c>
      <c r="V57" s="62"/>
      <c r="W57" s="62"/>
      <c r="X57" s="62"/>
      <c r="Y57" s="62"/>
      <c r="Z57" s="62"/>
      <c r="AA57" s="62"/>
      <c r="AB57" s="62"/>
    </row>
    <row r="58" spans="1:28" ht="15.6" customHeight="1" x14ac:dyDescent="0.2">
      <c r="A58" s="408">
        <v>57</v>
      </c>
      <c r="B58" s="409" t="str">
        <f t="shared" si="0"/>
        <v>Asparagus rubicundus</v>
      </c>
      <c r="C58" s="410" t="s">
        <v>678</v>
      </c>
      <c r="D58" s="75" t="s">
        <v>2304</v>
      </c>
      <c r="E58" s="75" t="s">
        <v>679</v>
      </c>
      <c r="F58" s="75" t="s">
        <v>682</v>
      </c>
      <c r="G58" s="411" t="s">
        <v>2880</v>
      </c>
      <c r="H58" s="66" t="s">
        <v>3249</v>
      </c>
      <c r="I58" s="144">
        <v>2</v>
      </c>
      <c r="J58" s="144">
        <v>4</v>
      </c>
      <c r="K58" s="144">
        <v>3</v>
      </c>
      <c r="L58" s="144">
        <v>3</v>
      </c>
      <c r="M58" s="144">
        <v>1</v>
      </c>
      <c r="N58" s="144">
        <v>5</v>
      </c>
      <c r="O58" s="412" t="s">
        <v>2914</v>
      </c>
      <c r="P58" s="412" t="s">
        <v>3032</v>
      </c>
      <c r="Q58" s="413"/>
      <c r="R58" s="211">
        <v>35612</v>
      </c>
      <c r="S58" s="414"/>
      <c r="T58" s="415">
        <v>1</v>
      </c>
      <c r="U58" s="62"/>
      <c r="V58" s="62">
        <v>1</v>
      </c>
      <c r="W58" s="62"/>
      <c r="X58" s="62"/>
      <c r="Y58" s="62"/>
      <c r="Z58" s="62"/>
      <c r="AA58" s="62"/>
      <c r="AB58" s="62"/>
    </row>
    <row r="59" spans="1:28" ht="15.6" customHeight="1" x14ac:dyDescent="0.2">
      <c r="A59" s="408">
        <v>58</v>
      </c>
      <c r="B59" s="409" t="str">
        <f t="shared" si="0"/>
        <v>Asparagus scandens</v>
      </c>
      <c r="C59" s="410" t="s">
        <v>678</v>
      </c>
      <c r="E59" s="75" t="s">
        <v>679</v>
      </c>
      <c r="F59" s="75" t="s">
        <v>683</v>
      </c>
      <c r="G59" s="411" t="s">
        <v>2881</v>
      </c>
      <c r="H59" s="66" t="s">
        <v>3250</v>
      </c>
      <c r="I59" s="144">
        <v>2</v>
      </c>
      <c r="J59" s="144">
        <v>4</v>
      </c>
      <c r="K59" s="144">
        <v>3</v>
      </c>
      <c r="L59" s="144">
        <v>2</v>
      </c>
      <c r="M59" s="144">
        <v>1</v>
      </c>
      <c r="N59" s="144">
        <v>4</v>
      </c>
      <c r="O59" s="412" t="s">
        <v>2914</v>
      </c>
      <c r="P59" s="412" t="s">
        <v>3032</v>
      </c>
      <c r="Q59" s="413"/>
      <c r="R59" s="211">
        <v>35612</v>
      </c>
      <c r="S59" s="414"/>
      <c r="T59" s="415">
        <v>1</v>
      </c>
      <c r="U59" s="62"/>
      <c r="V59" s="62"/>
      <c r="W59" s="62"/>
      <c r="X59" s="62"/>
      <c r="Y59" s="62"/>
      <c r="Z59" s="62">
        <v>1</v>
      </c>
      <c r="AA59" s="62"/>
      <c r="AB59" s="62"/>
    </row>
    <row r="60" spans="1:28" ht="15.6" customHeight="1" x14ac:dyDescent="0.2">
      <c r="A60" s="408">
        <v>59</v>
      </c>
      <c r="B60" s="409" t="str">
        <f t="shared" si="0"/>
        <v>Asparagus volubilis</v>
      </c>
      <c r="C60" s="410" t="s">
        <v>678</v>
      </c>
      <c r="E60" s="75" t="s">
        <v>679</v>
      </c>
      <c r="F60" s="75" t="s">
        <v>684</v>
      </c>
      <c r="G60" s="411" t="s">
        <v>2882</v>
      </c>
      <c r="H60" s="66" t="s">
        <v>3223</v>
      </c>
      <c r="I60" s="144">
        <v>2</v>
      </c>
      <c r="J60" s="144">
        <v>5</v>
      </c>
      <c r="K60" s="144">
        <v>3</v>
      </c>
      <c r="L60" s="144">
        <v>2</v>
      </c>
      <c r="M60" s="144">
        <v>1</v>
      </c>
      <c r="N60" s="144">
        <v>3</v>
      </c>
      <c r="O60" s="412" t="s">
        <v>2914</v>
      </c>
      <c r="P60" s="412" t="s">
        <v>3032</v>
      </c>
      <c r="Q60" s="413"/>
      <c r="R60" s="211">
        <v>36861</v>
      </c>
      <c r="S60" s="414"/>
      <c r="T60" s="415">
        <v>1</v>
      </c>
      <c r="U60" s="62"/>
      <c r="V60" s="62"/>
      <c r="W60" s="62"/>
      <c r="X60" s="62"/>
      <c r="Y60" s="62">
        <v>1</v>
      </c>
      <c r="Z60" s="62"/>
      <c r="AA60" s="62"/>
      <c r="AB60" s="62"/>
    </row>
    <row r="61" spans="1:28" ht="15.6" customHeight="1" x14ac:dyDescent="0.2">
      <c r="A61" s="408">
        <v>60</v>
      </c>
      <c r="B61" s="409" t="str">
        <f t="shared" si="0"/>
        <v>Bulbine annua</v>
      </c>
      <c r="C61" s="410" t="s">
        <v>685</v>
      </c>
      <c r="E61" s="75" t="s">
        <v>686</v>
      </c>
      <c r="F61" s="75" t="s">
        <v>687</v>
      </c>
      <c r="G61" s="411" t="s">
        <v>2883</v>
      </c>
      <c r="H61" s="66" t="s">
        <v>3246</v>
      </c>
      <c r="I61" s="144">
        <v>6</v>
      </c>
      <c r="J61" s="144">
        <v>6</v>
      </c>
      <c r="K61" s="144">
        <v>5</v>
      </c>
      <c r="L61" s="144">
        <v>2</v>
      </c>
      <c r="M61" s="144">
        <v>1</v>
      </c>
      <c r="N61" s="144">
        <v>1</v>
      </c>
      <c r="O61" s="412" t="s">
        <v>2163</v>
      </c>
      <c r="P61" s="412" t="s">
        <v>2915</v>
      </c>
      <c r="Q61" s="413"/>
      <c r="R61" s="211">
        <v>36161</v>
      </c>
      <c r="S61" s="414"/>
      <c r="T61" s="415">
        <v>1</v>
      </c>
      <c r="U61" s="62"/>
      <c r="V61" s="62"/>
      <c r="W61" s="62"/>
      <c r="X61" s="62">
        <v>1</v>
      </c>
      <c r="Y61" s="62"/>
      <c r="Z61" s="62"/>
      <c r="AA61" s="62"/>
      <c r="AB61" s="62"/>
    </row>
    <row r="62" spans="1:28" ht="15.6" customHeight="1" x14ac:dyDescent="0.2">
      <c r="A62" s="408">
        <v>61</v>
      </c>
      <c r="B62" s="409" t="str">
        <f t="shared" si="0"/>
        <v>Bulbine favosa</v>
      </c>
      <c r="C62" s="410" t="s">
        <v>685</v>
      </c>
      <c r="E62" s="75" t="s">
        <v>686</v>
      </c>
      <c r="F62" s="75" t="s">
        <v>688</v>
      </c>
      <c r="G62" s="411" t="s">
        <v>2884</v>
      </c>
      <c r="H62" s="66" t="s">
        <v>3222</v>
      </c>
      <c r="I62" s="144">
        <v>4</v>
      </c>
      <c r="J62" s="144">
        <v>6</v>
      </c>
      <c r="K62" s="144">
        <v>5</v>
      </c>
      <c r="L62" s="144">
        <v>3</v>
      </c>
      <c r="M62" s="144">
        <v>1</v>
      </c>
      <c r="N62" s="144">
        <v>1</v>
      </c>
      <c r="O62" s="412" t="s">
        <v>2163</v>
      </c>
      <c r="P62" s="412"/>
      <c r="Q62" s="413"/>
      <c r="R62" s="211">
        <v>35796</v>
      </c>
      <c r="S62" s="414" t="s">
        <v>2250</v>
      </c>
      <c r="T62" s="415"/>
      <c r="U62" s="62"/>
      <c r="V62" s="62"/>
      <c r="W62" s="62"/>
      <c r="X62" s="62">
        <v>1</v>
      </c>
      <c r="Y62" s="62"/>
      <c r="Z62" s="62"/>
      <c r="AA62" s="62"/>
      <c r="AB62" s="62"/>
    </row>
    <row r="63" spans="1:28" ht="15.6" customHeight="1" x14ac:dyDescent="0.2">
      <c r="A63" s="408">
        <v>62</v>
      </c>
      <c r="B63" s="409" t="str">
        <f t="shared" si="0"/>
        <v>Bulbine foleyi</v>
      </c>
      <c r="C63" s="410" t="s">
        <v>685</v>
      </c>
      <c r="E63" s="75" t="s">
        <v>686</v>
      </c>
      <c r="F63" s="75" t="s">
        <v>689</v>
      </c>
      <c r="G63" s="411" t="s">
        <v>2885</v>
      </c>
      <c r="H63" s="66" t="s">
        <v>3222</v>
      </c>
      <c r="I63" s="144">
        <v>4</v>
      </c>
      <c r="J63" s="144">
        <v>6</v>
      </c>
      <c r="K63" s="144">
        <v>5</v>
      </c>
      <c r="L63" s="144">
        <v>3</v>
      </c>
      <c r="M63" s="144">
        <v>1</v>
      </c>
      <c r="N63" s="144">
        <v>1</v>
      </c>
      <c r="O63" s="412" t="s">
        <v>2163</v>
      </c>
      <c r="P63" s="412"/>
      <c r="Q63" s="413"/>
      <c r="R63" s="211">
        <v>36192</v>
      </c>
      <c r="S63" s="414"/>
      <c r="T63" s="415">
        <v>1</v>
      </c>
      <c r="U63" s="62"/>
      <c r="V63" s="62"/>
      <c r="W63" s="62"/>
      <c r="X63" s="62">
        <v>1</v>
      </c>
      <c r="Y63" s="62"/>
      <c r="Z63" s="62"/>
      <c r="AA63" s="62"/>
      <c r="AB63" s="62"/>
    </row>
    <row r="64" spans="1:28" ht="15.6" customHeight="1" x14ac:dyDescent="0.2">
      <c r="A64" s="408">
        <v>63</v>
      </c>
      <c r="B64" s="409" t="str">
        <f t="shared" si="0"/>
        <v>Bulbine lagopus</v>
      </c>
      <c r="C64" s="410" t="s">
        <v>685</v>
      </c>
      <c r="E64" s="75" t="s">
        <v>686</v>
      </c>
      <c r="F64" s="75" t="s">
        <v>690</v>
      </c>
      <c r="G64" s="411" t="s">
        <v>2886</v>
      </c>
      <c r="H64" s="66" t="s">
        <v>1287</v>
      </c>
      <c r="I64" s="144">
        <v>4</v>
      </c>
      <c r="J64" s="144">
        <v>6</v>
      </c>
      <c r="K64" s="144">
        <v>5</v>
      </c>
      <c r="L64" s="144">
        <v>2</v>
      </c>
      <c r="M64" s="144">
        <v>1</v>
      </c>
      <c r="N64" s="144">
        <v>1</v>
      </c>
      <c r="O64" s="412" t="s">
        <v>2163</v>
      </c>
      <c r="P64" s="412"/>
      <c r="Q64" s="413"/>
      <c r="R64" s="211">
        <v>36069</v>
      </c>
      <c r="S64" s="414"/>
      <c r="T64" s="415">
        <v>1</v>
      </c>
      <c r="U64" s="62">
        <v>1</v>
      </c>
      <c r="V64" s="62"/>
      <c r="W64" s="62"/>
      <c r="X64" s="62"/>
      <c r="Y64" s="62"/>
      <c r="Z64" s="62"/>
      <c r="AA64" s="62"/>
      <c r="AB64" s="62"/>
    </row>
    <row r="65" spans="1:28" ht="15.6" customHeight="1" x14ac:dyDescent="0.2">
      <c r="A65" s="408">
        <v>64</v>
      </c>
      <c r="B65" s="409" t="str">
        <f t="shared" si="0"/>
        <v>Bulbinella triquetra</v>
      </c>
      <c r="C65" s="410" t="s">
        <v>685</v>
      </c>
      <c r="E65" s="75" t="s">
        <v>691</v>
      </c>
      <c r="F65" s="75" t="s">
        <v>692</v>
      </c>
      <c r="G65" s="411" t="s">
        <v>2887</v>
      </c>
      <c r="H65" s="66" t="s">
        <v>3251</v>
      </c>
      <c r="I65" s="144">
        <v>4</v>
      </c>
      <c r="J65" s="144">
        <v>6</v>
      </c>
      <c r="K65" s="144">
        <v>5</v>
      </c>
      <c r="L65" s="144">
        <v>3</v>
      </c>
      <c r="M65" s="144">
        <v>1</v>
      </c>
      <c r="N65" s="144">
        <v>2</v>
      </c>
      <c r="O65" s="412" t="s">
        <v>2163</v>
      </c>
      <c r="P65" s="412"/>
      <c r="Q65" s="413"/>
      <c r="R65" s="211">
        <v>36465</v>
      </c>
      <c r="S65" s="414"/>
      <c r="T65" s="415">
        <v>1</v>
      </c>
      <c r="U65" s="62"/>
      <c r="V65" s="62"/>
      <c r="W65" s="62"/>
      <c r="X65" s="62">
        <v>1</v>
      </c>
      <c r="Y65" s="62"/>
      <c r="Z65" s="62"/>
      <c r="AA65" s="62"/>
      <c r="AB65" s="62"/>
    </row>
    <row r="66" spans="1:28" ht="15.6" customHeight="1" x14ac:dyDescent="0.2">
      <c r="A66" s="408">
        <v>65</v>
      </c>
      <c r="B66" s="409" t="str">
        <f t="shared" ref="B66:B129" si="1">E66&amp;" "&amp;F66</f>
        <v>Kniphofia uvaria</v>
      </c>
      <c r="C66" s="410" t="s">
        <v>685</v>
      </c>
      <c r="D66" s="75" t="s">
        <v>2305</v>
      </c>
      <c r="E66" s="75" t="s">
        <v>693</v>
      </c>
      <c r="F66" s="75" t="s">
        <v>694</v>
      </c>
      <c r="G66" s="411" t="s">
        <v>2888</v>
      </c>
      <c r="H66" s="66" t="s">
        <v>3252</v>
      </c>
      <c r="I66" s="144">
        <v>3</v>
      </c>
      <c r="J66" s="144">
        <v>5</v>
      </c>
      <c r="K66" s="144">
        <v>5</v>
      </c>
      <c r="L66" s="144">
        <v>2</v>
      </c>
      <c r="M66" s="144">
        <v>1</v>
      </c>
      <c r="N66" s="144">
        <v>1</v>
      </c>
      <c r="O66" s="412" t="s">
        <v>2163</v>
      </c>
      <c r="P66" s="412" t="s">
        <v>3032</v>
      </c>
      <c r="Q66" s="413"/>
      <c r="R66" s="211">
        <v>37257</v>
      </c>
      <c r="S66" s="414"/>
      <c r="T66" s="415">
        <v>1</v>
      </c>
      <c r="U66" s="62"/>
      <c r="V66" s="62"/>
      <c r="W66" s="62"/>
      <c r="X66" s="62">
        <v>1</v>
      </c>
      <c r="Y66" s="62"/>
      <c r="Z66" s="62"/>
      <c r="AA66" s="62"/>
      <c r="AB66" s="62"/>
    </row>
    <row r="67" spans="1:28" ht="15.6" customHeight="1" x14ac:dyDescent="0.2">
      <c r="A67" s="408">
        <v>66</v>
      </c>
      <c r="B67" s="409" t="str">
        <f t="shared" si="1"/>
        <v>Trachyandra ciliata</v>
      </c>
      <c r="C67" s="410" t="s">
        <v>685</v>
      </c>
      <c r="D67" s="75" t="s">
        <v>2306</v>
      </c>
      <c r="E67" s="75" t="s">
        <v>695</v>
      </c>
      <c r="F67" s="75" t="s">
        <v>696</v>
      </c>
      <c r="G67" s="411" t="s">
        <v>2889</v>
      </c>
      <c r="H67" s="66" t="s">
        <v>3253</v>
      </c>
      <c r="I67" s="144">
        <v>3</v>
      </c>
      <c r="J67" s="144">
        <v>6</v>
      </c>
      <c r="K67" s="144">
        <v>5</v>
      </c>
      <c r="L67" s="144">
        <v>3</v>
      </c>
      <c r="M67" s="144">
        <v>1</v>
      </c>
      <c r="N67" s="144">
        <v>1</v>
      </c>
      <c r="O67" s="412" t="s">
        <v>2163</v>
      </c>
      <c r="P67" s="412" t="s">
        <v>3032</v>
      </c>
      <c r="Q67" s="413"/>
      <c r="R67" s="211">
        <v>36861</v>
      </c>
      <c r="S67" s="414" t="s">
        <v>2250</v>
      </c>
      <c r="T67" s="415"/>
      <c r="U67" s="62">
        <v>1</v>
      </c>
      <c r="V67" s="62"/>
      <c r="W67" s="62"/>
      <c r="X67" s="62"/>
      <c r="Y67" s="62"/>
      <c r="Z67" s="62"/>
      <c r="AA67" s="62"/>
      <c r="AB67" s="62"/>
    </row>
    <row r="68" spans="1:28" ht="15.6" customHeight="1" x14ac:dyDescent="0.2">
      <c r="A68" s="408">
        <v>67</v>
      </c>
      <c r="B68" s="409" t="str">
        <f t="shared" si="1"/>
        <v>Trachyandra hirsuta</v>
      </c>
      <c r="C68" s="410" t="s">
        <v>685</v>
      </c>
      <c r="E68" s="75" t="s">
        <v>695</v>
      </c>
      <c r="F68" s="75" t="s">
        <v>697</v>
      </c>
      <c r="G68" s="411" t="s">
        <v>2890</v>
      </c>
      <c r="H68" s="66" t="s">
        <v>3252</v>
      </c>
      <c r="I68" s="144">
        <v>3</v>
      </c>
      <c r="J68" s="144">
        <v>5</v>
      </c>
      <c r="K68" s="144">
        <v>5</v>
      </c>
      <c r="L68" s="144">
        <v>2</v>
      </c>
      <c r="M68" s="144">
        <v>1</v>
      </c>
      <c r="N68" s="144">
        <v>1</v>
      </c>
      <c r="O68" s="412" t="s">
        <v>2163</v>
      </c>
      <c r="P68" s="412" t="s">
        <v>3032</v>
      </c>
      <c r="Q68" s="413"/>
      <c r="R68" s="211">
        <v>36861</v>
      </c>
      <c r="S68" s="414"/>
      <c r="T68" s="415">
        <v>1</v>
      </c>
      <c r="U68" s="62"/>
      <c r="V68" s="62"/>
      <c r="W68" s="62"/>
      <c r="X68" s="62">
        <v>1</v>
      </c>
      <c r="Y68" s="62"/>
      <c r="Z68" s="62"/>
      <c r="AA68" s="62"/>
      <c r="AB68" s="62"/>
    </row>
    <row r="69" spans="1:28" ht="15.6" customHeight="1" x14ac:dyDescent="0.2">
      <c r="A69" s="408">
        <v>68</v>
      </c>
      <c r="B69" s="409" t="str">
        <f t="shared" si="1"/>
        <v>Trachyandra revoluta</v>
      </c>
      <c r="C69" s="410" t="s">
        <v>685</v>
      </c>
      <c r="D69" s="75" t="s">
        <v>2307</v>
      </c>
      <c r="E69" s="75" t="s">
        <v>695</v>
      </c>
      <c r="F69" s="75" t="s">
        <v>698</v>
      </c>
      <c r="G69" s="411" t="s">
        <v>2891</v>
      </c>
      <c r="H69" s="66" t="s">
        <v>3254</v>
      </c>
      <c r="I69" s="144">
        <v>3</v>
      </c>
      <c r="J69" s="144">
        <v>5</v>
      </c>
      <c r="K69" s="144">
        <v>5</v>
      </c>
      <c r="L69" s="144">
        <v>3</v>
      </c>
      <c r="M69" s="144">
        <v>1</v>
      </c>
      <c r="N69" s="144">
        <v>1</v>
      </c>
      <c r="O69" s="412" t="s">
        <v>2163</v>
      </c>
      <c r="P69" s="412" t="s">
        <v>3032</v>
      </c>
      <c r="Q69" s="413"/>
      <c r="R69" s="211">
        <v>36404</v>
      </c>
      <c r="S69" s="414"/>
      <c r="T69" s="415">
        <v>1</v>
      </c>
      <c r="U69" s="62">
        <v>1</v>
      </c>
      <c r="V69" s="62"/>
      <c r="W69" s="62"/>
      <c r="X69" s="62">
        <v>1</v>
      </c>
      <c r="Y69" s="62"/>
      <c r="Z69" s="62"/>
      <c r="AA69" s="62"/>
      <c r="AB69" s="62"/>
    </row>
    <row r="70" spans="1:28" ht="15.6" customHeight="1" x14ac:dyDescent="0.2">
      <c r="A70" s="408">
        <v>69</v>
      </c>
      <c r="B70" s="409" t="str">
        <f t="shared" si="1"/>
        <v>Trachyandra tabularis</v>
      </c>
      <c r="C70" s="410" t="s">
        <v>685</v>
      </c>
      <c r="E70" s="75" t="s">
        <v>695</v>
      </c>
      <c r="F70" s="75" t="s">
        <v>699</v>
      </c>
      <c r="G70" s="411" t="s">
        <v>2892</v>
      </c>
      <c r="H70" s="66" t="s">
        <v>3255</v>
      </c>
      <c r="I70" s="144">
        <v>3</v>
      </c>
      <c r="J70" s="144">
        <v>4</v>
      </c>
      <c r="K70" s="144">
        <v>5</v>
      </c>
      <c r="L70" s="144">
        <v>3</v>
      </c>
      <c r="M70" s="144">
        <v>1</v>
      </c>
      <c r="N70" s="144">
        <v>1</v>
      </c>
      <c r="O70" s="412" t="s">
        <v>2163</v>
      </c>
      <c r="P70" s="412" t="s">
        <v>3032</v>
      </c>
      <c r="Q70" s="413"/>
      <c r="R70" s="211">
        <v>37408</v>
      </c>
      <c r="S70" s="414" t="s">
        <v>2690</v>
      </c>
      <c r="T70" s="415"/>
      <c r="U70" s="62"/>
      <c r="V70" s="62"/>
      <c r="W70" s="62"/>
      <c r="X70" s="62"/>
      <c r="Y70" s="62"/>
      <c r="Z70" s="62"/>
      <c r="AA70" s="62"/>
      <c r="AB70" s="62"/>
    </row>
    <row r="71" spans="1:28" ht="15.6" customHeight="1" x14ac:dyDescent="0.2">
      <c r="A71" s="408">
        <v>70</v>
      </c>
      <c r="B71" s="409" t="str">
        <f t="shared" si="1"/>
        <v>Asplenium adiantum-nigrum</v>
      </c>
      <c r="C71" s="410" t="s">
        <v>700</v>
      </c>
      <c r="E71" s="75" t="s">
        <v>701</v>
      </c>
      <c r="F71" s="75" t="s">
        <v>702</v>
      </c>
      <c r="G71" s="411" t="s">
        <v>2893</v>
      </c>
      <c r="H71" s="66" t="s">
        <v>3244</v>
      </c>
      <c r="I71" s="144">
        <v>3</v>
      </c>
      <c r="J71" s="144">
        <v>6</v>
      </c>
      <c r="K71" s="144">
        <v>3</v>
      </c>
      <c r="L71" s="144">
        <v>4</v>
      </c>
      <c r="M71" s="144">
        <v>1</v>
      </c>
      <c r="N71" s="144">
        <v>2</v>
      </c>
      <c r="O71" s="412" t="s">
        <v>2171</v>
      </c>
      <c r="P71" s="412" t="s">
        <v>3032</v>
      </c>
      <c r="Q71" s="413"/>
      <c r="R71" s="211">
        <v>35612</v>
      </c>
      <c r="S71" s="414"/>
      <c r="T71" s="415">
        <v>1</v>
      </c>
      <c r="U71" s="62"/>
      <c r="V71" s="62"/>
      <c r="W71" s="62"/>
      <c r="X71" s="62"/>
      <c r="Y71" s="62"/>
      <c r="Z71" s="62">
        <v>1</v>
      </c>
      <c r="AA71" s="62"/>
      <c r="AB71" s="62"/>
    </row>
    <row r="72" spans="1:28" ht="15.6" customHeight="1" x14ac:dyDescent="0.2">
      <c r="A72" s="408">
        <v>71</v>
      </c>
      <c r="B72" s="409" t="str">
        <f t="shared" si="1"/>
        <v>Arctotheca calendula</v>
      </c>
      <c r="C72" s="410" t="s">
        <v>703</v>
      </c>
      <c r="D72" s="75" t="s">
        <v>2308</v>
      </c>
      <c r="E72" s="75" t="s">
        <v>704</v>
      </c>
      <c r="F72" s="75" t="s">
        <v>705</v>
      </c>
      <c r="G72" s="411" t="s">
        <v>2894</v>
      </c>
      <c r="H72" s="66" t="s">
        <v>3256</v>
      </c>
      <c r="I72" s="144">
        <v>6</v>
      </c>
      <c r="J72" s="144">
        <v>6</v>
      </c>
      <c r="K72" s="144">
        <v>4</v>
      </c>
      <c r="L72" s="144">
        <v>2</v>
      </c>
      <c r="M72" s="144">
        <v>1</v>
      </c>
      <c r="N72" s="144">
        <v>4</v>
      </c>
      <c r="O72" s="412" t="s">
        <v>2910</v>
      </c>
      <c r="P72" s="412" t="s">
        <v>2915</v>
      </c>
      <c r="Q72" s="413"/>
      <c r="R72" s="211">
        <v>36617</v>
      </c>
      <c r="S72" s="414"/>
      <c r="T72" s="415">
        <v>1</v>
      </c>
      <c r="U72" s="62">
        <v>1</v>
      </c>
      <c r="V72" s="62"/>
      <c r="W72" s="62"/>
      <c r="X72" s="62"/>
      <c r="Y72" s="62"/>
      <c r="Z72" s="62"/>
      <c r="AA72" s="62"/>
      <c r="AB72" s="62"/>
    </row>
    <row r="73" spans="1:28" ht="15.6" customHeight="1" x14ac:dyDescent="0.2">
      <c r="A73" s="408">
        <v>72</v>
      </c>
      <c r="B73" s="409" t="str">
        <f t="shared" si="1"/>
        <v>Arctotis acaulis</v>
      </c>
      <c r="C73" s="410" t="s">
        <v>703</v>
      </c>
      <c r="D73" s="75" t="s">
        <v>2162</v>
      </c>
      <c r="E73" s="75" t="s">
        <v>706</v>
      </c>
      <c r="F73" s="75" t="s">
        <v>707</v>
      </c>
      <c r="G73" s="411" t="s">
        <v>2895</v>
      </c>
      <c r="H73" s="66" t="s">
        <v>3245</v>
      </c>
      <c r="I73" s="144">
        <v>3</v>
      </c>
      <c r="J73" s="144">
        <v>6</v>
      </c>
      <c r="K73" s="144">
        <v>4</v>
      </c>
      <c r="L73" s="144">
        <v>5</v>
      </c>
      <c r="M73" s="144">
        <v>1</v>
      </c>
      <c r="N73" s="144">
        <v>2</v>
      </c>
      <c r="O73" s="412" t="s">
        <v>2910</v>
      </c>
      <c r="P73" s="412" t="s">
        <v>3032</v>
      </c>
      <c r="Q73" s="413"/>
      <c r="R73" s="211">
        <v>36130</v>
      </c>
      <c r="S73" s="414"/>
      <c r="T73" s="415">
        <v>1</v>
      </c>
      <c r="U73" s="62">
        <v>1</v>
      </c>
      <c r="V73" s="62"/>
      <c r="W73" s="62"/>
      <c r="X73" s="62">
        <v>1</v>
      </c>
      <c r="Y73" s="62"/>
      <c r="Z73" s="62"/>
      <c r="AA73" s="62"/>
      <c r="AB73" s="62"/>
    </row>
    <row r="74" spans="1:28" ht="15.6" customHeight="1" x14ac:dyDescent="0.2">
      <c r="A74" s="408">
        <v>73</v>
      </c>
      <c r="B74" s="409" t="str">
        <f t="shared" si="1"/>
        <v>Arctotis schlechteri</v>
      </c>
      <c r="C74" s="410" t="s">
        <v>703</v>
      </c>
      <c r="E74" s="75" t="s">
        <v>706</v>
      </c>
      <c r="F74" s="75" t="s">
        <v>708</v>
      </c>
      <c r="G74" s="411" t="s">
        <v>2896</v>
      </c>
      <c r="H74" s="66" t="s">
        <v>3241</v>
      </c>
      <c r="I74" s="144">
        <v>3</v>
      </c>
      <c r="J74" s="144">
        <v>6</v>
      </c>
      <c r="K74" s="144">
        <v>4</v>
      </c>
      <c r="L74" s="144">
        <v>2</v>
      </c>
      <c r="M74" s="144">
        <v>1</v>
      </c>
      <c r="N74" s="144">
        <v>3</v>
      </c>
      <c r="O74" s="412" t="s">
        <v>2910</v>
      </c>
      <c r="P74" s="412" t="s">
        <v>3032</v>
      </c>
      <c r="Q74" s="413"/>
      <c r="R74" s="211">
        <v>35947</v>
      </c>
      <c r="S74" s="414"/>
      <c r="T74" s="415">
        <v>1</v>
      </c>
      <c r="U74" s="62"/>
      <c r="V74" s="62"/>
      <c r="W74" s="62"/>
      <c r="X74" s="62">
        <v>1</v>
      </c>
      <c r="Y74" s="62"/>
      <c r="Z74" s="62"/>
      <c r="AA74" s="62"/>
      <c r="AB74" s="62"/>
    </row>
    <row r="75" spans="1:28" ht="15.6" customHeight="1" x14ac:dyDescent="0.2">
      <c r="A75" s="408">
        <v>74</v>
      </c>
      <c r="B75" s="409" t="str">
        <f t="shared" si="1"/>
        <v>Artemisia afra</v>
      </c>
      <c r="C75" s="410" t="s">
        <v>703</v>
      </c>
      <c r="D75" s="75" t="s">
        <v>2309</v>
      </c>
      <c r="E75" s="75" t="s">
        <v>709</v>
      </c>
      <c r="F75" s="75" t="s">
        <v>710</v>
      </c>
      <c r="G75" s="411" t="s">
        <v>2897</v>
      </c>
      <c r="H75" s="66" t="s">
        <v>3257</v>
      </c>
      <c r="I75" s="144">
        <v>2</v>
      </c>
      <c r="J75" s="144">
        <v>5</v>
      </c>
      <c r="K75" s="144">
        <v>3</v>
      </c>
      <c r="L75" s="144">
        <v>5</v>
      </c>
      <c r="M75" s="144">
        <v>1</v>
      </c>
      <c r="N75" s="144">
        <v>3</v>
      </c>
      <c r="O75" s="412" t="s">
        <v>2914</v>
      </c>
      <c r="P75" s="412" t="s">
        <v>3032</v>
      </c>
      <c r="Q75" s="413"/>
      <c r="R75" s="211">
        <v>35612</v>
      </c>
      <c r="S75" s="414"/>
      <c r="T75" s="415">
        <v>1</v>
      </c>
      <c r="U75" s="62">
        <v>1</v>
      </c>
      <c r="V75" s="62"/>
      <c r="W75" s="62"/>
      <c r="X75" s="62"/>
      <c r="Y75" s="62"/>
      <c r="Z75" s="62"/>
      <c r="AA75" s="62">
        <v>1</v>
      </c>
      <c r="AB75" s="62"/>
    </row>
    <row r="76" spans="1:28" ht="15.6" customHeight="1" x14ac:dyDescent="0.2">
      <c r="A76" s="408">
        <v>75</v>
      </c>
      <c r="B76" s="409" t="str">
        <f t="shared" si="1"/>
        <v>Athanasia dentata</v>
      </c>
      <c r="C76" s="410" t="s">
        <v>703</v>
      </c>
      <c r="E76" s="75" t="s">
        <v>711</v>
      </c>
      <c r="F76" s="75" t="s">
        <v>712</v>
      </c>
      <c r="G76" s="411" t="s">
        <v>2898</v>
      </c>
      <c r="H76" s="66" t="s">
        <v>3249</v>
      </c>
      <c r="I76" s="144">
        <v>2</v>
      </c>
      <c r="J76" s="144">
        <v>4</v>
      </c>
      <c r="K76" s="144">
        <v>3</v>
      </c>
      <c r="L76" s="144">
        <v>3</v>
      </c>
      <c r="M76" s="144">
        <v>1</v>
      </c>
      <c r="N76" s="144">
        <v>5</v>
      </c>
      <c r="O76" s="412" t="s">
        <v>2914</v>
      </c>
      <c r="P76" s="412" t="s">
        <v>3032</v>
      </c>
      <c r="Q76" s="413"/>
      <c r="R76" s="211">
        <v>35612</v>
      </c>
      <c r="S76" s="414"/>
      <c r="T76" s="415">
        <v>1</v>
      </c>
      <c r="U76" s="62">
        <v>1</v>
      </c>
      <c r="V76" s="62">
        <v>1</v>
      </c>
      <c r="W76" s="62"/>
      <c r="X76" s="62">
        <v>1</v>
      </c>
      <c r="Y76" s="62"/>
      <c r="Z76" s="62"/>
      <c r="AA76" s="62"/>
      <c r="AB76" s="62"/>
    </row>
    <row r="77" spans="1:28" ht="15.6" customHeight="1" x14ac:dyDescent="0.2">
      <c r="A77" s="408">
        <v>76</v>
      </c>
      <c r="B77" s="409" t="str">
        <f t="shared" si="1"/>
        <v>Athanasia quinquedentata ssp. quinquedentata</v>
      </c>
      <c r="C77" s="410" t="s">
        <v>703</v>
      </c>
      <c r="E77" s="75" t="s">
        <v>711</v>
      </c>
      <c r="F77" s="430" t="s">
        <v>461</v>
      </c>
      <c r="G77" s="411" t="s">
        <v>2899</v>
      </c>
      <c r="H77" s="66" t="s">
        <v>3248</v>
      </c>
      <c r="I77" s="144">
        <v>2</v>
      </c>
      <c r="J77" s="144">
        <v>5</v>
      </c>
      <c r="K77" s="144">
        <v>3</v>
      </c>
      <c r="L77" s="144">
        <v>2</v>
      </c>
      <c r="M77" s="144">
        <v>1</v>
      </c>
      <c r="N77" s="144">
        <v>5</v>
      </c>
      <c r="O77" s="412" t="s">
        <v>2914</v>
      </c>
      <c r="P77" s="412" t="s">
        <v>3032</v>
      </c>
      <c r="Q77" s="413" t="s">
        <v>2703</v>
      </c>
      <c r="R77" s="211">
        <v>36923</v>
      </c>
      <c r="S77" s="414"/>
      <c r="T77" s="415">
        <v>1</v>
      </c>
      <c r="U77" s="62">
        <v>1</v>
      </c>
      <c r="V77" s="62">
        <v>1</v>
      </c>
      <c r="W77" s="62"/>
      <c r="X77" s="62">
        <v>1</v>
      </c>
      <c r="Y77" s="62"/>
      <c r="Z77" s="62"/>
      <c r="AA77" s="62"/>
      <c r="AB77" s="62"/>
    </row>
    <row r="78" spans="1:28" ht="15.6" customHeight="1" x14ac:dyDescent="0.2">
      <c r="A78" s="408">
        <v>77</v>
      </c>
      <c r="B78" s="409" t="str">
        <f t="shared" si="1"/>
        <v>Athanasia trifurcata</v>
      </c>
      <c r="C78" s="410" t="s">
        <v>703</v>
      </c>
      <c r="D78" s="75" t="s">
        <v>2310</v>
      </c>
      <c r="E78" s="75" t="s">
        <v>711</v>
      </c>
      <c r="F78" s="75" t="s">
        <v>713</v>
      </c>
      <c r="G78" s="411" t="s">
        <v>2900</v>
      </c>
      <c r="H78" s="66" t="s">
        <v>3249</v>
      </c>
      <c r="I78" s="144">
        <v>2</v>
      </c>
      <c r="J78" s="144">
        <v>4</v>
      </c>
      <c r="K78" s="144">
        <v>3</v>
      </c>
      <c r="L78" s="144">
        <v>3</v>
      </c>
      <c r="M78" s="144">
        <v>1</v>
      </c>
      <c r="N78" s="144">
        <v>5</v>
      </c>
      <c r="O78" s="412" t="s">
        <v>2168</v>
      </c>
      <c r="P78" s="412" t="s">
        <v>3032</v>
      </c>
      <c r="Q78" s="413"/>
      <c r="R78" s="211">
        <v>35612</v>
      </c>
      <c r="S78" s="414"/>
      <c r="T78" s="415">
        <v>1</v>
      </c>
      <c r="U78" s="62">
        <v>1</v>
      </c>
      <c r="V78" s="62"/>
      <c r="W78" s="62"/>
      <c r="X78" s="62"/>
      <c r="Y78" s="62"/>
      <c r="Z78" s="62"/>
      <c r="AA78" s="62"/>
      <c r="AB78" s="62"/>
    </row>
    <row r="79" spans="1:28" ht="15.6" customHeight="1" x14ac:dyDescent="0.2">
      <c r="A79" s="408">
        <v>78</v>
      </c>
      <c r="B79" s="409" t="str">
        <f t="shared" si="1"/>
        <v>Berkheya rigida</v>
      </c>
      <c r="C79" s="410" t="s">
        <v>703</v>
      </c>
      <c r="E79" s="75" t="s">
        <v>714</v>
      </c>
      <c r="F79" s="75" t="s">
        <v>715</v>
      </c>
      <c r="G79" s="411" t="s">
        <v>2901</v>
      </c>
      <c r="H79" s="66" t="s">
        <v>3252</v>
      </c>
      <c r="I79" s="144">
        <v>3</v>
      </c>
      <c r="J79" s="144">
        <v>5</v>
      </c>
      <c r="K79" s="144">
        <v>3</v>
      </c>
      <c r="L79" s="144">
        <v>2</v>
      </c>
      <c r="M79" s="144">
        <v>1</v>
      </c>
      <c r="N79" s="144">
        <v>3</v>
      </c>
      <c r="O79" s="412" t="s">
        <v>2914</v>
      </c>
      <c r="P79" s="412" t="s">
        <v>3032</v>
      </c>
      <c r="Q79" s="413"/>
      <c r="R79" s="211">
        <v>37226</v>
      </c>
      <c r="S79" s="414"/>
      <c r="T79" s="415">
        <v>1</v>
      </c>
      <c r="U79" s="62">
        <v>1</v>
      </c>
      <c r="V79" s="62"/>
      <c r="W79" s="62"/>
      <c r="X79" s="62"/>
      <c r="Y79" s="62"/>
      <c r="Z79" s="62"/>
      <c r="AA79" s="62"/>
      <c r="AB79" s="62"/>
    </row>
    <row r="80" spans="1:28" ht="15.6" customHeight="1" x14ac:dyDescent="0.2">
      <c r="A80" s="408">
        <v>79</v>
      </c>
      <c r="B80" s="409" t="str">
        <f t="shared" si="1"/>
        <v>Chrysanthemoides monilifera</v>
      </c>
      <c r="C80" s="410" t="s">
        <v>703</v>
      </c>
      <c r="D80" s="75" t="s">
        <v>2311</v>
      </c>
      <c r="E80" s="75" t="s">
        <v>716</v>
      </c>
      <c r="F80" s="75" t="s">
        <v>717</v>
      </c>
      <c r="G80" s="411" t="s">
        <v>2902</v>
      </c>
      <c r="H80" s="66" t="s">
        <v>3258</v>
      </c>
      <c r="I80" s="144">
        <v>2</v>
      </c>
      <c r="J80" s="144">
        <v>4</v>
      </c>
      <c r="K80" s="144">
        <v>3</v>
      </c>
      <c r="L80" s="144">
        <v>1</v>
      </c>
      <c r="M80" s="144">
        <v>2</v>
      </c>
      <c r="N80" s="144">
        <v>3</v>
      </c>
      <c r="O80" s="412" t="s">
        <v>2168</v>
      </c>
      <c r="P80" s="412" t="s">
        <v>3032</v>
      </c>
      <c r="Q80" s="413"/>
      <c r="R80" s="211">
        <v>35612</v>
      </c>
      <c r="S80" s="414"/>
      <c r="T80" s="415">
        <v>1</v>
      </c>
      <c r="U80" s="62">
        <v>1</v>
      </c>
      <c r="V80" s="62">
        <v>1</v>
      </c>
      <c r="W80" s="62">
        <v>1</v>
      </c>
      <c r="X80" s="62"/>
      <c r="Y80" s="62"/>
      <c r="Z80" s="62"/>
      <c r="AA80" s="62"/>
      <c r="AB80" s="62"/>
    </row>
    <row r="81" spans="1:28" ht="15.6" customHeight="1" x14ac:dyDescent="0.2">
      <c r="A81" s="408">
        <v>80</v>
      </c>
      <c r="B81" s="409" t="str">
        <f t="shared" si="1"/>
        <v>Chrysocoma coma-aurea</v>
      </c>
      <c r="C81" s="410" t="s">
        <v>703</v>
      </c>
      <c r="E81" s="75" t="s">
        <v>718</v>
      </c>
      <c r="F81" s="75" t="s">
        <v>719</v>
      </c>
      <c r="G81" s="411" t="s">
        <v>2903</v>
      </c>
      <c r="H81" s="66" t="s">
        <v>3215</v>
      </c>
      <c r="I81" s="144">
        <v>2</v>
      </c>
      <c r="J81" s="144">
        <v>6</v>
      </c>
      <c r="K81" s="144">
        <v>3</v>
      </c>
      <c r="L81" s="144">
        <v>3</v>
      </c>
      <c r="M81" s="144">
        <v>1</v>
      </c>
      <c r="N81" s="144">
        <v>5</v>
      </c>
      <c r="O81" s="412" t="s">
        <v>3031</v>
      </c>
      <c r="P81" s="412" t="s">
        <v>3032</v>
      </c>
      <c r="Q81" s="413"/>
      <c r="R81" s="211">
        <v>35612</v>
      </c>
      <c r="S81" s="414"/>
      <c r="T81" s="415">
        <v>1</v>
      </c>
      <c r="U81" s="62"/>
      <c r="V81" s="62"/>
      <c r="W81" s="62">
        <v>1</v>
      </c>
      <c r="X81" s="62">
        <v>1</v>
      </c>
      <c r="Y81" s="62"/>
      <c r="Z81" s="62"/>
      <c r="AA81" s="62"/>
      <c r="AB81" s="62"/>
    </row>
    <row r="82" spans="1:28" ht="15.6" customHeight="1" x14ac:dyDescent="0.2">
      <c r="A82" s="408">
        <v>81</v>
      </c>
      <c r="B82" s="409" t="str">
        <f t="shared" si="1"/>
        <v>Cineraria geifolia</v>
      </c>
      <c r="C82" s="410" t="s">
        <v>703</v>
      </c>
      <c r="E82" s="75" t="s">
        <v>720</v>
      </c>
      <c r="F82" s="75" t="s">
        <v>721</v>
      </c>
      <c r="G82" s="411" t="s">
        <v>2904</v>
      </c>
      <c r="H82" s="66" t="s">
        <v>3252</v>
      </c>
      <c r="I82" s="144">
        <v>3</v>
      </c>
      <c r="J82" s="144">
        <v>5</v>
      </c>
      <c r="K82" s="144">
        <v>3</v>
      </c>
      <c r="L82" s="144">
        <v>1</v>
      </c>
      <c r="M82" s="144">
        <v>1</v>
      </c>
      <c r="N82" s="144">
        <v>3</v>
      </c>
      <c r="O82" s="412" t="s">
        <v>2914</v>
      </c>
      <c r="P82" s="412" t="s">
        <v>3032</v>
      </c>
      <c r="Q82" s="413"/>
      <c r="R82" s="211">
        <v>37500</v>
      </c>
      <c r="S82" s="414"/>
      <c r="T82" s="415">
        <v>1</v>
      </c>
      <c r="U82" s="62"/>
      <c r="V82" s="62"/>
      <c r="W82" s="62">
        <v>1</v>
      </c>
      <c r="X82" s="62"/>
      <c r="Y82" s="62"/>
      <c r="Z82" s="62"/>
      <c r="AA82" s="62"/>
      <c r="AB82" s="62"/>
    </row>
    <row r="83" spans="1:28" ht="15.6" customHeight="1" x14ac:dyDescent="0.2">
      <c r="A83" s="408">
        <v>82</v>
      </c>
      <c r="B83" s="409" t="str">
        <f t="shared" si="1"/>
        <v>Corymbium africanum</v>
      </c>
      <c r="C83" s="410" t="s">
        <v>703</v>
      </c>
      <c r="D83" s="75" t="s">
        <v>2312</v>
      </c>
      <c r="E83" s="75" t="s">
        <v>724</v>
      </c>
      <c r="F83" s="75" t="s">
        <v>2797</v>
      </c>
      <c r="G83" s="411" t="s">
        <v>2905</v>
      </c>
      <c r="H83" s="66" t="s">
        <v>3253</v>
      </c>
      <c r="I83" s="144">
        <v>3</v>
      </c>
      <c r="J83" s="144">
        <v>6</v>
      </c>
      <c r="K83" s="144">
        <v>5</v>
      </c>
      <c r="L83" s="144">
        <v>3</v>
      </c>
      <c r="M83" s="144">
        <v>1</v>
      </c>
      <c r="N83" s="144">
        <v>1</v>
      </c>
      <c r="O83" s="412" t="s">
        <v>2163</v>
      </c>
      <c r="P83" s="412" t="s">
        <v>3032</v>
      </c>
      <c r="Q83" s="413" t="s">
        <v>3144</v>
      </c>
      <c r="R83" s="211">
        <v>35612</v>
      </c>
      <c r="S83" s="414"/>
      <c r="T83" s="415">
        <v>1</v>
      </c>
      <c r="U83" s="62"/>
      <c r="V83" s="62">
        <v>1</v>
      </c>
      <c r="W83" s="62"/>
      <c r="X83" s="62">
        <v>1</v>
      </c>
      <c r="Y83" s="62"/>
      <c r="Z83" s="62"/>
      <c r="AA83" s="62"/>
      <c r="AB83" s="62"/>
    </row>
    <row r="84" spans="1:28" ht="15.6" customHeight="1" x14ac:dyDescent="0.2">
      <c r="A84" s="408">
        <v>83</v>
      </c>
      <c r="B84" s="409" t="str">
        <f t="shared" si="1"/>
        <v>Cotula turbinata</v>
      </c>
      <c r="C84" s="410" t="s">
        <v>703</v>
      </c>
      <c r="D84" s="75" t="s">
        <v>2313</v>
      </c>
      <c r="E84" s="75" t="s">
        <v>725</v>
      </c>
      <c r="F84" s="75" t="s">
        <v>726</v>
      </c>
      <c r="G84" s="411" t="s">
        <v>2906</v>
      </c>
      <c r="H84" s="66" t="s">
        <v>3235</v>
      </c>
      <c r="I84" s="144">
        <v>6</v>
      </c>
      <c r="J84" s="144">
        <v>6</v>
      </c>
      <c r="K84" s="144">
        <v>4</v>
      </c>
      <c r="L84" s="144">
        <v>5</v>
      </c>
      <c r="M84" s="144">
        <v>1</v>
      </c>
      <c r="N84" s="144">
        <v>4</v>
      </c>
      <c r="O84" s="412" t="s">
        <v>2910</v>
      </c>
      <c r="P84" s="412" t="s">
        <v>2915</v>
      </c>
      <c r="Q84" s="413"/>
      <c r="R84" s="211">
        <v>35612</v>
      </c>
      <c r="S84" s="414"/>
      <c r="T84" s="415">
        <v>1</v>
      </c>
      <c r="U84" s="62">
        <v>1</v>
      </c>
      <c r="V84" s="62"/>
      <c r="W84" s="62"/>
      <c r="X84" s="62"/>
      <c r="Y84" s="62"/>
      <c r="Z84" s="62"/>
      <c r="AA84" s="62"/>
      <c r="AB84" s="62"/>
    </row>
    <row r="85" spans="1:28" ht="15.6" customHeight="1" x14ac:dyDescent="0.2">
      <c r="A85" s="408">
        <v>84</v>
      </c>
      <c r="B85" s="409" t="str">
        <f t="shared" si="1"/>
        <v>Cullumia setosa</v>
      </c>
      <c r="C85" s="410" t="s">
        <v>703</v>
      </c>
      <c r="D85" s="75" t="s">
        <v>2314</v>
      </c>
      <c r="E85" s="75" t="s">
        <v>727</v>
      </c>
      <c r="F85" s="75" t="s">
        <v>728</v>
      </c>
      <c r="G85" s="411" t="s">
        <v>2907</v>
      </c>
      <c r="H85" s="66" t="s">
        <v>3248</v>
      </c>
      <c r="I85" s="144">
        <v>2</v>
      </c>
      <c r="J85" s="144">
        <v>5</v>
      </c>
      <c r="K85" s="144">
        <v>3</v>
      </c>
      <c r="L85" s="144">
        <v>1</v>
      </c>
      <c r="M85" s="144">
        <v>2</v>
      </c>
      <c r="N85" s="144">
        <v>5</v>
      </c>
      <c r="O85" s="412" t="s">
        <v>2914</v>
      </c>
      <c r="P85" s="412" t="s">
        <v>3032</v>
      </c>
      <c r="Q85" s="413"/>
      <c r="R85" s="211">
        <v>35855</v>
      </c>
      <c r="S85" s="414"/>
      <c r="T85" s="415">
        <v>1</v>
      </c>
      <c r="U85" s="62"/>
      <c r="V85" s="62"/>
      <c r="W85" s="62"/>
      <c r="X85" s="62">
        <v>1</v>
      </c>
      <c r="Y85" s="62"/>
      <c r="Z85" s="62"/>
      <c r="AA85" s="62"/>
      <c r="AB85" s="62"/>
    </row>
    <row r="86" spans="1:28" ht="15.6" customHeight="1" x14ac:dyDescent="0.2">
      <c r="A86" s="408">
        <v>85</v>
      </c>
      <c r="B86" s="409" t="str">
        <f t="shared" si="1"/>
        <v>Cullumia squarrosa</v>
      </c>
      <c r="C86" s="410" t="s">
        <v>703</v>
      </c>
      <c r="D86" s="75" t="s">
        <v>2315</v>
      </c>
      <c r="E86" s="75" t="s">
        <v>727</v>
      </c>
      <c r="F86" s="75" t="s">
        <v>729</v>
      </c>
      <c r="G86" s="411" t="s">
        <v>2908</v>
      </c>
      <c r="H86" s="66" t="s">
        <v>3259</v>
      </c>
      <c r="I86" s="144">
        <v>2</v>
      </c>
      <c r="J86" s="144">
        <v>6</v>
      </c>
      <c r="K86" s="144">
        <v>3</v>
      </c>
      <c r="L86" s="144">
        <v>2</v>
      </c>
      <c r="M86" s="144">
        <v>2</v>
      </c>
      <c r="N86" s="144">
        <v>4</v>
      </c>
      <c r="O86" s="412" t="s">
        <v>3031</v>
      </c>
      <c r="P86" s="412" t="s">
        <v>3032</v>
      </c>
      <c r="Q86" s="413"/>
      <c r="R86" s="211">
        <v>35612</v>
      </c>
      <c r="S86" s="414"/>
      <c r="T86" s="415">
        <v>1</v>
      </c>
      <c r="U86" s="62">
        <v>1</v>
      </c>
      <c r="V86" s="62">
        <v>1</v>
      </c>
      <c r="W86" s="62"/>
      <c r="X86" s="62"/>
      <c r="Y86" s="62"/>
      <c r="Z86" s="62"/>
      <c r="AA86" s="62"/>
      <c r="AB86" s="62"/>
    </row>
    <row r="87" spans="1:28" ht="15.6" customHeight="1" x14ac:dyDescent="0.2">
      <c r="A87" s="408">
        <v>86</v>
      </c>
      <c r="B87" s="409" t="str">
        <f t="shared" si="1"/>
        <v>Dimorphotheca nudicaulis</v>
      </c>
      <c r="C87" s="410" t="s">
        <v>703</v>
      </c>
      <c r="D87" s="75" t="s">
        <v>2160</v>
      </c>
      <c r="E87" s="75" t="s">
        <v>730</v>
      </c>
      <c r="F87" s="75" t="s">
        <v>731</v>
      </c>
      <c r="G87" s="411" t="s">
        <v>2909</v>
      </c>
      <c r="H87" s="66" t="s">
        <v>3260</v>
      </c>
      <c r="I87" s="144">
        <v>2</v>
      </c>
      <c r="J87" s="144">
        <v>6</v>
      </c>
      <c r="K87" s="144">
        <v>5</v>
      </c>
      <c r="L87" s="144">
        <v>2</v>
      </c>
      <c r="M87" s="144">
        <v>1</v>
      </c>
      <c r="N87" s="144">
        <v>3</v>
      </c>
      <c r="O87" s="412" t="s">
        <v>3031</v>
      </c>
      <c r="P87" s="412" t="s">
        <v>3032</v>
      </c>
      <c r="Q87" s="413"/>
      <c r="R87" s="211">
        <v>37165</v>
      </c>
      <c r="S87" s="414"/>
      <c r="T87" s="415">
        <v>1</v>
      </c>
      <c r="U87" s="62"/>
      <c r="V87" s="62"/>
      <c r="W87" s="62"/>
      <c r="X87" s="62">
        <v>1</v>
      </c>
      <c r="Y87" s="62"/>
      <c r="Z87" s="62"/>
      <c r="AA87" s="62"/>
      <c r="AB87" s="62"/>
    </row>
    <row r="88" spans="1:28" ht="15.6" customHeight="1" x14ac:dyDescent="0.2">
      <c r="A88" s="408">
        <v>87</v>
      </c>
      <c r="B88" s="409" t="str">
        <f t="shared" si="1"/>
        <v>Disparago anomala</v>
      </c>
      <c r="C88" s="410" t="s">
        <v>703</v>
      </c>
      <c r="E88" s="75" t="s">
        <v>732</v>
      </c>
      <c r="F88" s="75" t="s">
        <v>733</v>
      </c>
      <c r="G88" s="411" t="s">
        <v>3033</v>
      </c>
      <c r="H88" s="66" t="s">
        <v>3248</v>
      </c>
      <c r="I88" s="144">
        <v>2</v>
      </c>
      <c r="J88" s="144">
        <v>5</v>
      </c>
      <c r="K88" s="144">
        <v>3</v>
      </c>
      <c r="L88" s="144">
        <v>3</v>
      </c>
      <c r="M88" s="144">
        <v>1</v>
      </c>
      <c r="N88" s="144">
        <v>5</v>
      </c>
      <c r="O88" s="412" t="s">
        <v>2914</v>
      </c>
      <c r="P88" s="412" t="s">
        <v>3032</v>
      </c>
      <c r="Q88" s="413"/>
      <c r="R88" s="211">
        <v>35612</v>
      </c>
      <c r="S88" s="414"/>
      <c r="T88" s="415">
        <v>1</v>
      </c>
      <c r="U88" s="62"/>
      <c r="V88" s="62">
        <v>1</v>
      </c>
      <c r="W88" s="62"/>
      <c r="X88" s="62"/>
      <c r="Y88" s="62"/>
      <c r="Z88" s="62"/>
      <c r="AA88" s="62"/>
      <c r="AB88" s="62"/>
    </row>
    <row r="89" spans="1:28" ht="15.6" customHeight="1" x14ac:dyDescent="0.2">
      <c r="A89" s="408">
        <v>88</v>
      </c>
      <c r="B89" s="409" t="str">
        <f t="shared" si="1"/>
        <v>Disparago ericoides</v>
      </c>
      <c r="C89" s="410" t="s">
        <v>703</v>
      </c>
      <c r="E89" s="75" t="s">
        <v>732</v>
      </c>
      <c r="F89" s="75" t="s">
        <v>734</v>
      </c>
      <c r="G89" s="411" t="s">
        <v>3034</v>
      </c>
      <c r="H89" s="66" t="s">
        <v>3215</v>
      </c>
      <c r="I89" s="144">
        <v>2</v>
      </c>
      <c r="J89" s="144">
        <v>6</v>
      </c>
      <c r="K89" s="144">
        <v>3</v>
      </c>
      <c r="L89" s="144">
        <v>3</v>
      </c>
      <c r="M89" s="144">
        <v>1</v>
      </c>
      <c r="N89" s="144">
        <v>5</v>
      </c>
      <c r="O89" s="412" t="s">
        <v>3031</v>
      </c>
      <c r="P89" s="412" t="s">
        <v>3032</v>
      </c>
      <c r="Q89" s="413"/>
      <c r="R89" s="211">
        <v>35796</v>
      </c>
      <c r="S89" s="414"/>
      <c r="T89" s="415">
        <v>1</v>
      </c>
      <c r="U89" s="62"/>
      <c r="V89" s="62"/>
      <c r="W89" s="62"/>
      <c r="X89" s="62">
        <v>1</v>
      </c>
      <c r="Y89" s="62"/>
      <c r="Z89" s="62"/>
      <c r="AA89" s="62"/>
      <c r="AB89" s="62"/>
    </row>
    <row r="90" spans="1:28" ht="15.6" customHeight="1" x14ac:dyDescent="0.2">
      <c r="A90" s="408">
        <v>89</v>
      </c>
      <c r="B90" s="409" t="str">
        <f t="shared" si="1"/>
        <v>Edmondia sesamoides</v>
      </c>
      <c r="C90" s="410" t="s">
        <v>703</v>
      </c>
      <c r="D90" s="75" t="s">
        <v>2316</v>
      </c>
      <c r="E90" s="75" t="s">
        <v>735</v>
      </c>
      <c r="F90" s="75" t="s">
        <v>736</v>
      </c>
      <c r="G90" s="411" t="s">
        <v>3035</v>
      </c>
      <c r="H90" s="66" t="s">
        <v>3215</v>
      </c>
      <c r="I90" s="144">
        <v>2</v>
      </c>
      <c r="J90" s="144">
        <v>6</v>
      </c>
      <c r="K90" s="144">
        <v>3</v>
      </c>
      <c r="L90" s="144">
        <v>6</v>
      </c>
      <c r="M90" s="144">
        <v>2</v>
      </c>
      <c r="N90" s="144">
        <v>5</v>
      </c>
      <c r="O90" s="412" t="s">
        <v>3031</v>
      </c>
      <c r="P90" s="412" t="s">
        <v>3032</v>
      </c>
      <c r="Q90" s="413"/>
      <c r="R90" s="211">
        <v>35612</v>
      </c>
      <c r="S90" s="414"/>
      <c r="T90" s="415">
        <v>1</v>
      </c>
      <c r="U90" s="62"/>
      <c r="V90" s="62"/>
      <c r="W90" s="62">
        <v>1</v>
      </c>
      <c r="X90" s="62">
        <v>1</v>
      </c>
      <c r="Y90" s="62"/>
      <c r="Z90" s="62"/>
      <c r="AA90" s="62"/>
      <c r="AB90" s="62"/>
    </row>
    <row r="91" spans="1:28" ht="15.6" customHeight="1" x14ac:dyDescent="0.2">
      <c r="A91" s="408">
        <v>90</v>
      </c>
      <c r="B91" s="409" t="str">
        <f t="shared" si="1"/>
        <v>Eriocephalus africanus</v>
      </c>
      <c r="C91" s="410" t="s">
        <v>703</v>
      </c>
      <c r="D91" s="75" t="s">
        <v>2317</v>
      </c>
      <c r="E91" s="75" t="s">
        <v>737</v>
      </c>
      <c r="F91" s="75" t="s">
        <v>2728</v>
      </c>
      <c r="G91" s="411" t="s">
        <v>3036</v>
      </c>
      <c r="H91" s="66" t="s">
        <v>3248</v>
      </c>
      <c r="I91" s="144">
        <v>2</v>
      </c>
      <c r="J91" s="144">
        <v>5</v>
      </c>
      <c r="K91" s="144">
        <v>3</v>
      </c>
      <c r="L91" s="144">
        <v>3</v>
      </c>
      <c r="M91" s="144">
        <v>1</v>
      </c>
      <c r="N91" s="144">
        <v>5</v>
      </c>
      <c r="O91" s="412" t="s">
        <v>2168</v>
      </c>
      <c r="P91" s="412" t="s">
        <v>3032</v>
      </c>
      <c r="Q91" s="413"/>
      <c r="R91" s="211">
        <v>35612</v>
      </c>
      <c r="S91" s="414"/>
      <c r="T91" s="415">
        <v>1</v>
      </c>
      <c r="U91" s="62">
        <v>1</v>
      </c>
      <c r="V91" s="62"/>
      <c r="W91" s="62"/>
      <c r="X91" s="62"/>
      <c r="Y91" s="62"/>
      <c r="Z91" s="62"/>
      <c r="AA91" s="62"/>
      <c r="AB91" s="62"/>
    </row>
    <row r="92" spans="1:28" ht="15.6" customHeight="1" x14ac:dyDescent="0.2">
      <c r="A92" s="408">
        <v>91</v>
      </c>
      <c r="B92" s="409" t="str">
        <f t="shared" si="1"/>
        <v>Eriocephalus racemosus</v>
      </c>
      <c r="C92" s="410" t="s">
        <v>703</v>
      </c>
      <c r="D92" s="75" t="s">
        <v>2158</v>
      </c>
      <c r="E92" s="75" t="s">
        <v>737</v>
      </c>
      <c r="F92" s="75" t="s">
        <v>738</v>
      </c>
      <c r="G92" s="411" t="s">
        <v>3037</v>
      </c>
      <c r="H92" s="66" t="s">
        <v>3249</v>
      </c>
      <c r="I92" s="144">
        <v>2</v>
      </c>
      <c r="J92" s="144">
        <v>4</v>
      </c>
      <c r="K92" s="144">
        <v>3</v>
      </c>
      <c r="L92" s="144">
        <v>3</v>
      </c>
      <c r="M92" s="144">
        <v>1</v>
      </c>
      <c r="N92" s="144">
        <v>5</v>
      </c>
      <c r="O92" s="412" t="s">
        <v>2168</v>
      </c>
      <c r="P92" s="412" t="s">
        <v>3032</v>
      </c>
      <c r="Q92" s="413"/>
      <c r="R92" s="211">
        <v>38292</v>
      </c>
      <c r="S92" s="414"/>
      <c r="T92" s="415">
        <v>1</v>
      </c>
      <c r="U92" s="62">
        <v>1</v>
      </c>
      <c r="V92" s="62"/>
      <c r="W92" s="62"/>
      <c r="X92" s="62"/>
      <c r="Y92" s="62"/>
      <c r="Z92" s="62"/>
      <c r="AA92" s="62"/>
      <c r="AB92" s="62"/>
    </row>
    <row r="93" spans="1:28" ht="15.6" customHeight="1" x14ac:dyDescent="0.2">
      <c r="A93" s="408">
        <v>92</v>
      </c>
      <c r="B93" s="409" t="str">
        <f t="shared" si="1"/>
        <v>Euryops abrotanifolius</v>
      </c>
      <c r="C93" s="410" t="s">
        <v>703</v>
      </c>
      <c r="D93" s="75" t="s">
        <v>2159</v>
      </c>
      <c r="E93" s="75" t="s">
        <v>739</v>
      </c>
      <c r="F93" s="75" t="s">
        <v>740</v>
      </c>
      <c r="G93" s="411" t="s">
        <v>3038</v>
      </c>
      <c r="H93" s="66" t="s">
        <v>3248</v>
      </c>
      <c r="I93" s="144">
        <v>2</v>
      </c>
      <c r="J93" s="144">
        <v>5</v>
      </c>
      <c r="K93" s="144">
        <v>3</v>
      </c>
      <c r="L93" s="144">
        <v>3</v>
      </c>
      <c r="M93" s="144">
        <v>1</v>
      </c>
      <c r="N93" s="144">
        <v>4</v>
      </c>
      <c r="O93" s="412" t="s">
        <v>2168</v>
      </c>
      <c r="P93" s="412" t="s">
        <v>3032</v>
      </c>
      <c r="Q93" s="413"/>
      <c r="R93" s="211">
        <v>35612</v>
      </c>
      <c r="S93" s="414"/>
      <c r="T93" s="415">
        <v>1</v>
      </c>
      <c r="U93" s="62"/>
      <c r="V93" s="62"/>
      <c r="W93" s="62"/>
      <c r="X93" s="62">
        <v>1</v>
      </c>
      <c r="Y93" s="62"/>
      <c r="Z93" s="62"/>
      <c r="AA93" s="62"/>
      <c r="AB93" s="62"/>
    </row>
    <row r="94" spans="1:28" ht="15.6" customHeight="1" x14ac:dyDescent="0.2">
      <c r="A94" s="408">
        <v>93</v>
      </c>
      <c r="B94" s="409" t="str">
        <f t="shared" si="1"/>
        <v>Felicia amoena ssp. latifolia</v>
      </c>
      <c r="C94" s="410" t="s">
        <v>703</v>
      </c>
      <c r="E94" s="75" t="s">
        <v>741</v>
      </c>
      <c r="F94" s="75" t="s">
        <v>462</v>
      </c>
      <c r="G94" s="411" t="s">
        <v>3039</v>
      </c>
      <c r="H94" s="66" t="s">
        <v>3256</v>
      </c>
      <c r="I94" s="144">
        <v>6</v>
      </c>
      <c r="J94" s="144">
        <v>6</v>
      </c>
      <c r="K94" s="144">
        <v>3</v>
      </c>
      <c r="L94" s="144">
        <v>2</v>
      </c>
      <c r="M94" s="144">
        <v>1</v>
      </c>
      <c r="N94" s="144">
        <v>4</v>
      </c>
      <c r="O94" s="412" t="s">
        <v>2910</v>
      </c>
      <c r="P94" s="412" t="s">
        <v>2915</v>
      </c>
      <c r="Q94" s="413"/>
      <c r="R94" s="211">
        <v>35612</v>
      </c>
      <c r="S94" s="414"/>
      <c r="T94" s="415">
        <v>1</v>
      </c>
      <c r="U94" s="62">
        <v>1</v>
      </c>
      <c r="V94" s="62"/>
      <c r="W94" s="62">
        <v>1</v>
      </c>
      <c r="X94" s="62"/>
      <c r="Y94" s="62"/>
      <c r="Z94" s="62"/>
      <c r="AA94" s="62"/>
      <c r="AB94" s="62"/>
    </row>
    <row r="95" spans="1:28" ht="15.6" customHeight="1" x14ac:dyDescent="0.2">
      <c r="A95" s="408">
        <v>94</v>
      </c>
      <c r="B95" s="409" t="str">
        <f t="shared" si="1"/>
        <v>Felicia tenella ssp. longifolia</v>
      </c>
      <c r="C95" s="410" t="s">
        <v>703</v>
      </c>
      <c r="E95" s="75" t="s">
        <v>741</v>
      </c>
      <c r="F95" s="75" t="s">
        <v>463</v>
      </c>
      <c r="G95" s="411" t="s">
        <v>3040</v>
      </c>
      <c r="H95" s="66" t="s">
        <v>3261</v>
      </c>
      <c r="I95" s="144">
        <v>6</v>
      </c>
      <c r="J95" s="144">
        <v>6</v>
      </c>
      <c r="K95" s="144">
        <v>3</v>
      </c>
      <c r="L95" s="144">
        <v>3</v>
      </c>
      <c r="M95" s="144">
        <v>2</v>
      </c>
      <c r="N95" s="144">
        <v>5</v>
      </c>
      <c r="O95" s="412" t="s">
        <v>2910</v>
      </c>
      <c r="P95" s="412" t="s">
        <v>2915</v>
      </c>
      <c r="Q95" s="413"/>
      <c r="R95" s="211">
        <v>35612</v>
      </c>
      <c r="S95" s="414"/>
      <c r="T95" s="415">
        <v>1</v>
      </c>
      <c r="U95" s="62">
        <v>1</v>
      </c>
      <c r="V95" s="62"/>
      <c r="W95" s="62"/>
      <c r="X95" s="62">
        <v>1</v>
      </c>
      <c r="Y95" s="62"/>
      <c r="Z95" s="62"/>
      <c r="AA95" s="62"/>
      <c r="AB95" s="62"/>
    </row>
    <row r="96" spans="1:28" ht="15.6" customHeight="1" x14ac:dyDescent="0.2">
      <c r="A96" s="408">
        <v>95</v>
      </c>
      <c r="B96" s="409" t="str">
        <f t="shared" si="1"/>
        <v>Gazania pectinata</v>
      </c>
      <c r="C96" s="410" t="s">
        <v>703</v>
      </c>
      <c r="E96" s="75" t="s">
        <v>744</v>
      </c>
      <c r="F96" s="75" t="s">
        <v>745</v>
      </c>
      <c r="G96" s="411" t="s">
        <v>3041</v>
      </c>
      <c r="H96" s="66" t="s">
        <v>3235</v>
      </c>
      <c r="I96" s="144">
        <v>6</v>
      </c>
      <c r="J96" s="144">
        <v>6</v>
      </c>
      <c r="K96" s="144">
        <v>4</v>
      </c>
      <c r="L96" s="144">
        <v>5</v>
      </c>
      <c r="M96" s="144">
        <v>1</v>
      </c>
      <c r="N96" s="144">
        <v>4</v>
      </c>
      <c r="O96" s="412" t="s">
        <v>2910</v>
      </c>
      <c r="P96" s="412" t="s">
        <v>2915</v>
      </c>
      <c r="Q96" s="413"/>
      <c r="R96" s="211">
        <v>35612</v>
      </c>
      <c r="S96" s="414"/>
      <c r="T96" s="415">
        <v>1</v>
      </c>
      <c r="U96" s="62">
        <v>1</v>
      </c>
      <c r="V96" s="62"/>
      <c r="W96" s="62"/>
      <c r="X96" s="62">
        <v>1</v>
      </c>
      <c r="Y96" s="62"/>
      <c r="Z96" s="62"/>
      <c r="AA96" s="62"/>
      <c r="AB96" s="62"/>
    </row>
    <row r="97" spans="1:28" ht="15.6" customHeight="1" x14ac:dyDescent="0.2">
      <c r="A97" s="408">
        <v>96</v>
      </c>
      <c r="B97" s="409" t="str">
        <f t="shared" si="1"/>
        <v>Gerbera crocea</v>
      </c>
      <c r="C97" s="410" t="s">
        <v>703</v>
      </c>
      <c r="D97" s="75" t="s">
        <v>2318</v>
      </c>
      <c r="E97" s="75" t="s">
        <v>746</v>
      </c>
      <c r="F97" s="75" t="s">
        <v>747</v>
      </c>
      <c r="G97" s="411" t="s">
        <v>3042</v>
      </c>
      <c r="H97" s="66" t="s">
        <v>3241</v>
      </c>
      <c r="I97" s="144">
        <v>3</v>
      </c>
      <c r="J97" s="144">
        <v>6</v>
      </c>
      <c r="K97" s="144">
        <v>5</v>
      </c>
      <c r="L97" s="144">
        <v>1</v>
      </c>
      <c r="M97" s="144">
        <v>1</v>
      </c>
      <c r="N97" s="144">
        <v>2</v>
      </c>
      <c r="O97" s="412" t="s">
        <v>2910</v>
      </c>
      <c r="P97" s="412" t="s">
        <v>3032</v>
      </c>
      <c r="Q97" s="413"/>
      <c r="R97" s="211">
        <v>36465</v>
      </c>
      <c r="S97" s="414"/>
      <c r="T97" s="415">
        <v>1</v>
      </c>
      <c r="U97" s="62"/>
      <c r="V97" s="62"/>
      <c r="W97" s="62"/>
      <c r="X97" s="62">
        <v>1</v>
      </c>
      <c r="Y97" s="62"/>
      <c r="Z97" s="62"/>
      <c r="AA97" s="62"/>
      <c r="AB97" s="62"/>
    </row>
    <row r="98" spans="1:28" ht="15.6" customHeight="1" x14ac:dyDescent="0.2">
      <c r="A98" s="408">
        <v>97</v>
      </c>
      <c r="B98" s="409" t="str">
        <f t="shared" si="1"/>
        <v>Gerbera tomentosa</v>
      </c>
      <c r="C98" s="410" t="s">
        <v>703</v>
      </c>
      <c r="D98" s="75" t="s">
        <v>2319</v>
      </c>
      <c r="E98" s="75" t="s">
        <v>746</v>
      </c>
      <c r="F98" s="75" t="s">
        <v>2776</v>
      </c>
      <c r="G98" s="411" t="s">
        <v>3043</v>
      </c>
      <c r="H98" s="66" t="s">
        <v>3241</v>
      </c>
      <c r="I98" s="144">
        <v>3</v>
      </c>
      <c r="J98" s="144">
        <v>6</v>
      </c>
      <c r="K98" s="144">
        <v>5</v>
      </c>
      <c r="L98" s="144">
        <v>2</v>
      </c>
      <c r="M98" s="144">
        <v>1</v>
      </c>
      <c r="N98" s="144">
        <v>1</v>
      </c>
      <c r="O98" s="412" t="s">
        <v>2914</v>
      </c>
      <c r="P98" s="412" t="s">
        <v>3032</v>
      </c>
      <c r="Q98" s="413"/>
      <c r="R98" s="211">
        <v>36923</v>
      </c>
      <c r="S98" s="414"/>
      <c r="T98" s="415">
        <v>1</v>
      </c>
      <c r="U98" s="62"/>
      <c r="V98" s="62"/>
      <c r="W98" s="62"/>
      <c r="X98" s="62">
        <v>1</v>
      </c>
      <c r="Y98" s="62"/>
      <c r="Z98" s="62"/>
      <c r="AA98" s="62"/>
      <c r="AB98" s="62"/>
    </row>
    <row r="99" spans="1:28" ht="15.6" customHeight="1" x14ac:dyDescent="0.2">
      <c r="A99" s="408">
        <v>98</v>
      </c>
      <c r="B99" s="409" t="str">
        <f t="shared" si="1"/>
        <v>Gymnodiscus capillaris</v>
      </c>
      <c r="C99" s="410" t="s">
        <v>703</v>
      </c>
      <c r="E99" s="75" t="s">
        <v>748</v>
      </c>
      <c r="F99" s="75" t="s">
        <v>749</v>
      </c>
      <c r="G99" s="411" t="s">
        <v>3044</v>
      </c>
      <c r="H99" s="66" t="s">
        <v>3246</v>
      </c>
      <c r="I99" s="144">
        <v>6</v>
      </c>
      <c r="J99" s="144">
        <v>6</v>
      </c>
      <c r="K99" s="144">
        <v>4</v>
      </c>
      <c r="L99" s="144">
        <v>2</v>
      </c>
      <c r="M99" s="144">
        <v>1</v>
      </c>
      <c r="N99" s="144">
        <v>3</v>
      </c>
      <c r="O99" s="412" t="s">
        <v>2164</v>
      </c>
      <c r="P99" s="412" t="s">
        <v>2915</v>
      </c>
      <c r="Q99" s="413"/>
      <c r="R99" s="211">
        <v>36861</v>
      </c>
      <c r="S99" s="414"/>
      <c r="T99" s="415">
        <v>1</v>
      </c>
      <c r="U99" s="62"/>
      <c r="V99" s="62"/>
      <c r="W99" s="62"/>
      <c r="X99" s="62">
        <v>1</v>
      </c>
      <c r="Y99" s="62"/>
      <c r="Z99" s="62"/>
      <c r="AA99" s="62"/>
      <c r="AB99" s="62"/>
    </row>
    <row r="100" spans="1:28" ht="15.6" customHeight="1" x14ac:dyDescent="0.2">
      <c r="A100" s="408">
        <v>99</v>
      </c>
      <c r="B100" s="409" t="str">
        <f t="shared" si="1"/>
        <v>Haplocarpha lanata</v>
      </c>
      <c r="C100" s="410" t="s">
        <v>703</v>
      </c>
      <c r="D100" s="75" t="s">
        <v>2320</v>
      </c>
      <c r="E100" s="75" t="s">
        <v>750</v>
      </c>
      <c r="F100" s="75" t="s">
        <v>751</v>
      </c>
      <c r="G100" s="411" t="s">
        <v>3045</v>
      </c>
      <c r="H100" s="66" t="s">
        <v>3244</v>
      </c>
      <c r="I100" s="144">
        <v>3</v>
      </c>
      <c r="J100" s="144">
        <v>6</v>
      </c>
      <c r="K100" s="144">
        <v>5</v>
      </c>
      <c r="L100" s="144">
        <v>4</v>
      </c>
      <c r="M100" s="144">
        <v>1</v>
      </c>
      <c r="N100" s="144">
        <v>2</v>
      </c>
      <c r="O100" s="412" t="s">
        <v>2910</v>
      </c>
      <c r="P100" s="412" t="s">
        <v>3032</v>
      </c>
      <c r="Q100" s="413"/>
      <c r="R100" s="211">
        <v>35612</v>
      </c>
      <c r="S100" s="414"/>
      <c r="T100" s="415">
        <v>1</v>
      </c>
      <c r="U100" s="62"/>
      <c r="V100" s="62">
        <v>1</v>
      </c>
      <c r="W100" s="62"/>
      <c r="X100" s="62"/>
      <c r="Y100" s="62"/>
      <c r="Z100" s="62"/>
      <c r="AA100" s="62"/>
      <c r="AB100" s="62"/>
    </row>
    <row r="101" spans="1:28" ht="15.6" customHeight="1" x14ac:dyDescent="0.2">
      <c r="A101" s="408">
        <v>100</v>
      </c>
      <c r="B101" s="409" t="str">
        <f t="shared" si="1"/>
        <v>Helichrysum crispum ssp. crassifolium</v>
      </c>
      <c r="C101" s="410" t="s">
        <v>703</v>
      </c>
      <c r="E101" s="75" t="s">
        <v>752</v>
      </c>
      <c r="F101" s="75" t="s">
        <v>464</v>
      </c>
      <c r="G101" s="411" t="s">
        <v>3046</v>
      </c>
      <c r="H101" s="66" t="s">
        <v>3262</v>
      </c>
      <c r="I101" s="144">
        <v>2</v>
      </c>
      <c r="J101" s="144">
        <v>6</v>
      </c>
      <c r="K101" s="144">
        <v>2</v>
      </c>
      <c r="L101" s="144">
        <v>2</v>
      </c>
      <c r="M101" s="144">
        <v>1</v>
      </c>
      <c r="N101" s="144">
        <v>4</v>
      </c>
      <c r="O101" s="412" t="s">
        <v>3031</v>
      </c>
      <c r="P101" s="412" t="s">
        <v>3032</v>
      </c>
      <c r="Q101" s="413"/>
      <c r="R101" s="211">
        <v>35612</v>
      </c>
      <c r="S101" s="414"/>
      <c r="T101" s="415">
        <v>1</v>
      </c>
      <c r="U101" s="62">
        <v>1</v>
      </c>
      <c r="V101" s="62"/>
      <c r="W101" s="62">
        <v>1</v>
      </c>
      <c r="X101" s="62"/>
      <c r="Y101" s="62"/>
      <c r="Z101" s="62"/>
      <c r="AA101" s="62"/>
      <c r="AB101" s="62"/>
    </row>
    <row r="102" spans="1:28" ht="15.6" customHeight="1" x14ac:dyDescent="0.2">
      <c r="A102" s="408">
        <v>101</v>
      </c>
      <c r="B102" s="409" t="str">
        <f t="shared" si="1"/>
        <v>Helichrysum cymosum ssp. cymosum</v>
      </c>
      <c r="C102" s="410" t="s">
        <v>703</v>
      </c>
      <c r="E102" s="75" t="s">
        <v>752</v>
      </c>
      <c r="F102" s="75" t="s">
        <v>465</v>
      </c>
      <c r="G102" s="411" t="s">
        <v>3047</v>
      </c>
      <c r="H102" s="66" t="s">
        <v>3263</v>
      </c>
      <c r="I102" s="144">
        <v>2</v>
      </c>
      <c r="J102" s="144">
        <v>5</v>
      </c>
      <c r="K102" s="144">
        <v>3</v>
      </c>
      <c r="L102" s="144">
        <v>2</v>
      </c>
      <c r="M102" s="144">
        <v>1</v>
      </c>
      <c r="N102" s="144">
        <v>4</v>
      </c>
      <c r="O102" s="412" t="s">
        <v>2168</v>
      </c>
      <c r="P102" s="412" t="s">
        <v>3032</v>
      </c>
      <c r="Q102" s="413"/>
      <c r="R102" s="211">
        <v>36281</v>
      </c>
      <c r="S102" s="414"/>
      <c r="T102" s="415">
        <v>1</v>
      </c>
      <c r="U102" s="62"/>
      <c r="V102" s="62"/>
      <c r="W102" s="62"/>
      <c r="X102" s="62">
        <v>1</v>
      </c>
      <c r="Y102" s="62"/>
      <c r="Z102" s="62"/>
      <c r="AA102" s="62">
        <v>1</v>
      </c>
      <c r="AB102" s="62"/>
    </row>
    <row r="103" spans="1:28" ht="15.6" customHeight="1" x14ac:dyDescent="0.2">
      <c r="A103" s="408">
        <v>102</v>
      </c>
      <c r="B103" s="409" t="str">
        <f t="shared" si="1"/>
        <v>Helichrysum dasyanthum</v>
      </c>
      <c r="C103" s="410" t="s">
        <v>703</v>
      </c>
      <c r="E103" s="75" t="s">
        <v>752</v>
      </c>
      <c r="F103" s="75" t="s">
        <v>753</v>
      </c>
      <c r="G103" s="411" t="s">
        <v>3048</v>
      </c>
      <c r="H103" s="66" t="s">
        <v>3250</v>
      </c>
      <c r="I103" s="144">
        <v>2</v>
      </c>
      <c r="J103" s="144">
        <v>4</v>
      </c>
      <c r="K103" s="144">
        <v>2</v>
      </c>
      <c r="L103" s="144">
        <v>2</v>
      </c>
      <c r="M103" s="144">
        <v>1</v>
      </c>
      <c r="N103" s="144">
        <v>4</v>
      </c>
      <c r="O103" s="412" t="s">
        <v>2168</v>
      </c>
      <c r="P103" s="412" t="s">
        <v>3032</v>
      </c>
      <c r="Q103" s="413"/>
      <c r="R103" s="211">
        <v>35612</v>
      </c>
      <c r="S103" s="414"/>
      <c r="T103" s="415">
        <v>1</v>
      </c>
      <c r="U103" s="62">
        <v>1</v>
      </c>
      <c r="V103" s="62"/>
      <c r="W103" s="62"/>
      <c r="X103" s="62">
        <v>1</v>
      </c>
      <c r="Y103" s="62"/>
      <c r="Z103" s="62"/>
      <c r="AA103" s="62"/>
      <c r="AB103" s="62"/>
    </row>
    <row r="104" spans="1:28" ht="15.6" customHeight="1" x14ac:dyDescent="0.2">
      <c r="A104" s="408">
        <v>103</v>
      </c>
      <c r="B104" s="409" t="str">
        <f t="shared" si="1"/>
        <v>Helichrysum foetidum</v>
      </c>
      <c r="C104" s="410" t="s">
        <v>703</v>
      </c>
      <c r="E104" s="75" t="s">
        <v>752</v>
      </c>
      <c r="F104" s="75" t="s">
        <v>754</v>
      </c>
      <c r="G104" s="411" t="s">
        <v>3049</v>
      </c>
      <c r="H104" s="66" t="s">
        <v>3252</v>
      </c>
      <c r="I104" s="144">
        <v>3</v>
      </c>
      <c r="J104" s="144">
        <v>5</v>
      </c>
      <c r="K104" s="144">
        <v>3</v>
      </c>
      <c r="L104" s="144">
        <v>2</v>
      </c>
      <c r="M104" s="144">
        <v>1</v>
      </c>
      <c r="N104" s="144">
        <v>3</v>
      </c>
      <c r="O104" s="412" t="s">
        <v>2910</v>
      </c>
      <c r="P104" s="412" t="s">
        <v>2172</v>
      </c>
      <c r="Q104" s="413"/>
      <c r="R104" s="211">
        <v>37591</v>
      </c>
      <c r="S104" s="414"/>
      <c r="T104" s="415">
        <v>1</v>
      </c>
      <c r="U104" s="62"/>
      <c r="V104" s="62"/>
      <c r="W104" s="62"/>
      <c r="X104" s="62">
        <v>1</v>
      </c>
      <c r="Y104" s="62"/>
      <c r="Z104" s="62"/>
      <c r="AA104" s="62"/>
      <c r="AB104" s="62"/>
    </row>
    <row r="105" spans="1:28" ht="15.6" customHeight="1" x14ac:dyDescent="0.2">
      <c r="A105" s="408">
        <v>104</v>
      </c>
      <c r="B105" s="409" t="str">
        <f t="shared" si="1"/>
        <v>Helichrysum indicum</v>
      </c>
      <c r="C105" s="410" t="s">
        <v>703</v>
      </c>
      <c r="E105" s="75" t="s">
        <v>752</v>
      </c>
      <c r="F105" s="75" t="s">
        <v>755</v>
      </c>
      <c r="G105" s="411" t="s">
        <v>3050</v>
      </c>
      <c r="H105" s="66" t="s">
        <v>3256</v>
      </c>
      <c r="I105" s="144">
        <v>6</v>
      </c>
      <c r="J105" s="144">
        <v>6</v>
      </c>
      <c r="K105" s="144">
        <v>3</v>
      </c>
      <c r="L105" s="144">
        <v>2</v>
      </c>
      <c r="M105" s="144">
        <v>1</v>
      </c>
      <c r="N105" s="144">
        <v>4</v>
      </c>
      <c r="O105" s="412" t="s">
        <v>2910</v>
      </c>
      <c r="P105" s="412" t="s">
        <v>2915</v>
      </c>
      <c r="Q105" s="413"/>
      <c r="R105" s="211">
        <v>35612</v>
      </c>
      <c r="S105" s="414"/>
      <c r="T105" s="415">
        <v>1</v>
      </c>
      <c r="U105" s="62">
        <v>1</v>
      </c>
      <c r="V105" s="62"/>
      <c r="W105" s="62"/>
      <c r="X105" s="62">
        <v>1</v>
      </c>
      <c r="Y105" s="62"/>
      <c r="Z105" s="62"/>
      <c r="AA105" s="62"/>
      <c r="AB105" s="62"/>
    </row>
    <row r="106" spans="1:28" ht="15.6" customHeight="1" x14ac:dyDescent="0.2">
      <c r="A106" s="408">
        <v>105</v>
      </c>
      <c r="B106" s="409" t="str">
        <f t="shared" si="1"/>
        <v>Helichrysum niveum</v>
      </c>
      <c r="C106" s="410" t="s">
        <v>703</v>
      </c>
      <c r="E106" s="75" t="s">
        <v>752</v>
      </c>
      <c r="F106" s="75" t="s">
        <v>756</v>
      </c>
      <c r="G106" s="411" t="s">
        <v>3051</v>
      </c>
      <c r="H106" s="66" t="s">
        <v>3215</v>
      </c>
      <c r="I106" s="144">
        <v>2</v>
      </c>
      <c r="J106" s="144">
        <v>6</v>
      </c>
      <c r="K106" s="144">
        <v>2</v>
      </c>
      <c r="L106" s="144">
        <v>3</v>
      </c>
      <c r="M106" s="144">
        <v>2</v>
      </c>
      <c r="N106" s="144">
        <v>5</v>
      </c>
      <c r="O106" s="412" t="s">
        <v>3031</v>
      </c>
      <c r="P106" s="412" t="s">
        <v>3032</v>
      </c>
      <c r="Q106" s="413"/>
      <c r="R106" s="211">
        <v>35612</v>
      </c>
      <c r="S106" s="414"/>
      <c r="T106" s="415">
        <v>1</v>
      </c>
      <c r="U106" s="62">
        <v>1</v>
      </c>
      <c r="V106" s="62">
        <v>1</v>
      </c>
      <c r="W106" s="62"/>
      <c r="X106" s="62"/>
      <c r="Y106" s="62"/>
      <c r="Z106" s="62"/>
      <c r="AA106" s="62"/>
      <c r="AB106" s="62"/>
    </row>
    <row r="107" spans="1:28" ht="15.6" customHeight="1" x14ac:dyDescent="0.2">
      <c r="A107" s="408">
        <v>106</v>
      </c>
      <c r="B107" s="409" t="str">
        <f t="shared" si="1"/>
        <v>Helichrysum patulum</v>
      </c>
      <c r="C107" s="410" t="s">
        <v>703</v>
      </c>
      <c r="D107" s="75" t="s">
        <v>2321</v>
      </c>
      <c r="E107" s="75" t="s">
        <v>752</v>
      </c>
      <c r="F107" s="75" t="s">
        <v>757</v>
      </c>
      <c r="G107" s="411" t="s">
        <v>3052</v>
      </c>
      <c r="H107" s="66" t="s">
        <v>3250</v>
      </c>
      <c r="I107" s="144">
        <v>2</v>
      </c>
      <c r="J107" s="144">
        <v>4</v>
      </c>
      <c r="K107" s="144">
        <v>3</v>
      </c>
      <c r="L107" s="144">
        <v>1</v>
      </c>
      <c r="M107" s="144">
        <v>1</v>
      </c>
      <c r="N107" s="144">
        <v>4</v>
      </c>
      <c r="O107" s="412" t="s">
        <v>2914</v>
      </c>
      <c r="P107" s="412" t="s">
        <v>3032</v>
      </c>
      <c r="Q107" s="413"/>
      <c r="R107" s="211">
        <v>35612</v>
      </c>
      <c r="S107" s="414"/>
      <c r="T107" s="415">
        <v>1</v>
      </c>
      <c r="U107" s="62"/>
      <c r="V107" s="62">
        <v>1</v>
      </c>
      <c r="W107" s="62">
        <v>1</v>
      </c>
      <c r="X107" s="62">
        <v>1</v>
      </c>
      <c r="Y107" s="62"/>
      <c r="Z107" s="62"/>
      <c r="AA107" s="62"/>
      <c r="AB107" s="62"/>
    </row>
    <row r="108" spans="1:28" ht="15.6" customHeight="1" x14ac:dyDescent="0.2">
      <c r="A108" s="408">
        <v>107</v>
      </c>
      <c r="B108" s="409" t="str">
        <f t="shared" si="1"/>
        <v>Helichrysum retortum</v>
      </c>
      <c r="C108" s="410" t="s">
        <v>703</v>
      </c>
      <c r="E108" s="75" t="s">
        <v>752</v>
      </c>
      <c r="F108" s="75" t="s">
        <v>758</v>
      </c>
      <c r="G108" s="411" t="s">
        <v>3053</v>
      </c>
      <c r="H108" s="66" t="s">
        <v>3262</v>
      </c>
      <c r="I108" s="144">
        <v>2</v>
      </c>
      <c r="J108" s="144">
        <v>6</v>
      </c>
      <c r="K108" s="144">
        <v>3</v>
      </c>
      <c r="L108" s="144">
        <v>2</v>
      </c>
      <c r="M108" s="144">
        <v>1</v>
      </c>
      <c r="N108" s="144">
        <v>4</v>
      </c>
      <c r="O108" s="412" t="s">
        <v>3031</v>
      </c>
      <c r="P108" s="412" t="s">
        <v>3032</v>
      </c>
      <c r="Q108" s="413"/>
      <c r="R108" s="211">
        <v>35612</v>
      </c>
      <c r="S108" s="414"/>
      <c r="T108" s="415">
        <v>1</v>
      </c>
      <c r="U108" s="62">
        <v>1</v>
      </c>
      <c r="V108" s="62"/>
      <c r="W108" s="62">
        <v>1</v>
      </c>
      <c r="X108" s="62">
        <v>1</v>
      </c>
      <c r="Y108" s="62"/>
      <c r="Z108" s="62"/>
      <c r="AA108" s="62"/>
      <c r="AB108" s="62"/>
    </row>
    <row r="109" spans="1:28" ht="15.6" customHeight="1" x14ac:dyDescent="0.2">
      <c r="A109" s="408">
        <v>108</v>
      </c>
      <c r="B109" s="409" t="str">
        <f t="shared" si="1"/>
        <v>Helichrysum spiralepis</v>
      </c>
      <c r="C109" s="410" t="s">
        <v>703</v>
      </c>
      <c r="E109" s="75" t="s">
        <v>752</v>
      </c>
      <c r="F109" s="75" t="s">
        <v>759</v>
      </c>
      <c r="G109" s="411" t="s">
        <v>3054</v>
      </c>
      <c r="H109" s="66" t="s">
        <v>3264</v>
      </c>
      <c r="I109" s="144">
        <v>3</v>
      </c>
      <c r="J109" s="144">
        <v>6</v>
      </c>
      <c r="K109" s="144">
        <v>3</v>
      </c>
      <c r="L109" s="144">
        <v>2</v>
      </c>
      <c r="M109" s="144">
        <v>1</v>
      </c>
      <c r="N109" s="144">
        <v>4</v>
      </c>
      <c r="O109" s="412"/>
      <c r="P109" s="412" t="s">
        <v>3032</v>
      </c>
      <c r="Q109" s="413"/>
      <c r="R109" s="211">
        <v>36892</v>
      </c>
      <c r="S109" s="414"/>
      <c r="T109" s="415">
        <v>1</v>
      </c>
      <c r="U109" s="62">
        <v>1</v>
      </c>
      <c r="V109" s="62"/>
      <c r="W109" s="62">
        <v>1</v>
      </c>
      <c r="X109" s="62"/>
      <c r="Y109" s="62"/>
      <c r="Z109" s="62"/>
      <c r="AA109" s="62"/>
      <c r="AB109" s="62"/>
    </row>
    <row r="110" spans="1:28" ht="15.6" customHeight="1" x14ac:dyDescent="0.2">
      <c r="A110" s="408">
        <v>109</v>
      </c>
      <c r="B110" s="409" t="str">
        <f t="shared" si="1"/>
        <v>Helichrysum tenuiculum</v>
      </c>
      <c r="C110" s="410" t="s">
        <v>703</v>
      </c>
      <c r="E110" s="75" t="s">
        <v>752</v>
      </c>
      <c r="F110" s="75" t="s">
        <v>760</v>
      </c>
      <c r="G110" s="411" t="s">
        <v>3055</v>
      </c>
      <c r="H110" s="66" t="s">
        <v>3263</v>
      </c>
      <c r="I110" s="144">
        <v>2</v>
      </c>
      <c r="J110" s="144">
        <v>5</v>
      </c>
      <c r="K110" s="144">
        <v>4</v>
      </c>
      <c r="L110" s="144">
        <v>2</v>
      </c>
      <c r="M110" s="144">
        <v>1</v>
      </c>
      <c r="N110" s="144">
        <v>4</v>
      </c>
      <c r="O110" s="412" t="s">
        <v>2168</v>
      </c>
      <c r="P110" s="412" t="s">
        <v>3032</v>
      </c>
      <c r="Q110" s="413"/>
      <c r="R110" s="211">
        <v>35612</v>
      </c>
      <c r="S110" s="414"/>
      <c r="T110" s="415">
        <v>1</v>
      </c>
      <c r="U110" s="62"/>
      <c r="V110" s="62"/>
      <c r="W110" s="62"/>
      <c r="X110" s="62">
        <v>1</v>
      </c>
      <c r="Y110" s="62"/>
      <c r="Z110" s="62"/>
      <c r="AA110" s="62">
        <v>1</v>
      </c>
      <c r="AB110" s="62"/>
    </row>
    <row r="111" spans="1:28" ht="15.6" customHeight="1" x14ac:dyDescent="0.2">
      <c r="A111" s="408">
        <v>110</v>
      </c>
      <c r="B111" s="409" t="str">
        <f t="shared" si="1"/>
        <v>Helichrysum teretifolium</v>
      </c>
      <c r="C111" s="410" t="s">
        <v>703</v>
      </c>
      <c r="E111" s="75" t="s">
        <v>752</v>
      </c>
      <c r="F111" s="75" t="s">
        <v>761</v>
      </c>
      <c r="G111" s="411" t="s">
        <v>3056</v>
      </c>
      <c r="H111" s="66" t="s">
        <v>3215</v>
      </c>
      <c r="I111" s="144">
        <v>2</v>
      </c>
      <c r="J111" s="144">
        <v>6</v>
      </c>
      <c r="K111" s="144">
        <v>2</v>
      </c>
      <c r="L111" s="144">
        <v>3</v>
      </c>
      <c r="M111" s="144">
        <v>2</v>
      </c>
      <c r="N111" s="144">
        <v>5</v>
      </c>
      <c r="O111" s="412" t="s">
        <v>3031</v>
      </c>
      <c r="P111" s="412" t="s">
        <v>3032</v>
      </c>
      <c r="Q111" s="413"/>
      <c r="R111" s="211">
        <v>35612</v>
      </c>
      <c r="S111" s="414"/>
      <c r="T111" s="415">
        <v>1</v>
      </c>
      <c r="U111" s="62">
        <v>1</v>
      </c>
      <c r="V111" s="62"/>
      <c r="W111" s="62"/>
      <c r="X111" s="62"/>
      <c r="Y111" s="62"/>
      <c r="Z111" s="62"/>
      <c r="AA111" s="62"/>
      <c r="AB111" s="62"/>
    </row>
    <row r="112" spans="1:28" ht="15.6" customHeight="1" x14ac:dyDescent="0.2">
      <c r="A112" s="408">
        <v>111</v>
      </c>
      <c r="B112" s="409" t="str">
        <f t="shared" si="1"/>
        <v>Hippia frutescens</v>
      </c>
      <c r="C112" s="410" t="s">
        <v>703</v>
      </c>
      <c r="D112" s="75" t="s">
        <v>2322</v>
      </c>
      <c r="E112" s="75" t="s">
        <v>762</v>
      </c>
      <c r="F112" s="75" t="s">
        <v>763</v>
      </c>
      <c r="G112" s="411" t="s">
        <v>3057</v>
      </c>
      <c r="H112" s="66" t="s">
        <v>3257</v>
      </c>
      <c r="I112" s="144">
        <v>2</v>
      </c>
      <c r="J112" s="144">
        <v>5</v>
      </c>
      <c r="K112" s="144">
        <v>3</v>
      </c>
      <c r="L112" s="144">
        <v>5</v>
      </c>
      <c r="M112" s="144">
        <v>1</v>
      </c>
      <c r="N112" s="144">
        <v>4</v>
      </c>
      <c r="O112" s="412" t="s">
        <v>3031</v>
      </c>
      <c r="P112" s="412" t="s">
        <v>3032</v>
      </c>
      <c r="Q112" s="413"/>
      <c r="R112" s="211">
        <v>35612</v>
      </c>
      <c r="S112" s="414"/>
      <c r="T112" s="415">
        <v>1</v>
      </c>
      <c r="U112" s="62"/>
      <c r="V112" s="62"/>
      <c r="W112" s="62"/>
      <c r="X112" s="62">
        <v>1</v>
      </c>
      <c r="Y112" s="62"/>
      <c r="Z112" s="62"/>
      <c r="AA112" s="62">
        <v>1</v>
      </c>
      <c r="AB112" s="62"/>
    </row>
    <row r="113" spans="1:28" ht="15.6" customHeight="1" x14ac:dyDescent="0.2">
      <c r="A113" s="408">
        <v>112</v>
      </c>
      <c r="B113" s="409" t="str">
        <f t="shared" si="1"/>
        <v>Hippia hutchinsonii</v>
      </c>
      <c r="C113" s="410" t="s">
        <v>703</v>
      </c>
      <c r="E113" s="75" t="s">
        <v>762</v>
      </c>
      <c r="F113" s="75" t="s">
        <v>764</v>
      </c>
      <c r="G113" s="411" t="s">
        <v>3058</v>
      </c>
      <c r="H113" s="66" t="s">
        <v>3265</v>
      </c>
      <c r="I113" s="144">
        <v>2</v>
      </c>
      <c r="J113" s="144">
        <v>6</v>
      </c>
      <c r="K113" s="144" t="s">
        <v>2690</v>
      </c>
      <c r="L113" s="144">
        <v>3</v>
      </c>
      <c r="M113" s="144" t="s">
        <v>2690</v>
      </c>
      <c r="N113" s="144" t="s">
        <v>2690</v>
      </c>
      <c r="O113" s="412" t="s">
        <v>3031</v>
      </c>
      <c r="P113" s="412" t="s">
        <v>3032</v>
      </c>
      <c r="Q113" s="413"/>
      <c r="S113" s="414" t="s">
        <v>2250</v>
      </c>
      <c r="T113" s="415"/>
      <c r="U113" s="62"/>
      <c r="V113" s="62"/>
      <c r="W113" s="62"/>
      <c r="X113" s="62">
        <v>1</v>
      </c>
      <c r="Y113" s="62"/>
      <c r="Z113" s="62"/>
      <c r="AA113" s="62"/>
      <c r="AB113" s="62"/>
    </row>
    <row r="114" spans="1:28" ht="15.6" customHeight="1" x14ac:dyDescent="0.2">
      <c r="A114" s="408">
        <v>113</v>
      </c>
      <c r="B114" s="409" t="str">
        <f t="shared" si="1"/>
        <v>Mairia coriacea</v>
      </c>
      <c r="C114" s="410" t="s">
        <v>703</v>
      </c>
      <c r="D114" s="75" t="s">
        <v>2323</v>
      </c>
      <c r="E114" s="75" t="s">
        <v>765</v>
      </c>
      <c r="F114" s="75" t="s">
        <v>766</v>
      </c>
      <c r="G114" s="411" t="s">
        <v>3059</v>
      </c>
      <c r="H114" s="66" t="s">
        <v>3230</v>
      </c>
      <c r="I114" s="144">
        <v>3</v>
      </c>
      <c r="J114" s="144">
        <v>6</v>
      </c>
      <c r="K114" s="144">
        <v>5</v>
      </c>
      <c r="L114" s="144">
        <v>1</v>
      </c>
      <c r="M114" s="144">
        <v>2</v>
      </c>
      <c r="N114" s="144">
        <v>1</v>
      </c>
      <c r="O114" s="412" t="s">
        <v>2910</v>
      </c>
      <c r="P114" s="412" t="s">
        <v>3032</v>
      </c>
      <c r="Q114" s="413"/>
      <c r="R114" s="211">
        <v>35612</v>
      </c>
      <c r="S114" s="414"/>
      <c r="T114" s="415">
        <v>1</v>
      </c>
      <c r="U114" s="62"/>
      <c r="V114" s="62"/>
      <c r="W114" s="62"/>
      <c r="X114" s="62">
        <v>1</v>
      </c>
      <c r="Y114" s="62"/>
      <c r="Z114" s="62"/>
      <c r="AA114" s="62"/>
      <c r="AB114" s="62"/>
    </row>
    <row r="115" spans="1:28" ht="15.6" customHeight="1" x14ac:dyDescent="0.2">
      <c r="A115" s="408">
        <v>114</v>
      </c>
      <c r="B115" s="409" t="str">
        <f t="shared" si="1"/>
        <v>Metalasia brevifolia</v>
      </c>
      <c r="C115" s="410" t="s">
        <v>703</v>
      </c>
      <c r="D115" s="75" t="s">
        <v>2324</v>
      </c>
      <c r="E115" s="75" t="s">
        <v>767</v>
      </c>
      <c r="F115" s="75" t="s">
        <v>768</v>
      </c>
      <c r="G115" s="411" t="s">
        <v>3060</v>
      </c>
      <c r="H115" s="66" t="s">
        <v>3248</v>
      </c>
      <c r="I115" s="144">
        <v>2</v>
      </c>
      <c r="J115" s="144">
        <v>5</v>
      </c>
      <c r="K115" s="144">
        <v>2</v>
      </c>
      <c r="L115" s="144">
        <v>3</v>
      </c>
      <c r="M115" s="144">
        <v>2</v>
      </c>
      <c r="N115" s="144">
        <v>5</v>
      </c>
      <c r="O115" s="412" t="s">
        <v>2168</v>
      </c>
      <c r="P115" s="412" t="s">
        <v>3032</v>
      </c>
      <c r="Q115" s="413"/>
      <c r="R115" s="211">
        <v>35612</v>
      </c>
      <c r="S115" s="414"/>
      <c r="T115" s="415">
        <v>1</v>
      </c>
      <c r="U115" s="62">
        <v>1</v>
      </c>
      <c r="V115" s="62">
        <v>1</v>
      </c>
      <c r="W115" s="62">
        <v>1</v>
      </c>
      <c r="X115" s="62">
        <v>1</v>
      </c>
      <c r="Y115" s="62"/>
      <c r="Z115" s="62"/>
      <c r="AA115" s="62"/>
      <c r="AB115" s="62"/>
    </row>
    <row r="116" spans="1:28" ht="15.6" customHeight="1" x14ac:dyDescent="0.2">
      <c r="A116" s="408">
        <v>115</v>
      </c>
      <c r="B116" s="409" t="str">
        <f t="shared" si="1"/>
        <v>Metalasia densa</v>
      </c>
      <c r="C116" s="410" t="s">
        <v>703</v>
      </c>
      <c r="D116" s="75" t="s">
        <v>2325</v>
      </c>
      <c r="E116" s="75" t="s">
        <v>767</v>
      </c>
      <c r="F116" s="75" t="s">
        <v>769</v>
      </c>
      <c r="G116" s="411" t="s">
        <v>3061</v>
      </c>
      <c r="H116" s="66" t="s">
        <v>3266</v>
      </c>
      <c r="I116" s="144">
        <v>2</v>
      </c>
      <c r="J116" s="144">
        <v>3</v>
      </c>
      <c r="K116" s="144">
        <v>2</v>
      </c>
      <c r="L116" s="144">
        <v>2</v>
      </c>
      <c r="M116" s="144">
        <v>2</v>
      </c>
      <c r="N116" s="144">
        <v>5</v>
      </c>
      <c r="O116" s="412" t="s">
        <v>2168</v>
      </c>
      <c r="P116" s="412" t="s">
        <v>3032</v>
      </c>
      <c r="Q116" s="413"/>
      <c r="R116" s="211">
        <v>35612</v>
      </c>
      <c r="S116" s="414"/>
      <c r="T116" s="415">
        <v>1</v>
      </c>
      <c r="U116" s="62">
        <v>1</v>
      </c>
      <c r="V116" s="62"/>
      <c r="W116" s="62"/>
      <c r="X116" s="62"/>
      <c r="Y116" s="62"/>
      <c r="Z116" s="62"/>
      <c r="AA116" s="62"/>
      <c r="AB116" s="62"/>
    </row>
    <row r="117" spans="1:28" ht="15.6" customHeight="1" x14ac:dyDescent="0.2">
      <c r="A117" s="408">
        <v>116</v>
      </c>
      <c r="B117" s="409" t="str">
        <f t="shared" si="1"/>
        <v>Metalasia muricata</v>
      </c>
      <c r="C117" s="410" t="s">
        <v>703</v>
      </c>
      <c r="D117" s="75" t="s">
        <v>2326</v>
      </c>
      <c r="E117" s="75" t="s">
        <v>767</v>
      </c>
      <c r="F117" s="75" t="s">
        <v>770</v>
      </c>
      <c r="G117" s="411" t="s">
        <v>3062</v>
      </c>
      <c r="H117" s="66" t="s">
        <v>3266</v>
      </c>
      <c r="I117" s="144">
        <v>2</v>
      </c>
      <c r="J117" s="144">
        <v>3</v>
      </c>
      <c r="K117" s="144">
        <v>2</v>
      </c>
      <c r="L117" s="144">
        <v>2</v>
      </c>
      <c r="M117" s="144">
        <v>2</v>
      </c>
      <c r="N117" s="144">
        <v>5</v>
      </c>
      <c r="O117" s="412" t="s">
        <v>2168</v>
      </c>
      <c r="P117" s="412" t="s">
        <v>3032</v>
      </c>
      <c r="Q117" s="413"/>
      <c r="R117" s="211">
        <v>35612</v>
      </c>
      <c r="S117" s="414"/>
      <c r="T117" s="415">
        <v>1</v>
      </c>
      <c r="U117" s="62">
        <v>1</v>
      </c>
      <c r="V117" s="62">
        <v>1</v>
      </c>
      <c r="W117" s="62">
        <v>1</v>
      </c>
      <c r="X117" s="62">
        <v>1</v>
      </c>
      <c r="Y117" s="62"/>
      <c r="Z117" s="62"/>
      <c r="AA117" s="62"/>
      <c r="AB117" s="62"/>
    </row>
    <row r="118" spans="1:28" ht="15.6" customHeight="1" x14ac:dyDescent="0.2">
      <c r="A118" s="408">
        <v>117</v>
      </c>
      <c r="B118" s="409" t="str">
        <f t="shared" si="1"/>
        <v>Oedera capensis</v>
      </c>
      <c r="C118" s="410" t="s">
        <v>703</v>
      </c>
      <c r="E118" s="75" t="s">
        <v>771</v>
      </c>
      <c r="F118" s="75" t="s">
        <v>2756</v>
      </c>
      <c r="G118" s="411" t="s">
        <v>3063</v>
      </c>
      <c r="H118" s="66" t="s">
        <v>3262</v>
      </c>
      <c r="I118" s="144">
        <v>2</v>
      </c>
      <c r="J118" s="144">
        <v>6</v>
      </c>
      <c r="K118" s="144">
        <v>3</v>
      </c>
      <c r="L118" s="144">
        <v>2</v>
      </c>
      <c r="M118" s="144">
        <v>1</v>
      </c>
      <c r="N118" s="144">
        <v>4</v>
      </c>
      <c r="O118" s="412" t="s">
        <v>3031</v>
      </c>
      <c r="P118" s="412" t="s">
        <v>3032</v>
      </c>
      <c r="Q118" s="413"/>
      <c r="R118" s="211">
        <v>35612</v>
      </c>
      <c r="S118" s="414"/>
      <c r="T118" s="415">
        <v>1</v>
      </c>
      <c r="U118" s="62">
        <v>1</v>
      </c>
      <c r="V118" s="62">
        <v>1</v>
      </c>
      <c r="W118" s="62">
        <v>1</v>
      </c>
      <c r="X118" s="62">
        <v>1</v>
      </c>
      <c r="Y118" s="62"/>
      <c r="Z118" s="62"/>
      <c r="AA118" s="62"/>
      <c r="AB118" s="62"/>
    </row>
    <row r="119" spans="1:28" ht="15.6" customHeight="1" x14ac:dyDescent="0.2">
      <c r="A119" s="408">
        <v>118</v>
      </c>
      <c r="B119" s="409" t="str">
        <f t="shared" si="1"/>
        <v>Oedera imbricata</v>
      </c>
      <c r="C119" s="410" t="s">
        <v>703</v>
      </c>
      <c r="E119" s="75" t="s">
        <v>771</v>
      </c>
      <c r="F119" s="75" t="s">
        <v>772</v>
      </c>
      <c r="G119" s="411" t="s">
        <v>3064</v>
      </c>
      <c r="H119" s="66" t="s">
        <v>3262</v>
      </c>
      <c r="I119" s="144">
        <v>2</v>
      </c>
      <c r="J119" s="144">
        <v>6</v>
      </c>
      <c r="K119" s="144">
        <v>3</v>
      </c>
      <c r="L119" s="144">
        <v>1</v>
      </c>
      <c r="M119" s="144">
        <v>1</v>
      </c>
      <c r="N119" s="144">
        <v>4</v>
      </c>
      <c r="O119" s="412" t="s">
        <v>3031</v>
      </c>
      <c r="P119" s="412" t="s">
        <v>3032</v>
      </c>
      <c r="Q119" s="413"/>
      <c r="R119" s="211">
        <v>35704</v>
      </c>
      <c r="S119" s="414" t="s">
        <v>2250</v>
      </c>
      <c r="T119" s="415"/>
      <c r="U119" s="62">
        <v>1</v>
      </c>
      <c r="V119" s="62"/>
      <c r="W119" s="62"/>
      <c r="X119" s="62"/>
      <c r="Y119" s="62"/>
      <c r="Z119" s="62"/>
      <c r="AA119" s="62"/>
      <c r="AB119" s="62"/>
    </row>
    <row r="120" spans="1:28" ht="15.6" customHeight="1" x14ac:dyDescent="0.2">
      <c r="A120" s="408">
        <v>119</v>
      </c>
      <c r="B120" s="409" t="str">
        <f t="shared" si="1"/>
        <v>Oncosiphon suffruticosum</v>
      </c>
      <c r="C120" s="410" t="s">
        <v>703</v>
      </c>
      <c r="D120" s="75" t="s">
        <v>2327</v>
      </c>
      <c r="E120" s="75" t="s">
        <v>773</v>
      </c>
      <c r="F120" s="75" t="s">
        <v>774</v>
      </c>
      <c r="G120" s="411" t="s">
        <v>3065</v>
      </c>
      <c r="H120" s="66" t="s">
        <v>3261</v>
      </c>
      <c r="I120" s="144">
        <v>6</v>
      </c>
      <c r="J120" s="144">
        <v>6</v>
      </c>
      <c r="K120" s="144">
        <v>4</v>
      </c>
      <c r="L120" s="144">
        <v>5</v>
      </c>
      <c r="M120" s="144">
        <v>1</v>
      </c>
      <c r="N120" s="144">
        <v>5</v>
      </c>
      <c r="O120" s="412" t="s">
        <v>2910</v>
      </c>
      <c r="P120" s="412" t="s">
        <v>2915</v>
      </c>
      <c r="Q120" s="413"/>
      <c r="R120" s="211">
        <v>36923</v>
      </c>
      <c r="S120" s="414"/>
      <c r="T120" s="415">
        <v>1</v>
      </c>
      <c r="U120" s="62">
        <v>1</v>
      </c>
      <c r="V120" s="62"/>
      <c r="W120" s="62"/>
      <c r="X120" s="62"/>
      <c r="Y120" s="62"/>
      <c r="Z120" s="62"/>
      <c r="AA120" s="62"/>
      <c r="AB120" s="62"/>
    </row>
    <row r="121" spans="1:28" ht="15.6" customHeight="1" x14ac:dyDescent="0.2">
      <c r="A121" s="408">
        <v>120</v>
      </c>
      <c r="B121" s="409" t="str">
        <f t="shared" si="1"/>
        <v>Osmitopsis asteriscoides</v>
      </c>
      <c r="C121" s="410" t="s">
        <v>703</v>
      </c>
      <c r="D121" s="75" t="s">
        <v>2329</v>
      </c>
      <c r="E121" s="75" t="s">
        <v>775</v>
      </c>
      <c r="F121" s="75" t="s">
        <v>776</v>
      </c>
      <c r="G121" s="411" t="s">
        <v>3066</v>
      </c>
      <c r="H121" s="66" t="s">
        <v>3239</v>
      </c>
      <c r="I121" s="144">
        <v>2</v>
      </c>
      <c r="J121" s="144">
        <v>4</v>
      </c>
      <c r="K121" s="144">
        <v>2</v>
      </c>
      <c r="L121" s="144">
        <v>2</v>
      </c>
      <c r="M121" s="144">
        <v>1</v>
      </c>
      <c r="N121" s="144">
        <v>3</v>
      </c>
      <c r="O121" s="412" t="s">
        <v>2168</v>
      </c>
      <c r="P121" s="412" t="s">
        <v>3032</v>
      </c>
      <c r="Q121" s="413"/>
      <c r="R121" s="211">
        <v>35855</v>
      </c>
      <c r="S121" s="414"/>
      <c r="T121" s="415">
        <v>1</v>
      </c>
      <c r="U121" s="62"/>
      <c r="V121" s="62"/>
      <c r="W121" s="62"/>
      <c r="X121" s="62">
        <v>1</v>
      </c>
      <c r="Y121" s="62"/>
      <c r="Z121" s="62"/>
      <c r="AA121" s="62"/>
      <c r="AB121" s="62"/>
    </row>
    <row r="122" spans="1:28" ht="15.6" customHeight="1" x14ac:dyDescent="0.2">
      <c r="A122" s="408">
        <v>121</v>
      </c>
      <c r="B122" s="409" t="str">
        <f t="shared" si="1"/>
        <v>Osteospermum rotundifolium</v>
      </c>
      <c r="C122" s="410" t="s">
        <v>703</v>
      </c>
      <c r="E122" s="75" t="s">
        <v>777</v>
      </c>
      <c r="F122" s="75" t="s">
        <v>778</v>
      </c>
      <c r="G122" s="411" t="s">
        <v>3067</v>
      </c>
      <c r="H122" s="66" t="s">
        <v>3258</v>
      </c>
      <c r="I122" s="144">
        <v>2</v>
      </c>
      <c r="J122" s="144">
        <v>4</v>
      </c>
      <c r="K122" s="144">
        <v>3</v>
      </c>
      <c r="L122" s="144">
        <v>1</v>
      </c>
      <c r="M122" s="144">
        <v>2</v>
      </c>
      <c r="N122" s="144">
        <v>3</v>
      </c>
      <c r="O122" s="412" t="s">
        <v>2168</v>
      </c>
      <c r="P122" s="412" t="s">
        <v>3032</v>
      </c>
      <c r="Q122" s="413"/>
      <c r="R122" s="211">
        <v>35855</v>
      </c>
      <c r="S122" s="414"/>
      <c r="T122" s="415">
        <v>1</v>
      </c>
      <c r="U122" s="62"/>
      <c r="V122" s="62"/>
      <c r="W122" s="62"/>
      <c r="X122" s="62">
        <v>1</v>
      </c>
      <c r="Y122" s="62"/>
      <c r="Z122" s="62"/>
      <c r="AA122" s="62"/>
      <c r="AB122" s="62"/>
    </row>
    <row r="123" spans="1:28" ht="15.6" customHeight="1" x14ac:dyDescent="0.2">
      <c r="A123" s="408">
        <v>122</v>
      </c>
      <c r="B123" s="409" t="str">
        <f t="shared" si="1"/>
        <v>Othonna quinquedentata</v>
      </c>
      <c r="C123" s="410" t="s">
        <v>703</v>
      </c>
      <c r="E123" s="75" t="s">
        <v>779</v>
      </c>
      <c r="F123" s="75" t="s">
        <v>780</v>
      </c>
      <c r="G123" s="411" t="s">
        <v>3068</v>
      </c>
      <c r="H123" s="66" t="s">
        <v>3232</v>
      </c>
      <c r="I123" s="144">
        <v>2</v>
      </c>
      <c r="J123" s="144">
        <v>5</v>
      </c>
      <c r="K123" s="144">
        <v>4</v>
      </c>
      <c r="L123" s="144">
        <v>1</v>
      </c>
      <c r="M123" s="144">
        <v>2</v>
      </c>
      <c r="N123" s="144">
        <v>3</v>
      </c>
      <c r="O123" s="412" t="s">
        <v>2168</v>
      </c>
      <c r="P123" s="412" t="s">
        <v>3032</v>
      </c>
      <c r="Q123" s="413"/>
      <c r="R123" s="211">
        <v>35612</v>
      </c>
      <c r="S123" s="414"/>
      <c r="T123" s="415">
        <v>1</v>
      </c>
      <c r="U123" s="62">
        <v>1</v>
      </c>
      <c r="V123" s="62">
        <v>1</v>
      </c>
      <c r="W123" s="62"/>
      <c r="X123" s="62">
        <v>1</v>
      </c>
      <c r="Y123" s="62"/>
      <c r="Z123" s="62"/>
      <c r="AA123" s="62"/>
      <c r="AB123" s="62"/>
    </row>
    <row r="124" spans="1:28" ht="15.6" customHeight="1" x14ac:dyDescent="0.2">
      <c r="A124" s="408">
        <v>123</v>
      </c>
      <c r="B124" s="409" t="str">
        <f t="shared" si="1"/>
        <v>Plecostachys serpyllifolia</v>
      </c>
      <c r="C124" s="410" t="s">
        <v>703</v>
      </c>
      <c r="D124" s="75" t="s">
        <v>2330</v>
      </c>
      <c r="E124" s="75" t="s">
        <v>781</v>
      </c>
      <c r="F124" s="75" t="s">
        <v>782</v>
      </c>
      <c r="G124" s="411" t="s">
        <v>3069</v>
      </c>
      <c r="H124" s="66" t="s">
        <v>3248</v>
      </c>
      <c r="I124" s="144">
        <v>2</v>
      </c>
      <c r="J124" s="144">
        <v>5</v>
      </c>
      <c r="K124" s="144">
        <v>2</v>
      </c>
      <c r="L124" s="144">
        <v>1</v>
      </c>
      <c r="M124" s="144">
        <v>1</v>
      </c>
      <c r="N124" s="144">
        <v>5</v>
      </c>
      <c r="O124" s="412" t="s">
        <v>2914</v>
      </c>
      <c r="P124" s="412" t="s">
        <v>3032</v>
      </c>
      <c r="Q124" s="413"/>
      <c r="R124" s="211">
        <v>35612</v>
      </c>
      <c r="S124" s="414"/>
      <c r="T124" s="415">
        <v>1</v>
      </c>
      <c r="U124" s="62">
        <v>1</v>
      </c>
      <c r="V124" s="62"/>
      <c r="W124" s="62">
        <v>1</v>
      </c>
      <c r="X124" s="62"/>
      <c r="Y124" s="62"/>
      <c r="Z124" s="62"/>
      <c r="AA124" s="62"/>
      <c r="AB124" s="62"/>
    </row>
    <row r="125" spans="1:28" ht="15.6" customHeight="1" x14ac:dyDescent="0.2">
      <c r="A125" s="408">
        <v>124</v>
      </c>
      <c r="B125" s="409" t="str">
        <f t="shared" si="1"/>
        <v>Polyarrhena reflexa</v>
      </c>
      <c r="C125" s="410" t="s">
        <v>703</v>
      </c>
      <c r="E125" s="75" t="s">
        <v>783</v>
      </c>
      <c r="F125" s="75" t="s">
        <v>784</v>
      </c>
      <c r="G125" s="411" t="s">
        <v>3070</v>
      </c>
      <c r="H125" s="66" t="s">
        <v>3248</v>
      </c>
      <c r="I125" s="144">
        <v>2</v>
      </c>
      <c r="J125" s="144">
        <v>5</v>
      </c>
      <c r="K125" s="144">
        <v>2</v>
      </c>
      <c r="L125" s="144">
        <v>1</v>
      </c>
      <c r="M125" s="144">
        <v>1</v>
      </c>
      <c r="N125" s="144">
        <v>5</v>
      </c>
      <c r="O125" s="412" t="s">
        <v>2168</v>
      </c>
      <c r="P125" s="412" t="s">
        <v>3032</v>
      </c>
      <c r="Q125" s="413"/>
      <c r="R125" s="211">
        <v>36770</v>
      </c>
      <c r="S125" s="414"/>
      <c r="T125" s="415">
        <v>1</v>
      </c>
      <c r="U125" s="62"/>
      <c r="V125" s="62"/>
      <c r="W125" s="62"/>
      <c r="X125" s="62">
        <v>1</v>
      </c>
      <c r="Y125" s="62"/>
      <c r="Z125" s="62"/>
      <c r="AA125" s="62"/>
      <c r="AB125" s="62"/>
    </row>
    <row r="126" spans="1:28" ht="15.6" customHeight="1" x14ac:dyDescent="0.2">
      <c r="A126" s="408">
        <v>125</v>
      </c>
      <c r="B126" s="409" t="str">
        <f t="shared" si="1"/>
        <v>Pulicaria scabra</v>
      </c>
      <c r="C126" s="410" t="s">
        <v>703</v>
      </c>
      <c r="D126" s="75" t="s">
        <v>2331</v>
      </c>
      <c r="E126" s="75" t="s">
        <v>785</v>
      </c>
      <c r="F126" s="75" t="s">
        <v>786</v>
      </c>
      <c r="G126" s="411" t="s">
        <v>3071</v>
      </c>
      <c r="H126" s="66" t="s">
        <v>3223</v>
      </c>
      <c r="I126" s="144">
        <v>2</v>
      </c>
      <c r="J126" s="144">
        <v>5</v>
      </c>
      <c r="K126" s="144">
        <v>2</v>
      </c>
      <c r="L126" s="144">
        <v>2</v>
      </c>
      <c r="M126" s="144">
        <v>1</v>
      </c>
      <c r="N126" s="144">
        <v>3</v>
      </c>
      <c r="O126" s="412" t="s">
        <v>2910</v>
      </c>
      <c r="P126" s="412" t="s">
        <v>3032</v>
      </c>
      <c r="Q126" s="413"/>
      <c r="R126" s="211">
        <v>35947</v>
      </c>
      <c r="S126" s="414"/>
      <c r="T126" s="415">
        <v>1</v>
      </c>
      <c r="U126" s="62"/>
      <c r="V126" s="62"/>
      <c r="W126" s="62"/>
      <c r="X126" s="62"/>
      <c r="Y126" s="62"/>
      <c r="Z126" s="62"/>
      <c r="AA126" s="62">
        <v>1</v>
      </c>
      <c r="AB126" s="62"/>
    </row>
    <row r="127" spans="1:28" ht="15.6" customHeight="1" x14ac:dyDescent="0.2">
      <c r="A127" s="408">
        <v>126</v>
      </c>
      <c r="B127" s="409" t="str">
        <f t="shared" si="1"/>
        <v>Senecio arenarius</v>
      </c>
      <c r="C127" s="410" t="s">
        <v>703</v>
      </c>
      <c r="D127" s="75" t="s">
        <v>2332</v>
      </c>
      <c r="E127" s="75" t="s">
        <v>787</v>
      </c>
      <c r="F127" s="75" t="s">
        <v>788</v>
      </c>
      <c r="G127" s="411" t="s">
        <v>3072</v>
      </c>
      <c r="H127" s="66" t="s">
        <v>3235</v>
      </c>
      <c r="I127" s="144">
        <v>6</v>
      </c>
      <c r="J127" s="144">
        <v>6</v>
      </c>
      <c r="K127" s="144">
        <v>4</v>
      </c>
      <c r="L127" s="144">
        <v>5</v>
      </c>
      <c r="M127" s="144">
        <v>1</v>
      </c>
      <c r="N127" s="144">
        <v>2</v>
      </c>
      <c r="O127" s="412" t="s">
        <v>2910</v>
      </c>
      <c r="P127" s="412" t="s">
        <v>2915</v>
      </c>
      <c r="Q127" s="413"/>
      <c r="R127" s="211">
        <v>35612</v>
      </c>
      <c r="S127" s="414"/>
      <c r="T127" s="415">
        <v>1</v>
      </c>
      <c r="U127" s="62">
        <v>1</v>
      </c>
      <c r="V127" s="62"/>
      <c r="W127" s="62"/>
      <c r="X127" s="62"/>
      <c r="Y127" s="62"/>
      <c r="Z127" s="62"/>
      <c r="AA127" s="62"/>
      <c r="AB127" s="62"/>
    </row>
    <row r="128" spans="1:28" ht="15.6" customHeight="1" x14ac:dyDescent="0.2">
      <c r="A128" s="408">
        <v>127</v>
      </c>
      <c r="B128" s="409" t="str">
        <f t="shared" si="1"/>
        <v>Senecio arniciflorus</v>
      </c>
      <c r="C128" s="410" t="s">
        <v>703</v>
      </c>
      <c r="E128" s="75" t="s">
        <v>787</v>
      </c>
      <c r="F128" s="75" t="s">
        <v>789</v>
      </c>
      <c r="G128" s="411" t="s">
        <v>3073</v>
      </c>
      <c r="H128" s="66" t="s">
        <v>3267</v>
      </c>
      <c r="I128" s="144">
        <v>2</v>
      </c>
      <c r="J128" s="144">
        <v>6</v>
      </c>
      <c r="K128" s="144">
        <v>4</v>
      </c>
      <c r="L128" s="144">
        <v>3</v>
      </c>
      <c r="M128" s="144">
        <v>1</v>
      </c>
      <c r="N128" s="144">
        <v>3</v>
      </c>
      <c r="O128" s="412" t="s">
        <v>3031</v>
      </c>
      <c r="P128" s="412" t="s">
        <v>3032</v>
      </c>
      <c r="Q128" s="413"/>
      <c r="R128" s="211">
        <v>35612</v>
      </c>
      <c r="S128" s="414"/>
      <c r="T128" s="415">
        <v>1</v>
      </c>
      <c r="U128" s="62"/>
      <c r="V128" s="62">
        <v>1</v>
      </c>
      <c r="W128" s="62">
        <v>1</v>
      </c>
      <c r="X128" s="62">
        <v>1</v>
      </c>
      <c r="Y128" s="62"/>
      <c r="Z128" s="62"/>
      <c r="AA128" s="62"/>
      <c r="AB128" s="62"/>
    </row>
    <row r="129" spans="1:28" ht="15.6" customHeight="1" x14ac:dyDescent="0.2">
      <c r="A129" s="408">
        <v>128</v>
      </c>
      <c r="B129" s="409" t="str">
        <f t="shared" si="1"/>
        <v>Senecio burchellii</v>
      </c>
      <c r="C129" s="410" t="s">
        <v>703</v>
      </c>
      <c r="D129" s="75" t="s">
        <v>2333</v>
      </c>
      <c r="E129" s="75" t="s">
        <v>787</v>
      </c>
      <c r="F129" s="75" t="s">
        <v>790</v>
      </c>
      <c r="G129" s="411" t="s">
        <v>3074</v>
      </c>
      <c r="H129" s="66" t="s">
        <v>3267</v>
      </c>
      <c r="I129" s="144">
        <v>2</v>
      </c>
      <c r="J129" s="144">
        <v>6</v>
      </c>
      <c r="K129" s="144">
        <v>4</v>
      </c>
      <c r="L129" s="144">
        <v>3</v>
      </c>
      <c r="M129" s="144">
        <v>1</v>
      </c>
      <c r="N129" s="144">
        <v>3</v>
      </c>
      <c r="O129" s="412" t="s">
        <v>3031</v>
      </c>
      <c r="P129" s="412" t="s">
        <v>3032</v>
      </c>
      <c r="Q129" s="413"/>
      <c r="R129" s="211">
        <v>35612</v>
      </c>
      <c r="S129" s="414"/>
      <c r="T129" s="415">
        <v>1</v>
      </c>
      <c r="U129" s="62">
        <v>1</v>
      </c>
      <c r="V129" s="62"/>
      <c r="W129" s="62"/>
      <c r="X129" s="62"/>
      <c r="Y129" s="62"/>
      <c r="Z129" s="62"/>
      <c r="AA129" s="62"/>
      <c r="AB129" s="62"/>
    </row>
    <row r="130" spans="1:28" ht="15.6" customHeight="1" x14ac:dyDescent="0.2">
      <c r="A130" s="408">
        <v>129</v>
      </c>
      <c r="B130" s="409" t="str">
        <f t="shared" ref="B130:B193" si="2">E130&amp;" "&amp;F130</f>
        <v>Senecio elegans</v>
      </c>
      <c r="C130" s="410" t="s">
        <v>703</v>
      </c>
      <c r="D130" s="75" t="s">
        <v>2334</v>
      </c>
      <c r="E130" s="75" t="s">
        <v>787</v>
      </c>
      <c r="F130" s="75" t="s">
        <v>791</v>
      </c>
      <c r="G130" s="411" t="s">
        <v>3075</v>
      </c>
      <c r="H130" s="66" t="s">
        <v>1871</v>
      </c>
      <c r="I130" s="144">
        <v>6</v>
      </c>
      <c r="J130" s="144">
        <v>5</v>
      </c>
      <c r="K130" s="144">
        <v>9</v>
      </c>
      <c r="L130" s="144">
        <v>4</v>
      </c>
      <c r="M130" s="144">
        <v>4</v>
      </c>
      <c r="N130" s="144">
        <v>9</v>
      </c>
      <c r="O130" s="412" t="s">
        <v>2910</v>
      </c>
      <c r="P130" s="412" t="s">
        <v>2915</v>
      </c>
      <c r="Q130" s="413"/>
      <c r="R130" s="211">
        <v>35735</v>
      </c>
      <c r="S130" s="414" t="s">
        <v>2250</v>
      </c>
      <c r="T130" s="415"/>
      <c r="U130" s="62">
        <v>1</v>
      </c>
      <c r="V130" s="62"/>
      <c r="W130" s="62">
        <v>1</v>
      </c>
      <c r="X130" s="62"/>
      <c r="Y130" s="62"/>
      <c r="Z130" s="62"/>
      <c r="AA130" s="62"/>
      <c r="AB130" s="62"/>
    </row>
    <row r="131" spans="1:28" ht="15.6" customHeight="1" x14ac:dyDescent="0.2">
      <c r="A131" s="408">
        <v>130</v>
      </c>
      <c r="B131" s="409" t="str">
        <f t="shared" si="2"/>
        <v>Senecio halimifolius</v>
      </c>
      <c r="C131" s="410" t="s">
        <v>703</v>
      </c>
      <c r="D131" s="75" t="s">
        <v>2335</v>
      </c>
      <c r="E131" s="75" t="s">
        <v>787</v>
      </c>
      <c r="F131" s="75" t="s">
        <v>792</v>
      </c>
      <c r="G131" s="411" t="s">
        <v>3076</v>
      </c>
      <c r="H131" s="66" t="s">
        <v>3258</v>
      </c>
      <c r="I131" s="144">
        <v>2</v>
      </c>
      <c r="J131" s="144">
        <v>4</v>
      </c>
      <c r="K131" s="144">
        <v>3</v>
      </c>
      <c r="L131" s="144">
        <v>2</v>
      </c>
      <c r="M131" s="144">
        <v>2</v>
      </c>
      <c r="N131" s="144">
        <v>3</v>
      </c>
      <c r="O131" s="412" t="s">
        <v>2168</v>
      </c>
      <c r="P131" s="412" t="s">
        <v>3032</v>
      </c>
      <c r="Q131" s="413"/>
      <c r="R131" s="211">
        <v>35612</v>
      </c>
      <c r="S131" s="414"/>
      <c r="T131" s="415">
        <v>1</v>
      </c>
      <c r="U131" s="62"/>
      <c r="V131" s="62"/>
      <c r="W131" s="62"/>
      <c r="X131" s="62"/>
      <c r="Y131" s="62"/>
      <c r="Z131" s="62"/>
      <c r="AA131" s="62">
        <v>1</v>
      </c>
      <c r="AB131" s="62"/>
    </row>
    <row r="132" spans="1:28" ht="15.6" customHeight="1" x14ac:dyDescent="0.2">
      <c r="A132" s="408">
        <v>131</v>
      </c>
      <c r="B132" s="409" t="str">
        <f t="shared" si="2"/>
        <v>Senecio hastifolius</v>
      </c>
      <c r="C132" s="410" t="s">
        <v>703</v>
      </c>
      <c r="E132" s="75" t="s">
        <v>787</v>
      </c>
      <c r="F132" s="75" t="s">
        <v>794</v>
      </c>
      <c r="G132" s="411" t="s">
        <v>3077</v>
      </c>
      <c r="H132" s="66" t="s">
        <v>3268</v>
      </c>
      <c r="I132" s="144">
        <v>3</v>
      </c>
      <c r="J132" s="144">
        <v>6</v>
      </c>
      <c r="K132" s="144">
        <v>4</v>
      </c>
      <c r="L132" s="144">
        <v>4</v>
      </c>
      <c r="M132" s="144">
        <v>1</v>
      </c>
      <c r="N132" s="144">
        <v>4</v>
      </c>
      <c r="O132" s="412" t="s">
        <v>2910</v>
      </c>
      <c r="P132" s="412" t="s">
        <v>3032</v>
      </c>
      <c r="Q132" s="413"/>
      <c r="R132" s="211">
        <v>36586</v>
      </c>
      <c r="S132" s="414"/>
      <c r="T132" s="415">
        <v>1</v>
      </c>
      <c r="U132" s="62"/>
      <c r="V132" s="62"/>
      <c r="W132" s="62"/>
      <c r="X132" s="62">
        <v>1</v>
      </c>
      <c r="Y132" s="62"/>
      <c r="Z132" s="62"/>
      <c r="AA132" s="62"/>
      <c r="AB132" s="62"/>
    </row>
    <row r="133" spans="1:28" ht="15.6" customHeight="1" x14ac:dyDescent="0.2">
      <c r="A133" s="408">
        <v>132</v>
      </c>
      <c r="B133" s="409" t="str">
        <f t="shared" si="2"/>
        <v>Senecio lanifer</v>
      </c>
      <c r="C133" s="410" t="s">
        <v>703</v>
      </c>
      <c r="E133" s="75" t="s">
        <v>787</v>
      </c>
      <c r="F133" s="75" t="s">
        <v>795</v>
      </c>
      <c r="G133" s="411" t="s">
        <v>3078</v>
      </c>
      <c r="H133" s="66" t="s">
        <v>3269</v>
      </c>
      <c r="I133" s="144">
        <v>3</v>
      </c>
      <c r="J133" s="144">
        <v>5</v>
      </c>
      <c r="K133" s="144">
        <v>4</v>
      </c>
      <c r="L133" s="144">
        <v>4</v>
      </c>
      <c r="M133" s="144">
        <v>1</v>
      </c>
      <c r="N133" s="144">
        <v>3</v>
      </c>
      <c r="O133" s="412" t="s">
        <v>2914</v>
      </c>
      <c r="P133" s="412" t="s">
        <v>3032</v>
      </c>
      <c r="Q133" s="413"/>
      <c r="R133" s="211">
        <v>37500</v>
      </c>
      <c r="S133" s="414"/>
      <c r="T133" s="415">
        <v>1</v>
      </c>
      <c r="U133" s="62"/>
      <c r="V133" s="62"/>
      <c r="W133" s="62"/>
      <c r="X133" s="62">
        <v>1</v>
      </c>
      <c r="Y133" s="62"/>
      <c r="Z133" s="62"/>
      <c r="AA133" s="62"/>
      <c r="AB133" s="62"/>
    </row>
    <row r="134" spans="1:28" ht="15.6" customHeight="1" x14ac:dyDescent="0.2">
      <c r="A134" s="408">
        <v>133</v>
      </c>
      <c r="B134" s="409" t="str">
        <f t="shared" si="2"/>
        <v>Senecio littoreus</v>
      </c>
      <c r="C134" s="410" t="s">
        <v>703</v>
      </c>
      <c r="D134" s="75" t="s">
        <v>2336</v>
      </c>
      <c r="E134" s="75" t="s">
        <v>787</v>
      </c>
      <c r="F134" s="75" t="s">
        <v>796</v>
      </c>
      <c r="G134" s="411" t="s">
        <v>3079</v>
      </c>
      <c r="H134" s="66" t="s">
        <v>3246</v>
      </c>
      <c r="I134" s="144">
        <v>6</v>
      </c>
      <c r="J134" s="144">
        <v>6</v>
      </c>
      <c r="K134" s="144">
        <v>3</v>
      </c>
      <c r="L134" s="144">
        <v>2</v>
      </c>
      <c r="M134" s="144">
        <v>1</v>
      </c>
      <c r="N134" s="144">
        <v>3</v>
      </c>
      <c r="O134" s="412" t="s">
        <v>2910</v>
      </c>
      <c r="P134" s="412" t="s">
        <v>2915</v>
      </c>
      <c r="Q134" s="413"/>
      <c r="R134" s="211">
        <v>36861</v>
      </c>
      <c r="S134" s="414"/>
      <c r="T134" s="415">
        <v>1</v>
      </c>
      <c r="U134" s="62"/>
      <c r="V134" s="62"/>
      <c r="W134" s="62"/>
      <c r="X134" s="62">
        <v>1</v>
      </c>
      <c r="Y134" s="62"/>
      <c r="Z134" s="62"/>
      <c r="AA134" s="62"/>
      <c r="AB134" s="62"/>
    </row>
    <row r="135" spans="1:28" ht="15.6" customHeight="1" x14ac:dyDescent="0.2">
      <c r="A135" s="408">
        <v>134</v>
      </c>
      <c r="B135" s="409" t="str">
        <f t="shared" si="2"/>
        <v>Senecio mimetes</v>
      </c>
      <c r="C135" s="410" t="s">
        <v>703</v>
      </c>
      <c r="E135" s="75" t="s">
        <v>787</v>
      </c>
      <c r="F135" s="75" t="s">
        <v>797</v>
      </c>
      <c r="G135" s="411" t="s">
        <v>3080</v>
      </c>
      <c r="H135" s="66" t="s">
        <v>3270</v>
      </c>
      <c r="I135" s="144">
        <v>3</v>
      </c>
      <c r="J135" s="144">
        <v>3</v>
      </c>
      <c r="K135" s="144">
        <v>3</v>
      </c>
      <c r="L135" s="144">
        <v>2</v>
      </c>
      <c r="M135" s="144">
        <v>1</v>
      </c>
      <c r="N135" s="144">
        <v>1</v>
      </c>
      <c r="O135" s="412" t="s">
        <v>2914</v>
      </c>
      <c r="P135" s="412" t="s">
        <v>3032</v>
      </c>
      <c r="Q135" s="413"/>
      <c r="S135" s="414"/>
      <c r="T135" s="415">
        <v>1</v>
      </c>
      <c r="U135" s="62">
        <v>1</v>
      </c>
      <c r="V135" s="62"/>
      <c r="W135" s="62"/>
      <c r="X135" s="62"/>
      <c r="Y135" s="62"/>
      <c r="Z135" s="62"/>
      <c r="AA135" s="62"/>
      <c r="AB135" s="62"/>
    </row>
    <row r="136" spans="1:28" ht="15.6" customHeight="1" x14ac:dyDescent="0.2">
      <c r="A136" s="408">
        <v>135</v>
      </c>
      <c r="B136" s="409" t="str">
        <f t="shared" si="2"/>
        <v>Senecio pillansii</v>
      </c>
      <c r="C136" s="410" t="s">
        <v>703</v>
      </c>
      <c r="E136" s="75" t="s">
        <v>787</v>
      </c>
      <c r="F136" s="75" t="s">
        <v>798</v>
      </c>
      <c r="G136" s="411" t="s">
        <v>3081</v>
      </c>
      <c r="H136" s="66" t="s">
        <v>3215</v>
      </c>
      <c r="I136" s="144">
        <v>2</v>
      </c>
      <c r="J136" s="144">
        <v>6</v>
      </c>
      <c r="K136" s="144">
        <v>3</v>
      </c>
      <c r="L136" s="144">
        <v>3</v>
      </c>
      <c r="M136" s="144">
        <v>1</v>
      </c>
      <c r="N136" s="144">
        <v>4</v>
      </c>
      <c r="O136" s="412" t="s">
        <v>3031</v>
      </c>
      <c r="P136" s="412" t="s">
        <v>3032</v>
      </c>
      <c r="Q136" s="413"/>
      <c r="R136" s="211">
        <v>36892</v>
      </c>
      <c r="S136" s="414"/>
      <c r="T136" s="415"/>
      <c r="U136" s="62">
        <v>1</v>
      </c>
      <c r="V136" s="62"/>
      <c r="W136" s="62"/>
      <c r="X136" s="62"/>
      <c r="Y136" s="62"/>
      <c r="Z136" s="62"/>
      <c r="AA136" s="62"/>
      <c r="AB136" s="62"/>
    </row>
    <row r="137" spans="1:28" ht="15.6" customHeight="1" x14ac:dyDescent="0.2">
      <c r="A137" s="408">
        <v>136</v>
      </c>
      <c r="B137" s="409" t="str">
        <f t="shared" si="2"/>
        <v>Senecio pubigerus</v>
      </c>
      <c r="C137" s="410" t="s">
        <v>703</v>
      </c>
      <c r="D137" s="75" t="s">
        <v>2157</v>
      </c>
      <c r="E137" s="75" t="s">
        <v>787</v>
      </c>
      <c r="F137" s="75" t="s">
        <v>799</v>
      </c>
      <c r="G137" s="411" t="s">
        <v>3082</v>
      </c>
      <c r="H137" s="66" t="s">
        <v>3263</v>
      </c>
      <c r="I137" s="144">
        <v>2</v>
      </c>
      <c r="J137" s="144">
        <v>5</v>
      </c>
      <c r="K137" s="144">
        <v>4</v>
      </c>
      <c r="L137" s="144">
        <v>2</v>
      </c>
      <c r="M137" s="144">
        <v>1</v>
      </c>
      <c r="N137" s="144">
        <v>4</v>
      </c>
      <c r="O137" s="412" t="s">
        <v>2168</v>
      </c>
      <c r="P137" s="412" t="s">
        <v>3032</v>
      </c>
      <c r="Q137" s="413"/>
      <c r="S137" s="414"/>
      <c r="T137" s="415">
        <v>1</v>
      </c>
      <c r="U137" s="62">
        <v>1</v>
      </c>
      <c r="V137" s="62"/>
      <c r="W137" s="62"/>
      <c r="X137" s="62"/>
      <c r="Y137" s="62"/>
      <c r="Z137" s="62"/>
      <c r="AA137" s="62"/>
      <c r="AB137" s="62"/>
    </row>
    <row r="138" spans="1:28" ht="15.6" customHeight="1" x14ac:dyDescent="0.2">
      <c r="A138" s="408">
        <v>137</v>
      </c>
      <c r="B138" s="409" t="str">
        <f t="shared" si="2"/>
        <v>Senecio purpureus</v>
      </c>
      <c r="C138" s="410" t="s">
        <v>703</v>
      </c>
      <c r="E138" s="75" t="s">
        <v>787</v>
      </c>
      <c r="F138" s="75" t="s">
        <v>800</v>
      </c>
      <c r="G138" s="411" t="s">
        <v>3083</v>
      </c>
      <c r="H138" s="66" t="s">
        <v>3269</v>
      </c>
      <c r="I138" s="144">
        <v>3</v>
      </c>
      <c r="J138" s="144">
        <v>5</v>
      </c>
      <c r="K138" s="144">
        <v>4</v>
      </c>
      <c r="L138" s="144">
        <v>4</v>
      </c>
      <c r="M138" s="144">
        <v>1</v>
      </c>
      <c r="N138" s="144">
        <v>3</v>
      </c>
      <c r="O138" s="412" t="s">
        <v>2910</v>
      </c>
      <c r="P138" s="412" t="s">
        <v>2915</v>
      </c>
      <c r="Q138" s="413"/>
      <c r="R138" s="211">
        <v>35612</v>
      </c>
      <c r="S138" s="414"/>
      <c r="T138" s="415">
        <v>1</v>
      </c>
      <c r="U138" s="62"/>
      <c r="V138" s="62"/>
      <c r="W138" s="62">
        <v>1</v>
      </c>
      <c r="X138" s="62">
        <v>1</v>
      </c>
      <c r="Y138" s="62"/>
      <c r="Z138" s="62"/>
      <c r="AA138" s="62"/>
      <c r="AB138" s="62"/>
    </row>
    <row r="139" spans="1:28" ht="15.6" customHeight="1" x14ac:dyDescent="0.2">
      <c r="A139" s="408">
        <v>138</v>
      </c>
      <c r="B139" s="409" t="str">
        <f t="shared" si="2"/>
        <v>Senecio rigidus</v>
      </c>
      <c r="C139" s="410" t="s">
        <v>703</v>
      </c>
      <c r="D139" s="75" t="s">
        <v>0</v>
      </c>
      <c r="E139" s="75" t="s">
        <v>787</v>
      </c>
      <c r="F139" s="75" t="s">
        <v>801</v>
      </c>
      <c r="G139" s="411" t="s">
        <v>3084</v>
      </c>
      <c r="H139" s="66" t="s">
        <v>3239</v>
      </c>
      <c r="I139" s="144">
        <v>2</v>
      </c>
      <c r="J139" s="144">
        <v>4</v>
      </c>
      <c r="K139" s="144">
        <v>4</v>
      </c>
      <c r="L139" s="144">
        <v>2</v>
      </c>
      <c r="M139" s="144">
        <v>1</v>
      </c>
      <c r="N139" s="144">
        <v>3</v>
      </c>
      <c r="O139" s="412" t="s">
        <v>2914</v>
      </c>
      <c r="P139" s="412" t="s">
        <v>3032</v>
      </c>
      <c r="Q139" s="413"/>
      <c r="R139" s="211">
        <v>36892</v>
      </c>
      <c r="S139" s="414"/>
      <c r="T139" s="415">
        <v>1</v>
      </c>
      <c r="U139" s="62"/>
      <c r="V139" s="62"/>
      <c r="W139" s="62"/>
      <c r="X139" s="62"/>
      <c r="Y139" s="62"/>
      <c r="Z139" s="62"/>
      <c r="AA139" s="62">
        <v>1</v>
      </c>
      <c r="AB139" s="62"/>
    </row>
    <row r="140" spans="1:28" ht="15.6" customHeight="1" x14ac:dyDescent="0.2">
      <c r="A140" s="408">
        <v>139</v>
      </c>
      <c r="B140" s="409" t="str">
        <f t="shared" si="2"/>
        <v>Senecio rosmarinifolius</v>
      </c>
      <c r="C140" s="410" t="s">
        <v>703</v>
      </c>
      <c r="E140" s="75" t="s">
        <v>787</v>
      </c>
      <c r="F140" s="75" t="s">
        <v>802</v>
      </c>
      <c r="G140" s="411" t="s">
        <v>3085</v>
      </c>
      <c r="H140" s="66" t="s">
        <v>3271</v>
      </c>
      <c r="I140" s="144">
        <v>2</v>
      </c>
      <c r="J140" s="144">
        <v>5</v>
      </c>
      <c r="K140" s="144">
        <v>3</v>
      </c>
      <c r="L140" s="144">
        <v>3</v>
      </c>
      <c r="M140" s="144">
        <v>1</v>
      </c>
      <c r="N140" s="144">
        <v>3</v>
      </c>
      <c r="O140" s="412" t="s">
        <v>2914</v>
      </c>
      <c r="P140" s="412" t="s">
        <v>3032</v>
      </c>
      <c r="Q140" s="413"/>
      <c r="S140" s="414"/>
      <c r="T140" s="415">
        <v>1</v>
      </c>
      <c r="U140" s="62">
        <v>1</v>
      </c>
      <c r="V140" s="62"/>
      <c r="W140" s="62"/>
      <c r="X140" s="62"/>
      <c r="Y140" s="62"/>
      <c r="Z140" s="62"/>
      <c r="AA140" s="62"/>
      <c r="AB140" s="62"/>
    </row>
    <row r="141" spans="1:28" ht="15.6" customHeight="1" x14ac:dyDescent="0.2">
      <c r="A141" s="408">
        <v>140</v>
      </c>
      <c r="B141" s="409" t="str">
        <f t="shared" si="2"/>
        <v>Senecio sophiodes</v>
      </c>
      <c r="C141" s="410" t="s">
        <v>703</v>
      </c>
      <c r="E141" s="75" t="s">
        <v>787</v>
      </c>
      <c r="F141" s="75" t="s">
        <v>803</v>
      </c>
      <c r="G141" s="411" t="s">
        <v>3086</v>
      </c>
      <c r="H141" s="66" t="s">
        <v>3272</v>
      </c>
      <c r="I141" s="144">
        <v>6</v>
      </c>
      <c r="J141" s="144">
        <v>6</v>
      </c>
      <c r="K141" s="144">
        <v>9</v>
      </c>
      <c r="L141" s="144">
        <v>4</v>
      </c>
      <c r="M141" s="144">
        <v>1</v>
      </c>
      <c r="N141" s="144">
        <v>9</v>
      </c>
      <c r="O141" s="412" t="s">
        <v>2910</v>
      </c>
      <c r="P141" s="412" t="s">
        <v>2915</v>
      </c>
      <c r="Q141" s="413"/>
      <c r="R141" s="211">
        <v>35612</v>
      </c>
      <c r="S141" s="414" t="s">
        <v>2250</v>
      </c>
      <c r="T141" s="415"/>
      <c r="U141" s="62">
        <v>1</v>
      </c>
      <c r="V141" s="62">
        <v>1</v>
      </c>
      <c r="W141" s="62"/>
      <c r="X141" s="62"/>
      <c r="Y141" s="62"/>
      <c r="Z141" s="62"/>
      <c r="AA141" s="62"/>
      <c r="AB141" s="62"/>
    </row>
    <row r="142" spans="1:28" ht="15.6" customHeight="1" x14ac:dyDescent="0.2">
      <c r="A142" s="408">
        <v>141</v>
      </c>
      <c r="B142" s="409" t="str">
        <f t="shared" si="2"/>
        <v>Senecio triqueter</v>
      </c>
      <c r="C142" s="410" t="s">
        <v>703</v>
      </c>
      <c r="E142" s="75" t="s">
        <v>787</v>
      </c>
      <c r="F142" s="75" t="s">
        <v>804</v>
      </c>
      <c r="G142" s="411" t="s">
        <v>3087</v>
      </c>
      <c r="H142" s="66" t="s">
        <v>3215</v>
      </c>
      <c r="I142" s="144">
        <v>2</v>
      </c>
      <c r="J142" s="144">
        <v>6</v>
      </c>
      <c r="K142" s="144">
        <v>3</v>
      </c>
      <c r="L142" s="144">
        <v>3</v>
      </c>
      <c r="M142" s="144">
        <v>2</v>
      </c>
      <c r="N142" s="144">
        <v>5</v>
      </c>
      <c r="O142" s="412" t="s">
        <v>3031</v>
      </c>
      <c r="P142" s="412" t="s">
        <v>3032</v>
      </c>
      <c r="Q142" s="413"/>
      <c r="R142" s="211">
        <v>35612</v>
      </c>
      <c r="S142" s="414"/>
      <c r="T142" s="415">
        <v>1</v>
      </c>
      <c r="U142" s="62"/>
      <c r="V142" s="62"/>
      <c r="W142" s="62"/>
      <c r="X142" s="62">
        <v>1</v>
      </c>
      <c r="Y142" s="62"/>
      <c r="Z142" s="62"/>
      <c r="AA142" s="62"/>
      <c r="AB142" s="62"/>
    </row>
    <row r="143" spans="1:28" ht="15.6" customHeight="1" x14ac:dyDescent="0.2">
      <c r="A143" s="408">
        <v>142</v>
      </c>
      <c r="B143" s="409" t="str">
        <f t="shared" si="2"/>
        <v>Stoebe cinerea</v>
      </c>
      <c r="C143" s="410" t="s">
        <v>703</v>
      </c>
      <c r="D143" s="75" t="s">
        <v>1</v>
      </c>
      <c r="E143" s="75" t="s">
        <v>805</v>
      </c>
      <c r="F143" s="75" t="s">
        <v>806</v>
      </c>
      <c r="G143" s="411" t="s">
        <v>3088</v>
      </c>
      <c r="H143" s="66" t="s">
        <v>3273</v>
      </c>
      <c r="I143" s="144">
        <v>2</v>
      </c>
      <c r="J143" s="144">
        <v>4</v>
      </c>
      <c r="K143" s="144" t="s">
        <v>2690</v>
      </c>
      <c r="L143" s="144">
        <v>3</v>
      </c>
      <c r="M143" s="144">
        <v>2</v>
      </c>
      <c r="N143" s="144" t="s">
        <v>2690</v>
      </c>
      <c r="O143" s="412" t="s">
        <v>2168</v>
      </c>
      <c r="P143" s="412" t="s">
        <v>3032</v>
      </c>
      <c r="Q143" s="413"/>
      <c r="R143" s="211">
        <v>36923</v>
      </c>
      <c r="S143" s="414" t="s">
        <v>2250</v>
      </c>
      <c r="T143" s="415"/>
      <c r="U143" s="62"/>
      <c r="V143" s="62"/>
      <c r="W143" s="62"/>
      <c r="X143" s="62">
        <v>1</v>
      </c>
      <c r="Y143" s="62"/>
      <c r="Z143" s="62"/>
      <c r="AA143" s="62"/>
      <c r="AB143" s="62"/>
    </row>
    <row r="144" spans="1:28" ht="15.6" customHeight="1" x14ac:dyDescent="0.2">
      <c r="A144" s="408">
        <v>143</v>
      </c>
      <c r="B144" s="409" t="str">
        <f t="shared" si="2"/>
        <v>Stoebe incana</v>
      </c>
      <c r="C144" s="410" t="s">
        <v>703</v>
      </c>
      <c r="E144" s="75" t="s">
        <v>805</v>
      </c>
      <c r="F144" s="75" t="s">
        <v>807</v>
      </c>
      <c r="G144" s="411" t="s">
        <v>3089</v>
      </c>
      <c r="H144" s="66" t="s">
        <v>3248</v>
      </c>
      <c r="I144" s="144">
        <v>2</v>
      </c>
      <c r="J144" s="144">
        <v>5</v>
      </c>
      <c r="K144" s="144">
        <v>2</v>
      </c>
      <c r="L144" s="144">
        <v>3</v>
      </c>
      <c r="M144" s="144">
        <v>2</v>
      </c>
      <c r="N144" s="144">
        <v>5</v>
      </c>
      <c r="O144" s="412" t="s">
        <v>2914</v>
      </c>
      <c r="P144" s="412" t="s">
        <v>3032</v>
      </c>
      <c r="Q144" s="413"/>
      <c r="R144" s="211">
        <v>35612</v>
      </c>
      <c r="S144" s="414"/>
      <c r="T144" s="415">
        <v>1</v>
      </c>
      <c r="U144" s="62"/>
      <c r="V144" s="62"/>
      <c r="W144" s="62">
        <v>1</v>
      </c>
      <c r="X144" s="62">
        <v>1</v>
      </c>
      <c r="Y144" s="62"/>
      <c r="Z144" s="62"/>
      <c r="AA144" s="62"/>
      <c r="AB144" s="62"/>
    </row>
    <row r="145" spans="1:28" ht="15.6" customHeight="1" x14ac:dyDescent="0.2">
      <c r="A145" s="408">
        <v>144</v>
      </c>
      <c r="B145" s="409" t="str">
        <f t="shared" si="2"/>
        <v>Stoebe plumosa</v>
      </c>
      <c r="C145" s="410" t="s">
        <v>703</v>
      </c>
      <c r="D145" s="75" t="s">
        <v>2</v>
      </c>
      <c r="E145" s="75" t="s">
        <v>805</v>
      </c>
      <c r="F145" s="75" t="s">
        <v>808</v>
      </c>
      <c r="G145" s="411" t="s">
        <v>3090</v>
      </c>
      <c r="H145" s="66" t="s">
        <v>3248</v>
      </c>
      <c r="I145" s="144">
        <v>2</v>
      </c>
      <c r="J145" s="144">
        <v>5</v>
      </c>
      <c r="K145" s="144">
        <v>2</v>
      </c>
      <c r="L145" s="144">
        <v>6</v>
      </c>
      <c r="M145" s="144">
        <v>2</v>
      </c>
      <c r="N145" s="144">
        <v>5</v>
      </c>
      <c r="O145" s="412" t="s">
        <v>2168</v>
      </c>
      <c r="P145" s="412" t="s">
        <v>3032</v>
      </c>
      <c r="Q145" s="413"/>
      <c r="R145" s="211">
        <v>35612</v>
      </c>
      <c r="S145" s="414"/>
      <c r="T145" s="415">
        <v>1</v>
      </c>
      <c r="U145" s="62">
        <v>1</v>
      </c>
      <c r="V145" s="62"/>
      <c r="W145" s="62">
        <v>1</v>
      </c>
      <c r="X145" s="62">
        <v>1</v>
      </c>
      <c r="Y145" s="62"/>
      <c r="Z145" s="62"/>
      <c r="AA145" s="62"/>
      <c r="AB145" s="62"/>
    </row>
    <row r="146" spans="1:28" ht="15.6" customHeight="1" x14ac:dyDescent="0.2">
      <c r="A146" s="408">
        <v>145</v>
      </c>
      <c r="B146" s="409" t="str">
        <f t="shared" si="2"/>
        <v>Syncarpha argyropsis</v>
      </c>
      <c r="C146" s="410" t="s">
        <v>703</v>
      </c>
      <c r="D146" s="75" t="s">
        <v>3</v>
      </c>
      <c r="E146" s="75" t="s">
        <v>809</v>
      </c>
      <c r="F146" s="75" t="s">
        <v>810</v>
      </c>
      <c r="G146" s="411" t="s">
        <v>3091</v>
      </c>
      <c r="H146" s="66" t="s">
        <v>3223</v>
      </c>
      <c r="I146" s="144">
        <v>2</v>
      </c>
      <c r="J146" s="144">
        <v>5</v>
      </c>
      <c r="K146" s="144">
        <v>2</v>
      </c>
      <c r="L146" s="144">
        <v>2</v>
      </c>
      <c r="M146" s="144">
        <v>1</v>
      </c>
      <c r="N146" s="144">
        <v>3</v>
      </c>
      <c r="O146" s="412" t="s">
        <v>2914</v>
      </c>
      <c r="P146" s="412" t="s">
        <v>3032</v>
      </c>
      <c r="Q146" s="413"/>
      <c r="R146" s="211">
        <v>35612</v>
      </c>
      <c r="S146" s="414"/>
      <c r="T146" s="415">
        <v>1</v>
      </c>
      <c r="U146" s="62"/>
      <c r="V146" s="62">
        <v>1</v>
      </c>
      <c r="W146" s="62"/>
      <c r="X146" s="62"/>
      <c r="Y146" s="62"/>
      <c r="Z146" s="62"/>
      <c r="AA146" s="62"/>
      <c r="AB146" s="62"/>
    </row>
    <row r="147" spans="1:28" ht="15.6" customHeight="1" x14ac:dyDescent="0.2">
      <c r="A147" s="408">
        <v>146</v>
      </c>
      <c r="B147" s="409" t="str">
        <f t="shared" si="2"/>
        <v>Syncarpha canescens</v>
      </c>
      <c r="C147" s="410" t="s">
        <v>703</v>
      </c>
      <c r="D147" s="75" t="s">
        <v>4</v>
      </c>
      <c r="E147" s="75" t="s">
        <v>809</v>
      </c>
      <c r="F147" s="75" t="s">
        <v>811</v>
      </c>
      <c r="G147" s="411" t="s">
        <v>3092</v>
      </c>
      <c r="H147" s="66" t="s">
        <v>3215</v>
      </c>
      <c r="I147" s="144">
        <v>2</v>
      </c>
      <c r="J147" s="144">
        <v>6</v>
      </c>
      <c r="K147" s="144">
        <v>9</v>
      </c>
      <c r="L147" s="144">
        <v>2</v>
      </c>
      <c r="M147" s="144">
        <v>1</v>
      </c>
      <c r="N147" s="144">
        <v>5</v>
      </c>
      <c r="O147" s="412" t="s">
        <v>2165</v>
      </c>
      <c r="P147" s="412" t="s">
        <v>3032</v>
      </c>
      <c r="Q147" s="413"/>
      <c r="R147" s="211">
        <v>35431</v>
      </c>
      <c r="S147" s="414" t="s">
        <v>2250</v>
      </c>
      <c r="T147" s="415"/>
      <c r="U147" s="62"/>
      <c r="V147" s="62">
        <v>1</v>
      </c>
      <c r="W147" s="62"/>
      <c r="X147" s="62"/>
      <c r="Y147" s="62"/>
      <c r="Z147" s="62"/>
      <c r="AA147" s="62"/>
      <c r="AB147" s="62"/>
    </row>
    <row r="148" spans="1:28" ht="15.6" customHeight="1" x14ac:dyDescent="0.2">
      <c r="A148" s="408">
        <v>147</v>
      </c>
      <c r="B148" s="409" t="str">
        <f t="shared" si="2"/>
        <v>Syncarpha gnaphaloides</v>
      </c>
      <c r="C148" s="410" t="s">
        <v>703</v>
      </c>
      <c r="E148" s="75" t="s">
        <v>809</v>
      </c>
      <c r="F148" s="75" t="s">
        <v>812</v>
      </c>
      <c r="G148" s="411" t="s">
        <v>3093</v>
      </c>
      <c r="H148" s="66" t="s">
        <v>3267</v>
      </c>
      <c r="I148" s="144">
        <v>2</v>
      </c>
      <c r="J148" s="144">
        <v>6</v>
      </c>
      <c r="K148" s="144">
        <v>3</v>
      </c>
      <c r="L148" s="144">
        <v>3</v>
      </c>
      <c r="M148" s="144">
        <v>1</v>
      </c>
      <c r="N148" s="144">
        <v>3</v>
      </c>
      <c r="O148" s="412" t="s">
        <v>3031</v>
      </c>
      <c r="P148" s="412" t="s">
        <v>3032</v>
      </c>
      <c r="Q148" s="413"/>
      <c r="R148" s="211">
        <v>37316</v>
      </c>
      <c r="S148" s="414"/>
      <c r="T148" s="415">
        <v>1</v>
      </c>
      <c r="U148" s="62"/>
      <c r="V148" s="62"/>
      <c r="W148" s="62"/>
      <c r="X148" s="62">
        <v>1</v>
      </c>
      <c r="Y148" s="62"/>
      <c r="Z148" s="62"/>
      <c r="AA148" s="62"/>
      <c r="AB148" s="62"/>
    </row>
    <row r="149" spans="1:28" ht="15.6" customHeight="1" x14ac:dyDescent="0.2">
      <c r="A149" s="408">
        <v>148</v>
      </c>
      <c r="B149" s="409" t="str">
        <f t="shared" si="2"/>
        <v>Trichogyne repens</v>
      </c>
      <c r="C149" s="410" t="s">
        <v>703</v>
      </c>
      <c r="D149" s="75" t="s">
        <v>5</v>
      </c>
      <c r="E149" s="75" t="s">
        <v>813</v>
      </c>
      <c r="F149" s="75" t="s">
        <v>814</v>
      </c>
      <c r="G149" s="411" t="s">
        <v>3094</v>
      </c>
      <c r="H149" s="66" t="s">
        <v>3215</v>
      </c>
      <c r="I149" s="144">
        <v>2</v>
      </c>
      <c r="J149" s="144">
        <v>6</v>
      </c>
      <c r="K149" s="144">
        <v>3</v>
      </c>
      <c r="L149" s="144">
        <v>3</v>
      </c>
      <c r="M149" s="144">
        <v>2</v>
      </c>
      <c r="N149" s="144">
        <v>5</v>
      </c>
      <c r="O149" s="412" t="s">
        <v>3031</v>
      </c>
      <c r="P149" s="412" t="s">
        <v>3032</v>
      </c>
      <c r="Q149" s="413"/>
      <c r="R149" s="211">
        <v>35612</v>
      </c>
      <c r="S149" s="414"/>
      <c r="T149" s="415">
        <v>1</v>
      </c>
      <c r="U149" s="62">
        <v>1</v>
      </c>
      <c r="V149" s="62"/>
      <c r="W149" s="62"/>
      <c r="X149" s="62"/>
      <c r="Y149" s="62"/>
      <c r="Z149" s="62"/>
      <c r="AA149" s="62"/>
      <c r="AB149" s="62"/>
    </row>
    <row r="150" spans="1:28" ht="15.6" customHeight="1" x14ac:dyDescent="0.2">
      <c r="A150" s="408">
        <v>149</v>
      </c>
      <c r="B150" s="409" t="str">
        <f t="shared" si="2"/>
        <v>Ursinia anthemoides ssp. anthemoides</v>
      </c>
      <c r="C150" s="410" t="s">
        <v>703</v>
      </c>
      <c r="D150" s="75" t="s">
        <v>6</v>
      </c>
      <c r="E150" s="75" t="s">
        <v>815</v>
      </c>
      <c r="F150" s="430" t="s">
        <v>466</v>
      </c>
      <c r="G150" s="411" t="s">
        <v>3095</v>
      </c>
      <c r="H150" s="66" t="s">
        <v>3235</v>
      </c>
      <c r="I150" s="144">
        <v>6</v>
      </c>
      <c r="J150" s="144">
        <v>6</v>
      </c>
      <c r="K150" s="144">
        <v>4</v>
      </c>
      <c r="L150" s="144">
        <v>5</v>
      </c>
      <c r="M150" s="144">
        <v>1</v>
      </c>
      <c r="N150" s="144">
        <v>3</v>
      </c>
      <c r="O150" s="412" t="s">
        <v>2910</v>
      </c>
      <c r="P150" s="412" t="s">
        <v>2915</v>
      </c>
      <c r="Q150" s="413"/>
      <c r="R150" s="211">
        <v>37165</v>
      </c>
      <c r="S150" s="414"/>
      <c r="T150" s="415">
        <v>1</v>
      </c>
      <c r="U150" s="62"/>
      <c r="V150" s="62"/>
      <c r="W150" s="62"/>
      <c r="X150" s="62">
        <v>1</v>
      </c>
      <c r="Y150" s="62"/>
      <c r="Z150" s="62"/>
      <c r="AA150" s="62"/>
      <c r="AB150" s="62"/>
    </row>
    <row r="151" spans="1:28" ht="15.6" customHeight="1" x14ac:dyDescent="0.2">
      <c r="A151" s="408">
        <v>150</v>
      </c>
      <c r="B151" s="409" t="str">
        <f t="shared" si="2"/>
        <v>Ursinia dentata</v>
      </c>
      <c r="C151" s="410" t="s">
        <v>703</v>
      </c>
      <c r="E151" s="75" t="s">
        <v>815</v>
      </c>
      <c r="F151" s="75" t="s">
        <v>712</v>
      </c>
      <c r="G151" s="411" t="s">
        <v>3096</v>
      </c>
      <c r="H151" s="66" t="s">
        <v>3274</v>
      </c>
      <c r="I151" s="144">
        <v>2</v>
      </c>
      <c r="J151" s="144">
        <v>6</v>
      </c>
      <c r="K151" s="144">
        <v>3</v>
      </c>
      <c r="L151" s="144">
        <v>5</v>
      </c>
      <c r="M151" s="144">
        <v>1</v>
      </c>
      <c r="N151" s="144">
        <v>4</v>
      </c>
      <c r="O151" s="412" t="s">
        <v>3031</v>
      </c>
      <c r="P151" s="412" t="s">
        <v>3032</v>
      </c>
      <c r="Q151" s="413"/>
      <c r="R151" s="211">
        <v>35612</v>
      </c>
      <c r="S151" s="414"/>
      <c r="T151" s="415">
        <v>1</v>
      </c>
      <c r="U151" s="62">
        <v>1</v>
      </c>
      <c r="V151" s="62">
        <v>1</v>
      </c>
      <c r="W151" s="62">
        <v>1</v>
      </c>
      <c r="X151" s="62">
        <v>1</v>
      </c>
      <c r="Y151" s="62"/>
      <c r="Z151" s="62"/>
      <c r="AA151" s="62"/>
      <c r="AB151" s="62"/>
    </row>
    <row r="152" spans="1:28" ht="15.6" customHeight="1" x14ac:dyDescent="0.2">
      <c r="A152" s="408">
        <v>151</v>
      </c>
      <c r="B152" s="409" t="str">
        <f t="shared" si="2"/>
        <v>Ursinia nudicaulis</v>
      </c>
      <c r="C152" s="410" t="s">
        <v>703</v>
      </c>
      <c r="E152" s="75" t="s">
        <v>815</v>
      </c>
      <c r="F152" s="75" t="s">
        <v>731</v>
      </c>
      <c r="G152" s="411" t="s">
        <v>3097</v>
      </c>
      <c r="H152" s="66" t="s">
        <v>3274</v>
      </c>
      <c r="I152" s="144">
        <v>2</v>
      </c>
      <c r="J152" s="144">
        <v>6</v>
      </c>
      <c r="K152" s="144">
        <v>4</v>
      </c>
      <c r="L152" s="144">
        <v>5</v>
      </c>
      <c r="M152" s="144">
        <v>1</v>
      </c>
      <c r="N152" s="144">
        <v>3</v>
      </c>
      <c r="O152" s="412" t="s">
        <v>3031</v>
      </c>
      <c r="P152" s="412" t="s">
        <v>3032</v>
      </c>
      <c r="Q152" s="413"/>
      <c r="R152" s="211">
        <v>37561</v>
      </c>
      <c r="S152" s="414"/>
      <c r="T152" s="415">
        <v>1</v>
      </c>
      <c r="U152" s="62"/>
      <c r="V152" s="62"/>
      <c r="W152" s="62"/>
      <c r="X152" s="62">
        <v>1</v>
      </c>
      <c r="Y152" s="62"/>
      <c r="Z152" s="62"/>
      <c r="AA152" s="62"/>
      <c r="AB152" s="62"/>
    </row>
    <row r="153" spans="1:28" ht="15.6" customHeight="1" x14ac:dyDescent="0.2">
      <c r="A153" s="408">
        <v>152</v>
      </c>
      <c r="B153" s="409" t="str">
        <f t="shared" si="2"/>
        <v>Ursinia paleaecea</v>
      </c>
      <c r="C153" s="410" t="s">
        <v>703</v>
      </c>
      <c r="E153" s="75" t="s">
        <v>815</v>
      </c>
      <c r="F153" s="75" t="s">
        <v>816</v>
      </c>
      <c r="G153" s="411" t="s">
        <v>3098</v>
      </c>
      <c r="H153" s="66" t="s">
        <v>3257</v>
      </c>
      <c r="I153" s="144">
        <v>2</v>
      </c>
      <c r="J153" s="144">
        <v>5</v>
      </c>
      <c r="K153" s="144">
        <v>4</v>
      </c>
      <c r="L153" s="144">
        <v>5</v>
      </c>
      <c r="M153" s="144">
        <v>1</v>
      </c>
      <c r="N153" s="144">
        <v>3</v>
      </c>
      <c r="O153" s="412" t="s">
        <v>2914</v>
      </c>
      <c r="P153" s="412" t="s">
        <v>3032</v>
      </c>
      <c r="Q153" s="413"/>
      <c r="R153" s="211">
        <v>38139</v>
      </c>
      <c r="S153" s="414"/>
      <c r="T153" s="415">
        <v>1</v>
      </c>
      <c r="U153" s="62"/>
      <c r="V153" s="62"/>
      <c r="W153" s="62"/>
      <c r="X153" s="62">
        <v>1</v>
      </c>
      <c r="Y153" s="62"/>
      <c r="Z153" s="62"/>
      <c r="AA153" s="62"/>
      <c r="AB153" s="62"/>
    </row>
    <row r="154" spans="1:28" ht="15.6" customHeight="1" x14ac:dyDescent="0.2">
      <c r="A154" s="408">
        <v>153</v>
      </c>
      <c r="B154" s="409" t="str">
        <f t="shared" si="2"/>
        <v>Ursinia punctata</v>
      </c>
      <c r="C154" s="410" t="s">
        <v>703</v>
      </c>
      <c r="E154" s="75" t="s">
        <v>815</v>
      </c>
      <c r="F154" s="75" t="s">
        <v>817</v>
      </c>
      <c r="G154" s="411" t="s">
        <v>3099</v>
      </c>
      <c r="H154" s="66" t="s">
        <v>3257</v>
      </c>
      <c r="I154" s="144">
        <v>2</v>
      </c>
      <c r="J154" s="144">
        <v>5</v>
      </c>
      <c r="K154" s="144">
        <v>4</v>
      </c>
      <c r="L154" s="144">
        <v>5</v>
      </c>
      <c r="M154" s="144">
        <v>1</v>
      </c>
      <c r="N154" s="144">
        <v>4</v>
      </c>
      <c r="O154" s="412" t="s">
        <v>3031</v>
      </c>
      <c r="P154" s="412" t="s">
        <v>3032</v>
      </c>
      <c r="Q154" s="413"/>
      <c r="R154" s="211">
        <v>35612</v>
      </c>
      <c r="S154" s="414"/>
      <c r="T154" s="415">
        <v>1</v>
      </c>
      <c r="U154" s="62"/>
      <c r="V154" s="62"/>
      <c r="W154" s="62"/>
      <c r="X154" s="62">
        <v>1</v>
      </c>
      <c r="Y154" s="62"/>
      <c r="Z154" s="62"/>
      <c r="AA154" s="62"/>
      <c r="AB154" s="62"/>
    </row>
    <row r="155" spans="1:28" ht="15.6" customHeight="1" x14ac:dyDescent="0.2">
      <c r="A155" s="408">
        <v>154</v>
      </c>
      <c r="B155" s="409" t="str">
        <f t="shared" si="2"/>
        <v>Ursinia tenuifolia ssp. ciliaris</v>
      </c>
      <c r="C155" s="410" t="s">
        <v>703</v>
      </c>
      <c r="E155" s="75" t="s">
        <v>815</v>
      </c>
      <c r="F155" s="75" t="s">
        <v>1867</v>
      </c>
      <c r="G155" s="411" t="s">
        <v>3100</v>
      </c>
      <c r="H155" s="66" t="s">
        <v>3275</v>
      </c>
      <c r="I155" s="144">
        <v>2</v>
      </c>
      <c r="J155" s="144">
        <v>6</v>
      </c>
      <c r="K155" s="144">
        <v>4</v>
      </c>
      <c r="L155" s="144">
        <v>3</v>
      </c>
      <c r="M155" s="144">
        <v>2</v>
      </c>
      <c r="N155" s="144">
        <v>2</v>
      </c>
      <c r="O155" s="412" t="s">
        <v>3031</v>
      </c>
      <c r="P155" s="412" t="s">
        <v>3032</v>
      </c>
      <c r="Q155" s="413"/>
      <c r="R155" s="211">
        <v>37530</v>
      </c>
      <c r="S155" s="414"/>
      <c r="T155" s="415">
        <v>1</v>
      </c>
      <c r="U155" s="62"/>
      <c r="V155" s="62"/>
      <c r="W155" s="62">
        <v>1</v>
      </c>
      <c r="X155" s="62">
        <v>1</v>
      </c>
      <c r="Y155" s="62"/>
      <c r="Z155" s="62"/>
      <c r="AA155" s="62"/>
      <c r="AB155" s="62"/>
    </row>
    <row r="156" spans="1:28" ht="15.6" customHeight="1" x14ac:dyDescent="0.2">
      <c r="A156" s="408">
        <v>155</v>
      </c>
      <c r="B156" s="409" t="str">
        <f t="shared" si="2"/>
        <v>Vellereophyton dealbatum</v>
      </c>
      <c r="C156" s="410" t="s">
        <v>703</v>
      </c>
      <c r="E156" s="75" t="s">
        <v>818</v>
      </c>
      <c r="F156" s="75" t="s">
        <v>819</v>
      </c>
      <c r="G156" s="411" t="s">
        <v>3101</v>
      </c>
      <c r="H156" s="66" t="s">
        <v>3256</v>
      </c>
      <c r="I156" s="144">
        <v>6</v>
      </c>
      <c r="J156" s="144">
        <v>6</v>
      </c>
      <c r="K156" s="144">
        <v>2</v>
      </c>
      <c r="L156" s="144">
        <v>2</v>
      </c>
      <c r="M156" s="144">
        <v>1</v>
      </c>
      <c r="N156" s="144">
        <v>4</v>
      </c>
      <c r="O156" s="412" t="s">
        <v>2910</v>
      </c>
      <c r="P156" s="412" t="s">
        <v>2170</v>
      </c>
      <c r="Q156" s="413"/>
      <c r="R156" s="211">
        <v>35612</v>
      </c>
      <c r="S156" s="414"/>
      <c r="T156" s="415">
        <v>1</v>
      </c>
      <c r="U156" s="62">
        <v>1</v>
      </c>
      <c r="V156" s="62"/>
      <c r="W156" s="62"/>
      <c r="X156" s="62"/>
      <c r="Y156" s="62"/>
      <c r="Z156" s="62"/>
      <c r="AA156" s="62"/>
      <c r="AB156" s="62"/>
    </row>
    <row r="157" spans="1:28" ht="15.6" customHeight="1" x14ac:dyDescent="0.2">
      <c r="A157" s="408">
        <v>156</v>
      </c>
      <c r="B157" s="409" t="str">
        <f t="shared" si="2"/>
        <v>Mystropetalon thomii</v>
      </c>
      <c r="C157" s="410" t="s">
        <v>820</v>
      </c>
      <c r="D157" s="75" t="s">
        <v>7</v>
      </c>
      <c r="E157" s="75" t="s">
        <v>821</v>
      </c>
      <c r="F157" s="75" t="s">
        <v>822</v>
      </c>
      <c r="G157" s="411" t="s">
        <v>3103</v>
      </c>
      <c r="H157" s="66" t="s">
        <v>3276</v>
      </c>
      <c r="I157" s="144">
        <v>9</v>
      </c>
      <c r="J157" s="144">
        <v>6</v>
      </c>
      <c r="K157" s="144">
        <v>0</v>
      </c>
      <c r="L157" s="144">
        <v>7</v>
      </c>
      <c r="M157" s="144">
        <v>0</v>
      </c>
      <c r="N157" s="144">
        <v>0</v>
      </c>
      <c r="O157" s="412" t="s">
        <v>2916</v>
      </c>
      <c r="P157" s="412" t="s">
        <v>3032</v>
      </c>
      <c r="Q157" s="413"/>
      <c r="R157" s="211">
        <v>37347</v>
      </c>
      <c r="S157" s="414"/>
      <c r="T157" s="415">
        <v>1</v>
      </c>
      <c r="U157" s="62"/>
      <c r="V157" s="62"/>
      <c r="W157" s="62">
        <v>1</v>
      </c>
      <c r="X157" s="62"/>
      <c r="Y157" s="62"/>
      <c r="Z157" s="62"/>
      <c r="AA157" s="62"/>
      <c r="AB157" s="62"/>
    </row>
    <row r="158" spans="1:28" ht="15.6" customHeight="1" x14ac:dyDescent="0.2">
      <c r="A158" s="408">
        <v>157</v>
      </c>
      <c r="B158" s="409" t="str">
        <f t="shared" si="2"/>
        <v>Blechnum attenuatum</v>
      </c>
      <c r="C158" s="410" t="s">
        <v>823</v>
      </c>
      <c r="E158" s="75" t="s">
        <v>824</v>
      </c>
      <c r="F158" s="75" t="s">
        <v>825</v>
      </c>
      <c r="G158" s="411" t="s">
        <v>3104</v>
      </c>
      <c r="H158" s="66" t="s">
        <v>3245</v>
      </c>
      <c r="I158" s="144">
        <v>3</v>
      </c>
      <c r="J158" s="144">
        <v>6</v>
      </c>
      <c r="K158" s="144">
        <v>3</v>
      </c>
      <c r="L158" s="144">
        <v>5</v>
      </c>
      <c r="M158" s="144">
        <v>1</v>
      </c>
      <c r="N158" s="144">
        <v>1</v>
      </c>
      <c r="O158" s="412" t="s">
        <v>2171</v>
      </c>
      <c r="P158" s="412" t="s">
        <v>3032</v>
      </c>
      <c r="Q158" s="413"/>
      <c r="R158" s="211">
        <v>36586</v>
      </c>
      <c r="S158" s="414"/>
      <c r="T158" s="415">
        <v>1</v>
      </c>
      <c r="U158" s="62"/>
      <c r="V158" s="62"/>
      <c r="W158" s="62"/>
      <c r="X158" s="62"/>
      <c r="Y158" s="62"/>
      <c r="Z158" s="62">
        <v>1</v>
      </c>
      <c r="AA158" s="62"/>
      <c r="AB158" s="62"/>
    </row>
    <row r="159" spans="1:28" ht="15.6" customHeight="1" x14ac:dyDescent="0.2">
      <c r="A159" s="408">
        <v>158</v>
      </c>
      <c r="B159" s="409" t="str">
        <f t="shared" si="2"/>
        <v>Lobostemon argenteus</v>
      </c>
      <c r="C159" s="410" t="s">
        <v>826</v>
      </c>
      <c r="E159" s="75" t="s">
        <v>827</v>
      </c>
      <c r="F159" s="75" t="s">
        <v>828</v>
      </c>
      <c r="G159" s="411" t="s">
        <v>3105</v>
      </c>
      <c r="H159" s="66" t="s">
        <v>3260</v>
      </c>
      <c r="I159" s="144">
        <v>2</v>
      </c>
      <c r="J159" s="144">
        <v>6</v>
      </c>
      <c r="K159" s="144">
        <v>2</v>
      </c>
      <c r="L159" s="144">
        <v>2</v>
      </c>
      <c r="M159" s="144">
        <v>1</v>
      </c>
      <c r="N159" s="144">
        <v>2</v>
      </c>
      <c r="O159" s="412" t="s">
        <v>2914</v>
      </c>
      <c r="P159" s="412" t="s">
        <v>3032</v>
      </c>
      <c r="Q159" s="413"/>
      <c r="R159" s="211">
        <v>35612</v>
      </c>
      <c r="S159" s="414"/>
      <c r="T159" s="415">
        <v>1</v>
      </c>
      <c r="U159" s="62"/>
      <c r="V159" s="62">
        <v>1</v>
      </c>
      <c r="W159" s="62"/>
      <c r="X159" s="62">
        <v>1</v>
      </c>
      <c r="Y159" s="62"/>
      <c r="Z159" s="62"/>
      <c r="AA159" s="62"/>
      <c r="AB159" s="62"/>
    </row>
    <row r="160" spans="1:28" ht="15.6" customHeight="1" x14ac:dyDescent="0.2">
      <c r="A160" s="408">
        <v>159</v>
      </c>
      <c r="B160" s="409" t="str">
        <f t="shared" si="2"/>
        <v>Lobostemon montanus</v>
      </c>
      <c r="C160" s="410" t="s">
        <v>826</v>
      </c>
      <c r="E160" s="75" t="s">
        <v>827</v>
      </c>
      <c r="F160" s="75" t="s">
        <v>829</v>
      </c>
      <c r="G160" s="411" t="s">
        <v>3106</v>
      </c>
      <c r="H160" s="66" t="s">
        <v>3223</v>
      </c>
      <c r="I160" s="144">
        <v>2</v>
      </c>
      <c r="J160" s="144">
        <v>5</v>
      </c>
      <c r="K160" s="144">
        <v>2</v>
      </c>
      <c r="L160" s="144">
        <v>2</v>
      </c>
      <c r="M160" s="144">
        <v>1</v>
      </c>
      <c r="N160" s="144">
        <v>3</v>
      </c>
      <c r="O160" s="412" t="s">
        <v>2168</v>
      </c>
      <c r="P160" s="412" t="s">
        <v>3032</v>
      </c>
      <c r="Q160" s="413"/>
      <c r="R160" s="211">
        <v>36069</v>
      </c>
      <c r="S160" s="414"/>
      <c r="T160" s="415">
        <v>1</v>
      </c>
      <c r="U160" s="62"/>
      <c r="V160" s="62"/>
      <c r="W160" s="62"/>
      <c r="X160" s="62">
        <v>1</v>
      </c>
      <c r="Y160" s="62"/>
      <c r="Z160" s="62"/>
      <c r="AA160" s="62"/>
      <c r="AB160" s="62"/>
    </row>
    <row r="161" spans="1:28" ht="15.6" customHeight="1" x14ac:dyDescent="0.2">
      <c r="A161" s="408">
        <v>160</v>
      </c>
      <c r="B161" s="409" t="str">
        <f t="shared" si="2"/>
        <v>Heliophila africana</v>
      </c>
      <c r="C161" s="410" t="s">
        <v>830</v>
      </c>
      <c r="D161" s="75" t="s">
        <v>8</v>
      </c>
      <c r="E161" s="75" t="s">
        <v>831</v>
      </c>
      <c r="F161" s="75" t="s">
        <v>832</v>
      </c>
      <c r="G161" s="411" t="s">
        <v>3107</v>
      </c>
      <c r="H161" s="66" t="s">
        <v>3277</v>
      </c>
      <c r="I161" s="144">
        <v>6</v>
      </c>
      <c r="J161" s="144">
        <v>4</v>
      </c>
      <c r="K161" s="144">
        <v>4</v>
      </c>
      <c r="L161" s="144">
        <v>3</v>
      </c>
      <c r="M161" s="144">
        <v>1</v>
      </c>
      <c r="N161" s="144">
        <v>3</v>
      </c>
      <c r="O161" s="412" t="s">
        <v>2910</v>
      </c>
      <c r="P161" s="412" t="s">
        <v>2915</v>
      </c>
      <c r="Q161" s="413"/>
      <c r="R161" s="211">
        <v>35612</v>
      </c>
      <c r="S161" s="414"/>
      <c r="T161" s="415">
        <v>1</v>
      </c>
      <c r="U161" s="62">
        <v>1</v>
      </c>
      <c r="V161" s="62">
        <v>1</v>
      </c>
      <c r="W161" s="62">
        <v>1</v>
      </c>
      <c r="X161" s="62">
        <v>1</v>
      </c>
      <c r="Y161" s="62"/>
      <c r="Z161" s="62"/>
      <c r="AA161" s="62"/>
      <c r="AB161" s="62"/>
    </row>
    <row r="162" spans="1:28" ht="15.6" customHeight="1" x14ac:dyDescent="0.2">
      <c r="A162" s="408">
        <v>161</v>
      </c>
      <c r="B162" s="409" t="str">
        <f t="shared" si="2"/>
        <v>Heliophila cf. bulbostyla</v>
      </c>
      <c r="C162" s="410" t="s">
        <v>830</v>
      </c>
      <c r="E162" s="75" t="s">
        <v>831</v>
      </c>
      <c r="F162" s="75" t="s">
        <v>833</v>
      </c>
      <c r="G162" s="411" t="s">
        <v>483</v>
      </c>
      <c r="H162" s="66" t="s">
        <v>3278</v>
      </c>
      <c r="I162" s="144">
        <v>6</v>
      </c>
      <c r="J162" s="144">
        <v>6</v>
      </c>
      <c r="K162" s="144">
        <v>4</v>
      </c>
      <c r="L162" s="144">
        <v>3</v>
      </c>
      <c r="M162" s="144">
        <v>1</v>
      </c>
      <c r="N162" s="144">
        <v>2</v>
      </c>
      <c r="O162" s="412" t="s">
        <v>2910</v>
      </c>
      <c r="P162" s="412" t="s">
        <v>2915</v>
      </c>
      <c r="Q162" s="413"/>
      <c r="R162" s="211">
        <v>37500</v>
      </c>
      <c r="S162" s="414"/>
      <c r="T162" s="415">
        <v>1</v>
      </c>
      <c r="U162" s="62"/>
      <c r="V162" s="62"/>
      <c r="W162" s="62"/>
      <c r="X162" s="62">
        <v>1</v>
      </c>
      <c r="Y162" s="62"/>
      <c r="Z162" s="62"/>
      <c r="AA162" s="62"/>
      <c r="AB162" s="62"/>
    </row>
    <row r="163" spans="1:28" ht="15.6" customHeight="1" x14ac:dyDescent="0.2">
      <c r="A163" s="408">
        <v>162</v>
      </c>
      <c r="B163" s="409" t="str">
        <f t="shared" si="2"/>
        <v>Heliophila linearis var. linearifolia</v>
      </c>
      <c r="C163" s="410" t="s">
        <v>830</v>
      </c>
      <c r="E163" s="75" t="s">
        <v>831</v>
      </c>
      <c r="F163" s="75" t="s">
        <v>834</v>
      </c>
      <c r="G163" s="411" t="s">
        <v>3108</v>
      </c>
      <c r="H163" s="66" t="s">
        <v>3269</v>
      </c>
      <c r="I163" s="144">
        <v>3</v>
      </c>
      <c r="J163" s="144">
        <v>5</v>
      </c>
      <c r="K163" s="144">
        <v>4</v>
      </c>
      <c r="L163" s="144">
        <v>3</v>
      </c>
      <c r="M163" s="144">
        <v>1</v>
      </c>
      <c r="N163" s="144">
        <v>3</v>
      </c>
      <c r="O163" s="412" t="s">
        <v>2910</v>
      </c>
      <c r="P163" s="412" t="s">
        <v>3032</v>
      </c>
      <c r="Q163" s="413"/>
      <c r="R163" s="211">
        <v>35796</v>
      </c>
      <c r="S163" s="414"/>
      <c r="T163" s="415">
        <v>1</v>
      </c>
      <c r="U163" s="62">
        <v>1</v>
      </c>
      <c r="V163" s="62"/>
      <c r="W163" s="62">
        <v>1</v>
      </c>
      <c r="X163" s="62">
        <v>1</v>
      </c>
      <c r="Y163" s="62"/>
      <c r="Z163" s="62"/>
      <c r="AA163" s="62"/>
      <c r="AB163" s="62"/>
    </row>
    <row r="164" spans="1:28" ht="15.6" customHeight="1" x14ac:dyDescent="0.2">
      <c r="A164" s="408">
        <v>163</v>
      </c>
      <c r="B164" s="409" t="str">
        <f t="shared" si="2"/>
        <v>Heliophila linearis var. reticulata</v>
      </c>
      <c r="C164" s="410" t="s">
        <v>830</v>
      </c>
      <c r="E164" s="75" t="s">
        <v>831</v>
      </c>
      <c r="F164" s="75" t="s">
        <v>835</v>
      </c>
      <c r="G164" s="411" t="s">
        <v>3108</v>
      </c>
      <c r="H164" s="66" t="s">
        <v>3252</v>
      </c>
      <c r="I164" s="144">
        <v>3</v>
      </c>
      <c r="J164" s="144">
        <v>5</v>
      </c>
      <c r="K164" s="144">
        <v>4</v>
      </c>
      <c r="L164" s="144">
        <v>1</v>
      </c>
      <c r="M164" s="144">
        <v>1</v>
      </c>
      <c r="N164" s="144">
        <v>3</v>
      </c>
      <c r="O164" s="412" t="s">
        <v>2910</v>
      </c>
      <c r="P164" s="412" t="s">
        <v>3032</v>
      </c>
      <c r="Q164" s="413"/>
      <c r="R164" s="211">
        <v>35796</v>
      </c>
      <c r="S164" s="414"/>
      <c r="T164" s="415">
        <v>1</v>
      </c>
      <c r="U164" s="62">
        <v>1</v>
      </c>
      <c r="V164" s="62"/>
      <c r="W164" s="62"/>
      <c r="X164" s="62">
        <v>1</v>
      </c>
      <c r="Y164" s="62"/>
      <c r="Z164" s="62"/>
      <c r="AA164" s="62"/>
      <c r="AB164" s="62"/>
    </row>
    <row r="165" spans="1:28" ht="15.6" customHeight="1" x14ac:dyDescent="0.2">
      <c r="A165" s="408">
        <v>164</v>
      </c>
      <c r="B165" s="409" t="str">
        <f t="shared" si="2"/>
        <v>Heliophila pusilla var. pusilla</v>
      </c>
      <c r="C165" s="410" t="s">
        <v>830</v>
      </c>
      <c r="E165" s="75" t="s">
        <v>831</v>
      </c>
      <c r="F165" s="75" t="s">
        <v>836</v>
      </c>
      <c r="G165" s="411" t="s">
        <v>3109</v>
      </c>
      <c r="H165" s="66" t="s">
        <v>3261</v>
      </c>
      <c r="I165" s="144">
        <v>6</v>
      </c>
      <c r="J165" s="144">
        <v>6</v>
      </c>
      <c r="K165" s="144">
        <v>4</v>
      </c>
      <c r="L165" s="144">
        <v>3</v>
      </c>
      <c r="M165" s="144">
        <v>1</v>
      </c>
      <c r="N165" s="144">
        <v>4</v>
      </c>
      <c r="O165" s="412" t="s">
        <v>2910</v>
      </c>
      <c r="P165" s="412" t="s">
        <v>2915</v>
      </c>
      <c r="Q165" s="413"/>
      <c r="R165" s="211">
        <v>36861</v>
      </c>
      <c r="S165" s="414"/>
      <c r="T165" s="415">
        <v>1</v>
      </c>
      <c r="U165" s="62"/>
      <c r="V165" s="62"/>
      <c r="W165" s="62"/>
      <c r="X165" s="62">
        <v>1</v>
      </c>
      <c r="Y165" s="62"/>
      <c r="Z165" s="62"/>
      <c r="AA165" s="62"/>
      <c r="AB165" s="62"/>
    </row>
    <row r="166" spans="1:28" ht="15.6" customHeight="1" x14ac:dyDescent="0.2">
      <c r="A166" s="408">
        <v>165</v>
      </c>
      <c r="B166" s="409" t="str">
        <f t="shared" si="2"/>
        <v>Heliophila subulata var. subulata</v>
      </c>
      <c r="C166" s="410" t="s">
        <v>830</v>
      </c>
      <c r="E166" s="75" t="s">
        <v>831</v>
      </c>
      <c r="F166" s="75" t="s">
        <v>837</v>
      </c>
      <c r="G166" s="411" t="s">
        <v>3110</v>
      </c>
      <c r="H166" s="66" t="s">
        <v>3278</v>
      </c>
      <c r="I166" s="144">
        <v>6</v>
      </c>
      <c r="J166" s="144">
        <v>6</v>
      </c>
      <c r="K166" s="144">
        <v>4</v>
      </c>
      <c r="L166" s="144">
        <v>3</v>
      </c>
      <c r="M166" s="144">
        <v>1</v>
      </c>
      <c r="N166" s="144">
        <v>3</v>
      </c>
      <c r="O166" s="412" t="s">
        <v>2910</v>
      </c>
      <c r="P166" s="412" t="s">
        <v>2170</v>
      </c>
      <c r="Q166" s="413"/>
      <c r="R166" s="211">
        <v>36312</v>
      </c>
      <c r="S166" s="414"/>
      <c r="T166" s="415">
        <v>1</v>
      </c>
      <c r="U166" s="62"/>
      <c r="V166" s="62"/>
      <c r="W166" s="62"/>
      <c r="X166" s="62">
        <v>1</v>
      </c>
      <c r="Y166" s="62"/>
      <c r="Z166" s="62"/>
      <c r="AA166" s="62"/>
      <c r="AB166" s="62"/>
    </row>
    <row r="167" spans="1:28" ht="15.6" customHeight="1" x14ac:dyDescent="0.2">
      <c r="A167" s="408">
        <v>166</v>
      </c>
      <c r="B167" s="409" t="str">
        <f t="shared" si="2"/>
        <v>Sisymbrium capense</v>
      </c>
      <c r="C167" s="410" t="s">
        <v>830</v>
      </c>
      <c r="E167" s="75" t="s">
        <v>838</v>
      </c>
      <c r="F167" s="75" t="s">
        <v>945</v>
      </c>
      <c r="G167" s="411" t="s">
        <v>484</v>
      </c>
      <c r="H167" s="66" t="s">
        <v>3269</v>
      </c>
      <c r="I167" s="144">
        <v>3</v>
      </c>
      <c r="J167" s="144">
        <v>5</v>
      </c>
      <c r="K167" s="144">
        <v>3</v>
      </c>
      <c r="L167" s="144">
        <v>4</v>
      </c>
      <c r="M167" s="144">
        <v>1</v>
      </c>
      <c r="N167" s="144">
        <v>3</v>
      </c>
      <c r="O167" s="412"/>
      <c r="P167" s="412"/>
      <c r="Q167" s="413"/>
      <c r="R167" s="211">
        <v>37257</v>
      </c>
      <c r="S167" s="414"/>
      <c r="T167" s="415">
        <v>1</v>
      </c>
      <c r="U167" s="62">
        <v>1</v>
      </c>
      <c r="V167" s="62"/>
      <c r="W167" s="62"/>
      <c r="X167" s="62"/>
      <c r="Y167" s="62"/>
      <c r="Z167" s="62"/>
      <c r="AA167" s="62"/>
      <c r="AB167" s="62"/>
    </row>
    <row r="168" spans="1:28" ht="15.6" customHeight="1" x14ac:dyDescent="0.2">
      <c r="A168" s="408">
        <v>167</v>
      </c>
      <c r="B168" s="409" t="str">
        <f t="shared" si="2"/>
        <v>Berzelia lanuginosa</v>
      </c>
      <c r="C168" s="410" t="s">
        <v>839</v>
      </c>
      <c r="D168" s="75" t="s">
        <v>9</v>
      </c>
      <c r="E168" s="75" t="s">
        <v>840</v>
      </c>
      <c r="F168" s="75" t="s">
        <v>841</v>
      </c>
      <c r="G168" s="411" t="s">
        <v>3111</v>
      </c>
      <c r="H168" s="66" t="s">
        <v>3249</v>
      </c>
      <c r="I168" s="144">
        <v>2</v>
      </c>
      <c r="J168" s="144">
        <v>4</v>
      </c>
      <c r="K168" s="144">
        <v>2</v>
      </c>
      <c r="L168" s="144">
        <v>1</v>
      </c>
      <c r="M168" s="144">
        <v>2</v>
      </c>
      <c r="N168" s="144">
        <v>5</v>
      </c>
      <c r="O168" s="412" t="s">
        <v>2168</v>
      </c>
      <c r="P168" s="412" t="s">
        <v>3032</v>
      </c>
      <c r="Q168" s="413"/>
      <c r="R168" s="211">
        <v>35612</v>
      </c>
      <c r="S168" s="414"/>
      <c r="T168" s="415">
        <v>1</v>
      </c>
      <c r="U168" s="62"/>
      <c r="V168" s="62"/>
      <c r="W168" s="62"/>
      <c r="X168" s="62"/>
      <c r="Y168" s="62"/>
      <c r="Z168" s="62"/>
      <c r="AA168" s="62">
        <v>1</v>
      </c>
      <c r="AB168" s="62"/>
    </row>
    <row r="169" spans="1:28" ht="15.6" customHeight="1" x14ac:dyDescent="0.2">
      <c r="A169" s="408">
        <v>168</v>
      </c>
      <c r="B169" s="409" t="str">
        <f t="shared" si="2"/>
        <v>Staavia radiata</v>
      </c>
      <c r="C169" s="410" t="s">
        <v>839</v>
      </c>
      <c r="D169" s="75" t="s">
        <v>10</v>
      </c>
      <c r="E169" s="75" t="s">
        <v>842</v>
      </c>
      <c r="F169" s="75" t="s">
        <v>843</v>
      </c>
      <c r="G169" s="411" t="s">
        <v>3112</v>
      </c>
      <c r="H169" s="66" t="s">
        <v>3248</v>
      </c>
      <c r="I169" s="144">
        <v>2</v>
      </c>
      <c r="J169" s="144">
        <v>5</v>
      </c>
      <c r="K169" s="144">
        <v>2</v>
      </c>
      <c r="L169" s="144">
        <v>3</v>
      </c>
      <c r="M169" s="144">
        <v>2</v>
      </c>
      <c r="N169" s="144">
        <v>5</v>
      </c>
      <c r="O169" s="412" t="s">
        <v>2914</v>
      </c>
      <c r="P169" s="412" t="s">
        <v>3032</v>
      </c>
      <c r="Q169" s="413"/>
      <c r="R169" s="211">
        <v>38047</v>
      </c>
      <c r="S169" s="414"/>
      <c r="T169" s="415"/>
      <c r="U169" s="62"/>
      <c r="V169" s="62"/>
      <c r="W169" s="62"/>
      <c r="X169" s="62">
        <v>1</v>
      </c>
      <c r="Y169" s="62"/>
      <c r="Z169" s="62"/>
      <c r="AA169" s="62"/>
      <c r="AB169" s="62"/>
    </row>
    <row r="170" spans="1:28" ht="15.6" customHeight="1" x14ac:dyDescent="0.2">
      <c r="A170" s="408">
        <v>169</v>
      </c>
      <c r="B170" s="409" t="str">
        <f t="shared" si="2"/>
        <v>Cyphia volubilis</v>
      </c>
      <c r="C170" s="410" t="s">
        <v>844</v>
      </c>
      <c r="D170"/>
      <c r="E170" s="75" t="s">
        <v>2917</v>
      </c>
      <c r="F170" s="75" t="s">
        <v>684</v>
      </c>
      <c r="G170" s="411" t="s">
        <v>2918</v>
      </c>
      <c r="H170" s="66" t="s">
        <v>199</v>
      </c>
      <c r="I170" s="144">
        <v>3</v>
      </c>
      <c r="J170" s="144">
        <v>9</v>
      </c>
      <c r="K170" s="144">
        <v>9</v>
      </c>
      <c r="L170" s="144">
        <v>3</v>
      </c>
      <c r="M170" s="144">
        <v>9</v>
      </c>
      <c r="N170" s="144">
        <v>9</v>
      </c>
      <c r="O170" s="412" t="s">
        <v>1657</v>
      </c>
      <c r="P170" s="412" t="s">
        <v>3032</v>
      </c>
      <c r="Q170" s="413"/>
      <c r="R170" s="211">
        <v>38231</v>
      </c>
      <c r="S170" s="414"/>
      <c r="T170" s="415"/>
      <c r="U170" s="62"/>
      <c r="V170" s="62"/>
      <c r="W170" s="62"/>
      <c r="X170" s="62"/>
      <c r="Y170" s="62"/>
      <c r="Z170" s="62"/>
      <c r="AA170" s="62"/>
      <c r="AB170" s="62"/>
    </row>
    <row r="171" spans="1:28" ht="15.6" customHeight="1" x14ac:dyDescent="0.2">
      <c r="A171" s="408">
        <v>170</v>
      </c>
      <c r="B171" s="409" t="str">
        <f t="shared" si="2"/>
        <v>Lobelia anceps</v>
      </c>
      <c r="C171" s="410" t="s">
        <v>844</v>
      </c>
      <c r="E171" s="75" t="s">
        <v>845</v>
      </c>
      <c r="F171" s="75" t="s">
        <v>846</v>
      </c>
      <c r="G171" s="411" t="s">
        <v>3113</v>
      </c>
      <c r="H171" s="66" t="s">
        <v>3264</v>
      </c>
      <c r="I171" s="144">
        <v>3</v>
      </c>
      <c r="J171" s="144">
        <v>6</v>
      </c>
      <c r="K171" s="144">
        <v>3</v>
      </c>
      <c r="L171" s="144">
        <v>1</v>
      </c>
      <c r="M171" s="144">
        <v>1</v>
      </c>
      <c r="N171" s="144">
        <v>4</v>
      </c>
      <c r="O171" s="412" t="s">
        <v>2910</v>
      </c>
      <c r="P171" s="412" t="s">
        <v>3032</v>
      </c>
      <c r="Q171" s="413"/>
      <c r="R171" s="211">
        <v>36161</v>
      </c>
      <c r="S171" s="414"/>
      <c r="T171" s="415">
        <v>1</v>
      </c>
      <c r="U171" s="62"/>
      <c r="V171" s="62"/>
      <c r="W171" s="62"/>
      <c r="X171" s="62"/>
      <c r="Y171" s="62"/>
      <c r="Z171" s="62"/>
      <c r="AA171" s="62">
        <v>1</v>
      </c>
      <c r="AB171" s="62"/>
    </row>
    <row r="172" spans="1:28" ht="15.6" customHeight="1" x14ac:dyDescent="0.2">
      <c r="A172" s="408">
        <v>171</v>
      </c>
      <c r="B172" s="409" t="str">
        <f t="shared" si="2"/>
        <v>Lobelia comosa</v>
      </c>
      <c r="C172" s="410" t="s">
        <v>844</v>
      </c>
      <c r="E172" s="75" t="s">
        <v>845</v>
      </c>
      <c r="F172" s="75" t="s">
        <v>847</v>
      </c>
      <c r="G172" s="411" t="s">
        <v>3114</v>
      </c>
      <c r="H172" s="66" t="s">
        <v>3260</v>
      </c>
      <c r="I172" s="144">
        <v>2</v>
      </c>
      <c r="J172" s="144">
        <v>6</v>
      </c>
      <c r="K172" s="144">
        <v>4</v>
      </c>
      <c r="L172" s="144">
        <v>2</v>
      </c>
      <c r="M172" s="144">
        <v>1</v>
      </c>
      <c r="N172" s="144">
        <v>3</v>
      </c>
      <c r="O172" s="412" t="s">
        <v>3031</v>
      </c>
      <c r="P172" s="412" t="s">
        <v>3032</v>
      </c>
      <c r="Q172" s="413"/>
      <c r="R172" s="211">
        <v>35612</v>
      </c>
      <c r="S172" s="414"/>
      <c r="T172" s="415">
        <v>1</v>
      </c>
      <c r="U172" s="62">
        <v>1</v>
      </c>
      <c r="V172" s="62"/>
      <c r="W172" s="62"/>
      <c r="X172" s="62">
        <v>1</v>
      </c>
      <c r="Y172" s="62"/>
      <c r="Z172" s="62"/>
      <c r="AA172" s="62"/>
      <c r="AB172" s="62"/>
    </row>
    <row r="173" spans="1:28" ht="15.6" customHeight="1" x14ac:dyDescent="0.2">
      <c r="A173" s="408">
        <v>172</v>
      </c>
      <c r="B173" s="409" t="str">
        <f t="shared" si="2"/>
        <v>Lobelia coronopifolia</v>
      </c>
      <c r="C173" s="410" t="s">
        <v>844</v>
      </c>
      <c r="D173" s="75" t="s">
        <v>11</v>
      </c>
      <c r="E173" s="75" t="s">
        <v>845</v>
      </c>
      <c r="F173" s="75" t="s">
        <v>848</v>
      </c>
      <c r="G173" s="411" t="s">
        <v>3115</v>
      </c>
      <c r="H173" s="66" t="s">
        <v>3260</v>
      </c>
      <c r="I173" s="144">
        <v>2</v>
      </c>
      <c r="J173" s="144">
        <v>6</v>
      </c>
      <c r="K173" s="144">
        <v>4</v>
      </c>
      <c r="L173" s="144">
        <v>2</v>
      </c>
      <c r="M173" s="144">
        <v>1</v>
      </c>
      <c r="N173" s="144">
        <v>3</v>
      </c>
      <c r="O173" s="412" t="s">
        <v>3031</v>
      </c>
      <c r="P173" s="412" t="s">
        <v>3032</v>
      </c>
      <c r="Q173" s="413"/>
      <c r="R173" s="211">
        <v>35612</v>
      </c>
      <c r="S173" s="414"/>
      <c r="T173" s="415">
        <v>1</v>
      </c>
      <c r="U173" s="62">
        <v>1</v>
      </c>
      <c r="V173" s="62"/>
      <c r="W173" s="62">
        <v>1</v>
      </c>
      <c r="X173" s="62"/>
      <c r="Y173" s="62"/>
      <c r="Z173" s="62"/>
      <c r="AA173" s="62"/>
      <c r="AB173" s="62"/>
    </row>
    <row r="174" spans="1:28" ht="15.6" customHeight="1" x14ac:dyDescent="0.2">
      <c r="A174" s="408">
        <v>173</v>
      </c>
      <c r="B174" s="409" t="str">
        <f t="shared" si="2"/>
        <v>Lobelia erinus</v>
      </c>
      <c r="C174" s="410" t="s">
        <v>844</v>
      </c>
      <c r="D174" s="75" t="s">
        <v>11</v>
      </c>
      <c r="E174" s="75" t="s">
        <v>845</v>
      </c>
      <c r="F174" s="75" t="s">
        <v>849</v>
      </c>
      <c r="G174" s="411" t="s">
        <v>3116</v>
      </c>
      <c r="H174" s="66" t="s">
        <v>3256</v>
      </c>
      <c r="I174" s="144">
        <v>6</v>
      </c>
      <c r="J174" s="144">
        <v>6</v>
      </c>
      <c r="K174" s="144">
        <v>4</v>
      </c>
      <c r="L174" s="144">
        <v>1</v>
      </c>
      <c r="M174" s="144">
        <v>1</v>
      </c>
      <c r="N174" s="144">
        <v>4</v>
      </c>
      <c r="O174" s="412" t="s">
        <v>2910</v>
      </c>
      <c r="P174" s="412" t="s">
        <v>2915</v>
      </c>
      <c r="Q174" s="413" t="s">
        <v>3144</v>
      </c>
      <c r="R174" s="211">
        <v>35947</v>
      </c>
      <c r="S174" s="414"/>
      <c r="T174" s="415">
        <v>1</v>
      </c>
      <c r="U174" s="62"/>
      <c r="V174" s="62"/>
      <c r="W174" s="62"/>
      <c r="X174" s="62"/>
      <c r="Y174" s="62"/>
      <c r="Z174" s="62">
        <v>1</v>
      </c>
      <c r="AA174" s="62"/>
      <c r="AB174" s="62"/>
    </row>
    <row r="175" spans="1:28" ht="15.6" customHeight="1" x14ac:dyDescent="0.2">
      <c r="A175" s="408">
        <v>174</v>
      </c>
      <c r="B175" s="409" t="str">
        <f t="shared" si="2"/>
        <v>Lobelia linearis</v>
      </c>
      <c r="C175" s="410" t="s">
        <v>844</v>
      </c>
      <c r="E175" s="75" t="s">
        <v>845</v>
      </c>
      <c r="F175" s="75" t="s">
        <v>850</v>
      </c>
      <c r="G175" s="411" t="s">
        <v>3117</v>
      </c>
      <c r="H175" s="66" t="s">
        <v>3248</v>
      </c>
      <c r="I175" s="144">
        <v>2</v>
      </c>
      <c r="J175" s="144">
        <v>5</v>
      </c>
      <c r="K175" s="144">
        <v>4</v>
      </c>
      <c r="L175" s="144">
        <v>3</v>
      </c>
      <c r="M175" s="144">
        <v>1</v>
      </c>
      <c r="N175" s="144">
        <v>4</v>
      </c>
      <c r="O175" s="412" t="s">
        <v>2914</v>
      </c>
      <c r="P175" s="412" t="s">
        <v>3032</v>
      </c>
      <c r="Q175" s="413"/>
      <c r="R175" s="211">
        <v>36192</v>
      </c>
      <c r="S175" s="414"/>
      <c r="T175" s="415">
        <v>1</v>
      </c>
      <c r="U175" s="62">
        <v>1</v>
      </c>
      <c r="V175" s="62"/>
      <c r="W175" s="62">
        <v>1</v>
      </c>
      <c r="X175" s="62"/>
      <c r="Y175" s="62"/>
      <c r="Z175" s="62"/>
      <c r="AA175" s="62"/>
      <c r="AB175" s="62"/>
    </row>
    <row r="176" spans="1:28" ht="15.6" customHeight="1" x14ac:dyDescent="0.2">
      <c r="A176" s="408">
        <v>175</v>
      </c>
      <c r="B176" s="409" t="str">
        <f t="shared" si="2"/>
        <v>Lobelia setacea</v>
      </c>
      <c r="C176" s="410" t="s">
        <v>844</v>
      </c>
      <c r="E176" s="75" t="s">
        <v>845</v>
      </c>
      <c r="F176" s="75" t="s">
        <v>851</v>
      </c>
      <c r="G176" s="411" t="s">
        <v>3118</v>
      </c>
      <c r="H176" s="66" t="s">
        <v>3279</v>
      </c>
      <c r="I176" s="144">
        <v>3</v>
      </c>
      <c r="J176" s="144">
        <v>5</v>
      </c>
      <c r="K176" s="144">
        <v>4</v>
      </c>
      <c r="L176" s="144">
        <v>3</v>
      </c>
      <c r="M176" s="144">
        <v>1</v>
      </c>
      <c r="N176" s="144">
        <v>5</v>
      </c>
      <c r="O176" s="412" t="s">
        <v>2910</v>
      </c>
      <c r="P176" s="412" t="s">
        <v>3032</v>
      </c>
      <c r="Q176" s="413"/>
      <c r="R176" s="211">
        <v>35612</v>
      </c>
      <c r="S176" s="414"/>
      <c r="T176" s="415">
        <v>1</v>
      </c>
      <c r="U176" s="62"/>
      <c r="V176" s="62"/>
      <c r="W176" s="62"/>
      <c r="X176" s="62">
        <v>1</v>
      </c>
      <c r="Y176" s="62"/>
      <c r="Z176" s="62"/>
      <c r="AA176" s="62">
        <v>1</v>
      </c>
      <c r="AB176" s="62"/>
    </row>
    <row r="177" spans="1:28" ht="15.6" customHeight="1" x14ac:dyDescent="0.2">
      <c r="A177" s="408">
        <v>176</v>
      </c>
      <c r="B177" s="409" t="str">
        <f t="shared" si="2"/>
        <v>Microcodon glomeratum</v>
      </c>
      <c r="C177" s="410" t="s">
        <v>844</v>
      </c>
      <c r="E177" s="75" t="s">
        <v>852</v>
      </c>
      <c r="F177" s="75" t="s">
        <v>853</v>
      </c>
      <c r="G177" s="411" t="s">
        <v>3119</v>
      </c>
      <c r="H177" s="66" t="s">
        <v>3261</v>
      </c>
      <c r="I177" s="144">
        <v>6</v>
      </c>
      <c r="J177" s="144">
        <v>6</v>
      </c>
      <c r="K177" s="144">
        <v>3</v>
      </c>
      <c r="L177" s="144">
        <v>1</v>
      </c>
      <c r="M177" s="144">
        <v>1</v>
      </c>
      <c r="N177" s="144">
        <v>5</v>
      </c>
      <c r="O177" s="412" t="s">
        <v>2910</v>
      </c>
      <c r="P177" s="412" t="s">
        <v>2915</v>
      </c>
      <c r="Q177" s="413"/>
      <c r="R177" s="211">
        <v>35947</v>
      </c>
      <c r="S177" s="414"/>
      <c r="T177" s="415">
        <v>1</v>
      </c>
      <c r="U177" s="62"/>
      <c r="V177" s="62"/>
      <c r="W177" s="62"/>
      <c r="X177" s="62"/>
      <c r="Y177" s="62"/>
      <c r="Z177" s="62"/>
      <c r="AA177" s="62">
        <v>1</v>
      </c>
      <c r="AB177" s="62"/>
    </row>
    <row r="178" spans="1:28" ht="15.6" customHeight="1" x14ac:dyDescent="0.2">
      <c r="A178" s="408">
        <v>177</v>
      </c>
      <c r="B178" s="409" t="str">
        <f t="shared" si="2"/>
        <v>Monopsis debilis</v>
      </c>
      <c r="C178" s="410" t="s">
        <v>844</v>
      </c>
      <c r="E178" s="75" t="s">
        <v>854</v>
      </c>
      <c r="F178" s="75" t="s">
        <v>855</v>
      </c>
      <c r="G178" s="411" t="s">
        <v>3120</v>
      </c>
      <c r="H178" s="66" t="s">
        <v>3261</v>
      </c>
      <c r="I178" s="144">
        <v>6</v>
      </c>
      <c r="J178" s="144">
        <v>6</v>
      </c>
      <c r="K178" s="144">
        <v>3</v>
      </c>
      <c r="L178" s="144">
        <v>2</v>
      </c>
      <c r="M178" s="144">
        <v>1</v>
      </c>
      <c r="N178" s="144">
        <v>5</v>
      </c>
      <c r="O178" s="412" t="s">
        <v>2910</v>
      </c>
      <c r="P178" s="412" t="s">
        <v>2915</v>
      </c>
      <c r="Q178" s="413"/>
      <c r="R178" s="211">
        <v>37257</v>
      </c>
      <c r="S178" s="414"/>
      <c r="T178" s="415">
        <v>1</v>
      </c>
      <c r="U178" s="62"/>
      <c r="V178" s="62"/>
      <c r="W178" s="62"/>
      <c r="X178" s="62">
        <v>1</v>
      </c>
      <c r="Y178" s="62"/>
      <c r="Z178" s="62"/>
      <c r="AA178" s="62"/>
      <c r="AB178" s="62"/>
    </row>
    <row r="179" spans="1:28" ht="15.6" customHeight="1" x14ac:dyDescent="0.2">
      <c r="A179" s="408">
        <v>178</v>
      </c>
      <c r="B179" s="409" t="str">
        <f t="shared" si="2"/>
        <v>Monopsis lutea</v>
      </c>
      <c r="C179" s="410" t="s">
        <v>844</v>
      </c>
      <c r="D179" s="75" t="s">
        <v>12</v>
      </c>
      <c r="E179" s="75" t="s">
        <v>854</v>
      </c>
      <c r="F179" s="75" t="s">
        <v>856</v>
      </c>
      <c r="G179" s="411" t="s">
        <v>3121</v>
      </c>
      <c r="H179" s="66" t="s">
        <v>3252</v>
      </c>
      <c r="I179" s="144">
        <v>3</v>
      </c>
      <c r="J179" s="144">
        <v>5</v>
      </c>
      <c r="K179" s="144">
        <v>4</v>
      </c>
      <c r="L179" s="144">
        <v>2</v>
      </c>
      <c r="M179" s="144">
        <v>1</v>
      </c>
      <c r="N179" s="144">
        <v>3</v>
      </c>
      <c r="O179" s="412" t="s">
        <v>2910</v>
      </c>
      <c r="P179" s="412" t="s">
        <v>3032</v>
      </c>
      <c r="Q179" s="413"/>
      <c r="R179" s="211">
        <v>36892</v>
      </c>
      <c r="S179" s="414"/>
      <c r="T179" s="415">
        <v>1</v>
      </c>
      <c r="U179" s="62"/>
      <c r="V179" s="62"/>
      <c r="W179" s="62"/>
      <c r="X179" s="62">
        <v>1</v>
      </c>
      <c r="Y179" s="62"/>
      <c r="Z179" s="62"/>
      <c r="AA179" s="62">
        <v>1</v>
      </c>
      <c r="AB179" s="62"/>
    </row>
    <row r="180" spans="1:28" ht="15.6" customHeight="1" x14ac:dyDescent="0.2">
      <c r="A180" s="408">
        <v>179</v>
      </c>
      <c r="B180" s="409" t="str">
        <f t="shared" si="2"/>
        <v>Monopsis simplex</v>
      </c>
      <c r="C180" s="410" t="s">
        <v>844</v>
      </c>
      <c r="E180" s="75" t="s">
        <v>854</v>
      </c>
      <c r="F180" s="75" t="s">
        <v>857</v>
      </c>
      <c r="G180" s="411" t="s">
        <v>3122</v>
      </c>
      <c r="H180" s="66" t="s">
        <v>3256</v>
      </c>
      <c r="I180" s="144">
        <v>6</v>
      </c>
      <c r="J180" s="144">
        <v>6</v>
      </c>
      <c r="K180" s="144">
        <v>3</v>
      </c>
      <c r="L180" s="144">
        <v>2</v>
      </c>
      <c r="M180" s="144">
        <v>1</v>
      </c>
      <c r="N180" s="144">
        <v>4</v>
      </c>
      <c r="O180" s="412" t="s">
        <v>2910</v>
      </c>
      <c r="P180" s="412" t="s">
        <v>2170</v>
      </c>
      <c r="Q180" s="413"/>
      <c r="R180" s="211">
        <v>37316</v>
      </c>
      <c r="S180" s="414"/>
      <c r="T180" s="415">
        <v>1</v>
      </c>
      <c r="U180" s="429"/>
      <c r="V180" s="62"/>
      <c r="W180" s="62"/>
      <c r="X180" s="62"/>
      <c r="Y180" s="62"/>
      <c r="Z180" s="62"/>
      <c r="AA180" s="62"/>
      <c r="AB180" s="62"/>
    </row>
    <row r="181" spans="1:28" ht="15.6" customHeight="1" x14ac:dyDescent="0.2">
      <c r="A181" s="408">
        <v>180</v>
      </c>
      <c r="B181" s="409" t="str">
        <f t="shared" si="2"/>
        <v>Roella compacta</v>
      </c>
      <c r="C181" s="410" t="s">
        <v>844</v>
      </c>
      <c r="E181" s="75" t="s">
        <v>858</v>
      </c>
      <c r="F181" s="75" t="s">
        <v>859</v>
      </c>
      <c r="G181" s="411" t="s">
        <v>3123</v>
      </c>
      <c r="H181" s="66" t="s">
        <v>3215</v>
      </c>
      <c r="I181" s="144">
        <v>2</v>
      </c>
      <c r="J181" s="144">
        <v>6</v>
      </c>
      <c r="K181" s="144">
        <v>4</v>
      </c>
      <c r="L181" s="144">
        <v>3</v>
      </c>
      <c r="M181" s="144">
        <v>2</v>
      </c>
      <c r="N181" s="144">
        <v>5</v>
      </c>
      <c r="O181" s="412" t="s">
        <v>3031</v>
      </c>
      <c r="P181" s="412" t="s">
        <v>3032</v>
      </c>
      <c r="Q181" s="413" t="s">
        <v>2703</v>
      </c>
      <c r="R181" s="211">
        <v>35947</v>
      </c>
      <c r="S181" s="414"/>
      <c r="T181" s="415">
        <v>1</v>
      </c>
      <c r="U181" s="62"/>
      <c r="V181" s="62"/>
      <c r="W181" s="62"/>
      <c r="X181" s="62">
        <v>1</v>
      </c>
      <c r="Y181" s="62"/>
      <c r="Z181" s="62"/>
      <c r="AA181" s="62"/>
      <c r="AB181" s="62"/>
    </row>
    <row r="182" spans="1:28" ht="15.6" customHeight="1" x14ac:dyDescent="0.2">
      <c r="A182" s="408">
        <v>181</v>
      </c>
      <c r="B182" s="409" t="str">
        <f t="shared" si="2"/>
        <v>Roella incurva</v>
      </c>
      <c r="C182" s="410" t="s">
        <v>844</v>
      </c>
      <c r="E182" s="75" t="s">
        <v>858</v>
      </c>
      <c r="F182" s="75" t="s">
        <v>860</v>
      </c>
      <c r="G182" s="411" t="s">
        <v>3124</v>
      </c>
      <c r="H182" s="66" t="s">
        <v>3215</v>
      </c>
      <c r="I182" s="144">
        <v>2</v>
      </c>
      <c r="J182" s="144">
        <v>6</v>
      </c>
      <c r="K182" s="144">
        <v>4</v>
      </c>
      <c r="L182" s="144">
        <v>3</v>
      </c>
      <c r="M182" s="144">
        <v>2</v>
      </c>
      <c r="N182" s="144">
        <v>5</v>
      </c>
      <c r="O182" s="412" t="s">
        <v>3031</v>
      </c>
      <c r="P182" s="412" t="s">
        <v>3032</v>
      </c>
      <c r="Q182" s="413" t="s">
        <v>3144</v>
      </c>
      <c r="R182" s="211">
        <v>35947</v>
      </c>
      <c r="S182" s="414"/>
      <c r="T182" s="415">
        <v>1</v>
      </c>
      <c r="U182" s="62"/>
      <c r="V182" s="62"/>
      <c r="W182" s="62"/>
      <c r="X182" s="62">
        <v>1</v>
      </c>
      <c r="Y182" s="62"/>
      <c r="Z182" s="62"/>
      <c r="AA182" s="62"/>
      <c r="AB182" s="62"/>
    </row>
    <row r="183" spans="1:28" ht="15.6" customHeight="1" x14ac:dyDescent="0.2">
      <c r="A183" s="408">
        <v>182</v>
      </c>
      <c r="B183" s="409" t="str">
        <f t="shared" si="2"/>
        <v>Wahlenbergia cernua</v>
      </c>
      <c r="C183" s="410" t="s">
        <v>844</v>
      </c>
      <c r="E183" s="75" t="s">
        <v>861</v>
      </c>
      <c r="F183" s="75" t="s">
        <v>862</v>
      </c>
      <c r="G183" s="411" t="s">
        <v>3125</v>
      </c>
      <c r="H183" s="66" t="s">
        <v>1874</v>
      </c>
      <c r="I183" s="144">
        <v>6</v>
      </c>
      <c r="J183" s="144">
        <v>5</v>
      </c>
      <c r="K183" s="144">
        <v>4</v>
      </c>
      <c r="L183" s="144">
        <v>2</v>
      </c>
      <c r="M183" s="144">
        <v>1</v>
      </c>
      <c r="N183" s="144">
        <v>3</v>
      </c>
      <c r="O183" s="412" t="s">
        <v>2910</v>
      </c>
      <c r="P183" s="412" t="s">
        <v>2915</v>
      </c>
      <c r="Q183" s="413"/>
      <c r="R183" s="211">
        <v>36923</v>
      </c>
      <c r="S183" s="414"/>
      <c r="T183" s="415">
        <v>1</v>
      </c>
      <c r="U183" s="62"/>
      <c r="V183" s="62"/>
      <c r="W183" s="62"/>
      <c r="X183" s="62">
        <v>1</v>
      </c>
      <c r="Y183" s="62"/>
      <c r="Z183" s="62"/>
      <c r="AA183" s="62"/>
      <c r="AB183" s="62"/>
    </row>
    <row r="184" spans="1:28" ht="15.6" customHeight="1" x14ac:dyDescent="0.2">
      <c r="A184" s="408">
        <v>183</v>
      </c>
      <c r="B184" s="409" t="str">
        <f t="shared" si="2"/>
        <v>Wahlenbergia cf. androsacea</v>
      </c>
      <c r="C184" s="410" t="s">
        <v>844</v>
      </c>
      <c r="D184" s="75" t="s">
        <v>13</v>
      </c>
      <c r="E184" s="75" t="s">
        <v>861</v>
      </c>
      <c r="F184" s="75" t="s">
        <v>882</v>
      </c>
      <c r="G184" s="411" t="s">
        <v>1868</v>
      </c>
      <c r="H184" s="66" t="s">
        <v>3246</v>
      </c>
      <c r="I184" s="144">
        <v>6</v>
      </c>
      <c r="J184" s="144">
        <v>6</v>
      </c>
      <c r="K184" s="144">
        <v>4</v>
      </c>
      <c r="L184" s="144">
        <v>2</v>
      </c>
      <c r="M184" s="144">
        <v>1</v>
      </c>
      <c r="N184" s="144">
        <v>3</v>
      </c>
      <c r="O184" s="412" t="s">
        <v>2910</v>
      </c>
      <c r="P184" s="412" t="s">
        <v>2915</v>
      </c>
      <c r="Q184" s="413" t="s">
        <v>3144</v>
      </c>
      <c r="R184" s="211">
        <v>36923</v>
      </c>
      <c r="S184" s="414"/>
      <c r="T184" s="415">
        <v>1</v>
      </c>
      <c r="U184" s="62">
        <v>1</v>
      </c>
      <c r="V184" s="62"/>
      <c r="W184" s="62">
        <v>1</v>
      </c>
      <c r="X184" s="62"/>
      <c r="Y184" s="62"/>
      <c r="Z184" s="62"/>
      <c r="AA184" s="62"/>
      <c r="AB184" s="62"/>
    </row>
    <row r="185" spans="1:28" ht="15.6" customHeight="1" x14ac:dyDescent="0.2">
      <c r="A185" s="408">
        <v>184</v>
      </c>
      <c r="B185" s="409" t="str">
        <f t="shared" si="2"/>
        <v>Wahlenbergia longifolia</v>
      </c>
      <c r="C185" s="410" t="s">
        <v>844</v>
      </c>
      <c r="E185" s="75" t="s">
        <v>861</v>
      </c>
      <c r="F185" s="75" t="s">
        <v>883</v>
      </c>
      <c r="G185" s="411" t="s">
        <v>3126</v>
      </c>
      <c r="H185" s="66" t="s">
        <v>3267</v>
      </c>
      <c r="I185" s="144">
        <v>2</v>
      </c>
      <c r="J185" s="144">
        <v>6</v>
      </c>
      <c r="K185" s="144">
        <v>3</v>
      </c>
      <c r="L185" s="144">
        <v>3</v>
      </c>
      <c r="M185" s="144">
        <v>1</v>
      </c>
      <c r="N185" s="144">
        <v>3</v>
      </c>
      <c r="O185" s="412" t="s">
        <v>3031</v>
      </c>
      <c r="P185" s="412" t="s">
        <v>3032</v>
      </c>
      <c r="Q185" s="413"/>
      <c r="R185" s="211">
        <v>37012</v>
      </c>
      <c r="S185" s="414"/>
      <c r="T185" s="415">
        <v>1</v>
      </c>
      <c r="U185" s="62"/>
      <c r="V185" s="62"/>
      <c r="W185" s="62"/>
      <c r="X185" s="62">
        <v>1</v>
      </c>
      <c r="Y185" s="62"/>
      <c r="Z185" s="62"/>
      <c r="AA185" s="62"/>
      <c r="AB185" s="62"/>
    </row>
    <row r="186" spans="1:28" ht="15.6" customHeight="1" x14ac:dyDescent="0.2">
      <c r="A186" s="408">
        <v>185</v>
      </c>
      <c r="B186" s="409" t="str">
        <f t="shared" si="2"/>
        <v>Wahlenbergia paniculata</v>
      </c>
      <c r="C186" s="410" t="s">
        <v>844</v>
      </c>
      <c r="E186" s="75" t="s">
        <v>861</v>
      </c>
      <c r="F186" s="75" t="s">
        <v>884</v>
      </c>
      <c r="G186" s="411" t="s">
        <v>3127</v>
      </c>
      <c r="H186" s="66" t="s">
        <v>3261</v>
      </c>
      <c r="I186" s="144">
        <v>6</v>
      </c>
      <c r="J186" s="144">
        <v>6</v>
      </c>
      <c r="K186" s="144">
        <v>4</v>
      </c>
      <c r="L186" s="144">
        <v>2</v>
      </c>
      <c r="M186" s="144">
        <v>1</v>
      </c>
      <c r="N186" s="144">
        <v>5</v>
      </c>
      <c r="O186" s="412" t="s">
        <v>2910</v>
      </c>
      <c r="P186" s="412" t="s">
        <v>2915</v>
      </c>
      <c r="Q186" s="413"/>
      <c r="R186" s="211">
        <v>36861</v>
      </c>
      <c r="S186" s="414"/>
      <c r="T186" s="415">
        <v>1</v>
      </c>
      <c r="U186" s="62"/>
      <c r="V186" s="62"/>
      <c r="W186" s="62"/>
      <c r="X186" s="62">
        <v>1</v>
      </c>
      <c r="Y186" s="62"/>
      <c r="Z186" s="62"/>
      <c r="AA186" s="62"/>
      <c r="AB186" s="62"/>
    </row>
    <row r="187" spans="1:28" ht="15.6" customHeight="1" x14ac:dyDescent="0.2">
      <c r="A187" s="408">
        <v>186</v>
      </c>
      <c r="B187" s="409" t="str">
        <f t="shared" si="2"/>
        <v>Wahlenbergia polyantha</v>
      </c>
      <c r="C187" s="410" t="s">
        <v>844</v>
      </c>
      <c r="E187" s="75" t="s">
        <v>861</v>
      </c>
      <c r="F187" s="75" t="s">
        <v>885</v>
      </c>
      <c r="G187" s="411" t="s">
        <v>3128</v>
      </c>
      <c r="H187" s="66" t="s">
        <v>3215</v>
      </c>
      <c r="I187" s="144">
        <v>2</v>
      </c>
      <c r="J187" s="144">
        <v>6</v>
      </c>
      <c r="K187" s="144">
        <v>3</v>
      </c>
      <c r="L187" s="144">
        <v>3</v>
      </c>
      <c r="M187" s="144">
        <v>1</v>
      </c>
      <c r="N187" s="144">
        <v>4</v>
      </c>
      <c r="O187" s="412" t="s">
        <v>3031</v>
      </c>
      <c r="P187" s="412" t="s">
        <v>3032</v>
      </c>
      <c r="Q187" s="413" t="s">
        <v>2703</v>
      </c>
      <c r="R187" s="211">
        <v>36281</v>
      </c>
      <c r="S187" s="414"/>
      <c r="T187" s="415">
        <v>1</v>
      </c>
      <c r="U187" s="62">
        <v>1</v>
      </c>
      <c r="V187" s="62"/>
      <c r="W187" s="62"/>
      <c r="X187" s="62">
        <v>1</v>
      </c>
      <c r="Y187" s="62"/>
      <c r="Z187" s="62"/>
      <c r="AA187" s="62"/>
      <c r="AB187" s="62"/>
    </row>
    <row r="188" spans="1:28" ht="15.6" customHeight="1" x14ac:dyDescent="0.2">
      <c r="A188" s="408">
        <v>187</v>
      </c>
      <c r="B188" s="409" t="str">
        <f t="shared" si="2"/>
        <v>Wahlenbergia tenella</v>
      </c>
      <c r="C188" s="410" t="s">
        <v>844</v>
      </c>
      <c r="E188" s="75" t="s">
        <v>861</v>
      </c>
      <c r="F188" s="75" t="s">
        <v>886</v>
      </c>
      <c r="G188" s="411" t="s">
        <v>3129</v>
      </c>
      <c r="H188" s="66" t="s">
        <v>3248</v>
      </c>
      <c r="I188" s="144">
        <v>2</v>
      </c>
      <c r="J188" s="144">
        <v>5</v>
      </c>
      <c r="K188" s="144">
        <v>3</v>
      </c>
      <c r="L188" s="144">
        <v>2</v>
      </c>
      <c r="M188" s="144">
        <v>1</v>
      </c>
      <c r="N188" s="144">
        <v>5</v>
      </c>
      <c r="O188" s="412" t="s">
        <v>3031</v>
      </c>
      <c r="P188" s="412" t="s">
        <v>3032</v>
      </c>
      <c r="Q188" s="413"/>
      <c r="R188" s="211">
        <v>35612</v>
      </c>
      <c r="S188" s="414"/>
      <c r="T188" s="415">
        <v>1</v>
      </c>
      <c r="U188" s="62"/>
      <c r="V188" s="62">
        <v>1</v>
      </c>
      <c r="W188" s="62"/>
      <c r="X188" s="62">
        <v>1</v>
      </c>
      <c r="Y188" s="62"/>
      <c r="Z188" s="62"/>
      <c r="AA188" s="62"/>
      <c r="AB188" s="62"/>
    </row>
    <row r="189" spans="1:28" ht="15.6" customHeight="1" x14ac:dyDescent="0.2">
      <c r="A189" s="408">
        <v>188</v>
      </c>
      <c r="B189" s="409" t="str">
        <f t="shared" si="2"/>
        <v>Cerastium capense</v>
      </c>
      <c r="C189" s="410" t="s">
        <v>887</v>
      </c>
      <c r="D189" s="75" t="s">
        <v>14</v>
      </c>
      <c r="E189" s="75" t="s">
        <v>888</v>
      </c>
      <c r="F189" s="75" t="s">
        <v>945</v>
      </c>
      <c r="G189" s="411" t="s">
        <v>3130</v>
      </c>
      <c r="H189" s="66" t="s">
        <v>3256</v>
      </c>
      <c r="I189" s="144">
        <v>6</v>
      </c>
      <c r="J189" s="144">
        <v>6</v>
      </c>
      <c r="K189" s="144">
        <v>3</v>
      </c>
      <c r="L189" s="144">
        <v>2</v>
      </c>
      <c r="M189" s="144">
        <v>1</v>
      </c>
      <c r="N189" s="144">
        <v>4</v>
      </c>
      <c r="O189" s="412" t="s">
        <v>2910</v>
      </c>
      <c r="P189" s="412" t="s">
        <v>2915</v>
      </c>
      <c r="Q189" s="413"/>
      <c r="R189" s="211">
        <v>36586</v>
      </c>
      <c r="S189" s="414"/>
      <c r="T189" s="415">
        <v>1</v>
      </c>
      <c r="U189" s="62">
        <v>1</v>
      </c>
      <c r="V189" s="62"/>
      <c r="W189" s="62"/>
      <c r="X189" s="62"/>
      <c r="Y189" s="62"/>
      <c r="Z189" s="62"/>
      <c r="AA189" s="62"/>
      <c r="AB189" s="62"/>
    </row>
    <row r="190" spans="1:28" ht="15.6" customHeight="1" x14ac:dyDescent="0.2">
      <c r="A190" s="408">
        <v>189</v>
      </c>
      <c r="B190" s="409" t="str">
        <f t="shared" si="2"/>
        <v>Dianthus albens</v>
      </c>
      <c r="C190" s="410" t="s">
        <v>887</v>
      </c>
      <c r="D190" s="75" t="s">
        <v>15</v>
      </c>
      <c r="E190" s="75" t="s">
        <v>946</v>
      </c>
      <c r="F190" s="75" t="s">
        <v>947</v>
      </c>
      <c r="G190" s="411" t="s">
        <v>3131</v>
      </c>
      <c r="H190" s="66" t="s">
        <v>3241</v>
      </c>
      <c r="I190" s="144">
        <v>3</v>
      </c>
      <c r="J190" s="144">
        <v>6</v>
      </c>
      <c r="K190" s="144">
        <v>4</v>
      </c>
      <c r="L190" s="144">
        <v>2</v>
      </c>
      <c r="M190" s="144">
        <v>1</v>
      </c>
      <c r="N190" s="144">
        <v>3</v>
      </c>
      <c r="O190" s="412" t="s">
        <v>2910</v>
      </c>
      <c r="P190" s="412" t="s">
        <v>3032</v>
      </c>
      <c r="Q190" s="413"/>
      <c r="R190" s="211">
        <v>35612</v>
      </c>
      <c r="S190" s="414"/>
      <c r="T190" s="415">
        <v>1</v>
      </c>
      <c r="U190" s="62"/>
      <c r="V190" s="62"/>
      <c r="W190" s="62"/>
      <c r="X190" s="62">
        <v>1</v>
      </c>
      <c r="Y190" s="62"/>
      <c r="Z190" s="62"/>
      <c r="AA190" s="62"/>
      <c r="AB190" s="62"/>
    </row>
    <row r="191" spans="1:28" ht="15.6" customHeight="1" x14ac:dyDescent="0.2">
      <c r="A191" s="408">
        <v>190</v>
      </c>
      <c r="B191" s="409" t="str">
        <f t="shared" si="2"/>
        <v>Dianthus caespitosus</v>
      </c>
      <c r="C191" s="410" t="s">
        <v>887</v>
      </c>
      <c r="E191" s="75" t="s">
        <v>946</v>
      </c>
      <c r="F191" s="75" t="s">
        <v>949</v>
      </c>
      <c r="G191" s="411" t="s">
        <v>3132</v>
      </c>
      <c r="H191" s="66" t="s">
        <v>3244</v>
      </c>
      <c r="I191" s="144">
        <v>3</v>
      </c>
      <c r="J191" s="144">
        <v>6</v>
      </c>
      <c r="K191" s="144">
        <v>4</v>
      </c>
      <c r="L191" s="144">
        <v>3</v>
      </c>
      <c r="M191" s="144">
        <v>1</v>
      </c>
      <c r="N191" s="144">
        <v>3</v>
      </c>
      <c r="O191" s="412" t="s">
        <v>2910</v>
      </c>
      <c r="P191" s="412" t="s">
        <v>3032</v>
      </c>
      <c r="Q191" s="413"/>
      <c r="R191" s="211">
        <v>35612</v>
      </c>
      <c r="S191" s="414"/>
      <c r="T191" s="415">
        <v>1</v>
      </c>
      <c r="U191" s="62"/>
      <c r="V191" s="62"/>
      <c r="W191" s="62"/>
      <c r="X191" s="62">
        <v>1</v>
      </c>
      <c r="Y191" s="62"/>
      <c r="Z191" s="62"/>
      <c r="AA191" s="62"/>
      <c r="AB191" s="62"/>
    </row>
    <row r="192" spans="1:28" ht="15.6" customHeight="1" x14ac:dyDescent="0.2">
      <c r="A192" s="408">
        <v>191</v>
      </c>
      <c r="B192" s="409" t="str">
        <f t="shared" si="2"/>
        <v>Herniaria capensis</v>
      </c>
      <c r="C192" s="410" t="s">
        <v>887</v>
      </c>
      <c r="E192" s="75" t="s">
        <v>950</v>
      </c>
      <c r="F192" s="75" t="s">
        <v>2756</v>
      </c>
      <c r="G192" s="411" t="s">
        <v>3133</v>
      </c>
      <c r="H192" s="66" t="s">
        <v>3268</v>
      </c>
      <c r="I192" s="144">
        <v>3</v>
      </c>
      <c r="J192" s="144">
        <v>6</v>
      </c>
      <c r="K192" s="144">
        <v>3</v>
      </c>
      <c r="L192" s="144">
        <v>1</v>
      </c>
      <c r="M192" s="144">
        <v>1</v>
      </c>
      <c r="N192" s="144">
        <v>5</v>
      </c>
      <c r="O192" s="412"/>
      <c r="P192" s="412" t="s">
        <v>3032</v>
      </c>
      <c r="Q192" s="413"/>
      <c r="R192" s="211">
        <v>35612</v>
      </c>
      <c r="S192" s="414"/>
      <c r="T192" s="415">
        <v>1</v>
      </c>
      <c r="U192" s="62">
        <v>1</v>
      </c>
      <c r="V192" s="62"/>
      <c r="W192" s="62"/>
      <c r="X192" s="62"/>
      <c r="Y192" s="62"/>
      <c r="Z192" s="62"/>
      <c r="AA192" s="62"/>
      <c r="AB192" s="62"/>
    </row>
    <row r="193" spans="1:28" ht="15.6" customHeight="1" x14ac:dyDescent="0.2">
      <c r="A193" s="408">
        <v>192</v>
      </c>
      <c r="B193" s="409" t="str">
        <f t="shared" si="2"/>
        <v>Silene undulata</v>
      </c>
      <c r="C193" s="410" t="s">
        <v>887</v>
      </c>
      <c r="D193" s="75" t="s">
        <v>17</v>
      </c>
      <c r="E193" s="75" t="s">
        <v>951</v>
      </c>
      <c r="F193" s="75" t="s">
        <v>954</v>
      </c>
      <c r="G193" s="411" t="s">
        <v>3134</v>
      </c>
      <c r="H193" s="66" t="s">
        <v>3252</v>
      </c>
      <c r="I193" s="144">
        <v>3</v>
      </c>
      <c r="J193" s="144">
        <v>5</v>
      </c>
      <c r="K193" s="144">
        <v>4</v>
      </c>
      <c r="L193" s="144">
        <v>2</v>
      </c>
      <c r="M193" s="144">
        <v>1</v>
      </c>
      <c r="N193" s="144">
        <v>3</v>
      </c>
      <c r="O193" s="412" t="s">
        <v>2910</v>
      </c>
      <c r="P193" s="412" t="s">
        <v>3032</v>
      </c>
      <c r="Q193" s="413"/>
      <c r="R193" s="211">
        <v>36130</v>
      </c>
      <c r="S193" s="414"/>
      <c r="T193" s="415">
        <v>1</v>
      </c>
      <c r="U193" s="62">
        <v>1</v>
      </c>
      <c r="V193" s="62"/>
      <c r="W193" s="62"/>
      <c r="X193" s="62">
        <v>1</v>
      </c>
      <c r="Y193" s="62"/>
      <c r="Z193" s="62"/>
      <c r="AA193" s="62"/>
      <c r="AB193" s="62"/>
    </row>
    <row r="194" spans="1:28" ht="15.6" customHeight="1" x14ac:dyDescent="0.2">
      <c r="A194" s="408">
        <v>193</v>
      </c>
      <c r="B194" s="409" t="str">
        <f t="shared" ref="B194:B257" si="3">E194&amp;" "&amp;F194</f>
        <v>Cassine peragua</v>
      </c>
      <c r="C194" s="410" t="s">
        <v>955</v>
      </c>
      <c r="D194" s="75" t="s">
        <v>18</v>
      </c>
      <c r="E194" s="75" t="s">
        <v>956</v>
      </c>
      <c r="F194" s="75" t="s">
        <v>957</v>
      </c>
      <c r="G194" s="411" t="s">
        <v>3135</v>
      </c>
      <c r="H194" s="66" t="s">
        <v>3227</v>
      </c>
      <c r="I194" s="144">
        <v>2</v>
      </c>
      <c r="J194" s="144">
        <v>3</v>
      </c>
      <c r="K194" s="144">
        <v>2</v>
      </c>
      <c r="L194" s="144">
        <v>1</v>
      </c>
      <c r="M194" s="144">
        <v>2</v>
      </c>
      <c r="N194" s="144">
        <v>3</v>
      </c>
      <c r="O194" s="412" t="s">
        <v>2167</v>
      </c>
      <c r="P194" s="412" t="s">
        <v>3032</v>
      </c>
      <c r="Q194" s="413"/>
      <c r="R194" s="211">
        <v>35612</v>
      </c>
      <c r="S194" s="414"/>
      <c r="T194" s="415">
        <v>1</v>
      </c>
      <c r="U194" s="62">
        <v>1</v>
      </c>
      <c r="V194" s="62">
        <v>1</v>
      </c>
      <c r="W194" s="62"/>
      <c r="X194" s="62"/>
      <c r="Y194" s="62">
        <v>1</v>
      </c>
      <c r="Z194" s="62"/>
      <c r="AA194" s="62"/>
      <c r="AB194" s="62"/>
    </row>
    <row r="195" spans="1:28" ht="15.6" customHeight="1" x14ac:dyDescent="0.2">
      <c r="A195" s="408">
        <v>194</v>
      </c>
      <c r="B195" s="409" t="str">
        <f t="shared" si="3"/>
        <v>Gymnosporia buxifolia</v>
      </c>
      <c r="C195" s="410" t="s">
        <v>955</v>
      </c>
      <c r="D195" s="75" t="s">
        <v>19</v>
      </c>
      <c r="E195" s="75" t="s">
        <v>958</v>
      </c>
      <c r="F195" s="75" t="s">
        <v>959</v>
      </c>
      <c r="G195" s="411" t="s">
        <v>3136</v>
      </c>
      <c r="H195" s="66" t="s">
        <v>3227</v>
      </c>
      <c r="I195" s="144">
        <v>2</v>
      </c>
      <c r="J195" s="144">
        <v>3</v>
      </c>
      <c r="K195" s="144">
        <v>2</v>
      </c>
      <c r="L195" s="144">
        <v>1</v>
      </c>
      <c r="M195" s="144">
        <v>2</v>
      </c>
      <c r="N195" s="144">
        <v>3</v>
      </c>
      <c r="O195" s="412" t="s">
        <v>2167</v>
      </c>
      <c r="P195" s="412" t="s">
        <v>3032</v>
      </c>
      <c r="Q195" s="413"/>
      <c r="R195" s="211">
        <v>35490</v>
      </c>
      <c r="S195" s="414" t="s">
        <v>2250</v>
      </c>
      <c r="T195" s="415"/>
      <c r="U195" s="62">
        <v>1</v>
      </c>
      <c r="V195" s="62"/>
      <c r="W195" s="62"/>
      <c r="X195" s="62"/>
      <c r="Y195" s="62">
        <v>1</v>
      </c>
      <c r="Z195" s="62"/>
      <c r="AA195" s="62"/>
      <c r="AB195" s="62"/>
    </row>
    <row r="196" spans="1:28" ht="15.6" customHeight="1" x14ac:dyDescent="0.2">
      <c r="A196" s="408">
        <v>195</v>
      </c>
      <c r="B196" s="409" t="str">
        <f t="shared" si="3"/>
        <v>Maytenus oleoides</v>
      </c>
      <c r="C196" s="410" t="s">
        <v>955</v>
      </c>
      <c r="D196" s="75" t="s">
        <v>20</v>
      </c>
      <c r="E196" s="75" t="s">
        <v>960</v>
      </c>
      <c r="F196" s="75" t="s">
        <v>961</v>
      </c>
      <c r="G196" s="411" t="s">
        <v>3137</v>
      </c>
      <c r="H196" s="66" t="s">
        <v>3227</v>
      </c>
      <c r="I196" s="144">
        <v>2</v>
      </c>
      <c r="J196" s="144">
        <v>3</v>
      </c>
      <c r="K196" s="144">
        <v>2</v>
      </c>
      <c r="L196" s="144">
        <v>1</v>
      </c>
      <c r="M196" s="144">
        <v>2</v>
      </c>
      <c r="N196" s="144">
        <v>3</v>
      </c>
      <c r="O196" s="412" t="s">
        <v>2167</v>
      </c>
      <c r="P196" s="412" t="s">
        <v>3032</v>
      </c>
      <c r="Q196" s="413"/>
      <c r="R196" s="211">
        <v>37073</v>
      </c>
      <c r="S196" s="414" t="s">
        <v>2250</v>
      </c>
      <c r="T196" s="415"/>
      <c r="U196" s="62"/>
      <c r="V196" s="62"/>
      <c r="W196" s="62"/>
      <c r="X196" s="62"/>
      <c r="Y196" s="62"/>
      <c r="Z196" s="62">
        <v>1</v>
      </c>
      <c r="AA196" s="62"/>
      <c r="AB196" s="62"/>
    </row>
    <row r="197" spans="1:28" ht="15.6" customHeight="1" x14ac:dyDescent="0.2">
      <c r="A197" s="408">
        <v>196</v>
      </c>
      <c r="B197" s="409" t="str">
        <f t="shared" si="3"/>
        <v>Pterocelastrus tricuspidatus</v>
      </c>
      <c r="C197" s="410" t="s">
        <v>955</v>
      </c>
      <c r="D197" s="75" t="s">
        <v>21</v>
      </c>
      <c r="E197" s="75" t="s">
        <v>962</v>
      </c>
      <c r="F197" s="75" t="s">
        <v>963</v>
      </c>
      <c r="G197" s="411" t="s">
        <v>3138</v>
      </c>
      <c r="H197" s="66" t="s">
        <v>3280</v>
      </c>
      <c r="I197" s="144">
        <v>1</v>
      </c>
      <c r="J197" s="144">
        <v>2</v>
      </c>
      <c r="K197" s="144">
        <v>2</v>
      </c>
      <c r="L197" s="144">
        <v>1</v>
      </c>
      <c r="M197" s="144">
        <v>2</v>
      </c>
      <c r="N197" s="144">
        <v>3</v>
      </c>
      <c r="O197" s="412" t="s">
        <v>2167</v>
      </c>
      <c r="P197" s="412" t="s">
        <v>3032</v>
      </c>
      <c r="Q197" s="413"/>
      <c r="R197" s="211">
        <v>35855</v>
      </c>
      <c r="S197" s="414"/>
      <c r="T197" s="415">
        <v>1</v>
      </c>
      <c r="U197" s="62">
        <v>1</v>
      </c>
      <c r="V197" s="62"/>
      <c r="W197" s="62"/>
      <c r="X197" s="62"/>
      <c r="Y197" s="62">
        <v>1</v>
      </c>
      <c r="Z197" s="62"/>
      <c r="AA197" s="62"/>
      <c r="AB197" s="62"/>
    </row>
    <row r="198" spans="1:28" ht="15.6" customHeight="1" x14ac:dyDescent="0.2">
      <c r="A198" s="408">
        <v>197</v>
      </c>
      <c r="B198" s="409" t="str">
        <f t="shared" si="3"/>
        <v>Robsonodendron maritimum</v>
      </c>
      <c r="C198" s="410" t="s">
        <v>955</v>
      </c>
      <c r="D198" s="75" t="s">
        <v>22</v>
      </c>
      <c r="E198" s="75" t="s">
        <v>964</v>
      </c>
      <c r="F198" s="75" t="s">
        <v>965</v>
      </c>
      <c r="G198" s="411" t="s">
        <v>3139</v>
      </c>
      <c r="H198" s="66" t="s">
        <v>3273</v>
      </c>
      <c r="I198" s="144">
        <v>2</v>
      </c>
      <c r="J198" s="144">
        <v>4</v>
      </c>
      <c r="K198" s="144" t="s">
        <v>2690</v>
      </c>
      <c r="L198" s="144" t="s">
        <v>2690</v>
      </c>
      <c r="M198" s="144">
        <v>2</v>
      </c>
      <c r="N198" s="144" t="s">
        <v>2690</v>
      </c>
      <c r="O198" s="412" t="s">
        <v>2168</v>
      </c>
      <c r="P198" s="412" t="s">
        <v>3032</v>
      </c>
      <c r="Q198" s="413"/>
      <c r="R198" s="211">
        <v>36251</v>
      </c>
      <c r="S198" s="414" t="s">
        <v>2250</v>
      </c>
      <c r="T198" s="415"/>
      <c r="U198" s="62">
        <v>1</v>
      </c>
      <c r="V198" s="62"/>
      <c r="W198" s="62"/>
      <c r="X198" s="62">
        <v>1</v>
      </c>
      <c r="Y198" s="62"/>
      <c r="Z198" s="62"/>
      <c r="AA198" s="62"/>
      <c r="AB198" s="62"/>
    </row>
    <row r="199" spans="1:28" ht="15.6" customHeight="1" x14ac:dyDescent="0.2">
      <c r="A199" s="408">
        <v>198</v>
      </c>
      <c r="B199" s="409" t="str">
        <f t="shared" si="3"/>
        <v>Celtis africana</v>
      </c>
      <c r="C199" s="410" t="s">
        <v>966</v>
      </c>
      <c r="D199" s="75" t="s">
        <v>23</v>
      </c>
      <c r="E199" s="75" t="s">
        <v>967</v>
      </c>
      <c r="F199" s="75" t="s">
        <v>832</v>
      </c>
      <c r="G199" s="411" t="s">
        <v>3140</v>
      </c>
      <c r="H199" s="66" t="s">
        <v>3281</v>
      </c>
      <c r="I199" s="144">
        <v>1</v>
      </c>
      <c r="J199" s="144">
        <v>1</v>
      </c>
      <c r="K199" s="144">
        <v>2</v>
      </c>
      <c r="L199" s="144">
        <v>1</v>
      </c>
      <c r="M199" s="144">
        <v>1</v>
      </c>
      <c r="N199" s="144">
        <v>3</v>
      </c>
      <c r="O199" s="412" t="s">
        <v>2173</v>
      </c>
      <c r="P199" s="412" t="s">
        <v>3032</v>
      </c>
      <c r="Q199" s="413"/>
      <c r="R199" s="211">
        <v>35612</v>
      </c>
      <c r="S199" s="414"/>
      <c r="T199" s="415">
        <v>1</v>
      </c>
      <c r="U199" s="62"/>
      <c r="V199" s="62"/>
      <c r="W199" s="62"/>
      <c r="X199" s="62"/>
      <c r="Y199" s="62">
        <v>1</v>
      </c>
      <c r="Z199" s="62">
        <v>1</v>
      </c>
      <c r="AA199" s="62"/>
      <c r="AB199" s="62"/>
    </row>
    <row r="200" spans="1:28" ht="15.6" customHeight="1" x14ac:dyDescent="0.2">
      <c r="A200" s="408">
        <v>199</v>
      </c>
      <c r="B200" s="409" t="str">
        <f t="shared" si="3"/>
        <v>Androcymbium capense</v>
      </c>
      <c r="C200" s="410" t="s">
        <v>968</v>
      </c>
      <c r="E200" s="75" t="s">
        <v>969</v>
      </c>
      <c r="F200" s="75" t="s">
        <v>945</v>
      </c>
      <c r="G200" s="411" t="s">
        <v>3141</v>
      </c>
      <c r="H200" s="66" t="s">
        <v>1287</v>
      </c>
      <c r="I200" s="144">
        <v>4</v>
      </c>
      <c r="J200" s="144">
        <v>6</v>
      </c>
      <c r="K200" s="144">
        <v>5</v>
      </c>
      <c r="L200" s="144">
        <v>2</v>
      </c>
      <c r="M200" s="144">
        <v>1</v>
      </c>
      <c r="N200" s="144">
        <v>1</v>
      </c>
      <c r="O200" s="412" t="s">
        <v>2163</v>
      </c>
      <c r="P200" s="412" t="s">
        <v>3032</v>
      </c>
      <c r="Q200" s="413"/>
      <c r="R200" s="211">
        <v>35612</v>
      </c>
      <c r="S200" s="414"/>
      <c r="T200" s="415">
        <v>1</v>
      </c>
      <c r="U200" s="62">
        <v>1</v>
      </c>
      <c r="V200" s="62"/>
      <c r="W200" s="62">
        <v>1</v>
      </c>
      <c r="X200" s="62"/>
      <c r="Y200" s="62"/>
      <c r="Z200" s="62"/>
      <c r="AA200" s="62"/>
      <c r="AB200" s="62"/>
    </row>
    <row r="201" spans="1:28" ht="15.6" customHeight="1" x14ac:dyDescent="0.2">
      <c r="A201" s="408">
        <v>200</v>
      </c>
      <c r="B201" s="409" t="str">
        <f t="shared" si="3"/>
        <v>Androcymbium eucomoides</v>
      </c>
      <c r="C201" s="410" t="s">
        <v>968</v>
      </c>
      <c r="E201" s="75" t="s">
        <v>969</v>
      </c>
      <c r="F201" s="75" t="s">
        <v>970</v>
      </c>
      <c r="G201" s="411" t="s">
        <v>3142</v>
      </c>
      <c r="H201" s="66" t="s">
        <v>1287</v>
      </c>
      <c r="I201" s="144">
        <v>4</v>
      </c>
      <c r="J201" s="144">
        <v>6</v>
      </c>
      <c r="K201" s="144">
        <v>5</v>
      </c>
      <c r="L201" s="144">
        <v>2</v>
      </c>
      <c r="M201" s="144">
        <v>1</v>
      </c>
      <c r="N201" s="144">
        <v>1</v>
      </c>
      <c r="O201" s="412" t="s">
        <v>2163</v>
      </c>
      <c r="P201" s="412" t="s">
        <v>3032</v>
      </c>
      <c r="Q201" s="413"/>
      <c r="R201" s="211">
        <v>37347</v>
      </c>
      <c r="S201" s="414"/>
      <c r="T201" s="415">
        <v>1</v>
      </c>
      <c r="U201" s="62">
        <v>1</v>
      </c>
      <c r="V201" s="62"/>
      <c r="W201" s="62"/>
      <c r="X201" s="62"/>
      <c r="Y201" s="62">
        <v>1</v>
      </c>
      <c r="Z201" s="62"/>
      <c r="AA201" s="62"/>
      <c r="AB201" s="62"/>
    </row>
    <row r="202" spans="1:28" ht="15.6" customHeight="1" x14ac:dyDescent="0.2">
      <c r="A202" s="408">
        <v>201</v>
      </c>
      <c r="B202" s="409" t="str">
        <f t="shared" si="3"/>
        <v>Baeometra uniflora</v>
      </c>
      <c r="C202" s="410" t="s">
        <v>968</v>
      </c>
      <c r="D202" s="75" t="s">
        <v>24</v>
      </c>
      <c r="E202" s="75" t="s">
        <v>971</v>
      </c>
      <c r="F202" s="75" t="s">
        <v>972</v>
      </c>
      <c r="G202" s="411" t="s">
        <v>3143</v>
      </c>
      <c r="H202" s="66" t="s">
        <v>1287</v>
      </c>
      <c r="I202" s="144">
        <v>4</v>
      </c>
      <c r="J202" s="144">
        <v>6</v>
      </c>
      <c r="K202" s="144">
        <v>4</v>
      </c>
      <c r="L202" s="144">
        <v>2</v>
      </c>
      <c r="M202" s="144">
        <v>1</v>
      </c>
      <c r="N202" s="144">
        <v>1</v>
      </c>
      <c r="O202" s="412" t="s">
        <v>2163</v>
      </c>
      <c r="P202" s="412" t="s">
        <v>3032</v>
      </c>
      <c r="Q202" s="413"/>
      <c r="R202" s="211">
        <v>37500</v>
      </c>
      <c r="S202" s="414"/>
      <c r="T202" s="415">
        <v>1</v>
      </c>
      <c r="U202" s="62"/>
      <c r="V202" s="62"/>
      <c r="W202" s="62"/>
      <c r="X202" s="62">
        <v>1</v>
      </c>
      <c r="Y202" s="62"/>
      <c r="Z202" s="62"/>
      <c r="AA202" s="62"/>
      <c r="AB202" s="62"/>
    </row>
    <row r="203" spans="1:28" ht="15.6" customHeight="1" x14ac:dyDescent="0.2">
      <c r="A203" s="408">
        <v>202</v>
      </c>
      <c r="B203" s="409" t="str">
        <f t="shared" si="3"/>
        <v>Ornithoglossum viride</v>
      </c>
      <c r="C203" s="410" t="s">
        <v>968</v>
      </c>
      <c r="D203" s="75" t="s">
        <v>25</v>
      </c>
      <c r="E203" s="75" t="s">
        <v>973</v>
      </c>
      <c r="F203" s="75" t="s">
        <v>974</v>
      </c>
      <c r="G203" s="411" t="s">
        <v>3152</v>
      </c>
      <c r="H203" s="66" t="s">
        <v>1287</v>
      </c>
      <c r="I203" s="144">
        <v>4</v>
      </c>
      <c r="J203" s="144">
        <v>6</v>
      </c>
      <c r="K203" s="144">
        <v>4</v>
      </c>
      <c r="L203" s="144">
        <v>2</v>
      </c>
      <c r="M203" s="144">
        <v>1</v>
      </c>
      <c r="N203" s="144">
        <v>1</v>
      </c>
      <c r="O203" s="412" t="s">
        <v>2163</v>
      </c>
      <c r="P203" s="412" t="s">
        <v>3032</v>
      </c>
      <c r="Q203" s="413"/>
      <c r="R203" s="211">
        <v>37530</v>
      </c>
      <c r="S203" s="414"/>
      <c r="T203" s="415">
        <v>1</v>
      </c>
      <c r="U203" s="62"/>
      <c r="V203" s="62"/>
      <c r="W203" s="62">
        <v>1</v>
      </c>
      <c r="X203" s="62"/>
      <c r="Y203" s="62"/>
      <c r="Z203" s="62"/>
      <c r="AA203" s="62"/>
      <c r="AB203" s="62"/>
    </row>
    <row r="204" spans="1:28" ht="15.6" customHeight="1" x14ac:dyDescent="0.2">
      <c r="A204" s="408">
        <v>203</v>
      </c>
      <c r="B204" s="409" t="str">
        <f t="shared" si="3"/>
        <v>Cotyledon  orbiculata</v>
      </c>
      <c r="C204" s="410" t="s">
        <v>975</v>
      </c>
      <c r="D204" s="75" t="s">
        <v>26</v>
      </c>
      <c r="E204" s="75" t="s">
        <v>976</v>
      </c>
      <c r="F204" s="75" t="s">
        <v>977</v>
      </c>
      <c r="G204" s="411" t="s">
        <v>3153</v>
      </c>
      <c r="H204" s="66" t="s">
        <v>3282</v>
      </c>
      <c r="I204" s="144">
        <v>2</v>
      </c>
      <c r="J204" s="144">
        <v>5</v>
      </c>
      <c r="K204" s="144">
        <v>3</v>
      </c>
      <c r="L204" s="144">
        <v>1</v>
      </c>
      <c r="M204" s="144">
        <v>4</v>
      </c>
      <c r="N204" s="144">
        <v>2</v>
      </c>
      <c r="O204" s="412" t="s">
        <v>2174</v>
      </c>
      <c r="P204" s="412" t="s">
        <v>3032</v>
      </c>
      <c r="Q204" s="413"/>
      <c r="R204" s="211">
        <v>36951</v>
      </c>
      <c r="S204" s="414" t="s">
        <v>2250</v>
      </c>
      <c r="T204" s="415"/>
      <c r="U204" s="62">
        <v>1</v>
      </c>
      <c r="V204" s="62">
        <v>1</v>
      </c>
      <c r="W204" s="62"/>
      <c r="X204" s="62">
        <v>1</v>
      </c>
      <c r="Y204" s="62"/>
      <c r="Z204" s="62"/>
      <c r="AA204" s="62"/>
      <c r="AB204" s="62"/>
    </row>
    <row r="205" spans="1:28" ht="15.6" customHeight="1" x14ac:dyDescent="0.2">
      <c r="A205" s="408">
        <v>204</v>
      </c>
      <c r="B205" s="409" t="str">
        <f t="shared" si="3"/>
        <v>Crassula campestris</v>
      </c>
      <c r="C205" s="410" t="s">
        <v>975</v>
      </c>
      <c r="E205" s="75" t="s">
        <v>978</v>
      </c>
      <c r="F205" s="75" t="s">
        <v>979</v>
      </c>
      <c r="G205" s="411" t="s">
        <v>3154</v>
      </c>
      <c r="H205" s="66" t="s">
        <v>3261</v>
      </c>
      <c r="I205" s="144">
        <v>6</v>
      </c>
      <c r="J205" s="144">
        <v>6</v>
      </c>
      <c r="K205" s="144">
        <v>3</v>
      </c>
      <c r="L205" s="144">
        <v>2</v>
      </c>
      <c r="M205" s="144">
        <v>3</v>
      </c>
      <c r="N205" s="144">
        <v>5</v>
      </c>
      <c r="O205" s="412" t="s">
        <v>2910</v>
      </c>
      <c r="P205" s="412" t="s">
        <v>2915</v>
      </c>
      <c r="Q205" s="413"/>
      <c r="R205" s="211">
        <v>37257</v>
      </c>
      <c r="S205" s="414"/>
      <c r="T205" s="415">
        <v>1</v>
      </c>
      <c r="U205" s="429"/>
      <c r="V205" s="62"/>
      <c r="W205" s="62"/>
      <c r="X205" s="62"/>
      <c r="Y205" s="62"/>
      <c r="Z205" s="62"/>
      <c r="AA205" s="62"/>
      <c r="AB205" s="62"/>
    </row>
    <row r="206" spans="1:28" ht="15.6" customHeight="1" x14ac:dyDescent="0.2">
      <c r="A206" s="408">
        <v>205</v>
      </c>
      <c r="B206" s="409" t="str">
        <f t="shared" si="3"/>
        <v>Crassula capensis</v>
      </c>
      <c r="C206" s="410" t="s">
        <v>975</v>
      </c>
      <c r="D206" s="75" t="s">
        <v>27</v>
      </c>
      <c r="E206" s="75" t="s">
        <v>978</v>
      </c>
      <c r="F206" s="75" t="s">
        <v>2756</v>
      </c>
      <c r="G206" s="411" t="s">
        <v>3155</v>
      </c>
      <c r="H206" s="66" t="s">
        <v>3224</v>
      </c>
      <c r="I206" s="144">
        <v>4</v>
      </c>
      <c r="J206" s="144">
        <v>6</v>
      </c>
      <c r="K206" s="144">
        <v>5</v>
      </c>
      <c r="L206" s="144">
        <v>1</v>
      </c>
      <c r="M206" s="144">
        <v>3</v>
      </c>
      <c r="N206" s="144">
        <v>3</v>
      </c>
      <c r="O206" s="412" t="s">
        <v>2163</v>
      </c>
      <c r="P206" s="412" t="s">
        <v>3032</v>
      </c>
      <c r="Q206" s="413"/>
      <c r="R206" s="211">
        <v>35916</v>
      </c>
      <c r="S206" s="414"/>
      <c r="T206" s="415">
        <v>1</v>
      </c>
      <c r="U206" s="62"/>
      <c r="V206" s="62"/>
      <c r="W206" s="62"/>
      <c r="X206" s="62">
        <v>1</v>
      </c>
      <c r="Y206" s="62"/>
      <c r="Z206" s="62"/>
      <c r="AA206" s="62">
        <v>1</v>
      </c>
      <c r="AB206" s="62"/>
    </row>
    <row r="207" spans="1:28" ht="15.6" customHeight="1" x14ac:dyDescent="0.2">
      <c r="A207" s="408">
        <v>206</v>
      </c>
      <c r="B207" s="409" t="str">
        <f t="shared" si="3"/>
        <v>Crassula depressa</v>
      </c>
      <c r="C207" s="410" t="s">
        <v>975</v>
      </c>
      <c r="E207" s="75" t="s">
        <v>978</v>
      </c>
      <c r="F207" s="75" t="s">
        <v>980</v>
      </c>
      <c r="G207" s="411" t="s">
        <v>3156</v>
      </c>
      <c r="H207" s="66" t="s">
        <v>3261</v>
      </c>
      <c r="I207" s="144">
        <v>6</v>
      </c>
      <c r="J207" s="144">
        <v>6</v>
      </c>
      <c r="K207" s="144">
        <v>3</v>
      </c>
      <c r="L207" s="144">
        <v>3</v>
      </c>
      <c r="M207" s="144">
        <v>3</v>
      </c>
      <c r="N207" s="144">
        <v>5</v>
      </c>
      <c r="O207" s="412" t="s">
        <v>2910</v>
      </c>
      <c r="P207" s="412" t="s">
        <v>2915</v>
      </c>
      <c r="Q207" s="413"/>
      <c r="R207" s="211">
        <v>37165</v>
      </c>
      <c r="S207" s="414"/>
      <c r="T207" s="415">
        <v>1</v>
      </c>
      <c r="U207" s="62"/>
      <c r="V207" s="62"/>
      <c r="W207" s="62"/>
      <c r="X207" s="62">
        <v>1</v>
      </c>
      <c r="Y207" s="62"/>
      <c r="Z207" s="62"/>
      <c r="AA207" s="62"/>
      <c r="AB207" s="62"/>
    </row>
    <row r="208" spans="1:28" ht="15.6" customHeight="1" x14ac:dyDescent="0.2">
      <c r="A208" s="408">
        <v>207</v>
      </c>
      <c r="B208" s="409" t="str">
        <f t="shared" si="3"/>
        <v>Crassula dichotoma</v>
      </c>
      <c r="C208" s="410" t="s">
        <v>975</v>
      </c>
      <c r="E208" s="75" t="s">
        <v>978</v>
      </c>
      <c r="F208" s="75" t="s">
        <v>985</v>
      </c>
      <c r="G208" s="411" t="s">
        <v>3157</v>
      </c>
      <c r="H208" s="66" t="s">
        <v>3283</v>
      </c>
      <c r="I208" s="144">
        <v>6</v>
      </c>
      <c r="J208" s="144">
        <v>6</v>
      </c>
      <c r="K208" s="144">
        <v>0</v>
      </c>
      <c r="L208" s="144">
        <v>7</v>
      </c>
      <c r="M208" s="144">
        <v>0</v>
      </c>
      <c r="N208" s="144">
        <v>0</v>
      </c>
      <c r="O208" s="412" t="s">
        <v>2910</v>
      </c>
      <c r="P208" s="412" t="s">
        <v>2915</v>
      </c>
      <c r="Q208" s="413"/>
      <c r="R208" s="211">
        <v>35612</v>
      </c>
      <c r="S208" s="414"/>
      <c r="T208" s="415">
        <v>1</v>
      </c>
      <c r="U208" s="62">
        <v>1</v>
      </c>
      <c r="V208" s="62"/>
      <c r="W208" s="62"/>
      <c r="X208" s="62"/>
      <c r="Y208" s="62"/>
      <c r="Z208" s="62"/>
      <c r="AA208" s="62"/>
      <c r="AB208" s="62"/>
    </row>
    <row r="209" spans="1:28" ht="15.6" customHeight="1" x14ac:dyDescent="0.2">
      <c r="A209" s="408">
        <v>208</v>
      </c>
      <c r="B209" s="409" t="str">
        <f t="shared" si="3"/>
        <v>Crassula expansa ssp. expansa</v>
      </c>
      <c r="C209" s="410" t="s">
        <v>975</v>
      </c>
      <c r="E209" s="75" t="s">
        <v>978</v>
      </c>
      <c r="F209" s="75" t="s">
        <v>2242</v>
      </c>
      <c r="G209" s="411" t="s">
        <v>3162</v>
      </c>
      <c r="H209" s="66" t="s">
        <v>3268</v>
      </c>
      <c r="I209" s="144">
        <v>3</v>
      </c>
      <c r="J209" s="144">
        <v>6</v>
      </c>
      <c r="K209" s="144">
        <v>3</v>
      </c>
      <c r="L209" s="144">
        <v>2</v>
      </c>
      <c r="M209" s="144">
        <v>3</v>
      </c>
      <c r="N209" s="144">
        <v>5</v>
      </c>
      <c r="O209" s="412" t="s">
        <v>2164</v>
      </c>
      <c r="P209" s="412"/>
      <c r="Q209" s="413"/>
      <c r="R209" s="211">
        <v>37012</v>
      </c>
      <c r="S209" s="414"/>
      <c r="T209" s="415">
        <v>1</v>
      </c>
      <c r="U209" s="62"/>
      <c r="V209" s="62"/>
      <c r="W209" s="62"/>
      <c r="X209" s="62"/>
      <c r="Y209" s="62"/>
      <c r="Z209" s="62"/>
      <c r="AA209" s="62">
        <v>1</v>
      </c>
      <c r="AB209" s="62"/>
    </row>
    <row r="210" spans="1:28" ht="15.6" customHeight="1" x14ac:dyDescent="0.2">
      <c r="A210" s="408">
        <v>209</v>
      </c>
      <c r="B210" s="409" t="str">
        <f t="shared" si="3"/>
        <v>Crassula expansa ssp. filicaulis</v>
      </c>
      <c r="C210" s="410" t="s">
        <v>975</v>
      </c>
      <c r="E210" s="75" t="s">
        <v>978</v>
      </c>
      <c r="F210" s="75" t="s">
        <v>2243</v>
      </c>
      <c r="G210" s="411" t="s">
        <v>3162</v>
      </c>
      <c r="H210" s="66" t="s">
        <v>3268</v>
      </c>
      <c r="I210" s="144">
        <v>3</v>
      </c>
      <c r="J210" s="144">
        <v>6</v>
      </c>
      <c r="K210" s="144">
        <v>3</v>
      </c>
      <c r="L210" s="144">
        <v>2</v>
      </c>
      <c r="M210" s="144">
        <v>3</v>
      </c>
      <c r="N210" s="144">
        <v>5</v>
      </c>
      <c r="O210" s="412" t="s">
        <v>2164</v>
      </c>
      <c r="P210" s="412"/>
      <c r="Q210" s="413"/>
      <c r="R210" s="211">
        <v>35735</v>
      </c>
      <c r="S210" s="414"/>
      <c r="T210" s="415">
        <v>1</v>
      </c>
      <c r="U210" s="62"/>
      <c r="V210" s="62"/>
      <c r="W210" s="62"/>
      <c r="X210" s="62">
        <v>1</v>
      </c>
      <c r="Y210" s="62"/>
      <c r="Z210" s="62"/>
      <c r="AA210" s="62"/>
      <c r="AB210" s="62"/>
    </row>
    <row r="211" spans="1:28" ht="15.6" customHeight="1" x14ac:dyDescent="0.2">
      <c r="A211" s="408">
        <v>210</v>
      </c>
      <c r="B211" s="409" t="str">
        <f t="shared" si="3"/>
        <v>Crassula fascicularis</v>
      </c>
      <c r="C211" s="410" t="s">
        <v>975</v>
      </c>
      <c r="E211" s="75" t="s">
        <v>978</v>
      </c>
      <c r="F211" s="75" t="s">
        <v>986</v>
      </c>
      <c r="G211" s="411" t="s">
        <v>3163</v>
      </c>
      <c r="H211" s="66" t="s">
        <v>3219</v>
      </c>
      <c r="I211" s="144">
        <v>2</v>
      </c>
      <c r="J211" s="144">
        <v>6</v>
      </c>
      <c r="K211" s="144">
        <v>4</v>
      </c>
      <c r="L211" s="144">
        <v>2</v>
      </c>
      <c r="M211" s="144">
        <v>3</v>
      </c>
      <c r="N211" s="144">
        <v>3</v>
      </c>
      <c r="O211" s="412" t="s">
        <v>2174</v>
      </c>
      <c r="P211" s="412" t="s">
        <v>3032</v>
      </c>
      <c r="Q211" s="413"/>
      <c r="R211" s="211">
        <v>35612</v>
      </c>
      <c r="S211" s="414"/>
      <c r="T211" s="415">
        <v>1</v>
      </c>
      <c r="U211" s="62"/>
      <c r="V211" s="62">
        <v>1</v>
      </c>
      <c r="W211" s="62"/>
      <c r="X211" s="62">
        <v>1</v>
      </c>
      <c r="Y211" s="62"/>
      <c r="Z211" s="62"/>
      <c r="AA211" s="62"/>
      <c r="AB211" s="62"/>
    </row>
    <row r="212" spans="1:28" ht="15.6" customHeight="1" x14ac:dyDescent="0.2">
      <c r="A212" s="408">
        <v>211</v>
      </c>
      <c r="B212" s="409" t="str">
        <f t="shared" si="3"/>
        <v>Crassula glomerata</v>
      </c>
      <c r="C212" s="410" t="s">
        <v>975</v>
      </c>
      <c r="D212" s="75" t="s">
        <v>28</v>
      </c>
      <c r="E212" s="75" t="s">
        <v>978</v>
      </c>
      <c r="F212" s="75" t="s">
        <v>987</v>
      </c>
      <c r="G212" s="411" t="s">
        <v>3164</v>
      </c>
      <c r="H212" s="66" t="s">
        <v>3261</v>
      </c>
      <c r="I212" s="144">
        <v>6</v>
      </c>
      <c r="J212" s="144">
        <v>6</v>
      </c>
      <c r="K212" s="144">
        <v>3</v>
      </c>
      <c r="L212" s="144">
        <v>2</v>
      </c>
      <c r="M212" s="144">
        <v>3</v>
      </c>
      <c r="N212" s="144">
        <v>5</v>
      </c>
      <c r="O212" s="412" t="s">
        <v>2910</v>
      </c>
      <c r="P212" s="412" t="s">
        <v>2915</v>
      </c>
      <c r="Q212" s="413"/>
      <c r="R212" s="211">
        <v>35947</v>
      </c>
      <c r="S212" s="414"/>
      <c r="T212" s="415">
        <v>1</v>
      </c>
      <c r="U212" s="62">
        <v>1</v>
      </c>
      <c r="V212" s="62"/>
      <c r="W212" s="62">
        <v>1</v>
      </c>
      <c r="X212" s="62">
        <v>1</v>
      </c>
      <c r="Y212" s="62"/>
      <c r="Z212" s="62"/>
      <c r="AA212" s="62"/>
      <c r="AB212" s="62"/>
    </row>
    <row r="213" spans="1:28" ht="15.6" customHeight="1" x14ac:dyDescent="0.2">
      <c r="A213" s="408">
        <v>212</v>
      </c>
      <c r="B213" s="409" t="str">
        <f t="shared" si="3"/>
        <v>Crassula subulata var. subulata</v>
      </c>
      <c r="C213" s="410" t="s">
        <v>975</v>
      </c>
      <c r="D213" s="75" t="s">
        <v>29</v>
      </c>
      <c r="E213" s="75" t="s">
        <v>978</v>
      </c>
      <c r="F213" s="75" t="s">
        <v>837</v>
      </c>
      <c r="G213" s="411" t="s">
        <v>3165</v>
      </c>
      <c r="H213" s="66" t="s">
        <v>3248</v>
      </c>
      <c r="I213" s="144">
        <v>2</v>
      </c>
      <c r="J213" s="144">
        <v>5</v>
      </c>
      <c r="K213" s="144">
        <v>3</v>
      </c>
      <c r="L213" s="144">
        <v>3</v>
      </c>
      <c r="M213" s="144">
        <v>3</v>
      </c>
      <c r="N213" s="144">
        <v>5</v>
      </c>
      <c r="O213" s="412" t="s">
        <v>2175</v>
      </c>
      <c r="P213" s="412" t="s">
        <v>3032</v>
      </c>
      <c r="Q213" s="413"/>
      <c r="R213" s="211">
        <v>35612</v>
      </c>
      <c r="S213" s="414"/>
      <c r="T213" s="415">
        <v>1</v>
      </c>
      <c r="U213" s="62">
        <v>1</v>
      </c>
      <c r="V213" s="62">
        <v>1</v>
      </c>
      <c r="W213" s="62"/>
      <c r="X213" s="62"/>
      <c r="Y213" s="62"/>
      <c r="Z213" s="62"/>
      <c r="AA213" s="62"/>
      <c r="AB213" s="62"/>
    </row>
    <row r="214" spans="1:28" ht="15.6" customHeight="1" x14ac:dyDescent="0.2">
      <c r="A214" s="408">
        <v>213</v>
      </c>
      <c r="B214" s="409" t="str">
        <f t="shared" si="3"/>
        <v>Kedrostis nana</v>
      </c>
      <c r="C214" s="410" t="s">
        <v>988</v>
      </c>
      <c r="D214" s="75" t="s">
        <v>30</v>
      </c>
      <c r="E214" s="75" t="s">
        <v>989</v>
      </c>
      <c r="F214" s="75" t="s">
        <v>990</v>
      </c>
      <c r="G214" s="411" t="s">
        <v>3166</v>
      </c>
      <c r="H214" s="66" t="s">
        <v>3242</v>
      </c>
      <c r="I214" s="144">
        <v>7</v>
      </c>
      <c r="J214" s="144">
        <v>6</v>
      </c>
      <c r="K214" s="144">
        <v>3</v>
      </c>
      <c r="L214" s="144">
        <v>1</v>
      </c>
      <c r="M214" s="144">
        <v>1</v>
      </c>
      <c r="N214" s="144">
        <v>3</v>
      </c>
      <c r="O214" s="412" t="s">
        <v>1657</v>
      </c>
      <c r="P214" s="412" t="s">
        <v>3032</v>
      </c>
      <c r="Q214" s="413"/>
      <c r="R214" s="211">
        <v>35612</v>
      </c>
      <c r="S214" s="414"/>
      <c r="T214" s="415">
        <v>1</v>
      </c>
      <c r="U214" s="62"/>
      <c r="V214" s="62"/>
      <c r="W214" s="62"/>
      <c r="X214" s="62"/>
      <c r="Y214" s="62">
        <v>1</v>
      </c>
      <c r="Z214" s="62"/>
      <c r="AA214" s="62"/>
      <c r="AB214" s="62"/>
    </row>
    <row r="215" spans="1:28" ht="15.6" customHeight="1" x14ac:dyDescent="0.2">
      <c r="A215" s="408">
        <v>214</v>
      </c>
      <c r="B215" s="409" t="str">
        <f t="shared" si="3"/>
        <v>Zehneria scabra</v>
      </c>
      <c r="C215" s="410" t="s">
        <v>988</v>
      </c>
      <c r="D215" s="75" t="s">
        <v>31</v>
      </c>
      <c r="E215" s="75" t="s">
        <v>991</v>
      </c>
      <c r="F215" s="75" t="s">
        <v>786</v>
      </c>
      <c r="G215" s="411" t="s">
        <v>3167</v>
      </c>
      <c r="H215" s="66" t="s">
        <v>3242</v>
      </c>
      <c r="I215" s="144">
        <v>7</v>
      </c>
      <c r="J215" s="144">
        <v>2</v>
      </c>
      <c r="K215" s="144">
        <v>3</v>
      </c>
      <c r="L215" s="144">
        <v>1</v>
      </c>
      <c r="M215" s="144">
        <v>1</v>
      </c>
      <c r="N215" s="144">
        <v>2</v>
      </c>
      <c r="O215" s="412" t="s">
        <v>1657</v>
      </c>
      <c r="P215" s="412" t="s">
        <v>3032</v>
      </c>
      <c r="Q215" s="413"/>
      <c r="R215" s="211">
        <v>35612</v>
      </c>
      <c r="S215" s="414"/>
      <c r="T215" s="415">
        <v>1</v>
      </c>
      <c r="U215" s="62"/>
      <c r="V215" s="62"/>
      <c r="W215" s="62"/>
      <c r="X215" s="62"/>
      <c r="Y215" s="62">
        <v>1</v>
      </c>
      <c r="Z215" s="62"/>
      <c r="AA215" s="62"/>
      <c r="AB215" s="62"/>
    </row>
    <row r="216" spans="1:28" ht="15.6" customHeight="1" x14ac:dyDescent="0.2">
      <c r="A216" s="408">
        <v>215</v>
      </c>
      <c r="B216" s="409" t="str">
        <f t="shared" si="3"/>
        <v>Ficinia bulbosa</v>
      </c>
      <c r="C216" s="410" t="s">
        <v>992</v>
      </c>
      <c r="E216" s="75" t="s">
        <v>993</v>
      </c>
      <c r="F216" s="75" t="s">
        <v>994</v>
      </c>
      <c r="G216" s="411" t="s">
        <v>3168</v>
      </c>
      <c r="H216" s="66" t="s">
        <v>3284</v>
      </c>
      <c r="I216" s="144">
        <v>5</v>
      </c>
      <c r="J216" s="144">
        <v>6</v>
      </c>
      <c r="K216" s="144">
        <v>5</v>
      </c>
      <c r="L216" s="144">
        <v>3</v>
      </c>
      <c r="M216" s="144">
        <v>1</v>
      </c>
      <c r="N216" s="144">
        <v>1</v>
      </c>
      <c r="O216" s="412" t="s">
        <v>2176</v>
      </c>
      <c r="P216" s="412" t="s">
        <v>3032</v>
      </c>
      <c r="Q216" s="413"/>
      <c r="R216" s="211">
        <v>35612</v>
      </c>
      <c r="S216" s="414"/>
      <c r="T216" s="415">
        <v>1</v>
      </c>
      <c r="U216" s="62">
        <v>1</v>
      </c>
      <c r="V216" s="62">
        <v>1</v>
      </c>
      <c r="W216" s="62"/>
      <c r="X216" s="62"/>
      <c r="Y216" s="62"/>
      <c r="Z216" s="62"/>
      <c r="AA216" s="62"/>
      <c r="AB216" s="62"/>
    </row>
    <row r="217" spans="1:28" ht="15.6" customHeight="1" x14ac:dyDescent="0.2">
      <c r="A217" s="408">
        <v>216</v>
      </c>
      <c r="B217" s="409" t="str">
        <f t="shared" si="3"/>
        <v>Ficinia deusta</v>
      </c>
      <c r="C217" s="410" t="s">
        <v>992</v>
      </c>
      <c r="E217" s="75" t="s">
        <v>993</v>
      </c>
      <c r="F217" s="75" t="s">
        <v>995</v>
      </c>
      <c r="G217" s="411" t="s">
        <v>3169</v>
      </c>
      <c r="H217" s="66" t="s">
        <v>3284</v>
      </c>
      <c r="I217" s="144">
        <v>5</v>
      </c>
      <c r="J217" s="144">
        <v>6</v>
      </c>
      <c r="K217" s="144">
        <v>5</v>
      </c>
      <c r="L217" s="144">
        <v>3</v>
      </c>
      <c r="M217" s="144">
        <v>1</v>
      </c>
      <c r="N217" s="144">
        <v>1</v>
      </c>
      <c r="O217" s="412" t="s">
        <v>2176</v>
      </c>
      <c r="P217" s="412" t="s">
        <v>3032</v>
      </c>
      <c r="Q217" s="413"/>
      <c r="R217" s="211">
        <v>35612</v>
      </c>
      <c r="S217" s="414"/>
      <c r="T217" s="415">
        <v>1</v>
      </c>
      <c r="U217" s="62">
        <v>1</v>
      </c>
      <c r="V217" s="62"/>
      <c r="W217" s="62">
        <v>1</v>
      </c>
      <c r="X217" s="62">
        <v>1</v>
      </c>
      <c r="Y217" s="62"/>
      <c r="Z217" s="62"/>
      <c r="AA217" s="62"/>
      <c r="AB217" s="62"/>
    </row>
    <row r="218" spans="1:28" ht="15.6" customHeight="1" x14ac:dyDescent="0.2">
      <c r="A218" s="408">
        <v>217</v>
      </c>
      <c r="B218" s="409" t="str">
        <f t="shared" si="3"/>
        <v>Ficinia gracilis</v>
      </c>
      <c r="C218" s="410" t="s">
        <v>992</v>
      </c>
      <c r="E218" s="75" t="s">
        <v>993</v>
      </c>
      <c r="F218" s="75" t="s">
        <v>996</v>
      </c>
      <c r="G218" s="411" t="s">
        <v>3170</v>
      </c>
      <c r="H218" s="66" t="s">
        <v>3284</v>
      </c>
      <c r="I218" s="144">
        <v>5</v>
      </c>
      <c r="J218" s="144">
        <v>6</v>
      </c>
      <c r="K218" s="144">
        <v>5</v>
      </c>
      <c r="L218" s="144">
        <v>3</v>
      </c>
      <c r="M218" s="144">
        <v>1</v>
      </c>
      <c r="N218" s="144">
        <v>1</v>
      </c>
      <c r="O218" s="412" t="s">
        <v>2177</v>
      </c>
      <c r="P218" s="412" t="s">
        <v>3032</v>
      </c>
      <c r="Q218" s="413"/>
      <c r="R218" s="211">
        <v>35612</v>
      </c>
      <c r="S218" s="414"/>
      <c r="T218" s="415">
        <v>1</v>
      </c>
      <c r="U218" s="62">
        <v>1</v>
      </c>
      <c r="V218" s="62">
        <v>1</v>
      </c>
      <c r="W218" s="62"/>
      <c r="X218" s="62"/>
      <c r="Y218" s="62"/>
      <c r="Z218" s="62"/>
      <c r="AA218" s="62"/>
      <c r="AB218" s="62"/>
    </row>
    <row r="219" spans="1:28" ht="15.6" customHeight="1" x14ac:dyDescent="0.2">
      <c r="A219" s="408">
        <v>218</v>
      </c>
      <c r="B219" s="409" t="str">
        <f t="shared" si="3"/>
        <v>Ficinia indica</v>
      </c>
      <c r="C219" s="410" t="s">
        <v>992</v>
      </c>
      <c r="E219" s="75" t="s">
        <v>993</v>
      </c>
      <c r="F219" s="75" t="s">
        <v>997</v>
      </c>
      <c r="G219" s="411" t="s">
        <v>3171</v>
      </c>
      <c r="H219" s="66" t="s">
        <v>3284</v>
      </c>
      <c r="I219" s="144">
        <v>5</v>
      </c>
      <c r="J219" s="144">
        <v>6</v>
      </c>
      <c r="K219" s="144">
        <v>5</v>
      </c>
      <c r="L219" s="144">
        <v>3</v>
      </c>
      <c r="M219" s="144">
        <v>1</v>
      </c>
      <c r="N219" s="144">
        <v>1</v>
      </c>
      <c r="O219" s="412" t="s">
        <v>2176</v>
      </c>
      <c r="P219" s="412" t="s">
        <v>3032</v>
      </c>
      <c r="Q219" s="413"/>
      <c r="R219" s="211">
        <v>35612</v>
      </c>
      <c r="S219" s="414"/>
      <c r="T219" s="415">
        <v>1</v>
      </c>
      <c r="U219" s="62">
        <v>1</v>
      </c>
      <c r="V219" s="62">
        <v>1</v>
      </c>
      <c r="W219" s="62">
        <v>1</v>
      </c>
      <c r="X219" s="62">
        <v>1</v>
      </c>
      <c r="Y219" s="62"/>
      <c r="Z219" s="62"/>
      <c r="AA219" s="62"/>
      <c r="AB219" s="62"/>
    </row>
    <row r="220" spans="1:28" ht="15.6" customHeight="1" x14ac:dyDescent="0.2">
      <c r="A220" s="408">
        <v>219</v>
      </c>
      <c r="B220" s="409" t="str">
        <f t="shared" si="3"/>
        <v>Ficinia paradoxa</v>
      </c>
      <c r="C220" s="410" t="s">
        <v>992</v>
      </c>
      <c r="E220" s="75" t="s">
        <v>993</v>
      </c>
      <c r="F220" s="75" t="s">
        <v>998</v>
      </c>
      <c r="G220" s="411" t="s">
        <v>3172</v>
      </c>
      <c r="H220" s="66" t="s">
        <v>3284</v>
      </c>
      <c r="I220" s="144">
        <v>5</v>
      </c>
      <c r="J220" s="144">
        <v>6</v>
      </c>
      <c r="K220" s="144">
        <v>5</v>
      </c>
      <c r="L220" s="144">
        <v>3</v>
      </c>
      <c r="M220" s="144">
        <v>1</v>
      </c>
      <c r="N220" s="144">
        <v>1</v>
      </c>
      <c r="O220" s="412" t="s">
        <v>2176</v>
      </c>
      <c r="P220" s="412" t="s">
        <v>3032</v>
      </c>
      <c r="Q220" s="413"/>
      <c r="R220" s="211">
        <v>35612</v>
      </c>
      <c r="S220" s="414"/>
      <c r="T220" s="415">
        <v>1</v>
      </c>
      <c r="U220" s="62">
        <v>1</v>
      </c>
      <c r="V220" s="62"/>
      <c r="W220" s="62">
        <v>1</v>
      </c>
      <c r="X220" s="62">
        <v>1</v>
      </c>
      <c r="Y220" s="62"/>
      <c r="Z220" s="62"/>
      <c r="AA220" s="62"/>
      <c r="AB220" s="62"/>
    </row>
    <row r="221" spans="1:28" ht="15.6" customHeight="1" x14ac:dyDescent="0.2">
      <c r="A221" s="408">
        <v>220</v>
      </c>
      <c r="B221" s="409" t="str">
        <f t="shared" si="3"/>
        <v>Ficinia secunda</v>
      </c>
      <c r="C221" s="410" t="s">
        <v>992</v>
      </c>
      <c r="E221" s="75" t="s">
        <v>993</v>
      </c>
      <c r="F221" s="75" t="s">
        <v>999</v>
      </c>
      <c r="G221" s="411" t="s">
        <v>3173</v>
      </c>
      <c r="H221" s="66" t="s">
        <v>3285</v>
      </c>
      <c r="I221" s="144">
        <v>5</v>
      </c>
      <c r="J221" s="144">
        <v>5</v>
      </c>
      <c r="K221" s="144">
        <v>5</v>
      </c>
      <c r="L221" s="144">
        <v>3</v>
      </c>
      <c r="M221" s="144">
        <v>1</v>
      </c>
      <c r="N221" s="144">
        <v>1</v>
      </c>
      <c r="O221" s="412" t="s">
        <v>2176</v>
      </c>
      <c r="P221" s="412" t="s">
        <v>3032</v>
      </c>
      <c r="Q221" s="413"/>
      <c r="R221" s="211">
        <v>35612</v>
      </c>
      <c r="S221" s="414"/>
      <c r="T221" s="415">
        <v>1</v>
      </c>
      <c r="U221" s="62">
        <v>1</v>
      </c>
      <c r="V221" s="62"/>
      <c r="W221" s="62"/>
      <c r="X221" s="62">
        <v>1</v>
      </c>
      <c r="Y221" s="62"/>
      <c r="Z221" s="62"/>
      <c r="AA221" s="62"/>
      <c r="AB221" s="62"/>
    </row>
    <row r="222" spans="1:28" ht="15.6" customHeight="1" x14ac:dyDescent="0.2">
      <c r="A222" s="408">
        <v>221</v>
      </c>
      <c r="B222" s="409" t="str">
        <f t="shared" si="3"/>
        <v>Ficinia tenuifolia</v>
      </c>
      <c r="C222" s="410" t="s">
        <v>992</v>
      </c>
      <c r="E222" s="75" t="s">
        <v>993</v>
      </c>
      <c r="F222" s="75" t="s">
        <v>1000</v>
      </c>
      <c r="G222" s="411" t="s">
        <v>3174</v>
      </c>
      <c r="H222" s="66" t="s">
        <v>3284</v>
      </c>
      <c r="I222" s="144">
        <v>5</v>
      </c>
      <c r="J222" s="144">
        <v>6</v>
      </c>
      <c r="K222" s="144">
        <v>5</v>
      </c>
      <c r="L222" s="144">
        <v>3</v>
      </c>
      <c r="M222" s="144">
        <v>1</v>
      </c>
      <c r="N222" s="144">
        <v>1</v>
      </c>
      <c r="O222" s="412" t="s">
        <v>2176</v>
      </c>
      <c r="P222" s="412" t="s">
        <v>3032</v>
      </c>
      <c r="Q222" s="413"/>
      <c r="R222" s="211">
        <v>35612</v>
      </c>
      <c r="S222" s="414"/>
      <c r="T222" s="415">
        <v>1</v>
      </c>
      <c r="U222" s="62"/>
      <c r="V222" s="62">
        <v>1</v>
      </c>
      <c r="W222" s="62"/>
      <c r="X222" s="62">
        <v>1</v>
      </c>
      <c r="Y222" s="62"/>
      <c r="Z222" s="62"/>
      <c r="AA222" s="62"/>
      <c r="AB222" s="62"/>
    </row>
    <row r="223" spans="1:28" ht="15.6" customHeight="1" x14ac:dyDescent="0.2">
      <c r="A223" s="408">
        <v>222</v>
      </c>
      <c r="B223" s="409" t="str">
        <f t="shared" si="3"/>
        <v>Ficinia trichodes</v>
      </c>
      <c r="C223" s="410" t="s">
        <v>992</v>
      </c>
      <c r="E223" s="75" t="s">
        <v>993</v>
      </c>
      <c r="F223" s="75" t="s">
        <v>1001</v>
      </c>
      <c r="G223" s="411" t="s">
        <v>3175</v>
      </c>
      <c r="H223" s="66" t="s">
        <v>3284</v>
      </c>
      <c r="I223" s="144">
        <v>5</v>
      </c>
      <c r="J223" s="144">
        <v>6</v>
      </c>
      <c r="K223" s="144">
        <v>5</v>
      </c>
      <c r="L223" s="144">
        <v>3</v>
      </c>
      <c r="M223" s="144">
        <v>1</v>
      </c>
      <c r="N223" s="144">
        <v>1</v>
      </c>
      <c r="O223" s="412" t="s">
        <v>2176</v>
      </c>
      <c r="P223" s="412" t="s">
        <v>3032</v>
      </c>
      <c r="Q223" s="413"/>
      <c r="R223" s="211">
        <v>35612</v>
      </c>
      <c r="S223" s="414" t="s">
        <v>2250</v>
      </c>
      <c r="T223" s="415"/>
      <c r="U223" s="62">
        <v>1</v>
      </c>
      <c r="V223" s="62">
        <v>1</v>
      </c>
      <c r="W223" s="62"/>
      <c r="X223" s="62"/>
      <c r="Y223" s="62"/>
      <c r="Z223" s="62"/>
      <c r="AA223" s="62"/>
      <c r="AB223" s="62"/>
    </row>
    <row r="224" spans="1:28" ht="15.6" customHeight="1" x14ac:dyDescent="0.2">
      <c r="A224" s="408">
        <v>223</v>
      </c>
      <c r="B224" s="409" t="str">
        <f t="shared" si="3"/>
        <v>Ficinia tristachya</v>
      </c>
      <c r="C224" s="410" t="s">
        <v>992</v>
      </c>
      <c r="E224" s="75" t="s">
        <v>993</v>
      </c>
      <c r="F224" s="75" t="s">
        <v>1002</v>
      </c>
      <c r="G224" s="411" t="s">
        <v>535</v>
      </c>
      <c r="H224" s="66" t="s">
        <v>3284</v>
      </c>
      <c r="I224" s="144">
        <v>5</v>
      </c>
      <c r="J224" s="144">
        <v>6</v>
      </c>
      <c r="K224" s="144">
        <v>5</v>
      </c>
      <c r="L224" s="144">
        <v>3</v>
      </c>
      <c r="M224" s="144">
        <v>1</v>
      </c>
      <c r="N224" s="144">
        <v>1</v>
      </c>
      <c r="O224" s="412" t="s">
        <v>2176</v>
      </c>
      <c r="P224" s="412" t="s">
        <v>3032</v>
      </c>
      <c r="Q224" s="413"/>
      <c r="R224" s="211">
        <v>35612</v>
      </c>
      <c r="S224" s="414"/>
      <c r="T224" s="415">
        <v>1</v>
      </c>
      <c r="U224" s="62">
        <v>1</v>
      </c>
      <c r="V224" s="62">
        <v>1</v>
      </c>
      <c r="W224" s="62">
        <v>1</v>
      </c>
      <c r="X224" s="62">
        <v>1</v>
      </c>
      <c r="Y224" s="62"/>
      <c r="Z224" s="62"/>
      <c r="AA224" s="62"/>
      <c r="AB224" s="62"/>
    </row>
    <row r="225" spans="1:28" ht="15.6" customHeight="1" x14ac:dyDescent="0.2">
      <c r="A225" s="408">
        <v>224</v>
      </c>
      <c r="B225" s="409" t="str">
        <f t="shared" si="3"/>
        <v>Hellmuthia membranacea</v>
      </c>
      <c r="C225" s="410" t="s">
        <v>992</v>
      </c>
      <c r="D225" s="75" t="s">
        <v>32</v>
      </c>
      <c r="E225" s="75" t="s">
        <v>1003</v>
      </c>
      <c r="F225" s="75" t="s">
        <v>1004</v>
      </c>
      <c r="G225" s="411" t="s">
        <v>3176</v>
      </c>
      <c r="H225" s="66" t="s">
        <v>3285</v>
      </c>
      <c r="I225" s="144">
        <v>5</v>
      </c>
      <c r="J225" s="144">
        <v>5</v>
      </c>
      <c r="K225" s="144">
        <v>5</v>
      </c>
      <c r="L225" s="144">
        <v>3</v>
      </c>
      <c r="M225" s="144">
        <v>1</v>
      </c>
      <c r="N225" s="144">
        <v>1</v>
      </c>
      <c r="O225" s="412" t="s">
        <v>2176</v>
      </c>
      <c r="P225" s="412" t="s">
        <v>3032</v>
      </c>
      <c r="Q225" s="413"/>
      <c r="R225" s="211">
        <v>35612</v>
      </c>
      <c r="S225" s="414"/>
      <c r="T225" s="415">
        <v>1</v>
      </c>
      <c r="U225" s="62">
        <v>1</v>
      </c>
      <c r="V225" s="62"/>
      <c r="W225" s="62"/>
      <c r="X225" s="62"/>
      <c r="Y225" s="62"/>
      <c r="Z225" s="62"/>
      <c r="AA225" s="62"/>
      <c r="AB225" s="62"/>
    </row>
    <row r="226" spans="1:28" ht="15.6" customHeight="1" x14ac:dyDescent="0.2">
      <c r="A226" s="408">
        <v>225</v>
      </c>
      <c r="B226" s="409" t="str">
        <f t="shared" si="3"/>
        <v>Isolepis antarctica</v>
      </c>
      <c r="C226" s="410" t="s">
        <v>992</v>
      </c>
      <c r="E226" s="75" t="s">
        <v>1005</v>
      </c>
      <c r="F226" s="75" t="s">
        <v>1006</v>
      </c>
      <c r="G226" s="411" t="s">
        <v>3177</v>
      </c>
      <c r="H226" s="66" t="s">
        <v>3284</v>
      </c>
      <c r="I226" s="144">
        <v>5</v>
      </c>
      <c r="J226" s="144">
        <v>6</v>
      </c>
      <c r="K226" s="144">
        <v>5</v>
      </c>
      <c r="L226" s="144">
        <v>3</v>
      </c>
      <c r="M226" s="144">
        <v>1</v>
      </c>
      <c r="N226" s="144">
        <v>1</v>
      </c>
      <c r="O226" s="412" t="s">
        <v>2176</v>
      </c>
      <c r="P226" s="412" t="s">
        <v>2915</v>
      </c>
      <c r="Q226" s="413"/>
      <c r="R226" s="211">
        <v>36861</v>
      </c>
      <c r="S226" s="414" t="s">
        <v>2250</v>
      </c>
      <c r="T226" s="415"/>
      <c r="U226" s="62"/>
      <c r="V226" s="62"/>
      <c r="W226" s="62"/>
      <c r="X226" s="62"/>
      <c r="Y226" s="62"/>
      <c r="Z226" s="62"/>
      <c r="AA226" s="62">
        <v>1</v>
      </c>
      <c r="AB226" s="62"/>
    </row>
    <row r="227" spans="1:28" ht="15.6" customHeight="1" x14ac:dyDescent="0.2">
      <c r="A227" s="408">
        <v>226</v>
      </c>
      <c r="B227" s="409" t="str">
        <f t="shared" si="3"/>
        <v>Isolepis marginata</v>
      </c>
      <c r="C227" s="410" t="s">
        <v>992</v>
      </c>
      <c r="E227" s="75" t="s">
        <v>1005</v>
      </c>
      <c r="F227" s="75" t="s">
        <v>1007</v>
      </c>
      <c r="G227" s="411" t="s">
        <v>3178</v>
      </c>
      <c r="H227" s="66" t="s">
        <v>3284</v>
      </c>
      <c r="I227" s="144">
        <v>5</v>
      </c>
      <c r="J227" s="144">
        <v>6</v>
      </c>
      <c r="K227" s="144">
        <v>5</v>
      </c>
      <c r="L227" s="144">
        <v>3</v>
      </c>
      <c r="M227" s="144">
        <v>1</v>
      </c>
      <c r="N227" s="144">
        <v>1</v>
      </c>
      <c r="O227" s="412" t="s">
        <v>2176</v>
      </c>
      <c r="P227" s="412" t="s">
        <v>2915</v>
      </c>
      <c r="Q227" s="413"/>
      <c r="R227" s="211">
        <v>36831</v>
      </c>
      <c r="S227" s="414"/>
      <c r="T227" s="415">
        <v>1</v>
      </c>
      <c r="U227" s="62">
        <v>1</v>
      </c>
      <c r="V227" s="62"/>
      <c r="W227" s="62"/>
      <c r="X227" s="62"/>
      <c r="Y227" s="62"/>
      <c r="Z227" s="62"/>
      <c r="AA227" s="62"/>
      <c r="AB227" s="62"/>
    </row>
    <row r="228" spans="1:28" ht="15.6" customHeight="1" x14ac:dyDescent="0.2">
      <c r="A228" s="408">
        <v>227</v>
      </c>
      <c r="B228" s="409" t="str">
        <f t="shared" si="3"/>
        <v>Mariscus congestus</v>
      </c>
      <c r="C228" s="410" t="s">
        <v>992</v>
      </c>
      <c r="D228" s="75" t="s">
        <v>33</v>
      </c>
      <c r="E228" s="75" t="s">
        <v>1008</v>
      </c>
      <c r="F228" s="75" t="s">
        <v>1009</v>
      </c>
      <c r="G228" s="411" t="s">
        <v>3179</v>
      </c>
      <c r="H228" s="66" t="s">
        <v>3285</v>
      </c>
      <c r="I228" s="144">
        <v>5</v>
      </c>
      <c r="J228" s="144">
        <v>5</v>
      </c>
      <c r="K228" s="144">
        <v>5</v>
      </c>
      <c r="L228" s="144">
        <v>3</v>
      </c>
      <c r="M228" s="144">
        <v>1</v>
      </c>
      <c r="N228" s="144">
        <v>1</v>
      </c>
      <c r="O228" s="412" t="s">
        <v>2919</v>
      </c>
      <c r="P228" s="412" t="s">
        <v>3032</v>
      </c>
      <c r="Q228" s="413"/>
      <c r="R228" s="211">
        <v>35796</v>
      </c>
      <c r="S228" s="414"/>
      <c r="T228" s="415">
        <v>1</v>
      </c>
      <c r="U228" s="62"/>
      <c r="V228" s="62"/>
      <c r="W228" s="62"/>
      <c r="X228" s="62"/>
      <c r="Y228" s="62"/>
      <c r="Z228" s="62"/>
      <c r="AA228" s="62">
        <v>1</v>
      </c>
      <c r="AB228" s="62"/>
    </row>
    <row r="229" spans="1:28" ht="15.6" customHeight="1" x14ac:dyDescent="0.2">
      <c r="A229" s="408">
        <v>228</v>
      </c>
      <c r="B229" s="409" t="str">
        <f t="shared" si="3"/>
        <v>Mariscus thunbergii</v>
      </c>
      <c r="C229" s="410" t="s">
        <v>992</v>
      </c>
      <c r="E229" s="75" t="s">
        <v>1008</v>
      </c>
      <c r="F229" s="75" t="s">
        <v>1010</v>
      </c>
      <c r="G229" s="411" t="s">
        <v>3180</v>
      </c>
      <c r="H229" s="66" t="s">
        <v>3286</v>
      </c>
      <c r="I229" s="144">
        <v>5</v>
      </c>
      <c r="J229" s="144">
        <v>4</v>
      </c>
      <c r="K229" s="144">
        <v>5</v>
      </c>
      <c r="L229" s="144">
        <v>3</v>
      </c>
      <c r="M229" s="144">
        <v>1</v>
      </c>
      <c r="N229" s="144">
        <v>1</v>
      </c>
      <c r="O229" s="412" t="s">
        <v>2176</v>
      </c>
      <c r="P229" s="412" t="s">
        <v>3032</v>
      </c>
      <c r="Q229" s="413"/>
      <c r="R229" s="211">
        <v>35612</v>
      </c>
      <c r="S229" s="414"/>
      <c r="T229" s="415">
        <v>1</v>
      </c>
      <c r="U229" s="62"/>
      <c r="V229" s="62"/>
      <c r="W229" s="62"/>
      <c r="X229" s="62"/>
      <c r="Y229" s="62"/>
      <c r="Z229" s="62"/>
      <c r="AA229" s="62">
        <v>1</v>
      </c>
      <c r="AB229" s="62"/>
    </row>
    <row r="230" spans="1:28" ht="15.6" customHeight="1" x14ac:dyDescent="0.2">
      <c r="A230" s="408">
        <v>229</v>
      </c>
      <c r="B230" s="409" t="str">
        <f t="shared" si="3"/>
        <v>Scirpoides nodosus</v>
      </c>
      <c r="C230" s="410" t="s">
        <v>992</v>
      </c>
      <c r="D230" s="75" t="s">
        <v>34</v>
      </c>
      <c r="E230" s="75" t="s">
        <v>1011</v>
      </c>
      <c r="F230" s="75" t="s">
        <v>1012</v>
      </c>
      <c r="G230" s="411" t="s">
        <v>3181</v>
      </c>
      <c r="H230" s="66" t="s">
        <v>3285</v>
      </c>
      <c r="I230" s="144">
        <v>5</v>
      </c>
      <c r="J230" s="144">
        <v>5</v>
      </c>
      <c r="K230" s="144">
        <v>5</v>
      </c>
      <c r="L230" s="144">
        <v>3</v>
      </c>
      <c r="M230" s="144">
        <v>1</v>
      </c>
      <c r="N230" s="144">
        <v>1</v>
      </c>
      <c r="O230" s="412" t="s">
        <v>2176</v>
      </c>
      <c r="P230" s="412" t="s">
        <v>3032</v>
      </c>
      <c r="Q230" s="413"/>
      <c r="R230" s="211">
        <v>37316</v>
      </c>
      <c r="S230" s="414"/>
      <c r="T230" s="415">
        <v>1</v>
      </c>
      <c r="U230" s="429"/>
      <c r="V230" s="62"/>
      <c r="W230" s="62"/>
      <c r="X230" s="62"/>
      <c r="Y230" s="62"/>
      <c r="Z230" s="62"/>
      <c r="AA230" s="62"/>
      <c r="AB230" s="62"/>
    </row>
    <row r="231" spans="1:28" ht="15.6" customHeight="1" x14ac:dyDescent="0.2">
      <c r="A231" s="408">
        <v>230</v>
      </c>
      <c r="B231" s="409" t="str">
        <f t="shared" si="3"/>
        <v>Scirpoides thunbergii</v>
      </c>
      <c r="C231" s="410" t="s">
        <v>992</v>
      </c>
      <c r="E231" s="75" t="s">
        <v>1011</v>
      </c>
      <c r="F231" s="75" t="s">
        <v>1010</v>
      </c>
      <c r="G231" s="411" t="s">
        <v>3182</v>
      </c>
      <c r="H231" s="66" t="s">
        <v>3284</v>
      </c>
      <c r="I231" s="144">
        <v>5</v>
      </c>
      <c r="J231" s="144">
        <v>6</v>
      </c>
      <c r="K231" s="144">
        <v>5</v>
      </c>
      <c r="L231" s="144">
        <v>3</v>
      </c>
      <c r="M231" s="144">
        <v>1</v>
      </c>
      <c r="N231" s="144">
        <v>1</v>
      </c>
      <c r="O231" s="412" t="s">
        <v>2176</v>
      </c>
      <c r="P231" s="412" t="s">
        <v>3032</v>
      </c>
      <c r="Q231" s="413"/>
      <c r="R231" s="211">
        <v>36161</v>
      </c>
      <c r="S231" s="414"/>
      <c r="T231" s="415">
        <v>1</v>
      </c>
      <c r="U231" s="62"/>
      <c r="V231" s="62"/>
      <c r="W231" s="62"/>
      <c r="X231" s="62"/>
      <c r="Y231" s="62"/>
      <c r="Z231" s="62"/>
      <c r="AA231" s="62">
        <v>1</v>
      </c>
      <c r="AB231" s="62"/>
    </row>
    <row r="232" spans="1:28" ht="15.6" customHeight="1" x14ac:dyDescent="0.2">
      <c r="A232" s="408">
        <v>231</v>
      </c>
      <c r="B232" s="409" t="str">
        <f t="shared" si="3"/>
        <v>Tetraria bolusii</v>
      </c>
      <c r="C232" s="410" t="s">
        <v>992</v>
      </c>
      <c r="E232" s="75" t="s">
        <v>1013</v>
      </c>
      <c r="F232" s="75" t="s">
        <v>1014</v>
      </c>
      <c r="G232" s="411" t="s">
        <v>3183</v>
      </c>
      <c r="H232" s="66" t="s">
        <v>3284</v>
      </c>
      <c r="I232" s="144">
        <v>5</v>
      </c>
      <c r="J232" s="144">
        <v>6</v>
      </c>
      <c r="K232" s="144">
        <v>5</v>
      </c>
      <c r="L232" s="144">
        <v>3</v>
      </c>
      <c r="M232" s="144">
        <v>1</v>
      </c>
      <c r="N232" s="144">
        <v>1</v>
      </c>
      <c r="O232" s="412" t="s">
        <v>2176</v>
      </c>
      <c r="P232" s="412" t="s">
        <v>3032</v>
      </c>
      <c r="Q232" s="413"/>
      <c r="R232" s="211">
        <v>35612</v>
      </c>
      <c r="S232" s="414"/>
      <c r="T232" s="415">
        <v>1</v>
      </c>
      <c r="U232" s="62"/>
      <c r="V232" s="62"/>
      <c r="W232" s="62"/>
      <c r="X232" s="62">
        <v>1</v>
      </c>
      <c r="Y232" s="62"/>
      <c r="Z232" s="62"/>
      <c r="AA232" s="62"/>
      <c r="AB232" s="62"/>
    </row>
    <row r="233" spans="1:28" ht="15.6" customHeight="1" x14ac:dyDescent="0.2">
      <c r="A233" s="408">
        <v>232</v>
      </c>
      <c r="B233" s="409" t="str">
        <f t="shared" si="3"/>
        <v>Tetraria brachyphylla</v>
      </c>
      <c r="C233" s="410" t="s">
        <v>992</v>
      </c>
      <c r="E233" s="75" t="s">
        <v>1013</v>
      </c>
      <c r="F233" s="75" t="s">
        <v>1015</v>
      </c>
      <c r="G233" s="411" t="s">
        <v>3184</v>
      </c>
      <c r="H233" s="66" t="s">
        <v>3285</v>
      </c>
      <c r="I233" s="144">
        <v>5</v>
      </c>
      <c r="J233" s="144">
        <v>5</v>
      </c>
      <c r="K233" s="144">
        <v>5</v>
      </c>
      <c r="L233" s="144">
        <v>3</v>
      </c>
      <c r="M233" s="144">
        <v>1</v>
      </c>
      <c r="N233" s="144">
        <v>1</v>
      </c>
      <c r="O233" s="412" t="s">
        <v>2176</v>
      </c>
      <c r="P233" s="412" t="s">
        <v>3032</v>
      </c>
      <c r="Q233" s="413" t="s">
        <v>2703</v>
      </c>
      <c r="R233" s="211">
        <v>35612</v>
      </c>
      <c r="S233" s="414"/>
      <c r="T233" s="415">
        <v>1</v>
      </c>
      <c r="U233" s="62">
        <v>1</v>
      </c>
      <c r="V233" s="62">
        <v>1</v>
      </c>
      <c r="W233" s="62"/>
      <c r="X233" s="62"/>
      <c r="Y233" s="62"/>
      <c r="Z233" s="62"/>
      <c r="AA233" s="62"/>
      <c r="AB233" s="62"/>
    </row>
    <row r="234" spans="1:28" ht="15.6" customHeight="1" x14ac:dyDescent="0.2">
      <c r="A234" s="408">
        <v>233</v>
      </c>
      <c r="B234" s="409" t="str">
        <f t="shared" si="3"/>
        <v>Tetraria compar</v>
      </c>
      <c r="C234" s="410" t="s">
        <v>992</v>
      </c>
      <c r="E234" s="75" t="s">
        <v>1013</v>
      </c>
      <c r="F234" s="75" t="s">
        <v>1016</v>
      </c>
      <c r="G234" s="411" t="s">
        <v>3185</v>
      </c>
      <c r="H234" s="66" t="s">
        <v>3285</v>
      </c>
      <c r="I234" s="144">
        <v>5</v>
      </c>
      <c r="J234" s="144">
        <v>5</v>
      </c>
      <c r="K234" s="144">
        <v>5</v>
      </c>
      <c r="L234" s="144">
        <v>3</v>
      </c>
      <c r="M234" s="144">
        <v>1</v>
      </c>
      <c r="N234" s="144">
        <v>1</v>
      </c>
      <c r="O234" s="412" t="s">
        <v>2176</v>
      </c>
      <c r="P234" s="412" t="s">
        <v>3032</v>
      </c>
      <c r="Q234" s="413"/>
      <c r="R234" s="211">
        <v>35612</v>
      </c>
      <c r="S234" s="414"/>
      <c r="T234" s="415">
        <v>1</v>
      </c>
      <c r="U234" s="62"/>
      <c r="V234" s="62"/>
      <c r="W234" s="62"/>
      <c r="X234" s="62">
        <v>1</v>
      </c>
      <c r="Y234" s="62"/>
      <c r="Z234" s="62"/>
      <c r="AA234" s="62"/>
      <c r="AB234" s="62"/>
    </row>
    <row r="235" spans="1:28" ht="15.6" customHeight="1" x14ac:dyDescent="0.2">
      <c r="A235" s="408">
        <v>234</v>
      </c>
      <c r="B235" s="409" t="str">
        <f t="shared" si="3"/>
        <v>Tetraria cuspidata</v>
      </c>
      <c r="C235" s="410" t="s">
        <v>992</v>
      </c>
      <c r="D235" s="75" t="s">
        <v>35</v>
      </c>
      <c r="E235" s="75" t="s">
        <v>1013</v>
      </c>
      <c r="F235" s="75" t="s">
        <v>1017</v>
      </c>
      <c r="G235" s="411" t="s">
        <v>3186</v>
      </c>
      <c r="H235" s="66" t="s">
        <v>3284</v>
      </c>
      <c r="I235" s="144">
        <v>5</v>
      </c>
      <c r="J235" s="144">
        <v>6</v>
      </c>
      <c r="K235" s="144">
        <v>5</v>
      </c>
      <c r="L235" s="144">
        <v>3</v>
      </c>
      <c r="M235" s="144">
        <v>1</v>
      </c>
      <c r="N235" s="144">
        <v>1</v>
      </c>
      <c r="O235" s="412" t="s">
        <v>2176</v>
      </c>
      <c r="P235" s="412" t="s">
        <v>3032</v>
      </c>
      <c r="Q235" s="413"/>
      <c r="R235" s="211">
        <v>35612</v>
      </c>
      <c r="S235" s="414"/>
      <c r="T235" s="415">
        <v>1</v>
      </c>
      <c r="U235" s="62">
        <v>1</v>
      </c>
      <c r="V235" s="62">
        <v>1</v>
      </c>
      <c r="W235" s="62">
        <v>1</v>
      </c>
      <c r="X235" s="62"/>
      <c r="Y235" s="62"/>
      <c r="Z235" s="62"/>
      <c r="AA235" s="62"/>
      <c r="AB235" s="62"/>
    </row>
    <row r="236" spans="1:28" ht="15.6" customHeight="1" x14ac:dyDescent="0.2">
      <c r="A236" s="408">
        <v>235</v>
      </c>
      <c r="B236" s="409" t="str">
        <f t="shared" si="3"/>
        <v xml:space="preserve">Tetraria gracilis </v>
      </c>
      <c r="C236" s="410" t="s">
        <v>992</v>
      </c>
      <c r="E236" s="75" t="s">
        <v>1013</v>
      </c>
      <c r="F236" s="75" t="s">
        <v>1018</v>
      </c>
      <c r="G236" s="411" t="s">
        <v>3187</v>
      </c>
      <c r="H236" s="66" t="s">
        <v>3285</v>
      </c>
      <c r="I236" s="144">
        <v>5</v>
      </c>
      <c r="J236" s="144">
        <v>5</v>
      </c>
      <c r="K236" s="144">
        <v>5</v>
      </c>
      <c r="L236" s="144">
        <v>3</v>
      </c>
      <c r="M236" s="144">
        <v>1</v>
      </c>
      <c r="N236" s="144">
        <v>1</v>
      </c>
      <c r="O236" s="412" t="s">
        <v>2176</v>
      </c>
      <c r="P236" s="412" t="s">
        <v>3032</v>
      </c>
      <c r="Q236" s="413"/>
      <c r="R236" s="211">
        <v>35462</v>
      </c>
      <c r="S236" s="414" t="s">
        <v>2250</v>
      </c>
      <c r="T236" s="415"/>
      <c r="U236" s="62"/>
      <c r="V236" s="62">
        <v>1</v>
      </c>
      <c r="W236" s="62"/>
      <c r="X236" s="62"/>
      <c r="Y236" s="62"/>
      <c r="Z236" s="62"/>
      <c r="AA236" s="62"/>
      <c r="AB236" s="62"/>
    </row>
    <row r="237" spans="1:28" ht="15.6" customHeight="1" x14ac:dyDescent="0.2">
      <c r="A237" s="408">
        <v>236</v>
      </c>
      <c r="B237" s="409" t="str">
        <f t="shared" si="3"/>
        <v>Scabiosa columbaria</v>
      </c>
      <c r="C237" s="410" t="s">
        <v>1019</v>
      </c>
      <c r="D237" s="75" t="s">
        <v>35</v>
      </c>
      <c r="E237" s="75" t="s">
        <v>1020</v>
      </c>
      <c r="F237" s="75" t="s">
        <v>1021</v>
      </c>
      <c r="G237" s="411" t="s">
        <v>3188</v>
      </c>
      <c r="H237" s="66" t="s">
        <v>3269</v>
      </c>
      <c r="I237" s="144">
        <v>3</v>
      </c>
      <c r="J237" s="144">
        <v>5</v>
      </c>
      <c r="K237" s="144">
        <v>5</v>
      </c>
      <c r="L237" s="144">
        <v>4</v>
      </c>
      <c r="M237" s="144">
        <v>1</v>
      </c>
      <c r="N237" s="144">
        <v>3</v>
      </c>
      <c r="O237" s="412" t="s">
        <v>2910</v>
      </c>
      <c r="P237" s="412" t="s">
        <v>3032</v>
      </c>
      <c r="Q237" s="413"/>
      <c r="R237" s="211">
        <v>35612</v>
      </c>
      <c r="S237" s="414"/>
      <c r="T237" s="415">
        <v>1</v>
      </c>
      <c r="U237" s="62">
        <v>1</v>
      </c>
      <c r="V237" s="62">
        <v>1</v>
      </c>
      <c r="W237" s="62">
        <v>1</v>
      </c>
      <c r="X237" s="62">
        <v>1</v>
      </c>
      <c r="Y237" s="62"/>
      <c r="Z237" s="62"/>
      <c r="AA237" s="62"/>
      <c r="AB237" s="62"/>
    </row>
    <row r="238" spans="1:28" ht="15.6" customHeight="1" x14ac:dyDescent="0.2">
      <c r="A238" s="408">
        <v>237</v>
      </c>
      <c r="B238" s="409" t="str">
        <f t="shared" si="3"/>
        <v>Scabiosa incisa</v>
      </c>
      <c r="C238" s="410" t="s">
        <v>1019</v>
      </c>
      <c r="D238" s="75" t="s">
        <v>36</v>
      </c>
      <c r="E238" s="75" t="s">
        <v>1020</v>
      </c>
      <c r="F238" s="75" t="s">
        <v>1022</v>
      </c>
      <c r="G238" s="411" t="s">
        <v>3189</v>
      </c>
      <c r="H238" s="66" t="s">
        <v>3269</v>
      </c>
      <c r="I238" s="144">
        <v>3</v>
      </c>
      <c r="J238" s="144">
        <v>5</v>
      </c>
      <c r="K238" s="144">
        <v>4</v>
      </c>
      <c r="L238" s="144">
        <v>4</v>
      </c>
      <c r="M238" s="144">
        <v>1</v>
      </c>
      <c r="N238" s="144">
        <v>3</v>
      </c>
      <c r="O238" s="412" t="s">
        <v>2910</v>
      </c>
      <c r="P238" s="412" t="s">
        <v>3032</v>
      </c>
      <c r="Q238" s="413"/>
      <c r="R238" s="211">
        <v>37316</v>
      </c>
      <c r="S238" s="414"/>
      <c r="T238" s="415">
        <v>1</v>
      </c>
      <c r="U238" s="62"/>
      <c r="V238" s="62">
        <v>1</v>
      </c>
      <c r="W238" s="62"/>
      <c r="X238" s="62"/>
      <c r="Y238" s="62"/>
      <c r="Z238" s="62"/>
      <c r="AA238" s="62"/>
      <c r="AB238" s="62"/>
    </row>
    <row r="239" spans="1:28" ht="15.6" customHeight="1" x14ac:dyDescent="0.2">
      <c r="A239" s="408">
        <v>238</v>
      </c>
      <c r="B239" s="409" t="str">
        <f t="shared" si="3"/>
        <v>Drosera capensis</v>
      </c>
      <c r="C239" s="410" t="s">
        <v>1023</v>
      </c>
      <c r="E239" s="75" t="s">
        <v>1024</v>
      </c>
      <c r="F239" s="75" t="s">
        <v>2756</v>
      </c>
      <c r="G239" s="411" t="s">
        <v>3190</v>
      </c>
      <c r="H239" s="66" t="s">
        <v>3241</v>
      </c>
      <c r="I239" s="144">
        <v>3</v>
      </c>
      <c r="J239" s="144">
        <v>6</v>
      </c>
      <c r="K239" s="144">
        <v>5</v>
      </c>
      <c r="L239" s="144">
        <v>2</v>
      </c>
      <c r="M239" s="144">
        <v>1</v>
      </c>
      <c r="N239" s="144">
        <v>3</v>
      </c>
      <c r="O239" s="412" t="s">
        <v>2910</v>
      </c>
      <c r="P239" s="412" t="s">
        <v>3032</v>
      </c>
      <c r="Q239" s="413"/>
      <c r="R239" s="211">
        <v>36069</v>
      </c>
      <c r="S239" s="414"/>
      <c r="T239" s="415">
        <v>1</v>
      </c>
      <c r="U239" s="62"/>
      <c r="V239" s="62"/>
      <c r="W239" s="62"/>
      <c r="X239" s="62">
        <v>1</v>
      </c>
      <c r="Y239" s="62"/>
      <c r="Z239" s="62"/>
      <c r="AA239" s="62"/>
      <c r="AB239" s="62"/>
    </row>
    <row r="240" spans="1:28" ht="15.6" customHeight="1" x14ac:dyDescent="0.2">
      <c r="A240" s="408">
        <v>239</v>
      </c>
      <c r="B240" s="409" t="str">
        <f t="shared" si="3"/>
        <v>Drosera cistiflora</v>
      </c>
      <c r="C240" s="410" t="s">
        <v>1023</v>
      </c>
      <c r="D240" s="75" t="s">
        <v>37</v>
      </c>
      <c r="E240" s="75" t="s">
        <v>1024</v>
      </c>
      <c r="F240" s="75" t="s">
        <v>1025</v>
      </c>
      <c r="G240" s="411" t="s">
        <v>3191</v>
      </c>
      <c r="H240" s="66" t="s">
        <v>3241</v>
      </c>
      <c r="I240" s="144">
        <v>3</v>
      </c>
      <c r="J240" s="144">
        <v>6</v>
      </c>
      <c r="K240" s="144">
        <v>3</v>
      </c>
      <c r="L240" s="144">
        <v>2</v>
      </c>
      <c r="M240" s="144">
        <v>1</v>
      </c>
      <c r="N240" s="144">
        <v>3</v>
      </c>
      <c r="O240" s="412" t="s">
        <v>2910</v>
      </c>
      <c r="P240" s="412" t="s">
        <v>3032</v>
      </c>
      <c r="Q240" s="413"/>
      <c r="R240" s="211">
        <v>35612</v>
      </c>
      <c r="S240" s="414"/>
      <c r="T240" s="415">
        <v>1</v>
      </c>
      <c r="U240" s="62"/>
      <c r="V240" s="62"/>
      <c r="W240" s="62"/>
      <c r="X240" s="62">
        <v>1</v>
      </c>
      <c r="Y240" s="62"/>
      <c r="Z240" s="62"/>
      <c r="AA240" s="62"/>
      <c r="AB240" s="62"/>
    </row>
    <row r="241" spans="1:28" ht="15.6" customHeight="1" x14ac:dyDescent="0.2">
      <c r="A241" s="408">
        <v>240</v>
      </c>
      <c r="B241" s="409" t="str">
        <f t="shared" si="3"/>
        <v>Drosera trinervia</v>
      </c>
      <c r="C241" s="410" t="s">
        <v>1023</v>
      </c>
      <c r="E241" s="75" t="s">
        <v>1024</v>
      </c>
      <c r="F241" s="75" t="s">
        <v>1026</v>
      </c>
      <c r="G241" s="411" t="s">
        <v>3192</v>
      </c>
      <c r="H241" s="66" t="s">
        <v>3268</v>
      </c>
      <c r="I241" s="144">
        <v>3</v>
      </c>
      <c r="J241" s="144">
        <v>6</v>
      </c>
      <c r="K241" s="144">
        <v>5</v>
      </c>
      <c r="L241" s="144">
        <v>1</v>
      </c>
      <c r="M241" s="144">
        <v>1</v>
      </c>
      <c r="N241" s="144">
        <v>5</v>
      </c>
      <c r="O241" s="412" t="s">
        <v>2910</v>
      </c>
      <c r="P241" s="412" t="s">
        <v>3032</v>
      </c>
      <c r="Q241" s="413"/>
      <c r="R241" s="211">
        <v>36434</v>
      </c>
      <c r="S241" s="414"/>
      <c r="T241" s="415">
        <v>1</v>
      </c>
      <c r="U241" s="62"/>
      <c r="V241" s="62"/>
      <c r="W241" s="62"/>
      <c r="X241" s="62">
        <v>1</v>
      </c>
      <c r="Y241" s="62"/>
      <c r="Z241" s="62"/>
      <c r="AA241" s="62">
        <v>1</v>
      </c>
      <c r="AB241" s="62"/>
    </row>
    <row r="242" spans="1:28" ht="15.6" customHeight="1" x14ac:dyDescent="0.2">
      <c r="A242" s="408">
        <v>241</v>
      </c>
      <c r="B242" s="409" t="str">
        <f t="shared" si="3"/>
        <v>Diospyros whyteana</v>
      </c>
      <c r="C242" s="410" t="s">
        <v>1027</v>
      </c>
      <c r="D242" s="75" t="s">
        <v>38</v>
      </c>
      <c r="E242" s="75" t="s">
        <v>1028</v>
      </c>
      <c r="F242" s="75" t="s">
        <v>1029</v>
      </c>
      <c r="G242" s="411" t="s">
        <v>3193</v>
      </c>
      <c r="H242" s="66" t="s">
        <v>3227</v>
      </c>
      <c r="I242" s="144">
        <v>2</v>
      </c>
      <c r="J242" s="144">
        <v>3</v>
      </c>
      <c r="K242" s="144">
        <v>2</v>
      </c>
      <c r="L242" s="144">
        <v>1</v>
      </c>
      <c r="M242" s="144">
        <v>2</v>
      </c>
      <c r="N242" s="144">
        <v>3</v>
      </c>
      <c r="O242" s="412" t="s">
        <v>2914</v>
      </c>
      <c r="P242" s="412" t="s">
        <v>3032</v>
      </c>
      <c r="Q242" s="413"/>
      <c r="R242" s="211">
        <v>35612</v>
      </c>
      <c r="S242" s="414"/>
      <c r="T242" s="415">
        <v>1</v>
      </c>
      <c r="U242" s="62"/>
      <c r="V242" s="62"/>
      <c r="W242" s="62"/>
      <c r="X242" s="62"/>
      <c r="Y242" s="62"/>
      <c r="Z242" s="62">
        <v>1</v>
      </c>
      <c r="AA242" s="62"/>
      <c r="AB242" s="62"/>
    </row>
    <row r="243" spans="1:28" ht="15.6" customHeight="1" x14ac:dyDescent="0.2">
      <c r="A243" s="408">
        <v>242</v>
      </c>
      <c r="B243" s="409" t="str">
        <f t="shared" si="3"/>
        <v>Euclea racemosa</v>
      </c>
      <c r="C243" s="410" t="s">
        <v>1027</v>
      </c>
      <c r="D243" s="75" t="s">
        <v>39</v>
      </c>
      <c r="E243" s="75" t="s">
        <v>1030</v>
      </c>
      <c r="F243" s="75" t="s">
        <v>1031</v>
      </c>
      <c r="G243" s="411" t="s">
        <v>3194</v>
      </c>
      <c r="H243" s="66" t="s">
        <v>3280</v>
      </c>
      <c r="I243" s="144">
        <v>1</v>
      </c>
      <c r="J243" s="144">
        <v>2</v>
      </c>
      <c r="K243" s="144">
        <v>2</v>
      </c>
      <c r="L243" s="144">
        <v>1</v>
      </c>
      <c r="M243" s="144">
        <v>2</v>
      </c>
      <c r="N243" s="144">
        <v>3</v>
      </c>
      <c r="O243" s="412" t="s">
        <v>2173</v>
      </c>
      <c r="P243" s="412" t="s">
        <v>3032</v>
      </c>
      <c r="Q243" s="413"/>
      <c r="R243" s="211">
        <v>35612</v>
      </c>
      <c r="S243" s="414"/>
      <c r="T243" s="415">
        <v>1</v>
      </c>
      <c r="U243" s="62">
        <v>1</v>
      </c>
      <c r="V243" s="62">
        <v>1</v>
      </c>
      <c r="W243" s="62"/>
      <c r="X243" s="62"/>
      <c r="Y243" s="62">
        <v>1</v>
      </c>
      <c r="Z243" s="62"/>
      <c r="AA243" s="62"/>
      <c r="AB243" s="62"/>
    </row>
    <row r="244" spans="1:28" ht="15.6" customHeight="1" x14ac:dyDescent="0.2">
      <c r="A244" s="408">
        <v>243</v>
      </c>
      <c r="B244" s="409" t="str">
        <f t="shared" si="3"/>
        <v>Erica axillaris</v>
      </c>
      <c r="C244" s="410" t="s">
        <v>1032</v>
      </c>
      <c r="E244" s="75" t="s">
        <v>1033</v>
      </c>
      <c r="F244" s="75" t="s">
        <v>1034</v>
      </c>
      <c r="G244" s="411" t="s">
        <v>3195</v>
      </c>
      <c r="H244" s="66" t="s">
        <v>3248</v>
      </c>
      <c r="I244" s="144">
        <v>2</v>
      </c>
      <c r="J244" s="144">
        <v>5</v>
      </c>
      <c r="K244" s="144">
        <v>2</v>
      </c>
      <c r="L244" s="144">
        <v>3</v>
      </c>
      <c r="M244" s="144">
        <v>2</v>
      </c>
      <c r="N244" s="144">
        <v>5</v>
      </c>
      <c r="O244" s="412" t="s">
        <v>2914</v>
      </c>
      <c r="P244" s="412" t="s">
        <v>3032</v>
      </c>
      <c r="Q244" s="413"/>
      <c r="R244" s="211">
        <v>35612</v>
      </c>
      <c r="S244" s="414"/>
      <c r="T244" s="415">
        <v>1</v>
      </c>
      <c r="U244" s="62"/>
      <c r="V244" s="62"/>
      <c r="W244" s="62"/>
      <c r="X244" s="62">
        <v>1</v>
      </c>
      <c r="Y244" s="62"/>
      <c r="Z244" s="62"/>
      <c r="AA244" s="62"/>
      <c r="AB244" s="62"/>
    </row>
    <row r="245" spans="1:28" ht="15.6" customHeight="1" x14ac:dyDescent="0.2">
      <c r="A245" s="408">
        <v>244</v>
      </c>
      <c r="B245" s="409" t="str">
        <f t="shared" si="3"/>
        <v>Erica canescens</v>
      </c>
      <c r="C245" s="410" t="s">
        <v>1032</v>
      </c>
      <c r="E245" s="75" t="s">
        <v>1033</v>
      </c>
      <c r="F245" s="75" t="s">
        <v>811</v>
      </c>
      <c r="G245" s="411" t="s">
        <v>3196</v>
      </c>
      <c r="H245" s="66" t="s">
        <v>3248</v>
      </c>
      <c r="I245" s="144">
        <v>2</v>
      </c>
      <c r="J245" s="144">
        <v>5</v>
      </c>
      <c r="K245" s="144">
        <v>2</v>
      </c>
      <c r="L245" s="144">
        <v>3</v>
      </c>
      <c r="M245" s="144">
        <v>2</v>
      </c>
      <c r="N245" s="144">
        <v>5</v>
      </c>
      <c r="O245" s="412" t="s">
        <v>2914</v>
      </c>
      <c r="P245" s="412" t="s">
        <v>3032</v>
      </c>
      <c r="Q245" s="413"/>
      <c r="R245" s="211">
        <v>35612</v>
      </c>
      <c r="S245" s="414"/>
      <c r="T245" s="415">
        <v>1</v>
      </c>
      <c r="U245" s="62"/>
      <c r="V245" s="62"/>
      <c r="W245" s="62">
        <v>1</v>
      </c>
      <c r="X245" s="62"/>
      <c r="Y245" s="62"/>
      <c r="Z245" s="62"/>
      <c r="AA245" s="62">
        <v>1</v>
      </c>
      <c r="AB245" s="62"/>
    </row>
    <row r="246" spans="1:28" ht="15.6" customHeight="1" x14ac:dyDescent="0.2">
      <c r="A246" s="408">
        <v>245</v>
      </c>
      <c r="B246" s="409" t="str">
        <f t="shared" si="3"/>
        <v>Erica coccinea var. (red)</v>
      </c>
      <c r="C246" s="410" t="s">
        <v>1032</v>
      </c>
      <c r="E246" s="75" t="s">
        <v>1033</v>
      </c>
      <c r="F246" s="75" t="s">
        <v>1035</v>
      </c>
      <c r="G246" s="411" t="s">
        <v>532</v>
      </c>
      <c r="H246" s="66" t="s">
        <v>3249</v>
      </c>
      <c r="I246" s="144">
        <v>2</v>
      </c>
      <c r="J246" s="144">
        <v>4</v>
      </c>
      <c r="K246" s="144">
        <v>2</v>
      </c>
      <c r="L246" s="144">
        <v>3</v>
      </c>
      <c r="M246" s="144">
        <v>2</v>
      </c>
      <c r="N246" s="144">
        <v>5</v>
      </c>
      <c r="O246" s="412" t="s">
        <v>2168</v>
      </c>
      <c r="P246" s="412" t="s">
        <v>3032</v>
      </c>
      <c r="Q246" s="413"/>
      <c r="R246" s="211">
        <v>35612</v>
      </c>
      <c r="S246" s="414"/>
      <c r="T246" s="415">
        <v>1</v>
      </c>
      <c r="U246" s="62"/>
      <c r="V246" s="62"/>
      <c r="W246" s="62"/>
      <c r="X246" s="62">
        <v>1</v>
      </c>
      <c r="Y246" s="62"/>
      <c r="Z246" s="62"/>
      <c r="AA246" s="62"/>
      <c r="AB246" s="62"/>
    </row>
    <row r="247" spans="1:28" ht="15.6" customHeight="1" x14ac:dyDescent="0.2">
      <c r="A247" s="408">
        <v>246</v>
      </c>
      <c r="B247" s="409" t="str">
        <f t="shared" si="3"/>
        <v>Erica coccinea var. (red/yellow)</v>
      </c>
      <c r="C247" s="410" t="s">
        <v>1032</v>
      </c>
      <c r="E247" s="75" t="s">
        <v>1033</v>
      </c>
      <c r="F247" s="75" t="s">
        <v>1036</v>
      </c>
      <c r="G247" s="411" t="s">
        <v>533</v>
      </c>
      <c r="H247" s="66" t="s">
        <v>3249</v>
      </c>
      <c r="I247" s="144">
        <v>2</v>
      </c>
      <c r="J247" s="144">
        <v>4</v>
      </c>
      <c r="K247" s="144">
        <v>2</v>
      </c>
      <c r="L247" s="144">
        <v>3</v>
      </c>
      <c r="M247" s="144">
        <v>2</v>
      </c>
      <c r="N247" s="144">
        <v>5</v>
      </c>
      <c r="O247" s="412" t="s">
        <v>2168</v>
      </c>
      <c r="P247" s="412" t="s">
        <v>3032</v>
      </c>
      <c r="Q247" s="413"/>
      <c r="R247" s="211">
        <v>35612</v>
      </c>
      <c r="S247" s="414"/>
      <c r="T247" s="415">
        <v>1</v>
      </c>
      <c r="U247" s="62"/>
      <c r="V247" s="62">
        <v>1</v>
      </c>
      <c r="W247" s="62"/>
      <c r="X247" s="62"/>
      <c r="Y247" s="62"/>
      <c r="Z247" s="62"/>
      <c r="AA247" s="62"/>
      <c r="AB247" s="62"/>
    </row>
    <row r="248" spans="1:28" ht="15.6" customHeight="1" x14ac:dyDescent="0.2">
      <c r="A248" s="408">
        <v>247</v>
      </c>
      <c r="B248" s="409" t="str">
        <f t="shared" si="3"/>
        <v>Erica coccinea var. (yellow)</v>
      </c>
      <c r="C248" s="410" t="s">
        <v>1032</v>
      </c>
      <c r="E248" s="75" t="s">
        <v>1033</v>
      </c>
      <c r="F248" s="75" t="s">
        <v>1037</v>
      </c>
      <c r="G248" s="411" t="s">
        <v>534</v>
      </c>
      <c r="H248" s="66" t="s">
        <v>3249</v>
      </c>
      <c r="I248" s="144">
        <v>2</v>
      </c>
      <c r="J248" s="144">
        <v>4</v>
      </c>
      <c r="K248" s="144">
        <v>2</v>
      </c>
      <c r="L248" s="144">
        <v>3</v>
      </c>
      <c r="M248" s="144">
        <v>2</v>
      </c>
      <c r="N248" s="144">
        <v>5</v>
      </c>
      <c r="O248" s="412" t="s">
        <v>2168</v>
      </c>
      <c r="P248" s="412" t="s">
        <v>3032</v>
      </c>
      <c r="Q248" s="413"/>
      <c r="R248" s="211">
        <v>35612</v>
      </c>
      <c r="S248" s="414"/>
      <c r="T248" s="415">
        <v>1</v>
      </c>
      <c r="U248" s="62">
        <v>1</v>
      </c>
      <c r="V248" s="62">
        <v>1</v>
      </c>
      <c r="W248" s="62">
        <v>1</v>
      </c>
      <c r="X248" s="62"/>
      <c r="Y248" s="62"/>
      <c r="Z248" s="62"/>
      <c r="AA248" s="62"/>
      <c r="AB248" s="62"/>
    </row>
    <row r="249" spans="1:28" ht="15.6" customHeight="1" x14ac:dyDescent="0.2">
      <c r="A249" s="408">
        <v>248</v>
      </c>
      <c r="B249" s="409" t="str">
        <f t="shared" si="3"/>
        <v>Erica corifolia</v>
      </c>
      <c r="C249" s="410" t="s">
        <v>1032</v>
      </c>
      <c r="E249" s="75" t="s">
        <v>1033</v>
      </c>
      <c r="F249" s="75" t="s">
        <v>1038</v>
      </c>
      <c r="G249" s="411" t="s">
        <v>3197</v>
      </c>
      <c r="H249" s="66" t="s">
        <v>3248</v>
      </c>
      <c r="I249" s="144">
        <v>2</v>
      </c>
      <c r="J249" s="144">
        <v>5</v>
      </c>
      <c r="K249" s="144">
        <v>2</v>
      </c>
      <c r="L249" s="144">
        <v>3</v>
      </c>
      <c r="M249" s="144">
        <v>2</v>
      </c>
      <c r="N249" s="144">
        <v>5</v>
      </c>
      <c r="O249" s="412" t="s">
        <v>2168</v>
      </c>
      <c r="P249" s="412" t="s">
        <v>3032</v>
      </c>
      <c r="Q249" s="413"/>
      <c r="R249" s="211">
        <v>35612</v>
      </c>
      <c r="S249" s="414"/>
      <c r="T249" s="415">
        <v>1</v>
      </c>
      <c r="U249" s="62"/>
      <c r="V249" s="62"/>
      <c r="W249" s="62"/>
      <c r="X249" s="62">
        <v>1</v>
      </c>
      <c r="Y249" s="62"/>
      <c r="Z249" s="62"/>
      <c r="AA249" s="62"/>
      <c r="AB249" s="62"/>
    </row>
    <row r="250" spans="1:28" ht="15.6" customHeight="1" x14ac:dyDescent="0.2">
      <c r="A250" s="408">
        <v>249</v>
      </c>
      <c r="B250" s="409" t="str">
        <f t="shared" si="3"/>
        <v>Erica discolor</v>
      </c>
      <c r="C250" s="410" t="s">
        <v>1032</v>
      </c>
      <c r="E250" s="75" t="s">
        <v>1033</v>
      </c>
      <c r="F250" s="75" t="s">
        <v>1039</v>
      </c>
      <c r="G250" s="411" t="s">
        <v>3198</v>
      </c>
      <c r="H250" s="66" t="s">
        <v>3248</v>
      </c>
      <c r="I250" s="144">
        <v>2</v>
      </c>
      <c r="J250" s="144">
        <v>5</v>
      </c>
      <c r="K250" s="144">
        <v>2</v>
      </c>
      <c r="L250" s="144">
        <v>3</v>
      </c>
      <c r="M250" s="144">
        <v>2</v>
      </c>
      <c r="N250" s="144">
        <v>5</v>
      </c>
      <c r="O250" s="412" t="s">
        <v>2914</v>
      </c>
      <c r="P250" s="412" t="s">
        <v>3032</v>
      </c>
      <c r="Q250" s="413"/>
      <c r="R250" s="211">
        <v>35855</v>
      </c>
      <c r="S250" s="414"/>
      <c r="T250" s="415">
        <v>1</v>
      </c>
      <c r="U250" s="62"/>
      <c r="V250" s="62"/>
      <c r="W250" s="62"/>
      <c r="X250" s="62">
        <v>1</v>
      </c>
      <c r="Y250" s="62"/>
      <c r="Z250" s="62"/>
      <c r="AA250" s="62"/>
      <c r="AB250" s="62"/>
    </row>
    <row r="251" spans="1:28" ht="15.6" customHeight="1" x14ac:dyDescent="0.2">
      <c r="A251" s="408">
        <v>250</v>
      </c>
      <c r="B251" s="409" t="str">
        <f t="shared" si="3"/>
        <v>Erica glabella</v>
      </c>
      <c r="C251" s="410" t="s">
        <v>1032</v>
      </c>
      <c r="E251" s="75" t="s">
        <v>1033</v>
      </c>
      <c r="F251" s="75" t="s">
        <v>1040</v>
      </c>
      <c r="G251" s="411" t="s">
        <v>3199</v>
      </c>
      <c r="H251" s="66" t="s">
        <v>3215</v>
      </c>
      <c r="I251" s="144">
        <v>2</v>
      </c>
      <c r="J251" s="144">
        <v>6</v>
      </c>
      <c r="K251" s="144">
        <v>2</v>
      </c>
      <c r="L251" s="144">
        <v>3</v>
      </c>
      <c r="M251" s="144">
        <v>2</v>
      </c>
      <c r="N251" s="144">
        <v>5</v>
      </c>
      <c r="O251" s="412" t="s">
        <v>3031</v>
      </c>
      <c r="P251" s="412" t="s">
        <v>3032</v>
      </c>
      <c r="Q251" s="413"/>
      <c r="R251" s="211">
        <v>35612</v>
      </c>
      <c r="S251" s="414"/>
      <c r="T251" s="415">
        <v>1</v>
      </c>
      <c r="U251" s="62"/>
      <c r="V251" s="62"/>
      <c r="W251" s="62">
        <v>1</v>
      </c>
      <c r="X251" s="62">
        <v>1</v>
      </c>
      <c r="Y251" s="62"/>
      <c r="Z251" s="62"/>
      <c r="AA251" s="62"/>
      <c r="AB251" s="62"/>
    </row>
    <row r="252" spans="1:28" ht="15.6" customHeight="1" x14ac:dyDescent="0.2">
      <c r="A252" s="408">
        <v>251</v>
      </c>
      <c r="B252" s="409" t="str">
        <f t="shared" si="3"/>
        <v>Erica hispidula</v>
      </c>
      <c r="C252" s="410" t="s">
        <v>1032</v>
      </c>
      <c r="E252" s="75" t="s">
        <v>1033</v>
      </c>
      <c r="F252" s="75" t="s">
        <v>1041</v>
      </c>
      <c r="G252" s="411" t="s">
        <v>3200</v>
      </c>
      <c r="H252" s="66" t="s">
        <v>3248</v>
      </c>
      <c r="I252" s="144">
        <v>2</v>
      </c>
      <c r="J252" s="144">
        <v>5</v>
      </c>
      <c r="K252" s="144">
        <v>2</v>
      </c>
      <c r="L252" s="144">
        <v>3</v>
      </c>
      <c r="M252" s="144">
        <v>2</v>
      </c>
      <c r="N252" s="144">
        <v>5</v>
      </c>
      <c r="O252" s="412" t="s">
        <v>2914</v>
      </c>
      <c r="P252" s="412" t="s">
        <v>3032</v>
      </c>
      <c r="Q252" s="413"/>
      <c r="R252" s="211">
        <v>36892</v>
      </c>
      <c r="S252" s="414"/>
      <c r="T252" s="415">
        <v>1</v>
      </c>
      <c r="U252" s="62"/>
      <c r="V252" s="62"/>
      <c r="W252" s="62"/>
      <c r="X252" s="62">
        <v>1</v>
      </c>
      <c r="Y252" s="62"/>
      <c r="Z252" s="62"/>
      <c r="AA252" s="62"/>
      <c r="AB252" s="62"/>
    </row>
    <row r="253" spans="1:28" ht="15.6" customHeight="1" x14ac:dyDescent="0.2">
      <c r="A253" s="408">
        <v>252</v>
      </c>
      <c r="B253" s="409" t="str">
        <f t="shared" si="3"/>
        <v>Erica irregularis</v>
      </c>
      <c r="C253" s="410" t="s">
        <v>1032</v>
      </c>
      <c r="E253" s="75" t="s">
        <v>1033</v>
      </c>
      <c r="F253" s="75" t="s">
        <v>1042</v>
      </c>
      <c r="G253" s="411" t="s">
        <v>3201</v>
      </c>
      <c r="H253" s="66" t="s">
        <v>3249</v>
      </c>
      <c r="I253" s="144">
        <v>2</v>
      </c>
      <c r="J253" s="144">
        <v>4</v>
      </c>
      <c r="K253" s="144">
        <v>2</v>
      </c>
      <c r="L253" s="144">
        <v>3</v>
      </c>
      <c r="M253" s="144">
        <v>2</v>
      </c>
      <c r="N253" s="144">
        <v>5</v>
      </c>
      <c r="O253" s="412" t="s">
        <v>2168</v>
      </c>
      <c r="P253" s="412" t="s">
        <v>3032</v>
      </c>
      <c r="Q253" s="413"/>
      <c r="R253" s="211">
        <v>35612</v>
      </c>
      <c r="S253" s="414"/>
      <c r="T253" s="415">
        <v>1</v>
      </c>
      <c r="U253" s="62">
        <v>1</v>
      </c>
      <c r="V253" s="62">
        <v>1</v>
      </c>
      <c r="W253" s="62">
        <v>1</v>
      </c>
      <c r="X253" s="62"/>
      <c r="Y253" s="62"/>
      <c r="Z253" s="62"/>
      <c r="AA253" s="62"/>
      <c r="AB253" s="62"/>
    </row>
    <row r="254" spans="1:28" ht="15.6" customHeight="1" x14ac:dyDescent="0.2">
      <c r="A254" s="408">
        <v>253</v>
      </c>
      <c r="B254" s="409" t="str">
        <f t="shared" si="3"/>
        <v>Erica lineata</v>
      </c>
      <c r="C254" s="410" t="s">
        <v>1032</v>
      </c>
      <c r="E254" s="75" t="s">
        <v>1033</v>
      </c>
      <c r="F254" s="75" t="s">
        <v>1043</v>
      </c>
      <c r="G254" s="411" t="s">
        <v>3202</v>
      </c>
      <c r="H254" s="66" t="s">
        <v>3248</v>
      </c>
      <c r="I254" s="144">
        <v>2</v>
      </c>
      <c r="J254" s="144">
        <v>5</v>
      </c>
      <c r="K254" s="144">
        <v>2</v>
      </c>
      <c r="L254" s="144">
        <v>3</v>
      </c>
      <c r="M254" s="144">
        <v>2</v>
      </c>
      <c r="N254" s="144">
        <v>5</v>
      </c>
      <c r="O254" s="412" t="s">
        <v>2914</v>
      </c>
      <c r="P254" s="412" t="s">
        <v>3032</v>
      </c>
      <c r="Q254" s="413"/>
      <c r="R254" s="211">
        <v>35612</v>
      </c>
      <c r="S254" s="414"/>
      <c r="T254" s="415">
        <v>1</v>
      </c>
      <c r="U254" s="62"/>
      <c r="V254" s="62">
        <v>1</v>
      </c>
      <c r="W254" s="62">
        <v>1</v>
      </c>
      <c r="X254" s="62">
        <v>1</v>
      </c>
      <c r="Y254" s="62"/>
      <c r="Z254" s="62"/>
      <c r="AA254" s="62"/>
      <c r="AB254" s="62">
        <v>1</v>
      </c>
    </row>
    <row r="255" spans="1:28" ht="15.6" customHeight="1" x14ac:dyDescent="0.2">
      <c r="A255" s="408">
        <v>254</v>
      </c>
      <c r="B255" s="409" t="str">
        <f t="shared" si="3"/>
        <v>Erica magnisylvae</v>
      </c>
      <c r="C255" s="410" t="s">
        <v>1032</v>
      </c>
      <c r="E255" s="75" t="s">
        <v>1033</v>
      </c>
      <c r="F255" s="75" t="s">
        <v>1044</v>
      </c>
      <c r="G255" s="411" t="s">
        <v>3203</v>
      </c>
      <c r="H255" s="66" t="s">
        <v>3266</v>
      </c>
      <c r="I255" s="144">
        <v>2</v>
      </c>
      <c r="J255" s="144">
        <v>3</v>
      </c>
      <c r="K255" s="144">
        <v>2</v>
      </c>
      <c r="L255" s="144">
        <v>3</v>
      </c>
      <c r="M255" s="144">
        <v>2</v>
      </c>
      <c r="N255" s="144">
        <v>5</v>
      </c>
      <c r="O255" s="412" t="s">
        <v>2168</v>
      </c>
      <c r="P255" s="412" t="s">
        <v>3032</v>
      </c>
      <c r="Q255" s="413" t="s">
        <v>3146</v>
      </c>
      <c r="R255" s="211">
        <v>35612</v>
      </c>
      <c r="S255" s="414"/>
      <c r="T255" s="415">
        <v>1</v>
      </c>
      <c r="U255" s="62"/>
      <c r="V255" s="62"/>
      <c r="W255" s="62">
        <v>1</v>
      </c>
      <c r="X255" s="62">
        <v>1</v>
      </c>
      <c r="Y255" s="62"/>
      <c r="Z255" s="62"/>
      <c r="AA255" s="62"/>
      <c r="AB255" s="62"/>
    </row>
    <row r="256" spans="1:28" ht="15.6" customHeight="1" x14ac:dyDescent="0.2">
      <c r="A256" s="408">
        <v>255</v>
      </c>
      <c r="B256" s="409" t="str">
        <f t="shared" si="3"/>
        <v>Erica nudiflora</v>
      </c>
      <c r="C256" s="410" t="s">
        <v>1032</v>
      </c>
      <c r="E256" s="75" t="s">
        <v>1033</v>
      </c>
      <c r="F256" s="75" t="s">
        <v>1045</v>
      </c>
      <c r="G256" s="411" t="s">
        <v>3204</v>
      </c>
      <c r="H256" s="66" t="s">
        <v>3215</v>
      </c>
      <c r="I256" s="144">
        <v>2</v>
      </c>
      <c r="J256" s="144">
        <v>6</v>
      </c>
      <c r="K256" s="144">
        <v>2</v>
      </c>
      <c r="L256" s="144">
        <v>3</v>
      </c>
      <c r="M256" s="144">
        <v>2</v>
      </c>
      <c r="N256" s="144">
        <v>5</v>
      </c>
      <c r="O256" s="412" t="s">
        <v>3031</v>
      </c>
      <c r="P256" s="412" t="s">
        <v>3032</v>
      </c>
      <c r="Q256" s="413"/>
      <c r="R256" s="211">
        <v>35612</v>
      </c>
      <c r="S256" s="414"/>
      <c r="T256" s="415">
        <v>1</v>
      </c>
      <c r="U256" s="62"/>
      <c r="V256" s="62"/>
      <c r="W256" s="62"/>
      <c r="X256" s="62">
        <v>1</v>
      </c>
      <c r="Y256" s="62"/>
      <c r="Z256" s="62"/>
      <c r="AA256" s="62"/>
      <c r="AB256" s="62"/>
    </row>
    <row r="257" spans="1:28" ht="15.6" customHeight="1" x14ac:dyDescent="0.2">
      <c r="A257" s="408">
        <v>256</v>
      </c>
      <c r="B257" s="409" t="str">
        <f t="shared" si="3"/>
        <v>Erica parviflora</v>
      </c>
      <c r="C257" s="410" t="s">
        <v>1032</v>
      </c>
      <c r="E257" s="75" t="s">
        <v>1033</v>
      </c>
      <c r="F257" s="75" t="s">
        <v>1046</v>
      </c>
      <c r="G257" s="411" t="s">
        <v>3205</v>
      </c>
      <c r="H257" s="66" t="s">
        <v>3248</v>
      </c>
      <c r="I257" s="144">
        <v>2</v>
      </c>
      <c r="J257" s="144">
        <v>5</v>
      </c>
      <c r="K257" s="144">
        <v>2</v>
      </c>
      <c r="L257" s="144">
        <v>3</v>
      </c>
      <c r="M257" s="144">
        <v>2</v>
      </c>
      <c r="N257" s="144">
        <v>5</v>
      </c>
      <c r="O257" s="412" t="s">
        <v>2914</v>
      </c>
      <c r="P257" s="412" t="s">
        <v>3032</v>
      </c>
      <c r="Q257" s="413"/>
      <c r="R257" s="211">
        <v>37165</v>
      </c>
      <c r="S257" s="414"/>
      <c r="T257" s="415">
        <v>1</v>
      </c>
      <c r="U257" s="62"/>
      <c r="V257" s="62"/>
      <c r="W257" s="62">
        <v>1</v>
      </c>
      <c r="X257" s="62"/>
      <c r="Y257" s="62"/>
      <c r="Z257" s="62"/>
      <c r="AA257" s="62">
        <v>1</v>
      </c>
      <c r="AB257" s="62"/>
    </row>
    <row r="258" spans="1:28" ht="15.6" customHeight="1" x14ac:dyDescent="0.2">
      <c r="A258" s="408">
        <v>257</v>
      </c>
      <c r="B258" s="409" t="str">
        <f t="shared" ref="B258:B321" si="4">E258&amp;" "&amp;F258</f>
        <v>Erica penicilliformis</v>
      </c>
      <c r="C258" s="410" t="s">
        <v>1032</v>
      </c>
      <c r="E258" s="75" t="s">
        <v>1033</v>
      </c>
      <c r="F258" s="75" t="s">
        <v>1047</v>
      </c>
      <c r="G258" s="411" t="s">
        <v>3206</v>
      </c>
      <c r="H258" s="66" t="s">
        <v>3215</v>
      </c>
      <c r="I258" s="144">
        <v>2</v>
      </c>
      <c r="J258" s="144">
        <v>6</v>
      </c>
      <c r="K258" s="144">
        <v>2</v>
      </c>
      <c r="L258" s="144">
        <v>3</v>
      </c>
      <c r="M258" s="144">
        <v>2</v>
      </c>
      <c r="N258" s="144">
        <v>5</v>
      </c>
      <c r="O258" s="412" t="s">
        <v>3031</v>
      </c>
      <c r="P258" s="412" t="s">
        <v>3032</v>
      </c>
      <c r="Q258" s="413"/>
      <c r="R258" s="211">
        <v>35612</v>
      </c>
      <c r="S258" s="414"/>
      <c r="T258" s="415">
        <v>1</v>
      </c>
      <c r="U258" s="62"/>
      <c r="V258" s="62"/>
      <c r="W258" s="62">
        <v>1</v>
      </c>
      <c r="X258" s="62">
        <v>1</v>
      </c>
      <c r="Y258" s="62"/>
      <c r="Z258" s="62"/>
      <c r="AA258" s="62"/>
      <c r="AB258" s="62"/>
    </row>
    <row r="259" spans="1:28" ht="15.6" customHeight="1" x14ac:dyDescent="0.2">
      <c r="A259" s="408">
        <v>258</v>
      </c>
      <c r="B259" s="409" t="str">
        <f t="shared" si="4"/>
        <v>Erica propinqua</v>
      </c>
      <c r="C259" s="410" t="s">
        <v>1032</v>
      </c>
      <c r="E259" s="75" t="s">
        <v>1033</v>
      </c>
      <c r="F259" s="75" t="s">
        <v>1048</v>
      </c>
      <c r="G259" s="411" t="s">
        <v>3207</v>
      </c>
      <c r="H259" s="66" t="s">
        <v>3215</v>
      </c>
      <c r="I259" s="144">
        <v>2</v>
      </c>
      <c r="J259" s="144">
        <v>6</v>
      </c>
      <c r="K259" s="144">
        <v>2</v>
      </c>
      <c r="L259" s="144">
        <v>3</v>
      </c>
      <c r="M259" s="144">
        <v>2</v>
      </c>
      <c r="N259" s="144">
        <v>5</v>
      </c>
      <c r="O259" s="412" t="s">
        <v>3031</v>
      </c>
      <c r="P259" s="412" t="s">
        <v>3032</v>
      </c>
      <c r="Q259" s="413"/>
      <c r="R259" s="211">
        <v>35612</v>
      </c>
      <c r="S259" s="414"/>
      <c r="T259" s="415">
        <v>1</v>
      </c>
      <c r="U259" s="62"/>
      <c r="V259" s="62">
        <v>1</v>
      </c>
      <c r="W259" s="62"/>
      <c r="X259" s="62"/>
      <c r="Y259" s="62"/>
      <c r="Z259" s="62"/>
      <c r="AA259" s="62"/>
      <c r="AB259" s="62"/>
    </row>
    <row r="260" spans="1:28" ht="15.6" customHeight="1" x14ac:dyDescent="0.2">
      <c r="A260" s="408">
        <v>259</v>
      </c>
      <c r="B260" s="409" t="str">
        <f t="shared" si="4"/>
        <v>Erica pulchella</v>
      </c>
      <c r="C260" s="410" t="s">
        <v>1032</v>
      </c>
      <c r="E260" s="75" t="s">
        <v>1033</v>
      </c>
      <c r="F260" s="75" t="s">
        <v>1049</v>
      </c>
      <c r="G260" s="411" t="s">
        <v>3208</v>
      </c>
      <c r="H260" s="66" t="s">
        <v>3248</v>
      </c>
      <c r="I260" s="144">
        <v>2</v>
      </c>
      <c r="J260" s="144">
        <v>5</v>
      </c>
      <c r="K260" s="144">
        <v>2</v>
      </c>
      <c r="L260" s="144">
        <v>3</v>
      </c>
      <c r="M260" s="144">
        <v>2</v>
      </c>
      <c r="N260" s="144">
        <v>5</v>
      </c>
      <c r="O260" s="412" t="s">
        <v>2168</v>
      </c>
      <c r="P260" s="412" t="s">
        <v>3032</v>
      </c>
      <c r="Q260" s="413"/>
      <c r="R260" s="211">
        <v>38018</v>
      </c>
      <c r="S260" s="414"/>
      <c r="T260" s="415"/>
      <c r="U260" s="62"/>
      <c r="V260" s="62"/>
      <c r="W260" s="62"/>
      <c r="X260" s="62">
        <v>1</v>
      </c>
      <c r="Y260" s="62"/>
      <c r="Z260" s="62"/>
      <c r="AA260" s="62"/>
      <c r="AB260" s="62"/>
    </row>
    <row r="261" spans="1:28" ht="15.6" customHeight="1" x14ac:dyDescent="0.2">
      <c r="A261" s="408">
        <v>260</v>
      </c>
      <c r="B261" s="409" t="str">
        <f t="shared" si="4"/>
        <v>Erica sessiliflora</v>
      </c>
      <c r="C261" s="410" t="s">
        <v>1032</v>
      </c>
      <c r="E261" s="75" t="s">
        <v>1033</v>
      </c>
      <c r="F261" s="75" t="s">
        <v>1050</v>
      </c>
      <c r="G261" s="411" t="s">
        <v>1144</v>
      </c>
      <c r="H261" s="66" t="s">
        <v>3249</v>
      </c>
      <c r="I261" s="144">
        <v>2</v>
      </c>
      <c r="J261" s="144">
        <v>4</v>
      </c>
      <c r="K261" s="144">
        <v>2</v>
      </c>
      <c r="L261" s="144">
        <v>3</v>
      </c>
      <c r="M261" s="144">
        <v>2</v>
      </c>
      <c r="N261" s="144">
        <v>5</v>
      </c>
      <c r="O261" s="412" t="s">
        <v>2914</v>
      </c>
      <c r="P261" s="412" t="s">
        <v>3032</v>
      </c>
      <c r="Q261" s="413"/>
      <c r="R261" s="211">
        <v>35612</v>
      </c>
      <c r="S261" s="414"/>
      <c r="T261" s="415">
        <v>1</v>
      </c>
      <c r="U261" s="62"/>
      <c r="V261" s="62"/>
      <c r="W261" s="62">
        <v>1</v>
      </c>
      <c r="X261" s="62">
        <v>1</v>
      </c>
      <c r="Y261" s="62"/>
      <c r="Z261" s="62"/>
      <c r="AA261" s="62"/>
      <c r="AB261" s="62"/>
    </row>
    <row r="262" spans="1:28" ht="15.6" customHeight="1" x14ac:dyDescent="0.2">
      <c r="A262" s="408">
        <v>261</v>
      </c>
      <c r="B262" s="409" t="str">
        <f t="shared" si="4"/>
        <v>Erica vestita</v>
      </c>
      <c r="C262" s="410" t="s">
        <v>1032</v>
      </c>
      <c r="D262" s="75" t="s">
        <v>40</v>
      </c>
      <c r="E262" s="75" t="s">
        <v>1033</v>
      </c>
      <c r="F262" s="75" t="s">
        <v>1051</v>
      </c>
      <c r="G262" s="411" t="s">
        <v>1145</v>
      </c>
      <c r="H262" s="66" t="s">
        <v>3248</v>
      </c>
      <c r="I262" s="144">
        <v>2</v>
      </c>
      <c r="J262" s="144">
        <v>5</v>
      </c>
      <c r="K262" s="144">
        <v>2</v>
      </c>
      <c r="L262" s="144">
        <v>3</v>
      </c>
      <c r="M262" s="144">
        <v>2</v>
      </c>
      <c r="N262" s="144">
        <v>4</v>
      </c>
      <c r="O262" s="412" t="s">
        <v>2168</v>
      </c>
      <c r="P262" s="412" t="s">
        <v>3032</v>
      </c>
      <c r="Q262" s="413"/>
      <c r="R262" s="211">
        <v>35612</v>
      </c>
      <c r="S262" s="414"/>
      <c r="T262" s="415">
        <v>1</v>
      </c>
      <c r="U262" s="62"/>
      <c r="V262" s="62"/>
      <c r="W262" s="62"/>
      <c r="X262" s="62">
        <v>1</v>
      </c>
      <c r="Y262" s="62"/>
      <c r="Z262" s="62"/>
      <c r="AA262" s="62"/>
      <c r="AB262" s="62"/>
    </row>
    <row r="263" spans="1:28" ht="15.6" customHeight="1" x14ac:dyDescent="0.2">
      <c r="A263" s="408">
        <v>262</v>
      </c>
      <c r="B263" s="409" t="str">
        <f t="shared" si="4"/>
        <v>Adenocline acuta</v>
      </c>
      <c r="C263" s="410" t="s">
        <v>1052</v>
      </c>
      <c r="E263" s="75" t="s">
        <v>1053</v>
      </c>
      <c r="F263" s="75" t="s">
        <v>1054</v>
      </c>
      <c r="G263" s="411" t="s">
        <v>1146</v>
      </c>
      <c r="H263" s="66" t="s">
        <v>3242</v>
      </c>
      <c r="I263" s="144">
        <v>7</v>
      </c>
      <c r="J263" s="144">
        <v>1</v>
      </c>
      <c r="K263" s="144">
        <v>0</v>
      </c>
      <c r="L263" s="144">
        <v>1</v>
      </c>
      <c r="M263" s="144">
        <v>1</v>
      </c>
      <c r="N263" s="144">
        <v>3</v>
      </c>
      <c r="O263" s="412" t="s">
        <v>1657</v>
      </c>
      <c r="P263" s="412" t="s">
        <v>3032</v>
      </c>
      <c r="Q263" s="413"/>
      <c r="R263" s="211">
        <v>37196</v>
      </c>
      <c r="S263" s="414"/>
      <c r="T263" s="415">
        <v>1</v>
      </c>
      <c r="U263" s="62"/>
      <c r="V263" s="62"/>
      <c r="W263" s="62"/>
      <c r="X263" s="62"/>
      <c r="Y263" s="62">
        <v>1</v>
      </c>
      <c r="Z263" s="62"/>
      <c r="AA263" s="62"/>
      <c r="AB263" s="62"/>
    </row>
    <row r="264" spans="1:28" ht="15.6" customHeight="1" x14ac:dyDescent="0.2">
      <c r="A264" s="408">
        <v>263</v>
      </c>
      <c r="B264" s="409" t="str">
        <f t="shared" si="4"/>
        <v>Adenocline pauciflora</v>
      </c>
      <c r="C264" s="410" t="s">
        <v>1052</v>
      </c>
      <c r="E264" s="75" t="s">
        <v>1053</v>
      </c>
      <c r="F264" s="75" t="s">
        <v>1055</v>
      </c>
      <c r="G264" s="411" t="s">
        <v>1147</v>
      </c>
      <c r="H264" s="66" t="s">
        <v>3236</v>
      </c>
      <c r="I264" s="144">
        <v>7</v>
      </c>
      <c r="J264" s="144">
        <v>1</v>
      </c>
      <c r="K264" s="144">
        <v>0</v>
      </c>
      <c r="L264" s="144">
        <v>2</v>
      </c>
      <c r="M264" s="144">
        <v>1</v>
      </c>
      <c r="N264" s="144">
        <v>4</v>
      </c>
      <c r="O264" s="412" t="s">
        <v>1657</v>
      </c>
      <c r="P264" s="412" t="s">
        <v>3032</v>
      </c>
      <c r="Q264" s="413" t="s">
        <v>3144</v>
      </c>
      <c r="R264" s="211">
        <v>36861</v>
      </c>
      <c r="S264" s="414"/>
      <c r="T264" s="415">
        <v>1</v>
      </c>
      <c r="U264" s="62">
        <v>1</v>
      </c>
      <c r="V264" s="62"/>
      <c r="W264" s="62"/>
      <c r="X264" s="62"/>
      <c r="Y264" s="62"/>
      <c r="Z264" s="62"/>
      <c r="AA264" s="62"/>
      <c r="AB264" s="62"/>
    </row>
    <row r="265" spans="1:28" ht="15.6" customHeight="1" x14ac:dyDescent="0.2">
      <c r="A265" s="408">
        <v>264</v>
      </c>
      <c r="B265" s="409" t="str">
        <f t="shared" si="4"/>
        <v>Clutia alaternoides</v>
      </c>
      <c r="C265" s="410" t="s">
        <v>1052</v>
      </c>
      <c r="E265" s="75" t="s">
        <v>1056</v>
      </c>
      <c r="F265" s="75" t="s">
        <v>1057</v>
      </c>
      <c r="G265" s="411" t="s">
        <v>1148</v>
      </c>
      <c r="H265" s="66" t="s">
        <v>3215</v>
      </c>
      <c r="I265" s="144">
        <v>2</v>
      </c>
      <c r="J265" s="144">
        <v>6</v>
      </c>
      <c r="K265" s="144">
        <v>2</v>
      </c>
      <c r="L265" s="144">
        <v>2</v>
      </c>
      <c r="M265" s="144">
        <v>2</v>
      </c>
      <c r="N265" s="144">
        <v>5</v>
      </c>
      <c r="O265" s="412" t="s">
        <v>3031</v>
      </c>
      <c r="P265" s="412" t="s">
        <v>3032</v>
      </c>
      <c r="Q265" s="413"/>
      <c r="R265" s="211">
        <v>35612</v>
      </c>
      <c r="S265" s="414"/>
      <c r="T265" s="415">
        <v>1</v>
      </c>
      <c r="U265" s="62"/>
      <c r="V265" s="62">
        <v>1</v>
      </c>
      <c r="W265" s="62"/>
      <c r="X265" s="62">
        <v>1</v>
      </c>
      <c r="Y265" s="62"/>
      <c r="Z265" s="62"/>
      <c r="AA265" s="62"/>
      <c r="AB265" s="62"/>
    </row>
    <row r="266" spans="1:28" ht="15.6" customHeight="1" x14ac:dyDescent="0.2">
      <c r="A266" s="408">
        <v>265</v>
      </c>
      <c r="B266" s="409" t="str">
        <f t="shared" si="4"/>
        <v>Clutia ericoides</v>
      </c>
      <c r="C266" s="410" t="s">
        <v>1052</v>
      </c>
      <c r="E266" s="75" t="s">
        <v>1056</v>
      </c>
      <c r="F266" s="75" t="s">
        <v>734</v>
      </c>
      <c r="G266" s="411" t="s">
        <v>1149</v>
      </c>
      <c r="H266" s="66" t="s">
        <v>3248</v>
      </c>
      <c r="I266" s="144">
        <v>2</v>
      </c>
      <c r="J266" s="144">
        <v>5</v>
      </c>
      <c r="K266" s="144">
        <v>2</v>
      </c>
      <c r="L266" s="144">
        <v>3</v>
      </c>
      <c r="M266" s="144">
        <v>2</v>
      </c>
      <c r="N266" s="144">
        <v>5</v>
      </c>
      <c r="O266" s="412" t="s">
        <v>2914</v>
      </c>
      <c r="P266" s="412" t="s">
        <v>3032</v>
      </c>
      <c r="Q266" s="413"/>
      <c r="R266" s="211">
        <v>35886</v>
      </c>
      <c r="S266" s="414"/>
      <c r="T266" s="415">
        <v>1</v>
      </c>
      <c r="U266" s="62"/>
      <c r="V266" s="62"/>
      <c r="W266" s="62"/>
      <c r="X266" s="62">
        <v>1</v>
      </c>
      <c r="Y266" s="62"/>
      <c r="Z266" s="62"/>
      <c r="AA266" s="62"/>
      <c r="AB266" s="62"/>
    </row>
    <row r="267" spans="1:28" ht="15.6" customHeight="1" x14ac:dyDescent="0.2">
      <c r="A267" s="408">
        <v>266</v>
      </c>
      <c r="B267" s="409" t="str">
        <f t="shared" si="4"/>
        <v>Clutia polygonoides</v>
      </c>
      <c r="C267" s="410" t="s">
        <v>1052</v>
      </c>
      <c r="E267" s="75" t="s">
        <v>1056</v>
      </c>
      <c r="F267" s="75" t="s">
        <v>1058</v>
      </c>
      <c r="G267" s="411" t="s">
        <v>1150</v>
      </c>
      <c r="H267" s="66" t="s">
        <v>3287</v>
      </c>
      <c r="I267" s="144">
        <v>2</v>
      </c>
      <c r="J267" s="144">
        <v>5</v>
      </c>
      <c r="K267" s="144">
        <v>2</v>
      </c>
      <c r="L267" s="144">
        <v>2</v>
      </c>
      <c r="M267" s="144">
        <v>2</v>
      </c>
      <c r="N267" s="144">
        <v>4</v>
      </c>
      <c r="O267" s="412" t="s">
        <v>2914</v>
      </c>
      <c r="P267" s="412" t="s">
        <v>3032</v>
      </c>
      <c r="Q267" s="413"/>
      <c r="R267" s="211">
        <v>35612</v>
      </c>
      <c r="S267" s="414"/>
      <c r="T267" s="415">
        <v>1</v>
      </c>
      <c r="U267" s="62">
        <v>1</v>
      </c>
      <c r="V267" s="62"/>
      <c r="W267" s="62">
        <v>1</v>
      </c>
      <c r="X267" s="62"/>
      <c r="Y267" s="62"/>
      <c r="Z267" s="62"/>
      <c r="AA267" s="62"/>
      <c r="AB267" s="62">
        <v>1</v>
      </c>
    </row>
    <row r="268" spans="1:28" ht="15.6" customHeight="1" x14ac:dyDescent="0.2">
      <c r="A268" s="408">
        <v>267</v>
      </c>
      <c r="B268" s="409" t="str">
        <f t="shared" si="4"/>
        <v>Euphorbia tuberosa</v>
      </c>
      <c r="C268" s="410" t="s">
        <v>1052</v>
      </c>
      <c r="D268" s="75" t="s">
        <v>41</v>
      </c>
      <c r="E268" s="75" t="s">
        <v>1059</v>
      </c>
      <c r="F268" s="75" t="s">
        <v>1060</v>
      </c>
      <c r="G268" s="411" t="s">
        <v>1151</v>
      </c>
      <c r="H268" s="66" t="s">
        <v>3230</v>
      </c>
      <c r="I268" s="144">
        <v>3</v>
      </c>
      <c r="J268" s="144">
        <v>6</v>
      </c>
      <c r="K268" s="144">
        <v>2</v>
      </c>
      <c r="L268" s="144">
        <v>2</v>
      </c>
      <c r="M268" s="144">
        <v>2</v>
      </c>
      <c r="N268" s="144">
        <v>3</v>
      </c>
      <c r="O268" s="412" t="s">
        <v>2910</v>
      </c>
      <c r="P268" s="412" t="s">
        <v>3032</v>
      </c>
      <c r="Q268" s="413"/>
      <c r="R268" s="211">
        <v>35490</v>
      </c>
      <c r="S268" s="414"/>
      <c r="T268" s="415">
        <v>1</v>
      </c>
      <c r="U268" s="62"/>
      <c r="V268" s="62"/>
      <c r="W268" s="62"/>
      <c r="X268" s="62">
        <v>1</v>
      </c>
      <c r="Y268" s="62"/>
      <c r="Z268" s="62"/>
      <c r="AA268" s="62"/>
      <c r="AB268" s="62"/>
    </row>
    <row r="269" spans="1:28" ht="15.6" customHeight="1" x14ac:dyDescent="0.2">
      <c r="A269" s="408">
        <v>268</v>
      </c>
      <c r="B269" s="409" t="str">
        <f t="shared" si="4"/>
        <v>Amphithalea ericifolia ssp. ericifolia</v>
      </c>
      <c r="C269" s="410" t="s">
        <v>1061</v>
      </c>
      <c r="D269" s="75" t="s">
        <v>42</v>
      </c>
      <c r="E269" s="75" t="s">
        <v>1062</v>
      </c>
      <c r="F269" s="75" t="s">
        <v>467</v>
      </c>
      <c r="G269" s="411" t="s">
        <v>1152</v>
      </c>
      <c r="H269" s="66" t="s">
        <v>3248</v>
      </c>
      <c r="I269" s="144">
        <v>2</v>
      </c>
      <c r="J269" s="144">
        <v>5</v>
      </c>
      <c r="K269" s="144">
        <v>2</v>
      </c>
      <c r="L269" s="144">
        <v>3</v>
      </c>
      <c r="M269" s="144">
        <v>2</v>
      </c>
      <c r="N269" s="144">
        <v>5</v>
      </c>
      <c r="O269" s="412" t="s">
        <v>2914</v>
      </c>
      <c r="P269" s="412" t="s">
        <v>3032</v>
      </c>
      <c r="Q269" s="413"/>
      <c r="R269" s="211">
        <v>35612</v>
      </c>
      <c r="S269" s="414"/>
      <c r="T269" s="415">
        <v>1</v>
      </c>
      <c r="U269" s="62"/>
      <c r="V269" s="62"/>
      <c r="W269" s="62"/>
      <c r="X269" s="62">
        <v>1</v>
      </c>
      <c r="Y269" s="62"/>
      <c r="Z269" s="62"/>
      <c r="AA269" s="62"/>
      <c r="AB269" s="62"/>
    </row>
    <row r="270" spans="1:28" ht="15.6" customHeight="1" x14ac:dyDescent="0.2">
      <c r="A270" s="408">
        <v>269</v>
      </c>
      <c r="B270" s="409" t="str">
        <f t="shared" si="4"/>
        <v>Aspalathus biflora</v>
      </c>
      <c r="C270" s="410" t="s">
        <v>1061</v>
      </c>
      <c r="E270" s="75" t="s">
        <v>1063</v>
      </c>
      <c r="F270" s="75" t="s">
        <v>1064</v>
      </c>
      <c r="G270" s="411" t="s">
        <v>1153</v>
      </c>
      <c r="H270" s="66" t="s">
        <v>199</v>
      </c>
      <c r="I270" s="144">
        <v>2</v>
      </c>
      <c r="J270" s="144">
        <v>9</v>
      </c>
      <c r="K270" s="144">
        <v>9</v>
      </c>
      <c r="L270" s="144">
        <v>9</v>
      </c>
      <c r="M270" s="144">
        <v>9</v>
      </c>
      <c r="N270" s="144">
        <v>9</v>
      </c>
      <c r="O270" s="412" t="s">
        <v>2914</v>
      </c>
      <c r="P270" s="412" t="s">
        <v>3032</v>
      </c>
      <c r="Q270" s="413"/>
      <c r="S270" s="414" t="s">
        <v>2250</v>
      </c>
      <c r="T270" s="415"/>
      <c r="U270" s="62"/>
      <c r="V270" s="62"/>
      <c r="W270" s="62"/>
      <c r="X270" s="62">
        <v>1</v>
      </c>
      <c r="Y270" s="62"/>
      <c r="Z270" s="62"/>
      <c r="AA270" s="62"/>
      <c r="AB270" s="62"/>
    </row>
    <row r="271" spans="1:28" ht="15.6" customHeight="1" x14ac:dyDescent="0.2">
      <c r="A271" s="408">
        <v>270</v>
      </c>
      <c r="B271" s="409" t="str">
        <f t="shared" si="4"/>
        <v>Aspalathus callosa</v>
      </c>
      <c r="C271" s="410" t="s">
        <v>1061</v>
      </c>
      <c r="E271" s="75" t="s">
        <v>1063</v>
      </c>
      <c r="F271" s="75" t="s">
        <v>1065</v>
      </c>
      <c r="G271" s="411" t="s">
        <v>1154</v>
      </c>
      <c r="H271" s="66" t="s">
        <v>3215</v>
      </c>
      <c r="I271" s="144">
        <v>2</v>
      </c>
      <c r="J271" s="144">
        <v>6</v>
      </c>
      <c r="K271" s="144">
        <v>2</v>
      </c>
      <c r="L271" s="144">
        <v>3</v>
      </c>
      <c r="M271" s="144">
        <v>2</v>
      </c>
      <c r="N271" s="144">
        <v>5</v>
      </c>
      <c r="O271" s="412" t="s">
        <v>3031</v>
      </c>
      <c r="P271" s="412" t="s">
        <v>3032</v>
      </c>
      <c r="Q271" s="413"/>
      <c r="R271" s="211">
        <v>35612</v>
      </c>
      <c r="S271" s="414"/>
      <c r="T271" s="415">
        <v>1</v>
      </c>
      <c r="U271" s="62"/>
      <c r="V271" s="62"/>
      <c r="W271" s="62"/>
      <c r="X271" s="62">
        <v>1</v>
      </c>
      <c r="Y271" s="62"/>
      <c r="Z271" s="62"/>
      <c r="AA271" s="62"/>
      <c r="AB271" s="62"/>
    </row>
    <row r="272" spans="1:28" ht="15.6" customHeight="1" x14ac:dyDescent="0.2">
      <c r="A272" s="408">
        <v>271</v>
      </c>
      <c r="B272" s="409" t="str">
        <f t="shared" si="4"/>
        <v>Aspalathus ciliaris</v>
      </c>
      <c r="C272" s="410" t="s">
        <v>1061</v>
      </c>
      <c r="E272" s="75" t="s">
        <v>1063</v>
      </c>
      <c r="F272" s="75" t="s">
        <v>1066</v>
      </c>
      <c r="G272" s="411" t="s">
        <v>1155</v>
      </c>
      <c r="H272" s="66" t="s">
        <v>3248</v>
      </c>
      <c r="I272" s="144">
        <v>2</v>
      </c>
      <c r="J272" s="144">
        <v>5</v>
      </c>
      <c r="K272" s="144">
        <v>2</v>
      </c>
      <c r="L272" s="144">
        <v>3</v>
      </c>
      <c r="M272" s="144">
        <v>2</v>
      </c>
      <c r="N272" s="144">
        <v>5</v>
      </c>
      <c r="O272" s="412" t="s">
        <v>2914</v>
      </c>
      <c r="P272" s="412" t="s">
        <v>3032</v>
      </c>
      <c r="Q272" s="413"/>
      <c r="R272" s="211">
        <v>35612</v>
      </c>
      <c r="S272" s="414"/>
      <c r="T272" s="415">
        <v>1</v>
      </c>
      <c r="U272" s="62">
        <v>1</v>
      </c>
      <c r="V272" s="62">
        <v>1</v>
      </c>
      <c r="W272" s="62">
        <v>1</v>
      </c>
      <c r="X272" s="62">
        <v>1</v>
      </c>
      <c r="Y272" s="62"/>
      <c r="Z272" s="62"/>
      <c r="AA272" s="62"/>
      <c r="AB272" s="62"/>
    </row>
    <row r="273" spans="1:28" ht="15.6" customHeight="1" x14ac:dyDescent="0.2">
      <c r="A273" s="408">
        <v>272</v>
      </c>
      <c r="B273" s="409" t="str">
        <f t="shared" si="4"/>
        <v>Aspalathus crassisepala</v>
      </c>
      <c r="C273" s="410" t="s">
        <v>1061</v>
      </c>
      <c r="E273" s="75" t="s">
        <v>1063</v>
      </c>
      <c r="F273" s="75" t="s">
        <v>1067</v>
      </c>
      <c r="G273" s="411" t="s">
        <v>1156</v>
      </c>
      <c r="H273" s="66" t="s">
        <v>3215</v>
      </c>
      <c r="I273" s="144">
        <v>2</v>
      </c>
      <c r="J273" s="144">
        <v>6</v>
      </c>
      <c r="K273" s="144">
        <v>2</v>
      </c>
      <c r="L273" s="144">
        <v>3</v>
      </c>
      <c r="M273" s="144">
        <v>2</v>
      </c>
      <c r="N273" s="144">
        <v>5</v>
      </c>
      <c r="O273" s="412" t="s">
        <v>3031</v>
      </c>
      <c r="P273" s="412" t="s">
        <v>3032</v>
      </c>
      <c r="Q273" s="413"/>
      <c r="R273" s="211">
        <v>35886</v>
      </c>
      <c r="S273" s="414"/>
      <c r="T273" s="415">
        <v>1</v>
      </c>
      <c r="U273" s="62"/>
      <c r="V273" s="62">
        <v>1</v>
      </c>
      <c r="W273" s="62"/>
      <c r="X273" s="62"/>
      <c r="Y273" s="62"/>
      <c r="Z273" s="62"/>
      <c r="AA273" s="62"/>
      <c r="AB273" s="62"/>
    </row>
    <row r="274" spans="1:28" ht="15.6" customHeight="1" x14ac:dyDescent="0.2">
      <c r="A274" s="408">
        <v>273</v>
      </c>
      <c r="B274" s="409" t="str">
        <f t="shared" si="4"/>
        <v>Aspalathus forbesii</v>
      </c>
      <c r="C274" s="410" t="s">
        <v>1061</v>
      </c>
      <c r="E274" s="75" t="s">
        <v>1063</v>
      </c>
      <c r="F274" s="75" t="s">
        <v>1068</v>
      </c>
      <c r="G274" s="411" t="s">
        <v>1157</v>
      </c>
      <c r="H274" s="66" t="s">
        <v>3249</v>
      </c>
      <c r="I274" s="144">
        <v>2</v>
      </c>
      <c r="J274" s="144">
        <v>4</v>
      </c>
      <c r="K274" s="144">
        <v>2</v>
      </c>
      <c r="L274" s="144">
        <v>3</v>
      </c>
      <c r="M274" s="144">
        <v>2</v>
      </c>
      <c r="N274" s="144">
        <v>5</v>
      </c>
      <c r="O274" s="412" t="s">
        <v>2914</v>
      </c>
      <c r="P274" s="412" t="s">
        <v>3032</v>
      </c>
      <c r="Q274" s="413"/>
      <c r="R274" s="211">
        <v>35612</v>
      </c>
      <c r="S274" s="414"/>
      <c r="T274" s="415">
        <v>1</v>
      </c>
      <c r="U274" s="62">
        <v>1</v>
      </c>
      <c r="V274" s="62"/>
      <c r="W274" s="62"/>
      <c r="X274" s="62"/>
      <c r="Y274" s="62"/>
      <c r="Z274" s="62"/>
      <c r="AA274" s="62"/>
      <c r="AB274" s="62"/>
    </row>
    <row r="275" spans="1:28" ht="15.6" customHeight="1" x14ac:dyDescent="0.2">
      <c r="A275" s="408">
        <v>274</v>
      </c>
      <c r="B275" s="409" t="str">
        <f t="shared" si="4"/>
        <v>Aspalathus globulosa</v>
      </c>
      <c r="C275" s="410" t="s">
        <v>1061</v>
      </c>
      <c r="E275" s="75" t="s">
        <v>1063</v>
      </c>
      <c r="F275" s="75" t="s">
        <v>1069</v>
      </c>
      <c r="G275" s="411" t="s">
        <v>1158</v>
      </c>
      <c r="H275" s="66" t="s">
        <v>3248</v>
      </c>
      <c r="I275" s="144">
        <v>2</v>
      </c>
      <c r="J275" s="144">
        <v>5</v>
      </c>
      <c r="K275" s="144">
        <v>2</v>
      </c>
      <c r="L275" s="144">
        <v>3</v>
      </c>
      <c r="M275" s="144">
        <v>2</v>
      </c>
      <c r="N275" s="144">
        <v>5</v>
      </c>
      <c r="O275" s="412" t="s">
        <v>2914</v>
      </c>
      <c r="P275" s="412" t="s">
        <v>3032</v>
      </c>
      <c r="Q275" s="413" t="s">
        <v>3147</v>
      </c>
      <c r="R275" s="211">
        <v>35612</v>
      </c>
      <c r="S275" s="414"/>
      <c r="T275" s="415">
        <v>1</v>
      </c>
      <c r="U275" s="62"/>
      <c r="V275" s="62">
        <v>1</v>
      </c>
      <c r="W275" s="62"/>
      <c r="X275" s="62">
        <v>1</v>
      </c>
      <c r="Y275" s="62"/>
      <c r="Z275" s="62"/>
      <c r="AA275" s="62"/>
      <c r="AB275" s="62"/>
    </row>
    <row r="276" spans="1:28" ht="15.6" customHeight="1" x14ac:dyDescent="0.2">
      <c r="A276" s="408">
        <v>275</v>
      </c>
      <c r="B276" s="409" t="str">
        <f t="shared" si="4"/>
        <v>Aspalathus hirta ssp. hirta</v>
      </c>
      <c r="C276" s="410" t="s">
        <v>1061</v>
      </c>
      <c r="E276" s="75" t="s">
        <v>1063</v>
      </c>
      <c r="F276" s="75" t="s">
        <v>468</v>
      </c>
      <c r="G276" s="411" t="s">
        <v>1159</v>
      </c>
      <c r="H276" s="66" t="s">
        <v>3249</v>
      </c>
      <c r="I276" s="144">
        <v>2</v>
      </c>
      <c r="J276" s="144">
        <v>4</v>
      </c>
      <c r="K276" s="144">
        <v>2</v>
      </c>
      <c r="L276" s="144">
        <v>3</v>
      </c>
      <c r="M276" s="144">
        <v>2</v>
      </c>
      <c r="N276" s="144">
        <v>5</v>
      </c>
      <c r="O276" s="412" t="s">
        <v>2914</v>
      </c>
      <c r="P276" s="412" t="s">
        <v>3032</v>
      </c>
      <c r="Q276" s="413"/>
      <c r="R276" s="211">
        <v>35612</v>
      </c>
      <c r="S276" s="414"/>
      <c r="T276" s="415">
        <v>1</v>
      </c>
      <c r="U276" s="62">
        <v>1</v>
      </c>
      <c r="V276" s="62">
        <v>1</v>
      </c>
      <c r="W276" s="62"/>
      <c r="X276" s="62"/>
      <c r="Y276" s="62"/>
      <c r="Z276" s="62"/>
      <c r="AA276" s="62"/>
      <c r="AB276" s="62"/>
    </row>
    <row r="277" spans="1:28" ht="15.6" customHeight="1" x14ac:dyDescent="0.2">
      <c r="A277" s="408">
        <v>276</v>
      </c>
      <c r="B277" s="409" t="str">
        <f t="shared" si="4"/>
        <v>Aspalathus hispida</v>
      </c>
      <c r="C277" s="410" t="s">
        <v>1061</v>
      </c>
      <c r="D277" s="75" t="s">
        <v>43</v>
      </c>
      <c r="E277" s="75" t="s">
        <v>1063</v>
      </c>
      <c r="F277" s="75" t="s">
        <v>2791</v>
      </c>
      <c r="G277" s="411" t="s">
        <v>1160</v>
      </c>
      <c r="H277" s="66" t="s">
        <v>3265</v>
      </c>
      <c r="I277" s="144">
        <v>2</v>
      </c>
      <c r="J277" s="144">
        <v>6</v>
      </c>
      <c r="K277" s="144">
        <v>9</v>
      </c>
      <c r="L277" s="144">
        <v>9</v>
      </c>
      <c r="M277" s="144">
        <v>9</v>
      </c>
      <c r="N277" s="144">
        <v>9</v>
      </c>
      <c r="O277" s="412" t="s">
        <v>3031</v>
      </c>
      <c r="P277" s="412" t="s">
        <v>3032</v>
      </c>
      <c r="Q277" s="413"/>
      <c r="S277" s="414" t="s">
        <v>2250</v>
      </c>
      <c r="T277" s="415"/>
      <c r="U277" s="62">
        <v>1</v>
      </c>
      <c r="V277" s="62"/>
      <c r="W277" s="62">
        <v>1</v>
      </c>
      <c r="X277" s="62"/>
      <c r="Y277" s="62"/>
      <c r="Z277" s="62"/>
      <c r="AA277" s="62"/>
      <c r="AB277" s="62"/>
    </row>
    <row r="278" spans="1:28" ht="15.6" customHeight="1" x14ac:dyDescent="0.2">
      <c r="A278" s="408">
        <v>277</v>
      </c>
      <c r="B278" s="409" t="str">
        <f t="shared" si="4"/>
        <v>Aspalathus linguiloba</v>
      </c>
      <c r="C278" s="410" t="s">
        <v>1061</v>
      </c>
      <c r="E278" s="75" t="s">
        <v>1063</v>
      </c>
      <c r="F278" s="75" t="s">
        <v>1070</v>
      </c>
      <c r="G278" s="411" t="s">
        <v>1161</v>
      </c>
      <c r="H278" s="66" t="s">
        <v>3265</v>
      </c>
      <c r="I278" s="144">
        <v>2</v>
      </c>
      <c r="J278" s="144">
        <v>6</v>
      </c>
      <c r="K278" s="144">
        <v>9</v>
      </c>
      <c r="L278" s="144">
        <v>9</v>
      </c>
      <c r="M278" s="144">
        <v>9</v>
      </c>
      <c r="N278" s="144">
        <v>9</v>
      </c>
      <c r="O278" s="412" t="s">
        <v>3031</v>
      </c>
      <c r="P278" s="412" t="s">
        <v>3032</v>
      </c>
      <c r="Q278" s="413"/>
      <c r="S278" s="414" t="s">
        <v>2250</v>
      </c>
      <c r="T278" s="415"/>
      <c r="U278" s="62">
        <v>1</v>
      </c>
      <c r="V278" s="62"/>
      <c r="W278" s="62"/>
      <c r="X278" s="62"/>
      <c r="Y278" s="62"/>
      <c r="Z278" s="62"/>
      <c r="AA278" s="62"/>
      <c r="AB278" s="62"/>
    </row>
    <row r="279" spans="1:28" ht="15.6" customHeight="1" x14ac:dyDescent="0.2">
      <c r="A279" s="408">
        <v>278</v>
      </c>
      <c r="B279" s="409" t="str">
        <f t="shared" si="4"/>
        <v>Aspalathus microphylla</v>
      </c>
      <c r="C279" s="410" t="s">
        <v>1061</v>
      </c>
      <c r="E279" s="75" t="s">
        <v>1063</v>
      </c>
      <c r="F279" s="75" t="s">
        <v>1071</v>
      </c>
      <c r="G279" s="411" t="s">
        <v>1162</v>
      </c>
      <c r="H279" s="66" t="s">
        <v>3215</v>
      </c>
      <c r="I279" s="144">
        <v>2</v>
      </c>
      <c r="J279" s="144">
        <v>6</v>
      </c>
      <c r="K279" s="144">
        <v>2</v>
      </c>
      <c r="L279" s="144">
        <v>6</v>
      </c>
      <c r="M279" s="144">
        <v>2</v>
      </c>
      <c r="N279" s="144">
        <v>5</v>
      </c>
      <c r="O279" s="412" t="s">
        <v>3031</v>
      </c>
      <c r="P279" s="412" t="s">
        <v>3032</v>
      </c>
      <c r="Q279" s="413"/>
      <c r="R279" s="211">
        <v>37012</v>
      </c>
      <c r="S279" s="414"/>
      <c r="T279" s="415">
        <v>1</v>
      </c>
      <c r="U279" s="62">
        <v>1</v>
      </c>
      <c r="V279" s="62"/>
      <c r="W279" s="62">
        <v>1</v>
      </c>
      <c r="X279" s="62">
        <v>1</v>
      </c>
      <c r="Y279" s="62"/>
      <c r="Z279" s="62"/>
      <c r="AA279" s="62"/>
      <c r="AB279" s="62"/>
    </row>
    <row r="280" spans="1:28" ht="15.6" customHeight="1" x14ac:dyDescent="0.2">
      <c r="A280" s="408">
        <v>279</v>
      </c>
      <c r="B280" s="409" t="str">
        <f t="shared" si="4"/>
        <v>Aspalathus nigra</v>
      </c>
      <c r="C280" s="410" t="s">
        <v>1061</v>
      </c>
      <c r="E280" s="75" t="s">
        <v>1063</v>
      </c>
      <c r="F280" s="75" t="s">
        <v>1072</v>
      </c>
      <c r="G280" s="411" t="s">
        <v>1163</v>
      </c>
      <c r="H280" s="66" t="s">
        <v>3215</v>
      </c>
      <c r="I280" s="144">
        <v>2</v>
      </c>
      <c r="J280" s="144">
        <v>6</v>
      </c>
      <c r="K280" s="144">
        <v>2</v>
      </c>
      <c r="L280" s="144">
        <v>3</v>
      </c>
      <c r="M280" s="144">
        <v>2</v>
      </c>
      <c r="N280" s="144">
        <v>5</v>
      </c>
      <c r="O280" s="412" t="s">
        <v>3031</v>
      </c>
      <c r="P280" s="412" t="s">
        <v>3032</v>
      </c>
      <c r="Q280" s="413"/>
      <c r="R280" s="211">
        <v>35886</v>
      </c>
      <c r="S280" s="414"/>
      <c r="T280" s="415">
        <v>1</v>
      </c>
      <c r="U280" s="62"/>
      <c r="V280" s="62"/>
      <c r="W280" s="62"/>
      <c r="X280" s="62">
        <v>1</v>
      </c>
      <c r="Y280" s="62"/>
      <c r="Z280" s="62"/>
      <c r="AA280" s="62"/>
      <c r="AB280" s="62"/>
    </row>
    <row r="281" spans="1:28" ht="15.6" customHeight="1" x14ac:dyDescent="0.2">
      <c r="A281" s="408">
        <v>280</v>
      </c>
      <c r="B281" s="409" t="str">
        <f t="shared" si="4"/>
        <v>Aspalathus pycnantha</v>
      </c>
      <c r="C281" s="410" t="s">
        <v>1061</v>
      </c>
      <c r="E281" s="75" t="s">
        <v>1063</v>
      </c>
      <c r="F281" s="75" t="s">
        <v>1073</v>
      </c>
      <c r="G281" s="411" t="s">
        <v>1164</v>
      </c>
      <c r="H281" s="66" t="s">
        <v>3215</v>
      </c>
      <c r="I281" s="144">
        <v>2</v>
      </c>
      <c r="J281" s="144">
        <v>6</v>
      </c>
      <c r="K281" s="144">
        <v>2</v>
      </c>
      <c r="L281" s="144">
        <v>3</v>
      </c>
      <c r="M281" s="144">
        <v>2</v>
      </c>
      <c r="N281" s="144">
        <v>5</v>
      </c>
      <c r="O281" s="412" t="s">
        <v>3031</v>
      </c>
      <c r="P281" s="412" t="s">
        <v>3032</v>
      </c>
      <c r="Q281" s="413"/>
      <c r="R281" s="211">
        <v>35612</v>
      </c>
      <c r="S281" s="414"/>
      <c r="T281" s="415">
        <v>1</v>
      </c>
      <c r="U281" s="62"/>
      <c r="V281" s="62">
        <v>1</v>
      </c>
      <c r="W281" s="62"/>
      <c r="X281" s="62">
        <v>1</v>
      </c>
      <c r="Y281" s="62"/>
      <c r="Z281" s="62"/>
      <c r="AA281" s="62"/>
      <c r="AB281" s="62"/>
    </row>
    <row r="282" spans="1:28" ht="15.6" customHeight="1" x14ac:dyDescent="0.2">
      <c r="A282" s="408">
        <v>281</v>
      </c>
      <c r="B282" s="409" t="str">
        <f t="shared" si="4"/>
        <v>Aspalathus salteri</v>
      </c>
      <c r="C282" s="410" t="s">
        <v>1061</v>
      </c>
      <c r="E282" s="75" t="s">
        <v>1063</v>
      </c>
      <c r="F282" s="75" t="s">
        <v>1074</v>
      </c>
      <c r="G282" s="411" t="s">
        <v>1165</v>
      </c>
      <c r="H282" s="66" t="s">
        <v>3215</v>
      </c>
      <c r="I282" s="144">
        <v>2</v>
      </c>
      <c r="J282" s="144">
        <v>6</v>
      </c>
      <c r="K282" s="144">
        <v>2</v>
      </c>
      <c r="L282" s="144">
        <v>3</v>
      </c>
      <c r="M282" s="144">
        <v>2</v>
      </c>
      <c r="N282" s="144">
        <v>5</v>
      </c>
      <c r="O282" s="412" t="s">
        <v>3031</v>
      </c>
      <c r="P282" s="412" t="s">
        <v>3032</v>
      </c>
      <c r="Q282" s="413"/>
      <c r="R282" s="211">
        <v>35612</v>
      </c>
      <c r="S282" s="414"/>
      <c r="T282" s="415">
        <v>1</v>
      </c>
      <c r="U282" s="62">
        <v>1</v>
      </c>
      <c r="V282" s="62">
        <v>1</v>
      </c>
      <c r="W282" s="62">
        <v>1</v>
      </c>
      <c r="X282" s="62">
        <v>1</v>
      </c>
      <c r="Y282" s="62"/>
      <c r="Z282" s="62"/>
      <c r="AA282" s="62"/>
      <c r="AB282" s="62"/>
    </row>
    <row r="283" spans="1:28" ht="15.6" customHeight="1" x14ac:dyDescent="0.2">
      <c r="A283" s="408">
        <v>282</v>
      </c>
      <c r="B283" s="409" t="str">
        <f t="shared" si="4"/>
        <v>Aspalathus sericea</v>
      </c>
      <c r="C283" s="410" t="s">
        <v>1061</v>
      </c>
      <c r="D283" s="75" t="s">
        <v>44</v>
      </c>
      <c r="E283" s="75" t="s">
        <v>1063</v>
      </c>
      <c r="F283" s="75" t="s">
        <v>1075</v>
      </c>
      <c r="G283" s="411" t="s">
        <v>1166</v>
      </c>
      <c r="H283" s="66" t="s">
        <v>3248</v>
      </c>
      <c r="I283" s="144">
        <v>2</v>
      </c>
      <c r="J283" s="144">
        <v>5</v>
      </c>
      <c r="K283" s="144">
        <v>2</v>
      </c>
      <c r="L283" s="144">
        <v>3</v>
      </c>
      <c r="M283" s="144">
        <v>2</v>
      </c>
      <c r="N283" s="144">
        <v>5</v>
      </c>
      <c r="O283" s="412" t="s">
        <v>2914</v>
      </c>
      <c r="P283" s="412" t="s">
        <v>3032</v>
      </c>
      <c r="Q283" s="413"/>
      <c r="R283" s="211">
        <v>35612</v>
      </c>
      <c r="S283" s="414"/>
      <c r="T283" s="415">
        <v>1</v>
      </c>
      <c r="U283" s="62"/>
      <c r="V283" s="62"/>
      <c r="W283" s="62"/>
      <c r="X283" s="62">
        <v>1</v>
      </c>
      <c r="Y283" s="62"/>
      <c r="Z283" s="62"/>
      <c r="AA283" s="62"/>
      <c r="AB283" s="62"/>
    </row>
    <row r="284" spans="1:28" ht="15.6" customHeight="1" x14ac:dyDescent="0.2">
      <c r="A284" s="408">
        <v>283</v>
      </c>
      <c r="B284" s="409" t="str">
        <f t="shared" si="4"/>
        <v>Dipogon lignosus</v>
      </c>
      <c r="C284" s="410" t="s">
        <v>1061</v>
      </c>
      <c r="E284" s="75" t="s">
        <v>1076</v>
      </c>
      <c r="F284" s="75" t="s">
        <v>1077</v>
      </c>
      <c r="G284" s="411" t="s">
        <v>1167</v>
      </c>
      <c r="H284" s="66" t="s">
        <v>3242</v>
      </c>
      <c r="I284" s="144">
        <v>7</v>
      </c>
      <c r="J284" s="144">
        <v>1</v>
      </c>
      <c r="K284" s="144">
        <v>0</v>
      </c>
      <c r="L284" s="144">
        <v>2</v>
      </c>
      <c r="M284" s="144">
        <v>1</v>
      </c>
      <c r="N284" s="144">
        <v>3</v>
      </c>
      <c r="O284" s="412" t="s">
        <v>2169</v>
      </c>
      <c r="P284" s="412" t="s">
        <v>3032</v>
      </c>
      <c r="Q284" s="413"/>
      <c r="R284" s="211">
        <v>35612</v>
      </c>
      <c r="S284" s="414"/>
      <c r="T284" s="415">
        <v>1</v>
      </c>
      <c r="U284" s="62">
        <v>1</v>
      </c>
      <c r="V284" s="62"/>
      <c r="W284" s="62"/>
      <c r="X284" s="62"/>
      <c r="Y284" s="62"/>
      <c r="Z284" s="62"/>
      <c r="AA284" s="62"/>
      <c r="AB284" s="62"/>
    </row>
    <row r="285" spans="1:28" ht="15.6" customHeight="1" x14ac:dyDescent="0.2">
      <c r="A285" s="408">
        <v>284</v>
      </c>
      <c r="B285" s="409" t="str">
        <f t="shared" si="4"/>
        <v>Indigofera angustifolia</v>
      </c>
      <c r="C285" s="410" t="s">
        <v>1061</v>
      </c>
      <c r="D285" s="75" t="s">
        <v>45</v>
      </c>
      <c r="E285" s="75" t="s">
        <v>1078</v>
      </c>
      <c r="F285" s="75" t="s">
        <v>1079</v>
      </c>
      <c r="G285" s="411" t="s">
        <v>1168</v>
      </c>
      <c r="H285" s="66" t="s">
        <v>3215</v>
      </c>
      <c r="I285" s="144">
        <v>2</v>
      </c>
      <c r="J285" s="144">
        <v>6</v>
      </c>
      <c r="K285" s="144">
        <v>2</v>
      </c>
      <c r="L285" s="144">
        <v>3</v>
      </c>
      <c r="M285" s="144">
        <v>2</v>
      </c>
      <c r="N285" s="144">
        <v>5</v>
      </c>
      <c r="O285" s="412" t="s">
        <v>3031</v>
      </c>
      <c r="P285" s="412" t="s">
        <v>3032</v>
      </c>
      <c r="Q285" s="413"/>
      <c r="R285" s="211">
        <v>35612</v>
      </c>
      <c r="S285" s="414"/>
      <c r="T285" s="415">
        <v>1</v>
      </c>
      <c r="U285" s="62"/>
      <c r="V285" s="62">
        <v>1</v>
      </c>
      <c r="W285" s="62">
        <v>1</v>
      </c>
      <c r="X285" s="62">
        <v>1</v>
      </c>
      <c r="Y285" s="62"/>
      <c r="Z285" s="62"/>
      <c r="AA285" s="62"/>
      <c r="AB285" s="62"/>
    </row>
    <row r="286" spans="1:28" ht="15.6" customHeight="1" x14ac:dyDescent="0.2">
      <c r="A286" s="408">
        <v>285</v>
      </c>
      <c r="B286" s="409" t="str">
        <f t="shared" si="4"/>
        <v>Indigofera brachystachya</v>
      </c>
      <c r="C286" s="410" t="s">
        <v>1061</v>
      </c>
      <c r="D286" s="75" t="s">
        <v>46</v>
      </c>
      <c r="E286" s="75" t="s">
        <v>1078</v>
      </c>
      <c r="F286" s="75" t="s">
        <v>1080</v>
      </c>
      <c r="G286" s="411" t="s">
        <v>1169</v>
      </c>
      <c r="H286" s="66" t="s">
        <v>3249</v>
      </c>
      <c r="I286" s="144">
        <v>2</v>
      </c>
      <c r="J286" s="144">
        <v>4</v>
      </c>
      <c r="K286" s="144">
        <v>2</v>
      </c>
      <c r="L286" s="144">
        <v>3</v>
      </c>
      <c r="M286" s="144">
        <v>2</v>
      </c>
      <c r="N286" s="144">
        <v>4</v>
      </c>
      <c r="O286" s="412" t="s">
        <v>2168</v>
      </c>
      <c r="P286" s="412" t="s">
        <v>3032</v>
      </c>
      <c r="Q286" s="413"/>
      <c r="R286" s="211">
        <v>35612</v>
      </c>
      <c r="S286" s="414"/>
      <c r="T286" s="415">
        <v>1</v>
      </c>
      <c r="U286" s="62">
        <v>1</v>
      </c>
      <c r="V286" s="62">
        <v>1</v>
      </c>
      <c r="W286" s="62">
        <v>1</v>
      </c>
      <c r="X286" s="62">
        <v>1</v>
      </c>
      <c r="Y286" s="62"/>
      <c r="Z286" s="62"/>
      <c r="AA286" s="62"/>
      <c r="AB286" s="62"/>
    </row>
    <row r="287" spans="1:28" ht="15.6" customHeight="1" x14ac:dyDescent="0.2">
      <c r="A287" s="408">
        <v>286</v>
      </c>
      <c r="B287" s="409" t="str">
        <f t="shared" si="4"/>
        <v>Indigofera capillaris</v>
      </c>
      <c r="C287" s="410" t="s">
        <v>1061</v>
      </c>
      <c r="E287" s="75" t="s">
        <v>1078</v>
      </c>
      <c r="F287" s="75" t="s">
        <v>749</v>
      </c>
      <c r="G287" s="411" t="s">
        <v>1170</v>
      </c>
      <c r="H287" s="66" t="s">
        <v>3215</v>
      </c>
      <c r="I287" s="144">
        <v>2</v>
      </c>
      <c r="J287" s="144">
        <v>6</v>
      </c>
      <c r="K287" s="144">
        <v>2</v>
      </c>
      <c r="L287" s="144">
        <v>3</v>
      </c>
      <c r="M287" s="144">
        <v>2</v>
      </c>
      <c r="N287" s="144">
        <v>5</v>
      </c>
      <c r="O287" s="412" t="s">
        <v>3031</v>
      </c>
      <c r="P287" s="412" t="s">
        <v>3032</v>
      </c>
      <c r="Q287" s="413"/>
      <c r="R287" s="211">
        <v>36434</v>
      </c>
      <c r="S287" s="414"/>
      <c r="T287" s="415">
        <v>1</v>
      </c>
      <c r="U287" s="62"/>
      <c r="V287" s="62"/>
      <c r="W287" s="62"/>
      <c r="X287" s="62">
        <v>1</v>
      </c>
      <c r="Y287" s="62"/>
      <c r="Z287" s="62"/>
      <c r="AA287" s="62"/>
      <c r="AB287" s="62"/>
    </row>
    <row r="288" spans="1:28" ht="15.6" customHeight="1" x14ac:dyDescent="0.2">
      <c r="A288" s="408">
        <v>287</v>
      </c>
      <c r="B288" s="409" t="str">
        <f t="shared" si="4"/>
        <v>Indigofera nigromontana</v>
      </c>
      <c r="C288" s="410" t="s">
        <v>1061</v>
      </c>
      <c r="E288" s="75" t="s">
        <v>1078</v>
      </c>
      <c r="F288" s="75" t="s">
        <v>1081</v>
      </c>
      <c r="G288" s="411" t="s">
        <v>1171</v>
      </c>
      <c r="H288" s="66" t="s">
        <v>3288</v>
      </c>
      <c r="I288" s="144">
        <v>2</v>
      </c>
      <c r="J288" s="144">
        <v>4</v>
      </c>
      <c r="K288" s="144">
        <v>2</v>
      </c>
      <c r="L288" s="144">
        <v>2</v>
      </c>
      <c r="M288" s="144">
        <v>2</v>
      </c>
      <c r="N288" s="144">
        <v>4</v>
      </c>
      <c r="O288" s="412" t="s">
        <v>2168</v>
      </c>
      <c r="P288" s="412" t="s">
        <v>3032</v>
      </c>
      <c r="Q288" s="413"/>
      <c r="R288" s="211">
        <v>36161</v>
      </c>
      <c r="S288" s="414"/>
      <c r="T288" s="415">
        <v>1</v>
      </c>
      <c r="U288" s="62"/>
      <c r="V288" s="62"/>
      <c r="W288" s="62"/>
      <c r="X288" s="62">
        <v>1</v>
      </c>
      <c r="Y288" s="62"/>
      <c r="Z288" s="62"/>
      <c r="AA288" s="62"/>
      <c r="AB288" s="62"/>
    </row>
    <row r="289" spans="1:28" ht="15.6" customHeight="1" x14ac:dyDescent="0.2">
      <c r="A289" s="408">
        <v>288</v>
      </c>
      <c r="B289" s="409" t="str">
        <f t="shared" si="4"/>
        <v>Indigofera porrecta</v>
      </c>
      <c r="C289" s="410" t="s">
        <v>1061</v>
      </c>
      <c r="E289" s="75" t="s">
        <v>1078</v>
      </c>
      <c r="F289" s="75" t="s">
        <v>1082</v>
      </c>
      <c r="G289" s="411" t="s">
        <v>1172</v>
      </c>
      <c r="H289" s="66" t="s">
        <v>3287</v>
      </c>
      <c r="I289" s="144">
        <v>2</v>
      </c>
      <c r="J289" s="144">
        <v>5</v>
      </c>
      <c r="K289" s="144">
        <v>2</v>
      </c>
      <c r="L289" s="144">
        <v>2</v>
      </c>
      <c r="M289" s="144">
        <v>2</v>
      </c>
      <c r="N289" s="144">
        <v>4</v>
      </c>
      <c r="O289" s="412" t="s">
        <v>2914</v>
      </c>
      <c r="P289" s="412" t="s">
        <v>3032</v>
      </c>
      <c r="Q289" s="413"/>
      <c r="R289" s="211">
        <v>35886</v>
      </c>
      <c r="S289" s="414"/>
      <c r="T289" s="415">
        <v>1</v>
      </c>
      <c r="U289" s="62">
        <v>1</v>
      </c>
      <c r="V289" s="62"/>
      <c r="W289" s="62"/>
      <c r="X289" s="62"/>
      <c r="Y289" s="62"/>
      <c r="Z289" s="62"/>
      <c r="AA289" s="62"/>
      <c r="AB289" s="62"/>
    </row>
    <row r="290" spans="1:28" ht="15.6" customHeight="1" x14ac:dyDescent="0.2">
      <c r="A290" s="408">
        <v>289</v>
      </c>
      <c r="B290" s="409" t="str">
        <f t="shared" si="4"/>
        <v>Lessertia capensis</v>
      </c>
      <c r="C290" s="410" t="s">
        <v>1061</v>
      </c>
      <c r="D290" s="75" t="s">
        <v>47</v>
      </c>
      <c r="E290" s="75" t="s">
        <v>2818</v>
      </c>
      <c r="F290" s="75" t="s">
        <v>2756</v>
      </c>
      <c r="G290" s="411" t="s">
        <v>1173</v>
      </c>
      <c r="H290" s="66" t="s">
        <v>3262</v>
      </c>
      <c r="I290" s="144">
        <v>2</v>
      </c>
      <c r="J290" s="144">
        <v>6</v>
      </c>
      <c r="K290" s="144">
        <v>3</v>
      </c>
      <c r="L290" s="144">
        <v>1</v>
      </c>
      <c r="M290" s="144">
        <v>1</v>
      </c>
      <c r="N290" s="144">
        <v>4</v>
      </c>
      <c r="O290" s="412" t="s">
        <v>3031</v>
      </c>
      <c r="P290" s="412" t="s">
        <v>3032</v>
      </c>
      <c r="Q290" s="413"/>
      <c r="R290" s="211">
        <v>37500</v>
      </c>
      <c r="S290" s="414"/>
      <c r="T290" s="415">
        <v>1</v>
      </c>
      <c r="U290" s="62"/>
      <c r="V290" s="62"/>
      <c r="W290" s="62"/>
      <c r="X290" s="62">
        <v>1</v>
      </c>
      <c r="Y290" s="62"/>
      <c r="Z290" s="62"/>
      <c r="AA290" s="62"/>
      <c r="AB290" s="62"/>
    </row>
    <row r="291" spans="1:28" ht="15.6" customHeight="1" x14ac:dyDescent="0.2">
      <c r="A291" s="408">
        <v>290</v>
      </c>
      <c r="B291" s="409" t="str">
        <f t="shared" si="4"/>
        <v>Lessertia frutescens</v>
      </c>
      <c r="C291" s="410" t="s">
        <v>1061</v>
      </c>
      <c r="D291" s="75" t="s">
        <v>48</v>
      </c>
      <c r="E291" s="75" t="s">
        <v>2818</v>
      </c>
      <c r="F291" s="75" t="s">
        <v>763</v>
      </c>
      <c r="G291" s="411" t="s">
        <v>1174</v>
      </c>
      <c r="H291" s="66" t="s">
        <v>3263</v>
      </c>
      <c r="I291" s="144">
        <v>2</v>
      </c>
      <c r="J291" s="144">
        <v>5</v>
      </c>
      <c r="K291" s="144">
        <v>3</v>
      </c>
      <c r="L291" s="144">
        <v>2</v>
      </c>
      <c r="M291" s="144">
        <v>1</v>
      </c>
      <c r="N291" s="144">
        <v>4</v>
      </c>
      <c r="O291" s="412" t="s">
        <v>2168</v>
      </c>
      <c r="P291" s="412" t="s">
        <v>3032</v>
      </c>
      <c r="Q291" s="413"/>
      <c r="R291" s="211">
        <v>36465</v>
      </c>
      <c r="S291" s="414"/>
      <c r="T291" s="415">
        <v>1</v>
      </c>
      <c r="U291" s="62">
        <v>1</v>
      </c>
      <c r="V291" s="62"/>
      <c r="W291" s="62"/>
      <c r="X291" s="62"/>
      <c r="Y291" s="62"/>
      <c r="Z291" s="62"/>
      <c r="AA291" s="62"/>
      <c r="AB291" s="62"/>
    </row>
    <row r="292" spans="1:28" ht="15.6" customHeight="1" x14ac:dyDescent="0.2">
      <c r="A292" s="408">
        <v>291</v>
      </c>
      <c r="B292" s="409" t="str">
        <f t="shared" si="4"/>
        <v>Liparia splendens</v>
      </c>
      <c r="C292" s="410" t="s">
        <v>1061</v>
      </c>
      <c r="D292" s="75" t="s">
        <v>49</v>
      </c>
      <c r="E292" s="75" t="s">
        <v>2819</v>
      </c>
      <c r="F292" s="75" t="s">
        <v>2820</v>
      </c>
      <c r="G292" s="411" t="s">
        <v>1175</v>
      </c>
      <c r="H292" s="66" t="s">
        <v>3232</v>
      </c>
      <c r="I292" s="144">
        <v>2</v>
      </c>
      <c r="J292" s="144">
        <v>5</v>
      </c>
      <c r="K292" s="144">
        <v>2</v>
      </c>
      <c r="L292" s="144">
        <v>2</v>
      </c>
      <c r="M292" s="144">
        <v>2</v>
      </c>
      <c r="N292" s="144">
        <v>3</v>
      </c>
      <c r="O292" s="412" t="s">
        <v>2168</v>
      </c>
      <c r="P292" s="412" t="s">
        <v>3032</v>
      </c>
      <c r="Q292" s="413" t="s">
        <v>2703</v>
      </c>
      <c r="R292" s="211">
        <v>35612</v>
      </c>
      <c r="S292" s="414"/>
      <c r="T292" s="415">
        <v>1</v>
      </c>
      <c r="U292" s="62"/>
      <c r="V292" s="62"/>
      <c r="W292" s="62"/>
      <c r="X292" s="62">
        <v>1</v>
      </c>
      <c r="Y292" s="62"/>
      <c r="Z292" s="62"/>
      <c r="AA292" s="62"/>
      <c r="AB292" s="62"/>
    </row>
    <row r="293" spans="1:28" ht="15.6" customHeight="1" x14ac:dyDescent="0.2">
      <c r="A293" s="408">
        <v>292</v>
      </c>
      <c r="B293" s="409" t="str">
        <f t="shared" si="4"/>
        <v>Lotononis umbellata</v>
      </c>
      <c r="C293" s="410" t="s">
        <v>1061</v>
      </c>
      <c r="E293" s="75" t="s">
        <v>2821</v>
      </c>
      <c r="F293" s="75" t="s">
        <v>2822</v>
      </c>
      <c r="G293" s="411" t="s">
        <v>1176</v>
      </c>
      <c r="H293" s="66" t="s">
        <v>3265</v>
      </c>
      <c r="I293" s="144">
        <v>2</v>
      </c>
      <c r="J293" s="144">
        <v>6</v>
      </c>
      <c r="K293" s="144">
        <v>9</v>
      </c>
      <c r="L293" s="144">
        <v>9</v>
      </c>
      <c r="M293" s="144">
        <v>9</v>
      </c>
      <c r="N293" s="144">
        <v>9</v>
      </c>
      <c r="O293" s="412" t="s">
        <v>3031</v>
      </c>
      <c r="P293" s="412" t="s">
        <v>3032</v>
      </c>
      <c r="Q293" s="413"/>
      <c r="R293" s="211">
        <v>35612</v>
      </c>
      <c r="S293" s="414" t="s">
        <v>2250</v>
      </c>
      <c r="T293" s="415"/>
      <c r="U293" s="62"/>
      <c r="V293" s="62"/>
      <c r="W293" s="62"/>
      <c r="X293" s="62">
        <v>1</v>
      </c>
      <c r="Y293" s="62"/>
      <c r="Z293" s="62"/>
      <c r="AA293" s="62"/>
      <c r="AB293" s="62"/>
    </row>
    <row r="294" spans="1:28" ht="15.6" customHeight="1" x14ac:dyDescent="0.2">
      <c r="A294" s="408">
        <v>293</v>
      </c>
      <c r="B294" s="409" t="str">
        <f t="shared" si="4"/>
        <v>Otholobium bracteolatum</v>
      </c>
      <c r="C294" s="410" t="s">
        <v>1061</v>
      </c>
      <c r="D294" s="75" t="s">
        <v>50</v>
      </c>
      <c r="E294" s="75" t="s">
        <v>2823</v>
      </c>
      <c r="F294" s="75" t="s">
        <v>2824</v>
      </c>
      <c r="G294" s="411" t="s">
        <v>1177</v>
      </c>
      <c r="H294" s="66" t="s">
        <v>3288</v>
      </c>
      <c r="I294" s="144">
        <v>2</v>
      </c>
      <c r="J294" s="144">
        <v>4</v>
      </c>
      <c r="K294" s="144">
        <v>2</v>
      </c>
      <c r="L294" s="144">
        <v>1</v>
      </c>
      <c r="M294" s="144">
        <v>2</v>
      </c>
      <c r="N294" s="144">
        <v>4</v>
      </c>
      <c r="O294" s="412" t="s">
        <v>2168</v>
      </c>
      <c r="P294" s="412" t="s">
        <v>3032</v>
      </c>
      <c r="Q294" s="413"/>
      <c r="R294" s="211">
        <v>35612</v>
      </c>
      <c r="S294" s="414"/>
      <c r="T294" s="415">
        <v>1</v>
      </c>
      <c r="U294" s="62">
        <v>1</v>
      </c>
      <c r="V294" s="62">
        <v>1</v>
      </c>
      <c r="W294" s="62">
        <v>1</v>
      </c>
      <c r="X294" s="62">
        <v>1</v>
      </c>
      <c r="Y294" s="62"/>
      <c r="Z294" s="62"/>
      <c r="AA294" s="62"/>
      <c r="AB294" s="62">
        <v>1</v>
      </c>
    </row>
    <row r="295" spans="1:28" ht="15.6" customHeight="1" x14ac:dyDescent="0.2">
      <c r="A295" s="408">
        <v>294</v>
      </c>
      <c r="B295" s="409" t="str">
        <f t="shared" si="4"/>
        <v>Otholobium virgatum</v>
      </c>
      <c r="C295" s="410" t="s">
        <v>1061</v>
      </c>
      <c r="E295" s="75" t="s">
        <v>2823</v>
      </c>
      <c r="F295" s="75" t="s">
        <v>1544</v>
      </c>
      <c r="G295" s="411" t="s">
        <v>1181</v>
      </c>
      <c r="H295" s="66" t="s">
        <v>3215</v>
      </c>
      <c r="I295" s="144">
        <v>2</v>
      </c>
      <c r="J295" s="144">
        <v>6</v>
      </c>
      <c r="K295" s="144">
        <v>2</v>
      </c>
      <c r="L295" s="144">
        <v>1</v>
      </c>
      <c r="M295" s="144">
        <v>2</v>
      </c>
      <c r="N295" s="144">
        <v>5</v>
      </c>
      <c r="O295" s="412" t="s">
        <v>3031</v>
      </c>
      <c r="P295" s="412" t="s">
        <v>3032</v>
      </c>
      <c r="Q295" s="413"/>
      <c r="R295" s="211">
        <v>36831</v>
      </c>
      <c r="S295" s="414"/>
      <c r="T295" s="415"/>
      <c r="U295" s="62"/>
      <c r="V295" s="62"/>
      <c r="W295" s="62"/>
      <c r="X295" s="62">
        <v>1</v>
      </c>
      <c r="Y295" s="62"/>
      <c r="Z295" s="62"/>
      <c r="AA295" s="62"/>
      <c r="AB295" s="62"/>
    </row>
    <row r="296" spans="1:28" ht="15.6" customHeight="1" x14ac:dyDescent="0.2">
      <c r="A296" s="408">
        <v>295</v>
      </c>
      <c r="B296" s="409" t="str">
        <f t="shared" si="4"/>
        <v>Podalyria myrtillifolia</v>
      </c>
      <c r="C296" s="410" t="s">
        <v>1061</v>
      </c>
      <c r="D296" s="75" t="s">
        <v>51</v>
      </c>
      <c r="E296" s="75" t="s">
        <v>2825</v>
      </c>
      <c r="F296" s="75" t="s">
        <v>2920</v>
      </c>
      <c r="G296" s="411" t="s">
        <v>1178</v>
      </c>
      <c r="H296" s="66" t="s">
        <v>1872</v>
      </c>
      <c r="I296" s="144">
        <v>9</v>
      </c>
      <c r="J296" s="144">
        <v>9</v>
      </c>
      <c r="K296" s="144">
        <v>2</v>
      </c>
      <c r="L296" s="144">
        <v>2</v>
      </c>
      <c r="M296" s="144">
        <v>2</v>
      </c>
      <c r="N296" s="144">
        <v>3</v>
      </c>
      <c r="O296" s="412" t="s">
        <v>2914</v>
      </c>
      <c r="P296" s="412" t="s">
        <v>3032</v>
      </c>
      <c r="Q296" s="413"/>
      <c r="R296" s="211">
        <v>35612</v>
      </c>
      <c r="S296" s="414"/>
      <c r="T296" s="415">
        <v>1</v>
      </c>
      <c r="U296" s="62"/>
      <c r="V296" s="62"/>
      <c r="W296" s="62"/>
      <c r="X296" s="62">
        <v>1</v>
      </c>
      <c r="Y296" s="62"/>
      <c r="Z296" s="62"/>
      <c r="AA296" s="62"/>
      <c r="AB296" s="62"/>
    </row>
    <row r="297" spans="1:28" ht="15.6" customHeight="1" x14ac:dyDescent="0.2">
      <c r="A297" s="408">
        <v>296</v>
      </c>
      <c r="B297" s="409" t="str">
        <f t="shared" si="4"/>
        <v>Psoralea aphylla</v>
      </c>
      <c r="C297" s="410" t="s">
        <v>1061</v>
      </c>
      <c r="D297" s="75" t="s">
        <v>52</v>
      </c>
      <c r="E297" s="75" t="s">
        <v>1541</v>
      </c>
      <c r="F297" s="75" t="s">
        <v>1542</v>
      </c>
      <c r="G297" s="411" t="s">
        <v>1179</v>
      </c>
      <c r="H297" s="66" t="s">
        <v>3266</v>
      </c>
      <c r="I297" s="144">
        <v>2</v>
      </c>
      <c r="J297" s="144">
        <v>3</v>
      </c>
      <c r="K297" s="144">
        <v>3</v>
      </c>
      <c r="L297" s="144">
        <v>3</v>
      </c>
      <c r="M297" s="144">
        <v>1</v>
      </c>
      <c r="N297" s="144">
        <v>4</v>
      </c>
      <c r="O297" s="412" t="s">
        <v>2168</v>
      </c>
      <c r="P297" s="412" t="s">
        <v>3032</v>
      </c>
      <c r="Q297" s="413" t="s">
        <v>3145</v>
      </c>
      <c r="R297" s="211">
        <v>35612</v>
      </c>
      <c r="S297" s="414"/>
      <c r="T297" s="415">
        <v>1</v>
      </c>
      <c r="U297" s="62"/>
      <c r="V297" s="62"/>
      <c r="W297" s="62"/>
      <c r="X297" s="62">
        <v>1</v>
      </c>
      <c r="Y297" s="62"/>
      <c r="Z297" s="62"/>
      <c r="AA297" s="62"/>
      <c r="AB297" s="62"/>
    </row>
    <row r="298" spans="1:28" ht="15.6" customHeight="1" x14ac:dyDescent="0.2">
      <c r="A298" s="408">
        <v>297</v>
      </c>
      <c r="B298" s="409" t="str">
        <f t="shared" si="4"/>
        <v>Psoralea arborea</v>
      </c>
      <c r="C298" s="410" t="s">
        <v>1061</v>
      </c>
      <c r="D298" s="75" t="s">
        <v>2357</v>
      </c>
      <c r="E298" s="75" t="s">
        <v>1541</v>
      </c>
      <c r="F298" s="75" t="s">
        <v>1543</v>
      </c>
      <c r="G298" s="411" t="s">
        <v>1180</v>
      </c>
      <c r="H298" s="66" t="s">
        <v>3228</v>
      </c>
      <c r="I298" s="144">
        <v>2</v>
      </c>
      <c r="J298" s="144">
        <v>5</v>
      </c>
      <c r="K298" s="144">
        <v>2</v>
      </c>
      <c r="L298" s="144">
        <v>3</v>
      </c>
      <c r="M298" s="144">
        <v>2</v>
      </c>
      <c r="N298" s="144">
        <v>3</v>
      </c>
      <c r="O298" s="412" t="s">
        <v>2914</v>
      </c>
      <c r="P298" s="412" t="s">
        <v>3032</v>
      </c>
      <c r="Q298" s="413" t="s">
        <v>3148</v>
      </c>
      <c r="R298" s="211">
        <v>35612</v>
      </c>
      <c r="S298" s="414"/>
      <c r="T298" s="415">
        <v>1</v>
      </c>
      <c r="U298" s="62"/>
      <c r="V298" s="62"/>
      <c r="W298" s="62"/>
      <c r="X298" s="62"/>
      <c r="Y298" s="62"/>
      <c r="Z298" s="62"/>
      <c r="AA298" s="62">
        <v>1</v>
      </c>
      <c r="AB298" s="62"/>
    </row>
    <row r="299" spans="1:28" ht="15.6" customHeight="1" x14ac:dyDescent="0.2">
      <c r="A299" s="408">
        <v>298</v>
      </c>
      <c r="B299" s="409" t="str">
        <f t="shared" si="4"/>
        <v>Psoralea restioides</v>
      </c>
      <c r="C299" s="410" t="s">
        <v>1061</v>
      </c>
      <c r="E299" s="75" t="s">
        <v>1541</v>
      </c>
      <c r="F299" s="75" t="s">
        <v>1545</v>
      </c>
      <c r="G299" s="411" t="s">
        <v>1182</v>
      </c>
      <c r="H299" s="66" t="s">
        <v>3265</v>
      </c>
      <c r="I299" s="144">
        <v>2</v>
      </c>
      <c r="J299" s="144">
        <v>6</v>
      </c>
      <c r="K299" s="144">
        <v>9</v>
      </c>
      <c r="L299" s="144">
        <v>9</v>
      </c>
      <c r="M299" s="144">
        <v>9</v>
      </c>
      <c r="N299" s="144">
        <v>9</v>
      </c>
      <c r="O299" s="412" t="s">
        <v>3031</v>
      </c>
      <c r="P299" s="412" t="s">
        <v>3032</v>
      </c>
      <c r="Q299" s="413" t="s">
        <v>3145</v>
      </c>
      <c r="R299" s="211">
        <v>36161</v>
      </c>
      <c r="S299" s="414"/>
      <c r="T299" s="415">
        <v>1</v>
      </c>
      <c r="U299" s="429"/>
      <c r="V299" s="62"/>
      <c r="W299" s="62"/>
      <c r="X299" s="62"/>
      <c r="Y299" s="62"/>
      <c r="Z299" s="62"/>
      <c r="AA299" s="62"/>
      <c r="AB299" s="62"/>
    </row>
    <row r="300" spans="1:28" ht="15.6" customHeight="1" x14ac:dyDescent="0.2">
      <c r="A300" s="408">
        <v>299</v>
      </c>
      <c r="B300" s="409" t="str">
        <f t="shared" si="4"/>
        <v>Rafnia triflora</v>
      </c>
      <c r="C300" s="410" t="s">
        <v>1061</v>
      </c>
      <c r="D300" s="75" t="s">
        <v>2358</v>
      </c>
      <c r="E300" s="75" t="s">
        <v>1546</v>
      </c>
      <c r="F300" s="75" t="s">
        <v>1547</v>
      </c>
      <c r="G300" s="411" t="s">
        <v>1183</v>
      </c>
      <c r="H300" s="66" t="s">
        <v>3289</v>
      </c>
      <c r="I300" s="144">
        <v>2</v>
      </c>
      <c r="J300" s="144">
        <v>4</v>
      </c>
      <c r="K300" s="144">
        <v>2</v>
      </c>
      <c r="L300" s="144">
        <v>3</v>
      </c>
      <c r="M300" s="144">
        <v>1</v>
      </c>
      <c r="N300" s="144">
        <v>3</v>
      </c>
      <c r="O300" s="412" t="s">
        <v>2914</v>
      </c>
      <c r="P300" s="412" t="s">
        <v>3032</v>
      </c>
      <c r="Q300" s="413"/>
      <c r="R300" s="211">
        <v>35796</v>
      </c>
      <c r="S300" s="414"/>
      <c r="T300" s="415">
        <v>1</v>
      </c>
      <c r="U300" s="62"/>
      <c r="V300" s="62"/>
      <c r="W300" s="62"/>
      <c r="X300" s="62">
        <v>1</v>
      </c>
      <c r="Y300" s="62"/>
      <c r="Z300" s="62"/>
      <c r="AA300" s="62"/>
      <c r="AB300" s="62"/>
    </row>
    <row r="301" spans="1:28" ht="15.6" customHeight="1" x14ac:dyDescent="0.2">
      <c r="A301" s="408">
        <v>300</v>
      </c>
      <c r="B301" s="409" t="str">
        <f t="shared" si="4"/>
        <v>Rhynchosia capensis</v>
      </c>
      <c r="C301" s="410" t="s">
        <v>1061</v>
      </c>
      <c r="E301" s="75" t="s">
        <v>1548</v>
      </c>
      <c r="F301" s="75" t="s">
        <v>2756</v>
      </c>
      <c r="G301" s="411" t="s">
        <v>1184</v>
      </c>
      <c r="H301" s="66" t="s">
        <v>3262</v>
      </c>
      <c r="I301" s="144">
        <v>2</v>
      </c>
      <c r="J301" s="144">
        <v>6</v>
      </c>
      <c r="K301" s="144">
        <v>3</v>
      </c>
      <c r="L301" s="144">
        <v>2</v>
      </c>
      <c r="M301" s="144">
        <v>1</v>
      </c>
      <c r="N301" s="144">
        <v>4</v>
      </c>
      <c r="O301" s="412" t="s">
        <v>3031</v>
      </c>
      <c r="P301" s="412" t="s">
        <v>3032</v>
      </c>
      <c r="Q301" s="413"/>
      <c r="R301" s="211">
        <v>36861</v>
      </c>
      <c r="S301" s="414"/>
      <c r="T301" s="415">
        <v>1</v>
      </c>
      <c r="U301" s="62"/>
      <c r="V301" s="62"/>
      <c r="W301" s="62"/>
      <c r="X301" s="62">
        <v>1</v>
      </c>
      <c r="Y301" s="62"/>
      <c r="Z301" s="62"/>
      <c r="AA301" s="62"/>
      <c r="AB301" s="62"/>
    </row>
    <row r="302" spans="1:28" ht="15.6" customHeight="1" x14ac:dyDescent="0.2">
      <c r="A302" s="408">
        <v>301</v>
      </c>
      <c r="B302" s="409" t="str">
        <f t="shared" si="4"/>
        <v>Tephrosia capensis</v>
      </c>
      <c r="C302" s="410" t="s">
        <v>1061</v>
      </c>
      <c r="E302" s="75" t="s">
        <v>1549</v>
      </c>
      <c r="F302" s="75" t="s">
        <v>2756</v>
      </c>
      <c r="G302" s="411" t="s">
        <v>1185</v>
      </c>
      <c r="H302" s="66" t="s">
        <v>3262</v>
      </c>
      <c r="I302" s="144">
        <v>2</v>
      </c>
      <c r="J302" s="144">
        <v>6</v>
      </c>
      <c r="K302" s="144">
        <v>3</v>
      </c>
      <c r="L302" s="144">
        <v>2</v>
      </c>
      <c r="M302" s="144">
        <v>1</v>
      </c>
      <c r="N302" s="144">
        <v>4</v>
      </c>
      <c r="O302" s="412" t="s">
        <v>3031</v>
      </c>
      <c r="P302" s="412" t="s">
        <v>3032</v>
      </c>
      <c r="Q302" s="413"/>
      <c r="R302" s="211">
        <v>37530</v>
      </c>
      <c r="S302" s="414"/>
      <c r="T302" s="415">
        <v>1</v>
      </c>
      <c r="U302" s="62"/>
      <c r="V302" s="62"/>
      <c r="W302" s="62">
        <v>1</v>
      </c>
      <c r="X302" s="62">
        <v>1</v>
      </c>
      <c r="Y302" s="62"/>
      <c r="Z302" s="62"/>
      <c r="AA302" s="62"/>
      <c r="AB302" s="62"/>
    </row>
    <row r="303" spans="1:28" ht="15.6" customHeight="1" x14ac:dyDescent="0.2">
      <c r="A303" s="408">
        <v>302</v>
      </c>
      <c r="B303" s="409" t="str">
        <f t="shared" si="4"/>
        <v>Cysticapnos vesicaria</v>
      </c>
      <c r="C303" s="410" t="s">
        <v>1550</v>
      </c>
      <c r="E303" s="75" t="s">
        <v>1551</v>
      </c>
      <c r="F303" s="75" t="s">
        <v>1552</v>
      </c>
      <c r="G303" s="411" t="s">
        <v>1186</v>
      </c>
      <c r="H303" s="66" t="s">
        <v>3290</v>
      </c>
      <c r="I303" s="144">
        <v>6</v>
      </c>
      <c r="J303" s="144">
        <v>5</v>
      </c>
      <c r="K303" s="144">
        <v>4</v>
      </c>
      <c r="L303" s="144">
        <v>5</v>
      </c>
      <c r="M303" s="144">
        <v>1</v>
      </c>
      <c r="N303" s="144">
        <v>4</v>
      </c>
      <c r="O303" s="412" t="s">
        <v>2910</v>
      </c>
      <c r="P303" s="412" t="s">
        <v>2915</v>
      </c>
      <c r="Q303" s="413"/>
      <c r="R303" s="211">
        <v>36861</v>
      </c>
      <c r="S303" s="414"/>
      <c r="T303" s="415">
        <v>1</v>
      </c>
      <c r="U303" s="62">
        <v>1</v>
      </c>
      <c r="V303" s="62"/>
      <c r="W303" s="62"/>
      <c r="X303" s="62"/>
      <c r="Y303" s="62"/>
      <c r="Z303" s="62"/>
      <c r="AA303" s="62"/>
      <c r="AB303" s="62"/>
    </row>
    <row r="304" spans="1:28" ht="15.6" customHeight="1" x14ac:dyDescent="0.2">
      <c r="A304" s="408">
        <v>303</v>
      </c>
      <c r="B304" s="409" t="str">
        <f t="shared" si="4"/>
        <v>Chironia baccifera</v>
      </c>
      <c r="C304" s="410" t="s">
        <v>1553</v>
      </c>
      <c r="D304" s="75" t="s">
        <v>2359</v>
      </c>
      <c r="E304" s="75" t="s">
        <v>1554</v>
      </c>
      <c r="F304" s="75" t="s">
        <v>1555</v>
      </c>
      <c r="G304" s="411" t="s">
        <v>1187</v>
      </c>
      <c r="H304" s="66" t="s">
        <v>3263</v>
      </c>
      <c r="I304" s="144">
        <v>2</v>
      </c>
      <c r="J304" s="144">
        <v>5</v>
      </c>
      <c r="K304" s="144">
        <v>3</v>
      </c>
      <c r="L304" s="144">
        <v>1</v>
      </c>
      <c r="M304" s="144">
        <v>1</v>
      </c>
      <c r="N304" s="144">
        <v>4</v>
      </c>
      <c r="O304" s="412" t="s">
        <v>2914</v>
      </c>
      <c r="P304" s="412" t="s">
        <v>3032</v>
      </c>
      <c r="Q304" s="413"/>
      <c r="R304" s="211">
        <v>35612</v>
      </c>
      <c r="S304" s="414"/>
      <c r="T304" s="415">
        <v>1</v>
      </c>
      <c r="U304" s="62">
        <v>1</v>
      </c>
      <c r="V304" s="62">
        <v>1</v>
      </c>
      <c r="W304" s="62">
        <v>1</v>
      </c>
      <c r="X304" s="62">
        <v>1</v>
      </c>
      <c r="Y304" s="62">
        <v>1</v>
      </c>
      <c r="Z304" s="62"/>
      <c r="AA304" s="62"/>
      <c r="AB304" s="62"/>
    </row>
    <row r="305" spans="1:28" ht="15.6" customHeight="1" x14ac:dyDescent="0.2">
      <c r="A305" s="408">
        <v>304</v>
      </c>
      <c r="B305" s="409" t="str">
        <f t="shared" si="4"/>
        <v>Chironia decumbens</v>
      </c>
      <c r="C305" s="410" t="s">
        <v>1553</v>
      </c>
      <c r="E305" s="75" t="s">
        <v>1554</v>
      </c>
      <c r="F305" s="75" t="s">
        <v>1556</v>
      </c>
      <c r="G305" s="411" t="s">
        <v>1188</v>
      </c>
      <c r="H305" s="66" t="s">
        <v>3291</v>
      </c>
      <c r="I305" s="144">
        <v>3</v>
      </c>
      <c r="J305" s="144">
        <v>6</v>
      </c>
      <c r="K305" s="144">
        <v>9</v>
      </c>
      <c r="L305" s="144">
        <v>2</v>
      </c>
      <c r="M305" s="144">
        <v>9</v>
      </c>
      <c r="N305" s="144">
        <v>9</v>
      </c>
      <c r="O305" s="412" t="s">
        <v>2910</v>
      </c>
      <c r="P305" s="412" t="s">
        <v>3032</v>
      </c>
      <c r="Q305" s="413"/>
      <c r="R305" s="211">
        <v>36100</v>
      </c>
      <c r="S305" s="414" t="s">
        <v>2250</v>
      </c>
      <c r="T305" s="415"/>
      <c r="U305" s="62"/>
      <c r="V305" s="62"/>
      <c r="W305" s="62"/>
      <c r="X305" s="62">
        <v>1</v>
      </c>
      <c r="Y305" s="62"/>
      <c r="Z305" s="62"/>
      <c r="AA305" s="62"/>
      <c r="AB305" s="62"/>
    </row>
    <row r="306" spans="1:28" ht="15.6" customHeight="1" x14ac:dyDescent="0.2">
      <c r="A306" s="408">
        <v>305</v>
      </c>
      <c r="B306" s="409" t="str">
        <f t="shared" si="4"/>
        <v>Chironia linoides</v>
      </c>
      <c r="C306" s="410" t="s">
        <v>1553</v>
      </c>
      <c r="E306" s="75" t="s">
        <v>1554</v>
      </c>
      <c r="F306" s="75" t="s">
        <v>1557</v>
      </c>
      <c r="G306" s="411" t="s">
        <v>1189</v>
      </c>
      <c r="H306" s="66" t="s">
        <v>3263</v>
      </c>
      <c r="I306" s="144">
        <v>2</v>
      </c>
      <c r="J306" s="144">
        <v>5</v>
      </c>
      <c r="K306" s="144">
        <v>3</v>
      </c>
      <c r="L306" s="144">
        <v>1</v>
      </c>
      <c r="M306" s="144">
        <v>1</v>
      </c>
      <c r="N306" s="144">
        <v>4</v>
      </c>
      <c r="O306" s="412" t="s">
        <v>2914</v>
      </c>
      <c r="P306" s="412" t="s">
        <v>3032</v>
      </c>
      <c r="Q306" s="413"/>
      <c r="R306" s="211">
        <v>37591</v>
      </c>
      <c r="S306" s="414"/>
      <c r="T306" s="415">
        <v>1</v>
      </c>
      <c r="U306" s="62"/>
      <c r="V306" s="62"/>
      <c r="W306" s="62"/>
      <c r="X306" s="62">
        <v>1</v>
      </c>
      <c r="Y306" s="62"/>
      <c r="Z306" s="62"/>
      <c r="AA306" s="62"/>
      <c r="AB306" s="62"/>
    </row>
    <row r="307" spans="1:28" ht="15.6" customHeight="1" x14ac:dyDescent="0.2">
      <c r="A307" s="408">
        <v>306</v>
      </c>
      <c r="B307" s="409" t="str">
        <f t="shared" si="4"/>
        <v>Chironia stokoei</v>
      </c>
      <c r="C307" s="410" t="s">
        <v>1553</v>
      </c>
      <c r="E307" s="75" t="s">
        <v>1554</v>
      </c>
      <c r="F307" s="75" t="s">
        <v>1558</v>
      </c>
      <c r="G307" s="411" t="s">
        <v>1190</v>
      </c>
      <c r="H307" s="66" t="s">
        <v>3287</v>
      </c>
      <c r="I307" s="144">
        <v>2</v>
      </c>
      <c r="J307" s="144">
        <v>5</v>
      </c>
      <c r="K307" s="144">
        <v>3</v>
      </c>
      <c r="L307" s="144">
        <v>2</v>
      </c>
      <c r="M307" s="144">
        <v>2</v>
      </c>
      <c r="N307" s="144">
        <v>4</v>
      </c>
      <c r="O307" s="412" t="s">
        <v>2914</v>
      </c>
      <c r="P307" s="412" t="s">
        <v>3032</v>
      </c>
      <c r="Q307" s="413"/>
      <c r="R307" s="211">
        <v>36161</v>
      </c>
      <c r="S307" s="414"/>
      <c r="T307" s="415">
        <v>1</v>
      </c>
      <c r="U307" s="62"/>
      <c r="V307" s="62"/>
      <c r="W307" s="62"/>
      <c r="X307" s="62">
        <v>1</v>
      </c>
      <c r="Y307" s="62"/>
      <c r="Z307" s="62"/>
      <c r="AA307" s="62"/>
      <c r="AB307" s="62"/>
    </row>
    <row r="308" spans="1:28" ht="15.6" customHeight="1" x14ac:dyDescent="0.2">
      <c r="A308" s="408">
        <v>307</v>
      </c>
      <c r="B308" s="409" t="str">
        <f t="shared" si="4"/>
        <v>Chironia tetragona</v>
      </c>
      <c r="C308" s="410" t="s">
        <v>1553</v>
      </c>
      <c r="E308" s="75" t="s">
        <v>1554</v>
      </c>
      <c r="F308" s="75" t="s">
        <v>1559</v>
      </c>
      <c r="G308" s="411" t="s">
        <v>1191</v>
      </c>
      <c r="H308" s="66" t="s">
        <v>3231</v>
      </c>
      <c r="I308" s="144">
        <v>6</v>
      </c>
      <c r="J308" s="144">
        <v>5</v>
      </c>
      <c r="K308" s="144">
        <v>3</v>
      </c>
      <c r="L308" s="144">
        <v>2</v>
      </c>
      <c r="M308" s="144">
        <v>1</v>
      </c>
      <c r="N308" s="144">
        <v>4</v>
      </c>
      <c r="O308" s="412" t="s">
        <v>2910</v>
      </c>
      <c r="P308" s="412" t="s">
        <v>2915</v>
      </c>
      <c r="Q308" s="413"/>
      <c r="R308" s="211">
        <v>35612</v>
      </c>
      <c r="S308" s="414"/>
      <c r="T308" s="415">
        <v>1</v>
      </c>
      <c r="U308" s="62"/>
      <c r="V308" s="62">
        <v>1</v>
      </c>
      <c r="W308" s="62"/>
      <c r="X308" s="62">
        <v>1</v>
      </c>
      <c r="Y308" s="62"/>
      <c r="Z308" s="62"/>
      <c r="AA308" s="62"/>
      <c r="AB308" s="62"/>
    </row>
    <row r="309" spans="1:28" ht="15.6" customHeight="1" x14ac:dyDescent="0.2">
      <c r="A309" s="408">
        <v>308</v>
      </c>
      <c r="B309" s="409" t="str">
        <f t="shared" si="4"/>
        <v>Sebaea albens</v>
      </c>
      <c r="C309" s="410" t="s">
        <v>1553</v>
      </c>
      <c r="E309" s="75" t="s">
        <v>1560</v>
      </c>
      <c r="F309" s="75" t="s">
        <v>947</v>
      </c>
      <c r="G309" s="411" t="s">
        <v>1192</v>
      </c>
      <c r="H309" s="66" t="s">
        <v>3256</v>
      </c>
      <c r="I309" s="144">
        <v>6</v>
      </c>
      <c r="J309" s="144">
        <v>6</v>
      </c>
      <c r="K309" s="144">
        <v>3</v>
      </c>
      <c r="L309" s="144">
        <v>1</v>
      </c>
      <c r="M309" s="144">
        <v>1</v>
      </c>
      <c r="N309" s="144">
        <v>4</v>
      </c>
      <c r="O309" s="412" t="s">
        <v>2910</v>
      </c>
      <c r="P309" s="412" t="s">
        <v>2915</v>
      </c>
      <c r="Q309" s="413"/>
      <c r="R309" s="211">
        <v>36770</v>
      </c>
      <c r="S309" s="414"/>
      <c r="T309" s="415">
        <v>1</v>
      </c>
      <c r="U309" s="62">
        <v>1</v>
      </c>
      <c r="V309" s="62"/>
      <c r="W309" s="62"/>
      <c r="X309" s="62"/>
      <c r="Y309" s="62"/>
      <c r="Z309" s="62"/>
      <c r="AA309" s="62"/>
      <c r="AB309" s="62"/>
    </row>
    <row r="310" spans="1:28" ht="15.6" customHeight="1" x14ac:dyDescent="0.2">
      <c r="A310" s="408">
        <v>309</v>
      </c>
      <c r="B310" s="409" t="str">
        <f t="shared" si="4"/>
        <v>Sebaea aurea</v>
      </c>
      <c r="C310" s="410" t="s">
        <v>1553</v>
      </c>
      <c r="E310" s="75" t="s">
        <v>1560</v>
      </c>
      <c r="F310" s="75" t="s">
        <v>1561</v>
      </c>
      <c r="G310" s="411" t="s">
        <v>1193</v>
      </c>
      <c r="H310" s="66" t="s">
        <v>3261</v>
      </c>
      <c r="I310" s="144">
        <v>6</v>
      </c>
      <c r="J310" s="144">
        <v>6</v>
      </c>
      <c r="K310" s="144">
        <v>3</v>
      </c>
      <c r="L310" s="144">
        <v>1</v>
      </c>
      <c r="M310" s="144">
        <v>1</v>
      </c>
      <c r="N310" s="144">
        <v>5</v>
      </c>
      <c r="O310" s="412" t="s">
        <v>2910</v>
      </c>
      <c r="P310" s="412" t="s">
        <v>2915</v>
      </c>
      <c r="Q310" s="413"/>
      <c r="R310" s="211">
        <v>36892</v>
      </c>
      <c r="S310" s="414"/>
      <c r="T310" s="415">
        <v>1</v>
      </c>
      <c r="U310" s="62">
        <v>1</v>
      </c>
      <c r="V310" s="62"/>
      <c r="W310" s="62"/>
      <c r="X310" s="62"/>
      <c r="Y310" s="62"/>
      <c r="Z310" s="62"/>
      <c r="AA310" s="62"/>
      <c r="AB310" s="62"/>
    </row>
    <row r="311" spans="1:28" ht="15.6" customHeight="1" x14ac:dyDescent="0.2">
      <c r="A311" s="408">
        <v>310</v>
      </c>
      <c r="B311" s="409" t="str">
        <f t="shared" si="4"/>
        <v>Sebaea exacoides</v>
      </c>
      <c r="C311" s="410" t="s">
        <v>1553</v>
      </c>
      <c r="D311" s="75" t="s">
        <v>2360</v>
      </c>
      <c r="E311" s="75" t="s">
        <v>1560</v>
      </c>
      <c r="F311" s="75" t="s">
        <v>1562</v>
      </c>
      <c r="G311" s="411" t="s">
        <v>1194</v>
      </c>
      <c r="H311" s="66" t="s">
        <v>3261</v>
      </c>
      <c r="I311" s="144">
        <v>6</v>
      </c>
      <c r="J311" s="144">
        <v>6</v>
      </c>
      <c r="K311" s="144">
        <v>3</v>
      </c>
      <c r="L311" s="144">
        <v>1</v>
      </c>
      <c r="M311" s="144">
        <v>1</v>
      </c>
      <c r="N311" s="144">
        <v>5</v>
      </c>
      <c r="O311" s="412" t="s">
        <v>2910</v>
      </c>
      <c r="P311" s="412" t="s">
        <v>2915</v>
      </c>
      <c r="Q311" s="413"/>
      <c r="R311" s="211">
        <v>35612</v>
      </c>
      <c r="S311" s="414"/>
      <c r="T311" s="415">
        <v>1</v>
      </c>
      <c r="U311" s="62"/>
      <c r="V311" s="62">
        <v>1</v>
      </c>
      <c r="W311" s="62"/>
      <c r="X311" s="62"/>
      <c r="Y311" s="62"/>
      <c r="Z311" s="62"/>
      <c r="AA311" s="62"/>
      <c r="AB311" s="62"/>
    </row>
    <row r="312" spans="1:28" ht="15.6" customHeight="1" x14ac:dyDescent="0.2">
      <c r="A312" s="408">
        <v>311</v>
      </c>
      <c r="B312" s="409" t="str">
        <f t="shared" si="4"/>
        <v>Sebaea minutiflora</v>
      </c>
      <c r="C312" s="410" t="s">
        <v>1553</v>
      </c>
      <c r="E312" s="75" t="s">
        <v>1560</v>
      </c>
      <c r="F312" s="75" t="s">
        <v>1563</v>
      </c>
      <c r="G312" s="411" t="s">
        <v>1195</v>
      </c>
      <c r="H312" s="66" t="s">
        <v>3272</v>
      </c>
      <c r="I312" s="144">
        <v>6</v>
      </c>
      <c r="J312" s="144">
        <v>6</v>
      </c>
      <c r="K312" s="144">
        <v>9</v>
      </c>
      <c r="L312" s="144">
        <v>9</v>
      </c>
      <c r="M312" s="144">
        <v>9</v>
      </c>
      <c r="N312" s="144">
        <v>9</v>
      </c>
      <c r="O312" s="412" t="s">
        <v>2910</v>
      </c>
      <c r="P312" s="412" t="s">
        <v>2915</v>
      </c>
      <c r="Q312" s="413"/>
      <c r="S312" s="414" t="s">
        <v>2250</v>
      </c>
      <c r="T312" s="415"/>
      <c r="U312" s="62">
        <v>1</v>
      </c>
      <c r="V312" s="62"/>
      <c r="W312" s="62"/>
      <c r="X312" s="62"/>
      <c r="Y312" s="62"/>
      <c r="Z312" s="62"/>
      <c r="AA312" s="62">
        <v>1</v>
      </c>
      <c r="AB312" s="62"/>
    </row>
    <row r="313" spans="1:28" ht="15.6" customHeight="1" x14ac:dyDescent="0.2">
      <c r="A313" s="408">
        <v>312</v>
      </c>
      <c r="B313" s="409" t="str">
        <f t="shared" si="4"/>
        <v>Geranium incanum</v>
      </c>
      <c r="C313" s="410" t="s">
        <v>1564</v>
      </c>
      <c r="D313" s="75" t="s">
        <v>2361</v>
      </c>
      <c r="E313" s="75" t="s">
        <v>1566</v>
      </c>
      <c r="F313" s="75" t="s">
        <v>1567</v>
      </c>
      <c r="G313" s="411" t="s">
        <v>1197</v>
      </c>
      <c r="H313" s="66" t="s">
        <v>3245</v>
      </c>
      <c r="I313" s="144">
        <v>3</v>
      </c>
      <c r="J313" s="144">
        <v>6</v>
      </c>
      <c r="K313" s="144">
        <v>3</v>
      </c>
      <c r="L313" s="144">
        <v>5</v>
      </c>
      <c r="M313" s="144">
        <v>2</v>
      </c>
      <c r="N313" s="144">
        <v>3</v>
      </c>
      <c r="O313" s="412" t="s">
        <v>2910</v>
      </c>
      <c r="P313" s="412" t="s">
        <v>3032</v>
      </c>
      <c r="Q313" s="413"/>
      <c r="R313" s="211">
        <v>35612</v>
      </c>
      <c r="S313" s="414"/>
      <c r="T313" s="415">
        <v>1</v>
      </c>
      <c r="U313" s="62">
        <v>1</v>
      </c>
      <c r="V313" s="62"/>
      <c r="W313" s="62"/>
      <c r="X313" s="62"/>
      <c r="Y313" s="62"/>
      <c r="Z313" s="62"/>
      <c r="AA313" s="62"/>
      <c r="AB313" s="62"/>
    </row>
    <row r="314" spans="1:28" ht="15.6" customHeight="1" x14ac:dyDescent="0.2">
      <c r="A314" s="408">
        <v>313</v>
      </c>
      <c r="B314" s="409" t="str">
        <f t="shared" si="4"/>
        <v>Geranium ornithopodon</v>
      </c>
      <c r="C314" s="410" t="s">
        <v>1564</v>
      </c>
      <c r="E314" s="75" t="s">
        <v>1566</v>
      </c>
      <c r="F314" s="75" t="s">
        <v>1568</v>
      </c>
      <c r="G314" s="411" t="s">
        <v>1198</v>
      </c>
      <c r="H314" s="66" t="s">
        <v>199</v>
      </c>
      <c r="I314" s="144">
        <v>3</v>
      </c>
      <c r="J314" s="144">
        <v>9</v>
      </c>
      <c r="K314" s="144">
        <v>9</v>
      </c>
      <c r="L314" s="144">
        <v>9</v>
      </c>
      <c r="M314" s="144">
        <v>9</v>
      </c>
      <c r="N314" s="144">
        <v>9</v>
      </c>
      <c r="O314" s="412" t="s">
        <v>2910</v>
      </c>
      <c r="P314" s="412" t="s">
        <v>3032</v>
      </c>
      <c r="Q314" s="413"/>
      <c r="R314" s="211">
        <v>35612</v>
      </c>
      <c r="S314" s="414"/>
      <c r="T314" s="415">
        <v>1</v>
      </c>
      <c r="U314" s="62"/>
      <c r="V314" s="62"/>
      <c r="W314" s="62"/>
      <c r="X314" s="62"/>
      <c r="Y314" s="62">
        <v>1</v>
      </c>
      <c r="Z314" s="62">
        <v>1</v>
      </c>
      <c r="AA314" s="62">
        <v>1</v>
      </c>
      <c r="AB314" s="62"/>
    </row>
    <row r="315" spans="1:28" ht="15.6" customHeight="1" x14ac:dyDescent="0.2">
      <c r="A315" s="408">
        <v>314</v>
      </c>
      <c r="B315" s="409" t="str">
        <f t="shared" si="4"/>
        <v>Pelargonium alchemilloides</v>
      </c>
      <c r="C315" s="410" t="s">
        <v>1564</v>
      </c>
      <c r="D315" s="75" t="s">
        <v>2362</v>
      </c>
      <c r="E315" s="75" t="s">
        <v>1569</v>
      </c>
      <c r="F315" s="75" t="s">
        <v>1570</v>
      </c>
      <c r="G315" s="411" t="s">
        <v>1199</v>
      </c>
      <c r="H315" s="66" t="s">
        <v>3244</v>
      </c>
      <c r="I315" s="144">
        <v>3</v>
      </c>
      <c r="J315" s="144">
        <v>6</v>
      </c>
      <c r="K315" s="144">
        <v>3</v>
      </c>
      <c r="L315" s="144">
        <v>4</v>
      </c>
      <c r="M315" s="144">
        <v>1</v>
      </c>
      <c r="N315" s="144">
        <v>3</v>
      </c>
      <c r="O315" s="412" t="s">
        <v>2910</v>
      </c>
      <c r="P315" s="412" t="s">
        <v>3032</v>
      </c>
      <c r="Q315" s="413"/>
      <c r="R315" s="211">
        <v>36161</v>
      </c>
      <c r="S315" s="414"/>
      <c r="T315" s="415">
        <v>1</v>
      </c>
      <c r="U315" s="62"/>
      <c r="V315" s="62"/>
      <c r="W315" s="62"/>
      <c r="X315" s="62">
        <v>1</v>
      </c>
      <c r="Y315" s="62"/>
      <c r="Z315" s="62"/>
      <c r="AA315" s="62"/>
      <c r="AB315" s="62"/>
    </row>
    <row r="316" spans="1:28" ht="15.6" customHeight="1" x14ac:dyDescent="0.2">
      <c r="A316" s="408">
        <v>315</v>
      </c>
      <c r="B316" s="409" t="str">
        <f t="shared" si="4"/>
        <v>Pelargonium betulinum</v>
      </c>
      <c r="C316" s="410" t="s">
        <v>1564</v>
      </c>
      <c r="D316" s="75" t="s">
        <v>2363</v>
      </c>
      <c r="E316" s="75" t="s">
        <v>1569</v>
      </c>
      <c r="F316" s="75" t="s">
        <v>1571</v>
      </c>
      <c r="G316" s="411" t="s">
        <v>1200</v>
      </c>
      <c r="H316" s="66" t="s">
        <v>3292</v>
      </c>
      <c r="I316" s="144">
        <v>2</v>
      </c>
      <c r="J316" s="144">
        <v>6</v>
      </c>
      <c r="K316" s="144">
        <v>3</v>
      </c>
      <c r="L316" s="144">
        <v>1</v>
      </c>
      <c r="M316" s="144">
        <v>2</v>
      </c>
      <c r="N316" s="144">
        <v>3</v>
      </c>
      <c r="O316" s="412" t="s">
        <v>3031</v>
      </c>
      <c r="P316" s="412" t="s">
        <v>3032</v>
      </c>
      <c r="Q316" s="413"/>
      <c r="R316" s="211">
        <v>35612</v>
      </c>
      <c r="S316" s="414"/>
      <c r="T316" s="415">
        <v>1</v>
      </c>
      <c r="U316" s="62">
        <v>1</v>
      </c>
      <c r="V316" s="62">
        <v>1</v>
      </c>
      <c r="W316" s="62">
        <v>1</v>
      </c>
      <c r="X316" s="62">
        <v>1</v>
      </c>
      <c r="Y316" s="62"/>
      <c r="Z316" s="62"/>
      <c r="AA316" s="62"/>
      <c r="AB316" s="62">
        <v>1</v>
      </c>
    </row>
    <row r="317" spans="1:28" ht="15.6" customHeight="1" x14ac:dyDescent="0.2">
      <c r="A317" s="408">
        <v>316</v>
      </c>
      <c r="B317" s="409" t="str">
        <f t="shared" si="4"/>
        <v>Pelargonium capitatum</v>
      </c>
      <c r="C317" s="410" t="s">
        <v>1564</v>
      </c>
      <c r="D317" s="75" t="s">
        <v>2364</v>
      </c>
      <c r="E317" s="75" t="s">
        <v>1569</v>
      </c>
      <c r="F317" s="75" t="s">
        <v>1572</v>
      </c>
      <c r="G317" s="411" t="s">
        <v>1201</v>
      </c>
      <c r="H317" s="66" t="s">
        <v>3267</v>
      </c>
      <c r="I317" s="144">
        <v>2</v>
      </c>
      <c r="J317" s="144">
        <v>6</v>
      </c>
      <c r="K317" s="144">
        <v>3</v>
      </c>
      <c r="L317" s="144">
        <v>4</v>
      </c>
      <c r="M317" s="144">
        <v>1</v>
      </c>
      <c r="N317" s="144">
        <v>3</v>
      </c>
      <c r="O317" s="412" t="s">
        <v>3031</v>
      </c>
      <c r="P317" s="412" t="s">
        <v>3032</v>
      </c>
      <c r="Q317" s="413"/>
      <c r="R317" s="211">
        <v>35612</v>
      </c>
      <c r="S317" s="414"/>
      <c r="T317" s="415">
        <v>1</v>
      </c>
      <c r="U317" s="62">
        <v>1</v>
      </c>
      <c r="V317" s="62"/>
      <c r="W317" s="62"/>
      <c r="X317" s="62"/>
      <c r="Y317" s="62"/>
      <c r="Z317" s="62"/>
      <c r="AA317" s="62"/>
      <c r="AB317" s="62"/>
    </row>
    <row r="318" spans="1:28" ht="15.6" customHeight="1" x14ac:dyDescent="0.2">
      <c r="A318" s="408">
        <v>317</v>
      </c>
      <c r="B318" s="409" t="str">
        <f t="shared" si="4"/>
        <v>Pelargonium cucullatum</v>
      </c>
      <c r="C318" s="410" t="s">
        <v>1564</v>
      </c>
      <c r="E318" s="75" t="s">
        <v>1569</v>
      </c>
      <c r="F318" s="75" t="s">
        <v>1574</v>
      </c>
      <c r="G318" s="411" t="s">
        <v>1202</v>
      </c>
      <c r="H318" s="66" t="s">
        <v>3258</v>
      </c>
      <c r="I318" s="144">
        <v>2</v>
      </c>
      <c r="J318" s="144">
        <v>4</v>
      </c>
      <c r="K318" s="144">
        <v>3</v>
      </c>
      <c r="L318" s="144">
        <v>1</v>
      </c>
      <c r="M318" s="144">
        <v>2</v>
      </c>
      <c r="N318" s="144">
        <v>2</v>
      </c>
      <c r="O318" s="412" t="s">
        <v>2168</v>
      </c>
      <c r="P318" s="412" t="s">
        <v>3032</v>
      </c>
      <c r="Q318" s="413"/>
      <c r="R318" s="211">
        <v>35612</v>
      </c>
      <c r="S318" s="414" t="s">
        <v>2250</v>
      </c>
      <c r="T318" s="415"/>
      <c r="U318" s="62"/>
      <c r="V318" s="62"/>
      <c r="W318" s="62"/>
      <c r="X318" s="62">
        <v>1</v>
      </c>
      <c r="Y318" s="62"/>
      <c r="Z318" s="62"/>
      <c r="AA318" s="62"/>
      <c r="AB318" s="62"/>
    </row>
    <row r="319" spans="1:28" ht="15.6" customHeight="1" x14ac:dyDescent="0.2">
      <c r="A319" s="408">
        <v>318</v>
      </c>
      <c r="B319" s="409" t="str">
        <f t="shared" si="4"/>
        <v>Pelargonium elegans</v>
      </c>
      <c r="C319" s="410" t="s">
        <v>1564</v>
      </c>
      <c r="E319" s="75" t="s">
        <v>1569</v>
      </c>
      <c r="F319" s="75" t="s">
        <v>791</v>
      </c>
      <c r="G319" s="411" t="s">
        <v>1203</v>
      </c>
      <c r="H319" s="66" t="s">
        <v>3230</v>
      </c>
      <c r="I319" s="144">
        <v>3</v>
      </c>
      <c r="J319" s="144">
        <v>6</v>
      </c>
      <c r="K319" s="144">
        <v>5</v>
      </c>
      <c r="L319" s="144">
        <v>1</v>
      </c>
      <c r="M319" s="144">
        <v>2</v>
      </c>
      <c r="N319" s="144">
        <v>3</v>
      </c>
      <c r="O319" s="412" t="s">
        <v>2910</v>
      </c>
      <c r="P319" s="412" t="s">
        <v>3032</v>
      </c>
      <c r="Q319" s="413"/>
      <c r="R319" s="211">
        <v>35612</v>
      </c>
      <c r="S319" s="414"/>
      <c r="T319" s="415">
        <v>1</v>
      </c>
      <c r="U319" s="62">
        <v>1</v>
      </c>
      <c r="V319" s="62">
        <v>1</v>
      </c>
      <c r="W319" s="62"/>
      <c r="X319" s="62">
        <v>1</v>
      </c>
      <c r="Y319" s="62"/>
      <c r="Z319" s="62"/>
      <c r="AA319" s="62"/>
      <c r="AB319" s="62"/>
    </row>
    <row r="320" spans="1:28" ht="15.6" customHeight="1" x14ac:dyDescent="0.2">
      <c r="A320" s="408">
        <v>319</v>
      </c>
      <c r="B320" s="409" t="str">
        <f t="shared" si="4"/>
        <v>Pelargonium grossularioides</v>
      </c>
      <c r="C320" s="410" t="s">
        <v>1564</v>
      </c>
      <c r="D320" s="75" t="s">
        <v>2365</v>
      </c>
      <c r="E320" s="75" t="s">
        <v>1569</v>
      </c>
      <c r="F320" s="75" t="s">
        <v>1575</v>
      </c>
      <c r="G320" s="411" t="s">
        <v>1204</v>
      </c>
      <c r="H320" s="66" t="s">
        <v>3246</v>
      </c>
      <c r="I320" s="144">
        <v>6</v>
      </c>
      <c r="J320" s="144">
        <v>6</v>
      </c>
      <c r="K320" s="144">
        <v>3</v>
      </c>
      <c r="L320" s="144">
        <v>1</v>
      </c>
      <c r="M320" s="144">
        <v>1</v>
      </c>
      <c r="N320" s="144">
        <v>3</v>
      </c>
      <c r="O320" s="412" t="s">
        <v>2910</v>
      </c>
      <c r="P320" s="412" t="s">
        <v>2915</v>
      </c>
      <c r="Q320" s="413"/>
      <c r="R320" s="211">
        <v>36861</v>
      </c>
      <c r="S320" s="414"/>
      <c r="T320" s="415">
        <v>1</v>
      </c>
      <c r="U320" s="62">
        <v>1</v>
      </c>
      <c r="V320" s="62"/>
      <c r="W320" s="62"/>
      <c r="X320" s="62"/>
      <c r="Y320" s="62"/>
      <c r="Z320" s="62"/>
      <c r="AA320" s="62"/>
      <c r="AB320" s="62"/>
    </row>
    <row r="321" spans="1:28" ht="15.6" customHeight="1" x14ac:dyDescent="0.2">
      <c r="A321" s="408">
        <v>320</v>
      </c>
      <c r="B321" s="409" t="str">
        <f t="shared" si="4"/>
        <v>Pelargonium hypoleucum</v>
      </c>
      <c r="C321" s="410" t="s">
        <v>1564</v>
      </c>
      <c r="E321" s="75" t="s">
        <v>1569</v>
      </c>
      <c r="F321" s="75" t="s">
        <v>1576</v>
      </c>
      <c r="G321" s="411" t="s">
        <v>1205</v>
      </c>
      <c r="H321" s="66" t="s">
        <v>3268</v>
      </c>
      <c r="I321" s="144">
        <v>3</v>
      </c>
      <c r="J321" s="144">
        <v>6</v>
      </c>
      <c r="K321" s="144">
        <v>3</v>
      </c>
      <c r="L321" s="144">
        <v>4</v>
      </c>
      <c r="M321" s="144">
        <v>2</v>
      </c>
      <c r="N321" s="144">
        <v>4</v>
      </c>
      <c r="O321" s="412" t="s">
        <v>2910</v>
      </c>
      <c r="P321" s="412" t="s">
        <v>3032</v>
      </c>
      <c r="Q321" s="413"/>
      <c r="R321" s="211">
        <v>35612</v>
      </c>
      <c r="S321" s="414"/>
      <c r="T321" s="415">
        <v>1</v>
      </c>
      <c r="U321" s="62"/>
      <c r="V321" s="62"/>
      <c r="W321" s="62"/>
      <c r="X321" s="62">
        <v>1</v>
      </c>
      <c r="Y321" s="62"/>
      <c r="Z321" s="62"/>
      <c r="AA321" s="62"/>
      <c r="AB321" s="62"/>
    </row>
    <row r="322" spans="1:28" ht="15.6" customHeight="1" x14ac:dyDescent="0.2">
      <c r="A322" s="408">
        <v>321</v>
      </c>
      <c r="B322" s="409" t="str">
        <f t="shared" ref="B322:B385" si="5">E322&amp;" "&amp;F322</f>
        <v>Pelargonium longifolium</v>
      </c>
      <c r="C322" s="410" t="s">
        <v>1564</v>
      </c>
      <c r="E322" s="75" t="s">
        <v>1569</v>
      </c>
      <c r="F322" s="75" t="s">
        <v>1577</v>
      </c>
      <c r="G322" s="411" t="s">
        <v>1206</v>
      </c>
      <c r="H322" s="66" t="s">
        <v>1287</v>
      </c>
      <c r="I322" s="144">
        <v>4</v>
      </c>
      <c r="J322" s="144">
        <v>6</v>
      </c>
      <c r="K322" s="144">
        <v>4</v>
      </c>
      <c r="L322" s="144">
        <v>2</v>
      </c>
      <c r="M322" s="144">
        <v>1</v>
      </c>
      <c r="N322" s="144">
        <v>1</v>
      </c>
      <c r="O322" s="412" t="s">
        <v>2163</v>
      </c>
      <c r="P322" s="412" t="s">
        <v>3032</v>
      </c>
      <c r="Q322" s="413"/>
      <c r="R322" s="211">
        <v>35612</v>
      </c>
      <c r="S322" s="414"/>
      <c r="T322" s="415">
        <v>1</v>
      </c>
      <c r="U322" s="62"/>
      <c r="V322" s="62"/>
      <c r="W322" s="62"/>
      <c r="X322" s="62">
        <v>1</v>
      </c>
      <c r="Y322" s="62"/>
      <c r="Z322" s="62"/>
      <c r="AA322" s="62"/>
      <c r="AB322" s="62"/>
    </row>
    <row r="323" spans="1:28" ht="15.6" customHeight="1" x14ac:dyDescent="0.2">
      <c r="A323" s="408">
        <v>322</v>
      </c>
      <c r="B323" s="409" t="str">
        <f t="shared" si="5"/>
        <v>Pelargonium myrrhifolium</v>
      </c>
      <c r="C323" s="410" t="s">
        <v>1564</v>
      </c>
      <c r="E323" s="75" t="s">
        <v>1569</v>
      </c>
      <c r="F323" s="75" t="s">
        <v>1578</v>
      </c>
      <c r="G323" s="411" t="s">
        <v>1207</v>
      </c>
      <c r="H323" s="66" t="s">
        <v>3274</v>
      </c>
      <c r="I323" s="144">
        <v>2</v>
      </c>
      <c r="J323" s="144">
        <v>6</v>
      </c>
      <c r="K323" s="144">
        <v>4</v>
      </c>
      <c r="L323" s="144">
        <v>5</v>
      </c>
      <c r="M323" s="144">
        <v>1</v>
      </c>
      <c r="N323" s="144">
        <v>3</v>
      </c>
      <c r="O323" s="412" t="s">
        <v>3031</v>
      </c>
      <c r="P323" s="412" t="s">
        <v>3032</v>
      </c>
      <c r="Q323" s="413"/>
      <c r="R323" s="211">
        <v>35612</v>
      </c>
      <c r="S323" s="414"/>
      <c r="T323" s="415">
        <v>1</v>
      </c>
      <c r="U323" s="62">
        <v>1</v>
      </c>
      <c r="V323" s="62">
        <v>1</v>
      </c>
      <c r="W323" s="62">
        <v>1</v>
      </c>
      <c r="X323" s="62"/>
      <c r="Y323" s="62"/>
      <c r="Z323" s="62"/>
      <c r="AA323" s="62"/>
      <c r="AB323" s="62"/>
    </row>
    <row r="324" spans="1:28" ht="15.6" customHeight="1" x14ac:dyDescent="0.2">
      <c r="A324" s="408">
        <v>323</v>
      </c>
      <c r="B324" s="409" t="str">
        <f t="shared" si="5"/>
        <v>Pelargonium myrrhifolium var. coriandrifolium</v>
      </c>
      <c r="C324" s="410" t="s">
        <v>1564</v>
      </c>
      <c r="E324" s="75" t="s">
        <v>1569</v>
      </c>
      <c r="F324" s="75" t="s">
        <v>1579</v>
      </c>
      <c r="G324" s="411" t="s">
        <v>1207</v>
      </c>
      <c r="H324" s="66" t="s">
        <v>3274</v>
      </c>
      <c r="I324" s="144">
        <v>2</v>
      </c>
      <c r="J324" s="144">
        <v>6</v>
      </c>
      <c r="K324" s="144">
        <v>4</v>
      </c>
      <c r="L324" s="144">
        <v>5</v>
      </c>
      <c r="M324" s="144">
        <v>1</v>
      </c>
      <c r="N324" s="144">
        <v>3</v>
      </c>
      <c r="O324" s="412" t="s">
        <v>3031</v>
      </c>
      <c r="P324" s="412" t="s">
        <v>3032</v>
      </c>
      <c r="Q324" s="413"/>
      <c r="R324" s="211">
        <v>37561</v>
      </c>
      <c r="S324" s="414"/>
      <c r="T324" s="415"/>
      <c r="U324" s="62"/>
      <c r="V324" s="62"/>
      <c r="W324" s="62"/>
      <c r="X324" s="62"/>
      <c r="Y324" s="62"/>
      <c r="Z324" s="62"/>
      <c r="AA324" s="62"/>
      <c r="AB324" s="62"/>
    </row>
    <row r="325" spans="1:28" ht="15.6" customHeight="1" x14ac:dyDescent="0.2">
      <c r="A325" s="408">
        <v>324</v>
      </c>
      <c r="B325" s="409" t="str">
        <f t="shared" si="5"/>
        <v>Pelargonium suburbanum ssp. suburbanum</v>
      </c>
      <c r="C325" s="410" t="s">
        <v>1564</v>
      </c>
      <c r="E325" s="75" t="s">
        <v>1569</v>
      </c>
      <c r="F325" s="430" t="s">
        <v>469</v>
      </c>
      <c r="G325" s="411" t="s">
        <v>1208</v>
      </c>
      <c r="H325" s="66" t="s">
        <v>3274</v>
      </c>
      <c r="I325" s="144">
        <v>2</v>
      </c>
      <c r="J325" s="144">
        <v>6</v>
      </c>
      <c r="K325" s="144">
        <v>4</v>
      </c>
      <c r="L325" s="144">
        <v>5</v>
      </c>
      <c r="M325" s="144">
        <v>2</v>
      </c>
      <c r="N325" s="144">
        <v>2</v>
      </c>
      <c r="O325" s="412" t="s">
        <v>2163</v>
      </c>
      <c r="P325" s="412" t="s">
        <v>3032</v>
      </c>
      <c r="Q325" s="413" t="s">
        <v>2703</v>
      </c>
      <c r="R325" s="211">
        <v>37226</v>
      </c>
      <c r="S325" s="414"/>
      <c r="T325" s="415">
        <v>1</v>
      </c>
      <c r="U325" s="62">
        <v>1</v>
      </c>
      <c r="V325" s="62"/>
      <c r="W325" s="62"/>
      <c r="X325" s="62"/>
      <c r="Y325" s="62"/>
      <c r="Z325" s="62"/>
      <c r="AA325" s="62"/>
      <c r="AB325" s="62"/>
    </row>
    <row r="326" spans="1:28" ht="15.6" customHeight="1" x14ac:dyDescent="0.2">
      <c r="A326" s="408">
        <v>325</v>
      </c>
      <c r="B326" s="409" t="str">
        <f t="shared" si="5"/>
        <v>Pelargonium triste</v>
      </c>
      <c r="C326" s="410" t="s">
        <v>1564</v>
      </c>
      <c r="D326" s="75" t="s">
        <v>2366</v>
      </c>
      <c r="E326" s="75" t="s">
        <v>1569</v>
      </c>
      <c r="F326" s="75" t="s">
        <v>1580</v>
      </c>
      <c r="G326" s="411" t="s">
        <v>1209</v>
      </c>
      <c r="H326" s="66" t="s">
        <v>3293</v>
      </c>
      <c r="I326" s="144">
        <v>4</v>
      </c>
      <c r="J326" s="144">
        <v>6</v>
      </c>
      <c r="K326" s="144">
        <v>5</v>
      </c>
      <c r="L326" s="144">
        <v>5</v>
      </c>
      <c r="M326" s="144">
        <v>2</v>
      </c>
      <c r="N326" s="144">
        <v>3</v>
      </c>
      <c r="O326" s="412" t="s">
        <v>2163</v>
      </c>
      <c r="P326" s="412" t="s">
        <v>3032</v>
      </c>
      <c r="Q326" s="413"/>
      <c r="R326" s="211">
        <v>35612</v>
      </c>
      <c r="S326" s="414"/>
      <c r="T326" s="415">
        <v>1</v>
      </c>
      <c r="U326" s="62">
        <v>1</v>
      </c>
      <c r="V326" s="62"/>
      <c r="W326" s="62">
        <v>1</v>
      </c>
      <c r="X326" s="62">
        <v>1</v>
      </c>
      <c r="Y326" s="62"/>
      <c r="Z326" s="62"/>
      <c r="AA326" s="62"/>
      <c r="AB326" s="62"/>
    </row>
    <row r="327" spans="1:28" ht="15.6" customHeight="1" x14ac:dyDescent="0.2">
      <c r="A327" s="408">
        <v>326</v>
      </c>
      <c r="B327" s="409" t="str">
        <f t="shared" si="5"/>
        <v>Wachendorfia paniculata</v>
      </c>
      <c r="C327" s="410" t="s">
        <v>1581</v>
      </c>
      <c r="E327" s="75" t="s">
        <v>1582</v>
      </c>
      <c r="F327" s="75" t="s">
        <v>884</v>
      </c>
      <c r="G327" s="411" t="s">
        <v>1210</v>
      </c>
      <c r="H327" s="66" t="s">
        <v>1287</v>
      </c>
      <c r="I327" s="144">
        <v>4</v>
      </c>
      <c r="J327" s="144">
        <v>6</v>
      </c>
      <c r="K327" s="144">
        <v>5</v>
      </c>
      <c r="L327" s="144">
        <v>2</v>
      </c>
      <c r="M327" s="144">
        <v>1</v>
      </c>
      <c r="N327" s="144">
        <v>1</v>
      </c>
      <c r="O327" s="412" t="s">
        <v>2163</v>
      </c>
      <c r="P327" s="412" t="s">
        <v>3032</v>
      </c>
      <c r="Q327" s="413"/>
      <c r="R327" s="211">
        <v>35612</v>
      </c>
      <c r="S327" s="414" t="s">
        <v>2250</v>
      </c>
      <c r="T327" s="415"/>
      <c r="U327" s="62"/>
      <c r="V327" s="62">
        <v>1</v>
      </c>
      <c r="W327" s="62"/>
      <c r="X327" s="62">
        <v>1</v>
      </c>
      <c r="Y327" s="62"/>
      <c r="Z327" s="62"/>
      <c r="AA327" s="62"/>
      <c r="AB327" s="62"/>
    </row>
    <row r="328" spans="1:28" ht="15.6" customHeight="1" x14ac:dyDescent="0.2">
      <c r="A328" s="408">
        <v>327</v>
      </c>
      <c r="B328" s="409" t="str">
        <f t="shared" si="5"/>
        <v>Wachendorfia thyrsiflora</v>
      </c>
      <c r="C328" s="410" t="s">
        <v>1581</v>
      </c>
      <c r="D328" s="75" t="s">
        <v>2367</v>
      </c>
      <c r="E328" s="75" t="s">
        <v>1582</v>
      </c>
      <c r="F328" s="75" t="s">
        <v>1590</v>
      </c>
      <c r="G328" s="411" t="s">
        <v>1211</v>
      </c>
      <c r="H328" s="66" t="s">
        <v>3294</v>
      </c>
      <c r="I328" s="144">
        <v>4</v>
      </c>
      <c r="J328" s="144">
        <v>4</v>
      </c>
      <c r="K328" s="144">
        <v>9</v>
      </c>
      <c r="L328" s="144">
        <v>2</v>
      </c>
      <c r="M328" s="144">
        <v>1</v>
      </c>
      <c r="N328" s="144">
        <v>1</v>
      </c>
      <c r="O328" s="412" t="s">
        <v>2163</v>
      </c>
      <c r="P328" s="412" t="s">
        <v>3032</v>
      </c>
      <c r="Q328" s="413"/>
      <c r="R328" s="211">
        <v>35612</v>
      </c>
      <c r="S328" s="414"/>
      <c r="T328" s="415">
        <v>1</v>
      </c>
      <c r="U328" s="62"/>
      <c r="V328" s="62"/>
      <c r="W328" s="62">
        <v>1</v>
      </c>
      <c r="X328" s="62">
        <v>1</v>
      </c>
      <c r="Y328" s="62"/>
      <c r="Z328" s="62"/>
      <c r="AA328" s="62">
        <v>1</v>
      </c>
      <c r="AB328" s="62"/>
    </row>
    <row r="329" spans="1:28" ht="15.6" customHeight="1" x14ac:dyDescent="0.2">
      <c r="A329" s="408">
        <v>328</v>
      </c>
      <c r="B329" s="409" t="str">
        <f t="shared" si="5"/>
        <v>Laurembergia repens ssp. brachypoda</v>
      </c>
      <c r="C329" s="410" t="s">
        <v>1591</v>
      </c>
      <c r="E329" s="75" t="s">
        <v>1592</v>
      </c>
      <c r="F329" s="75" t="s">
        <v>470</v>
      </c>
      <c r="G329" s="411" t="s">
        <v>1212</v>
      </c>
      <c r="H329" s="66" t="s">
        <v>3268</v>
      </c>
      <c r="I329" s="144">
        <v>3</v>
      </c>
      <c r="J329" s="144">
        <v>6</v>
      </c>
      <c r="K329" s="144">
        <v>3</v>
      </c>
      <c r="L329" s="144">
        <v>2</v>
      </c>
      <c r="M329" s="144">
        <v>2</v>
      </c>
      <c r="N329" s="144">
        <v>5</v>
      </c>
      <c r="O329" s="412" t="s">
        <v>2910</v>
      </c>
      <c r="P329" s="412" t="s">
        <v>3032</v>
      </c>
      <c r="Q329" s="413"/>
      <c r="R329" s="211">
        <v>36951</v>
      </c>
      <c r="S329" s="414"/>
      <c r="T329" s="415">
        <v>1</v>
      </c>
      <c r="U329" s="62"/>
      <c r="V329" s="62"/>
      <c r="W329" s="62"/>
      <c r="X329" s="62"/>
      <c r="Y329" s="62"/>
      <c r="Z329" s="62"/>
      <c r="AA329" s="62">
        <v>1</v>
      </c>
      <c r="AB329" s="62"/>
    </row>
    <row r="330" spans="1:28" ht="15.6" customHeight="1" x14ac:dyDescent="0.2">
      <c r="A330" s="408">
        <v>329</v>
      </c>
      <c r="B330" s="409" t="str">
        <f t="shared" si="5"/>
        <v>Albuca acuminata</v>
      </c>
      <c r="C330" s="410" t="s">
        <v>1593</v>
      </c>
      <c r="E330" s="75" t="s">
        <v>1594</v>
      </c>
      <c r="F330" s="75" t="s">
        <v>1595</v>
      </c>
      <c r="G330" s="411" t="s">
        <v>1213</v>
      </c>
      <c r="H330" s="66" t="s">
        <v>1287</v>
      </c>
      <c r="I330" s="144">
        <v>4</v>
      </c>
      <c r="J330" s="144">
        <v>6</v>
      </c>
      <c r="K330" s="144">
        <v>5</v>
      </c>
      <c r="L330" s="144">
        <v>2</v>
      </c>
      <c r="M330" s="144">
        <v>1</v>
      </c>
      <c r="N330" s="144">
        <v>1</v>
      </c>
      <c r="O330" s="412" t="s">
        <v>2163</v>
      </c>
      <c r="P330" s="412" t="s">
        <v>3032</v>
      </c>
      <c r="Q330" s="413"/>
      <c r="R330" s="211">
        <v>37226</v>
      </c>
      <c r="S330" s="414"/>
      <c r="T330" s="415">
        <v>1</v>
      </c>
      <c r="U330" s="62"/>
      <c r="V330" s="62"/>
      <c r="W330" s="62"/>
      <c r="X330" s="62">
        <v>1</v>
      </c>
      <c r="Y330" s="62"/>
      <c r="Z330" s="62"/>
      <c r="AA330" s="62"/>
      <c r="AB330" s="62"/>
    </row>
    <row r="331" spans="1:28" ht="15.6" customHeight="1" x14ac:dyDescent="0.2">
      <c r="A331" s="408">
        <v>330</v>
      </c>
      <c r="B331" s="409" t="str">
        <f t="shared" si="5"/>
        <v>Albuca cooperi</v>
      </c>
      <c r="C331" s="410" t="s">
        <v>1593</v>
      </c>
      <c r="E331" s="75" t="s">
        <v>1594</v>
      </c>
      <c r="F331" s="75" t="s">
        <v>1596</v>
      </c>
      <c r="G331" s="411" t="s">
        <v>1214</v>
      </c>
      <c r="H331" s="66" t="s">
        <v>3222</v>
      </c>
      <c r="I331" s="144">
        <v>4</v>
      </c>
      <c r="J331" s="144">
        <v>6</v>
      </c>
      <c r="K331" s="144">
        <v>5</v>
      </c>
      <c r="L331" s="144">
        <v>3</v>
      </c>
      <c r="M331" s="144">
        <v>1</v>
      </c>
      <c r="N331" s="144">
        <v>1</v>
      </c>
      <c r="O331" s="412" t="s">
        <v>2163</v>
      </c>
      <c r="P331" s="412" t="s">
        <v>3032</v>
      </c>
      <c r="Q331" s="413"/>
      <c r="R331" s="211">
        <v>36130</v>
      </c>
      <c r="S331" s="414"/>
      <c r="T331" s="415">
        <v>1</v>
      </c>
      <c r="U331" s="62"/>
      <c r="V331" s="62"/>
      <c r="W331" s="62"/>
      <c r="X331" s="62">
        <v>1</v>
      </c>
      <c r="Y331" s="62"/>
      <c r="Z331" s="62"/>
      <c r="AA331" s="62"/>
      <c r="AB331" s="62"/>
    </row>
    <row r="332" spans="1:28" ht="15.6" customHeight="1" x14ac:dyDescent="0.2">
      <c r="A332" s="408">
        <v>331</v>
      </c>
      <c r="B332" s="409" t="str">
        <f t="shared" si="5"/>
        <v>Albuca flaccida</v>
      </c>
      <c r="C332" s="410" t="s">
        <v>1593</v>
      </c>
      <c r="E332" s="75" t="s">
        <v>1594</v>
      </c>
      <c r="F332" s="75" t="s">
        <v>1597</v>
      </c>
      <c r="G332" s="411" t="s">
        <v>1215</v>
      </c>
      <c r="H332" s="66" t="s">
        <v>3295</v>
      </c>
      <c r="I332" s="144">
        <v>4</v>
      </c>
      <c r="J332" s="144">
        <v>5</v>
      </c>
      <c r="K332" s="144">
        <v>5</v>
      </c>
      <c r="L332" s="144">
        <v>2</v>
      </c>
      <c r="M332" s="144">
        <v>1</v>
      </c>
      <c r="N332" s="144">
        <v>1</v>
      </c>
      <c r="O332" s="412" t="s">
        <v>2163</v>
      </c>
      <c r="P332" s="412" t="s">
        <v>3032</v>
      </c>
      <c r="Q332" s="413"/>
      <c r="R332" s="211">
        <v>37530</v>
      </c>
      <c r="S332" s="414"/>
      <c r="T332" s="415">
        <v>1</v>
      </c>
      <c r="U332" s="62"/>
      <c r="V332" s="62"/>
      <c r="W332" s="62">
        <v>1</v>
      </c>
      <c r="X332" s="62">
        <v>1</v>
      </c>
      <c r="Y332" s="62"/>
      <c r="Z332" s="62"/>
      <c r="AA332" s="62"/>
      <c r="AB332" s="62"/>
    </row>
    <row r="333" spans="1:28" ht="15.6" customHeight="1" x14ac:dyDescent="0.2">
      <c r="A333" s="408">
        <v>332</v>
      </c>
      <c r="B333" s="409" t="str">
        <f t="shared" si="5"/>
        <v>Albuca fragrans</v>
      </c>
      <c r="C333" s="410" t="s">
        <v>1593</v>
      </c>
      <c r="E333" s="75" t="s">
        <v>1594</v>
      </c>
      <c r="F333" s="75" t="s">
        <v>1598</v>
      </c>
      <c r="G333" s="411" t="s">
        <v>1216</v>
      </c>
      <c r="H333" s="66" t="s">
        <v>3295</v>
      </c>
      <c r="I333" s="144">
        <v>4</v>
      </c>
      <c r="J333" s="144">
        <v>5</v>
      </c>
      <c r="K333" s="144">
        <v>5</v>
      </c>
      <c r="L333" s="144">
        <v>2</v>
      </c>
      <c r="M333" s="144">
        <v>1</v>
      </c>
      <c r="N333" s="144">
        <v>1</v>
      </c>
      <c r="O333" s="412" t="s">
        <v>2163</v>
      </c>
      <c r="P333" s="412" t="s">
        <v>3032</v>
      </c>
      <c r="Q333" s="413"/>
      <c r="R333" s="211">
        <v>37257</v>
      </c>
      <c r="S333" s="414"/>
      <c r="T333" s="415">
        <v>1</v>
      </c>
      <c r="U333" s="62"/>
      <c r="V333" s="62"/>
      <c r="W333" s="62"/>
      <c r="X333" s="62">
        <v>1</v>
      </c>
      <c r="Y333" s="62"/>
      <c r="Z333" s="62"/>
      <c r="AA333" s="62"/>
      <c r="AB333" s="62"/>
    </row>
    <row r="334" spans="1:28" ht="15.6" customHeight="1" x14ac:dyDescent="0.2">
      <c r="A334" s="408">
        <v>333</v>
      </c>
      <c r="B334" s="409" t="str">
        <f t="shared" si="5"/>
        <v>Albuca juncifolia</v>
      </c>
      <c r="C334" s="410" t="s">
        <v>1593</v>
      </c>
      <c r="E334" s="75" t="s">
        <v>1594</v>
      </c>
      <c r="F334" s="75" t="s">
        <v>1599</v>
      </c>
      <c r="G334" s="411" t="s">
        <v>1217</v>
      </c>
      <c r="H334" s="66" t="s">
        <v>3222</v>
      </c>
      <c r="I334" s="144">
        <v>4</v>
      </c>
      <c r="J334" s="144">
        <v>6</v>
      </c>
      <c r="K334" s="144">
        <v>5</v>
      </c>
      <c r="L334" s="144">
        <v>3</v>
      </c>
      <c r="M334" s="144">
        <v>1</v>
      </c>
      <c r="N334" s="144">
        <v>1</v>
      </c>
      <c r="O334" s="412" t="s">
        <v>2163</v>
      </c>
      <c r="P334" s="412" t="s">
        <v>3032</v>
      </c>
      <c r="Q334" s="413"/>
      <c r="R334" s="211">
        <v>36892</v>
      </c>
      <c r="S334" s="414"/>
      <c r="T334" s="415">
        <v>1</v>
      </c>
      <c r="U334" s="62"/>
      <c r="V334" s="62"/>
      <c r="W334" s="62"/>
      <c r="X334" s="62">
        <v>1</v>
      </c>
      <c r="Y334" s="62"/>
      <c r="Z334" s="62"/>
      <c r="AA334" s="62"/>
      <c r="AB334" s="62"/>
    </row>
    <row r="335" spans="1:28" ht="15.6" customHeight="1" x14ac:dyDescent="0.2">
      <c r="A335" s="408">
        <v>334</v>
      </c>
      <c r="B335" s="409" t="str">
        <f t="shared" si="5"/>
        <v>Albuca maxima</v>
      </c>
      <c r="C335" s="410" t="s">
        <v>1593</v>
      </c>
      <c r="D335" s="75" t="s">
        <v>2368</v>
      </c>
      <c r="E335" s="75" t="s">
        <v>1594</v>
      </c>
      <c r="F335" s="75" t="s">
        <v>1600</v>
      </c>
      <c r="G335" s="411" t="s">
        <v>1218</v>
      </c>
      <c r="H335" s="66" t="s">
        <v>3295</v>
      </c>
      <c r="I335" s="144">
        <v>4</v>
      </c>
      <c r="J335" s="144">
        <v>5</v>
      </c>
      <c r="K335" s="144">
        <v>5</v>
      </c>
      <c r="L335" s="144">
        <v>2</v>
      </c>
      <c r="M335" s="144">
        <v>1</v>
      </c>
      <c r="N335" s="144">
        <v>1</v>
      </c>
      <c r="O335" s="412" t="s">
        <v>2163</v>
      </c>
      <c r="P335" s="412" t="s">
        <v>3032</v>
      </c>
      <c r="Q335" s="413"/>
      <c r="R335" s="211">
        <v>35612</v>
      </c>
      <c r="S335" s="414"/>
      <c r="T335" s="415">
        <v>1</v>
      </c>
      <c r="U335" s="62">
        <v>1</v>
      </c>
      <c r="V335" s="62">
        <v>1</v>
      </c>
      <c r="W335" s="62"/>
      <c r="X335" s="62"/>
      <c r="Y335" s="62"/>
      <c r="Z335" s="62"/>
      <c r="AA335" s="62"/>
      <c r="AB335" s="62"/>
    </row>
    <row r="336" spans="1:28" ht="15.6" customHeight="1" x14ac:dyDescent="0.2">
      <c r="A336" s="408">
        <v>335</v>
      </c>
      <c r="B336" s="409" t="str">
        <f t="shared" si="5"/>
        <v>Drimia exuviata</v>
      </c>
      <c r="C336" s="410" t="s">
        <v>1593</v>
      </c>
      <c r="E336" s="75" t="s">
        <v>1601</v>
      </c>
      <c r="F336" s="75" t="s">
        <v>1602</v>
      </c>
      <c r="G336" s="411" t="s">
        <v>1219</v>
      </c>
      <c r="H336" s="66" t="s">
        <v>3296</v>
      </c>
      <c r="I336" s="144">
        <v>4</v>
      </c>
      <c r="J336" s="144">
        <v>5</v>
      </c>
      <c r="K336" s="144">
        <v>5</v>
      </c>
      <c r="L336" s="144">
        <v>3</v>
      </c>
      <c r="M336" s="144">
        <v>1</v>
      </c>
      <c r="N336" s="144">
        <v>1</v>
      </c>
      <c r="O336" s="412" t="s">
        <v>2163</v>
      </c>
      <c r="P336" s="412" t="s">
        <v>3032</v>
      </c>
      <c r="Q336" s="413"/>
      <c r="R336" s="211">
        <v>36495</v>
      </c>
      <c r="S336" s="414"/>
      <c r="T336" s="415"/>
      <c r="U336" s="62"/>
      <c r="V336" s="62"/>
      <c r="W336" s="62"/>
      <c r="X336" s="62">
        <v>1</v>
      </c>
      <c r="Y336" s="62"/>
      <c r="Z336" s="62"/>
      <c r="AA336" s="62"/>
      <c r="AB336" s="62"/>
    </row>
    <row r="337" spans="1:28" ht="15.6" customHeight="1" x14ac:dyDescent="0.2">
      <c r="A337" s="408">
        <v>336</v>
      </c>
      <c r="B337" s="409" t="str">
        <f t="shared" si="5"/>
        <v>Drimia filifolia</v>
      </c>
      <c r="C337" s="410" t="s">
        <v>1593</v>
      </c>
      <c r="E337" s="75" t="s">
        <v>1601</v>
      </c>
      <c r="F337" s="75" t="s">
        <v>2786</v>
      </c>
      <c r="G337" s="411" t="s">
        <v>1220</v>
      </c>
      <c r="H337" s="66" t="s">
        <v>3222</v>
      </c>
      <c r="I337" s="144">
        <v>4</v>
      </c>
      <c r="J337" s="144">
        <v>6</v>
      </c>
      <c r="K337" s="144">
        <v>5</v>
      </c>
      <c r="L337" s="144">
        <v>3</v>
      </c>
      <c r="M337" s="144">
        <v>1</v>
      </c>
      <c r="N337" s="144">
        <v>1</v>
      </c>
      <c r="O337" s="412" t="s">
        <v>2163</v>
      </c>
      <c r="P337" s="412" t="s">
        <v>3032</v>
      </c>
      <c r="Q337" s="413" t="s">
        <v>3144</v>
      </c>
      <c r="R337" s="211">
        <v>36404</v>
      </c>
      <c r="S337" s="414"/>
      <c r="T337" s="415"/>
      <c r="U337" s="62"/>
      <c r="V337" s="62"/>
      <c r="W337" s="62"/>
      <c r="X337" s="62">
        <v>1</v>
      </c>
      <c r="Y337" s="62"/>
      <c r="Z337" s="62"/>
      <c r="AA337" s="62"/>
      <c r="AB337" s="62"/>
    </row>
    <row r="338" spans="1:28" ht="15.6" customHeight="1" x14ac:dyDescent="0.2">
      <c r="A338" s="408">
        <v>337</v>
      </c>
      <c r="B338" s="409" t="str">
        <f t="shared" si="5"/>
        <v>Drimia media</v>
      </c>
      <c r="C338" s="410" t="s">
        <v>1593</v>
      </c>
      <c r="D338" s="75" t="s">
        <v>2369</v>
      </c>
      <c r="E338" s="75" t="s">
        <v>1601</v>
      </c>
      <c r="F338" s="75" t="s">
        <v>1603</v>
      </c>
      <c r="G338" s="411" t="s">
        <v>1221</v>
      </c>
      <c r="H338" s="66" t="s">
        <v>3222</v>
      </c>
      <c r="I338" s="144">
        <v>4</v>
      </c>
      <c r="J338" s="144">
        <v>6</v>
      </c>
      <c r="K338" s="144">
        <v>5</v>
      </c>
      <c r="L338" s="144">
        <v>3</v>
      </c>
      <c r="M338" s="144">
        <v>1</v>
      </c>
      <c r="N338" s="144">
        <v>1</v>
      </c>
      <c r="O338" s="412" t="s">
        <v>2163</v>
      </c>
      <c r="P338" s="412" t="s">
        <v>3032</v>
      </c>
      <c r="Q338" s="413"/>
      <c r="R338" s="211">
        <v>35796</v>
      </c>
      <c r="S338" s="414"/>
      <c r="T338" s="415">
        <v>1</v>
      </c>
      <c r="U338" s="62"/>
      <c r="V338" s="62"/>
      <c r="W338" s="62"/>
      <c r="X338" s="62">
        <v>1</v>
      </c>
      <c r="Y338" s="62"/>
      <c r="Z338" s="62"/>
      <c r="AA338" s="62"/>
      <c r="AB338" s="62"/>
    </row>
    <row r="339" spans="1:28" ht="15.6" customHeight="1" x14ac:dyDescent="0.2">
      <c r="A339" s="408">
        <v>338</v>
      </c>
      <c r="B339" s="409" t="str">
        <f t="shared" si="5"/>
        <v>Lachenalia bulbifera</v>
      </c>
      <c r="C339" s="410" t="s">
        <v>1593</v>
      </c>
      <c r="D339" s="75" t="s">
        <v>2370</v>
      </c>
      <c r="E339" s="75" t="s">
        <v>1604</v>
      </c>
      <c r="F339" s="75" t="s">
        <v>1605</v>
      </c>
      <c r="G339" s="411" t="s">
        <v>1222</v>
      </c>
      <c r="H339" s="66" t="s">
        <v>1287</v>
      </c>
      <c r="I339" s="144">
        <v>4</v>
      </c>
      <c r="J339" s="144">
        <v>6</v>
      </c>
      <c r="K339" s="144">
        <v>5</v>
      </c>
      <c r="L339" s="144">
        <v>2</v>
      </c>
      <c r="M339" s="144">
        <v>1</v>
      </c>
      <c r="N339" s="144">
        <v>1</v>
      </c>
      <c r="O339" s="412" t="s">
        <v>2163</v>
      </c>
      <c r="P339" s="412" t="s">
        <v>3032</v>
      </c>
      <c r="Q339" s="413"/>
      <c r="R339" s="211">
        <v>35612</v>
      </c>
      <c r="S339" s="414"/>
      <c r="T339" s="415">
        <v>1</v>
      </c>
      <c r="U339" s="62"/>
      <c r="V339" s="62">
        <v>1</v>
      </c>
      <c r="W339" s="62"/>
      <c r="X339" s="62">
        <v>1</v>
      </c>
      <c r="Y339" s="62"/>
      <c r="Z339" s="62"/>
      <c r="AA339" s="62"/>
      <c r="AB339" s="62"/>
    </row>
    <row r="340" spans="1:28" ht="15.6" customHeight="1" x14ac:dyDescent="0.2">
      <c r="A340" s="408">
        <v>339</v>
      </c>
      <c r="B340" s="409" t="str">
        <f t="shared" si="5"/>
        <v>Lachenalia montana</v>
      </c>
      <c r="C340" s="410" t="s">
        <v>1593</v>
      </c>
      <c r="E340" s="75" t="s">
        <v>1604</v>
      </c>
      <c r="F340" s="75" t="s">
        <v>1606</v>
      </c>
      <c r="G340" s="411" t="s">
        <v>1223</v>
      </c>
      <c r="H340" s="66" t="s">
        <v>1287</v>
      </c>
      <c r="I340" s="144">
        <v>4</v>
      </c>
      <c r="J340" s="144">
        <v>6</v>
      </c>
      <c r="K340" s="144">
        <v>5</v>
      </c>
      <c r="L340" s="144">
        <v>2</v>
      </c>
      <c r="M340" s="144">
        <v>1</v>
      </c>
      <c r="N340" s="144">
        <v>1</v>
      </c>
      <c r="O340" s="412" t="s">
        <v>2163</v>
      </c>
      <c r="P340" s="412" t="s">
        <v>3032</v>
      </c>
      <c r="Q340" s="413"/>
      <c r="R340" s="211">
        <v>37530</v>
      </c>
      <c r="S340" s="414"/>
      <c r="T340" s="415">
        <v>1</v>
      </c>
      <c r="U340" s="62"/>
      <c r="V340" s="62"/>
      <c r="W340" s="62">
        <v>1</v>
      </c>
      <c r="X340" s="62">
        <v>1</v>
      </c>
      <c r="Y340" s="62"/>
      <c r="Z340" s="62"/>
      <c r="AA340" s="62"/>
      <c r="AB340" s="62"/>
    </row>
    <row r="341" spans="1:28" ht="15.6" customHeight="1" x14ac:dyDescent="0.2">
      <c r="A341" s="408">
        <v>340</v>
      </c>
      <c r="B341" s="409" t="str">
        <f t="shared" si="5"/>
        <v>Lachenalia rosea</v>
      </c>
      <c r="C341" s="410" t="s">
        <v>1593</v>
      </c>
      <c r="E341" s="75" t="s">
        <v>1604</v>
      </c>
      <c r="F341" s="75" t="s">
        <v>1607</v>
      </c>
      <c r="G341" s="411" t="s">
        <v>1224</v>
      </c>
      <c r="H341" s="66" t="s">
        <v>1287</v>
      </c>
      <c r="I341" s="144">
        <v>4</v>
      </c>
      <c r="J341" s="144">
        <v>6</v>
      </c>
      <c r="K341" s="144">
        <v>5</v>
      </c>
      <c r="L341" s="144">
        <v>2</v>
      </c>
      <c r="M341" s="144">
        <v>1</v>
      </c>
      <c r="N341" s="144">
        <v>1</v>
      </c>
      <c r="O341" s="412" t="s">
        <v>2163</v>
      </c>
      <c r="P341" s="412" t="s">
        <v>3032</v>
      </c>
      <c r="Q341" s="413"/>
      <c r="R341" s="211">
        <v>35612</v>
      </c>
      <c r="S341" s="414"/>
      <c r="T341" s="415">
        <v>1</v>
      </c>
      <c r="U341" s="62">
        <v>1</v>
      </c>
      <c r="V341" s="62"/>
      <c r="W341" s="62"/>
      <c r="X341" s="62"/>
      <c r="Y341" s="62"/>
      <c r="Z341" s="62"/>
      <c r="AA341" s="62"/>
      <c r="AB341" s="62"/>
    </row>
    <row r="342" spans="1:28" ht="15.6" customHeight="1" x14ac:dyDescent="0.2">
      <c r="A342" s="408">
        <v>341</v>
      </c>
      <c r="B342" s="409" t="str">
        <f t="shared" si="5"/>
        <v>Lachenalia variegata</v>
      </c>
      <c r="C342" s="410" t="s">
        <v>1593</v>
      </c>
      <c r="E342" s="75" t="s">
        <v>1604</v>
      </c>
      <c r="F342" s="75" t="s">
        <v>1608</v>
      </c>
      <c r="G342" s="411" t="s">
        <v>1225</v>
      </c>
      <c r="H342" s="66" t="s">
        <v>1287</v>
      </c>
      <c r="I342" s="144">
        <v>4</v>
      </c>
      <c r="J342" s="144">
        <v>6</v>
      </c>
      <c r="K342" s="144">
        <v>5</v>
      </c>
      <c r="L342" s="144">
        <v>2</v>
      </c>
      <c r="M342" s="144">
        <v>1</v>
      </c>
      <c r="N342" s="144">
        <v>1</v>
      </c>
      <c r="O342" s="412" t="s">
        <v>2163</v>
      </c>
      <c r="P342" s="412" t="s">
        <v>3032</v>
      </c>
      <c r="Q342" s="413"/>
      <c r="R342" s="211">
        <v>36617</v>
      </c>
      <c r="S342" s="414"/>
      <c r="T342" s="415">
        <v>1</v>
      </c>
      <c r="U342" s="62">
        <v>1</v>
      </c>
      <c r="V342" s="62"/>
      <c r="W342" s="62"/>
      <c r="X342" s="62">
        <v>1</v>
      </c>
      <c r="Y342" s="62"/>
      <c r="Z342" s="62"/>
      <c r="AA342" s="62"/>
      <c r="AB342" s="62"/>
    </row>
    <row r="343" spans="1:28" ht="15.6" customHeight="1" x14ac:dyDescent="0.2">
      <c r="A343" s="408">
        <v>342</v>
      </c>
      <c r="B343" s="409" t="str">
        <f t="shared" si="5"/>
        <v>Massonia pustulata</v>
      </c>
      <c r="C343" s="410" t="s">
        <v>1593</v>
      </c>
      <c r="E343" s="75" t="s">
        <v>1609</v>
      </c>
      <c r="F343" s="75" t="s">
        <v>1610</v>
      </c>
      <c r="G343" s="411" t="s">
        <v>1226</v>
      </c>
      <c r="H343" s="66" t="s">
        <v>1287</v>
      </c>
      <c r="I343" s="144">
        <v>4</v>
      </c>
      <c r="J343" s="144">
        <v>6</v>
      </c>
      <c r="K343" s="144">
        <v>5</v>
      </c>
      <c r="L343" s="144">
        <v>1</v>
      </c>
      <c r="M343" s="144">
        <v>1</v>
      </c>
      <c r="N343" s="144">
        <v>1</v>
      </c>
      <c r="O343" s="412" t="s">
        <v>2163</v>
      </c>
      <c r="P343" s="412" t="s">
        <v>3032</v>
      </c>
      <c r="Q343" s="413"/>
      <c r="R343" s="211">
        <v>35612</v>
      </c>
      <c r="S343" s="414"/>
      <c r="T343" s="415">
        <v>1</v>
      </c>
      <c r="U343" s="62">
        <v>1</v>
      </c>
      <c r="V343" s="62">
        <v>1</v>
      </c>
      <c r="W343" s="62"/>
      <c r="X343" s="62">
        <v>1</v>
      </c>
      <c r="Y343" s="62"/>
      <c r="Z343" s="62"/>
      <c r="AA343" s="62"/>
      <c r="AB343" s="62"/>
    </row>
    <row r="344" spans="1:28" ht="15.6" customHeight="1" x14ac:dyDescent="0.2">
      <c r="A344" s="408">
        <v>343</v>
      </c>
      <c r="B344" s="409" t="str">
        <f t="shared" si="5"/>
        <v>Ornithogalum graminifolium</v>
      </c>
      <c r="C344" s="410" t="s">
        <v>1593</v>
      </c>
      <c r="E344" s="75" t="s">
        <v>1611</v>
      </c>
      <c r="F344" s="75" t="s">
        <v>1612</v>
      </c>
      <c r="G344" s="411" t="s">
        <v>1227</v>
      </c>
      <c r="H344" s="66" t="s">
        <v>3222</v>
      </c>
      <c r="I344" s="144">
        <v>4</v>
      </c>
      <c r="J344" s="144">
        <v>6</v>
      </c>
      <c r="K344" s="144">
        <v>5</v>
      </c>
      <c r="L344" s="144">
        <v>3</v>
      </c>
      <c r="M344" s="144">
        <v>1</v>
      </c>
      <c r="N344" s="144">
        <v>1</v>
      </c>
      <c r="O344" s="412" t="s">
        <v>2163</v>
      </c>
      <c r="P344" s="412" t="s">
        <v>3032</v>
      </c>
      <c r="Q344" s="413"/>
      <c r="R344" s="211">
        <v>36130</v>
      </c>
      <c r="S344" s="414"/>
      <c r="T344" s="415">
        <v>1</v>
      </c>
      <c r="U344" s="62"/>
      <c r="V344" s="62"/>
      <c r="W344" s="62"/>
      <c r="X344" s="62">
        <v>1</v>
      </c>
      <c r="Y344" s="62"/>
      <c r="Z344" s="62"/>
      <c r="AA344" s="62"/>
      <c r="AB344" s="62"/>
    </row>
    <row r="345" spans="1:28" ht="15.6" customHeight="1" x14ac:dyDescent="0.2">
      <c r="A345" s="408">
        <v>344</v>
      </c>
      <c r="B345" s="409" t="str">
        <f t="shared" si="5"/>
        <v>Ornithogalum juncifolium</v>
      </c>
      <c r="C345" s="410" t="s">
        <v>1593</v>
      </c>
      <c r="E345" s="75" t="s">
        <v>1611</v>
      </c>
      <c r="F345" s="75" t="s">
        <v>1613</v>
      </c>
      <c r="G345" s="411" t="s">
        <v>1228</v>
      </c>
      <c r="H345" s="66" t="s">
        <v>3222</v>
      </c>
      <c r="I345" s="144">
        <v>4</v>
      </c>
      <c r="J345" s="144">
        <v>6</v>
      </c>
      <c r="K345" s="144">
        <v>5</v>
      </c>
      <c r="L345" s="144">
        <v>3</v>
      </c>
      <c r="M345" s="144">
        <v>1</v>
      </c>
      <c r="N345" s="144">
        <v>1</v>
      </c>
      <c r="O345" s="412" t="s">
        <v>2163</v>
      </c>
      <c r="P345" s="412" t="s">
        <v>3032</v>
      </c>
      <c r="Q345" s="413"/>
      <c r="R345" s="211">
        <v>36923</v>
      </c>
      <c r="S345" s="414"/>
      <c r="T345" s="415">
        <v>1</v>
      </c>
      <c r="U345" s="62"/>
      <c r="V345" s="62"/>
      <c r="W345" s="62"/>
      <c r="X345" s="62">
        <v>1</v>
      </c>
      <c r="Y345" s="62"/>
      <c r="Z345" s="62"/>
      <c r="AA345" s="62"/>
      <c r="AB345" s="62"/>
    </row>
    <row r="346" spans="1:28" ht="15.6" customHeight="1" x14ac:dyDescent="0.2">
      <c r="A346" s="408">
        <v>345</v>
      </c>
      <c r="B346" s="409" t="str">
        <f t="shared" si="5"/>
        <v>Ornithogalum thyrsoides</v>
      </c>
      <c r="C346" s="410" t="s">
        <v>1593</v>
      </c>
      <c r="D346" s="75" t="s">
        <v>2371</v>
      </c>
      <c r="E346" s="75" t="s">
        <v>1611</v>
      </c>
      <c r="F346" s="75" t="s">
        <v>1614</v>
      </c>
      <c r="G346" s="411" t="s">
        <v>1229</v>
      </c>
      <c r="H346" s="66" t="s">
        <v>3222</v>
      </c>
      <c r="I346" s="144">
        <v>4</v>
      </c>
      <c r="J346" s="144">
        <v>6</v>
      </c>
      <c r="K346" s="144">
        <v>5</v>
      </c>
      <c r="L346" s="144">
        <v>3</v>
      </c>
      <c r="M346" s="144">
        <v>1</v>
      </c>
      <c r="N346" s="144">
        <v>1</v>
      </c>
      <c r="O346" s="412" t="s">
        <v>2163</v>
      </c>
      <c r="P346" s="412" t="s">
        <v>3032</v>
      </c>
      <c r="Q346" s="413"/>
      <c r="R346" s="211">
        <v>36069</v>
      </c>
      <c r="S346" s="414"/>
      <c r="T346" s="415">
        <v>1</v>
      </c>
      <c r="U346" s="62"/>
      <c r="V346" s="62"/>
      <c r="W346" s="62"/>
      <c r="X346" s="62">
        <v>1</v>
      </c>
      <c r="Y346" s="62"/>
      <c r="Z346" s="62"/>
      <c r="AA346" s="62">
        <v>1</v>
      </c>
      <c r="AB346" s="62"/>
    </row>
    <row r="347" spans="1:28" ht="15.6" customHeight="1" x14ac:dyDescent="0.2">
      <c r="A347" s="408">
        <v>346</v>
      </c>
      <c r="B347" s="409" t="str">
        <f t="shared" si="5"/>
        <v>Empodium plicatum</v>
      </c>
      <c r="C347" s="410" t="s">
        <v>1615</v>
      </c>
      <c r="D347" s="75" t="s">
        <v>2372</v>
      </c>
      <c r="E347" s="75" t="s">
        <v>1616</v>
      </c>
      <c r="F347" s="75" t="s">
        <v>1617</v>
      </c>
      <c r="G347" s="411" t="s">
        <v>1230</v>
      </c>
      <c r="H347" s="66" t="s">
        <v>3225</v>
      </c>
      <c r="I347" s="144">
        <v>4</v>
      </c>
      <c r="J347" s="144">
        <v>6</v>
      </c>
      <c r="K347" s="144">
        <v>9</v>
      </c>
      <c r="L347" s="144">
        <v>9</v>
      </c>
      <c r="M347" s="144">
        <v>9</v>
      </c>
      <c r="N347" s="144">
        <v>9</v>
      </c>
      <c r="O347" s="412" t="s">
        <v>2163</v>
      </c>
      <c r="P347" s="412" t="s">
        <v>3032</v>
      </c>
      <c r="Q347" s="413"/>
      <c r="R347" s="211">
        <v>37073</v>
      </c>
      <c r="S347" s="414"/>
      <c r="T347" s="415">
        <v>1</v>
      </c>
      <c r="U347" s="62"/>
      <c r="V347" s="62"/>
      <c r="W347" s="62">
        <v>1</v>
      </c>
      <c r="X347" s="62">
        <v>1</v>
      </c>
      <c r="Y347" s="62"/>
      <c r="Z347" s="62"/>
      <c r="AA347" s="62"/>
      <c r="AB347" s="62"/>
    </row>
    <row r="348" spans="1:28" ht="15.6" customHeight="1" x14ac:dyDescent="0.2">
      <c r="A348" s="408">
        <v>347</v>
      </c>
      <c r="B348" s="409" t="str">
        <f t="shared" si="5"/>
        <v>Spiloxene capensis</v>
      </c>
      <c r="C348" s="410" t="s">
        <v>1615</v>
      </c>
      <c r="D348" s="75" t="s">
        <v>2373</v>
      </c>
      <c r="E348" s="75" t="s">
        <v>1618</v>
      </c>
      <c r="F348" s="75" t="s">
        <v>2756</v>
      </c>
      <c r="G348" s="411" t="s">
        <v>1231</v>
      </c>
      <c r="H348" s="66" t="s">
        <v>3225</v>
      </c>
      <c r="I348" s="144">
        <v>4</v>
      </c>
      <c r="J348" s="144">
        <v>6</v>
      </c>
      <c r="K348" s="144">
        <v>9</v>
      </c>
      <c r="L348" s="144">
        <v>9</v>
      </c>
      <c r="M348" s="144">
        <v>9</v>
      </c>
      <c r="N348" s="144">
        <v>9</v>
      </c>
      <c r="O348" s="412" t="s">
        <v>2163</v>
      </c>
      <c r="P348" s="412" t="s">
        <v>3032</v>
      </c>
      <c r="Q348" s="413"/>
      <c r="R348" s="211">
        <v>35886</v>
      </c>
      <c r="S348" s="414"/>
      <c r="T348" s="415">
        <v>1</v>
      </c>
      <c r="U348" s="62"/>
      <c r="V348" s="62"/>
      <c r="W348" s="62"/>
      <c r="X348" s="62">
        <v>1</v>
      </c>
      <c r="Y348" s="62"/>
      <c r="Z348" s="62"/>
      <c r="AA348" s="62"/>
      <c r="AB348" s="62"/>
    </row>
    <row r="349" spans="1:28" ht="15.6" customHeight="1" x14ac:dyDescent="0.2">
      <c r="A349" s="408">
        <v>348</v>
      </c>
      <c r="B349" s="409" t="str">
        <f t="shared" si="5"/>
        <v>Apodytes dimidiata</v>
      </c>
      <c r="C349" s="410" t="s">
        <v>1619</v>
      </c>
      <c r="D349" s="75" t="s">
        <v>2374</v>
      </c>
      <c r="E349" s="75" t="s">
        <v>1620</v>
      </c>
      <c r="F349" s="75" t="s">
        <v>1621</v>
      </c>
      <c r="G349" s="411" t="s">
        <v>1232</v>
      </c>
      <c r="H349" s="66" t="s">
        <v>3297</v>
      </c>
      <c r="I349" s="144">
        <v>1</v>
      </c>
      <c r="J349" s="144">
        <v>1</v>
      </c>
      <c r="K349" s="144">
        <v>2</v>
      </c>
      <c r="L349" s="144">
        <v>1</v>
      </c>
      <c r="M349" s="144">
        <v>2</v>
      </c>
      <c r="N349" s="144">
        <v>3</v>
      </c>
      <c r="O349" s="412" t="s">
        <v>2173</v>
      </c>
      <c r="P349" s="412" t="s">
        <v>3032</v>
      </c>
      <c r="Q349" s="413"/>
      <c r="R349" s="211">
        <v>35612</v>
      </c>
      <c r="S349" s="414"/>
      <c r="T349" s="415">
        <v>1</v>
      </c>
      <c r="U349" s="62"/>
      <c r="V349" s="62"/>
      <c r="W349" s="62"/>
      <c r="X349" s="62"/>
      <c r="Y349" s="62"/>
      <c r="Z349" s="62">
        <v>1</v>
      </c>
      <c r="AA349" s="62"/>
      <c r="AB349" s="62"/>
    </row>
    <row r="350" spans="1:28" ht="15.6" customHeight="1" x14ac:dyDescent="0.2">
      <c r="A350" s="408">
        <v>349</v>
      </c>
      <c r="B350" s="409" t="str">
        <f t="shared" si="5"/>
        <v>Aristea africana</v>
      </c>
      <c r="C350" s="410" t="s">
        <v>1622</v>
      </c>
      <c r="E350" s="75" t="s">
        <v>1623</v>
      </c>
      <c r="F350" s="75" t="s">
        <v>832</v>
      </c>
      <c r="G350" s="411" t="s">
        <v>1233</v>
      </c>
      <c r="H350" s="66" t="s">
        <v>3230</v>
      </c>
      <c r="I350" s="144">
        <v>3</v>
      </c>
      <c r="J350" s="144">
        <v>6</v>
      </c>
      <c r="K350" s="144">
        <v>4</v>
      </c>
      <c r="L350" s="144">
        <v>2</v>
      </c>
      <c r="M350" s="144">
        <v>2</v>
      </c>
      <c r="N350" s="144">
        <v>2</v>
      </c>
      <c r="O350" s="412" t="s">
        <v>2910</v>
      </c>
      <c r="P350" s="412" t="s">
        <v>3032</v>
      </c>
      <c r="Q350" s="413"/>
      <c r="R350" s="211">
        <v>35612</v>
      </c>
      <c r="S350" s="414"/>
      <c r="T350" s="415">
        <v>1</v>
      </c>
      <c r="U350" s="62"/>
      <c r="V350" s="62"/>
      <c r="W350" s="62"/>
      <c r="X350" s="62">
        <v>1</v>
      </c>
      <c r="Y350" s="62"/>
      <c r="Z350" s="62"/>
      <c r="AA350" s="62"/>
      <c r="AB350" s="62"/>
    </row>
    <row r="351" spans="1:28" ht="15.6" customHeight="1" x14ac:dyDescent="0.2">
      <c r="A351" s="408">
        <v>350</v>
      </c>
      <c r="B351" s="409" t="str">
        <f t="shared" si="5"/>
        <v>Aristea glauca</v>
      </c>
      <c r="C351" s="410" t="s">
        <v>1622</v>
      </c>
      <c r="E351" s="75" t="s">
        <v>1623</v>
      </c>
      <c r="F351" s="75" t="s">
        <v>2771</v>
      </c>
      <c r="G351" s="411" t="s">
        <v>1234</v>
      </c>
      <c r="H351" s="66" t="s">
        <v>3230</v>
      </c>
      <c r="I351" s="144">
        <v>3</v>
      </c>
      <c r="J351" s="144">
        <v>6</v>
      </c>
      <c r="K351" s="144">
        <v>5</v>
      </c>
      <c r="L351" s="144">
        <v>2</v>
      </c>
      <c r="M351" s="144">
        <v>2</v>
      </c>
      <c r="N351" s="144">
        <v>1</v>
      </c>
      <c r="O351" s="412" t="s">
        <v>2910</v>
      </c>
      <c r="P351" s="412" t="s">
        <v>3032</v>
      </c>
      <c r="Q351" s="413"/>
      <c r="R351" s="211">
        <v>38018</v>
      </c>
      <c r="S351" s="414"/>
      <c r="T351" s="415">
        <v>1</v>
      </c>
      <c r="U351" s="62"/>
      <c r="V351" s="62"/>
      <c r="W351" s="62"/>
      <c r="X351" s="62">
        <v>1</v>
      </c>
      <c r="Y351" s="62"/>
      <c r="Z351" s="62"/>
      <c r="AA351" s="62"/>
      <c r="AB351" s="62"/>
    </row>
    <row r="352" spans="1:28" ht="15.6" customHeight="1" x14ac:dyDescent="0.2">
      <c r="A352" s="408">
        <v>351</v>
      </c>
      <c r="B352" s="409" t="str">
        <f t="shared" si="5"/>
        <v>Aristea macrocarpa</v>
      </c>
      <c r="C352" s="410" t="s">
        <v>1622</v>
      </c>
      <c r="D352" s="75" t="s">
        <v>2375</v>
      </c>
      <c r="E352" s="75" t="s">
        <v>1623</v>
      </c>
      <c r="F352" s="75" t="s">
        <v>2779</v>
      </c>
      <c r="G352" s="411" t="s">
        <v>1235</v>
      </c>
      <c r="H352" s="66" t="s">
        <v>3298</v>
      </c>
      <c r="I352" s="144">
        <v>3</v>
      </c>
      <c r="J352" s="144">
        <v>5</v>
      </c>
      <c r="K352" s="144">
        <v>5</v>
      </c>
      <c r="L352" s="144">
        <v>2</v>
      </c>
      <c r="M352" s="144">
        <v>2</v>
      </c>
      <c r="N352" s="144">
        <v>1</v>
      </c>
      <c r="O352" s="412" t="s">
        <v>2910</v>
      </c>
      <c r="P352" s="412" t="s">
        <v>3032</v>
      </c>
      <c r="Q352" s="413"/>
      <c r="R352" s="211">
        <v>36100</v>
      </c>
      <c r="S352" s="414" t="s">
        <v>2250</v>
      </c>
      <c r="T352" s="415"/>
      <c r="U352" s="62"/>
      <c r="V352" s="62"/>
      <c r="W352" s="62"/>
      <c r="X352" s="62">
        <v>1</v>
      </c>
      <c r="Y352" s="62"/>
      <c r="Z352" s="62"/>
      <c r="AA352" s="62"/>
      <c r="AB352" s="62"/>
    </row>
    <row r="353" spans="1:28" ht="15.6" customHeight="1" x14ac:dyDescent="0.2">
      <c r="A353" s="408">
        <v>352</v>
      </c>
      <c r="B353" s="409" t="str">
        <f t="shared" si="5"/>
        <v>Aristea oligocephala</v>
      </c>
      <c r="C353" s="410" t="s">
        <v>1622</v>
      </c>
      <c r="E353" s="75" t="s">
        <v>1623</v>
      </c>
      <c r="F353" s="75" t="s">
        <v>1624</v>
      </c>
      <c r="G353" s="411" t="s">
        <v>1236</v>
      </c>
      <c r="H353" s="66" t="s">
        <v>3230</v>
      </c>
      <c r="I353" s="144">
        <v>3</v>
      </c>
      <c r="J353" s="144">
        <v>6</v>
      </c>
      <c r="K353" s="144">
        <v>4</v>
      </c>
      <c r="L353" s="144">
        <v>2</v>
      </c>
      <c r="M353" s="144">
        <v>2</v>
      </c>
      <c r="N353" s="144">
        <v>1</v>
      </c>
      <c r="O353" s="412" t="s">
        <v>2910</v>
      </c>
      <c r="P353" s="412" t="s">
        <v>3032</v>
      </c>
      <c r="Q353" s="413"/>
      <c r="R353" s="211">
        <v>37316</v>
      </c>
      <c r="S353" s="414"/>
      <c r="T353" s="415">
        <v>1</v>
      </c>
      <c r="U353" s="62"/>
      <c r="V353" s="62"/>
      <c r="W353" s="62"/>
      <c r="X353" s="62">
        <v>1</v>
      </c>
      <c r="Y353" s="62"/>
      <c r="Z353" s="62"/>
      <c r="AA353" s="62"/>
      <c r="AB353" s="62"/>
    </row>
    <row r="354" spans="1:28" ht="15.6" customHeight="1" x14ac:dyDescent="0.2">
      <c r="A354" s="408">
        <v>353</v>
      </c>
      <c r="B354" s="409" t="str">
        <f t="shared" si="5"/>
        <v>Aristea spiralis</v>
      </c>
      <c r="C354" s="410" t="s">
        <v>1622</v>
      </c>
      <c r="E354" s="75" t="s">
        <v>1623</v>
      </c>
      <c r="F354" s="75" t="s">
        <v>1625</v>
      </c>
      <c r="G354" s="411" t="s">
        <v>1237</v>
      </c>
      <c r="H354" s="66" t="s">
        <v>3230</v>
      </c>
      <c r="I354" s="144">
        <v>3</v>
      </c>
      <c r="J354" s="144">
        <v>6</v>
      </c>
      <c r="K354" s="144">
        <v>5</v>
      </c>
      <c r="L354" s="144">
        <v>2</v>
      </c>
      <c r="M354" s="144">
        <v>2</v>
      </c>
      <c r="N354" s="144">
        <v>1</v>
      </c>
      <c r="O354" s="412" t="s">
        <v>2910</v>
      </c>
      <c r="P354" s="412" t="s">
        <v>3032</v>
      </c>
      <c r="Q354" s="413"/>
      <c r="R354" s="211">
        <v>35612</v>
      </c>
      <c r="S354" s="414"/>
      <c r="T354" s="415">
        <v>1</v>
      </c>
      <c r="U354" s="62"/>
      <c r="V354" s="62"/>
      <c r="W354" s="62"/>
      <c r="X354" s="62">
        <v>1</v>
      </c>
      <c r="Y354" s="62"/>
      <c r="Z354" s="62"/>
      <c r="AA354" s="62"/>
      <c r="AB354" s="62"/>
    </row>
    <row r="355" spans="1:28" ht="15.6" customHeight="1" x14ac:dyDescent="0.2">
      <c r="A355" s="408">
        <v>354</v>
      </c>
      <c r="B355" s="409" t="str">
        <f t="shared" si="5"/>
        <v>Babiana ambigua</v>
      </c>
      <c r="C355" s="410" t="s">
        <v>1622</v>
      </c>
      <c r="E355" s="75" t="s">
        <v>1626</v>
      </c>
      <c r="F355" s="75" t="s">
        <v>1627</v>
      </c>
      <c r="G355" s="411" t="s">
        <v>1238</v>
      </c>
      <c r="H355" s="66" t="s">
        <v>3299</v>
      </c>
      <c r="I355" s="144">
        <v>4</v>
      </c>
      <c r="J355" s="144">
        <v>6</v>
      </c>
      <c r="K355" s="144">
        <v>5</v>
      </c>
      <c r="L355" s="144">
        <v>2</v>
      </c>
      <c r="M355" s="144">
        <v>2</v>
      </c>
      <c r="N355" s="144">
        <v>1</v>
      </c>
      <c r="O355" s="412" t="s">
        <v>2163</v>
      </c>
      <c r="P355" s="412" t="s">
        <v>3032</v>
      </c>
      <c r="Q355" s="413"/>
      <c r="R355" s="211">
        <v>35612</v>
      </c>
      <c r="S355" s="414"/>
      <c r="T355" s="415">
        <v>1</v>
      </c>
      <c r="U355" s="62">
        <v>1</v>
      </c>
      <c r="V355" s="62"/>
      <c r="W355" s="62"/>
      <c r="X355" s="62"/>
      <c r="Y355" s="62"/>
      <c r="Z355" s="62"/>
      <c r="AA355" s="62"/>
      <c r="AB355" s="62"/>
    </row>
    <row r="356" spans="1:28" ht="15.6" customHeight="1" x14ac:dyDescent="0.2">
      <c r="A356" s="408">
        <v>355</v>
      </c>
      <c r="B356" s="409" t="str">
        <f t="shared" si="5"/>
        <v>Babiana nana</v>
      </c>
      <c r="C356" s="410" t="s">
        <v>1622</v>
      </c>
      <c r="D356" s="75" t="s">
        <v>2376</v>
      </c>
      <c r="E356" s="75" t="s">
        <v>1626</v>
      </c>
      <c r="F356" s="75" t="s">
        <v>990</v>
      </c>
      <c r="G356" s="411" t="s">
        <v>1239</v>
      </c>
      <c r="H356" s="66" t="s">
        <v>3299</v>
      </c>
      <c r="I356" s="144">
        <v>4</v>
      </c>
      <c r="J356" s="144">
        <v>6</v>
      </c>
      <c r="K356" s="144">
        <v>5</v>
      </c>
      <c r="L356" s="144">
        <v>2</v>
      </c>
      <c r="M356" s="144">
        <v>2</v>
      </c>
      <c r="N356" s="144">
        <v>1</v>
      </c>
      <c r="O356" s="412" t="s">
        <v>2163</v>
      </c>
      <c r="P356" s="412" t="s">
        <v>3032</v>
      </c>
      <c r="Q356" s="413"/>
      <c r="R356" s="211">
        <v>35612</v>
      </c>
      <c r="S356" s="414"/>
      <c r="T356" s="415">
        <v>1</v>
      </c>
      <c r="U356" s="62"/>
      <c r="V356" s="62"/>
      <c r="W356" s="62"/>
      <c r="X356" s="62">
        <v>1</v>
      </c>
      <c r="Y356" s="62"/>
      <c r="Z356" s="62"/>
      <c r="AA356" s="62"/>
      <c r="AB356" s="62"/>
    </row>
    <row r="357" spans="1:28" ht="15.6" customHeight="1" x14ac:dyDescent="0.2">
      <c r="A357" s="408">
        <v>356</v>
      </c>
      <c r="B357" s="409" t="str">
        <f t="shared" si="5"/>
        <v>Bobartia indica</v>
      </c>
      <c r="C357" s="410" t="s">
        <v>1622</v>
      </c>
      <c r="D357" s="75" t="s">
        <v>2377</v>
      </c>
      <c r="E357" s="75" t="s">
        <v>1628</v>
      </c>
      <c r="F357" s="75" t="s">
        <v>997</v>
      </c>
      <c r="G357" s="411" t="s">
        <v>1240</v>
      </c>
      <c r="H357" s="66" t="s">
        <v>3298</v>
      </c>
      <c r="I357" s="144">
        <v>3</v>
      </c>
      <c r="J357" s="144">
        <v>5</v>
      </c>
      <c r="K357" s="144">
        <v>4</v>
      </c>
      <c r="L357" s="144">
        <v>2</v>
      </c>
      <c r="M357" s="144">
        <v>2</v>
      </c>
      <c r="N357" s="144">
        <v>1</v>
      </c>
      <c r="O357" s="412" t="s">
        <v>2910</v>
      </c>
      <c r="P357" s="412" t="s">
        <v>3032</v>
      </c>
      <c r="Q357" s="413"/>
      <c r="R357" s="211">
        <v>35612</v>
      </c>
      <c r="S357" s="414"/>
      <c r="T357" s="415">
        <v>1</v>
      </c>
      <c r="U357" s="62"/>
      <c r="V357" s="62"/>
      <c r="W357" s="62"/>
      <c r="X357" s="62">
        <v>1</v>
      </c>
      <c r="Y357" s="62"/>
      <c r="Z357" s="62"/>
      <c r="AA357" s="62"/>
      <c r="AB357" s="62"/>
    </row>
    <row r="358" spans="1:28" ht="15.6" customHeight="1" x14ac:dyDescent="0.2">
      <c r="A358" s="408">
        <v>357</v>
      </c>
      <c r="B358" s="409" t="str">
        <f t="shared" si="5"/>
        <v>Chasmanthe aethiopica</v>
      </c>
      <c r="C358" s="410" t="s">
        <v>1622</v>
      </c>
      <c r="D358" s="75" t="s">
        <v>2378</v>
      </c>
      <c r="E358" s="75" t="s">
        <v>1629</v>
      </c>
      <c r="F358" s="75" t="s">
        <v>2817</v>
      </c>
      <c r="G358" s="411" t="s">
        <v>1241</v>
      </c>
      <c r="H358" s="66" t="s">
        <v>3243</v>
      </c>
      <c r="I358" s="144">
        <v>4</v>
      </c>
      <c r="J358" s="144">
        <v>5</v>
      </c>
      <c r="K358" s="144">
        <v>5</v>
      </c>
      <c r="L358" s="144">
        <v>2</v>
      </c>
      <c r="M358" s="144">
        <v>2</v>
      </c>
      <c r="N358" s="144">
        <v>1</v>
      </c>
      <c r="O358" s="412" t="s">
        <v>2163</v>
      </c>
      <c r="P358" s="412" t="s">
        <v>3032</v>
      </c>
      <c r="Q358" s="413"/>
      <c r="R358" s="211">
        <v>35612</v>
      </c>
      <c r="S358" s="414"/>
      <c r="T358" s="415">
        <v>1</v>
      </c>
      <c r="U358" s="62">
        <v>1</v>
      </c>
      <c r="V358" s="62"/>
      <c r="W358" s="62"/>
      <c r="X358" s="62"/>
      <c r="Y358" s="62">
        <v>1</v>
      </c>
      <c r="Z358" s="62"/>
      <c r="AA358" s="62"/>
      <c r="AB358" s="62"/>
    </row>
    <row r="359" spans="1:28" ht="15.6" customHeight="1" x14ac:dyDescent="0.2">
      <c r="A359" s="408">
        <v>358</v>
      </c>
      <c r="B359" s="409" t="str">
        <f t="shared" si="5"/>
        <v>Geissorhiza aspera</v>
      </c>
      <c r="C359" s="410" t="s">
        <v>1622</v>
      </c>
      <c r="D359" s="75" t="s">
        <v>2379</v>
      </c>
      <c r="E359" s="75" t="s">
        <v>1630</v>
      </c>
      <c r="F359" s="75" t="s">
        <v>1631</v>
      </c>
      <c r="G359" s="411" t="s">
        <v>1242</v>
      </c>
      <c r="H359" s="66" t="s">
        <v>3299</v>
      </c>
      <c r="I359" s="144">
        <v>4</v>
      </c>
      <c r="J359" s="144">
        <v>6</v>
      </c>
      <c r="K359" s="144">
        <v>4</v>
      </c>
      <c r="L359" s="144">
        <v>2</v>
      </c>
      <c r="M359" s="144">
        <v>2</v>
      </c>
      <c r="N359" s="144">
        <v>1</v>
      </c>
      <c r="O359" s="412" t="s">
        <v>2163</v>
      </c>
      <c r="P359" s="412" t="s">
        <v>3032</v>
      </c>
      <c r="Q359" s="413"/>
      <c r="R359" s="211">
        <v>36586</v>
      </c>
      <c r="S359" s="414"/>
      <c r="T359" s="415">
        <v>1</v>
      </c>
      <c r="U359" s="62"/>
      <c r="V359" s="62"/>
      <c r="W359" s="62">
        <v>1</v>
      </c>
      <c r="X359" s="62">
        <v>1</v>
      </c>
      <c r="Y359" s="62"/>
      <c r="Z359" s="62"/>
      <c r="AA359" s="62"/>
      <c r="AB359" s="62"/>
    </row>
    <row r="360" spans="1:28" ht="15.6" customHeight="1" x14ac:dyDescent="0.2">
      <c r="A360" s="408">
        <v>359</v>
      </c>
      <c r="B360" s="409" t="str">
        <f t="shared" si="5"/>
        <v>Gladiolus brevifolius</v>
      </c>
      <c r="C360" s="410" t="s">
        <v>1622</v>
      </c>
      <c r="D360" s="75" t="s">
        <v>2380</v>
      </c>
      <c r="E360" s="75" t="s">
        <v>1632</v>
      </c>
      <c r="F360" s="75" t="s">
        <v>1633</v>
      </c>
      <c r="G360" s="411" t="s">
        <v>1243</v>
      </c>
      <c r="H360" s="66" t="s">
        <v>3300</v>
      </c>
      <c r="I360" s="144">
        <v>4</v>
      </c>
      <c r="J360" s="144">
        <v>6</v>
      </c>
      <c r="K360" s="144">
        <v>2</v>
      </c>
      <c r="L360" s="144">
        <v>2</v>
      </c>
      <c r="M360" s="144">
        <v>2</v>
      </c>
      <c r="N360" s="144">
        <v>4</v>
      </c>
      <c r="O360" s="412" t="s">
        <v>2163</v>
      </c>
      <c r="P360" s="412" t="s">
        <v>3032</v>
      </c>
      <c r="Q360" s="413"/>
      <c r="R360" s="211">
        <v>35855</v>
      </c>
      <c r="S360" s="414"/>
      <c r="T360" s="415">
        <v>1</v>
      </c>
      <c r="U360" s="62"/>
      <c r="V360" s="62"/>
      <c r="W360" s="62"/>
      <c r="X360" s="62">
        <v>1</v>
      </c>
      <c r="Y360" s="62"/>
      <c r="Z360" s="62"/>
      <c r="AA360" s="62"/>
      <c r="AB360" s="62"/>
    </row>
    <row r="361" spans="1:28" ht="15.6" customHeight="1" x14ac:dyDescent="0.2">
      <c r="A361" s="408">
        <v>360</v>
      </c>
      <c r="B361" s="409" t="str">
        <f t="shared" si="5"/>
        <v>Gladiolus carinatus</v>
      </c>
      <c r="C361" s="410" t="s">
        <v>1622</v>
      </c>
      <c r="D361" s="75" t="s">
        <v>2381</v>
      </c>
      <c r="E361" s="75" t="s">
        <v>1632</v>
      </c>
      <c r="F361" s="75" t="s">
        <v>1634</v>
      </c>
      <c r="G361" s="411" t="s">
        <v>1244</v>
      </c>
      <c r="H361" s="66" t="s">
        <v>3299</v>
      </c>
      <c r="I361" s="144">
        <v>4</v>
      </c>
      <c r="J361" s="144">
        <v>6</v>
      </c>
      <c r="K361" s="144">
        <v>5</v>
      </c>
      <c r="L361" s="144">
        <v>2</v>
      </c>
      <c r="M361" s="144">
        <v>2</v>
      </c>
      <c r="N361" s="144">
        <v>1</v>
      </c>
      <c r="O361" s="412" t="s">
        <v>2163</v>
      </c>
      <c r="P361" s="412" t="s">
        <v>3032</v>
      </c>
      <c r="Q361" s="413" t="s">
        <v>3145</v>
      </c>
      <c r="R361" s="211">
        <v>37135</v>
      </c>
      <c r="S361" s="414"/>
      <c r="T361" s="415">
        <v>1</v>
      </c>
      <c r="U361" s="62">
        <v>1</v>
      </c>
      <c r="V361" s="62"/>
      <c r="W361" s="62"/>
      <c r="X361" s="62"/>
      <c r="Y361" s="62"/>
      <c r="Z361" s="62"/>
      <c r="AA361" s="62"/>
      <c r="AB361" s="62"/>
    </row>
    <row r="362" spans="1:28" ht="15.6" customHeight="1" x14ac:dyDescent="0.2">
      <c r="A362" s="408">
        <v>361</v>
      </c>
      <c r="B362" s="409" t="str">
        <f t="shared" si="5"/>
        <v>Gladiolus carneus</v>
      </c>
      <c r="C362" s="410" t="s">
        <v>1622</v>
      </c>
      <c r="D362" s="75" t="s">
        <v>2382</v>
      </c>
      <c r="E362" s="75" t="s">
        <v>1632</v>
      </c>
      <c r="F362" s="75" t="s">
        <v>1635</v>
      </c>
      <c r="G362" s="411" t="s">
        <v>536</v>
      </c>
      <c r="H362" s="66" t="s">
        <v>3299</v>
      </c>
      <c r="I362" s="144">
        <v>4</v>
      </c>
      <c r="J362" s="144">
        <v>6</v>
      </c>
      <c r="K362" s="144">
        <v>4</v>
      </c>
      <c r="L362" s="144">
        <v>2</v>
      </c>
      <c r="M362" s="144">
        <v>2</v>
      </c>
      <c r="N362" s="144">
        <v>1</v>
      </c>
      <c r="O362" s="412" t="s">
        <v>2163</v>
      </c>
      <c r="P362" s="412" t="s">
        <v>3032</v>
      </c>
      <c r="Q362" s="413"/>
      <c r="R362" s="211">
        <v>35916</v>
      </c>
      <c r="S362" s="414"/>
      <c r="T362" s="415">
        <v>1</v>
      </c>
      <c r="U362" s="62"/>
      <c r="V362" s="62"/>
      <c r="W362" s="62"/>
      <c r="X362" s="62">
        <v>1</v>
      </c>
      <c r="Y362" s="62"/>
      <c r="Z362" s="62"/>
      <c r="AA362" s="62"/>
      <c r="AB362" s="62"/>
    </row>
    <row r="363" spans="1:28" ht="15.6" customHeight="1" x14ac:dyDescent="0.2">
      <c r="A363" s="408">
        <v>362</v>
      </c>
      <c r="B363" s="409" t="str">
        <f t="shared" si="5"/>
        <v>Gladiolus cunonius</v>
      </c>
      <c r="C363" s="410" t="s">
        <v>1622</v>
      </c>
      <c r="D363" s="75" t="s">
        <v>2383</v>
      </c>
      <c r="E363" s="75" t="s">
        <v>1632</v>
      </c>
      <c r="F363" s="75" t="s">
        <v>1636</v>
      </c>
      <c r="G363" s="411" t="s">
        <v>1245</v>
      </c>
      <c r="H363" s="66" t="s">
        <v>3299</v>
      </c>
      <c r="I363" s="144">
        <v>4</v>
      </c>
      <c r="J363" s="144">
        <v>6</v>
      </c>
      <c r="K363" s="144">
        <v>3</v>
      </c>
      <c r="L363" s="144">
        <v>2</v>
      </c>
      <c r="M363" s="144">
        <v>2</v>
      </c>
      <c r="N363" s="144">
        <v>3</v>
      </c>
      <c r="O363" s="412" t="s">
        <v>2163</v>
      </c>
      <c r="P363" s="412" t="s">
        <v>3032</v>
      </c>
      <c r="Q363" s="413"/>
      <c r="R363" s="211">
        <v>36069</v>
      </c>
      <c r="S363" s="414"/>
      <c r="T363" s="415">
        <v>1</v>
      </c>
      <c r="U363" s="62">
        <v>1</v>
      </c>
      <c r="V363" s="62"/>
      <c r="W363" s="62"/>
      <c r="X363" s="62"/>
      <c r="Y363" s="62">
        <v>1</v>
      </c>
      <c r="Z363" s="62"/>
      <c r="AA363" s="62"/>
      <c r="AB363" s="62"/>
    </row>
    <row r="364" spans="1:28" ht="15.6" customHeight="1" x14ac:dyDescent="0.2">
      <c r="A364" s="408">
        <v>363</v>
      </c>
      <c r="B364" s="409" t="str">
        <f t="shared" si="5"/>
        <v>Gladiolus debilis</v>
      </c>
      <c r="C364" s="410" t="s">
        <v>1622</v>
      </c>
      <c r="D364" s="75" t="s">
        <v>2384</v>
      </c>
      <c r="E364" s="75" t="s">
        <v>1632</v>
      </c>
      <c r="F364" s="75" t="s">
        <v>855</v>
      </c>
      <c r="G364" s="411" t="s">
        <v>1246</v>
      </c>
      <c r="H364" s="66" t="s">
        <v>3299</v>
      </c>
      <c r="I364" s="144">
        <v>4</v>
      </c>
      <c r="J364" s="144">
        <v>6</v>
      </c>
      <c r="K364" s="144">
        <v>4</v>
      </c>
      <c r="L364" s="144">
        <v>2</v>
      </c>
      <c r="M364" s="144">
        <v>2</v>
      </c>
      <c r="N364" s="144">
        <v>1</v>
      </c>
      <c r="O364" s="412" t="s">
        <v>2163</v>
      </c>
      <c r="P364" s="412" t="s">
        <v>3032</v>
      </c>
      <c r="Q364" s="413" t="s">
        <v>3145</v>
      </c>
      <c r="R364" s="211">
        <v>35612</v>
      </c>
      <c r="S364" s="414"/>
      <c r="T364" s="415">
        <v>1</v>
      </c>
      <c r="U364" s="62"/>
      <c r="V364" s="62">
        <v>1</v>
      </c>
      <c r="W364" s="62"/>
      <c r="X364" s="62"/>
      <c r="Y364" s="62"/>
      <c r="Z364" s="62"/>
      <c r="AA364" s="62"/>
      <c r="AB364" s="62"/>
    </row>
    <row r="365" spans="1:28" ht="15.6" customHeight="1" x14ac:dyDescent="0.2">
      <c r="A365" s="408">
        <v>364</v>
      </c>
      <c r="B365" s="409" t="str">
        <f t="shared" si="5"/>
        <v>Gladiolus martleyi</v>
      </c>
      <c r="C365" s="410" t="s">
        <v>1622</v>
      </c>
      <c r="E365" s="75" t="s">
        <v>1632</v>
      </c>
      <c r="F365" s="75" t="s">
        <v>1637</v>
      </c>
      <c r="G365" s="411" t="s">
        <v>1247</v>
      </c>
      <c r="H365" s="66" t="s">
        <v>3299</v>
      </c>
      <c r="I365" s="144">
        <v>4</v>
      </c>
      <c r="J365" s="144">
        <v>6</v>
      </c>
      <c r="K365" s="144">
        <v>5</v>
      </c>
      <c r="L365" s="144">
        <v>2</v>
      </c>
      <c r="M365" s="144">
        <v>2</v>
      </c>
      <c r="N365" s="144">
        <v>1</v>
      </c>
      <c r="O365" s="412" t="s">
        <v>2163</v>
      </c>
      <c r="P365" s="412" t="s">
        <v>3032</v>
      </c>
      <c r="Q365" s="413"/>
      <c r="R365" s="211">
        <v>36281</v>
      </c>
      <c r="S365" s="414"/>
      <c r="T365" s="415">
        <v>1</v>
      </c>
      <c r="U365" s="62"/>
      <c r="V365" s="62"/>
      <c r="W365" s="62"/>
      <c r="X365" s="62">
        <v>1</v>
      </c>
      <c r="Y365" s="62"/>
      <c r="Z365" s="62"/>
      <c r="AA365" s="62"/>
      <c r="AB365" s="62"/>
    </row>
    <row r="366" spans="1:28" ht="15.6" customHeight="1" x14ac:dyDescent="0.2">
      <c r="A366" s="408">
        <v>365</v>
      </c>
      <c r="B366" s="409" t="str">
        <f t="shared" si="5"/>
        <v>Gladiolus meridionalis</v>
      </c>
      <c r="C366" s="410" t="s">
        <v>1622</v>
      </c>
      <c r="E366" s="75" t="s">
        <v>1632</v>
      </c>
      <c r="F366" s="75" t="s">
        <v>1638</v>
      </c>
      <c r="G366" s="411" t="s">
        <v>1248</v>
      </c>
      <c r="H366" s="66" t="s">
        <v>3225</v>
      </c>
      <c r="I366" s="144">
        <v>4</v>
      </c>
      <c r="J366" s="144">
        <v>6</v>
      </c>
      <c r="K366" s="144">
        <v>9</v>
      </c>
      <c r="L366" s="144">
        <v>2</v>
      </c>
      <c r="M366" s="144">
        <v>9</v>
      </c>
      <c r="N366" s="144">
        <v>9</v>
      </c>
      <c r="O366" s="412" t="s">
        <v>2163</v>
      </c>
      <c r="P366" s="412" t="s">
        <v>3032</v>
      </c>
      <c r="Q366" s="413"/>
      <c r="R366" s="211">
        <v>35551</v>
      </c>
      <c r="S366" s="414" t="s">
        <v>2250</v>
      </c>
      <c r="T366" s="415"/>
      <c r="U366" s="62"/>
      <c r="V366" s="62"/>
      <c r="W366" s="62"/>
      <c r="X366" s="62">
        <v>1</v>
      </c>
      <c r="Y366" s="62"/>
      <c r="Z366" s="62"/>
      <c r="AA366" s="62"/>
      <c r="AB366" s="62"/>
    </row>
    <row r="367" spans="1:28" ht="15.6" customHeight="1" x14ac:dyDescent="0.2">
      <c r="A367" s="408">
        <v>366</v>
      </c>
      <c r="B367" s="409" t="str">
        <f t="shared" si="5"/>
        <v>Gladiolus miniatus</v>
      </c>
      <c r="C367" s="410" t="s">
        <v>1622</v>
      </c>
      <c r="E367" s="75" t="s">
        <v>1632</v>
      </c>
      <c r="F367" s="75" t="s">
        <v>1639</v>
      </c>
      <c r="G367" s="411" t="s">
        <v>1249</v>
      </c>
      <c r="H367" s="66" t="s">
        <v>3299</v>
      </c>
      <c r="I367" s="144">
        <v>4</v>
      </c>
      <c r="J367" s="144">
        <v>6</v>
      </c>
      <c r="K367" s="144">
        <v>5</v>
      </c>
      <c r="L367" s="144">
        <v>2</v>
      </c>
      <c r="M367" s="144">
        <v>2</v>
      </c>
      <c r="N367" s="144">
        <v>1</v>
      </c>
      <c r="O367" s="412" t="s">
        <v>2163</v>
      </c>
      <c r="P367" s="412" t="s">
        <v>3032</v>
      </c>
      <c r="Q367" s="413" t="s">
        <v>3145</v>
      </c>
      <c r="R367" s="211">
        <v>36100</v>
      </c>
      <c r="S367" s="414"/>
      <c r="T367" s="415">
        <v>1</v>
      </c>
      <c r="U367" s="62"/>
      <c r="V367" s="62"/>
      <c r="W367" s="62"/>
      <c r="X367" s="62">
        <v>1</v>
      </c>
      <c r="Y367" s="62"/>
      <c r="Z367" s="62"/>
      <c r="AA367" s="62"/>
      <c r="AB367" s="62"/>
    </row>
    <row r="368" spans="1:28" ht="15.6" customHeight="1" x14ac:dyDescent="0.2">
      <c r="A368" s="408">
        <v>367</v>
      </c>
      <c r="B368" s="409" t="str">
        <f t="shared" si="5"/>
        <v>Gladiolus overbergensis</v>
      </c>
      <c r="C368" s="410" t="s">
        <v>1622</v>
      </c>
      <c r="E368" s="75" t="s">
        <v>1632</v>
      </c>
      <c r="F368" s="75" t="s">
        <v>1640</v>
      </c>
      <c r="G368" s="411" t="s">
        <v>1250</v>
      </c>
      <c r="H368" s="66" t="s">
        <v>3225</v>
      </c>
      <c r="I368" s="144">
        <v>4</v>
      </c>
      <c r="J368" s="144">
        <v>6</v>
      </c>
      <c r="K368" s="144">
        <v>5</v>
      </c>
      <c r="L368" s="144">
        <v>2</v>
      </c>
      <c r="M368" s="144">
        <v>2</v>
      </c>
      <c r="N368" s="144">
        <v>9</v>
      </c>
      <c r="O368" s="412" t="s">
        <v>2163</v>
      </c>
      <c r="P368" s="412" t="s">
        <v>3032</v>
      </c>
      <c r="Q368" s="413" t="s">
        <v>3148</v>
      </c>
      <c r="R368" s="211">
        <v>37500</v>
      </c>
      <c r="S368" s="414"/>
      <c r="T368" s="415">
        <v>1</v>
      </c>
      <c r="U368" s="62"/>
      <c r="V368" s="62"/>
      <c r="W368" s="62"/>
      <c r="X368" s="62">
        <v>1</v>
      </c>
      <c r="Y368" s="62"/>
      <c r="Z368" s="62"/>
      <c r="AA368" s="62"/>
      <c r="AB368" s="62"/>
    </row>
    <row r="369" spans="1:28" ht="15.6" customHeight="1" x14ac:dyDescent="0.2">
      <c r="A369" s="408">
        <v>368</v>
      </c>
      <c r="B369" s="409" t="str">
        <f t="shared" si="5"/>
        <v>Gladiolus rogersii</v>
      </c>
      <c r="C369" s="410" t="s">
        <v>1622</v>
      </c>
      <c r="D369" s="75" t="s">
        <v>2385</v>
      </c>
      <c r="E369" s="75" t="s">
        <v>1632</v>
      </c>
      <c r="F369" s="75" t="s">
        <v>1641</v>
      </c>
      <c r="G369" s="411" t="s">
        <v>1254</v>
      </c>
      <c r="H369" s="66" t="s">
        <v>3225</v>
      </c>
      <c r="I369" s="144">
        <v>4</v>
      </c>
      <c r="J369" s="144">
        <v>6</v>
      </c>
      <c r="K369" s="144">
        <v>5</v>
      </c>
      <c r="L369" s="144">
        <v>2</v>
      </c>
      <c r="M369" s="144">
        <v>2</v>
      </c>
      <c r="N369" s="144">
        <v>9</v>
      </c>
      <c r="O369" s="412" t="s">
        <v>2163</v>
      </c>
      <c r="P369" s="412" t="s">
        <v>3032</v>
      </c>
      <c r="Q369" s="413" t="s">
        <v>3145</v>
      </c>
      <c r="R369" s="211">
        <v>35612</v>
      </c>
      <c r="S369" s="414"/>
      <c r="T369" s="415">
        <v>1</v>
      </c>
      <c r="U369" s="62"/>
      <c r="V369" s="62">
        <v>1</v>
      </c>
      <c r="W369" s="62">
        <v>1</v>
      </c>
      <c r="X369" s="62">
        <v>1</v>
      </c>
      <c r="Y369" s="62"/>
      <c r="Z369" s="62"/>
      <c r="AA369" s="62"/>
      <c r="AB369" s="62"/>
    </row>
    <row r="370" spans="1:28" ht="15.6" customHeight="1" x14ac:dyDescent="0.2">
      <c r="A370" s="408">
        <v>369</v>
      </c>
      <c r="B370" s="409" t="str">
        <f t="shared" si="5"/>
        <v>Gladiolus vaginatus</v>
      </c>
      <c r="C370" s="410" t="s">
        <v>1622</v>
      </c>
      <c r="E370" s="75" t="s">
        <v>1632</v>
      </c>
      <c r="F370" s="75" t="s">
        <v>1642</v>
      </c>
      <c r="G370" s="411" t="s">
        <v>1255</v>
      </c>
      <c r="H370" s="66" t="s">
        <v>3225</v>
      </c>
      <c r="I370" s="144">
        <v>4</v>
      </c>
      <c r="J370" s="144">
        <v>6</v>
      </c>
      <c r="K370" s="144">
        <v>5</v>
      </c>
      <c r="L370" s="144">
        <v>2</v>
      </c>
      <c r="M370" s="144">
        <v>2</v>
      </c>
      <c r="N370" s="144">
        <v>9</v>
      </c>
      <c r="O370" s="412" t="s">
        <v>2163</v>
      </c>
      <c r="P370" s="412" t="s">
        <v>3032</v>
      </c>
      <c r="Q370" s="413"/>
      <c r="R370" s="211">
        <v>36281</v>
      </c>
      <c r="S370" s="414"/>
      <c r="T370" s="415">
        <v>1</v>
      </c>
      <c r="U370" s="62">
        <v>1</v>
      </c>
      <c r="V370" s="62"/>
      <c r="W370" s="62"/>
      <c r="X370" s="62">
        <v>1</v>
      </c>
      <c r="Y370" s="62"/>
      <c r="Z370" s="62"/>
      <c r="AA370" s="62"/>
      <c r="AB370" s="62"/>
    </row>
    <row r="371" spans="1:28" ht="15.6" customHeight="1" x14ac:dyDescent="0.2">
      <c r="A371" s="408">
        <v>370</v>
      </c>
      <c r="B371" s="409" t="str">
        <f t="shared" si="5"/>
        <v>Gladiolus variegatus</v>
      </c>
      <c r="C371" s="410" t="s">
        <v>1622</v>
      </c>
      <c r="E371" s="75" t="s">
        <v>1632</v>
      </c>
      <c r="F371" s="75" t="s">
        <v>1643</v>
      </c>
      <c r="G371" s="411" t="s">
        <v>1256</v>
      </c>
      <c r="H371" s="66" t="s">
        <v>3299</v>
      </c>
      <c r="I371" s="144">
        <v>4</v>
      </c>
      <c r="J371" s="144">
        <v>6</v>
      </c>
      <c r="K371" s="144">
        <v>5</v>
      </c>
      <c r="L371" s="144">
        <v>2</v>
      </c>
      <c r="M371" s="144">
        <v>2</v>
      </c>
      <c r="N371" s="144">
        <v>1</v>
      </c>
      <c r="O371" s="412" t="s">
        <v>2163</v>
      </c>
      <c r="P371" s="412" t="s">
        <v>3032</v>
      </c>
      <c r="Q371" s="413"/>
      <c r="R371" s="211">
        <v>37165</v>
      </c>
      <c r="S371" s="414"/>
      <c r="T371" s="415">
        <v>1</v>
      </c>
      <c r="U371" s="62"/>
      <c r="V371" s="62"/>
      <c r="W371" s="62"/>
      <c r="X371" s="62">
        <v>1</v>
      </c>
      <c r="Y371" s="62"/>
      <c r="Z371" s="62"/>
      <c r="AA371" s="62"/>
      <c r="AB371" s="62"/>
    </row>
    <row r="372" spans="1:28" ht="15.6" customHeight="1" x14ac:dyDescent="0.2">
      <c r="A372" s="408">
        <v>371</v>
      </c>
      <c r="B372" s="409" t="str">
        <f t="shared" si="5"/>
        <v>Hesperantha falcata</v>
      </c>
      <c r="C372" s="410" t="s">
        <v>1622</v>
      </c>
      <c r="D372" s="75" t="s">
        <v>2386</v>
      </c>
      <c r="E372" s="75" t="s">
        <v>1644</v>
      </c>
      <c r="F372" s="75" t="s">
        <v>1645</v>
      </c>
      <c r="G372" s="411" t="s">
        <v>1257</v>
      </c>
      <c r="H372" s="66" t="s">
        <v>3225</v>
      </c>
      <c r="I372" s="144">
        <v>4</v>
      </c>
      <c r="J372" s="144">
        <v>6</v>
      </c>
      <c r="K372" s="144">
        <v>5</v>
      </c>
      <c r="L372" s="144">
        <v>2</v>
      </c>
      <c r="M372" s="144">
        <v>2</v>
      </c>
      <c r="N372" s="144">
        <v>9</v>
      </c>
      <c r="O372" s="412" t="s">
        <v>2163</v>
      </c>
      <c r="P372" s="412" t="s">
        <v>3032</v>
      </c>
      <c r="Q372" s="413"/>
      <c r="R372" s="211">
        <v>36039</v>
      </c>
      <c r="S372" s="414"/>
      <c r="T372" s="415">
        <v>1</v>
      </c>
      <c r="U372" s="62"/>
      <c r="V372" s="62"/>
      <c r="W372" s="62"/>
      <c r="X372" s="62">
        <v>1</v>
      </c>
      <c r="Y372" s="62"/>
      <c r="Z372" s="62"/>
      <c r="AA372" s="62"/>
      <c r="AB372" s="62"/>
    </row>
    <row r="373" spans="1:28" ht="15.6" customHeight="1" x14ac:dyDescent="0.2">
      <c r="A373" s="408">
        <v>372</v>
      </c>
      <c r="B373" s="409" t="str">
        <f t="shared" si="5"/>
        <v>Hesperantha radiata</v>
      </c>
      <c r="C373" s="410" t="s">
        <v>1622</v>
      </c>
      <c r="E373" s="75" t="s">
        <v>1644</v>
      </c>
      <c r="F373" s="75" t="s">
        <v>843</v>
      </c>
      <c r="G373" s="411" t="s">
        <v>1258</v>
      </c>
      <c r="H373" s="66" t="s">
        <v>3299</v>
      </c>
      <c r="I373" s="144">
        <v>4</v>
      </c>
      <c r="J373" s="144">
        <v>6</v>
      </c>
      <c r="K373" s="144">
        <v>5</v>
      </c>
      <c r="L373" s="144">
        <v>2</v>
      </c>
      <c r="M373" s="144">
        <v>2</v>
      </c>
      <c r="N373" s="144">
        <v>1</v>
      </c>
      <c r="O373" s="412" t="s">
        <v>2163</v>
      </c>
      <c r="P373" s="412" t="s">
        <v>3032</v>
      </c>
      <c r="Q373" s="413"/>
      <c r="R373" s="211">
        <v>36923</v>
      </c>
      <c r="S373" s="414"/>
      <c r="T373" s="415">
        <v>1</v>
      </c>
      <c r="U373" s="62"/>
      <c r="V373" s="62"/>
      <c r="W373" s="62"/>
      <c r="X373" s="62">
        <v>1</v>
      </c>
      <c r="Y373" s="62"/>
      <c r="Z373" s="62"/>
      <c r="AA373" s="62"/>
      <c r="AB373" s="62"/>
    </row>
    <row r="374" spans="1:28" ht="15.6" customHeight="1" x14ac:dyDescent="0.2">
      <c r="A374" s="408">
        <v>373</v>
      </c>
      <c r="B374" s="409" t="str">
        <f t="shared" si="5"/>
        <v>Ixia dubia</v>
      </c>
      <c r="C374" s="410" t="s">
        <v>1622</v>
      </c>
      <c r="E374" s="75" t="s">
        <v>1646</v>
      </c>
      <c r="F374" s="75" t="s">
        <v>1647</v>
      </c>
      <c r="G374" s="411" t="s">
        <v>1259</v>
      </c>
      <c r="H374" s="66" t="s">
        <v>3299</v>
      </c>
      <c r="I374" s="144">
        <v>4</v>
      </c>
      <c r="J374" s="144">
        <v>6</v>
      </c>
      <c r="K374" s="144">
        <v>5</v>
      </c>
      <c r="L374" s="144">
        <v>2</v>
      </c>
      <c r="M374" s="144">
        <v>2</v>
      </c>
      <c r="N374" s="144">
        <v>2</v>
      </c>
      <c r="O374" s="412" t="s">
        <v>2163</v>
      </c>
      <c r="P374" s="412" t="s">
        <v>3032</v>
      </c>
      <c r="Q374" s="413"/>
      <c r="R374" s="211">
        <v>35735</v>
      </c>
      <c r="S374" s="414"/>
      <c r="T374" s="415">
        <v>1</v>
      </c>
      <c r="U374" s="62"/>
      <c r="V374" s="62"/>
      <c r="W374" s="62"/>
      <c r="X374" s="62">
        <v>1</v>
      </c>
      <c r="Y374" s="62"/>
      <c r="Z374" s="62"/>
      <c r="AA374" s="62"/>
      <c r="AB374" s="62"/>
    </row>
    <row r="375" spans="1:28" ht="15.6" customHeight="1" x14ac:dyDescent="0.2">
      <c r="A375" s="408">
        <v>374</v>
      </c>
      <c r="B375" s="409" t="str">
        <f t="shared" si="5"/>
        <v>Ixia flexuosa</v>
      </c>
      <c r="C375" s="410" t="s">
        <v>1622</v>
      </c>
      <c r="D375" s="75" t="s">
        <v>2387</v>
      </c>
      <c r="E375" s="75" t="s">
        <v>1646</v>
      </c>
      <c r="F375" s="75" t="s">
        <v>1648</v>
      </c>
      <c r="G375" s="411" t="s">
        <v>1260</v>
      </c>
      <c r="H375" s="66" t="s">
        <v>3299</v>
      </c>
      <c r="I375" s="144">
        <v>4</v>
      </c>
      <c r="J375" s="144">
        <v>6</v>
      </c>
      <c r="K375" s="144">
        <v>5</v>
      </c>
      <c r="L375" s="144">
        <v>2</v>
      </c>
      <c r="M375" s="144">
        <v>2</v>
      </c>
      <c r="N375" s="144">
        <v>1</v>
      </c>
      <c r="O375" s="412" t="s">
        <v>2163</v>
      </c>
      <c r="P375" s="412" t="s">
        <v>3032</v>
      </c>
      <c r="Q375" s="413"/>
      <c r="R375" s="211">
        <v>35612</v>
      </c>
      <c r="S375" s="414"/>
      <c r="T375" s="415">
        <v>1</v>
      </c>
      <c r="U375" s="62">
        <v>1</v>
      </c>
      <c r="V375" s="62"/>
      <c r="W375" s="62"/>
      <c r="X375" s="62"/>
      <c r="Y375" s="62"/>
      <c r="Z375" s="62"/>
      <c r="AA375" s="62"/>
      <c r="AB375" s="62"/>
    </row>
    <row r="376" spans="1:28" ht="15.6" customHeight="1" x14ac:dyDescent="0.2">
      <c r="A376" s="408">
        <v>375</v>
      </c>
      <c r="B376" s="409" t="str">
        <f t="shared" si="5"/>
        <v>Ixia odorata</v>
      </c>
      <c r="C376" s="410" t="s">
        <v>1622</v>
      </c>
      <c r="E376" s="75" t="s">
        <v>1646</v>
      </c>
      <c r="F376" s="75" t="s">
        <v>1649</v>
      </c>
      <c r="G376" s="411" t="s">
        <v>1261</v>
      </c>
      <c r="H376" s="66" t="s">
        <v>3299</v>
      </c>
      <c r="I376" s="144">
        <v>4</v>
      </c>
      <c r="J376" s="144">
        <v>6</v>
      </c>
      <c r="K376" s="144">
        <v>5</v>
      </c>
      <c r="L376" s="144">
        <v>2</v>
      </c>
      <c r="M376" s="144">
        <v>2</v>
      </c>
      <c r="N376" s="144">
        <v>1</v>
      </c>
      <c r="O376" s="412" t="s">
        <v>2163</v>
      </c>
      <c r="P376" s="412" t="s">
        <v>3032</v>
      </c>
      <c r="Q376" s="413"/>
      <c r="R376" s="211">
        <v>38261</v>
      </c>
      <c r="S376" s="414"/>
      <c r="T376" s="415">
        <v>1</v>
      </c>
      <c r="U376" s="62"/>
      <c r="V376" s="62"/>
      <c r="W376" s="62"/>
      <c r="X376" s="62">
        <v>1</v>
      </c>
      <c r="Y376" s="62"/>
      <c r="Z376" s="62"/>
      <c r="AA376" s="62"/>
      <c r="AB376" s="62"/>
    </row>
    <row r="377" spans="1:28" ht="15.6" customHeight="1" x14ac:dyDescent="0.2">
      <c r="A377" s="408">
        <v>376</v>
      </c>
      <c r="B377" s="409" t="str">
        <f t="shared" si="5"/>
        <v>Ixia orientalis</v>
      </c>
      <c r="C377" s="410" t="s">
        <v>1622</v>
      </c>
      <c r="E377" s="75" t="s">
        <v>1646</v>
      </c>
      <c r="F377" s="75" t="s">
        <v>2762</v>
      </c>
      <c r="G377" s="411" t="s">
        <v>1262</v>
      </c>
      <c r="H377" s="66" t="s">
        <v>3299</v>
      </c>
      <c r="I377" s="144">
        <v>4</v>
      </c>
      <c r="J377" s="144">
        <v>6</v>
      </c>
      <c r="K377" s="144">
        <v>5</v>
      </c>
      <c r="L377" s="144">
        <v>2</v>
      </c>
      <c r="M377" s="144">
        <v>2</v>
      </c>
      <c r="N377" s="144">
        <v>1</v>
      </c>
      <c r="O377" s="412" t="s">
        <v>2163</v>
      </c>
      <c r="P377" s="412" t="s">
        <v>3032</v>
      </c>
      <c r="Q377" s="413"/>
      <c r="R377" s="211">
        <v>36923</v>
      </c>
      <c r="S377" s="414"/>
      <c r="T377" s="415">
        <v>1</v>
      </c>
      <c r="U377" s="62"/>
      <c r="V377" s="62"/>
      <c r="W377" s="62"/>
      <c r="X377" s="62">
        <v>1</v>
      </c>
      <c r="Y377" s="62"/>
      <c r="Z377" s="62"/>
      <c r="AA377" s="62"/>
      <c r="AB377" s="62"/>
    </row>
    <row r="378" spans="1:28" ht="15.6" customHeight="1" x14ac:dyDescent="0.2">
      <c r="A378" s="408">
        <v>377</v>
      </c>
      <c r="B378" s="409" t="str">
        <f t="shared" si="5"/>
        <v>Ixia polystachya</v>
      </c>
      <c r="C378" s="410" t="s">
        <v>1622</v>
      </c>
      <c r="E378" s="75" t="s">
        <v>1646</v>
      </c>
      <c r="F378" s="75" t="s">
        <v>2921</v>
      </c>
      <c r="G378" s="411" t="s">
        <v>1263</v>
      </c>
      <c r="H378" s="66" t="s">
        <v>3243</v>
      </c>
      <c r="I378" s="144">
        <v>4</v>
      </c>
      <c r="J378" s="144">
        <v>5</v>
      </c>
      <c r="K378" s="144">
        <v>5</v>
      </c>
      <c r="L378" s="144">
        <v>2</v>
      </c>
      <c r="M378" s="144">
        <v>2</v>
      </c>
      <c r="N378" s="144">
        <v>1</v>
      </c>
      <c r="O378" s="412" t="s">
        <v>2163</v>
      </c>
      <c r="P378" s="412" t="s">
        <v>3032</v>
      </c>
      <c r="Q378" s="413"/>
      <c r="R378" s="211">
        <v>37561</v>
      </c>
      <c r="S378" s="414"/>
      <c r="T378" s="415">
        <v>1</v>
      </c>
      <c r="U378" s="62">
        <v>1</v>
      </c>
      <c r="V378" s="62"/>
      <c r="W378" s="62"/>
      <c r="X378" s="62">
        <v>1</v>
      </c>
      <c r="Y378" s="62"/>
      <c r="Z378" s="62"/>
      <c r="AA378" s="62"/>
      <c r="AB378" s="62"/>
    </row>
    <row r="379" spans="1:28" ht="15.6" customHeight="1" x14ac:dyDescent="0.2">
      <c r="A379" s="408">
        <v>378</v>
      </c>
      <c r="B379" s="409" t="str">
        <f t="shared" si="5"/>
        <v>Moraea angusta</v>
      </c>
      <c r="C379" s="410" t="s">
        <v>1622</v>
      </c>
      <c r="D379" s="75" t="s">
        <v>2388</v>
      </c>
      <c r="E379" s="75" t="s">
        <v>1650</v>
      </c>
      <c r="F379" s="75" t="s">
        <v>1651</v>
      </c>
      <c r="G379" s="411" t="s">
        <v>1264</v>
      </c>
      <c r="H379" s="66" t="s">
        <v>3225</v>
      </c>
      <c r="I379" s="144">
        <v>4</v>
      </c>
      <c r="J379" s="144">
        <v>6</v>
      </c>
      <c r="K379" s="144">
        <v>5</v>
      </c>
      <c r="L379" s="144">
        <v>2</v>
      </c>
      <c r="M379" s="144">
        <v>2</v>
      </c>
      <c r="N379" s="144">
        <v>9</v>
      </c>
      <c r="O379" s="412" t="s">
        <v>2163</v>
      </c>
      <c r="P379" s="412" t="s">
        <v>3032</v>
      </c>
      <c r="Q379" s="413"/>
      <c r="R379" s="211">
        <v>35612</v>
      </c>
      <c r="S379" s="414"/>
      <c r="T379" s="415">
        <v>1</v>
      </c>
      <c r="U379" s="62"/>
      <c r="V379" s="62"/>
      <c r="W379" s="62"/>
      <c r="X379" s="62">
        <v>1</v>
      </c>
      <c r="Y379" s="62"/>
      <c r="Z379" s="62"/>
      <c r="AA379" s="62"/>
      <c r="AB379" s="62"/>
    </row>
    <row r="380" spans="1:28" ht="15.6" customHeight="1" x14ac:dyDescent="0.2">
      <c r="A380" s="408">
        <v>379</v>
      </c>
      <c r="B380" s="409" t="str">
        <f t="shared" si="5"/>
        <v>Moraea bulbillifera</v>
      </c>
      <c r="C380" s="410" t="s">
        <v>1622</v>
      </c>
      <c r="D380" s="75" t="s">
        <v>2389</v>
      </c>
      <c r="E380" s="75" t="s">
        <v>1650</v>
      </c>
      <c r="F380" s="75" t="s">
        <v>1652</v>
      </c>
      <c r="G380" s="411" t="s">
        <v>1265</v>
      </c>
      <c r="H380" s="66" t="s">
        <v>3299</v>
      </c>
      <c r="I380" s="144">
        <v>4</v>
      </c>
      <c r="J380" s="144">
        <v>6</v>
      </c>
      <c r="K380" s="144">
        <v>5</v>
      </c>
      <c r="L380" s="144">
        <v>2</v>
      </c>
      <c r="M380" s="144">
        <v>2</v>
      </c>
      <c r="N380" s="144">
        <v>1</v>
      </c>
      <c r="O380" s="412" t="s">
        <v>2163</v>
      </c>
      <c r="P380" s="412" t="s">
        <v>3032</v>
      </c>
      <c r="Q380" s="413"/>
      <c r="R380" s="211">
        <v>37135</v>
      </c>
      <c r="S380" s="414"/>
      <c r="T380" s="415">
        <v>1</v>
      </c>
      <c r="U380" s="62">
        <v>1</v>
      </c>
      <c r="V380" s="62"/>
      <c r="W380" s="62"/>
      <c r="X380" s="62">
        <v>1</v>
      </c>
      <c r="Y380" s="62"/>
      <c r="Z380" s="62"/>
      <c r="AA380" s="62"/>
      <c r="AB380" s="62"/>
    </row>
    <row r="381" spans="1:28" ht="15.6" customHeight="1" x14ac:dyDescent="0.2">
      <c r="A381" s="408">
        <v>380</v>
      </c>
      <c r="B381" s="409" t="str">
        <f t="shared" si="5"/>
        <v>Moraea collina</v>
      </c>
      <c r="C381" s="410" t="s">
        <v>1622</v>
      </c>
      <c r="D381" s="75" t="s">
        <v>2390</v>
      </c>
      <c r="E381" s="75" t="s">
        <v>1650</v>
      </c>
      <c r="F381" s="75" t="s">
        <v>1653</v>
      </c>
      <c r="G381" s="411" t="s">
        <v>1266</v>
      </c>
      <c r="H381" s="66" t="s">
        <v>3299</v>
      </c>
      <c r="I381" s="144">
        <v>4</v>
      </c>
      <c r="J381" s="144">
        <v>6</v>
      </c>
      <c r="K381" s="144">
        <v>2</v>
      </c>
      <c r="L381" s="144">
        <v>2</v>
      </c>
      <c r="M381" s="144">
        <v>2</v>
      </c>
      <c r="N381" s="144">
        <v>3</v>
      </c>
      <c r="O381" s="412" t="s">
        <v>2163</v>
      </c>
      <c r="P381" s="412" t="s">
        <v>3032</v>
      </c>
      <c r="Q381" s="413"/>
      <c r="R381" s="211">
        <v>36039</v>
      </c>
      <c r="S381" s="414"/>
      <c r="T381" s="415">
        <v>1</v>
      </c>
      <c r="U381" s="62">
        <v>1</v>
      </c>
      <c r="V381" s="62"/>
      <c r="W381" s="62">
        <v>1</v>
      </c>
      <c r="X381" s="62"/>
      <c r="Y381" s="62"/>
      <c r="Z381" s="62"/>
      <c r="AA381" s="62"/>
      <c r="AB381" s="62"/>
    </row>
    <row r="382" spans="1:28" ht="15.6" customHeight="1" x14ac:dyDescent="0.2">
      <c r="A382" s="408">
        <v>381</v>
      </c>
      <c r="B382" s="409" t="str">
        <f t="shared" si="5"/>
        <v>Moraea fugax</v>
      </c>
      <c r="C382" s="410" t="s">
        <v>1622</v>
      </c>
      <c r="D382" s="75" t="s">
        <v>2391</v>
      </c>
      <c r="E382" s="75" t="s">
        <v>1650</v>
      </c>
      <c r="F382" s="75" t="s">
        <v>1654</v>
      </c>
      <c r="G382" s="411" t="s">
        <v>1267</v>
      </c>
      <c r="H382" s="66" t="s">
        <v>3299</v>
      </c>
      <c r="I382" s="144">
        <v>4</v>
      </c>
      <c r="J382" s="144">
        <v>6</v>
      </c>
      <c r="K382" s="144">
        <v>5</v>
      </c>
      <c r="L382" s="144">
        <v>2</v>
      </c>
      <c r="M382" s="144">
        <v>2</v>
      </c>
      <c r="N382" s="144">
        <v>1</v>
      </c>
      <c r="O382" s="412" t="s">
        <v>2163</v>
      </c>
      <c r="P382" s="412" t="s">
        <v>3032</v>
      </c>
      <c r="Q382" s="413"/>
      <c r="R382" s="211">
        <v>36069</v>
      </c>
      <c r="S382" s="414"/>
      <c r="T382" s="415">
        <v>1</v>
      </c>
      <c r="U382" s="62">
        <v>1</v>
      </c>
      <c r="V382" s="62"/>
      <c r="W382" s="62"/>
      <c r="X382" s="62"/>
      <c r="Y382" s="62"/>
      <c r="Z382" s="62"/>
      <c r="AA382" s="62"/>
      <c r="AB382" s="62"/>
    </row>
    <row r="383" spans="1:28" ht="15.6" customHeight="1" x14ac:dyDescent="0.2">
      <c r="A383" s="408">
        <v>382</v>
      </c>
      <c r="B383" s="409" t="str">
        <f t="shared" si="5"/>
        <v>Moraea miniata</v>
      </c>
      <c r="C383" s="410" t="s">
        <v>1622</v>
      </c>
      <c r="D383" s="75" t="s">
        <v>2392</v>
      </c>
      <c r="E383" s="75" t="s">
        <v>1650</v>
      </c>
      <c r="F383" s="75" t="s">
        <v>1655</v>
      </c>
      <c r="G383" s="411" t="s">
        <v>1268</v>
      </c>
      <c r="H383" s="66" t="s">
        <v>3299</v>
      </c>
      <c r="I383" s="144">
        <v>4</v>
      </c>
      <c r="J383" s="144">
        <v>6</v>
      </c>
      <c r="K383" s="144">
        <v>5</v>
      </c>
      <c r="L383" s="144">
        <v>2</v>
      </c>
      <c r="M383" s="144">
        <v>2</v>
      </c>
      <c r="N383" s="144">
        <v>1</v>
      </c>
      <c r="O383" s="412" t="s">
        <v>2163</v>
      </c>
      <c r="P383" s="412" t="s">
        <v>3032</v>
      </c>
      <c r="Q383" s="413" t="s">
        <v>3144</v>
      </c>
      <c r="R383" s="211">
        <v>36312</v>
      </c>
      <c r="S383" s="414"/>
      <c r="T383" s="415">
        <v>1</v>
      </c>
      <c r="U383" s="62">
        <v>1</v>
      </c>
      <c r="V383" s="62"/>
      <c r="W383" s="62"/>
      <c r="X383" s="62"/>
      <c r="Y383" s="62"/>
      <c r="Z383" s="62"/>
      <c r="AA383" s="62"/>
      <c r="AB383" s="62"/>
    </row>
    <row r="384" spans="1:28" ht="15.6" customHeight="1" x14ac:dyDescent="0.2">
      <c r="A384" s="408">
        <v>383</v>
      </c>
      <c r="B384" s="409" t="str">
        <f t="shared" si="5"/>
        <v>Moraea neglecta</v>
      </c>
      <c r="C384" s="410" t="s">
        <v>1622</v>
      </c>
      <c r="E384" s="75" t="s">
        <v>1650</v>
      </c>
      <c r="F384" s="75" t="s">
        <v>1656</v>
      </c>
      <c r="G384" s="411" t="s">
        <v>1269</v>
      </c>
      <c r="H384" s="66" t="s">
        <v>3299</v>
      </c>
      <c r="I384" s="144">
        <v>4</v>
      </c>
      <c r="J384" s="144">
        <v>6</v>
      </c>
      <c r="K384" s="144">
        <v>5</v>
      </c>
      <c r="L384" s="144">
        <v>2</v>
      </c>
      <c r="M384" s="144">
        <v>2</v>
      </c>
      <c r="N384" s="144">
        <v>1</v>
      </c>
      <c r="O384" s="412" t="s">
        <v>2163</v>
      </c>
      <c r="P384" s="412" t="s">
        <v>3032</v>
      </c>
      <c r="Q384" s="413"/>
      <c r="R384" s="211">
        <v>35796</v>
      </c>
      <c r="S384" s="414"/>
      <c r="T384" s="415">
        <v>1</v>
      </c>
      <c r="U384" s="62">
        <v>1</v>
      </c>
      <c r="V384" s="62"/>
      <c r="W384" s="62">
        <v>1</v>
      </c>
      <c r="X384" s="62"/>
      <c r="Y384" s="62"/>
      <c r="Z384" s="62"/>
      <c r="AA384" s="62"/>
      <c r="AB384" s="62"/>
    </row>
    <row r="385" spans="1:28" ht="15.6" customHeight="1" x14ac:dyDescent="0.2">
      <c r="A385" s="408">
        <v>384</v>
      </c>
      <c r="B385" s="409" t="str">
        <f t="shared" si="5"/>
        <v>Moraea ramosissima</v>
      </c>
      <c r="C385" s="410" t="s">
        <v>1622</v>
      </c>
      <c r="D385" s="75" t="s">
        <v>2393</v>
      </c>
      <c r="E385" s="75" t="s">
        <v>1650</v>
      </c>
      <c r="F385" s="75" t="s">
        <v>1658</v>
      </c>
      <c r="G385" s="411" t="s">
        <v>1270</v>
      </c>
      <c r="H385" s="66" t="s">
        <v>3243</v>
      </c>
      <c r="I385" s="144">
        <v>4</v>
      </c>
      <c r="J385" s="144">
        <v>5</v>
      </c>
      <c r="K385" s="144">
        <v>5</v>
      </c>
      <c r="L385" s="144">
        <v>2</v>
      </c>
      <c r="M385" s="144">
        <v>2</v>
      </c>
      <c r="N385" s="144">
        <v>1</v>
      </c>
      <c r="O385" s="412" t="s">
        <v>2163</v>
      </c>
      <c r="P385" s="412" t="s">
        <v>3032</v>
      </c>
      <c r="Q385" s="413"/>
      <c r="R385" s="211">
        <v>37561</v>
      </c>
      <c r="S385" s="414"/>
      <c r="T385" s="415">
        <v>1</v>
      </c>
      <c r="U385" s="62"/>
      <c r="V385" s="62"/>
      <c r="W385" s="62"/>
      <c r="X385" s="62">
        <v>1</v>
      </c>
      <c r="Y385" s="62"/>
      <c r="Z385" s="62"/>
      <c r="AA385" s="62"/>
      <c r="AB385" s="62"/>
    </row>
    <row r="386" spans="1:28" ht="15.6" customHeight="1" x14ac:dyDescent="0.2">
      <c r="A386" s="408">
        <v>385</v>
      </c>
      <c r="B386" s="409" t="str">
        <f t="shared" ref="B386:B449" si="6">E386&amp;" "&amp;F386</f>
        <v>Moraea setifolia</v>
      </c>
      <c r="C386" s="410" t="s">
        <v>1622</v>
      </c>
      <c r="D386" s="75" t="s">
        <v>191</v>
      </c>
      <c r="E386" s="75" t="s">
        <v>1650</v>
      </c>
      <c r="F386" s="75" t="s">
        <v>1659</v>
      </c>
      <c r="G386" s="411" t="s">
        <v>1271</v>
      </c>
      <c r="H386" s="66" t="s">
        <v>3299</v>
      </c>
      <c r="I386" s="144">
        <v>4</v>
      </c>
      <c r="J386" s="144">
        <v>6</v>
      </c>
      <c r="K386" s="144">
        <v>5</v>
      </c>
      <c r="L386" s="144">
        <v>2</v>
      </c>
      <c r="M386" s="144">
        <v>2</v>
      </c>
      <c r="N386" s="144">
        <v>1</v>
      </c>
      <c r="O386" s="412" t="s">
        <v>2163</v>
      </c>
      <c r="P386" s="412" t="s">
        <v>3032</v>
      </c>
      <c r="Q386" s="413"/>
      <c r="R386" s="211">
        <v>36434</v>
      </c>
      <c r="S386" s="414"/>
      <c r="T386" s="415">
        <v>1</v>
      </c>
      <c r="U386" s="62">
        <v>1</v>
      </c>
      <c r="V386" s="62"/>
      <c r="W386" s="62"/>
      <c r="X386" s="62"/>
      <c r="Y386" s="62"/>
      <c r="Z386" s="62"/>
      <c r="AA386" s="62"/>
      <c r="AB386" s="62"/>
    </row>
    <row r="387" spans="1:28" ht="15.6" customHeight="1" x14ac:dyDescent="0.2">
      <c r="A387" s="408">
        <v>386</v>
      </c>
      <c r="B387" s="409" t="str">
        <f t="shared" si="6"/>
        <v>Moraea tripetala</v>
      </c>
      <c r="C387" s="410" t="s">
        <v>1622</v>
      </c>
      <c r="D387" s="75" t="s">
        <v>192</v>
      </c>
      <c r="E387" s="75" t="s">
        <v>1650</v>
      </c>
      <c r="F387" s="75" t="s">
        <v>1660</v>
      </c>
      <c r="G387" s="411" t="s">
        <v>1272</v>
      </c>
      <c r="H387" s="66" t="s">
        <v>3299</v>
      </c>
      <c r="I387" s="144">
        <v>4</v>
      </c>
      <c r="J387" s="144">
        <v>6</v>
      </c>
      <c r="K387" s="144">
        <v>5</v>
      </c>
      <c r="L387" s="144">
        <v>2</v>
      </c>
      <c r="M387" s="144">
        <v>2</v>
      </c>
      <c r="N387" s="144">
        <v>1</v>
      </c>
      <c r="O387" s="412" t="s">
        <v>2163</v>
      </c>
      <c r="P387" s="412" t="s">
        <v>3032</v>
      </c>
      <c r="Q387" s="413"/>
      <c r="R387" s="211">
        <v>35612</v>
      </c>
      <c r="S387" s="414"/>
      <c r="T387" s="415">
        <v>1</v>
      </c>
      <c r="U387" s="62"/>
      <c r="V387" s="62"/>
      <c r="W387" s="62"/>
      <c r="X387" s="62">
        <v>1</v>
      </c>
      <c r="Y387" s="62"/>
      <c r="Z387" s="62"/>
      <c r="AA387" s="62"/>
      <c r="AB387" s="62"/>
    </row>
    <row r="388" spans="1:28" ht="15.6" customHeight="1" x14ac:dyDescent="0.2">
      <c r="A388" s="408">
        <v>387</v>
      </c>
      <c r="B388" s="409" t="str">
        <f t="shared" si="6"/>
        <v>Moraea virgata</v>
      </c>
      <c r="C388" s="410" t="s">
        <v>1622</v>
      </c>
      <c r="D388" s="75" t="s">
        <v>193</v>
      </c>
      <c r="E388" s="75" t="s">
        <v>1650</v>
      </c>
      <c r="F388" s="75" t="s">
        <v>1661</v>
      </c>
      <c r="G388" s="411" t="s">
        <v>1273</v>
      </c>
      <c r="H388" s="66" t="s">
        <v>3243</v>
      </c>
      <c r="I388" s="144">
        <v>4</v>
      </c>
      <c r="J388" s="144">
        <v>5</v>
      </c>
      <c r="K388" s="144">
        <v>5</v>
      </c>
      <c r="L388" s="144">
        <v>2</v>
      </c>
      <c r="M388" s="144">
        <v>2</v>
      </c>
      <c r="N388" s="144">
        <v>1</v>
      </c>
      <c r="O388" s="412" t="s">
        <v>2163</v>
      </c>
      <c r="P388" s="412" t="s">
        <v>3032</v>
      </c>
      <c r="Q388" s="413"/>
      <c r="R388" s="211">
        <v>36800</v>
      </c>
      <c r="S388" s="414"/>
      <c r="T388" s="415">
        <v>1</v>
      </c>
      <c r="U388" s="62"/>
      <c r="V388" s="62"/>
      <c r="W388" s="62"/>
      <c r="X388" s="62">
        <v>1</v>
      </c>
      <c r="Y388" s="62"/>
      <c r="Z388" s="62"/>
      <c r="AA388" s="62"/>
      <c r="AB388" s="62"/>
    </row>
    <row r="389" spans="1:28" ht="15.6" customHeight="1" x14ac:dyDescent="0.2">
      <c r="A389" s="408">
        <v>388</v>
      </c>
      <c r="B389" s="409" t="str">
        <f t="shared" si="6"/>
        <v>Moraea viscaria</v>
      </c>
      <c r="C389" s="410" t="s">
        <v>1622</v>
      </c>
      <c r="D389" s="75" t="s">
        <v>194</v>
      </c>
      <c r="E389" s="75" t="s">
        <v>1650</v>
      </c>
      <c r="F389" s="75" t="s">
        <v>1662</v>
      </c>
      <c r="G389" s="411" t="s">
        <v>1274</v>
      </c>
      <c r="H389" s="66" t="s">
        <v>3299</v>
      </c>
      <c r="I389" s="144">
        <v>4</v>
      </c>
      <c r="J389" s="144">
        <v>6</v>
      </c>
      <c r="K389" s="144">
        <v>5</v>
      </c>
      <c r="L389" s="144">
        <v>2</v>
      </c>
      <c r="M389" s="144">
        <v>2</v>
      </c>
      <c r="N389" s="144">
        <v>1</v>
      </c>
      <c r="O389" s="412" t="s">
        <v>2163</v>
      </c>
      <c r="P389" s="412" t="s">
        <v>3032</v>
      </c>
      <c r="Q389" s="413"/>
      <c r="R389" s="211">
        <v>36130</v>
      </c>
      <c r="S389" s="414"/>
      <c r="T389" s="415">
        <v>1</v>
      </c>
      <c r="U389" s="62"/>
      <c r="V389" s="62"/>
      <c r="W389" s="62">
        <v>1</v>
      </c>
      <c r="X389" s="62">
        <v>1</v>
      </c>
      <c r="Y389" s="62"/>
      <c r="Z389" s="62"/>
      <c r="AA389" s="62"/>
      <c r="AB389" s="62"/>
    </row>
    <row r="390" spans="1:28" ht="15.6" customHeight="1" x14ac:dyDescent="0.2">
      <c r="A390" s="408">
        <v>389</v>
      </c>
      <c r="B390" s="409" t="str">
        <f t="shared" si="6"/>
        <v>Romulea dichotoma</v>
      </c>
      <c r="C390" s="410" t="s">
        <v>1622</v>
      </c>
      <c r="E390" s="75" t="s">
        <v>1663</v>
      </c>
      <c r="F390" s="75" t="s">
        <v>985</v>
      </c>
      <c r="G390" s="411" t="s">
        <v>1275</v>
      </c>
      <c r="H390" s="66" t="s">
        <v>3299</v>
      </c>
      <c r="I390" s="144">
        <v>4</v>
      </c>
      <c r="J390" s="144">
        <v>6</v>
      </c>
      <c r="K390" s="144">
        <v>4</v>
      </c>
      <c r="L390" s="144">
        <v>2</v>
      </c>
      <c r="M390" s="144">
        <v>2</v>
      </c>
      <c r="N390" s="144">
        <v>1</v>
      </c>
      <c r="O390" s="412" t="s">
        <v>2163</v>
      </c>
      <c r="P390" s="412" t="s">
        <v>3032</v>
      </c>
      <c r="Q390" s="413"/>
      <c r="R390" s="211">
        <v>38231</v>
      </c>
      <c r="S390" s="414"/>
      <c r="T390" s="415">
        <v>1</v>
      </c>
      <c r="U390" s="62">
        <v>1</v>
      </c>
      <c r="V390" s="62"/>
      <c r="W390" s="62"/>
      <c r="X390" s="62"/>
      <c r="Y390" s="62"/>
      <c r="Z390" s="62"/>
      <c r="AA390" s="62"/>
      <c r="AB390" s="62"/>
    </row>
    <row r="391" spans="1:28" ht="15.6" customHeight="1" x14ac:dyDescent="0.2">
      <c r="A391" s="408">
        <v>390</v>
      </c>
      <c r="B391" s="409" t="str">
        <f t="shared" si="6"/>
        <v>Romulea flava</v>
      </c>
      <c r="C391" s="410" t="s">
        <v>1622</v>
      </c>
      <c r="D391" s="75" t="s">
        <v>195</v>
      </c>
      <c r="E391" s="75" t="s">
        <v>1663</v>
      </c>
      <c r="F391" s="75" t="s">
        <v>1664</v>
      </c>
      <c r="G391" s="411" t="s">
        <v>1276</v>
      </c>
      <c r="H391" s="66" t="s">
        <v>3299</v>
      </c>
      <c r="I391" s="144">
        <v>4</v>
      </c>
      <c r="J391" s="144">
        <v>6</v>
      </c>
      <c r="K391" s="144">
        <v>5</v>
      </c>
      <c r="L391" s="144">
        <v>2</v>
      </c>
      <c r="M391" s="144">
        <v>2</v>
      </c>
      <c r="N391" s="144">
        <v>1</v>
      </c>
      <c r="O391" s="412" t="s">
        <v>2163</v>
      </c>
      <c r="P391" s="412" t="s">
        <v>3032</v>
      </c>
      <c r="Q391" s="413"/>
      <c r="R391" s="211">
        <v>35612</v>
      </c>
      <c r="S391" s="414" t="s">
        <v>2250</v>
      </c>
      <c r="T391" s="415"/>
      <c r="U391" s="62">
        <v>1</v>
      </c>
      <c r="V391" s="62"/>
      <c r="W391" s="62"/>
      <c r="X391" s="62">
        <v>1</v>
      </c>
      <c r="Y391" s="62"/>
      <c r="Z391" s="62"/>
      <c r="AA391" s="62"/>
      <c r="AB391" s="62"/>
    </row>
    <row r="392" spans="1:28" ht="15.6" customHeight="1" x14ac:dyDescent="0.2">
      <c r="A392" s="408">
        <v>391</v>
      </c>
      <c r="B392" s="409" t="str">
        <f t="shared" si="6"/>
        <v>Romulea obscura</v>
      </c>
      <c r="C392" s="410" t="s">
        <v>1622</v>
      </c>
      <c r="E392" s="75" t="s">
        <v>1663</v>
      </c>
      <c r="F392" s="75" t="s">
        <v>1665</v>
      </c>
      <c r="G392" s="411" t="s">
        <v>1277</v>
      </c>
      <c r="H392" s="66" t="s">
        <v>3299</v>
      </c>
      <c r="I392" s="144">
        <v>4</v>
      </c>
      <c r="J392" s="144">
        <v>6</v>
      </c>
      <c r="K392" s="144">
        <v>5</v>
      </c>
      <c r="L392" s="144">
        <v>2</v>
      </c>
      <c r="M392" s="144">
        <v>2</v>
      </c>
      <c r="N392" s="144">
        <v>1</v>
      </c>
      <c r="O392" s="412" t="s">
        <v>2163</v>
      </c>
      <c r="P392" s="412" t="s">
        <v>3032</v>
      </c>
      <c r="Q392" s="413"/>
      <c r="R392" s="211">
        <v>37165</v>
      </c>
      <c r="S392" s="414"/>
      <c r="T392" s="415">
        <v>1</v>
      </c>
      <c r="U392" s="62">
        <v>1</v>
      </c>
      <c r="V392" s="62"/>
      <c r="W392" s="62"/>
      <c r="X392" s="62"/>
      <c r="Y392" s="62"/>
      <c r="Z392" s="62"/>
      <c r="AA392" s="62"/>
      <c r="AB392" s="62"/>
    </row>
    <row r="393" spans="1:28" ht="15.6" customHeight="1" x14ac:dyDescent="0.2">
      <c r="A393" s="408">
        <v>392</v>
      </c>
      <c r="B393" s="409" t="str">
        <f t="shared" si="6"/>
        <v>Romulea rosea</v>
      </c>
      <c r="C393" s="410" t="s">
        <v>1622</v>
      </c>
      <c r="D393" s="75" t="s">
        <v>196</v>
      </c>
      <c r="E393" s="75" t="s">
        <v>1663</v>
      </c>
      <c r="F393" s="75" t="s">
        <v>1607</v>
      </c>
      <c r="G393" s="411" t="s">
        <v>1278</v>
      </c>
      <c r="H393" s="66" t="s">
        <v>3299</v>
      </c>
      <c r="I393" s="144">
        <v>4</v>
      </c>
      <c r="J393" s="144">
        <v>6</v>
      </c>
      <c r="K393" s="144">
        <v>5</v>
      </c>
      <c r="L393" s="144">
        <v>2</v>
      </c>
      <c r="M393" s="144">
        <v>2</v>
      </c>
      <c r="N393" s="144">
        <v>1</v>
      </c>
      <c r="O393" s="412" t="s">
        <v>2163</v>
      </c>
      <c r="P393" s="412" t="s">
        <v>3032</v>
      </c>
      <c r="Q393" s="413"/>
      <c r="R393" s="211">
        <v>37165</v>
      </c>
      <c r="S393" s="414"/>
      <c r="T393" s="415">
        <v>1</v>
      </c>
      <c r="U393" s="62">
        <v>1</v>
      </c>
      <c r="V393" s="62"/>
      <c r="W393" s="62"/>
      <c r="X393" s="62"/>
      <c r="Y393" s="62"/>
      <c r="Z393" s="62"/>
      <c r="AA393" s="62"/>
      <c r="AB393" s="62"/>
    </row>
    <row r="394" spans="1:28" ht="15.6" customHeight="1" x14ac:dyDescent="0.2">
      <c r="A394" s="408">
        <v>393</v>
      </c>
      <c r="B394" s="409" t="str">
        <f t="shared" si="6"/>
        <v>Romulea setifolia</v>
      </c>
      <c r="C394" s="410" t="s">
        <v>1622</v>
      </c>
      <c r="E394" s="75" t="s">
        <v>1663</v>
      </c>
      <c r="F394" s="75" t="s">
        <v>1659</v>
      </c>
      <c r="G394" s="411" t="s">
        <v>1279</v>
      </c>
      <c r="H394" s="66" t="s">
        <v>3225</v>
      </c>
      <c r="I394" s="144">
        <v>4</v>
      </c>
      <c r="J394" s="144">
        <v>6</v>
      </c>
      <c r="K394" s="144">
        <v>9</v>
      </c>
      <c r="L394" s="144">
        <v>9</v>
      </c>
      <c r="M394" s="144">
        <v>9</v>
      </c>
      <c r="N394" s="144">
        <v>9</v>
      </c>
      <c r="O394" s="412" t="s">
        <v>2163</v>
      </c>
      <c r="P394" s="412" t="s">
        <v>3032</v>
      </c>
      <c r="Q394" s="413"/>
      <c r="R394" s="211">
        <v>36008</v>
      </c>
      <c r="S394" s="414" t="s">
        <v>2250</v>
      </c>
      <c r="T394" s="415"/>
      <c r="U394" s="62">
        <v>1</v>
      </c>
      <c r="V394" s="62"/>
      <c r="W394" s="62"/>
      <c r="X394" s="62"/>
      <c r="Y394" s="62"/>
      <c r="Z394" s="62"/>
      <c r="AA394" s="62"/>
      <c r="AB394" s="62"/>
    </row>
    <row r="395" spans="1:28" ht="15.6" customHeight="1" x14ac:dyDescent="0.2">
      <c r="A395" s="408">
        <v>394</v>
      </c>
      <c r="B395" s="409" t="str">
        <f t="shared" si="6"/>
        <v>Sparaxis bulbifera</v>
      </c>
      <c r="C395" s="410" t="s">
        <v>1622</v>
      </c>
      <c r="D395" s="75" t="s">
        <v>200</v>
      </c>
      <c r="E395" s="75" t="s">
        <v>1666</v>
      </c>
      <c r="F395" s="75" t="s">
        <v>1605</v>
      </c>
      <c r="G395" s="411" t="s">
        <v>1280</v>
      </c>
      <c r="H395" s="66" t="s">
        <v>3299</v>
      </c>
      <c r="I395" s="144">
        <v>4</v>
      </c>
      <c r="J395" s="144">
        <v>6</v>
      </c>
      <c r="K395" s="144">
        <v>5</v>
      </c>
      <c r="L395" s="144">
        <v>2</v>
      </c>
      <c r="M395" s="144">
        <v>2</v>
      </c>
      <c r="N395" s="144">
        <v>1</v>
      </c>
      <c r="O395" s="412" t="s">
        <v>2163</v>
      </c>
      <c r="P395" s="412" t="s">
        <v>3032</v>
      </c>
      <c r="Q395" s="413"/>
      <c r="R395" s="211">
        <v>37500</v>
      </c>
      <c r="S395" s="414"/>
      <c r="T395" s="415">
        <v>1</v>
      </c>
      <c r="U395" s="62"/>
      <c r="V395" s="62"/>
      <c r="W395" s="62"/>
      <c r="X395" s="62">
        <v>1</v>
      </c>
      <c r="Y395" s="62"/>
      <c r="Z395" s="62"/>
      <c r="AA395" s="62">
        <v>1</v>
      </c>
      <c r="AB395" s="62"/>
    </row>
    <row r="396" spans="1:28" ht="15.6" customHeight="1" x14ac:dyDescent="0.2">
      <c r="A396" s="408">
        <v>395</v>
      </c>
      <c r="B396" s="409" t="str">
        <f t="shared" si="6"/>
        <v>Sparaxis grandiflora</v>
      </c>
      <c r="C396" s="410" t="s">
        <v>1622</v>
      </c>
      <c r="D396" s="75" t="s">
        <v>201</v>
      </c>
      <c r="E396" s="75" t="s">
        <v>1666</v>
      </c>
      <c r="F396" s="75" t="s">
        <v>1667</v>
      </c>
      <c r="G396" s="411" t="s">
        <v>1281</v>
      </c>
      <c r="H396" s="66" t="s">
        <v>3225</v>
      </c>
      <c r="I396" s="144">
        <v>4</v>
      </c>
      <c r="J396" s="144">
        <v>6</v>
      </c>
      <c r="K396" s="144">
        <v>9</v>
      </c>
      <c r="L396" s="144">
        <v>2</v>
      </c>
      <c r="M396" s="144">
        <v>9</v>
      </c>
      <c r="N396" s="144">
        <v>9</v>
      </c>
      <c r="O396" s="412" t="s">
        <v>2163</v>
      </c>
      <c r="P396" s="412" t="s">
        <v>3032</v>
      </c>
      <c r="Q396" s="413" t="s">
        <v>3145</v>
      </c>
      <c r="R396" s="211">
        <v>36434</v>
      </c>
      <c r="S396" s="414" t="s">
        <v>2250</v>
      </c>
      <c r="T396" s="52"/>
      <c r="U396" s="62"/>
      <c r="V396" s="62"/>
      <c r="W396" s="62"/>
      <c r="X396" s="62">
        <v>1</v>
      </c>
      <c r="Y396" s="62"/>
      <c r="Z396" s="62"/>
      <c r="AA396" s="62"/>
      <c r="AB396" s="62"/>
    </row>
    <row r="397" spans="1:28" ht="15.6" customHeight="1" x14ac:dyDescent="0.2">
      <c r="A397" s="408">
        <v>396</v>
      </c>
      <c r="B397" s="409" t="str">
        <f t="shared" si="6"/>
        <v>Watsonia schlechteri</v>
      </c>
      <c r="C397" s="410" t="s">
        <v>1622</v>
      </c>
      <c r="E397" s="75" t="s">
        <v>1668</v>
      </c>
      <c r="F397" s="75" t="s">
        <v>708</v>
      </c>
      <c r="G397" s="411" t="s">
        <v>1282</v>
      </c>
      <c r="H397" s="66" t="s">
        <v>3243</v>
      </c>
      <c r="I397" s="144">
        <v>4</v>
      </c>
      <c r="J397" s="144">
        <v>5</v>
      </c>
      <c r="K397" s="144">
        <v>5</v>
      </c>
      <c r="L397" s="144">
        <v>2</v>
      </c>
      <c r="M397" s="144">
        <v>2</v>
      </c>
      <c r="N397" s="144">
        <v>1</v>
      </c>
      <c r="O397" s="412" t="s">
        <v>2163</v>
      </c>
      <c r="P397" s="412" t="s">
        <v>3032</v>
      </c>
      <c r="Q397" s="413"/>
      <c r="R397" s="211">
        <v>36130</v>
      </c>
      <c r="S397" s="414"/>
      <c r="T397" s="415">
        <v>1</v>
      </c>
      <c r="U397" s="62"/>
      <c r="V397" s="62"/>
      <c r="W397" s="62"/>
      <c r="X397" s="62">
        <v>1</v>
      </c>
      <c r="Y397" s="62"/>
      <c r="Z397" s="62"/>
      <c r="AA397" s="62"/>
      <c r="AB397" s="62"/>
    </row>
    <row r="398" spans="1:28" ht="15.6" customHeight="1" x14ac:dyDescent="0.2">
      <c r="A398" s="408">
        <v>397</v>
      </c>
      <c r="B398" s="409" t="str">
        <f t="shared" si="6"/>
        <v>Watsonia stenosiphon</v>
      </c>
      <c r="C398" s="410" t="s">
        <v>1622</v>
      </c>
      <c r="E398" s="75" t="s">
        <v>1668</v>
      </c>
      <c r="F398" s="75" t="s">
        <v>1669</v>
      </c>
      <c r="G398" s="411" t="s">
        <v>1283</v>
      </c>
      <c r="H398" s="66" t="s">
        <v>3299</v>
      </c>
      <c r="I398" s="144">
        <v>4</v>
      </c>
      <c r="J398" s="144">
        <v>6</v>
      </c>
      <c r="K398" s="144">
        <v>5</v>
      </c>
      <c r="L398" s="144">
        <v>2</v>
      </c>
      <c r="M398" s="144">
        <v>2</v>
      </c>
      <c r="N398" s="144">
        <v>1</v>
      </c>
      <c r="O398" s="412" t="s">
        <v>2163</v>
      </c>
      <c r="P398" s="412" t="s">
        <v>3032</v>
      </c>
      <c r="Q398" s="413"/>
      <c r="R398" s="211">
        <v>35612</v>
      </c>
      <c r="S398" s="414"/>
      <c r="T398" s="415">
        <v>1</v>
      </c>
      <c r="U398" s="62"/>
      <c r="V398" s="62">
        <v>1</v>
      </c>
      <c r="W398" s="62">
        <v>1</v>
      </c>
      <c r="X398" s="62">
        <v>1</v>
      </c>
      <c r="Y398" s="62"/>
      <c r="Z398" s="62"/>
      <c r="AA398" s="62"/>
      <c r="AB398" s="62"/>
    </row>
    <row r="399" spans="1:28" ht="15.6" customHeight="1" x14ac:dyDescent="0.2">
      <c r="A399" s="408">
        <v>398</v>
      </c>
      <c r="B399" s="409" t="str">
        <f t="shared" si="6"/>
        <v>Juncus capensis</v>
      </c>
      <c r="C399" s="410" t="s">
        <v>1670</v>
      </c>
      <c r="E399" s="75" t="s">
        <v>1671</v>
      </c>
      <c r="F399" s="75" t="s">
        <v>2756</v>
      </c>
      <c r="G399" s="411" t="s">
        <v>1285</v>
      </c>
      <c r="H399" s="66" t="s">
        <v>3254</v>
      </c>
      <c r="I399" s="144">
        <v>3</v>
      </c>
      <c r="J399" s="144">
        <v>5</v>
      </c>
      <c r="K399" s="144">
        <v>5</v>
      </c>
      <c r="L399" s="144">
        <v>3</v>
      </c>
      <c r="M399" s="144">
        <v>1</v>
      </c>
      <c r="N399" s="144">
        <v>1</v>
      </c>
      <c r="O399" s="412" t="s">
        <v>2910</v>
      </c>
      <c r="P399" s="412" t="s">
        <v>3032</v>
      </c>
      <c r="Q399" s="413"/>
      <c r="R399" s="211">
        <v>37257</v>
      </c>
      <c r="S399" s="414"/>
      <c r="T399" s="415">
        <v>1</v>
      </c>
      <c r="U399" s="429"/>
      <c r="V399" s="62"/>
      <c r="W399" s="62"/>
      <c r="X399" s="62"/>
      <c r="Y399" s="62"/>
      <c r="Z399" s="62"/>
      <c r="AA399" s="62"/>
      <c r="AB399" s="62"/>
    </row>
    <row r="400" spans="1:28" ht="15.6" customHeight="1" x14ac:dyDescent="0.2">
      <c r="A400" s="408">
        <v>399</v>
      </c>
      <c r="B400" s="409" t="str">
        <f t="shared" si="6"/>
        <v>Juncus cephalotes</v>
      </c>
      <c r="C400" s="410" t="s">
        <v>1670</v>
      </c>
      <c r="E400" s="75" t="s">
        <v>1671</v>
      </c>
      <c r="F400" s="75" t="s">
        <v>1672</v>
      </c>
      <c r="G400" s="411" t="s">
        <v>1284</v>
      </c>
      <c r="H400" s="66" t="s">
        <v>3278</v>
      </c>
      <c r="I400" s="144">
        <v>6</v>
      </c>
      <c r="J400" s="144">
        <v>6</v>
      </c>
      <c r="K400" s="144">
        <v>5</v>
      </c>
      <c r="L400" s="144">
        <v>3</v>
      </c>
      <c r="M400" s="144">
        <v>1</v>
      </c>
      <c r="N400" s="144">
        <v>3</v>
      </c>
      <c r="O400" s="412" t="s">
        <v>2910</v>
      </c>
      <c r="P400" s="412" t="s">
        <v>2915</v>
      </c>
      <c r="Q400" s="413" t="s">
        <v>3144</v>
      </c>
      <c r="R400" s="211">
        <v>36831</v>
      </c>
      <c r="S400" s="414"/>
      <c r="T400" s="415">
        <v>1</v>
      </c>
      <c r="U400" s="62"/>
      <c r="V400" s="62"/>
      <c r="W400" s="62"/>
      <c r="X400" s="62">
        <v>1</v>
      </c>
      <c r="Y400" s="62"/>
      <c r="Z400" s="62"/>
      <c r="AA400" s="62">
        <v>1</v>
      </c>
      <c r="AB400" s="62"/>
    </row>
    <row r="401" spans="1:28" ht="15.6" customHeight="1" x14ac:dyDescent="0.2">
      <c r="A401" s="408">
        <v>400</v>
      </c>
      <c r="B401" s="409" t="str">
        <f t="shared" si="6"/>
        <v>Triglochin bulbosa</v>
      </c>
      <c r="C401" s="410" t="s">
        <v>1673</v>
      </c>
      <c r="E401" s="75" t="s">
        <v>1674</v>
      </c>
      <c r="F401" s="75" t="s">
        <v>994</v>
      </c>
      <c r="G401" s="411" t="s">
        <v>3325</v>
      </c>
      <c r="H401" s="66" t="s">
        <v>3253</v>
      </c>
      <c r="I401" s="144">
        <v>3</v>
      </c>
      <c r="J401" s="144">
        <v>6</v>
      </c>
      <c r="K401" s="144">
        <v>5</v>
      </c>
      <c r="L401" s="144">
        <v>3</v>
      </c>
      <c r="M401" s="144">
        <v>1</v>
      </c>
      <c r="N401" s="144">
        <v>1</v>
      </c>
      <c r="O401" s="412" t="s">
        <v>2163</v>
      </c>
      <c r="P401" s="412" t="s">
        <v>3032</v>
      </c>
      <c r="Q401" s="413"/>
      <c r="R401" s="211">
        <v>37316</v>
      </c>
      <c r="S401" s="414"/>
      <c r="T401" s="415">
        <v>1</v>
      </c>
      <c r="U401" s="429"/>
      <c r="V401" s="62"/>
      <c r="W401" s="62"/>
      <c r="X401" s="62"/>
      <c r="Y401" s="62"/>
      <c r="Z401" s="62"/>
      <c r="AA401" s="62"/>
      <c r="AB401" s="62"/>
    </row>
    <row r="402" spans="1:28" ht="15.6" customHeight="1" x14ac:dyDescent="0.2">
      <c r="A402" s="408">
        <v>401</v>
      </c>
      <c r="B402" s="409" t="str">
        <f t="shared" si="6"/>
        <v>Triglochin striata</v>
      </c>
      <c r="C402" s="410" t="s">
        <v>1673</v>
      </c>
      <c r="E402" s="75" t="s">
        <v>1674</v>
      </c>
      <c r="F402" s="75" t="s">
        <v>1675</v>
      </c>
      <c r="G402" s="411" t="s">
        <v>3326</v>
      </c>
      <c r="H402" s="66" t="s">
        <v>3253</v>
      </c>
      <c r="I402" s="144">
        <v>3</v>
      </c>
      <c r="J402" s="144">
        <v>6</v>
      </c>
      <c r="K402" s="144">
        <v>5</v>
      </c>
      <c r="L402" s="144">
        <v>3</v>
      </c>
      <c r="M402" s="144">
        <v>1</v>
      </c>
      <c r="N402" s="144">
        <v>1</v>
      </c>
      <c r="O402" s="412" t="s">
        <v>2163</v>
      </c>
      <c r="P402" s="412" t="s">
        <v>3032</v>
      </c>
      <c r="Q402" s="413"/>
      <c r="R402" s="211">
        <v>35947</v>
      </c>
      <c r="S402" s="414"/>
      <c r="T402" s="415">
        <v>1</v>
      </c>
      <c r="U402" s="62"/>
      <c r="V402" s="62"/>
      <c r="W402" s="62"/>
      <c r="X402" s="62">
        <v>1</v>
      </c>
      <c r="Y402" s="62"/>
      <c r="Z402" s="62"/>
      <c r="AA402" s="62"/>
      <c r="AB402" s="62"/>
    </row>
    <row r="403" spans="1:28" ht="15.6" customHeight="1" x14ac:dyDescent="0.2">
      <c r="A403" s="408">
        <v>402</v>
      </c>
      <c r="B403" s="409" t="str">
        <f t="shared" si="6"/>
        <v>Kiggelaria africana</v>
      </c>
      <c r="C403" s="410" t="s">
        <v>1676</v>
      </c>
      <c r="E403" s="75" t="s">
        <v>1677</v>
      </c>
      <c r="F403" s="75" t="s">
        <v>832</v>
      </c>
      <c r="G403" s="411" t="s">
        <v>3327</v>
      </c>
      <c r="H403" s="66" t="s">
        <v>3281</v>
      </c>
      <c r="I403" s="144">
        <v>1</v>
      </c>
      <c r="J403" s="144">
        <v>1</v>
      </c>
      <c r="K403" s="144">
        <v>2</v>
      </c>
      <c r="L403" s="144">
        <v>1</v>
      </c>
      <c r="M403" s="144">
        <v>1</v>
      </c>
      <c r="N403" s="144">
        <v>2</v>
      </c>
      <c r="O403" s="412" t="s">
        <v>2173</v>
      </c>
      <c r="P403" s="412" t="s">
        <v>3032</v>
      </c>
      <c r="Q403" s="413"/>
      <c r="R403" s="211">
        <v>35612</v>
      </c>
      <c r="S403" s="414"/>
      <c r="T403" s="415">
        <v>1</v>
      </c>
      <c r="U403" s="62"/>
      <c r="V403" s="62"/>
      <c r="W403" s="62"/>
      <c r="X403" s="62"/>
      <c r="Y403" s="62"/>
      <c r="Z403" s="62">
        <v>1</v>
      </c>
      <c r="AA403" s="62"/>
      <c r="AB403" s="62"/>
    </row>
    <row r="404" spans="1:28" ht="15.6" customHeight="1" x14ac:dyDescent="0.2">
      <c r="A404" s="408">
        <v>403</v>
      </c>
      <c r="B404" s="409" t="str">
        <f t="shared" si="6"/>
        <v>Leonotis leonurus</v>
      </c>
      <c r="C404" s="410" t="s">
        <v>1679</v>
      </c>
      <c r="D404" s="75" t="s">
        <v>202</v>
      </c>
      <c r="E404" s="75" t="s">
        <v>1680</v>
      </c>
      <c r="F404" s="75" t="s">
        <v>1681</v>
      </c>
      <c r="G404" s="411" t="s">
        <v>3328</v>
      </c>
      <c r="H404" s="66" t="s">
        <v>3301</v>
      </c>
      <c r="I404" s="144">
        <v>2</v>
      </c>
      <c r="J404" s="144">
        <v>3</v>
      </c>
      <c r="K404" s="144">
        <v>2</v>
      </c>
      <c r="L404" s="144">
        <v>2</v>
      </c>
      <c r="M404" s="144">
        <v>1</v>
      </c>
      <c r="N404" s="144">
        <v>2</v>
      </c>
      <c r="O404" s="412" t="s">
        <v>2168</v>
      </c>
      <c r="P404" s="412" t="s">
        <v>3032</v>
      </c>
      <c r="Q404" s="413"/>
      <c r="R404" s="211">
        <v>35612</v>
      </c>
      <c r="S404" s="414"/>
      <c r="T404" s="415">
        <v>1</v>
      </c>
      <c r="U404" s="62">
        <v>1</v>
      </c>
      <c r="V404" s="62"/>
      <c r="W404" s="62"/>
      <c r="X404" s="62"/>
      <c r="Y404" s="62"/>
      <c r="Z404" s="62"/>
      <c r="AA404" s="62"/>
      <c r="AB404" s="62"/>
    </row>
    <row r="405" spans="1:28" ht="15.6" customHeight="1" x14ac:dyDescent="0.2">
      <c r="A405" s="408">
        <v>404</v>
      </c>
      <c r="B405" s="409" t="str">
        <f t="shared" si="6"/>
        <v>Mentha  aquatica</v>
      </c>
      <c r="C405" s="410" t="s">
        <v>1679</v>
      </c>
      <c r="D405" s="75" t="s">
        <v>203</v>
      </c>
      <c r="E405" s="75" t="s">
        <v>1682</v>
      </c>
      <c r="F405" s="75" t="s">
        <v>1683</v>
      </c>
      <c r="G405" s="411" t="s">
        <v>3329</v>
      </c>
      <c r="H405" s="66" t="s">
        <v>3269</v>
      </c>
      <c r="I405" s="144">
        <v>3</v>
      </c>
      <c r="J405" s="144">
        <v>5</v>
      </c>
      <c r="K405" s="144">
        <v>3</v>
      </c>
      <c r="L405" s="144">
        <v>3</v>
      </c>
      <c r="M405" s="144">
        <v>1</v>
      </c>
      <c r="N405" s="144">
        <v>3</v>
      </c>
      <c r="O405" s="412" t="s">
        <v>2910</v>
      </c>
      <c r="P405" s="412" t="s">
        <v>3032</v>
      </c>
      <c r="Q405" s="413"/>
      <c r="R405" s="211">
        <v>36770</v>
      </c>
      <c r="S405" s="414"/>
      <c r="T405" s="415">
        <v>1</v>
      </c>
      <c r="U405" s="62"/>
      <c r="V405" s="62"/>
      <c r="W405" s="62"/>
      <c r="X405" s="62"/>
      <c r="Y405" s="62"/>
      <c r="Z405" s="62"/>
      <c r="AA405" s="62">
        <v>1</v>
      </c>
      <c r="AB405" s="62"/>
    </row>
    <row r="406" spans="1:28" ht="15.6" customHeight="1" x14ac:dyDescent="0.2">
      <c r="A406" s="408">
        <v>405</v>
      </c>
      <c r="B406" s="409" t="str">
        <f t="shared" si="6"/>
        <v>Mentha  longifolia</v>
      </c>
      <c r="C406" s="410" t="s">
        <v>1679</v>
      </c>
      <c r="D406" s="75" t="s">
        <v>204</v>
      </c>
      <c r="E406" s="75" t="s">
        <v>1682</v>
      </c>
      <c r="F406" s="75" t="s">
        <v>883</v>
      </c>
      <c r="G406" s="411" t="s">
        <v>3330</v>
      </c>
      <c r="H406" s="66" t="s">
        <v>3289</v>
      </c>
      <c r="I406" s="144">
        <v>2</v>
      </c>
      <c r="J406" s="144">
        <v>4</v>
      </c>
      <c r="K406" s="144">
        <v>3</v>
      </c>
      <c r="L406" s="144">
        <v>3</v>
      </c>
      <c r="M406" s="144">
        <v>1</v>
      </c>
      <c r="N406" s="144">
        <v>3</v>
      </c>
      <c r="O406" s="412" t="s">
        <v>2914</v>
      </c>
      <c r="P406" s="412" t="s">
        <v>3032</v>
      </c>
      <c r="Q406" s="413"/>
      <c r="R406" s="211">
        <v>35855</v>
      </c>
      <c r="S406" s="414"/>
      <c r="T406" s="415">
        <v>1</v>
      </c>
      <c r="U406" s="62"/>
      <c r="V406" s="62"/>
      <c r="W406" s="62"/>
      <c r="X406" s="62"/>
      <c r="Y406" s="62"/>
      <c r="Z406" s="62"/>
      <c r="AA406" s="62">
        <v>1</v>
      </c>
      <c r="AB406" s="62"/>
    </row>
    <row r="407" spans="1:28" ht="15.6" customHeight="1" x14ac:dyDescent="0.2">
      <c r="A407" s="408">
        <v>406</v>
      </c>
      <c r="B407" s="409" t="str">
        <f t="shared" si="6"/>
        <v>Salvia africana-lutea</v>
      </c>
      <c r="C407" s="410" t="s">
        <v>1679</v>
      </c>
      <c r="D407" s="75" t="s">
        <v>205</v>
      </c>
      <c r="E407" s="75" t="s">
        <v>1684</v>
      </c>
      <c r="F407" s="75" t="s">
        <v>1685</v>
      </c>
      <c r="G407" s="411" t="s">
        <v>3331</v>
      </c>
      <c r="H407" s="66" t="s">
        <v>3249</v>
      </c>
      <c r="I407" s="144">
        <v>2</v>
      </c>
      <c r="J407" s="144">
        <v>4</v>
      </c>
      <c r="K407" s="144">
        <v>2</v>
      </c>
      <c r="L407" s="144">
        <v>3</v>
      </c>
      <c r="M407" s="144">
        <v>1</v>
      </c>
      <c r="N407" s="144">
        <v>4</v>
      </c>
      <c r="O407" s="412" t="s">
        <v>2168</v>
      </c>
      <c r="P407" s="412" t="s">
        <v>3032</v>
      </c>
      <c r="Q407" s="413"/>
      <c r="R407" s="211">
        <v>35612</v>
      </c>
      <c r="S407" s="414"/>
      <c r="T407" s="415">
        <v>1</v>
      </c>
      <c r="U407" s="62">
        <v>1</v>
      </c>
      <c r="V407" s="62">
        <v>1</v>
      </c>
      <c r="W407" s="62"/>
      <c r="X407" s="62">
        <v>1</v>
      </c>
      <c r="Y407" s="62"/>
      <c r="Z407" s="62"/>
      <c r="AA407" s="62"/>
      <c r="AB407" s="62"/>
    </row>
    <row r="408" spans="1:28" ht="15.6" customHeight="1" x14ac:dyDescent="0.2">
      <c r="A408" s="408">
        <v>407</v>
      </c>
      <c r="B408" s="409" t="str">
        <f t="shared" si="6"/>
        <v>Stachys aethiopica</v>
      </c>
      <c r="C408" s="410" t="s">
        <v>1679</v>
      </c>
      <c r="D408" s="75" t="s">
        <v>206</v>
      </c>
      <c r="E408" s="75" t="s">
        <v>1686</v>
      </c>
      <c r="F408" s="75" t="s">
        <v>2817</v>
      </c>
      <c r="G408" s="411" t="s">
        <v>3332</v>
      </c>
      <c r="H408" s="66" t="s">
        <v>3268</v>
      </c>
      <c r="I408" s="144">
        <v>3</v>
      </c>
      <c r="J408" s="144">
        <v>6</v>
      </c>
      <c r="K408" s="144">
        <v>3</v>
      </c>
      <c r="L408" s="144">
        <v>3</v>
      </c>
      <c r="M408" s="144">
        <v>1</v>
      </c>
      <c r="N408" s="144">
        <v>4</v>
      </c>
      <c r="O408" s="412" t="s">
        <v>2910</v>
      </c>
      <c r="P408" s="412" t="s">
        <v>3032</v>
      </c>
      <c r="Q408" s="413"/>
      <c r="R408" s="211">
        <v>35855</v>
      </c>
      <c r="S408" s="414"/>
      <c r="T408" s="415">
        <v>1</v>
      </c>
      <c r="U408" s="62">
        <v>1</v>
      </c>
      <c r="V408" s="62"/>
      <c r="W408" s="62"/>
      <c r="X408" s="62"/>
      <c r="Y408" s="62">
        <v>1</v>
      </c>
      <c r="Z408" s="62"/>
      <c r="AA408" s="62"/>
      <c r="AB408" s="62"/>
    </row>
    <row r="409" spans="1:28" ht="15.6" customHeight="1" x14ac:dyDescent="0.2">
      <c r="A409" s="408">
        <v>408</v>
      </c>
      <c r="B409" s="409" t="str">
        <f t="shared" si="6"/>
        <v>Stachys thunbergii</v>
      </c>
      <c r="C409" s="410" t="s">
        <v>1679</v>
      </c>
      <c r="E409" s="75" t="s">
        <v>1686</v>
      </c>
      <c r="F409" s="75" t="s">
        <v>1010</v>
      </c>
      <c r="G409" s="411" t="s">
        <v>3333</v>
      </c>
      <c r="H409" s="66" t="s">
        <v>3302</v>
      </c>
      <c r="I409" s="144">
        <v>3</v>
      </c>
      <c r="J409" s="144">
        <v>4</v>
      </c>
      <c r="K409" s="144">
        <v>3</v>
      </c>
      <c r="L409" s="144">
        <v>3</v>
      </c>
      <c r="M409" s="144">
        <v>1</v>
      </c>
      <c r="N409" s="144">
        <v>2</v>
      </c>
      <c r="O409" s="412" t="s">
        <v>2910</v>
      </c>
      <c r="P409" s="412" t="s">
        <v>3032</v>
      </c>
      <c r="Q409" s="413"/>
      <c r="R409" s="211">
        <v>35947</v>
      </c>
      <c r="S409" s="414"/>
      <c r="T409" s="415">
        <v>1</v>
      </c>
      <c r="U409" s="62"/>
      <c r="V409" s="62"/>
      <c r="W409" s="62"/>
      <c r="X409" s="62">
        <v>1</v>
      </c>
      <c r="Y409" s="62"/>
      <c r="Z409" s="62"/>
      <c r="AA409" s="62"/>
      <c r="AB409" s="62"/>
    </row>
    <row r="410" spans="1:28" ht="15.6" customHeight="1" x14ac:dyDescent="0.2">
      <c r="A410" s="408">
        <v>409</v>
      </c>
      <c r="B410" s="409" t="str">
        <f t="shared" si="6"/>
        <v>Cassytha ciliolata</v>
      </c>
      <c r="C410" s="410" t="s">
        <v>1687</v>
      </c>
      <c r="D410" s="75" t="s">
        <v>207</v>
      </c>
      <c r="E410" s="75" t="s">
        <v>1688</v>
      </c>
      <c r="F410" s="75" t="s">
        <v>1689</v>
      </c>
      <c r="G410" s="411" t="s">
        <v>3334</v>
      </c>
      <c r="H410" s="66" t="s">
        <v>3303</v>
      </c>
      <c r="I410" s="144">
        <v>7</v>
      </c>
      <c r="J410" s="144">
        <v>8</v>
      </c>
      <c r="K410" s="144">
        <v>0</v>
      </c>
      <c r="L410" s="144">
        <v>7</v>
      </c>
      <c r="M410" s="144">
        <v>0</v>
      </c>
      <c r="N410" s="144">
        <v>0</v>
      </c>
      <c r="O410" s="412" t="s">
        <v>2178</v>
      </c>
      <c r="P410" s="412" t="s">
        <v>3032</v>
      </c>
      <c r="Q410" s="413"/>
      <c r="R410" s="211">
        <v>35612</v>
      </c>
      <c r="S410" s="414"/>
      <c r="T410" s="415">
        <v>1</v>
      </c>
      <c r="U410" s="62">
        <v>1</v>
      </c>
      <c r="V410" s="62">
        <v>1</v>
      </c>
      <c r="W410" s="62">
        <v>1</v>
      </c>
      <c r="X410" s="62">
        <v>1</v>
      </c>
      <c r="Y410" s="62"/>
      <c r="Z410" s="62"/>
      <c r="AA410" s="62"/>
      <c r="AB410" s="62"/>
    </row>
    <row r="411" spans="1:28" ht="15.6" customHeight="1" x14ac:dyDescent="0.2">
      <c r="A411" s="408">
        <v>410</v>
      </c>
      <c r="B411" s="409" t="str">
        <f t="shared" si="6"/>
        <v>Utricularia bisquamata</v>
      </c>
      <c r="C411" s="410" t="s">
        <v>1690</v>
      </c>
      <c r="D411" s="75" t="s">
        <v>208</v>
      </c>
      <c r="E411" s="75" t="s">
        <v>1691</v>
      </c>
      <c r="F411" s="75" t="s">
        <v>1692</v>
      </c>
      <c r="G411" s="411" t="s">
        <v>3335</v>
      </c>
      <c r="H411" s="66" t="s">
        <v>3283</v>
      </c>
      <c r="I411" s="144">
        <v>6</v>
      </c>
      <c r="J411" s="144">
        <v>6</v>
      </c>
      <c r="K411" s="144">
        <v>0</v>
      </c>
      <c r="L411" s="144">
        <v>7</v>
      </c>
      <c r="M411" s="144">
        <v>0</v>
      </c>
      <c r="N411" s="144">
        <v>0</v>
      </c>
      <c r="O411" s="412" t="s">
        <v>2910</v>
      </c>
      <c r="P411" s="412" t="s">
        <v>2915</v>
      </c>
      <c r="Q411" s="413"/>
      <c r="R411" s="211">
        <v>37530</v>
      </c>
      <c r="S411" s="414"/>
      <c r="T411" s="415">
        <v>1</v>
      </c>
      <c r="U411" s="62"/>
      <c r="V411" s="62"/>
      <c r="W411" s="62"/>
      <c r="X411" s="62"/>
      <c r="Y411" s="62"/>
      <c r="Z411" s="62"/>
      <c r="AA411" s="62">
        <v>1</v>
      </c>
      <c r="AB411" s="62"/>
    </row>
    <row r="412" spans="1:28" ht="15.6" customHeight="1" x14ac:dyDescent="0.2">
      <c r="A412" s="408">
        <v>411</v>
      </c>
      <c r="B412" s="409" t="str">
        <f t="shared" si="6"/>
        <v>Linum africanum</v>
      </c>
      <c r="C412" s="410" t="s">
        <v>1693</v>
      </c>
      <c r="D412" s="75" t="s">
        <v>209</v>
      </c>
      <c r="E412" s="75" t="s">
        <v>1694</v>
      </c>
      <c r="F412" s="75" t="s">
        <v>2797</v>
      </c>
      <c r="G412" s="411" t="s">
        <v>3498</v>
      </c>
      <c r="H412" s="66" t="s">
        <v>3215</v>
      </c>
      <c r="I412" s="144">
        <v>2</v>
      </c>
      <c r="J412" s="144">
        <v>6</v>
      </c>
      <c r="K412" s="144">
        <v>3</v>
      </c>
      <c r="L412" s="144">
        <v>3</v>
      </c>
      <c r="M412" s="144">
        <v>2</v>
      </c>
      <c r="N412" s="144">
        <v>5</v>
      </c>
      <c r="O412" s="412" t="s">
        <v>3031</v>
      </c>
      <c r="P412" s="412" t="s">
        <v>3032</v>
      </c>
      <c r="Q412" s="413"/>
      <c r="R412" s="211">
        <v>35612</v>
      </c>
      <c r="S412" s="414"/>
      <c r="T412" s="415">
        <v>1</v>
      </c>
      <c r="U412" s="62"/>
      <c r="V412" s="62">
        <v>1</v>
      </c>
      <c r="W412" s="62">
        <v>1</v>
      </c>
      <c r="X412" s="62">
        <v>1</v>
      </c>
      <c r="Y412" s="62"/>
      <c r="Z412" s="62"/>
      <c r="AA412" s="62"/>
      <c r="AB412" s="62"/>
    </row>
    <row r="413" spans="1:28" ht="15.6" customHeight="1" x14ac:dyDescent="0.2">
      <c r="A413" s="408">
        <v>412</v>
      </c>
      <c r="B413" s="409" t="str">
        <f t="shared" si="6"/>
        <v>Linum thunbergii</v>
      </c>
      <c r="C413" s="410" t="s">
        <v>1693</v>
      </c>
      <c r="E413" s="75" t="s">
        <v>1694</v>
      </c>
      <c r="F413" s="75" t="s">
        <v>1010</v>
      </c>
      <c r="G413" s="411" t="s">
        <v>3499</v>
      </c>
      <c r="H413" s="66" t="s">
        <v>3215</v>
      </c>
      <c r="I413" s="144">
        <v>2</v>
      </c>
      <c r="J413" s="144">
        <v>6</v>
      </c>
      <c r="K413" s="144">
        <v>3</v>
      </c>
      <c r="L413" s="144">
        <v>3</v>
      </c>
      <c r="M413" s="144">
        <v>2</v>
      </c>
      <c r="N413" s="144">
        <v>4</v>
      </c>
      <c r="O413" s="412" t="s">
        <v>3031</v>
      </c>
      <c r="P413" s="412" t="s">
        <v>3032</v>
      </c>
      <c r="Q413" s="413"/>
      <c r="R413" s="211">
        <v>35612</v>
      </c>
      <c r="S413" s="414"/>
      <c r="T413" s="415">
        <v>1</v>
      </c>
      <c r="U413" s="62"/>
      <c r="V413" s="62"/>
      <c r="W413" s="62"/>
      <c r="X413" s="62">
        <v>1</v>
      </c>
      <c r="Y413" s="62"/>
      <c r="Z413" s="62"/>
      <c r="AA413" s="62"/>
      <c r="AB413" s="62"/>
    </row>
    <row r="414" spans="1:28" ht="15.6" customHeight="1" x14ac:dyDescent="0.2">
      <c r="A414" s="408">
        <v>413</v>
      </c>
      <c r="B414" s="409" t="str">
        <f t="shared" si="6"/>
        <v>Anisodontea scabrosa</v>
      </c>
      <c r="C414" s="410" t="s">
        <v>1695</v>
      </c>
      <c r="D414" s="75" t="s">
        <v>210</v>
      </c>
      <c r="E414" s="75" t="s">
        <v>1696</v>
      </c>
      <c r="F414" s="75" t="s">
        <v>1697</v>
      </c>
      <c r="G414" s="411" t="s">
        <v>3500</v>
      </c>
      <c r="H414" s="66" t="s">
        <v>3239</v>
      </c>
      <c r="I414" s="144">
        <v>2</v>
      </c>
      <c r="J414" s="144">
        <v>4</v>
      </c>
      <c r="K414" s="144">
        <v>3</v>
      </c>
      <c r="L414" s="144">
        <v>1</v>
      </c>
      <c r="M414" s="144">
        <v>1</v>
      </c>
      <c r="N414" s="144">
        <v>3</v>
      </c>
      <c r="O414" s="412" t="s">
        <v>2168</v>
      </c>
      <c r="P414" s="412" t="s">
        <v>3032</v>
      </c>
      <c r="Q414" s="413"/>
      <c r="R414" s="211">
        <v>36161</v>
      </c>
      <c r="S414" s="414"/>
      <c r="T414" s="415">
        <v>1</v>
      </c>
      <c r="U414" s="62">
        <v>1</v>
      </c>
      <c r="V414" s="62"/>
      <c r="W414" s="62"/>
      <c r="X414" s="62"/>
      <c r="Y414" s="62"/>
      <c r="Z414" s="62"/>
      <c r="AA414" s="62"/>
      <c r="AB414" s="62"/>
    </row>
    <row r="415" spans="1:28" ht="15.6" customHeight="1" x14ac:dyDescent="0.2">
      <c r="A415" s="408">
        <v>414</v>
      </c>
      <c r="B415" s="409" t="str">
        <f t="shared" si="6"/>
        <v>Hermannia flammea</v>
      </c>
      <c r="C415" s="410" t="s">
        <v>1695</v>
      </c>
      <c r="D415" s="75" t="s">
        <v>211</v>
      </c>
      <c r="E415" s="75" t="s">
        <v>1698</v>
      </c>
      <c r="F415" s="75" t="s">
        <v>1699</v>
      </c>
      <c r="G415" s="411" t="s">
        <v>3501</v>
      </c>
      <c r="H415" s="66" t="s">
        <v>3304</v>
      </c>
      <c r="I415" s="144">
        <v>2</v>
      </c>
      <c r="J415" s="144">
        <v>5</v>
      </c>
      <c r="K415" s="144">
        <v>0</v>
      </c>
      <c r="L415" s="144">
        <v>7</v>
      </c>
      <c r="M415" s="144">
        <v>0</v>
      </c>
      <c r="N415" s="144">
        <v>0</v>
      </c>
      <c r="O415" s="412" t="s">
        <v>2914</v>
      </c>
      <c r="P415" s="412" t="s">
        <v>3032</v>
      </c>
      <c r="Q415" s="413"/>
      <c r="R415" s="211">
        <v>35612</v>
      </c>
      <c r="S415" s="414"/>
      <c r="T415" s="415">
        <v>1</v>
      </c>
      <c r="U415" s="62"/>
      <c r="V415" s="62"/>
      <c r="W415" s="62"/>
      <c r="X415" s="62">
        <v>1</v>
      </c>
      <c r="Y415" s="62"/>
      <c r="Z415" s="62"/>
      <c r="AA415" s="62"/>
      <c r="AB415" s="62"/>
    </row>
    <row r="416" spans="1:28" ht="15.6" customHeight="1" x14ac:dyDescent="0.2">
      <c r="A416" s="408">
        <v>415</v>
      </c>
      <c r="B416" s="409" t="str">
        <f t="shared" si="6"/>
        <v>Hermannia grossularifolia</v>
      </c>
      <c r="C416" s="410" t="s">
        <v>1695</v>
      </c>
      <c r="E416" s="75" t="s">
        <v>1698</v>
      </c>
      <c r="F416" s="75" t="s">
        <v>1700</v>
      </c>
      <c r="G416" s="411" t="s">
        <v>3502</v>
      </c>
      <c r="H416" s="66" t="s">
        <v>3267</v>
      </c>
      <c r="I416" s="144">
        <v>2</v>
      </c>
      <c r="J416" s="144">
        <v>6</v>
      </c>
      <c r="K416" s="144">
        <v>3</v>
      </c>
      <c r="L416" s="144">
        <v>3</v>
      </c>
      <c r="M416" s="144">
        <v>1</v>
      </c>
      <c r="N416" s="144">
        <v>3</v>
      </c>
      <c r="O416" s="412" t="s">
        <v>3031</v>
      </c>
      <c r="P416" s="412" t="s">
        <v>3032</v>
      </c>
      <c r="Q416" s="413"/>
      <c r="R416" s="211">
        <v>36861</v>
      </c>
      <c r="S416" s="414"/>
      <c r="T416" s="415">
        <v>1</v>
      </c>
      <c r="U416" s="62">
        <v>1</v>
      </c>
      <c r="V416" s="62"/>
      <c r="W416" s="62">
        <v>1</v>
      </c>
      <c r="X416" s="62"/>
      <c r="Y416" s="62"/>
      <c r="Z416" s="62"/>
      <c r="AA416" s="62"/>
      <c r="AB416" s="62"/>
    </row>
    <row r="417" spans="1:28" ht="15.6" customHeight="1" x14ac:dyDescent="0.2">
      <c r="A417" s="408">
        <v>416</v>
      </c>
      <c r="B417" s="409" t="str">
        <f t="shared" si="6"/>
        <v>Hermannia hyssopifolia</v>
      </c>
      <c r="C417" s="410" t="s">
        <v>1695</v>
      </c>
      <c r="D417" s="75" t="s">
        <v>212</v>
      </c>
      <c r="E417" s="75" t="s">
        <v>1698</v>
      </c>
      <c r="F417" s="75" t="s">
        <v>1701</v>
      </c>
      <c r="G417" s="411" t="s">
        <v>3503</v>
      </c>
      <c r="H417" s="66" t="s">
        <v>3249</v>
      </c>
      <c r="I417" s="144">
        <v>2</v>
      </c>
      <c r="J417" s="144">
        <v>4</v>
      </c>
      <c r="K417" s="144">
        <v>3</v>
      </c>
      <c r="L417" s="144">
        <v>3</v>
      </c>
      <c r="M417" s="144">
        <v>1</v>
      </c>
      <c r="N417" s="144">
        <v>4</v>
      </c>
      <c r="O417" s="412" t="s">
        <v>2168</v>
      </c>
      <c r="P417" s="412" t="s">
        <v>3032</v>
      </c>
      <c r="Q417" s="413"/>
      <c r="S417" s="414"/>
      <c r="T417" s="415">
        <v>1</v>
      </c>
      <c r="U417" s="62"/>
      <c r="V417" s="62"/>
      <c r="W417" s="62"/>
      <c r="X417" s="62">
        <v>1</v>
      </c>
      <c r="Y417" s="62"/>
      <c r="Z417" s="62"/>
      <c r="AA417" s="62"/>
      <c r="AB417" s="62"/>
    </row>
    <row r="418" spans="1:28" ht="15.6" customHeight="1" x14ac:dyDescent="0.2">
      <c r="A418" s="408">
        <v>417</v>
      </c>
      <c r="B418" s="409" t="str">
        <f t="shared" si="6"/>
        <v>Hermannia joubertiana</v>
      </c>
      <c r="C418" s="410" t="s">
        <v>1695</v>
      </c>
      <c r="E418" s="75" t="s">
        <v>1698</v>
      </c>
      <c r="F418" s="75" t="s">
        <v>1702</v>
      </c>
      <c r="G418" s="411" t="s">
        <v>3504</v>
      </c>
      <c r="H418" s="66" t="s">
        <v>3248</v>
      </c>
      <c r="I418" s="144">
        <v>2</v>
      </c>
      <c r="J418" s="144">
        <v>5</v>
      </c>
      <c r="K418" s="144">
        <v>2</v>
      </c>
      <c r="L418" s="144">
        <v>2</v>
      </c>
      <c r="M418" s="144">
        <v>1</v>
      </c>
      <c r="N418" s="144">
        <v>5</v>
      </c>
      <c r="O418" s="412" t="s">
        <v>2914</v>
      </c>
      <c r="P418" s="412" t="s">
        <v>3032</v>
      </c>
      <c r="Q418" s="413"/>
      <c r="R418" s="211">
        <v>35612</v>
      </c>
      <c r="S418" s="414"/>
      <c r="T418" s="415">
        <v>1</v>
      </c>
      <c r="U418" s="62">
        <v>1</v>
      </c>
      <c r="V418" s="62">
        <v>1</v>
      </c>
      <c r="W418" s="62">
        <v>1</v>
      </c>
      <c r="X418" s="62">
        <v>1</v>
      </c>
      <c r="Y418" s="62"/>
      <c r="Z418" s="62"/>
      <c r="AA418" s="62"/>
      <c r="AB418" s="62">
        <v>1</v>
      </c>
    </row>
    <row r="419" spans="1:28" ht="15.6" customHeight="1" x14ac:dyDescent="0.2">
      <c r="A419" s="408">
        <v>418</v>
      </c>
      <c r="B419" s="409" t="str">
        <f t="shared" si="6"/>
        <v>Hermannia ternifolia</v>
      </c>
      <c r="C419" s="410" t="s">
        <v>1695</v>
      </c>
      <c r="E419" s="75" t="s">
        <v>1698</v>
      </c>
      <c r="F419" s="75" t="s">
        <v>1703</v>
      </c>
      <c r="G419" s="411" t="s">
        <v>3505</v>
      </c>
      <c r="H419" s="66" t="s">
        <v>3262</v>
      </c>
      <c r="I419" s="144">
        <v>2</v>
      </c>
      <c r="J419" s="144">
        <v>6</v>
      </c>
      <c r="K419" s="144">
        <v>2</v>
      </c>
      <c r="L419" s="144">
        <v>2</v>
      </c>
      <c r="M419" s="144">
        <v>1</v>
      </c>
      <c r="N419" s="144">
        <v>4</v>
      </c>
      <c r="O419" s="412" t="s">
        <v>3031</v>
      </c>
      <c r="P419" s="412" t="s">
        <v>3032</v>
      </c>
      <c r="Q419" s="413"/>
      <c r="R419" s="211">
        <v>35612</v>
      </c>
      <c r="S419" s="414" t="s">
        <v>2250</v>
      </c>
      <c r="T419" s="415"/>
      <c r="U419" s="62">
        <v>1</v>
      </c>
      <c r="V419" s="62"/>
      <c r="W419" s="62"/>
      <c r="X419" s="62"/>
      <c r="Y419" s="62"/>
      <c r="Z419" s="62"/>
      <c r="AA419" s="62"/>
      <c r="AB419" s="62"/>
    </row>
    <row r="420" spans="1:28" ht="15.6" customHeight="1" x14ac:dyDescent="0.2">
      <c r="A420" s="408">
        <v>419</v>
      </c>
      <c r="B420" s="409" t="str">
        <f t="shared" si="6"/>
        <v>Hermannia trifoliata</v>
      </c>
      <c r="C420" s="410" t="s">
        <v>1695</v>
      </c>
      <c r="D420" s="75" t="s">
        <v>213</v>
      </c>
      <c r="E420" s="75" t="s">
        <v>1698</v>
      </c>
      <c r="F420" s="75" t="s">
        <v>1704</v>
      </c>
      <c r="G420" s="411" t="s">
        <v>3506</v>
      </c>
      <c r="H420" s="66" t="s">
        <v>3215</v>
      </c>
      <c r="I420" s="144">
        <v>2</v>
      </c>
      <c r="J420" s="144">
        <v>6</v>
      </c>
      <c r="K420" s="144">
        <v>2</v>
      </c>
      <c r="L420" s="144">
        <v>2</v>
      </c>
      <c r="M420" s="144">
        <v>1</v>
      </c>
      <c r="N420" s="144">
        <v>5</v>
      </c>
      <c r="O420" s="412" t="s">
        <v>3031</v>
      </c>
      <c r="P420" s="412" t="s">
        <v>3032</v>
      </c>
      <c r="Q420" s="413" t="s">
        <v>3144</v>
      </c>
      <c r="R420" s="211">
        <v>35612</v>
      </c>
      <c r="S420" s="414"/>
      <c r="T420" s="415">
        <v>1</v>
      </c>
      <c r="U420" s="62"/>
      <c r="V420" s="62">
        <v>1</v>
      </c>
      <c r="W420" s="62"/>
      <c r="X420" s="62"/>
      <c r="Y420" s="62"/>
      <c r="Z420" s="62"/>
      <c r="AA420" s="62"/>
      <c r="AB420" s="62"/>
    </row>
    <row r="421" spans="1:28" ht="15.6" customHeight="1" x14ac:dyDescent="0.2">
      <c r="A421" s="408">
        <v>420</v>
      </c>
      <c r="B421" s="409" t="str">
        <f t="shared" si="6"/>
        <v>Hibiscus trionum</v>
      </c>
      <c r="C421" s="410" t="s">
        <v>1695</v>
      </c>
      <c r="E421" s="75" t="s">
        <v>1705</v>
      </c>
      <c r="F421" s="75" t="s">
        <v>1706</v>
      </c>
      <c r="G421" s="411" t="s">
        <v>3507</v>
      </c>
      <c r="H421" s="66" t="s">
        <v>3305</v>
      </c>
      <c r="I421" s="144">
        <v>6</v>
      </c>
      <c r="J421" s="144">
        <v>9</v>
      </c>
      <c r="K421" s="144">
        <v>3</v>
      </c>
      <c r="L421" s="144">
        <v>4</v>
      </c>
      <c r="M421" s="144">
        <v>1</v>
      </c>
      <c r="N421" s="144">
        <v>3</v>
      </c>
      <c r="O421" s="412" t="s">
        <v>2910</v>
      </c>
      <c r="P421" s="412" t="s">
        <v>2915</v>
      </c>
      <c r="Q421" s="413"/>
      <c r="R421" s="211">
        <v>35855</v>
      </c>
      <c r="S421" s="414"/>
      <c r="T421" s="415">
        <v>1</v>
      </c>
      <c r="U421" s="62"/>
      <c r="V421" s="62"/>
      <c r="W421" s="62"/>
      <c r="X421" s="62"/>
      <c r="Y421" s="62"/>
      <c r="Z421" s="62"/>
      <c r="AA421" s="62">
        <v>1</v>
      </c>
      <c r="AB421" s="62"/>
    </row>
    <row r="422" spans="1:28" ht="15.6" customHeight="1" x14ac:dyDescent="0.2">
      <c r="A422" s="408">
        <v>421</v>
      </c>
      <c r="B422" s="409" t="str">
        <f t="shared" si="6"/>
        <v>Cissampelos capensis</v>
      </c>
      <c r="C422" s="410" t="s">
        <v>1707</v>
      </c>
      <c r="D422" s="75" t="s">
        <v>214</v>
      </c>
      <c r="E422" s="75" t="s">
        <v>1708</v>
      </c>
      <c r="F422" s="75" t="s">
        <v>2756</v>
      </c>
      <c r="G422" s="411" t="s">
        <v>3508</v>
      </c>
      <c r="H422" s="66" t="s">
        <v>197</v>
      </c>
      <c r="I422" s="144">
        <v>2</v>
      </c>
      <c r="J422" s="144">
        <v>9</v>
      </c>
      <c r="K422" s="144">
        <v>3</v>
      </c>
      <c r="L422" s="144">
        <v>1</v>
      </c>
      <c r="M422" s="144">
        <v>1</v>
      </c>
      <c r="N422" s="144">
        <v>3</v>
      </c>
      <c r="O422" s="412" t="s">
        <v>1657</v>
      </c>
      <c r="P422" s="412" t="s">
        <v>3032</v>
      </c>
      <c r="Q422" s="413"/>
      <c r="R422" s="211">
        <v>35612</v>
      </c>
      <c r="S422" s="414"/>
      <c r="T422" s="415">
        <v>1</v>
      </c>
      <c r="U422" s="62">
        <v>1</v>
      </c>
      <c r="V422" s="62"/>
      <c r="W422" s="62"/>
      <c r="X422" s="62"/>
      <c r="Y422" s="62"/>
      <c r="Z422" s="62"/>
      <c r="AA422" s="62"/>
      <c r="AB422" s="62"/>
    </row>
    <row r="423" spans="1:28" ht="15.6" customHeight="1" x14ac:dyDescent="0.2">
      <c r="A423" s="408">
        <v>422</v>
      </c>
      <c r="B423" s="409" t="str">
        <f t="shared" si="6"/>
        <v>Adenogramma glomerata</v>
      </c>
      <c r="C423" s="410" t="s">
        <v>1709</v>
      </c>
      <c r="E423" s="75" t="s">
        <v>1710</v>
      </c>
      <c r="F423" s="75" t="s">
        <v>987</v>
      </c>
      <c r="G423" s="411" t="s">
        <v>3509</v>
      </c>
      <c r="H423" s="66" t="s">
        <v>3261</v>
      </c>
      <c r="I423" s="144">
        <v>6</v>
      </c>
      <c r="J423" s="144">
        <v>6</v>
      </c>
      <c r="K423" s="144">
        <v>3</v>
      </c>
      <c r="L423" s="144">
        <v>2</v>
      </c>
      <c r="M423" s="144">
        <v>1</v>
      </c>
      <c r="N423" s="144">
        <v>5</v>
      </c>
      <c r="O423" s="412" t="s">
        <v>2910</v>
      </c>
      <c r="P423" s="412" t="s">
        <v>2915</v>
      </c>
      <c r="Q423" s="413"/>
      <c r="R423" s="211">
        <v>36861</v>
      </c>
      <c r="S423" s="414"/>
      <c r="T423" s="415">
        <v>1</v>
      </c>
      <c r="U423" s="62">
        <v>1</v>
      </c>
      <c r="V423" s="62">
        <v>1</v>
      </c>
      <c r="W423" s="62"/>
      <c r="X423" s="62">
        <v>1</v>
      </c>
      <c r="Y423" s="62"/>
      <c r="Z423" s="62"/>
      <c r="AA423" s="62"/>
      <c r="AB423" s="62"/>
    </row>
    <row r="424" spans="1:28" ht="15.6" customHeight="1" x14ac:dyDescent="0.2">
      <c r="A424" s="408">
        <v>423</v>
      </c>
      <c r="B424" s="409" t="str">
        <f t="shared" si="6"/>
        <v>Adenogramma lichtensteiniana</v>
      </c>
      <c r="C424" s="410" t="s">
        <v>1709</v>
      </c>
      <c r="E424" s="75" t="s">
        <v>1710</v>
      </c>
      <c r="F424" s="75" t="s">
        <v>1711</v>
      </c>
      <c r="G424" s="411" t="s">
        <v>3510</v>
      </c>
      <c r="H424" s="66" t="s">
        <v>3215</v>
      </c>
      <c r="I424" s="144">
        <v>2</v>
      </c>
      <c r="J424" s="144">
        <v>6</v>
      </c>
      <c r="K424" s="144">
        <v>3</v>
      </c>
      <c r="L424" s="144">
        <v>2</v>
      </c>
      <c r="M424" s="144">
        <v>1</v>
      </c>
      <c r="N424" s="144">
        <v>5</v>
      </c>
      <c r="O424" s="412" t="s">
        <v>3031</v>
      </c>
      <c r="P424" s="412" t="s">
        <v>3032</v>
      </c>
      <c r="Q424" s="413"/>
      <c r="R424" s="211">
        <v>36069</v>
      </c>
      <c r="S424" s="414"/>
      <c r="T424" s="415">
        <v>1</v>
      </c>
      <c r="U424" s="62"/>
      <c r="V424" s="62"/>
      <c r="W424" s="62"/>
      <c r="X424" s="62"/>
      <c r="Y424" s="62"/>
      <c r="Z424" s="62"/>
      <c r="AA424" s="62">
        <v>1</v>
      </c>
      <c r="AB424" s="62"/>
    </row>
    <row r="425" spans="1:28" ht="15.6" customHeight="1" x14ac:dyDescent="0.2">
      <c r="A425" s="408">
        <v>424</v>
      </c>
      <c r="B425" s="409" t="str">
        <f t="shared" si="6"/>
        <v>Mollugo cerviana</v>
      </c>
      <c r="C425" s="410" t="s">
        <v>1709</v>
      </c>
      <c r="E425" s="75" t="s">
        <v>1712</v>
      </c>
      <c r="F425" s="75" t="s">
        <v>1713</v>
      </c>
      <c r="G425" s="411" t="s">
        <v>3511</v>
      </c>
      <c r="H425" s="66" t="s">
        <v>3261</v>
      </c>
      <c r="I425" s="144">
        <v>6</v>
      </c>
      <c r="J425" s="144">
        <v>6</v>
      </c>
      <c r="K425" s="144">
        <v>3</v>
      </c>
      <c r="L425" s="144">
        <v>2</v>
      </c>
      <c r="M425" s="144">
        <v>1</v>
      </c>
      <c r="N425" s="144">
        <v>5</v>
      </c>
      <c r="O425" s="412" t="s">
        <v>2910</v>
      </c>
      <c r="P425" s="412" t="s">
        <v>2915</v>
      </c>
      <c r="Q425" s="413"/>
      <c r="R425" s="211">
        <v>37257</v>
      </c>
      <c r="S425" s="414"/>
      <c r="T425" s="415">
        <v>1</v>
      </c>
      <c r="U425" s="62"/>
      <c r="V425" s="62"/>
      <c r="W425" s="62"/>
      <c r="X425" s="62">
        <v>1</v>
      </c>
      <c r="Y425" s="62"/>
      <c r="Z425" s="62"/>
      <c r="AA425" s="62"/>
      <c r="AB425" s="62"/>
    </row>
    <row r="426" spans="1:28" ht="15.6" customHeight="1" x14ac:dyDescent="0.2">
      <c r="A426" s="408">
        <v>425</v>
      </c>
      <c r="B426" s="409" t="str">
        <f t="shared" si="6"/>
        <v>Pharnaceum incanum</v>
      </c>
      <c r="C426" s="410" t="s">
        <v>1709</v>
      </c>
      <c r="E426" s="75" t="s">
        <v>1714</v>
      </c>
      <c r="F426" s="75" t="s">
        <v>1567</v>
      </c>
      <c r="G426" s="411" t="s">
        <v>3512</v>
      </c>
      <c r="H426" s="66" t="s">
        <v>3215</v>
      </c>
      <c r="I426" s="144">
        <v>2</v>
      </c>
      <c r="J426" s="144">
        <v>6</v>
      </c>
      <c r="K426" s="144">
        <v>4</v>
      </c>
      <c r="L426" s="144">
        <v>3</v>
      </c>
      <c r="M426" s="144">
        <v>1</v>
      </c>
      <c r="N426" s="144">
        <v>5</v>
      </c>
      <c r="O426" s="412" t="s">
        <v>3031</v>
      </c>
      <c r="P426" s="412" t="s">
        <v>3032</v>
      </c>
      <c r="Q426" s="413"/>
      <c r="R426" s="211">
        <v>36617</v>
      </c>
      <c r="S426" s="414"/>
      <c r="T426" s="415">
        <v>1</v>
      </c>
      <c r="U426" s="62">
        <v>1</v>
      </c>
      <c r="V426" s="62"/>
      <c r="W426" s="62"/>
      <c r="X426" s="62"/>
      <c r="Y426" s="62"/>
      <c r="Z426" s="62"/>
      <c r="AA426" s="62"/>
      <c r="AB426" s="62"/>
    </row>
    <row r="427" spans="1:28" ht="15.6" customHeight="1" x14ac:dyDescent="0.2">
      <c r="A427" s="408">
        <v>426</v>
      </c>
      <c r="B427" s="409" t="str">
        <f t="shared" si="6"/>
        <v>Pharnaceum lanatum</v>
      </c>
      <c r="C427" s="410" t="s">
        <v>1709</v>
      </c>
      <c r="E427" s="75" t="s">
        <v>1714</v>
      </c>
      <c r="F427" s="75" t="s">
        <v>1715</v>
      </c>
      <c r="G427" s="411" t="s">
        <v>3513</v>
      </c>
      <c r="H427" s="66" t="s">
        <v>3248</v>
      </c>
      <c r="I427" s="144">
        <v>2</v>
      </c>
      <c r="J427" s="144">
        <v>5</v>
      </c>
      <c r="K427" s="144">
        <v>4</v>
      </c>
      <c r="L427" s="144">
        <v>3</v>
      </c>
      <c r="M427" s="144">
        <v>1</v>
      </c>
      <c r="N427" s="144">
        <v>5</v>
      </c>
      <c r="O427" s="412" t="s">
        <v>2914</v>
      </c>
      <c r="P427" s="412" t="s">
        <v>3032</v>
      </c>
      <c r="Q427" s="413"/>
      <c r="R427" s="211">
        <v>35612</v>
      </c>
      <c r="S427" s="414"/>
      <c r="T427" s="415">
        <v>1</v>
      </c>
      <c r="U427" s="62">
        <v>1</v>
      </c>
      <c r="V427" s="62"/>
      <c r="W427" s="62"/>
      <c r="X427" s="62"/>
      <c r="Y427" s="62"/>
      <c r="Z427" s="62"/>
      <c r="AA427" s="62"/>
      <c r="AB427" s="62"/>
    </row>
    <row r="428" spans="1:28" ht="15.6" customHeight="1" x14ac:dyDescent="0.2">
      <c r="A428" s="408">
        <v>427</v>
      </c>
      <c r="B428" s="409" t="str">
        <f t="shared" si="6"/>
        <v>Pharnaceum lineare</v>
      </c>
      <c r="C428" s="410" t="s">
        <v>1709</v>
      </c>
      <c r="E428" s="75" t="s">
        <v>1714</v>
      </c>
      <c r="F428" s="75" t="s">
        <v>1716</v>
      </c>
      <c r="G428" s="411" t="s">
        <v>3514</v>
      </c>
      <c r="H428" s="66" t="s">
        <v>3244</v>
      </c>
      <c r="I428" s="144">
        <v>3</v>
      </c>
      <c r="J428" s="144">
        <v>6</v>
      </c>
      <c r="K428" s="144">
        <v>4</v>
      </c>
      <c r="L428" s="144">
        <v>3</v>
      </c>
      <c r="M428" s="144">
        <v>1</v>
      </c>
      <c r="N428" s="144">
        <v>3</v>
      </c>
      <c r="O428" s="412" t="s">
        <v>2910</v>
      </c>
      <c r="P428" s="412" t="s">
        <v>3032</v>
      </c>
      <c r="Q428" s="413"/>
      <c r="R428" s="211">
        <v>35612</v>
      </c>
      <c r="S428" s="414"/>
      <c r="T428" s="415">
        <v>1</v>
      </c>
      <c r="U428" s="62">
        <v>1</v>
      </c>
      <c r="V428" s="62"/>
      <c r="W428" s="62"/>
      <c r="X428" s="62"/>
      <c r="Y428" s="62"/>
      <c r="Z428" s="62"/>
      <c r="AA428" s="62"/>
      <c r="AB428" s="62"/>
    </row>
    <row r="429" spans="1:28" ht="15.6" customHeight="1" x14ac:dyDescent="0.2">
      <c r="A429" s="408">
        <v>428</v>
      </c>
      <c r="B429" s="409" t="str">
        <f t="shared" si="6"/>
        <v>Morella cordifolia</v>
      </c>
      <c r="C429" s="410" t="s">
        <v>1717</v>
      </c>
      <c r="D429" s="75" t="s">
        <v>215</v>
      </c>
      <c r="E429" s="75" t="s">
        <v>1718</v>
      </c>
      <c r="F429" s="75" t="s">
        <v>1719</v>
      </c>
      <c r="G429" s="411" t="s">
        <v>3515</v>
      </c>
      <c r="H429" s="66" t="s">
        <v>3226</v>
      </c>
      <c r="I429" s="144">
        <v>2</v>
      </c>
      <c r="J429" s="144">
        <v>3</v>
      </c>
      <c r="K429" s="144">
        <v>2</v>
      </c>
      <c r="L429" s="144">
        <v>1</v>
      </c>
      <c r="M429" s="144">
        <v>2</v>
      </c>
      <c r="N429" s="144">
        <v>4</v>
      </c>
      <c r="O429" s="412" t="s">
        <v>2168</v>
      </c>
      <c r="P429" s="412" t="s">
        <v>3032</v>
      </c>
      <c r="Q429" s="413"/>
      <c r="R429" s="211">
        <v>35612</v>
      </c>
      <c r="S429" s="414"/>
      <c r="T429" s="415">
        <v>1</v>
      </c>
      <c r="U429" s="62">
        <v>1</v>
      </c>
      <c r="V429" s="62">
        <v>1</v>
      </c>
      <c r="W429" s="62"/>
      <c r="X429" s="62"/>
      <c r="Y429" s="62"/>
      <c r="Z429" s="62"/>
      <c r="AA429" s="62"/>
      <c r="AB429" s="62"/>
    </row>
    <row r="430" spans="1:28" ht="15.6" customHeight="1" x14ac:dyDescent="0.2">
      <c r="A430" s="408">
        <v>429</v>
      </c>
      <c r="B430" s="409" t="str">
        <f t="shared" si="6"/>
        <v>Morella quercifolia</v>
      </c>
      <c r="C430" s="410" t="s">
        <v>1717</v>
      </c>
      <c r="D430" s="75" t="s">
        <v>216</v>
      </c>
      <c r="E430" s="75" t="s">
        <v>1718</v>
      </c>
      <c r="F430" s="75" t="s">
        <v>1720</v>
      </c>
      <c r="G430" s="411" t="s">
        <v>3516</v>
      </c>
      <c r="H430" s="66" t="s">
        <v>3232</v>
      </c>
      <c r="I430" s="144">
        <v>2</v>
      </c>
      <c r="J430" s="144">
        <v>5</v>
      </c>
      <c r="K430" s="144">
        <v>2</v>
      </c>
      <c r="L430" s="144">
        <v>2</v>
      </c>
      <c r="M430" s="144">
        <v>2</v>
      </c>
      <c r="N430" s="144">
        <v>3</v>
      </c>
      <c r="O430" s="412" t="s">
        <v>2168</v>
      </c>
      <c r="P430" s="412" t="s">
        <v>3032</v>
      </c>
      <c r="Q430" s="413"/>
      <c r="R430" s="211">
        <v>35612</v>
      </c>
      <c r="S430" s="414"/>
      <c r="T430" s="415">
        <v>1</v>
      </c>
      <c r="U430" s="62"/>
      <c r="V430" s="62">
        <v>1</v>
      </c>
      <c r="W430" s="62"/>
      <c r="X430" s="62">
        <v>1</v>
      </c>
      <c r="Y430" s="62"/>
      <c r="Z430" s="62"/>
      <c r="AA430" s="62"/>
      <c r="AB430" s="62"/>
    </row>
    <row r="431" spans="1:28" ht="15.6" customHeight="1" x14ac:dyDescent="0.2">
      <c r="A431" s="408">
        <v>430</v>
      </c>
      <c r="B431" s="409" t="str">
        <f t="shared" si="6"/>
        <v>Myrsine africana</v>
      </c>
      <c r="C431" s="410" t="s">
        <v>1721</v>
      </c>
      <c r="D431" s="75" t="s">
        <v>217</v>
      </c>
      <c r="E431" s="75" t="s">
        <v>1722</v>
      </c>
      <c r="F431" s="75" t="s">
        <v>832</v>
      </c>
      <c r="G431" s="411" t="s">
        <v>3517</v>
      </c>
      <c r="H431" s="66" t="s">
        <v>3226</v>
      </c>
      <c r="I431" s="144">
        <v>2</v>
      </c>
      <c r="J431" s="144">
        <v>3</v>
      </c>
      <c r="K431" s="144">
        <v>2</v>
      </c>
      <c r="L431" s="144">
        <v>1</v>
      </c>
      <c r="M431" s="144">
        <v>2</v>
      </c>
      <c r="N431" s="144">
        <v>4</v>
      </c>
      <c r="O431" s="412" t="s">
        <v>2168</v>
      </c>
      <c r="P431" s="412" t="s">
        <v>3032</v>
      </c>
      <c r="Q431" s="413"/>
      <c r="R431" s="211">
        <v>35612</v>
      </c>
      <c r="S431" s="414"/>
      <c r="T431" s="415">
        <v>1</v>
      </c>
      <c r="U431" s="62">
        <v>1</v>
      </c>
      <c r="V431" s="62"/>
      <c r="W431" s="62">
        <v>1</v>
      </c>
      <c r="X431" s="62"/>
      <c r="Y431" s="62">
        <v>1</v>
      </c>
      <c r="Z431" s="62">
        <v>1</v>
      </c>
      <c r="AA431" s="62"/>
      <c r="AB431" s="62"/>
    </row>
    <row r="432" spans="1:28" ht="15.6" customHeight="1" x14ac:dyDescent="0.2">
      <c r="A432" s="408">
        <v>431</v>
      </c>
      <c r="B432" s="409" t="str">
        <f t="shared" si="6"/>
        <v>Rapanea melanophloeos</v>
      </c>
      <c r="C432" s="410" t="s">
        <v>1721</v>
      </c>
      <c r="D432" s="75" t="s">
        <v>218</v>
      </c>
      <c r="E432" s="75" t="s">
        <v>1723</v>
      </c>
      <c r="F432" s="75" t="s">
        <v>1760</v>
      </c>
      <c r="G432" s="411" t="s">
        <v>3518</v>
      </c>
      <c r="H432" s="66" t="s">
        <v>3297</v>
      </c>
      <c r="I432" s="144">
        <v>1</v>
      </c>
      <c r="J432" s="144">
        <v>1</v>
      </c>
      <c r="K432" s="144">
        <v>2</v>
      </c>
      <c r="L432" s="144">
        <v>2</v>
      </c>
      <c r="M432" s="144">
        <v>2</v>
      </c>
      <c r="N432" s="144">
        <v>2</v>
      </c>
      <c r="O432" s="412" t="s">
        <v>2173</v>
      </c>
      <c r="P432" s="412" t="s">
        <v>3032</v>
      </c>
      <c r="Q432" s="413"/>
      <c r="R432" s="211">
        <v>35612</v>
      </c>
      <c r="S432" s="414"/>
      <c r="T432" s="415">
        <v>1</v>
      </c>
      <c r="U432" s="62"/>
      <c r="V432" s="62"/>
      <c r="W432" s="62"/>
      <c r="X432" s="62"/>
      <c r="Y432" s="62"/>
      <c r="Z432" s="62">
        <v>1</v>
      </c>
      <c r="AA432" s="62"/>
      <c r="AB432" s="62"/>
    </row>
    <row r="433" spans="1:28" ht="15.6" customHeight="1" x14ac:dyDescent="0.2">
      <c r="A433" s="408">
        <v>432</v>
      </c>
      <c r="B433" s="409" t="str">
        <f t="shared" si="6"/>
        <v>Chionanthus foveolatus</v>
      </c>
      <c r="C433" s="410" t="s">
        <v>1761</v>
      </c>
      <c r="D433" s="75" t="s">
        <v>219</v>
      </c>
      <c r="E433" s="75" t="s">
        <v>1762</v>
      </c>
      <c r="F433" s="75" t="s">
        <v>1763</v>
      </c>
      <c r="G433" s="411" t="s">
        <v>3519</v>
      </c>
      <c r="H433" s="66" t="s">
        <v>3280</v>
      </c>
      <c r="I433" s="144">
        <v>1</v>
      </c>
      <c r="J433" s="144">
        <v>2</v>
      </c>
      <c r="K433" s="144">
        <v>2</v>
      </c>
      <c r="L433" s="144">
        <v>1</v>
      </c>
      <c r="M433" s="144">
        <v>2</v>
      </c>
      <c r="N433" s="144">
        <v>2</v>
      </c>
      <c r="O433" s="412" t="s">
        <v>2173</v>
      </c>
      <c r="P433" s="412" t="s">
        <v>3032</v>
      </c>
      <c r="Q433" s="413"/>
      <c r="R433" s="211">
        <v>35612</v>
      </c>
      <c r="S433" s="414"/>
      <c r="T433" s="415">
        <v>1</v>
      </c>
      <c r="U433" s="62"/>
      <c r="V433" s="62"/>
      <c r="W433" s="62"/>
      <c r="X433" s="62"/>
      <c r="Y433" s="62">
        <v>1</v>
      </c>
      <c r="Z433" s="62">
        <v>1</v>
      </c>
      <c r="AA433" s="62"/>
      <c r="AB433" s="62"/>
    </row>
    <row r="434" spans="1:28" ht="15.6" customHeight="1" x14ac:dyDescent="0.2">
      <c r="A434" s="408">
        <v>433</v>
      </c>
      <c r="B434" s="409" t="str">
        <f t="shared" si="6"/>
        <v>Olea capensis ssp. capensis</v>
      </c>
      <c r="C434" s="410" t="s">
        <v>1761</v>
      </c>
      <c r="D434" s="75" t="s">
        <v>220</v>
      </c>
      <c r="E434" s="75" t="s">
        <v>1764</v>
      </c>
      <c r="F434" s="75" t="s">
        <v>471</v>
      </c>
      <c r="G434" s="411" t="s">
        <v>3520</v>
      </c>
      <c r="H434" s="66" t="s">
        <v>3258</v>
      </c>
      <c r="I434" s="144">
        <v>2</v>
      </c>
      <c r="J434" s="144">
        <v>4</v>
      </c>
      <c r="K434" s="144">
        <v>2</v>
      </c>
      <c r="L434" s="144">
        <v>1</v>
      </c>
      <c r="M434" s="144">
        <v>2</v>
      </c>
      <c r="N434" s="144">
        <v>2</v>
      </c>
      <c r="O434" s="412" t="s">
        <v>2168</v>
      </c>
      <c r="P434" s="412" t="s">
        <v>3032</v>
      </c>
      <c r="Q434" s="413"/>
      <c r="R434" s="211">
        <v>35612</v>
      </c>
      <c r="S434" s="414"/>
      <c r="T434" s="415">
        <v>1</v>
      </c>
      <c r="U434" s="62">
        <v>1</v>
      </c>
      <c r="V434" s="62">
        <v>1</v>
      </c>
      <c r="W434" s="62">
        <v>1</v>
      </c>
      <c r="X434" s="62">
        <v>1</v>
      </c>
      <c r="Y434" s="62"/>
      <c r="Z434" s="62"/>
      <c r="AA434" s="62"/>
      <c r="AB434" s="62">
        <v>1</v>
      </c>
    </row>
    <row r="435" spans="1:28" ht="15.6" customHeight="1" x14ac:dyDescent="0.2">
      <c r="A435" s="408">
        <v>434</v>
      </c>
      <c r="B435" s="409" t="str">
        <f t="shared" si="6"/>
        <v>Olea capensis ssp. macrocarpa</v>
      </c>
      <c r="C435" s="410" t="s">
        <v>1761</v>
      </c>
      <c r="D435" s="75" t="s">
        <v>221</v>
      </c>
      <c r="E435" s="75" t="s">
        <v>1764</v>
      </c>
      <c r="F435" s="75" t="s">
        <v>525</v>
      </c>
      <c r="G435" s="411" t="s">
        <v>3520</v>
      </c>
      <c r="H435" s="66" t="s">
        <v>3280</v>
      </c>
      <c r="I435" s="144">
        <v>1</v>
      </c>
      <c r="J435" s="144">
        <v>2</v>
      </c>
      <c r="K435" s="144">
        <v>2</v>
      </c>
      <c r="L435" s="144">
        <v>1</v>
      </c>
      <c r="M435" s="144">
        <v>2</v>
      </c>
      <c r="N435" s="144">
        <v>2</v>
      </c>
      <c r="O435" s="412" t="s">
        <v>2173</v>
      </c>
      <c r="P435" s="412" t="s">
        <v>3032</v>
      </c>
      <c r="Q435" s="413"/>
      <c r="R435" s="211">
        <v>35612</v>
      </c>
      <c r="S435" s="414"/>
      <c r="T435" s="415">
        <v>1</v>
      </c>
      <c r="U435" s="62"/>
      <c r="V435" s="62"/>
      <c r="W435" s="62"/>
      <c r="X435" s="62"/>
      <c r="Y435" s="62"/>
      <c r="Z435" s="62">
        <v>1</v>
      </c>
      <c r="AA435" s="62"/>
      <c r="AB435" s="62"/>
    </row>
    <row r="436" spans="1:28" ht="15.6" customHeight="1" x14ac:dyDescent="0.2">
      <c r="A436" s="408">
        <v>435</v>
      </c>
      <c r="B436" s="409" t="str">
        <f t="shared" si="6"/>
        <v>Olea europaea ssp. africana</v>
      </c>
      <c r="C436" s="410" t="s">
        <v>1761</v>
      </c>
      <c r="D436" s="75" t="s">
        <v>222</v>
      </c>
      <c r="E436" s="75" t="s">
        <v>1764</v>
      </c>
      <c r="F436" s="75" t="s">
        <v>472</v>
      </c>
      <c r="G436" s="411" t="s">
        <v>3521</v>
      </c>
      <c r="H436" s="66" t="s">
        <v>3258</v>
      </c>
      <c r="I436" s="144">
        <v>2</v>
      </c>
      <c r="J436" s="144">
        <v>4</v>
      </c>
      <c r="K436" s="144">
        <v>2</v>
      </c>
      <c r="L436" s="144">
        <v>2</v>
      </c>
      <c r="M436" s="144">
        <v>2</v>
      </c>
      <c r="N436" s="144">
        <v>3</v>
      </c>
      <c r="O436" s="412" t="s">
        <v>2914</v>
      </c>
      <c r="P436" s="412" t="s">
        <v>3032</v>
      </c>
      <c r="Q436" s="413"/>
      <c r="R436" s="211">
        <v>35855</v>
      </c>
      <c r="S436" s="414"/>
      <c r="T436" s="415">
        <v>1</v>
      </c>
      <c r="U436" s="62">
        <v>1</v>
      </c>
      <c r="V436" s="62"/>
      <c r="W436" s="62"/>
      <c r="X436" s="62"/>
      <c r="Y436" s="62">
        <v>1</v>
      </c>
      <c r="Z436" s="62">
        <v>1</v>
      </c>
      <c r="AA436" s="62"/>
      <c r="AB436" s="62"/>
    </row>
    <row r="437" spans="1:28" ht="15.6" customHeight="1" x14ac:dyDescent="0.2">
      <c r="A437" s="408">
        <v>436</v>
      </c>
      <c r="B437" s="409" t="str">
        <f t="shared" si="6"/>
        <v>Olea exasperata</v>
      </c>
      <c r="C437" s="410" t="s">
        <v>1761</v>
      </c>
      <c r="D437" s="75" t="s">
        <v>223</v>
      </c>
      <c r="E437" s="75" t="s">
        <v>1764</v>
      </c>
      <c r="F437" s="75" t="s">
        <v>1765</v>
      </c>
      <c r="G437" s="411" t="s">
        <v>3522</v>
      </c>
      <c r="H437" s="66" t="s">
        <v>3258</v>
      </c>
      <c r="I437" s="144">
        <v>2</v>
      </c>
      <c r="J437" s="144">
        <v>4</v>
      </c>
      <c r="K437" s="144">
        <v>2</v>
      </c>
      <c r="L437" s="144">
        <v>2</v>
      </c>
      <c r="M437" s="144">
        <v>2</v>
      </c>
      <c r="N437" s="144">
        <v>3</v>
      </c>
      <c r="O437" s="412" t="s">
        <v>2168</v>
      </c>
      <c r="P437" s="412" t="s">
        <v>3032</v>
      </c>
      <c r="Q437" s="413"/>
      <c r="R437" s="211">
        <v>35612</v>
      </c>
      <c r="S437" s="414"/>
      <c r="T437" s="415">
        <v>1</v>
      </c>
      <c r="U437" s="62"/>
      <c r="V437" s="62">
        <v>1</v>
      </c>
      <c r="W437" s="62"/>
      <c r="X437" s="62">
        <v>1</v>
      </c>
      <c r="Y437" s="62">
        <v>1</v>
      </c>
      <c r="Z437" s="62"/>
      <c r="AA437" s="62"/>
      <c r="AB437" s="62">
        <v>1</v>
      </c>
    </row>
    <row r="438" spans="1:28" ht="15.6" customHeight="1" x14ac:dyDescent="0.2">
      <c r="A438" s="408">
        <v>437</v>
      </c>
      <c r="B438" s="409" t="str">
        <f t="shared" si="6"/>
        <v>Olinia ventosa</v>
      </c>
      <c r="C438" s="410" t="s">
        <v>1766</v>
      </c>
      <c r="D438" s="75" t="s">
        <v>224</v>
      </c>
      <c r="E438" s="75" t="s">
        <v>1767</v>
      </c>
      <c r="F438" s="75" t="s">
        <v>1768</v>
      </c>
      <c r="G438" s="411" t="s">
        <v>3523</v>
      </c>
      <c r="H438" s="66" t="s">
        <v>3306</v>
      </c>
      <c r="I438" s="144">
        <v>1</v>
      </c>
      <c r="J438" s="144">
        <v>1</v>
      </c>
      <c r="K438" s="144">
        <v>2</v>
      </c>
      <c r="L438" s="144">
        <v>1</v>
      </c>
      <c r="M438" s="144">
        <v>2</v>
      </c>
      <c r="N438" s="144" t="s">
        <v>2690</v>
      </c>
      <c r="O438" s="412" t="s">
        <v>2173</v>
      </c>
      <c r="P438" s="412" t="s">
        <v>3032</v>
      </c>
      <c r="Q438" s="413"/>
      <c r="R438" s="211">
        <v>35551</v>
      </c>
      <c r="S438" s="414" t="s">
        <v>2250</v>
      </c>
      <c r="T438" s="415"/>
      <c r="U438" s="62"/>
      <c r="V438" s="62"/>
      <c r="W438" s="62"/>
      <c r="X438" s="62"/>
      <c r="Y438" s="62"/>
      <c r="Z438" s="62">
        <v>1</v>
      </c>
      <c r="AA438" s="62"/>
      <c r="AB438" s="62"/>
    </row>
    <row r="439" spans="1:28" ht="15.6" customHeight="1" x14ac:dyDescent="0.2">
      <c r="A439" s="408">
        <v>438</v>
      </c>
      <c r="B439" s="409" t="str">
        <f t="shared" si="6"/>
        <v>Epilobium hirsutum</v>
      </c>
      <c r="C439" s="410" t="s">
        <v>1769</v>
      </c>
      <c r="D439" s="75" t="s">
        <v>225</v>
      </c>
      <c r="E439" s="75" t="s">
        <v>1770</v>
      </c>
      <c r="F439" s="75" t="s">
        <v>1771</v>
      </c>
      <c r="G439" s="411" t="s">
        <v>3524</v>
      </c>
      <c r="H439" s="66" t="s">
        <v>3270</v>
      </c>
      <c r="I439" s="144">
        <v>3</v>
      </c>
      <c r="J439" s="144">
        <v>3</v>
      </c>
      <c r="K439" s="144">
        <v>3</v>
      </c>
      <c r="L439" s="144">
        <v>2</v>
      </c>
      <c r="M439" s="144">
        <v>1</v>
      </c>
      <c r="N439" s="144">
        <v>3</v>
      </c>
      <c r="O439" s="412" t="s">
        <v>2910</v>
      </c>
      <c r="P439" s="412" t="s">
        <v>2915</v>
      </c>
      <c r="Q439" s="413"/>
      <c r="R439" s="211">
        <v>35947</v>
      </c>
      <c r="S439" s="414"/>
      <c r="T439" s="415">
        <v>1</v>
      </c>
      <c r="U439" s="62"/>
      <c r="V439" s="62"/>
      <c r="W439" s="62"/>
      <c r="X439" s="62"/>
      <c r="Y439" s="62"/>
      <c r="Z439" s="62"/>
      <c r="AA439" s="62">
        <v>1</v>
      </c>
      <c r="AB439" s="62"/>
    </row>
    <row r="440" spans="1:28" ht="15.6" customHeight="1" x14ac:dyDescent="0.2">
      <c r="A440" s="408">
        <v>439</v>
      </c>
      <c r="B440" s="409" t="str">
        <f t="shared" si="6"/>
        <v>Acrolophia bolusii</v>
      </c>
      <c r="C440" s="410" t="s">
        <v>1772</v>
      </c>
      <c r="E440" s="75" t="s">
        <v>1773</v>
      </c>
      <c r="F440" s="75" t="s">
        <v>1014</v>
      </c>
      <c r="G440" s="411" t="s">
        <v>3525</v>
      </c>
      <c r="H440" s="66" t="s">
        <v>3243</v>
      </c>
      <c r="I440" s="144">
        <v>4</v>
      </c>
      <c r="J440" s="144">
        <v>5</v>
      </c>
      <c r="K440" s="144">
        <v>4</v>
      </c>
      <c r="L440" s="144">
        <v>2</v>
      </c>
      <c r="M440" s="144">
        <v>2</v>
      </c>
      <c r="N440" s="144">
        <v>2</v>
      </c>
      <c r="O440" s="412" t="s">
        <v>2163</v>
      </c>
      <c r="P440" s="412" t="s">
        <v>3032</v>
      </c>
      <c r="Q440" s="413" t="s">
        <v>3148</v>
      </c>
      <c r="R440" s="211">
        <v>37316</v>
      </c>
      <c r="S440" s="414"/>
      <c r="T440" s="415">
        <v>1</v>
      </c>
      <c r="U440" s="62"/>
      <c r="V440" s="62"/>
      <c r="W440" s="62"/>
      <c r="X440" s="62">
        <v>1</v>
      </c>
      <c r="Y440" s="62"/>
      <c r="Z440" s="62"/>
      <c r="AA440" s="62"/>
      <c r="AB440" s="62"/>
    </row>
    <row r="441" spans="1:28" ht="15.6" customHeight="1" x14ac:dyDescent="0.2">
      <c r="A441" s="408">
        <v>440</v>
      </c>
      <c r="B441" s="409" t="str">
        <f t="shared" si="6"/>
        <v>Acrolophia lamellata</v>
      </c>
      <c r="C441" s="410" t="s">
        <v>1772</v>
      </c>
      <c r="E441" s="75" t="s">
        <v>1773</v>
      </c>
      <c r="F441" s="75" t="s">
        <v>1774</v>
      </c>
      <c r="G441" s="411" t="s">
        <v>1361</v>
      </c>
      <c r="H441" s="66" t="s">
        <v>3295</v>
      </c>
      <c r="I441" s="144">
        <v>4</v>
      </c>
      <c r="J441" s="144">
        <v>5</v>
      </c>
      <c r="K441" s="144">
        <v>4</v>
      </c>
      <c r="L441" s="144">
        <v>2</v>
      </c>
      <c r="M441" s="144">
        <v>1</v>
      </c>
      <c r="N441" s="144">
        <v>1</v>
      </c>
      <c r="O441" s="412" t="s">
        <v>2163</v>
      </c>
      <c r="P441" s="412" t="s">
        <v>3032</v>
      </c>
      <c r="Q441" s="413"/>
      <c r="R441" s="211">
        <v>36892</v>
      </c>
      <c r="S441" s="414"/>
      <c r="T441" s="415">
        <v>1</v>
      </c>
      <c r="U441" s="62"/>
      <c r="V441" s="62"/>
      <c r="W441" s="62"/>
      <c r="X441" s="62">
        <v>1</v>
      </c>
      <c r="Y441" s="62"/>
      <c r="Z441" s="62"/>
      <c r="AA441" s="62"/>
      <c r="AB441" s="62"/>
    </row>
    <row r="442" spans="1:28" ht="15.6" customHeight="1" x14ac:dyDescent="0.2">
      <c r="A442" s="408">
        <v>441</v>
      </c>
      <c r="B442" s="409" t="str">
        <f t="shared" si="6"/>
        <v>Acrolophia micrantha</v>
      </c>
      <c r="C442" s="410" t="s">
        <v>1772</v>
      </c>
      <c r="E442" s="75" t="s">
        <v>1773</v>
      </c>
      <c r="F442" s="75" t="s">
        <v>1775</v>
      </c>
      <c r="G442" s="411" t="s">
        <v>1362</v>
      </c>
      <c r="H442" s="66" t="s">
        <v>3243</v>
      </c>
      <c r="I442" s="144">
        <v>4</v>
      </c>
      <c r="J442" s="144">
        <v>5</v>
      </c>
      <c r="K442" s="144">
        <v>4</v>
      </c>
      <c r="L442" s="144">
        <v>2</v>
      </c>
      <c r="M442" s="144">
        <v>2</v>
      </c>
      <c r="N442" s="144">
        <v>1</v>
      </c>
      <c r="O442" s="412" t="s">
        <v>2163</v>
      </c>
      <c r="P442" s="412" t="s">
        <v>3032</v>
      </c>
      <c r="Q442" s="413" t="s">
        <v>3145</v>
      </c>
      <c r="R442" s="211">
        <v>36069</v>
      </c>
      <c r="S442" s="414"/>
      <c r="T442" s="415">
        <v>1</v>
      </c>
      <c r="U442" s="62"/>
      <c r="V442" s="62"/>
      <c r="W442" s="62"/>
      <c r="X442" s="62">
        <v>1</v>
      </c>
      <c r="Y442" s="62"/>
      <c r="Z442" s="62"/>
      <c r="AA442" s="62"/>
      <c r="AB442" s="62"/>
    </row>
    <row r="443" spans="1:28" ht="15.6" customHeight="1" x14ac:dyDescent="0.2">
      <c r="A443" s="408">
        <v>442</v>
      </c>
      <c r="B443" s="409" t="str">
        <f t="shared" si="6"/>
        <v>Bartholina etheliae</v>
      </c>
      <c r="C443" s="410" t="s">
        <v>1772</v>
      </c>
      <c r="D443" s="75" t="s">
        <v>226</v>
      </c>
      <c r="E443" s="75" t="s">
        <v>1776</v>
      </c>
      <c r="F443" s="75" t="s">
        <v>1777</v>
      </c>
      <c r="G443" s="411" t="s">
        <v>3336</v>
      </c>
      <c r="H443" s="66" t="s">
        <v>3225</v>
      </c>
      <c r="I443" s="144">
        <v>4</v>
      </c>
      <c r="J443" s="144">
        <v>6</v>
      </c>
      <c r="K443" s="144">
        <v>4</v>
      </c>
      <c r="L443" s="144">
        <v>9</v>
      </c>
      <c r="M443" s="144">
        <v>9</v>
      </c>
      <c r="N443" s="144">
        <v>9</v>
      </c>
      <c r="O443" s="412" t="s">
        <v>2163</v>
      </c>
      <c r="P443" s="412" t="s">
        <v>3032</v>
      </c>
      <c r="Q443" s="413"/>
      <c r="R443" s="211">
        <v>35735</v>
      </c>
      <c r="S443" s="414" t="s">
        <v>2702</v>
      </c>
      <c r="T443" s="415"/>
      <c r="U443" s="62"/>
      <c r="V443" s="62"/>
      <c r="W443" s="62"/>
      <c r="X443" s="62">
        <v>1</v>
      </c>
      <c r="Y443" s="62"/>
      <c r="Z443" s="62"/>
      <c r="AA443" s="62"/>
      <c r="AB443" s="62"/>
    </row>
    <row r="444" spans="1:28" ht="15.6" customHeight="1" x14ac:dyDescent="0.2">
      <c r="A444" s="408">
        <v>443</v>
      </c>
      <c r="B444" s="409" t="str">
        <f t="shared" si="6"/>
        <v>Bonatea speciosa</v>
      </c>
      <c r="C444" s="410" t="s">
        <v>1772</v>
      </c>
      <c r="D444" s="75" t="s">
        <v>227</v>
      </c>
      <c r="E444" s="75" t="s">
        <v>1778</v>
      </c>
      <c r="F444" s="75" t="s">
        <v>1779</v>
      </c>
      <c r="G444" s="411" t="s">
        <v>3337</v>
      </c>
      <c r="H444" s="66" t="s">
        <v>3307</v>
      </c>
      <c r="I444" s="144">
        <v>4</v>
      </c>
      <c r="J444" s="144">
        <v>5</v>
      </c>
      <c r="K444" s="144">
        <v>4</v>
      </c>
      <c r="L444" s="144">
        <v>1</v>
      </c>
      <c r="M444" s="144">
        <v>4</v>
      </c>
      <c r="N444" s="144">
        <v>2</v>
      </c>
      <c r="O444" s="412" t="s">
        <v>2163</v>
      </c>
      <c r="P444" s="412" t="s">
        <v>3032</v>
      </c>
      <c r="Q444" s="413" t="s">
        <v>3144</v>
      </c>
      <c r="R444" s="211">
        <v>35490</v>
      </c>
      <c r="S444" s="414" t="s">
        <v>2702</v>
      </c>
      <c r="T444" s="415"/>
      <c r="U444" s="62"/>
      <c r="V444" s="62"/>
      <c r="W444" s="62"/>
      <c r="X444" s="62">
        <v>1</v>
      </c>
      <c r="Y444" s="62"/>
      <c r="Z444" s="62"/>
      <c r="AA444" s="62"/>
      <c r="AB444" s="62"/>
    </row>
    <row r="445" spans="1:28" ht="15.6" customHeight="1" x14ac:dyDescent="0.2">
      <c r="A445" s="408">
        <v>444</v>
      </c>
      <c r="B445" s="409" t="str">
        <f t="shared" si="6"/>
        <v>Corycium bicolorum</v>
      </c>
      <c r="C445" s="410" t="s">
        <v>1772</v>
      </c>
      <c r="E445" s="75" t="s">
        <v>1780</v>
      </c>
      <c r="F445" s="75" t="s">
        <v>1781</v>
      </c>
      <c r="G445" s="411" t="s">
        <v>3338</v>
      </c>
      <c r="H445" s="66" t="s">
        <v>1287</v>
      </c>
      <c r="I445" s="144">
        <v>4</v>
      </c>
      <c r="J445" s="144">
        <v>6</v>
      </c>
      <c r="K445" s="144">
        <v>4</v>
      </c>
      <c r="L445" s="144">
        <v>2</v>
      </c>
      <c r="M445" s="144">
        <v>1</v>
      </c>
      <c r="N445" s="144">
        <v>2</v>
      </c>
      <c r="O445" s="412" t="s">
        <v>2163</v>
      </c>
      <c r="P445" s="412" t="s">
        <v>3032</v>
      </c>
      <c r="Q445" s="413"/>
      <c r="R445" s="211">
        <v>35886</v>
      </c>
      <c r="S445" s="414"/>
      <c r="T445" s="415">
        <v>1</v>
      </c>
      <c r="U445" s="62">
        <v>1</v>
      </c>
      <c r="V445" s="62"/>
      <c r="W445" s="62"/>
      <c r="X445" s="62"/>
      <c r="Y445" s="62"/>
      <c r="Z445" s="62"/>
      <c r="AA445" s="62"/>
      <c r="AB445" s="62"/>
    </row>
    <row r="446" spans="1:28" ht="15.6" customHeight="1" x14ac:dyDescent="0.2">
      <c r="A446" s="408">
        <v>445</v>
      </c>
      <c r="B446" s="409" t="str">
        <f t="shared" si="6"/>
        <v>Corycium carnosum</v>
      </c>
      <c r="C446" s="410" t="s">
        <v>1772</v>
      </c>
      <c r="E446" s="75" t="s">
        <v>1780</v>
      </c>
      <c r="F446" s="75" t="s">
        <v>1782</v>
      </c>
      <c r="G446" s="411" t="s">
        <v>3339</v>
      </c>
      <c r="H446" s="66" t="s">
        <v>1873</v>
      </c>
      <c r="I446" s="144">
        <v>4</v>
      </c>
      <c r="J446" s="144">
        <v>5</v>
      </c>
      <c r="K446" s="144">
        <v>4</v>
      </c>
      <c r="L446" s="144">
        <v>9</v>
      </c>
      <c r="M446" s="144">
        <v>9</v>
      </c>
      <c r="N446" s="144">
        <v>9</v>
      </c>
      <c r="O446" s="412" t="s">
        <v>2163</v>
      </c>
      <c r="P446" s="412" t="s">
        <v>3032</v>
      </c>
      <c r="Q446" s="413"/>
      <c r="R446" s="211">
        <v>35704</v>
      </c>
      <c r="S446" s="414" t="s">
        <v>2250</v>
      </c>
      <c r="T446" s="415"/>
      <c r="U446" s="62"/>
      <c r="V446" s="62"/>
      <c r="W446" s="62">
        <v>1</v>
      </c>
      <c r="X446" s="62"/>
      <c r="Y446" s="62"/>
      <c r="Z446" s="62"/>
      <c r="AA446" s="62"/>
      <c r="AB446" s="62"/>
    </row>
    <row r="447" spans="1:28" ht="15.6" customHeight="1" x14ac:dyDescent="0.2">
      <c r="A447" s="408">
        <v>446</v>
      </c>
      <c r="B447" s="409" t="str">
        <f t="shared" si="6"/>
        <v>Corycium orobanchoides</v>
      </c>
      <c r="C447" s="410" t="s">
        <v>1772</v>
      </c>
      <c r="E447" s="75" t="s">
        <v>1780</v>
      </c>
      <c r="F447" s="75" t="s">
        <v>1783</v>
      </c>
      <c r="G447" s="411" t="s">
        <v>3340</v>
      </c>
      <c r="H447" s="66" t="s">
        <v>1287</v>
      </c>
      <c r="I447" s="144">
        <v>4</v>
      </c>
      <c r="J447" s="144">
        <v>6</v>
      </c>
      <c r="K447" s="144">
        <v>4</v>
      </c>
      <c r="L447" s="144">
        <v>2</v>
      </c>
      <c r="M447" s="144">
        <v>1</v>
      </c>
      <c r="N447" s="144">
        <v>2</v>
      </c>
      <c r="O447" s="412" t="s">
        <v>2163</v>
      </c>
      <c r="P447" s="412" t="s">
        <v>3032</v>
      </c>
      <c r="Q447" s="413"/>
      <c r="R447" s="211">
        <v>37073</v>
      </c>
      <c r="S447" s="414"/>
      <c r="T447" s="415">
        <v>1</v>
      </c>
      <c r="U447" s="62">
        <v>1</v>
      </c>
      <c r="V447" s="62"/>
      <c r="W447" s="62"/>
      <c r="X447" s="62"/>
      <c r="Y447" s="62"/>
      <c r="Z447" s="62"/>
      <c r="AA447" s="62"/>
      <c r="AB447" s="62"/>
    </row>
    <row r="448" spans="1:28" ht="15.6" customHeight="1" x14ac:dyDescent="0.2">
      <c r="A448" s="408">
        <v>447</v>
      </c>
      <c r="B448" s="409" t="str">
        <f t="shared" si="6"/>
        <v>Disa bracteata</v>
      </c>
      <c r="C448" s="410" t="s">
        <v>1772</v>
      </c>
      <c r="E448" s="75" t="s">
        <v>1784</v>
      </c>
      <c r="F448" s="75" t="s">
        <v>1785</v>
      </c>
      <c r="G448" s="411" t="s">
        <v>3341</v>
      </c>
      <c r="H448" s="66" t="s">
        <v>1287</v>
      </c>
      <c r="I448" s="144">
        <v>4</v>
      </c>
      <c r="J448" s="144">
        <v>6</v>
      </c>
      <c r="K448" s="144">
        <v>4</v>
      </c>
      <c r="L448" s="144">
        <v>2</v>
      </c>
      <c r="M448" s="144">
        <v>1</v>
      </c>
      <c r="N448" s="144">
        <v>1</v>
      </c>
      <c r="O448" s="412" t="s">
        <v>2163</v>
      </c>
      <c r="P448" s="412" t="s">
        <v>3032</v>
      </c>
      <c r="Q448" s="413"/>
      <c r="R448" s="211">
        <v>35886</v>
      </c>
      <c r="S448" s="414"/>
      <c r="T448" s="415">
        <v>1</v>
      </c>
      <c r="U448" s="62"/>
      <c r="V448" s="62"/>
      <c r="W448" s="62"/>
      <c r="X448" s="62">
        <v>1</v>
      </c>
      <c r="Y448" s="62"/>
      <c r="Z448" s="62"/>
      <c r="AA448" s="62"/>
      <c r="AB448" s="62"/>
    </row>
    <row r="449" spans="1:28" ht="15.6" customHeight="1" x14ac:dyDescent="0.2">
      <c r="A449" s="408">
        <v>448</v>
      </c>
      <c r="B449" s="409" t="str">
        <f t="shared" si="6"/>
        <v>Disa cornuta</v>
      </c>
      <c r="C449" s="410" t="s">
        <v>1772</v>
      </c>
      <c r="E449" s="75" t="s">
        <v>1784</v>
      </c>
      <c r="F449" s="75" t="s">
        <v>1786</v>
      </c>
      <c r="G449" s="411" t="s">
        <v>3342</v>
      </c>
      <c r="H449" s="66" t="s">
        <v>3307</v>
      </c>
      <c r="I449" s="144">
        <v>4</v>
      </c>
      <c r="J449" s="144">
        <v>5</v>
      </c>
      <c r="K449" s="144">
        <v>4</v>
      </c>
      <c r="L449" s="144">
        <v>2</v>
      </c>
      <c r="M449" s="144">
        <v>4</v>
      </c>
      <c r="N449" s="144">
        <v>3</v>
      </c>
      <c r="O449" s="412" t="s">
        <v>2163</v>
      </c>
      <c r="P449" s="412" t="s">
        <v>3032</v>
      </c>
      <c r="Q449" s="413"/>
      <c r="R449" s="211">
        <v>36861</v>
      </c>
      <c r="S449" s="414" t="s">
        <v>2702</v>
      </c>
      <c r="T449" s="415"/>
      <c r="U449" s="62"/>
      <c r="V449" s="62"/>
      <c r="W449" s="62"/>
      <c r="X449" s="62">
        <v>1</v>
      </c>
      <c r="Y449" s="62"/>
      <c r="Z449" s="62"/>
      <c r="AA449" s="62"/>
      <c r="AB449" s="62"/>
    </row>
    <row r="450" spans="1:28" ht="15.6" customHeight="1" x14ac:dyDescent="0.2">
      <c r="A450" s="408">
        <v>449</v>
      </c>
      <c r="B450" s="409" t="str">
        <f t="shared" ref="B450:B513" si="7">E450&amp;" "&amp;F450</f>
        <v>Disa densiflora</v>
      </c>
      <c r="C450" s="410" t="s">
        <v>1772</v>
      </c>
      <c r="E450" s="75" t="s">
        <v>1784</v>
      </c>
      <c r="F450" s="75" t="s">
        <v>1787</v>
      </c>
      <c r="G450" s="411" t="s">
        <v>3343</v>
      </c>
      <c r="H450" s="66" t="s">
        <v>1287</v>
      </c>
      <c r="I450" s="144">
        <v>4</v>
      </c>
      <c r="J450" s="144">
        <v>6</v>
      </c>
      <c r="K450" s="144">
        <v>4</v>
      </c>
      <c r="L450" s="144">
        <v>2</v>
      </c>
      <c r="M450" s="144">
        <v>1</v>
      </c>
      <c r="N450" s="144">
        <v>3</v>
      </c>
      <c r="O450" s="412" t="s">
        <v>2163</v>
      </c>
      <c r="P450" s="412" t="s">
        <v>3032</v>
      </c>
      <c r="Q450" s="413"/>
      <c r="R450" s="211">
        <v>35886</v>
      </c>
      <c r="S450" s="414"/>
      <c r="T450" s="415">
        <v>1</v>
      </c>
      <c r="U450" s="62"/>
      <c r="V450" s="62"/>
      <c r="W450" s="62"/>
      <c r="X450" s="62">
        <v>1</v>
      </c>
      <c r="Y450" s="62"/>
      <c r="Z450" s="62"/>
      <c r="AA450" s="62"/>
      <c r="AB450" s="62"/>
    </row>
    <row r="451" spans="1:28" ht="15.6" customHeight="1" x14ac:dyDescent="0.2">
      <c r="A451" s="408">
        <v>450</v>
      </c>
      <c r="B451" s="409" t="str">
        <f t="shared" si="7"/>
        <v>Disa graminifolia</v>
      </c>
      <c r="C451" s="410" t="s">
        <v>1772</v>
      </c>
      <c r="D451" s="75" t="s">
        <v>228</v>
      </c>
      <c r="E451" s="75" t="s">
        <v>1784</v>
      </c>
      <c r="F451" s="75" t="s">
        <v>1788</v>
      </c>
      <c r="G451" s="411" t="s">
        <v>3344</v>
      </c>
      <c r="H451" s="66" t="s">
        <v>3295</v>
      </c>
      <c r="I451" s="144">
        <v>4</v>
      </c>
      <c r="J451" s="144">
        <v>5</v>
      </c>
      <c r="K451" s="144">
        <v>4</v>
      </c>
      <c r="L451" s="144">
        <v>2</v>
      </c>
      <c r="M451" s="144">
        <v>1</v>
      </c>
      <c r="N451" s="144">
        <v>3</v>
      </c>
      <c r="O451" s="412" t="s">
        <v>2163</v>
      </c>
      <c r="P451" s="412" t="s">
        <v>3032</v>
      </c>
      <c r="Q451" s="413"/>
      <c r="R451" s="211">
        <v>36831</v>
      </c>
      <c r="S451" s="414"/>
      <c r="T451" s="415">
        <v>1</v>
      </c>
      <c r="U451" s="62"/>
      <c r="V451" s="62"/>
      <c r="W451" s="62"/>
      <c r="X451" s="62">
        <v>1</v>
      </c>
      <c r="Y451" s="62"/>
      <c r="Z451" s="62"/>
      <c r="AA451" s="62"/>
      <c r="AB451" s="62"/>
    </row>
    <row r="452" spans="1:28" ht="15.6" customHeight="1" x14ac:dyDescent="0.2">
      <c r="A452" s="408">
        <v>451</v>
      </c>
      <c r="B452" s="409" t="str">
        <f t="shared" si="7"/>
        <v>Disa hallackii</v>
      </c>
      <c r="C452" s="410" t="s">
        <v>1772</v>
      </c>
      <c r="E452" s="75" t="s">
        <v>1784</v>
      </c>
      <c r="F452" s="75" t="s">
        <v>1789</v>
      </c>
      <c r="G452" s="411" t="s">
        <v>3345</v>
      </c>
      <c r="H452" s="66" t="s">
        <v>1287</v>
      </c>
      <c r="I452" s="144">
        <v>4</v>
      </c>
      <c r="J452" s="144">
        <v>6</v>
      </c>
      <c r="K452" s="144">
        <v>4</v>
      </c>
      <c r="L452" s="144">
        <v>2</v>
      </c>
      <c r="M452" s="144">
        <v>1</v>
      </c>
      <c r="N452" s="144">
        <v>3</v>
      </c>
      <c r="O452" s="412" t="s">
        <v>2163</v>
      </c>
      <c r="P452" s="412" t="s">
        <v>3032</v>
      </c>
      <c r="Q452" s="413" t="s">
        <v>3149</v>
      </c>
      <c r="R452" s="211">
        <v>37561</v>
      </c>
      <c r="S452" s="414"/>
      <c r="T452" s="415">
        <v>1</v>
      </c>
      <c r="U452" s="62"/>
      <c r="V452" s="62"/>
      <c r="W452" s="62"/>
      <c r="X452" s="62">
        <v>1</v>
      </c>
      <c r="Y452" s="62"/>
      <c r="Z452" s="62"/>
      <c r="AA452" s="62"/>
      <c r="AB452" s="62"/>
    </row>
    <row r="453" spans="1:28" ht="15.6" customHeight="1" x14ac:dyDescent="0.2">
      <c r="A453" s="408">
        <v>452</v>
      </c>
      <c r="B453" s="409" t="str">
        <f t="shared" si="7"/>
        <v>Disperis capensis</v>
      </c>
      <c r="C453" s="410" t="s">
        <v>1772</v>
      </c>
      <c r="D453" s="75" t="s">
        <v>229</v>
      </c>
      <c r="E453" s="75" t="s">
        <v>1790</v>
      </c>
      <c r="F453" s="75" t="s">
        <v>2756</v>
      </c>
      <c r="G453" s="411" t="s">
        <v>3346</v>
      </c>
      <c r="H453" s="66" t="s">
        <v>3224</v>
      </c>
      <c r="I453" s="144">
        <v>4</v>
      </c>
      <c r="J453" s="144">
        <v>6</v>
      </c>
      <c r="K453" s="144">
        <v>4</v>
      </c>
      <c r="L453" s="144">
        <v>1</v>
      </c>
      <c r="M453" s="144">
        <v>4</v>
      </c>
      <c r="N453" s="144">
        <v>3</v>
      </c>
      <c r="O453" s="412" t="s">
        <v>2163</v>
      </c>
      <c r="P453" s="412" t="s">
        <v>3032</v>
      </c>
      <c r="Q453" s="413"/>
      <c r="R453" s="211">
        <v>35612</v>
      </c>
      <c r="S453" s="414"/>
      <c r="T453" s="415">
        <v>1</v>
      </c>
      <c r="U453" s="62"/>
      <c r="V453" s="62">
        <v>1</v>
      </c>
      <c r="W453" s="62">
        <v>1</v>
      </c>
      <c r="X453" s="62">
        <v>1</v>
      </c>
      <c r="Y453" s="62"/>
      <c r="Z453" s="62"/>
      <c r="AA453" s="62"/>
      <c r="AB453" s="62"/>
    </row>
    <row r="454" spans="1:28" ht="15.6" customHeight="1" x14ac:dyDescent="0.2">
      <c r="A454" s="408">
        <v>453</v>
      </c>
      <c r="B454" s="409" t="str">
        <f t="shared" si="7"/>
        <v>Disperis villosa</v>
      </c>
      <c r="C454" s="410" t="s">
        <v>1772</v>
      </c>
      <c r="E454" s="75" t="s">
        <v>1790</v>
      </c>
      <c r="F454" s="75" t="s">
        <v>2784</v>
      </c>
      <c r="G454" s="411" t="s">
        <v>3347</v>
      </c>
      <c r="H454" s="66" t="s">
        <v>1287</v>
      </c>
      <c r="I454" s="144">
        <v>4</v>
      </c>
      <c r="J454" s="144">
        <v>6</v>
      </c>
      <c r="K454" s="144">
        <v>4</v>
      </c>
      <c r="L454" s="144">
        <v>2</v>
      </c>
      <c r="M454" s="144">
        <v>1</v>
      </c>
      <c r="N454" s="144">
        <v>3</v>
      </c>
      <c r="O454" s="412" t="s">
        <v>2163</v>
      </c>
      <c r="P454" s="412" t="s">
        <v>3032</v>
      </c>
      <c r="Q454" s="413"/>
      <c r="R454" s="211">
        <v>37135</v>
      </c>
      <c r="S454" s="414" t="s">
        <v>2250</v>
      </c>
      <c r="T454" s="415"/>
      <c r="U454" s="62"/>
      <c r="V454" s="62"/>
      <c r="W454" s="62"/>
      <c r="X454" s="62">
        <v>1</v>
      </c>
      <c r="Y454" s="62"/>
      <c r="Z454" s="62"/>
      <c r="AA454" s="62"/>
      <c r="AB454" s="62"/>
    </row>
    <row r="455" spans="1:28" ht="15.6" customHeight="1" x14ac:dyDescent="0.2">
      <c r="A455" s="408">
        <v>454</v>
      </c>
      <c r="B455" s="409" t="str">
        <f t="shared" si="7"/>
        <v>Eulophia aculeata ssp. aculeata</v>
      </c>
      <c r="C455" s="410" t="s">
        <v>1772</v>
      </c>
      <c r="D455" s="75" t="s">
        <v>230</v>
      </c>
      <c r="E455" s="75" t="s">
        <v>1791</v>
      </c>
      <c r="F455" s="75" t="s">
        <v>473</v>
      </c>
      <c r="G455" s="411" t="s">
        <v>3348</v>
      </c>
      <c r="H455" s="66" t="s">
        <v>1287</v>
      </c>
      <c r="I455" s="144">
        <v>4</v>
      </c>
      <c r="J455" s="144">
        <v>6</v>
      </c>
      <c r="K455" s="144">
        <v>4</v>
      </c>
      <c r="L455" s="144">
        <v>2</v>
      </c>
      <c r="M455" s="144">
        <v>1</v>
      </c>
      <c r="N455" s="144">
        <v>1</v>
      </c>
      <c r="O455" s="412" t="s">
        <v>2163</v>
      </c>
      <c r="P455" s="412" t="s">
        <v>3032</v>
      </c>
      <c r="Q455" s="413"/>
      <c r="R455" s="211">
        <v>35886</v>
      </c>
      <c r="S455" s="414"/>
      <c r="T455" s="415">
        <v>1</v>
      </c>
      <c r="U455" s="62"/>
      <c r="V455" s="62"/>
      <c r="W455" s="62">
        <v>1</v>
      </c>
      <c r="X455" s="62"/>
      <c r="Y455" s="62"/>
      <c r="Z455" s="62"/>
      <c r="AA455" s="62"/>
      <c r="AB455" s="62"/>
    </row>
    <row r="456" spans="1:28" ht="15.6" customHeight="1" x14ac:dyDescent="0.2">
      <c r="A456" s="408">
        <v>455</v>
      </c>
      <c r="B456" s="409" t="str">
        <f t="shared" si="7"/>
        <v>Holothrix cernua</v>
      </c>
      <c r="C456" s="410" t="s">
        <v>1772</v>
      </c>
      <c r="E456" s="75" t="s">
        <v>1792</v>
      </c>
      <c r="F456" s="75" t="s">
        <v>862</v>
      </c>
      <c r="G456" s="411" t="s">
        <v>3349</v>
      </c>
      <c r="H456" s="66" t="s">
        <v>3218</v>
      </c>
      <c r="I456" s="144">
        <v>4</v>
      </c>
      <c r="J456" s="144">
        <v>6</v>
      </c>
      <c r="K456" s="144">
        <v>5</v>
      </c>
      <c r="L456" s="144">
        <v>1</v>
      </c>
      <c r="M456" s="144">
        <v>4</v>
      </c>
      <c r="N456" s="144">
        <v>4</v>
      </c>
      <c r="O456" s="412" t="s">
        <v>2163</v>
      </c>
      <c r="P456" s="412" t="s">
        <v>3032</v>
      </c>
      <c r="Q456" s="413"/>
      <c r="R456" s="211">
        <v>36770</v>
      </c>
      <c r="S456" s="414"/>
      <c r="T456" s="415">
        <v>1</v>
      </c>
      <c r="U456" s="62"/>
      <c r="V456" s="62"/>
      <c r="W456" s="62"/>
      <c r="X456" s="62">
        <v>1</v>
      </c>
      <c r="Y456" s="62"/>
      <c r="Z456" s="62"/>
      <c r="AA456" s="62"/>
      <c r="AB456" s="62"/>
    </row>
    <row r="457" spans="1:28" ht="15.6" customHeight="1" x14ac:dyDescent="0.2">
      <c r="A457" s="408">
        <v>456</v>
      </c>
      <c r="B457" s="409" t="str">
        <f t="shared" si="7"/>
        <v>Holothrix exilis</v>
      </c>
      <c r="C457" s="410" t="s">
        <v>1772</v>
      </c>
      <c r="E457" s="75" t="s">
        <v>1792</v>
      </c>
      <c r="F457" s="75" t="s">
        <v>1793</v>
      </c>
      <c r="G457" s="411" t="s">
        <v>3350</v>
      </c>
      <c r="H457" s="66" t="s">
        <v>3218</v>
      </c>
      <c r="I457" s="144">
        <v>4</v>
      </c>
      <c r="J457" s="144">
        <v>6</v>
      </c>
      <c r="K457" s="144">
        <v>5</v>
      </c>
      <c r="L457" s="144">
        <v>1</v>
      </c>
      <c r="M457" s="144">
        <v>4</v>
      </c>
      <c r="N457" s="144">
        <v>4</v>
      </c>
      <c r="O457" s="412" t="s">
        <v>2163</v>
      </c>
      <c r="P457" s="412" t="s">
        <v>3032</v>
      </c>
      <c r="Q457" s="413"/>
      <c r="R457" s="211">
        <v>36861</v>
      </c>
      <c r="S457" s="414"/>
      <c r="T457" s="415">
        <v>1</v>
      </c>
      <c r="U457" s="62"/>
      <c r="V457" s="62"/>
      <c r="W457" s="62"/>
      <c r="X457" s="62">
        <v>1</v>
      </c>
      <c r="Y457" s="62"/>
      <c r="Z457" s="62"/>
      <c r="AA457" s="62"/>
      <c r="AB457" s="62"/>
    </row>
    <row r="458" spans="1:28" ht="15.6" customHeight="1" x14ac:dyDescent="0.2">
      <c r="A458" s="408">
        <v>457</v>
      </c>
      <c r="B458" s="409" t="str">
        <f t="shared" si="7"/>
        <v>Holothrix grandiflora</v>
      </c>
      <c r="C458" s="410" t="s">
        <v>1772</v>
      </c>
      <c r="E458" s="75" t="s">
        <v>1792</v>
      </c>
      <c r="F458" s="75" t="s">
        <v>1667</v>
      </c>
      <c r="G458" s="411" t="s">
        <v>3351</v>
      </c>
      <c r="H458" s="66" t="s">
        <v>3224</v>
      </c>
      <c r="I458" s="144">
        <v>4</v>
      </c>
      <c r="J458" s="144">
        <v>6</v>
      </c>
      <c r="K458" s="144">
        <v>5</v>
      </c>
      <c r="L458" s="144">
        <v>1</v>
      </c>
      <c r="M458" s="144">
        <v>4</v>
      </c>
      <c r="N458" s="144">
        <v>3</v>
      </c>
      <c r="O458" s="412" t="s">
        <v>2163</v>
      </c>
      <c r="P458" s="412" t="s">
        <v>3032</v>
      </c>
      <c r="Q458" s="413" t="s">
        <v>2703</v>
      </c>
      <c r="R458" s="211">
        <v>35796</v>
      </c>
      <c r="S458" s="414"/>
      <c r="T458" s="415">
        <v>1</v>
      </c>
      <c r="U458" s="62"/>
      <c r="V458" s="62"/>
      <c r="W458" s="62"/>
      <c r="X458" s="62">
        <v>1</v>
      </c>
      <c r="Y458" s="62"/>
      <c r="Z458" s="62"/>
      <c r="AA458" s="62"/>
      <c r="AB458" s="62"/>
    </row>
    <row r="459" spans="1:28" ht="15.6" customHeight="1" x14ac:dyDescent="0.2">
      <c r="A459" s="408">
        <v>458</v>
      </c>
      <c r="B459" s="409" t="str">
        <f t="shared" si="7"/>
        <v>Holothrix mundii</v>
      </c>
      <c r="C459" s="410" t="s">
        <v>1772</v>
      </c>
      <c r="E459" s="75" t="s">
        <v>1792</v>
      </c>
      <c r="F459" s="75" t="s">
        <v>1794</v>
      </c>
      <c r="G459" s="411" t="s">
        <v>3352</v>
      </c>
      <c r="H459" s="66" t="s">
        <v>3218</v>
      </c>
      <c r="I459" s="144">
        <v>4</v>
      </c>
      <c r="J459" s="144">
        <v>6</v>
      </c>
      <c r="K459" s="144">
        <v>5</v>
      </c>
      <c r="L459" s="144">
        <v>1</v>
      </c>
      <c r="M459" s="144">
        <v>4</v>
      </c>
      <c r="N459" s="144">
        <v>4</v>
      </c>
      <c r="O459" s="412" t="s">
        <v>2163</v>
      </c>
      <c r="P459" s="412" t="s">
        <v>3032</v>
      </c>
      <c r="Q459" s="413" t="s">
        <v>3144</v>
      </c>
      <c r="R459" s="211">
        <v>37073</v>
      </c>
      <c r="S459" s="414"/>
      <c r="T459" s="415">
        <v>1</v>
      </c>
      <c r="U459" s="62">
        <v>1</v>
      </c>
      <c r="V459" s="62"/>
      <c r="W459" s="62"/>
      <c r="X459" s="62">
        <v>1</v>
      </c>
      <c r="Y459" s="62"/>
      <c r="Z459" s="62"/>
      <c r="AA459" s="62"/>
      <c r="AB459" s="62"/>
    </row>
    <row r="460" spans="1:28" ht="15.6" customHeight="1" x14ac:dyDescent="0.2">
      <c r="A460" s="408">
        <v>459</v>
      </c>
      <c r="B460" s="409" t="str">
        <f t="shared" si="7"/>
        <v>Holothrix schlechteriana</v>
      </c>
      <c r="C460" s="410" t="s">
        <v>1772</v>
      </c>
      <c r="E460" s="75" t="s">
        <v>1792</v>
      </c>
      <c r="F460" s="75" t="s">
        <v>1843</v>
      </c>
      <c r="G460" s="411" t="s">
        <v>3353</v>
      </c>
      <c r="H460" s="66" t="s">
        <v>3224</v>
      </c>
      <c r="I460" s="144">
        <v>4</v>
      </c>
      <c r="J460" s="144">
        <v>6</v>
      </c>
      <c r="K460" s="144">
        <v>5</v>
      </c>
      <c r="L460" s="144">
        <v>1</v>
      </c>
      <c r="M460" s="144">
        <v>4</v>
      </c>
      <c r="N460" s="144">
        <v>3</v>
      </c>
      <c r="O460" s="412" t="s">
        <v>2163</v>
      </c>
      <c r="P460" s="412" t="s">
        <v>3032</v>
      </c>
      <c r="Q460" s="413"/>
      <c r="S460" s="414"/>
      <c r="T460" s="415"/>
      <c r="U460" s="62"/>
      <c r="V460" s="62"/>
      <c r="W460" s="62"/>
      <c r="X460" s="62"/>
      <c r="Y460" s="62"/>
      <c r="Z460" s="62"/>
      <c r="AA460" s="62"/>
      <c r="AB460" s="62"/>
    </row>
    <row r="461" spans="1:28" ht="15.6" customHeight="1" x14ac:dyDescent="0.2">
      <c r="A461" s="408">
        <v>460</v>
      </c>
      <c r="B461" s="409" t="str">
        <f t="shared" si="7"/>
        <v>Pterygodium caffrum</v>
      </c>
      <c r="C461" s="410" t="s">
        <v>1772</v>
      </c>
      <c r="E461" s="75" t="s">
        <v>1795</v>
      </c>
      <c r="F461" s="75" t="s">
        <v>1796</v>
      </c>
      <c r="G461" s="411" t="s">
        <v>3354</v>
      </c>
      <c r="H461" s="66" t="s">
        <v>3224</v>
      </c>
      <c r="I461" s="144">
        <v>4</v>
      </c>
      <c r="J461" s="144">
        <v>6</v>
      </c>
      <c r="K461" s="144">
        <v>4</v>
      </c>
      <c r="L461" s="144">
        <v>1</v>
      </c>
      <c r="M461" s="144">
        <v>4</v>
      </c>
      <c r="N461" s="144">
        <v>3</v>
      </c>
      <c r="O461" s="412" t="s">
        <v>2163</v>
      </c>
      <c r="P461" s="412" t="s">
        <v>3032</v>
      </c>
      <c r="Q461" s="413"/>
      <c r="R461" s="211">
        <v>36861</v>
      </c>
      <c r="S461" s="414"/>
      <c r="T461" s="415">
        <v>1</v>
      </c>
      <c r="U461" s="62"/>
      <c r="V461" s="62"/>
      <c r="W461" s="62"/>
      <c r="X461" s="62">
        <v>1</v>
      </c>
      <c r="Y461" s="62"/>
      <c r="Z461" s="62"/>
      <c r="AA461" s="62"/>
      <c r="AB461" s="62"/>
    </row>
    <row r="462" spans="1:28" ht="15.6" customHeight="1" x14ac:dyDescent="0.2">
      <c r="A462" s="408">
        <v>461</v>
      </c>
      <c r="B462" s="409" t="str">
        <f t="shared" si="7"/>
        <v>Pterygodium catholicum</v>
      </c>
      <c r="C462" s="410" t="s">
        <v>1772</v>
      </c>
      <c r="D462" s="75" t="s">
        <v>229</v>
      </c>
      <c r="E462" s="75" t="s">
        <v>1795</v>
      </c>
      <c r="F462" s="75" t="s">
        <v>1797</v>
      </c>
      <c r="G462" s="411" t="s">
        <v>3355</v>
      </c>
      <c r="H462" s="66" t="s">
        <v>3224</v>
      </c>
      <c r="I462" s="144">
        <v>4</v>
      </c>
      <c r="J462" s="144">
        <v>6</v>
      </c>
      <c r="K462" s="144">
        <v>4</v>
      </c>
      <c r="L462" s="144">
        <v>1</v>
      </c>
      <c r="M462" s="144">
        <v>4</v>
      </c>
      <c r="N462" s="144">
        <v>3</v>
      </c>
      <c r="O462" s="412" t="s">
        <v>2163</v>
      </c>
      <c r="P462" s="412" t="s">
        <v>3032</v>
      </c>
      <c r="Q462" s="413"/>
      <c r="R462" s="211">
        <v>35886</v>
      </c>
      <c r="S462" s="414"/>
      <c r="T462" s="415">
        <v>1</v>
      </c>
      <c r="U462" s="62"/>
      <c r="V462" s="62"/>
      <c r="W462" s="62"/>
      <c r="X462" s="62">
        <v>1</v>
      </c>
      <c r="Y462" s="62"/>
      <c r="Z462" s="62"/>
      <c r="AA462" s="62"/>
      <c r="AB462" s="62"/>
    </row>
    <row r="463" spans="1:28" ht="15.6" customHeight="1" x14ac:dyDescent="0.2">
      <c r="A463" s="408">
        <v>462</v>
      </c>
      <c r="B463" s="409" t="str">
        <f t="shared" si="7"/>
        <v>Pterygodium volucris</v>
      </c>
      <c r="C463" s="410" t="s">
        <v>1772</v>
      </c>
      <c r="E463" s="75" t="s">
        <v>1795</v>
      </c>
      <c r="F463" s="75" t="s">
        <v>1798</v>
      </c>
      <c r="G463" s="411" t="s">
        <v>3356</v>
      </c>
      <c r="H463" s="66" t="s">
        <v>3224</v>
      </c>
      <c r="I463" s="144">
        <v>4</v>
      </c>
      <c r="J463" s="144">
        <v>6</v>
      </c>
      <c r="K463" s="144">
        <v>4</v>
      </c>
      <c r="L463" s="144">
        <v>1</v>
      </c>
      <c r="M463" s="144">
        <v>4</v>
      </c>
      <c r="N463" s="144">
        <v>2</v>
      </c>
      <c r="O463" s="412" t="s">
        <v>2163</v>
      </c>
      <c r="P463" s="412" t="s">
        <v>3032</v>
      </c>
      <c r="Q463" s="413"/>
      <c r="R463" s="211">
        <v>38231</v>
      </c>
      <c r="S463" s="414"/>
      <c r="T463" s="145">
        <v>1</v>
      </c>
      <c r="U463" s="62">
        <v>1</v>
      </c>
      <c r="V463" s="62"/>
      <c r="W463" s="62"/>
      <c r="X463" s="62"/>
      <c r="Y463" s="62"/>
      <c r="Z463" s="62"/>
      <c r="AA463" s="62"/>
      <c r="AB463" s="62"/>
    </row>
    <row r="464" spans="1:28" ht="15.6" customHeight="1" x14ac:dyDescent="0.2">
      <c r="A464" s="408">
        <v>463</v>
      </c>
      <c r="B464" s="409" t="str">
        <f t="shared" si="7"/>
        <v>Satyrium bicallosum</v>
      </c>
      <c r="C464" s="410" t="s">
        <v>1772</v>
      </c>
      <c r="E464" s="75" t="s">
        <v>1799</v>
      </c>
      <c r="F464" s="75" t="s">
        <v>1800</v>
      </c>
      <c r="G464" s="411" t="s">
        <v>3357</v>
      </c>
      <c r="H464" s="66" t="s">
        <v>3224</v>
      </c>
      <c r="I464" s="144">
        <v>4</v>
      </c>
      <c r="J464" s="144">
        <v>6</v>
      </c>
      <c r="K464" s="144">
        <v>4</v>
      </c>
      <c r="L464" s="144">
        <v>1</v>
      </c>
      <c r="M464" s="144">
        <v>4</v>
      </c>
      <c r="N464" s="144">
        <v>3</v>
      </c>
      <c r="O464" s="412" t="s">
        <v>2163</v>
      </c>
      <c r="P464" s="412" t="s">
        <v>3032</v>
      </c>
      <c r="Q464" s="413"/>
      <c r="R464" s="211">
        <v>37530</v>
      </c>
      <c r="S464" s="414"/>
      <c r="T464" s="415">
        <v>1</v>
      </c>
      <c r="U464" s="62"/>
      <c r="V464" s="62"/>
      <c r="W464" s="62">
        <v>1</v>
      </c>
      <c r="X464" s="62">
        <v>1</v>
      </c>
      <c r="Y464" s="62"/>
      <c r="Z464" s="62"/>
      <c r="AA464" s="62"/>
      <c r="AB464" s="62"/>
    </row>
    <row r="465" spans="1:28" ht="15.6" customHeight="1" x14ac:dyDescent="0.2">
      <c r="A465" s="408">
        <v>464</v>
      </c>
      <c r="B465" s="409" t="str">
        <f t="shared" si="7"/>
        <v>Satyrium bracteatum</v>
      </c>
      <c r="C465" s="410" t="s">
        <v>1772</v>
      </c>
      <c r="E465" s="75" t="s">
        <v>1799</v>
      </c>
      <c r="F465" s="75" t="s">
        <v>1801</v>
      </c>
      <c r="G465" s="411" t="s">
        <v>3358</v>
      </c>
      <c r="H465" s="66" t="s">
        <v>3224</v>
      </c>
      <c r="I465" s="144">
        <v>4</v>
      </c>
      <c r="J465" s="144">
        <v>6</v>
      </c>
      <c r="K465" s="144">
        <v>4</v>
      </c>
      <c r="L465" s="144">
        <v>1</v>
      </c>
      <c r="M465" s="144">
        <v>4</v>
      </c>
      <c r="N465" s="144">
        <v>3</v>
      </c>
      <c r="O465" s="412" t="s">
        <v>2163</v>
      </c>
      <c r="P465" s="412" t="s">
        <v>3032</v>
      </c>
      <c r="Q465" s="413"/>
      <c r="R465" s="211">
        <v>37530</v>
      </c>
      <c r="S465" s="414"/>
      <c r="T465" s="415">
        <v>1</v>
      </c>
      <c r="U465" s="62"/>
      <c r="V465" s="62"/>
      <c r="W465" s="62">
        <v>1</v>
      </c>
      <c r="X465" s="62">
        <v>1</v>
      </c>
      <c r="Y465" s="62"/>
      <c r="Z465" s="62"/>
      <c r="AA465" s="62"/>
      <c r="AB465" s="62"/>
    </row>
    <row r="466" spans="1:28" ht="15.6" customHeight="1" x14ac:dyDescent="0.2">
      <c r="A466" s="408">
        <v>465</v>
      </c>
      <c r="B466" s="409" t="str">
        <f t="shared" si="7"/>
        <v>Satyrium carneum</v>
      </c>
      <c r="C466" s="410" t="s">
        <v>1772</v>
      </c>
      <c r="D466" s="75" t="s">
        <v>231</v>
      </c>
      <c r="E466" s="75" t="s">
        <v>1799</v>
      </c>
      <c r="F466" s="75" t="s">
        <v>1802</v>
      </c>
      <c r="G466" s="411" t="s">
        <v>3359</v>
      </c>
      <c r="H466" s="66" t="s">
        <v>3307</v>
      </c>
      <c r="I466" s="144">
        <v>4</v>
      </c>
      <c r="J466" s="144">
        <v>5</v>
      </c>
      <c r="K466" s="144">
        <v>4</v>
      </c>
      <c r="L466" s="144">
        <v>1</v>
      </c>
      <c r="M466" s="144">
        <v>4</v>
      </c>
      <c r="N466" s="144">
        <v>2</v>
      </c>
      <c r="O466" s="412" t="s">
        <v>2163</v>
      </c>
      <c r="P466" s="412" t="s">
        <v>3032</v>
      </c>
      <c r="Q466" s="413" t="s">
        <v>3147</v>
      </c>
      <c r="R466" s="211">
        <v>35886</v>
      </c>
      <c r="S466" s="414"/>
      <c r="T466" s="415">
        <v>1</v>
      </c>
      <c r="U466" s="62">
        <v>1</v>
      </c>
      <c r="V466" s="62"/>
      <c r="W466" s="62"/>
      <c r="X466" s="62"/>
      <c r="Y466" s="62"/>
      <c r="Z466" s="62"/>
      <c r="AA466" s="62"/>
      <c r="AB466" s="62"/>
    </row>
    <row r="467" spans="1:28" ht="15.6" customHeight="1" x14ac:dyDescent="0.2">
      <c r="A467" s="408">
        <v>466</v>
      </c>
      <c r="B467" s="409" t="str">
        <f t="shared" si="7"/>
        <v>Satyrium coriifolium</v>
      </c>
      <c r="C467" s="410" t="s">
        <v>1772</v>
      </c>
      <c r="D467" s="75" t="s">
        <v>232</v>
      </c>
      <c r="E467" s="75" t="s">
        <v>1799</v>
      </c>
      <c r="F467" s="75" t="s">
        <v>1803</v>
      </c>
      <c r="G467" s="411" t="s">
        <v>3360</v>
      </c>
      <c r="H467" s="66" t="s">
        <v>3307</v>
      </c>
      <c r="I467" s="144">
        <v>4</v>
      </c>
      <c r="J467" s="144">
        <v>5</v>
      </c>
      <c r="K467" s="144">
        <v>4</v>
      </c>
      <c r="L467" s="144">
        <v>1</v>
      </c>
      <c r="M467" s="144">
        <v>4</v>
      </c>
      <c r="N467" s="144">
        <v>2</v>
      </c>
      <c r="O467" s="412" t="s">
        <v>2163</v>
      </c>
      <c r="P467" s="412" t="s">
        <v>3032</v>
      </c>
      <c r="Q467" s="413"/>
      <c r="R467" s="211">
        <v>36069</v>
      </c>
      <c r="S467" s="414"/>
      <c r="T467" s="415">
        <v>1</v>
      </c>
      <c r="U467" s="62"/>
      <c r="V467" s="62"/>
      <c r="W467" s="62"/>
      <c r="X467" s="62">
        <v>1</v>
      </c>
      <c r="Y467" s="62"/>
      <c r="Z467" s="62"/>
      <c r="AA467" s="62"/>
      <c r="AB467" s="62"/>
    </row>
    <row r="468" spans="1:28" ht="15.6" customHeight="1" x14ac:dyDescent="0.2">
      <c r="A468" s="408">
        <v>467</v>
      </c>
      <c r="B468" s="409" t="str">
        <f t="shared" si="7"/>
        <v>Satyrium ligulatum</v>
      </c>
      <c r="C468" s="410" t="s">
        <v>1772</v>
      </c>
      <c r="E468" s="75" t="s">
        <v>1799</v>
      </c>
      <c r="F468" s="75" t="s">
        <v>1804</v>
      </c>
      <c r="G468" s="411" t="s">
        <v>3361</v>
      </c>
      <c r="H468" s="66" t="s">
        <v>3307</v>
      </c>
      <c r="I468" s="144">
        <v>4</v>
      </c>
      <c r="J468" s="144">
        <v>5</v>
      </c>
      <c r="K468" s="144">
        <v>4</v>
      </c>
      <c r="L468" s="144">
        <v>1</v>
      </c>
      <c r="M468" s="144">
        <v>4</v>
      </c>
      <c r="N468" s="144">
        <v>2</v>
      </c>
      <c r="O468" s="412" t="s">
        <v>2163</v>
      </c>
      <c r="P468" s="412" t="s">
        <v>3032</v>
      </c>
      <c r="Q468" s="413"/>
      <c r="R468" s="211">
        <v>37073</v>
      </c>
      <c r="S468" s="414"/>
      <c r="T468" s="415">
        <v>1</v>
      </c>
      <c r="U468" s="62"/>
      <c r="V468" s="62"/>
      <c r="W468" s="62"/>
      <c r="X468" s="62">
        <v>1</v>
      </c>
      <c r="Y468" s="62"/>
      <c r="Z468" s="62"/>
      <c r="AA468" s="62"/>
      <c r="AB468" s="62"/>
    </row>
    <row r="469" spans="1:28" ht="15.6" customHeight="1" x14ac:dyDescent="0.2">
      <c r="A469" s="408">
        <v>468</v>
      </c>
      <c r="B469" s="409" t="str">
        <f t="shared" si="7"/>
        <v>Satyrium lupulinum</v>
      </c>
      <c r="C469" s="410" t="s">
        <v>1772</v>
      </c>
      <c r="E469" s="75" t="s">
        <v>1799</v>
      </c>
      <c r="F469" s="75" t="s">
        <v>1805</v>
      </c>
      <c r="G469" s="411" t="s">
        <v>3362</v>
      </c>
      <c r="H469" s="66" t="s">
        <v>3224</v>
      </c>
      <c r="I469" s="144">
        <v>4</v>
      </c>
      <c r="J469" s="144">
        <v>6</v>
      </c>
      <c r="K469" s="144">
        <v>4</v>
      </c>
      <c r="L469" s="144">
        <v>1</v>
      </c>
      <c r="M469" s="144">
        <v>4</v>
      </c>
      <c r="N469" s="144">
        <v>2</v>
      </c>
      <c r="O469" s="412" t="s">
        <v>2163</v>
      </c>
      <c r="P469" s="412" t="s">
        <v>3032</v>
      </c>
      <c r="Q469" s="413"/>
      <c r="R469" s="211">
        <v>37530</v>
      </c>
      <c r="S469" s="414"/>
      <c r="T469" s="415">
        <v>1</v>
      </c>
      <c r="U469" s="62"/>
      <c r="V469" s="62"/>
      <c r="W469" s="62"/>
      <c r="X469" s="62">
        <v>1</v>
      </c>
      <c r="Y469" s="62"/>
      <c r="Z469" s="62"/>
      <c r="AA469" s="62"/>
      <c r="AB469" s="62"/>
    </row>
    <row r="470" spans="1:28" ht="15.6" customHeight="1" x14ac:dyDescent="0.2">
      <c r="A470" s="408">
        <v>469</v>
      </c>
      <c r="B470" s="409" t="str">
        <f t="shared" si="7"/>
        <v>Satyrium odorum</v>
      </c>
      <c r="C470" s="410" t="s">
        <v>1772</v>
      </c>
      <c r="D470" s="75" t="s">
        <v>233</v>
      </c>
      <c r="E470" s="75" t="s">
        <v>1799</v>
      </c>
      <c r="F470" s="75" t="s">
        <v>1806</v>
      </c>
      <c r="G470" s="411" t="s">
        <v>3363</v>
      </c>
      <c r="H470" s="66" t="s">
        <v>3307</v>
      </c>
      <c r="I470" s="144">
        <v>4</v>
      </c>
      <c r="J470" s="144">
        <v>5</v>
      </c>
      <c r="K470" s="144">
        <v>4</v>
      </c>
      <c r="L470" s="144">
        <v>1</v>
      </c>
      <c r="M470" s="144">
        <v>4</v>
      </c>
      <c r="N470" s="144">
        <v>3</v>
      </c>
      <c r="O470" s="412" t="s">
        <v>2163</v>
      </c>
      <c r="P470" s="412" t="s">
        <v>3032</v>
      </c>
      <c r="Q470" s="413"/>
      <c r="R470" s="211">
        <v>35886</v>
      </c>
      <c r="S470" s="414"/>
      <c r="T470" s="415">
        <v>1</v>
      </c>
      <c r="U470" s="62"/>
      <c r="V470" s="62"/>
      <c r="W470" s="62"/>
      <c r="X470" s="62">
        <v>1</v>
      </c>
      <c r="Y470" s="62"/>
      <c r="Z470" s="62"/>
      <c r="AA470" s="62"/>
      <c r="AB470" s="62"/>
    </row>
    <row r="471" spans="1:28" ht="15.6" customHeight="1" x14ac:dyDescent="0.2">
      <c r="A471" s="408">
        <v>470</v>
      </c>
      <c r="B471" s="409" t="str">
        <f t="shared" si="7"/>
        <v>Alectra lurida</v>
      </c>
      <c r="C471" s="410" t="s">
        <v>1807</v>
      </c>
      <c r="E471" s="75" t="s">
        <v>1808</v>
      </c>
      <c r="F471" s="75" t="s">
        <v>1809</v>
      </c>
      <c r="G471" s="411" t="s">
        <v>3364</v>
      </c>
      <c r="H471" s="66" t="s">
        <v>3268</v>
      </c>
      <c r="I471" s="144">
        <v>3</v>
      </c>
      <c r="J471" s="144">
        <v>6</v>
      </c>
      <c r="K471" s="144">
        <v>2</v>
      </c>
      <c r="L471" s="144">
        <v>2</v>
      </c>
      <c r="M471" s="144">
        <v>2</v>
      </c>
      <c r="N471" s="144">
        <v>5</v>
      </c>
      <c r="O471" s="412" t="s">
        <v>2179</v>
      </c>
      <c r="P471" s="412" t="s">
        <v>3032</v>
      </c>
      <c r="Q471" s="413"/>
      <c r="R471" s="211">
        <v>37257</v>
      </c>
      <c r="S471" s="414"/>
      <c r="T471" s="415">
        <v>1</v>
      </c>
      <c r="U471" s="62"/>
      <c r="V471" s="62"/>
      <c r="W471" s="62"/>
      <c r="X471" s="62">
        <v>1</v>
      </c>
      <c r="Y471" s="62"/>
      <c r="Z471" s="62"/>
      <c r="AA471" s="62"/>
      <c r="AB471" s="62"/>
    </row>
    <row r="472" spans="1:28" ht="15.6" customHeight="1" x14ac:dyDescent="0.2">
      <c r="A472" s="408">
        <v>471</v>
      </c>
      <c r="B472" s="409" t="str">
        <f t="shared" si="7"/>
        <v>Alectra sessiliflora</v>
      </c>
      <c r="C472" s="410" t="s">
        <v>1807</v>
      </c>
      <c r="D472" s="75" t="s">
        <v>234</v>
      </c>
      <c r="E472" s="75" t="s">
        <v>1808</v>
      </c>
      <c r="F472" s="75" t="s">
        <v>1050</v>
      </c>
      <c r="G472" s="411" t="s">
        <v>3365</v>
      </c>
      <c r="H472" s="66" t="s">
        <v>3268</v>
      </c>
      <c r="I472" s="144">
        <v>3</v>
      </c>
      <c r="J472" s="144">
        <v>6</v>
      </c>
      <c r="K472" s="144">
        <v>3</v>
      </c>
      <c r="L472" s="144">
        <v>3</v>
      </c>
      <c r="M472" s="144">
        <v>1</v>
      </c>
      <c r="N472" s="144">
        <v>4</v>
      </c>
      <c r="O472" s="412" t="s">
        <v>2179</v>
      </c>
      <c r="P472" s="412" t="s">
        <v>3032</v>
      </c>
      <c r="Q472" s="413"/>
      <c r="R472" s="211">
        <v>36161</v>
      </c>
      <c r="S472" s="414"/>
      <c r="T472" s="415">
        <v>1</v>
      </c>
      <c r="U472" s="62"/>
      <c r="V472" s="62"/>
      <c r="W472" s="62"/>
      <c r="X472" s="62"/>
      <c r="Y472" s="62"/>
      <c r="Z472" s="62"/>
      <c r="AA472" s="62">
        <v>1</v>
      </c>
      <c r="AB472" s="62"/>
    </row>
    <row r="473" spans="1:28" ht="15.6" customHeight="1" x14ac:dyDescent="0.2">
      <c r="A473" s="408">
        <v>472</v>
      </c>
      <c r="B473" s="409" t="str">
        <f t="shared" si="7"/>
        <v>Harveya capensis</v>
      </c>
      <c r="C473" s="410" t="s">
        <v>1807</v>
      </c>
      <c r="D473" s="75" t="s">
        <v>235</v>
      </c>
      <c r="E473" s="75" t="s">
        <v>1810</v>
      </c>
      <c r="F473" s="75" t="s">
        <v>2756</v>
      </c>
      <c r="G473" s="411" t="s">
        <v>3366</v>
      </c>
      <c r="H473" s="66" t="s">
        <v>3268</v>
      </c>
      <c r="I473" s="144">
        <v>3</v>
      </c>
      <c r="J473" s="144">
        <v>6</v>
      </c>
      <c r="K473" s="144">
        <v>3</v>
      </c>
      <c r="L473" s="144">
        <v>6</v>
      </c>
      <c r="M473" s="144">
        <v>1</v>
      </c>
      <c r="N473" s="144">
        <v>5</v>
      </c>
      <c r="O473" s="412" t="s">
        <v>2179</v>
      </c>
      <c r="P473" s="412" t="s">
        <v>3032</v>
      </c>
      <c r="Q473" s="413"/>
      <c r="R473" s="211">
        <v>36861</v>
      </c>
      <c r="S473" s="414" t="s">
        <v>2250</v>
      </c>
      <c r="T473" s="415"/>
      <c r="U473" s="62"/>
      <c r="V473" s="62"/>
      <c r="W473" s="62"/>
      <c r="X473" s="62">
        <v>1</v>
      </c>
      <c r="Y473" s="62"/>
      <c r="Z473" s="62"/>
      <c r="AA473" s="62"/>
      <c r="AB473" s="62"/>
    </row>
    <row r="474" spans="1:28" ht="15.6" customHeight="1" x14ac:dyDescent="0.2">
      <c r="A474" s="408">
        <v>473</v>
      </c>
      <c r="B474" s="409" t="str">
        <f t="shared" si="7"/>
        <v>Harveya squamosa</v>
      </c>
      <c r="C474" s="410" t="s">
        <v>1807</v>
      </c>
      <c r="D474" s="75" t="s">
        <v>236</v>
      </c>
      <c r="E474" s="75" t="s">
        <v>1810</v>
      </c>
      <c r="F474" s="75" t="s">
        <v>1811</v>
      </c>
      <c r="G474" s="411" t="s">
        <v>3367</v>
      </c>
      <c r="H474" s="66" t="s">
        <v>3268</v>
      </c>
      <c r="I474" s="144">
        <v>3</v>
      </c>
      <c r="J474" s="144">
        <v>6</v>
      </c>
      <c r="K474" s="144">
        <v>2</v>
      </c>
      <c r="L474" s="144">
        <v>1</v>
      </c>
      <c r="M474" s="144">
        <v>1</v>
      </c>
      <c r="N474" s="144">
        <v>5</v>
      </c>
      <c r="O474" s="412" t="s">
        <v>2179</v>
      </c>
      <c r="P474" s="412" t="s">
        <v>3032</v>
      </c>
      <c r="Q474" s="413" t="s">
        <v>3144</v>
      </c>
      <c r="R474" s="211">
        <v>36951</v>
      </c>
      <c r="S474" s="414"/>
      <c r="T474" s="415">
        <v>1</v>
      </c>
      <c r="U474" s="62">
        <v>1</v>
      </c>
      <c r="V474" s="62"/>
      <c r="W474" s="62"/>
      <c r="X474" s="62"/>
      <c r="Y474" s="62"/>
      <c r="Z474" s="62"/>
      <c r="AA474" s="62"/>
      <c r="AB474" s="62"/>
    </row>
    <row r="475" spans="1:28" ht="15.6" customHeight="1" x14ac:dyDescent="0.2">
      <c r="A475" s="408">
        <v>474</v>
      </c>
      <c r="B475" s="409" t="str">
        <f t="shared" si="7"/>
        <v>Harveya tubulosa</v>
      </c>
      <c r="C475" s="410" t="s">
        <v>1807</v>
      </c>
      <c r="D475" s="75" t="s">
        <v>237</v>
      </c>
      <c r="E475" s="75" t="s">
        <v>1810</v>
      </c>
      <c r="F475" s="75" t="s">
        <v>1812</v>
      </c>
      <c r="G475" s="411" t="s">
        <v>3368</v>
      </c>
      <c r="H475" s="66" t="s">
        <v>3279</v>
      </c>
      <c r="I475" s="144">
        <v>3</v>
      </c>
      <c r="J475" s="144">
        <v>5</v>
      </c>
      <c r="K475" s="144">
        <v>3</v>
      </c>
      <c r="L475" s="144">
        <v>6</v>
      </c>
      <c r="M475" s="144">
        <v>1</v>
      </c>
      <c r="N475" s="144">
        <v>5</v>
      </c>
      <c r="O475" s="412" t="s">
        <v>2179</v>
      </c>
      <c r="P475" s="412" t="s">
        <v>3032</v>
      </c>
      <c r="Q475" s="413"/>
      <c r="R475" s="211">
        <v>35612</v>
      </c>
      <c r="S475" s="414"/>
      <c r="T475" s="415">
        <v>1</v>
      </c>
      <c r="U475" s="62"/>
      <c r="V475" s="62"/>
      <c r="W475" s="62"/>
      <c r="X475" s="62">
        <v>1</v>
      </c>
      <c r="Y475" s="62"/>
      <c r="Z475" s="62"/>
      <c r="AA475" s="62"/>
      <c r="AB475" s="62"/>
    </row>
    <row r="476" spans="1:28" ht="15.6" customHeight="1" x14ac:dyDescent="0.2">
      <c r="A476" s="408">
        <v>475</v>
      </c>
      <c r="B476" s="409" t="str">
        <f t="shared" si="7"/>
        <v>Hyobanche sanguinea</v>
      </c>
      <c r="C476" s="410" t="s">
        <v>1807</v>
      </c>
      <c r="D476" s="75" t="s">
        <v>238</v>
      </c>
      <c r="E476" s="75" t="s">
        <v>1813</v>
      </c>
      <c r="F476" s="75" t="s">
        <v>1814</v>
      </c>
      <c r="G476" s="411" t="s">
        <v>3369</v>
      </c>
      <c r="H476" s="66" t="s">
        <v>3233</v>
      </c>
      <c r="I476" s="144">
        <v>3</v>
      </c>
      <c r="J476" s="144">
        <v>6</v>
      </c>
      <c r="K476" s="144">
        <v>0</v>
      </c>
      <c r="L476" s="144">
        <v>7</v>
      </c>
      <c r="M476" s="144">
        <v>0</v>
      </c>
      <c r="N476" s="144">
        <v>0</v>
      </c>
      <c r="O476" s="412" t="s">
        <v>2179</v>
      </c>
      <c r="P476" s="412" t="s">
        <v>3032</v>
      </c>
      <c r="Q476" s="413"/>
      <c r="R476" s="211">
        <v>35612</v>
      </c>
      <c r="S476" s="414"/>
      <c r="T476" s="415">
        <v>1</v>
      </c>
      <c r="U476" s="62">
        <v>1</v>
      </c>
      <c r="V476" s="62"/>
      <c r="W476" s="62"/>
      <c r="X476" s="62"/>
      <c r="Y476" s="62"/>
      <c r="Z476" s="62"/>
      <c r="AA476" s="62"/>
      <c r="AB476" s="62"/>
    </row>
    <row r="477" spans="1:28" ht="15.6" customHeight="1" x14ac:dyDescent="0.2">
      <c r="A477" s="408">
        <v>476</v>
      </c>
      <c r="B477" s="409" t="str">
        <f t="shared" si="7"/>
        <v>Melasma scabrum</v>
      </c>
      <c r="C477" s="410" t="s">
        <v>1807</v>
      </c>
      <c r="D477" s="75" t="s">
        <v>239</v>
      </c>
      <c r="E477" s="75" t="s">
        <v>1815</v>
      </c>
      <c r="F477" s="75" t="s">
        <v>1816</v>
      </c>
      <c r="G477" s="411" t="s">
        <v>3370</v>
      </c>
      <c r="H477" s="66" t="s">
        <v>3252</v>
      </c>
      <c r="I477" s="144">
        <v>3</v>
      </c>
      <c r="J477" s="144">
        <v>5</v>
      </c>
      <c r="K477" s="144">
        <v>2</v>
      </c>
      <c r="L477" s="144">
        <v>2</v>
      </c>
      <c r="M477" s="144">
        <v>1</v>
      </c>
      <c r="N477" s="144">
        <v>2</v>
      </c>
      <c r="O477" s="412" t="s">
        <v>2179</v>
      </c>
      <c r="P477" s="412" t="s">
        <v>3032</v>
      </c>
      <c r="Q477" s="413"/>
      <c r="R477" s="211">
        <v>36251</v>
      </c>
      <c r="S477" s="414"/>
      <c r="T477" s="415">
        <v>1</v>
      </c>
      <c r="U477" s="62"/>
      <c r="V477" s="62"/>
      <c r="W477" s="62"/>
      <c r="X477" s="62"/>
      <c r="Y477" s="62"/>
      <c r="Z477" s="62"/>
      <c r="AA477" s="62">
        <v>1</v>
      </c>
      <c r="AB477" s="62"/>
    </row>
    <row r="478" spans="1:28" ht="15.6" customHeight="1" x14ac:dyDescent="0.2">
      <c r="A478" s="408">
        <v>477</v>
      </c>
      <c r="B478" s="409" t="str">
        <f t="shared" si="7"/>
        <v>Orobanche ramosa</v>
      </c>
      <c r="C478" s="410" t="s">
        <v>1807</v>
      </c>
      <c r="D478" s="75" t="s">
        <v>240</v>
      </c>
      <c r="E478" s="75" t="s">
        <v>1817</v>
      </c>
      <c r="F478" s="75" t="s">
        <v>1818</v>
      </c>
      <c r="G478" s="411" t="s">
        <v>3371</v>
      </c>
      <c r="H478" s="66" t="s">
        <v>3233</v>
      </c>
      <c r="I478" s="144">
        <v>3</v>
      </c>
      <c r="J478" s="144">
        <v>6</v>
      </c>
      <c r="K478" s="144">
        <v>0</v>
      </c>
      <c r="L478" s="144">
        <v>7</v>
      </c>
      <c r="M478" s="144">
        <v>0</v>
      </c>
      <c r="N478" s="144">
        <v>0</v>
      </c>
      <c r="O478" s="412" t="s">
        <v>2179</v>
      </c>
      <c r="P478" s="412" t="s">
        <v>3032</v>
      </c>
      <c r="Q478" s="413"/>
      <c r="R478" s="211">
        <v>35612</v>
      </c>
      <c r="S478" s="414"/>
      <c r="T478" s="415">
        <v>1</v>
      </c>
      <c r="U478" s="62"/>
      <c r="V478" s="62"/>
      <c r="W478" s="62"/>
      <c r="X478" s="62"/>
      <c r="Y478" s="62">
        <v>1</v>
      </c>
      <c r="Z478" s="62"/>
      <c r="AA478" s="62"/>
      <c r="AB478" s="62"/>
    </row>
    <row r="479" spans="1:28" ht="15.6" customHeight="1" x14ac:dyDescent="0.2">
      <c r="A479" s="408">
        <v>478</v>
      </c>
      <c r="B479" s="409" t="str">
        <f t="shared" si="7"/>
        <v>Oxalis caprina</v>
      </c>
      <c r="C479" s="410" t="s">
        <v>1819</v>
      </c>
      <c r="D479" s="75" t="s">
        <v>241</v>
      </c>
      <c r="E479" s="75" t="s">
        <v>1820</v>
      </c>
      <c r="F479" s="75" t="s">
        <v>1821</v>
      </c>
      <c r="G479" s="411" t="s">
        <v>3372</v>
      </c>
      <c r="H479" s="66" t="s">
        <v>3308</v>
      </c>
      <c r="I479" s="144">
        <v>4</v>
      </c>
      <c r="J479" s="144">
        <v>6</v>
      </c>
      <c r="K479" s="144">
        <v>5</v>
      </c>
      <c r="L479" s="144">
        <v>4</v>
      </c>
      <c r="M479" s="144">
        <v>1</v>
      </c>
      <c r="N479" s="144">
        <v>4</v>
      </c>
      <c r="O479" s="412" t="s">
        <v>2163</v>
      </c>
      <c r="P479" s="412" t="s">
        <v>3032</v>
      </c>
      <c r="Q479" s="413"/>
      <c r="R479" s="211">
        <v>35886</v>
      </c>
      <c r="S479" s="414"/>
      <c r="T479" s="415">
        <v>1</v>
      </c>
      <c r="U479" s="62">
        <v>1</v>
      </c>
      <c r="V479" s="62"/>
      <c r="W479" s="62"/>
      <c r="X479" s="62">
        <v>1</v>
      </c>
      <c r="Y479" s="62"/>
      <c r="Z479" s="62"/>
      <c r="AA479" s="62"/>
      <c r="AB479" s="62"/>
    </row>
    <row r="480" spans="1:28" ht="15.6" customHeight="1" x14ac:dyDescent="0.2">
      <c r="A480" s="408">
        <v>479</v>
      </c>
      <c r="B480" s="409" t="str">
        <f t="shared" si="7"/>
        <v>Oxalis depressa</v>
      </c>
      <c r="C480" s="410" t="s">
        <v>1819</v>
      </c>
      <c r="E480" s="75" t="s">
        <v>1820</v>
      </c>
      <c r="F480" s="75" t="s">
        <v>980</v>
      </c>
      <c r="G480" s="411" t="s">
        <v>3373</v>
      </c>
      <c r="H480" s="66" t="s">
        <v>3308</v>
      </c>
      <c r="I480" s="144">
        <v>4</v>
      </c>
      <c r="J480" s="144">
        <v>6</v>
      </c>
      <c r="K480" s="144">
        <v>5</v>
      </c>
      <c r="L480" s="144">
        <v>4</v>
      </c>
      <c r="M480" s="144">
        <v>1</v>
      </c>
      <c r="N480" s="144">
        <v>4</v>
      </c>
      <c r="O480" s="412" t="s">
        <v>2163</v>
      </c>
      <c r="P480" s="412" t="s">
        <v>3032</v>
      </c>
      <c r="Q480" s="413"/>
      <c r="R480" s="211">
        <v>37742</v>
      </c>
      <c r="S480" s="414"/>
      <c r="T480" s="415">
        <v>1</v>
      </c>
      <c r="U480" s="62"/>
      <c r="V480" s="62"/>
      <c r="W480" s="62"/>
      <c r="X480" s="62">
        <v>1</v>
      </c>
      <c r="Y480" s="62"/>
      <c r="Z480" s="62"/>
      <c r="AA480" s="62"/>
      <c r="AB480" s="62"/>
    </row>
    <row r="481" spans="1:28" ht="15.6" customHeight="1" x14ac:dyDescent="0.2">
      <c r="A481" s="408">
        <v>480</v>
      </c>
      <c r="B481" s="409" t="str">
        <f t="shared" si="7"/>
        <v>Oxalis glabra</v>
      </c>
      <c r="C481" s="410" t="s">
        <v>1819</v>
      </c>
      <c r="D481" s="75" t="s">
        <v>242</v>
      </c>
      <c r="E481" s="75" t="s">
        <v>1820</v>
      </c>
      <c r="F481" s="75" t="s">
        <v>1822</v>
      </c>
      <c r="G481" s="411" t="s">
        <v>3374</v>
      </c>
      <c r="H481" s="66" t="s">
        <v>3308</v>
      </c>
      <c r="I481" s="144">
        <v>4</v>
      </c>
      <c r="J481" s="144">
        <v>6</v>
      </c>
      <c r="K481" s="144">
        <v>5</v>
      </c>
      <c r="L481" s="144">
        <v>4</v>
      </c>
      <c r="M481" s="144">
        <v>1</v>
      </c>
      <c r="N481" s="144">
        <v>4</v>
      </c>
      <c r="O481" s="412" t="s">
        <v>2163</v>
      </c>
      <c r="P481" s="412" t="s">
        <v>3032</v>
      </c>
      <c r="Q481" s="413"/>
      <c r="R481" s="211">
        <v>35947</v>
      </c>
      <c r="S481" s="414"/>
      <c r="T481" s="415">
        <v>1</v>
      </c>
      <c r="U481" s="62"/>
      <c r="V481" s="62"/>
      <c r="W481" s="62"/>
      <c r="X481" s="62">
        <v>1</v>
      </c>
      <c r="Y481" s="62"/>
      <c r="Z481" s="62"/>
      <c r="AA481" s="62"/>
      <c r="AB481" s="62"/>
    </row>
    <row r="482" spans="1:28" ht="15.6" customHeight="1" x14ac:dyDescent="0.2">
      <c r="A482" s="408">
        <v>481</v>
      </c>
      <c r="B482" s="409" t="str">
        <f t="shared" si="7"/>
        <v>Oxalis lindaviana</v>
      </c>
      <c r="C482" s="410" t="s">
        <v>1819</v>
      </c>
      <c r="E482" s="75" t="s">
        <v>1820</v>
      </c>
      <c r="F482" s="75" t="s">
        <v>1823</v>
      </c>
      <c r="G482" s="411" t="s">
        <v>3375</v>
      </c>
      <c r="H482" s="66" t="s">
        <v>3308</v>
      </c>
      <c r="I482" s="144">
        <v>4</v>
      </c>
      <c r="J482" s="144">
        <v>6</v>
      </c>
      <c r="K482" s="144">
        <v>5</v>
      </c>
      <c r="L482" s="144">
        <v>4</v>
      </c>
      <c r="M482" s="144">
        <v>1</v>
      </c>
      <c r="N482" s="144">
        <v>4</v>
      </c>
      <c r="O482" s="412" t="s">
        <v>2163</v>
      </c>
      <c r="P482" s="412" t="s">
        <v>3032</v>
      </c>
      <c r="Q482" s="413" t="s">
        <v>3147</v>
      </c>
      <c r="R482" s="211">
        <v>37742</v>
      </c>
      <c r="S482" s="414"/>
      <c r="T482" s="415">
        <v>1</v>
      </c>
      <c r="U482" s="62"/>
      <c r="V482" s="62"/>
      <c r="W482" s="62"/>
      <c r="X482" s="62">
        <v>1</v>
      </c>
      <c r="Y482" s="62"/>
      <c r="Z482" s="62"/>
      <c r="AA482" s="62"/>
      <c r="AB482" s="62"/>
    </row>
    <row r="483" spans="1:28" ht="15.6" customHeight="1" x14ac:dyDescent="0.2">
      <c r="A483" s="408">
        <v>482</v>
      </c>
      <c r="B483" s="409" t="str">
        <f t="shared" si="7"/>
        <v>Oxalis luteola</v>
      </c>
      <c r="C483" s="410" t="s">
        <v>1819</v>
      </c>
      <c r="E483" s="75" t="s">
        <v>1820</v>
      </c>
      <c r="F483" s="75" t="s">
        <v>1824</v>
      </c>
      <c r="G483" s="411" t="s">
        <v>3376</v>
      </c>
      <c r="H483" s="66" t="s">
        <v>3308</v>
      </c>
      <c r="I483" s="144">
        <v>4</v>
      </c>
      <c r="J483" s="144">
        <v>6</v>
      </c>
      <c r="K483" s="144">
        <v>5</v>
      </c>
      <c r="L483" s="144">
        <v>4</v>
      </c>
      <c r="M483" s="144">
        <v>1</v>
      </c>
      <c r="N483" s="144">
        <v>4</v>
      </c>
      <c r="O483" s="412" t="s">
        <v>2163</v>
      </c>
      <c r="P483" s="412" t="s">
        <v>3032</v>
      </c>
      <c r="Q483" s="413" t="s">
        <v>2703</v>
      </c>
      <c r="R483" s="211">
        <v>35947</v>
      </c>
      <c r="S483" s="414"/>
      <c r="T483" s="415">
        <v>1</v>
      </c>
      <c r="U483" s="62"/>
      <c r="V483" s="62"/>
      <c r="W483" s="62"/>
      <c r="X483" s="62">
        <v>1</v>
      </c>
      <c r="Y483" s="62"/>
      <c r="Z483" s="62"/>
      <c r="AA483" s="62"/>
      <c r="AB483" s="62"/>
    </row>
    <row r="484" spans="1:28" ht="15.6" customHeight="1" x14ac:dyDescent="0.2">
      <c r="A484" s="408">
        <v>483</v>
      </c>
      <c r="B484" s="409" t="str">
        <f t="shared" si="7"/>
        <v>Oxalis obtusa</v>
      </c>
      <c r="C484" s="410" t="s">
        <v>1819</v>
      </c>
      <c r="E484" s="75" t="s">
        <v>1820</v>
      </c>
      <c r="F484" s="75" t="s">
        <v>1825</v>
      </c>
      <c r="G484" s="411" t="s">
        <v>3377</v>
      </c>
      <c r="H484" s="66" t="s">
        <v>3308</v>
      </c>
      <c r="I484" s="144">
        <v>4</v>
      </c>
      <c r="J484" s="144">
        <v>6</v>
      </c>
      <c r="K484" s="144">
        <v>5</v>
      </c>
      <c r="L484" s="144">
        <v>4</v>
      </c>
      <c r="M484" s="144">
        <v>1</v>
      </c>
      <c r="N484" s="144">
        <v>4</v>
      </c>
      <c r="O484" s="412" t="s">
        <v>2163</v>
      </c>
      <c r="P484" s="412" t="s">
        <v>3032</v>
      </c>
      <c r="Q484" s="413"/>
      <c r="R484" s="211">
        <v>37316</v>
      </c>
      <c r="S484" s="414"/>
      <c r="T484" s="415">
        <v>1</v>
      </c>
      <c r="U484" s="62">
        <v>1</v>
      </c>
      <c r="V484" s="62"/>
      <c r="W484" s="62"/>
      <c r="X484" s="62"/>
      <c r="Y484" s="62"/>
      <c r="Z484" s="62"/>
      <c r="AA484" s="62"/>
      <c r="AB484" s="62"/>
    </row>
    <row r="485" spans="1:28" ht="15.6" customHeight="1" x14ac:dyDescent="0.2">
      <c r="A485" s="408">
        <v>484</v>
      </c>
      <c r="B485" s="409" t="str">
        <f t="shared" si="7"/>
        <v>Oxalis pardalis</v>
      </c>
      <c r="C485" s="410" t="s">
        <v>1819</v>
      </c>
      <c r="E485" s="75" t="s">
        <v>1820</v>
      </c>
      <c r="F485" s="75" t="s">
        <v>1826</v>
      </c>
      <c r="G485" s="411" t="s">
        <v>3378</v>
      </c>
      <c r="H485" s="66" t="s">
        <v>3293</v>
      </c>
      <c r="I485" s="144">
        <v>4</v>
      </c>
      <c r="J485" s="144">
        <v>6</v>
      </c>
      <c r="K485" s="144">
        <v>4</v>
      </c>
      <c r="L485" s="144">
        <v>5</v>
      </c>
      <c r="M485" s="144">
        <v>1</v>
      </c>
      <c r="N485" s="144">
        <v>4</v>
      </c>
      <c r="O485" s="412" t="s">
        <v>2163</v>
      </c>
      <c r="P485" s="412" t="s">
        <v>3032</v>
      </c>
      <c r="Q485" s="413" t="s">
        <v>3144</v>
      </c>
      <c r="R485" s="211">
        <v>37073</v>
      </c>
      <c r="S485" s="414"/>
      <c r="T485" s="415">
        <v>1</v>
      </c>
      <c r="U485" s="62"/>
      <c r="V485" s="62"/>
      <c r="W485" s="62">
        <v>1</v>
      </c>
      <c r="X485" s="62"/>
      <c r="Y485" s="62"/>
      <c r="Z485" s="62"/>
      <c r="AA485" s="62"/>
      <c r="AB485" s="62"/>
    </row>
    <row r="486" spans="1:28" ht="15.6" customHeight="1" x14ac:dyDescent="0.2">
      <c r="A486" s="408">
        <v>485</v>
      </c>
      <c r="B486" s="409" t="str">
        <f t="shared" si="7"/>
        <v>Oxalis polyphylla</v>
      </c>
      <c r="C486" s="410" t="s">
        <v>1819</v>
      </c>
      <c r="D486" s="75" t="s">
        <v>243</v>
      </c>
      <c r="E486" s="75" t="s">
        <v>1820</v>
      </c>
      <c r="F486" s="75" t="s">
        <v>1827</v>
      </c>
      <c r="G486" s="411" t="s">
        <v>3379</v>
      </c>
      <c r="H486" s="66" t="s">
        <v>3308</v>
      </c>
      <c r="I486" s="144">
        <v>4</v>
      </c>
      <c r="J486" s="144">
        <v>6</v>
      </c>
      <c r="K486" s="144">
        <v>5</v>
      </c>
      <c r="L486" s="144">
        <v>4</v>
      </c>
      <c r="M486" s="144">
        <v>1</v>
      </c>
      <c r="N486" s="144">
        <v>4</v>
      </c>
      <c r="O486" s="412" t="s">
        <v>2163</v>
      </c>
      <c r="P486" s="412" t="s">
        <v>3032</v>
      </c>
      <c r="Q486" s="413"/>
      <c r="R486" s="211">
        <v>35855</v>
      </c>
      <c r="S486" s="414"/>
      <c r="T486" s="415">
        <v>1</v>
      </c>
      <c r="U486" s="62">
        <v>1</v>
      </c>
      <c r="V486" s="62"/>
      <c r="W486" s="62"/>
      <c r="X486" s="62"/>
      <c r="Y486" s="62"/>
      <c r="Z486" s="62"/>
      <c r="AA486" s="62"/>
      <c r="AB486" s="62"/>
    </row>
    <row r="487" spans="1:28" ht="15.6" customHeight="1" x14ac:dyDescent="0.2">
      <c r="A487" s="408">
        <v>486</v>
      </c>
      <c r="B487" s="409" t="str">
        <f t="shared" si="7"/>
        <v>Oxalis purpurea</v>
      </c>
      <c r="C487" s="410" t="s">
        <v>1819</v>
      </c>
      <c r="E487" s="75" t="s">
        <v>1820</v>
      </c>
      <c r="F487" s="75" t="s">
        <v>1828</v>
      </c>
      <c r="G487" s="411" t="s">
        <v>3380</v>
      </c>
      <c r="H487" s="66" t="s">
        <v>3308</v>
      </c>
      <c r="I487" s="144">
        <v>4</v>
      </c>
      <c r="J487" s="144">
        <v>6</v>
      </c>
      <c r="K487" s="144">
        <v>5</v>
      </c>
      <c r="L487" s="144">
        <v>4</v>
      </c>
      <c r="M487" s="144">
        <v>1</v>
      </c>
      <c r="N487" s="144">
        <v>4</v>
      </c>
      <c r="O487" s="412" t="s">
        <v>2163</v>
      </c>
      <c r="P487" s="412" t="s">
        <v>3032</v>
      </c>
      <c r="Q487" s="413"/>
      <c r="R487" s="211">
        <v>35612</v>
      </c>
      <c r="S487" s="414" t="s">
        <v>2250</v>
      </c>
      <c r="T487" s="415"/>
      <c r="U487" s="62">
        <v>1</v>
      </c>
      <c r="V487" s="62"/>
      <c r="W487" s="62"/>
      <c r="X487" s="62"/>
      <c r="Y487" s="62"/>
      <c r="Z487" s="62"/>
      <c r="AA487" s="62"/>
      <c r="AB487" s="62"/>
    </row>
    <row r="488" spans="1:28" ht="15.6" customHeight="1" x14ac:dyDescent="0.2">
      <c r="A488" s="408">
        <v>487</v>
      </c>
      <c r="B488" s="409" t="str">
        <f t="shared" si="7"/>
        <v>Oxalis stellata</v>
      </c>
      <c r="C488" s="410" t="s">
        <v>1819</v>
      </c>
      <c r="E488" s="75" t="s">
        <v>1820</v>
      </c>
      <c r="F488" s="75" t="s">
        <v>1829</v>
      </c>
      <c r="G488" s="411" t="s">
        <v>3381</v>
      </c>
      <c r="H488" s="66" t="s">
        <v>3308</v>
      </c>
      <c r="I488" s="144">
        <v>4</v>
      </c>
      <c r="J488" s="144">
        <v>6</v>
      </c>
      <c r="K488" s="144">
        <v>5</v>
      </c>
      <c r="L488" s="144">
        <v>4</v>
      </c>
      <c r="M488" s="144">
        <v>1</v>
      </c>
      <c r="N488" s="144">
        <v>4</v>
      </c>
      <c r="O488" s="412" t="s">
        <v>2163</v>
      </c>
      <c r="P488" s="412" t="s">
        <v>3032</v>
      </c>
      <c r="Q488" s="413" t="s">
        <v>3144</v>
      </c>
      <c r="R488" s="211">
        <v>37316</v>
      </c>
      <c r="S488" s="414"/>
      <c r="T488" s="415">
        <v>1</v>
      </c>
      <c r="U488" s="62"/>
      <c r="V488" s="62"/>
      <c r="W488" s="62">
        <v>1</v>
      </c>
      <c r="X488" s="62"/>
      <c r="Y488" s="62"/>
      <c r="Z488" s="62"/>
      <c r="AA488" s="62"/>
      <c r="AB488" s="62"/>
    </row>
    <row r="489" spans="1:28" ht="15.6" customHeight="1" x14ac:dyDescent="0.2">
      <c r="A489" s="408">
        <v>488</v>
      </c>
      <c r="B489" s="409" t="str">
        <f t="shared" si="7"/>
        <v>Penaea mucronata</v>
      </c>
      <c r="C489" s="410" t="s">
        <v>1830</v>
      </c>
      <c r="E489" s="75" t="s">
        <v>1831</v>
      </c>
      <c r="F489" s="75" t="s">
        <v>1832</v>
      </c>
      <c r="G489" s="411" t="s">
        <v>3382</v>
      </c>
      <c r="H489" s="66" t="s">
        <v>3248</v>
      </c>
      <c r="I489" s="144">
        <v>2</v>
      </c>
      <c r="J489" s="144">
        <v>5</v>
      </c>
      <c r="K489" s="144">
        <v>2</v>
      </c>
      <c r="L489" s="144">
        <v>1</v>
      </c>
      <c r="M489" s="144">
        <v>2</v>
      </c>
      <c r="N489" s="144">
        <v>5</v>
      </c>
      <c r="O489" s="412" t="s">
        <v>2914</v>
      </c>
      <c r="P489" s="412" t="s">
        <v>3032</v>
      </c>
      <c r="Q489" s="413"/>
      <c r="R489" s="211">
        <v>35612</v>
      </c>
      <c r="S489" s="414"/>
      <c r="T489" s="415">
        <v>1</v>
      </c>
      <c r="U489" s="62"/>
      <c r="V489" s="62"/>
      <c r="W489" s="62"/>
      <c r="X489" s="62">
        <v>1</v>
      </c>
      <c r="Y489" s="62"/>
      <c r="Z489" s="62"/>
      <c r="AA489" s="62"/>
      <c r="AB489" s="62"/>
    </row>
    <row r="490" spans="1:28" ht="15.6" customHeight="1" x14ac:dyDescent="0.2">
      <c r="A490" s="408">
        <v>489</v>
      </c>
      <c r="B490" s="409" t="str">
        <f t="shared" si="7"/>
        <v>Limonium scabrum</v>
      </c>
      <c r="C490" s="410" t="s">
        <v>1833</v>
      </c>
      <c r="D490" s="75" t="s">
        <v>244</v>
      </c>
      <c r="E490" s="75" t="s">
        <v>1834</v>
      </c>
      <c r="F490" s="75" t="s">
        <v>1816</v>
      </c>
      <c r="G490" s="411" t="s">
        <v>3383</v>
      </c>
      <c r="H490" s="66" t="s">
        <v>3241</v>
      </c>
      <c r="I490" s="144">
        <v>3</v>
      </c>
      <c r="J490" s="144">
        <v>6</v>
      </c>
      <c r="K490" s="144">
        <v>5</v>
      </c>
      <c r="L490" s="144">
        <v>2</v>
      </c>
      <c r="M490" s="144">
        <v>1</v>
      </c>
      <c r="N490" s="144">
        <v>3</v>
      </c>
      <c r="O490" s="412" t="s">
        <v>2910</v>
      </c>
      <c r="P490" s="412" t="s">
        <v>3032</v>
      </c>
      <c r="Q490" s="413"/>
      <c r="R490" s="211">
        <v>35612</v>
      </c>
      <c r="S490" s="414"/>
      <c r="T490" s="415">
        <v>1</v>
      </c>
      <c r="U490" s="62">
        <v>1</v>
      </c>
      <c r="V490" s="62"/>
      <c r="W490" s="62"/>
      <c r="X490" s="62">
        <v>1</v>
      </c>
      <c r="Y490" s="62"/>
      <c r="Z490" s="62"/>
      <c r="AA490" s="62"/>
      <c r="AB490" s="62"/>
    </row>
    <row r="491" spans="1:28" ht="15.6" customHeight="1" x14ac:dyDescent="0.2">
      <c r="A491" s="408">
        <v>490</v>
      </c>
      <c r="B491" s="409" t="str">
        <f t="shared" si="7"/>
        <v>Brachypodium flexum</v>
      </c>
      <c r="C491" s="410" t="s">
        <v>2595</v>
      </c>
      <c r="D491" s="75" t="s">
        <v>245</v>
      </c>
      <c r="E491" s="75" t="s">
        <v>1836</v>
      </c>
      <c r="F491" s="75" t="s">
        <v>1837</v>
      </c>
      <c r="G491" s="411" t="s">
        <v>3384</v>
      </c>
      <c r="H491" s="66" t="s">
        <v>3285</v>
      </c>
      <c r="I491" s="144">
        <v>5</v>
      </c>
      <c r="J491" s="144">
        <v>5</v>
      </c>
      <c r="K491" s="144">
        <v>4</v>
      </c>
      <c r="L491" s="144">
        <v>3</v>
      </c>
      <c r="M491" s="144">
        <v>1</v>
      </c>
      <c r="N491" s="144">
        <v>1</v>
      </c>
      <c r="O491" s="412" t="s">
        <v>2176</v>
      </c>
      <c r="P491" s="412" t="s">
        <v>3032</v>
      </c>
      <c r="Q491" s="413"/>
      <c r="R491" s="211">
        <v>37257</v>
      </c>
      <c r="S491" s="414"/>
      <c r="T491" s="415">
        <v>1</v>
      </c>
      <c r="U491" s="429"/>
      <c r="V491" s="62"/>
      <c r="W491" s="62"/>
      <c r="X491" s="62"/>
      <c r="Y491" s="62"/>
      <c r="Z491" s="62"/>
      <c r="AA491" s="62"/>
      <c r="AB491" s="62"/>
    </row>
    <row r="492" spans="1:28" ht="15.6" customHeight="1" x14ac:dyDescent="0.2">
      <c r="A492" s="408">
        <v>491</v>
      </c>
      <c r="B492" s="409" t="str">
        <f t="shared" si="7"/>
        <v>Cymbopogon marginatus</v>
      </c>
      <c r="C492" s="410" t="s">
        <v>2595</v>
      </c>
      <c r="D492" s="75" t="s">
        <v>246</v>
      </c>
      <c r="E492" s="75" t="s">
        <v>1838</v>
      </c>
      <c r="F492" s="75" t="s">
        <v>1839</v>
      </c>
      <c r="G492" s="411" t="s">
        <v>3385</v>
      </c>
      <c r="H492" s="66" t="s">
        <v>3285</v>
      </c>
      <c r="I492" s="144">
        <v>5</v>
      </c>
      <c r="J492" s="144">
        <v>5</v>
      </c>
      <c r="K492" s="144">
        <v>4</v>
      </c>
      <c r="L492" s="144">
        <v>3</v>
      </c>
      <c r="M492" s="144">
        <v>1</v>
      </c>
      <c r="N492" s="144">
        <v>1</v>
      </c>
      <c r="O492" s="412" t="s">
        <v>2176</v>
      </c>
      <c r="P492" s="412" t="s">
        <v>3032</v>
      </c>
      <c r="Q492" s="413"/>
      <c r="R492" s="211">
        <v>35612</v>
      </c>
      <c r="S492" s="414"/>
      <c r="T492" s="415">
        <v>1</v>
      </c>
      <c r="U492" s="62"/>
      <c r="V492" s="62">
        <v>1</v>
      </c>
      <c r="W492" s="62">
        <v>1</v>
      </c>
      <c r="X492" s="62">
        <v>1</v>
      </c>
      <c r="Y492" s="62"/>
      <c r="Z492" s="62"/>
      <c r="AA492" s="62"/>
      <c r="AB492" s="62"/>
    </row>
    <row r="493" spans="1:28" ht="15.6" customHeight="1" x14ac:dyDescent="0.2">
      <c r="A493" s="408">
        <v>492</v>
      </c>
      <c r="B493" s="409" t="str">
        <f t="shared" si="7"/>
        <v>Ehrharta calycina</v>
      </c>
      <c r="C493" s="410" t="s">
        <v>2595</v>
      </c>
      <c r="D493" s="75" t="s">
        <v>247</v>
      </c>
      <c r="E493" s="75" t="s">
        <v>1840</v>
      </c>
      <c r="F493" s="75" t="s">
        <v>1841</v>
      </c>
      <c r="G493" s="411" t="s">
        <v>3386</v>
      </c>
      <c r="H493" s="66" t="s">
        <v>3285</v>
      </c>
      <c r="I493" s="144">
        <v>5</v>
      </c>
      <c r="J493" s="144">
        <v>5</v>
      </c>
      <c r="K493" s="144">
        <v>4</v>
      </c>
      <c r="L493" s="144">
        <v>3</v>
      </c>
      <c r="M493" s="144">
        <v>1</v>
      </c>
      <c r="N493" s="144">
        <v>1</v>
      </c>
      <c r="O493" s="412" t="s">
        <v>2176</v>
      </c>
      <c r="P493" s="412" t="s">
        <v>3032</v>
      </c>
      <c r="Q493" s="413"/>
      <c r="R493" s="211">
        <v>36281</v>
      </c>
      <c r="S493" s="414"/>
      <c r="T493" s="415">
        <v>1</v>
      </c>
      <c r="U493" s="62">
        <v>1</v>
      </c>
      <c r="V493" s="62"/>
      <c r="W493" s="62">
        <v>1</v>
      </c>
      <c r="X493" s="62">
        <v>1</v>
      </c>
      <c r="Y493" s="62"/>
      <c r="Z493" s="62"/>
      <c r="AA493" s="62"/>
      <c r="AB493" s="62"/>
    </row>
    <row r="494" spans="1:28" ht="15.6" customHeight="1" x14ac:dyDescent="0.2">
      <c r="A494" s="408">
        <v>493</v>
      </c>
      <c r="B494" s="409" t="str">
        <f t="shared" si="7"/>
        <v>Ehrharta erecta</v>
      </c>
      <c r="C494" s="410" t="s">
        <v>2595</v>
      </c>
      <c r="E494" s="75" t="s">
        <v>1840</v>
      </c>
      <c r="F494" s="75" t="s">
        <v>1842</v>
      </c>
      <c r="G494" s="411" t="s">
        <v>3387</v>
      </c>
      <c r="H494" s="66" t="s">
        <v>3285</v>
      </c>
      <c r="I494" s="144">
        <v>5</v>
      </c>
      <c r="J494" s="144">
        <v>5</v>
      </c>
      <c r="K494" s="144">
        <v>4</v>
      </c>
      <c r="L494" s="144">
        <v>3</v>
      </c>
      <c r="M494" s="144">
        <v>1</v>
      </c>
      <c r="N494" s="144">
        <v>1</v>
      </c>
      <c r="O494" s="412" t="s">
        <v>2176</v>
      </c>
      <c r="P494" s="412" t="s">
        <v>2170</v>
      </c>
      <c r="Q494" s="413"/>
      <c r="R494" s="211">
        <v>35612</v>
      </c>
      <c r="S494" s="414"/>
      <c r="T494" s="415">
        <v>1</v>
      </c>
      <c r="U494" s="62"/>
      <c r="V494" s="62"/>
      <c r="W494" s="62"/>
      <c r="X494" s="62"/>
      <c r="Y494" s="62">
        <v>1</v>
      </c>
      <c r="Z494" s="62">
        <v>1</v>
      </c>
      <c r="AA494" s="62"/>
      <c r="AB494" s="62"/>
    </row>
    <row r="495" spans="1:28" ht="15.6" customHeight="1" x14ac:dyDescent="0.2">
      <c r="A495" s="408">
        <v>494</v>
      </c>
      <c r="B495" s="409" t="str">
        <f t="shared" si="7"/>
        <v>Ehrharta rehmannii ssp. subspicata</v>
      </c>
      <c r="C495" s="410" t="s">
        <v>2595</v>
      </c>
      <c r="E495" s="75" t="s">
        <v>1840</v>
      </c>
      <c r="F495" s="75" t="s">
        <v>474</v>
      </c>
      <c r="G495" s="411" t="s">
        <v>3426</v>
      </c>
      <c r="H495" s="66" t="s">
        <v>3285</v>
      </c>
      <c r="I495" s="144">
        <v>5</v>
      </c>
      <c r="J495" s="144">
        <v>5</v>
      </c>
      <c r="K495" s="144">
        <v>4</v>
      </c>
      <c r="L495" s="144">
        <v>3</v>
      </c>
      <c r="M495" s="144">
        <v>1</v>
      </c>
      <c r="N495" s="144">
        <v>1</v>
      </c>
      <c r="O495" s="412" t="s">
        <v>2176</v>
      </c>
      <c r="P495" s="412" t="s">
        <v>3032</v>
      </c>
      <c r="Q495" s="413"/>
      <c r="R495" s="211">
        <v>36861</v>
      </c>
      <c r="S495" s="414"/>
      <c r="T495" s="415">
        <v>1</v>
      </c>
      <c r="U495" s="62"/>
      <c r="V495" s="62"/>
      <c r="W495" s="62"/>
      <c r="X495" s="62">
        <v>1</v>
      </c>
      <c r="Y495" s="62"/>
      <c r="Z495" s="62"/>
      <c r="AA495" s="62"/>
      <c r="AB495" s="62"/>
    </row>
    <row r="496" spans="1:28" ht="15.6" customHeight="1" x14ac:dyDescent="0.2">
      <c r="A496" s="408">
        <v>495</v>
      </c>
      <c r="B496" s="409" t="str">
        <f t="shared" si="7"/>
        <v>Ehrharta villosa</v>
      </c>
      <c r="C496" s="410" t="s">
        <v>2595</v>
      </c>
      <c r="D496" s="75" t="s">
        <v>248</v>
      </c>
      <c r="E496" s="75" t="s">
        <v>1840</v>
      </c>
      <c r="F496" s="75" t="s">
        <v>2784</v>
      </c>
      <c r="G496" s="411" t="s">
        <v>3427</v>
      </c>
      <c r="H496" s="66" t="s">
        <v>3286</v>
      </c>
      <c r="I496" s="144">
        <v>5</v>
      </c>
      <c r="J496" s="144">
        <v>4</v>
      </c>
      <c r="K496" s="144">
        <v>4</v>
      </c>
      <c r="L496" s="144">
        <v>3</v>
      </c>
      <c r="M496" s="144">
        <v>1</v>
      </c>
      <c r="N496" s="144">
        <v>1</v>
      </c>
      <c r="O496" s="412" t="s">
        <v>2176</v>
      </c>
      <c r="P496" s="412" t="s">
        <v>3032</v>
      </c>
      <c r="Q496" s="413"/>
      <c r="R496" s="211">
        <v>35612</v>
      </c>
      <c r="S496" s="414"/>
      <c r="T496" s="415">
        <v>1</v>
      </c>
      <c r="U496" s="62">
        <v>1</v>
      </c>
      <c r="V496" s="62"/>
      <c r="W496" s="62"/>
      <c r="X496" s="62">
        <v>1</v>
      </c>
      <c r="Y496" s="62"/>
      <c r="Z496" s="62"/>
      <c r="AA496" s="62"/>
      <c r="AB496" s="62"/>
    </row>
    <row r="497" spans="1:28" ht="15.6" customHeight="1" x14ac:dyDescent="0.2">
      <c r="A497" s="408">
        <v>496</v>
      </c>
      <c r="B497" s="409" t="str">
        <f t="shared" si="7"/>
        <v>Eragrostis curvula</v>
      </c>
      <c r="C497" s="410" t="s">
        <v>2595</v>
      </c>
      <c r="D497" s="75" t="s">
        <v>249</v>
      </c>
      <c r="E497" s="75" t="s">
        <v>1844</v>
      </c>
      <c r="F497" s="75" t="s">
        <v>2156</v>
      </c>
      <c r="G497" s="411" t="s">
        <v>485</v>
      </c>
      <c r="H497" s="66" t="s">
        <v>3285</v>
      </c>
      <c r="I497" s="144">
        <v>5</v>
      </c>
      <c r="J497" s="144">
        <v>5</v>
      </c>
      <c r="K497" s="144">
        <v>4</v>
      </c>
      <c r="L497" s="144">
        <v>3</v>
      </c>
      <c r="M497" s="144">
        <v>1</v>
      </c>
      <c r="N497" s="144">
        <v>1</v>
      </c>
      <c r="O497" s="412" t="s">
        <v>2176</v>
      </c>
      <c r="P497" s="412" t="s">
        <v>3032</v>
      </c>
      <c r="Q497" s="413"/>
      <c r="R497" s="211">
        <v>35612</v>
      </c>
      <c r="S497" s="414"/>
      <c r="T497" s="415">
        <v>1</v>
      </c>
      <c r="U497" s="62">
        <v>1</v>
      </c>
      <c r="V497" s="62"/>
      <c r="W497" s="62">
        <v>1</v>
      </c>
      <c r="X497" s="62">
        <v>1</v>
      </c>
      <c r="Y497" s="62"/>
      <c r="Z497" s="62"/>
      <c r="AA497" s="62"/>
      <c r="AB497" s="62"/>
    </row>
    <row r="498" spans="1:28" ht="15.6" customHeight="1" x14ac:dyDescent="0.2">
      <c r="A498" s="408">
        <v>497</v>
      </c>
      <c r="B498" s="409" t="str">
        <f t="shared" si="7"/>
        <v>Festuca  scabra</v>
      </c>
      <c r="C498" s="410" t="s">
        <v>2595</v>
      </c>
      <c r="D498" s="75" t="s">
        <v>250</v>
      </c>
      <c r="E498" s="75" t="s">
        <v>1845</v>
      </c>
      <c r="F498" s="75" t="s">
        <v>786</v>
      </c>
      <c r="G498" s="411" t="s">
        <v>3428</v>
      </c>
      <c r="H498" s="66" t="s">
        <v>3285</v>
      </c>
      <c r="I498" s="144">
        <v>5</v>
      </c>
      <c r="J498" s="144">
        <v>5</v>
      </c>
      <c r="K498" s="144">
        <v>4</v>
      </c>
      <c r="L498" s="144">
        <v>3</v>
      </c>
      <c r="M498" s="144">
        <v>1</v>
      </c>
      <c r="N498" s="144">
        <v>1</v>
      </c>
      <c r="O498" s="412" t="s">
        <v>2176</v>
      </c>
      <c r="P498" s="412" t="s">
        <v>3032</v>
      </c>
      <c r="Q498" s="413"/>
      <c r="R498" s="211">
        <v>36892</v>
      </c>
      <c r="S498" s="414"/>
      <c r="T498" s="415">
        <v>1</v>
      </c>
      <c r="U498" s="62">
        <v>1</v>
      </c>
      <c r="V498" s="62"/>
      <c r="W498" s="62"/>
      <c r="X498" s="62"/>
      <c r="Y498" s="62"/>
      <c r="Z498" s="62"/>
      <c r="AA498" s="62"/>
      <c r="AB498" s="62"/>
    </row>
    <row r="499" spans="1:28" ht="15.6" customHeight="1" x14ac:dyDescent="0.2">
      <c r="A499" s="408">
        <v>498</v>
      </c>
      <c r="B499" s="409" t="str">
        <f t="shared" si="7"/>
        <v>Helictotrichon capense</v>
      </c>
      <c r="C499" s="410" t="s">
        <v>2595</v>
      </c>
      <c r="E499" s="75" t="s">
        <v>1846</v>
      </c>
      <c r="F499" s="75" t="s">
        <v>945</v>
      </c>
      <c r="G499" s="411" t="s">
        <v>3429</v>
      </c>
      <c r="H499" s="66" t="s">
        <v>3285</v>
      </c>
      <c r="I499" s="144">
        <v>5</v>
      </c>
      <c r="J499" s="144">
        <v>5</v>
      </c>
      <c r="K499" s="144">
        <v>4</v>
      </c>
      <c r="L499" s="144">
        <v>3</v>
      </c>
      <c r="M499" s="144">
        <v>1</v>
      </c>
      <c r="N499" s="144">
        <v>1</v>
      </c>
      <c r="O499" s="412" t="s">
        <v>2176</v>
      </c>
      <c r="P499" s="412" t="s">
        <v>3032</v>
      </c>
      <c r="Q499" s="413"/>
      <c r="R499" s="211">
        <v>35886</v>
      </c>
      <c r="S499" s="414"/>
      <c r="T499" s="415">
        <v>1</v>
      </c>
      <c r="U499" s="62">
        <v>1</v>
      </c>
      <c r="V499" s="62"/>
      <c r="W499" s="62"/>
      <c r="X499" s="62"/>
      <c r="Y499" s="62"/>
      <c r="Z499" s="62"/>
      <c r="AA499" s="62"/>
      <c r="AB499" s="62"/>
    </row>
    <row r="500" spans="1:28" ht="15.6" customHeight="1" x14ac:dyDescent="0.2">
      <c r="A500" s="408">
        <v>499</v>
      </c>
      <c r="B500" s="409" t="str">
        <f t="shared" si="7"/>
        <v>Koeleria capensis</v>
      </c>
      <c r="C500" s="410" t="s">
        <v>2595</v>
      </c>
      <c r="D500" s="75" t="s">
        <v>251</v>
      </c>
      <c r="E500" s="75" t="s">
        <v>1847</v>
      </c>
      <c r="F500" s="75" t="s">
        <v>2756</v>
      </c>
      <c r="G500" s="411" t="s">
        <v>3430</v>
      </c>
      <c r="H500" s="66" t="s">
        <v>3285</v>
      </c>
      <c r="I500" s="144">
        <v>5</v>
      </c>
      <c r="J500" s="144">
        <v>5</v>
      </c>
      <c r="K500" s="144">
        <v>4</v>
      </c>
      <c r="L500" s="144">
        <v>3</v>
      </c>
      <c r="M500" s="144">
        <v>1</v>
      </c>
      <c r="N500" s="144">
        <v>1</v>
      </c>
      <c r="O500" s="412" t="s">
        <v>2176</v>
      </c>
      <c r="P500" s="412" t="s">
        <v>3032</v>
      </c>
      <c r="Q500" s="413"/>
      <c r="R500" s="211">
        <v>35612</v>
      </c>
      <c r="S500" s="414"/>
      <c r="T500" s="415">
        <v>1</v>
      </c>
      <c r="U500" s="62">
        <v>1</v>
      </c>
      <c r="V500" s="62"/>
      <c r="W500" s="62"/>
      <c r="X500" s="62"/>
      <c r="Y500" s="62"/>
      <c r="Z500" s="62"/>
      <c r="AA500" s="62"/>
      <c r="AB500" s="62"/>
    </row>
    <row r="501" spans="1:28" ht="15.6" customHeight="1" x14ac:dyDescent="0.2">
      <c r="A501" s="408">
        <v>500</v>
      </c>
      <c r="B501" s="409" t="str">
        <f t="shared" si="7"/>
        <v>Melica racemosa</v>
      </c>
      <c r="C501" s="410" t="s">
        <v>2595</v>
      </c>
      <c r="D501" s="75" t="s">
        <v>252</v>
      </c>
      <c r="E501" s="75" t="s">
        <v>1848</v>
      </c>
      <c r="F501" s="75" t="s">
        <v>1031</v>
      </c>
      <c r="G501" s="411" t="s">
        <v>3431</v>
      </c>
      <c r="H501" s="66" t="s">
        <v>3285</v>
      </c>
      <c r="I501" s="144">
        <v>5</v>
      </c>
      <c r="J501" s="144">
        <v>5</v>
      </c>
      <c r="K501" s="144">
        <v>4</v>
      </c>
      <c r="L501" s="144">
        <v>3</v>
      </c>
      <c r="M501" s="144">
        <v>1</v>
      </c>
      <c r="N501" s="144">
        <v>1</v>
      </c>
      <c r="O501" s="412" t="s">
        <v>2176</v>
      </c>
      <c r="P501" s="412" t="s">
        <v>3032</v>
      </c>
      <c r="Q501" s="413"/>
      <c r="R501" s="211">
        <v>35612</v>
      </c>
      <c r="S501" s="414"/>
      <c r="T501" s="415">
        <v>1</v>
      </c>
      <c r="U501" s="62"/>
      <c r="V501" s="62"/>
      <c r="W501" s="62"/>
      <c r="X501" s="62"/>
      <c r="Y501" s="62">
        <v>1</v>
      </c>
      <c r="Z501" s="62">
        <v>1</v>
      </c>
      <c r="AA501" s="62"/>
      <c r="AB501" s="62"/>
    </row>
    <row r="502" spans="1:28" ht="15.6" customHeight="1" x14ac:dyDescent="0.2">
      <c r="A502" s="408">
        <v>501</v>
      </c>
      <c r="B502" s="409" t="str">
        <f t="shared" si="7"/>
        <v>Pentaschistis barbata</v>
      </c>
      <c r="C502" s="410" t="s">
        <v>2595</v>
      </c>
      <c r="E502" s="75" t="s">
        <v>1849</v>
      </c>
      <c r="F502" s="75" t="s">
        <v>1850</v>
      </c>
      <c r="G502" s="411" t="s">
        <v>3432</v>
      </c>
      <c r="H502" s="66" t="s">
        <v>3285</v>
      </c>
      <c r="I502" s="144">
        <v>5</v>
      </c>
      <c r="J502" s="144">
        <v>5</v>
      </c>
      <c r="K502" s="144">
        <v>4</v>
      </c>
      <c r="L502" s="144">
        <v>3</v>
      </c>
      <c r="M502" s="144">
        <v>1</v>
      </c>
      <c r="N502" s="144">
        <v>1</v>
      </c>
      <c r="O502" s="412" t="s">
        <v>2176</v>
      </c>
      <c r="P502" s="412" t="s">
        <v>3032</v>
      </c>
      <c r="Q502" s="413" t="s">
        <v>3147</v>
      </c>
      <c r="R502" s="211">
        <v>36892</v>
      </c>
      <c r="S502" s="414"/>
      <c r="T502" s="415">
        <v>1</v>
      </c>
      <c r="U502" s="62">
        <v>1</v>
      </c>
      <c r="V502" s="62"/>
      <c r="W502" s="62"/>
      <c r="X502" s="62"/>
      <c r="Y502" s="62"/>
      <c r="Z502" s="62"/>
      <c r="AA502" s="62"/>
      <c r="AB502" s="62"/>
    </row>
    <row r="503" spans="1:28" ht="15.6" customHeight="1" x14ac:dyDescent="0.2">
      <c r="A503" s="408">
        <v>502</v>
      </c>
      <c r="B503" s="409" t="str">
        <f t="shared" si="7"/>
        <v>Pentaschistis colorata</v>
      </c>
      <c r="C503" s="410" t="s">
        <v>2595</v>
      </c>
      <c r="E503" s="75" t="s">
        <v>1849</v>
      </c>
      <c r="F503" s="75" t="s">
        <v>1851</v>
      </c>
      <c r="G503" s="411" t="s">
        <v>3433</v>
      </c>
      <c r="H503" s="66" t="s">
        <v>3285</v>
      </c>
      <c r="I503" s="144">
        <v>5</v>
      </c>
      <c r="J503" s="144">
        <v>5</v>
      </c>
      <c r="K503" s="144">
        <v>4</v>
      </c>
      <c r="L503" s="144">
        <v>3</v>
      </c>
      <c r="M503" s="144">
        <v>1</v>
      </c>
      <c r="N503" s="144">
        <v>1</v>
      </c>
      <c r="O503" s="412" t="s">
        <v>2176</v>
      </c>
      <c r="P503" s="412" t="s">
        <v>3032</v>
      </c>
      <c r="Q503" s="413"/>
      <c r="R503" s="211">
        <v>35612</v>
      </c>
      <c r="S503" s="414"/>
      <c r="T503" s="415">
        <v>1</v>
      </c>
      <c r="U503" s="62">
        <v>1</v>
      </c>
      <c r="V503" s="62">
        <v>1</v>
      </c>
      <c r="W503" s="62">
        <v>1</v>
      </c>
      <c r="X503" s="62"/>
      <c r="Y503" s="62"/>
      <c r="Z503" s="62"/>
      <c r="AA503" s="62"/>
      <c r="AB503" s="62"/>
    </row>
    <row r="504" spans="1:28" ht="15.6" customHeight="1" x14ac:dyDescent="0.2">
      <c r="A504" s="408">
        <v>503</v>
      </c>
      <c r="B504" s="409" t="str">
        <f t="shared" si="7"/>
        <v>Pentaschistis pallida</v>
      </c>
      <c r="C504" s="410" t="s">
        <v>2595</v>
      </c>
      <c r="E504" s="75" t="s">
        <v>1849</v>
      </c>
      <c r="F504" s="75" t="s">
        <v>1852</v>
      </c>
      <c r="G504" s="411" t="s">
        <v>3434</v>
      </c>
      <c r="H504" s="66" t="s">
        <v>3284</v>
      </c>
      <c r="I504" s="144">
        <v>5</v>
      </c>
      <c r="J504" s="144">
        <v>6</v>
      </c>
      <c r="K504" s="144">
        <v>4</v>
      </c>
      <c r="L504" s="144">
        <v>3</v>
      </c>
      <c r="M504" s="144">
        <v>1</v>
      </c>
      <c r="N504" s="144">
        <v>1</v>
      </c>
      <c r="O504" s="412" t="s">
        <v>2176</v>
      </c>
      <c r="P504" s="412" t="s">
        <v>3032</v>
      </c>
      <c r="Q504" s="413" t="s">
        <v>3144</v>
      </c>
      <c r="R504" s="211">
        <v>36281</v>
      </c>
      <c r="S504" s="414"/>
      <c r="T504" s="415">
        <v>1</v>
      </c>
      <c r="U504" s="62">
        <v>1</v>
      </c>
      <c r="V504" s="62"/>
      <c r="W504" s="62"/>
      <c r="X504" s="62"/>
      <c r="Y504" s="62"/>
      <c r="Z504" s="62"/>
      <c r="AA504" s="62"/>
      <c r="AB504" s="62"/>
    </row>
    <row r="505" spans="1:28" ht="15.6" customHeight="1" x14ac:dyDescent="0.2">
      <c r="A505" s="408">
        <v>504</v>
      </c>
      <c r="B505" s="409" t="str">
        <f t="shared" si="7"/>
        <v>Pseudopentameris macrantha</v>
      </c>
      <c r="C505" s="410" t="s">
        <v>2595</v>
      </c>
      <c r="E505" s="75" t="s">
        <v>1938</v>
      </c>
      <c r="F505" s="75" t="s">
        <v>1939</v>
      </c>
      <c r="G505" s="411" t="s">
        <v>3435</v>
      </c>
      <c r="H505" s="66" t="s">
        <v>3286</v>
      </c>
      <c r="I505" s="144">
        <v>5</v>
      </c>
      <c r="J505" s="144">
        <v>4</v>
      </c>
      <c r="K505" s="144">
        <v>4</v>
      </c>
      <c r="L505" s="144">
        <v>3</v>
      </c>
      <c r="M505" s="144">
        <v>1</v>
      </c>
      <c r="N505" s="144">
        <v>1</v>
      </c>
      <c r="O505" s="412" t="s">
        <v>2176</v>
      </c>
      <c r="P505" s="412" t="s">
        <v>3032</v>
      </c>
      <c r="Q505" s="413"/>
      <c r="R505" s="211">
        <v>35612</v>
      </c>
      <c r="S505" s="414"/>
      <c r="T505" s="415">
        <v>1</v>
      </c>
      <c r="U505" s="62"/>
      <c r="V505" s="62">
        <v>1</v>
      </c>
      <c r="W505" s="62"/>
      <c r="X505" s="62">
        <v>1</v>
      </c>
      <c r="Y505" s="62"/>
      <c r="Z505" s="62"/>
      <c r="AA505" s="62"/>
      <c r="AB505" s="62"/>
    </row>
    <row r="506" spans="1:28" ht="15.6" customHeight="1" x14ac:dyDescent="0.2">
      <c r="A506" s="408">
        <v>505</v>
      </c>
      <c r="B506" s="409" t="str">
        <f t="shared" si="7"/>
        <v>Sporobolus africanus</v>
      </c>
      <c r="C506" s="410" t="s">
        <v>2595</v>
      </c>
      <c r="E506" s="75" t="s">
        <v>1940</v>
      </c>
      <c r="F506" s="75" t="s">
        <v>2728</v>
      </c>
      <c r="G506" s="411" t="s">
        <v>3436</v>
      </c>
      <c r="H506" s="66" t="s">
        <v>3285</v>
      </c>
      <c r="I506" s="144">
        <v>5</v>
      </c>
      <c r="J506" s="144">
        <v>5</v>
      </c>
      <c r="K506" s="144">
        <v>4</v>
      </c>
      <c r="L506" s="144">
        <v>3</v>
      </c>
      <c r="M506" s="144">
        <v>1</v>
      </c>
      <c r="N506" s="144">
        <v>1</v>
      </c>
      <c r="O506" s="412" t="s">
        <v>2176</v>
      </c>
      <c r="P506" s="412" t="s">
        <v>3032</v>
      </c>
      <c r="Q506" s="413"/>
      <c r="R506" s="211">
        <v>35947</v>
      </c>
      <c r="S506" s="414"/>
      <c r="T506" s="415">
        <v>1</v>
      </c>
      <c r="U506" s="62"/>
      <c r="V506" s="62"/>
      <c r="W506" s="62"/>
      <c r="X506" s="62"/>
      <c r="Y506" s="62">
        <v>1</v>
      </c>
      <c r="Z506" s="62"/>
      <c r="AA506" s="62"/>
      <c r="AB506" s="62"/>
    </row>
    <row r="507" spans="1:28" ht="15.6" customHeight="1" x14ac:dyDescent="0.2">
      <c r="A507" s="408">
        <v>506</v>
      </c>
      <c r="B507" s="409" t="str">
        <f t="shared" si="7"/>
        <v>Stenotaphrum secundatum</v>
      </c>
      <c r="C507" s="410" t="s">
        <v>2595</v>
      </c>
      <c r="D507" s="75" t="s">
        <v>253</v>
      </c>
      <c r="E507" s="75" t="s">
        <v>1941</v>
      </c>
      <c r="F507" s="75" t="s">
        <v>1942</v>
      </c>
      <c r="G507" s="411" t="s">
        <v>3437</v>
      </c>
      <c r="H507" s="66" t="s">
        <v>3284</v>
      </c>
      <c r="I507" s="144">
        <v>5</v>
      </c>
      <c r="J507" s="144">
        <v>6</v>
      </c>
      <c r="K507" s="144">
        <v>4</v>
      </c>
      <c r="L507" s="144">
        <v>3</v>
      </c>
      <c r="M507" s="144">
        <v>1</v>
      </c>
      <c r="N507" s="144">
        <v>1</v>
      </c>
      <c r="O507" s="412" t="s">
        <v>2176</v>
      </c>
      <c r="P507" s="412" t="s">
        <v>3032</v>
      </c>
      <c r="Q507" s="413"/>
      <c r="R507" s="211">
        <v>35612</v>
      </c>
      <c r="S507" s="414" t="s">
        <v>2250</v>
      </c>
      <c r="T507" s="415"/>
      <c r="U507" s="62">
        <v>1</v>
      </c>
      <c r="V507" s="62"/>
      <c r="W507" s="62"/>
      <c r="X507" s="62">
        <v>1</v>
      </c>
      <c r="Y507" s="62"/>
      <c r="Z507" s="62"/>
      <c r="AA507" s="62"/>
      <c r="AB507" s="62"/>
    </row>
    <row r="508" spans="1:28" ht="15.6" customHeight="1" x14ac:dyDescent="0.2">
      <c r="A508" s="408">
        <v>507</v>
      </c>
      <c r="B508" s="409" t="str">
        <f t="shared" si="7"/>
        <v>Stipa dregeana</v>
      </c>
      <c r="C508" s="410" t="s">
        <v>2595</v>
      </c>
      <c r="E508" s="75" t="s">
        <v>1587</v>
      </c>
      <c r="F508" s="75" t="s">
        <v>1943</v>
      </c>
      <c r="G508" s="411" t="s">
        <v>3438</v>
      </c>
      <c r="H508" s="66" t="s">
        <v>3286</v>
      </c>
      <c r="I508" s="144">
        <v>5</v>
      </c>
      <c r="J508" s="144">
        <v>4</v>
      </c>
      <c r="K508" s="144">
        <v>4</v>
      </c>
      <c r="L508" s="144">
        <v>3</v>
      </c>
      <c r="M508" s="144">
        <v>1</v>
      </c>
      <c r="N508" s="144">
        <v>1</v>
      </c>
      <c r="O508" s="412" t="s">
        <v>2176</v>
      </c>
      <c r="P508" s="412" t="s">
        <v>3032</v>
      </c>
      <c r="Q508" s="413"/>
      <c r="R508" s="211">
        <v>35612</v>
      </c>
      <c r="S508" s="414" t="s">
        <v>2250</v>
      </c>
      <c r="T508" s="415"/>
      <c r="U508" s="62"/>
      <c r="V508" s="62"/>
      <c r="W508" s="62"/>
      <c r="X508" s="62"/>
      <c r="Y508" s="62"/>
      <c r="Z508" s="62">
        <v>1</v>
      </c>
      <c r="AA508" s="62"/>
      <c r="AB508" s="62"/>
    </row>
    <row r="509" spans="1:28" ht="15.6" customHeight="1" x14ac:dyDescent="0.2">
      <c r="A509" s="408">
        <v>508</v>
      </c>
      <c r="B509" s="409" t="str">
        <f t="shared" si="7"/>
        <v>Themeda triandra</v>
      </c>
      <c r="C509" s="410" t="s">
        <v>2595</v>
      </c>
      <c r="D509" s="75" t="s">
        <v>254</v>
      </c>
      <c r="E509" s="75" t="s">
        <v>1944</v>
      </c>
      <c r="F509" s="75" t="s">
        <v>1945</v>
      </c>
      <c r="G509" s="411" t="s">
        <v>3439</v>
      </c>
      <c r="H509" s="66" t="s">
        <v>3285</v>
      </c>
      <c r="I509" s="144">
        <v>5</v>
      </c>
      <c r="J509" s="144">
        <v>5</v>
      </c>
      <c r="K509" s="144">
        <v>4</v>
      </c>
      <c r="L509" s="144">
        <v>3</v>
      </c>
      <c r="M509" s="144">
        <v>1</v>
      </c>
      <c r="N509" s="144">
        <v>1</v>
      </c>
      <c r="O509" s="412" t="s">
        <v>2176</v>
      </c>
      <c r="P509" s="412" t="s">
        <v>3032</v>
      </c>
      <c r="Q509" s="413"/>
      <c r="R509" s="211">
        <v>35612</v>
      </c>
      <c r="S509" s="414"/>
      <c r="T509" s="415">
        <v>1</v>
      </c>
      <c r="U509" s="62"/>
      <c r="V509" s="62"/>
      <c r="W509" s="62"/>
      <c r="X509" s="62">
        <v>1</v>
      </c>
      <c r="Y509" s="62"/>
      <c r="Z509" s="62"/>
      <c r="AA509" s="62"/>
      <c r="AB509" s="62"/>
    </row>
    <row r="510" spans="1:28" ht="15.6" customHeight="1" x14ac:dyDescent="0.2">
      <c r="A510" s="408">
        <v>509</v>
      </c>
      <c r="B510" s="409" t="str">
        <f t="shared" si="7"/>
        <v>Tribolium  hispidum</v>
      </c>
      <c r="C510" s="410" t="s">
        <v>2595</v>
      </c>
      <c r="E510" s="75" t="s">
        <v>1946</v>
      </c>
      <c r="F510" s="75" t="s">
        <v>1947</v>
      </c>
      <c r="G510" s="411" t="s">
        <v>3440</v>
      </c>
      <c r="H510" s="66" t="s">
        <v>3284</v>
      </c>
      <c r="I510" s="144">
        <v>5</v>
      </c>
      <c r="J510" s="144">
        <v>6</v>
      </c>
      <c r="K510" s="144">
        <v>4</v>
      </c>
      <c r="L510" s="144">
        <v>3</v>
      </c>
      <c r="M510" s="144">
        <v>1</v>
      </c>
      <c r="N510" s="144">
        <v>1</v>
      </c>
      <c r="O510" s="412" t="s">
        <v>2176</v>
      </c>
      <c r="P510" s="412" t="s">
        <v>3032</v>
      </c>
      <c r="Q510" s="413"/>
      <c r="R510" s="211">
        <v>35612</v>
      </c>
      <c r="S510" s="414"/>
      <c r="T510" s="415">
        <v>1</v>
      </c>
      <c r="U510" s="62">
        <v>1</v>
      </c>
      <c r="V510" s="62"/>
      <c r="W510" s="62">
        <v>1</v>
      </c>
      <c r="X510" s="62">
        <v>1</v>
      </c>
      <c r="Y510" s="62"/>
      <c r="Z510" s="62"/>
      <c r="AA510" s="62"/>
      <c r="AB510" s="62"/>
    </row>
    <row r="511" spans="1:28" ht="15.6" customHeight="1" x14ac:dyDescent="0.2">
      <c r="A511" s="408">
        <v>510</v>
      </c>
      <c r="B511" s="409" t="str">
        <f t="shared" si="7"/>
        <v>Muraltia bolusii</v>
      </c>
      <c r="C511" s="410" t="s">
        <v>1948</v>
      </c>
      <c r="E511" s="75" t="s">
        <v>1949</v>
      </c>
      <c r="F511" s="75" t="s">
        <v>1014</v>
      </c>
      <c r="G511" s="411" t="s">
        <v>3441</v>
      </c>
      <c r="H511" s="66" t="s">
        <v>3215</v>
      </c>
      <c r="I511" s="144">
        <v>2</v>
      </c>
      <c r="J511" s="144">
        <v>6</v>
      </c>
      <c r="K511" s="144">
        <v>4</v>
      </c>
      <c r="L511" s="144">
        <v>3</v>
      </c>
      <c r="M511" s="144">
        <v>2</v>
      </c>
      <c r="N511" s="144">
        <v>5</v>
      </c>
      <c r="O511" s="412" t="s">
        <v>3031</v>
      </c>
      <c r="P511" s="412" t="s">
        <v>3032</v>
      </c>
      <c r="Q511" s="413"/>
      <c r="R511" s="211">
        <v>35947</v>
      </c>
      <c r="S511" s="414"/>
      <c r="T511" s="415">
        <v>1</v>
      </c>
      <c r="U511" s="62"/>
      <c r="V511" s="62"/>
      <c r="W511" s="62"/>
      <c r="X511" s="62">
        <v>1</v>
      </c>
      <c r="Y511" s="62"/>
      <c r="Z511" s="62"/>
      <c r="AA511" s="62"/>
      <c r="AB511" s="62"/>
    </row>
    <row r="512" spans="1:28" ht="15.6" customHeight="1" x14ac:dyDescent="0.2">
      <c r="A512" s="408">
        <v>511</v>
      </c>
      <c r="B512" s="409" t="str">
        <f t="shared" si="7"/>
        <v>Muraltia cf. salsolacea</v>
      </c>
      <c r="C512" s="410" t="s">
        <v>1948</v>
      </c>
      <c r="E512" s="75" t="s">
        <v>1949</v>
      </c>
      <c r="F512" s="75" t="s">
        <v>2925</v>
      </c>
      <c r="G512" s="411" t="s">
        <v>2926</v>
      </c>
      <c r="H512" s="66" t="s">
        <v>3215</v>
      </c>
      <c r="I512" s="144">
        <v>2</v>
      </c>
      <c r="J512" s="144">
        <v>6</v>
      </c>
      <c r="K512" s="144">
        <v>2</v>
      </c>
      <c r="L512" s="144">
        <v>2</v>
      </c>
      <c r="M512" s="144">
        <v>2</v>
      </c>
      <c r="N512" s="144">
        <v>5</v>
      </c>
      <c r="O512" s="412" t="s">
        <v>3031</v>
      </c>
      <c r="P512" s="412" t="s">
        <v>3032</v>
      </c>
      <c r="Q512" s="413"/>
      <c r="S512" s="414" t="s">
        <v>2250</v>
      </c>
      <c r="T512" s="415"/>
      <c r="U512" s="62">
        <v>1</v>
      </c>
      <c r="V512" s="62">
        <v>1</v>
      </c>
      <c r="W512" s="62">
        <v>1</v>
      </c>
      <c r="X512" s="62">
        <v>1</v>
      </c>
      <c r="Y512" s="62"/>
      <c r="Z512" s="62"/>
      <c r="AA512" s="62"/>
      <c r="AB512" s="62"/>
    </row>
    <row r="513" spans="1:28" ht="15.6" customHeight="1" x14ac:dyDescent="0.2">
      <c r="A513" s="408">
        <v>512</v>
      </c>
      <c r="B513" s="409" t="str">
        <f t="shared" si="7"/>
        <v>Muraltia divaricata</v>
      </c>
      <c r="C513" s="410" t="s">
        <v>1948</v>
      </c>
      <c r="E513" s="75" t="s">
        <v>1949</v>
      </c>
      <c r="F513" s="75" t="s">
        <v>1950</v>
      </c>
      <c r="G513" s="411" t="s">
        <v>3442</v>
      </c>
      <c r="H513" s="66" t="s">
        <v>3215</v>
      </c>
      <c r="I513" s="144">
        <v>2</v>
      </c>
      <c r="J513" s="144">
        <v>6</v>
      </c>
      <c r="K513" s="144">
        <v>2</v>
      </c>
      <c r="L513" s="144">
        <v>2</v>
      </c>
      <c r="M513" s="144">
        <v>2</v>
      </c>
      <c r="N513" s="144">
        <v>5</v>
      </c>
      <c r="O513" s="412" t="s">
        <v>3031</v>
      </c>
      <c r="P513" s="412" t="s">
        <v>3032</v>
      </c>
      <c r="Q513" s="413"/>
      <c r="R513" s="211">
        <v>37316</v>
      </c>
      <c r="S513" s="414"/>
      <c r="T513" s="415">
        <v>1</v>
      </c>
      <c r="U513" s="429"/>
      <c r="V513" s="62"/>
      <c r="W513" s="62"/>
      <c r="X513" s="62"/>
      <c r="Y513" s="62"/>
      <c r="Z513" s="62"/>
      <c r="AA513" s="62"/>
      <c r="AB513" s="62"/>
    </row>
    <row r="514" spans="1:28" ht="15.6" customHeight="1" x14ac:dyDescent="0.2">
      <c r="A514" s="408">
        <v>513</v>
      </c>
      <c r="B514" s="409" t="str">
        <f t="shared" ref="B514:B577" si="8">E514&amp;" "&amp;F514</f>
        <v>Muraltia ericoides</v>
      </c>
      <c r="C514" s="410" t="s">
        <v>1948</v>
      </c>
      <c r="E514" s="75" t="s">
        <v>1949</v>
      </c>
      <c r="F514" s="75" t="s">
        <v>734</v>
      </c>
      <c r="G514" s="411" t="s">
        <v>3444</v>
      </c>
      <c r="H514" s="66" t="s">
        <v>3215</v>
      </c>
      <c r="I514" s="144">
        <v>2</v>
      </c>
      <c r="J514" s="144">
        <v>6</v>
      </c>
      <c r="K514" s="144">
        <v>2</v>
      </c>
      <c r="L514" s="144">
        <v>2</v>
      </c>
      <c r="M514" s="144">
        <v>2</v>
      </c>
      <c r="N514" s="144">
        <v>5</v>
      </c>
      <c r="O514" s="412" t="s">
        <v>3031</v>
      </c>
      <c r="P514" s="412" t="s">
        <v>3032</v>
      </c>
      <c r="Q514" s="413"/>
      <c r="S514" s="414" t="s">
        <v>2250</v>
      </c>
      <c r="T514" s="415"/>
      <c r="U514" s="62"/>
      <c r="V514" s="62"/>
      <c r="W514" s="62"/>
      <c r="X514" s="62">
        <v>1</v>
      </c>
      <c r="Y514" s="62"/>
      <c r="Z514" s="62"/>
      <c r="AA514" s="62"/>
      <c r="AB514" s="62"/>
    </row>
    <row r="515" spans="1:28" ht="15.6" customHeight="1" x14ac:dyDescent="0.2">
      <c r="A515" s="408">
        <v>514</v>
      </c>
      <c r="B515" s="409" t="str">
        <f t="shared" si="8"/>
        <v>Muraltia filiformis</v>
      </c>
      <c r="C515" s="410" t="s">
        <v>1948</v>
      </c>
      <c r="E515" s="75" t="s">
        <v>1949</v>
      </c>
      <c r="F515" s="75" t="s">
        <v>1951</v>
      </c>
      <c r="G515" s="411" t="s">
        <v>3445</v>
      </c>
      <c r="H515" s="66" t="s">
        <v>3215</v>
      </c>
      <c r="I515" s="144">
        <v>2</v>
      </c>
      <c r="J515" s="144">
        <v>6</v>
      </c>
      <c r="K515" s="144">
        <v>2</v>
      </c>
      <c r="L515" s="144">
        <v>3</v>
      </c>
      <c r="M515" s="144">
        <v>2</v>
      </c>
      <c r="N515" s="144">
        <v>5</v>
      </c>
      <c r="O515" s="412" t="s">
        <v>3031</v>
      </c>
      <c r="P515" s="412" t="s">
        <v>3032</v>
      </c>
      <c r="Q515" s="413"/>
      <c r="R515" s="211">
        <v>35612</v>
      </c>
      <c r="S515" s="414"/>
      <c r="T515" s="415">
        <v>1</v>
      </c>
      <c r="U515" s="62"/>
      <c r="V515" s="62"/>
      <c r="W515" s="62">
        <v>1</v>
      </c>
      <c r="X515" s="62">
        <v>1</v>
      </c>
      <c r="Y515" s="62"/>
      <c r="Z515" s="62"/>
      <c r="AA515" s="62"/>
      <c r="AB515" s="62"/>
    </row>
    <row r="516" spans="1:28" ht="15.6" customHeight="1" x14ac:dyDescent="0.2">
      <c r="A516" s="408">
        <v>515</v>
      </c>
      <c r="B516" s="409" t="str">
        <f t="shared" si="8"/>
        <v>Muraltia heisteria</v>
      </c>
      <c r="C516" s="410" t="s">
        <v>1948</v>
      </c>
      <c r="E516" s="75" t="s">
        <v>1949</v>
      </c>
      <c r="F516" s="75" t="s">
        <v>1952</v>
      </c>
      <c r="G516" s="411" t="s">
        <v>3446</v>
      </c>
      <c r="H516" s="66" t="s">
        <v>3248</v>
      </c>
      <c r="I516" s="144">
        <v>2</v>
      </c>
      <c r="J516" s="144">
        <v>5</v>
      </c>
      <c r="K516" s="144">
        <v>2</v>
      </c>
      <c r="L516" s="144">
        <v>2</v>
      </c>
      <c r="M516" s="144">
        <v>2</v>
      </c>
      <c r="N516" s="144">
        <v>5</v>
      </c>
      <c r="O516" s="412" t="s">
        <v>2914</v>
      </c>
      <c r="P516" s="412" t="s">
        <v>3032</v>
      </c>
      <c r="Q516" s="413"/>
      <c r="R516" s="211">
        <v>35582</v>
      </c>
      <c r="S516" s="414" t="s">
        <v>2250</v>
      </c>
      <c r="T516" s="415"/>
      <c r="U516" s="62"/>
      <c r="V516" s="62"/>
      <c r="W516" s="62">
        <v>1</v>
      </c>
      <c r="X516" s="62">
        <v>1</v>
      </c>
      <c r="Y516" s="62"/>
      <c r="Z516" s="62"/>
      <c r="AA516" s="62"/>
      <c r="AB516" s="62"/>
    </row>
    <row r="517" spans="1:28" ht="15.6" customHeight="1" x14ac:dyDescent="0.2">
      <c r="A517" s="408">
        <v>516</v>
      </c>
      <c r="B517" s="409" t="str">
        <f t="shared" si="8"/>
        <v>Muraltia satureioides</v>
      </c>
      <c r="C517" s="410" t="s">
        <v>1948</v>
      </c>
      <c r="E517" s="75" t="s">
        <v>1949</v>
      </c>
      <c r="F517" s="75" t="s">
        <v>1953</v>
      </c>
      <c r="G517" s="411" t="s">
        <v>3447</v>
      </c>
      <c r="H517" s="66" t="s">
        <v>3248</v>
      </c>
      <c r="I517" s="144">
        <v>2</v>
      </c>
      <c r="J517" s="144">
        <v>5</v>
      </c>
      <c r="K517" s="144">
        <v>2</v>
      </c>
      <c r="L517" s="144">
        <v>3</v>
      </c>
      <c r="M517" s="144">
        <v>2</v>
      </c>
      <c r="N517" s="144">
        <v>5</v>
      </c>
      <c r="O517" s="412" t="s">
        <v>2914</v>
      </c>
      <c r="P517" s="412" t="s">
        <v>3032</v>
      </c>
      <c r="Q517" s="413" t="s">
        <v>3149</v>
      </c>
      <c r="R517" s="211">
        <v>36039</v>
      </c>
      <c r="S517" s="414" t="s">
        <v>2250</v>
      </c>
      <c r="T517" s="415"/>
      <c r="U517" s="62">
        <v>1</v>
      </c>
      <c r="V517" s="62"/>
      <c r="W517" s="62"/>
      <c r="X517" s="62"/>
      <c r="Y517" s="62"/>
      <c r="Z517" s="62"/>
      <c r="AA517" s="62"/>
      <c r="AB517" s="62"/>
    </row>
    <row r="518" spans="1:28" ht="15.6" customHeight="1" x14ac:dyDescent="0.2">
      <c r="A518" s="408">
        <v>517</v>
      </c>
      <c r="B518" s="409" t="str">
        <f t="shared" si="8"/>
        <v>Muraltia stipulacea</v>
      </c>
      <c r="C518" s="410" t="s">
        <v>1948</v>
      </c>
      <c r="E518" s="75" t="s">
        <v>1949</v>
      </c>
      <c r="F518" s="75" t="s">
        <v>1954</v>
      </c>
      <c r="G518" s="411" t="s">
        <v>3448</v>
      </c>
      <c r="H518" s="66" t="s">
        <v>3259</v>
      </c>
      <c r="I518" s="144">
        <v>2</v>
      </c>
      <c r="J518" s="144">
        <v>6</v>
      </c>
      <c r="K518" s="144">
        <v>2</v>
      </c>
      <c r="L518" s="144">
        <v>2</v>
      </c>
      <c r="M518" s="144">
        <v>2</v>
      </c>
      <c r="N518" s="144">
        <v>4</v>
      </c>
      <c r="O518" s="412" t="s">
        <v>3031</v>
      </c>
      <c r="P518" s="412" t="s">
        <v>3032</v>
      </c>
      <c r="Q518" s="413"/>
      <c r="R518" s="211">
        <v>35612</v>
      </c>
      <c r="S518" s="414"/>
      <c r="T518" s="415">
        <v>1</v>
      </c>
      <c r="U518" s="62"/>
      <c r="V518" s="62"/>
      <c r="W518" s="62"/>
      <c r="X518" s="62">
        <v>1</v>
      </c>
      <c r="Y518" s="62"/>
      <c r="Z518" s="62"/>
      <c r="AA518" s="62"/>
      <c r="AB518" s="62"/>
    </row>
    <row r="519" spans="1:28" ht="15.6" customHeight="1" x14ac:dyDescent="0.2">
      <c r="A519" s="408">
        <v>518</v>
      </c>
      <c r="B519" s="409" t="str">
        <f t="shared" si="8"/>
        <v>Nylandtia spinosa</v>
      </c>
      <c r="C519" s="410" t="s">
        <v>1948</v>
      </c>
      <c r="D519" s="75" t="s">
        <v>255</v>
      </c>
      <c r="E519" s="75" t="s">
        <v>1955</v>
      </c>
      <c r="F519" s="75" t="s">
        <v>1956</v>
      </c>
      <c r="G519" s="411" t="s">
        <v>3449</v>
      </c>
      <c r="H519" s="66" t="s">
        <v>3248</v>
      </c>
      <c r="I519" s="144">
        <v>2</v>
      </c>
      <c r="J519" s="144">
        <v>5</v>
      </c>
      <c r="K519" s="144">
        <v>2</v>
      </c>
      <c r="L519" s="144">
        <v>2</v>
      </c>
      <c r="M519" s="144">
        <v>2</v>
      </c>
      <c r="N519" s="144">
        <v>5</v>
      </c>
      <c r="O519" s="412" t="s">
        <v>2168</v>
      </c>
      <c r="P519" s="412" t="s">
        <v>3032</v>
      </c>
      <c r="Q519" s="413"/>
      <c r="R519" s="211">
        <v>35886</v>
      </c>
      <c r="S519" s="414"/>
      <c r="T519" s="415">
        <v>1</v>
      </c>
      <c r="U519" s="62">
        <v>1</v>
      </c>
      <c r="V519" s="62"/>
      <c r="W519" s="62"/>
      <c r="X519" s="62"/>
      <c r="Y519" s="62">
        <v>1</v>
      </c>
      <c r="Z519" s="62"/>
      <c r="AA519" s="62"/>
      <c r="AB519" s="62"/>
    </row>
    <row r="520" spans="1:28" ht="15.6" customHeight="1" x14ac:dyDescent="0.2">
      <c r="A520" s="408">
        <v>519</v>
      </c>
      <c r="B520" s="409" t="str">
        <f t="shared" si="8"/>
        <v>Polygala bracteolata</v>
      </c>
      <c r="C520" s="410" t="s">
        <v>1948</v>
      </c>
      <c r="E520" s="75" t="s">
        <v>1957</v>
      </c>
      <c r="F520" s="75" t="s">
        <v>1958</v>
      </c>
      <c r="G520" s="411" t="s">
        <v>3450</v>
      </c>
      <c r="H520" s="66" t="s">
        <v>3287</v>
      </c>
      <c r="I520" s="144">
        <v>2</v>
      </c>
      <c r="J520" s="144">
        <v>5</v>
      </c>
      <c r="K520" s="144">
        <v>3</v>
      </c>
      <c r="L520" s="144">
        <v>2</v>
      </c>
      <c r="M520" s="144">
        <v>2</v>
      </c>
      <c r="N520" s="144">
        <v>4</v>
      </c>
      <c r="O520" s="412" t="s">
        <v>2914</v>
      </c>
      <c r="P520" s="412" t="s">
        <v>3032</v>
      </c>
      <c r="Q520" s="413"/>
      <c r="R520" s="211">
        <v>35612</v>
      </c>
      <c r="S520" s="414"/>
      <c r="T520" s="415">
        <v>1</v>
      </c>
      <c r="U520" s="62"/>
      <c r="V520" s="62"/>
      <c r="W520" s="62"/>
      <c r="X520" s="62">
        <v>1</v>
      </c>
      <c r="Y520" s="62"/>
      <c r="Z520" s="62"/>
      <c r="AA520" s="62"/>
      <c r="AB520" s="62"/>
    </row>
    <row r="521" spans="1:28" ht="15.6" customHeight="1" x14ac:dyDescent="0.2">
      <c r="A521" s="408">
        <v>520</v>
      </c>
      <c r="B521" s="409" t="str">
        <f t="shared" si="8"/>
        <v>Polygala dasyphylla</v>
      </c>
      <c r="C521" s="410" t="s">
        <v>1948</v>
      </c>
      <c r="E521" s="75" t="s">
        <v>1957</v>
      </c>
      <c r="F521" s="75" t="s">
        <v>1959</v>
      </c>
      <c r="G521" s="411" t="s">
        <v>3451</v>
      </c>
      <c r="H521" s="66" t="s">
        <v>3265</v>
      </c>
      <c r="I521" s="144">
        <v>2</v>
      </c>
      <c r="J521" s="144">
        <v>6</v>
      </c>
      <c r="K521" s="144">
        <v>2</v>
      </c>
      <c r="L521" s="144">
        <v>3</v>
      </c>
      <c r="M521" s="144">
        <v>2</v>
      </c>
      <c r="N521" s="144">
        <v>9</v>
      </c>
      <c r="O521" s="412" t="s">
        <v>3031</v>
      </c>
      <c r="P521" s="412" t="s">
        <v>3032</v>
      </c>
      <c r="Q521" s="413" t="s">
        <v>3147</v>
      </c>
      <c r="R521" s="211">
        <v>35886</v>
      </c>
      <c r="S521" s="414" t="s">
        <v>2250</v>
      </c>
      <c r="T521" s="415"/>
      <c r="U521" s="62"/>
      <c r="V521" s="62">
        <v>1</v>
      </c>
      <c r="W521" s="62"/>
      <c r="X521" s="62"/>
      <c r="Y521" s="62"/>
      <c r="Z521" s="62"/>
      <c r="AA521" s="62"/>
      <c r="AB521" s="62"/>
    </row>
    <row r="522" spans="1:28" ht="15.6" customHeight="1" x14ac:dyDescent="0.2">
      <c r="A522" s="408">
        <v>521</v>
      </c>
      <c r="B522" s="409" t="str">
        <f t="shared" si="8"/>
        <v>Polygala meridionalis</v>
      </c>
      <c r="C522" s="410" t="s">
        <v>1948</v>
      </c>
      <c r="E522" s="75" t="s">
        <v>1957</v>
      </c>
      <c r="F522" s="75" t="s">
        <v>1638</v>
      </c>
      <c r="G522" s="411" t="s">
        <v>3452</v>
      </c>
      <c r="H522" s="66" t="s">
        <v>3215</v>
      </c>
      <c r="I522" s="144">
        <v>2</v>
      </c>
      <c r="J522" s="144">
        <v>6</v>
      </c>
      <c r="K522" s="144">
        <v>2</v>
      </c>
      <c r="L522" s="144">
        <v>3</v>
      </c>
      <c r="M522" s="144">
        <v>2</v>
      </c>
      <c r="N522" s="144">
        <v>5</v>
      </c>
      <c r="O522" s="412" t="s">
        <v>3031</v>
      </c>
      <c r="P522" s="412" t="s">
        <v>3032</v>
      </c>
      <c r="Q522" s="413"/>
      <c r="R522" s="211">
        <v>35612</v>
      </c>
      <c r="S522" s="414"/>
      <c r="T522" s="415">
        <v>1</v>
      </c>
      <c r="U522" s="62"/>
      <c r="V522" s="62">
        <v>1</v>
      </c>
      <c r="W522" s="62"/>
      <c r="X522" s="62">
        <v>1</v>
      </c>
      <c r="Y522" s="62"/>
      <c r="Z522" s="62"/>
      <c r="AA522" s="62"/>
      <c r="AB522" s="62"/>
    </row>
    <row r="523" spans="1:28" ht="15.6" customHeight="1" x14ac:dyDescent="0.2">
      <c r="A523" s="408">
        <v>522</v>
      </c>
      <c r="B523" s="409" t="str">
        <f t="shared" si="8"/>
        <v>Polygala myrtifolia</v>
      </c>
      <c r="C523" s="410" t="s">
        <v>1948</v>
      </c>
      <c r="D523" s="75" t="s">
        <v>256</v>
      </c>
      <c r="E523" s="75" t="s">
        <v>1957</v>
      </c>
      <c r="F523" s="75" t="s">
        <v>1960</v>
      </c>
      <c r="G523" s="411" t="s">
        <v>3453</v>
      </c>
      <c r="H523" s="66" t="s">
        <v>3239</v>
      </c>
      <c r="I523" s="144">
        <v>2</v>
      </c>
      <c r="J523" s="144">
        <v>4</v>
      </c>
      <c r="K523" s="144">
        <v>2</v>
      </c>
      <c r="L523" s="144">
        <v>1</v>
      </c>
      <c r="M523" s="144">
        <v>1</v>
      </c>
      <c r="N523" s="144">
        <v>3</v>
      </c>
      <c r="O523" s="412" t="s">
        <v>2914</v>
      </c>
      <c r="P523" s="412" t="s">
        <v>3032</v>
      </c>
      <c r="Q523" s="413"/>
      <c r="R523" s="211">
        <v>36039</v>
      </c>
      <c r="S523" s="414"/>
      <c r="T523" s="415">
        <v>1</v>
      </c>
      <c r="U523" s="62">
        <v>1</v>
      </c>
      <c r="V523" s="62"/>
      <c r="W523" s="62"/>
      <c r="X523" s="62"/>
      <c r="Y523" s="62">
        <v>1</v>
      </c>
      <c r="Z523" s="62"/>
      <c r="AA523" s="62"/>
      <c r="AB523" s="62"/>
    </row>
    <row r="524" spans="1:28" ht="15.6" customHeight="1" x14ac:dyDescent="0.2">
      <c r="A524" s="408">
        <v>523</v>
      </c>
      <c r="B524" s="409" t="str">
        <f t="shared" si="8"/>
        <v>Polygala pubiflora</v>
      </c>
      <c r="C524" s="410" t="s">
        <v>1948</v>
      </c>
      <c r="E524" s="75" t="s">
        <v>1957</v>
      </c>
      <c r="F524" s="75" t="s">
        <v>1961</v>
      </c>
      <c r="G524" s="411" t="s">
        <v>3454</v>
      </c>
      <c r="H524" s="66" t="s">
        <v>3215</v>
      </c>
      <c r="I524" s="144">
        <v>2</v>
      </c>
      <c r="J524" s="144">
        <v>6</v>
      </c>
      <c r="K524" s="144">
        <v>3</v>
      </c>
      <c r="L524" s="144">
        <v>2</v>
      </c>
      <c r="M524" s="144">
        <v>2</v>
      </c>
      <c r="N524" s="144">
        <v>5</v>
      </c>
      <c r="O524" s="412" t="s">
        <v>3031</v>
      </c>
      <c r="P524" s="412" t="s">
        <v>3032</v>
      </c>
      <c r="Q524" s="413"/>
      <c r="R524" s="211">
        <v>36130</v>
      </c>
      <c r="S524" s="431" t="s">
        <v>257</v>
      </c>
      <c r="T524" s="415">
        <v>1</v>
      </c>
      <c r="U524" s="62"/>
      <c r="V524" s="62">
        <v>1</v>
      </c>
      <c r="W524" s="62"/>
      <c r="X524" s="62"/>
      <c r="Y524" s="62"/>
      <c r="Z524" s="62"/>
      <c r="AA524" s="62"/>
      <c r="AB524" s="62"/>
    </row>
    <row r="525" spans="1:28" ht="15.6" customHeight="1" x14ac:dyDescent="0.2">
      <c r="A525" s="408">
        <v>524</v>
      </c>
      <c r="B525" s="409" t="str">
        <f t="shared" si="8"/>
        <v>Polygala scabra</v>
      </c>
      <c r="C525" s="410" t="s">
        <v>1948</v>
      </c>
      <c r="E525" s="75" t="s">
        <v>1957</v>
      </c>
      <c r="F525" s="75" t="s">
        <v>786</v>
      </c>
      <c r="G525" s="411" t="s">
        <v>3455</v>
      </c>
      <c r="H525" s="66" t="s">
        <v>3215</v>
      </c>
      <c r="I525" s="144">
        <v>2</v>
      </c>
      <c r="J525" s="144">
        <v>6</v>
      </c>
      <c r="K525" s="144">
        <v>3</v>
      </c>
      <c r="L525" s="144">
        <v>3</v>
      </c>
      <c r="M525" s="144">
        <v>2</v>
      </c>
      <c r="N525" s="144">
        <v>5</v>
      </c>
      <c r="O525" s="412" t="s">
        <v>3031</v>
      </c>
      <c r="P525" s="412" t="s">
        <v>3032</v>
      </c>
      <c r="Q525" s="413"/>
      <c r="R525" s="211">
        <v>35947</v>
      </c>
      <c r="S525" s="414"/>
      <c r="T525" s="415">
        <v>1</v>
      </c>
      <c r="U525" s="62"/>
      <c r="V525" s="62"/>
      <c r="W525" s="62"/>
      <c r="X525" s="62">
        <v>1</v>
      </c>
      <c r="Y525" s="62"/>
      <c r="Z525" s="62"/>
      <c r="AA525" s="62"/>
      <c r="AB525" s="62"/>
    </row>
    <row r="526" spans="1:28" ht="15.6" customHeight="1" x14ac:dyDescent="0.2">
      <c r="A526" s="408">
        <v>525</v>
      </c>
      <c r="B526" s="409" t="str">
        <f t="shared" si="8"/>
        <v>Polygala umbellata</v>
      </c>
      <c r="C526" s="410" t="s">
        <v>1948</v>
      </c>
      <c r="E526" s="75" t="s">
        <v>1957</v>
      </c>
      <c r="F526" s="75" t="s">
        <v>2822</v>
      </c>
      <c r="G526" s="411" t="s">
        <v>3456</v>
      </c>
      <c r="H526" s="66" t="s">
        <v>3215</v>
      </c>
      <c r="I526" s="144">
        <v>2</v>
      </c>
      <c r="J526" s="144">
        <v>6</v>
      </c>
      <c r="K526" s="144">
        <v>4</v>
      </c>
      <c r="L526" s="144">
        <v>3</v>
      </c>
      <c r="M526" s="144">
        <v>2</v>
      </c>
      <c r="N526" s="144">
        <v>5</v>
      </c>
      <c r="O526" s="412" t="s">
        <v>3031</v>
      </c>
      <c r="P526" s="412" t="s">
        <v>3032</v>
      </c>
      <c r="Q526" s="413"/>
      <c r="R526" s="211">
        <v>35612</v>
      </c>
      <c r="S526" s="414" t="s">
        <v>2250</v>
      </c>
      <c r="T526" s="415"/>
      <c r="U526" s="62"/>
      <c r="V526" s="62"/>
      <c r="W526" s="62"/>
      <c r="X526" s="62">
        <v>1</v>
      </c>
      <c r="Y526" s="62"/>
      <c r="Z526" s="62"/>
      <c r="AA526" s="62"/>
      <c r="AB526" s="62"/>
    </row>
    <row r="527" spans="1:28" ht="15.6" customHeight="1" x14ac:dyDescent="0.2">
      <c r="A527" s="408">
        <v>526</v>
      </c>
      <c r="B527" s="409" t="str">
        <f t="shared" si="8"/>
        <v>Polygala uncinata</v>
      </c>
      <c r="C527" s="410" t="s">
        <v>1948</v>
      </c>
      <c r="E527" s="75" t="s">
        <v>1957</v>
      </c>
      <c r="F527" s="75" t="s">
        <v>1962</v>
      </c>
      <c r="G527" s="411" t="s">
        <v>3457</v>
      </c>
      <c r="H527" s="66" t="s">
        <v>3265</v>
      </c>
      <c r="I527" s="144">
        <v>2</v>
      </c>
      <c r="J527" s="144">
        <v>6</v>
      </c>
      <c r="K527" s="144">
        <v>2</v>
      </c>
      <c r="L527" s="144">
        <v>3</v>
      </c>
      <c r="M527" s="144">
        <v>9</v>
      </c>
      <c r="N527" s="144">
        <v>9</v>
      </c>
      <c r="O527" s="412" t="s">
        <v>3031</v>
      </c>
      <c r="P527" s="412" t="s">
        <v>3032</v>
      </c>
      <c r="Q527" s="413"/>
      <c r="R527" s="211">
        <v>35947</v>
      </c>
      <c r="S527" s="414"/>
      <c r="T527" s="415">
        <v>1</v>
      </c>
      <c r="U527" s="62"/>
      <c r="V527" s="62"/>
      <c r="W527" s="62"/>
      <c r="X527" s="62">
        <v>1</v>
      </c>
      <c r="Y527" s="62"/>
      <c r="Z527" s="62"/>
      <c r="AA527" s="62"/>
      <c r="AB527" s="62"/>
    </row>
    <row r="528" spans="1:28" ht="15.6" customHeight="1" x14ac:dyDescent="0.2">
      <c r="A528" s="408">
        <v>527</v>
      </c>
      <c r="B528" s="409" t="str">
        <f t="shared" si="8"/>
        <v>Emex australis</v>
      </c>
      <c r="C528" s="410" t="s">
        <v>1963</v>
      </c>
      <c r="D528" s="75" t="s">
        <v>258</v>
      </c>
      <c r="E528" s="75" t="s">
        <v>1964</v>
      </c>
      <c r="F528" s="75" t="s">
        <v>1965</v>
      </c>
      <c r="G528" s="411" t="s">
        <v>3458</v>
      </c>
      <c r="H528" s="66" t="s">
        <v>3272</v>
      </c>
      <c r="I528" s="144">
        <v>6</v>
      </c>
      <c r="J528" s="144">
        <v>6</v>
      </c>
      <c r="K528" s="144">
        <v>9</v>
      </c>
      <c r="L528" s="144">
        <v>9</v>
      </c>
      <c r="M528" s="144">
        <v>9</v>
      </c>
      <c r="N528" s="144">
        <v>9</v>
      </c>
      <c r="O528" s="412" t="s">
        <v>2910</v>
      </c>
      <c r="P528" s="412" t="s">
        <v>2915</v>
      </c>
      <c r="Q528" s="413"/>
      <c r="R528" s="211">
        <v>35431</v>
      </c>
      <c r="S528" s="414" t="s">
        <v>2250</v>
      </c>
      <c r="T528" s="415"/>
      <c r="U528" s="429"/>
      <c r="V528" s="62"/>
      <c r="W528" s="62"/>
      <c r="X528" s="62"/>
      <c r="Y528" s="62"/>
      <c r="Z528" s="62"/>
      <c r="AA528" s="62"/>
      <c r="AB528" s="62"/>
    </row>
    <row r="529" spans="1:28" ht="15.6" customHeight="1" x14ac:dyDescent="0.2">
      <c r="A529" s="408">
        <v>528</v>
      </c>
      <c r="B529" s="409" t="str">
        <f t="shared" si="8"/>
        <v>Rumex cordatus</v>
      </c>
      <c r="C529" s="410" t="s">
        <v>1963</v>
      </c>
      <c r="D529" s="75" t="s">
        <v>259</v>
      </c>
      <c r="E529" s="75" t="s">
        <v>1966</v>
      </c>
      <c r="F529" s="75" t="s">
        <v>1967</v>
      </c>
      <c r="G529" s="411" t="s">
        <v>3459</v>
      </c>
      <c r="H529" s="66" t="s">
        <v>3264</v>
      </c>
      <c r="I529" s="144">
        <v>3</v>
      </c>
      <c r="J529" s="144">
        <v>6</v>
      </c>
      <c r="K529" s="144">
        <v>5</v>
      </c>
      <c r="L529" s="144">
        <v>1</v>
      </c>
      <c r="M529" s="144">
        <v>1</v>
      </c>
      <c r="N529" s="144">
        <v>4</v>
      </c>
      <c r="O529" s="412" t="s">
        <v>2910</v>
      </c>
      <c r="P529" s="412" t="s">
        <v>3032</v>
      </c>
      <c r="Q529" s="413"/>
      <c r="R529" s="211">
        <v>36039</v>
      </c>
      <c r="S529" s="414" t="s">
        <v>2250</v>
      </c>
      <c r="T529" s="415"/>
      <c r="U529" s="62">
        <v>1</v>
      </c>
      <c r="V529" s="62"/>
      <c r="W529" s="62"/>
      <c r="X529" s="62"/>
      <c r="Y529" s="62"/>
      <c r="Z529" s="62"/>
      <c r="AA529" s="62"/>
      <c r="AB529" s="62"/>
    </row>
    <row r="530" spans="1:28" ht="15.6" customHeight="1" x14ac:dyDescent="0.2">
      <c r="A530" s="408">
        <v>529</v>
      </c>
      <c r="B530" s="409" t="str">
        <f t="shared" si="8"/>
        <v>Pleopeltis macrocarpa</v>
      </c>
      <c r="C530" s="410" t="s">
        <v>1968</v>
      </c>
      <c r="D530" s="75" t="s">
        <v>260</v>
      </c>
      <c r="E530" s="75" t="s">
        <v>1969</v>
      </c>
      <c r="F530" s="75" t="s">
        <v>2779</v>
      </c>
      <c r="G530" s="411" t="s">
        <v>3460</v>
      </c>
      <c r="H530" s="66" t="s">
        <v>1872</v>
      </c>
      <c r="I530" s="144">
        <v>3</v>
      </c>
      <c r="J530" s="144">
        <v>9</v>
      </c>
      <c r="K530" s="144">
        <v>5</v>
      </c>
      <c r="L530" s="144">
        <v>2</v>
      </c>
      <c r="M530" s="144">
        <v>2</v>
      </c>
      <c r="N530" s="144">
        <v>2</v>
      </c>
      <c r="O530" s="412" t="s">
        <v>2171</v>
      </c>
      <c r="P530" s="412" t="s">
        <v>3032</v>
      </c>
      <c r="Q530" s="413"/>
      <c r="R530" s="211">
        <v>36586</v>
      </c>
      <c r="S530" s="414"/>
      <c r="T530" s="415">
        <v>1</v>
      </c>
      <c r="U530" s="62"/>
      <c r="V530" s="62"/>
      <c r="W530" s="62"/>
      <c r="X530" s="62"/>
      <c r="Y530" s="62"/>
      <c r="Z530" s="62">
        <v>1</v>
      </c>
      <c r="AA530" s="62"/>
      <c r="AB530" s="62"/>
    </row>
    <row r="531" spans="1:28" ht="15.6" customHeight="1" x14ac:dyDescent="0.2">
      <c r="A531" s="408">
        <v>530</v>
      </c>
      <c r="B531" s="409" t="str">
        <f t="shared" si="8"/>
        <v>Aulax umbellata</v>
      </c>
      <c r="C531" s="410" t="s">
        <v>1970</v>
      </c>
      <c r="D531" s="75" t="s">
        <v>261</v>
      </c>
      <c r="E531" s="75" t="s">
        <v>1971</v>
      </c>
      <c r="F531" s="75" t="s">
        <v>2822</v>
      </c>
      <c r="G531" s="411" t="s">
        <v>3461</v>
      </c>
      <c r="H531" s="66" t="s">
        <v>3227</v>
      </c>
      <c r="I531" s="144">
        <v>2</v>
      </c>
      <c r="J531" s="144">
        <v>3</v>
      </c>
      <c r="K531" s="144">
        <v>2</v>
      </c>
      <c r="L531" s="144">
        <v>2</v>
      </c>
      <c r="M531" s="144">
        <v>2</v>
      </c>
      <c r="N531" s="144">
        <v>3</v>
      </c>
      <c r="O531" s="412" t="s">
        <v>2168</v>
      </c>
      <c r="P531" s="412" t="s">
        <v>3032</v>
      </c>
      <c r="Q531" s="413"/>
      <c r="R531" s="211">
        <v>35612</v>
      </c>
      <c r="S531" s="414"/>
      <c r="T531" s="415">
        <v>1</v>
      </c>
      <c r="U531" s="62"/>
      <c r="V531" s="62"/>
      <c r="W531" s="62"/>
      <c r="X531" s="62">
        <v>1</v>
      </c>
      <c r="Y531" s="62"/>
      <c r="Z531" s="62"/>
      <c r="AA531" s="62"/>
      <c r="AB531" s="62"/>
    </row>
    <row r="532" spans="1:28" ht="15.6" customHeight="1" x14ac:dyDescent="0.2">
      <c r="A532" s="408">
        <v>531</v>
      </c>
      <c r="B532" s="409" t="str">
        <f t="shared" si="8"/>
        <v>Leucadendron coniferum</v>
      </c>
      <c r="C532" s="410" t="s">
        <v>1970</v>
      </c>
      <c r="D532" s="75" t="s">
        <v>262</v>
      </c>
      <c r="E532" s="75" t="s">
        <v>1972</v>
      </c>
      <c r="F532" s="75" t="s">
        <v>1973</v>
      </c>
      <c r="G532" s="411" t="s">
        <v>3462</v>
      </c>
      <c r="H532" s="66" t="s">
        <v>3227</v>
      </c>
      <c r="I532" s="144">
        <v>2</v>
      </c>
      <c r="J532" s="144">
        <v>3</v>
      </c>
      <c r="K532" s="144">
        <v>2</v>
      </c>
      <c r="L532" s="144">
        <v>2</v>
      </c>
      <c r="M532" s="144">
        <v>2</v>
      </c>
      <c r="N532" s="144">
        <v>2</v>
      </c>
      <c r="O532" s="412" t="s">
        <v>2168</v>
      </c>
      <c r="P532" s="412" t="s">
        <v>3032</v>
      </c>
      <c r="Q532" s="413"/>
      <c r="R532" s="211">
        <v>35612</v>
      </c>
      <c r="S532" s="414"/>
      <c r="T532" s="415">
        <v>1</v>
      </c>
      <c r="U532" s="62">
        <v>1</v>
      </c>
      <c r="V532" s="62">
        <v>1</v>
      </c>
      <c r="W532" s="62">
        <v>1</v>
      </c>
      <c r="X532" s="62">
        <v>1</v>
      </c>
      <c r="Y532" s="62"/>
      <c r="Z532" s="62"/>
      <c r="AA532" s="62"/>
      <c r="AB532" s="62"/>
    </row>
    <row r="533" spans="1:28" ht="15.6" customHeight="1" x14ac:dyDescent="0.2">
      <c r="A533" s="408">
        <v>532</v>
      </c>
      <c r="B533" s="409" t="str">
        <f t="shared" si="8"/>
        <v>Leucadendron salignum</v>
      </c>
      <c r="C533" s="410" t="s">
        <v>1970</v>
      </c>
      <c r="D533" s="75" t="s">
        <v>263</v>
      </c>
      <c r="E533" s="75" t="s">
        <v>1972</v>
      </c>
      <c r="F533" s="75" t="s">
        <v>1974</v>
      </c>
      <c r="G533" s="411" t="s">
        <v>3463</v>
      </c>
      <c r="H533" s="66" t="s">
        <v>3258</v>
      </c>
      <c r="I533" s="144">
        <v>2</v>
      </c>
      <c r="J533" s="144">
        <v>4</v>
      </c>
      <c r="K533" s="144">
        <v>2</v>
      </c>
      <c r="L533" s="144">
        <v>2</v>
      </c>
      <c r="M533" s="144">
        <v>2</v>
      </c>
      <c r="N533" s="144">
        <v>3</v>
      </c>
      <c r="O533" s="412" t="s">
        <v>2168</v>
      </c>
      <c r="P533" s="412" t="s">
        <v>3032</v>
      </c>
      <c r="Q533" s="413"/>
      <c r="R533" s="211">
        <v>35612</v>
      </c>
      <c r="S533" s="414"/>
      <c r="T533" s="415">
        <v>1</v>
      </c>
      <c r="U533" s="62"/>
      <c r="V533" s="62">
        <v>1</v>
      </c>
      <c r="W533" s="62">
        <v>1</v>
      </c>
      <c r="X533" s="62">
        <v>1</v>
      </c>
      <c r="Y533" s="62"/>
      <c r="Z533" s="62"/>
      <c r="AA533" s="62"/>
      <c r="AB533" s="62"/>
    </row>
    <row r="534" spans="1:28" ht="15.6" customHeight="1" x14ac:dyDescent="0.2">
      <c r="A534" s="408">
        <v>533</v>
      </c>
      <c r="B534" s="409" t="str">
        <f t="shared" si="8"/>
        <v>Leucadendron spissifolium ssp. spissifolium</v>
      </c>
      <c r="C534" s="410" t="s">
        <v>1970</v>
      </c>
      <c r="D534" s="75" t="s">
        <v>264</v>
      </c>
      <c r="E534" s="75" t="s">
        <v>1972</v>
      </c>
      <c r="F534" s="75" t="s">
        <v>458</v>
      </c>
      <c r="G534" s="411" t="s">
        <v>3464</v>
      </c>
      <c r="H534" s="66" t="s">
        <v>3258</v>
      </c>
      <c r="I534" s="144">
        <v>2</v>
      </c>
      <c r="J534" s="144">
        <v>4</v>
      </c>
      <c r="K534" s="144">
        <v>2</v>
      </c>
      <c r="L534" s="144">
        <v>2</v>
      </c>
      <c r="M534" s="144">
        <v>2</v>
      </c>
      <c r="N534" s="144">
        <v>2</v>
      </c>
      <c r="O534" s="412" t="s">
        <v>2168</v>
      </c>
      <c r="P534" s="412" t="s">
        <v>3032</v>
      </c>
      <c r="Q534" s="413" t="s">
        <v>2703</v>
      </c>
      <c r="R534" s="211">
        <v>35612</v>
      </c>
      <c r="S534" s="414"/>
      <c r="T534" s="415">
        <v>1</v>
      </c>
      <c r="U534" s="62"/>
      <c r="V534" s="62"/>
      <c r="W534" s="62"/>
      <c r="X534" s="62">
        <v>1</v>
      </c>
      <c r="Y534" s="62"/>
      <c r="Z534" s="62"/>
      <c r="AA534" s="62"/>
      <c r="AB534" s="62"/>
    </row>
    <row r="535" spans="1:28" ht="15.6" customHeight="1" x14ac:dyDescent="0.2">
      <c r="A535" s="408">
        <v>534</v>
      </c>
      <c r="B535" s="409" t="str">
        <f t="shared" si="8"/>
        <v>Leucadendron tinctum</v>
      </c>
      <c r="C535" s="410" t="s">
        <v>1970</v>
      </c>
      <c r="D535" s="75" t="s">
        <v>265</v>
      </c>
      <c r="E535" s="75" t="s">
        <v>1972</v>
      </c>
      <c r="F535" s="75" t="s">
        <v>1975</v>
      </c>
      <c r="G535" s="411" t="s">
        <v>3465</v>
      </c>
      <c r="H535" s="66" t="s">
        <v>3258</v>
      </c>
      <c r="I535" s="144">
        <v>2</v>
      </c>
      <c r="J535" s="144">
        <v>4</v>
      </c>
      <c r="K535" s="144">
        <v>2</v>
      </c>
      <c r="L535" s="144">
        <v>1</v>
      </c>
      <c r="M535" s="144">
        <v>2</v>
      </c>
      <c r="N535" s="144">
        <v>3</v>
      </c>
      <c r="O535" s="412" t="s">
        <v>2168</v>
      </c>
      <c r="P535" s="412" t="s">
        <v>3032</v>
      </c>
      <c r="Q535" s="413"/>
      <c r="R535" s="211">
        <v>35612</v>
      </c>
      <c r="S535" s="414"/>
      <c r="T535" s="415">
        <v>1</v>
      </c>
      <c r="U535" s="62"/>
      <c r="V535" s="62"/>
      <c r="W535" s="62">
        <v>1</v>
      </c>
      <c r="X535" s="62">
        <v>1</v>
      </c>
      <c r="Y535" s="62"/>
      <c r="Z535" s="62"/>
      <c r="AA535" s="62"/>
      <c r="AB535" s="62"/>
    </row>
    <row r="536" spans="1:28" ht="15.6" customHeight="1" x14ac:dyDescent="0.2">
      <c r="A536" s="408">
        <v>535</v>
      </c>
      <c r="B536" s="409" t="str">
        <f t="shared" si="8"/>
        <v>Leucadendron xanthoconus</v>
      </c>
      <c r="C536" s="410" t="s">
        <v>1970</v>
      </c>
      <c r="D536" s="75" t="s">
        <v>266</v>
      </c>
      <c r="E536" s="75" t="s">
        <v>1972</v>
      </c>
      <c r="F536" s="75" t="s">
        <v>1976</v>
      </c>
      <c r="G536" s="411" t="s">
        <v>3466</v>
      </c>
      <c r="H536" s="66" t="s">
        <v>3258</v>
      </c>
      <c r="I536" s="144">
        <v>2</v>
      </c>
      <c r="J536" s="144">
        <v>4</v>
      </c>
      <c r="K536" s="144">
        <v>2</v>
      </c>
      <c r="L536" s="144">
        <v>2</v>
      </c>
      <c r="M536" s="144">
        <v>2</v>
      </c>
      <c r="N536" s="144">
        <v>2</v>
      </c>
      <c r="O536" s="412" t="s">
        <v>2168</v>
      </c>
      <c r="P536" s="412" t="s">
        <v>3032</v>
      </c>
      <c r="Q536" s="413"/>
      <c r="R536" s="211">
        <v>35612</v>
      </c>
      <c r="S536" s="414"/>
      <c r="T536" s="415">
        <v>1</v>
      </c>
      <c r="U536" s="62"/>
      <c r="V536" s="62"/>
      <c r="W536" s="62"/>
      <c r="X536" s="62">
        <v>1</v>
      </c>
      <c r="Y536" s="62"/>
      <c r="Z536" s="62"/>
      <c r="AA536" s="62"/>
      <c r="AB536" s="62"/>
    </row>
    <row r="537" spans="1:28" ht="15.6" customHeight="1" x14ac:dyDescent="0.2">
      <c r="A537" s="408">
        <v>536</v>
      </c>
      <c r="B537" s="409" t="str">
        <f t="shared" si="8"/>
        <v>Leucospermum patersonii</v>
      </c>
      <c r="C537" s="410" t="s">
        <v>1970</v>
      </c>
      <c r="D537" s="75" t="s">
        <v>267</v>
      </c>
      <c r="E537" s="75" t="s">
        <v>1977</v>
      </c>
      <c r="F537" s="75" t="s">
        <v>1986</v>
      </c>
      <c r="G537" s="411" t="s">
        <v>3467</v>
      </c>
      <c r="H537" s="66" t="s">
        <v>3258</v>
      </c>
      <c r="I537" s="144">
        <v>2</v>
      </c>
      <c r="J537" s="144">
        <v>4</v>
      </c>
      <c r="K537" s="144">
        <v>2</v>
      </c>
      <c r="L537" s="144">
        <v>1</v>
      </c>
      <c r="M537" s="144">
        <v>2</v>
      </c>
      <c r="N537" s="144">
        <v>2</v>
      </c>
      <c r="O537" s="412" t="s">
        <v>2168</v>
      </c>
      <c r="P537" s="412" t="s">
        <v>3032</v>
      </c>
      <c r="Q537" s="413"/>
      <c r="R537" s="211">
        <v>35612</v>
      </c>
      <c r="S537" s="414"/>
      <c r="T537" s="415">
        <v>1</v>
      </c>
      <c r="U537" s="62"/>
      <c r="V537" s="62">
        <v>1</v>
      </c>
      <c r="W537" s="62">
        <v>1</v>
      </c>
      <c r="X537" s="62">
        <v>1</v>
      </c>
      <c r="Y537" s="62"/>
      <c r="Z537" s="62"/>
      <c r="AA537" s="62"/>
      <c r="AB537" s="62">
        <v>1</v>
      </c>
    </row>
    <row r="538" spans="1:28" ht="15.6" customHeight="1" x14ac:dyDescent="0.2">
      <c r="A538" s="408">
        <v>537</v>
      </c>
      <c r="B538" s="409" t="str">
        <f t="shared" si="8"/>
        <v>Leucospermum prostratum</v>
      </c>
      <c r="C538" s="410" t="s">
        <v>1970</v>
      </c>
      <c r="D538" s="75" t="s">
        <v>268</v>
      </c>
      <c r="E538" s="75" t="s">
        <v>1977</v>
      </c>
      <c r="F538" s="75" t="s">
        <v>1987</v>
      </c>
      <c r="G538" s="411" t="s">
        <v>3468</v>
      </c>
      <c r="H538" s="66" t="s">
        <v>3292</v>
      </c>
      <c r="I538" s="144">
        <v>2</v>
      </c>
      <c r="J538" s="144">
        <v>6</v>
      </c>
      <c r="K538" s="144">
        <v>3</v>
      </c>
      <c r="L538" s="144">
        <v>2</v>
      </c>
      <c r="M538" s="144">
        <v>2</v>
      </c>
      <c r="N538" s="144">
        <v>3</v>
      </c>
      <c r="O538" s="412" t="s">
        <v>3031</v>
      </c>
      <c r="P538" s="412" t="s">
        <v>3032</v>
      </c>
      <c r="Q538" s="413"/>
      <c r="R538" s="211">
        <v>35612</v>
      </c>
      <c r="S538" s="414"/>
      <c r="T538" s="415">
        <v>1</v>
      </c>
      <c r="U538" s="62"/>
      <c r="V538" s="62"/>
      <c r="W538" s="62"/>
      <c r="X538" s="62">
        <v>1</v>
      </c>
      <c r="Y538" s="62"/>
      <c r="Z538" s="62"/>
      <c r="AA538" s="62"/>
      <c r="AB538" s="62"/>
    </row>
    <row r="539" spans="1:28" ht="15.6" customHeight="1" x14ac:dyDescent="0.2">
      <c r="A539" s="408">
        <v>538</v>
      </c>
      <c r="B539" s="409" t="str">
        <f t="shared" si="8"/>
        <v>Mimetes cucullatus</v>
      </c>
      <c r="C539" s="410" t="s">
        <v>1970</v>
      </c>
      <c r="D539" s="75" t="s">
        <v>269</v>
      </c>
      <c r="E539" s="75" t="s">
        <v>1988</v>
      </c>
      <c r="F539" s="75" t="s">
        <v>1989</v>
      </c>
      <c r="G539" s="411" t="s">
        <v>3469</v>
      </c>
      <c r="H539" s="66" t="s">
        <v>3258</v>
      </c>
      <c r="I539" s="144">
        <v>2</v>
      </c>
      <c r="J539" s="144">
        <v>4</v>
      </c>
      <c r="K539" s="144">
        <v>2</v>
      </c>
      <c r="L539" s="144">
        <v>1</v>
      </c>
      <c r="M539" s="144">
        <v>2</v>
      </c>
      <c r="N539" s="144">
        <v>2</v>
      </c>
      <c r="O539" s="412" t="s">
        <v>2168</v>
      </c>
      <c r="P539" s="412" t="s">
        <v>3032</v>
      </c>
      <c r="Q539" s="413"/>
      <c r="R539" s="211">
        <v>35612</v>
      </c>
      <c r="S539" s="414"/>
      <c r="T539" s="415">
        <v>1</v>
      </c>
      <c r="U539" s="62"/>
      <c r="V539" s="62"/>
      <c r="W539" s="62"/>
      <c r="X539" s="62">
        <v>1</v>
      </c>
      <c r="Y539" s="62"/>
      <c r="Z539" s="62"/>
      <c r="AA539" s="62"/>
      <c r="AB539" s="62"/>
    </row>
    <row r="540" spans="1:28" ht="15.6" customHeight="1" x14ac:dyDescent="0.2">
      <c r="A540" s="408">
        <v>539</v>
      </c>
      <c r="B540" s="409" t="str">
        <f t="shared" si="8"/>
        <v>Protea acaulos</v>
      </c>
      <c r="C540" s="410" t="s">
        <v>1970</v>
      </c>
      <c r="D540" s="75" t="s">
        <v>270</v>
      </c>
      <c r="E540" s="75" t="s">
        <v>1990</v>
      </c>
      <c r="F540" s="75" t="s">
        <v>1991</v>
      </c>
      <c r="G540" s="411" t="s">
        <v>3470</v>
      </c>
      <c r="H540" s="66" t="s">
        <v>3292</v>
      </c>
      <c r="I540" s="144">
        <v>2</v>
      </c>
      <c r="J540" s="144">
        <v>6</v>
      </c>
      <c r="K540" s="144">
        <v>2</v>
      </c>
      <c r="L540" s="144">
        <v>2</v>
      </c>
      <c r="M540" s="144">
        <v>2</v>
      </c>
      <c r="N540" s="144">
        <v>1</v>
      </c>
      <c r="O540" s="412" t="s">
        <v>3031</v>
      </c>
      <c r="P540" s="412" t="s">
        <v>3032</v>
      </c>
      <c r="Q540" s="413"/>
      <c r="R540" s="211">
        <v>35612</v>
      </c>
      <c r="S540" s="414"/>
      <c r="T540" s="415">
        <v>1</v>
      </c>
      <c r="U540" s="62"/>
      <c r="V540" s="62"/>
      <c r="W540" s="62"/>
      <c r="X540" s="62">
        <v>1</v>
      </c>
      <c r="Y540" s="62"/>
      <c r="Z540" s="62"/>
      <c r="AA540" s="62"/>
      <c r="AB540" s="62"/>
    </row>
    <row r="541" spans="1:28" ht="15.6" customHeight="1" x14ac:dyDescent="0.2">
      <c r="A541" s="408">
        <v>540</v>
      </c>
      <c r="B541" s="409" t="str">
        <f t="shared" si="8"/>
        <v>Protea cynaroides</v>
      </c>
      <c r="C541" s="410" t="s">
        <v>1970</v>
      </c>
      <c r="D541" s="75" t="s">
        <v>271</v>
      </c>
      <c r="E541" s="75" t="s">
        <v>1990</v>
      </c>
      <c r="F541" s="75" t="s">
        <v>1992</v>
      </c>
      <c r="G541" s="411" t="s">
        <v>3471</v>
      </c>
      <c r="H541" s="66" t="s">
        <v>3227</v>
      </c>
      <c r="I541" s="144">
        <v>2</v>
      </c>
      <c r="J541" s="144">
        <v>3</v>
      </c>
      <c r="K541" s="144">
        <v>2</v>
      </c>
      <c r="L541" s="144">
        <v>1</v>
      </c>
      <c r="M541" s="144">
        <v>2</v>
      </c>
      <c r="N541" s="144">
        <v>1</v>
      </c>
      <c r="O541" s="412" t="s">
        <v>2168</v>
      </c>
      <c r="P541" s="412" t="s">
        <v>3032</v>
      </c>
      <c r="Q541" s="413"/>
      <c r="R541" s="211">
        <v>35612</v>
      </c>
      <c r="S541" s="414"/>
      <c r="T541" s="415">
        <v>1</v>
      </c>
      <c r="U541" s="62"/>
      <c r="V541" s="62"/>
      <c r="W541" s="62">
        <v>1</v>
      </c>
      <c r="X541" s="62">
        <v>1</v>
      </c>
      <c r="Y541" s="62"/>
      <c r="Z541" s="62"/>
      <c r="AA541" s="62"/>
      <c r="AB541" s="62"/>
    </row>
    <row r="542" spans="1:28" ht="15.6" customHeight="1" x14ac:dyDescent="0.2">
      <c r="A542" s="408">
        <v>541</v>
      </c>
      <c r="B542" s="409" t="str">
        <f t="shared" si="8"/>
        <v>Protea longifolia</v>
      </c>
      <c r="C542" s="410" t="s">
        <v>1970</v>
      </c>
      <c r="D542" s="75" t="s">
        <v>272</v>
      </c>
      <c r="E542" s="75" t="s">
        <v>1990</v>
      </c>
      <c r="F542" s="75" t="s">
        <v>883</v>
      </c>
      <c r="G542" s="411" t="s">
        <v>3472</v>
      </c>
      <c r="H542" s="66" t="s">
        <v>3258</v>
      </c>
      <c r="I542" s="144">
        <v>2</v>
      </c>
      <c r="J542" s="144">
        <v>4</v>
      </c>
      <c r="K542" s="144">
        <v>2</v>
      </c>
      <c r="L542" s="144">
        <v>2</v>
      </c>
      <c r="M542" s="144">
        <v>2</v>
      </c>
      <c r="N542" s="144">
        <v>1</v>
      </c>
      <c r="O542" s="412" t="s">
        <v>2168</v>
      </c>
      <c r="P542" s="412" t="s">
        <v>3032</v>
      </c>
      <c r="Q542" s="413" t="s">
        <v>3144</v>
      </c>
      <c r="R542" s="211">
        <v>35612</v>
      </c>
      <c r="S542" s="414"/>
      <c r="T542" s="415">
        <v>1</v>
      </c>
      <c r="U542" s="62"/>
      <c r="V542" s="62"/>
      <c r="W542" s="62"/>
      <c r="X542" s="62">
        <v>1</v>
      </c>
      <c r="Y542" s="62"/>
      <c r="Z542" s="62"/>
      <c r="AA542" s="62"/>
      <c r="AB542" s="62"/>
    </row>
    <row r="543" spans="1:28" ht="15.6" customHeight="1" x14ac:dyDescent="0.2">
      <c r="A543" s="408">
        <v>542</v>
      </c>
      <c r="B543" s="409" t="str">
        <f t="shared" si="8"/>
        <v>Protea obtusifolia</v>
      </c>
      <c r="C543" s="410" t="s">
        <v>1970</v>
      </c>
      <c r="D543" s="75" t="s">
        <v>273</v>
      </c>
      <c r="E543" s="75" t="s">
        <v>1990</v>
      </c>
      <c r="F543" s="75" t="s">
        <v>1993</v>
      </c>
      <c r="G543" s="411" t="s">
        <v>3473</v>
      </c>
      <c r="H543" s="66" t="s">
        <v>3227</v>
      </c>
      <c r="I543" s="144">
        <v>2</v>
      </c>
      <c r="J543" s="144">
        <v>3</v>
      </c>
      <c r="K543" s="144">
        <v>2</v>
      </c>
      <c r="L543" s="144">
        <v>2</v>
      </c>
      <c r="M543" s="144">
        <v>2</v>
      </c>
      <c r="N543" s="144">
        <v>1</v>
      </c>
      <c r="O543" s="412" t="s">
        <v>2168</v>
      </c>
      <c r="P543" s="412" t="s">
        <v>3032</v>
      </c>
      <c r="Q543" s="413"/>
      <c r="R543" s="211">
        <v>35612</v>
      </c>
      <c r="S543" s="414"/>
      <c r="T543" s="415">
        <v>1</v>
      </c>
      <c r="U543" s="62"/>
      <c r="V543" s="62">
        <v>1</v>
      </c>
      <c r="W543" s="62"/>
      <c r="X543" s="62"/>
      <c r="Y543" s="62"/>
      <c r="Z543" s="62"/>
      <c r="AA543" s="62"/>
      <c r="AB543" s="62"/>
    </row>
    <row r="544" spans="1:28" ht="15.6" customHeight="1" x14ac:dyDescent="0.2">
      <c r="A544" s="408">
        <v>543</v>
      </c>
      <c r="B544" s="409" t="str">
        <f t="shared" si="8"/>
        <v>Protea repens</v>
      </c>
      <c r="C544" s="410" t="s">
        <v>1970</v>
      </c>
      <c r="D544" s="75" t="s">
        <v>274</v>
      </c>
      <c r="E544" s="75" t="s">
        <v>1990</v>
      </c>
      <c r="F544" s="75" t="s">
        <v>814</v>
      </c>
      <c r="G544" s="411" t="s">
        <v>3474</v>
      </c>
      <c r="H544" s="66" t="s">
        <v>3227</v>
      </c>
      <c r="I544" s="144">
        <v>2</v>
      </c>
      <c r="J544" s="144">
        <v>3</v>
      </c>
      <c r="K544" s="144">
        <v>2</v>
      </c>
      <c r="L544" s="144">
        <v>2</v>
      </c>
      <c r="M544" s="144">
        <v>2</v>
      </c>
      <c r="N544" s="144">
        <v>2</v>
      </c>
      <c r="O544" s="412" t="s">
        <v>2168</v>
      </c>
      <c r="P544" s="412" t="s">
        <v>3032</v>
      </c>
      <c r="Q544" s="413"/>
      <c r="R544" s="211">
        <v>35612</v>
      </c>
      <c r="S544" s="414"/>
      <c r="T544" s="415">
        <v>1</v>
      </c>
      <c r="U544" s="62"/>
      <c r="V544" s="62"/>
      <c r="W544" s="62">
        <v>1</v>
      </c>
      <c r="X544" s="62">
        <v>1</v>
      </c>
      <c r="Y544" s="62"/>
      <c r="Z544" s="62"/>
      <c r="AA544" s="62"/>
      <c r="AB544" s="62">
        <v>1</v>
      </c>
    </row>
    <row r="545" spans="1:28" ht="15.6" customHeight="1" x14ac:dyDescent="0.2">
      <c r="A545" s="408">
        <v>544</v>
      </c>
      <c r="B545" s="409" t="str">
        <f t="shared" si="8"/>
        <v>Protea speciosa</v>
      </c>
      <c r="C545" s="410" t="s">
        <v>1970</v>
      </c>
      <c r="D545" s="75" t="s">
        <v>275</v>
      </c>
      <c r="E545" s="75" t="s">
        <v>1990</v>
      </c>
      <c r="F545" s="75" t="s">
        <v>1779</v>
      </c>
      <c r="G545" s="411" t="s">
        <v>3475</v>
      </c>
      <c r="H545" s="66" t="s">
        <v>3258</v>
      </c>
      <c r="I545" s="144">
        <v>2</v>
      </c>
      <c r="J545" s="144">
        <v>4</v>
      </c>
      <c r="K545" s="144">
        <v>2</v>
      </c>
      <c r="L545" s="144">
        <v>1</v>
      </c>
      <c r="M545" s="144">
        <v>2</v>
      </c>
      <c r="N545" s="144">
        <v>2</v>
      </c>
      <c r="O545" s="412" t="s">
        <v>2168</v>
      </c>
      <c r="P545" s="412" t="s">
        <v>3032</v>
      </c>
      <c r="Q545" s="413"/>
      <c r="R545" s="211">
        <v>35855</v>
      </c>
      <c r="S545" s="414"/>
      <c r="T545" s="415">
        <v>1</v>
      </c>
      <c r="U545" s="62">
        <v>1</v>
      </c>
      <c r="V545" s="62">
        <v>1</v>
      </c>
      <c r="W545" s="62">
        <v>1</v>
      </c>
      <c r="X545" s="62">
        <v>1</v>
      </c>
      <c r="Y545" s="62"/>
      <c r="Z545" s="62"/>
      <c r="AA545" s="62"/>
      <c r="AB545" s="62">
        <v>1</v>
      </c>
    </row>
    <row r="546" spans="1:28" ht="15.6" customHeight="1" x14ac:dyDescent="0.2">
      <c r="A546" s="408">
        <v>545</v>
      </c>
      <c r="B546" s="409" t="str">
        <f t="shared" si="8"/>
        <v>Adiantum aethiopicum</v>
      </c>
      <c r="C546" s="410" t="s">
        <v>1994</v>
      </c>
      <c r="E546" s="75" t="s">
        <v>1995</v>
      </c>
      <c r="F546" s="75" t="s">
        <v>1996</v>
      </c>
      <c r="G546" s="411" t="s">
        <v>3476</v>
      </c>
      <c r="H546" s="66" t="s">
        <v>3245</v>
      </c>
      <c r="I546" s="144">
        <v>3</v>
      </c>
      <c r="J546" s="144">
        <v>6</v>
      </c>
      <c r="K546" s="144">
        <v>2</v>
      </c>
      <c r="L546" s="144">
        <v>5</v>
      </c>
      <c r="M546" s="144">
        <v>1</v>
      </c>
      <c r="N546" s="144">
        <v>3</v>
      </c>
      <c r="O546" s="412" t="s">
        <v>2171</v>
      </c>
      <c r="P546" s="412" t="s">
        <v>3032</v>
      </c>
      <c r="Q546" s="413"/>
      <c r="R546" s="211">
        <v>35612</v>
      </c>
      <c r="S546" s="414"/>
      <c r="T546" s="415">
        <v>1</v>
      </c>
      <c r="U546" s="62"/>
      <c r="V546" s="62"/>
      <c r="W546" s="62">
        <v>1</v>
      </c>
      <c r="X546" s="62"/>
      <c r="Y546" s="62">
        <v>1</v>
      </c>
      <c r="Z546" s="62">
        <v>1</v>
      </c>
      <c r="AA546" s="62"/>
      <c r="AB546" s="62"/>
    </row>
    <row r="547" spans="1:28" ht="15.6" customHeight="1" x14ac:dyDescent="0.2">
      <c r="A547" s="408">
        <v>546</v>
      </c>
      <c r="B547" s="409" t="str">
        <f t="shared" si="8"/>
        <v>Adiantum capillus-veneris</v>
      </c>
      <c r="C547" s="410" t="s">
        <v>1994</v>
      </c>
      <c r="E547" s="75" t="s">
        <v>1995</v>
      </c>
      <c r="F547" s="75" t="s">
        <v>1997</v>
      </c>
      <c r="G547" s="411" t="s">
        <v>3477</v>
      </c>
      <c r="H547" s="66" t="s">
        <v>3245</v>
      </c>
      <c r="I547" s="144">
        <v>3</v>
      </c>
      <c r="J547" s="144">
        <v>6</v>
      </c>
      <c r="K547" s="144">
        <v>2</v>
      </c>
      <c r="L547" s="144">
        <v>5</v>
      </c>
      <c r="M547" s="144">
        <v>1</v>
      </c>
      <c r="N547" s="144">
        <v>3</v>
      </c>
      <c r="O547" s="412" t="s">
        <v>2171</v>
      </c>
      <c r="P547" s="412" t="s">
        <v>3032</v>
      </c>
      <c r="Q547" s="413"/>
      <c r="R547" s="211">
        <v>35855</v>
      </c>
      <c r="S547" s="414"/>
      <c r="T547" s="415">
        <v>1</v>
      </c>
      <c r="U547" s="62"/>
      <c r="V547" s="62"/>
      <c r="W547" s="62"/>
      <c r="X547" s="62"/>
      <c r="Y547" s="62"/>
      <c r="Z547" s="62">
        <v>1</v>
      </c>
      <c r="AA547" s="62"/>
      <c r="AB547" s="62"/>
    </row>
    <row r="548" spans="1:28" ht="15.6" customHeight="1" x14ac:dyDescent="0.2">
      <c r="A548" s="408">
        <v>547</v>
      </c>
      <c r="B548" s="409" t="str">
        <f t="shared" si="8"/>
        <v>Pteris dentata</v>
      </c>
      <c r="C548" s="410" t="s">
        <v>1994</v>
      </c>
      <c r="E548" s="75" t="s">
        <v>1998</v>
      </c>
      <c r="F548" s="75" t="s">
        <v>712</v>
      </c>
      <c r="G548" s="411" t="s">
        <v>3478</v>
      </c>
      <c r="H548" s="66" t="s">
        <v>3229</v>
      </c>
      <c r="I548" s="144">
        <v>3</v>
      </c>
      <c r="J548" s="144">
        <v>4</v>
      </c>
      <c r="K548" s="144">
        <v>2</v>
      </c>
      <c r="L548" s="144">
        <v>5</v>
      </c>
      <c r="M548" s="144">
        <v>1</v>
      </c>
      <c r="N548" s="144">
        <v>1</v>
      </c>
      <c r="O548" s="412" t="s">
        <v>2171</v>
      </c>
      <c r="P548" s="412" t="s">
        <v>3032</v>
      </c>
      <c r="Q548" s="413"/>
      <c r="R548" s="211">
        <v>35612</v>
      </c>
      <c r="S548" s="414"/>
      <c r="T548" s="415">
        <v>1</v>
      </c>
      <c r="U548" s="62"/>
      <c r="V548" s="62"/>
      <c r="W548" s="62"/>
      <c r="X548" s="62"/>
      <c r="Y548" s="62"/>
      <c r="Z548" s="62">
        <v>1</v>
      </c>
      <c r="AA548" s="62"/>
      <c r="AB548" s="62"/>
    </row>
    <row r="549" spans="1:28" ht="15.6" customHeight="1" x14ac:dyDescent="0.2">
      <c r="A549" s="408">
        <v>548</v>
      </c>
      <c r="B549" s="409" t="str">
        <f t="shared" si="8"/>
        <v>Knowltonia vesicatoria ssp. grossa</v>
      </c>
      <c r="C549" s="410" t="s">
        <v>1999</v>
      </c>
      <c r="E549" s="75" t="s">
        <v>2000</v>
      </c>
      <c r="F549" s="75" t="s">
        <v>2001</v>
      </c>
      <c r="G549" s="411" t="s">
        <v>3479</v>
      </c>
      <c r="H549" s="66" t="s">
        <v>3309</v>
      </c>
      <c r="I549" s="144">
        <v>3</v>
      </c>
      <c r="J549" s="144">
        <v>4</v>
      </c>
      <c r="K549" s="144">
        <v>2</v>
      </c>
      <c r="L549" s="144">
        <v>1</v>
      </c>
      <c r="M549" s="144">
        <v>2</v>
      </c>
      <c r="N549" s="144">
        <v>2</v>
      </c>
      <c r="O549" s="412" t="s">
        <v>2910</v>
      </c>
      <c r="P549" s="412" t="s">
        <v>3032</v>
      </c>
      <c r="Q549" s="413"/>
      <c r="R549" s="211">
        <v>35612</v>
      </c>
      <c r="S549" s="414" t="s">
        <v>2250</v>
      </c>
      <c r="T549" s="415"/>
      <c r="U549" s="62"/>
      <c r="V549" s="62">
        <v>1</v>
      </c>
      <c r="W549" s="62"/>
      <c r="X549" s="62">
        <v>1</v>
      </c>
      <c r="Y549" s="62">
        <v>1</v>
      </c>
      <c r="Z549" s="62"/>
      <c r="AA549" s="62"/>
      <c r="AB549" s="62"/>
    </row>
    <row r="550" spans="1:28" ht="15.6" customHeight="1" x14ac:dyDescent="0.2">
      <c r="A550" s="408">
        <v>549</v>
      </c>
      <c r="B550" s="409" t="str">
        <f t="shared" si="8"/>
        <v>Knowltonia vesicatoria ssp. humilis</v>
      </c>
      <c r="C550" s="410" t="s">
        <v>1999</v>
      </c>
      <c r="E550" s="75" t="s">
        <v>2000</v>
      </c>
      <c r="F550" s="75" t="s">
        <v>2002</v>
      </c>
      <c r="G550" s="411" t="s">
        <v>3479</v>
      </c>
      <c r="H550" s="66" t="s">
        <v>3309</v>
      </c>
      <c r="I550" s="144">
        <v>3</v>
      </c>
      <c r="J550" s="144">
        <v>4</v>
      </c>
      <c r="K550" s="144">
        <v>2</v>
      </c>
      <c r="L550" s="144">
        <v>1</v>
      </c>
      <c r="M550" s="144">
        <v>2</v>
      </c>
      <c r="N550" s="144">
        <v>3</v>
      </c>
      <c r="O550" s="412" t="s">
        <v>2910</v>
      </c>
      <c r="P550" s="412" t="s">
        <v>3032</v>
      </c>
      <c r="Q550" s="413"/>
      <c r="R550" s="211">
        <v>35612</v>
      </c>
      <c r="S550" s="414"/>
      <c r="T550" s="415">
        <v>1</v>
      </c>
      <c r="U550" s="62">
        <v>1</v>
      </c>
      <c r="V550" s="62">
        <v>1</v>
      </c>
      <c r="W550" s="62">
        <v>1</v>
      </c>
      <c r="X550" s="62">
        <v>1</v>
      </c>
      <c r="Y550" s="62"/>
      <c r="Z550" s="62"/>
      <c r="AA550" s="62"/>
      <c r="AB550" s="62"/>
    </row>
    <row r="551" spans="1:28" ht="15.6" customHeight="1" x14ac:dyDescent="0.2">
      <c r="A551" s="408">
        <v>550</v>
      </c>
      <c r="B551" s="409" t="str">
        <f t="shared" si="8"/>
        <v>Calopsis adpressa</v>
      </c>
      <c r="C551" s="410" t="s">
        <v>2003</v>
      </c>
      <c r="E551" s="75" t="s">
        <v>2004</v>
      </c>
      <c r="F551" s="75" t="s">
        <v>2005</v>
      </c>
      <c r="G551" s="411" t="s">
        <v>3480</v>
      </c>
      <c r="H551" s="66" t="s">
        <v>3276</v>
      </c>
      <c r="I551" s="144">
        <v>5</v>
      </c>
      <c r="J551" s="144">
        <v>9</v>
      </c>
      <c r="K551" s="144">
        <v>0</v>
      </c>
      <c r="L551" s="144">
        <v>7</v>
      </c>
      <c r="M551" s="144">
        <v>0</v>
      </c>
      <c r="N551" s="144">
        <v>0</v>
      </c>
      <c r="O551" s="412" t="s">
        <v>2176</v>
      </c>
      <c r="P551" s="412" t="s">
        <v>3032</v>
      </c>
      <c r="Q551" s="413"/>
      <c r="R551" s="211">
        <v>35796</v>
      </c>
      <c r="S551" s="414"/>
      <c r="T551" s="145">
        <v>1</v>
      </c>
      <c r="U551" s="62"/>
      <c r="V551" s="62">
        <v>1</v>
      </c>
      <c r="W551" s="62"/>
      <c r="X551" s="62"/>
      <c r="Y551" s="62"/>
      <c r="Z551" s="62"/>
      <c r="AA551" s="62"/>
      <c r="AB551" s="62"/>
    </row>
    <row r="552" spans="1:28" ht="15.6" customHeight="1" x14ac:dyDescent="0.2">
      <c r="A552" s="408">
        <v>551</v>
      </c>
      <c r="B552" s="409" t="str">
        <f t="shared" si="8"/>
        <v>Calopsis viminea</v>
      </c>
      <c r="C552" s="410" t="s">
        <v>2003</v>
      </c>
      <c r="E552" s="75" t="s">
        <v>2004</v>
      </c>
      <c r="F552" s="75" t="s">
        <v>2006</v>
      </c>
      <c r="G552" s="411" t="s">
        <v>3481</v>
      </c>
      <c r="H552" s="66" t="s">
        <v>3310</v>
      </c>
      <c r="I552" s="144">
        <v>5</v>
      </c>
      <c r="J552" s="144">
        <v>5</v>
      </c>
      <c r="K552" s="144">
        <v>0</v>
      </c>
      <c r="L552" s="144">
        <v>7</v>
      </c>
      <c r="M552" s="144">
        <v>0</v>
      </c>
      <c r="N552" s="144">
        <v>0</v>
      </c>
      <c r="O552" s="412" t="s">
        <v>2176</v>
      </c>
      <c r="P552" s="412" t="s">
        <v>3032</v>
      </c>
      <c r="Q552" s="413"/>
      <c r="R552" s="211">
        <v>36892</v>
      </c>
      <c r="S552" s="414" t="s">
        <v>2250</v>
      </c>
      <c r="T552" s="52"/>
      <c r="U552" s="62">
        <v>1</v>
      </c>
      <c r="V552" s="62"/>
      <c r="W552" s="62"/>
      <c r="X552" s="62"/>
      <c r="Y552" s="62"/>
      <c r="Z552" s="62"/>
      <c r="AA552" s="62"/>
      <c r="AB552" s="62"/>
    </row>
    <row r="553" spans="1:28" ht="15.6" customHeight="1" x14ac:dyDescent="0.2">
      <c r="A553" s="408">
        <v>552</v>
      </c>
      <c r="B553" s="409" t="str">
        <f t="shared" si="8"/>
        <v>Cannomois virgata</v>
      </c>
      <c r="C553" s="410" t="s">
        <v>2003</v>
      </c>
      <c r="E553" s="75" t="s">
        <v>2007</v>
      </c>
      <c r="F553" s="75" t="s">
        <v>1661</v>
      </c>
      <c r="G553" s="411" t="s">
        <v>3482</v>
      </c>
      <c r="H553" s="66" t="s">
        <v>3311</v>
      </c>
      <c r="I553" s="144">
        <v>5</v>
      </c>
      <c r="J553" s="144">
        <v>3</v>
      </c>
      <c r="K553" s="144">
        <v>0</v>
      </c>
      <c r="L553" s="144">
        <v>7</v>
      </c>
      <c r="M553" s="144">
        <v>0</v>
      </c>
      <c r="N553" s="144">
        <v>0</v>
      </c>
      <c r="O553" s="412" t="s">
        <v>2176</v>
      </c>
      <c r="P553" s="412" t="s">
        <v>3032</v>
      </c>
      <c r="Q553" s="413"/>
      <c r="R553" s="211">
        <v>36586</v>
      </c>
      <c r="S553" s="414" t="s">
        <v>2250</v>
      </c>
      <c r="T553" s="52"/>
      <c r="U553" s="62"/>
      <c r="V553" s="62"/>
      <c r="W553" s="62"/>
      <c r="X553" s="62"/>
      <c r="Y553" s="62"/>
      <c r="Z553" s="62"/>
      <c r="AA553" s="62">
        <v>1</v>
      </c>
      <c r="AB553" s="62"/>
    </row>
    <row r="554" spans="1:28" ht="15.6" customHeight="1" x14ac:dyDescent="0.2">
      <c r="A554" s="408">
        <v>553</v>
      </c>
      <c r="B554" s="409" t="str">
        <f t="shared" si="8"/>
        <v>Chondropetalum ebracteatum</v>
      </c>
      <c r="C554" s="410" t="s">
        <v>2003</v>
      </c>
      <c r="E554" s="75" t="s">
        <v>2008</v>
      </c>
      <c r="F554" s="75" t="s">
        <v>2927</v>
      </c>
      <c r="G554" s="411" t="s">
        <v>3483</v>
      </c>
      <c r="H554" s="66" t="s">
        <v>3276</v>
      </c>
      <c r="I554" s="144">
        <v>5</v>
      </c>
      <c r="J554" s="144">
        <v>9</v>
      </c>
      <c r="K554" s="144">
        <v>0</v>
      </c>
      <c r="L554" s="144">
        <v>7</v>
      </c>
      <c r="M554" s="144">
        <v>0</v>
      </c>
      <c r="N554" s="144">
        <v>0</v>
      </c>
      <c r="O554" s="412" t="s">
        <v>2176</v>
      </c>
      <c r="P554" s="412" t="s">
        <v>3032</v>
      </c>
      <c r="Q554" s="413"/>
      <c r="R554" s="211">
        <v>35796</v>
      </c>
      <c r="S554" s="414"/>
      <c r="T554" s="415">
        <v>1</v>
      </c>
      <c r="U554" s="429"/>
      <c r="V554" s="62"/>
      <c r="W554" s="62"/>
      <c r="X554" s="62"/>
      <c r="Y554" s="62"/>
      <c r="Z554" s="62"/>
      <c r="AA554" s="62"/>
      <c r="AB554" s="62"/>
    </row>
    <row r="555" spans="1:28" ht="15.6" customHeight="1" x14ac:dyDescent="0.2">
      <c r="A555" s="408">
        <v>554</v>
      </c>
      <c r="B555" s="409" t="str">
        <f t="shared" si="8"/>
        <v>Chondropetalum microcarpum</v>
      </c>
      <c r="C555" s="410" t="s">
        <v>2003</v>
      </c>
      <c r="E555" s="75" t="s">
        <v>2008</v>
      </c>
      <c r="F555" s="75" t="s">
        <v>2009</v>
      </c>
      <c r="G555" s="411" t="s">
        <v>3484</v>
      </c>
      <c r="H555" s="66" t="s">
        <v>3276</v>
      </c>
      <c r="I555" s="144">
        <v>5</v>
      </c>
      <c r="J555" s="144">
        <v>9</v>
      </c>
      <c r="K555" s="144">
        <v>0</v>
      </c>
      <c r="L555" s="144">
        <v>7</v>
      </c>
      <c r="M555" s="144">
        <v>0</v>
      </c>
      <c r="N555" s="144">
        <v>0</v>
      </c>
      <c r="O555" s="412" t="s">
        <v>2176</v>
      </c>
      <c r="P555" s="412" t="s">
        <v>3032</v>
      </c>
      <c r="Q555" s="413"/>
      <c r="R555" s="211">
        <v>35612</v>
      </c>
      <c r="S555" s="414"/>
      <c r="T555" s="415">
        <v>1</v>
      </c>
      <c r="U555" s="62"/>
      <c r="V555" s="62">
        <v>1</v>
      </c>
      <c r="W555" s="62">
        <v>1</v>
      </c>
      <c r="X555" s="62"/>
      <c r="Y555" s="62"/>
      <c r="Z555" s="62"/>
      <c r="AA555" s="62"/>
      <c r="AB555" s="62"/>
    </row>
    <row r="556" spans="1:28" ht="15.6" customHeight="1" x14ac:dyDescent="0.2">
      <c r="A556" s="408">
        <v>555</v>
      </c>
      <c r="B556" s="409" t="str">
        <f t="shared" si="8"/>
        <v>Chondropetalum tectorum</v>
      </c>
      <c r="C556" s="410" t="s">
        <v>2003</v>
      </c>
      <c r="D556" s="75" t="s">
        <v>276</v>
      </c>
      <c r="E556" s="75" t="s">
        <v>2008</v>
      </c>
      <c r="F556" s="75" t="s">
        <v>2010</v>
      </c>
      <c r="G556" s="411" t="s">
        <v>3485</v>
      </c>
      <c r="H556" s="66" t="s">
        <v>3310</v>
      </c>
      <c r="I556" s="144">
        <v>5</v>
      </c>
      <c r="J556" s="144">
        <v>5</v>
      </c>
      <c r="K556" s="144">
        <v>0</v>
      </c>
      <c r="L556" s="144">
        <v>7</v>
      </c>
      <c r="M556" s="144">
        <v>0</v>
      </c>
      <c r="N556" s="144">
        <v>0</v>
      </c>
      <c r="O556" s="412" t="s">
        <v>2176</v>
      </c>
      <c r="P556" s="412" t="s">
        <v>3032</v>
      </c>
      <c r="Q556" s="413"/>
      <c r="R556" s="211">
        <v>35612</v>
      </c>
      <c r="S556" s="414"/>
      <c r="T556" s="415">
        <v>1</v>
      </c>
      <c r="U556" s="62">
        <v>1</v>
      </c>
      <c r="V556" s="62"/>
      <c r="W556" s="62"/>
      <c r="X556" s="62">
        <v>1</v>
      </c>
      <c r="Y556" s="62"/>
      <c r="Z556" s="62"/>
      <c r="AA556" s="62"/>
      <c r="AB556" s="62"/>
    </row>
    <row r="557" spans="1:28" ht="15.6" customHeight="1" x14ac:dyDescent="0.2">
      <c r="A557" s="408">
        <v>556</v>
      </c>
      <c r="B557" s="409" t="str">
        <f t="shared" si="8"/>
        <v>Elegia filacea</v>
      </c>
      <c r="C557" s="410" t="s">
        <v>2003</v>
      </c>
      <c r="E557" s="75" t="s">
        <v>2011</v>
      </c>
      <c r="F557" s="75" t="s">
        <v>2012</v>
      </c>
      <c r="G557" s="411" t="s">
        <v>3486</v>
      </c>
      <c r="H557" s="66" t="s">
        <v>3312</v>
      </c>
      <c r="I557" s="144">
        <v>5</v>
      </c>
      <c r="J557" s="144">
        <v>6</v>
      </c>
      <c r="K557" s="144">
        <v>0</v>
      </c>
      <c r="L557" s="144">
        <v>7</v>
      </c>
      <c r="M557" s="144">
        <v>0</v>
      </c>
      <c r="N557" s="144">
        <v>0</v>
      </c>
      <c r="O557" s="412" t="s">
        <v>2176</v>
      </c>
      <c r="P557" s="412" t="s">
        <v>3032</v>
      </c>
      <c r="Q557" s="413"/>
      <c r="R557" s="211">
        <v>35612</v>
      </c>
      <c r="S557" s="414"/>
      <c r="T557" s="415">
        <v>1</v>
      </c>
      <c r="U557" s="62"/>
      <c r="V557" s="62"/>
      <c r="W557" s="62"/>
      <c r="X557" s="62">
        <v>1</v>
      </c>
      <c r="Y557" s="62"/>
      <c r="Z557" s="62"/>
      <c r="AA557" s="62"/>
      <c r="AB557" s="62"/>
    </row>
    <row r="558" spans="1:28" ht="15.6" customHeight="1" x14ac:dyDescent="0.2">
      <c r="A558" s="408">
        <v>557</v>
      </c>
      <c r="B558" s="409" t="str">
        <f t="shared" si="8"/>
        <v>Elegia juncea</v>
      </c>
      <c r="C558" s="410" t="s">
        <v>2003</v>
      </c>
      <c r="E558" s="75" t="s">
        <v>2011</v>
      </c>
      <c r="F558" s="75" t="s">
        <v>2013</v>
      </c>
      <c r="G558" s="411" t="s">
        <v>3487</v>
      </c>
      <c r="H558" s="66" t="s">
        <v>3310</v>
      </c>
      <c r="I558" s="144">
        <v>5</v>
      </c>
      <c r="J558" s="144">
        <v>5</v>
      </c>
      <c r="K558" s="144">
        <v>0</v>
      </c>
      <c r="L558" s="144">
        <v>7</v>
      </c>
      <c r="M558" s="144">
        <v>0</v>
      </c>
      <c r="N558" s="144">
        <v>0</v>
      </c>
      <c r="O558" s="412" t="s">
        <v>2176</v>
      </c>
      <c r="P558" s="412" t="s">
        <v>3032</v>
      </c>
      <c r="Q558" s="413"/>
      <c r="R558" s="211">
        <v>35612</v>
      </c>
      <c r="S558" s="414"/>
      <c r="T558" s="415">
        <v>1</v>
      </c>
      <c r="U558" s="62"/>
      <c r="V558" s="62"/>
      <c r="W558" s="62">
        <v>1</v>
      </c>
      <c r="X558" s="62">
        <v>1</v>
      </c>
      <c r="Y558" s="62"/>
      <c r="Z558" s="62"/>
      <c r="AA558" s="62"/>
      <c r="AB558" s="62"/>
    </row>
    <row r="559" spans="1:28" ht="15.6" customHeight="1" x14ac:dyDescent="0.2">
      <c r="A559" s="408">
        <v>558</v>
      </c>
      <c r="B559" s="409" t="str">
        <f t="shared" si="8"/>
        <v>Elegia muirii</v>
      </c>
      <c r="C559" s="410" t="s">
        <v>2003</v>
      </c>
      <c r="E559" s="75" t="s">
        <v>2011</v>
      </c>
      <c r="F559" s="75" t="s">
        <v>2014</v>
      </c>
      <c r="G559" s="411" t="s">
        <v>3488</v>
      </c>
      <c r="H559" s="66" t="s">
        <v>3310</v>
      </c>
      <c r="I559" s="144">
        <v>5</v>
      </c>
      <c r="J559" s="144">
        <v>5</v>
      </c>
      <c r="K559" s="144">
        <v>0</v>
      </c>
      <c r="L559" s="144">
        <v>7</v>
      </c>
      <c r="M559" s="144">
        <v>0</v>
      </c>
      <c r="N559" s="144">
        <v>0</v>
      </c>
      <c r="O559" s="412" t="s">
        <v>2176</v>
      </c>
      <c r="P559" s="412" t="s">
        <v>3032</v>
      </c>
      <c r="Q559" s="413"/>
      <c r="R559" s="211">
        <v>35886</v>
      </c>
      <c r="S559" s="414"/>
      <c r="T559" s="415">
        <v>1</v>
      </c>
      <c r="U559" s="62"/>
      <c r="V559" s="62">
        <v>1</v>
      </c>
      <c r="W559" s="62"/>
      <c r="X559" s="62"/>
      <c r="Y559" s="62"/>
      <c r="Z559" s="62"/>
      <c r="AA559" s="62"/>
      <c r="AB559" s="62"/>
    </row>
    <row r="560" spans="1:28" ht="15.6" customHeight="1" x14ac:dyDescent="0.2">
      <c r="A560" s="408">
        <v>559</v>
      </c>
      <c r="B560" s="409" t="str">
        <f t="shared" si="8"/>
        <v>Elegia thyrsifera</v>
      </c>
      <c r="C560" s="410" t="s">
        <v>2003</v>
      </c>
      <c r="E560" s="75" t="s">
        <v>2011</v>
      </c>
      <c r="F560" s="75" t="s">
        <v>2015</v>
      </c>
      <c r="G560" s="411" t="s">
        <v>3489</v>
      </c>
      <c r="H560" s="66" t="s">
        <v>3310</v>
      </c>
      <c r="I560" s="144">
        <v>5</v>
      </c>
      <c r="J560" s="144">
        <v>5</v>
      </c>
      <c r="K560" s="144">
        <v>0</v>
      </c>
      <c r="L560" s="144">
        <v>7</v>
      </c>
      <c r="M560" s="144">
        <v>0</v>
      </c>
      <c r="N560" s="144">
        <v>0</v>
      </c>
      <c r="O560" s="412" t="s">
        <v>2176</v>
      </c>
      <c r="P560" s="412" t="s">
        <v>3032</v>
      </c>
      <c r="Q560" s="413"/>
      <c r="R560" s="211">
        <v>35643</v>
      </c>
      <c r="S560" s="414" t="s">
        <v>2250</v>
      </c>
      <c r="T560" s="52"/>
      <c r="U560" s="62"/>
      <c r="V560" s="62"/>
      <c r="W560" s="62">
        <v>1</v>
      </c>
      <c r="X560" s="62"/>
      <c r="Y560" s="62"/>
      <c r="Z560" s="62"/>
      <c r="AA560" s="62"/>
      <c r="AB560" s="62"/>
    </row>
    <row r="561" spans="1:28" ht="15.6" customHeight="1" x14ac:dyDescent="0.2">
      <c r="A561" s="408">
        <v>560</v>
      </c>
      <c r="B561" s="409" t="str">
        <f t="shared" si="8"/>
        <v>Hypodiscus willdenowia</v>
      </c>
      <c r="C561" s="410" t="s">
        <v>2003</v>
      </c>
      <c r="E561" s="75" t="s">
        <v>2016</v>
      </c>
      <c r="F561" s="75" t="s">
        <v>2017</v>
      </c>
      <c r="G561" s="411" t="s">
        <v>3490</v>
      </c>
      <c r="H561" s="66" t="s">
        <v>3310</v>
      </c>
      <c r="I561" s="144">
        <v>5</v>
      </c>
      <c r="J561" s="144">
        <v>5</v>
      </c>
      <c r="K561" s="144">
        <v>0</v>
      </c>
      <c r="L561" s="144">
        <v>7</v>
      </c>
      <c r="M561" s="144">
        <v>0</v>
      </c>
      <c r="N561" s="144">
        <v>0</v>
      </c>
      <c r="O561" s="412" t="s">
        <v>2176</v>
      </c>
      <c r="P561" s="412" t="s">
        <v>3032</v>
      </c>
      <c r="Q561" s="413"/>
      <c r="R561" s="211">
        <v>35612</v>
      </c>
      <c r="S561" s="414"/>
      <c r="T561" s="415">
        <v>1</v>
      </c>
      <c r="U561" s="62">
        <v>1</v>
      </c>
      <c r="V561" s="62"/>
      <c r="W561" s="62">
        <v>1</v>
      </c>
      <c r="X561" s="62">
        <v>1</v>
      </c>
      <c r="Y561" s="62"/>
      <c r="Z561" s="62"/>
      <c r="AA561" s="62"/>
      <c r="AB561" s="62"/>
    </row>
    <row r="562" spans="1:28" ht="15.6" customHeight="1" x14ac:dyDescent="0.2">
      <c r="A562" s="408">
        <v>561</v>
      </c>
      <c r="B562" s="409" t="str">
        <f t="shared" si="8"/>
        <v>Ischyrolepis capensis</v>
      </c>
      <c r="C562" s="410" t="s">
        <v>2003</v>
      </c>
      <c r="E562" s="75" t="s">
        <v>2018</v>
      </c>
      <c r="F562" s="75" t="s">
        <v>2756</v>
      </c>
      <c r="G562" s="411" t="s">
        <v>3491</v>
      </c>
      <c r="H562" s="66" t="s">
        <v>3312</v>
      </c>
      <c r="I562" s="144">
        <v>5</v>
      </c>
      <c r="J562" s="144">
        <v>6</v>
      </c>
      <c r="K562" s="144">
        <v>0</v>
      </c>
      <c r="L562" s="144">
        <v>7</v>
      </c>
      <c r="M562" s="144">
        <v>0</v>
      </c>
      <c r="N562" s="144">
        <v>0</v>
      </c>
      <c r="O562" s="412" t="s">
        <v>2176</v>
      </c>
      <c r="P562" s="412" t="s">
        <v>3032</v>
      </c>
      <c r="Q562" s="413"/>
      <c r="R562" s="211">
        <v>35612</v>
      </c>
      <c r="S562" s="414"/>
      <c r="T562" s="415">
        <v>1</v>
      </c>
      <c r="U562" s="62"/>
      <c r="V562" s="62"/>
      <c r="W562" s="62"/>
      <c r="X562" s="62">
        <v>1</v>
      </c>
      <c r="Y562" s="62"/>
      <c r="Z562" s="62"/>
      <c r="AA562" s="62"/>
      <c r="AB562" s="62"/>
    </row>
    <row r="563" spans="1:28" ht="15.6" customHeight="1" x14ac:dyDescent="0.2">
      <c r="A563" s="408">
        <v>562</v>
      </c>
      <c r="B563" s="409" t="str">
        <f t="shared" si="8"/>
        <v>Ischyrolepis eleocharis</v>
      </c>
      <c r="C563" s="410" t="s">
        <v>2003</v>
      </c>
      <c r="E563" s="75" t="s">
        <v>2018</v>
      </c>
      <c r="F563" s="75" t="s">
        <v>2019</v>
      </c>
      <c r="G563" s="411" t="s">
        <v>3492</v>
      </c>
      <c r="H563" s="66" t="s">
        <v>3312</v>
      </c>
      <c r="I563" s="144">
        <v>5</v>
      </c>
      <c r="J563" s="144">
        <v>6</v>
      </c>
      <c r="K563" s="144">
        <v>0</v>
      </c>
      <c r="L563" s="144">
        <v>7</v>
      </c>
      <c r="M563" s="144">
        <v>0</v>
      </c>
      <c r="N563" s="144">
        <v>0</v>
      </c>
      <c r="O563" s="412" t="s">
        <v>2176</v>
      </c>
      <c r="P563" s="412" t="s">
        <v>3032</v>
      </c>
      <c r="Q563" s="413"/>
      <c r="R563" s="211">
        <v>35612</v>
      </c>
      <c r="S563" s="414" t="s">
        <v>2250</v>
      </c>
      <c r="T563" s="415"/>
      <c r="U563" s="62">
        <v>1</v>
      </c>
      <c r="V563" s="62">
        <v>1</v>
      </c>
      <c r="W563" s="62">
        <v>1</v>
      </c>
      <c r="X563" s="62">
        <v>1</v>
      </c>
      <c r="Y563" s="62"/>
      <c r="Z563" s="62"/>
      <c r="AA563" s="62"/>
      <c r="AB563" s="62"/>
    </row>
    <row r="564" spans="1:28" ht="15.6" customHeight="1" x14ac:dyDescent="0.2">
      <c r="A564" s="408">
        <v>563</v>
      </c>
      <c r="B564" s="409" t="str">
        <f t="shared" si="8"/>
        <v>Ischyrolepis leptoclados</v>
      </c>
      <c r="C564" s="410" t="s">
        <v>2003</v>
      </c>
      <c r="E564" s="75" t="s">
        <v>2018</v>
      </c>
      <c r="F564" s="75" t="s">
        <v>2020</v>
      </c>
      <c r="G564" s="411" t="s">
        <v>3493</v>
      </c>
      <c r="H564" s="66" t="s">
        <v>3310</v>
      </c>
      <c r="I564" s="144">
        <v>5</v>
      </c>
      <c r="J564" s="144">
        <v>5</v>
      </c>
      <c r="K564" s="144">
        <v>0</v>
      </c>
      <c r="L564" s="144">
        <v>7</v>
      </c>
      <c r="M564" s="144">
        <v>0</v>
      </c>
      <c r="N564" s="144">
        <v>0</v>
      </c>
      <c r="O564" s="412" t="s">
        <v>2176</v>
      </c>
      <c r="P564" s="412" t="s">
        <v>3032</v>
      </c>
      <c r="Q564" s="413"/>
      <c r="R564" s="211">
        <v>35612</v>
      </c>
      <c r="S564" s="414"/>
      <c r="T564" s="415">
        <v>1</v>
      </c>
      <c r="U564" s="62"/>
      <c r="V564" s="62"/>
      <c r="W564" s="62">
        <v>1</v>
      </c>
      <c r="X564" s="62"/>
      <c r="Y564" s="62"/>
      <c r="Z564" s="62"/>
      <c r="AA564" s="62"/>
      <c r="AB564" s="62">
        <v>1</v>
      </c>
    </row>
    <row r="565" spans="1:28" ht="15.6" customHeight="1" x14ac:dyDescent="0.2">
      <c r="A565" s="408">
        <v>564</v>
      </c>
      <c r="B565" s="409" t="str">
        <f t="shared" si="8"/>
        <v>Restio triticeus</v>
      </c>
      <c r="C565" s="410" t="s">
        <v>2003</v>
      </c>
      <c r="E565" s="75" t="s">
        <v>2021</v>
      </c>
      <c r="F565" s="75" t="s">
        <v>2022</v>
      </c>
      <c r="G565" s="411" t="s">
        <v>3494</v>
      </c>
      <c r="H565" s="66" t="s">
        <v>3310</v>
      </c>
      <c r="I565" s="144">
        <v>5</v>
      </c>
      <c r="J565" s="144">
        <v>5</v>
      </c>
      <c r="K565" s="144">
        <v>0</v>
      </c>
      <c r="L565" s="144">
        <v>7</v>
      </c>
      <c r="M565" s="144">
        <v>0</v>
      </c>
      <c r="N565" s="144">
        <v>0</v>
      </c>
      <c r="O565" s="412" t="s">
        <v>2176</v>
      </c>
      <c r="P565" s="412" t="s">
        <v>3032</v>
      </c>
      <c r="Q565" s="413"/>
      <c r="R565" s="211">
        <v>35612</v>
      </c>
      <c r="S565" s="414"/>
      <c r="T565" s="415">
        <v>1</v>
      </c>
      <c r="U565" s="62">
        <v>1</v>
      </c>
      <c r="V565" s="62">
        <v>1</v>
      </c>
      <c r="W565" s="62">
        <v>1</v>
      </c>
      <c r="X565" s="62">
        <v>1</v>
      </c>
      <c r="Y565" s="62"/>
      <c r="Z565" s="62"/>
      <c r="AA565" s="62"/>
      <c r="AB565" s="62"/>
    </row>
    <row r="566" spans="1:28" ht="15.6" customHeight="1" x14ac:dyDescent="0.2">
      <c r="A566" s="408">
        <v>565</v>
      </c>
      <c r="B566" s="409" t="str">
        <f t="shared" si="8"/>
        <v>Thamnochortus erectus</v>
      </c>
      <c r="C566" s="410" t="s">
        <v>2003</v>
      </c>
      <c r="D566" s="75" t="s">
        <v>277</v>
      </c>
      <c r="E566" s="75" t="s">
        <v>2023</v>
      </c>
      <c r="F566" s="75" t="s">
        <v>2024</v>
      </c>
      <c r="G566" s="411" t="s">
        <v>3495</v>
      </c>
      <c r="H566" s="66" t="s">
        <v>3313</v>
      </c>
      <c r="I566" s="144">
        <v>5</v>
      </c>
      <c r="J566" s="144">
        <v>4</v>
      </c>
      <c r="K566" s="144">
        <v>0</v>
      </c>
      <c r="L566" s="144">
        <v>7</v>
      </c>
      <c r="M566" s="144">
        <v>0</v>
      </c>
      <c r="N566" s="144">
        <v>0</v>
      </c>
      <c r="O566" s="412" t="s">
        <v>2176</v>
      </c>
      <c r="P566" s="412" t="s">
        <v>3032</v>
      </c>
      <c r="Q566" s="413"/>
      <c r="R566" s="211">
        <v>35612</v>
      </c>
      <c r="S566" s="414"/>
      <c r="T566" s="415">
        <v>1</v>
      </c>
      <c r="U566" s="62">
        <v>1</v>
      </c>
      <c r="V566" s="62"/>
      <c r="W566" s="62">
        <v>1</v>
      </c>
      <c r="X566" s="62">
        <v>1</v>
      </c>
      <c r="Y566" s="62"/>
      <c r="Z566" s="62"/>
      <c r="AA566" s="62"/>
      <c r="AB566" s="62">
        <v>1</v>
      </c>
    </row>
    <row r="567" spans="1:28" ht="15.6" customHeight="1" x14ac:dyDescent="0.2">
      <c r="A567" s="408">
        <v>566</v>
      </c>
      <c r="B567" s="409" t="str">
        <f t="shared" si="8"/>
        <v>Thamnochortus fraternus</v>
      </c>
      <c r="C567" s="410" t="s">
        <v>2003</v>
      </c>
      <c r="E567" s="75" t="s">
        <v>2023</v>
      </c>
      <c r="F567" s="75" t="s">
        <v>2025</v>
      </c>
      <c r="G567" s="411" t="s">
        <v>3496</v>
      </c>
      <c r="H567" s="66" t="s">
        <v>3310</v>
      </c>
      <c r="I567" s="144">
        <v>5</v>
      </c>
      <c r="J567" s="144">
        <v>5</v>
      </c>
      <c r="K567" s="144">
        <v>0</v>
      </c>
      <c r="L567" s="144">
        <v>7</v>
      </c>
      <c r="M567" s="144">
        <v>0</v>
      </c>
      <c r="N567" s="144">
        <v>0</v>
      </c>
      <c r="O567" s="412" t="s">
        <v>2176</v>
      </c>
      <c r="P567" s="412" t="s">
        <v>3032</v>
      </c>
      <c r="Q567" s="413" t="s">
        <v>3144</v>
      </c>
      <c r="R567" s="211">
        <v>35612</v>
      </c>
      <c r="S567" s="414"/>
      <c r="T567" s="415">
        <v>1</v>
      </c>
      <c r="U567" s="62"/>
      <c r="V567" s="62">
        <v>1</v>
      </c>
      <c r="W567" s="62"/>
      <c r="X567" s="62"/>
      <c r="Y567" s="62"/>
      <c r="Z567" s="62"/>
      <c r="AA567" s="62"/>
      <c r="AB567" s="62"/>
    </row>
    <row r="568" spans="1:28" ht="15.6" customHeight="1" x14ac:dyDescent="0.2">
      <c r="A568" s="408">
        <v>567</v>
      </c>
      <c r="B568" s="409" t="str">
        <f t="shared" si="8"/>
        <v>Thamnochortus fruticosus</v>
      </c>
      <c r="C568" s="410" t="s">
        <v>2003</v>
      </c>
      <c r="E568" s="75" t="s">
        <v>2023</v>
      </c>
      <c r="F568" s="75" t="s">
        <v>2800</v>
      </c>
      <c r="G568" s="411" t="s">
        <v>3497</v>
      </c>
      <c r="H568" s="66" t="s">
        <v>3310</v>
      </c>
      <c r="I568" s="144">
        <v>5</v>
      </c>
      <c r="J568" s="144">
        <v>5</v>
      </c>
      <c r="K568" s="144">
        <v>0</v>
      </c>
      <c r="L568" s="144">
        <v>7</v>
      </c>
      <c r="M568" s="144">
        <v>0</v>
      </c>
      <c r="N568" s="144">
        <v>0</v>
      </c>
      <c r="O568" s="412" t="s">
        <v>2176</v>
      </c>
      <c r="P568" s="412" t="s">
        <v>3032</v>
      </c>
      <c r="Q568" s="413"/>
      <c r="R568" s="211">
        <v>35796</v>
      </c>
      <c r="S568" s="414"/>
      <c r="T568" s="415">
        <v>1</v>
      </c>
      <c r="U568" s="62"/>
      <c r="V568" s="62"/>
      <c r="W568" s="62"/>
      <c r="X568" s="62">
        <v>1</v>
      </c>
      <c r="Y568" s="62"/>
      <c r="Z568" s="62"/>
      <c r="AA568" s="62"/>
      <c r="AB568" s="62"/>
    </row>
    <row r="569" spans="1:28" ht="15.6" customHeight="1" x14ac:dyDescent="0.2">
      <c r="A569" s="408">
        <v>568</v>
      </c>
      <c r="B569" s="409" t="str">
        <f t="shared" si="8"/>
        <v>Thamnochortus lucens</v>
      </c>
      <c r="C569" s="410" t="s">
        <v>2003</v>
      </c>
      <c r="E569" s="75" t="s">
        <v>2023</v>
      </c>
      <c r="F569" s="75" t="s">
        <v>2026</v>
      </c>
      <c r="G569" s="411" t="s">
        <v>1399</v>
      </c>
      <c r="H569" s="66" t="s">
        <v>3310</v>
      </c>
      <c r="I569" s="144">
        <v>5</v>
      </c>
      <c r="J569" s="144">
        <v>5</v>
      </c>
      <c r="K569" s="144">
        <v>0</v>
      </c>
      <c r="L569" s="144">
        <v>7</v>
      </c>
      <c r="M569" s="144">
        <v>0</v>
      </c>
      <c r="N569" s="144">
        <v>0</v>
      </c>
      <c r="O569" s="412" t="s">
        <v>2176</v>
      </c>
      <c r="P569" s="412" t="s">
        <v>3032</v>
      </c>
      <c r="Q569" s="413"/>
      <c r="R569" s="211">
        <v>36251</v>
      </c>
      <c r="S569" s="414" t="s">
        <v>2250</v>
      </c>
      <c r="T569" s="52"/>
      <c r="U569" s="62"/>
      <c r="V569" s="62"/>
      <c r="W569" s="62"/>
      <c r="X569" s="62">
        <v>1</v>
      </c>
      <c r="Y569" s="62"/>
      <c r="Z569" s="62"/>
      <c r="AA569" s="62"/>
      <c r="AB569" s="62"/>
    </row>
    <row r="570" spans="1:28" ht="15.6" customHeight="1" x14ac:dyDescent="0.2">
      <c r="A570" s="408">
        <v>569</v>
      </c>
      <c r="B570" s="409" t="str">
        <f t="shared" si="8"/>
        <v>Willdenowia teres</v>
      </c>
      <c r="C570" s="410" t="s">
        <v>2003</v>
      </c>
      <c r="E570" s="75" t="s">
        <v>2027</v>
      </c>
      <c r="F570" s="75" t="s">
        <v>2028</v>
      </c>
      <c r="G570" s="411" t="s">
        <v>1400</v>
      </c>
      <c r="H570" s="66" t="s">
        <v>3310</v>
      </c>
      <c r="I570" s="144">
        <v>5</v>
      </c>
      <c r="J570" s="144">
        <v>5</v>
      </c>
      <c r="K570" s="144">
        <v>0</v>
      </c>
      <c r="L570" s="144">
        <v>7</v>
      </c>
      <c r="M570" s="144">
        <v>0</v>
      </c>
      <c r="N570" s="144">
        <v>0</v>
      </c>
      <c r="O570" s="412" t="s">
        <v>2176</v>
      </c>
      <c r="P570" s="412" t="s">
        <v>3032</v>
      </c>
      <c r="Q570" s="413"/>
      <c r="R570" s="211">
        <v>35612</v>
      </c>
      <c r="S570" s="414"/>
      <c r="T570" s="415">
        <v>1</v>
      </c>
      <c r="U570" s="62">
        <v>1</v>
      </c>
      <c r="V570" s="62"/>
      <c r="W570" s="62"/>
      <c r="X570" s="62"/>
      <c r="Y570" s="62"/>
      <c r="Z570" s="62"/>
      <c r="AA570" s="62"/>
      <c r="AB570" s="62"/>
    </row>
    <row r="571" spans="1:28" ht="15.6" customHeight="1" x14ac:dyDescent="0.2">
      <c r="A571" s="408">
        <v>570</v>
      </c>
      <c r="B571" s="409" t="str">
        <f t="shared" si="8"/>
        <v>Phylica axillaris var. maritima</v>
      </c>
      <c r="C571" s="410" t="s">
        <v>2029</v>
      </c>
      <c r="E571" s="75" t="s">
        <v>2030</v>
      </c>
      <c r="F571" s="75" t="s">
        <v>2031</v>
      </c>
      <c r="G571" s="411" t="s">
        <v>1401</v>
      </c>
      <c r="H571" s="66" t="s">
        <v>3314</v>
      </c>
      <c r="I571" s="144">
        <v>2</v>
      </c>
      <c r="J571" s="144">
        <v>5</v>
      </c>
      <c r="K571" s="144">
        <v>9</v>
      </c>
      <c r="L571" s="144">
        <v>9</v>
      </c>
      <c r="M571" s="144">
        <v>9</v>
      </c>
      <c r="N571" s="144">
        <v>9</v>
      </c>
      <c r="O571" s="412" t="s">
        <v>2180</v>
      </c>
      <c r="P571" s="412" t="s">
        <v>3032</v>
      </c>
      <c r="Q571" s="413"/>
      <c r="R571" s="211">
        <v>36892</v>
      </c>
      <c r="S571" s="414" t="s">
        <v>2250</v>
      </c>
      <c r="T571" s="415"/>
      <c r="U571" s="62">
        <v>1</v>
      </c>
      <c r="V571" s="62"/>
      <c r="W571" s="62"/>
      <c r="X571" s="62"/>
      <c r="Y571" s="62"/>
      <c r="Z571" s="62"/>
      <c r="AA571" s="62"/>
      <c r="AB571" s="62"/>
    </row>
    <row r="572" spans="1:28" ht="15.6" customHeight="1" x14ac:dyDescent="0.2">
      <c r="A572" s="408">
        <v>571</v>
      </c>
      <c r="B572" s="409" t="str">
        <f t="shared" si="8"/>
        <v>Phylica disticha</v>
      </c>
      <c r="C572" s="410" t="s">
        <v>2029</v>
      </c>
      <c r="E572" s="75" t="s">
        <v>2030</v>
      </c>
      <c r="F572" s="75" t="s">
        <v>2032</v>
      </c>
      <c r="G572" s="411" t="s">
        <v>1402</v>
      </c>
      <c r="H572" s="66" t="s">
        <v>3248</v>
      </c>
      <c r="I572" s="144">
        <v>2</v>
      </c>
      <c r="J572" s="144">
        <v>5</v>
      </c>
      <c r="K572" s="144">
        <v>2</v>
      </c>
      <c r="L572" s="144">
        <v>2</v>
      </c>
      <c r="M572" s="144">
        <v>2</v>
      </c>
      <c r="N572" s="144">
        <v>5</v>
      </c>
      <c r="O572" s="412" t="s">
        <v>2168</v>
      </c>
      <c r="P572" s="412" t="s">
        <v>3032</v>
      </c>
      <c r="Q572" s="413"/>
      <c r="R572" s="211">
        <v>35947</v>
      </c>
      <c r="S572" s="414"/>
      <c r="T572" s="415">
        <v>1</v>
      </c>
      <c r="U572" s="62">
        <v>1</v>
      </c>
      <c r="V572" s="62"/>
      <c r="W572" s="62"/>
      <c r="X572" s="62"/>
      <c r="Y572" s="62"/>
      <c r="Z572" s="62"/>
      <c r="AA572" s="62"/>
      <c r="AB572" s="62"/>
    </row>
    <row r="573" spans="1:28" ht="15.6" customHeight="1" x14ac:dyDescent="0.2">
      <c r="A573" s="408">
        <v>572</v>
      </c>
      <c r="B573" s="409" t="str">
        <f t="shared" si="8"/>
        <v>Phylica dodii</v>
      </c>
      <c r="C573" s="410" t="s">
        <v>2029</v>
      </c>
      <c r="E573" s="75" t="s">
        <v>2030</v>
      </c>
      <c r="F573" s="75" t="s">
        <v>2033</v>
      </c>
      <c r="G573" s="411" t="s">
        <v>1403</v>
      </c>
      <c r="H573" s="66" t="s">
        <v>3215</v>
      </c>
      <c r="I573" s="144">
        <v>2</v>
      </c>
      <c r="J573" s="144">
        <v>6</v>
      </c>
      <c r="K573" s="144">
        <v>2</v>
      </c>
      <c r="L573" s="144">
        <v>2</v>
      </c>
      <c r="M573" s="144">
        <v>2</v>
      </c>
      <c r="N573" s="144">
        <v>5</v>
      </c>
      <c r="O573" s="412" t="s">
        <v>3031</v>
      </c>
      <c r="P573" s="412" t="s">
        <v>3032</v>
      </c>
      <c r="Q573" s="413"/>
      <c r="R573" s="211">
        <v>35612</v>
      </c>
      <c r="S573" s="414"/>
      <c r="T573" s="415">
        <v>1</v>
      </c>
      <c r="U573" s="62">
        <v>1</v>
      </c>
      <c r="V573" s="62"/>
      <c r="W573" s="62">
        <v>1</v>
      </c>
      <c r="X573" s="62">
        <v>1</v>
      </c>
      <c r="Y573" s="62"/>
      <c r="Z573" s="62"/>
      <c r="AA573" s="62"/>
      <c r="AB573" s="62"/>
    </row>
    <row r="574" spans="1:28" ht="15.6" customHeight="1" x14ac:dyDescent="0.2">
      <c r="A574" s="408">
        <v>573</v>
      </c>
      <c r="B574" s="409" t="str">
        <f t="shared" si="8"/>
        <v>Phylica ericoides</v>
      </c>
      <c r="C574" s="410" t="s">
        <v>2029</v>
      </c>
      <c r="E574" s="75" t="s">
        <v>2030</v>
      </c>
      <c r="F574" s="75" t="s">
        <v>734</v>
      </c>
      <c r="G574" s="411" t="s">
        <v>1404</v>
      </c>
      <c r="H574" s="66" t="s">
        <v>3248</v>
      </c>
      <c r="I574" s="144">
        <v>2</v>
      </c>
      <c r="J574" s="144">
        <v>5</v>
      </c>
      <c r="K574" s="144">
        <v>2</v>
      </c>
      <c r="L574" s="144">
        <v>3</v>
      </c>
      <c r="M574" s="144">
        <v>2</v>
      </c>
      <c r="N574" s="144">
        <v>5</v>
      </c>
      <c r="O574" s="412" t="s">
        <v>2914</v>
      </c>
      <c r="P574" s="412" t="s">
        <v>3032</v>
      </c>
      <c r="Q574" s="413"/>
      <c r="R574" s="211">
        <v>35612</v>
      </c>
      <c r="S574" s="414"/>
      <c r="T574" s="415">
        <v>1</v>
      </c>
      <c r="U574" s="62">
        <v>1</v>
      </c>
      <c r="V574" s="62">
        <v>1</v>
      </c>
      <c r="W574" s="62">
        <v>1</v>
      </c>
      <c r="X574" s="62"/>
      <c r="Y574" s="62"/>
      <c r="Z574" s="62"/>
      <c r="AA574" s="62"/>
      <c r="AB574" s="62">
        <v>1</v>
      </c>
    </row>
    <row r="575" spans="1:28" ht="15.6" customHeight="1" x14ac:dyDescent="0.2">
      <c r="A575" s="408">
        <v>574</v>
      </c>
      <c r="B575" s="409" t="str">
        <f t="shared" si="8"/>
        <v>Phylica imberbis</v>
      </c>
      <c r="C575" s="410" t="s">
        <v>2029</v>
      </c>
      <c r="E575" s="75" t="s">
        <v>2030</v>
      </c>
      <c r="F575" s="75" t="s">
        <v>2034</v>
      </c>
      <c r="G575" s="411" t="s">
        <v>1405</v>
      </c>
      <c r="H575" s="66" t="s">
        <v>3215</v>
      </c>
      <c r="I575" s="144">
        <v>2</v>
      </c>
      <c r="J575" s="144">
        <v>6</v>
      </c>
      <c r="K575" s="144">
        <v>2</v>
      </c>
      <c r="L575" s="144">
        <v>3</v>
      </c>
      <c r="M575" s="144">
        <v>2</v>
      </c>
      <c r="N575" s="144">
        <v>5</v>
      </c>
      <c r="O575" s="412" t="s">
        <v>3031</v>
      </c>
      <c r="P575" s="412" t="s">
        <v>3032</v>
      </c>
      <c r="Q575" s="413"/>
      <c r="R575" s="211">
        <v>35612</v>
      </c>
      <c r="S575" s="414"/>
      <c r="T575" s="415">
        <v>1</v>
      </c>
      <c r="U575" s="62">
        <v>1</v>
      </c>
      <c r="V575" s="62"/>
      <c r="W575" s="62">
        <v>1</v>
      </c>
      <c r="X575" s="62">
        <v>1</v>
      </c>
      <c r="Y575" s="62"/>
      <c r="Z575" s="62"/>
      <c r="AA575" s="62"/>
      <c r="AB575" s="62"/>
    </row>
    <row r="576" spans="1:28" ht="15.6" customHeight="1" x14ac:dyDescent="0.2">
      <c r="A576" s="408">
        <v>575</v>
      </c>
      <c r="B576" s="409" t="str">
        <f t="shared" si="8"/>
        <v>Trichocephalus stipularis</v>
      </c>
      <c r="C576" s="410" t="s">
        <v>2029</v>
      </c>
      <c r="D576" s="75" t="s">
        <v>278</v>
      </c>
      <c r="E576" s="75" t="s">
        <v>2035</v>
      </c>
      <c r="F576" s="75" t="s">
        <v>2036</v>
      </c>
      <c r="G576" s="411" t="s">
        <v>1406</v>
      </c>
      <c r="H576" s="66" t="s">
        <v>3248</v>
      </c>
      <c r="I576" s="144">
        <v>2</v>
      </c>
      <c r="J576" s="144">
        <v>5</v>
      </c>
      <c r="K576" s="144">
        <v>2</v>
      </c>
      <c r="L576" s="144">
        <v>2</v>
      </c>
      <c r="M576" s="144">
        <v>2</v>
      </c>
      <c r="N576" s="144">
        <v>5</v>
      </c>
      <c r="O576" s="412" t="s">
        <v>2914</v>
      </c>
      <c r="P576" s="412" t="s">
        <v>3032</v>
      </c>
      <c r="Q576" s="413"/>
      <c r="R576" s="211">
        <v>35612</v>
      </c>
      <c r="S576" s="414"/>
      <c r="T576" s="415">
        <v>1</v>
      </c>
      <c r="U576" s="62">
        <v>1</v>
      </c>
      <c r="V576" s="62"/>
      <c r="W576" s="62">
        <v>1</v>
      </c>
      <c r="X576" s="62">
        <v>1</v>
      </c>
      <c r="Y576" s="62"/>
      <c r="Z576" s="62"/>
      <c r="AA576" s="62"/>
      <c r="AB576" s="62"/>
    </row>
    <row r="577" spans="1:28" ht="15.6" customHeight="1" x14ac:dyDescent="0.2">
      <c r="A577" s="408">
        <v>576</v>
      </c>
      <c r="B577" s="409" t="str">
        <f t="shared" si="8"/>
        <v>Cliffortia anthospermoides</v>
      </c>
      <c r="C577" s="410" t="s">
        <v>2037</v>
      </c>
      <c r="E577" s="75" t="s">
        <v>2038</v>
      </c>
      <c r="F577" s="75" t="s">
        <v>2039</v>
      </c>
      <c r="G577" s="411" t="s">
        <v>1407</v>
      </c>
      <c r="H577" s="66" t="s">
        <v>3315</v>
      </c>
      <c r="I577" s="144">
        <v>2</v>
      </c>
      <c r="J577" s="144">
        <v>9</v>
      </c>
      <c r="K577" s="144">
        <v>2</v>
      </c>
      <c r="L577" s="144">
        <v>2</v>
      </c>
      <c r="M577" s="144">
        <v>2</v>
      </c>
      <c r="N577" s="144">
        <v>5</v>
      </c>
      <c r="O577" s="412" t="s">
        <v>2168</v>
      </c>
      <c r="P577" s="412" t="s">
        <v>3032</v>
      </c>
      <c r="Q577" s="413" t="s">
        <v>3146</v>
      </c>
      <c r="R577" s="211">
        <v>35796</v>
      </c>
      <c r="S577" s="414"/>
      <c r="T577" s="415">
        <v>1</v>
      </c>
      <c r="U577" s="62">
        <v>1</v>
      </c>
      <c r="V577" s="62"/>
      <c r="W577" s="62"/>
      <c r="X577" s="62"/>
      <c r="Y577" s="62"/>
      <c r="Z577" s="62"/>
      <c r="AA577" s="62"/>
      <c r="AB577" s="62"/>
    </row>
    <row r="578" spans="1:28" ht="15.6" customHeight="1" x14ac:dyDescent="0.2">
      <c r="A578" s="408">
        <v>577</v>
      </c>
      <c r="B578" s="409" t="str">
        <f t="shared" ref="B578:B641" si="9">E578&amp;" "&amp;F578</f>
        <v>Cliffortia falcata</v>
      </c>
      <c r="C578" s="410" t="s">
        <v>2037</v>
      </c>
      <c r="E578" s="75" t="s">
        <v>2038</v>
      </c>
      <c r="F578" s="75" t="s">
        <v>1645</v>
      </c>
      <c r="G578" s="411" t="s">
        <v>1408</v>
      </c>
      <c r="H578" s="66" t="s">
        <v>3248</v>
      </c>
      <c r="I578" s="144">
        <v>2</v>
      </c>
      <c r="J578" s="144">
        <v>5</v>
      </c>
      <c r="K578" s="144">
        <v>2</v>
      </c>
      <c r="L578" s="144">
        <v>2</v>
      </c>
      <c r="M578" s="144">
        <v>2</v>
      </c>
      <c r="N578" s="144">
        <v>5</v>
      </c>
      <c r="O578" s="412" t="s">
        <v>2168</v>
      </c>
      <c r="P578" s="412" t="s">
        <v>3032</v>
      </c>
      <c r="Q578" s="413"/>
      <c r="R578" s="211">
        <v>35612</v>
      </c>
      <c r="S578" s="414"/>
      <c r="T578" s="415">
        <v>1</v>
      </c>
      <c r="U578" s="62">
        <v>1</v>
      </c>
      <c r="V578" s="62"/>
      <c r="W578" s="62">
        <v>1</v>
      </c>
      <c r="X578" s="62">
        <v>1</v>
      </c>
      <c r="Y578" s="62"/>
      <c r="Z578" s="62"/>
      <c r="AA578" s="62"/>
      <c r="AB578" s="62">
        <v>1</v>
      </c>
    </row>
    <row r="579" spans="1:28" ht="15.6" customHeight="1" x14ac:dyDescent="0.2">
      <c r="A579" s="408">
        <v>578</v>
      </c>
      <c r="B579" s="409" t="str">
        <f t="shared" si="9"/>
        <v>Cliffortia ferruginea</v>
      </c>
      <c r="C579" s="410" t="s">
        <v>2037</v>
      </c>
      <c r="D579" s="75" t="s">
        <v>279</v>
      </c>
      <c r="E579" s="75" t="s">
        <v>2038</v>
      </c>
      <c r="F579" s="75" t="s">
        <v>2040</v>
      </c>
      <c r="G579" s="411" t="s">
        <v>1409</v>
      </c>
      <c r="H579" s="66" t="s">
        <v>3292</v>
      </c>
      <c r="I579" s="144">
        <v>2</v>
      </c>
      <c r="J579" s="144">
        <v>6</v>
      </c>
      <c r="K579" s="144">
        <v>2</v>
      </c>
      <c r="L579" s="144">
        <v>2</v>
      </c>
      <c r="M579" s="144">
        <v>2</v>
      </c>
      <c r="N579" s="144">
        <v>3</v>
      </c>
      <c r="O579" s="412" t="s">
        <v>3031</v>
      </c>
      <c r="P579" s="412" t="s">
        <v>3032</v>
      </c>
      <c r="Q579" s="413"/>
      <c r="R579" s="211">
        <v>35612</v>
      </c>
      <c r="S579" s="414"/>
      <c r="T579" s="415">
        <v>1</v>
      </c>
      <c r="U579" s="62"/>
      <c r="V579" s="62"/>
      <c r="W579" s="62"/>
      <c r="X579" s="62">
        <v>1</v>
      </c>
      <c r="Y579" s="62"/>
      <c r="Z579" s="62"/>
      <c r="AA579" s="62">
        <v>1</v>
      </c>
      <c r="AB579" s="62"/>
    </row>
    <row r="580" spans="1:28" ht="15.6" customHeight="1" x14ac:dyDescent="0.2">
      <c r="A580" s="408">
        <v>579</v>
      </c>
      <c r="B580" s="409" t="str">
        <f t="shared" si="9"/>
        <v>Cliffortia filifolia</v>
      </c>
      <c r="C580" s="410" t="s">
        <v>2037</v>
      </c>
      <c r="E580" s="75" t="s">
        <v>2038</v>
      </c>
      <c r="F580" s="75" t="s">
        <v>2786</v>
      </c>
      <c r="G580" s="411" t="s">
        <v>1410</v>
      </c>
      <c r="H580" s="66" t="s">
        <v>3215</v>
      </c>
      <c r="I580" s="144">
        <v>2</v>
      </c>
      <c r="J580" s="144">
        <v>6</v>
      </c>
      <c r="K580" s="144">
        <v>2</v>
      </c>
      <c r="L580" s="144">
        <v>3</v>
      </c>
      <c r="M580" s="144">
        <v>2</v>
      </c>
      <c r="N580" s="144">
        <v>5</v>
      </c>
      <c r="O580" s="412" t="s">
        <v>2914</v>
      </c>
      <c r="P580" s="412" t="s">
        <v>3032</v>
      </c>
      <c r="Q580" s="413"/>
      <c r="R580" s="211">
        <v>36192</v>
      </c>
      <c r="S580" s="414"/>
      <c r="T580" s="415">
        <v>1</v>
      </c>
      <c r="U580" s="62">
        <v>1</v>
      </c>
      <c r="V580" s="62"/>
      <c r="W580" s="62"/>
      <c r="X580" s="62"/>
      <c r="Y580" s="62"/>
      <c r="Z580" s="62"/>
      <c r="AA580" s="62"/>
      <c r="AB580" s="62"/>
    </row>
    <row r="581" spans="1:28" ht="15.6" customHeight="1" x14ac:dyDescent="0.2">
      <c r="A581" s="408">
        <v>580</v>
      </c>
      <c r="B581" s="409" t="str">
        <f t="shared" si="9"/>
        <v>Cliffortia ilicifolia</v>
      </c>
      <c r="C581" s="410" t="s">
        <v>2037</v>
      </c>
      <c r="D581" s="75" t="s">
        <v>280</v>
      </c>
      <c r="E581" s="75" t="s">
        <v>2038</v>
      </c>
      <c r="F581" s="75" t="s">
        <v>2041</v>
      </c>
      <c r="G581" s="411" t="s">
        <v>1411</v>
      </c>
      <c r="H581" s="66" t="s">
        <v>3249</v>
      </c>
      <c r="I581" s="144">
        <v>2</v>
      </c>
      <c r="J581" s="144">
        <v>4</v>
      </c>
      <c r="K581" s="144">
        <v>2</v>
      </c>
      <c r="L581" s="144">
        <v>1</v>
      </c>
      <c r="M581" s="144">
        <v>2</v>
      </c>
      <c r="N581" s="144">
        <v>5</v>
      </c>
      <c r="O581" s="412" t="s">
        <v>2168</v>
      </c>
      <c r="P581" s="412" t="s">
        <v>3032</v>
      </c>
      <c r="Q581" s="413"/>
      <c r="R581" s="211">
        <v>35612</v>
      </c>
      <c r="S581" s="414"/>
      <c r="T581" s="415">
        <v>1</v>
      </c>
      <c r="U581" s="62"/>
      <c r="V581" s="62"/>
      <c r="W581" s="62">
        <v>1</v>
      </c>
      <c r="X581" s="62">
        <v>1</v>
      </c>
      <c r="Y581" s="62"/>
      <c r="Z581" s="62"/>
      <c r="AA581" s="62"/>
      <c r="AB581" s="62"/>
    </row>
    <row r="582" spans="1:28" ht="15.6" customHeight="1" x14ac:dyDescent="0.2">
      <c r="A582" s="408">
        <v>581</v>
      </c>
      <c r="B582" s="409" t="str">
        <f t="shared" si="9"/>
        <v>Cliffortia obcordata</v>
      </c>
      <c r="C582" s="410" t="s">
        <v>2037</v>
      </c>
      <c r="E582" s="75" t="s">
        <v>2038</v>
      </c>
      <c r="F582" s="75" t="s">
        <v>2042</v>
      </c>
      <c r="G582" s="411" t="s">
        <v>1412</v>
      </c>
      <c r="H582" s="66" t="s">
        <v>3249</v>
      </c>
      <c r="I582" s="144">
        <v>2</v>
      </c>
      <c r="J582" s="144">
        <v>4</v>
      </c>
      <c r="K582" s="144">
        <v>2</v>
      </c>
      <c r="L582" s="144">
        <v>1</v>
      </c>
      <c r="M582" s="144">
        <v>2</v>
      </c>
      <c r="N582" s="144">
        <v>5</v>
      </c>
      <c r="O582" s="412" t="s">
        <v>2168</v>
      </c>
      <c r="P582" s="412" t="s">
        <v>3032</v>
      </c>
      <c r="Q582" s="413"/>
      <c r="R582" s="211">
        <v>35855</v>
      </c>
      <c r="S582" s="414"/>
      <c r="T582" s="415">
        <v>1</v>
      </c>
      <c r="U582" s="62">
        <v>1</v>
      </c>
      <c r="V582" s="62"/>
      <c r="W582" s="62"/>
      <c r="X582" s="62"/>
      <c r="Y582" s="62"/>
      <c r="Z582" s="62"/>
      <c r="AA582" s="62"/>
      <c r="AB582" s="62"/>
    </row>
    <row r="583" spans="1:28" ht="15.6" customHeight="1" x14ac:dyDescent="0.2">
      <c r="A583" s="408">
        <v>582</v>
      </c>
      <c r="B583" s="409" t="str">
        <f t="shared" si="9"/>
        <v>Cliffortia phyllanthoides</v>
      </c>
      <c r="C583" s="410" t="s">
        <v>2037</v>
      </c>
      <c r="E583" s="75" t="s">
        <v>2038</v>
      </c>
      <c r="F583" s="75" t="s">
        <v>2043</v>
      </c>
      <c r="G583" s="411" t="s">
        <v>1413</v>
      </c>
      <c r="H583" s="66" t="s">
        <v>3215</v>
      </c>
      <c r="I583" s="144">
        <v>2</v>
      </c>
      <c r="J583" s="144">
        <v>6</v>
      </c>
      <c r="K583" s="144">
        <v>2</v>
      </c>
      <c r="L583" s="144">
        <v>1</v>
      </c>
      <c r="M583" s="144">
        <v>2</v>
      </c>
      <c r="N583" s="144">
        <v>5</v>
      </c>
      <c r="O583" s="412" t="s">
        <v>3031</v>
      </c>
      <c r="P583" s="412" t="s">
        <v>3032</v>
      </c>
      <c r="Q583" s="413"/>
      <c r="R583" s="211">
        <v>35612</v>
      </c>
      <c r="S583" s="414"/>
      <c r="T583" s="415">
        <v>1</v>
      </c>
      <c r="U583" s="62">
        <v>1</v>
      </c>
      <c r="V583" s="62"/>
      <c r="W583" s="62"/>
      <c r="X583" s="62"/>
      <c r="Y583" s="62"/>
      <c r="Z583" s="62"/>
      <c r="AA583" s="62"/>
      <c r="AB583" s="62"/>
    </row>
    <row r="584" spans="1:28" ht="15.6" customHeight="1" x14ac:dyDescent="0.2">
      <c r="A584" s="408">
        <v>583</v>
      </c>
      <c r="B584" s="409" t="str">
        <f t="shared" si="9"/>
        <v>Cliffortia strobilifera</v>
      </c>
      <c r="C584" s="410" t="s">
        <v>2037</v>
      </c>
      <c r="D584" s="75" t="s">
        <v>281</v>
      </c>
      <c r="E584" s="75" t="s">
        <v>2038</v>
      </c>
      <c r="F584" s="75" t="s">
        <v>2044</v>
      </c>
      <c r="G584" s="411" t="s">
        <v>1414</v>
      </c>
      <c r="H584" s="66" t="s">
        <v>3316</v>
      </c>
      <c r="I584" s="144">
        <v>2</v>
      </c>
      <c r="J584" s="144">
        <v>3</v>
      </c>
      <c r="K584" s="144">
        <v>3</v>
      </c>
      <c r="L584" s="144">
        <v>3</v>
      </c>
      <c r="M584" s="144">
        <v>2</v>
      </c>
      <c r="N584" s="144">
        <v>3</v>
      </c>
      <c r="O584" s="412" t="s">
        <v>2168</v>
      </c>
      <c r="P584" s="412" t="s">
        <v>3032</v>
      </c>
      <c r="Q584" s="413"/>
      <c r="R584" s="211">
        <v>35886</v>
      </c>
      <c r="S584" s="414"/>
      <c r="T584" s="415">
        <v>1</v>
      </c>
      <c r="U584" s="62"/>
      <c r="V584" s="62"/>
      <c r="W584" s="62"/>
      <c r="X584" s="62"/>
      <c r="Y584" s="62"/>
      <c r="Z584" s="62"/>
      <c r="AA584" s="62">
        <v>1</v>
      </c>
      <c r="AB584" s="62"/>
    </row>
    <row r="585" spans="1:28" ht="15.6" customHeight="1" x14ac:dyDescent="0.2">
      <c r="A585" s="408">
        <v>584</v>
      </c>
      <c r="B585" s="409" t="str">
        <f t="shared" si="9"/>
        <v>Anthospermum aethiopicum</v>
      </c>
      <c r="C585" s="410" t="s">
        <v>2045</v>
      </c>
      <c r="E585" s="75" t="s">
        <v>2719</v>
      </c>
      <c r="F585" s="75" t="s">
        <v>1996</v>
      </c>
      <c r="G585" s="411" t="s">
        <v>1415</v>
      </c>
      <c r="H585" s="66" t="s">
        <v>3249</v>
      </c>
      <c r="I585" s="144">
        <v>2</v>
      </c>
      <c r="J585" s="144">
        <v>4</v>
      </c>
      <c r="K585" s="144">
        <v>2</v>
      </c>
      <c r="L585" s="144">
        <v>3</v>
      </c>
      <c r="M585" s="144">
        <v>2</v>
      </c>
      <c r="N585" s="144">
        <v>5</v>
      </c>
      <c r="O585" s="412" t="s">
        <v>2168</v>
      </c>
      <c r="P585" s="412" t="s">
        <v>3032</v>
      </c>
      <c r="Q585" s="413"/>
      <c r="R585" s="211">
        <v>35612</v>
      </c>
      <c r="S585" s="414"/>
      <c r="T585" s="415">
        <v>1</v>
      </c>
      <c r="U585" s="62">
        <v>1</v>
      </c>
      <c r="V585" s="62">
        <v>1</v>
      </c>
      <c r="W585" s="62">
        <v>1</v>
      </c>
      <c r="X585" s="62">
        <v>1</v>
      </c>
      <c r="Y585" s="62"/>
      <c r="Z585" s="62"/>
      <c r="AA585" s="62"/>
      <c r="AB585" s="62">
        <v>1</v>
      </c>
    </row>
    <row r="586" spans="1:28" ht="15.6" customHeight="1" x14ac:dyDescent="0.2">
      <c r="A586" s="408">
        <v>585</v>
      </c>
      <c r="B586" s="409" t="str">
        <f t="shared" si="9"/>
        <v>Anthospermum hirtum</v>
      </c>
      <c r="C586" s="410" t="s">
        <v>2045</v>
      </c>
      <c r="E586" s="75" t="s">
        <v>2719</v>
      </c>
      <c r="F586" s="75" t="s">
        <v>2046</v>
      </c>
      <c r="G586" s="411" t="s">
        <v>1416</v>
      </c>
      <c r="H586" s="66" t="s">
        <v>3273</v>
      </c>
      <c r="I586" s="144">
        <v>2</v>
      </c>
      <c r="J586" s="144">
        <v>4</v>
      </c>
      <c r="K586" s="144">
        <v>9</v>
      </c>
      <c r="L586" s="144">
        <v>9</v>
      </c>
      <c r="M586" s="144">
        <v>9</v>
      </c>
      <c r="N586" s="144">
        <v>9</v>
      </c>
      <c r="O586" s="412" t="s">
        <v>2168</v>
      </c>
      <c r="P586" s="412" t="s">
        <v>3032</v>
      </c>
      <c r="Q586" s="413"/>
      <c r="R586" s="211">
        <v>35612</v>
      </c>
      <c r="S586" s="414" t="s">
        <v>2250</v>
      </c>
      <c r="T586" s="415"/>
      <c r="U586" s="62"/>
      <c r="V586" s="62">
        <v>1</v>
      </c>
      <c r="W586" s="62"/>
      <c r="X586" s="62"/>
      <c r="Y586" s="62"/>
      <c r="Z586" s="62"/>
      <c r="AA586" s="62"/>
      <c r="AB586" s="62"/>
    </row>
    <row r="587" spans="1:28" ht="15.6" customHeight="1" x14ac:dyDescent="0.2">
      <c r="A587" s="408">
        <v>586</v>
      </c>
      <c r="B587" s="409" t="str">
        <f t="shared" si="9"/>
        <v>Anthospermum prostratum</v>
      </c>
      <c r="C587" s="410" t="s">
        <v>2045</v>
      </c>
      <c r="E587" s="75" t="s">
        <v>2719</v>
      </c>
      <c r="F587" s="75" t="s">
        <v>1987</v>
      </c>
      <c r="G587" s="411" t="s">
        <v>1417</v>
      </c>
      <c r="H587" s="66" t="s">
        <v>3265</v>
      </c>
      <c r="I587" s="144">
        <v>2</v>
      </c>
      <c r="J587" s="144">
        <v>6</v>
      </c>
      <c r="K587" s="144">
        <v>9</v>
      </c>
      <c r="L587" s="144">
        <v>9</v>
      </c>
      <c r="M587" s="144">
        <v>9</v>
      </c>
      <c r="N587" s="144">
        <v>9</v>
      </c>
      <c r="O587" s="412" t="s">
        <v>3031</v>
      </c>
      <c r="P587" s="412" t="s">
        <v>3032</v>
      </c>
      <c r="Q587" s="413"/>
      <c r="R587" s="211">
        <v>36892</v>
      </c>
      <c r="S587" s="414" t="s">
        <v>2250</v>
      </c>
      <c r="T587" s="415"/>
      <c r="U587" s="62">
        <v>1</v>
      </c>
      <c r="V587" s="62"/>
      <c r="W587" s="62"/>
      <c r="X587" s="62"/>
      <c r="Y587" s="62"/>
      <c r="Z587" s="62"/>
      <c r="AA587" s="62"/>
      <c r="AB587" s="62"/>
    </row>
    <row r="588" spans="1:28" ht="15.6" customHeight="1" x14ac:dyDescent="0.2">
      <c r="A588" s="408">
        <v>587</v>
      </c>
      <c r="B588" s="409" t="str">
        <f t="shared" si="9"/>
        <v>Anthospermum spathulatum ssp. spathulatum</v>
      </c>
      <c r="C588" s="410" t="s">
        <v>2045</v>
      </c>
      <c r="E588" s="75" t="s">
        <v>2719</v>
      </c>
      <c r="F588" s="75" t="s">
        <v>2241</v>
      </c>
      <c r="G588" s="411" t="s">
        <v>1418</v>
      </c>
      <c r="H588" s="66" t="s">
        <v>3249</v>
      </c>
      <c r="I588" s="144">
        <v>2</v>
      </c>
      <c r="J588" s="144">
        <v>4</v>
      </c>
      <c r="K588" s="144">
        <v>2</v>
      </c>
      <c r="L588" s="144">
        <v>3</v>
      </c>
      <c r="M588" s="144">
        <v>2</v>
      </c>
      <c r="N588" s="144">
        <v>5</v>
      </c>
      <c r="O588" s="412" t="s">
        <v>2168</v>
      </c>
      <c r="P588" s="412" t="s">
        <v>3032</v>
      </c>
      <c r="Q588" s="413"/>
      <c r="R588" s="211">
        <v>35612</v>
      </c>
      <c r="S588" s="414"/>
      <c r="T588" s="415">
        <v>1</v>
      </c>
      <c r="U588" s="62">
        <v>1</v>
      </c>
      <c r="V588" s="62">
        <v>1</v>
      </c>
      <c r="W588" s="62"/>
      <c r="X588" s="62">
        <v>1</v>
      </c>
      <c r="Y588" s="62"/>
      <c r="Z588" s="62"/>
      <c r="AA588" s="62"/>
      <c r="AB588" s="62"/>
    </row>
    <row r="589" spans="1:28" ht="15.6" customHeight="1" x14ac:dyDescent="0.2">
      <c r="A589" s="408">
        <v>588</v>
      </c>
      <c r="B589" s="409" t="str">
        <f t="shared" si="9"/>
        <v>Carpacoce vaginellata</v>
      </c>
      <c r="C589" s="410" t="s">
        <v>2045</v>
      </c>
      <c r="E589" s="75" t="s">
        <v>2047</v>
      </c>
      <c r="F589" s="75" t="s">
        <v>2048</v>
      </c>
      <c r="G589" s="411" t="s">
        <v>1419</v>
      </c>
      <c r="H589" s="66" t="s">
        <v>3215</v>
      </c>
      <c r="I589" s="144">
        <v>2</v>
      </c>
      <c r="J589" s="144">
        <v>6</v>
      </c>
      <c r="K589" s="144">
        <v>2</v>
      </c>
      <c r="L589" s="144">
        <v>3</v>
      </c>
      <c r="M589" s="144">
        <v>2</v>
      </c>
      <c r="N589" s="144">
        <v>4</v>
      </c>
      <c r="O589" s="412" t="s">
        <v>3031</v>
      </c>
      <c r="P589" s="412" t="s">
        <v>3032</v>
      </c>
      <c r="Q589" s="413"/>
      <c r="R589" s="211">
        <v>35612</v>
      </c>
      <c r="S589" s="414"/>
      <c r="T589" s="415">
        <v>1</v>
      </c>
      <c r="U589" s="62">
        <v>1</v>
      </c>
      <c r="V589" s="62"/>
      <c r="W589" s="62"/>
      <c r="X589" s="62">
        <v>1</v>
      </c>
      <c r="Y589" s="62"/>
      <c r="Z589" s="62"/>
      <c r="AA589" s="62"/>
      <c r="AB589" s="62"/>
    </row>
    <row r="590" spans="1:28" ht="15.6" customHeight="1" x14ac:dyDescent="0.2">
      <c r="A590" s="408">
        <v>589</v>
      </c>
      <c r="B590" s="409" t="str">
        <f t="shared" si="9"/>
        <v>Galium tomentosum</v>
      </c>
      <c r="C590" s="410" t="s">
        <v>2045</v>
      </c>
      <c r="D590" s="75" t="s">
        <v>282</v>
      </c>
      <c r="E590" s="75" t="s">
        <v>2049</v>
      </c>
      <c r="F590" s="75" t="s">
        <v>2050</v>
      </c>
      <c r="G590" s="411" t="s">
        <v>1420</v>
      </c>
      <c r="H590" s="66" t="s">
        <v>3236</v>
      </c>
      <c r="I590" s="144">
        <v>7</v>
      </c>
      <c r="J590" s="144">
        <v>3</v>
      </c>
      <c r="K590" s="144">
        <v>3</v>
      </c>
      <c r="L590" s="144">
        <v>2</v>
      </c>
      <c r="M590" s="144">
        <v>1</v>
      </c>
      <c r="N590" s="144">
        <v>4</v>
      </c>
      <c r="O590" s="412" t="s">
        <v>1657</v>
      </c>
      <c r="P590" s="412" t="s">
        <v>3032</v>
      </c>
      <c r="Q590" s="413"/>
      <c r="R590" s="211">
        <v>35796</v>
      </c>
      <c r="S590" s="414"/>
      <c r="T590" s="415">
        <v>1</v>
      </c>
      <c r="U590" s="62"/>
      <c r="V590" s="62"/>
      <c r="W590" s="62"/>
      <c r="X590" s="62"/>
      <c r="Y590" s="62">
        <v>1</v>
      </c>
      <c r="Z590" s="62"/>
      <c r="AA590" s="62"/>
      <c r="AB590" s="62"/>
    </row>
    <row r="591" spans="1:28" ht="15.6" customHeight="1" x14ac:dyDescent="0.2">
      <c r="A591" s="408">
        <v>590</v>
      </c>
      <c r="B591" s="409" t="str">
        <f t="shared" si="9"/>
        <v>Nenax acerosa</v>
      </c>
      <c r="C591" s="410" t="s">
        <v>2045</v>
      </c>
      <c r="E591" s="75" t="s">
        <v>2051</v>
      </c>
      <c r="F591" s="75" t="s">
        <v>2052</v>
      </c>
      <c r="G591" s="411" t="s">
        <v>1421</v>
      </c>
      <c r="H591" s="66" t="s">
        <v>3265</v>
      </c>
      <c r="I591" s="144">
        <v>2</v>
      </c>
      <c r="J591" s="144">
        <v>6</v>
      </c>
      <c r="K591" s="144">
        <v>9</v>
      </c>
      <c r="L591" s="144">
        <v>9</v>
      </c>
      <c r="M591" s="144">
        <v>9</v>
      </c>
      <c r="N591" s="144">
        <v>9</v>
      </c>
      <c r="O591" s="412" t="s">
        <v>3031</v>
      </c>
      <c r="P591" s="412" t="s">
        <v>3032</v>
      </c>
      <c r="Q591" s="413"/>
      <c r="R591" s="211">
        <v>35947</v>
      </c>
      <c r="S591" s="414" t="s">
        <v>2250</v>
      </c>
      <c r="T591" s="415"/>
      <c r="U591" s="62">
        <v>1</v>
      </c>
      <c r="V591" s="62"/>
      <c r="W591" s="62">
        <v>1</v>
      </c>
      <c r="X591" s="62">
        <v>1</v>
      </c>
      <c r="Y591" s="62"/>
      <c r="Z591" s="62"/>
      <c r="AA591" s="62"/>
      <c r="AB591" s="62"/>
    </row>
    <row r="592" spans="1:28" ht="15.6" customHeight="1" x14ac:dyDescent="0.2">
      <c r="A592" s="408">
        <v>591</v>
      </c>
      <c r="B592" s="409" t="str">
        <f t="shared" si="9"/>
        <v>Agathosma apiculata</v>
      </c>
      <c r="C592" s="410" t="s">
        <v>2053</v>
      </c>
      <c r="D592" s="75" t="s">
        <v>283</v>
      </c>
      <c r="E592" s="75" t="s">
        <v>2054</v>
      </c>
      <c r="F592" s="75" t="s">
        <v>2055</v>
      </c>
      <c r="G592" s="411" t="s">
        <v>1422</v>
      </c>
      <c r="H592" s="66" t="s">
        <v>3249</v>
      </c>
      <c r="I592" s="144">
        <v>2</v>
      </c>
      <c r="J592" s="144">
        <v>4</v>
      </c>
      <c r="K592" s="144">
        <v>2</v>
      </c>
      <c r="L592" s="144">
        <v>1</v>
      </c>
      <c r="M592" s="144">
        <v>2</v>
      </c>
      <c r="N592" s="144">
        <v>5</v>
      </c>
      <c r="O592" s="412" t="s">
        <v>2914</v>
      </c>
      <c r="P592" s="412" t="s">
        <v>3032</v>
      </c>
      <c r="Q592" s="413"/>
      <c r="R592" s="211">
        <v>37073</v>
      </c>
      <c r="S592" s="414"/>
      <c r="T592" s="415">
        <v>1</v>
      </c>
      <c r="U592" s="62">
        <v>1</v>
      </c>
      <c r="V592" s="62">
        <v>1</v>
      </c>
      <c r="W592" s="62"/>
      <c r="X592" s="62"/>
      <c r="Y592" s="62"/>
      <c r="Z592" s="62"/>
      <c r="AA592" s="62"/>
      <c r="AB592" s="62"/>
    </row>
    <row r="593" spans="1:28" ht="15.6" customHeight="1" x14ac:dyDescent="0.2">
      <c r="A593" s="408">
        <v>592</v>
      </c>
      <c r="B593" s="409" t="str">
        <f t="shared" si="9"/>
        <v>Agathosma cerefolium</v>
      </c>
      <c r="C593" s="410" t="s">
        <v>2053</v>
      </c>
      <c r="D593" s="75" t="s">
        <v>284</v>
      </c>
      <c r="E593" s="75" t="s">
        <v>2054</v>
      </c>
      <c r="F593" s="75" t="s">
        <v>2056</v>
      </c>
      <c r="G593" s="411" t="s">
        <v>1423</v>
      </c>
      <c r="H593" s="66" t="s">
        <v>3249</v>
      </c>
      <c r="I593" s="144">
        <v>2</v>
      </c>
      <c r="J593" s="144">
        <v>4</v>
      </c>
      <c r="K593" s="144">
        <v>2</v>
      </c>
      <c r="L593" s="144">
        <v>2</v>
      </c>
      <c r="M593" s="144">
        <v>2</v>
      </c>
      <c r="N593" s="144">
        <v>5</v>
      </c>
      <c r="O593" s="412" t="s">
        <v>2914</v>
      </c>
      <c r="P593" s="412" t="s">
        <v>3032</v>
      </c>
      <c r="Q593" s="413"/>
      <c r="R593" s="211">
        <v>35947</v>
      </c>
      <c r="S593" s="414"/>
      <c r="T593" s="415">
        <v>1</v>
      </c>
      <c r="U593" s="62">
        <v>1</v>
      </c>
      <c r="V593" s="62"/>
      <c r="W593" s="62"/>
      <c r="X593" s="62"/>
      <c r="Y593" s="62"/>
      <c r="Z593" s="62"/>
      <c r="AA593" s="62"/>
      <c r="AB593" s="62"/>
    </row>
    <row r="594" spans="1:28" ht="15.6" customHeight="1" x14ac:dyDescent="0.2">
      <c r="A594" s="408">
        <v>593</v>
      </c>
      <c r="B594" s="409" t="str">
        <f t="shared" si="9"/>
        <v>Agathosma ciliaris</v>
      </c>
      <c r="C594" s="410" t="s">
        <v>2053</v>
      </c>
      <c r="D594" s="75" t="s">
        <v>285</v>
      </c>
      <c r="E594" s="75" t="s">
        <v>2054</v>
      </c>
      <c r="F594" s="75" t="s">
        <v>1066</v>
      </c>
      <c r="G594" s="411" t="s">
        <v>1424</v>
      </c>
      <c r="H594" s="66" t="s">
        <v>3215</v>
      </c>
      <c r="I594" s="144">
        <v>2</v>
      </c>
      <c r="J594" s="144">
        <v>6</v>
      </c>
      <c r="K594" s="144">
        <v>2</v>
      </c>
      <c r="L594" s="144">
        <v>2</v>
      </c>
      <c r="M594" s="144">
        <v>2</v>
      </c>
      <c r="N594" s="144">
        <v>5</v>
      </c>
      <c r="O594" s="412" t="s">
        <v>3031</v>
      </c>
      <c r="P594" s="412" t="s">
        <v>3032</v>
      </c>
      <c r="Q594" s="413"/>
      <c r="R594" s="211">
        <v>36586</v>
      </c>
      <c r="S594" s="414"/>
      <c r="T594" s="415">
        <v>1</v>
      </c>
      <c r="U594" s="62"/>
      <c r="V594" s="62"/>
      <c r="W594" s="62"/>
      <c r="X594" s="62">
        <v>1</v>
      </c>
      <c r="Y594" s="62"/>
      <c r="Z594" s="62"/>
      <c r="AA594" s="62"/>
      <c r="AB594" s="62"/>
    </row>
    <row r="595" spans="1:28" ht="15.6" customHeight="1" x14ac:dyDescent="0.2">
      <c r="A595" s="408">
        <v>594</v>
      </c>
      <c r="B595" s="409" t="str">
        <f t="shared" si="9"/>
        <v>Agathosma imbricata</v>
      </c>
      <c r="C595" s="410" t="s">
        <v>2053</v>
      </c>
      <c r="D595" s="75" t="s">
        <v>286</v>
      </c>
      <c r="E595" s="75" t="s">
        <v>2054</v>
      </c>
      <c r="F595" s="75" t="s">
        <v>772</v>
      </c>
      <c r="G595" s="411" t="s">
        <v>1425</v>
      </c>
      <c r="H595" s="66" t="s">
        <v>3248</v>
      </c>
      <c r="I595" s="144">
        <v>2</v>
      </c>
      <c r="J595" s="144">
        <v>5</v>
      </c>
      <c r="K595" s="144">
        <v>2</v>
      </c>
      <c r="L595" s="144">
        <v>1</v>
      </c>
      <c r="M595" s="144">
        <v>2</v>
      </c>
      <c r="N595" s="144">
        <v>5</v>
      </c>
      <c r="O595" s="412" t="s">
        <v>2168</v>
      </c>
      <c r="P595" s="412" t="s">
        <v>3032</v>
      </c>
      <c r="Q595" s="413"/>
      <c r="R595" s="211">
        <v>35612</v>
      </c>
      <c r="S595" s="414"/>
      <c r="T595" s="415">
        <v>1</v>
      </c>
      <c r="U595" s="62"/>
      <c r="V595" s="62">
        <v>1</v>
      </c>
      <c r="W595" s="62">
        <v>1</v>
      </c>
      <c r="X595" s="62">
        <v>1</v>
      </c>
      <c r="Y595" s="62"/>
      <c r="Z595" s="62"/>
      <c r="AA595" s="62"/>
      <c r="AB595" s="62"/>
    </row>
    <row r="596" spans="1:28" ht="15.6" customHeight="1" x14ac:dyDescent="0.2">
      <c r="A596" s="408">
        <v>595</v>
      </c>
      <c r="B596" s="409" t="str">
        <f t="shared" si="9"/>
        <v>Agathosma robusta</v>
      </c>
      <c r="C596" s="410" t="s">
        <v>2053</v>
      </c>
      <c r="E596" s="75" t="s">
        <v>2054</v>
      </c>
      <c r="F596" s="75" t="s">
        <v>2057</v>
      </c>
      <c r="G596" s="411" t="s">
        <v>1426</v>
      </c>
      <c r="H596" s="66" t="s">
        <v>3248</v>
      </c>
      <c r="I596" s="144">
        <v>2</v>
      </c>
      <c r="J596" s="144">
        <v>5</v>
      </c>
      <c r="K596" s="144">
        <v>2</v>
      </c>
      <c r="L596" s="144">
        <v>2</v>
      </c>
      <c r="M596" s="144">
        <v>2</v>
      </c>
      <c r="N596" s="144">
        <v>5</v>
      </c>
      <c r="O596" s="412" t="s">
        <v>2914</v>
      </c>
      <c r="P596" s="412" t="s">
        <v>3032</v>
      </c>
      <c r="Q596" s="413"/>
      <c r="R596" s="211">
        <v>35947</v>
      </c>
      <c r="S596" s="414"/>
      <c r="T596" s="415">
        <v>1</v>
      </c>
      <c r="U596" s="62"/>
      <c r="V596" s="62">
        <v>1</v>
      </c>
      <c r="W596" s="62"/>
      <c r="X596" s="62"/>
      <c r="Y596" s="62"/>
      <c r="Z596" s="62"/>
      <c r="AA596" s="62"/>
      <c r="AB596" s="62"/>
    </row>
    <row r="597" spans="1:28" ht="15.6" customHeight="1" x14ac:dyDescent="0.2">
      <c r="A597" s="408">
        <v>596</v>
      </c>
      <c r="B597" s="409" t="str">
        <f t="shared" si="9"/>
        <v>Agathosma serpyllacea</v>
      </c>
      <c r="C597" s="410" t="s">
        <v>2053</v>
      </c>
      <c r="E597" s="75" t="s">
        <v>2054</v>
      </c>
      <c r="F597" s="75" t="s">
        <v>2058</v>
      </c>
      <c r="G597" s="411" t="s">
        <v>1427</v>
      </c>
      <c r="H597" s="66" t="s">
        <v>3248</v>
      </c>
      <c r="I597" s="144">
        <v>2</v>
      </c>
      <c r="J597" s="144">
        <v>5</v>
      </c>
      <c r="K597" s="144">
        <v>2</v>
      </c>
      <c r="L597" s="144">
        <v>2</v>
      </c>
      <c r="M597" s="144">
        <v>2</v>
      </c>
      <c r="N597" s="144">
        <v>5</v>
      </c>
      <c r="O597" s="412" t="s">
        <v>2914</v>
      </c>
      <c r="P597" s="412" t="s">
        <v>3032</v>
      </c>
      <c r="Q597" s="413" t="s">
        <v>3144</v>
      </c>
      <c r="R597" s="211">
        <v>35612</v>
      </c>
      <c r="S597" s="414"/>
      <c r="T597" s="415">
        <v>1</v>
      </c>
      <c r="U597" s="62">
        <v>1</v>
      </c>
      <c r="V597" s="62">
        <v>1</v>
      </c>
      <c r="W597" s="62"/>
      <c r="X597" s="62"/>
      <c r="Y597" s="62"/>
      <c r="Z597" s="62"/>
      <c r="AA597" s="62"/>
      <c r="AB597" s="62"/>
    </row>
    <row r="598" spans="1:28" ht="15.6" customHeight="1" x14ac:dyDescent="0.2">
      <c r="A598" s="408">
        <v>597</v>
      </c>
      <c r="B598" s="409" t="str">
        <f t="shared" si="9"/>
        <v>Coleonema album</v>
      </c>
      <c r="C598" s="410" t="s">
        <v>2053</v>
      </c>
      <c r="D598" s="75" t="s">
        <v>287</v>
      </c>
      <c r="E598" s="75" t="s">
        <v>2059</v>
      </c>
      <c r="F598" s="75" t="s">
        <v>2060</v>
      </c>
      <c r="G598" s="411" t="s">
        <v>1428</v>
      </c>
      <c r="H598" s="66" t="s">
        <v>3249</v>
      </c>
      <c r="I598" s="144">
        <v>2</v>
      </c>
      <c r="J598" s="144">
        <v>4</v>
      </c>
      <c r="K598" s="144">
        <v>2</v>
      </c>
      <c r="L598" s="144">
        <v>3</v>
      </c>
      <c r="M598" s="144">
        <v>2</v>
      </c>
      <c r="N598" s="144">
        <v>5</v>
      </c>
      <c r="O598" s="412" t="s">
        <v>2168</v>
      </c>
      <c r="P598" s="412" t="s">
        <v>3032</v>
      </c>
      <c r="Q598" s="413"/>
      <c r="R598" s="211">
        <v>35612</v>
      </c>
      <c r="S598" s="414"/>
      <c r="T598" s="415">
        <v>1</v>
      </c>
      <c r="U598" s="62"/>
      <c r="V598" s="62"/>
      <c r="W598" s="62"/>
      <c r="X598" s="62">
        <v>1</v>
      </c>
      <c r="Y598" s="62"/>
      <c r="Z598" s="62"/>
      <c r="AA598" s="62"/>
      <c r="AB598" s="62"/>
    </row>
    <row r="599" spans="1:28" ht="15.6" customHeight="1" x14ac:dyDescent="0.2">
      <c r="A599" s="408">
        <v>598</v>
      </c>
      <c r="B599" s="409" t="str">
        <f t="shared" si="9"/>
        <v>Diosma hirsuta</v>
      </c>
      <c r="C599" s="410" t="s">
        <v>2053</v>
      </c>
      <c r="D599" s="75" t="s">
        <v>288</v>
      </c>
      <c r="E599" s="75" t="s">
        <v>2061</v>
      </c>
      <c r="F599" s="75" t="s">
        <v>697</v>
      </c>
      <c r="G599" s="411" t="s">
        <v>1429</v>
      </c>
      <c r="H599" s="66" t="s">
        <v>3215</v>
      </c>
      <c r="I599" s="144">
        <v>2</v>
      </c>
      <c r="J599" s="144">
        <v>6</v>
      </c>
      <c r="K599" s="144">
        <v>2</v>
      </c>
      <c r="L599" s="144">
        <v>3</v>
      </c>
      <c r="M599" s="144">
        <v>2</v>
      </c>
      <c r="N599" s="144">
        <v>4</v>
      </c>
      <c r="O599" s="412" t="s">
        <v>3031</v>
      </c>
      <c r="P599" s="412" t="s">
        <v>3032</v>
      </c>
      <c r="Q599" s="413"/>
      <c r="R599" s="211">
        <v>36069</v>
      </c>
      <c r="S599" s="414"/>
      <c r="T599" s="415">
        <v>1</v>
      </c>
      <c r="U599" s="62"/>
      <c r="V599" s="62"/>
      <c r="W599" s="62">
        <v>1</v>
      </c>
      <c r="X599" s="62">
        <v>1</v>
      </c>
      <c r="Y599" s="62"/>
      <c r="Z599" s="62"/>
      <c r="AA599" s="62"/>
      <c r="AB599" s="62"/>
    </row>
    <row r="600" spans="1:28" ht="15.6" customHeight="1" x14ac:dyDescent="0.2">
      <c r="A600" s="408">
        <v>599</v>
      </c>
      <c r="B600" s="409" t="str">
        <f t="shared" si="9"/>
        <v>Diosma subulata var. subulata</v>
      </c>
      <c r="C600" s="410" t="s">
        <v>2053</v>
      </c>
      <c r="E600" s="75" t="s">
        <v>2061</v>
      </c>
      <c r="F600" s="75" t="s">
        <v>837</v>
      </c>
      <c r="G600" s="411" t="s">
        <v>1430</v>
      </c>
      <c r="H600" s="66" t="s">
        <v>3288</v>
      </c>
      <c r="I600" s="144">
        <v>2</v>
      </c>
      <c r="J600" s="144">
        <v>4</v>
      </c>
      <c r="K600" s="144">
        <v>2</v>
      </c>
      <c r="L600" s="144">
        <v>2</v>
      </c>
      <c r="M600" s="144">
        <v>2</v>
      </c>
      <c r="N600" s="144">
        <v>4</v>
      </c>
      <c r="O600" s="412" t="s">
        <v>2168</v>
      </c>
      <c r="P600" s="412" t="s">
        <v>3032</v>
      </c>
      <c r="Q600" s="413"/>
      <c r="R600" s="211">
        <v>35612</v>
      </c>
      <c r="S600" s="414"/>
      <c r="T600" s="415">
        <v>1</v>
      </c>
      <c r="U600" s="62">
        <v>1</v>
      </c>
      <c r="V600" s="62"/>
      <c r="W600" s="62"/>
      <c r="X600" s="62"/>
      <c r="Y600" s="62"/>
      <c r="Z600" s="62"/>
      <c r="AA600" s="62"/>
      <c r="AB600" s="62">
        <v>1</v>
      </c>
    </row>
    <row r="601" spans="1:28" ht="15.6" customHeight="1" x14ac:dyDescent="0.2">
      <c r="A601" s="408">
        <v>600</v>
      </c>
      <c r="B601" s="409" t="str">
        <f t="shared" si="9"/>
        <v>Osyris compressa</v>
      </c>
      <c r="C601" s="410" t="s">
        <v>2062</v>
      </c>
      <c r="D601" s="75" t="s">
        <v>289</v>
      </c>
      <c r="E601" s="75" t="s">
        <v>2063</v>
      </c>
      <c r="F601" s="75" t="s">
        <v>2064</v>
      </c>
      <c r="G601" s="411" t="s">
        <v>1431</v>
      </c>
      <c r="H601" s="66" t="s">
        <v>3227</v>
      </c>
      <c r="I601" s="144">
        <v>2</v>
      </c>
      <c r="J601" s="144">
        <v>3</v>
      </c>
      <c r="K601" s="144">
        <v>2</v>
      </c>
      <c r="L601" s="144">
        <v>1</v>
      </c>
      <c r="M601" s="144">
        <v>2</v>
      </c>
      <c r="N601" s="144">
        <v>3</v>
      </c>
      <c r="O601" s="412" t="s">
        <v>2168</v>
      </c>
      <c r="P601" s="412" t="s">
        <v>3032</v>
      </c>
      <c r="Q601" s="413"/>
      <c r="R601" s="211">
        <v>35612</v>
      </c>
      <c r="S601" s="414"/>
      <c r="T601" s="415">
        <v>1</v>
      </c>
      <c r="U601" s="62">
        <v>1</v>
      </c>
      <c r="V601" s="62">
        <v>1</v>
      </c>
      <c r="W601" s="62"/>
      <c r="X601" s="62"/>
      <c r="Y601" s="62"/>
      <c r="Z601" s="62"/>
      <c r="AA601" s="62"/>
      <c r="AB601" s="62"/>
    </row>
    <row r="602" spans="1:28" ht="15.6" customHeight="1" x14ac:dyDescent="0.2">
      <c r="A602" s="408">
        <v>601</v>
      </c>
      <c r="B602" s="409" t="str">
        <f t="shared" si="9"/>
        <v>Osyris speciosa</v>
      </c>
      <c r="C602" s="410" t="s">
        <v>2062</v>
      </c>
      <c r="E602" s="75" t="s">
        <v>2063</v>
      </c>
      <c r="F602" s="75" t="s">
        <v>1779</v>
      </c>
      <c r="G602" s="411" t="s">
        <v>1432</v>
      </c>
      <c r="H602" s="66" t="s">
        <v>3258</v>
      </c>
      <c r="I602" s="144">
        <v>2</v>
      </c>
      <c r="J602" s="144">
        <v>4</v>
      </c>
      <c r="K602" s="144">
        <v>2</v>
      </c>
      <c r="L602" s="144">
        <v>1</v>
      </c>
      <c r="M602" s="144">
        <v>2</v>
      </c>
      <c r="N602" s="144">
        <v>3</v>
      </c>
      <c r="O602" s="412" t="s">
        <v>2914</v>
      </c>
      <c r="P602" s="412" t="s">
        <v>3032</v>
      </c>
      <c r="Q602" s="413"/>
      <c r="R602" s="211">
        <v>36800</v>
      </c>
      <c r="S602" s="414"/>
      <c r="T602" s="415">
        <v>1</v>
      </c>
      <c r="U602" s="62"/>
      <c r="V602" s="62"/>
      <c r="W602" s="62"/>
      <c r="X602" s="62">
        <v>1</v>
      </c>
      <c r="Y602" s="62"/>
      <c r="Z602" s="62"/>
      <c r="AA602" s="62"/>
      <c r="AB602" s="62"/>
    </row>
    <row r="603" spans="1:28" ht="15.6" customHeight="1" x14ac:dyDescent="0.2">
      <c r="A603" s="408">
        <v>602</v>
      </c>
      <c r="B603" s="409" t="str">
        <f t="shared" si="9"/>
        <v>Thesidium fragile</v>
      </c>
      <c r="C603" s="410" t="s">
        <v>2062</v>
      </c>
      <c r="E603" s="75" t="s">
        <v>2065</v>
      </c>
      <c r="F603" s="75" t="s">
        <v>2066</v>
      </c>
      <c r="G603" s="411" t="s">
        <v>1433</v>
      </c>
      <c r="H603" s="66" t="s">
        <v>3317</v>
      </c>
      <c r="I603" s="144">
        <v>2</v>
      </c>
      <c r="J603" s="144">
        <v>6</v>
      </c>
      <c r="K603" s="144">
        <v>0</v>
      </c>
      <c r="L603" s="144">
        <v>7</v>
      </c>
      <c r="M603" s="144">
        <v>0</v>
      </c>
      <c r="N603" s="144">
        <v>0</v>
      </c>
      <c r="O603" s="412" t="s">
        <v>2181</v>
      </c>
      <c r="P603" s="412" t="s">
        <v>3032</v>
      </c>
      <c r="Q603" s="413"/>
      <c r="R603" s="211">
        <v>36951</v>
      </c>
      <c r="S603" s="414"/>
      <c r="T603" s="415">
        <v>1</v>
      </c>
      <c r="U603" s="62">
        <v>1</v>
      </c>
      <c r="V603" s="62"/>
      <c r="W603" s="62"/>
      <c r="X603" s="62"/>
      <c r="Y603" s="62"/>
      <c r="Z603" s="62"/>
      <c r="AA603" s="62"/>
      <c r="AB603" s="62"/>
    </row>
    <row r="604" spans="1:28" ht="15.6" customHeight="1" x14ac:dyDescent="0.2">
      <c r="A604" s="408">
        <v>603</v>
      </c>
      <c r="B604" s="409" t="str">
        <f t="shared" si="9"/>
        <v>Thesium capitatum</v>
      </c>
      <c r="C604" s="410" t="s">
        <v>2062</v>
      </c>
      <c r="D604" s="75" t="s">
        <v>290</v>
      </c>
      <c r="E604" s="75" t="s">
        <v>2067</v>
      </c>
      <c r="F604" s="75" t="s">
        <v>1572</v>
      </c>
      <c r="G604" s="411" t="s">
        <v>1434</v>
      </c>
      <c r="H604" s="66" t="s">
        <v>3215</v>
      </c>
      <c r="I604" s="144">
        <v>2</v>
      </c>
      <c r="J604" s="144">
        <v>6</v>
      </c>
      <c r="K604" s="144">
        <v>2</v>
      </c>
      <c r="L604" s="144">
        <v>2</v>
      </c>
      <c r="M604" s="144">
        <v>2</v>
      </c>
      <c r="N604" s="144">
        <v>5</v>
      </c>
      <c r="O604" s="412" t="s">
        <v>3031</v>
      </c>
      <c r="P604" s="412" t="s">
        <v>3032</v>
      </c>
      <c r="Q604" s="413"/>
      <c r="R604" s="211">
        <v>35612</v>
      </c>
      <c r="S604" s="414" t="s">
        <v>2250</v>
      </c>
      <c r="T604" s="415"/>
      <c r="U604" s="62"/>
      <c r="V604" s="62">
        <v>1</v>
      </c>
      <c r="W604" s="62"/>
      <c r="X604" s="62">
        <v>1</v>
      </c>
      <c r="Y604" s="62"/>
      <c r="Z604" s="62"/>
      <c r="AA604" s="62"/>
      <c r="AB604" s="62"/>
    </row>
    <row r="605" spans="1:28" ht="15.6" customHeight="1" x14ac:dyDescent="0.2">
      <c r="A605" s="408">
        <v>604</v>
      </c>
      <c r="B605" s="409" t="str">
        <f t="shared" si="9"/>
        <v>Thesium capituliflorum</v>
      </c>
      <c r="C605" s="410" t="s">
        <v>2062</v>
      </c>
      <c r="E605" s="75" t="s">
        <v>2067</v>
      </c>
      <c r="F605" s="75" t="s">
        <v>2068</v>
      </c>
      <c r="G605" s="411" t="s">
        <v>537</v>
      </c>
      <c r="H605" s="66" t="s">
        <v>3318</v>
      </c>
      <c r="I605" s="144">
        <v>2</v>
      </c>
      <c r="J605" s="144">
        <v>6</v>
      </c>
      <c r="K605" s="144">
        <v>2</v>
      </c>
      <c r="L605" s="144">
        <v>6</v>
      </c>
      <c r="M605" s="144">
        <v>2</v>
      </c>
      <c r="N605" s="144">
        <v>6</v>
      </c>
      <c r="O605" s="412" t="s">
        <v>3031</v>
      </c>
      <c r="P605" s="412" t="s">
        <v>3032</v>
      </c>
      <c r="Q605" s="413"/>
      <c r="R605" s="211">
        <v>37012</v>
      </c>
      <c r="S605" s="414"/>
      <c r="T605" s="415">
        <v>1</v>
      </c>
      <c r="U605" s="62">
        <v>1</v>
      </c>
      <c r="V605" s="62"/>
      <c r="W605" s="62"/>
      <c r="X605" s="62"/>
      <c r="Y605" s="62"/>
      <c r="Z605" s="62"/>
      <c r="AA605" s="62"/>
      <c r="AB605" s="62"/>
    </row>
    <row r="606" spans="1:28" ht="15.6" customHeight="1" x14ac:dyDescent="0.2">
      <c r="A606" s="408">
        <v>605</v>
      </c>
      <c r="B606" s="409" t="str">
        <f t="shared" si="9"/>
        <v>Thesium commutatum</v>
      </c>
      <c r="C606" s="410" t="s">
        <v>2062</v>
      </c>
      <c r="E606" s="75" t="s">
        <v>2067</v>
      </c>
      <c r="F606" s="75" t="s">
        <v>2069</v>
      </c>
      <c r="G606" s="411" t="s">
        <v>1435</v>
      </c>
      <c r="H606" s="66" t="s">
        <v>3215</v>
      </c>
      <c r="I606" s="144">
        <v>2</v>
      </c>
      <c r="J606" s="144">
        <v>6</v>
      </c>
      <c r="K606" s="144">
        <v>2</v>
      </c>
      <c r="L606" s="144">
        <v>3</v>
      </c>
      <c r="M606" s="144">
        <v>2</v>
      </c>
      <c r="N606" s="144">
        <v>4</v>
      </c>
      <c r="O606" s="412" t="s">
        <v>3031</v>
      </c>
      <c r="P606" s="412" t="s">
        <v>3032</v>
      </c>
      <c r="Q606" s="413"/>
      <c r="R606" s="211">
        <v>35612</v>
      </c>
      <c r="S606" s="414"/>
      <c r="T606" s="415">
        <v>1</v>
      </c>
      <c r="U606" s="62">
        <v>1</v>
      </c>
      <c r="V606" s="62"/>
      <c r="W606" s="62"/>
      <c r="X606" s="62">
        <v>1</v>
      </c>
      <c r="Y606" s="62"/>
      <c r="Z606" s="62"/>
      <c r="AA606" s="62"/>
      <c r="AB606" s="62"/>
    </row>
    <row r="607" spans="1:28" ht="15.6" customHeight="1" x14ac:dyDescent="0.2">
      <c r="A607" s="408">
        <v>606</v>
      </c>
      <c r="B607" s="409" t="str">
        <f t="shared" si="9"/>
        <v>Thesium euphrasioides</v>
      </c>
      <c r="C607" s="410" t="s">
        <v>2062</v>
      </c>
      <c r="E607" s="75" t="s">
        <v>2067</v>
      </c>
      <c r="F607" s="75" t="s">
        <v>2070</v>
      </c>
      <c r="G607" s="411" t="s">
        <v>1436</v>
      </c>
      <c r="H607" s="66" t="s">
        <v>3215</v>
      </c>
      <c r="I607" s="144">
        <v>2</v>
      </c>
      <c r="J607" s="144">
        <v>6</v>
      </c>
      <c r="K607" s="144">
        <v>2</v>
      </c>
      <c r="L607" s="144">
        <v>3</v>
      </c>
      <c r="M607" s="144">
        <v>2</v>
      </c>
      <c r="N607" s="144">
        <v>5</v>
      </c>
      <c r="O607" s="412" t="s">
        <v>3031</v>
      </c>
      <c r="P607" s="412" t="s">
        <v>3032</v>
      </c>
      <c r="Q607" s="413"/>
      <c r="R607" s="211">
        <v>35612</v>
      </c>
      <c r="S607" s="414"/>
      <c r="T607" s="415">
        <v>1</v>
      </c>
      <c r="U607" s="62"/>
      <c r="V607" s="62">
        <v>1</v>
      </c>
      <c r="W607" s="62"/>
      <c r="X607" s="62">
        <v>1</v>
      </c>
      <c r="Y607" s="62"/>
      <c r="Z607" s="62"/>
      <c r="AA607" s="62"/>
      <c r="AB607" s="62"/>
    </row>
    <row r="608" spans="1:28" ht="15.6" customHeight="1" x14ac:dyDescent="0.2">
      <c r="A608" s="408">
        <v>607</v>
      </c>
      <c r="B608" s="409" t="str">
        <f t="shared" si="9"/>
        <v>Thesium funale</v>
      </c>
      <c r="C608" s="410" t="s">
        <v>2062</v>
      </c>
      <c r="E608" s="75" t="s">
        <v>2067</v>
      </c>
      <c r="F608" s="75" t="s">
        <v>2071</v>
      </c>
      <c r="G608" s="411" t="s">
        <v>1487</v>
      </c>
      <c r="H608" s="66" t="s">
        <v>3215</v>
      </c>
      <c r="I608" s="144">
        <v>2</v>
      </c>
      <c r="J608" s="144">
        <v>6</v>
      </c>
      <c r="K608" s="144">
        <v>2</v>
      </c>
      <c r="L608" s="144">
        <v>3</v>
      </c>
      <c r="M608" s="144">
        <v>2</v>
      </c>
      <c r="N608" s="144">
        <v>5</v>
      </c>
      <c r="O608" s="412" t="s">
        <v>3031</v>
      </c>
      <c r="P608" s="412" t="s">
        <v>3032</v>
      </c>
      <c r="Q608" s="413"/>
      <c r="R608" s="211">
        <v>35612</v>
      </c>
      <c r="S608" s="414"/>
      <c r="T608" s="415">
        <v>1</v>
      </c>
      <c r="U608" s="62">
        <v>1</v>
      </c>
      <c r="V608" s="62"/>
      <c r="W608" s="62"/>
      <c r="X608" s="62">
        <v>1</v>
      </c>
      <c r="Y608" s="62"/>
      <c r="Z608" s="62"/>
      <c r="AA608" s="62"/>
      <c r="AB608" s="62"/>
    </row>
    <row r="609" spans="1:28" ht="15.6" customHeight="1" x14ac:dyDescent="0.2">
      <c r="A609" s="408">
        <v>608</v>
      </c>
      <c r="B609" s="409" t="str">
        <f t="shared" si="9"/>
        <v>Thesium nigromontanum</v>
      </c>
      <c r="C609" s="410" t="s">
        <v>2062</v>
      </c>
      <c r="E609" s="75" t="s">
        <v>2067</v>
      </c>
      <c r="F609" s="75" t="s">
        <v>2072</v>
      </c>
      <c r="G609" s="411" t="s">
        <v>1488</v>
      </c>
      <c r="H609" s="66" t="s">
        <v>3318</v>
      </c>
      <c r="I609" s="144">
        <v>2</v>
      </c>
      <c r="J609" s="144">
        <v>6</v>
      </c>
      <c r="K609" s="144">
        <v>2</v>
      </c>
      <c r="L609" s="144">
        <v>6</v>
      </c>
      <c r="M609" s="144">
        <v>2</v>
      </c>
      <c r="N609" s="144">
        <v>6</v>
      </c>
      <c r="O609" s="412" t="s">
        <v>2168</v>
      </c>
      <c r="P609" s="412" t="s">
        <v>3032</v>
      </c>
      <c r="Q609" s="413"/>
      <c r="R609" s="211">
        <v>35612</v>
      </c>
      <c r="S609" s="414"/>
      <c r="T609" s="415">
        <v>1</v>
      </c>
      <c r="U609" s="62"/>
      <c r="V609" s="62">
        <v>1</v>
      </c>
      <c r="W609" s="62"/>
      <c r="X609" s="62"/>
      <c r="Y609" s="62"/>
      <c r="Z609" s="62"/>
      <c r="AA609" s="62"/>
      <c r="AB609" s="62"/>
    </row>
    <row r="610" spans="1:28" ht="15.6" customHeight="1" x14ac:dyDescent="0.2">
      <c r="A610" s="408">
        <v>609</v>
      </c>
      <c r="B610" s="409" t="str">
        <f t="shared" si="9"/>
        <v>Thesium scabrum</v>
      </c>
      <c r="C610" s="410" t="s">
        <v>2062</v>
      </c>
      <c r="E610" s="75" t="s">
        <v>2067</v>
      </c>
      <c r="F610" s="75" t="s">
        <v>1816</v>
      </c>
      <c r="G610" s="411" t="s">
        <v>1489</v>
      </c>
      <c r="H610" s="66" t="s">
        <v>3248</v>
      </c>
      <c r="I610" s="144">
        <v>2</v>
      </c>
      <c r="J610" s="144">
        <v>5</v>
      </c>
      <c r="K610" s="144">
        <v>3</v>
      </c>
      <c r="L610" s="144">
        <v>3</v>
      </c>
      <c r="M610" s="144">
        <v>2</v>
      </c>
      <c r="N610" s="144">
        <v>5</v>
      </c>
      <c r="O610" s="412" t="s">
        <v>3031</v>
      </c>
      <c r="P610" s="412" t="s">
        <v>3032</v>
      </c>
      <c r="Q610" s="413"/>
      <c r="R610" s="211">
        <v>35612</v>
      </c>
      <c r="S610" s="414"/>
      <c r="T610" s="415">
        <v>1</v>
      </c>
      <c r="U610" s="62">
        <v>1</v>
      </c>
      <c r="V610" s="62"/>
      <c r="W610" s="62"/>
      <c r="X610" s="62">
        <v>1</v>
      </c>
      <c r="Y610" s="62"/>
      <c r="Z610" s="62"/>
      <c r="AA610" s="62"/>
      <c r="AB610" s="62"/>
    </row>
    <row r="611" spans="1:28" ht="15.6" customHeight="1" x14ac:dyDescent="0.2">
      <c r="A611" s="408">
        <v>610</v>
      </c>
      <c r="B611" s="409" t="str">
        <f t="shared" si="9"/>
        <v>Thesium spicatum</v>
      </c>
      <c r="C611" s="410" t="s">
        <v>2062</v>
      </c>
      <c r="D611" s="75" t="s">
        <v>291</v>
      </c>
      <c r="E611" s="75" t="s">
        <v>2067</v>
      </c>
      <c r="F611" s="75" t="s">
        <v>2073</v>
      </c>
      <c r="G611" s="411" t="s">
        <v>1490</v>
      </c>
      <c r="H611" s="66" t="s">
        <v>3318</v>
      </c>
      <c r="I611" s="144">
        <v>2</v>
      </c>
      <c r="J611" s="144">
        <v>6</v>
      </c>
      <c r="K611" s="144">
        <v>2</v>
      </c>
      <c r="L611" s="144">
        <v>6</v>
      </c>
      <c r="M611" s="144">
        <v>2</v>
      </c>
      <c r="N611" s="144">
        <v>6</v>
      </c>
      <c r="O611" s="412" t="s">
        <v>2168</v>
      </c>
      <c r="P611" s="412" t="s">
        <v>3032</v>
      </c>
      <c r="Q611" s="413"/>
      <c r="R611" s="211">
        <v>35612</v>
      </c>
      <c r="S611" s="414"/>
      <c r="T611" s="415">
        <v>1</v>
      </c>
      <c r="U611" s="62"/>
      <c r="V611" s="62"/>
      <c r="W611" s="62">
        <v>1</v>
      </c>
      <c r="X611" s="62">
        <v>1</v>
      </c>
      <c r="Y611" s="62"/>
      <c r="Z611" s="62"/>
      <c r="AA611" s="62"/>
      <c r="AB611" s="62"/>
    </row>
    <row r="612" spans="1:28" ht="15.6" customHeight="1" x14ac:dyDescent="0.2">
      <c r="A612" s="408">
        <v>611</v>
      </c>
      <c r="B612" s="409" t="str">
        <f t="shared" si="9"/>
        <v>Thesium strictum</v>
      </c>
      <c r="C612" s="410" t="s">
        <v>2062</v>
      </c>
      <c r="D612" s="75" t="s">
        <v>292</v>
      </c>
      <c r="E612" s="75" t="s">
        <v>2067</v>
      </c>
      <c r="F612" s="75" t="s">
        <v>2074</v>
      </c>
      <c r="G612" s="411" t="s">
        <v>1491</v>
      </c>
      <c r="H612" s="66" t="s">
        <v>3249</v>
      </c>
      <c r="I612" s="144">
        <v>2</v>
      </c>
      <c r="J612" s="144">
        <v>4</v>
      </c>
      <c r="K612" s="144">
        <v>2</v>
      </c>
      <c r="L612" s="144">
        <v>3</v>
      </c>
      <c r="M612" s="144">
        <v>2</v>
      </c>
      <c r="N612" s="144">
        <v>4</v>
      </c>
      <c r="O612" s="412" t="s">
        <v>3031</v>
      </c>
      <c r="P612" s="412" t="s">
        <v>3032</v>
      </c>
      <c r="Q612" s="413"/>
      <c r="R612" s="211">
        <v>35612</v>
      </c>
      <c r="S612" s="414"/>
      <c r="T612" s="415">
        <v>1</v>
      </c>
      <c r="U612" s="62"/>
      <c r="V612" s="62"/>
      <c r="W612" s="62">
        <v>1</v>
      </c>
      <c r="X612" s="62">
        <v>1</v>
      </c>
      <c r="Y612" s="62"/>
      <c r="Z612" s="62"/>
      <c r="AA612" s="62"/>
      <c r="AB612" s="62"/>
    </row>
    <row r="613" spans="1:28" ht="15.6" customHeight="1" x14ac:dyDescent="0.2">
      <c r="A613" s="408">
        <v>612</v>
      </c>
      <c r="B613" s="409" t="str">
        <f t="shared" si="9"/>
        <v>Sideroxylon inerme</v>
      </c>
      <c r="C613" s="410" t="s">
        <v>2075</v>
      </c>
      <c r="D613" s="75" t="s">
        <v>293</v>
      </c>
      <c r="E613" s="75" t="s">
        <v>2076</v>
      </c>
      <c r="F613" s="75" t="s">
        <v>2077</v>
      </c>
      <c r="G613" s="411" t="s">
        <v>1492</v>
      </c>
      <c r="H613" s="66" t="s">
        <v>3280</v>
      </c>
      <c r="I613" s="144">
        <v>1</v>
      </c>
      <c r="J613" s="144">
        <v>2</v>
      </c>
      <c r="K613" s="144">
        <v>2</v>
      </c>
      <c r="L613" s="144">
        <v>1</v>
      </c>
      <c r="M613" s="144">
        <v>2</v>
      </c>
      <c r="N613" s="144">
        <v>2</v>
      </c>
      <c r="O613" s="412" t="s">
        <v>2173</v>
      </c>
      <c r="P613" s="412" t="s">
        <v>3032</v>
      </c>
      <c r="Q613" s="413"/>
      <c r="R613" s="211">
        <v>35612</v>
      </c>
      <c r="S613" s="414"/>
      <c r="T613" s="415">
        <v>1</v>
      </c>
      <c r="U613" s="62"/>
      <c r="V613" s="62"/>
      <c r="W613" s="62"/>
      <c r="X613" s="62"/>
      <c r="Y613" s="62">
        <v>1</v>
      </c>
      <c r="Z613" s="62">
        <v>1</v>
      </c>
      <c r="AA613" s="62"/>
      <c r="AB613" s="62"/>
    </row>
    <row r="614" spans="1:28" ht="15.6" customHeight="1" x14ac:dyDescent="0.2">
      <c r="A614" s="408">
        <v>613</v>
      </c>
      <c r="B614" s="409" t="str">
        <f t="shared" si="9"/>
        <v>Schizaea pectinata</v>
      </c>
      <c r="C614" s="410" t="s">
        <v>2078</v>
      </c>
      <c r="E614" s="75" t="s">
        <v>2079</v>
      </c>
      <c r="F614" s="75" t="s">
        <v>745</v>
      </c>
      <c r="G614" s="411" t="s">
        <v>1493</v>
      </c>
      <c r="H614" s="66" t="s">
        <v>3312</v>
      </c>
      <c r="I614" s="144">
        <v>5</v>
      </c>
      <c r="J614" s="144">
        <v>6</v>
      </c>
      <c r="K614" s="144">
        <v>0</v>
      </c>
      <c r="L614" s="144">
        <v>7</v>
      </c>
      <c r="M614" s="144">
        <v>0</v>
      </c>
      <c r="N614" s="144">
        <v>0</v>
      </c>
      <c r="O614" s="412" t="s">
        <v>2171</v>
      </c>
      <c r="P614" s="412" t="s">
        <v>3032</v>
      </c>
      <c r="Q614" s="413"/>
      <c r="R614" s="211">
        <v>35612</v>
      </c>
      <c r="S614" s="414"/>
      <c r="T614" s="415">
        <v>1</v>
      </c>
      <c r="U614" s="62"/>
      <c r="V614" s="62"/>
      <c r="W614" s="62"/>
      <c r="X614" s="62">
        <v>1</v>
      </c>
      <c r="Y614" s="62"/>
      <c r="Z614" s="62"/>
      <c r="AA614" s="62"/>
      <c r="AB614" s="62"/>
    </row>
    <row r="615" spans="1:28" ht="15.6" customHeight="1" x14ac:dyDescent="0.2">
      <c r="A615" s="408">
        <v>614</v>
      </c>
      <c r="B615" s="409" t="str">
        <f t="shared" si="9"/>
        <v>Dischisma ciliatum</v>
      </c>
      <c r="C615" s="410" t="s">
        <v>2080</v>
      </c>
      <c r="D615" s="75" t="s">
        <v>294</v>
      </c>
      <c r="E615" s="75" t="s">
        <v>2081</v>
      </c>
      <c r="F615" s="75" t="s">
        <v>2082</v>
      </c>
      <c r="G615" s="411" t="s">
        <v>1494</v>
      </c>
      <c r="H615" s="66" t="s">
        <v>3259</v>
      </c>
      <c r="I615" s="144">
        <v>2</v>
      </c>
      <c r="J615" s="144">
        <v>6</v>
      </c>
      <c r="K615" s="144">
        <v>2</v>
      </c>
      <c r="L615" s="144">
        <v>2</v>
      </c>
      <c r="M615" s="144">
        <v>2</v>
      </c>
      <c r="N615" s="144">
        <v>4</v>
      </c>
      <c r="O615" s="412" t="s">
        <v>3031</v>
      </c>
      <c r="P615" s="412" t="s">
        <v>3032</v>
      </c>
      <c r="Q615" s="413"/>
      <c r="R615" s="211">
        <v>35612</v>
      </c>
      <c r="S615" s="414"/>
      <c r="T615" s="415">
        <v>1</v>
      </c>
      <c r="U615" s="62">
        <v>1</v>
      </c>
      <c r="V615" s="62"/>
      <c r="W615" s="62">
        <v>1</v>
      </c>
      <c r="X615" s="62">
        <v>1</v>
      </c>
      <c r="Y615" s="62"/>
      <c r="Z615" s="62"/>
      <c r="AA615" s="62"/>
      <c r="AB615" s="62"/>
    </row>
    <row r="616" spans="1:28" ht="15.6" customHeight="1" x14ac:dyDescent="0.2">
      <c r="A616" s="408">
        <v>615</v>
      </c>
      <c r="B616" s="409" t="str">
        <f t="shared" si="9"/>
        <v>Halleria lucida</v>
      </c>
      <c r="C616" s="410" t="s">
        <v>2080</v>
      </c>
      <c r="D616" s="75" t="s">
        <v>295</v>
      </c>
      <c r="E616" s="75" t="s">
        <v>2083</v>
      </c>
      <c r="F616" s="75" t="s">
        <v>2774</v>
      </c>
      <c r="G616" s="411" t="s">
        <v>1495</v>
      </c>
      <c r="H616" s="66" t="s">
        <v>3319</v>
      </c>
      <c r="I616" s="144">
        <v>2</v>
      </c>
      <c r="J616" s="144">
        <v>3</v>
      </c>
      <c r="K616" s="144">
        <v>2</v>
      </c>
      <c r="L616" s="144">
        <v>3</v>
      </c>
      <c r="M616" s="144">
        <v>2</v>
      </c>
      <c r="N616" s="144">
        <v>1</v>
      </c>
      <c r="O616" s="412" t="s">
        <v>2914</v>
      </c>
      <c r="P616" s="412" t="s">
        <v>3032</v>
      </c>
      <c r="Q616" s="413"/>
      <c r="R616" s="211">
        <v>35490</v>
      </c>
      <c r="S616" s="414" t="s">
        <v>2250</v>
      </c>
      <c r="T616" s="415"/>
      <c r="U616" s="62">
        <v>1</v>
      </c>
      <c r="V616" s="62"/>
      <c r="W616" s="62"/>
      <c r="X616" s="62"/>
      <c r="Y616" s="62"/>
      <c r="Z616" s="62">
        <v>1</v>
      </c>
      <c r="AA616" s="62"/>
      <c r="AB616" s="62"/>
    </row>
    <row r="617" spans="1:28" ht="15.6" customHeight="1" x14ac:dyDescent="0.2">
      <c r="A617" s="408">
        <v>616</v>
      </c>
      <c r="B617" s="409" t="str">
        <f t="shared" si="9"/>
        <v>Hebenstretia dentata</v>
      </c>
      <c r="C617" s="410" t="s">
        <v>2080</v>
      </c>
      <c r="D617" s="75" t="s">
        <v>296</v>
      </c>
      <c r="E617" s="75" t="s">
        <v>2152</v>
      </c>
      <c r="F617" s="75" t="s">
        <v>712</v>
      </c>
      <c r="G617" s="411" t="s">
        <v>1496</v>
      </c>
      <c r="H617" s="66" t="s">
        <v>3246</v>
      </c>
      <c r="I617" s="144">
        <v>6</v>
      </c>
      <c r="J617" s="144">
        <v>6</v>
      </c>
      <c r="K617" s="144">
        <v>3</v>
      </c>
      <c r="L617" s="144">
        <v>2</v>
      </c>
      <c r="M617" s="144">
        <v>1</v>
      </c>
      <c r="N617" s="144">
        <v>3</v>
      </c>
      <c r="O617" s="412" t="s">
        <v>2910</v>
      </c>
      <c r="P617" s="412" t="s">
        <v>2915</v>
      </c>
      <c r="Q617" s="413"/>
      <c r="R617" s="211">
        <v>37530</v>
      </c>
      <c r="S617" s="414"/>
      <c r="T617" s="415">
        <v>1</v>
      </c>
      <c r="U617" s="62"/>
      <c r="V617" s="62"/>
      <c r="W617" s="62">
        <v>1</v>
      </c>
      <c r="X617" s="62">
        <v>1</v>
      </c>
      <c r="Y617" s="62"/>
      <c r="Z617" s="62"/>
      <c r="AA617" s="62"/>
      <c r="AB617" s="62"/>
    </row>
    <row r="618" spans="1:28" ht="15.6" customHeight="1" x14ac:dyDescent="0.2">
      <c r="A618" s="408">
        <v>617</v>
      </c>
      <c r="B618" s="409" t="str">
        <f t="shared" si="9"/>
        <v>Hemimeris racemosa</v>
      </c>
      <c r="C618" s="410" t="s">
        <v>2080</v>
      </c>
      <c r="E618" s="75" t="s">
        <v>2153</v>
      </c>
      <c r="F618" s="75" t="s">
        <v>1031</v>
      </c>
      <c r="G618" s="411" t="s">
        <v>1497</v>
      </c>
      <c r="H618" s="66" t="s">
        <v>3261</v>
      </c>
      <c r="I618" s="144">
        <v>6</v>
      </c>
      <c r="J618" s="144">
        <v>6</v>
      </c>
      <c r="K618" s="144">
        <v>3</v>
      </c>
      <c r="L618" s="144">
        <v>1</v>
      </c>
      <c r="M618" s="144">
        <v>1</v>
      </c>
      <c r="N618" s="144">
        <v>5</v>
      </c>
      <c r="O618" s="412" t="s">
        <v>2910</v>
      </c>
      <c r="P618" s="412" t="s">
        <v>2915</v>
      </c>
      <c r="Q618" s="413" t="s">
        <v>3144</v>
      </c>
      <c r="R618" s="211">
        <v>37165</v>
      </c>
      <c r="S618" s="414"/>
      <c r="T618" s="415">
        <v>1</v>
      </c>
      <c r="U618" s="62"/>
      <c r="V618" s="62"/>
      <c r="W618" s="62"/>
      <c r="X618" s="62">
        <v>1</v>
      </c>
      <c r="Y618" s="62"/>
      <c r="Z618" s="62"/>
      <c r="AA618" s="62"/>
      <c r="AB618" s="62"/>
    </row>
    <row r="619" spans="1:28" ht="15.6" customHeight="1" x14ac:dyDescent="0.2">
      <c r="A619" s="408">
        <v>618</v>
      </c>
      <c r="B619" s="409" t="str">
        <f t="shared" si="9"/>
        <v>Hemimeris sabulosa</v>
      </c>
      <c r="C619" s="410" t="s">
        <v>2080</v>
      </c>
      <c r="E619" s="75" t="s">
        <v>2153</v>
      </c>
      <c r="F619" s="75" t="s">
        <v>2154</v>
      </c>
      <c r="G619" s="411" t="s">
        <v>1498</v>
      </c>
      <c r="H619" s="66" t="s">
        <v>3261</v>
      </c>
      <c r="I619" s="144">
        <v>6</v>
      </c>
      <c r="J619" s="144">
        <v>6</v>
      </c>
      <c r="K619" s="144">
        <v>3</v>
      </c>
      <c r="L619" s="144">
        <v>4</v>
      </c>
      <c r="M619" s="144">
        <v>1</v>
      </c>
      <c r="N619" s="144">
        <v>4</v>
      </c>
      <c r="O619" s="412" t="s">
        <v>2910</v>
      </c>
      <c r="P619" s="412" t="s">
        <v>2915</v>
      </c>
      <c r="Q619" s="413"/>
      <c r="R619" s="211">
        <v>37165</v>
      </c>
      <c r="S619" s="414"/>
      <c r="T619" s="415">
        <v>1</v>
      </c>
      <c r="U619" s="62">
        <v>1</v>
      </c>
      <c r="V619" s="62"/>
      <c r="W619" s="62"/>
      <c r="X619" s="62"/>
      <c r="Y619" s="62"/>
      <c r="Z619" s="62"/>
      <c r="AA619" s="62"/>
      <c r="AB619" s="62"/>
    </row>
    <row r="620" spans="1:28" ht="15.6" customHeight="1" x14ac:dyDescent="0.2">
      <c r="A620" s="408">
        <v>619</v>
      </c>
      <c r="B620" s="409" t="str">
        <f t="shared" si="9"/>
        <v>Jamesbrittenia albomarginata</v>
      </c>
      <c r="C620" s="410" t="s">
        <v>2080</v>
      </c>
      <c r="E620" s="75" t="s">
        <v>2183</v>
      </c>
      <c r="F620" s="75" t="s">
        <v>2184</v>
      </c>
      <c r="G620" s="411" t="s">
        <v>1499</v>
      </c>
      <c r="H620" s="66" t="s">
        <v>3215</v>
      </c>
      <c r="I620" s="144">
        <v>2</v>
      </c>
      <c r="J620" s="144">
        <v>6</v>
      </c>
      <c r="K620" s="144">
        <v>3</v>
      </c>
      <c r="L620" s="144">
        <v>3</v>
      </c>
      <c r="M620" s="144">
        <v>1</v>
      </c>
      <c r="N620" s="144">
        <v>5</v>
      </c>
      <c r="O620" s="412" t="s">
        <v>3031</v>
      </c>
      <c r="P620" s="412" t="s">
        <v>3032</v>
      </c>
      <c r="Q620" s="413"/>
      <c r="R620" s="211">
        <v>35612</v>
      </c>
      <c r="S620" s="414"/>
      <c r="T620" s="415">
        <v>1</v>
      </c>
      <c r="U620" s="62">
        <v>1</v>
      </c>
      <c r="V620" s="62">
        <v>1</v>
      </c>
      <c r="W620" s="62">
        <v>1</v>
      </c>
      <c r="X620" s="62"/>
      <c r="Y620" s="62"/>
      <c r="Z620" s="62"/>
      <c r="AA620" s="62"/>
      <c r="AB620" s="62"/>
    </row>
    <row r="621" spans="1:28" ht="15.6" customHeight="1" x14ac:dyDescent="0.2">
      <c r="A621" s="408">
        <v>620</v>
      </c>
      <c r="B621" s="409" t="str">
        <f t="shared" si="9"/>
        <v>Lyperia tristis</v>
      </c>
      <c r="C621" s="410" t="s">
        <v>2080</v>
      </c>
      <c r="E621" s="75" t="s">
        <v>2185</v>
      </c>
      <c r="F621" s="75" t="s">
        <v>2186</v>
      </c>
      <c r="G621" s="411" t="s">
        <v>1500</v>
      </c>
      <c r="H621" s="66" t="s">
        <v>3231</v>
      </c>
      <c r="I621" s="144">
        <v>6</v>
      </c>
      <c r="J621" s="144">
        <v>5</v>
      </c>
      <c r="K621" s="144">
        <v>3</v>
      </c>
      <c r="L621" s="144">
        <v>2</v>
      </c>
      <c r="M621" s="144">
        <v>1</v>
      </c>
      <c r="N621" s="144">
        <v>4</v>
      </c>
      <c r="O621" s="412" t="s">
        <v>2910</v>
      </c>
      <c r="P621" s="412" t="s">
        <v>2915</v>
      </c>
      <c r="Q621" s="413"/>
      <c r="R621" s="211">
        <v>36404</v>
      </c>
      <c r="S621" s="414"/>
      <c r="T621" s="415">
        <v>1</v>
      </c>
      <c r="U621" s="62">
        <v>1</v>
      </c>
      <c r="V621" s="62"/>
      <c r="W621" s="62">
        <v>1</v>
      </c>
      <c r="X621" s="62">
        <v>1</v>
      </c>
      <c r="Y621" s="62"/>
      <c r="Z621" s="62"/>
      <c r="AA621" s="62"/>
      <c r="AB621" s="62"/>
    </row>
    <row r="622" spans="1:28" ht="15.6" customHeight="1" x14ac:dyDescent="0.2">
      <c r="A622" s="408">
        <v>621</v>
      </c>
      <c r="B622" s="409" t="str">
        <f t="shared" si="9"/>
        <v>Manulea caledonica</v>
      </c>
      <c r="C622" s="410" t="s">
        <v>2080</v>
      </c>
      <c r="E622" s="75" t="s">
        <v>2187</v>
      </c>
      <c r="F622" s="75" t="s">
        <v>2188</v>
      </c>
      <c r="G622" s="411" t="s">
        <v>1501</v>
      </c>
      <c r="H622" s="66" t="s">
        <v>3279</v>
      </c>
      <c r="I622" s="144">
        <v>3</v>
      </c>
      <c r="J622" s="144">
        <v>5</v>
      </c>
      <c r="K622" s="144">
        <v>3</v>
      </c>
      <c r="L622" s="144">
        <v>5</v>
      </c>
      <c r="M622" s="144">
        <v>2</v>
      </c>
      <c r="N622" s="144">
        <v>5</v>
      </c>
      <c r="O622" s="412" t="s">
        <v>2910</v>
      </c>
      <c r="P622" s="412" t="s">
        <v>3032</v>
      </c>
      <c r="Q622" s="413"/>
      <c r="R622" s="211">
        <v>36281</v>
      </c>
      <c r="S622" s="414"/>
      <c r="T622" s="415">
        <v>1</v>
      </c>
      <c r="U622" s="62">
        <v>1</v>
      </c>
      <c r="V622" s="62"/>
      <c r="W622" s="62"/>
      <c r="X622" s="62"/>
      <c r="Y622" s="62"/>
      <c r="Z622" s="62"/>
      <c r="AA622" s="62"/>
      <c r="AB622" s="62"/>
    </row>
    <row r="623" spans="1:28" ht="15.6" customHeight="1" x14ac:dyDescent="0.2">
      <c r="A623" s="408">
        <v>622</v>
      </c>
      <c r="B623" s="409" t="str">
        <f t="shared" si="9"/>
        <v>Manulea cheiranthus</v>
      </c>
      <c r="C623" s="410" t="s">
        <v>2080</v>
      </c>
      <c r="E623" s="75" t="s">
        <v>2187</v>
      </c>
      <c r="F623" s="75" t="s">
        <v>2189</v>
      </c>
      <c r="G623" s="411" t="s">
        <v>1502</v>
      </c>
      <c r="H623" s="66" t="s">
        <v>3256</v>
      </c>
      <c r="I623" s="144">
        <v>6</v>
      </c>
      <c r="J623" s="144">
        <v>6</v>
      </c>
      <c r="K623" s="144">
        <v>4</v>
      </c>
      <c r="L623" s="144">
        <v>2</v>
      </c>
      <c r="M623" s="144">
        <v>1</v>
      </c>
      <c r="N623" s="144">
        <v>4</v>
      </c>
      <c r="O623" s="412" t="s">
        <v>2910</v>
      </c>
      <c r="P623" s="412" t="s">
        <v>2915</v>
      </c>
      <c r="Q623" s="413"/>
      <c r="R623" s="211">
        <v>36861</v>
      </c>
      <c r="S623" s="414"/>
      <c r="T623" s="415">
        <v>1</v>
      </c>
      <c r="U623" s="62"/>
      <c r="V623" s="62"/>
      <c r="W623" s="62"/>
      <c r="X623" s="62">
        <v>1</v>
      </c>
      <c r="Y623" s="62"/>
      <c r="Z623" s="62"/>
      <c r="AA623" s="62"/>
      <c r="AB623" s="62"/>
    </row>
    <row r="624" spans="1:28" ht="15.6" customHeight="1" x14ac:dyDescent="0.2">
      <c r="A624" s="408">
        <v>623</v>
      </c>
      <c r="B624" s="409" t="str">
        <f t="shared" si="9"/>
        <v>Manulea rubra</v>
      </c>
      <c r="C624" s="410" t="s">
        <v>2080</v>
      </c>
      <c r="E624" s="75" t="s">
        <v>2187</v>
      </c>
      <c r="F624" s="75" t="s">
        <v>2190</v>
      </c>
      <c r="G624" s="411" t="s">
        <v>1503</v>
      </c>
      <c r="H624" s="66" t="s">
        <v>198</v>
      </c>
      <c r="I624" s="144">
        <v>3</v>
      </c>
      <c r="J624" s="144">
        <v>5</v>
      </c>
      <c r="K624" s="144">
        <v>9</v>
      </c>
      <c r="L624" s="144">
        <v>9</v>
      </c>
      <c r="M624" s="144">
        <v>9</v>
      </c>
      <c r="N624" s="144">
        <v>9</v>
      </c>
      <c r="O624" s="412" t="s">
        <v>2910</v>
      </c>
      <c r="P624" s="412" t="s">
        <v>3032</v>
      </c>
      <c r="Q624" s="413"/>
      <c r="R624" s="211">
        <v>37408</v>
      </c>
      <c r="S624" s="414"/>
      <c r="T624" s="415">
        <v>1</v>
      </c>
      <c r="U624" s="62">
        <v>1</v>
      </c>
      <c r="V624" s="62"/>
      <c r="W624" s="62"/>
      <c r="X624" s="62"/>
      <c r="Y624" s="62"/>
      <c r="Z624" s="62"/>
      <c r="AA624" s="62"/>
      <c r="AB624" s="62"/>
    </row>
    <row r="625" spans="1:28" ht="15.6" customHeight="1" x14ac:dyDescent="0.2">
      <c r="A625" s="408">
        <v>624</v>
      </c>
      <c r="B625" s="409" t="str">
        <f t="shared" si="9"/>
        <v>Manulea tomentosa</v>
      </c>
      <c r="C625" s="410" t="s">
        <v>2080</v>
      </c>
      <c r="E625" s="75" t="s">
        <v>2187</v>
      </c>
      <c r="F625" s="75" t="s">
        <v>2776</v>
      </c>
      <c r="G625" s="411" t="s">
        <v>1504</v>
      </c>
      <c r="H625" s="66" t="s">
        <v>198</v>
      </c>
      <c r="I625" s="144">
        <v>3</v>
      </c>
      <c r="J625" s="144">
        <v>5</v>
      </c>
      <c r="K625" s="144">
        <v>9</v>
      </c>
      <c r="L625" s="144">
        <v>9</v>
      </c>
      <c r="M625" s="144">
        <v>9</v>
      </c>
      <c r="N625" s="144">
        <v>9</v>
      </c>
      <c r="O625" s="412" t="s">
        <v>2910</v>
      </c>
      <c r="P625" s="412" t="s">
        <v>3032</v>
      </c>
      <c r="Q625" s="413"/>
      <c r="R625" s="211">
        <v>35612</v>
      </c>
      <c r="S625" s="414" t="s">
        <v>2250</v>
      </c>
      <c r="T625" s="415"/>
      <c r="U625" s="62">
        <v>1</v>
      </c>
      <c r="V625" s="62"/>
      <c r="W625" s="62"/>
      <c r="X625" s="62">
        <v>1</v>
      </c>
      <c r="Y625" s="62"/>
      <c r="Z625" s="62"/>
      <c r="AA625" s="62"/>
      <c r="AB625" s="62"/>
    </row>
    <row r="626" spans="1:28" ht="15.6" customHeight="1" x14ac:dyDescent="0.2">
      <c r="A626" s="408">
        <v>625</v>
      </c>
      <c r="B626" s="409" t="str">
        <f t="shared" si="9"/>
        <v>Nemesia affinis</v>
      </c>
      <c r="C626" s="410" t="s">
        <v>2080</v>
      </c>
      <c r="D626" s="75" t="s">
        <v>297</v>
      </c>
      <c r="E626" s="75" t="s">
        <v>2191</v>
      </c>
      <c r="F626" s="75" t="s">
        <v>676</v>
      </c>
      <c r="G626" s="411" t="s">
        <v>1505</v>
      </c>
      <c r="H626" s="66" t="s">
        <v>3256</v>
      </c>
      <c r="I626" s="144">
        <v>6</v>
      </c>
      <c r="J626" s="144">
        <v>6</v>
      </c>
      <c r="K626" s="144">
        <v>4</v>
      </c>
      <c r="L626" s="144">
        <v>2</v>
      </c>
      <c r="M626" s="144">
        <v>1</v>
      </c>
      <c r="N626" s="144">
        <v>4</v>
      </c>
      <c r="O626" s="412" t="s">
        <v>2910</v>
      </c>
      <c r="P626" s="412" t="s">
        <v>2915</v>
      </c>
      <c r="Q626" s="413"/>
      <c r="R626" s="211">
        <v>35612</v>
      </c>
      <c r="S626" s="414"/>
      <c r="T626" s="415">
        <v>1</v>
      </c>
      <c r="U626" s="62">
        <v>1</v>
      </c>
      <c r="V626" s="62"/>
      <c r="W626" s="62">
        <v>1</v>
      </c>
      <c r="X626" s="62"/>
      <c r="Y626" s="62">
        <v>1</v>
      </c>
      <c r="Z626" s="62"/>
      <c r="AA626" s="62"/>
      <c r="AB626" s="62"/>
    </row>
    <row r="627" spans="1:28" ht="15.6" customHeight="1" x14ac:dyDescent="0.2">
      <c r="A627" s="408">
        <v>626</v>
      </c>
      <c r="B627" s="409" t="str">
        <f t="shared" si="9"/>
        <v>Nemesia bicornis</v>
      </c>
      <c r="C627" s="410" t="s">
        <v>2080</v>
      </c>
      <c r="D627" s="75" t="s">
        <v>298</v>
      </c>
      <c r="E627" s="75" t="s">
        <v>2191</v>
      </c>
      <c r="F627" s="75" t="s">
        <v>2192</v>
      </c>
      <c r="G627" s="411" t="s">
        <v>1506</v>
      </c>
      <c r="H627" s="66" t="s">
        <v>1871</v>
      </c>
      <c r="I627" s="144">
        <v>6</v>
      </c>
      <c r="J627" s="144">
        <v>5</v>
      </c>
      <c r="K627" s="144">
        <v>9</v>
      </c>
      <c r="L627" s="144">
        <v>9</v>
      </c>
      <c r="M627" s="144">
        <v>9</v>
      </c>
      <c r="N627" s="144">
        <v>9</v>
      </c>
      <c r="O627" s="412" t="s">
        <v>2910</v>
      </c>
      <c r="P627" s="412" t="s">
        <v>2915</v>
      </c>
      <c r="Q627" s="413"/>
      <c r="S627" s="414" t="s">
        <v>2250</v>
      </c>
      <c r="T627" s="415"/>
      <c r="U627" s="62">
        <v>1</v>
      </c>
      <c r="V627" s="62"/>
      <c r="W627" s="62"/>
      <c r="X627" s="62"/>
      <c r="Y627" s="62"/>
      <c r="Z627" s="62"/>
      <c r="AA627" s="62"/>
      <c r="AB627" s="62"/>
    </row>
    <row r="628" spans="1:28" ht="15.6" customHeight="1" x14ac:dyDescent="0.2">
      <c r="A628" s="408">
        <v>627</v>
      </c>
      <c r="B628" s="409" t="str">
        <f t="shared" si="9"/>
        <v>Nemesia diffusa</v>
      </c>
      <c r="C628" s="410" t="s">
        <v>2080</v>
      </c>
      <c r="E628" s="75" t="s">
        <v>2191</v>
      </c>
      <c r="F628" s="75" t="s">
        <v>2193</v>
      </c>
      <c r="G628" s="411" t="s">
        <v>1507</v>
      </c>
      <c r="H628" s="66" t="s">
        <v>3264</v>
      </c>
      <c r="I628" s="144">
        <v>3</v>
      </c>
      <c r="J628" s="144">
        <v>6</v>
      </c>
      <c r="K628" s="144">
        <v>4</v>
      </c>
      <c r="L628" s="144">
        <v>2</v>
      </c>
      <c r="M628" s="144">
        <v>1</v>
      </c>
      <c r="N628" s="144">
        <v>4</v>
      </c>
      <c r="O628" s="412" t="s">
        <v>2910</v>
      </c>
      <c r="P628" s="412" t="s">
        <v>3032</v>
      </c>
      <c r="Q628" s="413"/>
      <c r="R628" s="211">
        <v>37316</v>
      </c>
      <c r="S628" s="414"/>
      <c r="T628" s="415">
        <v>1</v>
      </c>
      <c r="U628" s="429"/>
      <c r="V628" s="62"/>
      <c r="W628" s="62"/>
      <c r="X628" s="62"/>
      <c r="Y628" s="62"/>
      <c r="Z628" s="62"/>
      <c r="AA628" s="62"/>
      <c r="AB628" s="62"/>
    </row>
    <row r="629" spans="1:28" ht="15.6" customHeight="1" x14ac:dyDescent="0.2">
      <c r="A629" s="408">
        <v>628</v>
      </c>
      <c r="B629" s="409" t="str">
        <f t="shared" si="9"/>
        <v>Pseudoselago spuria</v>
      </c>
      <c r="C629" s="410" t="s">
        <v>2080</v>
      </c>
      <c r="E629" s="75" t="s">
        <v>2194</v>
      </c>
      <c r="F629" s="75" t="s">
        <v>2195</v>
      </c>
      <c r="G629" s="411" t="s">
        <v>1508</v>
      </c>
      <c r="H629" s="66" t="s">
        <v>3320</v>
      </c>
      <c r="I629" s="144">
        <v>3</v>
      </c>
      <c r="J629" s="144">
        <v>5</v>
      </c>
      <c r="K629" s="144">
        <v>3</v>
      </c>
      <c r="L629" s="144">
        <v>2</v>
      </c>
      <c r="M629" s="144">
        <v>2</v>
      </c>
      <c r="N629" s="144">
        <v>4</v>
      </c>
      <c r="O629" s="412" t="s">
        <v>2910</v>
      </c>
      <c r="P629" s="412" t="s">
        <v>3032</v>
      </c>
      <c r="Q629" s="413"/>
      <c r="R629" s="211">
        <v>35612</v>
      </c>
      <c r="S629" s="431" t="s">
        <v>257</v>
      </c>
      <c r="T629" s="145">
        <v>1</v>
      </c>
      <c r="U629" s="62">
        <v>1</v>
      </c>
      <c r="V629" s="62"/>
      <c r="W629" s="62">
        <v>1</v>
      </c>
      <c r="X629" s="62"/>
      <c r="Y629" s="62"/>
      <c r="Z629" s="62"/>
      <c r="AA629" s="62"/>
      <c r="AB629" s="62"/>
    </row>
    <row r="630" spans="1:28" ht="15.6" customHeight="1" x14ac:dyDescent="0.2">
      <c r="A630" s="408">
        <v>629</v>
      </c>
      <c r="B630" s="409" t="str">
        <f t="shared" si="9"/>
        <v>Selago aspera</v>
      </c>
      <c r="C630" s="410" t="s">
        <v>2080</v>
      </c>
      <c r="E630" s="75" t="s">
        <v>2196</v>
      </c>
      <c r="F630" s="75" t="s">
        <v>1631</v>
      </c>
      <c r="G630" s="411" t="s">
        <v>1875</v>
      </c>
      <c r="H630" s="66" t="s">
        <v>3318</v>
      </c>
      <c r="I630" s="144">
        <v>2</v>
      </c>
      <c r="J630" s="144">
        <v>6</v>
      </c>
      <c r="K630" s="144">
        <v>2</v>
      </c>
      <c r="L630" s="144">
        <v>3</v>
      </c>
      <c r="M630" s="144">
        <v>2</v>
      </c>
      <c r="N630" s="144">
        <v>6</v>
      </c>
      <c r="O630" s="412" t="s">
        <v>3031</v>
      </c>
      <c r="P630" s="412" t="s">
        <v>3032</v>
      </c>
      <c r="Q630" s="413"/>
      <c r="R630" s="211">
        <v>35612</v>
      </c>
      <c r="S630" s="414"/>
      <c r="T630" s="145">
        <v>1</v>
      </c>
      <c r="U630" s="62">
        <v>1</v>
      </c>
      <c r="V630" s="62">
        <v>1</v>
      </c>
      <c r="W630" s="62">
        <v>1</v>
      </c>
      <c r="X630" s="62">
        <v>1</v>
      </c>
      <c r="Y630" s="62"/>
      <c r="Z630" s="62"/>
      <c r="AA630" s="62"/>
      <c r="AB630" s="62"/>
    </row>
    <row r="631" spans="1:28" ht="15.6" customHeight="1" x14ac:dyDescent="0.2">
      <c r="A631" s="408">
        <v>630</v>
      </c>
      <c r="B631" s="409" t="str">
        <f t="shared" si="9"/>
        <v>Selago canescens</v>
      </c>
      <c r="C631" s="410" t="s">
        <v>2080</v>
      </c>
      <c r="E631" s="75" t="s">
        <v>2196</v>
      </c>
      <c r="F631" s="75" t="s">
        <v>811</v>
      </c>
      <c r="G631" s="411" t="s">
        <v>1509</v>
      </c>
      <c r="H631" s="66" t="s">
        <v>3215</v>
      </c>
      <c r="I631" s="144">
        <v>2</v>
      </c>
      <c r="J631" s="144">
        <v>6</v>
      </c>
      <c r="K631" s="144">
        <v>2</v>
      </c>
      <c r="L631" s="144">
        <v>3</v>
      </c>
      <c r="M631" s="144">
        <v>2</v>
      </c>
      <c r="N631" s="144">
        <v>5</v>
      </c>
      <c r="O631" s="412" t="s">
        <v>3031</v>
      </c>
      <c r="P631" s="412" t="s">
        <v>3032</v>
      </c>
      <c r="Q631" s="413"/>
      <c r="R631" s="211">
        <v>35796</v>
      </c>
      <c r="S631" s="414"/>
      <c r="T631" s="145">
        <v>1</v>
      </c>
      <c r="U631" s="62"/>
      <c r="V631" s="62"/>
      <c r="W631" s="62"/>
      <c r="X631" s="62">
        <v>1</v>
      </c>
      <c r="Y631" s="62"/>
      <c r="Z631" s="62"/>
      <c r="AA631" s="62"/>
      <c r="AB631" s="62"/>
    </row>
    <row r="632" spans="1:28" ht="15.6" customHeight="1" x14ac:dyDescent="0.2">
      <c r="A632" s="408">
        <v>631</v>
      </c>
      <c r="B632" s="409" t="str">
        <f t="shared" si="9"/>
        <v>Selago scabrida</v>
      </c>
      <c r="C632" s="410" t="s">
        <v>2080</v>
      </c>
      <c r="E632" s="75" t="s">
        <v>2196</v>
      </c>
      <c r="F632" s="75" t="s">
        <v>2197</v>
      </c>
      <c r="G632" s="411" t="s">
        <v>1510</v>
      </c>
      <c r="H632" s="66" t="s">
        <v>3215</v>
      </c>
      <c r="I632" s="144">
        <v>2</v>
      </c>
      <c r="J632" s="144">
        <v>6</v>
      </c>
      <c r="K632" s="144">
        <v>2</v>
      </c>
      <c r="L632" s="144">
        <v>3</v>
      </c>
      <c r="M632" s="144">
        <v>2</v>
      </c>
      <c r="N632" s="144">
        <v>5</v>
      </c>
      <c r="O632" s="412" t="s">
        <v>3031</v>
      </c>
      <c r="P632" s="412" t="s">
        <v>3032</v>
      </c>
      <c r="Q632" s="413"/>
      <c r="R632" s="211">
        <v>35855</v>
      </c>
      <c r="S632" s="414"/>
      <c r="T632" s="145">
        <v>1</v>
      </c>
      <c r="U632" s="62"/>
      <c r="V632" s="62"/>
      <c r="W632" s="62"/>
      <c r="X632" s="62">
        <v>1</v>
      </c>
      <c r="Y632" s="62"/>
      <c r="Z632" s="62"/>
      <c r="AA632" s="62"/>
      <c r="AB632" s="62"/>
    </row>
    <row r="633" spans="1:28" ht="15.6" customHeight="1" x14ac:dyDescent="0.2">
      <c r="A633" s="408">
        <v>632</v>
      </c>
      <c r="B633" s="409" t="str">
        <f t="shared" si="9"/>
        <v>Selago thomii</v>
      </c>
      <c r="C633" s="410" t="s">
        <v>2080</v>
      </c>
      <c r="E633" s="75" t="s">
        <v>2196</v>
      </c>
      <c r="F633" s="75" t="s">
        <v>822</v>
      </c>
      <c r="G633" s="411" t="s">
        <v>1511</v>
      </c>
      <c r="H633" s="66" t="s">
        <v>3318</v>
      </c>
      <c r="I633" s="144">
        <v>2</v>
      </c>
      <c r="J633" s="144">
        <v>6</v>
      </c>
      <c r="K633" s="144">
        <v>2</v>
      </c>
      <c r="L633" s="144">
        <v>3</v>
      </c>
      <c r="M633" s="144">
        <v>2</v>
      </c>
      <c r="N633" s="144">
        <v>6</v>
      </c>
      <c r="O633" s="412" t="s">
        <v>3031</v>
      </c>
      <c r="P633" s="412" t="s">
        <v>3032</v>
      </c>
      <c r="Q633" s="413"/>
      <c r="R633" s="211">
        <v>35612</v>
      </c>
      <c r="S633" s="414"/>
      <c r="T633" s="145">
        <v>1</v>
      </c>
      <c r="U633" s="62"/>
      <c r="V633" s="62"/>
      <c r="W633" s="62"/>
      <c r="X633" s="62">
        <v>1</v>
      </c>
      <c r="Y633" s="62"/>
      <c r="Z633" s="62"/>
      <c r="AA633" s="62"/>
      <c r="AB633" s="62"/>
    </row>
    <row r="634" spans="1:28" ht="15.6" customHeight="1" x14ac:dyDescent="0.2">
      <c r="A634" s="408">
        <v>633</v>
      </c>
      <c r="B634" s="409" t="str">
        <f t="shared" si="9"/>
        <v>Sutera caerula</v>
      </c>
      <c r="C634" s="410" t="s">
        <v>2080</v>
      </c>
      <c r="E634" s="75" t="s">
        <v>2198</v>
      </c>
      <c r="F634" s="75" t="s">
        <v>2199</v>
      </c>
      <c r="G634" s="411" t="s">
        <v>1512</v>
      </c>
      <c r="H634" s="66" t="s">
        <v>3279</v>
      </c>
      <c r="I634" s="144">
        <v>3</v>
      </c>
      <c r="J634" s="144">
        <v>5</v>
      </c>
      <c r="K634" s="144">
        <v>2</v>
      </c>
      <c r="L634" s="144">
        <v>2</v>
      </c>
      <c r="M634" s="144">
        <v>2</v>
      </c>
      <c r="N634" s="144">
        <v>5</v>
      </c>
      <c r="O634" s="412" t="s">
        <v>2910</v>
      </c>
      <c r="P634" s="412" t="s">
        <v>3032</v>
      </c>
      <c r="Q634" s="413"/>
      <c r="R634" s="211">
        <v>35947</v>
      </c>
      <c r="S634" s="414"/>
      <c r="T634" s="145">
        <v>1</v>
      </c>
      <c r="U634" s="62">
        <v>1</v>
      </c>
      <c r="V634" s="62"/>
      <c r="W634" s="62"/>
      <c r="X634" s="62"/>
      <c r="Y634" s="62"/>
      <c r="Z634" s="62"/>
      <c r="AA634" s="62"/>
      <c r="AB634" s="62"/>
    </row>
    <row r="635" spans="1:28" ht="15.6" customHeight="1" x14ac:dyDescent="0.2">
      <c r="A635" s="408">
        <v>634</v>
      </c>
      <c r="B635" s="409" t="str">
        <f t="shared" si="9"/>
        <v>Sutera hispida</v>
      </c>
      <c r="C635" s="410" t="s">
        <v>2080</v>
      </c>
      <c r="E635" s="75" t="s">
        <v>2198</v>
      </c>
      <c r="F635" s="75" t="s">
        <v>2791</v>
      </c>
      <c r="G635" s="411" t="s">
        <v>1513</v>
      </c>
      <c r="H635" s="66" t="s">
        <v>3215</v>
      </c>
      <c r="I635" s="144">
        <v>2</v>
      </c>
      <c r="J635" s="144">
        <v>6</v>
      </c>
      <c r="K635" s="144">
        <v>3</v>
      </c>
      <c r="L635" s="144">
        <v>1</v>
      </c>
      <c r="M635" s="144">
        <v>1</v>
      </c>
      <c r="N635" s="144">
        <v>5</v>
      </c>
      <c r="O635" s="412" t="s">
        <v>3031</v>
      </c>
      <c r="P635" s="412" t="s">
        <v>3032</v>
      </c>
      <c r="Q635" s="413"/>
      <c r="R635" s="211">
        <v>35612</v>
      </c>
      <c r="S635" s="414"/>
      <c r="T635" s="145">
        <v>1</v>
      </c>
      <c r="U635" s="62"/>
      <c r="V635" s="62">
        <v>1</v>
      </c>
      <c r="W635" s="62">
        <v>1</v>
      </c>
      <c r="X635" s="62">
        <v>1</v>
      </c>
      <c r="Y635" s="62"/>
      <c r="Z635" s="62"/>
      <c r="AA635" s="62"/>
      <c r="AB635" s="62"/>
    </row>
    <row r="636" spans="1:28" ht="15.6" customHeight="1" x14ac:dyDescent="0.2">
      <c r="A636" s="408">
        <v>635</v>
      </c>
      <c r="B636" s="409" t="str">
        <f t="shared" si="9"/>
        <v>Zaluzianskya capensis</v>
      </c>
      <c r="C636" s="410" t="s">
        <v>2080</v>
      </c>
      <c r="E636" s="75" t="s">
        <v>2200</v>
      </c>
      <c r="F636" s="75" t="s">
        <v>2756</v>
      </c>
      <c r="G636" s="411" t="s">
        <v>1514</v>
      </c>
      <c r="H636" s="66" t="s">
        <v>3246</v>
      </c>
      <c r="I636" s="144">
        <v>6</v>
      </c>
      <c r="J636" s="144">
        <v>6</v>
      </c>
      <c r="K636" s="144">
        <v>2</v>
      </c>
      <c r="L636" s="144">
        <v>2</v>
      </c>
      <c r="M636" s="144">
        <v>1</v>
      </c>
      <c r="N636" s="144">
        <v>3</v>
      </c>
      <c r="O636" s="412" t="s">
        <v>2910</v>
      </c>
      <c r="P636" s="412" t="s">
        <v>2915</v>
      </c>
      <c r="Q636" s="413"/>
      <c r="R636" s="211">
        <v>36039</v>
      </c>
      <c r="S636" s="414"/>
      <c r="T636" s="145">
        <v>1</v>
      </c>
      <c r="U636" s="62">
        <v>1</v>
      </c>
      <c r="V636" s="62"/>
      <c r="W636" s="62"/>
      <c r="X636" s="62"/>
      <c r="Y636" s="62"/>
      <c r="Z636" s="62"/>
      <c r="AA636" s="62"/>
      <c r="AB636" s="62"/>
    </row>
    <row r="637" spans="1:28" ht="15.6" customHeight="1" x14ac:dyDescent="0.2">
      <c r="A637" s="408">
        <v>636</v>
      </c>
      <c r="B637" s="409" t="str">
        <f t="shared" si="9"/>
        <v>Zaluzianskya villosa</v>
      </c>
      <c r="C637" s="410" t="s">
        <v>2080</v>
      </c>
      <c r="D637" s="75" t="s">
        <v>299</v>
      </c>
      <c r="E637" s="75" t="s">
        <v>2200</v>
      </c>
      <c r="F637" s="75" t="s">
        <v>2784</v>
      </c>
      <c r="G637" s="411" t="s">
        <v>1515</v>
      </c>
      <c r="H637" s="66" t="s">
        <v>3246</v>
      </c>
      <c r="I637" s="144">
        <v>6</v>
      </c>
      <c r="J637" s="144">
        <v>6</v>
      </c>
      <c r="K637" s="144">
        <v>2</v>
      </c>
      <c r="L637" s="144">
        <v>2</v>
      </c>
      <c r="M637" s="144">
        <v>1</v>
      </c>
      <c r="N637" s="144">
        <v>3</v>
      </c>
      <c r="O637" s="412" t="s">
        <v>2910</v>
      </c>
      <c r="P637" s="412" t="s">
        <v>2915</v>
      </c>
      <c r="Q637" s="413"/>
      <c r="R637" s="211">
        <v>35612</v>
      </c>
      <c r="S637" s="414"/>
      <c r="T637" s="145">
        <v>1</v>
      </c>
      <c r="U637" s="62">
        <v>1</v>
      </c>
      <c r="V637" s="62">
        <v>1</v>
      </c>
      <c r="W637" s="62"/>
      <c r="X637" s="62">
        <v>1</v>
      </c>
      <c r="Y637" s="62"/>
      <c r="Z637" s="62"/>
      <c r="AA637" s="62"/>
      <c r="AB637" s="62"/>
    </row>
    <row r="638" spans="1:28" ht="15.6" customHeight="1" x14ac:dyDescent="0.2">
      <c r="A638" s="408">
        <v>637</v>
      </c>
      <c r="B638" s="409" t="str">
        <f t="shared" si="9"/>
        <v>Lycium afrum</v>
      </c>
      <c r="C638" s="410" t="s">
        <v>2201</v>
      </c>
      <c r="D638" s="75" t="s">
        <v>300</v>
      </c>
      <c r="E638" s="75" t="s">
        <v>479</v>
      </c>
      <c r="F638" s="75" t="s">
        <v>2202</v>
      </c>
      <c r="G638" s="411" t="s">
        <v>1516</v>
      </c>
      <c r="H638" s="66" t="s">
        <v>3266</v>
      </c>
      <c r="I638" s="144">
        <v>2</v>
      </c>
      <c r="J638" s="144">
        <v>3</v>
      </c>
      <c r="K638" s="144">
        <v>2</v>
      </c>
      <c r="L638" s="144">
        <v>3</v>
      </c>
      <c r="M638" s="144">
        <v>2</v>
      </c>
      <c r="N638" s="144">
        <v>5</v>
      </c>
      <c r="O638" s="412" t="s">
        <v>2168</v>
      </c>
      <c r="P638" s="412" t="s">
        <v>3032</v>
      </c>
      <c r="Q638" s="413"/>
      <c r="R638" s="211">
        <v>35431</v>
      </c>
      <c r="S638" s="414"/>
      <c r="T638" s="415">
        <v>1</v>
      </c>
      <c r="U638" s="62">
        <v>1</v>
      </c>
      <c r="V638" s="62"/>
      <c r="W638" s="62"/>
      <c r="X638" s="62"/>
      <c r="Y638" s="62"/>
      <c r="Z638" s="62"/>
      <c r="AA638" s="62"/>
      <c r="AB638" s="62"/>
    </row>
    <row r="639" spans="1:28" ht="15.6" customHeight="1" x14ac:dyDescent="0.2">
      <c r="A639" s="408">
        <v>638</v>
      </c>
      <c r="B639" s="409" t="str">
        <f t="shared" si="9"/>
        <v>Solanum africanum</v>
      </c>
      <c r="C639" s="410" t="s">
        <v>2201</v>
      </c>
      <c r="D639" s="75" t="s">
        <v>301</v>
      </c>
      <c r="E639" s="75" t="s">
        <v>2203</v>
      </c>
      <c r="F639" s="75" t="s">
        <v>2797</v>
      </c>
      <c r="G639" s="411" t="s">
        <v>1517</v>
      </c>
      <c r="H639" s="66" t="s">
        <v>3301</v>
      </c>
      <c r="I639" s="144">
        <v>2</v>
      </c>
      <c r="J639" s="144">
        <v>3</v>
      </c>
      <c r="K639" s="144">
        <v>3</v>
      </c>
      <c r="L639" s="144">
        <v>2</v>
      </c>
      <c r="M639" s="144">
        <v>1</v>
      </c>
      <c r="N639" s="144">
        <v>3</v>
      </c>
      <c r="O639" s="412" t="s">
        <v>2168</v>
      </c>
      <c r="P639" s="412" t="s">
        <v>3032</v>
      </c>
      <c r="Q639" s="413"/>
      <c r="R639" s="211">
        <v>35612</v>
      </c>
      <c r="S639" s="414"/>
      <c r="T639" s="415">
        <v>1</v>
      </c>
      <c r="U639" s="62">
        <v>1</v>
      </c>
      <c r="V639" s="62">
        <v>1</v>
      </c>
      <c r="W639" s="62"/>
      <c r="X639" s="62"/>
      <c r="Y639" s="62">
        <v>1</v>
      </c>
      <c r="Z639" s="62"/>
      <c r="AA639" s="62"/>
      <c r="AB639" s="62"/>
    </row>
    <row r="640" spans="1:28" ht="15.6" customHeight="1" x14ac:dyDescent="0.2">
      <c r="A640" s="408">
        <v>639</v>
      </c>
      <c r="B640" s="409" t="str">
        <f t="shared" si="9"/>
        <v>Solanum guineense</v>
      </c>
      <c r="C640" s="410" t="s">
        <v>2201</v>
      </c>
      <c r="E640" s="75" t="s">
        <v>2203</v>
      </c>
      <c r="F640" s="75" t="s">
        <v>2204</v>
      </c>
      <c r="G640" s="432" t="s">
        <v>1518</v>
      </c>
      <c r="H640" s="433" t="s">
        <v>3239</v>
      </c>
      <c r="I640" s="144">
        <v>2</v>
      </c>
      <c r="J640" s="144">
        <v>4</v>
      </c>
      <c r="K640" s="144">
        <v>2</v>
      </c>
      <c r="L640" s="144">
        <v>2</v>
      </c>
      <c r="M640" s="144">
        <v>1</v>
      </c>
      <c r="N640" s="144">
        <v>3</v>
      </c>
      <c r="O640" s="434" t="s">
        <v>2168</v>
      </c>
      <c r="P640" s="434" t="s">
        <v>3032</v>
      </c>
      <c r="Q640" s="413"/>
      <c r="R640" s="211">
        <v>36892</v>
      </c>
      <c r="S640" s="414"/>
      <c r="T640" s="415">
        <v>1</v>
      </c>
      <c r="U640" s="62"/>
      <c r="V640" s="62"/>
      <c r="W640" s="62"/>
      <c r="X640" s="62"/>
      <c r="Y640" s="62">
        <v>1</v>
      </c>
      <c r="Z640" s="62"/>
      <c r="AA640" s="62"/>
      <c r="AB640" s="62"/>
    </row>
    <row r="641" spans="1:28" ht="15.6" customHeight="1" x14ac:dyDescent="0.2">
      <c r="A641" s="408">
        <v>640</v>
      </c>
      <c r="B641" s="409" t="str">
        <f t="shared" si="9"/>
        <v>Solanum linnaeanum</v>
      </c>
      <c r="C641" s="410" t="s">
        <v>2201</v>
      </c>
      <c r="E641" s="75" t="s">
        <v>2203</v>
      </c>
      <c r="F641" s="75" t="s">
        <v>2205</v>
      </c>
      <c r="G641" s="432" t="s">
        <v>1519</v>
      </c>
      <c r="H641" s="433" t="s">
        <v>3271</v>
      </c>
      <c r="I641" s="144">
        <v>2</v>
      </c>
      <c r="J641" s="144">
        <v>5</v>
      </c>
      <c r="K641" s="144">
        <v>3</v>
      </c>
      <c r="L641" s="144">
        <v>4</v>
      </c>
      <c r="M641" s="144">
        <v>1</v>
      </c>
      <c r="N641" s="144">
        <v>1</v>
      </c>
      <c r="O641" s="434" t="s">
        <v>2168</v>
      </c>
      <c r="P641" s="434" t="s">
        <v>3032</v>
      </c>
      <c r="Q641" s="413"/>
      <c r="R641" s="211">
        <v>35796</v>
      </c>
      <c r="S641" s="414"/>
      <c r="T641" s="415">
        <v>1</v>
      </c>
      <c r="U641" s="62">
        <v>1</v>
      </c>
      <c r="V641" s="62"/>
      <c r="W641" s="62"/>
      <c r="X641" s="62"/>
      <c r="Y641" s="62"/>
      <c r="Z641" s="62"/>
      <c r="AA641" s="62"/>
      <c r="AB641" s="62"/>
    </row>
    <row r="642" spans="1:28" ht="15.6" customHeight="1" x14ac:dyDescent="0.2">
      <c r="A642" s="408">
        <v>641</v>
      </c>
      <c r="B642" s="409" t="str">
        <f t="shared" ref="B642:B705" si="10">E642&amp;" "&amp;F642</f>
        <v>Solanum nigrum</v>
      </c>
      <c r="C642" s="410" t="s">
        <v>2201</v>
      </c>
      <c r="E642" s="75" t="s">
        <v>2203</v>
      </c>
      <c r="F642" s="75" t="s">
        <v>2206</v>
      </c>
      <c r="G642" s="432" t="s">
        <v>1520</v>
      </c>
      <c r="H642" s="433" t="s">
        <v>1874</v>
      </c>
      <c r="I642" s="144">
        <v>6</v>
      </c>
      <c r="J642" s="144">
        <v>5</v>
      </c>
      <c r="K642" s="144">
        <v>3</v>
      </c>
      <c r="L642" s="144">
        <v>1</v>
      </c>
      <c r="M642" s="144">
        <v>1</v>
      </c>
      <c r="N642" s="144">
        <v>3</v>
      </c>
      <c r="O642" s="434" t="s">
        <v>2910</v>
      </c>
      <c r="P642" s="434" t="s">
        <v>2915</v>
      </c>
      <c r="Q642" s="413"/>
      <c r="R642" s="211">
        <v>36892</v>
      </c>
      <c r="S642" s="414"/>
      <c r="T642" s="145">
        <v>1</v>
      </c>
      <c r="U642" s="62">
        <v>1</v>
      </c>
      <c r="V642" s="62"/>
      <c r="W642" s="62"/>
      <c r="X642" s="62"/>
      <c r="Y642" s="62"/>
      <c r="Z642" s="62"/>
      <c r="AA642" s="62"/>
      <c r="AB642" s="62"/>
    </row>
    <row r="643" spans="1:28" ht="15.6" customHeight="1" x14ac:dyDescent="0.2">
      <c r="A643" s="408">
        <v>642</v>
      </c>
      <c r="B643" s="409" t="str">
        <f t="shared" si="10"/>
        <v>Solanum retroflexum</v>
      </c>
      <c r="C643" s="410" t="s">
        <v>2201</v>
      </c>
      <c r="E643" s="75" t="s">
        <v>2203</v>
      </c>
      <c r="F643" s="75" t="s">
        <v>2207</v>
      </c>
      <c r="G643" s="432" t="s">
        <v>1521</v>
      </c>
      <c r="H643" s="433" t="s">
        <v>1874</v>
      </c>
      <c r="I643" s="144">
        <v>6</v>
      </c>
      <c r="J643" s="144">
        <v>5</v>
      </c>
      <c r="K643" s="144">
        <v>2</v>
      </c>
      <c r="L643" s="144">
        <v>1</v>
      </c>
      <c r="M643" s="144">
        <v>1</v>
      </c>
      <c r="N643" s="144">
        <v>3</v>
      </c>
      <c r="O643" s="434" t="s">
        <v>2910</v>
      </c>
      <c r="P643" s="434" t="s">
        <v>2915</v>
      </c>
      <c r="Q643" s="413"/>
      <c r="R643" s="211">
        <v>36861</v>
      </c>
      <c r="S643" s="414"/>
      <c r="T643" s="415">
        <v>1</v>
      </c>
      <c r="U643" s="62">
        <v>1</v>
      </c>
      <c r="V643" s="62"/>
      <c r="W643" s="62"/>
      <c r="X643" s="62"/>
      <c r="Y643" s="62"/>
      <c r="Z643" s="62"/>
      <c r="AA643" s="62"/>
      <c r="AB643" s="62"/>
    </row>
    <row r="644" spans="1:28" ht="15.6" customHeight="1" x14ac:dyDescent="0.2">
      <c r="A644" s="408">
        <v>643</v>
      </c>
      <c r="B644" s="409" t="str">
        <f t="shared" si="10"/>
        <v>Cyanella hyacinthoides</v>
      </c>
      <c r="C644" s="410" t="s">
        <v>2208</v>
      </c>
      <c r="D644" s="75" t="s">
        <v>302</v>
      </c>
      <c r="E644" s="75" t="s">
        <v>2209</v>
      </c>
      <c r="F644" s="75" t="s">
        <v>2210</v>
      </c>
      <c r="G644" s="432" t="s">
        <v>1522</v>
      </c>
      <c r="H644" s="433" t="s">
        <v>197</v>
      </c>
      <c r="I644" s="144">
        <v>9</v>
      </c>
      <c r="J644" s="144">
        <v>9</v>
      </c>
      <c r="K644" s="144">
        <v>5</v>
      </c>
      <c r="L644" s="144">
        <v>2</v>
      </c>
      <c r="M644" s="144">
        <v>1</v>
      </c>
      <c r="N644" s="144">
        <v>1</v>
      </c>
      <c r="O644" s="434" t="s">
        <v>2163</v>
      </c>
      <c r="P644" s="434" t="s">
        <v>3032</v>
      </c>
      <c r="Q644" s="413"/>
      <c r="R644" s="211">
        <v>36130</v>
      </c>
      <c r="S644" s="414"/>
      <c r="T644" s="415">
        <v>1</v>
      </c>
      <c r="U644" s="62"/>
      <c r="V644" s="62"/>
      <c r="W644" s="62"/>
      <c r="X644" s="62">
        <v>1</v>
      </c>
      <c r="Y644" s="62"/>
      <c r="Z644" s="62"/>
      <c r="AA644" s="62"/>
      <c r="AB644" s="62"/>
    </row>
    <row r="645" spans="1:28" ht="15.6" customHeight="1" x14ac:dyDescent="0.2">
      <c r="A645" s="408">
        <v>644</v>
      </c>
      <c r="B645" s="409" t="str">
        <f t="shared" si="10"/>
        <v>Gnidia galpinii</v>
      </c>
      <c r="C645" s="410" t="s">
        <v>2211</v>
      </c>
      <c r="E645" s="75" t="s">
        <v>2212</v>
      </c>
      <c r="F645" s="75" t="s">
        <v>2213</v>
      </c>
      <c r="G645" s="432" t="s">
        <v>1523</v>
      </c>
      <c r="H645" s="433" t="s">
        <v>3248</v>
      </c>
      <c r="I645" s="144">
        <v>2</v>
      </c>
      <c r="J645" s="144">
        <v>5</v>
      </c>
      <c r="K645" s="144">
        <v>2</v>
      </c>
      <c r="L645" s="144">
        <v>2</v>
      </c>
      <c r="M645" s="144">
        <v>2</v>
      </c>
      <c r="N645" s="144">
        <v>5</v>
      </c>
      <c r="O645" s="434" t="s">
        <v>2914</v>
      </c>
      <c r="P645" s="434" t="s">
        <v>3032</v>
      </c>
      <c r="Q645" s="413"/>
      <c r="R645" s="211">
        <v>35612</v>
      </c>
      <c r="S645" s="414"/>
      <c r="T645" s="415">
        <v>1</v>
      </c>
      <c r="U645" s="62"/>
      <c r="V645" s="62">
        <v>1</v>
      </c>
      <c r="W645" s="62"/>
      <c r="X645" s="62">
        <v>1</v>
      </c>
      <c r="Y645" s="62"/>
      <c r="Z645" s="62"/>
      <c r="AA645" s="62"/>
      <c r="AB645" s="62"/>
    </row>
    <row r="646" spans="1:28" ht="15.6" customHeight="1" x14ac:dyDescent="0.2">
      <c r="A646" s="408">
        <v>645</v>
      </c>
      <c r="B646" s="409" t="str">
        <f t="shared" si="10"/>
        <v>Gnidia juniperifolia</v>
      </c>
      <c r="C646" s="410" t="s">
        <v>2211</v>
      </c>
      <c r="E646" s="75" t="s">
        <v>2212</v>
      </c>
      <c r="F646" s="75" t="s">
        <v>2214</v>
      </c>
      <c r="G646" s="432" t="s">
        <v>1524</v>
      </c>
      <c r="H646" s="433" t="s">
        <v>3215</v>
      </c>
      <c r="I646" s="144">
        <v>2</v>
      </c>
      <c r="J646" s="144">
        <v>6</v>
      </c>
      <c r="K646" s="144">
        <v>2</v>
      </c>
      <c r="L646" s="144">
        <v>2</v>
      </c>
      <c r="M646" s="144">
        <v>2</v>
      </c>
      <c r="N646" s="144">
        <v>5</v>
      </c>
      <c r="O646" s="434" t="s">
        <v>3031</v>
      </c>
      <c r="P646" s="434" t="s">
        <v>3032</v>
      </c>
      <c r="Q646" s="413"/>
      <c r="R646" s="211">
        <v>36800</v>
      </c>
      <c r="S646" s="414"/>
      <c r="T646" s="415">
        <v>1</v>
      </c>
      <c r="U646" s="62"/>
      <c r="V646" s="62"/>
      <c r="W646" s="62"/>
      <c r="X646" s="62">
        <v>1</v>
      </c>
      <c r="Y646" s="62"/>
      <c r="Z646" s="62"/>
      <c r="AA646" s="62"/>
      <c r="AB646" s="62"/>
    </row>
    <row r="647" spans="1:28" ht="15.6" customHeight="1" x14ac:dyDescent="0.2">
      <c r="A647" s="408">
        <v>646</v>
      </c>
      <c r="B647" s="409" t="str">
        <f t="shared" si="10"/>
        <v>Gnidia squarrosa</v>
      </c>
      <c r="C647" s="410" t="s">
        <v>2211</v>
      </c>
      <c r="E647" s="75" t="s">
        <v>2212</v>
      </c>
      <c r="F647" s="75" t="s">
        <v>729</v>
      </c>
      <c r="G647" s="432" t="s">
        <v>1525</v>
      </c>
      <c r="H647" s="433" t="s">
        <v>3249</v>
      </c>
      <c r="I647" s="144">
        <v>2</v>
      </c>
      <c r="J647" s="144">
        <v>4</v>
      </c>
      <c r="K647" s="144">
        <v>2</v>
      </c>
      <c r="L647" s="144">
        <v>3</v>
      </c>
      <c r="M647" s="144">
        <v>2</v>
      </c>
      <c r="N647" s="144">
        <v>5</v>
      </c>
      <c r="O647" s="434" t="s">
        <v>2168</v>
      </c>
      <c r="P647" s="434" t="s">
        <v>3032</v>
      </c>
      <c r="Q647" s="413"/>
      <c r="R647" s="211">
        <v>35612</v>
      </c>
      <c r="S647" s="414"/>
      <c r="T647" s="415">
        <v>1</v>
      </c>
      <c r="U647" s="62">
        <v>1</v>
      </c>
      <c r="V647" s="62"/>
      <c r="W647" s="62"/>
      <c r="X647" s="62"/>
      <c r="Y647" s="62"/>
      <c r="Z647" s="62"/>
      <c r="AA647" s="62"/>
      <c r="AB647" s="62"/>
    </row>
    <row r="648" spans="1:28" ht="15.6" customHeight="1" x14ac:dyDescent="0.2">
      <c r="A648" s="408">
        <v>647</v>
      </c>
      <c r="B648" s="418" t="str">
        <f t="shared" si="10"/>
        <v>Gnidia subulata</v>
      </c>
      <c r="C648" s="419" t="s">
        <v>2211</v>
      </c>
      <c r="D648" s="420"/>
      <c r="E648" s="420" t="s">
        <v>2212</v>
      </c>
      <c r="F648" s="420" t="s">
        <v>2215</v>
      </c>
      <c r="G648" s="435" t="s">
        <v>1526</v>
      </c>
      <c r="H648" s="435" t="s">
        <v>3315</v>
      </c>
      <c r="I648" s="422">
        <v>2</v>
      </c>
      <c r="J648" s="422">
        <v>9</v>
      </c>
      <c r="K648" s="422">
        <v>2</v>
      </c>
      <c r="L648" s="422">
        <v>2</v>
      </c>
      <c r="M648" s="422">
        <v>2</v>
      </c>
      <c r="N648" s="422">
        <v>5</v>
      </c>
      <c r="O648" s="436" t="s">
        <v>2914</v>
      </c>
      <c r="P648" s="436" t="s">
        <v>3032</v>
      </c>
      <c r="Q648" s="424"/>
      <c r="R648" s="425">
        <v>37012</v>
      </c>
      <c r="S648" s="426"/>
      <c r="T648" s="426">
        <v>1</v>
      </c>
      <c r="U648" s="427">
        <v>1</v>
      </c>
      <c r="V648" s="427"/>
      <c r="W648" s="427"/>
      <c r="X648" s="427"/>
      <c r="Y648" s="427"/>
      <c r="Z648" s="427"/>
      <c r="AA648" s="427"/>
      <c r="AB648" s="427"/>
    </row>
    <row r="649" spans="1:28" ht="15.6" customHeight="1" x14ac:dyDescent="0.2">
      <c r="A649" s="408">
        <v>648</v>
      </c>
      <c r="B649" s="409" t="str">
        <f t="shared" si="10"/>
        <v>Gnidia tenella</v>
      </c>
      <c r="C649" s="410" t="s">
        <v>2211</v>
      </c>
      <c r="E649" s="75" t="s">
        <v>2212</v>
      </c>
      <c r="F649" s="75" t="s">
        <v>886</v>
      </c>
      <c r="G649" s="432" t="s">
        <v>1527</v>
      </c>
      <c r="H649" s="433" t="s">
        <v>3249</v>
      </c>
      <c r="I649" s="144">
        <v>2</v>
      </c>
      <c r="J649" s="144">
        <v>4</v>
      </c>
      <c r="K649" s="144">
        <v>2</v>
      </c>
      <c r="L649" s="144">
        <v>1</v>
      </c>
      <c r="M649" s="144">
        <v>2</v>
      </c>
      <c r="N649" s="144">
        <v>5</v>
      </c>
      <c r="O649" s="434" t="s">
        <v>2168</v>
      </c>
      <c r="P649" s="434" t="s">
        <v>3032</v>
      </c>
      <c r="Q649" s="413"/>
      <c r="R649" s="211">
        <v>35612</v>
      </c>
      <c r="S649" s="414"/>
      <c r="T649" s="415">
        <v>1</v>
      </c>
      <c r="U649" s="62"/>
      <c r="V649" s="62"/>
      <c r="W649" s="62">
        <v>1</v>
      </c>
      <c r="X649" s="62"/>
      <c r="Y649" s="62"/>
      <c r="Z649" s="62"/>
      <c r="AA649" s="62"/>
      <c r="AB649" s="62"/>
    </row>
    <row r="650" spans="1:28" ht="15.6" customHeight="1" x14ac:dyDescent="0.2">
      <c r="A650" s="408">
        <v>649</v>
      </c>
      <c r="B650" s="409" t="str">
        <f t="shared" si="10"/>
        <v>Passerina paleacea</v>
      </c>
      <c r="C650" s="410" t="s">
        <v>2211</v>
      </c>
      <c r="E650" s="75" t="s">
        <v>2216</v>
      </c>
      <c r="F650" s="75" t="s">
        <v>2217</v>
      </c>
      <c r="G650" s="432" t="s">
        <v>1528</v>
      </c>
      <c r="H650" s="433" t="s">
        <v>3314</v>
      </c>
      <c r="I650" s="144">
        <v>2</v>
      </c>
      <c r="J650" s="144">
        <v>5</v>
      </c>
      <c r="K650" s="144">
        <v>9</v>
      </c>
      <c r="L650" s="144">
        <v>3</v>
      </c>
      <c r="M650" s="144">
        <v>9</v>
      </c>
      <c r="N650" s="144">
        <v>9</v>
      </c>
      <c r="O650" s="434" t="s">
        <v>2914</v>
      </c>
      <c r="P650" s="434" t="s">
        <v>3032</v>
      </c>
      <c r="Q650" s="413"/>
      <c r="R650" s="211">
        <v>35612</v>
      </c>
      <c r="S650" s="414" t="s">
        <v>2250</v>
      </c>
      <c r="T650" s="415"/>
      <c r="U650" s="62">
        <v>1</v>
      </c>
      <c r="V650" s="62"/>
      <c r="W650" s="62">
        <v>1</v>
      </c>
      <c r="X650" s="62"/>
      <c r="Y650" s="62"/>
      <c r="Z650" s="62"/>
      <c r="AA650" s="62"/>
      <c r="AB650" s="62"/>
    </row>
    <row r="651" spans="1:28" ht="15.6" customHeight="1" x14ac:dyDescent="0.2">
      <c r="A651" s="408">
        <v>650</v>
      </c>
      <c r="B651" s="409" t="str">
        <f t="shared" si="10"/>
        <v>Passerina vulgaris</v>
      </c>
      <c r="C651" s="410" t="s">
        <v>2211</v>
      </c>
      <c r="E651" s="75" t="s">
        <v>2216</v>
      </c>
      <c r="F651" s="75" t="s">
        <v>2218</v>
      </c>
      <c r="G651" s="432" t="s">
        <v>1529</v>
      </c>
      <c r="H651" s="433" t="s">
        <v>3249</v>
      </c>
      <c r="I651" s="144">
        <v>2</v>
      </c>
      <c r="J651" s="144">
        <v>4</v>
      </c>
      <c r="K651" s="144">
        <v>2</v>
      </c>
      <c r="L651" s="144">
        <v>3</v>
      </c>
      <c r="M651" s="144">
        <v>2</v>
      </c>
      <c r="N651" s="144">
        <v>5</v>
      </c>
      <c r="O651" s="434" t="s">
        <v>2168</v>
      </c>
      <c r="P651" s="434" t="s">
        <v>3032</v>
      </c>
      <c r="Q651" s="413"/>
      <c r="R651" s="211">
        <v>35612</v>
      </c>
      <c r="S651" s="414"/>
      <c r="T651" s="415">
        <v>1</v>
      </c>
      <c r="U651" s="62">
        <v>1</v>
      </c>
      <c r="V651" s="62">
        <v>1</v>
      </c>
      <c r="W651" s="62">
        <v>1</v>
      </c>
      <c r="X651" s="62">
        <v>1</v>
      </c>
      <c r="Y651" s="62"/>
      <c r="Z651" s="62"/>
      <c r="AA651" s="62">
        <v>1</v>
      </c>
      <c r="AB651" s="62"/>
    </row>
    <row r="652" spans="1:28" ht="15.6" customHeight="1" x14ac:dyDescent="0.2">
      <c r="A652" s="408">
        <v>651</v>
      </c>
      <c r="B652" s="409" t="str">
        <f t="shared" si="10"/>
        <v>Struthiola salteri</v>
      </c>
      <c r="C652" s="410" t="s">
        <v>2211</v>
      </c>
      <c r="E652" s="75" t="s">
        <v>2219</v>
      </c>
      <c r="F652" s="75" t="s">
        <v>1074</v>
      </c>
      <c r="G652" s="432" t="s">
        <v>1530</v>
      </c>
      <c r="H652" s="433" t="s">
        <v>3248</v>
      </c>
      <c r="I652" s="144">
        <v>2</v>
      </c>
      <c r="J652" s="144">
        <v>5</v>
      </c>
      <c r="K652" s="144">
        <v>2</v>
      </c>
      <c r="L652" s="144">
        <v>2</v>
      </c>
      <c r="M652" s="144">
        <v>2</v>
      </c>
      <c r="N652" s="144">
        <v>5</v>
      </c>
      <c r="O652" s="434" t="s">
        <v>2910</v>
      </c>
      <c r="P652" s="434" t="s">
        <v>3032</v>
      </c>
      <c r="Q652" s="413"/>
      <c r="R652" s="211">
        <v>35612</v>
      </c>
      <c r="S652" s="414"/>
      <c r="T652" s="415">
        <v>1</v>
      </c>
      <c r="U652" s="62">
        <v>1</v>
      </c>
      <c r="V652" s="62">
        <v>1</v>
      </c>
      <c r="W652" s="62">
        <v>1</v>
      </c>
      <c r="X652" s="62">
        <v>1</v>
      </c>
      <c r="Y652" s="62"/>
      <c r="Z652" s="62"/>
      <c r="AA652" s="62"/>
      <c r="AB652" s="62"/>
    </row>
    <row r="653" spans="1:28" ht="15.6" customHeight="1" x14ac:dyDescent="0.2">
      <c r="A653" s="408">
        <v>652</v>
      </c>
      <c r="B653" s="409" t="str">
        <f t="shared" si="10"/>
        <v>Struthiola striata</v>
      </c>
      <c r="C653" s="410" t="s">
        <v>2211</v>
      </c>
      <c r="D653" s="75" t="s">
        <v>303</v>
      </c>
      <c r="E653" s="75" t="s">
        <v>2219</v>
      </c>
      <c r="F653" s="75" t="s">
        <v>1675</v>
      </c>
      <c r="G653" s="432" t="s">
        <v>1531</v>
      </c>
      <c r="H653" s="433" t="s">
        <v>3248</v>
      </c>
      <c r="I653" s="144">
        <v>2</v>
      </c>
      <c r="J653" s="144">
        <v>5</v>
      </c>
      <c r="K653" s="144">
        <v>2</v>
      </c>
      <c r="L653" s="144">
        <v>2</v>
      </c>
      <c r="M653" s="144">
        <v>2</v>
      </c>
      <c r="N653" s="144">
        <v>5</v>
      </c>
      <c r="O653" s="434" t="s">
        <v>2168</v>
      </c>
      <c r="P653" s="434" t="s">
        <v>3032</v>
      </c>
      <c r="Q653" s="413"/>
      <c r="R653" s="211">
        <v>35612</v>
      </c>
      <c r="S653" s="414"/>
      <c r="T653" s="415">
        <v>1</v>
      </c>
      <c r="U653" s="62"/>
      <c r="V653" s="62"/>
      <c r="W653" s="62">
        <v>1</v>
      </c>
      <c r="X653" s="62">
        <v>1</v>
      </c>
      <c r="Y653" s="62"/>
      <c r="Z653" s="62"/>
      <c r="AA653" s="62"/>
      <c r="AB653" s="62">
        <v>1</v>
      </c>
    </row>
    <row r="654" spans="1:28" ht="15.6" customHeight="1" x14ac:dyDescent="0.2">
      <c r="A654" s="408">
        <v>653</v>
      </c>
      <c r="B654" s="409" t="str">
        <f t="shared" si="10"/>
        <v>Typha capensis</v>
      </c>
      <c r="C654" s="410" t="s">
        <v>2220</v>
      </c>
      <c r="D654" s="75" t="s">
        <v>304</v>
      </c>
      <c r="E654" s="75" t="s">
        <v>2221</v>
      </c>
      <c r="F654" s="75" t="s">
        <v>2756</v>
      </c>
      <c r="G654" s="432" t="s">
        <v>1532</v>
      </c>
      <c r="H654" s="433" t="s">
        <v>3321</v>
      </c>
      <c r="I654" s="144">
        <v>3</v>
      </c>
      <c r="J654" s="144">
        <v>3</v>
      </c>
      <c r="K654" s="144">
        <v>5</v>
      </c>
      <c r="L654" s="144">
        <v>2</v>
      </c>
      <c r="M654" s="144">
        <v>4</v>
      </c>
      <c r="N654" s="144">
        <v>1</v>
      </c>
      <c r="O654" s="434" t="s">
        <v>2910</v>
      </c>
      <c r="P654" s="434" t="s">
        <v>3032</v>
      </c>
      <c r="Q654" s="413"/>
      <c r="R654" s="211">
        <v>35431</v>
      </c>
      <c r="S654" s="414" t="s">
        <v>2250</v>
      </c>
      <c r="T654" s="415"/>
      <c r="U654" s="62"/>
      <c r="V654" s="62"/>
      <c r="W654" s="62"/>
      <c r="X654" s="62"/>
      <c r="Y654" s="62"/>
      <c r="Z654" s="62"/>
      <c r="AA654" s="62">
        <v>1</v>
      </c>
      <c r="AB654" s="62"/>
    </row>
    <row r="655" spans="1:28" ht="15.6" customHeight="1" x14ac:dyDescent="0.2">
      <c r="A655" s="408">
        <v>654</v>
      </c>
      <c r="B655" s="409" t="str">
        <f t="shared" si="10"/>
        <v>Didymodoxa capensis</v>
      </c>
      <c r="C655" s="410" t="s">
        <v>2222</v>
      </c>
      <c r="E655" s="75" t="s">
        <v>2223</v>
      </c>
      <c r="F655" s="75" t="s">
        <v>2756</v>
      </c>
      <c r="G655" s="432" t="s">
        <v>1533</v>
      </c>
      <c r="H655" s="433" t="s">
        <v>3246</v>
      </c>
      <c r="I655" s="144">
        <v>6</v>
      </c>
      <c r="J655" s="144">
        <v>6</v>
      </c>
      <c r="K655" s="144">
        <v>2</v>
      </c>
      <c r="L655" s="144">
        <v>1</v>
      </c>
      <c r="M655" s="144">
        <v>1</v>
      </c>
      <c r="N655" s="144">
        <v>3</v>
      </c>
      <c r="O655" s="434" t="s">
        <v>2910</v>
      </c>
      <c r="P655" s="434" t="s">
        <v>2915</v>
      </c>
      <c r="Q655" s="413"/>
      <c r="R655" s="211">
        <v>35612</v>
      </c>
      <c r="S655" s="431" t="s">
        <v>257</v>
      </c>
      <c r="T655" s="145">
        <v>1</v>
      </c>
      <c r="U655" s="62"/>
      <c r="V655" s="62"/>
      <c r="W655" s="62"/>
      <c r="X655" s="62"/>
      <c r="Y655" s="62"/>
      <c r="Z655" s="62">
        <v>1</v>
      </c>
      <c r="AA655" s="62"/>
      <c r="AB655" s="62"/>
    </row>
    <row r="656" spans="1:28" ht="15.6" customHeight="1" x14ac:dyDescent="0.2">
      <c r="A656" s="408">
        <v>655</v>
      </c>
      <c r="B656" s="409" t="str">
        <f t="shared" si="10"/>
        <v>Droguetia iners</v>
      </c>
      <c r="C656" s="410" t="s">
        <v>2222</v>
      </c>
      <c r="E656" s="75" t="s">
        <v>2224</v>
      </c>
      <c r="F656" s="75" t="s">
        <v>2225</v>
      </c>
      <c r="G656" s="432" t="s">
        <v>1534</v>
      </c>
      <c r="H656" s="433" t="s">
        <v>3241</v>
      </c>
      <c r="I656" s="144">
        <v>3</v>
      </c>
      <c r="J656" s="144">
        <v>6</v>
      </c>
      <c r="K656" s="144">
        <v>2</v>
      </c>
      <c r="L656" s="144">
        <v>1</v>
      </c>
      <c r="M656" s="144">
        <v>1</v>
      </c>
      <c r="N656" s="144">
        <v>3</v>
      </c>
      <c r="O656" s="434" t="s">
        <v>2910</v>
      </c>
      <c r="P656" s="434" t="s">
        <v>3032</v>
      </c>
      <c r="Q656" s="413" t="s">
        <v>3144</v>
      </c>
      <c r="R656" s="211">
        <v>35612</v>
      </c>
      <c r="S656" s="414"/>
      <c r="T656" s="145">
        <v>1</v>
      </c>
      <c r="U656" s="62"/>
      <c r="V656" s="62"/>
      <c r="W656" s="62"/>
      <c r="X656" s="62"/>
      <c r="Y656" s="62">
        <v>1</v>
      </c>
      <c r="Z656" s="62">
        <v>1</v>
      </c>
      <c r="AA656" s="62"/>
      <c r="AB656" s="62"/>
    </row>
    <row r="657" spans="1:28" ht="15.6" customHeight="1" x14ac:dyDescent="0.2">
      <c r="A657" s="408">
        <v>656</v>
      </c>
      <c r="B657" s="409" t="str">
        <f t="shared" si="10"/>
        <v>Chascanum cernuum</v>
      </c>
      <c r="C657" s="410" t="s">
        <v>2226</v>
      </c>
      <c r="E657" s="75" t="s">
        <v>2227</v>
      </c>
      <c r="F657" s="75" t="s">
        <v>2228</v>
      </c>
      <c r="G657" s="432" t="s">
        <v>1535</v>
      </c>
      <c r="H657" s="433" t="s">
        <v>3259</v>
      </c>
      <c r="I657" s="144">
        <v>2</v>
      </c>
      <c r="J657" s="144">
        <v>6</v>
      </c>
      <c r="K657" s="144">
        <v>2</v>
      </c>
      <c r="L657" s="144">
        <v>2</v>
      </c>
      <c r="M657" s="144">
        <v>2</v>
      </c>
      <c r="N657" s="144">
        <v>4</v>
      </c>
      <c r="O657" s="434" t="s">
        <v>3031</v>
      </c>
      <c r="P657" s="434" t="s">
        <v>3032</v>
      </c>
      <c r="Q657" s="413"/>
      <c r="R657" s="211">
        <v>35612</v>
      </c>
      <c r="S657" s="414"/>
      <c r="T657" s="145">
        <v>1</v>
      </c>
      <c r="U657" s="62"/>
      <c r="V657" s="62">
        <v>1</v>
      </c>
      <c r="W657" s="62"/>
      <c r="X657" s="62">
        <v>1</v>
      </c>
      <c r="Y657" s="62"/>
      <c r="Z657" s="62"/>
      <c r="AA657" s="62"/>
      <c r="AB657" s="62"/>
    </row>
    <row r="658" spans="1:28" ht="15.6" customHeight="1" x14ac:dyDescent="0.2">
      <c r="A658" s="408">
        <v>657</v>
      </c>
      <c r="B658" s="409" t="str">
        <f t="shared" si="10"/>
        <v>Viola decumbens var. decumbens</v>
      </c>
      <c r="C658" s="410" t="s">
        <v>2229</v>
      </c>
      <c r="E658" s="75" t="s">
        <v>2230</v>
      </c>
      <c r="F658" s="75" t="s">
        <v>2231</v>
      </c>
      <c r="G658" s="432" t="s">
        <v>1536</v>
      </c>
      <c r="H658" s="433" t="s">
        <v>3267</v>
      </c>
      <c r="I658" s="144">
        <v>2</v>
      </c>
      <c r="J658" s="144">
        <v>6</v>
      </c>
      <c r="K658" s="144">
        <v>2</v>
      </c>
      <c r="L658" s="144">
        <v>3</v>
      </c>
      <c r="M658" s="144">
        <v>1</v>
      </c>
      <c r="N658" s="144">
        <v>3</v>
      </c>
      <c r="O658" s="434" t="s">
        <v>3031</v>
      </c>
      <c r="P658" s="434" t="s">
        <v>3032</v>
      </c>
      <c r="Q658" s="413"/>
      <c r="R658" s="211">
        <v>35612</v>
      </c>
      <c r="S658" s="414"/>
      <c r="T658" s="145">
        <v>1</v>
      </c>
      <c r="U658" s="62"/>
      <c r="V658" s="62"/>
      <c r="W658" s="62"/>
      <c r="X658" s="62">
        <v>1</v>
      </c>
      <c r="Y658" s="62"/>
      <c r="Z658" s="62"/>
      <c r="AA658" s="62"/>
      <c r="AB658" s="62"/>
    </row>
    <row r="659" spans="1:28" ht="15.6" customHeight="1" x14ac:dyDescent="0.2">
      <c r="A659" s="408">
        <v>658</v>
      </c>
      <c r="B659" s="409" t="str">
        <f t="shared" si="10"/>
        <v>Viscum capense</v>
      </c>
      <c r="C659" s="410" t="s">
        <v>2232</v>
      </c>
      <c r="D659" s="75" t="s">
        <v>305</v>
      </c>
      <c r="E659" s="75" t="s">
        <v>2233</v>
      </c>
      <c r="F659" s="75" t="s">
        <v>945</v>
      </c>
      <c r="G659" s="432" t="s">
        <v>1537</v>
      </c>
      <c r="H659" s="433" t="s">
        <v>3322</v>
      </c>
      <c r="I659" s="144">
        <v>7</v>
      </c>
      <c r="J659" s="144">
        <v>6</v>
      </c>
      <c r="K659" s="144">
        <v>7</v>
      </c>
      <c r="L659" s="144">
        <v>0</v>
      </c>
      <c r="M659" s="144">
        <v>0</v>
      </c>
      <c r="N659" s="144">
        <v>0</v>
      </c>
      <c r="O659" s="434" t="s">
        <v>2178</v>
      </c>
      <c r="P659" s="434" t="s">
        <v>3032</v>
      </c>
      <c r="Q659" s="413"/>
      <c r="R659" s="211">
        <v>35612</v>
      </c>
      <c r="S659" s="414"/>
      <c r="T659" s="145">
        <v>1</v>
      </c>
      <c r="U659" s="62">
        <v>1</v>
      </c>
      <c r="V659" s="62"/>
      <c r="W659" s="62"/>
      <c r="X659" s="62"/>
      <c r="Y659" s="62"/>
      <c r="Z659" s="62"/>
      <c r="AA659" s="62"/>
      <c r="AB659" s="62"/>
    </row>
    <row r="660" spans="1:28" ht="15.6" customHeight="1" x14ac:dyDescent="0.2">
      <c r="A660" s="408">
        <v>659</v>
      </c>
      <c r="B660" s="409" t="str">
        <f t="shared" si="10"/>
        <v>Rhoicissus digitata</v>
      </c>
      <c r="C660" s="410" t="s">
        <v>2234</v>
      </c>
      <c r="D660" s="75" t="s">
        <v>306</v>
      </c>
      <c r="E660" s="75" t="s">
        <v>2235</v>
      </c>
      <c r="F660" s="75" t="s">
        <v>2236</v>
      </c>
      <c r="G660" s="432" t="s">
        <v>1538</v>
      </c>
      <c r="H660" s="433" t="s">
        <v>3238</v>
      </c>
      <c r="I660" s="144">
        <v>7</v>
      </c>
      <c r="J660" s="144">
        <v>8</v>
      </c>
      <c r="K660" s="144">
        <v>3</v>
      </c>
      <c r="L660" s="144">
        <v>1</v>
      </c>
      <c r="M660" s="144">
        <v>2</v>
      </c>
      <c r="N660" s="144">
        <v>3</v>
      </c>
      <c r="O660" s="434" t="s">
        <v>1657</v>
      </c>
      <c r="P660" s="434" t="s">
        <v>3032</v>
      </c>
      <c r="Q660" s="413"/>
      <c r="R660" s="211">
        <v>37073</v>
      </c>
      <c r="S660" s="414"/>
      <c r="T660" s="145">
        <v>1</v>
      </c>
      <c r="U660" s="62"/>
      <c r="V660" s="62"/>
      <c r="W660" s="62"/>
      <c r="X660" s="62"/>
      <c r="Y660" s="62"/>
      <c r="Z660" s="62">
        <v>1</v>
      </c>
      <c r="AA660" s="62"/>
      <c r="AB660" s="62"/>
    </row>
    <row r="661" spans="1:28" ht="15.6" customHeight="1" x14ac:dyDescent="0.2">
      <c r="A661" s="408">
        <v>660</v>
      </c>
      <c r="B661" s="409" t="str">
        <f t="shared" si="10"/>
        <v>Zygophyllum flexuosum</v>
      </c>
      <c r="C661" s="410" t="s">
        <v>2237</v>
      </c>
      <c r="D661" s="75" t="s">
        <v>307</v>
      </c>
      <c r="E661" s="75" t="s">
        <v>2238</v>
      </c>
      <c r="F661" s="75" t="s">
        <v>2239</v>
      </c>
      <c r="G661" s="432" t="s">
        <v>1539</v>
      </c>
      <c r="H661" s="433" t="s">
        <v>3221</v>
      </c>
      <c r="I661" s="144">
        <v>2</v>
      </c>
      <c r="J661" s="144">
        <v>5</v>
      </c>
      <c r="K661" s="144">
        <v>2</v>
      </c>
      <c r="L661" s="144">
        <v>2</v>
      </c>
      <c r="M661" s="144">
        <v>4</v>
      </c>
      <c r="N661" s="144">
        <v>4</v>
      </c>
      <c r="O661" s="434" t="s">
        <v>2914</v>
      </c>
      <c r="P661" s="434" t="s">
        <v>3032</v>
      </c>
      <c r="Q661" s="413"/>
      <c r="R661" s="211">
        <v>35612</v>
      </c>
      <c r="S661" s="414"/>
      <c r="T661" s="415">
        <v>1</v>
      </c>
      <c r="U661" s="62">
        <v>1</v>
      </c>
      <c r="V661" s="62"/>
      <c r="W661" s="62"/>
      <c r="X661" s="62"/>
      <c r="Y661" s="62"/>
      <c r="Z661" s="62"/>
      <c r="AA661" s="62"/>
      <c r="AB661" s="62"/>
    </row>
    <row r="662" spans="1:28" ht="15.6" customHeight="1" x14ac:dyDescent="0.2">
      <c r="A662" s="408">
        <v>661</v>
      </c>
      <c r="B662" s="409" t="str">
        <f t="shared" si="10"/>
        <v>Zygophyllum sessilifolium</v>
      </c>
      <c r="C662" s="410" t="s">
        <v>2237</v>
      </c>
      <c r="D662" s="75" t="s">
        <v>308</v>
      </c>
      <c r="E662" s="75" t="s">
        <v>2238</v>
      </c>
      <c r="F662" s="75" t="s">
        <v>2240</v>
      </c>
      <c r="G662" s="432" t="s">
        <v>1540</v>
      </c>
      <c r="H662" s="433" t="s">
        <v>3216</v>
      </c>
      <c r="I662" s="144">
        <v>2</v>
      </c>
      <c r="J662" s="144">
        <v>6</v>
      </c>
      <c r="K662" s="144">
        <v>2</v>
      </c>
      <c r="L662" s="144">
        <v>2</v>
      </c>
      <c r="M662" s="144">
        <v>4</v>
      </c>
      <c r="N662" s="144">
        <v>4</v>
      </c>
      <c r="O662" s="434" t="s">
        <v>3031</v>
      </c>
      <c r="P662" s="434" t="s">
        <v>3032</v>
      </c>
      <c r="Q662" s="413"/>
      <c r="R662" s="211">
        <v>35612</v>
      </c>
      <c r="S662" s="414"/>
      <c r="T662" s="415">
        <v>1</v>
      </c>
      <c r="U662" s="62"/>
      <c r="V662" s="62">
        <v>1</v>
      </c>
      <c r="W662" s="62">
        <v>1</v>
      </c>
      <c r="X662" s="62">
        <v>1</v>
      </c>
      <c r="Y662" s="62"/>
      <c r="Z662" s="62"/>
      <c r="AA662" s="62"/>
      <c r="AB662" s="62"/>
    </row>
    <row r="663" spans="1:28" ht="15.6" customHeight="1" x14ac:dyDescent="0.2">
      <c r="A663" s="437">
        <v>1001</v>
      </c>
      <c r="B663" s="438" t="str">
        <f t="shared" si="10"/>
        <v>Nerine bowdenii</v>
      </c>
      <c r="C663" s="439" t="s">
        <v>2760</v>
      </c>
      <c r="E663" s="75" t="s">
        <v>2922</v>
      </c>
      <c r="F663" s="75" t="s">
        <v>2928</v>
      </c>
      <c r="G663" s="440" t="s">
        <v>486</v>
      </c>
      <c r="H663" s="433" t="s">
        <v>199</v>
      </c>
      <c r="I663" s="144">
        <v>9</v>
      </c>
      <c r="J663" s="144">
        <v>9</v>
      </c>
      <c r="K663" s="144">
        <v>9</v>
      </c>
      <c r="L663" s="144">
        <v>9</v>
      </c>
      <c r="M663" s="144">
        <v>9</v>
      </c>
      <c r="N663" s="144">
        <v>9</v>
      </c>
      <c r="O663" s="441"/>
      <c r="P663" s="441"/>
      <c r="Q663" s="413"/>
      <c r="S663" s="442">
        <v>1</v>
      </c>
      <c r="T663" s="415"/>
      <c r="U663" s="62"/>
      <c r="V663" s="62"/>
      <c r="W663" s="62"/>
      <c r="X663" s="62"/>
      <c r="Y663" s="62"/>
      <c r="Z663" s="62"/>
      <c r="AA663" s="62"/>
      <c r="AB663" s="62"/>
    </row>
    <row r="664" spans="1:28" ht="15.6" customHeight="1" x14ac:dyDescent="0.2">
      <c r="A664" s="437">
        <v>1002</v>
      </c>
      <c r="B664" s="438" t="str">
        <f t="shared" si="10"/>
        <v>Conyza albida</v>
      </c>
      <c r="C664" s="439" t="s">
        <v>703</v>
      </c>
      <c r="D664" s="75" t="s">
        <v>2929</v>
      </c>
      <c r="E664" s="75" t="s">
        <v>722</v>
      </c>
      <c r="F664" s="75" t="s">
        <v>723</v>
      </c>
      <c r="G664" s="440" t="s">
        <v>487</v>
      </c>
      <c r="H664" s="433" t="s">
        <v>199</v>
      </c>
      <c r="I664" s="144">
        <v>9</v>
      </c>
      <c r="J664" s="144">
        <v>9</v>
      </c>
      <c r="K664" s="144">
        <v>9</v>
      </c>
      <c r="L664" s="144">
        <v>9</v>
      </c>
      <c r="M664" s="144">
        <v>9</v>
      </c>
      <c r="N664" s="144">
        <v>9</v>
      </c>
      <c r="O664" s="441"/>
      <c r="P664" s="441"/>
      <c r="Q664" s="413"/>
      <c r="S664" s="442"/>
      <c r="T664" s="415"/>
      <c r="U664" s="62"/>
      <c r="V664" s="62"/>
      <c r="W664" s="62"/>
      <c r="X664" s="62"/>
      <c r="Y664" s="62"/>
      <c r="Z664" s="62"/>
      <c r="AA664" s="62"/>
      <c r="AB664" s="62"/>
    </row>
    <row r="665" spans="1:28" ht="15.6" customHeight="1" x14ac:dyDescent="0.2">
      <c r="A665" s="437">
        <v>1003</v>
      </c>
      <c r="B665" s="438" t="str">
        <f t="shared" si="10"/>
        <v>Tanacetum parthenium</v>
      </c>
      <c r="C665" s="439" t="s">
        <v>703</v>
      </c>
      <c r="D665" s="75" t="s">
        <v>2930</v>
      </c>
      <c r="E665" s="75" t="s">
        <v>488</v>
      </c>
      <c r="F665" s="75" t="s">
        <v>2931</v>
      </c>
      <c r="G665" s="440" t="s">
        <v>489</v>
      </c>
      <c r="H665" s="433" t="s">
        <v>199</v>
      </c>
      <c r="I665" s="144">
        <v>9</v>
      </c>
      <c r="J665" s="144">
        <v>9</v>
      </c>
      <c r="K665" s="144">
        <v>9</v>
      </c>
      <c r="L665" s="144">
        <v>9</v>
      </c>
      <c r="M665" s="144">
        <v>9</v>
      </c>
      <c r="N665" s="144">
        <v>9</v>
      </c>
      <c r="O665" s="441"/>
      <c r="P665" s="441"/>
      <c r="Q665" s="413"/>
      <c r="S665" s="442">
        <v>1</v>
      </c>
      <c r="T665" s="415"/>
      <c r="U665" s="62"/>
      <c r="V665" s="62"/>
      <c r="W665" s="62"/>
      <c r="X665" s="62"/>
      <c r="Y665" s="62"/>
      <c r="Z665" s="62"/>
      <c r="AA665" s="62"/>
      <c r="AB665" s="62"/>
    </row>
    <row r="666" spans="1:28" ht="15.6" customHeight="1" x14ac:dyDescent="0.2">
      <c r="A666" s="437">
        <v>1004</v>
      </c>
      <c r="B666" s="438" t="str">
        <f t="shared" si="10"/>
        <v>Myosotis arvensis</v>
      </c>
      <c r="C666" s="439" t="s">
        <v>2932</v>
      </c>
      <c r="D666" s="75" t="s">
        <v>2933</v>
      </c>
      <c r="E666" s="75" t="s">
        <v>2934</v>
      </c>
      <c r="F666" s="75" t="s">
        <v>2935</v>
      </c>
      <c r="G666" s="440" t="s">
        <v>490</v>
      </c>
      <c r="H666" s="433" t="s">
        <v>199</v>
      </c>
      <c r="I666" s="144">
        <v>9</v>
      </c>
      <c r="J666" s="144">
        <v>9</v>
      </c>
      <c r="K666" s="144">
        <v>9</v>
      </c>
      <c r="L666" s="144">
        <v>9</v>
      </c>
      <c r="M666" s="144">
        <v>9</v>
      </c>
      <c r="N666" s="144">
        <v>9</v>
      </c>
      <c r="O666" s="441"/>
      <c r="P666" s="441"/>
      <c r="Q666" s="413"/>
      <c r="R666" s="211">
        <v>37229</v>
      </c>
      <c r="S666" s="442">
        <v>1</v>
      </c>
      <c r="T666" s="415"/>
      <c r="U666" s="62"/>
      <c r="V666" s="62"/>
      <c r="W666" s="62"/>
      <c r="X666" s="62"/>
      <c r="Y666" s="62"/>
      <c r="Z666" s="62"/>
      <c r="AA666" s="62"/>
      <c r="AB666" s="62"/>
    </row>
    <row r="667" spans="1:28" ht="15.6" customHeight="1" x14ac:dyDescent="0.2">
      <c r="A667" s="437">
        <v>1005</v>
      </c>
      <c r="B667" s="438" t="str">
        <f t="shared" si="10"/>
        <v>Raphanus raphanistrum</v>
      </c>
      <c r="C667" s="439" t="s">
        <v>830</v>
      </c>
      <c r="D667" s="75" t="s">
        <v>2936</v>
      </c>
      <c r="E667" s="75" t="s">
        <v>2937</v>
      </c>
      <c r="F667" s="75" t="s">
        <v>2938</v>
      </c>
      <c r="G667" s="440" t="s">
        <v>491</v>
      </c>
      <c r="H667" s="433" t="s">
        <v>199</v>
      </c>
      <c r="I667" s="144">
        <v>9</v>
      </c>
      <c r="J667" s="144">
        <v>9</v>
      </c>
      <c r="K667" s="144">
        <v>9</v>
      </c>
      <c r="L667" s="144">
        <v>9</v>
      </c>
      <c r="M667" s="144">
        <v>9</v>
      </c>
      <c r="N667" s="144">
        <v>9</v>
      </c>
      <c r="O667" s="441"/>
      <c r="P667" s="441"/>
      <c r="Q667" s="413"/>
      <c r="R667" s="211">
        <v>36868</v>
      </c>
      <c r="S667" s="442">
        <v>1</v>
      </c>
      <c r="T667" s="415"/>
      <c r="U667" s="62"/>
      <c r="V667" s="62"/>
      <c r="W667" s="62"/>
      <c r="X667" s="62"/>
      <c r="Y667" s="62"/>
      <c r="Z667" s="62"/>
      <c r="AA667" s="62"/>
      <c r="AB667" s="62"/>
    </row>
    <row r="668" spans="1:28" ht="15.6" customHeight="1" x14ac:dyDescent="0.2">
      <c r="A668" s="437">
        <v>1006</v>
      </c>
      <c r="B668" s="438" t="str">
        <f t="shared" si="10"/>
        <v>Petrorhagia prolifera</v>
      </c>
      <c r="C668" s="439" t="s">
        <v>887</v>
      </c>
      <c r="E668" s="75" t="s">
        <v>2939</v>
      </c>
      <c r="F668" s="75" t="s">
        <v>2940</v>
      </c>
      <c r="G668" s="440" t="s">
        <v>492</v>
      </c>
      <c r="H668" s="433" t="s">
        <v>199</v>
      </c>
      <c r="I668" s="144">
        <v>9</v>
      </c>
      <c r="J668" s="144">
        <v>9</v>
      </c>
      <c r="K668" s="144">
        <v>9</v>
      </c>
      <c r="L668" s="144">
        <v>9</v>
      </c>
      <c r="M668" s="144">
        <v>9</v>
      </c>
      <c r="N668" s="144">
        <v>9</v>
      </c>
      <c r="O668" s="441"/>
      <c r="P668" s="441"/>
      <c r="Q668" s="413"/>
      <c r="S668" s="442">
        <v>1</v>
      </c>
      <c r="T668" s="415"/>
      <c r="U668" s="62"/>
      <c r="V668" s="62"/>
      <c r="W668" s="62"/>
      <c r="X668" s="62"/>
      <c r="Y668" s="62"/>
      <c r="Z668" s="62"/>
      <c r="AA668" s="62"/>
      <c r="AB668" s="62"/>
    </row>
    <row r="669" spans="1:28" ht="15.6" customHeight="1" x14ac:dyDescent="0.2">
      <c r="A669" s="437">
        <v>1007</v>
      </c>
      <c r="B669" s="438" t="str">
        <f t="shared" si="10"/>
        <v>Polycarpon tetraphyllum</v>
      </c>
      <c r="C669" s="439" t="s">
        <v>887</v>
      </c>
      <c r="E669" s="75" t="s">
        <v>2941</v>
      </c>
      <c r="F669" s="75" t="s">
        <v>2942</v>
      </c>
      <c r="G669" s="440" t="s">
        <v>493</v>
      </c>
      <c r="H669" s="433" t="s">
        <v>199</v>
      </c>
      <c r="I669" s="144">
        <v>9</v>
      </c>
      <c r="J669" s="144">
        <v>9</v>
      </c>
      <c r="K669" s="144">
        <v>9</v>
      </c>
      <c r="L669" s="144">
        <v>9</v>
      </c>
      <c r="M669" s="144">
        <v>9</v>
      </c>
      <c r="N669" s="144">
        <v>9</v>
      </c>
      <c r="O669" s="441"/>
      <c r="P669" s="441"/>
      <c r="Q669" s="413"/>
      <c r="R669" s="211">
        <v>37334</v>
      </c>
      <c r="S669" s="442">
        <v>1</v>
      </c>
      <c r="T669" s="415"/>
      <c r="U669" s="62"/>
      <c r="V669" s="62"/>
      <c r="W669" s="62"/>
      <c r="X669" s="62"/>
      <c r="Y669" s="62"/>
      <c r="Z669" s="62"/>
      <c r="AA669" s="62"/>
      <c r="AB669" s="62"/>
    </row>
    <row r="670" spans="1:28" ht="15.6" customHeight="1" x14ac:dyDescent="0.2">
      <c r="A670" s="437">
        <v>1008</v>
      </c>
      <c r="B670" s="438" t="str">
        <f t="shared" si="10"/>
        <v>Silene gallica</v>
      </c>
      <c r="C670" s="439" t="s">
        <v>887</v>
      </c>
      <c r="D670" s="75" t="s">
        <v>2943</v>
      </c>
      <c r="E670" s="75" t="s">
        <v>951</v>
      </c>
      <c r="F670" s="75" t="s">
        <v>953</v>
      </c>
      <c r="G670" s="440" t="s">
        <v>494</v>
      </c>
      <c r="H670" s="433" t="s">
        <v>199</v>
      </c>
      <c r="I670" s="144">
        <v>9</v>
      </c>
      <c r="J670" s="144">
        <v>9</v>
      </c>
      <c r="K670" s="144">
        <v>9</v>
      </c>
      <c r="L670" s="144">
        <v>9</v>
      </c>
      <c r="M670" s="144">
        <v>9</v>
      </c>
      <c r="N670" s="144">
        <v>9</v>
      </c>
      <c r="O670" s="441"/>
      <c r="P670" s="441"/>
      <c r="Q670" s="413"/>
      <c r="R670" s="211">
        <v>37215</v>
      </c>
      <c r="S670" s="442">
        <v>1</v>
      </c>
      <c r="T670" s="415"/>
      <c r="U670" s="62"/>
      <c r="V670" s="62"/>
      <c r="W670" s="62"/>
      <c r="X670" s="62"/>
      <c r="Y670" s="62"/>
      <c r="Z670" s="62"/>
      <c r="AA670" s="62"/>
      <c r="AB670" s="62"/>
    </row>
    <row r="671" spans="1:28" ht="15.6" customHeight="1" x14ac:dyDescent="0.2">
      <c r="A671" s="437">
        <v>1009</v>
      </c>
      <c r="B671" s="438" t="str">
        <f t="shared" si="10"/>
        <v>Silene cretica</v>
      </c>
      <c r="C671" s="439" t="s">
        <v>887</v>
      </c>
      <c r="D671" s="75" t="s">
        <v>16</v>
      </c>
      <c r="E671" s="75" t="s">
        <v>951</v>
      </c>
      <c r="F671" s="75" t="s">
        <v>952</v>
      </c>
      <c r="G671" s="440" t="s">
        <v>495</v>
      </c>
      <c r="H671" s="433" t="s">
        <v>199</v>
      </c>
      <c r="I671" s="144">
        <v>9</v>
      </c>
      <c r="J671" s="144">
        <v>9</v>
      </c>
      <c r="K671" s="144">
        <v>9</v>
      </c>
      <c r="L671" s="144">
        <v>9</v>
      </c>
      <c r="M671" s="144">
        <v>9</v>
      </c>
      <c r="N671" s="144">
        <v>9</v>
      </c>
      <c r="O671" s="441"/>
      <c r="P671" s="441"/>
      <c r="Q671" s="413"/>
      <c r="R671" s="62"/>
      <c r="S671" s="442"/>
      <c r="T671" s="415"/>
      <c r="U671" s="62"/>
      <c r="V671" s="62"/>
      <c r="W671" s="62"/>
      <c r="X671" s="62"/>
      <c r="Y671" s="62"/>
      <c r="Z671" s="62"/>
      <c r="AA671" s="62"/>
      <c r="AB671" s="62"/>
    </row>
    <row r="672" spans="1:28" ht="15.6" customHeight="1" x14ac:dyDescent="0.2">
      <c r="A672" s="437">
        <v>1010</v>
      </c>
      <c r="B672" s="438" t="str">
        <f t="shared" si="10"/>
        <v>Stellaria media</v>
      </c>
      <c r="C672" s="439" t="s">
        <v>887</v>
      </c>
      <c r="E672" s="75" t="s">
        <v>2944</v>
      </c>
      <c r="F672" s="75" t="s">
        <v>1603</v>
      </c>
      <c r="G672" s="440" t="s">
        <v>496</v>
      </c>
      <c r="H672" s="433" t="s">
        <v>199</v>
      </c>
      <c r="I672" s="144">
        <v>9</v>
      </c>
      <c r="J672" s="144">
        <v>9</v>
      </c>
      <c r="K672" s="144">
        <v>9</v>
      </c>
      <c r="L672" s="144">
        <v>9</v>
      </c>
      <c r="M672" s="144">
        <v>9</v>
      </c>
      <c r="N672" s="144">
        <v>9</v>
      </c>
      <c r="O672" s="441"/>
      <c r="P672" s="441"/>
      <c r="Q672" s="413"/>
      <c r="R672" s="211">
        <v>37334</v>
      </c>
      <c r="S672" s="442">
        <v>1</v>
      </c>
      <c r="T672" s="415"/>
      <c r="U672" s="62"/>
      <c r="V672" s="62"/>
      <c r="W672" s="62"/>
      <c r="X672" s="62"/>
      <c r="Y672" s="62"/>
      <c r="Z672" s="62"/>
      <c r="AA672" s="62"/>
      <c r="AB672" s="62"/>
    </row>
    <row r="673" spans="1:28" ht="15.6" customHeight="1" x14ac:dyDescent="0.2">
      <c r="A673" s="437">
        <v>1011</v>
      </c>
      <c r="B673" s="438" t="str">
        <f t="shared" si="10"/>
        <v>Euphorbia helioscopia</v>
      </c>
      <c r="C673" s="439" t="s">
        <v>1052</v>
      </c>
      <c r="E673" s="75" t="s">
        <v>1059</v>
      </c>
      <c r="F673" s="75" t="s">
        <v>2945</v>
      </c>
      <c r="G673" s="440" t="s">
        <v>497</v>
      </c>
      <c r="H673" s="433" t="s">
        <v>199</v>
      </c>
      <c r="I673" s="144">
        <v>9</v>
      </c>
      <c r="J673" s="144">
        <v>9</v>
      </c>
      <c r="K673" s="144">
        <v>9</v>
      </c>
      <c r="L673" s="144">
        <v>9</v>
      </c>
      <c r="M673" s="144">
        <v>9</v>
      </c>
      <c r="N673" s="144">
        <v>9</v>
      </c>
      <c r="O673" s="441"/>
      <c r="P673" s="441"/>
      <c r="Q673" s="413"/>
      <c r="S673" s="442"/>
      <c r="T673" s="415"/>
      <c r="U673" s="62"/>
      <c r="V673" s="62"/>
      <c r="W673" s="62"/>
      <c r="X673" s="62"/>
      <c r="Y673" s="62"/>
      <c r="Z673" s="62"/>
      <c r="AA673" s="62"/>
      <c r="AB673" s="62"/>
    </row>
    <row r="674" spans="1:28" ht="15.6" customHeight="1" x14ac:dyDescent="0.2">
      <c r="A674" s="437">
        <v>1012</v>
      </c>
      <c r="B674" s="438" t="str">
        <f t="shared" si="10"/>
        <v>Euphorbia peplus</v>
      </c>
      <c r="C674" s="439" t="s">
        <v>1052</v>
      </c>
      <c r="E674" s="75" t="s">
        <v>1059</v>
      </c>
      <c r="F674" s="75" t="s">
        <v>2946</v>
      </c>
      <c r="G674" s="440" t="s">
        <v>498</v>
      </c>
      <c r="H674" s="433" t="s">
        <v>199</v>
      </c>
      <c r="I674" s="144">
        <v>9</v>
      </c>
      <c r="J674" s="144">
        <v>9</v>
      </c>
      <c r="K674" s="144">
        <v>9</v>
      </c>
      <c r="L674" s="144">
        <v>9</v>
      </c>
      <c r="M674" s="144">
        <v>9</v>
      </c>
      <c r="N674" s="144">
        <v>9</v>
      </c>
      <c r="O674" s="441"/>
      <c r="P674" s="441"/>
      <c r="Q674" s="413"/>
      <c r="R674" s="211">
        <v>37334</v>
      </c>
      <c r="S674" s="442">
        <v>1</v>
      </c>
      <c r="T674" s="415"/>
      <c r="U674" s="62"/>
      <c r="V674" s="62"/>
      <c r="W674" s="62"/>
      <c r="X674" s="62"/>
      <c r="Y674" s="62"/>
      <c r="Z674" s="62"/>
      <c r="AA674" s="62"/>
      <c r="AB674" s="62"/>
    </row>
    <row r="675" spans="1:28" ht="15.6" customHeight="1" x14ac:dyDescent="0.2">
      <c r="A675" s="437">
        <v>1013</v>
      </c>
      <c r="B675" s="438" t="str">
        <f t="shared" si="10"/>
        <v>Ricinus communis</v>
      </c>
      <c r="C675" s="439" t="s">
        <v>1052</v>
      </c>
      <c r="E675" s="75" t="s">
        <v>2947</v>
      </c>
      <c r="F675" s="75" t="s">
        <v>2948</v>
      </c>
      <c r="G675" s="440" t="s">
        <v>499</v>
      </c>
      <c r="H675" s="433" t="s">
        <v>199</v>
      </c>
      <c r="I675" s="144">
        <v>9</v>
      </c>
      <c r="J675" s="144">
        <v>9</v>
      </c>
      <c r="K675" s="144">
        <v>9</v>
      </c>
      <c r="L675" s="144">
        <v>9</v>
      </c>
      <c r="M675" s="144">
        <v>9</v>
      </c>
      <c r="N675" s="144">
        <v>9</v>
      </c>
      <c r="O675" s="441"/>
      <c r="P675" s="441"/>
      <c r="Q675" s="413"/>
      <c r="S675" s="442">
        <v>1</v>
      </c>
      <c r="T675" s="415"/>
      <c r="U675" s="62"/>
      <c r="V675" s="62"/>
      <c r="W675" s="62"/>
      <c r="X675" s="62"/>
      <c r="Y675" s="62"/>
      <c r="Z675" s="62"/>
      <c r="AA675" s="62"/>
      <c r="AB675" s="62"/>
    </row>
    <row r="676" spans="1:28" ht="15.6" customHeight="1" x14ac:dyDescent="0.2">
      <c r="A676" s="437">
        <v>1014</v>
      </c>
      <c r="B676" s="438" t="str">
        <f t="shared" si="10"/>
        <v>Melilotus indica</v>
      </c>
      <c r="C676" s="439" t="s">
        <v>1061</v>
      </c>
      <c r="E676" s="75" t="s">
        <v>2949</v>
      </c>
      <c r="F676" s="75" t="s">
        <v>997</v>
      </c>
      <c r="G676" s="440" t="s">
        <v>500</v>
      </c>
      <c r="H676" s="433" t="s">
        <v>199</v>
      </c>
      <c r="I676" s="144">
        <v>9</v>
      </c>
      <c r="J676" s="144">
        <v>9</v>
      </c>
      <c r="K676" s="144">
        <v>9</v>
      </c>
      <c r="L676" s="144">
        <v>9</v>
      </c>
      <c r="M676" s="144">
        <v>9</v>
      </c>
      <c r="N676" s="144">
        <v>9</v>
      </c>
      <c r="O676" s="441"/>
      <c r="P676" s="441"/>
      <c r="Q676" s="413"/>
      <c r="R676" s="211">
        <v>37229</v>
      </c>
      <c r="S676" s="442">
        <v>1</v>
      </c>
      <c r="T676" s="415"/>
      <c r="U676" s="62"/>
      <c r="V676" s="62"/>
      <c r="W676" s="62"/>
      <c r="X676" s="62"/>
      <c r="Y676" s="62"/>
      <c r="Z676" s="62"/>
      <c r="AA676" s="62"/>
      <c r="AB676" s="62"/>
    </row>
    <row r="677" spans="1:28" ht="15.6" customHeight="1" x14ac:dyDescent="0.2">
      <c r="A677" s="437">
        <v>1015</v>
      </c>
      <c r="B677" s="438" t="str">
        <f t="shared" si="10"/>
        <v>Trifolium  campestre</v>
      </c>
      <c r="C677" s="439" t="s">
        <v>1061</v>
      </c>
      <c r="E677" s="75" t="s">
        <v>2950</v>
      </c>
      <c r="F677" s="75" t="s">
        <v>2951</v>
      </c>
      <c r="G677" s="440" t="s">
        <v>501</v>
      </c>
      <c r="H677" s="433" t="s">
        <v>199</v>
      </c>
      <c r="I677" s="144">
        <v>9</v>
      </c>
      <c r="J677" s="144">
        <v>9</v>
      </c>
      <c r="K677" s="144">
        <v>9</v>
      </c>
      <c r="L677" s="144">
        <v>9</v>
      </c>
      <c r="M677" s="144">
        <v>9</v>
      </c>
      <c r="N677" s="144">
        <v>9</v>
      </c>
      <c r="O677" s="441"/>
      <c r="P677" s="441"/>
      <c r="Q677" s="413"/>
      <c r="R677" s="211">
        <v>37229</v>
      </c>
      <c r="S677" s="442">
        <v>1</v>
      </c>
      <c r="T677" s="415"/>
      <c r="U677" s="62"/>
      <c r="V677" s="62"/>
      <c r="W677" s="62"/>
      <c r="X677" s="62"/>
      <c r="Y677" s="62"/>
      <c r="Z677" s="62"/>
      <c r="AA677" s="62"/>
      <c r="AB677" s="62"/>
    </row>
    <row r="678" spans="1:28" ht="15.6" customHeight="1" x14ac:dyDescent="0.2">
      <c r="A678" s="437">
        <v>1016</v>
      </c>
      <c r="B678" s="438" t="str">
        <f t="shared" si="10"/>
        <v>Lotus subbiflorus</v>
      </c>
      <c r="C678" s="439" t="s">
        <v>2952</v>
      </c>
      <c r="E678" s="75" t="s">
        <v>2953</v>
      </c>
      <c r="F678" s="75" t="s">
        <v>2954</v>
      </c>
      <c r="G678" s="440" t="s">
        <v>502</v>
      </c>
      <c r="H678" s="433" t="s">
        <v>199</v>
      </c>
      <c r="I678" s="144">
        <v>9</v>
      </c>
      <c r="J678" s="144">
        <v>9</v>
      </c>
      <c r="K678" s="144">
        <v>9</v>
      </c>
      <c r="L678" s="144">
        <v>9</v>
      </c>
      <c r="M678" s="144">
        <v>9</v>
      </c>
      <c r="N678" s="144">
        <v>9</v>
      </c>
      <c r="O678" s="441"/>
      <c r="P678" s="441"/>
      <c r="Q678" s="413"/>
      <c r="R678" s="211">
        <v>35971</v>
      </c>
      <c r="S678" s="442">
        <v>1</v>
      </c>
      <c r="T678" s="415"/>
      <c r="U678" s="62"/>
      <c r="V678" s="62"/>
      <c r="W678" s="62"/>
      <c r="X678" s="62"/>
      <c r="Y678" s="62"/>
      <c r="Z678" s="62"/>
      <c r="AA678" s="62"/>
      <c r="AB678" s="62"/>
    </row>
    <row r="679" spans="1:28" ht="15.6" customHeight="1" x14ac:dyDescent="0.2">
      <c r="A679" s="437">
        <v>1017</v>
      </c>
      <c r="B679" s="438" t="str">
        <f t="shared" si="10"/>
        <v>Acacia cyclops</v>
      </c>
      <c r="C679" s="439" t="s">
        <v>1061</v>
      </c>
      <c r="D679" s="75" t="s">
        <v>2955</v>
      </c>
      <c r="E679" s="75" t="s">
        <v>2956</v>
      </c>
      <c r="F679" s="75" t="s">
        <v>2957</v>
      </c>
      <c r="G679" s="440" t="s">
        <v>540</v>
      </c>
      <c r="H679" s="433" t="s">
        <v>3280</v>
      </c>
      <c r="I679" s="144">
        <v>1</v>
      </c>
      <c r="J679" s="144">
        <v>2</v>
      </c>
      <c r="K679" s="144">
        <v>2</v>
      </c>
      <c r="L679" s="144">
        <v>2</v>
      </c>
      <c r="M679" s="144">
        <v>2</v>
      </c>
      <c r="N679" s="144">
        <v>2</v>
      </c>
      <c r="O679" s="441"/>
      <c r="P679" s="441"/>
      <c r="Q679" s="413"/>
      <c r="S679" s="442">
        <v>1</v>
      </c>
      <c r="T679" s="415"/>
      <c r="U679" s="62"/>
      <c r="V679" s="62"/>
      <c r="W679" s="62"/>
      <c r="X679" s="62"/>
      <c r="Y679" s="62"/>
      <c r="Z679" s="62"/>
      <c r="AA679" s="62"/>
      <c r="AB679" s="62"/>
    </row>
    <row r="680" spans="1:28" ht="15.6" customHeight="1" x14ac:dyDescent="0.2">
      <c r="A680" s="437">
        <v>1018</v>
      </c>
      <c r="B680" s="438" t="str">
        <f t="shared" si="10"/>
        <v>Acacia longifolia</v>
      </c>
      <c r="C680" s="439" t="s">
        <v>1061</v>
      </c>
      <c r="D680" s="75" t="s">
        <v>2958</v>
      </c>
      <c r="E680" s="75" t="s">
        <v>2956</v>
      </c>
      <c r="F680" s="75" t="s">
        <v>883</v>
      </c>
      <c r="G680" s="440" t="s">
        <v>503</v>
      </c>
      <c r="H680" s="433" t="s">
        <v>199</v>
      </c>
      <c r="I680" s="144">
        <v>9</v>
      </c>
      <c r="J680" s="144">
        <v>9</v>
      </c>
      <c r="K680" s="144">
        <v>9</v>
      </c>
      <c r="L680" s="144">
        <v>9</v>
      </c>
      <c r="M680" s="144">
        <v>9</v>
      </c>
      <c r="N680" s="144">
        <v>9</v>
      </c>
      <c r="O680" s="441"/>
      <c r="P680" s="441"/>
      <c r="Q680" s="413"/>
      <c r="S680" s="442" t="s">
        <v>2250</v>
      </c>
      <c r="T680" s="415"/>
      <c r="U680" s="62"/>
      <c r="V680" s="62"/>
      <c r="W680" s="62"/>
      <c r="X680" s="62"/>
      <c r="Y680" s="62"/>
      <c r="Z680" s="62"/>
      <c r="AA680" s="62"/>
      <c r="AB680" s="62"/>
    </row>
    <row r="681" spans="1:28" ht="15.6" customHeight="1" x14ac:dyDescent="0.2">
      <c r="A681" s="437">
        <v>1019</v>
      </c>
      <c r="B681" s="438" t="str">
        <f t="shared" si="10"/>
        <v>Acacia mearnsii</v>
      </c>
      <c r="C681" s="439" t="s">
        <v>1061</v>
      </c>
      <c r="E681" s="75" t="s">
        <v>2956</v>
      </c>
      <c r="F681" s="75" t="s">
        <v>2959</v>
      </c>
      <c r="G681" s="440" t="s">
        <v>563</v>
      </c>
      <c r="H681" s="433" t="s">
        <v>3323</v>
      </c>
      <c r="I681" s="144">
        <v>1</v>
      </c>
      <c r="J681" s="144">
        <v>1</v>
      </c>
      <c r="K681" s="144">
        <v>2</v>
      </c>
      <c r="L681" s="144">
        <v>2</v>
      </c>
      <c r="M681" s="144">
        <v>1</v>
      </c>
      <c r="N681" s="144">
        <v>4</v>
      </c>
      <c r="O681" s="441"/>
      <c r="P681" s="441"/>
      <c r="Q681" s="413"/>
      <c r="S681" s="442">
        <v>1</v>
      </c>
      <c r="T681" s="415"/>
      <c r="U681" s="62"/>
      <c r="V681" s="62"/>
      <c r="W681" s="62"/>
      <c r="X681" s="62"/>
      <c r="Y681" s="62"/>
      <c r="Z681" s="62"/>
      <c r="AA681" s="62"/>
      <c r="AB681" s="62"/>
    </row>
    <row r="682" spans="1:28" ht="15.6" customHeight="1" x14ac:dyDescent="0.2">
      <c r="A682" s="437">
        <v>1020</v>
      </c>
      <c r="B682" s="438" t="str">
        <f t="shared" si="10"/>
        <v>Acacia saligna</v>
      </c>
      <c r="C682" s="439" t="s">
        <v>1061</v>
      </c>
      <c r="D682" s="75" t="s">
        <v>2960</v>
      </c>
      <c r="E682" s="75" t="s">
        <v>2956</v>
      </c>
      <c r="F682" s="75" t="s">
        <v>2961</v>
      </c>
      <c r="G682" s="440" t="s">
        <v>504</v>
      </c>
      <c r="H682" s="433" t="s">
        <v>199</v>
      </c>
      <c r="I682" s="144">
        <v>9</v>
      </c>
      <c r="J682" s="144">
        <v>9</v>
      </c>
      <c r="K682" s="144">
        <v>9</v>
      </c>
      <c r="L682" s="144">
        <v>9</v>
      </c>
      <c r="M682" s="144">
        <v>9</v>
      </c>
      <c r="N682" s="144">
        <v>9</v>
      </c>
      <c r="O682" s="441"/>
      <c r="P682" s="441"/>
      <c r="Q682" s="413"/>
      <c r="S682" s="442">
        <v>1</v>
      </c>
      <c r="T682" s="415"/>
      <c r="U682" s="62"/>
      <c r="V682" s="62"/>
      <c r="W682" s="62"/>
      <c r="X682" s="62"/>
      <c r="Y682" s="62"/>
      <c r="Z682" s="62"/>
      <c r="AA682" s="62"/>
      <c r="AB682" s="62"/>
    </row>
    <row r="683" spans="1:28" ht="15.6" customHeight="1" x14ac:dyDescent="0.2">
      <c r="A683" s="437">
        <v>1021</v>
      </c>
      <c r="B683" s="438" t="str">
        <f t="shared" si="10"/>
        <v>Fumaria muralis</v>
      </c>
      <c r="C683" s="439" t="s">
        <v>1550</v>
      </c>
      <c r="D683" s="75" t="s">
        <v>2962</v>
      </c>
      <c r="E683" s="75" t="s">
        <v>2963</v>
      </c>
      <c r="F683" s="75" t="s">
        <v>2964</v>
      </c>
      <c r="G683" s="440" t="s">
        <v>505</v>
      </c>
      <c r="H683" s="433" t="s">
        <v>199</v>
      </c>
      <c r="I683" s="144">
        <v>9</v>
      </c>
      <c r="J683" s="144">
        <v>9</v>
      </c>
      <c r="K683" s="144">
        <v>9</v>
      </c>
      <c r="L683" s="144">
        <v>9</v>
      </c>
      <c r="M683" s="144">
        <v>9</v>
      </c>
      <c r="N683" s="144">
        <v>9</v>
      </c>
      <c r="O683" s="441"/>
      <c r="P683" s="441"/>
      <c r="Q683" s="413"/>
      <c r="S683" s="442" t="s">
        <v>2250</v>
      </c>
      <c r="T683" s="415"/>
      <c r="U683" s="62"/>
      <c r="V683" s="62"/>
      <c r="W683" s="62"/>
      <c r="X683" s="62"/>
      <c r="Y683" s="62"/>
      <c r="Z683" s="62"/>
      <c r="AA683" s="62"/>
      <c r="AB683" s="62"/>
    </row>
    <row r="684" spans="1:28" ht="15.6" customHeight="1" x14ac:dyDescent="0.2">
      <c r="A684" s="437">
        <v>1022</v>
      </c>
      <c r="B684" s="438" t="str">
        <f t="shared" si="10"/>
        <v>Erodium chium</v>
      </c>
      <c r="C684" s="439" t="s">
        <v>1564</v>
      </c>
      <c r="E684" s="75" t="s">
        <v>1565</v>
      </c>
      <c r="F684" s="75" t="s">
        <v>566</v>
      </c>
      <c r="G684" s="440" t="s">
        <v>1196</v>
      </c>
      <c r="H684" s="433" t="s">
        <v>199</v>
      </c>
      <c r="I684" s="144">
        <v>9</v>
      </c>
      <c r="J684" s="144">
        <v>9</v>
      </c>
      <c r="K684" s="144">
        <v>9</v>
      </c>
      <c r="L684" s="144">
        <v>9</v>
      </c>
      <c r="M684" s="144">
        <v>9</v>
      </c>
      <c r="N684" s="144">
        <v>9</v>
      </c>
      <c r="O684" s="441"/>
      <c r="P684" s="441"/>
      <c r="Q684" s="413"/>
      <c r="S684" s="442"/>
      <c r="T684" s="415"/>
      <c r="U684" s="62"/>
      <c r="V684" s="62"/>
      <c r="W684" s="62"/>
      <c r="X684" s="62"/>
      <c r="Y684" s="62"/>
      <c r="Z684" s="62"/>
      <c r="AA684" s="62"/>
      <c r="AB684" s="62"/>
    </row>
    <row r="685" spans="1:28" ht="15.6" customHeight="1" x14ac:dyDescent="0.2">
      <c r="A685" s="437">
        <v>1023</v>
      </c>
      <c r="B685" s="438" t="str">
        <f t="shared" si="10"/>
        <v>Erodium botrys</v>
      </c>
      <c r="C685" s="439" t="s">
        <v>1564</v>
      </c>
      <c r="E685" s="75" t="s">
        <v>1565</v>
      </c>
      <c r="F685" s="75" t="s">
        <v>565</v>
      </c>
      <c r="G685" s="440" t="s">
        <v>506</v>
      </c>
      <c r="H685" s="433" t="s">
        <v>199</v>
      </c>
      <c r="I685" s="144">
        <v>9</v>
      </c>
      <c r="J685" s="144">
        <v>9</v>
      </c>
      <c r="K685" s="144">
        <v>9</v>
      </c>
      <c r="L685" s="144">
        <v>9</v>
      </c>
      <c r="M685" s="144">
        <v>9</v>
      </c>
      <c r="N685" s="144">
        <v>9</v>
      </c>
      <c r="O685" s="441"/>
      <c r="P685" s="441"/>
      <c r="Q685" s="413"/>
      <c r="S685" s="442"/>
      <c r="T685" s="415"/>
      <c r="U685" s="62"/>
      <c r="V685" s="62"/>
      <c r="W685" s="62"/>
      <c r="X685" s="62"/>
      <c r="Y685" s="62"/>
      <c r="Z685" s="62"/>
      <c r="AA685" s="62"/>
      <c r="AB685" s="62"/>
    </row>
    <row r="686" spans="1:28" ht="15.6" customHeight="1" x14ac:dyDescent="0.2">
      <c r="A686" s="437">
        <v>1024</v>
      </c>
      <c r="B686" s="438" t="str">
        <f t="shared" si="10"/>
        <v>Lythrum hyssopifolium</v>
      </c>
      <c r="C686" s="439" t="s">
        <v>2965</v>
      </c>
      <c r="E686" s="75" t="s">
        <v>2966</v>
      </c>
      <c r="F686" s="75" t="s">
        <v>2967</v>
      </c>
      <c r="G686" s="440" t="s">
        <v>507</v>
      </c>
      <c r="H686" s="433" t="s">
        <v>199</v>
      </c>
      <c r="I686" s="144">
        <v>9</v>
      </c>
      <c r="J686" s="144">
        <v>9</v>
      </c>
      <c r="K686" s="144">
        <v>9</v>
      </c>
      <c r="L686" s="144">
        <v>9</v>
      </c>
      <c r="M686" s="144">
        <v>9</v>
      </c>
      <c r="N686" s="144">
        <v>9</v>
      </c>
      <c r="O686" s="441"/>
      <c r="P686" s="441"/>
      <c r="Q686" s="413"/>
      <c r="R686" s="211">
        <v>37334</v>
      </c>
      <c r="S686" s="442">
        <v>1</v>
      </c>
      <c r="T686" s="415"/>
      <c r="U686" s="62"/>
      <c r="V686" s="62"/>
      <c r="W686" s="62"/>
      <c r="X686" s="62"/>
      <c r="Y686" s="62"/>
      <c r="Z686" s="62"/>
      <c r="AA686" s="62"/>
      <c r="AB686" s="62"/>
    </row>
    <row r="687" spans="1:28" ht="15.6" customHeight="1" x14ac:dyDescent="0.2">
      <c r="A687" s="437">
        <v>1025</v>
      </c>
      <c r="B687" s="438" t="str">
        <f t="shared" si="10"/>
        <v>Hibiscus trionum</v>
      </c>
      <c r="C687" s="439" t="s">
        <v>1695</v>
      </c>
      <c r="E687" s="75" t="s">
        <v>1705</v>
      </c>
      <c r="F687" s="75" t="s">
        <v>1706</v>
      </c>
      <c r="G687" s="440" t="s">
        <v>3507</v>
      </c>
      <c r="H687" s="433" t="s">
        <v>199</v>
      </c>
      <c r="I687" s="144">
        <v>9</v>
      </c>
      <c r="J687" s="144">
        <v>9</v>
      </c>
      <c r="K687" s="144">
        <v>9</v>
      </c>
      <c r="L687" s="144">
        <v>9</v>
      </c>
      <c r="M687" s="144">
        <v>9</v>
      </c>
      <c r="N687" s="144">
        <v>9</v>
      </c>
      <c r="O687" s="441"/>
      <c r="P687" s="441"/>
      <c r="Q687" s="413"/>
      <c r="S687" s="442">
        <v>1</v>
      </c>
      <c r="T687" s="415"/>
      <c r="U687" s="62"/>
      <c r="V687" s="62"/>
      <c r="W687" s="62"/>
      <c r="X687" s="62"/>
      <c r="Y687" s="62"/>
      <c r="Z687" s="62"/>
      <c r="AA687" s="62"/>
      <c r="AB687" s="62"/>
    </row>
    <row r="688" spans="1:28" ht="15.6" customHeight="1" x14ac:dyDescent="0.2">
      <c r="A688" s="437">
        <v>1026</v>
      </c>
      <c r="B688" s="438" t="str">
        <f t="shared" si="10"/>
        <v>Myoporum sp.</v>
      </c>
      <c r="C688" s="439" t="s">
        <v>2968</v>
      </c>
      <c r="E688" s="75" t="s">
        <v>2969</v>
      </c>
      <c r="F688" s="75" t="s">
        <v>2970</v>
      </c>
      <c r="G688" s="440" t="s">
        <v>508</v>
      </c>
      <c r="H688" s="433" t="s">
        <v>199</v>
      </c>
      <c r="I688" s="144">
        <v>9</v>
      </c>
      <c r="J688" s="144">
        <v>9</v>
      </c>
      <c r="K688" s="144">
        <v>9</v>
      </c>
      <c r="L688" s="144">
        <v>9</v>
      </c>
      <c r="M688" s="144">
        <v>9</v>
      </c>
      <c r="N688" s="144">
        <v>9</v>
      </c>
      <c r="O688" s="441"/>
      <c r="P688" s="441"/>
      <c r="Q688" s="413"/>
      <c r="S688" s="442" t="s">
        <v>2250</v>
      </c>
      <c r="T688" s="415"/>
      <c r="U688" s="62"/>
      <c r="V688" s="62"/>
      <c r="W688" s="62"/>
      <c r="X688" s="62"/>
      <c r="Y688" s="62"/>
      <c r="Z688" s="62"/>
      <c r="AA688" s="62"/>
      <c r="AB688" s="62"/>
    </row>
    <row r="689" spans="1:28" ht="15.6" customHeight="1" x14ac:dyDescent="0.2">
      <c r="A689" s="437">
        <v>1027</v>
      </c>
      <c r="B689" s="438" t="str">
        <f t="shared" si="10"/>
        <v>Eucalyptus gomphocephala</v>
      </c>
      <c r="C689" s="439" t="s">
        <v>2971</v>
      </c>
      <c r="D689" s="75" t="s">
        <v>2972</v>
      </c>
      <c r="E689" s="75" t="s">
        <v>2973</v>
      </c>
      <c r="F689" s="75" t="s">
        <v>2974</v>
      </c>
      <c r="G689" s="440" t="s">
        <v>509</v>
      </c>
      <c r="H689" s="433" t="s">
        <v>199</v>
      </c>
      <c r="I689" s="144">
        <v>9</v>
      </c>
      <c r="J689" s="144">
        <v>9</v>
      </c>
      <c r="K689" s="144">
        <v>9</v>
      </c>
      <c r="L689" s="144">
        <v>9</v>
      </c>
      <c r="M689" s="144">
        <v>9</v>
      </c>
      <c r="N689" s="144">
        <v>9</v>
      </c>
      <c r="O689" s="441"/>
      <c r="P689" s="441"/>
      <c r="Q689" s="413"/>
      <c r="S689" s="442">
        <v>1</v>
      </c>
      <c r="T689" s="415"/>
      <c r="U689" s="62"/>
      <c r="V689" s="62"/>
      <c r="W689" s="62"/>
      <c r="X689" s="62"/>
      <c r="Y689" s="62"/>
      <c r="Z689" s="62"/>
      <c r="AA689" s="62"/>
      <c r="AB689" s="62"/>
    </row>
    <row r="690" spans="1:28" ht="15.6" customHeight="1" x14ac:dyDescent="0.2">
      <c r="A690" s="437">
        <v>1028</v>
      </c>
      <c r="B690" s="438" t="str">
        <f t="shared" si="10"/>
        <v>Pinus pinaster</v>
      </c>
      <c r="C690" s="439" t="s">
        <v>2975</v>
      </c>
      <c r="D690" s="75" t="s">
        <v>2976</v>
      </c>
      <c r="E690" s="75" t="s">
        <v>2977</v>
      </c>
      <c r="F690" s="75" t="s">
        <v>2978</v>
      </c>
      <c r="G690" s="440" t="s">
        <v>510</v>
      </c>
      <c r="H690" s="433" t="s">
        <v>199</v>
      </c>
      <c r="I690" s="144">
        <v>9</v>
      </c>
      <c r="J690" s="144">
        <v>9</v>
      </c>
      <c r="K690" s="144">
        <v>9</v>
      </c>
      <c r="L690" s="144">
        <v>9</v>
      </c>
      <c r="M690" s="144">
        <v>9</v>
      </c>
      <c r="N690" s="144">
        <v>9</v>
      </c>
      <c r="O690" s="441"/>
      <c r="P690" s="441"/>
      <c r="Q690" s="413"/>
      <c r="S690" s="442"/>
      <c r="T690" s="415"/>
      <c r="U690" s="62"/>
      <c r="V690" s="62"/>
      <c r="W690" s="62"/>
      <c r="X690" s="62"/>
      <c r="Y690" s="62"/>
      <c r="Z690" s="62"/>
      <c r="AA690" s="62"/>
      <c r="AB690" s="62"/>
    </row>
    <row r="691" spans="1:28" ht="15.6" customHeight="1" x14ac:dyDescent="0.2">
      <c r="A691" s="437">
        <v>1029</v>
      </c>
      <c r="B691" s="438" t="str">
        <f t="shared" si="10"/>
        <v>Plantago lanceolata</v>
      </c>
      <c r="C691" s="439" t="s">
        <v>2979</v>
      </c>
      <c r="E691" s="75" t="s">
        <v>2980</v>
      </c>
      <c r="F691" s="75" t="s">
        <v>2981</v>
      </c>
      <c r="G691" s="440" t="s">
        <v>511</v>
      </c>
      <c r="H691" s="433" t="s">
        <v>199</v>
      </c>
      <c r="I691" s="144">
        <v>9</v>
      </c>
      <c r="J691" s="144">
        <v>9</v>
      </c>
      <c r="K691" s="144">
        <v>9</v>
      </c>
      <c r="L691" s="144">
        <v>9</v>
      </c>
      <c r="M691" s="144">
        <v>9</v>
      </c>
      <c r="N691" s="144">
        <v>9</v>
      </c>
      <c r="O691" s="441"/>
      <c r="P691" s="441"/>
      <c r="Q691" s="413"/>
      <c r="R691" s="211">
        <v>35582</v>
      </c>
      <c r="S691" s="442"/>
      <c r="T691" s="415"/>
      <c r="U691" s="62"/>
      <c r="V691" s="62"/>
      <c r="W691" s="62"/>
      <c r="X691" s="62"/>
      <c r="Y691" s="62"/>
      <c r="Z691" s="62"/>
      <c r="AA691" s="62"/>
      <c r="AB691" s="62"/>
    </row>
    <row r="692" spans="1:28" ht="15.6" customHeight="1" x14ac:dyDescent="0.2">
      <c r="A692" s="437">
        <v>1030</v>
      </c>
      <c r="B692" s="438" t="str">
        <f t="shared" si="10"/>
        <v>Axonopus affinis</v>
      </c>
      <c r="C692" s="439" t="s">
        <v>2595</v>
      </c>
      <c r="E692" s="75" t="s">
        <v>1835</v>
      </c>
      <c r="F692" s="75" t="s">
        <v>676</v>
      </c>
      <c r="G692" s="440" t="s">
        <v>512</v>
      </c>
      <c r="H692" s="433" t="s">
        <v>199</v>
      </c>
      <c r="I692" s="144">
        <v>9</v>
      </c>
      <c r="J692" s="144">
        <v>9</v>
      </c>
      <c r="K692" s="144">
        <v>9</v>
      </c>
      <c r="L692" s="144">
        <v>9</v>
      </c>
      <c r="M692" s="144">
        <v>9</v>
      </c>
      <c r="N692" s="144">
        <v>9</v>
      </c>
      <c r="O692" s="441"/>
      <c r="P692" s="441"/>
      <c r="Q692" s="413"/>
      <c r="S692" s="442"/>
      <c r="T692" s="415"/>
      <c r="U692" s="62"/>
      <c r="V692" s="62"/>
      <c r="W692" s="62"/>
      <c r="X692" s="62"/>
      <c r="Y692" s="62"/>
      <c r="Z692" s="62"/>
      <c r="AA692" s="62"/>
      <c r="AB692" s="62"/>
    </row>
    <row r="693" spans="1:28" ht="15.6" customHeight="1" x14ac:dyDescent="0.2">
      <c r="A693" s="437">
        <v>1031</v>
      </c>
      <c r="B693" s="438" t="str">
        <f t="shared" si="10"/>
        <v>Briza maxima</v>
      </c>
      <c r="C693" s="439" t="s">
        <v>2595</v>
      </c>
      <c r="D693" s="75" t="s">
        <v>2982</v>
      </c>
      <c r="E693" s="75" t="s">
        <v>2983</v>
      </c>
      <c r="F693" s="75" t="s">
        <v>1600</v>
      </c>
      <c r="G693" s="440" t="s">
        <v>513</v>
      </c>
      <c r="H693" s="433" t="s">
        <v>199</v>
      </c>
      <c r="I693" s="144">
        <v>9</v>
      </c>
      <c r="J693" s="144">
        <v>9</v>
      </c>
      <c r="K693" s="144">
        <v>9</v>
      </c>
      <c r="L693" s="144">
        <v>9</v>
      </c>
      <c r="M693" s="144">
        <v>9</v>
      </c>
      <c r="N693" s="144">
        <v>9</v>
      </c>
      <c r="O693" s="441"/>
      <c r="P693" s="441"/>
      <c r="Q693" s="413"/>
      <c r="S693" s="442">
        <v>1</v>
      </c>
      <c r="T693" s="415"/>
      <c r="U693" s="62"/>
      <c r="V693" s="62"/>
      <c r="W693" s="62"/>
      <c r="X693" s="62"/>
      <c r="Y693" s="62"/>
      <c r="Z693" s="62"/>
      <c r="AA693" s="62"/>
      <c r="AB693" s="62"/>
    </row>
    <row r="694" spans="1:28" ht="15.6" customHeight="1" x14ac:dyDescent="0.2">
      <c r="A694" s="437">
        <v>1032</v>
      </c>
      <c r="B694" s="438" t="str">
        <f t="shared" si="10"/>
        <v>Bromus diandrus</v>
      </c>
      <c r="C694" s="439" t="s">
        <v>2595</v>
      </c>
      <c r="D694" s="75" t="s">
        <v>2984</v>
      </c>
      <c r="E694" s="75" t="s">
        <v>2985</v>
      </c>
      <c r="F694" s="75" t="s">
        <v>2986</v>
      </c>
      <c r="G694" s="440" t="s">
        <v>514</v>
      </c>
      <c r="H694" s="433" t="s">
        <v>199</v>
      </c>
      <c r="I694" s="144">
        <v>9</v>
      </c>
      <c r="J694" s="144">
        <v>9</v>
      </c>
      <c r="K694" s="144">
        <v>9</v>
      </c>
      <c r="L694" s="144">
        <v>9</v>
      </c>
      <c r="M694" s="144">
        <v>9</v>
      </c>
      <c r="N694" s="144">
        <v>9</v>
      </c>
      <c r="O694" s="441"/>
      <c r="P694" s="441"/>
      <c r="Q694" s="413"/>
      <c r="R694" s="211">
        <v>36909</v>
      </c>
      <c r="S694" s="442">
        <v>1</v>
      </c>
      <c r="T694" s="415"/>
      <c r="U694" s="62"/>
      <c r="V694" s="62"/>
      <c r="W694" s="62"/>
      <c r="X694" s="62"/>
      <c r="Y694" s="62"/>
      <c r="Z694" s="62"/>
      <c r="AA694" s="62"/>
      <c r="AB694" s="62"/>
    </row>
    <row r="695" spans="1:28" ht="15.6" customHeight="1" x14ac:dyDescent="0.2">
      <c r="A695" s="437">
        <v>1033</v>
      </c>
      <c r="B695" s="438" t="str">
        <f t="shared" si="10"/>
        <v>Hordeum marinum</v>
      </c>
      <c r="C695" s="439" t="s">
        <v>2595</v>
      </c>
      <c r="E695" s="75" t="s">
        <v>2987</v>
      </c>
      <c r="F695" s="75" t="s">
        <v>2988</v>
      </c>
      <c r="G695" s="440" t="s">
        <v>515</v>
      </c>
      <c r="H695" s="433" t="s">
        <v>199</v>
      </c>
      <c r="I695" s="144">
        <v>9</v>
      </c>
      <c r="J695" s="144">
        <v>9</v>
      </c>
      <c r="K695" s="144">
        <v>9</v>
      </c>
      <c r="L695" s="144">
        <v>9</v>
      </c>
      <c r="M695" s="144">
        <v>9</v>
      </c>
      <c r="N695" s="144">
        <v>9</v>
      </c>
      <c r="O695" s="441"/>
      <c r="P695" s="441"/>
      <c r="Q695" s="413"/>
      <c r="R695" s="211">
        <v>36909</v>
      </c>
      <c r="S695" s="442">
        <v>1</v>
      </c>
      <c r="T695" s="415"/>
      <c r="U695" s="62"/>
      <c r="V695" s="62"/>
      <c r="W695" s="62"/>
      <c r="X695" s="62"/>
      <c r="Y695" s="62"/>
      <c r="Z695" s="62"/>
      <c r="AA695" s="62"/>
      <c r="AB695" s="62"/>
    </row>
    <row r="696" spans="1:28" ht="15.6" customHeight="1" x14ac:dyDescent="0.2">
      <c r="A696" s="437">
        <v>1034</v>
      </c>
      <c r="B696" s="438" t="str">
        <f t="shared" si="10"/>
        <v>Lagurus ovatus</v>
      </c>
      <c r="C696" s="439" t="s">
        <v>2595</v>
      </c>
      <c r="E696" s="75" t="s">
        <v>2989</v>
      </c>
      <c r="F696" s="75" t="s">
        <v>681</v>
      </c>
      <c r="G696" s="440" t="s">
        <v>516</v>
      </c>
      <c r="H696" s="433" t="s">
        <v>199</v>
      </c>
      <c r="I696" s="144">
        <v>9</v>
      </c>
      <c r="J696" s="144">
        <v>9</v>
      </c>
      <c r="K696" s="144">
        <v>9</v>
      </c>
      <c r="L696" s="144">
        <v>9</v>
      </c>
      <c r="M696" s="144">
        <v>9</v>
      </c>
      <c r="N696" s="144">
        <v>9</v>
      </c>
      <c r="O696" s="441"/>
      <c r="P696" s="441"/>
      <c r="Q696" s="413"/>
      <c r="S696" s="442">
        <v>1</v>
      </c>
      <c r="T696" s="415"/>
      <c r="U696" s="62"/>
      <c r="V696" s="62"/>
      <c r="W696" s="62"/>
      <c r="X696" s="62"/>
      <c r="Y696" s="62"/>
      <c r="Z696" s="62"/>
      <c r="AA696" s="62"/>
      <c r="AB696" s="62"/>
    </row>
    <row r="697" spans="1:28" ht="15.6" customHeight="1" x14ac:dyDescent="0.2">
      <c r="A697" s="437">
        <v>1035</v>
      </c>
      <c r="B697" s="438" t="str">
        <f t="shared" si="10"/>
        <v>Pennisetum clandestinum</v>
      </c>
      <c r="C697" s="439" t="s">
        <v>2595</v>
      </c>
      <c r="D697" s="75" t="s">
        <v>2990</v>
      </c>
      <c r="E697" s="75" t="s">
        <v>2991</v>
      </c>
      <c r="F697" s="75" t="s">
        <v>2992</v>
      </c>
      <c r="G697" s="440" t="s">
        <v>517</v>
      </c>
      <c r="H697" s="433" t="s">
        <v>199</v>
      </c>
      <c r="I697" s="144">
        <v>9</v>
      </c>
      <c r="J697" s="144">
        <v>9</v>
      </c>
      <c r="K697" s="144">
        <v>9</v>
      </c>
      <c r="L697" s="144">
        <v>9</v>
      </c>
      <c r="M697" s="144">
        <v>9</v>
      </c>
      <c r="N697" s="144">
        <v>9</v>
      </c>
      <c r="O697" s="441"/>
      <c r="P697" s="441"/>
      <c r="Q697" s="413"/>
      <c r="S697" s="442"/>
      <c r="T697" s="415"/>
      <c r="U697" s="62"/>
      <c r="V697" s="62"/>
      <c r="W697" s="62"/>
      <c r="X697" s="62"/>
      <c r="Y697" s="62"/>
      <c r="Z697" s="62"/>
      <c r="AA697" s="62"/>
      <c r="AB697" s="62"/>
    </row>
    <row r="698" spans="1:28" ht="15.6" customHeight="1" x14ac:dyDescent="0.2">
      <c r="A698" s="437">
        <v>1036</v>
      </c>
      <c r="B698" s="438" t="str">
        <f t="shared" si="10"/>
        <v>Persicaria serrulata</v>
      </c>
      <c r="C698" s="439" t="s">
        <v>1963</v>
      </c>
      <c r="D698" s="75" t="s">
        <v>2993</v>
      </c>
      <c r="E698" s="75" t="s">
        <v>2994</v>
      </c>
      <c r="F698" s="75" t="s">
        <v>2995</v>
      </c>
      <c r="G698" s="440" t="s">
        <v>542</v>
      </c>
      <c r="H698" s="433" t="s">
        <v>199</v>
      </c>
      <c r="I698" s="144">
        <v>9</v>
      </c>
      <c r="J698" s="144">
        <v>9</v>
      </c>
      <c r="K698" s="144">
        <v>9</v>
      </c>
      <c r="L698" s="144">
        <v>9</v>
      </c>
      <c r="M698" s="144">
        <v>9</v>
      </c>
      <c r="N698" s="144">
        <v>9</v>
      </c>
      <c r="O698" s="441"/>
      <c r="P698" s="441"/>
      <c r="Q698" s="413"/>
      <c r="R698" s="211">
        <v>35906</v>
      </c>
      <c r="S698" s="442">
        <v>1</v>
      </c>
      <c r="T698" s="415"/>
      <c r="U698" s="62"/>
      <c r="V698" s="62"/>
      <c r="W698" s="62"/>
      <c r="X698" s="62"/>
      <c r="Y698" s="62"/>
      <c r="Z698" s="62"/>
      <c r="AA698" s="62"/>
      <c r="AB698" s="62"/>
    </row>
    <row r="699" spans="1:28" ht="15.6" customHeight="1" x14ac:dyDescent="0.2">
      <c r="A699" s="437">
        <v>1037</v>
      </c>
      <c r="B699" s="438" t="str">
        <f t="shared" si="10"/>
        <v>Rumex acetosella</v>
      </c>
      <c r="C699" s="439" t="s">
        <v>1963</v>
      </c>
      <c r="D699" s="75" t="s">
        <v>2996</v>
      </c>
      <c r="E699" s="75" t="s">
        <v>1966</v>
      </c>
      <c r="F699" s="75" t="s">
        <v>2997</v>
      </c>
      <c r="G699" s="440" t="s">
        <v>518</v>
      </c>
      <c r="H699" s="433" t="s">
        <v>199</v>
      </c>
      <c r="I699" s="144">
        <v>9</v>
      </c>
      <c r="J699" s="144">
        <v>9</v>
      </c>
      <c r="K699" s="144">
        <v>9</v>
      </c>
      <c r="L699" s="144">
        <v>9</v>
      </c>
      <c r="M699" s="144">
        <v>9</v>
      </c>
      <c r="N699" s="144">
        <v>9</v>
      </c>
      <c r="O699" s="441"/>
      <c r="P699" s="441"/>
      <c r="Q699" s="413"/>
      <c r="S699" s="442">
        <v>1</v>
      </c>
      <c r="T699" s="415"/>
      <c r="U699" s="62"/>
      <c r="V699" s="62"/>
      <c r="W699" s="62"/>
      <c r="X699" s="62"/>
      <c r="Y699" s="62"/>
      <c r="Z699" s="62"/>
      <c r="AA699" s="62"/>
      <c r="AB699" s="62"/>
    </row>
    <row r="700" spans="1:28" ht="15.6" customHeight="1" x14ac:dyDescent="0.2">
      <c r="A700" s="437">
        <v>1038</v>
      </c>
      <c r="B700" s="438" t="str">
        <f t="shared" si="10"/>
        <v>Anagallis arvensis</v>
      </c>
      <c r="C700" s="439" t="s">
        <v>2998</v>
      </c>
      <c r="D700" s="75" t="s">
        <v>2999</v>
      </c>
      <c r="E700" s="75" t="s">
        <v>3000</v>
      </c>
      <c r="F700" s="75" t="s">
        <v>2935</v>
      </c>
      <c r="G700" s="440" t="s">
        <v>519</v>
      </c>
      <c r="H700" s="433" t="s">
        <v>199</v>
      </c>
      <c r="I700" s="144">
        <v>9</v>
      </c>
      <c r="J700" s="144">
        <v>9</v>
      </c>
      <c r="K700" s="144">
        <v>9</v>
      </c>
      <c r="L700" s="144">
        <v>9</v>
      </c>
      <c r="M700" s="144">
        <v>9</v>
      </c>
      <c r="N700" s="144">
        <v>9</v>
      </c>
      <c r="O700" s="441"/>
      <c r="P700" s="441"/>
      <c r="Q700" s="413"/>
      <c r="S700" s="442">
        <v>1</v>
      </c>
      <c r="T700" s="415"/>
      <c r="U700" s="62"/>
      <c r="V700" s="62"/>
      <c r="W700" s="62"/>
      <c r="X700" s="62"/>
      <c r="Y700" s="62"/>
      <c r="Z700" s="62"/>
      <c r="AA700" s="62"/>
      <c r="AB700" s="62"/>
    </row>
    <row r="701" spans="1:28" ht="15.6" customHeight="1" x14ac:dyDescent="0.2">
      <c r="A701" s="437">
        <v>1039</v>
      </c>
      <c r="B701" s="438" t="str">
        <f t="shared" si="10"/>
        <v>Samolus valerandi</v>
      </c>
      <c r="C701" s="439" t="s">
        <v>2998</v>
      </c>
      <c r="D701" s="75" t="s">
        <v>3001</v>
      </c>
      <c r="E701" s="75" t="s">
        <v>3002</v>
      </c>
      <c r="F701" s="75" t="s">
        <v>3003</v>
      </c>
      <c r="G701" s="440" t="s">
        <v>520</v>
      </c>
      <c r="H701" s="433" t="s">
        <v>199</v>
      </c>
      <c r="I701" s="144">
        <v>9</v>
      </c>
      <c r="J701" s="144">
        <v>9</v>
      </c>
      <c r="K701" s="144">
        <v>9</v>
      </c>
      <c r="L701" s="144">
        <v>9</v>
      </c>
      <c r="M701" s="144">
        <v>9</v>
      </c>
      <c r="N701" s="144">
        <v>9</v>
      </c>
      <c r="O701" s="441"/>
      <c r="P701" s="441"/>
      <c r="Q701" s="413"/>
      <c r="R701" s="211">
        <v>36935</v>
      </c>
      <c r="S701" s="442">
        <v>1</v>
      </c>
      <c r="T701" s="415"/>
      <c r="U701" s="62"/>
      <c r="V701" s="62"/>
      <c r="W701" s="62"/>
      <c r="X701" s="62"/>
      <c r="Y701" s="62"/>
      <c r="Z701" s="62"/>
      <c r="AA701" s="62"/>
      <c r="AB701" s="62"/>
    </row>
    <row r="702" spans="1:28" ht="15.6" customHeight="1" x14ac:dyDescent="0.2">
      <c r="A702" s="437">
        <v>1040</v>
      </c>
      <c r="B702" s="438" t="str">
        <f t="shared" si="10"/>
        <v>Hakea drupacea</v>
      </c>
      <c r="C702" s="439" t="s">
        <v>1970</v>
      </c>
      <c r="D702" s="75" t="s">
        <v>3004</v>
      </c>
      <c r="E702" s="75" t="s">
        <v>3005</v>
      </c>
      <c r="F702" s="75" t="s">
        <v>3006</v>
      </c>
      <c r="G702" s="440" t="s">
        <v>521</v>
      </c>
      <c r="H702" s="433" t="s">
        <v>199</v>
      </c>
      <c r="I702" s="144">
        <v>9</v>
      </c>
      <c r="J702" s="144">
        <v>9</v>
      </c>
      <c r="K702" s="144">
        <v>9</v>
      </c>
      <c r="L702" s="144">
        <v>9</v>
      </c>
      <c r="M702" s="144">
        <v>9</v>
      </c>
      <c r="N702" s="144">
        <v>9</v>
      </c>
      <c r="O702" s="441"/>
      <c r="P702" s="441"/>
      <c r="Q702" s="413"/>
      <c r="S702" s="442">
        <v>1</v>
      </c>
      <c r="T702" s="415"/>
      <c r="U702" s="62"/>
      <c r="V702" s="62"/>
      <c r="W702" s="62"/>
      <c r="X702" s="62"/>
      <c r="Y702" s="62"/>
      <c r="Z702" s="62"/>
      <c r="AA702" s="62"/>
      <c r="AB702" s="62"/>
    </row>
    <row r="703" spans="1:28" ht="15.6" customHeight="1" x14ac:dyDescent="0.2">
      <c r="A703" s="437">
        <v>1041</v>
      </c>
      <c r="B703" s="438" t="str">
        <f t="shared" si="10"/>
        <v>Ranunculus muricatus</v>
      </c>
      <c r="C703" s="439" t="s">
        <v>1999</v>
      </c>
      <c r="D703" s="75" t="s">
        <v>3007</v>
      </c>
      <c r="E703" s="75" t="s">
        <v>3008</v>
      </c>
      <c r="F703" s="75" t="s">
        <v>3009</v>
      </c>
      <c r="G703" s="440" t="s">
        <v>522</v>
      </c>
      <c r="H703" s="433" t="s">
        <v>199</v>
      </c>
      <c r="I703" s="144">
        <v>9</v>
      </c>
      <c r="J703" s="144">
        <v>9</v>
      </c>
      <c r="K703" s="144">
        <v>9</v>
      </c>
      <c r="L703" s="144">
        <v>9</v>
      </c>
      <c r="M703" s="144">
        <v>9</v>
      </c>
      <c r="N703" s="144">
        <v>9</v>
      </c>
      <c r="O703" s="441"/>
      <c r="P703" s="441"/>
      <c r="Q703" s="413"/>
      <c r="S703" s="442"/>
      <c r="T703" s="415"/>
      <c r="U703" s="62"/>
      <c r="V703" s="62"/>
      <c r="W703" s="62"/>
      <c r="X703" s="62"/>
      <c r="Y703" s="62"/>
      <c r="Z703" s="62"/>
      <c r="AA703" s="62"/>
      <c r="AB703" s="62"/>
    </row>
    <row r="704" spans="1:28" ht="15.6" customHeight="1" x14ac:dyDescent="0.2">
      <c r="A704" s="437">
        <v>1042</v>
      </c>
      <c r="B704" s="438" t="str">
        <f t="shared" si="10"/>
        <v>Datura stramonium</v>
      </c>
      <c r="C704" s="439" t="s">
        <v>2201</v>
      </c>
      <c r="E704" s="75" t="s">
        <v>3010</v>
      </c>
      <c r="F704" s="75" t="s">
        <v>3011</v>
      </c>
      <c r="G704" s="440" t="s">
        <v>523</v>
      </c>
      <c r="H704" s="433" t="s">
        <v>199</v>
      </c>
      <c r="I704" s="144">
        <v>9</v>
      </c>
      <c r="J704" s="144">
        <v>9</v>
      </c>
      <c r="K704" s="144">
        <v>9</v>
      </c>
      <c r="L704" s="144">
        <v>9</v>
      </c>
      <c r="M704" s="144">
        <v>9</v>
      </c>
      <c r="N704" s="144">
        <v>9</v>
      </c>
      <c r="O704" s="441"/>
      <c r="P704" s="441"/>
      <c r="Q704" s="413"/>
      <c r="S704" s="442">
        <v>1</v>
      </c>
      <c r="T704" s="415"/>
      <c r="U704" s="62"/>
      <c r="V704" s="62"/>
      <c r="W704" s="62"/>
      <c r="X704" s="62"/>
      <c r="Y704" s="62"/>
      <c r="Z704" s="62"/>
      <c r="AA704" s="62"/>
      <c r="AB704" s="62"/>
    </row>
    <row r="705" spans="1:28" ht="15.6" customHeight="1" x14ac:dyDescent="0.2">
      <c r="A705" s="437">
        <v>1043</v>
      </c>
      <c r="B705" s="438" t="str">
        <f t="shared" si="10"/>
        <v>Physalis  peruviana</v>
      </c>
      <c r="C705" s="439" t="s">
        <v>2201</v>
      </c>
      <c r="D705" s="75" t="s">
        <v>3012</v>
      </c>
      <c r="E705" s="75" t="s">
        <v>3013</v>
      </c>
      <c r="F705" s="75" t="s">
        <v>3014</v>
      </c>
      <c r="G705" s="440" t="s">
        <v>524</v>
      </c>
      <c r="H705" s="433" t="s">
        <v>199</v>
      </c>
      <c r="I705" s="144">
        <v>9</v>
      </c>
      <c r="J705" s="144">
        <v>9</v>
      </c>
      <c r="K705" s="144">
        <v>9</v>
      </c>
      <c r="L705" s="144">
        <v>9</v>
      </c>
      <c r="M705" s="144">
        <v>9</v>
      </c>
      <c r="N705" s="144">
        <v>9</v>
      </c>
      <c r="O705" s="441"/>
      <c r="P705" s="441"/>
      <c r="Q705" s="413"/>
      <c r="R705" s="211">
        <v>35971</v>
      </c>
      <c r="S705" s="442">
        <v>1</v>
      </c>
      <c r="T705" s="415"/>
      <c r="U705" s="62"/>
      <c r="V705" s="62"/>
      <c r="W705" s="62"/>
      <c r="X705" s="62"/>
      <c r="Y705" s="62"/>
      <c r="Z705" s="62"/>
      <c r="AA705" s="62"/>
      <c r="AB705" s="62"/>
    </row>
    <row r="706" spans="1:28" ht="15.6" customHeight="1" x14ac:dyDescent="0.2">
      <c r="A706" s="443">
        <v>2001</v>
      </c>
      <c r="B706" s="444" t="str">
        <f t="shared" ref="B706:B737" si="11">E706&amp;" "&amp;F706</f>
        <v>Rhus laevigata</v>
      </c>
      <c r="C706" s="445" t="s">
        <v>2768</v>
      </c>
      <c r="E706" s="75" t="s">
        <v>2769</v>
      </c>
      <c r="F706" s="75" t="s">
        <v>3015</v>
      </c>
      <c r="G706" s="446" t="s">
        <v>2852</v>
      </c>
      <c r="H706" s="433" t="s">
        <v>3227</v>
      </c>
      <c r="I706" s="144">
        <v>2</v>
      </c>
      <c r="J706" s="144">
        <v>3</v>
      </c>
      <c r="K706" s="144">
        <v>2</v>
      </c>
      <c r="L706" s="144">
        <v>1</v>
      </c>
      <c r="M706" s="144">
        <v>2</v>
      </c>
      <c r="N706" s="144">
        <v>3</v>
      </c>
      <c r="O706" s="441"/>
      <c r="P706" s="441"/>
      <c r="Q706" s="447"/>
      <c r="S706" s="448"/>
      <c r="T706" s="415"/>
      <c r="U706" s="62"/>
      <c r="V706" s="62"/>
      <c r="W706" s="62"/>
      <c r="X706" s="62"/>
      <c r="Y706" s="62"/>
      <c r="Z706" s="62"/>
      <c r="AA706" s="62"/>
      <c r="AB706" s="62"/>
    </row>
    <row r="707" spans="1:28" ht="15.6" customHeight="1" x14ac:dyDescent="0.2">
      <c r="A707" s="443">
        <v>2002</v>
      </c>
      <c r="B707" s="444" t="str">
        <f t="shared" si="11"/>
        <v>Ficinia ramosissima</v>
      </c>
      <c r="C707" s="445" t="s">
        <v>992</v>
      </c>
      <c r="E707" s="75" t="s">
        <v>993</v>
      </c>
      <c r="F707" s="75" t="s">
        <v>1658</v>
      </c>
      <c r="G707" s="446" t="s">
        <v>538</v>
      </c>
      <c r="H707" s="433" t="s">
        <v>3284</v>
      </c>
      <c r="I707" s="144">
        <v>5</v>
      </c>
      <c r="J707" s="144">
        <v>6</v>
      </c>
      <c r="K707" s="144">
        <v>3</v>
      </c>
      <c r="L707" s="144">
        <v>3</v>
      </c>
      <c r="M707" s="144">
        <v>1</v>
      </c>
      <c r="N707" s="144">
        <v>1</v>
      </c>
      <c r="O707" s="441"/>
      <c r="P707" s="441"/>
      <c r="Q707" s="447"/>
      <c r="S707" s="448"/>
      <c r="T707" s="415"/>
      <c r="U707" s="62"/>
      <c r="V707" s="62"/>
      <c r="W707" s="62"/>
      <c r="X707" s="62"/>
      <c r="Y707" s="62"/>
      <c r="Z707" s="62"/>
      <c r="AA707" s="62"/>
      <c r="AB707" s="62"/>
    </row>
    <row r="708" spans="1:28" ht="15.6" customHeight="1" x14ac:dyDescent="0.2">
      <c r="A708" s="443">
        <v>2003</v>
      </c>
      <c r="B708" s="444" t="str">
        <f t="shared" si="11"/>
        <v>Aspalathus dentata</v>
      </c>
      <c r="C708" s="445" t="s">
        <v>1061</v>
      </c>
      <c r="E708" s="75" t="s">
        <v>1063</v>
      </c>
      <c r="F708" s="75" t="s">
        <v>712</v>
      </c>
      <c r="G708" s="446" t="s">
        <v>550</v>
      </c>
      <c r="H708" s="433" t="s">
        <v>199</v>
      </c>
      <c r="I708" s="144">
        <v>9</v>
      </c>
      <c r="J708" s="144">
        <v>9</v>
      </c>
      <c r="K708" s="144">
        <v>9</v>
      </c>
      <c r="L708" s="144">
        <v>9</v>
      </c>
      <c r="M708" s="144">
        <v>9</v>
      </c>
      <c r="N708" s="144">
        <v>9</v>
      </c>
      <c r="O708" s="441"/>
      <c r="P708" s="441"/>
      <c r="Q708" s="447"/>
      <c r="S708" s="448"/>
      <c r="T708" s="415"/>
      <c r="U708" s="62"/>
      <c r="V708" s="62"/>
      <c r="W708" s="62"/>
      <c r="X708" s="62"/>
      <c r="Y708" s="62"/>
      <c r="Z708" s="62"/>
      <c r="AA708" s="62"/>
      <c r="AB708" s="62"/>
    </row>
    <row r="709" spans="1:28" ht="15.6" customHeight="1" x14ac:dyDescent="0.2">
      <c r="A709" s="443">
        <v>2004</v>
      </c>
      <c r="B709" s="444" t="str">
        <f t="shared" si="11"/>
        <v>Indigofera leptocladis</v>
      </c>
      <c r="C709" s="445" t="s">
        <v>1061</v>
      </c>
      <c r="E709" s="75" t="s">
        <v>1078</v>
      </c>
      <c r="F709" s="75" t="s">
        <v>3016</v>
      </c>
      <c r="G709" s="446" t="s">
        <v>551</v>
      </c>
      <c r="H709" s="433" t="s">
        <v>199</v>
      </c>
      <c r="I709" s="144">
        <v>9</v>
      </c>
      <c r="J709" s="144">
        <v>9</v>
      </c>
      <c r="K709" s="144">
        <v>9</v>
      </c>
      <c r="L709" s="144">
        <v>9</v>
      </c>
      <c r="M709" s="144">
        <v>9</v>
      </c>
      <c r="N709" s="144">
        <v>9</v>
      </c>
      <c r="O709" s="441"/>
      <c r="P709" s="441"/>
      <c r="Q709" s="447"/>
      <c r="S709" s="448"/>
      <c r="T709" s="415"/>
      <c r="U709" s="62"/>
      <c r="V709" s="62"/>
      <c r="W709" s="62"/>
      <c r="X709" s="62"/>
      <c r="Y709" s="62"/>
      <c r="Z709" s="62"/>
      <c r="AA709" s="62"/>
      <c r="AB709" s="62"/>
    </row>
    <row r="710" spans="1:28" ht="15.6" customHeight="1" x14ac:dyDescent="0.2">
      <c r="A710" s="443">
        <v>2005</v>
      </c>
      <c r="B710" s="444" t="str">
        <f t="shared" si="11"/>
        <v>Olea capensis</v>
      </c>
      <c r="C710" s="445" t="s">
        <v>1761</v>
      </c>
      <c r="E710" s="75" t="s">
        <v>1764</v>
      </c>
      <c r="F710" s="75" t="s">
        <v>2756</v>
      </c>
      <c r="G710" s="446" t="s">
        <v>3520</v>
      </c>
      <c r="H710" s="433" t="s">
        <v>3227</v>
      </c>
      <c r="I710" s="144">
        <v>2</v>
      </c>
      <c r="J710" s="144">
        <v>3</v>
      </c>
      <c r="K710" s="144">
        <v>2</v>
      </c>
      <c r="L710" s="144">
        <v>1</v>
      </c>
      <c r="M710" s="144">
        <v>2</v>
      </c>
      <c r="N710" s="144">
        <v>2</v>
      </c>
      <c r="O710" s="441"/>
      <c r="P710" s="441"/>
      <c r="Q710" s="447"/>
      <c r="S710" s="448"/>
      <c r="T710" s="415"/>
      <c r="U710" s="62"/>
      <c r="V710" s="62"/>
      <c r="W710" s="62"/>
      <c r="X710" s="62"/>
      <c r="Y710" s="62"/>
      <c r="Z710" s="62"/>
      <c r="AA710" s="62"/>
      <c r="AB710" s="62"/>
    </row>
    <row r="711" spans="1:28" ht="15.6" customHeight="1" x14ac:dyDescent="0.2">
      <c r="A711" s="443">
        <v>2006</v>
      </c>
      <c r="B711" s="444" t="str">
        <f t="shared" si="11"/>
        <v>Rumex sagittarius</v>
      </c>
      <c r="C711" s="445" t="s">
        <v>1963</v>
      </c>
      <c r="E711" s="75" t="s">
        <v>1966</v>
      </c>
      <c r="F711" s="75" t="s">
        <v>3017</v>
      </c>
      <c r="G711" s="446" t="s">
        <v>554</v>
      </c>
      <c r="H711" s="433" t="s">
        <v>3264</v>
      </c>
      <c r="I711" s="144">
        <v>3</v>
      </c>
      <c r="J711" s="144">
        <v>6</v>
      </c>
      <c r="K711" s="144">
        <v>5</v>
      </c>
      <c r="L711" s="144">
        <v>1</v>
      </c>
      <c r="M711" s="144">
        <v>1</v>
      </c>
      <c r="N711" s="144">
        <v>4</v>
      </c>
      <c r="O711" s="441"/>
      <c r="P711" s="441"/>
      <c r="Q711" s="447"/>
      <c r="S711" s="448"/>
      <c r="T711" s="415"/>
      <c r="U711" s="62"/>
      <c r="V711" s="62"/>
      <c r="W711" s="62"/>
      <c r="X711" s="62"/>
      <c r="Y711" s="62"/>
      <c r="Z711" s="62"/>
      <c r="AA711" s="62"/>
      <c r="AB711" s="62"/>
    </row>
    <row r="712" spans="1:28" ht="15.6" customHeight="1" x14ac:dyDescent="0.2">
      <c r="A712" s="443">
        <v>2007</v>
      </c>
      <c r="B712" s="444" t="str">
        <f t="shared" si="11"/>
        <v>Knowltonia vesicatoria</v>
      </c>
      <c r="C712" s="445" t="s">
        <v>1999</v>
      </c>
      <c r="E712" s="75" t="s">
        <v>2000</v>
      </c>
      <c r="F712" s="75" t="s">
        <v>3018</v>
      </c>
      <c r="G712" s="446" t="s">
        <v>3479</v>
      </c>
      <c r="H712" s="433" t="s">
        <v>3309</v>
      </c>
      <c r="I712" s="144">
        <v>3</v>
      </c>
      <c r="J712" s="144">
        <v>4</v>
      </c>
      <c r="K712" s="144">
        <v>2</v>
      </c>
      <c r="L712" s="144">
        <v>1</v>
      </c>
      <c r="M712" s="144">
        <v>2</v>
      </c>
      <c r="N712" s="144">
        <v>2</v>
      </c>
      <c r="O712" s="441"/>
      <c r="P712" s="441"/>
      <c r="Q712" s="447"/>
      <c r="S712" s="448"/>
      <c r="T712" s="415"/>
      <c r="U712" s="62"/>
      <c r="V712" s="62"/>
      <c r="W712" s="62"/>
      <c r="X712" s="62"/>
      <c r="Y712" s="62"/>
      <c r="Z712" s="62"/>
      <c r="AA712" s="62"/>
      <c r="AB712" s="62"/>
    </row>
    <row r="713" spans="1:28" ht="15.6" customHeight="1" x14ac:dyDescent="0.2">
      <c r="A713" s="443">
        <v>2008</v>
      </c>
      <c r="B713" s="444" t="str">
        <f t="shared" si="11"/>
        <v>Ischyrolepis erectus</v>
      </c>
      <c r="C713" s="445" t="s">
        <v>2003</v>
      </c>
      <c r="E713" s="75" t="s">
        <v>2018</v>
      </c>
      <c r="F713" s="75" t="s">
        <v>2024</v>
      </c>
      <c r="G713" s="446" t="s">
        <v>547</v>
      </c>
      <c r="H713" s="433" t="s">
        <v>199</v>
      </c>
      <c r="I713" s="144">
        <v>9</v>
      </c>
      <c r="J713" s="144">
        <v>9</v>
      </c>
      <c r="K713" s="144">
        <v>9</v>
      </c>
      <c r="L713" s="144">
        <v>9</v>
      </c>
      <c r="M713" s="144">
        <v>9</v>
      </c>
      <c r="N713" s="144">
        <v>9</v>
      </c>
      <c r="O713" s="441"/>
      <c r="P713" s="441"/>
      <c r="Q713" s="447"/>
      <c r="S713" s="448"/>
      <c r="T713" s="415"/>
      <c r="U713" s="62"/>
      <c r="V713" s="62"/>
      <c r="W713" s="62"/>
      <c r="X713" s="62"/>
      <c r="Y713" s="62"/>
      <c r="Z713" s="62"/>
      <c r="AA713" s="62"/>
      <c r="AB713" s="62"/>
    </row>
    <row r="714" spans="1:28" ht="15.6" customHeight="1" x14ac:dyDescent="0.2">
      <c r="A714" s="443">
        <v>2009</v>
      </c>
      <c r="B714" s="444" t="str">
        <f t="shared" si="11"/>
        <v>Thamnochortus argenteus</v>
      </c>
      <c r="C714" s="445" t="s">
        <v>2003</v>
      </c>
      <c r="E714" s="75" t="s">
        <v>2023</v>
      </c>
      <c r="F714" s="75" t="s">
        <v>828</v>
      </c>
      <c r="G714" s="446" t="s">
        <v>548</v>
      </c>
      <c r="H714" s="433" t="s">
        <v>199</v>
      </c>
      <c r="I714" s="144">
        <v>9</v>
      </c>
      <c r="J714" s="144">
        <v>9</v>
      </c>
      <c r="K714" s="144">
        <v>9</v>
      </c>
      <c r="L714" s="144">
        <v>9</v>
      </c>
      <c r="M714" s="144">
        <v>9</v>
      </c>
      <c r="N714" s="144">
        <v>9</v>
      </c>
      <c r="O714" s="441"/>
      <c r="P714" s="441"/>
      <c r="Q714" s="447"/>
      <c r="S714" s="448"/>
      <c r="T714" s="415"/>
      <c r="U714" s="62"/>
      <c r="V714" s="62"/>
      <c r="W714" s="62"/>
      <c r="X714" s="62"/>
      <c r="Y714" s="62"/>
      <c r="Z714" s="62"/>
      <c r="AA714" s="62"/>
      <c r="AB714" s="62"/>
    </row>
    <row r="715" spans="1:28" ht="15.6" customHeight="1" x14ac:dyDescent="0.2">
      <c r="A715" s="443">
        <v>2010</v>
      </c>
      <c r="B715" s="444" t="str">
        <f t="shared" si="11"/>
        <v>Cliffortia cordifolia</v>
      </c>
      <c r="C715" s="445" t="s">
        <v>2037</v>
      </c>
      <c r="E715" s="75" t="s">
        <v>2038</v>
      </c>
      <c r="F715" s="75" t="s">
        <v>1719</v>
      </c>
      <c r="G715" s="446" t="s">
        <v>552</v>
      </c>
      <c r="H715" s="433" t="s">
        <v>199</v>
      </c>
      <c r="I715" s="144">
        <v>9</v>
      </c>
      <c r="J715" s="144">
        <v>9</v>
      </c>
      <c r="K715" s="144">
        <v>9</v>
      </c>
      <c r="L715" s="144">
        <v>9</v>
      </c>
      <c r="M715" s="144">
        <v>9</v>
      </c>
      <c r="N715" s="144">
        <v>9</v>
      </c>
      <c r="O715" s="441"/>
      <c r="P715" s="441"/>
      <c r="Q715" s="447"/>
      <c r="S715" s="448"/>
      <c r="T715" s="415"/>
      <c r="U715" s="62"/>
      <c r="V715" s="62"/>
      <c r="W715" s="62"/>
      <c r="X715" s="62"/>
      <c r="Y715" s="62"/>
      <c r="Z715" s="62"/>
      <c r="AA715" s="62"/>
      <c r="AB715" s="62"/>
    </row>
    <row r="716" spans="1:28" ht="15.6" customHeight="1" x14ac:dyDescent="0.2">
      <c r="A716" s="443">
        <v>2011</v>
      </c>
      <c r="B716" s="444" t="str">
        <f t="shared" si="11"/>
        <v>Manulea leiostachys</v>
      </c>
      <c r="C716" s="445" t="s">
        <v>2080</v>
      </c>
      <c r="E716" s="75" t="s">
        <v>2187</v>
      </c>
      <c r="F716" s="75" t="s">
        <v>3019</v>
      </c>
      <c r="G716" s="446" t="s">
        <v>557</v>
      </c>
      <c r="H716" s="433" t="s">
        <v>199</v>
      </c>
      <c r="I716" s="144">
        <v>9</v>
      </c>
      <c r="J716" s="144">
        <v>9</v>
      </c>
      <c r="K716" s="144">
        <v>9</v>
      </c>
      <c r="L716" s="144">
        <v>9</v>
      </c>
      <c r="M716" s="144">
        <v>9</v>
      </c>
      <c r="N716" s="144">
        <v>9</v>
      </c>
      <c r="O716" s="441"/>
      <c r="P716" s="441"/>
      <c r="Q716" s="447"/>
      <c r="S716" s="448"/>
      <c r="T716" s="415"/>
      <c r="U716" s="62"/>
      <c r="V716" s="62"/>
      <c r="W716" s="62"/>
      <c r="X716" s="62"/>
      <c r="Y716" s="62"/>
      <c r="Z716" s="62"/>
      <c r="AA716" s="62"/>
      <c r="AB716" s="62"/>
    </row>
    <row r="717" spans="1:28" ht="15.6" customHeight="1" x14ac:dyDescent="0.2">
      <c r="A717" s="443">
        <v>2012</v>
      </c>
      <c r="B717" s="444" t="str">
        <f t="shared" si="11"/>
        <v>Australina lanceolata</v>
      </c>
      <c r="C717" s="445" t="s">
        <v>2222</v>
      </c>
      <c r="E717" s="75" t="s">
        <v>3020</v>
      </c>
      <c r="F717" s="75" t="s">
        <v>2981</v>
      </c>
      <c r="G717" s="446" t="s">
        <v>541</v>
      </c>
      <c r="H717" s="433" t="s">
        <v>199</v>
      </c>
      <c r="I717" s="144">
        <v>9</v>
      </c>
      <c r="J717" s="144">
        <v>9</v>
      </c>
      <c r="K717" s="144">
        <v>9</v>
      </c>
      <c r="L717" s="144">
        <v>9</v>
      </c>
      <c r="M717" s="144">
        <v>9</v>
      </c>
      <c r="N717" s="144">
        <v>9</v>
      </c>
      <c r="O717" s="441"/>
      <c r="P717" s="441"/>
      <c r="Q717" s="447"/>
      <c r="S717" s="448"/>
      <c r="T717" s="415"/>
      <c r="U717" s="62"/>
      <c r="V717" s="62"/>
      <c r="W717" s="62"/>
      <c r="X717" s="62"/>
      <c r="Y717" s="62"/>
      <c r="Z717" s="62"/>
      <c r="AA717" s="62"/>
      <c r="AB717" s="62"/>
    </row>
    <row r="718" spans="1:28" ht="15.6" customHeight="1" x14ac:dyDescent="0.2">
      <c r="A718" s="443">
        <v>2013</v>
      </c>
      <c r="B718" s="444" t="str">
        <f t="shared" si="11"/>
        <v>Rhoicissus tomentosa</v>
      </c>
      <c r="C718" s="445" t="s">
        <v>2234</v>
      </c>
      <c r="E718" s="75" t="s">
        <v>2235</v>
      </c>
      <c r="F718" s="75" t="s">
        <v>2776</v>
      </c>
      <c r="G718" s="446" t="s">
        <v>545</v>
      </c>
      <c r="H718" s="433" t="s">
        <v>3238</v>
      </c>
      <c r="I718" s="144">
        <v>7</v>
      </c>
      <c r="J718" s="144">
        <v>8</v>
      </c>
      <c r="K718" s="144">
        <v>3</v>
      </c>
      <c r="L718" s="144">
        <v>1</v>
      </c>
      <c r="M718" s="144">
        <v>2</v>
      </c>
      <c r="N718" s="144">
        <v>3</v>
      </c>
      <c r="O718" s="441"/>
      <c r="P718" s="441"/>
      <c r="Q718" s="447"/>
      <c r="S718" s="448"/>
      <c r="T718" s="415"/>
      <c r="U718" s="62"/>
      <c r="V718" s="62"/>
      <c r="W718" s="62"/>
      <c r="X718" s="62"/>
      <c r="Y718" s="62"/>
      <c r="Z718" s="62"/>
      <c r="AA718" s="62"/>
      <c r="AB718" s="62"/>
    </row>
    <row r="719" spans="1:28" ht="15.6" customHeight="1" x14ac:dyDescent="0.2">
      <c r="A719" s="449">
        <v>3001</v>
      </c>
      <c r="B719" s="450" t="str">
        <f t="shared" si="11"/>
        <v>Carpobrotus sp.</v>
      </c>
      <c r="C719" s="451" t="s">
        <v>2729</v>
      </c>
      <c r="E719" s="75" t="s">
        <v>2732</v>
      </c>
      <c r="F719" s="75" t="s">
        <v>2970</v>
      </c>
      <c r="G719" s="452" t="s">
        <v>562</v>
      </c>
      <c r="H719" s="433" t="s">
        <v>1289</v>
      </c>
      <c r="I719" s="144">
        <v>3</v>
      </c>
      <c r="J719" s="144">
        <v>6</v>
      </c>
      <c r="K719" s="144">
        <v>3</v>
      </c>
      <c r="L719" s="144">
        <v>2</v>
      </c>
      <c r="M719" s="144">
        <v>3</v>
      </c>
      <c r="N719" s="144">
        <v>3</v>
      </c>
      <c r="O719" s="441"/>
      <c r="P719" s="441"/>
      <c r="Q719" s="447"/>
      <c r="S719" s="448"/>
      <c r="T719" s="415"/>
      <c r="U719" s="62"/>
      <c r="V719" s="62"/>
      <c r="W719" s="62"/>
      <c r="X719" s="62"/>
      <c r="Y719" s="62"/>
      <c r="Z719" s="62"/>
      <c r="AA719" s="62"/>
      <c r="AB719" s="62"/>
    </row>
    <row r="720" spans="1:28" ht="15.6" customHeight="1" x14ac:dyDescent="0.2">
      <c r="A720" s="449">
        <v>3002</v>
      </c>
      <c r="B720" s="450" t="str">
        <f t="shared" si="11"/>
        <v>Rhus sp.</v>
      </c>
      <c r="C720" s="451" t="s">
        <v>2768</v>
      </c>
      <c r="E720" s="75" t="s">
        <v>2769</v>
      </c>
      <c r="F720" s="75" t="s">
        <v>2970</v>
      </c>
      <c r="G720" s="452" t="s">
        <v>2810</v>
      </c>
      <c r="H720" s="433" t="s">
        <v>3227</v>
      </c>
      <c r="I720" s="144">
        <v>2</v>
      </c>
      <c r="J720" s="144">
        <v>3</v>
      </c>
      <c r="K720" s="144">
        <v>2</v>
      </c>
      <c r="L720" s="144">
        <v>1</v>
      </c>
      <c r="M720" s="144">
        <v>2</v>
      </c>
      <c r="N720" s="144">
        <v>3</v>
      </c>
      <c r="O720" s="441"/>
      <c r="P720" s="441"/>
      <c r="Q720" s="447"/>
      <c r="S720" s="448"/>
      <c r="T720" s="415"/>
      <c r="U720" s="62"/>
      <c r="V720" s="62"/>
      <c r="W720" s="62"/>
      <c r="X720" s="62"/>
      <c r="Y720" s="62"/>
      <c r="Z720" s="62"/>
      <c r="AA720" s="62"/>
      <c r="AB720" s="62"/>
    </row>
    <row r="721" spans="1:28" ht="15.6" customHeight="1" x14ac:dyDescent="0.2">
      <c r="A721" s="449">
        <v>3003</v>
      </c>
      <c r="B721" s="450" t="str">
        <f>E721&amp;" "&amp;F721</f>
        <v>Lobelia sp.</v>
      </c>
      <c r="C721" s="451" t="s">
        <v>844</v>
      </c>
      <c r="E721" s="75" t="s">
        <v>845</v>
      </c>
      <c r="F721" s="75" t="s">
        <v>2970</v>
      </c>
      <c r="G721" s="452" t="s">
        <v>558</v>
      </c>
      <c r="H721" s="433" t="s">
        <v>3260</v>
      </c>
      <c r="I721" s="144">
        <v>2</v>
      </c>
      <c r="J721" s="144">
        <v>6</v>
      </c>
      <c r="K721" s="144">
        <v>4</v>
      </c>
      <c r="L721" s="144">
        <v>2</v>
      </c>
      <c r="M721" s="144">
        <v>1</v>
      </c>
      <c r="N721" s="144">
        <v>3</v>
      </c>
      <c r="O721" s="441"/>
      <c r="P721" s="441"/>
      <c r="Q721" s="447"/>
      <c r="S721" s="448"/>
      <c r="T721" s="415"/>
      <c r="U721" s="62"/>
      <c r="V721" s="62"/>
      <c r="W721" s="62"/>
      <c r="X721" s="62"/>
      <c r="Y721" s="62"/>
      <c r="Z721" s="62"/>
      <c r="AA721" s="62"/>
      <c r="AB721" s="62"/>
    </row>
    <row r="722" spans="1:28" ht="15.6" customHeight="1" x14ac:dyDescent="0.2">
      <c r="A722" s="449">
        <v>3004</v>
      </c>
      <c r="B722" s="450" t="str">
        <f t="shared" si="11"/>
        <v>Crassula sp.</v>
      </c>
      <c r="C722" s="451" t="s">
        <v>975</v>
      </c>
      <c r="E722" s="75" t="s">
        <v>978</v>
      </c>
      <c r="F722" s="75" t="s">
        <v>2970</v>
      </c>
      <c r="G722" s="452" t="s">
        <v>546</v>
      </c>
      <c r="H722" s="433" t="s">
        <v>199</v>
      </c>
      <c r="I722" s="144">
        <v>9</v>
      </c>
      <c r="J722" s="144">
        <v>9</v>
      </c>
      <c r="K722" s="144">
        <v>9</v>
      </c>
      <c r="L722" s="144">
        <v>9</v>
      </c>
      <c r="M722" s="144">
        <v>9</v>
      </c>
      <c r="N722" s="144">
        <v>9</v>
      </c>
      <c r="O722" s="441"/>
      <c r="P722" s="441"/>
      <c r="Q722" s="447"/>
      <c r="S722" s="448"/>
      <c r="T722" s="415"/>
      <c r="U722" s="62"/>
      <c r="V722" s="62"/>
      <c r="W722" s="62"/>
      <c r="X722" s="62"/>
      <c r="Y722" s="62"/>
      <c r="Z722" s="62"/>
      <c r="AA722" s="62"/>
      <c r="AB722" s="62"/>
    </row>
    <row r="723" spans="1:28" ht="15.6" customHeight="1" x14ac:dyDescent="0.2">
      <c r="A723" s="449">
        <v>3005</v>
      </c>
      <c r="B723" s="450" t="str">
        <f t="shared" si="11"/>
        <v>Ficinia sp.</v>
      </c>
      <c r="C723" s="451" t="s">
        <v>992</v>
      </c>
      <c r="E723" s="75" t="s">
        <v>993</v>
      </c>
      <c r="F723" s="75" t="s">
        <v>2970</v>
      </c>
      <c r="G723" s="452" t="s">
        <v>549</v>
      </c>
      <c r="H723" s="433" t="s">
        <v>3284</v>
      </c>
      <c r="I723" s="144">
        <v>5</v>
      </c>
      <c r="J723" s="144">
        <v>6</v>
      </c>
      <c r="K723" s="144">
        <v>5</v>
      </c>
      <c r="L723" s="144">
        <v>3</v>
      </c>
      <c r="M723" s="144">
        <v>1</v>
      </c>
      <c r="N723" s="144">
        <v>1</v>
      </c>
      <c r="O723" s="441"/>
      <c r="P723" s="441"/>
      <c r="Q723" s="447"/>
      <c r="S723" s="448"/>
      <c r="T723" s="415"/>
      <c r="U723" s="62"/>
      <c r="V723" s="62"/>
      <c r="W723" s="62"/>
      <c r="X723" s="62"/>
      <c r="Y723" s="62"/>
      <c r="Z723" s="62"/>
      <c r="AA723" s="62"/>
      <c r="AB723" s="62"/>
    </row>
    <row r="724" spans="1:28" ht="15.6" customHeight="1" x14ac:dyDescent="0.2">
      <c r="A724" s="449">
        <v>3006</v>
      </c>
      <c r="B724" s="450" t="str">
        <f t="shared" si="11"/>
        <v>Scabiosa sp.</v>
      </c>
      <c r="C724" s="451" t="s">
        <v>1019</v>
      </c>
      <c r="E724" s="75" t="s">
        <v>1020</v>
      </c>
      <c r="F724" s="75" t="s">
        <v>2970</v>
      </c>
      <c r="G724" s="452" t="s">
        <v>560</v>
      </c>
      <c r="H724" s="433" t="s">
        <v>3269</v>
      </c>
      <c r="I724" s="144">
        <v>3</v>
      </c>
      <c r="J724" s="144">
        <v>5</v>
      </c>
      <c r="K724" s="144">
        <v>4</v>
      </c>
      <c r="L724" s="144">
        <v>4</v>
      </c>
      <c r="M724" s="144">
        <v>1</v>
      </c>
      <c r="N724" s="144">
        <v>3</v>
      </c>
      <c r="O724" s="441"/>
      <c r="P724" s="441"/>
      <c r="Q724" s="447"/>
      <c r="S724" s="448"/>
      <c r="T724" s="415"/>
      <c r="U724" s="62"/>
      <c r="V724" s="62"/>
      <c r="W724" s="62"/>
      <c r="X724" s="62"/>
      <c r="Y724" s="62"/>
      <c r="Z724" s="62"/>
      <c r="AA724" s="62"/>
      <c r="AB724" s="62"/>
    </row>
    <row r="725" spans="1:28" ht="15.6" customHeight="1" x14ac:dyDescent="0.2">
      <c r="A725" s="449">
        <v>3007</v>
      </c>
      <c r="B725" s="450" t="str">
        <f t="shared" si="11"/>
        <v>Euclea racemosa f. (shrub)</v>
      </c>
      <c r="C725" s="451" t="s">
        <v>1027</v>
      </c>
      <c r="E725" s="75" t="s">
        <v>1030</v>
      </c>
      <c r="F725" s="75" t="s">
        <v>3021</v>
      </c>
      <c r="G725" s="452" t="s">
        <v>3194</v>
      </c>
      <c r="H725" s="433" t="s">
        <v>3258</v>
      </c>
      <c r="I725" s="144">
        <v>2</v>
      </c>
      <c r="J725" s="144">
        <v>4</v>
      </c>
      <c r="K725" s="144">
        <v>2</v>
      </c>
      <c r="L725" s="144">
        <v>1</v>
      </c>
      <c r="M725" s="144">
        <v>2</v>
      </c>
      <c r="N725" s="144">
        <v>3</v>
      </c>
      <c r="O725" s="441"/>
      <c r="P725" s="441"/>
      <c r="Q725" s="447"/>
      <c r="S725" s="448"/>
      <c r="T725" s="415"/>
      <c r="U725" s="62"/>
      <c r="V725" s="62"/>
      <c r="W725" s="62"/>
      <c r="X725" s="62"/>
      <c r="Y725" s="62"/>
      <c r="Z725" s="62"/>
      <c r="AA725" s="62"/>
      <c r="AB725" s="62"/>
    </row>
    <row r="726" spans="1:28" ht="15.6" customHeight="1" x14ac:dyDescent="0.2">
      <c r="A726" s="449">
        <v>3008</v>
      </c>
      <c r="B726" s="450" t="str">
        <f t="shared" si="11"/>
        <v>Euclea racemosa f. (tree)</v>
      </c>
      <c r="C726" s="451" t="s">
        <v>1027</v>
      </c>
      <c r="E726" s="75" t="s">
        <v>1030</v>
      </c>
      <c r="F726" s="75" t="s">
        <v>3022</v>
      </c>
      <c r="G726" s="452" t="s">
        <v>3194</v>
      </c>
      <c r="H726" s="433" t="s">
        <v>3280</v>
      </c>
      <c r="I726" s="144">
        <v>1</v>
      </c>
      <c r="J726" s="144">
        <v>2</v>
      </c>
      <c r="K726" s="144">
        <v>2</v>
      </c>
      <c r="L726" s="144">
        <v>1</v>
      </c>
      <c r="M726" s="144">
        <v>2</v>
      </c>
      <c r="N726" s="144">
        <v>3</v>
      </c>
      <c r="O726" s="441"/>
      <c r="P726" s="441"/>
      <c r="Q726" s="447"/>
      <c r="S726" s="448"/>
      <c r="T726" s="415"/>
      <c r="U726" s="62"/>
      <c r="V726" s="62"/>
      <c r="W726" s="62"/>
      <c r="X726" s="62"/>
      <c r="Y726" s="62"/>
      <c r="Z726" s="62"/>
      <c r="AA726" s="62"/>
      <c r="AB726" s="62"/>
    </row>
    <row r="727" spans="1:28" ht="15.6" customHeight="1" x14ac:dyDescent="0.2">
      <c r="A727" s="449">
        <v>3009</v>
      </c>
      <c r="B727" s="450" t="str">
        <f t="shared" si="11"/>
        <v>Erica sp.</v>
      </c>
      <c r="C727" s="451" t="s">
        <v>1032</v>
      </c>
      <c r="E727" s="75" t="s">
        <v>1033</v>
      </c>
      <c r="F727" s="75" t="s">
        <v>2970</v>
      </c>
      <c r="G727" s="452" t="s">
        <v>1870</v>
      </c>
      <c r="H727" s="433" t="s">
        <v>3248</v>
      </c>
      <c r="I727" s="144">
        <v>2</v>
      </c>
      <c r="J727" s="144">
        <v>5</v>
      </c>
      <c r="K727" s="144">
        <v>2</v>
      </c>
      <c r="L727" s="144">
        <v>3</v>
      </c>
      <c r="M727" s="144">
        <v>2</v>
      </c>
      <c r="N727" s="144">
        <v>5</v>
      </c>
      <c r="O727" s="441"/>
      <c r="P727" s="441"/>
      <c r="Q727" s="447"/>
      <c r="S727" s="448"/>
      <c r="T727" s="415"/>
      <c r="U727" s="62"/>
      <c r="V727" s="62"/>
      <c r="W727" s="62"/>
      <c r="X727" s="62"/>
      <c r="Y727" s="62"/>
      <c r="Z727" s="62"/>
      <c r="AA727" s="62"/>
      <c r="AB727" s="62"/>
    </row>
    <row r="728" spans="1:28" ht="15.6" customHeight="1" x14ac:dyDescent="0.2">
      <c r="A728" s="449">
        <v>3010</v>
      </c>
      <c r="B728" s="450" t="str">
        <f t="shared" si="11"/>
        <v>Aspalathus sp.</v>
      </c>
      <c r="C728" s="451" t="s">
        <v>1061</v>
      </c>
      <c r="E728" s="75" t="s">
        <v>1063</v>
      </c>
      <c r="F728" s="75" t="s">
        <v>2970</v>
      </c>
      <c r="G728" s="452" t="s">
        <v>539</v>
      </c>
      <c r="H728" s="433" t="s">
        <v>3215</v>
      </c>
      <c r="I728" s="144">
        <v>2</v>
      </c>
      <c r="J728" s="144">
        <v>6</v>
      </c>
      <c r="K728" s="144">
        <v>2</v>
      </c>
      <c r="L728" s="144">
        <v>3</v>
      </c>
      <c r="M728" s="144">
        <v>2</v>
      </c>
      <c r="N728" s="144">
        <v>5</v>
      </c>
      <c r="O728" s="441"/>
      <c r="P728" s="441"/>
      <c r="Q728" s="447"/>
      <c r="S728" s="448"/>
      <c r="T728" s="415"/>
      <c r="U728" s="62"/>
      <c r="V728" s="62"/>
      <c r="W728" s="62"/>
      <c r="X728" s="62"/>
      <c r="Y728" s="62"/>
      <c r="Z728" s="62"/>
      <c r="AA728" s="62"/>
      <c r="AB728" s="62"/>
    </row>
    <row r="729" spans="1:28" ht="15.6" customHeight="1" x14ac:dyDescent="0.2">
      <c r="A729" s="449">
        <v>3011</v>
      </c>
      <c r="B729" s="450" t="str">
        <f t="shared" si="11"/>
        <v>Wachendorfia sp.</v>
      </c>
      <c r="C729" s="451" t="s">
        <v>1581</v>
      </c>
      <c r="E729" s="75" t="s">
        <v>1582</v>
      </c>
      <c r="F729" s="75" t="s">
        <v>2970</v>
      </c>
      <c r="G729" s="452" t="s">
        <v>556</v>
      </c>
      <c r="H729" s="433" t="s">
        <v>1287</v>
      </c>
      <c r="I729" s="144">
        <v>4</v>
      </c>
      <c r="J729" s="144">
        <v>6</v>
      </c>
      <c r="K729" s="144">
        <v>5</v>
      </c>
      <c r="L729" s="144">
        <v>2</v>
      </c>
      <c r="M729" s="144">
        <v>1</v>
      </c>
      <c r="N729" s="144">
        <v>1</v>
      </c>
      <c r="O729" s="441"/>
      <c r="P729" s="441"/>
      <c r="Q729" s="447"/>
      <c r="S729" s="448"/>
      <c r="T729" s="415"/>
      <c r="U729" s="62"/>
      <c r="V729" s="62"/>
      <c r="W729" s="62"/>
      <c r="X729" s="62"/>
      <c r="Y729" s="62"/>
      <c r="Z729" s="62"/>
      <c r="AA729" s="62"/>
      <c r="AB729" s="62"/>
    </row>
    <row r="730" spans="1:28" ht="15.6" customHeight="1" x14ac:dyDescent="0.2">
      <c r="A730" s="449">
        <v>3012</v>
      </c>
      <c r="B730" s="450" t="str">
        <f t="shared" si="11"/>
        <v>Acrolophia sp.</v>
      </c>
      <c r="C730" s="451" t="s">
        <v>1772</v>
      </c>
      <c r="E730" s="75" t="s">
        <v>1773</v>
      </c>
      <c r="F730" s="75" t="s">
        <v>2970</v>
      </c>
      <c r="G730" s="452" t="s">
        <v>544</v>
      </c>
      <c r="H730" s="433" t="s">
        <v>1873</v>
      </c>
      <c r="I730" s="144">
        <v>4</v>
      </c>
      <c r="J730" s="144">
        <v>5</v>
      </c>
      <c r="K730" s="144">
        <v>4</v>
      </c>
      <c r="L730" s="144">
        <v>9</v>
      </c>
      <c r="M730" s="144">
        <v>9</v>
      </c>
      <c r="N730" s="144">
        <v>9</v>
      </c>
      <c r="O730" s="441"/>
      <c r="P730" s="441"/>
      <c r="Q730" s="447"/>
      <c r="S730" s="448"/>
      <c r="T730" s="415"/>
      <c r="U730" s="62"/>
      <c r="V730" s="62"/>
      <c r="W730" s="62"/>
      <c r="X730" s="62"/>
      <c r="Y730" s="62"/>
      <c r="Z730" s="62"/>
      <c r="AA730" s="62"/>
      <c r="AB730" s="62"/>
    </row>
    <row r="731" spans="1:28" ht="15.6" customHeight="1" x14ac:dyDescent="0.2">
      <c r="A731" s="449">
        <v>3013</v>
      </c>
      <c r="B731" s="450" t="str">
        <f t="shared" si="11"/>
        <v>Oxalis sp.</v>
      </c>
      <c r="C731" s="451" t="s">
        <v>1819</v>
      </c>
      <c r="E731" s="75" t="s">
        <v>1820</v>
      </c>
      <c r="F731" s="75" t="s">
        <v>2970</v>
      </c>
      <c r="G731" s="452" t="s">
        <v>553</v>
      </c>
      <c r="H731" s="433" t="s">
        <v>3308</v>
      </c>
      <c r="I731" s="144">
        <v>4</v>
      </c>
      <c r="J731" s="144">
        <v>6</v>
      </c>
      <c r="K731" s="144">
        <v>5</v>
      </c>
      <c r="L731" s="144">
        <v>4</v>
      </c>
      <c r="M731" s="144">
        <v>1</v>
      </c>
      <c r="N731" s="144">
        <v>4</v>
      </c>
      <c r="O731" s="441"/>
      <c r="P731" s="441"/>
      <c r="Q731" s="447"/>
      <c r="S731" s="448"/>
      <c r="T731" s="415"/>
      <c r="U731" s="62"/>
      <c r="V731" s="62"/>
      <c r="W731" s="62"/>
      <c r="X731" s="62"/>
      <c r="Y731" s="62"/>
      <c r="Z731" s="62"/>
      <c r="AA731" s="62"/>
      <c r="AB731" s="62"/>
    </row>
    <row r="732" spans="1:28" ht="15.6" customHeight="1" x14ac:dyDescent="0.2">
      <c r="A732" s="449">
        <v>3014</v>
      </c>
      <c r="B732" s="450" t="str">
        <f t="shared" si="11"/>
        <v>Ehrharta sp.</v>
      </c>
      <c r="C732" s="451" t="s">
        <v>2595</v>
      </c>
      <c r="E732" s="75" t="s">
        <v>1840</v>
      </c>
      <c r="F732" s="75" t="s">
        <v>2970</v>
      </c>
      <c r="G732" s="452" t="s">
        <v>555</v>
      </c>
      <c r="H732" s="433" t="s">
        <v>3285</v>
      </c>
      <c r="I732" s="144">
        <v>5</v>
      </c>
      <c r="J732" s="144">
        <v>5</v>
      </c>
      <c r="K732" s="144">
        <v>4</v>
      </c>
      <c r="L732" s="144">
        <v>3</v>
      </c>
      <c r="M732" s="144">
        <v>1</v>
      </c>
      <c r="N732" s="144">
        <v>1</v>
      </c>
      <c r="O732" s="441"/>
      <c r="P732" s="441"/>
      <c r="Q732" s="447"/>
      <c r="S732" s="448"/>
      <c r="T732" s="415"/>
      <c r="U732" s="62"/>
      <c r="V732" s="62"/>
      <c r="W732" s="62"/>
      <c r="X732" s="62"/>
      <c r="Y732" s="62"/>
      <c r="Z732" s="62"/>
      <c r="AA732" s="62"/>
      <c r="AB732" s="62"/>
    </row>
    <row r="733" spans="1:28" ht="15.6" customHeight="1" x14ac:dyDescent="0.2">
      <c r="A733" s="449">
        <v>3015</v>
      </c>
      <c r="B733" s="450" t="str">
        <f t="shared" si="11"/>
        <v>Pentaschistis sp.</v>
      </c>
      <c r="C733" s="451" t="s">
        <v>2595</v>
      </c>
      <c r="E733" s="75" t="s">
        <v>1849</v>
      </c>
      <c r="F733" s="75" t="s">
        <v>2970</v>
      </c>
      <c r="G733" s="452" t="s">
        <v>543</v>
      </c>
      <c r="H733" s="433" t="s">
        <v>3284</v>
      </c>
      <c r="I733" s="144">
        <v>5</v>
      </c>
      <c r="J733" s="144">
        <v>6</v>
      </c>
      <c r="K733" s="144">
        <v>4</v>
      </c>
      <c r="L733" s="144">
        <v>3</v>
      </c>
      <c r="M733" s="144">
        <v>1</v>
      </c>
      <c r="N733" s="144">
        <v>1</v>
      </c>
      <c r="O733" s="441"/>
      <c r="P733" s="441"/>
      <c r="Q733" s="447"/>
      <c r="S733" s="448"/>
      <c r="T733" s="415"/>
      <c r="U733" s="62"/>
      <c r="V733" s="62"/>
      <c r="W733" s="62"/>
      <c r="X733" s="62"/>
      <c r="Y733" s="62"/>
      <c r="Z733" s="62"/>
      <c r="AA733" s="62"/>
      <c r="AB733" s="62"/>
    </row>
    <row r="734" spans="1:28" ht="15.6" customHeight="1" x14ac:dyDescent="0.2">
      <c r="A734" s="449">
        <v>3016</v>
      </c>
      <c r="B734" s="450" t="str">
        <f t="shared" si="11"/>
        <v>Ranunculus sp.</v>
      </c>
      <c r="C734" s="451" t="s">
        <v>1999</v>
      </c>
      <c r="E734" s="75" t="s">
        <v>3008</v>
      </c>
      <c r="F734" s="75" t="s">
        <v>2970</v>
      </c>
      <c r="G734" s="452" t="s">
        <v>559</v>
      </c>
      <c r="H734" s="433" t="s">
        <v>3261</v>
      </c>
      <c r="I734" s="144">
        <v>6</v>
      </c>
      <c r="J734" s="144">
        <v>6</v>
      </c>
      <c r="K734" s="144">
        <v>4</v>
      </c>
      <c r="L734" s="144">
        <v>3</v>
      </c>
      <c r="M734" s="144">
        <v>1</v>
      </c>
      <c r="N734" s="144">
        <v>4</v>
      </c>
      <c r="O734" s="441"/>
      <c r="P734" s="441"/>
      <c r="Q734" s="447"/>
      <c r="S734" s="448"/>
      <c r="T734" s="415"/>
      <c r="U734" s="62"/>
      <c r="V734" s="62"/>
      <c r="W734" s="62"/>
      <c r="X734" s="62"/>
      <c r="Y734" s="62"/>
      <c r="Z734" s="62"/>
      <c r="AA734" s="62"/>
      <c r="AB734" s="62"/>
    </row>
    <row r="735" spans="1:28" ht="15.6" customHeight="1" x14ac:dyDescent="0.2">
      <c r="A735" s="449">
        <v>3017</v>
      </c>
      <c r="B735" s="450" t="str">
        <f t="shared" si="11"/>
        <v>Nemesia sp.</v>
      </c>
      <c r="C735" s="451" t="s">
        <v>2080</v>
      </c>
      <c r="E735" s="75" t="s">
        <v>2191</v>
      </c>
      <c r="F735" s="75" t="s">
        <v>2970</v>
      </c>
      <c r="G735" s="452" t="s">
        <v>568</v>
      </c>
      <c r="H735" s="433" t="s">
        <v>3256</v>
      </c>
      <c r="I735" s="144">
        <v>6</v>
      </c>
      <c r="J735" s="144">
        <v>6</v>
      </c>
      <c r="K735" s="144">
        <v>4</v>
      </c>
      <c r="L735" s="144">
        <v>2</v>
      </c>
      <c r="M735" s="144">
        <v>1</v>
      </c>
      <c r="N735" s="144">
        <v>4</v>
      </c>
      <c r="O735" s="441"/>
      <c r="P735" s="441"/>
      <c r="Q735" s="447"/>
      <c r="S735" s="448"/>
      <c r="T735" s="415"/>
      <c r="U735" s="62"/>
      <c r="V735" s="62"/>
      <c r="W735" s="62"/>
      <c r="X735" s="62"/>
      <c r="Y735" s="62"/>
      <c r="Z735" s="62"/>
      <c r="AA735" s="62"/>
      <c r="AB735" s="62"/>
    </row>
    <row r="736" spans="1:28" ht="15.6" customHeight="1" x14ac:dyDescent="0.2">
      <c r="A736" s="453">
        <v>4001</v>
      </c>
      <c r="B736" s="454" t="str">
        <f t="shared" si="11"/>
        <v>Gunnera perpensa</v>
      </c>
      <c r="C736" s="455" t="s">
        <v>3023</v>
      </c>
      <c r="E736" s="75" t="s">
        <v>3024</v>
      </c>
      <c r="F736" s="75" t="s">
        <v>3025</v>
      </c>
      <c r="G736" s="456" t="s">
        <v>561</v>
      </c>
      <c r="H736" s="433" t="s">
        <v>3324</v>
      </c>
      <c r="I736" s="144">
        <v>3</v>
      </c>
      <c r="J736" s="144">
        <v>4</v>
      </c>
      <c r="K736" s="144">
        <v>1</v>
      </c>
      <c r="L736" s="144">
        <v>1</v>
      </c>
      <c r="M736" s="144">
        <v>1</v>
      </c>
      <c r="N736" s="144">
        <v>1</v>
      </c>
      <c r="O736" s="441"/>
      <c r="P736" s="441"/>
      <c r="Q736" s="447"/>
      <c r="S736" s="448"/>
      <c r="T736" s="415"/>
      <c r="U736" s="62"/>
      <c r="V736" s="62"/>
      <c r="W736" s="62"/>
      <c r="X736" s="62"/>
      <c r="Y736" s="62"/>
      <c r="Z736" s="62"/>
      <c r="AA736" s="62"/>
      <c r="AB736" s="62"/>
    </row>
    <row r="737" spans="1:28" ht="15.6" customHeight="1" x14ac:dyDescent="0.2">
      <c r="A737" s="453">
        <v>4002</v>
      </c>
      <c r="B737" s="454" t="str">
        <f t="shared" si="11"/>
        <v>Sutera sp. nov.</v>
      </c>
      <c r="C737" s="455" t="s">
        <v>2080</v>
      </c>
      <c r="E737" s="75" t="s">
        <v>2198</v>
      </c>
      <c r="F737" s="75" t="s">
        <v>3026</v>
      </c>
      <c r="G737" s="456" t="s">
        <v>564</v>
      </c>
      <c r="H737" s="433" t="s">
        <v>3260</v>
      </c>
      <c r="I737" s="144">
        <v>2</v>
      </c>
      <c r="J737" s="144">
        <v>6</v>
      </c>
      <c r="K737" s="144">
        <v>3</v>
      </c>
      <c r="L737" s="144">
        <v>1</v>
      </c>
      <c r="M737" s="144">
        <v>1</v>
      </c>
      <c r="N737" s="144">
        <v>3</v>
      </c>
      <c r="O737" s="441"/>
      <c r="P737" s="441"/>
      <c r="Q737" s="447"/>
      <c r="S737" s="448"/>
      <c r="T737" s="415"/>
      <c r="U737" s="62"/>
      <c r="V737" s="62"/>
      <c r="W737" s="62"/>
      <c r="X737" s="62"/>
      <c r="Y737" s="62"/>
      <c r="Z737" s="62"/>
      <c r="AA737" s="62"/>
      <c r="AB737" s="62"/>
    </row>
  </sheetData>
  <phoneticPr fontId="3" type="noConversion"/>
  <pageMargins left="0.75" right="0.75" top="1" bottom="1" header="0.4921259845" footer="0.4921259845"/>
  <pageSetup paperSize="9" orientation="portrait" horizontalDpi="200" verticalDpi="2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5299-9B08-43B6-BC0B-0C2088D32550}">
  <sheetPr codeName="Tabelle8"/>
  <dimension ref="A1:AB738"/>
  <sheetViews>
    <sheetView workbookViewId="0">
      <pane xSplit="3" ySplit="2" topLeftCell="N3" activePane="bottomRight" state="frozen"/>
      <selection pane="topRight" activeCell="F1" sqref="F1"/>
      <selection pane="bottomLeft" activeCell="A3" sqref="A3"/>
      <selection pane="bottomRight" activeCell="B1" sqref="B1:C1"/>
    </sheetView>
  </sheetViews>
  <sheetFormatPr defaultColWidth="8.85546875" defaultRowHeight="15.6" customHeight="1" x14ac:dyDescent="0.2"/>
  <cols>
    <col min="1" max="1" width="8.140625" style="64" customWidth="1"/>
    <col min="2" max="2" width="39.42578125" style="68" customWidth="1"/>
    <col min="3" max="3" width="18.85546875" style="75" customWidth="1"/>
    <col min="4" max="4" width="25" style="75" customWidth="1"/>
    <col min="5" max="6" width="15.7109375" style="75" customWidth="1"/>
    <col min="7" max="7" width="11" style="65" customWidth="1"/>
    <col min="8" max="8" width="11" style="66" customWidth="1"/>
    <col min="9" max="14" width="2.42578125" style="144" customWidth="1"/>
    <col min="15" max="15" width="12.42578125" style="206" customWidth="1"/>
    <col min="16" max="16" width="12.42578125" style="330" customWidth="1"/>
    <col min="17" max="17" width="8.85546875" style="62" customWidth="1"/>
    <col min="18" max="18" width="8.7109375" style="211" customWidth="1"/>
    <col min="19" max="20" width="8.85546875" style="64" customWidth="1"/>
    <col min="21" max="28" width="4" style="64" customWidth="1"/>
    <col min="29" max="16384" width="8.85546875" style="67"/>
  </cols>
  <sheetData>
    <row r="1" spans="1:28" s="61" customFormat="1" ht="15.6" customHeight="1" x14ac:dyDescent="0.2">
      <c r="A1" s="465" t="s">
        <v>3102</v>
      </c>
      <c r="B1" s="467" t="s">
        <v>312</v>
      </c>
      <c r="C1" s="467"/>
      <c r="D1" s="278" t="s">
        <v>312</v>
      </c>
      <c r="E1" s="278"/>
      <c r="F1" s="278"/>
      <c r="G1" s="468" t="s">
        <v>314</v>
      </c>
      <c r="H1" s="472"/>
      <c r="I1" s="468" t="s">
        <v>3027</v>
      </c>
      <c r="J1" s="469"/>
      <c r="K1" s="469"/>
      <c r="L1" s="469"/>
      <c r="M1" s="469"/>
      <c r="N1" s="469"/>
      <c r="O1" s="478" t="s">
        <v>3028</v>
      </c>
      <c r="P1" s="479"/>
      <c r="Q1" s="473" t="s">
        <v>3029</v>
      </c>
      <c r="R1" s="475" t="s">
        <v>325</v>
      </c>
      <c r="S1" s="476"/>
      <c r="T1" s="477"/>
      <c r="U1" s="468" t="s">
        <v>2244</v>
      </c>
      <c r="V1" s="470"/>
      <c r="W1" s="470"/>
      <c r="X1" s="470"/>
      <c r="Y1" s="470"/>
      <c r="Z1" s="470"/>
      <c r="AA1" s="470"/>
      <c r="AB1" s="471"/>
    </row>
    <row r="2" spans="1:28" s="63" customFormat="1" ht="15.6" customHeight="1" thickBot="1" x14ac:dyDescent="0.25">
      <c r="A2" s="466"/>
      <c r="B2" s="306" t="s">
        <v>311</v>
      </c>
      <c r="C2" s="71" t="s">
        <v>309</v>
      </c>
      <c r="D2" s="279" t="s">
        <v>2245</v>
      </c>
      <c r="E2" s="279" t="s">
        <v>310</v>
      </c>
      <c r="F2" s="279" t="s">
        <v>2711</v>
      </c>
      <c r="G2" s="280" t="s">
        <v>312</v>
      </c>
      <c r="H2" s="281" t="s">
        <v>2182</v>
      </c>
      <c r="I2" s="282">
        <v>1</v>
      </c>
      <c r="J2" s="283">
        <v>2</v>
      </c>
      <c r="K2" s="283">
        <v>3</v>
      </c>
      <c r="L2" s="283">
        <v>4</v>
      </c>
      <c r="M2" s="283">
        <v>5</v>
      </c>
      <c r="N2" s="284">
        <v>6</v>
      </c>
      <c r="O2" s="480"/>
      <c r="P2" s="481"/>
      <c r="Q2" s="474"/>
      <c r="R2" s="285" t="s">
        <v>2688</v>
      </c>
      <c r="S2" s="286" t="s">
        <v>315</v>
      </c>
      <c r="T2" s="281" t="s">
        <v>316</v>
      </c>
      <c r="U2" s="280" t="s">
        <v>324</v>
      </c>
      <c r="V2" s="286" t="s">
        <v>323</v>
      </c>
      <c r="W2" s="286" t="s">
        <v>322</v>
      </c>
      <c r="X2" s="286" t="s">
        <v>321</v>
      </c>
      <c r="Y2" s="286" t="s">
        <v>320</v>
      </c>
      <c r="Z2" s="286" t="s">
        <v>317</v>
      </c>
      <c r="AA2" s="286" t="s">
        <v>318</v>
      </c>
      <c r="AB2" s="281" t="s">
        <v>319</v>
      </c>
    </row>
    <row r="3" spans="1:28" ht="15.6" customHeight="1" x14ac:dyDescent="0.2">
      <c r="A3" s="212">
        <v>1</v>
      </c>
      <c r="B3" s="159" t="str">
        <f t="shared" ref="B3:B66" si="0">E3&amp;" "&amp;F3</f>
        <v>Agapanthus africanus</v>
      </c>
      <c r="C3" s="160" t="s">
        <v>2726</v>
      </c>
      <c r="D3" s="72" t="s">
        <v>2246</v>
      </c>
      <c r="E3" s="72" t="s">
        <v>2727</v>
      </c>
      <c r="F3" s="72" t="s">
        <v>2728</v>
      </c>
      <c r="G3" s="287" t="s">
        <v>2827</v>
      </c>
      <c r="H3" s="198" t="s">
        <v>1287</v>
      </c>
      <c r="I3" s="140">
        <v>4</v>
      </c>
      <c r="J3" s="141">
        <v>6</v>
      </c>
      <c r="K3" s="141">
        <v>5</v>
      </c>
      <c r="L3" s="141">
        <v>2</v>
      </c>
      <c r="M3" s="141">
        <v>1</v>
      </c>
      <c r="N3" s="199">
        <v>1</v>
      </c>
      <c r="O3" s="294" t="s">
        <v>2163</v>
      </c>
      <c r="P3" s="324" t="s">
        <v>3032</v>
      </c>
      <c r="Q3" s="295"/>
      <c r="R3" s="207">
        <v>35612</v>
      </c>
      <c r="S3" s="304" t="s">
        <v>2250</v>
      </c>
      <c r="T3" s="162"/>
      <c r="U3" s="163">
        <v>1</v>
      </c>
      <c r="V3" s="164"/>
      <c r="W3" s="164"/>
      <c r="X3" s="164"/>
      <c r="Y3" s="164"/>
      <c r="Z3" s="164"/>
      <c r="AA3" s="164"/>
      <c r="AB3" s="165"/>
    </row>
    <row r="4" spans="1:28" ht="15.6" customHeight="1" x14ac:dyDescent="0.2">
      <c r="A4" s="212">
        <v>2</v>
      </c>
      <c r="B4" s="159" t="str">
        <f t="shared" si="0"/>
        <v>Carpanthea pomeridiana</v>
      </c>
      <c r="C4" s="160" t="s">
        <v>2729</v>
      </c>
      <c r="D4" s="72" t="s">
        <v>2251</v>
      </c>
      <c r="E4" s="72" t="s">
        <v>2730</v>
      </c>
      <c r="F4" s="72" t="s">
        <v>2731</v>
      </c>
      <c r="G4" s="288" t="s">
        <v>2828</v>
      </c>
      <c r="H4" s="161" t="s">
        <v>1288</v>
      </c>
      <c r="I4" s="192">
        <v>6</v>
      </c>
      <c r="J4" s="193">
        <v>6</v>
      </c>
      <c r="K4" s="193">
        <v>3</v>
      </c>
      <c r="L4" s="193">
        <v>1</v>
      </c>
      <c r="M4" s="193">
        <v>4</v>
      </c>
      <c r="N4" s="200">
        <v>3</v>
      </c>
      <c r="O4" s="296" t="s">
        <v>2910</v>
      </c>
      <c r="P4" s="324" t="s">
        <v>2915</v>
      </c>
      <c r="Q4" s="297"/>
      <c r="R4" s="208">
        <v>36069</v>
      </c>
      <c r="S4" s="305"/>
      <c r="T4" s="194">
        <v>1</v>
      </c>
      <c r="U4" s="195">
        <v>1</v>
      </c>
      <c r="V4" s="196"/>
      <c r="W4" s="196"/>
      <c r="X4" s="196"/>
      <c r="Y4" s="196"/>
      <c r="Z4" s="196"/>
      <c r="AA4" s="196"/>
      <c r="AB4" s="197"/>
    </row>
    <row r="5" spans="1:28" ht="15.6" customHeight="1" x14ac:dyDescent="0.2">
      <c r="A5" s="212">
        <v>3</v>
      </c>
      <c r="B5" s="159" t="str">
        <f t="shared" si="0"/>
        <v>Carpobrotus acinaciformis</v>
      </c>
      <c r="C5" s="160" t="s">
        <v>2729</v>
      </c>
      <c r="D5" s="72" t="s">
        <v>2254</v>
      </c>
      <c r="E5" s="72" t="s">
        <v>2732</v>
      </c>
      <c r="F5" s="72" t="s">
        <v>2733</v>
      </c>
      <c r="G5" s="289" t="s">
        <v>2829</v>
      </c>
      <c r="H5" s="166" t="s">
        <v>1289</v>
      </c>
      <c r="I5" s="142">
        <v>3</v>
      </c>
      <c r="J5" s="143">
        <v>6</v>
      </c>
      <c r="K5" s="143">
        <v>3</v>
      </c>
      <c r="L5" s="143">
        <v>2</v>
      </c>
      <c r="M5" s="143">
        <v>3</v>
      </c>
      <c r="N5" s="201">
        <v>3</v>
      </c>
      <c r="O5" s="294" t="s">
        <v>2164</v>
      </c>
      <c r="P5" s="325" t="s">
        <v>3032</v>
      </c>
      <c r="Q5" s="298"/>
      <c r="R5" s="209">
        <v>35612</v>
      </c>
      <c r="S5" s="301"/>
      <c r="T5" s="81">
        <v>1</v>
      </c>
      <c r="U5" s="78">
        <v>1</v>
      </c>
      <c r="V5" s="69">
        <v>1</v>
      </c>
      <c r="W5" s="69">
        <v>1</v>
      </c>
      <c r="X5" s="69">
        <v>1</v>
      </c>
      <c r="Y5" s="69"/>
      <c r="Z5" s="69"/>
      <c r="AA5" s="69"/>
      <c r="AB5" s="49">
        <v>1</v>
      </c>
    </row>
    <row r="6" spans="1:28" ht="15.6" customHeight="1" x14ac:dyDescent="0.2">
      <c r="A6" s="212">
        <v>4</v>
      </c>
      <c r="B6" s="159" t="str">
        <f t="shared" si="0"/>
        <v>Carpobrotus edulis</v>
      </c>
      <c r="C6" s="160" t="s">
        <v>2729</v>
      </c>
      <c r="D6" s="72" t="s">
        <v>2254</v>
      </c>
      <c r="E6" s="72" t="s">
        <v>2732</v>
      </c>
      <c r="F6" s="72" t="s">
        <v>2734</v>
      </c>
      <c r="G6" s="289" t="s">
        <v>2830</v>
      </c>
      <c r="H6" s="166" t="s">
        <v>1289</v>
      </c>
      <c r="I6" s="142">
        <v>3</v>
      </c>
      <c r="J6" s="143">
        <v>6</v>
      </c>
      <c r="K6" s="143">
        <v>3</v>
      </c>
      <c r="L6" s="143">
        <v>2</v>
      </c>
      <c r="M6" s="143">
        <v>3</v>
      </c>
      <c r="N6" s="201">
        <v>3</v>
      </c>
      <c r="O6" s="294" t="s">
        <v>2164</v>
      </c>
      <c r="P6" s="325" t="s">
        <v>3032</v>
      </c>
      <c r="Q6" s="298"/>
      <c r="R6" s="209">
        <v>35612</v>
      </c>
      <c r="S6" s="301"/>
      <c r="T6" s="81">
        <v>1</v>
      </c>
      <c r="U6" s="78">
        <v>1</v>
      </c>
      <c r="V6" s="69"/>
      <c r="W6" s="69"/>
      <c r="X6" s="69"/>
      <c r="Y6" s="69"/>
      <c r="Z6" s="69"/>
      <c r="AA6" s="69"/>
      <c r="AB6" s="49"/>
    </row>
    <row r="7" spans="1:28" ht="15.6" customHeight="1" x14ac:dyDescent="0.2">
      <c r="A7" s="212">
        <v>5</v>
      </c>
      <c r="B7" s="159" t="str">
        <f t="shared" si="0"/>
        <v>Dorotheanthus bellidiformis</v>
      </c>
      <c r="C7" s="160" t="s">
        <v>2729</v>
      </c>
      <c r="D7" s="72" t="s">
        <v>2255</v>
      </c>
      <c r="E7" s="72" t="s">
        <v>2735</v>
      </c>
      <c r="F7" s="72" t="s">
        <v>2736</v>
      </c>
      <c r="G7" s="289" t="s">
        <v>2831</v>
      </c>
      <c r="H7" s="166" t="s">
        <v>1288</v>
      </c>
      <c r="I7" s="142">
        <v>6</v>
      </c>
      <c r="J7" s="143">
        <v>6</v>
      </c>
      <c r="K7" s="143">
        <v>3</v>
      </c>
      <c r="L7" s="143">
        <v>2</v>
      </c>
      <c r="M7" s="143">
        <v>3</v>
      </c>
      <c r="N7" s="201">
        <v>3</v>
      </c>
      <c r="O7" s="294" t="s">
        <v>3030</v>
      </c>
      <c r="P7" s="325" t="s">
        <v>2915</v>
      </c>
      <c r="Q7" s="298" t="s">
        <v>3144</v>
      </c>
      <c r="R7" s="209">
        <v>36069</v>
      </c>
      <c r="S7" s="301"/>
      <c r="T7" s="81">
        <v>1</v>
      </c>
      <c r="U7" s="78">
        <v>1</v>
      </c>
      <c r="V7" s="69"/>
      <c r="W7" s="69"/>
      <c r="X7" s="69"/>
      <c r="Y7" s="69"/>
      <c r="Z7" s="69"/>
      <c r="AA7" s="69"/>
      <c r="AB7" s="49"/>
    </row>
    <row r="8" spans="1:28" ht="15.6" customHeight="1" x14ac:dyDescent="0.2">
      <c r="A8" s="212">
        <v>6</v>
      </c>
      <c r="B8" s="159" t="str">
        <f t="shared" si="0"/>
        <v>Drosanthemum intermedium</v>
      </c>
      <c r="C8" s="160" t="s">
        <v>2729</v>
      </c>
      <c r="D8" s="72"/>
      <c r="E8" s="72" t="s">
        <v>2737</v>
      </c>
      <c r="F8" s="72" t="s">
        <v>2738</v>
      </c>
      <c r="G8" s="289" t="s">
        <v>2832</v>
      </c>
      <c r="H8" s="166" t="s">
        <v>3215</v>
      </c>
      <c r="I8" s="142">
        <v>2</v>
      </c>
      <c r="J8" s="143">
        <v>6</v>
      </c>
      <c r="K8" s="143">
        <v>3</v>
      </c>
      <c r="L8" s="143">
        <v>2</v>
      </c>
      <c r="M8" s="143">
        <v>3</v>
      </c>
      <c r="N8" s="201">
        <v>5</v>
      </c>
      <c r="O8" s="294" t="s">
        <v>2165</v>
      </c>
      <c r="P8" s="325" t="s">
        <v>3032</v>
      </c>
      <c r="Q8" s="298"/>
      <c r="R8" s="209">
        <v>35947</v>
      </c>
      <c r="S8" s="301"/>
      <c r="T8" s="81">
        <v>1</v>
      </c>
      <c r="U8" s="78">
        <v>1</v>
      </c>
      <c r="V8" s="69"/>
      <c r="W8" s="69"/>
      <c r="X8" s="69"/>
      <c r="Y8" s="69"/>
      <c r="Z8" s="69"/>
      <c r="AA8" s="69"/>
      <c r="AB8" s="49"/>
    </row>
    <row r="9" spans="1:28" ht="15.6" customHeight="1" x14ac:dyDescent="0.2">
      <c r="A9" s="213">
        <v>7</v>
      </c>
      <c r="B9" s="159" t="str">
        <f t="shared" si="0"/>
        <v>Galenia ecklonis</v>
      </c>
      <c r="C9" s="160" t="s">
        <v>2729</v>
      </c>
      <c r="D9" s="72" t="s">
        <v>2256</v>
      </c>
      <c r="E9" s="72" t="s">
        <v>2739</v>
      </c>
      <c r="F9" s="72" t="s">
        <v>2740</v>
      </c>
      <c r="G9" s="289" t="s">
        <v>2833</v>
      </c>
      <c r="H9" s="166" t="s">
        <v>3215</v>
      </c>
      <c r="I9" s="142">
        <v>2</v>
      </c>
      <c r="J9" s="143">
        <v>6</v>
      </c>
      <c r="K9" s="143">
        <v>3</v>
      </c>
      <c r="L9" s="143">
        <v>3</v>
      </c>
      <c r="M9" s="143">
        <v>4</v>
      </c>
      <c r="N9" s="201">
        <v>5</v>
      </c>
      <c r="O9" s="294" t="s">
        <v>2165</v>
      </c>
      <c r="P9" s="325" t="s">
        <v>3032</v>
      </c>
      <c r="Q9" s="298"/>
      <c r="R9" s="209">
        <v>37257</v>
      </c>
      <c r="S9" s="301"/>
      <c r="T9" s="81">
        <v>1</v>
      </c>
      <c r="U9" s="78"/>
      <c r="V9" s="69"/>
      <c r="W9" s="69"/>
      <c r="X9" s="69"/>
      <c r="Y9" s="69"/>
      <c r="Z9" s="69"/>
      <c r="AA9" s="69"/>
      <c r="AB9" s="49"/>
    </row>
    <row r="10" spans="1:28" ht="15.6" customHeight="1" x14ac:dyDescent="0.2">
      <c r="A10" s="212">
        <v>8</v>
      </c>
      <c r="B10" s="159" t="str">
        <f t="shared" si="0"/>
        <v>Jordaaniella dubia</v>
      </c>
      <c r="C10" s="160" t="s">
        <v>2729</v>
      </c>
      <c r="D10" s="72" t="s">
        <v>2911</v>
      </c>
      <c r="E10" s="72" t="s">
        <v>2912</v>
      </c>
      <c r="F10" s="167" t="s">
        <v>1647</v>
      </c>
      <c r="G10" s="289" t="s">
        <v>2913</v>
      </c>
      <c r="H10" s="166" t="s">
        <v>199</v>
      </c>
      <c r="I10" s="142">
        <v>9</v>
      </c>
      <c r="J10" s="143">
        <v>6</v>
      </c>
      <c r="K10" s="143">
        <v>9</v>
      </c>
      <c r="L10" s="143">
        <v>9</v>
      </c>
      <c r="M10" s="143">
        <v>4</v>
      </c>
      <c r="N10" s="201">
        <v>9</v>
      </c>
      <c r="O10" s="294" t="s">
        <v>2164</v>
      </c>
      <c r="P10" s="325" t="s">
        <v>3032</v>
      </c>
      <c r="Q10" s="298"/>
      <c r="R10" s="209">
        <v>38108</v>
      </c>
      <c r="S10" s="301"/>
      <c r="T10" s="81"/>
      <c r="U10" s="78">
        <v>1</v>
      </c>
      <c r="V10" s="69"/>
      <c r="W10" s="69"/>
      <c r="X10" s="69"/>
      <c r="Y10" s="69"/>
      <c r="Z10" s="69"/>
      <c r="AA10" s="69"/>
      <c r="AB10" s="49"/>
    </row>
    <row r="11" spans="1:28" ht="15.6" customHeight="1" x14ac:dyDescent="0.2">
      <c r="A11" s="212">
        <v>9</v>
      </c>
      <c r="B11" s="159" t="str">
        <f t="shared" si="0"/>
        <v>Lampranthus aestivus</v>
      </c>
      <c r="C11" s="160" t="s">
        <v>2729</v>
      </c>
      <c r="D11" s="72"/>
      <c r="E11" s="72" t="s">
        <v>2741</v>
      </c>
      <c r="F11" s="72" t="s">
        <v>2742</v>
      </c>
      <c r="G11" s="289" t="s">
        <v>2834</v>
      </c>
      <c r="H11" s="166" t="s">
        <v>3216</v>
      </c>
      <c r="I11" s="142">
        <v>2</v>
      </c>
      <c r="J11" s="143">
        <v>6</v>
      </c>
      <c r="K11" s="143">
        <v>3</v>
      </c>
      <c r="L11" s="143">
        <v>2</v>
      </c>
      <c r="M11" s="143">
        <v>3</v>
      </c>
      <c r="N11" s="201">
        <v>4</v>
      </c>
      <c r="O11" s="294" t="s">
        <v>2166</v>
      </c>
      <c r="P11" s="325" t="s">
        <v>3032</v>
      </c>
      <c r="Q11" s="298"/>
      <c r="R11" s="209"/>
      <c r="S11" s="301"/>
      <c r="T11" s="81">
        <v>1</v>
      </c>
      <c r="U11" s="78"/>
      <c r="V11" s="69"/>
      <c r="W11" s="69"/>
      <c r="X11" s="69">
        <v>1</v>
      </c>
      <c r="Y11" s="69"/>
      <c r="Z11" s="69"/>
      <c r="AA11" s="69"/>
      <c r="AB11" s="49"/>
    </row>
    <row r="12" spans="1:28" ht="15.6" customHeight="1" x14ac:dyDescent="0.2">
      <c r="A12" s="212">
        <v>10</v>
      </c>
      <c r="B12" s="159" t="str">
        <f t="shared" si="0"/>
        <v>Lampranthus caudatus</v>
      </c>
      <c r="C12" s="160" t="s">
        <v>2729</v>
      </c>
      <c r="D12" s="72"/>
      <c r="E12" s="72" t="s">
        <v>2741</v>
      </c>
      <c r="F12" s="72" t="s">
        <v>2743</v>
      </c>
      <c r="G12" s="289" t="s">
        <v>2835</v>
      </c>
      <c r="H12" s="166" t="s">
        <v>3215</v>
      </c>
      <c r="I12" s="142">
        <v>2</v>
      </c>
      <c r="J12" s="143">
        <v>6</v>
      </c>
      <c r="K12" s="143">
        <v>3</v>
      </c>
      <c r="L12" s="143">
        <v>2</v>
      </c>
      <c r="M12" s="143">
        <v>3</v>
      </c>
      <c r="N12" s="201">
        <v>5</v>
      </c>
      <c r="O12" s="294" t="s">
        <v>2166</v>
      </c>
      <c r="P12" s="325" t="s">
        <v>3032</v>
      </c>
      <c r="Q12" s="298"/>
      <c r="R12" s="209">
        <v>36892</v>
      </c>
      <c r="S12" s="301"/>
      <c r="T12" s="81">
        <v>1</v>
      </c>
      <c r="U12" s="78"/>
      <c r="V12" s="69"/>
      <c r="W12" s="69"/>
      <c r="X12" s="69">
        <v>1</v>
      </c>
      <c r="Y12" s="69"/>
      <c r="Z12" s="69"/>
      <c r="AA12" s="69"/>
      <c r="AB12" s="49"/>
    </row>
    <row r="13" spans="1:28" ht="15.6" customHeight="1" x14ac:dyDescent="0.2">
      <c r="A13" s="212">
        <v>11</v>
      </c>
      <c r="B13" s="159" t="str">
        <f t="shared" si="0"/>
        <v>Lampranthus explanatus</v>
      </c>
      <c r="C13" s="160" t="s">
        <v>2729</v>
      </c>
      <c r="D13" s="72"/>
      <c r="E13" s="72" t="s">
        <v>2741</v>
      </c>
      <c r="F13" s="72" t="s">
        <v>2744</v>
      </c>
      <c r="G13" s="289" t="s">
        <v>2836</v>
      </c>
      <c r="H13" s="166" t="s">
        <v>3217</v>
      </c>
      <c r="I13" s="142">
        <v>3</v>
      </c>
      <c r="J13" s="143">
        <v>6</v>
      </c>
      <c r="K13" s="143">
        <v>5</v>
      </c>
      <c r="L13" s="143">
        <v>2</v>
      </c>
      <c r="M13" s="143">
        <v>3</v>
      </c>
      <c r="N13" s="201">
        <v>4</v>
      </c>
      <c r="O13" s="294" t="s">
        <v>2166</v>
      </c>
      <c r="P13" s="325" t="s">
        <v>3032</v>
      </c>
      <c r="Q13" s="298"/>
      <c r="R13" s="209">
        <v>35612</v>
      </c>
      <c r="S13" s="301"/>
      <c r="T13" s="81">
        <v>1</v>
      </c>
      <c r="U13" s="78">
        <v>1</v>
      </c>
      <c r="V13" s="69">
        <v>1</v>
      </c>
      <c r="W13" s="69"/>
      <c r="X13" s="69"/>
      <c r="Y13" s="69"/>
      <c r="Z13" s="69"/>
      <c r="AA13" s="69"/>
      <c r="AB13" s="49"/>
    </row>
    <row r="14" spans="1:28" ht="15.6" customHeight="1" x14ac:dyDescent="0.2">
      <c r="A14" s="212">
        <v>12</v>
      </c>
      <c r="B14" s="159" t="str">
        <f t="shared" si="0"/>
        <v>Lampranthus furvus</v>
      </c>
      <c r="C14" s="160" t="s">
        <v>2729</v>
      </c>
      <c r="D14" s="72"/>
      <c r="E14" s="72" t="s">
        <v>2741</v>
      </c>
      <c r="F14" s="72" t="s">
        <v>2745</v>
      </c>
      <c r="G14" s="289" t="s">
        <v>2837</v>
      </c>
      <c r="H14" s="166" t="s">
        <v>3215</v>
      </c>
      <c r="I14" s="142">
        <v>2</v>
      </c>
      <c r="J14" s="143">
        <v>6</v>
      </c>
      <c r="K14" s="143">
        <v>2</v>
      </c>
      <c r="L14" s="143">
        <v>2</v>
      </c>
      <c r="M14" s="143">
        <v>3</v>
      </c>
      <c r="N14" s="201">
        <v>5</v>
      </c>
      <c r="O14" s="294" t="s">
        <v>2166</v>
      </c>
      <c r="P14" s="325" t="s">
        <v>3032</v>
      </c>
      <c r="Q14" s="299"/>
      <c r="R14" s="209">
        <v>35947</v>
      </c>
      <c r="S14" s="301"/>
      <c r="T14" s="81">
        <v>1</v>
      </c>
      <c r="U14" s="78"/>
      <c r="V14" s="69">
        <v>1</v>
      </c>
      <c r="W14" s="69"/>
      <c r="X14" s="69"/>
      <c r="Y14" s="69"/>
      <c r="Z14" s="69"/>
      <c r="AA14" s="69"/>
      <c r="AB14" s="49"/>
    </row>
    <row r="15" spans="1:28" ht="15.6" customHeight="1" x14ac:dyDescent="0.2">
      <c r="A15" s="212">
        <v>13</v>
      </c>
      <c r="B15" s="168" t="str">
        <f t="shared" si="0"/>
        <v>Lampranthus simulans</v>
      </c>
      <c r="C15" s="169" t="s">
        <v>2729</v>
      </c>
      <c r="D15" s="73"/>
      <c r="E15" s="73" t="s">
        <v>2741</v>
      </c>
      <c r="F15" s="73" t="s">
        <v>2746</v>
      </c>
      <c r="G15" s="170" t="s">
        <v>2838</v>
      </c>
      <c r="H15" s="171" t="s">
        <v>3215</v>
      </c>
      <c r="I15" s="172">
        <v>2</v>
      </c>
      <c r="J15" s="173">
        <v>6</v>
      </c>
      <c r="K15" s="173">
        <v>2</v>
      </c>
      <c r="L15" s="173">
        <v>2</v>
      </c>
      <c r="M15" s="173">
        <v>3</v>
      </c>
      <c r="N15" s="202">
        <v>5</v>
      </c>
      <c r="O15" s="203" t="s">
        <v>2166</v>
      </c>
      <c r="P15" s="326" t="s">
        <v>3032</v>
      </c>
      <c r="Q15" s="174"/>
      <c r="R15" s="210">
        <v>35886</v>
      </c>
      <c r="S15" s="175"/>
      <c r="T15" s="176">
        <v>1</v>
      </c>
      <c r="U15" s="177"/>
      <c r="V15" s="178"/>
      <c r="W15" s="178"/>
      <c r="X15" s="178">
        <v>1</v>
      </c>
      <c r="Y15" s="178"/>
      <c r="Z15" s="178"/>
      <c r="AA15" s="178"/>
      <c r="AB15" s="179"/>
    </row>
    <row r="16" spans="1:28" ht="15.6" customHeight="1" x14ac:dyDescent="0.2">
      <c r="A16" s="212">
        <v>14</v>
      </c>
      <c r="B16" s="159" t="str">
        <f t="shared" si="0"/>
        <v>Phyllobolus canaliculatus</v>
      </c>
      <c r="C16" s="160" t="s">
        <v>2729</v>
      </c>
      <c r="D16" s="72"/>
      <c r="E16" s="72" t="s">
        <v>2747</v>
      </c>
      <c r="F16" s="72" t="s">
        <v>2748</v>
      </c>
      <c r="G16" s="289" t="s">
        <v>2839</v>
      </c>
      <c r="H16" s="166" t="s">
        <v>3218</v>
      </c>
      <c r="I16" s="142">
        <v>4</v>
      </c>
      <c r="J16" s="143">
        <v>6</v>
      </c>
      <c r="K16" s="143">
        <v>2</v>
      </c>
      <c r="L16" s="143">
        <v>2</v>
      </c>
      <c r="M16" s="143">
        <v>4</v>
      </c>
      <c r="N16" s="201">
        <v>4</v>
      </c>
      <c r="O16" s="294" t="s">
        <v>2163</v>
      </c>
      <c r="P16" s="325" t="s">
        <v>3032</v>
      </c>
      <c r="Q16" s="298"/>
      <c r="R16" s="209">
        <v>36861</v>
      </c>
      <c r="S16" s="301"/>
      <c r="T16" s="81">
        <v>1</v>
      </c>
      <c r="U16" s="78"/>
      <c r="V16" s="69"/>
      <c r="W16" s="69">
        <v>1</v>
      </c>
      <c r="X16" s="69">
        <v>1</v>
      </c>
      <c r="Y16" s="69"/>
      <c r="Z16" s="69"/>
      <c r="AA16" s="69"/>
      <c r="AB16" s="49"/>
    </row>
    <row r="17" spans="1:28" ht="15.6" customHeight="1" x14ac:dyDescent="0.2">
      <c r="A17" s="212">
        <v>15</v>
      </c>
      <c r="B17" s="159" t="str">
        <f t="shared" si="0"/>
        <v>Ruschia calcicola</v>
      </c>
      <c r="C17" s="160" t="s">
        <v>2729</v>
      </c>
      <c r="D17" s="72"/>
      <c r="E17" s="72" t="s">
        <v>2749</v>
      </c>
      <c r="F17" s="72" t="s">
        <v>2155</v>
      </c>
      <c r="G17" s="289" t="s">
        <v>2840</v>
      </c>
      <c r="H17" s="166" t="s">
        <v>3216</v>
      </c>
      <c r="I17" s="142">
        <v>2</v>
      </c>
      <c r="J17" s="143">
        <v>6</v>
      </c>
      <c r="K17" s="143">
        <v>2</v>
      </c>
      <c r="L17" s="143">
        <v>2</v>
      </c>
      <c r="M17" s="143">
        <v>3</v>
      </c>
      <c r="N17" s="201">
        <v>4</v>
      </c>
      <c r="O17" s="294" t="s">
        <v>3031</v>
      </c>
      <c r="P17" s="325" t="s">
        <v>3032</v>
      </c>
      <c r="Q17" s="298"/>
      <c r="R17" s="209">
        <v>35947</v>
      </c>
      <c r="S17" s="301"/>
      <c r="T17" s="81">
        <v>1</v>
      </c>
      <c r="U17" s="78"/>
      <c r="V17" s="69">
        <v>1</v>
      </c>
      <c r="W17" s="69"/>
      <c r="X17" s="69"/>
      <c r="Y17" s="69"/>
      <c r="Z17" s="69"/>
      <c r="AA17" s="69"/>
      <c r="AB17" s="49"/>
    </row>
    <row r="18" spans="1:28" ht="15.6" customHeight="1" x14ac:dyDescent="0.2">
      <c r="A18" s="212">
        <v>16</v>
      </c>
      <c r="B18" s="159" t="str">
        <f t="shared" si="0"/>
        <v>Ruschia sarmentosa</v>
      </c>
      <c r="C18" s="160" t="s">
        <v>2729</v>
      </c>
      <c r="D18" s="72"/>
      <c r="E18" s="72" t="s">
        <v>2749</v>
      </c>
      <c r="F18" s="72" t="s">
        <v>2750</v>
      </c>
      <c r="G18" s="289" t="s">
        <v>2841</v>
      </c>
      <c r="H18" s="166" t="s">
        <v>3219</v>
      </c>
      <c r="I18" s="142">
        <v>2</v>
      </c>
      <c r="J18" s="143">
        <v>6</v>
      </c>
      <c r="K18" s="143">
        <v>5</v>
      </c>
      <c r="L18" s="143">
        <v>2</v>
      </c>
      <c r="M18" s="143">
        <v>3</v>
      </c>
      <c r="N18" s="201">
        <v>3</v>
      </c>
      <c r="O18" s="294" t="s">
        <v>3031</v>
      </c>
      <c r="P18" s="325" t="s">
        <v>3032</v>
      </c>
      <c r="Q18" s="298"/>
      <c r="R18" s="209">
        <v>35612</v>
      </c>
      <c r="S18" s="301"/>
      <c r="T18" s="81">
        <v>1</v>
      </c>
      <c r="U18" s="78">
        <v>1</v>
      </c>
      <c r="V18" s="69">
        <v>1</v>
      </c>
      <c r="W18" s="69"/>
      <c r="X18" s="69">
        <v>1</v>
      </c>
      <c r="Y18" s="69"/>
      <c r="Z18" s="69"/>
      <c r="AA18" s="69"/>
      <c r="AB18" s="49"/>
    </row>
    <row r="19" spans="1:28" ht="15.6" customHeight="1" x14ac:dyDescent="0.2">
      <c r="A19" s="212">
        <v>17</v>
      </c>
      <c r="B19" s="159" t="str">
        <f t="shared" si="0"/>
        <v>Tetragonia echinata</v>
      </c>
      <c r="C19" s="160" t="s">
        <v>2729</v>
      </c>
      <c r="D19" s="72"/>
      <c r="E19" s="72" t="s">
        <v>2751</v>
      </c>
      <c r="F19" s="72" t="s">
        <v>2752</v>
      </c>
      <c r="G19" s="289" t="s">
        <v>2842</v>
      </c>
      <c r="H19" s="166" t="s">
        <v>3220</v>
      </c>
      <c r="I19" s="142">
        <v>6</v>
      </c>
      <c r="J19" s="143">
        <v>6</v>
      </c>
      <c r="K19" s="143">
        <v>3</v>
      </c>
      <c r="L19" s="143">
        <v>1</v>
      </c>
      <c r="M19" s="143">
        <v>3</v>
      </c>
      <c r="N19" s="201">
        <v>4</v>
      </c>
      <c r="O19" s="294" t="s">
        <v>2164</v>
      </c>
      <c r="P19" s="325" t="s">
        <v>2915</v>
      </c>
      <c r="Q19" s="298"/>
      <c r="R19" s="209">
        <v>37226</v>
      </c>
      <c r="S19" s="301"/>
      <c r="T19" s="81">
        <v>1</v>
      </c>
      <c r="U19" s="78">
        <v>1</v>
      </c>
      <c r="V19" s="69"/>
      <c r="W19" s="69"/>
      <c r="X19" s="69"/>
      <c r="Y19" s="69"/>
      <c r="Z19" s="69"/>
      <c r="AA19" s="69"/>
      <c r="AB19" s="49"/>
    </row>
    <row r="20" spans="1:28" ht="15.6" customHeight="1" x14ac:dyDescent="0.2">
      <c r="A20" s="212">
        <v>18</v>
      </c>
      <c r="B20" s="159" t="str">
        <f t="shared" si="0"/>
        <v>Tetragonia fruticosa</v>
      </c>
      <c r="C20" s="160" t="s">
        <v>2729</v>
      </c>
      <c r="D20" s="72" t="s">
        <v>2257</v>
      </c>
      <c r="E20" s="72" t="s">
        <v>2751</v>
      </c>
      <c r="F20" s="72" t="s">
        <v>2753</v>
      </c>
      <c r="G20" s="289" t="s">
        <v>2843</v>
      </c>
      <c r="H20" s="166" t="s">
        <v>3221</v>
      </c>
      <c r="I20" s="142">
        <v>2</v>
      </c>
      <c r="J20" s="143">
        <v>5</v>
      </c>
      <c r="K20" s="143">
        <v>3</v>
      </c>
      <c r="L20" s="143">
        <v>2</v>
      </c>
      <c r="M20" s="143">
        <v>3</v>
      </c>
      <c r="N20" s="201">
        <v>4</v>
      </c>
      <c r="O20" s="294" t="s">
        <v>2914</v>
      </c>
      <c r="P20" s="325" t="s">
        <v>3032</v>
      </c>
      <c r="Q20" s="298"/>
      <c r="R20" s="209">
        <v>35855</v>
      </c>
      <c r="S20" s="301"/>
      <c r="T20" s="81">
        <v>1</v>
      </c>
      <c r="U20" s="78">
        <v>1</v>
      </c>
      <c r="V20" s="69"/>
      <c r="W20" s="69"/>
      <c r="X20" s="69"/>
      <c r="Y20" s="69">
        <v>1</v>
      </c>
      <c r="Z20" s="69"/>
      <c r="AA20" s="69"/>
      <c r="AB20" s="49"/>
    </row>
    <row r="21" spans="1:28" ht="15.6" customHeight="1" x14ac:dyDescent="0.2">
      <c r="A21" s="212">
        <v>19</v>
      </c>
      <c r="B21" s="159" t="str">
        <f t="shared" si="0"/>
        <v>Tulbaghia capensis</v>
      </c>
      <c r="C21" s="160" t="s">
        <v>2754</v>
      </c>
      <c r="D21" s="72" t="s">
        <v>2258</v>
      </c>
      <c r="E21" s="72" t="s">
        <v>2755</v>
      </c>
      <c r="F21" s="72" t="s">
        <v>2756</v>
      </c>
      <c r="G21" s="289" t="s">
        <v>2844</v>
      </c>
      <c r="H21" s="166" t="s">
        <v>3222</v>
      </c>
      <c r="I21" s="142">
        <v>4</v>
      </c>
      <c r="J21" s="143">
        <v>6</v>
      </c>
      <c r="K21" s="143">
        <v>5</v>
      </c>
      <c r="L21" s="143">
        <v>3</v>
      </c>
      <c r="M21" s="143">
        <v>1</v>
      </c>
      <c r="N21" s="201">
        <v>1</v>
      </c>
      <c r="O21" s="294" t="s">
        <v>2163</v>
      </c>
      <c r="P21" s="325" t="s">
        <v>3032</v>
      </c>
      <c r="Q21" s="298"/>
      <c r="R21" s="209">
        <v>36586</v>
      </c>
      <c r="S21" s="301" t="s">
        <v>2250</v>
      </c>
      <c r="T21" s="81"/>
      <c r="U21" s="78"/>
      <c r="V21" s="69"/>
      <c r="W21" s="69"/>
      <c r="X21" s="69">
        <v>1</v>
      </c>
      <c r="Y21" s="69"/>
      <c r="Z21" s="69"/>
      <c r="AA21" s="69"/>
      <c r="AB21" s="49"/>
    </row>
    <row r="22" spans="1:28" ht="15.6" customHeight="1" x14ac:dyDescent="0.2">
      <c r="A22" s="212">
        <v>20</v>
      </c>
      <c r="B22" s="159" t="str">
        <f t="shared" si="0"/>
        <v>Exomis microphylla var. axyroides</v>
      </c>
      <c r="C22" s="160" t="s">
        <v>2757</v>
      </c>
      <c r="D22" s="72" t="s">
        <v>2259</v>
      </c>
      <c r="E22" s="72" t="s">
        <v>2758</v>
      </c>
      <c r="F22" s="72" t="s">
        <v>2759</v>
      </c>
      <c r="G22" s="289" t="s">
        <v>2845</v>
      </c>
      <c r="H22" s="166" t="s">
        <v>3223</v>
      </c>
      <c r="I22" s="142">
        <v>2</v>
      </c>
      <c r="J22" s="143">
        <v>5</v>
      </c>
      <c r="K22" s="143">
        <v>3</v>
      </c>
      <c r="L22" s="143">
        <v>2</v>
      </c>
      <c r="M22" s="143">
        <v>1</v>
      </c>
      <c r="N22" s="201">
        <v>3</v>
      </c>
      <c r="O22" s="294" t="s">
        <v>2914</v>
      </c>
      <c r="P22" s="325" t="s">
        <v>3032</v>
      </c>
      <c r="Q22" s="298"/>
      <c r="R22" s="209">
        <v>37012</v>
      </c>
      <c r="S22" s="301"/>
      <c r="T22" s="81">
        <v>1</v>
      </c>
      <c r="U22" s="78">
        <v>1</v>
      </c>
      <c r="V22" s="69"/>
      <c r="W22" s="69"/>
      <c r="X22" s="69"/>
      <c r="Y22" s="69"/>
      <c r="Z22" s="69"/>
      <c r="AA22" s="69"/>
      <c r="AB22" s="49"/>
    </row>
    <row r="23" spans="1:28" ht="15.6" customHeight="1" x14ac:dyDescent="0.2">
      <c r="A23" s="212">
        <v>21</v>
      </c>
      <c r="B23" s="159" t="str">
        <f t="shared" si="0"/>
        <v>Brunsvigia orientalis</v>
      </c>
      <c r="C23" s="160" t="s">
        <v>2760</v>
      </c>
      <c r="D23" s="72" t="s">
        <v>2260</v>
      </c>
      <c r="E23" s="72" t="s">
        <v>2761</v>
      </c>
      <c r="F23" s="72" t="s">
        <v>2762</v>
      </c>
      <c r="G23" s="289" t="s">
        <v>2846</v>
      </c>
      <c r="H23" s="166" t="s">
        <v>1287</v>
      </c>
      <c r="I23" s="142">
        <v>4</v>
      </c>
      <c r="J23" s="143">
        <v>6</v>
      </c>
      <c r="K23" s="143">
        <v>5</v>
      </c>
      <c r="L23" s="143">
        <v>1</v>
      </c>
      <c r="M23" s="143">
        <v>1</v>
      </c>
      <c r="N23" s="201">
        <v>3</v>
      </c>
      <c r="O23" s="294" t="s">
        <v>2163</v>
      </c>
      <c r="P23" s="325" t="s">
        <v>3032</v>
      </c>
      <c r="Q23" s="298"/>
      <c r="R23" s="209">
        <v>35612</v>
      </c>
      <c r="S23" s="301" t="s">
        <v>2702</v>
      </c>
      <c r="T23" s="81"/>
      <c r="U23" s="78">
        <v>1</v>
      </c>
      <c r="V23" s="69"/>
      <c r="W23" s="69"/>
      <c r="X23" s="69"/>
      <c r="Y23" s="69"/>
      <c r="Z23" s="69"/>
      <c r="AA23" s="69"/>
      <c r="AB23" s="49"/>
    </row>
    <row r="24" spans="1:28" ht="15.6" customHeight="1" x14ac:dyDescent="0.2">
      <c r="A24" s="212">
        <v>22</v>
      </c>
      <c r="B24" s="159" t="str">
        <f t="shared" si="0"/>
        <v>Cyrtanthus leucanthus</v>
      </c>
      <c r="C24" s="160" t="s">
        <v>2760</v>
      </c>
      <c r="D24" s="72" t="s">
        <v>2261</v>
      </c>
      <c r="E24" s="72" t="s">
        <v>2763</v>
      </c>
      <c r="F24" s="72" t="s">
        <v>2764</v>
      </c>
      <c r="G24" s="289" t="s">
        <v>2847</v>
      </c>
      <c r="H24" s="166" t="s">
        <v>1287</v>
      </c>
      <c r="I24" s="142">
        <v>4</v>
      </c>
      <c r="J24" s="143">
        <v>6</v>
      </c>
      <c r="K24" s="143">
        <v>5</v>
      </c>
      <c r="L24" s="143">
        <v>2</v>
      </c>
      <c r="M24" s="143">
        <v>1</v>
      </c>
      <c r="N24" s="201">
        <v>1</v>
      </c>
      <c r="O24" s="294" t="s">
        <v>2163</v>
      </c>
      <c r="P24" s="325" t="s">
        <v>3032</v>
      </c>
      <c r="Q24" s="298" t="s">
        <v>3145</v>
      </c>
      <c r="R24" s="209">
        <v>35796</v>
      </c>
      <c r="S24" s="301"/>
      <c r="T24" s="81">
        <v>1</v>
      </c>
      <c r="U24" s="78"/>
      <c r="V24" s="69"/>
      <c r="W24" s="69"/>
      <c r="X24" s="69">
        <v>1</v>
      </c>
      <c r="Y24" s="69"/>
      <c r="Z24" s="69"/>
      <c r="AA24" s="69"/>
      <c r="AB24" s="49"/>
    </row>
    <row r="25" spans="1:28" ht="15.6" customHeight="1" x14ac:dyDescent="0.2">
      <c r="A25" s="212">
        <v>23</v>
      </c>
      <c r="B25" s="159" t="str">
        <f t="shared" si="0"/>
        <v>Haemanthus coccineus</v>
      </c>
      <c r="C25" s="160" t="s">
        <v>2760</v>
      </c>
      <c r="D25" s="72" t="s">
        <v>2262</v>
      </c>
      <c r="E25" s="72" t="s">
        <v>2765</v>
      </c>
      <c r="F25" s="72" t="s">
        <v>2766</v>
      </c>
      <c r="G25" s="289" t="s">
        <v>2848</v>
      </c>
      <c r="H25" s="166" t="s">
        <v>3224</v>
      </c>
      <c r="I25" s="142">
        <v>4</v>
      </c>
      <c r="J25" s="143">
        <v>6</v>
      </c>
      <c r="K25" s="143">
        <v>5</v>
      </c>
      <c r="L25" s="143">
        <v>1</v>
      </c>
      <c r="M25" s="143">
        <v>4</v>
      </c>
      <c r="N25" s="201">
        <v>1</v>
      </c>
      <c r="O25" s="294" t="s">
        <v>2163</v>
      </c>
      <c r="P25" s="325" t="s">
        <v>3032</v>
      </c>
      <c r="Q25" s="298"/>
      <c r="R25" s="209">
        <v>35612</v>
      </c>
      <c r="S25" s="301"/>
      <c r="T25" s="81">
        <v>1</v>
      </c>
      <c r="U25" s="78">
        <v>1</v>
      </c>
      <c r="V25" s="69"/>
      <c r="W25" s="69"/>
      <c r="X25" s="69"/>
      <c r="Y25" s="69"/>
      <c r="Z25" s="69">
        <v>1</v>
      </c>
      <c r="AA25" s="69"/>
      <c r="AB25" s="49"/>
    </row>
    <row r="26" spans="1:28" ht="15.6" customHeight="1" x14ac:dyDescent="0.2">
      <c r="A26" s="212">
        <v>24</v>
      </c>
      <c r="B26" s="159" t="str">
        <f t="shared" si="0"/>
        <v>Haemanthus sanguineus</v>
      </c>
      <c r="C26" s="160" t="s">
        <v>2760</v>
      </c>
      <c r="D26" s="72" t="s">
        <v>2262</v>
      </c>
      <c r="E26" s="72" t="s">
        <v>2765</v>
      </c>
      <c r="F26" s="72" t="s">
        <v>2767</v>
      </c>
      <c r="G26" s="289" t="s">
        <v>2849</v>
      </c>
      <c r="H26" s="166" t="s">
        <v>3224</v>
      </c>
      <c r="I26" s="142">
        <v>4</v>
      </c>
      <c r="J26" s="143">
        <v>6</v>
      </c>
      <c r="K26" s="143">
        <v>5</v>
      </c>
      <c r="L26" s="143">
        <v>1</v>
      </c>
      <c r="M26" s="143">
        <v>4</v>
      </c>
      <c r="N26" s="201">
        <v>1</v>
      </c>
      <c r="O26" s="294" t="s">
        <v>2163</v>
      </c>
      <c r="P26" s="325" t="s">
        <v>3032</v>
      </c>
      <c r="Q26" s="298"/>
      <c r="R26" s="209">
        <v>35855</v>
      </c>
      <c r="S26" s="301"/>
      <c r="T26" s="81">
        <v>1</v>
      </c>
      <c r="U26" s="78">
        <v>1</v>
      </c>
      <c r="V26" s="69"/>
      <c r="W26" s="69"/>
      <c r="X26" s="69"/>
      <c r="Y26" s="69"/>
      <c r="Z26" s="69"/>
      <c r="AA26" s="69"/>
      <c r="AB26" s="49"/>
    </row>
    <row r="27" spans="1:28" ht="15.6" customHeight="1" x14ac:dyDescent="0.2">
      <c r="A27" s="212">
        <v>25</v>
      </c>
      <c r="B27" s="159" t="str">
        <f t="shared" si="0"/>
        <v>Nerine humilis</v>
      </c>
      <c r="C27" s="160" t="s">
        <v>2760</v>
      </c>
      <c r="D27" s="72"/>
      <c r="E27" s="72" t="s">
        <v>2922</v>
      </c>
      <c r="F27" s="72" t="s">
        <v>2923</v>
      </c>
      <c r="G27" s="289" t="s">
        <v>2924</v>
      </c>
      <c r="H27" s="166" t="s">
        <v>3225</v>
      </c>
      <c r="I27" s="142">
        <v>4</v>
      </c>
      <c r="J27" s="143">
        <v>6</v>
      </c>
      <c r="K27" s="143">
        <v>5</v>
      </c>
      <c r="L27" s="143">
        <v>9</v>
      </c>
      <c r="M27" s="143">
        <v>9</v>
      </c>
      <c r="N27" s="201">
        <v>9</v>
      </c>
      <c r="O27" s="294" t="s">
        <v>2163</v>
      </c>
      <c r="P27" s="325" t="s">
        <v>3032</v>
      </c>
      <c r="Q27" s="298"/>
      <c r="R27" s="209">
        <v>38108</v>
      </c>
      <c r="S27" s="301"/>
      <c r="T27" s="81">
        <v>1</v>
      </c>
      <c r="U27" s="78">
        <v>1</v>
      </c>
      <c r="V27" s="69"/>
      <c r="W27" s="69"/>
      <c r="X27" s="69"/>
      <c r="Y27" s="69"/>
      <c r="Z27" s="69"/>
      <c r="AA27" s="69"/>
      <c r="AB27" s="49"/>
    </row>
    <row r="28" spans="1:28" ht="15.6" customHeight="1" x14ac:dyDescent="0.2">
      <c r="A28" s="212">
        <v>26</v>
      </c>
      <c r="B28" s="159" t="str">
        <f t="shared" si="0"/>
        <v>Rhus crenata</v>
      </c>
      <c r="C28" s="160" t="s">
        <v>2768</v>
      </c>
      <c r="D28" s="72" t="s">
        <v>2263</v>
      </c>
      <c r="E28" s="72" t="s">
        <v>2769</v>
      </c>
      <c r="F28" s="72" t="s">
        <v>2770</v>
      </c>
      <c r="G28" s="289" t="s">
        <v>2850</v>
      </c>
      <c r="H28" s="166" t="s">
        <v>3226</v>
      </c>
      <c r="I28" s="142">
        <v>2</v>
      </c>
      <c r="J28" s="143">
        <v>3</v>
      </c>
      <c r="K28" s="143">
        <v>2</v>
      </c>
      <c r="L28" s="143">
        <v>1</v>
      </c>
      <c r="M28" s="143">
        <v>2</v>
      </c>
      <c r="N28" s="201">
        <v>4</v>
      </c>
      <c r="O28" s="294" t="s">
        <v>2167</v>
      </c>
      <c r="P28" s="325" t="s">
        <v>3032</v>
      </c>
      <c r="Q28" s="298"/>
      <c r="R28" s="209">
        <v>35796</v>
      </c>
      <c r="S28" s="301"/>
      <c r="T28" s="81">
        <v>1</v>
      </c>
      <c r="U28" s="78">
        <v>1</v>
      </c>
      <c r="V28" s="69"/>
      <c r="W28" s="69"/>
      <c r="X28" s="69"/>
      <c r="Y28" s="69"/>
      <c r="Z28" s="69"/>
      <c r="AA28" s="69"/>
      <c r="AB28" s="49"/>
    </row>
    <row r="29" spans="1:28" ht="15.6" customHeight="1" x14ac:dyDescent="0.2">
      <c r="A29" s="212">
        <v>27</v>
      </c>
      <c r="B29" s="159" t="str">
        <f t="shared" si="0"/>
        <v>Rhus glauca</v>
      </c>
      <c r="C29" s="160" t="s">
        <v>2768</v>
      </c>
      <c r="D29" s="72" t="s">
        <v>2264</v>
      </c>
      <c r="E29" s="72" t="s">
        <v>2769</v>
      </c>
      <c r="F29" s="72" t="s">
        <v>2771</v>
      </c>
      <c r="G29" s="289" t="s">
        <v>2851</v>
      </c>
      <c r="H29" s="166" t="s">
        <v>3226</v>
      </c>
      <c r="I29" s="142">
        <v>2</v>
      </c>
      <c r="J29" s="143">
        <v>3</v>
      </c>
      <c r="K29" s="143">
        <v>2</v>
      </c>
      <c r="L29" s="143">
        <v>1</v>
      </c>
      <c r="M29" s="143">
        <v>2</v>
      </c>
      <c r="N29" s="201">
        <v>4</v>
      </c>
      <c r="O29" s="294" t="s">
        <v>2167</v>
      </c>
      <c r="P29" s="325" t="s">
        <v>3032</v>
      </c>
      <c r="Q29" s="298"/>
      <c r="R29" s="209">
        <v>35612</v>
      </c>
      <c r="S29" s="301"/>
      <c r="T29" s="81">
        <v>1</v>
      </c>
      <c r="U29" s="78">
        <v>1</v>
      </c>
      <c r="V29" s="69"/>
      <c r="W29" s="69"/>
      <c r="X29" s="69"/>
      <c r="Y29" s="69">
        <v>1</v>
      </c>
      <c r="Z29" s="69"/>
      <c r="AA29" s="69"/>
      <c r="AB29" s="49"/>
    </row>
    <row r="30" spans="1:28" ht="15.6" customHeight="1" x14ac:dyDescent="0.2">
      <c r="A30" s="212">
        <v>28</v>
      </c>
      <c r="B30" s="159" t="str">
        <f t="shared" si="0"/>
        <v>Rhus laevigata var. laevigata</v>
      </c>
      <c r="C30" s="160" t="s">
        <v>2768</v>
      </c>
      <c r="D30" s="72" t="s">
        <v>2265</v>
      </c>
      <c r="E30" s="72" t="s">
        <v>2769</v>
      </c>
      <c r="F30" s="72" t="s">
        <v>2772</v>
      </c>
      <c r="G30" s="289" t="s">
        <v>2852</v>
      </c>
      <c r="H30" s="166" t="s">
        <v>3227</v>
      </c>
      <c r="I30" s="142">
        <v>2</v>
      </c>
      <c r="J30" s="143">
        <v>3</v>
      </c>
      <c r="K30" s="143">
        <v>2</v>
      </c>
      <c r="L30" s="143">
        <v>1</v>
      </c>
      <c r="M30" s="143">
        <v>2</v>
      </c>
      <c r="N30" s="201">
        <v>3</v>
      </c>
      <c r="O30" s="294" t="s">
        <v>2168</v>
      </c>
      <c r="P30" s="325" t="s">
        <v>3032</v>
      </c>
      <c r="Q30" s="298"/>
      <c r="R30" s="209">
        <v>35612</v>
      </c>
      <c r="S30" s="301"/>
      <c r="T30" s="81">
        <v>1</v>
      </c>
      <c r="U30" s="78">
        <v>1</v>
      </c>
      <c r="V30" s="69">
        <v>1</v>
      </c>
      <c r="W30" s="69"/>
      <c r="X30" s="69"/>
      <c r="Y30" s="69">
        <v>1</v>
      </c>
      <c r="Z30" s="69"/>
      <c r="AA30" s="69"/>
      <c r="AB30" s="49"/>
    </row>
    <row r="31" spans="1:28" ht="15.6" customHeight="1" x14ac:dyDescent="0.2">
      <c r="A31" s="212">
        <v>29</v>
      </c>
      <c r="B31" s="159" t="str">
        <f t="shared" si="0"/>
        <v>Rhus laevigata var. villosa</v>
      </c>
      <c r="C31" s="160" t="s">
        <v>2768</v>
      </c>
      <c r="D31" s="72" t="s">
        <v>2265</v>
      </c>
      <c r="E31" s="72" t="s">
        <v>2769</v>
      </c>
      <c r="F31" s="72" t="s">
        <v>2773</v>
      </c>
      <c r="G31" s="289" t="s">
        <v>2852</v>
      </c>
      <c r="H31" s="166" t="s">
        <v>3227</v>
      </c>
      <c r="I31" s="142">
        <v>2</v>
      </c>
      <c r="J31" s="143">
        <v>3</v>
      </c>
      <c r="K31" s="143">
        <v>2</v>
      </c>
      <c r="L31" s="143">
        <v>1</v>
      </c>
      <c r="M31" s="143">
        <v>2</v>
      </c>
      <c r="N31" s="201">
        <v>3</v>
      </c>
      <c r="O31" s="294" t="s">
        <v>2168</v>
      </c>
      <c r="P31" s="325" t="s">
        <v>3032</v>
      </c>
      <c r="Q31" s="298"/>
      <c r="R31" s="209">
        <v>35612</v>
      </c>
      <c r="S31" s="301"/>
      <c r="T31" s="82"/>
      <c r="U31" s="78">
        <v>1</v>
      </c>
      <c r="V31" s="69">
        <v>1</v>
      </c>
      <c r="W31" s="69"/>
      <c r="X31" s="69"/>
      <c r="Y31" s="69"/>
      <c r="Z31" s="69"/>
      <c r="AA31" s="69"/>
      <c r="AB31" s="49"/>
    </row>
    <row r="32" spans="1:28" ht="15.6" customHeight="1" x14ac:dyDescent="0.2">
      <c r="A32" s="212">
        <v>30</v>
      </c>
      <c r="B32" s="159" t="str">
        <f t="shared" si="0"/>
        <v>Rhus lucida</v>
      </c>
      <c r="C32" s="160" t="s">
        <v>2768</v>
      </c>
      <c r="D32" s="72" t="s">
        <v>2266</v>
      </c>
      <c r="E32" s="72" t="s">
        <v>2769</v>
      </c>
      <c r="F32" s="72" t="s">
        <v>2774</v>
      </c>
      <c r="G32" s="289" t="s">
        <v>2853</v>
      </c>
      <c r="H32" s="166" t="s">
        <v>3227</v>
      </c>
      <c r="I32" s="142">
        <v>2</v>
      </c>
      <c r="J32" s="143">
        <v>3</v>
      </c>
      <c r="K32" s="143">
        <v>2</v>
      </c>
      <c r="L32" s="143">
        <v>1</v>
      </c>
      <c r="M32" s="143">
        <v>2</v>
      </c>
      <c r="N32" s="201">
        <v>3</v>
      </c>
      <c r="O32" s="294" t="s">
        <v>2168</v>
      </c>
      <c r="P32" s="325" t="s">
        <v>3032</v>
      </c>
      <c r="Q32" s="298"/>
      <c r="R32" s="209">
        <v>35612</v>
      </c>
      <c r="S32" s="301"/>
      <c r="T32" s="81">
        <v>1</v>
      </c>
      <c r="U32" s="78">
        <v>1</v>
      </c>
      <c r="V32" s="69">
        <v>1</v>
      </c>
      <c r="W32" s="69">
        <v>1</v>
      </c>
      <c r="X32" s="69">
        <v>1</v>
      </c>
      <c r="Y32" s="69">
        <v>1</v>
      </c>
      <c r="Z32" s="69"/>
      <c r="AA32" s="69">
        <v>1</v>
      </c>
      <c r="AB32" s="49"/>
    </row>
    <row r="33" spans="1:28" ht="15.6" customHeight="1" x14ac:dyDescent="0.2">
      <c r="A33" s="212">
        <v>31</v>
      </c>
      <c r="B33" s="159" t="str">
        <f t="shared" si="0"/>
        <v>Rhus rosmarinifolia</v>
      </c>
      <c r="C33" s="160" t="s">
        <v>2768</v>
      </c>
      <c r="D33" s="72" t="s">
        <v>2161</v>
      </c>
      <c r="E33" s="72" t="s">
        <v>2769</v>
      </c>
      <c r="F33" s="72" t="s">
        <v>2775</v>
      </c>
      <c r="G33" s="289" t="s">
        <v>2854</v>
      </c>
      <c r="H33" s="166" t="s">
        <v>3228</v>
      </c>
      <c r="I33" s="142">
        <v>2</v>
      </c>
      <c r="J33" s="143">
        <v>5</v>
      </c>
      <c r="K33" s="143">
        <v>2</v>
      </c>
      <c r="L33" s="143">
        <v>3</v>
      </c>
      <c r="M33" s="143">
        <v>2</v>
      </c>
      <c r="N33" s="201">
        <v>3</v>
      </c>
      <c r="O33" s="294" t="s">
        <v>2168</v>
      </c>
      <c r="P33" s="325" t="s">
        <v>3032</v>
      </c>
      <c r="Q33" s="298"/>
      <c r="R33" s="209">
        <v>35612</v>
      </c>
      <c r="S33" s="301"/>
      <c r="T33" s="81">
        <v>1</v>
      </c>
      <c r="U33" s="78"/>
      <c r="V33" s="69">
        <v>1</v>
      </c>
      <c r="W33" s="69"/>
      <c r="X33" s="69">
        <v>1</v>
      </c>
      <c r="Y33" s="69"/>
      <c r="Z33" s="69"/>
      <c r="AA33" s="69"/>
      <c r="AB33" s="49"/>
    </row>
    <row r="34" spans="1:28" ht="15.6" customHeight="1" x14ac:dyDescent="0.2">
      <c r="A34" s="212">
        <v>32</v>
      </c>
      <c r="B34" s="159" t="str">
        <f t="shared" si="0"/>
        <v>Rhus tomentosa</v>
      </c>
      <c r="C34" s="160" t="s">
        <v>2768</v>
      </c>
      <c r="D34" s="72" t="s">
        <v>2267</v>
      </c>
      <c r="E34" s="72" t="s">
        <v>2769</v>
      </c>
      <c r="F34" s="72" t="s">
        <v>2776</v>
      </c>
      <c r="G34" s="289" t="s">
        <v>2855</v>
      </c>
      <c r="H34" s="166" t="s">
        <v>3227</v>
      </c>
      <c r="I34" s="142">
        <v>2</v>
      </c>
      <c r="J34" s="143">
        <v>3</v>
      </c>
      <c r="K34" s="143">
        <v>2</v>
      </c>
      <c r="L34" s="143">
        <v>1</v>
      </c>
      <c r="M34" s="143">
        <v>2</v>
      </c>
      <c r="N34" s="201">
        <v>3</v>
      </c>
      <c r="O34" s="294" t="s">
        <v>2167</v>
      </c>
      <c r="P34" s="325" t="s">
        <v>3032</v>
      </c>
      <c r="Q34" s="298"/>
      <c r="R34" s="209">
        <v>35886</v>
      </c>
      <c r="S34" s="301"/>
      <c r="T34" s="81">
        <v>1</v>
      </c>
      <c r="U34" s="78">
        <v>1</v>
      </c>
      <c r="V34" s="69"/>
      <c r="W34" s="69"/>
      <c r="X34" s="69"/>
      <c r="Y34" s="69"/>
      <c r="Z34" s="69">
        <v>1</v>
      </c>
      <c r="AA34" s="69"/>
      <c r="AB34" s="49"/>
    </row>
    <row r="35" spans="1:28" ht="15.6" customHeight="1" x14ac:dyDescent="0.2">
      <c r="A35" s="212">
        <v>33</v>
      </c>
      <c r="B35" s="159" t="str">
        <f t="shared" si="0"/>
        <v>Annesorhiza macrocarpa</v>
      </c>
      <c r="C35" s="160" t="s">
        <v>2777</v>
      </c>
      <c r="D35" s="72" t="s">
        <v>2268</v>
      </c>
      <c r="E35" s="72" t="s">
        <v>2778</v>
      </c>
      <c r="F35" s="72" t="s">
        <v>2779</v>
      </c>
      <c r="G35" s="289" t="s">
        <v>2856</v>
      </c>
      <c r="H35" s="166" t="s">
        <v>3229</v>
      </c>
      <c r="I35" s="142">
        <v>3</v>
      </c>
      <c r="J35" s="143">
        <v>4</v>
      </c>
      <c r="K35" s="143">
        <v>2</v>
      </c>
      <c r="L35" s="143">
        <v>5</v>
      </c>
      <c r="M35" s="143">
        <v>1</v>
      </c>
      <c r="N35" s="201">
        <v>2</v>
      </c>
      <c r="O35" s="294"/>
      <c r="P35" s="325" t="s">
        <v>3032</v>
      </c>
      <c r="Q35" s="298"/>
      <c r="R35" s="209">
        <v>35612</v>
      </c>
      <c r="S35" s="301"/>
      <c r="T35" s="81">
        <v>1</v>
      </c>
      <c r="U35" s="78"/>
      <c r="V35" s="69">
        <v>1</v>
      </c>
      <c r="W35" s="69"/>
      <c r="X35" s="69"/>
      <c r="Y35" s="69"/>
      <c r="Z35" s="69"/>
      <c r="AA35" s="69"/>
      <c r="AB35" s="49"/>
    </row>
    <row r="36" spans="1:28" ht="15.6" customHeight="1" x14ac:dyDescent="0.2">
      <c r="A36" s="212">
        <v>34</v>
      </c>
      <c r="B36" s="159" t="str">
        <f t="shared" si="0"/>
        <v>Arctopus echinatus</v>
      </c>
      <c r="C36" s="160" t="s">
        <v>2777</v>
      </c>
      <c r="D36" s="72" t="s">
        <v>2269</v>
      </c>
      <c r="E36" s="72" t="s">
        <v>2780</v>
      </c>
      <c r="F36" s="72" t="s">
        <v>2781</v>
      </c>
      <c r="G36" s="289" t="s">
        <v>2857</v>
      </c>
      <c r="H36" s="166" t="s">
        <v>3230</v>
      </c>
      <c r="I36" s="142">
        <v>3</v>
      </c>
      <c r="J36" s="143">
        <v>6</v>
      </c>
      <c r="K36" s="143">
        <v>5</v>
      </c>
      <c r="L36" s="143">
        <v>1</v>
      </c>
      <c r="M36" s="143">
        <v>2</v>
      </c>
      <c r="N36" s="201">
        <v>1</v>
      </c>
      <c r="O36" s="294" t="s">
        <v>2910</v>
      </c>
      <c r="P36" s="325" t="s">
        <v>3032</v>
      </c>
      <c r="Q36" s="298"/>
      <c r="R36" s="209">
        <v>35855</v>
      </c>
      <c r="S36" s="301"/>
      <c r="T36" s="81">
        <v>1</v>
      </c>
      <c r="U36" s="78"/>
      <c r="V36" s="69"/>
      <c r="W36" s="69"/>
      <c r="X36" s="69">
        <v>1</v>
      </c>
      <c r="Y36" s="69"/>
      <c r="Z36" s="69"/>
      <c r="AA36" s="69"/>
      <c r="AB36" s="49"/>
    </row>
    <row r="37" spans="1:28" ht="15.6" customHeight="1" x14ac:dyDescent="0.2">
      <c r="A37" s="212">
        <v>35</v>
      </c>
      <c r="B37" s="159" t="str">
        <f t="shared" si="0"/>
        <v>Berula erecta ssp. thunbergii</v>
      </c>
      <c r="C37" s="160" t="s">
        <v>2777</v>
      </c>
      <c r="D37" s="72" t="s">
        <v>2270</v>
      </c>
      <c r="E37" s="72" t="s">
        <v>2782</v>
      </c>
      <c r="F37" s="72" t="s">
        <v>460</v>
      </c>
      <c r="G37" s="289" t="s">
        <v>2858</v>
      </c>
      <c r="H37" s="166" t="s">
        <v>3231</v>
      </c>
      <c r="I37" s="142">
        <v>6</v>
      </c>
      <c r="J37" s="143">
        <v>5</v>
      </c>
      <c r="K37" s="143">
        <v>4</v>
      </c>
      <c r="L37" s="143">
        <v>1</v>
      </c>
      <c r="M37" s="143">
        <v>1</v>
      </c>
      <c r="N37" s="201">
        <v>4</v>
      </c>
      <c r="O37" s="294" t="s">
        <v>2910</v>
      </c>
      <c r="P37" s="325" t="s">
        <v>2915</v>
      </c>
      <c r="Q37" s="298"/>
      <c r="R37" s="209">
        <v>35947</v>
      </c>
      <c r="S37" s="301"/>
      <c r="T37" s="81">
        <v>1</v>
      </c>
      <c r="U37" s="78"/>
      <c r="V37" s="69"/>
      <c r="W37" s="69"/>
      <c r="X37" s="69"/>
      <c r="Y37" s="69"/>
      <c r="Z37" s="69"/>
      <c r="AA37" s="69">
        <v>1</v>
      </c>
      <c r="AB37" s="49"/>
    </row>
    <row r="38" spans="1:28" ht="15.6" customHeight="1" x14ac:dyDescent="0.2">
      <c r="A38" s="212">
        <v>36</v>
      </c>
      <c r="B38" s="159" t="str">
        <f t="shared" si="0"/>
        <v>Hermas villosa</v>
      </c>
      <c r="C38" s="160" t="s">
        <v>2777</v>
      </c>
      <c r="D38" s="72" t="s">
        <v>2271</v>
      </c>
      <c r="E38" s="72" t="s">
        <v>2783</v>
      </c>
      <c r="F38" s="72" t="s">
        <v>2784</v>
      </c>
      <c r="G38" s="289" t="s">
        <v>2859</v>
      </c>
      <c r="H38" s="166" t="s">
        <v>3232</v>
      </c>
      <c r="I38" s="142">
        <v>2</v>
      </c>
      <c r="J38" s="143">
        <v>5</v>
      </c>
      <c r="K38" s="143">
        <v>5</v>
      </c>
      <c r="L38" s="143">
        <v>1</v>
      </c>
      <c r="M38" s="143">
        <v>2</v>
      </c>
      <c r="N38" s="201">
        <v>2</v>
      </c>
      <c r="O38" s="294" t="s">
        <v>2168</v>
      </c>
      <c r="P38" s="325" t="s">
        <v>3032</v>
      </c>
      <c r="Q38" s="298"/>
      <c r="R38" s="209">
        <v>35612</v>
      </c>
      <c r="S38" s="301"/>
      <c r="T38" s="81">
        <v>1</v>
      </c>
      <c r="U38" s="78"/>
      <c r="V38" s="69"/>
      <c r="W38" s="69"/>
      <c r="X38" s="69">
        <v>1</v>
      </c>
      <c r="Y38" s="69"/>
      <c r="Z38" s="69"/>
      <c r="AA38" s="69"/>
      <c r="AB38" s="49"/>
    </row>
    <row r="39" spans="1:28" ht="15.6" customHeight="1" x14ac:dyDescent="0.2">
      <c r="A39" s="212">
        <v>37</v>
      </c>
      <c r="B39" s="159" t="str">
        <f t="shared" si="0"/>
        <v>Itasina filifolia</v>
      </c>
      <c r="C39" s="160" t="s">
        <v>2777</v>
      </c>
      <c r="D39" s="72" t="s">
        <v>2272</v>
      </c>
      <c r="E39" s="72" t="s">
        <v>2785</v>
      </c>
      <c r="F39" s="72" t="s">
        <v>2786</v>
      </c>
      <c r="G39" s="289" t="s">
        <v>2860</v>
      </c>
      <c r="H39" s="166" t="s">
        <v>3233</v>
      </c>
      <c r="I39" s="142">
        <v>3</v>
      </c>
      <c r="J39" s="143">
        <v>6</v>
      </c>
      <c r="K39" s="143">
        <v>0</v>
      </c>
      <c r="L39" s="143">
        <v>7</v>
      </c>
      <c r="M39" s="143">
        <v>0</v>
      </c>
      <c r="N39" s="201">
        <v>0</v>
      </c>
      <c r="O39" s="294" t="s">
        <v>2910</v>
      </c>
      <c r="P39" s="325" t="s">
        <v>3032</v>
      </c>
      <c r="Q39" s="298"/>
      <c r="R39" s="209">
        <v>36923</v>
      </c>
      <c r="S39" s="301"/>
      <c r="T39" s="81">
        <v>1</v>
      </c>
      <c r="U39" s="78"/>
      <c r="V39" s="69"/>
      <c r="W39" s="69"/>
      <c r="X39" s="69">
        <v>1</v>
      </c>
      <c r="Y39" s="69"/>
      <c r="Z39" s="69"/>
      <c r="AA39" s="69"/>
      <c r="AB39" s="49"/>
    </row>
    <row r="40" spans="1:28" ht="15.6" customHeight="1" x14ac:dyDescent="0.2">
      <c r="A40" s="212">
        <v>38</v>
      </c>
      <c r="B40" s="159" t="str">
        <f t="shared" si="0"/>
        <v>Peucedanum capillaceum</v>
      </c>
      <c r="C40" s="160" t="s">
        <v>2777</v>
      </c>
      <c r="D40" s="72"/>
      <c r="E40" s="72" t="s">
        <v>2787</v>
      </c>
      <c r="F40" s="72" t="s">
        <v>2788</v>
      </c>
      <c r="G40" s="289" t="s">
        <v>2861</v>
      </c>
      <c r="H40" s="166" t="s">
        <v>3234</v>
      </c>
      <c r="I40" s="142">
        <v>3</v>
      </c>
      <c r="J40" s="143">
        <v>5</v>
      </c>
      <c r="K40" s="143">
        <v>2</v>
      </c>
      <c r="L40" s="143">
        <v>5</v>
      </c>
      <c r="M40" s="143">
        <v>1</v>
      </c>
      <c r="N40" s="201">
        <v>3</v>
      </c>
      <c r="O40" s="294" t="s">
        <v>2910</v>
      </c>
      <c r="P40" s="325" t="s">
        <v>3032</v>
      </c>
      <c r="Q40" s="298"/>
      <c r="R40" s="209">
        <v>36923</v>
      </c>
      <c r="S40" s="301"/>
      <c r="T40" s="81">
        <v>1</v>
      </c>
      <c r="U40" s="78"/>
      <c r="V40" s="69"/>
      <c r="W40" s="69"/>
      <c r="X40" s="69">
        <v>1</v>
      </c>
      <c r="Y40" s="69"/>
      <c r="Z40" s="69"/>
      <c r="AA40" s="69"/>
      <c r="AB40" s="49"/>
    </row>
    <row r="41" spans="1:28" ht="15.6" customHeight="1" x14ac:dyDescent="0.2">
      <c r="A41" s="212">
        <v>39</v>
      </c>
      <c r="B41" s="159" t="str">
        <f t="shared" si="0"/>
        <v>Peucedanum ferulaceum</v>
      </c>
      <c r="C41" s="160" t="s">
        <v>2777</v>
      </c>
      <c r="D41" s="72" t="s">
        <v>2273</v>
      </c>
      <c r="E41" s="72" t="s">
        <v>2787</v>
      </c>
      <c r="F41" s="72" t="s">
        <v>2789</v>
      </c>
      <c r="G41" s="289" t="s">
        <v>2862</v>
      </c>
      <c r="H41" s="166" t="s">
        <v>3229</v>
      </c>
      <c r="I41" s="142">
        <v>3</v>
      </c>
      <c r="J41" s="143">
        <v>4</v>
      </c>
      <c r="K41" s="143">
        <v>4</v>
      </c>
      <c r="L41" s="143">
        <v>5</v>
      </c>
      <c r="M41" s="143">
        <v>1</v>
      </c>
      <c r="N41" s="201">
        <v>3</v>
      </c>
      <c r="O41" s="294" t="s">
        <v>2914</v>
      </c>
      <c r="P41" s="325" t="s">
        <v>3032</v>
      </c>
      <c r="Q41" s="298"/>
      <c r="R41" s="209">
        <v>36161</v>
      </c>
      <c r="S41" s="301"/>
      <c r="T41" s="81">
        <v>1</v>
      </c>
      <c r="U41" s="78">
        <v>1</v>
      </c>
      <c r="V41" s="69"/>
      <c r="W41" s="69"/>
      <c r="X41" s="69">
        <v>1</v>
      </c>
      <c r="Y41" s="69"/>
      <c r="Z41" s="69"/>
      <c r="AA41" s="69"/>
      <c r="AB41" s="49"/>
    </row>
    <row r="42" spans="1:28" ht="15.6" customHeight="1" x14ac:dyDescent="0.2">
      <c r="A42" s="212">
        <v>40</v>
      </c>
      <c r="B42" s="159" t="str">
        <f t="shared" si="0"/>
        <v>Sonderina hispida</v>
      </c>
      <c r="C42" s="160" t="s">
        <v>2777</v>
      </c>
      <c r="D42" s="72"/>
      <c r="E42" s="72" t="s">
        <v>2790</v>
      </c>
      <c r="F42" s="72" t="s">
        <v>2791</v>
      </c>
      <c r="G42" s="289" t="s">
        <v>2863</v>
      </c>
      <c r="H42" s="166" t="s">
        <v>3235</v>
      </c>
      <c r="I42" s="142">
        <v>6</v>
      </c>
      <c r="J42" s="143">
        <v>6</v>
      </c>
      <c r="K42" s="143">
        <v>3</v>
      </c>
      <c r="L42" s="143">
        <v>5</v>
      </c>
      <c r="M42" s="143">
        <v>1</v>
      </c>
      <c r="N42" s="201">
        <v>4</v>
      </c>
      <c r="O42" s="294" t="s">
        <v>2910</v>
      </c>
      <c r="P42" s="325" t="s">
        <v>2915</v>
      </c>
      <c r="Q42" s="298"/>
      <c r="R42" s="209">
        <v>36161</v>
      </c>
      <c r="S42" s="301"/>
      <c r="T42" s="81">
        <v>1</v>
      </c>
      <c r="U42" s="78">
        <v>1</v>
      </c>
      <c r="V42" s="69"/>
      <c r="W42" s="69">
        <v>1</v>
      </c>
      <c r="X42" s="69">
        <v>1</v>
      </c>
      <c r="Y42" s="69"/>
      <c r="Z42" s="69"/>
      <c r="AA42" s="69"/>
      <c r="AB42" s="49"/>
    </row>
    <row r="43" spans="1:28" ht="15.6" customHeight="1" x14ac:dyDescent="0.2">
      <c r="A43" s="212">
        <v>41</v>
      </c>
      <c r="B43" s="159" t="str">
        <f t="shared" si="0"/>
        <v>Sonderina tenuis</v>
      </c>
      <c r="C43" s="160" t="s">
        <v>2777</v>
      </c>
      <c r="D43" s="72" t="s">
        <v>2274</v>
      </c>
      <c r="E43" s="72" t="s">
        <v>2790</v>
      </c>
      <c r="F43" s="72" t="s">
        <v>2792</v>
      </c>
      <c r="G43" s="289" t="s">
        <v>2864</v>
      </c>
      <c r="H43" s="166" t="s">
        <v>3235</v>
      </c>
      <c r="I43" s="142">
        <v>6</v>
      </c>
      <c r="J43" s="143">
        <v>6</v>
      </c>
      <c r="K43" s="143">
        <v>3</v>
      </c>
      <c r="L43" s="143">
        <v>5</v>
      </c>
      <c r="M43" s="143">
        <v>1</v>
      </c>
      <c r="N43" s="201">
        <v>4</v>
      </c>
      <c r="O43" s="294" t="s">
        <v>2910</v>
      </c>
      <c r="P43" s="325" t="s">
        <v>2915</v>
      </c>
      <c r="Q43" s="298"/>
      <c r="R43" s="209">
        <v>36220</v>
      </c>
      <c r="S43" s="301" t="s">
        <v>2250</v>
      </c>
      <c r="T43" s="81"/>
      <c r="U43" s="78">
        <v>1</v>
      </c>
      <c r="V43" s="69"/>
      <c r="W43" s="69">
        <v>1</v>
      </c>
      <c r="X43" s="69">
        <v>1</v>
      </c>
      <c r="Y43" s="69"/>
      <c r="Z43" s="69"/>
      <c r="AA43" s="69"/>
      <c r="AB43" s="49"/>
    </row>
    <row r="44" spans="1:28" ht="15.6" customHeight="1" x14ac:dyDescent="0.2">
      <c r="A44" s="212">
        <v>42</v>
      </c>
      <c r="B44" s="159" t="str">
        <f t="shared" si="0"/>
        <v>Astephanus triflorus</v>
      </c>
      <c r="C44" s="160" t="s">
        <v>2793</v>
      </c>
      <c r="D44" s="72"/>
      <c r="E44" s="72" t="s">
        <v>2794</v>
      </c>
      <c r="F44" s="72" t="s">
        <v>2795</v>
      </c>
      <c r="G44" s="289" t="s">
        <v>2865</v>
      </c>
      <c r="H44" s="166" t="s">
        <v>3236</v>
      </c>
      <c r="I44" s="142">
        <v>7</v>
      </c>
      <c r="J44" s="143">
        <v>5</v>
      </c>
      <c r="K44" s="143">
        <v>3</v>
      </c>
      <c r="L44" s="143">
        <v>2</v>
      </c>
      <c r="M44" s="143">
        <v>1</v>
      </c>
      <c r="N44" s="201">
        <v>4</v>
      </c>
      <c r="O44" s="294" t="s">
        <v>1657</v>
      </c>
      <c r="P44" s="325" t="s">
        <v>3032</v>
      </c>
      <c r="Q44" s="298"/>
      <c r="R44" s="209">
        <v>37073</v>
      </c>
      <c r="S44" s="301"/>
      <c r="T44" s="81">
        <v>1</v>
      </c>
      <c r="U44" s="78"/>
      <c r="V44" s="69"/>
      <c r="W44" s="69"/>
      <c r="X44" s="69">
        <v>1</v>
      </c>
      <c r="Y44" s="69"/>
      <c r="Z44" s="69"/>
      <c r="AA44" s="69"/>
      <c r="AB44" s="49"/>
    </row>
    <row r="45" spans="1:28" ht="15.6" customHeight="1" x14ac:dyDescent="0.2">
      <c r="A45" s="212">
        <v>43</v>
      </c>
      <c r="B45" s="159" t="str">
        <f t="shared" si="0"/>
        <v>Cynanchum africanum</v>
      </c>
      <c r="C45" s="160" t="s">
        <v>2793</v>
      </c>
      <c r="D45" s="72" t="s">
        <v>2296</v>
      </c>
      <c r="E45" s="72" t="s">
        <v>2796</v>
      </c>
      <c r="F45" s="72" t="s">
        <v>2797</v>
      </c>
      <c r="G45" s="289" t="s">
        <v>2866</v>
      </c>
      <c r="H45" s="166" t="s">
        <v>3237</v>
      </c>
      <c r="I45" s="142">
        <v>7</v>
      </c>
      <c r="J45" s="143">
        <v>5</v>
      </c>
      <c r="K45" s="143">
        <v>3</v>
      </c>
      <c r="L45" s="143">
        <v>3</v>
      </c>
      <c r="M45" s="143">
        <v>2</v>
      </c>
      <c r="N45" s="201">
        <v>3</v>
      </c>
      <c r="O45" s="294" t="s">
        <v>1657</v>
      </c>
      <c r="P45" s="325" t="s">
        <v>3032</v>
      </c>
      <c r="Q45" s="298"/>
      <c r="R45" s="209">
        <v>35612</v>
      </c>
      <c r="S45" s="301"/>
      <c r="T45" s="81">
        <v>1</v>
      </c>
      <c r="U45" s="78">
        <v>1</v>
      </c>
      <c r="V45" s="69"/>
      <c r="W45" s="69"/>
      <c r="X45" s="69">
        <v>1</v>
      </c>
      <c r="Y45" s="69"/>
      <c r="Z45" s="69"/>
      <c r="AA45" s="69"/>
      <c r="AB45" s="49"/>
    </row>
    <row r="46" spans="1:28" ht="15.6" customHeight="1" x14ac:dyDescent="0.2">
      <c r="A46" s="212">
        <v>44</v>
      </c>
      <c r="B46" s="159" t="str">
        <f t="shared" si="0"/>
        <v>Cynanchum obtusifolium</v>
      </c>
      <c r="C46" s="160" t="s">
        <v>2793</v>
      </c>
      <c r="D46" s="72" t="s">
        <v>2297</v>
      </c>
      <c r="E46" s="72" t="s">
        <v>2796</v>
      </c>
      <c r="F46" s="72" t="s">
        <v>2798</v>
      </c>
      <c r="G46" s="289" t="s">
        <v>2867</v>
      </c>
      <c r="H46" s="166" t="s">
        <v>3238</v>
      </c>
      <c r="I46" s="142">
        <v>7</v>
      </c>
      <c r="J46" s="143">
        <v>3</v>
      </c>
      <c r="K46" s="143">
        <v>3</v>
      </c>
      <c r="L46" s="143">
        <v>1</v>
      </c>
      <c r="M46" s="143">
        <v>2</v>
      </c>
      <c r="N46" s="201">
        <v>3</v>
      </c>
      <c r="O46" s="294" t="s">
        <v>2169</v>
      </c>
      <c r="P46" s="325" t="s">
        <v>3032</v>
      </c>
      <c r="Q46" s="298"/>
      <c r="R46" s="209">
        <v>35612</v>
      </c>
      <c r="S46" s="301" t="s">
        <v>2250</v>
      </c>
      <c r="T46" s="81"/>
      <c r="U46" s="78"/>
      <c r="V46" s="69">
        <v>1</v>
      </c>
      <c r="W46" s="69"/>
      <c r="X46" s="69"/>
      <c r="Y46" s="69">
        <v>1</v>
      </c>
      <c r="Z46" s="69">
        <v>1</v>
      </c>
      <c r="AA46" s="69"/>
      <c r="AB46" s="49"/>
    </row>
    <row r="47" spans="1:28" ht="15.6" customHeight="1" x14ac:dyDescent="0.2">
      <c r="A47" s="212">
        <v>45</v>
      </c>
      <c r="B47" s="159" t="str">
        <f t="shared" si="0"/>
        <v>Gomphocarpus fruticosus</v>
      </c>
      <c r="C47" s="160" t="s">
        <v>2793</v>
      </c>
      <c r="D47" s="72" t="s">
        <v>2298</v>
      </c>
      <c r="E47" s="72" t="s">
        <v>2799</v>
      </c>
      <c r="F47" s="72" t="s">
        <v>2800</v>
      </c>
      <c r="G47" s="289" t="s">
        <v>2868</v>
      </c>
      <c r="H47" s="166" t="s">
        <v>3239</v>
      </c>
      <c r="I47" s="142">
        <v>2</v>
      </c>
      <c r="J47" s="143">
        <v>4</v>
      </c>
      <c r="K47" s="143">
        <v>2</v>
      </c>
      <c r="L47" s="143">
        <v>2</v>
      </c>
      <c r="M47" s="143">
        <v>1</v>
      </c>
      <c r="N47" s="201">
        <v>2</v>
      </c>
      <c r="O47" s="294" t="s">
        <v>2168</v>
      </c>
      <c r="P47" s="325" t="s">
        <v>3032</v>
      </c>
      <c r="Q47" s="298"/>
      <c r="R47" s="209">
        <v>35855</v>
      </c>
      <c r="S47" s="301"/>
      <c r="T47" s="81">
        <v>1</v>
      </c>
      <c r="U47" s="80"/>
      <c r="V47" s="69"/>
      <c r="W47" s="69"/>
      <c r="X47" s="69"/>
      <c r="Y47" s="69"/>
      <c r="Z47" s="69"/>
      <c r="AA47" s="69"/>
      <c r="AB47" s="49"/>
    </row>
    <row r="48" spans="1:28" ht="15.6" customHeight="1" x14ac:dyDescent="0.2">
      <c r="A48" s="212">
        <v>46</v>
      </c>
      <c r="B48" s="159" t="str">
        <f t="shared" si="0"/>
        <v>Microloma sagittatum</v>
      </c>
      <c r="C48" s="160" t="s">
        <v>2793</v>
      </c>
      <c r="D48" s="72" t="s">
        <v>2299</v>
      </c>
      <c r="E48" s="72" t="s">
        <v>2801</v>
      </c>
      <c r="F48" s="72" t="s">
        <v>2802</v>
      </c>
      <c r="G48" s="289" t="s">
        <v>2869</v>
      </c>
      <c r="H48" s="166" t="s">
        <v>3240</v>
      </c>
      <c r="I48" s="142">
        <v>7</v>
      </c>
      <c r="J48" s="143">
        <v>5</v>
      </c>
      <c r="K48" s="143">
        <v>3</v>
      </c>
      <c r="L48" s="143">
        <v>2</v>
      </c>
      <c r="M48" s="143">
        <v>2</v>
      </c>
      <c r="N48" s="201">
        <v>4</v>
      </c>
      <c r="O48" s="294" t="s">
        <v>2169</v>
      </c>
      <c r="P48" s="325" t="s">
        <v>3032</v>
      </c>
      <c r="Q48" s="298"/>
      <c r="R48" s="209">
        <v>36404</v>
      </c>
      <c r="S48" s="301"/>
      <c r="T48" s="81">
        <v>1</v>
      </c>
      <c r="U48" s="78">
        <v>1</v>
      </c>
      <c r="V48" s="69"/>
      <c r="W48" s="69">
        <v>1</v>
      </c>
      <c r="X48" s="69">
        <v>1</v>
      </c>
      <c r="Y48" s="69"/>
      <c r="Z48" s="69"/>
      <c r="AA48" s="69"/>
      <c r="AB48" s="49"/>
    </row>
    <row r="49" spans="1:28" ht="15.6" customHeight="1" x14ac:dyDescent="0.2">
      <c r="A49" s="212">
        <v>47</v>
      </c>
      <c r="B49" s="159" t="str">
        <f t="shared" si="0"/>
        <v>Microloma tenuifolium</v>
      </c>
      <c r="C49" s="160" t="s">
        <v>2793</v>
      </c>
      <c r="D49" s="72" t="s">
        <v>2300</v>
      </c>
      <c r="E49" s="72" t="s">
        <v>2801</v>
      </c>
      <c r="F49" s="72" t="s">
        <v>2803</v>
      </c>
      <c r="G49" s="289" t="s">
        <v>2870</v>
      </c>
      <c r="H49" s="166" t="s">
        <v>3238</v>
      </c>
      <c r="I49" s="142">
        <v>7</v>
      </c>
      <c r="J49" s="143">
        <v>5</v>
      </c>
      <c r="K49" s="143">
        <v>3</v>
      </c>
      <c r="L49" s="143">
        <v>2</v>
      </c>
      <c r="M49" s="143">
        <v>2</v>
      </c>
      <c r="N49" s="201">
        <v>2</v>
      </c>
      <c r="O49" s="294" t="s">
        <v>2169</v>
      </c>
      <c r="P49" s="325" t="s">
        <v>3032</v>
      </c>
      <c r="Q49" s="298"/>
      <c r="R49" s="209">
        <v>36039</v>
      </c>
      <c r="S49" s="301" t="s">
        <v>2250</v>
      </c>
      <c r="T49" s="81"/>
      <c r="U49" s="78">
        <v>1</v>
      </c>
      <c r="V49" s="69"/>
      <c r="W49" s="69">
        <v>1</v>
      </c>
      <c r="X49" s="69">
        <v>1</v>
      </c>
      <c r="Y49" s="69"/>
      <c r="Z49" s="69"/>
      <c r="AA49" s="69"/>
      <c r="AB49" s="49"/>
    </row>
    <row r="50" spans="1:28" ht="15.6" customHeight="1" x14ac:dyDescent="0.2">
      <c r="A50" s="212">
        <v>48</v>
      </c>
      <c r="B50" s="159" t="str">
        <f t="shared" si="0"/>
        <v>Schizoglossum aschersonianum</v>
      </c>
      <c r="C50" s="160" t="s">
        <v>2793</v>
      </c>
      <c r="D50" s="72"/>
      <c r="E50" s="72" t="s">
        <v>2804</v>
      </c>
      <c r="F50" s="72" t="s">
        <v>2805</v>
      </c>
      <c r="G50" s="289" t="s">
        <v>2871</v>
      </c>
      <c r="H50" s="166" t="s">
        <v>3241</v>
      </c>
      <c r="I50" s="142">
        <v>3</v>
      </c>
      <c r="J50" s="143">
        <v>6</v>
      </c>
      <c r="K50" s="143">
        <v>2</v>
      </c>
      <c r="L50" s="143">
        <v>2</v>
      </c>
      <c r="M50" s="143">
        <v>1</v>
      </c>
      <c r="N50" s="201">
        <v>3</v>
      </c>
      <c r="O50" s="294"/>
      <c r="P50" s="325" t="s">
        <v>3032</v>
      </c>
      <c r="Q50" s="298"/>
      <c r="R50" s="209">
        <v>37257</v>
      </c>
      <c r="S50" s="301"/>
      <c r="T50" s="81">
        <v>1</v>
      </c>
      <c r="U50" s="78"/>
      <c r="V50" s="69"/>
      <c r="W50" s="69"/>
      <c r="X50" s="69">
        <v>1</v>
      </c>
      <c r="Y50" s="69"/>
      <c r="Z50" s="69"/>
      <c r="AA50" s="69"/>
      <c r="AB50" s="49"/>
    </row>
    <row r="51" spans="1:28" ht="15.6" customHeight="1" x14ac:dyDescent="0.2">
      <c r="A51" s="212">
        <v>49</v>
      </c>
      <c r="B51" s="159" t="str">
        <f t="shared" si="0"/>
        <v>Secamone alpini</v>
      </c>
      <c r="C51" s="160" t="s">
        <v>2793</v>
      </c>
      <c r="D51" s="72" t="s">
        <v>2297</v>
      </c>
      <c r="E51" s="72" t="s">
        <v>2806</v>
      </c>
      <c r="F51" s="72" t="s">
        <v>2807</v>
      </c>
      <c r="G51" s="289" t="s">
        <v>2872</v>
      </c>
      <c r="H51" s="166" t="s">
        <v>3242</v>
      </c>
      <c r="I51" s="142">
        <v>7</v>
      </c>
      <c r="J51" s="143">
        <v>2</v>
      </c>
      <c r="K51" s="143">
        <v>3</v>
      </c>
      <c r="L51" s="143">
        <v>1</v>
      </c>
      <c r="M51" s="143">
        <v>1</v>
      </c>
      <c r="N51" s="201">
        <v>3</v>
      </c>
      <c r="O51" s="294" t="s">
        <v>2914</v>
      </c>
      <c r="P51" s="325" t="s">
        <v>3032</v>
      </c>
      <c r="Q51" s="298"/>
      <c r="R51" s="209">
        <v>35612</v>
      </c>
      <c r="S51" s="301"/>
      <c r="T51" s="81">
        <v>1</v>
      </c>
      <c r="U51" s="78"/>
      <c r="V51" s="69"/>
      <c r="W51" s="69"/>
      <c r="X51" s="69"/>
      <c r="Y51" s="69"/>
      <c r="Z51" s="69">
        <v>1</v>
      </c>
      <c r="AA51" s="69"/>
      <c r="AB51" s="49"/>
    </row>
    <row r="52" spans="1:28" ht="15.6" customHeight="1" x14ac:dyDescent="0.2">
      <c r="A52" s="212">
        <v>50</v>
      </c>
      <c r="B52" s="159" t="str">
        <f t="shared" si="0"/>
        <v>Zantedeschia aethiopica</v>
      </c>
      <c r="C52" s="160" t="s">
        <v>2815</v>
      </c>
      <c r="D52" s="72" t="s">
        <v>2301</v>
      </c>
      <c r="E52" s="72" t="s">
        <v>2816</v>
      </c>
      <c r="F52" s="72" t="s">
        <v>2817</v>
      </c>
      <c r="G52" s="289" t="s">
        <v>2873</v>
      </c>
      <c r="H52" s="166" t="s">
        <v>3243</v>
      </c>
      <c r="I52" s="142">
        <v>4</v>
      </c>
      <c r="J52" s="143">
        <v>5</v>
      </c>
      <c r="K52" s="143">
        <v>5</v>
      </c>
      <c r="L52" s="143">
        <v>1</v>
      </c>
      <c r="M52" s="143">
        <v>2</v>
      </c>
      <c r="N52" s="201">
        <v>1</v>
      </c>
      <c r="O52" s="294" t="s">
        <v>2163</v>
      </c>
      <c r="P52" s="325" t="s">
        <v>3032</v>
      </c>
      <c r="Q52" s="298"/>
      <c r="R52" s="209">
        <v>35612</v>
      </c>
      <c r="S52" s="301"/>
      <c r="T52" s="81">
        <v>1</v>
      </c>
      <c r="U52" s="78"/>
      <c r="V52" s="69"/>
      <c r="W52" s="69"/>
      <c r="X52" s="69"/>
      <c r="Y52" s="69">
        <v>1</v>
      </c>
      <c r="Z52" s="69"/>
      <c r="AA52" s="69">
        <v>1</v>
      </c>
      <c r="AB52" s="49"/>
    </row>
    <row r="53" spans="1:28" ht="15.6" customHeight="1" x14ac:dyDescent="0.2">
      <c r="A53" s="212">
        <v>51</v>
      </c>
      <c r="B53" s="159" t="str">
        <f t="shared" si="0"/>
        <v>Centella affinis</v>
      </c>
      <c r="C53" s="160" t="s">
        <v>674</v>
      </c>
      <c r="D53" s="72"/>
      <c r="E53" s="72" t="s">
        <v>675</v>
      </c>
      <c r="F53" s="72" t="s">
        <v>676</v>
      </c>
      <c r="G53" s="289" t="s">
        <v>2874</v>
      </c>
      <c r="H53" s="166" t="s">
        <v>3244</v>
      </c>
      <c r="I53" s="142">
        <v>3</v>
      </c>
      <c r="J53" s="143">
        <v>6</v>
      </c>
      <c r="K53" s="143">
        <v>3</v>
      </c>
      <c r="L53" s="143">
        <v>3</v>
      </c>
      <c r="M53" s="143">
        <v>1</v>
      </c>
      <c r="N53" s="201">
        <v>3</v>
      </c>
      <c r="O53" s="294" t="s">
        <v>2910</v>
      </c>
      <c r="P53" s="325" t="s">
        <v>3032</v>
      </c>
      <c r="Q53" s="298"/>
      <c r="R53" s="209">
        <v>37316</v>
      </c>
      <c r="S53" s="301"/>
      <c r="T53" s="81">
        <v>1</v>
      </c>
      <c r="U53" s="80"/>
      <c r="V53" s="69"/>
      <c r="W53" s="69"/>
      <c r="X53" s="69"/>
      <c r="Y53" s="69"/>
      <c r="Z53" s="69"/>
      <c r="AA53" s="69"/>
      <c r="AB53" s="49"/>
    </row>
    <row r="54" spans="1:28" ht="15.6" customHeight="1" x14ac:dyDescent="0.2">
      <c r="A54" s="212">
        <v>52</v>
      </c>
      <c r="B54" s="159" t="str">
        <f t="shared" si="0"/>
        <v>Centella macrocarpa</v>
      </c>
      <c r="C54" s="160" t="s">
        <v>674</v>
      </c>
      <c r="D54" s="72"/>
      <c r="E54" s="72" t="s">
        <v>675</v>
      </c>
      <c r="F54" s="72" t="s">
        <v>2779</v>
      </c>
      <c r="G54" s="289" t="s">
        <v>2875</v>
      </c>
      <c r="H54" s="166" t="s">
        <v>3245</v>
      </c>
      <c r="I54" s="142">
        <v>3</v>
      </c>
      <c r="J54" s="143">
        <v>6</v>
      </c>
      <c r="K54" s="143">
        <v>2</v>
      </c>
      <c r="L54" s="143">
        <v>5</v>
      </c>
      <c r="M54" s="143">
        <v>2</v>
      </c>
      <c r="N54" s="201">
        <v>2</v>
      </c>
      <c r="O54" s="294" t="s">
        <v>2910</v>
      </c>
      <c r="P54" s="325" t="s">
        <v>3032</v>
      </c>
      <c r="Q54" s="298"/>
      <c r="R54" s="209">
        <v>37288</v>
      </c>
      <c r="S54" s="301"/>
      <c r="T54" s="81">
        <v>1</v>
      </c>
      <c r="U54" s="78"/>
      <c r="V54" s="69"/>
      <c r="W54" s="69"/>
      <c r="X54" s="69">
        <v>1</v>
      </c>
      <c r="Y54" s="69"/>
      <c r="Z54" s="69"/>
      <c r="AA54" s="69"/>
      <c r="AB54" s="49"/>
    </row>
    <row r="55" spans="1:28" ht="15.6" customHeight="1" x14ac:dyDescent="0.2">
      <c r="A55" s="212">
        <v>53</v>
      </c>
      <c r="B55" s="159" t="str">
        <f t="shared" si="0"/>
        <v>Centella tridentata</v>
      </c>
      <c r="C55" s="160" t="s">
        <v>674</v>
      </c>
      <c r="D55" s="72"/>
      <c r="E55" s="72" t="s">
        <v>675</v>
      </c>
      <c r="F55" s="72" t="s">
        <v>677</v>
      </c>
      <c r="G55" s="289" t="s">
        <v>2876</v>
      </c>
      <c r="H55" s="166" t="s">
        <v>3246</v>
      </c>
      <c r="I55" s="142">
        <v>6</v>
      </c>
      <c r="J55" s="143">
        <v>6</v>
      </c>
      <c r="K55" s="143">
        <v>2</v>
      </c>
      <c r="L55" s="143">
        <v>2</v>
      </c>
      <c r="M55" s="143">
        <v>1</v>
      </c>
      <c r="N55" s="201">
        <v>3</v>
      </c>
      <c r="O55" s="294" t="s">
        <v>2910</v>
      </c>
      <c r="P55" s="325" t="s">
        <v>2170</v>
      </c>
      <c r="Q55" s="298"/>
      <c r="R55" s="209">
        <v>37591</v>
      </c>
      <c r="S55" s="301"/>
      <c r="T55" s="81">
        <v>1</v>
      </c>
      <c r="U55" s="78"/>
      <c r="V55" s="69"/>
      <c r="W55" s="69">
        <v>1</v>
      </c>
      <c r="X55" s="69">
        <v>1</v>
      </c>
      <c r="Y55" s="69"/>
      <c r="Z55" s="69"/>
      <c r="AA55" s="69"/>
      <c r="AB55" s="49"/>
    </row>
    <row r="56" spans="1:28" ht="15.6" customHeight="1" x14ac:dyDescent="0.2">
      <c r="A56" s="212">
        <v>54</v>
      </c>
      <c r="B56" s="159" t="str">
        <f t="shared" si="0"/>
        <v>Asparagus aethiopicus</v>
      </c>
      <c r="C56" s="160" t="s">
        <v>678</v>
      </c>
      <c r="D56" s="72" t="s">
        <v>2302</v>
      </c>
      <c r="E56" s="72" t="s">
        <v>679</v>
      </c>
      <c r="F56" s="72" t="s">
        <v>680</v>
      </c>
      <c r="G56" s="289" t="s">
        <v>2877</v>
      </c>
      <c r="H56" s="166" t="s">
        <v>3247</v>
      </c>
      <c r="I56" s="142">
        <v>7</v>
      </c>
      <c r="J56" s="143">
        <v>3</v>
      </c>
      <c r="K56" s="143">
        <v>3</v>
      </c>
      <c r="L56" s="143">
        <v>3</v>
      </c>
      <c r="M56" s="143">
        <v>1</v>
      </c>
      <c r="N56" s="201">
        <v>4</v>
      </c>
      <c r="O56" s="294" t="s">
        <v>2169</v>
      </c>
      <c r="P56" s="325" t="s">
        <v>3032</v>
      </c>
      <c r="Q56" s="298"/>
      <c r="R56" s="209">
        <v>35612</v>
      </c>
      <c r="S56" s="301"/>
      <c r="T56" s="81">
        <v>1</v>
      </c>
      <c r="U56" s="78"/>
      <c r="V56" s="69"/>
      <c r="W56" s="69"/>
      <c r="X56" s="69"/>
      <c r="Y56" s="69">
        <v>1</v>
      </c>
      <c r="Z56" s="69">
        <v>1</v>
      </c>
      <c r="AA56" s="69"/>
      <c r="AB56" s="49"/>
    </row>
    <row r="57" spans="1:28" ht="15.6" customHeight="1" x14ac:dyDescent="0.2">
      <c r="A57" s="212">
        <v>55</v>
      </c>
      <c r="B57" s="159" t="str">
        <f t="shared" si="0"/>
        <v>Asparagus capensis</v>
      </c>
      <c r="C57" s="160" t="s">
        <v>678</v>
      </c>
      <c r="D57" s="72" t="s">
        <v>2303</v>
      </c>
      <c r="E57" s="72" t="s">
        <v>679</v>
      </c>
      <c r="F57" s="72" t="s">
        <v>2756</v>
      </c>
      <c r="G57" s="289" t="s">
        <v>2878</v>
      </c>
      <c r="H57" s="166" t="s">
        <v>3248</v>
      </c>
      <c r="I57" s="142">
        <v>2</v>
      </c>
      <c r="J57" s="143">
        <v>5</v>
      </c>
      <c r="K57" s="143">
        <v>3</v>
      </c>
      <c r="L57" s="143">
        <v>3</v>
      </c>
      <c r="M57" s="143">
        <v>2</v>
      </c>
      <c r="N57" s="201">
        <v>5</v>
      </c>
      <c r="O57" s="294" t="s">
        <v>2168</v>
      </c>
      <c r="P57" s="325" t="s">
        <v>3032</v>
      </c>
      <c r="Q57" s="298"/>
      <c r="R57" s="209">
        <v>36617</v>
      </c>
      <c r="S57" s="301" t="s">
        <v>2250</v>
      </c>
      <c r="T57" s="81"/>
      <c r="U57" s="78"/>
      <c r="V57" s="69"/>
      <c r="W57" s="69"/>
      <c r="X57" s="69">
        <v>1</v>
      </c>
      <c r="Y57" s="69"/>
      <c r="Z57" s="69"/>
      <c r="AA57" s="69"/>
      <c r="AB57" s="49"/>
    </row>
    <row r="58" spans="1:28" ht="15.6" customHeight="1" x14ac:dyDescent="0.2">
      <c r="A58" s="212">
        <v>56</v>
      </c>
      <c r="B58" s="159" t="str">
        <f t="shared" si="0"/>
        <v>Asparagus ovatus</v>
      </c>
      <c r="C58" s="160" t="s">
        <v>678</v>
      </c>
      <c r="D58" s="72"/>
      <c r="E58" s="72" t="s">
        <v>679</v>
      </c>
      <c r="F58" s="72" t="s">
        <v>681</v>
      </c>
      <c r="G58" s="289" t="s">
        <v>2879</v>
      </c>
      <c r="H58" s="166" t="s">
        <v>3223</v>
      </c>
      <c r="I58" s="142">
        <v>2</v>
      </c>
      <c r="J58" s="143">
        <v>5</v>
      </c>
      <c r="K58" s="143">
        <v>2</v>
      </c>
      <c r="L58" s="143">
        <v>1</v>
      </c>
      <c r="M58" s="143">
        <v>1</v>
      </c>
      <c r="N58" s="201">
        <v>3</v>
      </c>
      <c r="O58" s="294" t="s">
        <v>2914</v>
      </c>
      <c r="P58" s="325" t="s">
        <v>3032</v>
      </c>
      <c r="Q58" s="298"/>
      <c r="R58" s="209">
        <v>37196</v>
      </c>
      <c r="S58" s="301"/>
      <c r="T58" s="81">
        <v>1</v>
      </c>
      <c r="U58" s="78">
        <v>1</v>
      </c>
      <c r="V58" s="69"/>
      <c r="W58" s="69"/>
      <c r="X58" s="69"/>
      <c r="Y58" s="69"/>
      <c r="Z58" s="69"/>
      <c r="AA58" s="69"/>
      <c r="AB58" s="49"/>
    </row>
    <row r="59" spans="1:28" ht="15.6" customHeight="1" x14ac:dyDescent="0.2">
      <c r="A59" s="212">
        <v>57</v>
      </c>
      <c r="B59" s="159" t="str">
        <f t="shared" si="0"/>
        <v>Asparagus rubicundus</v>
      </c>
      <c r="C59" s="160" t="s">
        <v>678</v>
      </c>
      <c r="D59" s="72" t="s">
        <v>2304</v>
      </c>
      <c r="E59" s="72" t="s">
        <v>679</v>
      </c>
      <c r="F59" s="72" t="s">
        <v>682</v>
      </c>
      <c r="G59" s="289" t="s">
        <v>2880</v>
      </c>
      <c r="H59" s="166" t="s">
        <v>3249</v>
      </c>
      <c r="I59" s="142">
        <v>2</v>
      </c>
      <c r="J59" s="143">
        <v>4</v>
      </c>
      <c r="K59" s="143">
        <v>3</v>
      </c>
      <c r="L59" s="143">
        <v>3</v>
      </c>
      <c r="M59" s="143">
        <v>1</v>
      </c>
      <c r="N59" s="201">
        <v>5</v>
      </c>
      <c r="O59" s="294" t="s">
        <v>2914</v>
      </c>
      <c r="P59" s="325" t="s">
        <v>3032</v>
      </c>
      <c r="Q59" s="298"/>
      <c r="R59" s="209">
        <v>35612</v>
      </c>
      <c r="S59" s="301"/>
      <c r="T59" s="81">
        <v>1</v>
      </c>
      <c r="U59" s="78"/>
      <c r="V59" s="69">
        <v>1</v>
      </c>
      <c r="W59" s="69"/>
      <c r="X59" s="69"/>
      <c r="Y59" s="69"/>
      <c r="Z59" s="69"/>
      <c r="AA59" s="69"/>
      <c r="AB59" s="49"/>
    </row>
    <row r="60" spans="1:28" ht="15.6" customHeight="1" x14ac:dyDescent="0.2">
      <c r="A60" s="212">
        <v>58</v>
      </c>
      <c r="B60" s="159" t="str">
        <f t="shared" si="0"/>
        <v>Asparagus scandens</v>
      </c>
      <c r="C60" s="160" t="s">
        <v>678</v>
      </c>
      <c r="D60" s="72"/>
      <c r="E60" s="72" t="s">
        <v>679</v>
      </c>
      <c r="F60" s="72" t="s">
        <v>683</v>
      </c>
      <c r="G60" s="289" t="s">
        <v>2881</v>
      </c>
      <c r="H60" s="166" t="s">
        <v>3250</v>
      </c>
      <c r="I60" s="142">
        <v>2</v>
      </c>
      <c r="J60" s="143">
        <v>4</v>
      </c>
      <c r="K60" s="143">
        <v>3</v>
      </c>
      <c r="L60" s="143">
        <v>2</v>
      </c>
      <c r="M60" s="143">
        <v>1</v>
      </c>
      <c r="N60" s="201">
        <v>4</v>
      </c>
      <c r="O60" s="294" t="s">
        <v>2914</v>
      </c>
      <c r="P60" s="325" t="s">
        <v>3032</v>
      </c>
      <c r="Q60" s="298"/>
      <c r="R60" s="209">
        <v>35612</v>
      </c>
      <c r="S60" s="301"/>
      <c r="T60" s="81">
        <v>1</v>
      </c>
      <c r="U60" s="78"/>
      <c r="V60" s="69"/>
      <c r="W60" s="69"/>
      <c r="X60" s="69"/>
      <c r="Y60" s="69"/>
      <c r="Z60" s="69">
        <v>1</v>
      </c>
      <c r="AA60" s="69"/>
      <c r="AB60" s="49"/>
    </row>
    <row r="61" spans="1:28" ht="15.6" customHeight="1" x14ac:dyDescent="0.2">
      <c r="A61" s="212">
        <v>59</v>
      </c>
      <c r="B61" s="159" t="str">
        <f t="shared" si="0"/>
        <v>Asparagus volubilis</v>
      </c>
      <c r="C61" s="160" t="s">
        <v>678</v>
      </c>
      <c r="D61" s="72"/>
      <c r="E61" s="72" t="s">
        <v>679</v>
      </c>
      <c r="F61" s="72" t="s">
        <v>684</v>
      </c>
      <c r="G61" s="289" t="s">
        <v>2882</v>
      </c>
      <c r="H61" s="166" t="s">
        <v>3223</v>
      </c>
      <c r="I61" s="142">
        <v>2</v>
      </c>
      <c r="J61" s="143">
        <v>5</v>
      </c>
      <c r="K61" s="143">
        <v>3</v>
      </c>
      <c r="L61" s="143">
        <v>2</v>
      </c>
      <c r="M61" s="143">
        <v>1</v>
      </c>
      <c r="N61" s="201">
        <v>3</v>
      </c>
      <c r="O61" s="294" t="s">
        <v>2914</v>
      </c>
      <c r="P61" s="325" t="s">
        <v>3032</v>
      </c>
      <c r="Q61" s="298"/>
      <c r="R61" s="209">
        <v>36861</v>
      </c>
      <c r="S61" s="301"/>
      <c r="T61" s="81">
        <v>1</v>
      </c>
      <c r="U61" s="78"/>
      <c r="V61" s="69"/>
      <c r="W61" s="69"/>
      <c r="X61" s="69"/>
      <c r="Y61" s="69">
        <v>1</v>
      </c>
      <c r="Z61" s="69"/>
      <c r="AA61" s="69"/>
      <c r="AB61" s="49"/>
    </row>
    <row r="62" spans="1:28" ht="15.6" customHeight="1" x14ac:dyDescent="0.2">
      <c r="A62" s="212">
        <v>60</v>
      </c>
      <c r="B62" s="159" t="str">
        <f t="shared" si="0"/>
        <v>Bulbine annua</v>
      </c>
      <c r="C62" s="160" t="s">
        <v>685</v>
      </c>
      <c r="D62" s="72"/>
      <c r="E62" s="72" t="s">
        <v>686</v>
      </c>
      <c r="F62" s="72" t="s">
        <v>687</v>
      </c>
      <c r="G62" s="289" t="s">
        <v>2883</v>
      </c>
      <c r="H62" s="166" t="s">
        <v>3246</v>
      </c>
      <c r="I62" s="142">
        <v>6</v>
      </c>
      <c r="J62" s="143">
        <v>6</v>
      </c>
      <c r="K62" s="143">
        <v>5</v>
      </c>
      <c r="L62" s="143">
        <v>2</v>
      </c>
      <c r="M62" s="143">
        <v>1</v>
      </c>
      <c r="N62" s="201">
        <v>1</v>
      </c>
      <c r="O62" s="294" t="s">
        <v>2163</v>
      </c>
      <c r="P62" s="325" t="s">
        <v>2915</v>
      </c>
      <c r="Q62" s="298"/>
      <c r="R62" s="209">
        <v>36161</v>
      </c>
      <c r="S62" s="301"/>
      <c r="T62" s="81">
        <v>1</v>
      </c>
      <c r="U62" s="78"/>
      <c r="V62" s="69"/>
      <c r="W62" s="69"/>
      <c r="X62" s="69">
        <v>1</v>
      </c>
      <c r="Y62" s="69"/>
      <c r="Z62" s="69"/>
      <c r="AA62" s="69"/>
      <c r="AB62" s="49"/>
    </row>
    <row r="63" spans="1:28" ht="15.6" customHeight="1" x14ac:dyDescent="0.2">
      <c r="A63" s="212">
        <v>61</v>
      </c>
      <c r="B63" s="159" t="str">
        <f t="shared" si="0"/>
        <v>Bulbine favosa</v>
      </c>
      <c r="C63" s="160" t="s">
        <v>685</v>
      </c>
      <c r="D63" s="72"/>
      <c r="E63" s="72" t="s">
        <v>686</v>
      </c>
      <c r="F63" s="72" t="s">
        <v>688</v>
      </c>
      <c r="G63" s="289" t="s">
        <v>2884</v>
      </c>
      <c r="H63" s="166" t="s">
        <v>3222</v>
      </c>
      <c r="I63" s="142">
        <v>4</v>
      </c>
      <c r="J63" s="143">
        <v>6</v>
      </c>
      <c r="K63" s="143">
        <v>5</v>
      </c>
      <c r="L63" s="143">
        <v>3</v>
      </c>
      <c r="M63" s="143">
        <v>1</v>
      </c>
      <c r="N63" s="201">
        <v>1</v>
      </c>
      <c r="O63" s="294" t="s">
        <v>2163</v>
      </c>
      <c r="P63" s="325"/>
      <c r="Q63" s="298"/>
      <c r="R63" s="209">
        <v>35796</v>
      </c>
      <c r="S63" s="301" t="s">
        <v>2250</v>
      </c>
      <c r="T63" s="81"/>
      <c r="U63" s="78"/>
      <c r="V63" s="69"/>
      <c r="W63" s="69"/>
      <c r="X63" s="69">
        <v>1</v>
      </c>
      <c r="Y63" s="69"/>
      <c r="Z63" s="69"/>
      <c r="AA63" s="69"/>
      <c r="AB63" s="49"/>
    </row>
    <row r="64" spans="1:28" ht="15.6" customHeight="1" x14ac:dyDescent="0.2">
      <c r="A64" s="212">
        <v>62</v>
      </c>
      <c r="B64" s="159" t="str">
        <f t="shared" si="0"/>
        <v>Bulbine foleyi</v>
      </c>
      <c r="C64" s="160" t="s">
        <v>685</v>
      </c>
      <c r="D64" s="72"/>
      <c r="E64" s="72" t="s">
        <v>686</v>
      </c>
      <c r="F64" s="72" t="s">
        <v>689</v>
      </c>
      <c r="G64" s="289" t="s">
        <v>2885</v>
      </c>
      <c r="H64" s="166" t="s">
        <v>3222</v>
      </c>
      <c r="I64" s="142">
        <v>4</v>
      </c>
      <c r="J64" s="143">
        <v>6</v>
      </c>
      <c r="K64" s="143">
        <v>5</v>
      </c>
      <c r="L64" s="143">
        <v>3</v>
      </c>
      <c r="M64" s="143">
        <v>1</v>
      </c>
      <c r="N64" s="201">
        <v>1</v>
      </c>
      <c r="O64" s="294" t="s">
        <v>2163</v>
      </c>
      <c r="P64" s="325"/>
      <c r="Q64" s="298"/>
      <c r="R64" s="209">
        <v>36192</v>
      </c>
      <c r="S64" s="301"/>
      <c r="T64" s="81">
        <v>1</v>
      </c>
      <c r="U64" s="78"/>
      <c r="V64" s="69"/>
      <c r="W64" s="69"/>
      <c r="X64" s="69">
        <v>1</v>
      </c>
      <c r="Y64" s="69"/>
      <c r="Z64" s="69"/>
      <c r="AA64" s="69"/>
      <c r="AB64" s="49"/>
    </row>
    <row r="65" spans="1:28" ht="15.6" customHeight="1" x14ac:dyDescent="0.2">
      <c r="A65" s="212">
        <v>63</v>
      </c>
      <c r="B65" s="159" t="str">
        <f t="shared" si="0"/>
        <v>Bulbine lagopus</v>
      </c>
      <c r="C65" s="160" t="s">
        <v>685</v>
      </c>
      <c r="D65" s="72"/>
      <c r="E65" s="72" t="s">
        <v>686</v>
      </c>
      <c r="F65" s="72" t="s">
        <v>690</v>
      </c>
      <c r="G65" s="289" t="s">
        <v>2886</v>
      </c>
      <c r="H65" s="166" t="s">
        <v>1287</v>
      </c>
      <c r="I65" s="142">
        <v>4</v>
      </c>
      <c r="J65" s="143">
        <v>6</v>
      </c>
      <c r="K65" s="143">
        <v>5</v>
      </c>
      <c r="L65" s="143">
        <v>2</v>
      </c>
      <c r="M65" s="143">
        <v>1</v>
      </c>
      <c r="N65" s="201">
        <v>1</v>
      </c>
      <c r="O65" s="294" t="s">
        <v>2163</v>
      </c>
      <c r="P65" s="325"/>
      <c r="Q65" s="298"/>
      <c r="R65" s="209">
        <v>36069</v>
      </c>
      <c r="S65" s="301"/>
      <c r="T65" s="81">
        <v>1</v>
      </c>
      <c r="U65" s="78">
        <v>1</v>
      </c>
      <c r="V65" s="69"/>
      <c r="W65" s="69"/>
      <c r="X65" s="69"/>
      <c r="Y65" s="69"/>
      <c r="Z65" s="69"/>
      <c r="AA65" s="69"/>
      <c r="AB65" s="49"/>
    </row>
    <row r="66" spans="1:28" ht="15.6" customHeight="1" x14ac:dyDescent="0.2">
      <c r="A66" s="212">
        <v>64</v>
      </c>
      <c r="B66" s="159" t="str">
        <f t="shared" si="0"/>
        <v>Bulbinella triquetra</v>
      </c>
      <c r="C66" s="160" t="s">
        <v>685</v>
      </c>
      <c r="D66" s="72"/>
      <c r="E66" s="72" t="s">
        <v>691</v>
      </c>
      <c r="F66" s="72" t="s">
        <v>692</v>
      </c>
      <c r="G66" s="289" t="s">
        <v>2887</v>
      </c>
      <c r="H66" s="166" t="s">
        <v>3251</v>
      </c>
      <c r="I66" s="142">
        <v>4</v>
      </c>
      <c r="J66" s="143">
        <v>6</v>
      </c>
      <c r="K66" s="143">
        <v>5</v>
      </c>
      <c r="L66" s="143">
        <v>3</v>
      </c>
      <c r="M66" s="143">
        <v>1</v>
      </c>
      <c r="N66" s="201">
        <v>2</v>
      </c>
      <c r="O66" s="294" t="s">
        <v>2163</v>
      </c>
      <c r="P66" s="325"/>
      <c r="Q66" s="298"/>
      <c r="R66" s="209">
        <v>36465</v>
      </c>
      <c r="S66" s="301"/>
      <c r="T66" s="81">
        <v>1</v>
      </c>
      <c r="U66" s="78"/>
      <c r="V66" s="69"/>
      <c r="W66" s="69"/>
      <c r="X66" s="69">
        <v>1</v>
      </c>
      <c r="Y66" s="69"/>
      <c r="Z66" s="69"/>
      <c r="AA66" s="69"/>
      <c r="AB66" s="49"/>
    </row>
    <row r="67" spans="1:28" ht="15.6" customHeight="1" x14ac:dyDescent="0.2">
      <c r="A67" s="212">
        <v>65</v>
      </c>
      <c r="B67" s="159" t="str">
        <f t="shared" ref="B67:B130" si="1">E67&amp;" "&amp;F67</f>
        <v>Kniphofia uvaria</v>
      </c>
      <c r="C67" s="160" t="s">
        <v>685</v>
      </c>
      <c r="D67" s="72" t="s">
        <v>2305</v>
      </c>
      <c r="E67" s="72" t="s">
        <v>693</v>
      </c>
      <c r="F67" s="72" t="s">
        <v>694</v>
      </c>
      <c r="G67" s="289" t="s">
        <v>2888</v>
      </c>
      <c r="H67" s="166" t="s">
        <v>3252</v>
      </c>
      <c r="I67" s="142">
        <v>3</v>
      </c>
      <c r="J67" s="143">
        <v>5</v>
      </c>
      <c r="K67" s="143">
        <v>5</v>
      </c>
      <c r="L67" s="143">
        <v>2</v>
      </c>
      <c r="M67" s="143">
        <v>1</v>
      </c>
      <c r="N67" s="201">
        <v>1</v>
      </c>
      <c r="O67" s="294" t="s">
        <v>2163</v>
      </c>
      <c r="P67" s="325" t="s">
        <v>3032</v>
      </c>
      <c r="Q67" s="298"/>
      <c r="R67" s="209">
        <v>37257</v>
      </c>
      <c r="S67" s="301"/>
      <c r="T67" s="81">
        <v>1</v>
      </c>
      <c r="U67" s="78"/>
      <c r="V67" s="69"/>
      <c r="W67" s="69"/>
      <c r="X67" s="69">
        <v>1</v>
      </c>
      <c r="Y67" s="69"/>
      <c r="Z67" s="69"/>
      <c r="AA67" s="69"/>
      <c r="AB67" s="49"/>
    </row>
    <row r="68" spans="1:28" ht="15.6" customHeight="1" x14ac:dyDescent="0.2">
      <c r="A68" s="212">
        <v>66</v>
      </c>
      <c r="B68" s="159" t="str">
        <f t="shared" si="1"/>
        <v>Trachyandra ciliata</v>
      </c>
      <c r="C68" s="160" t="s">
        <v>685</v>
      </c>
      <c r="D68" s="72" t="s">
        <v>2306</v>
      </c>
      <c r="E68" s="72" t="s">
        <v>695</v>
      </c>
      <c r="F68" s="72" t="s">
        <v>696</v>
      </c>
      <c r="G68" s="289" t="s">
        <v>2889</v>
      </c>
      <c r="H68" s="166" t="s">
        <v>3253</v>
      </c>
      <c r="I68" s="142">
        <v>3</v>
      </c>
      <c r="J68" s="143">
        <v>6</v>
      </c>
      <c r="K68" s="143">
        <v>5</v>
      </c>
      <c r="L68" s="143">
        <v>3</v>
      </c>
      <c r="M68" s="143">
        <v>1</v>
      </c>
      <c r="N68" s="201">
        <v>1</v>
      </c>
      <c r="O68" s="294" t="s">
        <v>2163</v>
      </c>
      <c r="P68" s="325" t="s">
        <v>3032</v>
      </c>
      <c r="Q68" s="298"/>
      <c r="R68" s="209">
        <v>36861</v>
      </c>
      <c r="S68" s="301" t="s">
        <v>2250</v>
      </c>
      <c r="T68" s="81"/>
      <c r="U68" s="78">
        <v>1</v>
      </c>
      <c r="V68" s="69"/>
      <c r="W68" s="69"/>
      <c r="X68" s="69"/>
      <c r="Y68" s="69"/>
      <c r="Z68" s="69"/>
      <c r="AA68" s="69"/>
      <c r="AB68" s="49"/>
    </row>
    <row r="69" spans="1:28" ht="15.6" customHeight="1" x14ac:dyDescent="0.2">
      <c r="A69" s="212">
        <v>67</v>
      </c>
      <c r="B69" s="159" t="str">
        <f t="shared" si="1"/>
        <v>Trachyandra hirsuta</v>
      </c>
      <c r="C69" s="160" t="s">
        <v>685</v>
      </c>
      <c r="D69" s="72"/>
      <c r="E69" s="72" t="s">
        <v>695</v>
      </c>
      <c r="F69" s="72" t="s">
        <v>697</v>
      </c>
      <c r="G69" s="289" t="s">
        <v>2890</v>
      </c>
      <c r="H69" s="166" t="s">
        <v>3252</v>
      </c>
      <c r="I69" s="142">
        <v>3</v>
      </c>
      <c r="J69" s="143">
        <v>5</v>
      </c>
      <c r="K69" s="143">
        <v>5</v>
      </c>
      <c r="L69" s="143">
        <v>2</v>
      </c>
      <c r="M69" s="143">
        <v>1</v>
      </c>
      <c r="N69" s="201">
        <v>1</v>
      </c>
      <c r="O69" s="294" t="s">
        <v>2163</v>
      </c>
      <c r="P69" s="325" t="s">
        <v>3032</v>
      </c>
      <c r="Q69" s="298"/>
      <c r="R69" s="209">
        <v>36861</v>
      </c>
      <c r="S69" s="301"/>
      <c r="T69" s="81">
        <v>1</v>
      </c>
      <c r="U69" s="78"/>
      <c r="V69" s="69"/>
      <c r="W69" s="69"/>
      <c r="X69" s="69">
        <v>1</v>
      </c>
      <c r="Y69" s="69"/>
      <c r="Z69" s="69"/>
      <c r="AA69" s="69"/>
      <c r="AB69" s="49"/>
    </row>
    <row r="70" spans="1:28" ht="15.6" customHeight="1" x14ac:dyDescent="0.2">
      <c r="A70" s="212">
        <v>68</v>
      </c>
      <c r="B70" s="159" t="str">
        <f t="shared" si="1"/>
        <v>Trachyandra revoluta</v>
      </c>
      <c r="C70" s="160" t="s">
        <v>685</v>
      </c>
      <c r="D70" s="72" t="s">
        <v>2307</v>
      </c>
      <c r="E70" s="72" t="s">
        <v>695</v>
      </c>
      <c r="F70" s="72" t="s">
        <v>698</v>
      </c>
      <c r="G70" s="289" t="s">
        <v>2891</v>
      </c>
      <c r="H70" s="166" t="s">
        <v>3254</v>
      </c>
      <c r="I70" s="142">
        <v>3</v>
      </c>
      <c r="J70" s="143">
        <v>5</v>
      </c>
      <c r="K70" s="143">
        <v>5</v>
      </c>
      <c r="L70" s="143">
        <v>3</v>
      </c>
      <c r="M70" s="143">
        <v>1</v>
      </c>
      <c r="N70" s="201">
        <v>1</v>
      </c>
      <c r="O70" s="294" t="s">
        <v>2163</v>
      </c>
      <c r="P70" s="325" t="s">
        <v>3032</v>
      </c>
      <c r="Q70" s="298"/>
      <c r="R70" s="209">
        <v>36404</v>
      </c>
      <c r="S70" s="301"/>
      <c r="T70" s="81">
        <v>1</v>
      </c>
      <c r="U70" s="78">
        <v>1</v>
      </c>
      <c r="V70" s="69"/>
      <c r="W70" s="69"/>
      <c r="X70" s="69">
        <v>1</v>
      </c>
      <c r="Y70" s="69"/>
      <c r="Z70" s="69"/>
      <c r="AA70" s="69"/>
      <c r="AB70" s="49"/>
    </row>
    <row r="71" spans="1:28" ht="15.6" customHeight="1" x14ac:dyDescent="0.2">
      <c r="A71" s="212">
        <v>69</v>
      </c>
      <c r="B71" s="159" t="str">
        <f t="shared" si="1"/>
        <v>Trachyandra tabularis</v>
      </c>
      <c r="C71" s="160" t="s">
        <v>685</v>
      </c>
      <c r="D71" s="72"/>
      <c r="E71" s="72" t="s">
        <v>695</v>
      </c>
      <c r="F71" s="72" t="s">
        <v>699</v>
      </c>
      <c r="G71" s="289" t="s">
        <v>2892</v>
      </c>
      <c r="H71" s="166" t="s">
        <v>3255</v>
      </c>
      <c r="I71" s="142">
        <v>3</v>
      </c>
      <c r="J71" s="143">
        <v>4</v>
      </c>
      <c r="K71" s="143">
        <v>5</v>
      </c>
      <c r="L71" s="143">
        <v>3</v>
      </c>
      <c r="M71" s="143">
        <v>1</v>
      </c>
      <c r="N71" s="201">
        <v>1</v>
      </c>
      <c r="O71" s="294" t="s">
        <v>2163</v>
      </c>
      <c r="P71" s="325" t="s">
        <v>3032</v>
      </c>
      <c r="Q71" s="298"/>
      <c r="R71" s="209">
        <v>37408</v>
      </c>
      <c r="S71" s="301" t="s">
        <v>2690</v>
      </c>
      <c r="T71" s="81"/>
      <c r="U71" s="78"/>
      <c r="V71" s="69"/>
      <c r="W71" s="69"/>
      <c r="X71" s="69"/>
      <c r="Y71" s="69"/>
      <c r="Z71" s="69"/>
      <c r="AA71" s="69"/>
      <c r="AB71" s="49"/>
    </row>
    <row r="72" spans="1:28" ht="15.6" customHeight="1" x14ac:dyDescent="0.2">
      <c r="A72" s="212">
        <v>70</v>
      </c>
      <c r="B72" s="159" t="str">
        <f t="shared" si="1"/>
        <v>Asplenium adiantum-nigrum</v>
      </c>
      <c r="C72" s="160" t="s">
        <v>700</v>
      </c>
      <c r="D72" s="72"/>
      <c r="E72" s="72" t="s">
        <v>701</v>
      </c>
      <c r="F72" s="72" t="s">
        <v>702</v>
      </c>
      <c r="G72" s="289" t="s">
        <v>2893</v>
      </c>
      <c r="H72" s="166" t="s">
        <v>3244</v>
      </c>
      <c r="I72" s="142">
        <v>3</v>
      </c>
      <c r="J72" s="143">
        <v>6</v>
      </c>
      <c r="K72" s="143">
        <v>3</v>
      </c>
      <c r="L72" s="143">
        <v>4</v>
      </c>
      <c r="M72" s="143">
        <v>1</v>
      </c>
      <c r="N72" s="201">
        <v>2</v>
      </c>
      <c r="O72" s="294" t="s">
        <v>2171</v>
      </c>
      <c r="P72" s="325" t="s">
        <v>3032</v>
      </c>
      <c r="Q72" s="298"/>
      <c r="R72" s="209">
        <v>35612</v>
      </c>
      <c r="S72" s="301"/>
      <c r="T72" s="81">
        <v>1</v>
      </c>
      <c r="U72" s="78"/>
      <c r="V72" s="69"/>
      <c r="W72" s="69"/>
      <c r="X72" s="69"/>
      <c r="Y72" s="69"/>
      <c r="Z72" s="69">
        <v>1</v>
      </c>
      <c r="AA72" s="69"/>
      <c r="AB72" s="49"/>
    </row>
    <row r="73" spans="1:28" ht="15.6" customHeight="1" x14ac:dyDescent="0.2">
      <c r="A73" s="212">
        <v>71</v>
      </c>
      <c r="B73" s="159" t="str">
        <f t="shared" si="1"/>
        <v>Arctotheca calendula</v>
      </c>
      <c r="C73" s="160" t="s">
        <v>703</v>
      </c>
      <c r="D73" s="72" t="s">
        <v>2308</v>
      </c>
      <c r="E73" s="72" t="s">
        <v>704</v>
      </c>
      <c r="F73" s="72" t="s">
        <v>705</v>
      </c>
      <c r="G73" s="289" t="s">
        <v>2894</v>
      </c>
      <c r="H73" s="166" t="s">
        <v>3256</v>
      </c>
      <c r="I73" s="142">
        <v>6</v>
      </c>
      <c r="J73" s="143">
        <v>6</v>
      </c>
      <c r="K73" s="143">
        <v>4</v>
      </c>
      <c r="L73" s="143">
        <v>2</v>
      </c>
      <c r="M73" s="143">
        <v>1</v>
      </c>
      <c r="N73" s="201">
        <v>4</v>
      </c>
      <c r="O73" s="294" t="s">
        <v>2910</v>
      </c>
      <c r="P73" s="325" t="s">
        <v>2915</v>
      </c>
      <c r="Q73" s="298"/>
      <c r="R73" s="209">
        <v>36617</v>
      </c>
      <c r="S73" s="301"/>
      <c r="T73" s="81">
        <v>1</v>
      </c>
      <c r="U73" s="78">
        <v>1</v>
      </c>
      <c r="V73" s="69"/>
      <c r="W73" s="69"/>
      <c r="X73" s="69"/>
      <c r="Y73" s="69"/>
      <c r="Z73" s="69"/>
      <c r="AA73" s="69"/>
      <c r="AB73" s="49"/>
    </row>
    <row r="74" spans="1:28" ht="15.6" customHeight="1" x14ac:dyDescent="0.2">
      <c r="A74" s="212">
        <v>72</v>
      </c>
      <c r="B74" s="159" t="str">
        <f t="shared" si="1"/>
        <v>Arctotis acaulis</v>
      </c>
      <c r="C74" s="160" t="s">
        <v>703</v>
      </c>
      <c r="D74" s="72" t="s">
        <v>2162</v>
      </c>
      <c r="E74" s="72" t="s">
        <v>706</v>
      </c>
      <c r="F74" s="72" t="s">
        <v>707</v>
      </c>
      <c r="G74" s="289" t="s">
        <v>2895</v>
      </c>
      <c r="H74" s="166" t="s">
        <v>3245</v>
      </c>
      <c r="I74" s="142">
        <v>3</v>
      </c>
      <c r="J74" s="143">
        <v>6</v>
      </c>
      <c r="K74" s="143">
        <v>4</v>
      </c>
      <c r="L74" s="143">
        <v>5</v>
      </c>
      <c r="M74" s="143">
        <v>1</v>
      </c>
      <c r="N74" s="201">
        <v>2</v>
      </c>
      <c r="O74" s="294" t="s">
        <v>2910</v>
      </c>
      <c r="P74" s="325" t="s">
        <v>3032</v>
      </c>
      <c r="Q74" s="298"/>
      <c r="R74" s="209">
        <v>36130</v>
      </c>
      <c r="S74" s="301"/>
      <c r="T74" s="81">
        <v>1</v>
      </c>
      <c r="U74" s="78">
        <v>1</v>
      </c>
      <c r="V74" s="69"/>
      <c r="W74" s="69"/>
      <c r="X74" s="69">
        <v>1</v>
      </c>
      <c r="Y74" s="69"/>
      <c r="Z74" s="69"/>
      <c r="AA74" s="69"/>
      <c r="AB74" s="49"/>
    </row>
    <row r="75" spans="1:28" ht="15.6" customHeight="1" x14ac:dyDescent="0.2">
      <c r="A75" s="212">
        <v>73</v>
      </c>
      <c r="B75" s="159" t="str">
        <f t="shared" si="1"/>
        <v>Arctotis schlechteri</v>
      </c>
      <c r="C75" s="160" t="s">
        <v>703</v>
      </c>
      <c r="D75" s="72"/>
      <c r="E75" s="72" t="s">
        <v>706</v>
      </c>
      <c r="F75" s="72" t="s">
        <v>708</v>
      </c>
      <c r="G75" s="289" t="s">
        <v>2896</v>
      </c>
      <c r="H75" s="166" t="s">
        <v>3241</v>
      </c>
      <c r="I75" s="142">
        <v>3</v>
      </c>
      <c r="J75" s="143">
        <v>6</v>
      </c>
      <c r="K75" s="143">
        <v>4</v>
      </c>
      <c r="L75" s="143">
        <v>2</v>
      </c>
      <c r="M75" s="143">
        <v>1</v>
      </c>
      <c r="N75" s="201">
        <v>3</v>
      </c>
      <c r="O75" s="294" t="s">
        <v>2910</v>
      </c>
      <c r="P75" s="325" t="s">
        <v>3032</v>
      </c>
      <c r="Q75" s="298"/>
      <c r="R75" s="209">
        <v>35947</v>
      </c>
      <c r="S75" s="301"/>
      <c r="T75" s="81">
        <v>1</v>
      </c>
      <c r="U75" s="78"/>
      <c r="V75" s="69"/>
      <c r="W75" s="69"/>
      <c r="X75" s="69">
        <v>1</v>
      </c>
      <c r="Y75" s="69"/>
      <c r="Z75" s="69"/>
      <c r="AA75" s="69"/>
      <c r="AB75" s="49"/>
    </row>
    <row r="76" spans="1:28" ht="15.6" customHeight="1" x14ac:dyDescent="0.2">
      <c r="A76" s="212">
        <v>74</v>
      </c>
      <c r="B76" s="159" t="str">
        <f t="shared" si="1"/>
        <v>Artemisia afra</v>
      </c>
      <c r="C76" s="160" t="s">
        <v>703</v>
      </c>
      <c r="D76" s="72" t="s">
        <v>2309</v>
      </c>
      <c r="E76" s="72" t="s">
        <v>709</v>
      </c>
      <c r="F76" s="72" t="s">
        <v>710</v>
      </c>
      <c r="G76" s="289" t="s">
        <v>2897</v>
      </c>
      <c r="H76" s="166" t="s">
        <v>3257</v>
      </c>
      <c r="I76" s="142">
        <v>2</v>
      </c>
      <c r="J76" s="143">
        <v>5</v>
      </c>
      <c r="K76" s="143">
        <v>3</v>
      </c>
      <c r="L76" s="143">
        <v>5</v>
      </c>
      <c r="M76" s="143">
        <v>1</v>
      </c>
      <c r="N76" s="201">
        <v>3</v>
      </c>
      <c r="O76" s="294" t="s">
        <v>2914</v>
      </c>
      <c r="P76" s="325" t="s">
        <v>3032</v>
      </c>
      <c r="Q76" s="298"/>
      <c r="R76" s="209">
        <v>35612</v>
      </c>
      <c r="S76" s="301"/>
      <c r="T76" s="81">
        <v>1</v>
      </c>
      <c r="U76" s="78">
        <v>1</v>
      </c>
      <c r="V76" s="69"/>
      <c r="W76" s="69"/>
      <c r="X76" s="69"/>
      <c r="Y76" s="69"/>
      <c r="Z76" s="69"/>
      <c r="AA76" s="69">
        <v>1</v>
      </c>
      <c r="AB76" s="49"/>
    </row>
    <row r="77" spans="1:28" ht="15.6" customHeight="1" x14ac:dyDescent="0.2">
      <c r="A77" s="212">
        <v>75</v>
      </c>
      <c r="B77" s="159" t="str">
        <f t="shared" si="1"/>
        <v>Athanasia dentata</v>
      </c>
      <c r="C77" s="160" t="s">
        <v>703</v>
      </c>
      <c r="D77" s="72"/>
      <c r="E77" s="72" t="s">
        <v>711</v>
      </c>
      <c r="F77" s="72" t="s">
        <v>712</v>
      </c>
      <c r="G77" s="289" t="s">
        <v>2898</v>
      </c>
      <c r="H77" s="166" t="s">
        <v>3249</v>
      </c>
      <c r="I77" s="142">
        <v>2</v>
      </c>
      <c r="J77" s="143">
        <v>4</v>
      </c>
      <c r="K77" s="143">
        <v>3</v>
      </c>
      <c r="L77" s="143">
        <v>3</v>
      </c>
      <c r="M77" s="143">
        <v>1</v>
      </c>
      <c r="N77" s="201">
        <v>5</v>
      </c>
      <c r="O77" s="294" t="s">
        <v>2914</v>
      </c>
      <c r="P77" s="325" t="s">
        <v>3032</v>
      </c>
      <c r="Q77" s="298"/>
      <c r="R77" s="209">
        <v>35612</v>
      </c>
      <c r="S77" s="301"/>
      <c r="T77" s="81">
        <v>1</v>
      </c>
      <c r="U77" s="78">
        <v>1</v>
      </c>
      <c r="V77" s="69">
        <v>1</v>
      </c>
      <c r="W77" s="69"/>
      <c r="X77" s="69">
        <v>1</v>
      </c>
      <c r="Y77" s="69"/>
      <c r="Z77" s="69"/>
      <c r="AA77" s="69"/>
      <c r="AB77" s="49"/>
    </row>
    <row r="78" spans="1:28" ht="15.6" customHeight="1" x14ac:dyDescent="0.2">
      <c r="A78" s="212">
        <v>76</v>
      </c>
      <c r="B78" s="159" t="str">
        <f t="shared" si="1"/>
        <v>Athanasia quinquedentata ssp. quinquedentata</v>
      </c>
      <c r="C78" s="160" t="s">
        <v>703</v>
      </c>
      <c r="D78" s="72"/>
      <c r="E78" s="72" t="s">
        <v>711</v>
      </c>
      <c r="F78" s="74" t="s">
        <v>461</v>
      </c>
      <c r="G78" s="289" t="s">
        <v>2899</v>
      </c>
      <c r="H78" s="166" t="s">
        <v>3248</v>
      </c>
      <c r="I78" s="142">
        <v>2</v>
      </c>
      <c r="J78" s="143">
        <v>5</v>
      </c>
      <c r="K78" s="143">
        <v>3</v>
      </c>
      <c r="L78" s="143">
        <v>2</v>
      </c>
      <c r="M78" s="143">
        <v>1</v>
      </c>
      <c r="N78" s="201">
        <v>5</v>
      </c>
      <c r="O78" s="294" t="s">
        <v>2914</v>
      </c>
      <c r="P78" s="325" t="s">
        <v>3032</v>
      </c>
      <c r="Q78" s="298" t="s">
        <v>2703</v>
      </c>
      <c r="R78" s="209">
        <v>36923</v>
      </c>
      <c r="S78" s="301"/>
      <c r="T78" s="81">
        <v>1</v>
      </c>
      <c r="U78" s="78">
        <v>1</v>
      </c>
      <c r="V78" s="69">
        <v>1</v>
      </c>
      <c r="W78" s="69"/>
      <c r="X78" s="69">
        <v>1</v>
      </c>
      <c r="Y78" s="69"/>
      <c r="Z78" s="69"/>
      <c r="AA78" s="69"/>
      <c r="AB78" s="49"/>
    </row>
    <row r="79" spans="1:28" ht="15.6" customHeight="1" x14ac:dyDescent="0.2">
      <c r="A79" s="212">
        <v>77</v>
      </c>
      <c r="B79" s="159" t="str">
        <f t="shared" si="1"/>
        <v>Athanasia trifurcata</v>
      </c>
      <c r="C79" s="160" t="s">
        <v>703</v>
      </c>
      <c r="D79" s="72" t="s">
        <v>2310</v>
      </c>
      <c r="E79" s="72" t="s">
        <v>711</v>
      </c>
      <c r="F79" s="72" t="s">
        <v>713</v>
      </c>
      <c r="G79" s="289" t="s">
        <v>2900</v>
      </c>
      <c r="H79" s="166" t="s">
        <v>3249</v>
      </c>
      <c r="I79" s="142">
        <v>2</v>
      </c>
      <c r="J79" s="143">
        <v>4</v>
      </c>
      <c r="K79" s="143">
        <v>3</v>
      </c>
      <c r="L79" s="143">
        <v>3</v>
      </c>
      <c r="M79" s="143">
        <v>1</v>
      </c>
      <c r="N79" s="201">
        <v>5</v>
      </c>
      <c r="O79" s="294" t="s">
        <v>2168</v>
      </c>
      <c r="P79" s="325" t="s">
        <v>3032</v>
      </c>
      <c r="Q79" s="298"/>
      <c r="R79" s="209">
        <v>35612</v>
      </c>
      <c r="S79" s="301"/>
      <c r="T79" s="81">
        <v>1</v>
      </c>
      <c r="U79" s="78">
        <v>1</v>
      </c>
      <c r="V79" s="69"/>
      <c r="W79" s="69"/>
      <c r="X79" s="69"/>
      <c r="Y79" s="69"/>
      <c r="Z79" s="69"/>
      <c r="AA79" s="69"/>
      <c r="AB79" s="49"/>
    </row>
    <row r="80" spans="1:28" ht="15.6" customHeight="1" x14ac:dyDescent="0.2">
      <c r="A80" s="212">
        <v>78</v>
      </c>
      <c r="B80" s="159" t="str">
        <f t="shared" si="1"/>
        <v>Berkheya rigida</v>
      </c>
      <c r="C80" s="160" t="s">
        <v>703</v>
      </c>
      <c r="D80" s="72"/>
      <c r="E80" s="72" t="s">
        <v>714</v>
      </c>
      <c r="F80" s="72" t="s">
        <v>715</v>
      </c>
      <c r="G80" s="289" t="s">
        <v>2901</v>
      </c>
      <c r="H80" s="166" t="s">
        <v>3252</v>
      </c>
      <c r="I80" s="142">
        <v>3</v>
      </c>
      <c r="J80" s="143">
        <v>5</v>
      </c>
      <c r="K80" s="143">
        <v>3</v>
      </c>
      <c r="L80" s="143">
        <v>2</v>
      </c>
      <c r="M80" s="143">
        <v>1</v>
      </c>
      <c r="N80" s="201">
        <v>3</v>
      </c>
      <c r="O80" s="294" t="s">
        <v>2914</v>
      </c>
      <c r="P80" s="325" t="s">
        <v>3032</v>
      </c>
      <c r="Q80" s="298"/>
      <c r="R80" s="209">
        <v>37226</v>
      </c>
      <c r="S80" s="301"/>
      <c r="T80" s="81">
        <v>1</v>
      </c>
      <c r="U80" s="78">
        <v>1</v>
      </c>
      <c r="V80" s="69"/>
      <c r="W80" s="69"/>
      <c r="X80" s="69"/>
      <c r="Y80" s="69"/>
      <c r="Z80" s="69"/>
      <c r="AA80" s="69"/>
      <c r="AB80" s="49"/>
    </row>
    <row r="81" spans="1:28" ht="15.6" customHeight="1" x14ac:dyDescent="0.2">
      <c r="A81" s="212">
        <v>79</v>
      </c>
      <c r="B81" s="159" t="str">
        <f t="shared" si="1"/>
        <v>Chrysanthemoides monilifera</v>
      </c>
      <c r="C81" s="160" t="s">
        <v>703</v>
      </c>
      <c r="D81" s="72" t="s">
        <v>2311</v>
      </c>
      <c r="E81" s="72" t="s">
        <v>716</v>
      </c>
      <c r="F81" s="72" t="s">
        <v>717</v>
      </c>
      <c r="G81" s="289" t="s">
        <v>2902</v>
      </c>
      <c r="H81" s="166" t="s">
        <v>3258</v>
      </c>
      <c r="I81" s="142">
        <v>2</v>
      </c>
      <c r="J81" s="143">
        <v>4</v>
      </c>
      <c r="K81" s="143">
        <v>3</v>
      </c>
      <c r="L81" s="143">
        <v>1</v>
      </c>
      <c r="M81" s="143">
        <v>2</v>
      </c>
      <c r="N81" s="201">
        <v>3</v>
      </c>
      <c r="O81" s="294" t="s">
        <v>2168</v>
      </c>
      <c r="P81" s="325" t="s">
        <v>3032</v>
      </c>
      <c r="Q81" s="298"/>
      <c r="R81" s="209">
        <v>35612</v>
      </c>
      <c r="S81" s="301"/>
      <c r="T81" s="81">
        <v>1</v>
      </c>
      <c r="U81" s="78">
        <v>1</v>
      </c>
      <c r="V81" s="69">
        <v>1</v>
      </c>
      <c r="W81" s="69">
        <v>1</v>
      </c>
      <c r="X81" s="69"/>
      <c r="Y81" s="69"/>
      <c r="Z81" s="69"/>
      <c r="AA81" s="69"/>
      <c r="AB81" s="49"/>
    </row>
    <row r="82" spans="1:28" ht="15.6" customHeight="1" x14ac:dyDescent="0.2">
      <c r="A82" s="212">
        <v>80</v>
      </c>
      <c r="B82" s="159" t="str">
        <f t="shared" si="1"/>
        <v>Chrysocoma coma-aurea</v>
      </c>
      <c r="C82" s="160" t="s">
        <v>703</v>
      </c>
      <c r="D82" s="72"/>
      <c r="E82" s="72" t="s">
        <v>718</v>
      </c>
      <c r="F82" s="72" t="s">
        <v>719</v>
      </c>
      <c r="G82" s="289" t="s">
        <v>2903</v>
      </c>
      <c r="H82" s="166" t="s">
        <v>3215</v>
      </c>
      <c r="I82" s="142">
        <v>2</v>
      </c>
      <c r="J82" s="143">
        <v>6</v>
      </c>
      <c r="K82" s="143">
        <v>3</v>
      </c>
      <c r="L82" s="143">
        <v>3</v>
      </c>
      <c r="M82" s="143">
        <v>1</v>
      </c>
      <c r="N82" s="201">
        <v>5</v>
      </c>
      <c r="O82" s="294" t="s">
        <v>3031</v>
      </c>
      <c r="P82" s="325" t="s">
        <v>3032</v>
      </c>
      <c r="Q82" s="298"/>
      <c r="R82" s="209">
        <v>35612</v>
      </c>
      <c r="S82" s="301"/>
      <c r="T82" s="81">
        <v>1</v>
      </c>
      <c r="U82" s="78"/>
      <c r="V82" s="69"/>
      <c r="W82" s="69">
        <v>1</v>
      </c>
      <c r="X82" s="69">
        <v>1</v>
      </c>
      <c r="Y82" s="69"/>
      <c r="Z82" s="69"/>
      <c r="AA82" s="69"/>
      <c r="AB82" s="49"/>
    </row>
    <row r="83" spans="1:28" ht="15.6" customHeight="1" x14ac:dyDescent="0.2">
      <c r="A83" s="212">
        <v>81</v>
      </c>
      <c r="B83" s="159" t="str">
        <f t="shared" si="1"/>
        <v>Cineraria geifolia</v>
      </c>
      <c r="C83" s="160" t="s">
        <v>703</v>
      </c>
      <c r="D83" s="72"/>
      <c r="E83" s="72" t="s">
        <v>720</v>
      </c>
      <c r="F83" s="72" t="s">
        <v>721</v>
      </c>
      <c r="G83" s="289" t="s">
        <v>2904</v>
      </c>
      <c r="H83" s="166" t="s">
        <v>3252</v>
      </c>
      <c r="I83" s="142">
        <v>3</v>
      </c>
      <c r="J83" s="143">
        <v>5</v>
      </c>
      <c r="K83" s="143">
        <v>3</v>
      </c>
      <c r="L83" s="143">
        <v>1</v>
      </c>
      <c r="M83" s="143">
        <v>1</v>
      </c>
      <c r="N83" s="201">
        <v>3</v>
      </c>
      <c r="O83" s="294" t="s">
        <v>2914</v>
      </c>
      <c r="P83" s="325" t="s">
        <v>3032</v>
      </c>
      <c r="Q83" s="298"/>
      <c r="R83" s="209">
        <v>37500</v>
      </c>
      <c r="S83" s="301"/>
      <c r="T83" s="81">
        <v>1</v>
      </c>
      <c r="U83" s="78"/>
      <c r="V83" s="69"/>
      <c r="W83" s="69">
        <v>1</v>
      </c>
      <c r="X83" s="69"/>
      <c r="Y83" s="69"/>
      <c r="Z83" s="69"/>
      <c r="AA83" s="69"/>
      <c r="AB83" s="49"/>
    </row>
    <row r="84" spans="1:28" ht="15.6" customHeight="1" x14ac:dyDescent="0.2">
      <c r="A84" s="212">
        <v>82</v>
      </c>
      <c r="B84" s="159" t="str">
        <f t="shared" si="1"/>
        <v>Corymbium africanum</v>
      </c>
      <c r="C84" s="160" t="s">
        <v>703</v>
      </c>
      <c r="D84" s="72" t="s">
        <v>2312</v>
      </c>
      <c r="E84" s="72" t="s">
        <v>724</v>
      </c>
      <c r="F84" s="72" t="s">
        <v>2797</v>
      </c>
      <c r="G84" s="289" t="s">
        <v>2905</v>
      </c>
      <c r="H84" s="166" t="s">
        <v>3253</v>
      </c>
      <c r="I84" s="142">
        <v>3</v>
      </c>
      <c r="J84" s="143">
        <v>6</v>
      </c>
      <c r="K84" s="143">
        <v>5</v>
      </c>
      <c r="L84" s="143">
        <v>3</v>
      </c>
      <c r="M84" s="143">
        <v>1</v>
      </c>
      <c r="N84" s="201">
        <v>1</v>
      </c>
      <c r="O84" s="294" t="s">
        <v>2163</v>
      </c>
      <c r="P84" s="325" t="s">
        <v>3032</v>
      </c>
      <c r="Q84" s="298" t="s">
        <v>3144</v>
      </c>
      <c r="R84" s="209">
        <v>35612</v>
      </c>
      <c r="S84" s="301"/>
      <c r="T84" s="81">
        <v>1</v>
      </c>
      <c r="U84" s="78"/>
      <c r="V84" s="69">
        <v>1</v>
      </c>
      <c r="W84" s="69"/>
      <c r="X84" s="69">
        <v>1</v>
      </c>
      <c r="Y84" s="69"/>
      <c r="Z84" s="69"/>
      <c r="AA84" s="69"/>
      <c r="AB84" s="49"/>
    </row>
    <row r="85" spans="1:28" ht="15.6" customHeight="1" x14ac:dyDescent="0.2">
      <c r="A85" s="212">
        <v>83</v>
      </c>
      <c r="B85" s="159" t="str">
        <f t="shared" si="1"/>
        <v>Cotula turbinata</v>
      </c>
      <c r="C85" s="160" t="s">
        <v>703</v>
      </c>
      <c r="D85" s="72" t="s">
        <v>2313</v>
      </c>
      <c r="E85" s="72" t="s">
        <v>725</v>
      </c>
      <c r="F85" s="72" t="s">
        <v>726</v>
      </c>
      <c r="G85" s="289" t="s">
        <v>2906</v>
      </c>
      <c r="H85" s="166" t="s">
        <v>3235</v>
      </c>
      <c r="I85" s="142">
        <v>6</v>
      </c>
      <c r="J85" s="143">
        <v>6</v>
      </c>
      <c r="K85" s="143">
        <v>4</v>
      </c>
      <c r="L85" s="143">
        <v>5</v>
      </c>
      <c r="M85" s="143">
        <v>1</v>
      </c>
      <c r="N85" s="201">
        <v>4</v>
      </c>
      <c r="O85" s="294" t="s">
        <v>2910</v>
      </c>
      <c r="P85" s="325" t="s">
        <v>2915</v>
      </c>
      <c r="Q85" s="298"/>
      <c r="R85" s="209">
        <v>35612</v>
      </c>
      <c r="S85" s="301"/>
      <c r="T85" s="81">
        <v>1</v>
      </c>
      <c r="U85" s="78">
        <v>1</v>
      </c>
      <c r="V85" s="69"/>
      <c r="W85" s="69"/>
      <c r="X85" s="69"/>
      <c r="Y85" s="69"/>
      <c r="Z85" s="69"/>
      <c r="AA85" s="69"/>
      <c r="AB85" s="49"/>
    </row>
    <row r="86" spans="1:28" ht="15.6" customHeight="1" x14ac:dyDescent="0.2">
      <c r="A86" s="212">
        <v>84</v>
      </c>
      <c r="B86" s="159" t="str">
        <f t="shared" si="1"/>
        <v>Cullumia setosa</v>
      </c>
      <c r="C86" s="160" t="s">
        <v>703</v>
      </c>
      <c r="D86" s="72" t="s">
        <v>2314</v>
      </c>
      <c r="E86" s="72" t="s">
        <v>727</v>
      </c>
      <c r="F86" s="72" t="s">
        <v>728</v>
      </c>
      <c r="G86" s="289" t="s">
        <v>2907</v>
      </c>
      <c r="H86" s="166" t="s">
        <v>3248</v>
      </c>
      <c r="I86" s="142">
        <v>2</v>
      </c>
      <c r="J86" s="143">
        <v>5</v>
      </c>
      <c r="K86" s="143">
        <v>3</v>
      </c>
      <c r="L86" s="143">
        <v>1</v>
      </c>
      <c r="M86" s="143">
        <v>2</v>
      </c>
      <c r="N86" s="201">
        <v>5</v>
      </c>
      <c r="O86" s="294" t="s">
        <v>2914</v>
      </c>
      <c r="P86" s="325" t="s">
        <v>3032</v>
      </c>
      <c r="Q86" s="298"/>
      <c r="R86" s="209">
        <v>35855</v>
      </c>
      <c r="S86" s="301"/>
      <c r="T86" s="81">
        <v>1</v>
      </c>
      <c r="U86" s="78"/>
      <c r="V86" s="69"/>
      <c r="W86" s="69"/>
      <c r="X86" s="69">
        <v>1</v>
      </c>
      <c r="Y86" s="69"/>
      <c r="Z86" s="69"/>
      <c r="AA86" s="69"/>
      <c r="AB86" s="49"/>
    </row>
    <row r="87" spans="1:28" ht="15.6" customHeight="1" x14ac:dyDescent="0.2">
      <c r="A87" s="212">
        <v>85</v>
      </c>
      <c r="B87" s="159" t="str">
        <f t="shared" si="1"/>
        <v>Cullumia squarrosa</v>
      </c>
      <c r="C87" s="160" t="s">
        <v>703</v>
      </c>
      <c r="D87" s="72" t="s">
        <v>2315</v>
      </c>
      <c r="E87" s="72" t="s">
        <v>727</v>
      </c>
      <c r="F87" s="72" t="s">
        <v>729</v>
      </c>
      <c r="G87" s="289" t="s">
        <v>2908</v>
      </c>
      <c r="H87" s="166" t="s">
        <v>3259</v>
      </c>
      <c r="I87" s="142">
        <v>2</v>
      </c>
      <c r="J87" s="143">
        <v>6</v>
      </c>
      <c r="K87" s="143">
        <v>3</v>
      </c>
      <c r="L87" s="143">
        <v>2</v>
      </c>
      <c r="M87" s="143">
        <v>2</v>
      </c>
      <c r="N87" s="201">
        <v>4</v>
      </c>
      <c r="O87" s="294" t="s">
        <v>3031</v>
      </c>
      <c r="P87" s="325" t="s">
        <v>3032</v>
      </c>
      <c r="Q87" s="298"/>
      <c r="R87" s="209">
        <v>35612</v>
      </c>
      <c r="S87" s="301"/>
      <c r="T87" s="81">
        <v>1</v>
      </c>
      <c r="U87" s="78">
        <v>1</v>
      </c>
      <c r="V87" s="69">
        <v>1</v>
      </c>
      <c r="W87" s="69"/>
      <c r="X87" s="69"/>
      <c r="Y87" s="69"/>
      <c r="Z87" s="69"/>
      <c r="AA87" s="69"/>
      <c r="AB87" s="49"/>
    </row>
    <row r="88" spans="1:28" ht="15.6" customHeight="1" x14ac:dyDescent="0.2">
      <c r="A88" s="212">
        <v>86</v>
      </c>
      <c r="B88" s="159" t="str">
        <f t="shared" si="1"/>
        <v>Dimorphotheca nudicaulis</v>
      </c>
      <c r="C88" s="160" t="s">
        <v>703</v>
      </c>
      <c r="D88" s="72" t="s">
        <v>2160</v>
      </c>
      <c r="E88" s="72" t="s">
        <v>730</v>
      </c>
      <c r="F88" s="72" t="s">
        <v>731</v>
      </c>
      <c r="G88" s="289" t="s">
        <v>2909</v>
      </c>
      <c r="H88" s="166" t="s">
        <v>3260</v>
      </c>
      <c r="I88" s="142">
        <v>2</v>
      </c>
      <c r="J88" s="143">
        <v>6</v>
      </c>
      <c r="K88" s="143">
        <v>5</v>
      </c>
      <c r="L88" s="143">
        <v>2</v>
      </c>
      <c r="M88" s="143">
        <v>1</v>
      </c>
      <c r="N88" s="201">
        <v>3</v>
      </c>
      <c r="O88" s="294" t="s">
        <v>3031</v>
      </c>
      <c r="P88" s="325" t="s">
        <v>3032</v>
      </c>
      <c r="Q88" s="298"/>
      <c r="R88" s="209">
        <v>37165</v>
      </c>
      <c r="S88" s="301"/>
      <c r="T88" s="81">
        <v>1</v>
      </c>
      <c r="U88" s="78"/>
      <c r="V88" s="69"/>
      <c r="W88" s="69"/>
      <c r="X88" s="69">
        <v>1</v>
      </c>
      <c r="Y88" s="69"/>
      <c r="Z88" s="69"/>
      <c r="AA88" s="69"/>
      <c r="AB88" s="49"/>
    </row>
    <row r="89" spans="1:28" ht="15.6" customHeight="1" x14ac:dyDescent="0.2">
      <c r="A89" s="212">
        <v>87</v>
      </c>
      <c r="B89" s="159" t="str">
        <f t="shared" si="1"/>
        <v>Disparago anomala</v>
      </c>
      <c r="C89" s="160" t="s">
        <v>703</v>
      </c>
      <c r="D89" s="72"/>
      <c r="E89" s="72" t="s">
        <v>732</v>
      </c>
      <c r="F89" s="72" t="s">
        <v>733</v>
      </c>
      <c r="G89" s="289" t="s">
        <v>3033</v>
      </c>
      <c r="H89" s="166" t="s">
        <v>3248</v>
      </c>
      <c r="I89" s="142">
        <v>2</v>
      </c>
      <c r="J89" s="143">
        <v>5</v>
      </c>
      <c r="K89" s="143">
        <v>3</v>
      </c>
      <c r="L89" s="143">
        <v>3</v>
      </c>
      <c r="M89" s="143">
        <v>1</v>
      </c>
      <c r="N89" s="201">
        <v>5</v>
      </c>
      <c r="O89" s="294" t="s">
        <v>2914</v>
      </c>
      <c r="P89" s="325" t="s">
        <v>3032</v>
      </c>
      <c r="Q89" s="298"/>
      <c r="R89" s="209">
        <v>35612</v>
      </c>
      <c r="S89" s="301"/>
      <c r="T89" s="81">
        <v>1</v>
      </c>
      <c r="U89" s="78"/>
      <c r="V89" s="69">
        <v>1</v>
      </c>
      <c r="W89" s="69"/>
      <c r="X89" s="69"/>
      <c r="Y89" s="69"/>
      <c r="Z89" s="69"/>
      <c r="AA89" s="69"/>
      <c r="AB89" s="49"/>
    </row>
    <row r="90" spans="1:28" ht="15.6" customHeight="1" x14ac:dyDescent="0.2">
      <c r="A90" s="212">
        <v>88</v>
      </c>
      <c r="B90" s="159" t="str">
        <f t="shared" si="1"/>
        <v>Disparago ericoides</v>
      </c>
      <c r="C90" s="160" t="s">
        <v>703</v>
      </c>
      <c r="D90" s="72"/>
      <c r="E90" s="72" t="s">
        <v>732</v>
      </c>
      <c r="F90" s="72" t="s">
        <v>734</v>
      </c>
      <c r="G90" s="289" t="s">
        <v>3034</v>
      </c>
      <c r="H90" s="166" t="s">
        <v>3215</v>
      </c>
      <c r="I90" s="142">
        <v>2</v>
      </c>
      <c r="J90" s="143">
        <v>6</v>
      </c>
      <c r="K90" s="143">
        <v>3</v>
      </c>
      <c r="L90" s="143">
        <v>3</v>
      </c>
      <c r="M90" s="143">
        <v>1</v>
      </c>
      <c r="N90" s="201">
        <v>5</v>
      </c>
      <c r="O90" s="294" t="s">
        <v>3031</v>
      </c>
      <c r="P90" s="325" t="s">
        <v>3032</v>
      </c>
      <c r="Q90" s="298"/>
      <c r="R90" s="209">
        <v>35796</v>
      </c>
      <c r="S90" s="301"/>
      <c r="T90" s="81">
        <v>1</v>
      </c>
      <c r="U90" s="78"/>
      <c r="V90" s="69"/>
      <c r="W90" s="69"/>
      <c r="X90" s="69">
        <v>1</v>
      </c>
      <c r="Y90" s="69"/>
      <c r="Z90" s="69"/>
      <c r="AA90" s="69"/>
      <c r="AB90" s="49"/>
    </row>
    <row r="91" spans="1:28" ht="15.6" customHeight="1" x14ac:dyDescent="0.2">
      <c r="A91" s="212">
        <v>89</v>
      </c>
      <c r="B91" s="159" t="str">
        <f t="shared" si="1"/>
        <v>Edmondia sesamoides</v>
      </c>
      <c r="C91" s="160" t="s">
        <v>703</v>
      </c>
      <c r="D91" s="72" t="s">
        <v>2316</v>
      </c>
      <c r="E91" s="72" t="s">
        <v>735</v>
      </c>
      <c r="F91" s="72" t="s">
        <v>736</v>
      </c>
      <c r="G91" s="289" t="s">
        <v>3035</v>
      </c>
      <c r="H91" s="166" t="s">
        <v>3215</v>
      </c>
      <c r="I91" s="142">
        <v>2</v>
      </c>
      <c r="J91" s="143">
        <v>6</v>
      </c>
      <c r="K91" s="143">
        <v>3</v>
      </c>
      <c r="L91" s="143">
        <v>6</v>
      </c>
      <c r="M91" s="143">
        <v>2</v>
      </c>
      <c r="N91" s="201">
        <v>5</v>
      </c>
      <c r="O91" s="294" t="s">
        <v>3031</v>
      </c>
      <c r="P91" s="325" t="s">
        <v>3032</v>
      </c>
      <c r="Q91" s="298"/>
      <c r="R91" s="209">
        <v>35612</v>
      </c>
      <c r="S91" s="301"/>
      <c r="T91" s="81">
        <v>1</v>
      </c>
      <c r="U91" s="78"/>
      <c r="V91" s="69"/>
      <c r="W91" s="69">
        <v>1</v>
      </c>
      <c r="X91" s="69">
        <v>1</v>
      </c>
      <c r="Y91" s="69"/>
      <c r="Z91" s="69"/>
      <c r="AA91" s="69"/>
      <c r="AB91" s="49"/>
    </row>
    <row r="92" spans="1:28" ht="15.6" customHeight="1" x14ac:dyDescent="0.2">
      <c r="A92" s="212">
        <v>90</v>
      </c>
      <c r="B92" s="159" t="str">
        <f t="shared" si="1"/>
        <v>Eriocephalus africanus</v>
      </c>
      <c r="C92" s="160" t="s">
        <v>703</v>
      </c>
      <c r="D92" s="72" t="s">
        <v>2317</v>
      </c>
      <c r="E92" s="72" t="s">
        <v>737</v>
      </c>
      <c r="F92" s="72" t="s">
        <v>2728</v>
      </c>
      <c r="G92" s="289" t="s">
        <v>3036</v>
      </c>
      <c r="H92" s="166" t="s">
        <v>3248</v>
      </c>
      <c r="I92" s="142">
        <v>2</v>
      </c>
      <c r="J92" s="143">
        <v>5</v>
      </c>
      <c r="K92" s="143">
        <v>3</v>
      </c>
      <c r="L92" s="143">
        <v>3</v>
      </c>
      <c r="M92" s="143">
        <v>1</v>
      </c>
      <c r="N92" s="201">
        <v>5</v>
      </c>
      <c r="O92" s="294" t="s">
        <v>2168</v>
      </c>
      <c r="P92" s="325" t="s">
        <v>3032</v>
      </c>
      <c r="Q92" s="298"/>
      <c r="R92" s="209">
        <v>35612</v>
      </c>
      <c r="S92" s="301"/>
      <c r="T92" s="81">
        <v>1</v>
      </c>
      <c r="U92" s="78">
        <v>1</v>
      </c>
      <c r="V92" s="69"/>
      <c r="W92" s="69"/>
      <c r="X92" s="69"/>
      <c r="Y92" s="69"/>
      <c r="Z92" s="69"/>
      <c r="AA92" s="69"/>
      <c r="AB92" s="49"/>
    </row>
    <row r="93" spans="1:28" ht="15.6" customHeight="1" x14ac:dyDescent="0.2">
      <c r="A93" s="212">
        <v>91</v>
      </c>
      <c r="B93" s="159" t="str">
        <f t="shared" si="1"/>
        <v>Eriocephalus racemosus</v>
      </c>
      <c r="C93" s="160" t="s">
        <v>703</v>
      </c>
      <c r="D93" s="72" t="s">
        <v>2158</v>
      </c>
      <c r="E93" s="72" t="s">
        <v>737</v>
      </c>
      <c r="F93" s="72" t="s">
        <v>738</v>
      </c>
      <c r="G93" s="289" t="s">
        <v>3037</v>
      </c>
      <c r="H93" s="166" t="s">
        <v>3249</v>
      </c>
      <c r="I93" s="142">
        <v>2</v>
      </c>
      <c r="J93" s="143">
        <v>4</v>
      </c>
      <c r="K93" s="143">
        <v>3</v>
      </c>
      <c r="L93" s="143">
        <v>3</v>
      </c>
      <c r="M93" s="143">
        <v>1</v>
      </c>
      <c r="N93" s="201">
        <v>5</v>
      </c>
      <c r="O93" s="294" t="s">
        <v>2168</v>
      </c>
      <c r="P93" s="325" t="s">
        <v>3032</v>
      </c>
      <c r="Q93" s="298"/>
      <c r="R93" s="209">
        <v>38292</v>
      </c>
      <c r="S93" s="301"/>
      <c r="T93" s="81">
        <v>1</v>
      </c>
      <c r="U93" s="78">
        <v>1</v>
      </c>
      <c r="V93" s="69"/>
      <c r="W93" s="69"/>
      <c r="X93" s="69"/>
      <c r="Y93" s="69"/>
      <c r="Z93" s="69"/>
      <c r="AA93" s="69"/>
      <c r="AB93" s="49"/>
    </row>
    <row r="94" spans="1:28" ht="15.6" customHeight="1" x14ac:dyDescent="0.2">
      <c r="A94" s="212">
        <v>92</v>
      </c>
      <c r="B94" s="159" t="str">
        <f t="shared" si="1"/>
        <v>Euryops abrotanifolius</v>
      </c>
      <c r="C94" s="160" t="s">
        <v>703</v>
      </c>
      <c r="D94" s="72" t="s">
        <v>2159</v>
      </c>
      <c r="E94" s="72" t="s">
        <v>739</v>
      </c>
      <c r="F94" s="72" t="s">
        <v>740</v>
      </c>
      <c r="G94" s="289" t="s">
        <v>3038</v>
      </c>
      <c r="H94" s="166" t="s">
        <v>3248</v>
      </c>
      <c r="I94" s="142">
        <v>2</v>
      </c>
      <c r="J94" s="143">
        <v>5</v>
      </c>
      <c r="K94" s="143">
        <v>3</v>
      </c>
      <c r="L94" s="143">
        <v>3</v>
      </c>
      <c r="M94" s="143">
        <v>1</v>
      </c>
      <c r="N94" s="201">
        <v>4</v>
      </c>
      <c r="O94" s="294" t="s">
        <v>2168</v>
      </c>
      <c r="P94" s="325" t="s">
        <v>3032</v>
      </c>
      <c r="Q94" s="298"/>
      <c r="R94" s="209">
        <v>35612</v>
      </c>
      <c r="S94" s="301"/>
      <c r="T94" s="81">
        <v>1</v>
      </c>
      <c r="U94" s="78"/>
      <c r="V94" s="69"/>
      <c r="W94" s="69"/>
      <c r="X94" s="69">
        <v>1</v>
      </c>
      <c r="Y94" s="69"/>
      <c r="Z94" s="69"/>
      <c r="AA94" s="69"/>
      <c r="AB94" s="49"/>
    </row>
    <row r="95" spans="1:28" ht="15.6" customHeight="1" x14ac:dyDescent="0.2">
      <c r="A95" s="212">
        <v>93</v>
      </c>
      <c r="B95" s="159" t="str">
        <f t="shared" si="1"/>
        <v>Felicia amoena ssp. latifolia</v>
      </c>
      <c r="C95" s="160" t="s">
        <v>703</v>
      </c>
      <c r="D95" s="72"/>
      <c r="E95" s="72" t="s">
        <v>741</v>
      </c>
      <c r="F95" s="72" t="s">
        <v>462</v>
      </c>
      <c r="G95" s="289" t="s">
        <v>3039</v>
      </c>
      <c r="H95" s="166" t="s">
        <v>3256</v>
      </c>
      <c r="I95" s="142">
        <v>6</v>
      </c>
      <c r="J95" s="143">
        <v>6</v>
      </c>
      <c r="K95" s="143">
        <v>3</v>
      </c>
      <c r="L95" s="143">
        <v>2</v>
      </c>
      <c r="M95" s="143">
        <v>1</v>
      </c>
      <c r="N95" s="201">
        <v>4</v>
      </c>
      <c r="O95" s="294" t="s">
        <v>2910</v>
      </c>
      <c r="P95" s="325" t="s">
        <v>2915</v>
      </c>
      <c r="Q95" s="298"/>
      <c r="R95" s="209">
        <v>35612</v>
      </c>
      <c r="S95" s="301"/>
      <c r="T95" s="81">
        <v>1</v>
      </c>
      <c r="U95" s="78">
        <v>1</v>
      </c>
      <c r="V95" s="69"/>
      <c r="W95" s="69">
        <v>1</v>
      </c>
      <c r="X95" s="69"/>
      <c r="Y95" s="69"/>
      <c r="Z95" s="69"/>
      <c r="AA95" s="69"/>
      <c r="AB95" s="49"/>
    </row>
    <row r="96" spans="1:28" ht="15.6" customHeight="1" x14ac:dyDescent="0.2">
      <c r="A96" s="212">
        <v>94</v>
      </c>
      <c r="B96" s="159" t="str">
        <f t="shared" si="1"/>
        <v>Felicia tenella ssp. longifolia</v>
      </c>
      <c r="C96" s="160" t="s">
        <v>703</v>
      </c>
      <c r="D96" s="72"/>
      <c r="E96" s="72" t="s">
        <v>741</v>
      </c>
      <c r="F96" s="72" t="s">
        <v>463</v>
      </c>
      <c r="G96" s="289" t="s">
        <v>3040</v>
      </c>
      <c r="H96" s="166" t="s">
        <v>3261</v>
      </c>
      <c r="I96" s="142">
        <v>6</v>
      </c>
      <c r="J96" s="143">
        <v>6</v>
      </c>
      <c r="K96" s="143">
        <v>3</v>
      </c>
      <c r="L96" s="143">
        <v>3</v>
      </c>
      <c r="M96" s="143">
        <v>2</v>
      </c>
      <c r="N96" s="201">
        <v>5</v>
      </c>
      <c r="O96" s="294" t="s">
        <v>2910</v>
      </c>
      <c r="P96" s="325" t="s">
        <v>2915</v>
      </c>
      <c r="Q96" s="298"/>
      <c r="R96" s="209">
        <v>35612</v>
      </c>
      <c r="S96" s="301"/>
      <c r="T96" s="81">
        <v>1</v>
      </c>
      <c r="U96" s="78">
        <v>1</v>
      </c>
      <c r="V96" s="69"/>
      <c r="W96" s="69"/>
      <c r="X96" s="69">
        <v>1</v>
      </c>
      <c r="Y96" s="69"/>
      <c r="Z96" s="69"/>
      <c r="AA96" s="69"/>
      <c r="AB96" s="49"/>
    </row>
    <row r="97" spans="1:28" ht="15.6" customHeight="1" x14ac:dyDescent="0.2">
      <c r="A97" s="212">
        <v>95</v>
      </c>
      <c r="B97" s="159" t="str">
        <f t="shared" si="1"/>
        <v>Gazania pectinata</v>
      </c>
      <c r="C97" s="160" t="s">
        <v>703</v>
      </c>
      <c r="D97" s="72"/>
      <c r="E97" s="72" t="s">
        <v>744</v>
      </c>
      <c r="F97" s="72" t="s">
        <v>745</v>
      </c>
      <c r="G97" s="289" t="s">
        <v>3041</v>
      </c>
      <c r="H97" s="166" t="s">
        <v>3235</v>
      </c>
      <c r="I97" s="142">
        <v>6</v>
      </c>
      <c r="J97" s="143">
        <v>6</v>
      </c>
      <c r="K97" s="143">
        <v>4</v>
      </c>
      <c r="L97" s="143">
        <v>5</v>
      </c>
      <c r="M97" s="143">
        <v>1</v>
      </c>
      <c r="N97" s="201">
        <v>4</v>
      </c>
      <c r="O97" s="294" t="s">
        <v>2910</v>
      </c>
      <c r="P97" s="325" t="s">
        <v>2915</v>
      </c>
      <c r="Q97" s="298"/>
      <c r="R97" s="209">
        <v>35612</v>
      </c>
      <c r="S97" s="301"/>
      <c r="T97" s="81">
        <v>1</v>
      </c>
      <c r="U97" s="78">
        <v>1</v>
      </c>
      <c r="V97" s="69"/>
      <c r="W97" s="69"/>
      <c r="X97" s="69">
        <v>1</v>
      </c>
      <c r="Y97" s="69"/>
      <c r="Z97" s="69"/>
      <c r="AA97" s="69"/>
      <c r="AB97" s="49"/>
    </row>
    <row r="98" spans="1:28" ht="15.6" customHeight="1" x14ac:dyDescent="0.2">
      <c r="A98" s="212">
        <v>96</v>
      </c>
      <c r="B98" s="159" t="str">
        <f t="shared" si="1"/>
        <v>Gerbera crocea</v>
      </c>
      <c r="C98" s="160" t="s">
        <v>703</v>
      </c>
      <c r="D98" s="72" t="s">
        <v>2318</v>
      </c>
      <c r="E98" s="72" t="s">
        <v>746</v>
      </c>
      <c r="F98" s="72" t="s">
        <v>747</v>
      </c>
      <c r="G98" s="289" t="s">
        <v>3042</v>
      </c>
      <c r="H98" s="166" t="s">
        <v>3241</v>
      </c>
      <c r="I98" s="142">
        <v>3</v>
      </c>
      <c r="J98" s="143">
        <v>6</v>
      </c>
      <c r="K98" s="143">
        <v>5</v>
      </c>
      <c r="L98" s="143">
        <v>1</v>
      </c>
      <c r="M98" s="143">
        <v>1</v>
      </c>
      <c r="N98" s="201">
        <v>2</v>
      </c>
      <c r="O98" s="294" t="s">
        <v>2910</v>
      </c>
      <c r="P98" s="325" t="s">
        <v>3032</v>
      </c>
      <c r="Q98" s="298"/>
      <c r="R98" s="209">
        <v>36465</v>
      </c>
      <c r="S98" s="301"/>
      <c r="T98" s="81">
        <v>1</v>
      </c>
      <c r="U98" s="78"/>
      <c r="V98" s="69"/>
      <c r="W98" s="69"/>
      <c r="X98" s="69">
        <v>1</v>
      </c>
      <c r="Y98" s="69"/>
      <c r="Z98" s="69"/>
      <c r="AA98" s="69"/>
      <c r="AB98" s="49"/>
    </row>
    <row r="99" spans="1:28" ht="15.6" customHeight="1" x14ac:dyDescent="0.2">
      <c r="A99" s="212">
        <v>97</v>
      </c>
      <c r="B99" s="159" t="str">
        <f t="shared" si="1"/>
        <v>Gerbera tomentosa</v>
      </c>
      <c r="C99" s="160" t="s">
        <v>703</v>
      </c>
      <c r="D99" s="72" t="s">
        <v>2319</v>
      </c>
      <c r="E99" s="72" t="s">
        <v>746</v>
      </c>
      <c r="F99" s="72" t="s">
        <v>2776</v>
      </c>
      <c r="G99" s="289" t="s">
        <v>3043</v>
      </c>
      <c r="H99" s="166" t="s">
        <v>3241</v>
      </c>
      <c r="I99" s="142">
        <v>3</v>
      </c>
      <c r="J99" s="143">
        <v>6</v>
      </c>
      <c r="K99" s="143">
        <v>5</v>
      </c>
      <c r="L99" s="143">
        <v>2</v>
      </c>
      <c r="M99" s="143">
        <v>1</v>
      </c>
      <c r="N99" s="201">
        <v>1</v>
      </c>
      <c r="O99" s="294" t="s">
        <v>2914</v>
      </c>
      <c r="P99" s="325" t="s">
        <v>3032</v>
      </c>
      <c r="Q99" s="298"/>
      <c r="R99" s="209">
        <v>36923</v>
      </c>
      <c r="S99" s="301"/>
      <c r="T99" s="81">
        <v>1</v>
      </c>
      <c r="U99" s="78"/>
      <c r="V99" s="69"/>
      <c r="W99" s="69"/>
      <c r="X99" s="69">
        <v>1</v>
      </c>
      <c r="Y99" s="69"/>
      <c r="Z99" s="69"/>
      <c r="AA99" s="69"/>
      <c r="AB99" s="49"/>
    </row>
    <row r="100" spans="1:28" ht="15.6" customHeight="1" x14ac:dyDescent="0.2">
      <c r="A100" s="212">
        <v>98</v>
      </c>
      <c r="B100" s="159" t="str">
        <f t="shared" si="1"/>
        <v>Gymnodiscus capillaris</v>
      </c>
      <c r="C100" s="160" t="s">
        <v>703</v>
      </c>
      <c r="D100" s="72"/>
      <c r="E100" s="72" t="s">
        <v>748</v>
      </c>
      <c r="F100" s="72" t="s">
        <v>749</v>
      </c>
      <c r="G100" s="289" t="s">
        <v>3044</v>
      </c>
      <c r="H100" s="166" t="s">
        <v>3246</v>
      </c>
      <c r="I100" s="142">
        <v>6</v>
      </c>
      <c r="J100" s="143">
        <v>6</v>
      </c>
      <c r="K100" s="143">
        <v>4</v>
      </c>
      <c r="L100" s="143">
        <v>2</v>
      </c>
      <c r="M100" s="143">
        <v>1</v>
      </c>
      <c r="N100" s="201">
        <v>3</v>
      </c>
      <c r="O100" s="294" t="s">
        <v>2164</v>
      </c>
      <c r="P100" s="325" t="s">
        <v>2915</v>
      </c>
      <c r="Q100" s="298"/>
      <c r="R100" s="209">
        <v>36861</v>
      </c>
      <c r="S100" s="301"/>
      <c r="T100" s="81">
        <v>1</v>
      </c>
      <c r="U100" s="78"/>
      <c r="V100" s="69"/>
      <c r="W100" s="69"/>
      <c r="X100" s="69">
        <v>1</v>
      </c>
      <c r="Y100" s="69"/>
      <c r="Z100" s="69"/>
      <c r="AA100" s="69"/>
      <c r="AB100" s="49"/>
    </row>
    <row r="101" spans="1:28" ht="15.6" customHeight="1" x14ac:dyDescent="0.2">
      <c r="A101" s="212">
        <v>99</v>
      </c>
      <c r="B101" s="159" t="str">
        <f t="shared" si="1"/>
        <v>Haplocarpha lanata</v>
      </c>
      <c r="C101" s="160" t="s">
        <v>703</v>
      </c>
      <c r="D101" s="72" t="s">
        <v>2320</v>
      </c>
      <c r="E101" s="72" t="s">
        <v>750</v>
      </c>
      <c r="F101" s="72" t="s">
        <v>751</v>
      </c>
      <c r="G101" s="289" t="s">
        <v>3045</v>
      </c>
      <c r="H101" s="166" t="s">
        <v>3244</v>
      </c>
      <c r="I101" s="142">
        <v>3</v>
      </c>
      <c r="J101" s="143">
        <v>6</v>
      </c>
      <c r="K101" s="143">
        <v>5</v>
      </c>
      <c r="L101" s="143">
        <v>4</v>
      </c>
      <c r="M101" s="143">
        <v>1</v>
      </c>
      <c r="N101" s="201">
        <v>2</v>
      </c>
      <c r="O101" s="294" t="s">
        <v>2910</v>
      </c>
      <c r="P101" s="325" t="s">
        <v>3032</v>
      </c>
      <c r="Q101" s="298"/>
      <c r="R101" s="209">
        <v>35612</v>
      </c>
      <c r="S101" s="301"/>
      <c r="T101" s="81">
        <v>1</v>
      </c>
      <c r="U101" s="78"/>
      <c r="V101" s="69">
        <v>1</v>
      </c>
      <c r="W101" s="69"/>
      <c r="X101" s="69"/>
      <c r="Y101" s="69"/>
      <c r="Z101" s="69"/>
      <c r="AA101" s="69"/>
      <c r="AB101" s="49"/>
    </row>
    <row r="102" spans="1:28" ht="15.6" customHeight="1" x14ac:dyDescent="0.2">
      <c r="A102" s="212">
        <v>100</v>
      </c>
      <c r="B102" s="159" t="str">
        <f t="shared" si="1"/>
        <v>Helichrysum crispum ssp. crassifolium</v>
      </c>
      <c r="C102" s="160" t="s">
        <v>703</v>
      </c>
      <c r="D102" s="72"/>
      <c r="E102" s="72" t="s">
        <v>752</v>
      </c>
      <c r="F102" s="72" t="s">
        <v>464</v>
      </c>
      <c r="G102" s="289" t="s">
        <v>3046</v>
      </c>
      <c r="H102" s="166" t="s">
        <v>3262</v>
      </c>
      <c r="I102" s="142">
        <v>2</v>
      </c>
      <c r="J102" s="143">
        <v>6</v>
      </c>
      <c r="K102" s="143">
        <v>2</v>
      </c>
      <c r="L102" s="143">
        <v>2</v>
      </c>
      <c r="M102" s="143">
        <v>1</v>
      </c>
      <c r="N102" s="201">
        <v>4</v>
      </c>
      <c r="O102" s="294" t="s">
        <v>3031</v>
      </c>
      <c r="P102" s="325" t="s">
        <v>3032</v>
      </c>
      <c r="Q102" s="298"/>
      <c r="R102" s="209">
        <v>35612</v>
      </c>
      <c r="S102" s="301"/>
      <c r="T102" s="81">
        <v>1</v>
      </c>
      <c r="U102" s="78">
        <v>1</v>
      </c>
      <c r="V102" s="69"/>
      <c r="W102" s="69">
        <v>1</v>
      </c>
      <c r="X102" s="69"/>
      <c r="Y102" s="69"/>
      <c r="Z102" s="69"/>
      <c r="AA102" s="69"/>
      <c r="AB102" s="49"/>
    </row>
    <row r="103" spans="1:28" ht="15.6" customHeight="1" x14ac:dyDescent="0.2">
      <c r="A103" s="212">
        <v>101</v>
      </c>
      <c r="B103" s="159" t="str">
        <f t="shared" si="1"/>
        <v>Helichrysum cymosum ssp. cymosum</v>
      </c>
      <c r="C103" s="160" t="s">
        <v>703</v>
      </c>
      <c r="D103" s="72"/>
      <c r="E103" s="72" t="s">
        <v>752</v>
      </c>
      <c r="F103" s="72" t="s">
        <v>465</v>
      </c>
      <c r="G103" s="289" t="s">
        <v>3047</v>
      </c>
      <c r="H103" s="166" t="s">
        <v>3263</v>
      </c>
      <c r="I103" s="142">
        <v>2</v>
      </c>
      <c r="J103" s="143">
        <v>5</v>
      </c>
      <c r="K103" s="143">
        <v>3</v>
      </c>
      <c r="L103" s="143">
        <v>2</v>
      </c>
      <c r="M103" s="143">
        <v>1</v>
      </c>
      <c r="N103" s="201">
        <v>4</v>
      </c>
      <c r="O103" s="294" t="s">
        <v>2168</v>
      </c>
      <c r="P103" s="325" t="s">
        <v>3032</v>
      </c>
      <c r="Q103" s="298"/>
      <c r="R103" s="209">
        <v>36281</v>
      </c>
      <c r="S103" s="301"/>
      <c r="T103" s="81">
        <v>1</v>
      </c>
      <c r="U103" s="78"/>
      <c r="V103" s="69"/>
      <c r="W103" s="69"/>
      <c r="X103" s="69">
        <v>1</v>
      </c>
      <c r="Y103" s="69"/>
      <c r="Z103" s="69"/>
      <c r="AA103" s="69">
        <v>1</v>
      </c>
      <c r="AB103" s="49"/>
    </row>
    <row r="104" spans="1:28" ht="15.6" customHeight="1" x14ac:dyDescent="0.2">
      <c r="A104" s="212">
        <v>102</v>
      </c>
      <c r="B104" s="159" t="str">
        <f t="shared" si="1"/>
        <v>Helichrysum dasyanthum</v>
      </c>
      <c r="C104" s="160" t="s">
        <v>703</v>
      </c>
      <c r="D104" s="72"/>
      <c r="E104" s="72" t="s">
        <v>752</v>
      </c>
      <c r="F104" s="72" t="s">
        <v>753</v>
      </c>
      <c r="G104" s="289" t="s">
        <v>3048</v>
      </c>
      <c r="H104" s="166" t="s">
        <v>3250</v>
      </c>
      <c r="I104" s="142">
        <v>2</v>
      </c>
      <c r="J104" s="143">
        <v>4</v>
      </c>
      <c r="K104" s="143">
        <v>2</v>
      </c>
      <c r="L104" s="143">
        <v>2</v>
      </c>
      <c r="M104" s="143">
        <v>1</v>
      </c>
      <c r="N104" s="201">
        <v>4</v>
      </c>
      <c r="O104" s="294" t="s">
        <v>2168</v>
      </c>
      <c r="P104" s="325" t="s">
        <v>3032</v>
      </c>
      <c r="Q104" s="298"/>
      <c r="R104" s="209">
        <v>35612</v>
      </c>
      <c r="S104" s="301"/>
      <c r="T104" s="81">
        <v>1</v>
      </c>
      <c r="U104" s="78">
        <v>1</v>
      </c>
      <c r="V104" s="69"/>
      <c r="W104" s="69"/>
      <c r="X104" s="69">
        <v>1</v>
      </c>
      <c r="Y104" s="69"/>
      <c r="Z104" s="69"/>
      <c r="AA104" s="69"/>
      <c r="AB104" s="49"/>
    </row>
    <row r="105" spans="1:28" ht="15.6" customHeight="1" x14ac:dyDescent="0.2">
      <c r="A105" s="212">
        <v>103</v>
      </c>
      <c r="B105" s="159" t="str">
        <f t="shared" si="1"/>
        <v>Helichrysum foetidum</v>
      </c>
      <c r="C105" s="160" t="s">
        <v>703</v>
      </c>
      <c r="D105" s="72"/>
      <c r="E105" s="72" t="s">
        <v>752</v>
      </c>
      <c r="F105" s="72" t="s">
        <v>754</v>
      </c>
      <c r="G105" s="289" t="s">
        <v>3049</v>
      </c>
      <c r="H105" s="166" t="s">
        <v>3252</v>
      </c>
      <c r="I105" s="142">
        <v>3</v>
      </c>
      <c r="J105" s="143">
        <v>5</v>
      </c>
      <c r="K105" s="143">
        <v>3</v>
      </c>
      <c r="L105" s="143">
        <v>2</v>
      </c>
      <c r="M105" s="143">
        <v>1</v>
      </c>
      <c r="N105" s="201">
        <v>3</v>
      </c>
      <c r="O105" s="294" t="s">
        <v>2910</v>
      </c>
      <c r="P105" s="325" t="s">
        <v>2172</v>
      </c>
      <c r="Q105" s="298"/>
      <c r="R105" s="209">
        <v>37591</v>
      </c>
      <c r="S105" s="301"/>
      <c r="T105" s="81">
        <v>1</v>
      </c>
      <c r="U105" s="78"/>
      <c r="V105" s="69"/>
      <c r="W105" s="69"/>
      <c r="X105" s="69">
        <v>1</v>
      </c>
      <c r="Y105" s="69"/>
      <c r="Z105" s="69"/>
      <c r="AA105" s="69"/>
      <c r="AB105" s="49"/>
    </row>
    <row r="106" spans="1:28" ht="15.6" customHeight="1" x14ac:dyDescent="0.2">
      <c r="A106" s="212">
        <v>104</v>
      </c>
      <c r="B106" s="159" t="str">
        <f t="shared" si="1"/>
        <v>Helichrysum indicum</v>
      </c>
      <c r="C106" s="160" t="s">
        <v>703</v>
      </c>
      <c r="D106" s="72"/>
      <c r="E106" s="72" t="s">
        <v>752</v>
      </c>
      <c r="F106" s="72" t="s">
        <v>755</v>
      </c>
      <c r="G106" s="289" t="s">
        <v>3050</v>
      </c>
      <c r="H106" s="166" t="s">
        <v>3256</v>
      </c>
      <c r="I106" s="142">
        <v>6</v>
      </c>
      <c r="J106" s="143">
        <v>6</v>
      </c>
      <c r="K106" s="143">
        <v>3</v>
      </c>
      <c r="L106" s="143">
        <v>2</v>
      </c>
      <c r="M106" s="143">
        <v>1</v>
      </c>
      <c r="N106" s="201">
        <v>4</v>
      </c>
      <c r="O106" s="294" t="s">
        <v>2910</v>
      </c>
      <c r="P106" s="325" t="s">
        <v>2915</v>
      </c>
      <c r="Q106" s="298"/>
      <c r="R106" s="209">
        <v>35612</v>
      </c>
      <c r="S106" s="301"/>
      <c r="T106" s="81">
        <v>1</v>
      </c>
      <c r="U106" s="78">
        <v>1</v>
      </c>
      <c r="V106" s="69"/>
      <c r="W106" s="69"/>
      <c r="X106" s="69">
        <v>1</v>
      </c>
      <c r="Y106" s="69"/>
      <c r="Z106" s="69"/>
      <c r="AA106" s="69"/>
      <c r="AB106" s="49"/>
    </row>
    <row r="107" spans="1:28" ht="15.6" customHeight="1" x14ac:dyDescent="0.2">
      <c r="A107" s="212">
        <v>105</v>
      </c>
      <c r="B107" s="159" t="str">
        <f t="shared" si="1"/>
        <v>Helichrysum niveum</v>
      </c>
      <c r="C107" s="160" t="s">
        <v>703</v>
      </c>
      <c r="D107" s="72"/>
      <c r="E107" s="72" t="s">
        <v>752</v>
      </c>
      <c r="F107" s="72" t="s">
        <v>756</v>
      </c>
      <c r="G107" s="289" t="s">
        <v>3051</v>
      </c>
      <c r="H107" s="166" t="s">
        <v>3215</v>
      </c>
      <c r="I107" s="142">
        <v>2</v>
      </c>
      <c r="J107" s="143">
        <v>6</v>
      </c>
      <c r="K107" s="143">
        <v>2</v>
      </c>
      <c r="L107" s="143">
        <v>3</v>
      </c>
      <c r="M107" s="143">
        <v>2</v>
      </c>
      <c r="N107" s="201">
        <v>5</v>
      </c>
      <c r="O107" s="294" t="s">
        <v>3031</v>
      </c>
      <c r="P107" s="325" t="s">
        <v>3032</v>
      </c>
      <c r="Q107" s="298"/>
      <c r="R107" s="209">
        <v>35612</v>
      </c>
      <c r="S107" s="301"/>
      <c r="T107" s="81">
        <v>1</v>
      </c>
      <c r="U107" s="78">
        <v>1</v>
      </c>
      <c r="V107" s="69">
        <v>1</v>
      </c>
      <c r="W107" s="69"/>
      <c r="X107" s="69"/>
      <c r="Y107" s="69"/>
      <c r="Z107" s="69"/>
      <c r="AA107" s="69"/>
      <c r="AB107" s="49"/>
    </row>
    <row r="108" spans="1:28" ht="15.6" customHeight="1" x14ac:dyDescent="0.2">
      <c r="A108" s="212">
        <v>106</v>
      </c>
      <c r="B108" s="159" t="str">
        <f t="shared" si="1"/>
        <v>Helichrysum patulum</v>
      </c>
      <c r="C108" s="160" t="s">
        <v>703</v>
      </c>
      <c r="D108" s="72" t="s">
        <v>2321</v>
      </c>
      <c r="E108" s="72" t="s">
        <v>752</v>
      </c>
      <c r="F108" s="72" t="s">
        <v>757</v>
      </c>
      <c r="G108" s="289" t="s">
        <v>3052</v>
      </c>
      <c r="H108" s="166" t="s">
        <v>3250</v>
      </c>
      <c r="I108" s="142">
        <v>2</v>
      </c>
      <c r="J108" s="143">
        <v>4</v>
      </c>
      <c r="K108" s="143">
        <v>3</v>
      </c>
      <c r="L108" s="143">
        <v>1</v>
      </c>
      <c r="M108" s="143">
        <v>1</v>
      </c>
      <c r="N108" s="201">
        <v>4</v>
      </c>
      <c r="O108" s="294" t="s">
        <v>2914</v>
      </c>
      <c r="P108" s="325" t="s">
        <v>3032</v>
      </c>
      <c r="Q108" s="298"/>
      <c r="R108" s="209">
        <v>35612</v>
      </c>
      <c r="S108" s="301"/>
      <c r="T108" s="81">
        <v>1</v>
      </c>
      <c r="U108" s="78"/>
      <c r="V108" s="69">
        <v>1</v>
      </c>
      <c r="W108" s="69">
        <v>1</v>
      </c>
      <c r="X108" s="69">
        <v>1</v>
      </c>
      <c r="Y108" s="69"/>
      <c r="Z108" s="69"/>
      <c r="AA108" s="69"/>
      <c r="AB108" s="49"/>
    </row>
    <row r="109" spans="1:28" ht="15.6" customHeight="1" x14ac:dyDescent="0.2">
      <c r="A109" s="212">
        <v>107</v>
      </c>
      <c r="B109" s="159" t="str">
        <f t="shared" si="1"/>
        <v>Helichrysum retortum</v>
      </c>
      <c r="C109" s="160" t="s">
        <v>703</v>
      </c>
      <c r="D109" s="72"/>
      <c r="E109" s="72" t="s">
        <v>752</v>
      </c>
      <c r="F109" s="72" t="s">
        <v>758</v>
      </c>
      <c r="G109" s="289" t="s">
        <v>3053</v>
      </c>
      <c r="H109" s="166" t="s">
        <v>3262</v>
      </c>
      <c r="I109" s="142">
        <v>2</v>
      </c>
      <c r="J109" s="143">
        <v>6</v>
      </c>
      <c r="K109" s="143">
        <v>3</v>
      </c>
      <c r="L109" s="143">
        <v>2</v>
      </c>
      <c r="M109" s="143">
        <v>1</v>
      </c>
      <c r="N109" s="201">
        <v>4</v>
      </c>
      <c r="O109" s="294" t="s">
        <v>3031</v>
      </c>
      <c r="P109" s="325" t="s">
        <v>3032</v>
      </c>
      <c r="Q109" s="298"/>
      <c r="R109" s="209">
        <v>35612</v>
      </c>
      <c r="S109" s="301"/>
      <c r="T109" s="81">
        <v>1</v>
      </c>
      <c r="U109" s="78">
        <v>1</v>
      </c>
      <c r="V109" s="69"/>
      <c r="W109" s="69">
        <v>1</v>
      </c>
      <c r="X109" s="69">
        <v>1</v>
      </c>
      <c r="Y109" s="69"/>
      <c r="Z109" s="69"/>
      <c r="AA109" s="69"/>
      <c r="AB109" s="49"/>
    </row>
    <row r="110" spans="1:28" ht="15.6" customHeight="1" x14ac:dyDescent="0.2">
      <c r="A110" s="212">
        <v>108</v>
      </c>
      <c r="B110" s="159" t="str">
        <f t="shared" si="1"/>
        <v>Helichrysum spiralepis</v>
      </c>
      <c r="C110" s="160" t="s">
        <v>703</v>
      </c>
      <c r="D110" s="72"/>
      <c r="E110" s="72" t="s">
        <v>752</v>
      </c>
      <c r="F110" s="72" t="s">
        <v>759</v>
      </c>
      <c r="G110" s="289" t="s">
        <v>3054</v>
      </c>
      <c r="H110" s="166" t="s">
        <v>3264</v>
      </c>
      <c r="I110" s="142">
        <v>3</v>
      </c>
      <c r="J110" s="143">
        <v>6</v>
      </c>
      <c r="K110" s="143">
        <v>3</v>
      </c>
      <c r="L110" s="143">
        <v>2</v>
      </c>
      <c r="M110" s="143">
        <v>1</v>
      </c>
      <c r="N110" s="201">
        <v>4</v>
      </c>
      <c r="O110" s="294"/>
      <c r="P110" s="325" t="s">
        <v>3032</v>
      </c>
      <c r="Q110" s="298"/>
      <c r="R110" s="209">
        <v>36892</v>
      </c>
      <c r="S110" s="301"/>
      <c r="T110" s="81">
        <v>1</v>
      </c>
      <c r="U110" s="78">
        <v>1</v>
      </c>
      <c r="V110" s="69"/>
      <c r="W110" s="69">
        <v>1</v>
      </c>
      <c r="X110" s="69"/>
      <c r="Y110" s="69"/>
      <c r="Z110" s="69"/>
      <c r="AA110" s="69"/>
      <c r="AB110" s="49"/>
    </row>
    <row r="111" spans="1:28" ht="15.6" customHeight="1" x14ac:dyDescent="0.2">
      <c r="A111" s="212">
        <v>109</v>
      </c>
      <c r="B111" s="159" t="str">
        <f t="shared" si="1"/>
        <v>Helichrysum tenuiculum</v>
      </c>
      <c r="C111" s="160" t="s">
        <v>703</v>
      </c>
      <c r="D111" s="72"/>
      <c r="E111" s="72" t="s">
        <v>752</v>
      </c>
      <c r="F111" s="72" t="s">
        <v>760</v>
      </c>
      <c r="G111" s="289" t="s">
        <v>3055</v>
      </c>
      <c r="H111" s="166" t="s">
        <v>3263</v>
      </c>
      <c r="I111" s="142">
        <v>2</v>
      </c>
      <c r="J111" s="143">
        <v>5</v>
      </c>
      <c r="K111" s="143">
        <v>4</v>
      </c>
      <c r="L111" s="143">
        <v>2</v>
      </c>
      <c r="M111" s="143">
        <v>1</v>
      </c>
      <c r="N111" s="201">
        <v>4</v>
      </c>
      <c r="O111" s="294" t="s">
        <v>2168</v>
      </c>
      <c r="P111" s="325" t="s">
        <v>3032</v>
      </c>
      <c r="Q111" s="298"/>
      <c r="R111" s="209">
        <v>35612</v>
      </c>
      <c r="S111" s="301"/>
      <c r="T111" s="81">
        <v>1</v>
      </c>
      <c r="U111" s="78"/>
      <c r="V111" s="69"/>
      <c r="W111" s="69"/>
      <c r="X111" s="69">
        <v>1</v>
      </c>
      <c r="Y111" s="69"/>
      <c r="Z111" s="69"/>
      <c r="AA111" s="69">
        <v>1</v>
      </c>
      <c r="AB111" s="49"/>
    </row>
    <row r="112" spans="1:28" ht="15.6" customHeight="1" x14ac:dyDescent="0.2">
      <c r="A112" s="212">
        <v>110</v>
      </c>
      <c r="B112" s="159" t="str">
        <f t="shared" si="1"/>
        <v>Helichrysum teretifolium</v>
      </c>
      <c r="C112" s="160" t="s">
        <v>703</v>
      </c>
      <c r="D112" s="72"/>
      <c r="E112" s="72" t="s">
        <v>752</v>
      </c>
      <c r="F112" s="72" t="s">
        <v>761</v>
      </c>
      <c r="G112" s="289" t="s">
        <v>3056</v>
      </c>
      <c r="H112" s="166" t="s">
        <v>3215</v>
      </c>
      <c r="I112" s="142">
        <v>2</v>
      </c>
      <c r="J112" s="143">
        <v>6</v>
      </c>
      <c r="K112" s="143">
        <v>2</v>
      </c>
      <c r="L112" s="143">
        <v>3</v>
      </c>
      <c r="M112" s="143">
        <v>2</v>
      </c>
      <c r="N112" s="201">
        <v>5</v>
      </c>
      <c r="O112" s="294" t="s">
        <v>3031</v>
      </c>
      <c r="P112" s="325" t="s">
        <v>3032</v>
      </c>
      <c r="Q112" s="298"/>
      <c r="R112" s="209">
        <v>35612</v>
      </c>
      <c r="S112" s="301"/>
      <c r="T112" s="81">
        <v>1</v>
      </c>
      <c r="U112" s="78">
        <v>1</v>
      </c>
      <c r="V112" s="69"/>
      <c r="W112" s="69"/>
      <c r="X112" s="69"/>
      <c r="Y112" s="69"/>
      <c r="Z112" s="69"/>
      <c r="AA112" s="69"/>
      <c r="AB112" s="49"/>
    </row>
    <row r="113" spans="1:28" ht="15.6" customHeight="1" x14ac:dyDescent="0.2">
      <c r="A113" s="212">
        <v>111</v>
      </c>
      <c r="B113" s="159" t="str">
        <f t="shared" si="1"/>
        <v>Hippia frutescens</v>
      </c>
      <c r="C113" s="160" t="s">
        <v>703</v>
      </c>
      <c r="D113" s="72" t="s">
        <v>2322</v>
      </c>
      <c r="E113" s="72" t="s">
        <v>762</v>
      </c>
      <c r="F113" s="72" t="s">
        <v>763</v>
      </c>
      <c r="G113" s="289" t="s">
        <v>3057</v>
      </c>
      <c r="H113" s="166" t="s">
        <v>3257</v>
      </c>
      <c r="I113" s="142">
        <v>2</v>
      </c>
      <c r="J113" s="143">
        <v>5</v>
      </c>
      <c r="K113" s="143">
        <v>3</v>
      </c>
      <c r="L113" s="143">
        <v>5</v>
      </c>
      <c r="M113" s="143">
        <v>1</v>
      </c>
      <c r="N113" s="201">
        <v>4</v>
      </c>
      <c r="O113" s="294" t="s">
        <v>3031</v>
      </c>
      <c r="P113" s="325" t="s">
        <v>3032</v>
      </c>
      <c r="Q113" s="298"/>
      <c r="R113" s="209">
        <v>35612</v>
      </c>
      <c r="S113" s="301"/>
      <c r="T113" s="81">
        <v>1</v>
      </c>
      <c r="U113" s="78"/>
      <c r="V113" s="69"/>
      <c r="W113" s="69"/>
      <c r="X113" s="69">
        <v>1</v>
      </c>
      <c r="Y113" s="69"/>
      <c r="Z113" s="69"/>
      <c r="AA113" s="69">
        <v>1</v>
      </c>
      <c r="AB113" s="49"/>
    </row>
    <row r="114" spans="1:28" ht="15.6" customHeight="1" x14ac:dyDescent="0.2">
      <c r="A114" s="212">
        <v>112</v>
      </c>
      <c r="B114" s="159" t="str">
        <f t="shared" si="1"/>
        <v>Hippia hutchinsonii</v>
      </c>
      <c r="C114" s="160" t="s">
        <v>703</v>
      </c>
      <c r="D114" s="72"/>
      <c r="E114" s="72" t="s">
        <v>762</v>
      </c>
      <c r="F114" s="72" t="s">
        <v>764</v>
      </c>
      <c r="G114" s="289" t="s">
        <v>3058</v>
      </c>
      <c r="H114" s="166" t="s">
        <v>3265</v>
      </c>
      <c r="I114" s="142">
        <v>2</v>
      </c>
      <c r="J114" s="143">
        <v>6</v>
      </c>
      <c r="K114" s="143" t="s">
        <v>2690</v>
      </c>
      <c r="L114" s="143">
        <v>3</v>
      </c>
      <c r="M114" s="143" t="s">
        <v>2690</v>
      </c>
      <c r="N114" s="201" t="s">
        <v>2690</v>
      </c>
      <c r="O114" s="294" t="s">
        <v>3031</v>
      </c>
      <c r="P114" s="325" t="s">
        <v>3032</v>
      </c>
      <c r="Q114" s="298"/>
      <c r="R114" s="209"/>
      <c r="S114" s="301" t="s">
        <v>2250</v>
      </c>
      <c r="T114" s="81"/>
      <c r="U114" s="78"/>
      <c r="V114" s="69"/>
      <c r="W114" s="69"/>
      <c r="X114" s="69">
        <v>1</v>
      </c>
      <c r="Y114" s="69"/>
      <c r="Z114" s="69"/>
      <c r="AA114" s="69"/>
      <c r="AB114" s="49"/>
    </row>
    <row r="115" spans="1:28" ht="15.6" customHeight="1" x14ac:dyDescent="0.2">
      <c r="A115" s="212">
        <v>113</v>
      </c>
      <c r="B115" s="159" t="str">
        <f t="shared" si="1"/>
        <v>Mairia coriacea</v>
      </c>
      <c r="C115" s="160" t="s">
        <v>703</v>
      </c>
      <c r="D115" s="72" t="s">
        <v>2323</v>
      </c>
      <c r="E115" s="72" t="s">
        <v>765</v>
      </c>
      <c r="F115" s="72" t="s">
        <v>766</v>
      </c>
      <c r="G115" s="289" t="s">
        <v>3059</v>
      </c>
      <c r="H115" s="166" t="s">
        <v>3230</v>
      </c>
      <c r="I115" s="142">
        <v>3</v>
      </c>
      <c r="J115" s="143">
        <v>6</v>
      </c>
      <c r="K115" s="143">
        <v>5</v>
      </c>
      <c r="L115" s="143">
        <v>1</v>
      </c>
      <c r="M115" s="143">
        <v>2</v>
      </c>
      <c r="N115" s="201">
        <v>1</v>
      </c>
      <c r="O115" s="294" t="s">
        <v>2910</v>
      </c>
      <c r="P115" s="325" t="s">
        <v>3032</v>
      </c>
      <c r="Q115" s="298"/>
      <c r="R115" s="209">
        <v>35612</v>
      </c>
      <c r="S115" s="301"/>
      <c r="T115" s="81">
        <v>1</v>
      </c>
      <c r="U115" s="78"/>
      <c r="V115" s="69"/>
      <c r="W115" s="69"/>
      <c r="X115" s="69">
        <v>1</v>
      </c>
      <c r="Y115" s="69"/>
      <c r="Z115" s="69"/>
      <c r="AA115" s="69"/>
      <c r="AB115" s="49"/>
    </row>
    <row r="116" spans="1:28" ht="15.6" customHeight="1" x14ac:dyDescent="0.2">
      <c r="A116" s="212">
        <v>114</v>
      </c>
      <c r="B116" s="159" t="str">
        <f t="shared" si="1"/>
        <v>Metalasia brevifolia</v>
      </c>
      <c r="C116" s="160" t="s">
        <v>703</v>
      </c>
      <c r="D116" s="72" t="s">
        <v>2324</v>
      </c>
      <c r="E116" s="72" t="s">
        <v>767</v>
      </c>
      <c r="F116" s="72" t="s">
        <v>768</v>
      </c>
      <c r="G116" s="289" t="s">
        <v>3060</v>
      </c>
      <c r="H116" s="166" t="s">
        <v>3248</v>
      </c>
      <c r="I116" s="142">
        <v>2</v>
      </c>
      <c r="J116" s="143">
        <v>5</v>
      </c>
      <c r="K116" s="143">
        <v>2</v>
      </c>
      <c r="L116" s="143">
        <v>3</v>
      </c>
      <c r="M116" s="143">
        <v>2</v>
      </c>
      <c r="N116" s="201">
        <v>5</v>
      </c>
      <c r="O116" s="294" t="s">
        <v>2168</v>
      </c>
      <c r="P116" s="325" t="s">
        <v>3032</v>
      </c>
      <c r="Q116" s="298"/>
      <c r="R116" s="209">
        <v>35612</v>
      </c>
      <c r="S116" s="301"/>
      <c r="T116" s="81">
        <v>1</v>
      </c>
      <c r="U116" s="78">
        <v>1</v>
      </c>
      <c r="V116" s="69">
        <v>1</v>
      </c>
      <c r="W116" s="69">
        <v>1</v>
      </c>
      <c r="X116" s="69">
        <v>1</v>
      </c>
      <c r="Y116" s="69"/>
      <c r="Z116" s="69"/>
      <c r="AA116" s="69"/>
      <c r="AB116" s="49"/>
    </row>
    <row r="117" spans="1:28" ht="15.6" customHeight="1" x14ac:dyDescent="0.2">
      <c r="A117" s="212">
        <v>115</v>
      </c>
      <c r="B117" s="159" t="str">
        <f t="shared" si="1"/>
        <v>Metalasia densa</v>
      </c>
      <c r="C117" s="160" t="s">
        <v>703</v>
      </c>
      <c r="D117" s="72" t="s">
        <v>2325</v>
      </c>
      <c r="E117" s="72" t="s">
        <v>767</v>
      </c>
      <c r="F117" s="72" t="s">
        <v>769</v>
      </c>
      <c r="G117" s="289" t="s">
        <v>3061</v>
      </c>
      <c r="H117" s="166" t="s">
        <v>3266</v>
      </c>
      <c r="I117" s="142">
        <v>2</v>
      </c>
      <c r="J117" s="143">
        <v>3</v>
      </c>
      <c r="K117" s="143">
        <v>2</v>
      </c>
      <c r="L117" s="143">
        <v>2</v>
      </c>
      <c r="M117" s="143">
        <v>2</v>
      </c>
      <c r="N117" s="201">
        <v>5</v>
      </c>
      <c r="O117" s="294" t="s">
        <v>2168</v>
      </c>
      <c r="P117" s="325" t="s">
        <v>3032</v>
      </c>
      <c r="Q117" s="298"/>
      <c r="R117" s="209">
        <v>35612</v>
      </c>
      <c r="S117" s="301"/>
      <c r="T117" s="81">
        <v>1</v>
      </c>
      <c r="U117" s="78">
        <v>1</v>
      </c>
      <c r="V117" s="69"/>
      <c r="W117" s="69"/>
      <c r="X117" s="69"/>
      <c r="Y117" s="69"/>
      <c r="Z117" s="69"/>
      <c r="AA117" s="69"/>
      <c r="AB117" s="49"/>
    </row>
    <row r="118" spans="1:28" ht="15.6" customHeight="1" x14ac:dyDescent="0.2">
      <c r="A118" s="212">
        <v>116</v>
      </c>
      <c r="B118" s="159" t="str">
        <f t="shared" si="1"/>
        <v>Metalasia muricata</v>
      </c>
      <c r="C118" s="160" t="s">
        <v>703</v>
      </c>
      <c r="D118" s="72" t="s">
        <v>2326</v>
      </c>
      <c r="E118" s="72" t="s">
        <v>767</v>
      </c>
      <c r="F118" s="72" t="s">
        <v>770</v>
      </c>
      <c r="G118" s="289" t="s">
        <v>3062</v>
      </c>
      <c r="H118" s="166" t="s">
        <v>3266</v>
      </c>
      <c r="I118" s="142">
        <v>2</v>
      </c>
      <c r="J118" s="143">
        <v>3</v>
      </c>
      <c r="K118" s="143">
        <v>2</v>
      </c>
      <c r="L118" s="143">
        <v>2</v>
      </c>
      <c r="M118" s="143">
        <v>2</v>
      </c>
      <c r="N118" s="201">
        <v>5</v>
      </c>
      <c r="O118" s="294" t="s">
        <v>2168</v>
      </c>
      <c r="P118" s="325" t="s">
        <v>3032</v>
      </c>
      <c r="Q118" s="298"/>
      <c r="R118" s="209">
        <v>35612</v>
      </c>
      <c r="S118" s="301"/>
      <c r="T118" s="81">
        <v>1</v>
      </c>
      <c r="U118" s="78">
        <v>1</v>
      </c>
      <c r="V118" s="69">
        <v>1</v>
      </c>
      <c r="W118" s="69">
        <v>1</v>
      </c>
      <c r="X118" s="69">
        <v>1</v>
      </c>
      <c r="Y118" s="69"/>
      <c r="Z118" s="69"/>
      <c r="AA118" s="69"/>
      <c r="AB118" s="49"/>
    </row>
    <row r="119" spans="1:28" ht="15.6" customHeight="1" x14ac:dyDescent="0.2">
      <c r="A119" s="212">
        <v>117</v>
      </c>
      <c r="B119" s="159" t="str">
        <f t="shared" si="1"/>
        <v>Oedera capensis</v>
      </c>
      <c r="C119" s="160" t="s">
        <v>703</v>
      </c>
      <c r="D119" s="72"/>
      <c r="E119" s="72" t="s">
        <v>771</v>
      </c>
      <c r="F119" s="72" t="s">
        <v>2756</v>
      </c>
      <c r="G119" s="289" t="s">
        <v>3063</v>
      </c>
      <c r="H119" s="166" t="s">
        <v>3262</v>
      </c>
      <c r="I119" s="142">
        <v>2</v>
      </c>
      <c r="J119" s="143">
        <v>6</v>
      </c>
      <c r="K119" s="143">
        <v>3</v>
      </c>
      <c r="L119" s="143">
        <v>2</v>
      </c>
      <c r="M119" s="143">
        <v>1</v>
      </c>
      <c r="N119" s="201">
        <v>4</v>
      </c>
      <c r="O119" s="294" t="s">
        <v>3031</v>
      </c>
      <c r="P119" s="325" t="s">
        <v>3032</v>
      </c>
      <c r="Q119" s="298"/>
      <c r="R119" s="209">
        <v>35612</v>
      </c>
      <c r="S119" s="301"/>
      <c r="T119" s="81">
        <v>1</v>
      </c>
      <c r="U119" s="78">
        <v>1</v>
      </c>
      <c r="V119" s="69">
        <v>1</v>
      </c>
      <c r="W119" s="69">
        <v>1</v>
      </c>
      <c r="X119" s="69">
        <v>1</v>
      </c>
      <c r="Y119" s="69"/>
      <c r="Z119" s="69"/>
      <c r="AA119" s="69"/>
      <c r="AB119" s="49"/>
    </row>
    <row r="120" spans="1:28" ht="15.6" customHeight="1" x14ac:dyDescent="0.2">
      <c r="A120" s="212">
        <v>118</v>
      </c>
      <c r="B120" s="159" t="str">
        <f t="shared" si="1"/>
        <v>Oedera imbricata</v>
      </c>
      <c r="C120" s="160" t="s">
        <v>703</v>
      </c>
      <c r="D120" s="72"/>
      <c r="E120" s="72" t="s">
        <v>771</v>
      </c>
      <c r="F120" s="72" t="s">
        <v>772</v>
      </c>
      <c r="G120" s="289" t="s">
        <v>3064</v>
      </c>
      <c r="H120" s="166" t="s">
        <v>3262</v>
      </c>
      <c r="I120" s="142">
        <v>2</v>
      </c>
      <c r="J120" s="143">
        <v>6</v>
      </c>
      <c r="K120" s="143">
        <v>3</v>
      </c>
      <c r="L120" s="143">
        <v>1</v>
      </c>
      <c r="M120" s="143">
        <v>1</v>
      </c>
      <c r="N120" s="201">
        <v>4</v>
      </c>
      <c r="O120" s="294" t="s">
        <v>3031</v>
      </c>
      <c r="P120" s="325" t="s">
        <v>3032</v>
      </c>
      <c r="Q120" s="298"/>
      <c r="R120" s="209">
        <v>35704</v>
      </c>
      <c r="S120" s="301" t="s">
        <v>2250</v>
      </c>
      <c r="T120" s="81"/>
      <c r="U120" s="78">
        <v>1</v>
      </c>
      <c r="V120" s="69"/>
      <c r="W120" s="69"/>
      <c r="X120" s="69"/>
      <c r="Y120" s="69"/>
      <c r="Z120" s="69"/>
      <c r="AA120" s="69"/>
      <c r="AB120" s="49"/>
    </row>
    <row r="121" spans="1:28" ht="15.6" customHeight="1" x14ac:dyDescent="0.2">
      <c r="A121" s="212">
        <v>119</v>
      </c>
      <c r="B121" s="159" t="str">
        <f t="shared" si="1"/>
        <v>Oncosiphon suffruticosum</v>
      </c>
      <c r="C121" s="160" t="s">
        <v>703</v>
      </c>
      <c r="D121" s="72" t="s">
        <v>2327</v>
      </c>
      <c r="E121" s="72" t="s">
        <v>773</v>
      </c>
      <c r="F121" s="72" t="s">
        <v>774</v>
      </c>
      <c r="G121" s="289" t="s">
        <v>3065</v>
      </c>
      <c r="H121" s="166" t="s">
        <v>3261</v>
      </c>
      <c r="I121" s="142">
        <v>6</v>
      </c>
      <c r="J121" s="143">
        <v>6</v>
      </c>
      <c r="K121" s="143">
        <v>4</v>
      </c>
      <c r="L121" s="143">
        <v>5</v>
      </c>
      <c r="M121" s="143">
        <v>1</v>
      </c>
      <c r="N121" s="201">
        <v>5</v>
      </c>
      <c r="O121" s="294" t="s">
        <v>2910</v>
      </c>
      <c r="P121" s="325" t="s">
        <v>2915</v>
      </c>
      <c r="Q121" s="298"/>
      <c r="R121" s="209">
        <v>36923</v>
      </c>
      <c r="S121" s="301"/>
      <c r="T121" s="81">
        <v>1</v>
      </c>
      <c r="U121" s="78">
        <v>1</v>
      </c>
      <c r="V121" s="69"/>
      <c r="W121" s="69"/>
      <c r="X121" s="69"/>
      <c r="Y121" s="69"/>
      <c r="Z121" s="69"/>
      <c r="AA121" s="69"/>
      <c r="AB121" s="49"/>
    </row>
    <row r="122" spans="1:28" ht="15.6" customHeight="1" x14ac:dyDescent="0.2">
      <c r="A122" s="212">
        <v>120</v>
      </c>
      <c r="B122" s="159" t="str">
        <f t="shared" si="1"/>
        <v>Osmitopsis asteriscoides</v>
      </c>
      <c r="C122" s="160" t="s">
        <v>703</v>
      </c>
      <c r="D122" s="72" t="s">
        <v>2329</v>
      </c>
      <c r="E122" s="72" t="s">
        <v>775</v>
      </c>
      <c r="F122" s="72" t="s">
        <v>776</v>
      </c>
      <c r="G122" s="289" t="s">
        <v>3066</v>
      </c>
      <c r="H122" s="166" t="s">
        <v>3239</v>
      </c>
      <c r="I122" s="142">
        <v>2</v>
      </c>
      <c r="J122" s="143">
        <v>4</v>
      </c>
      <c r="K122" s="143">
        <v>2</v>
      </c>
      <c r="L122" s="143">
        <v>2</v>
      </c>
      <c r="M122" s="143">
        <v>1</v>
      </c>
      <c r="N122" s="201">
        <v>3</v>
      </c>
      <c r="O122" s="294" t="s">
        <v>2168</v>
      </c>
      <c r="P122" s="325" t="s">
        <v>3032</v>
      </c>
      <c r="Q122" s="298"/>
      <c r="R122" s="209">
        <v>35855</v>
      </c>
      <c r="S122" s="301"/>
      <c r="T122" s="81">
        <v>1</v>
      </c>
      <c r="U122" s="78"/>
      <c r="V122" s="69"/>
      <c r="W122" s="69"/>
      <c r="X122" s="69">
        <v>1</v>
      </c>
      <c r="Y122" s="69"/>
      <c r="Z122" s="69"/>
      <c r="AA122" s="69"/>
      <c r="AB122" s="49"/>
    </row>
    <row r="123" spans="1:28" ht="15.6" customHeight="1" x14ac:dyDescent="0.2">
      <c r="A123" s="212">
        <v>121</v>
      </c>
      <c r="B123" s="159" t="str">
        <f t="shared" si="1"/>
        <v>Osteospermum rotundifolium</v>
      </c>
      <c r="C123" s="160" t="s">
        <v>703</v>
      </c>
      <c r="D123" s="72"/>
      <c r="E123" s="72" t="s">
        <v>777</v>
      </c>
      <c r="F123" s="72" t="s">
        <v>778</v>
      </c>
      <c r="G123" s="289" t="s">
        <v>3067</v>
      </c>
      <c r="H123" s="166" t="s">
        <v>3258</v>
      </c>
      <c r="I123" s="142">
        <v>2</v>
      </c>
      <c r="J123" s="143">
        <v>4</v>
      </c>
      <c r="K123" s="143">
        <v>3</v>
      </c>
      <c r="L123" s="143">
        <v>1</v>
      </c>
      <c r="M123" s="143">
        <v>2</v>
      </c>
      <c r="N123" s="201">
        <v>3</v>
      </c>
      <c r="O123" s="294" t="s">
        <v>2168</v>
      </c>
      <c r="P123" s="325" t="s">
        <v>3032</v>
      </c>
      <c r="Q123" s="298"/>
      <c r="R123" s="209">
        <v>35855</v>
      </c>
      <c r="S123" s="301"/>
      <c r="T123" s="81">
        <v>1</v>
      </c>
      <c r="U123" s="78"/>
      <c r="V123" s="69"/>
      <c r="W123" s="69"/>
      <c r="X123" s="69">
        <v>1</v>
      </c>
      <c r="Y123" s="69"/>
      <c r="Z123" s="69"/>
      <c r="AA123" s="69"/>
      <c r="AB123" s="49"/>
    </row>
    <row r="124" spans="1:28" ht="15.6" customHeight="1" x14ac:dyDescent="0.2">
      <c r="A124" s="212">
        <v>122</v>
      </c>
      <c r="B124" s="159" t="str">
        <f t="shared" si="1"/>
        <v>Othonna quinquedentata</v>
      </c>
      <c r="C124" s="160" t="s">
        <v>703</v>
      </c>
      <c r="D124" s="72"/>
      <c r="E124" s="72" t="s">
        <v>779</v>
      </c>
      <c r="F124" s="72" t="s">
        <v>780</v>
      </c>
      <c r="G124" s="289" t="s">
        <v>3068</v>
      </c>
      <c r="H124" s="166" t="s">
        <v>3232</v>
      </c>
      <c r="I124" s="142">
        <v>2</v>
      </c>
      <c r="J124" s="143">
        <v>5</v>
      </c>
      <c r="K124" s="143">
        <v>4</v>
      </c>
      <c r="L124" s="143">
        <v>1</v>
      </c>
      <c r="M124" s="143">
        <v>2</v>
      </c>
      <c r="N124" s="201">
        <v>3</v>
      </c>
      <c r="O124" s="294" t="s">
        <v>2168</v>
      </c>
      <c r="P124" s="325" t="s">
        <v>3032</v>
      </c>
      <c r="Q124" s="298"/>
      <c r="R124" s="209">
        <v>35612</v>
      </c>
      <c r="S124" s="301"/>
      <c r="T124" s="81">
        <v>1</v>
      </c>
      <c r="U124" s="78">
        <v>1</v>
      </c>
      <c r="V124" s="69">
        <v>1</v>
      </c>
      <c r="W124" s="69"/>
      <c r="X124" s="69">
        <v>1</v>
      </c>
      <c r="Y124" s="69"/>
      <c r="Z124" s="69"/>
      <c r="AA124" s="69"/>
      <c r="AB124" s="49"/>
    </row>
    <row r="125" spans="1:28" ht="15.6" customHeight="1" x14ac:dyDescent="0.2">
      <c r="A125" s="212">
        <v>123</v>
      </c>
      <c r="B125" s="159" t="str">
        <f t="shared" si="1"/>
        <v>Plecostachys serpyllifolia</v>
      </c>
      <c r="C125" s="160" t="s">
        <v>703</v>
      </c>
      <c r="D125" s="72" t="s">
        <v>2330</v>
      </c>
      <c r="E125" s="72" t="s">
        <v>781</v>
      </c>
      <c r="F125" s="72" t="s">
        <v>782</v>
      </c>
      <c r="G125" s="289" t="s">
        <v>3069</v>
      </c>
      <c r="H125" s="166" t="s">
        <v>3248</v>
      </c>
      <c r="I125" s="142">
        <v>2</v>
      </c>
      <c r="J125" s="143">
        <v>5</v>
      </c>
      <c r="K125" s="143">
        <v>2</v>
      </c>
      <c r="L125" s="143">
        <v>1</v>
      </c>
      <c r="M125" s="143">
        <v>1</v>
      </c>
      <c r="N125" s="201">
        <v>5</v>
      </c>
      <c r="O125" s="294" t="s">
        <v>2914</v>
      </c>
      <c r="P125" s="325" t="s">
        <v>3032</v>
      </c>
      <c r="Q125" s="298"/>
      <c r="R125" s="209">
        <v>35612</v>
      </c>
      <c r="S125" s="301"/>
      <c r="T125" s="81">
        <v>1</v>
      </c>
      <c r="U125" s="78">
        <v>1</v>
      </c>
      <c r="V125" s="69"/>
      <c r="W125" s="69">
        <v>1</v>
      </c>
      <c r="X125" s="69"/>
      <c r="Y125" s="69"/>
      <c r="Z125" s="69"/>
      <c r="AA125" s="69"/>
      <c r="AB125" s="49"/>
    </row>
    <row r="126" spans="1:28" ht="15.6" customHeight="1" x14ac:dyDescent="0.2">
      <c r="A126" s="212">
        <v>124</v>
      </c>
      <c r="B126" s="159" t="str">
        <f t="shared" si="1"/>
        <v>Polyarrhena reflexa</v>
      </c>
      <c r="C126" s="160" t="s">
        <v>703</v>
      </c>
      <c r="D126" s="72"/>
      <c r="E126" s="72" t="s">
        <v>783</v>
      </c>
      <c r="F126" s="72" t="s">
        <v>784</v>
      </c>
      <c r="G126" s="289" t="s">
        <v>3070</v>
      </c>
      <c r="H126" s="166" t="s">
        <v>3248</v>
      </c>
      <c r="I126" s="142">
        <v>2</v>
      </c>
      <c r="J126" s="143">
        <v>5</v>
      </c>
      <c r="K126" s="143">
        <v>2</v>
      </c>
      <c r="L126" s="143">
        <v>1</v>
      </c>
      <c r="M126" s="143">
        <v>1</v>
      </c>
      <c r="N126" s="201">
        <v>5</v>
      </c>
      <c r="O126" s="294" t="s">
        <v>2168</v>
      </c>
      <c r="P126" s="325" t="s">
        <v>3032</v>
      </c>
      <c r="Q126" s="298"/>
      <c r="R126" s="209">
        <v>36770</v>
      </c>
      <c r="S126" s="301"/>
      <c r="T126" s="81">
        <v>1</v>
      </c>
      <c r="U126" s="78"/>
      <c r="V126" s="69"/>
      <c r="W126" s="69"/>
      <c r="X126" s="69">
        <v>1</v>
      </c>
      <c r="Y126" s="69"/>
      <c r="Z126" s="69"/>
      <c r="AA126" s="69"/>
      <c r="AB126" s="49"/>
    </row>
    <row r="127" spans="1:28" ht="15.6" customHeight="1" x14ac:dyDescent="0.2">
      <c r="A127" s="212">
        <v>125</v>
      </c>
      <c r="B127" s="159" t="str">
        <f t="shared" si="1"/>
        <v>Pulicaria scabra</v>
      </c>
      <c r="C127" s="160" t="s">
        <v>703</v>
      </c>
      <c r="D127" s="72" t="s">
        <v>2331</v>
      </c>
      <c r="E127" s="72" t="s">
        <v>785</v>
      </c>
      <c r="F127" s="72" t="s">
        <v>786</v>
      </c>
      <c r="G127" s="289" t="s">
        <v>3071</v>
      </c>
      <c r="H127" s="166" t="s">
        <v>3223</v>
      </c>
      <c r="I127" s="142">
        <v>2</v>
      </c>
      <c r="J127" s="143">
        <v>5</v>
      </c>
      <c r="K127" s="143">
        <v>2</v>
      </c>
      <c r="L127" s="143">
        <v>2</v>
      </c>
      <c r="M127" s="143">
        <v>1</v>
      </c>
      <c r="N127" s="201">
        <v>3</v>
      </c>
      <c r="O127" s="294" t="s">
        <v>2910</v>
      </c>
      <c r="P127" s="325" t="s">
        <v>3032</v>
      </c>
      <c r="Q127" s="298"/>
      <c r="R127" s="209">
        <v>35947</v>
      </c>
      <c r="S127" s="301"/>
      <c r="T127" s="81">
        <v>1</v>
      </c>
      <c r="U127" s="78"/>
      <c r="V127" s="69"/>
      <c r="W127" s="69"/>
      <c r="X127" s="69"/>
      <c r="Y127" s="69"/>
      <c r="Z127" s="69"/>
      <c r="AA127" s="69">
        <v>1</v>
      </c>
      <c r="AB127" s="49"/>
    </row>
    <row r="128" spans="1:28" ht="15.6" customHeight="1" x14ac:dyDescent="0.2">
      <c r="A128" s="212">
        <v>126</v>
      </c>
      <c r="B128" s="159" t="str">
        <f t="shared" si="1"/>
        <v>Senecio arenarius</v>
      </c>
      <c r="C128" s="160" t="s">
        <v>703</v>
      </c>
      <c r="D128" s="72" t="s">
        <v>2332</v>
      </c>
      <c r="E128" s="72" t="s">
        <v>787</v>
      </c>
      <c r="F128" s="72" t="s">
        <v>788</v>
      </c>
      <c r="G128" s="289" t="s">
        <v>3072</v>
      </c>
      <c r="H128" s="166" t="s">
        <v>3235</v>
      </c>
      <c r="I128" s="142">
        <v>6</v>
      </c>
      <c r="J128" s="143">
        <v>6</v>
      </c>
      <c r="K128" s="143">
        <v>4</v>
      </c>
      <c r="L128" s="143">
        <v>5</v>
      </c>
      <c r="M128" s="143">
        <v>1</v>
      </c>
      <c r="N128" s="201">
        <v>2</v>
      </c>
      <c r="O128" s="294" t="s">
        <v>2910</v>
      </c>
      <c r="P128" s="325" t="s">
        <v>2915</v>
      </c>
      <c r="Q128" s="298"/>
      <c r="R128" s="209">
        <v>35612</v>
      </c>
      <c r="S128" s="301"/>
      <c r="T128" s="81">
        <v>1</v>
      </c>
      <c r="U128" s="78">
        <v>1</v>
      </c>
      <c r="V128" s="69"/>
      <c r="W128" s="69"/>
      <c r="X128" s="69"/>
      <c r="Y128" s="69"/>
      <c r="Z128" s="69"/>
      <c r="AA128" s="69"/>
      <c r="AB128" s="49"/>
    </row>
    <row r="129" spans="1:28" ht="15.6" customHeight="1" x14ac:dyDescent="0.2">
      <c r="A129" s="212">
        <v>127</v>
      </c>
      <c r="B129" s="159" t="str">
        <f t="shared" si="1"/>
        <v>Senecio arniciflorus</v>
      </c>
      <c r="C129" s="160" t="s">
        <v>703</v>
      </c>
      <c r="D129" s="72"/>
      <c r="E129" s="72" t="s">
        <v>787</v>
      </c>
      <c r="F129" s="72" t="s">
        <v>789</v>
      </c>
      <c r="G129" s="289" t="s">
        <v>3073</v>
      </c>
      <c r="H129" s="166" t="s">
        <v>3267</v>
      </c>
      <c r="I129" s="142">
        <v>2</v>
      </c>
      <c r="J129" s="143">
        <v>6</v>
      </c>
      <c r="K129" s="143">
        <v>4</v>
      </c>
      <c r="L129" s="143">
        <v>3</v>
      </c>
      <c r="M129" s="143">
        <v>1</v>
      </c>
      <c r="N129" s="201">
        <v>3</v>
      </c>
      <c r="O129" s="294" t="s">
        <v>3031</v>
      </c>
      <c r="P129" s="325" t="s">
        <v>3032</v>
      </c>
      <c r="Q129" s="298"/>
      <c r="R129" s="209">
        <v>35612</v>
      </c>
      <c r="S129" s="301"/>
      <c r="T129" s="81">
        <v>1</v>
      </c>
      <c r="U129" s="78"/>
      <c r="V129" s="69">
        <v>1</v>
      </c>
      <c r="W129" s="69">
        <v>1</v>
      </c>
      <c r="X129" s="69">
        <v>1</v>
      </c>
      <c r="Y129" s="69"/>
      <c r="Z129" s="69"/>
      <c r="AA129" s="69"/>
      <c r="AB129" s="49"/>
    </row>
    <row r="130" spans="1:28" ht="15.6" customHeight="1" x14ac:dyDescent="0.2">
      <c r="A130" s="212">
        <v>128</v>
      </c>
      <c r="B130" s="159" t="str">
        <f t="shared" si="1"/>
        <v>Senecio burchellii</v>
      </c>
      <c r="C130" s="160" t="s">
        <v>703</v>
      </c>
      <c r="D130" s="72" t="s">
        <v>2333</v>
      </c>
      <c r="E130" s="72" t="s">
        <v>787</v>
      </c>
      <c r="F130" s="72" t="s">
        <v>790</v>
      </c>
      <c r="G130" s="289" t="s">
        <v>3074</v>
      </c>
      <c r="H130" s="166" t="s">
        <v>3267</v>
      </c>
      <c r="I130" s="142">
        <v>2</v>
      </c>
      <c r="J130" s="143">
        <v>6</v>
      </c>
      <c r="K130" s="143">
        <v>4</v>
      </c>
      <c r="L130" s="143">
        <v>3</v>
      </c>
      <c r="M130" s="143">
        <v>1</v>
      </c>
      <c r="N130" s="201">
        <v>3</v>
      </c>
      <c r="O130" s="294" t="s">
        <v>3031</v>
      </c>
      <c r="P130" s="325" t="s">
        <v>3032</v>
      </c>
      <c r="Q130" s="298"/>
      <c r="R130" s="209">
        <v>35612</v>
      </c>
      <c r="S130" s="301"/>
      <c r="T130" s="81">
        <v>1</v>
      </c>
      <c r="U130" s="78">
        <v>1</v>
      </c>
      <c r="V130" s="69"/>
      <c r="W130" s="69"/>
      <c r="X130" s="69"/>
      <c r="Y130" s="69"/>
      <c r="Z130" s="69"/>
      <c r="AA130" s="69"/>
      <c r="AB130" s="49"/>
    </row>
    <row r="131" spans="1:28" ht="15.6" customHeight="1" x14ac:dyDescent="0.2">
      <c r="A131" s="212">
        <v>129</v>
      </c>
      <c r="B131" s="159" t="str">
        <f t="shared" ref="B131:B194" si="2">E131&amp;" "&amp;F131</f>
        <v>Senecio elegans</v>
      </c>
      <c r="C131" s="160" t="s">
        <v>703</v>
      </c>
      <c r="D131" s="72" t="s">
        <v>2334</v>
      </c>
      <c r="E131" s="72" t="s">
        <v>787</v>
      </c>
      <c r="F131" s="72" t="s">
        <v>791</v>
      </c>
      <c r="G131" s="289" t="s">
        <v>3075</v>
      </c>
      <c r="H131" s="166" t="s">
        <v>1871</v>
      </c>
      <c r="I131" s="142">
        <v>6</v>
      </c>
      <c r="J131" s="143">
        <v>5</v>
      </c>
      <c r="K131" s="143">
        <v>9</v>
      </c>
      <c r="L131" s="143">
        <v>4</v>
      </c>
      <c r="M131" s="143">
        <v>4</v>
      </c>
      <c r="N131" s="201">
        <v>9</v>
      </c>
      <c r="O131" s="294" t="s">
        <v>2910</v>
      </c>
      <c r="P131" s="325" t="s">
        <v>2915</v>
      </c>
      <c r="Q131" s="298"/>
      <c r="R131" s="209">
        <v>35735</v>
      </c>
      <c r="S131" s="301" t="s">
        <v>2250</v>
      </c>
      <c r="T131" s="81"/>
      <c r="U131" s="78">
        <v>1</v>
      </c>
      <c r="V131" s="69"/>
      <c r="W131" s="69">
        <v>1</v>
      </c>
      <c r="X131" s="69"/>
      <c r="Y131" s="69"/>
      <c r="Z131" s="69"/>
      <c r="AA131" s="69"/>
      <c r="AB131" s="49"/>
    </row>
    <row r="132" spans="1:28" ht="15.6" customHeight="1" x14ac:dyDescent="0.2">
      <c r="A132" s="212">
        <v>130</v>
      </c>
      <c r="B132" s="159" t="str">
        <f t="shared" si="2"/>
        <v>Senecio halimifolius</v>
      </c>
      <c r="C132" s="160" t="s">
        <v>703</v>
      </c>
      <c r="D132" s="72" t="s">
        <v>2335</v>
      </c>
      <c r="E132" s="72" t="s">
        <v>787</v>
      </c>
      <c r="F132" s="72" t="s">
        <v>792</v>
      </c>
      <c r="G132" s="289" t="s">
        <v>3076</v>
      </c>
      <c r="H132" s="166" t="s">
        <v>3258</v>
      </c>
      <c r="I132" s="142">
        <v>2</v>
      </c>
      <c r="J132" s="143">
        <v>4</v>
      </c>
      <c r="K132" s="143">
        <v>3</v>
      </c>
      <c r="L132" s="143">
        <v>2</v>
      </c>
      <c r="M132" s="143">
        <v>2</v>
      </c>
      <c r="N132" s="201">
        <v>3</v>
      </c>
      <c r="O132" s="294" t="s">
        <v>2168</v>
      </c>
      <c r="P132" s="325" t="s">
        <v>3032</v>
      </c>
      <c r="Q132" s="298"/>
      <c r="R132" s="209">
        <v>35612</v>
      </c>
      <c r="S132" s="301"/>
      <c r="T132" s="81">
        <v>1</v>
      </c>
      <c r="U132" s="78"/>
      <c r="V132" s="69"/>
      <c r="W132" s="69"/>
      <c r="X132" s="69"/>
      <c r="Y132" s="69"/>
      <c r="Z132" s="69"/>
      <c r="AA132" s="69">
        <v>1</v>
      </c>
      <c r="AB132" s="49"/>
    </row>
    <row r="133" spans="1:28" ht="15.6" customHeight="1" x14ac:dyDescent="0.2">
      <c r="A133" s="212">
        <v>131</v>
      </c>
      <c r="B133" s="159" t="str">
        <f t="shared" si="2"/>
        <v>Senecio hastifolius</v>
      </c>
      <c r="C133" s="160" t="s">
        <v>703</v>
      </c>
      <c r="D133" s="72"/>
      <c r="E133" s="72" t="s">
        <v>787</v>
      </c>
      <c r="F133" s="72" t="s">
        <v>794</v>
      </c>
      <c r="G133" s="289" t="s">
        <v>3077</v>
      </c>
      <c r="H133" s="166" t="s">
        <v>3268</v>
      </c>
      <c r="I133" s="142">
        <v>3</v>
      </c>
      <c r="J133" s="143">
        <v>6</v>
      </c>
      <c r="K133" s="143">
        <v>4</v>
      </c>
      <c r="L133" s="143">
        <v>4</v>
      </c>
      <c r="M133" s="143">
        <v>1</v>
      </c>
      <c r="N133" s="201">
        <v>4</v>
      </c>
      <c r="O133" s="294" t="s">
        <v>2910</v>
      </c>
      <c r="P133" s="325" t="s">
        <v>3032</v>
      </c>
      <c r="Q133" s="298"/>
      <c r="R133" s="209">
        <v>36586</v>
      </c>
      <c r="S133" s="301"/>
      <c r="T133" s="81">
        <v>1</v>
      </c>
      <c r="U133" s="78"/>
      <c r="V133" s="69"/>
      <c r="W133" s="69"/>
      <c r="X133" s="69">
        <v>1</v>
      </c>
      <c r="Y133" s="69"/>
      <c r="Z133" s="69"/>
      <c r="AA133" s="69"/>
      <c r="AB133" s="49"/>
    </row>
    <row r="134" spans="1:28" ht="15.6" customHeight="1" x14ac:dyDescent="0.2">
      <c r="A134" s="212">
        <v>132</v>
      </c>
      <c r="B134" s="159" t="str">
        <f t="shared" si="2"/>
        <v>Senecio lanifer</v>
      </c>
      <c r="C134" s="160" t="s">
        <v>703</v>
      </c>
      <c r="D134" s="72"/>
      <c r="E134" s="72" t="s">
        <v>787</v>
      </c>
      <c r="F134" s="72" t="s">
        <v>795</v>
      </c>
      <c r="G134" s="289" t="s">
        <v>3078</v>
      </c>
      <c r="H134" s="166" t="s">
        <v>3269</v>
      </c>
      <c r="I134" s="142">
        <v>3</v>
      </c>
      <c r="J134" s="143">
        <v>5</v>
      </c>
      <c r="K134" s="143">
        <v>4</v>
      </c>
      <c r="L134" s="143">
        <v>4</v>
      </c>
      <c r="M134" s="143">
        <v>1</v>
      </c>
      <c r="N134" s="201">
        <v>3</v>
      </c>
      <c r="O134" s="294" t="s">
        <v>2914</v>
      </c>
      <c r="P134" s="325" t="s">
        <v>3032</v>
      </c>
      <c r="Q134" s="298"/>
      <c r="R134" s="209">
        <v>37500</v>
      </c>
      <c r="S134" s="301"/>
      <c r="T134" s="81">
        <v>1</v>
      </c>
      <c r="U134" s="78"/>
      <c r="V134" s="69"/>
      <c r="W134" s="69"/>
      <c r="X134" s="69">
        <v>1</v>
      </c>
      <c r="Y134" s="69"/>
      <c r="Z134" s="69"/>
      <c r="AA134" s="69"/>
      <c r="AB134" s="49"/>
    </row>
    <row r="135" spans="1:28" ht="15.6" customHeight="1" x14ac:dyDescent="0.2">
      <c r="A135" s="212">
        <v>133</v>
      </c>
      <c r="B135" s="159" t="str">
        <f t="shared" si="2"/>
        <v>Senecio littoreus</v>
      </c>
      <c r="C135" s="160" t="s">
        <v>703</v>
      </c>
      <c r="D135" s="72" t="s">
        <v>2336</v>
      </c>
      <c r="E135" s="72" t="s">
        <v>787</v>
      </c>
      <c r="F135" s="72" t="s">
        <v>796</v>
      </c>
      <c r="G135" s="289" t="s">
        <v>3079</v>
      </c>
      <c r="H135" s="166" t="s">
        <v>3246</v>
      </c>
      <c r="I135" s="142">
        <v>6</v>
      </c>
      <c r="J135" s="143">
        <v>6</v>
      </c>
      <c r="K135" s="143">
        <v>3</v>
      </c>
      <c r="L135" s="143">
        <v>2</v>
      </c>
      <c r="M135" s="143">
        <v>1</v>
      </c>
      <c r="N135" s="201">
        <v>3</v>
      </c>
      <c r="O135" s="294" t="s">
        <v>2910</v>
      </c>
      <c r="P135" s="325" t="s">
        <v>2915</v>
      </c>
      <c r="Q135" s="298"/>
      <c r="R135" s="209">
        <v>36861</v>
      </c>
      <c r="S135" s="301"/>
      <c r="T135" s="81">
        <v>1</v>
      </c>
      <c r="U135" s="78"/>
      <c r="V135" s="69"/>
      <c r="W135" s="69"/>
      <c r="X135" s="69">
        <v>1</v>
      </c>
      <c r="Y135" s="69"/>
      <c r="Z135" s="69"/>
      <c r="AA135" s="69"/>
      <c r="AB135" s="49"/>
    </row>
    <row r="136" spans="1:28" ht="15.6" customHeight="1" x14ac:dyDescent="0.2">
      <c r="A136" s="212">
        <v>134</v>
      </c>
      <c r="B136" s="159" t="str">
        <f t="shared" si="2"/>
        <v>Senecio mimetes</v>
      </c>
      <c r="C136" s="160" t="s">
        <v>703</v>
      </c>
      <c r="D136" s="72"/>
      <c r="E136" s="72" t="s">
        <v>787</v>
      </c>
      <c r="F136" s="72" t="s">
        <v>797</v>
      </c>
      <c r="G136" s="289" t="s">
        <v>3080</v>
      </c>
      <c r="H136" s="166" t="s">
        <v>3270</v>
      </c>
      <c r="I136" s="142">
        <v>3</v>
      </c>
      <c r="J136" s="143">
        <v>3</v>
      </c>
      <c r="K136" s="143">
        <v>3</v>
      </c>
      <c r="L136" s="143">
        <v>2</v>
      </c>
      <c r="M136" s="143">
        <v>1</v>
      </c>
      <c r="N136" s="201">
        <v>1</v>
      </c>
      <c r="O136" s="294" t="s">
        <v>2914</v>
      </c>
      <c r="P136" s="325" t="s">
        <v>3032</v>
      </c>
      <c r="Q136" s="298"/>
      <c r="R136" s="209"/>
      <c r="S136" s="301"/>
      <c r="T136" s="81">
        <v>1</v>
      </c>
      <c r="U136" s="78">
        <v>1</v>
      </c>
      <c r="V136" s="69"/>
      <c r="W136" s="69"/>
      <c r="X136" s="69"/>
      <c r="Y136" s="69"/>
      <c r="Z136" s="69"/>
      <c r="AA136" s="69"/>
      <c r="AB136" s="49"/>
    </row>
    <row r="137" spans="1:28" ht="15.6" customHeight="1" x14ac:dyDescent="0.2">
      <c r="A137" s="212">
        <v>135</v>
      </c>
      <c r="B137" s="159" t="str">
        <f t="shared" si="2"/>
        <v>Senecio pillansii</v>
      </c>
      <c r="C137" s="160" t="s">
        <v>703</v>
      </c>
      <c r="D137" s="72"/>
      <c r="E137" s="72" t="s">
        <v>787</v>
      </c>
      <c r="F137" s="72" t="s">
        <v>798</v>
      </c>
      <c r="G137" s="289" t="s">
        <v>3081</v>
      </c>
      <c r="H137" s="166" t="s">
        <v>3215</v>
      </c>
      <c r="I137" s="142">
        <v>2</v>
      </c>
      <c r="J137" s="143">
        <v>6</v>
      </c>
      <c r="K137" s="143">
        <v>3</v>
      </c>
      <c r="L137" s="143">
        <v>3</v>
      </c>
      <c r="M137" s="143">
        <v>1</v>
      </c>
      <c r="N137" s="201">
        <v>4</v>
      </c>
      <c r="O137" s="294" t="s">
        <v>3031</v>
      </c>
      <c r="P137" s="325" t="s">
        <v>3032</v>
      </c>
      <c r="Q137" s="298"/>
      <c r="R137" s="209">
        <v>36892</v>
      </c>
      <c r="S137" s="301"/>
      <c r="T137" s="81"/>
      <c r="U137" s="78">
        <v>1</v>
      </c>
      <c r="V137" s="69"/>
      <c r="W137" s="69"/>
      <c r="X137" s="69"/>
      <c r="Y137" s="69"/>
      <c r="Z137" s="69"/>
      <c r="AA137" s="69"/>
      <c r="AB137" s="49"/>
    </row>
    <row r="138" spans="1:28" ht="15.6" customHeight="1" x14ac:dyDescent="0.2">
      <c r="A138" s="212">
        <v>136</v>
      </c>
      <c r="B138" s="159" t="str">
        <f t="shared" si="2"/>
        <v>Senecio pubigerus</v>
      </c>
      <c r="C138" s="160" t="s">
        <v>703</v>
      </c>
      <c r="D138" s="72" t="s">
        <v>2157</v>
      </c>
      <c r="E138" s="72" t="s">
        <v>787</v>
      </c>
      <c r="F138" s="72" t="s">
        <v>799</v>
      </c>
      <c r="G138" s="289" t="s">
        <v>3082</v>
      </c>
      <c r="H138" s="166" t="s">
        <v>3263</v>
      </c>
      <c r="I138" s="142">
        <v>2</v>
      </c>
      <c r="J138" s="143">
        <v>5</v>
      </c>
      <c r="K138" s="143">
        <v>4</v>
      </c>
      <c r="L138" s="143">
        <v>2</v>
      </c>
      <c r="M138" s="143">
        <v>1</v>
      </c>
      <c r="N138" s="201">
        <v>4</v>
      </c>
      <c r="O138" s="294" t="s">
        <v>2168</v>
      </c>
      <c r="P138" s="325" t="s">
        <v>3032</v>
      </c>
      <c r="Q138" s="298"/>
      <c r="R138" s="209"/>
      <c r="S138" s="301"/>
      <c r="T138" s="81">
        <v>1</v>
      </c>
      <c r="U138" s="78">
        <v>1</v>
      </c>
      <c r="V138" s="69"/>
      <c r="W138" s="69"/>
      <c r="X138" s="69"/>
      <c r="Y138" s="69"/>
      <c r="Z138" s="69"/>
      <c r="AA138" s="69"/>
      <c r="AB138" s="49"/>
    </row>
    <row r="139" spans="1:28" ht="15.6" customHeight="1" x14ac:dyDescent="0.2">
      <c r="A139" s="212">
        <v>137</v>
      </c>
      <c r="B139" s="159" t="str">
        <f t="shared" si="2"/>
        <v>Senecio purpureus</v>
      </c>
      <c r="C139" s="160" t="s">
        <v>703</v>
      </c>
      <c r="D139" s="72"/>
      <c r="E139" s="72" t="s">
        <v>787</v>
      </c>
      <c r="F139" s="72" t="s">
        <v>800</v>
      </c>
      <c r="G139" s="289" t="s">
        <v>3083</v>
      </c>
      <c r="H139" s="166" t="s">
        <v>3269</v>
      </c>
      <c r="I139" s="142">
        <v>3</v>
      </c>
      <c r="J139" s="143">
        <v>5</v>
      </c>
      <c r="K139" s="143">
        <v>4</v>
      </c>
      <c r="L139" s="143">
        <v>4</v>
      </c>
      <c r="M139" s="143">
        <v>1</v>
      </c>
      <c r="N139" s="201">
        <v>3</v>
      </c>
      <c r="O139" s="294" t="s">
        <v>2910</v>
      </c>
      <c r="P139" s="325" t="s">
        <v>2915</v>
      </c>
      <c r="Q139" s="298"/>
      <c r="R139" s="209">
        <v>35612</v>
      </c>
      <c r="S139" s="301"/>
      <c r="T139" s="81">
        <v>1</v>
      </c>
      <c r="U139" s="78"/>
      <c r="V139" s="69"/>
      <c r="W139" s="69">
        <v>1</v>
      </c>
      <c r="X139" s="69">
        <v>1</v>
      </c>
      <c r="Y139" s="69"/>
      <c r="Z139" s="69"/>
      <c r="AA139" s="69"/>
      <c r="AB139" s="49"/>
    </row>
    <row r="140" spans="1:28" ht="15.6" customHeight="1" x14ac:dyDescent="0.2">
      <c r="A140" s="212">
        <v>138</v>
      </c>
      <c r="B140" s="159" t="str">
        <f t="shared" si="2"/>
        <v>Senecio rigidus</v>
      </c>
      <c r="C140" s="160" t="s">
        <v>703</v>
      </c>
      <c r="D140" s="72" t="s">
        <v>0</v>
      </c>
      <c r="E140" s="72" t="s">
        <v>787</v>
      </c>
      <c r="F140" s="72" t="s">
        <v>801</v>
      </c>
      <c r="G140" s="289" t="s">
        <v>3084</v>
      </c>
      <c r="H140" s="166" t="s">
        <v>3239</v>
      </c>
      <c r="I140" s="142">
        <v>2</v>
      </c>
      <c r="J140" s="143">
        <v>4</v>
      </c>
      <c r="K140" s="143">
        <v>4</v>
      </c>
      <c r="L140" s="143">
        <v>2</v>
      </c>
      <c r="M140" s="143">
        <v>1</v>
      </c>
      <c r="N140" s="201">
        <v>3</v>
      </c>
      <c r="O140" s="294" t="s">
        <v>2914</v>
      </c>
      <c r="P140" s="325" t="s">
        <v>3032</v>
      </c>
      <c r="Q140" s="298"/>
      <c r="R140" s="209">
        <v>36892</v>
      </c>
      <c r="S140" s="301"/>
      <c r="T140" s="81">
        <v>1</v>
      </c>
      <c r="U140" s="78"/>
      <c r="V140" s="69"/>
      <c r="W140" s="69"/>
      <c r="X140" s="69"/>
      <c r="Y140" s="69"/>
      <c r="Z140" s="69"/>
      <c r="AA140" s="69">
        <v>1</v>
      </c>
      <c r="AB140" s="49"/>
    </row>
    <row r="141" spans="1:28" ht="15.6" customHeight="1" x14ac:dyDescent="0.2">
      <c r="A141" s="212">
        <v>139</v>
      </c>
      <c r="B141" s="159" t="str">
        <f t="shared" si="2"/>
        <v>Senecio rosmarinifolius</v>
      </c>
      <c r="C141" s="160" t="s">
        <v>703</v>
      </c>
      <c r="D141" s="72"/>
      <c r="E141" s="72" t="s">
        <v>787</v>
      </c>
      <c r="F141" s="72" t="s">
        <v>802</v>
      </c>
      <c r="G141" s="289" t="s">
        <v>3085</v>
      </c>
      <c r="H141" s="166" t="s">
        <v>3271</v>
      </c>
      <c r="I141" s="142">
        <v>2</v>
      </c>
      <c r="J141" s="143">
        <v>5</v>
      </c>
      <c r="K141" s="143">
        <v>3</v>
      </c>
      <c r="L141" s="143">
        <v>3</v>
      </c>
      <c r="M141" s="143">
        <v>1</v>
      </c>
      <c r="N141" s="201">
        <v>3</v>
      </c>
      <c r="O141" s="294" t="s">
        <v>2914</v>
      </c>
      <c r="P141" s="325" t="s">
        <v>3032</v>
      </c>
      <c r="Q141" s="298"/>
      <c r="R141" s="209"/>
      <c r="S141" s="301"/>
      <c r="T141" s="81">
        <v>1</v>
      </c>
      <c r="U141" s="78">
        <v>1</v>
      </c>
      <c r="V141" s="69"/>
      <c r="W141" s="69"/>
      <c r="X141" s="69"/>
      <c r="Y141" s="69"/>
      <c r="Z141" s="69"/>
      <c r="AA141" s="69"/>
      <c r="AB141" s="49"/>
    </row>
    <row r="142" spans="1:28" ht="15.6" customHeight="1" x14ac:dyDescent="0.2">
      <c r="A142" s="212">
        <v>140</v>
      </c>
      <c r="B142" s="159" t="str">
        <f t="shared" si="2"/>
        <v>Senecio sophiodes</v>
      </c>
      <c r="C142" s="160" t="s">
        <v>703</v>
      </c>
      <c r="D142" s="72"/>
      <c r="E142" s="72" t="s">
        <v>787</v>
      </c>
      <c r="F142" s="72" t="s">
        <v>803</v>
      </c>
      <c r="G142" s="289" t="s">
        <v>3086</v>
      </c>
      <c r="H142" s="166" t="s">
        <v>3272</v>
      </c>
      <c r="I142" s="142">
        <v>6</v>
      </c>
      <c r="J142" s="143">
        <v>6</v>
      </c>
      <c r="K142" s="143">
        <v>9</v>
      </c>
      <c r="L142" s="143">
        <v>4</v>
      </c>
      <c r="M142" s="143">
        <v>1</v>
      </c>
      <c r="N142" s="201">
        <v>9</v>
      </c>
      <c r="O142" s="294" t="s">
        <v>2910</v>
      </c>
      <c r="P142" s="325" t="s">
        <v>2915</v>
      </c>
      <c r="Q142" s="298"/>
      <c r="R142" s="209">
        <v>35612</v>
      </c>
      <c r="S142" s="301" t="s">
        <v>2250</v>
      </c>
      <c r="T142" s="81"/>
      <c r="U142" s="78">
        <v>1</v>
      </c>
      <c r="V142" s="69">
        <v>1</v>
      </c>
      <c r="W142" s="69"/>
      <c r="X142" s="69"/>
      <c r="Y142" s="69"/>
      <c r="Z142" s="69"/>
      <c r="AA142" s="69"/>
      <c r="AB142" s="49"/>
    </row>
    <row r="143" spans="1:28" ht="15.6" customHeight="1" x14ac:dyDescent="0.2">
      <c r="A143" s="212">
        <v>141</v>
      </c>
      <c r="B143" s="159" t="str">
        <f t="shared" si="2"/>
        <v>Senecio triqueter</v>
      </c>
      <c r="C143" s="160" t="s">
        <v>703</v>
      </c>
      <c r="D143" s="72"/>
      <c r="E143" s="72" t="s">
        <v>787</v>
      </c>
      <c r="F143" s="72" t="s">
        <v>804</v>
      </c>
      <c r="G143" s="289" t="s">
        <v>3087</v>
      </c>
      <c r="H143" s="166" t="s">
        <v>3215</v>
      </c>
      <c r="I143" s="142">
        <v>2</v>
      </c>
      <c r="J143" s="143">
        <v>6</v>
      </c>
      <c r="K143" s="143">
        <v>3</v>
      </c>
      <c r="L143" s="143">
        <v>3</v>
      </c>
      <c r="M143" s="143">
        <v>2</v>
      </c>
      <c r="N143" s="201">
        <v>5</v>
      </c>
      <c r="O143" s="294" t="s">
        <v>3031</v>
      </c>
      <c r="P143" s="325" t="s">
        <v>3032</v>
      </c>
      <c r="Q143" s="298"/>
      <c r="R143" s="209">
        <v>35612</v>
      </c>
      <c r="S143" s="301"/>
      <c r="T143" s="81">
        <v>1</v>
      </c>
      <c r="U143" s="78"/>
      <c r="V143" s="69"/>
      <c r="W143" s="69"/>
      <c r="X143" s="69">
        <v>1</v>
      </c>
      <c r="Y143" s="69"/>
      <c r="Z143" s="69"/>
      <c r="AA143" s="69"/>
      <c r="AB143" s="49"/>
    </row>
    <row r="144" spans="1:28" ht="15.6" customHeight="1" x14ac:dyDescent="0.2">
      <c r="A144" s="212">
        <v>142</v>
      </c>
      <c r="B144" s="159" t="str">
        <f t="shared" si="2"/>
        <v>Stoebe cinerea</v>
      </c>
      <c r="C144" s="160" t="s">
        <v>703</v>
      </c>
      <c r="D144" s="72" t="s">
        <v>1</v>
      </c>
      <c r="E144" s="72" t="s">
        <v>805</v>
      </c>
      <c r="F144" s="72" t="s">
        <v>806</v>
      </c>
      <c r="G144" s="289" t="s">
        <v>3088</v>
      </c>
      <c r="H144" s="166" t="s">
        <v>3273</v>
      </c>
      <c r="I144" s="142">
        <v>2</v>
      </c>
      <c r="J144" s="143">
        <v>4</v>
      </c>
      <c r="K144" s="143" t="s">
        <v>2690</v>
      </c>
      <c r="L144" s="143">
        <v>3</v>
      </c>
      <c r="M144" s="143">
        <v>2</v>
      </c>
      <c r="N144" s="201" t="s">
        <v>2690</v>
      </c>
      <c r="O144" s="294" t="s">
        <v>2168</v>
      </c>
      <c r="P144" s="325" t="s">
        <v>3032</v>
      </c>
      <c r="Q144" s="298"/>
      <c r="R144" s="209">
        <v>36923</v>
      </c>
      <c r="S144" s="301" t="s">
        <v>2250</v>
      </c>
      <c r="T144" s="81"/>
      <c r="U144" s="78"/>
      <c r="V144" s="69"/>
      <c r="W144" s="69"/>
      <c r="X144" s="69">
        <v>1</v>
      </c>
      <c r="Y144" s="69"/>
      <c r="Z144" s="69"/>
      <c r="AA144" s="69"/>
      <c r="AB144" s="49"/>
    </row>
    <row r="145" spans="1:28" ht="15.6" customHeight="1" x14ac:dyDescent="0.2">
      <c r="A145" s="212">
        <v>143</v>
      </c>
      <c r="B145" s="159" t="str">
        <f t="shared" si="2"/>
        <v>Stoebe incana</v>
      </c>
      <c r="C145" s="160" t="s">
        <v>703</v>
      </c>
      <c r="D145" s="72"/>
      <c r="E145" s="72" t="s">
        <v>805</v>
      </c>
      <c r="F145" s="72" t="s">
        <v>807</v>
      </c>
      <c r="G145" s="289" t="s">
        <v>3089</v>
      </c>
      <c r="H145" s="166" t="s">
        <v>3248</v>
      </c>
      <c r="I145" s="142">
        <v>2</v>
      </c>
      <c r="J145" s="143">
        <v>5</v>
      </c>
      <c r="K145" s="143">
        <v>2</v>
      </c>
      <c r="L145" s="143">
        <v>3</v>
      </c>
      <c r="M145" s="143">
        <v>2</v>
      </c>
      <c r="N145" s="201">
        <v>5</v>
      </c>
      <c r="O145" s="294" t="s">
        <v>2914</v>
      </c>
      <c r="P145" s="325" t="s">
        <v>3032</v>
      </c>
      <c r="Q145" s="298"/>
      <c r="R145" s="209">
        <v>35612</v>
      </c>
      <c r="S145" s="301"/>
      <c r="T145" s="81">
        <v>1</v>
      </c>
      <c r="U145" s="78"/>
      <c r="V145" s="69"/>
      <c r="W145" s="69">
        <v>1</v>
      </c>
      <c r="X145" s="69">
        <v>1</v>
      </c>
      <c r="Y145" s="69"/>
      <c r="Z145" s="69"/>
      <c r="AA145" s="69"/>
      <c r="AB145" s="49"/>
    </row>
    <row r="146" spans="1:28" ht="15.6" customHeight="1" x14ac:dyDescent="0.2">
      <c r="A146" s="212">
        <v>144</v>
      </c>
      <c r="B146" s="159" t="str">
        <f t="shared" si="2"/>
        <v>Stoebe plumosa</v>
      </c>
      <c r="C146" s="160" t="s">
        <v>703</v>
      </c>
      <c r="D146" s="72" t="s">
        <v>2</v>
      </c>
      <c r="E146" s="72" t="s">
        <v>805</v>
      </c>
      <c r="F146" s="72" t="s">
        <v>808</v>
      </c>
      <c r="G146" s="289" t="s">
        <v>3090</v>
      </c>
      <c r="H146" s="166" t="s">
        <v>3248</v>
      </c>
      <c r="I146" s="142">
        <v>2</v>
      </c>
      <c r="J146" s="143">
        <v>5</v>
      </c>
      <c r="K146" s="143">
        <v>2</v>
      </c>
      <c r="L146" s="143">
        <v>6</v>
      </c>
      <c r="M146" s="143">
        <v>2</v>
      </c>
      <c r="N146" s="201">
        <v>5</v>
      </c>
      <c r="O146" s="294" t="s">
        <v>2168</v>
      </c>
      <c r="P146" s="325" t="s">
        <v>3032</v>
      </c>
      <c r="Q146" s="298"/>
      <c r="R146" s="209">
        <v>35612</v>
      </c>
      <c r="S146" s="301"/>
      <c r="T146" s="81">
        <v>1</v>
      </c>
      <c r="U146" s="78">
        <v>1</v>
      </c>
      <c r="V146" s="69"/>
      <c r="W146" s="69">
        <v>1</v>
      </c>
      <c r="X146" s="69">
        <v>1</v>
      </c>
      <c r="Y146" s="69"/>
      <c r="Z146" s="69"/>
      <c r="AA146" s="69"/>
      <c r="AB146" s="49"/>
    </row>
    <row r="147" spans="1:28" ht="15.6" customHeight="1" x14ac:dyDescent="0.2">
      <c r="A147" s="212">
        <v>145</v>
      </c>
      <c r="B147" s="159" t="str">
        <f t="shared" si="2"/>
        <v>Syncarpha argyropsis</v>
      </c>
      <c r="C147" s="160" t="s">
        <v>703</v>
      </c>
      <c r="D147" s="72" t="s">
        <v>3</v>
      </c>
      <c r="E147" s="72" t="s">
        <v>809</v>
      </c>
      <c r="F147" s="72" t="s">
        <v>810</v>
      </c>
      <c r="G147" s="289" t="s">
        <v>3091</v>
      </c>
      <c r="H147" s="166" t="s">
        <v>3223</v>
      </c>
      <c r="I147" s="142">
        <v>2</v>
      </c>
      <c r="J147" s="143">
        <v>5</v>
      </c>
      <c r="K147" s="143">
        <v>2</v>
      </c>
      <c r="L147" s="143">
        <v>2</v>
      </c>
      <c r="M147" s="143">
        <v>1</v>
      </c>
      <c r="N147" s="201">
        <v>3</v>
      </c>
      <c r="O147" s="294" t="s">
        <v>2914</v>
      </c>
      <c r="P147" s="325" t="s">
        <v>3032</v>
      </c>
      <c r="Q147" s="298"/>
      <c r="R147" s="209">
        <v>35612</v>
      </c>
      <c r="S147" s="301"/>
      <c r="T147" s="81">
        <v>1</v>
      </c>
      <c r="U147" s="78"/>
      <c r="V147" s="69">
        <v>1</v>
      </c>
      <c r="W147" s="69"/>
      <c r="X147" s="69"/>
      <c r="Y147" s="69"/>
      <c r="Z147" s="69"/>
      <c r="AA147" s="69"/>
      <c r="AB147" s="49"/>
    </row>
    <row r="148" spans="1:28" ht="15.6" customHeight="1" x14ac:dyDescent="0.2">
      <c r="A148" s="212">
        <v>146</v>
      </c>
      <c r="B148" s="159" t="str">
        <f t="shared" si="2"/>
        <v>Syncarpha canescens</v>
      </c>
      <c r="C148" s="160" t="s">
        <v>703</v>
      </c>
      <c r="D148" s="72" t="s">
        <v>4</v>
      </c>
      <c r="E148" s="72" t="s">
        <v>809</v>
      </c>
      <c r="F148" s="72" t="s">
        <v>811</v>
      </c>
      <c r="G148" s="289" t="s">
        <v>3092</v>
      </c>
      <c r="H148" s="166" t="s">
        <v>3215</v>
      </c>
      <c r="I148" s="142">
        <v>2</v>
      </c>
      <c r="J148" s="143">
        <v>6</v>
      </c>
      <c r="K148" s="143">
        <v>9</v>
      </c>
      <c r="L148" s="143">
        <v>2</v>
      </c>
      <c r="M148" s="143">
        <v>1</v>
      </c>
      <c r="N148" s="201">
        <v>5</v>
      </c>
      <c r="O148" s="294" t="s">
        <v>2165</v>
      </c>
      <c r="P148" s="325" t="s">
        <v>3032</v>
      </c>
      <c r="Q148" s="298"/>
      <c r="R148" s="209">
        <v>35431</v>
      </c>
      <c r="S148" s="301" t="s">
        <v>2250</v>
      </c>
      <c r="T148" s="81"/>
      <c r="U148" s="78"/>
      <c r="V148" s="69">
        <v>1</v>
      </c>
      <c r="W148" s="69"/>
      <c r="X148" s="69"/>
      <c r="Y148" s="69"/>
      <c r="Z148" s="69"/>
      <c r="AA148" s="69"/>
      <c r="AB148" s="49"/>
    </row>
    <row r="149" spans="1:28" ht="15.6" customHeight="1" x14ac:dyDescent="0.2">
      <c r="A149" s="212">
        <v>147</v>
      </c>
      <c r="B149" s="159" t="str">
        <f t="shared" si="2"/>
        <v>Syncarpha gnaphaloides</v>
      </c>
      <c r="C149" s="160" t="s">
        <v>703</v>
      </c>
      <c r="D149" s="72"/>
      <c r="E149" s="72" t="s">
        <v>809</v>
      </c>
      <c r="F149" s="72" t="s">
        <v>812</v>
      </c>
      <c r="G149" s="289" t="s">
        <v>3093</v>
      </c>
      <c r="H149" s="166" t="s">
        <v>3267</v>
      </c>
      <c r="I149" s="142">
        <v>2</v>
      </c>
      <c r="J149" s="143">
        <v>6</v>
      </c>
      <c r="K149" s="143">
        <v>3</v>
      </c>
      <c r="L149" s="143">
        <v>3</v>
      </c>
      <c r="M149" s="143">
        <v>1</v>
      </c>
      <c r="N149" s="201">
        <v>3</v>
      </c>
      <c r="O149" s="294" t="s">
        <v>3031</v>
      </c>
      <c r="P149" s="325" t="s">
        <v>3032</v>
      </c>
      <c r="Q149" s="298"/>
      <c r="R149" s="209">
        <v>37316</v>
      </c>
      <c r="S149" s="301"/>
      <c r="T149" s="81">
        <v>1</v>
      </c>
      <c r="U149" s="78"/>
      <c r="V149" s="69"/>
      <c r="W149" s="69"/>
      <c r="X149" s="69">
        <v>1</v>
      </c>
      <c r="Y149" s="69"/>
      <c r="Z149" s="69"/>
      <c r="AA149" s="69"/>
      <c r="AB149" s="49"/>
    </row>
    <row r="150" spans="1:28" ht="15.6" customHeight="1" x14ac:dyDescent="0.2">
      <c r="A150" s="212">
        <v>148</v>
      </c>
      <c r="B150" s="159" t="str">
        <f t="shared" si="2"/>
        <v>Trichogyne repens</v>
      </c>
      <c r="C150" s="160" t="s">
        <v>703</v>
      </c>
      <c r="D150" s="72" t="s">
        <v>5</v>
      </c>
      <c r="E150" s="72" t="s">
        <v>813</v>
      </c>
      <c r="F150" s="72" t="s">
        <v>814</v>
      </c>
      <c r="G150" s="289" t="s">
        <v>3094</v>
      </c>
      <c r="H150" s="166" t="s">
        <v>3215</v>
      </c>
      <c r="I150" s="142">
        <v>2</v>
      </c>
      <c r="J150" s="143">
        <v>6</v>
      </c>
      <c r="K150" s="143">
        <v>3</v>
      </c>
      <c r="L150" s="143">
        <v>3</v>
      </c>
      <c r="M150" s="143">
        <v>2</v>
      </c>
      <c r="N150" s="201">
        <v>5</v>
      </c>
      <c r="O150" s="294" t="s">
        <v>3031</v>
      </c>
      <c r="P150" s="325" t="s">
        <v>3032</v>
      </c>
      <c r="Q150" s="298"/>
      <c r="R150" s="209">
        <v>35612</v>
      </c>
      <c r="S150" s="301"/>
      <c r="T150" s="81">
        <v>1</v>
      </c>
      <c r="U150" s="78">
        <v>1</v>
      </c>
      <c r="V150" s="69"/>
      <c r="W150" s="69"/>
      <c r="X150" s="69"/>
      <c r="Y150" s="69"/>
      <c r="Z150" s="69"/>
      <c r="AA150" s="69"/>
      <c r="AB150" s="49"/>
    </row>
    <row r="151" spans="1:28" ht="15.6" customHeight="1" x14ac:dyDescent="0.2">
      <c r="A151" s="212">
        <v>149</v>
      </c>
      <c r="B151" s="159" t="str">
        <f t="shared" si="2"/>
        <v>Ursinia anthemoides ssp. anthemoides</v>
      </c>
      <c r="C151" s="160" t="s">
        <v>703</v>
      </c>
      <c r="D151" s="72" t="s">
        <v>6</v>
      </c>
      <c r="E151" s="72" t="s">
        <v>815</v>
      </c>
      <c r="F151" s="74" t="s">
        <v>466</v>
      </c>
      <c r="G151" s="289" t="s">
        <v>3095</v>
      </c>
      <c r="H151" s="166" t="s">
        <v>3235</v>
      </c>
      <c r="I151" s="142">
        <v>6</v>
      </c>
      <c r="J151" s="143">
        <v>6</v>
      </c>
      <c r="K151" s="143">
        <v>4</v>
      </c>
      <c r="L151" s="143">
        <v>5</v>
      </c>
      <c r="M151" s="143">
        <v>1</v>
      </c>
      <c r="N151" s="201">
        <v>3</v>
      </c>
      <c r="O151" s="294" t="s">
        <v>2910</v>
      </c>
      <c r="P151" s="325" t="s">
        <v>2915</v>
      </c>
      <c r="Q151" s="298"/>
      <c r="R151" s="209">
        <v>37165</v>
      </c>
      <c r="S151" s="301"/>
      <c r="T151" s="81">
        <v>1</v>
      </c>
      <c r="U151" s="78"/>
      <c r="V151" s="69"/>
      <c r="W151" s="69"/>
      <c r="X151" s="69">
        <v>1</v>
      </c>
      <c r="Y151" s="69"/>
      <c r="Z151" s="69"/>
      <c r="AA151" s="69"/>
      <c r="AB151" s="49"/>
    </row>
    <row r="152" spans="1:28" ht="15.6" customHeight="1" x14ac:dyDescent="0.2">
      <c r="A152" s="212">
        <v>150</v>
      </c>
      <c r="B152" s="159" t="str">
        <f t="shared" si="2"/>
        <v>Ursinia dentata</v>
      </c>
      <c r="C152" s="160" t="s">
        <v>703</v>
      </c>
      <c r="D152" s="72"/>
      <c r="E152" s="72" t="s">
        <v>815</v>
      </c>
      <c r="F152" s="72" t="s">
        <v>712</v>
      </c>
      <c r="G152" s="289" t="s">
        <v>3096</v>
      </c>
      <c r="H152" s="166" t="s">
        <v>3274</v>
      </c>
      <c r="I152" s="142">
        <v>2</v>
      </c>
      <c r="J152" s="143">
        <v>6</v>
      </c>
      <c r="K152" s="143">
        <v>3</v>
      </c>
      <c r="L152" s="143">
        <v>5</v>
      </c>
      <c r="M152" s="143">
        <v>1</v>
      </c>
      <c r="N152" s="201">
        <v>4</v>
      </c>
      <c r="O152" s="294" t="s">
        <v>3031</v>
      </c>
      <c r="P152" s="325" t="s">
        <v>3032</v>
      </c>
      <c r="Q152" s="298"/>
      <c r="R152" s="209">
        <v>35612</v>
      </c>
      <c r="S152" s="301"/>
      <c r="T152" s="81">
        <v>1</v>
      </c>
      <c r="U152" s="78">
        <v>1</v>
      </c>
      <c r="V152" s="69">
        <v>1</v>
      </c>
      <c r="W152" s="69">
        <v>1</v>
      </c>
      <c r="X152" s="69">
        <v>1</v>
      </c>
      <c r="Y152" s="69"/>
      <c r="Z152" s="69"/>
      <c r="AA152" s="69"/>
      <c r="AB152" s="49"/>
    </row>
    <row r="153" spans="1:28" ht="15.6" customHeight="1" x14ac:dyDescent="0.2">
      <c r="A153" s="212">
        <v>151</v>
      </c>
      <c r="B153" s="159" t="str">
        <f t="shared" si="2"/>
        <v>Ursinia nudicaulis</v>
      </c>
      <c r="C153" s="160" t="s">
        <v>703</v>
      </c>
      <c r="D153" s="72"/>
      <c r="E153" s="72" t="s">
        <v>815</v>
      </c>
      <c r="F153" s="72" t="s">
        <v>731</v>
      </c>
      <c r="G153" s="289" t="s">
        <v>3097</v>
      </c>
      <c r="H153" s="166" t="s">
        <v>3274</v>
      </c>
      <c r="I153" s="142">
        <v>2</v>
      </c>
      <c r="J153" s="143">
        <v>6</v>
      </c>
      <c r="K153" s="143">
        <v>4</v>
      </c>
      <c r="L153" s="143">
        <v>5</v>
      </c>
      <c r="M153" s="143">
        <v>1</v>
      </c>
      <c r="N153" s="201">
        <v>3</v>
      </c>
      <c r="O153" s="294" t="s">
        <v>3031</v>
      </c>
      <c r="P153" s="325" t="s">
        <v>3032</v>
      </c>
      <c r="Q153" s="298"/>
      <c r="R153" s="209">
        <v>37561</v>
      </c>
      <c r="S153" s="301"/>
      <c r="T153" s="81">
        <v>1</v>
      </c>
      <c r="U153" s="78"/>
      <c r="V153" s="69"/>
      <c r="W153" s="69"/>
      <c r="X153" s="69">
        <v>1</v>
      </c>
      <c r="Y153" s="69"/>
      <c r="Z153" s="69"/>
      <c r="AA153" s="69"/>
      <c r="AB153" s="49"/>
    </row>
    <row r="154" spans="1:28" ht="15.6" customHeight="1" x14ac:dyDescent="0.2">
      <c r="A154" s="212">
        <v>152</v>
      </c>
      <c r="B154" s="159" t="str">
        <f t="shared" si="2"/>
        <v>Ursinia paleaecea</v>
      </c>
      <c r="C154" s="160" t="s">
        <v>703</v>
      </c>
      <c r="D154" s="72"/>
      <c r="E154" s="72" t="s">
        <v>815</v>
      </c>
      <c r="F154" s="72" t="s">
        <v>816</v>
      </c>
      <c r="G154" s="289" t="s">
        <v>3098</v>
      </c>
      <c r="H154" s="166" t="s">
        <v>3257</v>
      </c>
      <c r="I154" s="142">
        <v>2</v>
      </c>
      <c r="J154" s="143">
        <v>5</v>
      </c>
      <c r="K154" s="143">
        <v>4</v>
      </c>
      <c r="L154" s="143">
        <v>5</v>
      </c>
      <c r="M154" s="143">
        <v>1</v>
      </c>
      <c r="N154" s="201">
        <v>3</v>
      </c>
      <c r="O154" s="294" t="s">
        <v>2914</v>
      </c>
      <c r="P154" s="325" t="s">
        <v>3032</v>
      </c>
      <c r="Q154" s="298"/>
      <c r="R154" s="209">
        <v>38139</v>
      </c>
      <c r="S154" s="301"/>
      <c r="T154" s="81">
        <v>1</v>
      </c>
      <c r="U154" s="78"/>
      <c r="V154" s="69"/>
      <c r="W154" s="69"/>
      <c r="X154" s="69">
        <v>1</v>
      </c>
      <c r="Y154" s="69"/>
      <c r="Z154" s="69"/>
      <c r="AA154" s="69"/>
      <c r="AB154" s="49"/>
    </row>
    <row r="155" spans="1:28" ht="15.6" customHeight="1" x14ac:dyDescent="0.2">
      <c r="A155" s="212">
        <v>153</v>
      </c>
      <c r="B155" s="159" t="str">
        <f t="shared" si="2"/>
        <v>Ursinia punctata</v>
      </c>
      <c r="C155" s="160" t="s">
        <v>703</v>
      </c>
      <c r="D155" s="72"/>
      <c r="E155" s="72" t="s">
        <v>815</v>
      </c>
      <c r="F155" s="72" t="s">
        <v>817</v>
      </c>
      <c r="G155" s="289" t="s">
        <v>3099</v>
      </c>
      <c r="H155" s="166" t="s">
        <v>3257</v>
      </c>
      <c r="I155" s="142">
        <v>2</v>
      </c>
      <c r="J155" s="143">
        <v>5</v>
      </c>
      <c r="K155" s="143">
        <v>4</v>
      </c>
      <c r="L155" s="143">
        <v>5</v>
      </c>
      <c r="M155" s="143">
        <v>1</v>
      </c>
      <c r="N155" s="201">
        <v>4</v>
      </c>
      <c r="O155" s="294" t="s">
        <v>3031</v>
      </c>
      <c r="P155" s="325" t="s">
        <v>3032</v>
      </c>
      <c r="Q155" s="298"/>
      <c r="R155" s="209">
        <v>35612</v>
      </c>
      <c r="S155" s="301"/>
      <c r="T155" s="81">
        <v>1</v>
      </c>
      <c r="U155" s="78"/>
      <c r="V155" s="69"/>
      <c r="W155" s="69"/>
      <c r="X155" s="69">
        <v>1</v>
      </c>
      <c r="Y155" s="69"/>
      <c r="Z155" s="69"/>
      <c r="AA155" s="69"/>
      <c r="AB155" s="49"/>
    </row>
    <row r="156" spans="1:28" ht="15.6" customHeight="1" x14ac:dyDescent="0.2">
      <c r="A156" s="212">
        <v>154</v>
      </c>
      <c r="B156" s="159" t="str">
        <f t="shared" si="2"/>
        <v>Ursinia tenuifolia ssp. ciliaris</v>
      </c>
      <c r="C156" s="160" t="s">
        <v>703</v>
      </c>
      <c r="D156" s="72"/>
      <c r="E156" s="72" t="s">
        <v>815</v>
      </c>
      <c r="F156" s="72" t="s">
        <v>1867</v>
      </c>
      <c r="G156" s="289" t="s">
        <v>3100</v>
      </c>
      <c r="H156" s="166" t="s">
        <v>3275</v>
      </c>
      <c r="I156" s="142">
        <v>2</v>
      </c>
      <c r="J156" s="143">
        <v>6</v>
      </c>
      <c r="K156" s="143">
        <v>4</v>
      </c>
      <c r="L156" s="143">
        <v>3</v>
      </c>
      <c r="M156" s="143">
        <v>2</v>
      </c>
      <c r="N156" s="201">
        <v>2</v>
      </c>
      <c r="O156" s="294" t="s">
        <v>3031</v>
      </c>
      <c r="P156" s="325" t="s">
        <v>3032</v>
      </c>
      <c r="Q156" s="298"/>
      <c r="R156" s="209">
        <v>37530</v>
      </c>
      <c r="S156" s="301"/>
      <c r="T156" s="81">
        <v>1</v>
      </c>
      <c r="U156" s="78"/>
      <c r="V156" s="69"/>
      <c r="W156" s="69">
        <v>1</v>
      </c>
      <c r="X156" s="69">
        <v>1</v>
      </c>
      <c r="Y156" s="69"/>
      <c r="Z156" s="69"/>
      <c r="AA156" s="69"/>
      <c r="AB156" s="49"/>
    </row>
    <row r="157" spans="1:28" ht="15.6" customHeight="1" x14ac:dyDescent="0.2">
      <c r="A157" s="212">
        <v>155</v>
      </c>
      <c r="B157" s="159" t="str">
        <f t="shared" si="2"/>
        <v>Vellereophyton dealbatum</v>
      </c>
      <c r="C157" s="160" t="s">
        <v>703</v>
      </c>
      <c r="D157" s="72"/>
      <c r="E157" s="72" t="s">
        <v>818</v>
      </c>
      <c r="F157" s="72" t="s">
        <v>819</v>
      </c>
      <c r="G157" s="289" t="s">
        <v>3101</v>
      </c>
      <c r="H157" s="166" t="s">
        <v>3256</v>
      </c>
      <c r="I157" s="142">
        <v>6</v>
      </c>
      <c r="J157" s="143">
        <v>6</v>
      </c>
      <c r="K157" s="143">
        <v>2</v>
      </c>
      <c r="L157" s="143">
        <v>2</v>
      </c>
      <c r="M157" s="143">
        <v>1</v>
      </c>
      <c r="N157" s="201">
        <v>4</v>
      </c>
      <c r="O157" s="294" t="s">
        <v>2910</v>
      </c>
      <c r="P157" s="325" t="s">
        <v>2170</v>
      </c>
      <c r="Q157" s="298"/>
      <c r="R157" s="209">
        <v>35612</v>
      </c>
      <c r="S157" s="301"/>
      <c r="T157" s="81">
        <v>1</v>
      </c>
      <c r="U157" s="78">
        <v>1</v>
      </c>
      <c r="V157" s="69"/>
      <c r="W157" s="69"/>
      <c r="X157" s="69"/>
      <c r="Y157" s="69"/>
      <c r="Z157" s="69"/>
      <c r="AA157" s="69"/>
      <c r="AB157" s="49"/>
    </row>
    <row r="158" spans="1:28" ht="15.6" customHeight="1" x14ac:dyDescent="0.2">
      <c r="A158" s="212">
        <v>156</v>
      </c>
      <c r="B158" s="159" t="str">
        <f t="shared" si="2"/>
        <v>Mystropetalon thomii</v>
      </c>
      <c r="C158" s="160" t="s">
        <v>820</v>
      </c>
      <c r="D158" s="72" t="s">
        <v>7</v>
      </c>
      <c r="E158" s="72" t="s">
        <v>821</v>
      </c>
      <c r="F158" s="72" t="s">
        <v>822</v>
      </c>
      <c r="G158" s="289" t="s">
        <v>3103</v>
      </c>
      <c r="H158" s="166" t="s">
        <v>3276</v>
      </c>
      <c r="I158" s="142">
        <v>9</v>
      </c>
      <c r="J158" s="143">
        <v>6</v>
      </c>
      <c r="K158" s="143">
        <v>0</v>
      </c>
      <c r="L158" s="143">
        <v>7</v>
      </c>
      <c r="M158" s="143">
        <v>0</v>
      </c>
      <c r="N158" s="201">
        <v>0</v>
      </c>
      <c r="O158" s="294" t="s">
        <v>2916</v>
      </c>
      <c r="P158" s="325" t="s">
        <v>3032</v>
      </c>
      <c r="Q158" s="298"/>
      <c r="R158" s="209">
        <v>37347</v>
      </c>
      <c r="S158" s="301"/>
      <c r="T158" s="81">
        <v>1</v>
      </c>
      <c r="U158" s="78"/>
      <c r="V158" s="69"/>
      <c r="W158" s="69">
        <v>1</v>
      </c>
      <c r="X158" s="69"/>
      <c r="Y158" s="69"/>
      <c r="Z158" s="69"/>
      <c r="AA158" s="69"/>
      <c r="AB158" s="49"/>
    </row>
    <row r="159" spans="1:28" ht="15.6" customHeight="1" x14ac:dyDescent="0.2">
      <c r="A159" s="212">
        <v>157</v>
      </c>
      <c r="B159" s="159" t="str">
        <f t="shared" si="2"/>
        <v>Blechnum attenuatum</v>
      </c>
      <c r="C159" s="160" t="s">
        <v>823</v>
      </c>
      <c r="D159" s="72"/>
      <c r="E159" s="72" t="s">
        <v>824</v>
      </c>
      <c r="F159" s="72" t="s">
        <v>825</v>
      </c>
      <c r="G159" s="289" t="s">
        <v>3104</v>
      </c>
      <c r="H159" s="166" t="s">
        <v>3245</v>
      </c>
      <c r="I159" s="142">
        <v>3</v>
      </c>
      <c r="J159" s="143">
        <v>6</v>
      </c>
      <c r="K159" s="143">
        <v>3</v>
      </c>
      <c r="L159" s="143">
        <v>5</v>
      </c>
      <c r="M159" s="143">
        <v>1</v>
      </c>
      <c r="N159" s="201">
        <v>1</v>
      </c>
      <c r="O159" s="294" t="s">
        <v>2171</v>
      </c>
      <c r="P159" s="325" t="s">
        <v>3032</v>
      </c>
      <c r="Q159" s="298"/>
      <c r="R159" s="209">
        <v>36586</v>
      </c>
      <c r="S159" s="301"/>
      <c r="T159" s="81">
        <v>1</v>
      </c>
      <c r="U159" s="78"/>
      <c r="V159" s="69"/>
      <c r="W159" s="69"/>
      <c r="X159" s="69"/>
      <c r="Y159" s="69"/>
      <c r="Z159" s="69">
        <v>1</v>
      </c>
      <c r="AA159" s="69"/>
      <c r="AB159" s="49"/>
    </row>
    <row r="160" spans="1:28" ht="15.6" customHeight="1" x14ac:dyDescent="0.2">
      <c r="A160" s="212">
        <v>158</v>
      </c>
      <c r="B160" s="159" t="str">
        <f t="shared" si="2"/>
        <v>Lobostemon argenteus</v>
      </c>
      <c r="C160" s="160" t="s">
        <v>826</v>
      </c>
      <c r="D160" s="72"/>
      <c r="E160" s="72" t="s">
        <v>827</v>
      </c>
      <c r="F160" s="72" t="s">
        <v>828</v>
      </c>
      <c r="G160" s="289" t="s">
        <v>3105</v>
      </c>
      <c r="H160" s="166" t="s">
        <v>3260</v>
      </c>
      <c r="I160" s="142">
        <v>2</v>
      </c>
      <c r="J160" s="143">
        <v>6</v>
      </c>
      <c r="K160" s="143">
        <v>2</v>
      </c>
      <c r="L160" s="143">
        <v>2</v>
      </c>
      <c r="M160" s="143">
        <v>1</v>
      </c>
      <c r="N160" s="201">
        <v>2</v>
      </c>
      <c r="O160" s="294" t="s">
        <v>2914</v>
      </c>
      <c r="P160" s="325" t="s">
        <v>3032</v>
      </c>
      <c r="Q160" s="298"/>
      <c r="R160" s="209">
        <v>35612</v>
      </c>
      <c r="S160" s="301"/>
      <c r="T160" s="81">
        <v>1</v>
      </c>
      <c r="U160" s="78"/>
      <c r="V160" s="69">
        <v>1</v>
      </c>
      <c r="W160" s="69"/>
      <c r="X160" s="69">
        <v>1</v>
      </c>
      <c r="Y160" s="69"/>
      <c r="Z160" s="69"/>
      <c r="AA160" s="69"/>
      <c r="AB160" s="49"/>
    </row>
    <row r="161" spans="1:28" ht="15.6" customHeight="1" x14ac:dyDescent="0.2">
      <c r="A161" s="212">
        <v>159</v>
      </c>
      <c r="B161" s="159" t="str">
        <f t="shared" si="2"/>
        <v>Lobostemon montanus</v>
      </c>
      <c r="C161" s="160" t="s">
        <v>826</v>
      </c>
      <c r="D161" s="72"/>
      <c r="E161" s="72" t="s">
        <v>827</v>
      </c>
      <c r="F161" s="72" t="s">
        <v>829</v>
      </c>
      <c r="G161" s="289" t="s">
        <v>3106</v>
      </c>
      <c r="H161" s="166" t="s">
        <v>3223</v>
      </c>
      <c r="I161" s="142">
        <v>2</v>
      </c>
      <c r="J161" s="143">
        <v>5</v>
      </c>
      <c r="K161" s="143">
        <v>2</v>
      </c>
      <c r="L161" s="143">
        <v>2</v>
      </c>
      <c r="M161" s="143">
        <v>1</v>
      </c>
      <c r="N161" s="201">
        <v>3</v>
      </c>
      <c r="O161" s="294" t="s">
        <v>2168</v>
      </c>
      <c r="P161" s="325" t="s">
        <v>3032</v>
      </c>
      <c r="Q161" s="298"/>
      <c r="R161" s="209">
        <v>36069</v>
      </c>
      <c r="S161" s="301"/>
      <c r="T161" s="81">
        <v>1</v>
      </c>
      <c r="U161" s="78"/>
      <c r="V161" s="69"/>
      <c r="W161" s="69"/>
      <c r="X161" s="69">
        <v>1</v>
      </c>
      <c r="Y161" s="69"/>
      <c r="Z161" s="69"/>
      <c r="AA161" s="69"/>
      <c r="AB161" s="49"/>
    </row>
    <row r="162" spans="1:28" ht="15.6" customHeight="1" x14ac:dyDescent="0.2">
      <c r="A162" s="212">
        <v>160</v>
      </c>
      <c r="B162" s="159" t="str">
        <f t="shared" si="2"/>
        <v>Heliophila africana</v>
      </c>
      <c r="C162" s="160" t="s">
        <v>830</v>
      </c>
      <c r="D162" s="72" t="s">
        <v>8</v>
      </c>
      <c r="E162" s="72" t="s">
        <v>831</v>
      </c>
      <c r="F162" s="72" t="s">
        <v>832</v>
      </c>
      <c r="G162" s="289" t="s">
        <v>3107</v>
      </c>
      <c r="H162" s="166" t="s">
        <v>3277</v>
      </c>
      <c r="I162" s="142">
        <v>6</v>
      </c>
      <c r="J162" s="143">
        <v>4</v>
      </c>
      <c r="K162" s="143">
        <v>4</v>
      </c>
      <c r="L162" s="143">
        <v>3</v>
      </c>
      <c r="M162" s="143">
        <v>1</v>
      </c>
      <c r="N162" s="201">
        <v>3</v>
      </c>
      <c r="O162" s="294" t="s">
        <v>2910</v>
      </c>
      <c r="P162" s="325" t="s">
        <v>2915</v>
      </c>
      <c r="Q162" s="298"/>
      <c r="R162" s="209">
        <v>35612</v>
      </c>
      <c r="S162" s="301"/>
      <c r="T162" s="81">
        <v>1</v>
      </c>
      <c r="U162" s="78">
        <v>1</v>
      </c>
      <c r="V162" s="69">
        <v>1</v>
      </c>
      <c r="W162" s="69">
        <v>1</v>
      </c>
      <c r="X162" s="69">
        <v>1</v>
      </c>
      <c r="Y162" s="69"/>
      <c r="Z162" s="69"/>
      <c r="AA162" s="69"/>
      <c r="AB162" s="49"/>
    </row>
    <row r="163" spans="1:28" ht="15.6" customHeight="1" x14ac:dyDescent="0.2">
      <c r="A163" s="212">
        <v>161</v>
      </c>
      <c r="B163" s="159" t="str">
        <f t="shared" si="2"/>
        <v>Heliophila cf. bulbostyla</v>
      </c>
      <c r="C163" s="160" t="s">
        <v>830</v>
      </c>
      <c r="D163" s="72"/>
      <c r="E163" s="72" t="s">
        <v>831</v>
      </c>
      <c r="F163" s="72" t="s">
        <v>833</v>
      </c>
      <c r="G163" s="289" t="s">
        <v>483</v>
      </c>
      <c r="H163" s="166" t="s">
        <v>3278</v>
      </c>
      <c r="I163" s="142">
        <v>6</v>
      </c>
      <c r="J163" s="143">
        <v>6</v>
      </c>
      <c r="K163" s="143">
        <v>4</v>
      </c>
      <c r="L163" s="143">
        <v>3</v>
      </c>
      <c r="M163" s="143">
        <v>1</v>
      </c>
      <c r="N163" s="201">
        <v>2</v>
      </c>
      <c r="O163" s="294" t="s">
        <v>2910</v>
      </c>
      <c r="P163" s="325" t="s">
        <v>2915</v>
      </c>
      <c r="Q163" s="298"/>
      <c r="R163" s="209">
        <v>37500</v>
      </c>
      <c r="S163" s="301"/>
      <c r="T163" s="81">
        <v>1</v>
      </c>
      <c r="U163" s="78"/>
      <c r="V163" s="69"/>
      <c r="W163" s="69"/>
      <c r="X163" s="69">
        <v>1</v>
      </c>
      <c r="Y163" s="69"/>
      <c r="Z163" s="69"/>
      <c r="AA163" s="69"/>
      <c r="AB163" s="49"/>
    </row>
    <row r="164" spans="1:28" ht="15.6" customHeight="1" x14ac:dyDescent="0.2">
      <c r="A164" s="212">
        <v>162</v>
      </c>
      <c r="B164" s="159" t="str">
        <f t="shared" si="2"/>
        <v>Heliophila linearis var. linearifolia</v>
      </c>
      <c r="C164" s="160" t="s">
        <v>830</v>
      </c>
      <c r="D164" s="72"/>
      <c r="E164" s="72" t="s">
        <v>831</v>
      </c>
      <c r="F164" s="72" t="s">
        <v>834</v>
      </c>
      <c r="G164" s="289" t="s">
        <v>3108</v>
      </c>
      <c r="H164" s="166" t="s">
        <v>3269</v>
      </c>
      <c r="I164" s="142">
        <v>3</v>
      </c>
      <c r="J164" s="143">
        <v>5</v>
      </c>
      <c r="K164" s="143">
        <v>4</v>
      </c>
      <c r="L164" s="143">
        <v>3</v>
      </c>
      <c r="M164" s="143">
        <v>1</v>
      </c>
      <c r="N164" s="201">
        <v>3</v>
      </c>
      <c r="O164" s="294" t="s">
        <v>2910</v>
      </c>
      <c r="P164" s="325" t="s">
        <v>3032</v>
      </c>
      <c r="Q164" s="298"/>
      <c r="R164" s="209">
        <v>35796</v>
      </c>
      <c r="S164" s="301"/>
      <c r="T164" s="81">
        <v>1</v>
      </c>
      <c r="U164" s="78">
        <v>1</v>
      </c>
      <c r="V164" s="69"/>
      <c r="W164" s="69">
        <v>1</v>
      </c>
      <c r="X164" s="69">
        <v>1</v>
      </c>
      <c r="Y164" s="69"/>
      <c r="Z164" s="69"/>
      <c r="AA164" s="69"/>
      <c r="AB164" s="49"/>
    </row>
    <row r="165" spans="1:28" ht="15.6" customHeight="1" x14ac:dyDescent="0.2">
      <c r="A165" s="212">
        <v>163</v>
      </c>
      <c r="B165" s="159" t="str">
        <f t="shared" si="2"/>
        <v>Heliophila linearis var. reticulata</v>
      </c>
      <c r="C165" s="160" t="s">
        <v>830</v>
      </c>
      <c r="D165" s="72"/>
      <c r="E165" s="72" t="s">
        <v>831</v>
      </c>
      <c r="F165" s="72" t="s">
        <v>835</v>
      </c>
      <c r="G165" s="289" t="s">
        <v>3108</v>
      </c>
      <c r="H165" s="166" t="s">
        <v>3252</v>
      </c>
      <c r="I165" s="142">
        <v>3</v>
      </c>
      <c r="J165" s="143">
        <v>5</v>
      </c>
      <c r="K165" s="143">
        <v>4</v>
      </c>
      <c r="L165" s="143">
        <v>1</v>
      </c>
      <c r="M165" s="143">
        <v>1</v>
      </c>
      <c r="N165" s="201">
        <v>3</v>
      </c>
      <c r="O165" s="294" t="s">
        <v>2910</v>
      </c>
      <c r="P165" s="325" t="s">
        <v>3032</v>
      </c>
      <c r="Q165" s="298"/>
      <c r="R165" s="209">
        <v>35796</v>
      </c>
      <c r="S165" s="301"/>
      <c r="T165" s="81">
        <v>1</v>
      </c>
      <c r="U165" s="78">
        <v>1</v>
      </c>
      <c r="V165" s="69"/>
      <c r="W165" s="69"/>
      <c r="X165" s="69">
        <v>1</v>
      </c>
      <c r="Y165" s="69"/>
      <c r="Z165" s="69"/>
      <c r="AA165" s="69"/>
      <c r="AB165" s="49"/>
    </row>
    <row r="166" spans="1:28" ht="15.6" customHeight="1" x14ac:dyDescent="0.2">
      <c r="A166" s="212">
        <v>164</v>
      </c>
      <c r="B166" s="159" t="str">
        <f t="shared" si="2"/>
        <v>Heliophila pusilla var. pusilla</v>
      </c>
      <c r="C166" s="160" t="s">
        <v>830</v>
      </c>
      <c r="D166" s="72"/>
      <c r="E166" s="72" t="s">
        <v>831</v>
      </c>
      <c r="F166" s="72" t="s">
        <v>836</v>
      </c>
      <c r="G166" s="289" t="s">
        <v>3109</v>
      </c>
      <c r="H166" s="166" t="s">
        <v>3261</v>
      </c>
      <c r="I166" s="142">
        <v>6</v>
      </c>
      <c r="J166" s="143">
        <v>6</v>
      </c>
      <c r="K166" s="143">
        <v>4</v>
      </c>
      <c r="L166" s="143">
        <v>3</v>
      </c>
      <c r="M166" s="143">
        <v>1</v>
      </c>
      <c r="N166" s="201">
        <v>4</v>
      </c>
      <c r="O166" s="294" t="s">
        <v>2910</v>
      </c>
      <c r="P166" s="325" t="s">
        <v>2915</v>
      </c>
      <c r="Q166" s="298"/>
      <c r="R166" s="209">
        <v>36861</v>
      </c>
      <c r="S166" s="301"/>
      <c r="T166" s="81">
        <v>1</v>
      </c>
      <c r="U166" s="78"/>
      <c r="V166" s="69"/>
      <c r="W166" s="69"/>
      <c r="X166" s="69">
        <v>1</v>
      </c>
      <c r="Y166" s="69"/>
      <c r="Z166" s="69"/>
      <c r="AA166" s="69"/>
      <c r="AB166" s="49"/>
    </row>
    <row r="167" spans="1:28" ht="15.6" customHeight="1" x14ac:dyDescent="0.2">
      <c r="A167" s="212">
        <v>165</v>
      </c>
      <c r="B167" s="159" t="str">
        <f t="shared" si="2"/>
        <v>Heliophila subulata var. subulata</v>
      </c>
      <c r="C167" s="160" t="s">
        <v>830</v>
      </c>
      <c r="D167" s="72"/>
      <c r="E167" s="72" t="s">
        <v>831</v>
      </c>
      <c r="F167" s="72" t="s">
        <v>837</v>
      </c>
      <c r="G167" s="289" t="s">
        <v>3110</v>
      </c>
      <c r="H167" s="166" t="s">
        <v>3278</v>
      </c>
      <c r="I167" s="142">
        <v>6</v>
      </c>
      <c r="J167" s="143">
        <v>6</v>
      </c>
      <c r="K167" s="143">
        <v>4</v>
      </c>
      <c r="L167" s="143">
        <v>3</v>
      </c>
      <c r="M167" s="143">
        <v>1</v>
      </c>
      <c r="N167" s="201">
        <v>3</v>
      </c>
      <c r="O167" s="294" t="s">
        <v>2910</v>
      </c>
      <c r="P167" s="325" t="s">
        <v>2170</v>
      </c>
      <c r="Q167" s="298"/>
      <c r="R167" s="209">
        <v>36312</v>
      </c>
      <c r="S167" s="301"/>
      <c r="T167" s="81">
        <v>1</v>
      </c>
      <c r="U167" s="78"/>
      <c r="V167" s="69"/>
      <c r="W167" s="69"/>
      <c r="X167" s="69">
        <v>1</v>
      </c>
      <c r="Y167" s="69"/>
      <c r="Z167" s="69"/>
      <c r="AA167" s="69"/>
      <c r="AB167" s="49"/>
    </row>
    <row r="168" spans="1:28" ht="15.6" customHeight="1" x14ac:dyDescent="0.2">
      <c r="A168" s="212">
        <v>166</v>
      </c>
      <c r="B168" s="159" t="str">
        <f t="shared" si="2"/>
        <v>Sisymbrium capense</v>
      </c>
      <c r="C168" s="160" t="s">
        <v>830</v>
      </c>
      <c r="D168" s="72"/>
      <c r="E168" s="72" t="s">
        <v>838</v>
      </c>
      <c r="F168" s="72" t="s">
        <v>945</v>
      </c>
      <c r="G168" s="289" t="s">
        <v>484</v>
      </c>
      <c r="H168" s="166" t="s">
        <v>3269</v>
      </c>
      <c r="I168" s="142">
        <v>3</v>
      </c>
      <c r="J168" s="143">
        <v>5</v>
      </c>
      <c r="K168" s="143">
        <v>3</v>
      </c>
      <c r="L168" s="143">
        <v>4</v>
      </c>
      <c r="M168" s="143">
        <v>1</v>
      </c>
      <c r="N168" s="201">
        <v>3</v>
      </c>
      <c r="O168" s="294"/>
      <c r="P168" s="325"/>
      <c r="Q168" s="298"/>
      <c r="R168" s="209">
        <v>37257</v>
      </c>
      <c r="S168" s="301"/>
      <c r="T168" s="81">
        <v>1</v>
      </c>
      <c r="U168" s="78">
        <v>1</v>
      </c>
      <c r="V168" s="69"/>
      <c r="W168" s="69"/>
      <c r="X168" s="69"/>
      <c r="Y168" s="69"/>
      <c r="Z168" s="69"/>
      <c r="AA168" s="69"/>
      <c r="AB168" s="49"/>
    </row>
    <row r="169" spans="1:28" ht="15.6" customHeight="1" x14ac:dyDescent="0.2">
      <c r="A169" s="212">
        <v>167</v>
      </c>
      <c r="B169" s="159" t="str">
        <f t="shared" si="2"/>
        <v>Berzelia lanuginosa</v>
      </c>
      <c r="C169" s="160" t="s">
        <v>839</v>
      </c>
      <c r="D169" s="72" t="s">
        <v>9</v>
      </c>
      <c r="E169" s="72" t="s">
        <v>840</v>
      </c>
      <c r="F169" s="72" t="s">
        <v>841</v>
      </c>
      <c r="G169" s="289" t="s">
        <v>3111</v>
      </c>
      <c r="H169" s="166" t="s">
        <v>3249</v>
      </c>
      <c r="I169" s="142">
        <v>2</v>
      </c>
      <c r="J169" s="143">
        <v>4</v>
      </c>
      <c r="K169" s="143">
        <v>2</v>
      </c>
      <c r="L169" s="143">
        <v>1</v>
      </c>
      <c r="M169" s="143">
        <v>2</v>
      </c>
      <c r="N169" s="201">
        <v>5</v>
      </c>
      <c r="O169" s="294" t="s">
        <v>2168</v>
      </c>
      <c r="P169" s="325" t="s">
        <v>3032</v>
      </c>
      <c r="Q169" s="298"/>
      <c r="R169" s="209">
        <v>35612</v>
      </c>
      <c r="S169" s="301"/>
      <c r="T169" s="81">
        <v>1</v>
      </c>
      <c r="U169" s="78"/>
      <c r="V169" s="69"/>
      <c r="W169" s="69"/>
      <c r="X169" s="69"/>
      <c r="Y169" s="69"/>
      <c r="Z169" s="69"/>
      <c r="AA169" s="69">
        <v>1</v>
      </c>
      <c r="AB169" s="49"/>
    </row>
    <row r="170" spans="1:28" ht="15.6" customHeight="1" x14ac:dyDescent="0.2">
      <c r="A170" s="212">
        <v>168</v>
      </c>
      <c r="B170" s="159" t="str">
        <f t="shared" si="2"/>
        <v>Staavia radiata</v>
      </c>
      <c r="C170" s="160" t="s">
        <v>839</v>
      </c>
      <c r="D170" s="72" t="s">
        <v>10</v>
      </c>
      <c r="E170" s="72" t="s">
        <v>842</v>
      </c>
      <c r="F170" s="72" t="s">
        <v>843</v>
      </c>
      <c r="G170" s="289" t="s">
        <v>3112</v>
      </c>
      <c r="H170" s="166" t="s">
        <v>3248</v>
      </c>
      <c r="I170" s="142">
        <v>2</v>
      </c>
      <c r="J170" s="143">
        <v>5</v>
      </c>
      <c r="K170" s="143">
        <v>2</v>
      </c>
      <c r="L170" s="143">
        <v>3</v>
      </c>
      <c r="M170" s="143">
        <v>2</v>
      </c>
      <c r="N170" s="201">
        <v>5</v>
      </c>
      <c r="O170" s="294" t="s">
        <v>2914</v>
      </c>
      <c r="P170" s="325" t="s">
        <v>3032</v>
      </c>
      <c r="Q170" s="298"/>
      <c r="R170" s="209">
        <v>38047</v>
      </c>
      <c r="S170" s="301"/>
      <c r="T170" s="81"/>
      <c r="U170" s="78"/>
      <c r="V170" s="69"/>
      <c r="W170" s="69"/>
      <c r="X170" s="69">
        <v>1</v>
      </c>
      <c r="Y170" s="69"/>
      <c r="Z170" s="69"/>
      <c r="AA170" s="69"/>
      <c r="AB170" s="49"/>
    </row>
    <row r="171" spans="1:28" ht="15.6" customHeight="1" x14ac:dyDescent="0.2">
      <c r="A171" s="212">
        <v>169</v>
      </c>
      <c r="B171" s="159" t="str">
        <f t="shared" si="2"/>
        <v>Cyphia volubilis</v>
      </c>
      <c r="C171" s="160" t="s">
        <v>844</v>
      </c>
      <c r="D171"/>
      <c r="E171" s="72" t="s">
        <v>2917</v>
      </c>
      <c r="F171" s="72" t="s">
        <v>684</v>
      </c>
      <c r="G171" s="289" t="s">
        <v>2918</v>
      </c>
      <c r="H171" s="166" t="s">
        <v>199</v>
      </c>
      <c r="I171" s="142">
        <v>3</v>
      </c>
      <c r="J171" s="143">
        <v>9</v>
      </c>
      <c r="K171" s="143">
        <v>9</v>
      </c>
      <c r="L171" s="143">
        <v>3</v>
      </c>
      <c r="M171" s="143">
        <v>9</v>
      </c>
      <c r="N171" s="201">
        <v>9</v>
      </c>
      <c r="O171" s="294" t="s">
        <v>1657</v>
      </c>
      <c r="P171" s="325" t="s">
        <v>3032</v>
      </c>
      <c r="Q171" s="298"/>
      <c r="R171" s="209">
        <v>38231</v>
      </c>
      <c r="S171" s="301"/>
      <c r="T171" s="81"/>
      <c r="U171" s="78"/>
      <c r="V171" s="69"/>
      <c r="W171" s="69"/>
      <c r="X171" s="69"/>
      <c r="Y171" s="69"/>
      <c r="Z171" s="69"/>
      <c r="AA171" s="69"/>
      <c r="AB171" s="49"/>
    </row>
    <row r="172" spans="1:28" ht="15.6" customHeight="1" x14ac:dyDescent="0.2">
      <c r="A172" s="212">
        <v>170</v>
      </c>
      <c r="B172" s="159" t="str">
        <f t="shared" si="2"/>
        <v>Lobelia anceps</v>
      </c>
      <c r="C172" s="160" t="s">
        <v>844</v>
      </c>
      <c r="D172" s="72"/>
      <c r="E172" s="72" t="s">
        <v>845</v>
      </c>
      <c r="F172" s="72" t="s">
        <v>846</v>
      </c>
      <c r="G172" s="289" t="s">
        <v>3113</v>
      </c>
      <c r="H172" s="166" t="s">
        <v>3264</v>
      </c>
      <c r="I172" s="142">
        <v>3</v>
      </c>
      <c r="J172" s="143">
        <v>6</v>
      </c>
      <c r="K172" s="143">
        <v>3</v>
      </c>
      <c r="L172" s="143">
        <v>1</v>
      </c>
      <c r="M172" s="143">
        <v>1</v>
      </c>
      <c r="N172" s="201">
        <v>4</v>
      </c>
      <c r="O172" s="294" t="s">
        <v>2910</v>
      </c>
      <c r="P172" s="325" t="s">
        <v>3032</v>
      </c>
      <c r="Q172" s="298"/>
      <c r="R172" s="209">
        <v>36161</v>
      </c>
      <c r="S172" s="301"/>
      <c r="T172" s="81">
        <v>1</v>
      </c>
      <c r="U172" s="78"/>
      <c r="V172" s="69"/>
      <c r="W172" s="69"/>
      <c r="X172" s="69"/>
      <c r="Y172" s="69"/>
      <c r="Z172" s="69"/>
      <c r="AA172" s="69">
        <v>1</v>
      </c>
      <c r="AB172" s="49"/>
    </row>
    <row r="173" spans="1:28" ht="15.6" customHeight="1" x14ac:dyDescent="0.2">
      <c r="A173" s="212">
        <v>171</v>
      </c>
      <c r="B173" s="159" t="str">
        <f t="shared" si="2"/>
        <v>Lobelia comosa</v>
      </c>
      <c r="C173" s="160" t="s">
        <v>844</v>
      </c>
      <c r="D173" s="72"/>
      <c r="E173" s="72" t="s">
        <v>845</v>
      </c>
      <c r="F173" s="72" t="s">
        <v>847</v>
      </c>
      <c r="G173" s="289" t="s">
        <v>3114</v>
      </c>
      <c r="H173" s="166" t="s">
        <v>3260</v>
      </c>
      <c r="I173" s="142">
        <v>2</v>
      </c>
      <c r="J173" s="143">
        <v>6</v>
      </c>
      <c r="K173" s="143">
        <v>4</v>
      </c>
      <c r="L173" s="143">
        <v>2</v>
      </c>
      <c r="M173" s="143">
        <v>1</v>
      </c>
      <c r="N173" s="201">
        <v>3</v>
      </c>
      <c r="O173" s="294" t="s">
        <v>3031</v>
      </c>
      <c r="P173" s="325" t="s">
        <v>3032</v>
      </c>
      <c r="Q173" s="298"/>
      <c r="R173" s="209">
        <v>35612</v>
      </c>
      <c r="S173" s="301"/>
      <c r="T173" s="81">
        <v>1</v>
      </c>
      <c r="U173" s="78">
        <v>1</v>
      </c>
      <c r="V173" s="69"/>
      <c r="W173" s="69"/>
      <c r="X173" s="69">
        <v>1</v>
      </c>
      <c r="Y173" s="69"/>
      <c r="Z173" s="69"/>
      <c r="AA173" s="69"/>
      <c r="AB173" s="49"/>
    </row>
    <row r="174" spans="1:28" ht="15.6" customHeight="1" x14ac:dyDescent="0.2">
      <c r="A174" s="212">
        <v>172</v>
      </c>
      <c r="B174" s="159" t="str">
        <f t="shared" si="2"/>
        <v>Lobelia coronopifolia</v>
      </c>
      <c r="C174" s="160" t="s">
        <v>844</v>
      </c>
      <c r="D174" s="72" t="s">
        <v>11</v>
      </c>
      <c r="E174" s="72" t="s">
        <v>845</v>
      </c>
      <c r="F174" s="72" t="s">
        <v>848</v>
      </c>
      <c r="G174" s="289" t="s">
        <v>3115</v>
      </c>
      <c r="H174" s="166" t="s">
        <v>3260</v>
      </c>
      <c r="I174" s="142">
        <v>2</v>
      </c>
      <c r="J174" s="143">
        <v>6</v>
      </c>
      <c r="K174" s="143">
        <v>4</v>
      </c>
      <c r="L174" s="143">
        <v>2</v>
      </c>
      <c r="M174" s="143">
        <v>1</v>
      </c>
      <c r="N174" s="201">
        <v>3</v>
      </c>
      <c r="O174" s="294" t="s">
        <v>3031</v>
      </c>
      <c r="P174" s="325" t="s">
        <v>3032</v>
      </c>
      <c r="Q174" s="298"/>
      <c r="R174" s="209">
        <v>35612</v>
      </c>
      <c r="S174" s="301"/>
      <c r="T174" s="81">
        <v>1</v>
      </c>
      <c r="U174" s="78">
        <v>1</v>
      </c>
      <c r="V174" s="69"/>
      <c r="W174" s="69">
        <v>1</v>
      </c>
      <c r="X174" s="69"/>
      <c r="Y174" s="69"/>
      <c r="Z174" s="69"/>
      <c r="AA174" s="69"/>
      <c r="AB174" s="49"/>
    </row>
    <row r="175" spans="1:28" ht="15.6" customHeight="1" x14ac:dyDescent="0.2">
      <c r="A175" s="212">
        <v>173</v>
      </c>
      <c r="B175" s="159" t="str">
        <f t="shared" si="2"/>
        <v>Lobelia erinus</v>
      </c>
      <c r="C175" s="160" t="s">
        <v>844</v>
      </c>
      <c r="D175" s="72" t="s">
        <v>11</v>
      </c>
      <c r="E175" s="72" t="s">
        <v>845</v>
      </c>
      <c r="F175" s="72" t="s">
        <v>849</v>
      </c>
      <c r="G175" s="289" t="s">
        <v>3116</v>
      </c>
      <c r="H175" s="166" t="s">
        <v>3256</v>
      </c>
      <c r="I175" s="142">
        <v>6</v>
      </c>
      <c r="J175" s="143">
        <v>6</v>
      </c>
      <c r="K175" s="143">
        <v>4</v>
      </c>
      <c r="L175" s="143">
        <v>1</v>
      </c>
      <c r="M175" s="143">
        <v>1</v>
      </c>
      <c r="N175" s="201">
        <v>4</v>
      </c>
      <c r="O175" s="294" t="s">
        <v>2910</v>
      </c>
      <c r="P175" s="325" t="s">
        <v>2915</v>
      </c>
      <c r="Q175" s="298" t="s">
        <v>3144</v>
      </c>
      <c r="R175" s="209">
        <v>35947</v>
      </c>
      <c r="S175" s="301"/>
      <c r="T175" s="81">
        <v>1</v>
      </c>
      <c r="U175" s="78"/>
      <c r="V175" s="69"/>
      <c r="W175" s="69"/>
      <c r="X175" s="69"/>
      <c r="Y175" s="69"/>
      <c r="Z175" s="69">
        <v>1</v>
      </c>
      <c r="AA175" s="69"/>
      <c r="AB175" s="49"/>
    </row>
    <row r="176" spans="1:28" ht="15.6" customHeight="1" x14ac:dyDescent="0.2">
      <c r="A176" s="212">
        <v>174</v>
      </c>
      <c r="B176" s="159" t="str">
        <f t="shared" si="2"/>
        <v>Lobelia linearis</v>
      </c>
      <c r="C176" s="160" t="s">
        <v>844</v>
      </c>
      <c r="D176" s="72"/>
      <c r="E176" s="72" t="s">
        <v>845</v>
      </c>
      <c r="F176" s="72" t="s">
        <v>850</v>
      </c>
      <c r="G176" s="289" t="s">
        <v>3117</v>
      </c>
      <c r="H176" s="166" t="s">
        <v>3248</v>
      </c>
      <c r="I176" s="142">
        <v>2</v>
      </c>
      <c r="J176" s="143">
        <v>5</v>
      </c>
      <c r="K176" s="143">
        <v>4</v>
      </c>
      <c r="L176" s="143">
        <v>3</v>
      </c>
      <c r="M176" s="143">
        <v>1</v>
      </c>
      <c r="N176" s="201">
        <v>4</v>
      </c>
      <c r="O176" s="294" t="s">
        <v>2914</v>
      </c>
      <c r="P176" s="325" t="s">
        <v>3032</v>
      </c>
      <c r="Q176" s="298"/>
      <c r="R176" s="209">
        <v>36192</v>
      </c>
      <c r="S176" s="301"/>
      <c r="T176" s="81">
        <v>1</v>
      </c>
      <c r="U176" s="78">
        <v>1</v>
      </c>
      <c r="V176" s="69"/>
      <c r="W176" s="69">
        <v>1</v>
      </c>
      <c r="X176" s="69"/>
      <c r="Y176" s="69"/>
      <c r="Z176" s="69"/>
      <c r="AA176" s="69"/>
      <c r="AB176" s="49"/>
    </row>
    <row r="177" spans="1:28" ht="15.6" customHeight="1" x14ac:dyDescent="0.2">
      <c r="A177" s="212">
        <v>175</v>
      </c>
      <c r="B177" s="159" t="str">
        <f t="shared" si="2"/>
        <v>Lobelia setacea</v>
      </c>
      <c r="C177" s="160" t="s">
        <v>844</v>
      </c>
      <c r="D177" s="72"/>
      <c r="E177" s="72" t="s">
        <v>845</v>
      </c>
      <c r="F177" s="72" t="s">
        <v>851</v>
      </c>
      <c r="G177" s="289" t="s">
        <v>3118</v>
      </c>
      <c r="H177" s="166" t="s">
        <v>3279</v>
      </c>
      <c r="I177" s="142">
        <v>3</v>
      </c>
      <c r="J177" s="143">
        <v>5</v>
      </c>
      <c r="K177" s="143">
        <v>4</v>
      </c>
      <c r="L177" s="143">
        <v>3</v>
      </c>
      <c r="M177" s="143">
        <v>1</v>
      </c>
      <c r="N177" s="201">
        <v>5</v>
      </c>
      <c r="O177" s="294" t="s">
        <v>2910</v>
      </c>
      <c r="P177" s="325" t="s">
        <v>3032</v>
      </c>
      <c r="Q177" s="298"/>
      <c r="R177" s="209">
        <v>35612</v>
      </c>
      <c r="S177" s="301"/>
      <c r="T177" s="81">
        <v>1</v>
      </c>
      <c r="U177" s="78"/>
      <c r="V177" s="69"/>
      <c r="W177" s="69"/>
      <c r="X177" s="69">
        <v>1</v>
      </c>
      <c r="Y177" s="69"/>
      <c r="Z177" s="69"/>
      <c r="AA177" s="69">
        <v>1</v>
      </c>
      <c r="AB177" s="49"/>
    </row>
    <row r="178" spans="1:28" ht="15.6" customHeight="1" x14ac:dyDescent="0.2">
      <c r="A178" s="212">
        <v>176</v>
      </c>
      <c r="B178" s="159" t="str">
        <f t="shared" si="2"/>
        <v>Microcodon glomeratum</v>
      </c>
      <c r="C178" s="160" t="s">
        <v>844</v>
      </c>
      <c r="D178" s="72"/>
      <c r="E178" s="72" t="s">
        <v>852</v>
      </c>
      <c r="F178" s="72" t="s">
        <v>853</v>
      </c>
      <c r="G178" s="289" t="s">
        <v>3119</v>
      </c>
      <c r="H178" s="166" t="s">
        <v>3261</v>
      </c>
      <c r="I178" s="142">
        <v>6</v>
      </c>
      <c r="J178" s="143">
        <v>6</v>
      </c>
      <c r="K178" s="143">
        <v>3</v>
      </c>
      <c r="L178" s="143">
        <v>1</v>
      </c>
      <c r="M178" s="143">
        <v>1</v>
      </c>
      <c r="N178" s="201">
        <v>5</v>
      </c>
      <c r="O178" s="294" t="s">
        <v>2910</v>
      </c>
      <c r="P178" s="325" t="s">
        <v>2915</v>
      </c>
      <c r="Q178" s="298"/>
      <c r="R178" s="209">
        <v>35947</v>
      </c>
      <c r="S178" s="301"/>
      <c r="T178" s="81">
        <v>1</v>
      </c>
      <c r="U178" s="78"/>
      <c r="V178" s="69"/>
      <c r="W178" s="69"/>
      <c r="X178" s="69"/>
      <c r="Y178" s="69"/>
      <c r="Z178" s="69"/>
      <c r="AA178" s="69">
        <v>1</v>
      </c>
      <c r="AB178" s="49"/>
    </row>
    <row r="179" spans="1:28" ht="15.6" customHeight="1" x14ac:dyDescent="0.2">
      <c r="A179" s="212">
        <v>177</v>
      </c>
      <c r="B179" s="159" t="str">
        <f t="shared" si="2"/>
        <v>Monopsis debilis</v>
      </c>
      <c r="C179" s="160" t="s">
        <v>844</v>
      </c>
      <c r="D179" s="72"/>
      <c r="E179" s="72" t="s">
        <v>854</v>
      </c>
      <c r="F179" s="72" t="s">
        <v>855</v>
      </c>
      <c r="G179" s="289" t="s">
        <v>3120</v>
      </c>
      <c r="H179" s="166" t="s">
        <v>3261</v>
      </c>
      <c r="I179" s="142">
        <v>6</v>
      </c>
      <c r="J179" s="143">
        <v>6</v>
      </c>
      <c r="K179" s="143">
        <v>3</v>
      </c>
      <c r="L179" s="143">
        <v>2</v>
      </c>
      <c r="M179" s="143">
        <v>1</v>
      </c>
      <c r="N179" s="201">
        <v>5</v>
      </c>
      <c r="O179" s="294" t="s">
        <v>2910</v>
      </c>
      <c r="P179" s="325" t="s">
        <v>2915</v>
      </c>
      <c r="Q179" s="298"/>
      <c r="R179" s="209">
        <v>37257</v>
      </c>
      <c r="S179" s="301"/>
      <c r="T179" s="81">
        <v>1</v>
      </c>
      <c r="U179" s="78"/>
      <c r="V179" s="69"/>
      <c r="W179" s="69"/>
      <c r="X179" s="69">
        <v>1</v>
      </c>
      <c r="Y179" s="69"/>
      <c r="Z179" s="69"/>
      <c r="AA179" s="69"/>
      <c r="AB179" s="49"/>
    </row>
    <row r="180" spans="1:28" ht="15.6" customHeight="1" x14ac:dyDescent="0.2">
      <c r="A180" s="212">
        <v>178</v>
      </c>
      <c r="B180" s="159" t="str">
        <f t="shared" si="2"/>
        <v>Monopsis lutea</v>
      </c>
      <c r="C180" s="160" t="s">
        <v>844</v>
      </c>
      <c r="D180" s="72" t="s">
        <v>12</v>
      </c>
      <c r="E180" s="72" t="s">
        <v>854</v>
      </c>
      <c r="F180" s="72" t="s">
        <v>856</v>
      </c>
      <c r="G180" s="289" t="s">
        <v>3121</v>
      </c>
      <c r="H180" s="166" t="s">
        <v>3252</v>
      </c>
      <c r="I180" s="142">
        <v>3</v>
      </c>
      <c r="J180" s="143">
        <v>5</v>
      </c>
      <c r="K180" s="143">
        <v>4</v>
      </c>
      <c r="L180" s="143">
        <v>2</v>
      </c>
      <c r="M180" s="143">
        <v>1</v>
      </c>
      <c r="N180" s="201">
        <v>3</v>
      </c>
      <c r="O180" s="294" t="s">
        <v>2910</v>
      </c>
      <c r="P180" s="325" t="s">
        <v>3032</v>
      </c>
      <c r="Q180" s="298"/>
      <c r="R180" s="209">
        <v>36892</v>
      </c>
      <c r="S180" s="301"/>
      <c r="T180" s="81">
        <v>1</v>
      </c>
      <c r="U180" s="78"/>
      <c r="V180" s="69"/>
      <c r="W180" s="69"/>
      <c r="X180" s="69">
        <v>1</v>
      </c>
      <c r="Y180" s="69"/>
      <c r="Z180" s="69"/>
      <c r="AA180" s="69">
        <v>1</v>
      </c>
      <c r="AB180" s="49"/>
    </row>
    <row r="181" spans="1:28" ht="15.6" customHeight="1" x14ac:dyDescent="0.2">
      <c r="A181" s="212">
        <v>179</v>
      </c>
      <c r="B181" s="159" t="str">
        <f t="shared" si="2"/>
        <v>Monopsis simplex</v>
      </c>
      <c r="C181" s="160" t="s">
        <v>844</v>
      </c>
      <c r="D181" s="72"/>
      <c r="E181" s="72" t="s">
        <v>854</v>
      </c>
      <c r="F181" s="72" t="s">
        <v>857</v>
      </c>
      <c r="G181" s="289" t="s">
        <v>3122</v>
      </c>
      <c r="H181" s="166" t="s">
        <v>3256</v>
      </c>
      <c r="I181" s="142">
        <v>6</v>
      </c>
      <c r="J181" s="143">
        <v>6</v>
      </c>
      <c r="K181" s="143">
        <v>3</v>
      </c>
      <c r="L181" s="143">
        <v>2</v>
      </c>
      <c r="M181" s="143">
        <v>1</v>
      </c>
      <c r="N181" s="201">
        <v>4</v>
      </c>
      <c r="O181" s="294" t="s">
        <v>2910</v>
      </c>
      <c r="P181" s="325" t="s">
        <v>2170</v>
      </c>
      <c r="Q181" s="298"/>
      <c r="R181" s="209">
        <v>37316</v>
      </c>
      <c r="S181" s="301"/>
      <c r="T181" s="81">
        <v>1</v>
      </c>
      <c r="U181" s="80"/>
      <c r="V181" s="69"/>
      <c r="W181" s="69"/>
      <c r="X181" s="69"/>
      <c r="Y181" s="69"/>
      <c r="Z181" s="69"/>
      <c r="AA181" s="69"/>
      <c r="AB181" s="49"/>
    </row>
    <row r="182" spans="1:28" ht="15.6" customHeight="1" x14ac:dyDescent="0.2">
      <c r="A182" s="212">
        <v>180</v>
      </c>
      <c r="B182" s="159" t="str">
        <f t="shared" si="2"/>
        <v>Roella compacta</v>
      </c>
      <c r="C182" s="160" t="s">
        <v>844</v>
      </c>
      <c r="D182" s="72"/>
      <c r="E182" s="72" t="s">
        <v>858</v>
      </c>
      <c r="F182" s="72" t="s">
        <v>859</v>
      </c>
      <c r="G182" s="289" t="s">
        <v>3123</v>
      </c>
      <c r="H182" s="166" t="s">
        <v>3215</v>
      </c>
      <c r="I182" s="142">
        <v>2</v>
      </c>
      <c r="J182" s="143">
        <v>6</v>
      </c>
      <c r="K182" s="143">
        <v>4</v>
      </c>
      <c r="L182" s="143">
        <v>3</v>
      </c>
      <c r="M182" s="143">
        <v>2</v>
      </c>
      <c r="N182" s="201">
        <v>5</v>
      </c>
      <c r="O182" s="294" t="s">
        <v>3031</v>
      </c>
      <c r="P182" s="325" t="s">
        <v>3032</v>
      </c>
      <c r="Q182" s="298" t="s">
        <v>2703</v>
      </c>
      <c r="R182" s="209">
        <v>35947</v>
      </c>
      <c r="S182" s="301"/>
      <c r="T182" s="81">
        <v>1</v>
      </c>
      <c r="U182" s="78"/>
      <c r="V182" s="69"/>
      <c r="W182" s="69"/>
      <c r="X182" s="69">
        <v>1</v>
      </c>
      <c r="Y182" s="69"/>
      <c r="Z182" s="69"/>
      <c r="AA182" s="69"/>
      <c r="AB182" s="49"/>
    </row>
    <row r="183" spans="1:28" ht="15.6" customHeight="1" x14ac:dyDescent="0.2">
      <c r="A183" s="212">
        <v>181</v>
      </c>
      <c r="B183" s="159" t="str">
        <f t="shared" si="2"/>
        <v>Roella incurva</v>
      </c>
      <c r="C183" s="160" t="s">
        <v>844</v>
      </c>
      <c r="D183" s="72"/>
      <c r="E183" s="72" t="s">
        <v>858</v>
      </c>
      <c r="F183" s="72" t="s">
        <v>860</v>
      </c>
      <c r="G183" s="289" t="s">
        <v>3124</v>
      </c>
      <c r="H183" s="166" t="s">
        <v>3215</v>
      </c>
      <c r="I183" s="142">
        <v>2</v>
      </c>
      <c r="J183" s="143">
        <v>6</v>
      </c>
      <c r="K183" s="143">
        <v>4</v>
      </c>
      <c r="L183" s="143">
        <v>3</v>
      </c>
      <c r="M183" s="143">
        <v>2</v>
      </c>
      <c r="N183" s="201">
        <v>5</v>
      </c>
      <c r="O183" s="294" t="s">
        <v>3031</v>
      </c>
      <c r="P183" s="325" t="s">
        <v>3032</v>
      </c>
      <c r="Q183" s="298" t="s">
        <v>3144</v>
      </c>
      <c r="R183" s="209">
        <v>35947</v>
      </c>
      <c r="S183" s="301"/>
      <c r="T183" s="81">
        <v>1</v>
      </c>
      <c r="U183" s="78"/>
      <c r="V183" s="69"/>
      <c r="W183" s="69"/>
      <c r="X183" s="69">
        <v>1</v>
      </c>
      <c r="Y183" s="69"/>
      <c r="Z183" s="69"/>
      <c r="AA183" s="69"/>
      <c r="AB183" s="49"/>
    </row>
    <row r="184" spans="1:28" ht="15.6" customHeight="1" x14ac:dyDescent="0.2">
      <c r="A184" s="212">
        <v>182</v>
      </c>
      <c r="B184" s="159" t="str">
        <f t="shared" si="2"/>
        <v>Wahlenbergia cernua</v>
      </c>
      <c r="C184" s="160" t="s">
        <v>844</v>
      </c>
      <c r="D184" s="72"/>
      <c r="E184" s="72" t="s">
        <v>861</v>
      </c>
      <c r="F184" s="72" t="s">
        <v>862</v>
      </c>
      <c r="G184" s="289" t="s">
        <v>3125</v>
      </c>
      <c r="H184" s="166" t="s">
        <v>1874</v>
      </c>
      <c r="I184" s="142">
        <v>6</v>
      </c>
      <c r="J184" s="143">
        <v>5</v>
      </c>
      <c r="K184" s="143">
        <v>4</v>
      </c>
      <c r="L184" s="143">
        <v>2</v>
      </c>
      <c r="M184" s="143">
        <v>1</v>
      </c>
      <c r="N184" s="201">
        <v>3</v>
      </c>
      <c r="O184" s="294" t="s">
        <v>2910</v>
      </c>
      <c r="P184" s="325" t="s">
        <v>2915</v>
      </c>
      <c r="Q184" s="298"/>
      <c r="R184" s="209">
        <v>36923</v>
      </c>
      <c r="S184" s="301"/>
      <c r="T184" s="81">
        <v>1</v>
      </c>
      <c r="U184" s="78"/>
      <c r="V184" s="69"/>
      <c r="W184" s="69"/>
      <c r="X184" s="69">
        <v>1</v>
      </c>
      <c r="Y184" s="69"/>
      <c r="Z184" s="69"/>
      <c r="AA184" s="69"/>
      <c r="AB184" s="49"/>
    </row>
    <row r="185" spans="1:28" ht="15.6" customHeight="1" x14ac:dyDescent="0.2">
      <c r="A185" s="212">
        <v>183</v>
      </c>
      <c r="B185" s="159" t="str">
        <f t="shared" si="2"/>
        <v>Wahlenbergia cf. androsacea</v>
      </c>
      <c r="C185" s="160" t="s">
        <v>844</v>
      </c>
      <c r="D185" s="72" t="s">
        <v>13</v>
      </c>
      <c r="E185" s="72" t="s">
        <v>861</v>
      </c>
      <c r="F185" s="72" t="s">
        <v>882</v>
      </c>
      <c r="G185" s="289" t="s">
        <v>1868</v>
      </c>
      <c r="H185" s="166" t="s">
        <v>3246</v>
      </c>
      <c r="I185" s="142">
        <v>6</v>
      </c>
      <c r="J185" s="143">
        <v>6</v>
      </c>
      <c r="K185" s="143">
        <v>4</v>
      </c>
      <c r="L185" s="143">
        <v>2</v>
      </c>
      <c r="M185" s="143">
        <v>1</v>
      </c>
      <c r="N185" s="201">
        <v>3</v>
      </c>
      <c r="O185" s="294" t="s">
        <v>2910</v>
      </c>
      <c r="P185" s="325" t="s">
        <v>2915</v>
      </c>
      <c r="Q185" s="298" t="s">
        <v>3144</v>
      </c>
      <c r="R185" s="209">
        <v>36923</v>
      </c>
      <c r="S185" s="301"/>
      <c r="T185" s="81">
        <v>1</v>
      </c>
      <c r="U185" s="78">
        <v>1</v>
      </c>
      <c r="V185" s="69"/>
      <c r="W185" s="69">
        <v>1</v>
      </c>
      <c r="X185" s="69"/>
      <c r="Y185" s="69"/>
      <c r="Z185" s="69"/>
      <c r="AA185" s="69"/>
      <c r="AB185" s="49"/>
    </row>
    <row r="186" spans="1:28" ht="15.6" customHeight="1" x14ac:dyDescent="0.2">
      <c r="A186" s="212">
        <v>184</v>
      </c>
      <c r="B186" s="159" t="str">
        <f t="shared" si="2"/>
        <v>Wahlenbergia longifolia</v>
      </c>
      <c r="C186" s="160" t="s">
        <v>844</v>
      </c>
      <c r="D186" s="72"/>
      <c r="E186" s="72" t="s">
        <v>861</v>
      </c>
      <c r="F186" s="72" t="s">
        <v>883</v>
      </c>
      <c r="G186" s="289" t="s">
        <v>3126</v>
      </c>
      <c r="H186" s="166" t="s">
        <v>3267</v>
      </c>
      <c r="I186" s="142">
        <v>2</v>
      </c>
      <c r="J186" s="143">
        <v>6</v>
      </c>
      <c r="K186" s="143">
        <v>3</v>
      </c>
      <c r="L186" s="143">
        <v>3</v>
      </c>
      <c r="M186" s="143">
        <v>1</v>
      </c>
      <c r="N186" s="201">
        <v>3</v>
      </c>
      <c r="O186" s="294" t="s">
        <v>3031</v>
      </c>
      <c r="P186" s="325" t="s">
        <v>3032</v>
      </c>
      <c r="Q186" s="298"/>
      <c r="R186" s="209">
        <v>37012</v>
      </c>
      <c r="S186" s="301"/>
      <c r="T186" s="81">
        <v>1</v>
      </c>
      <c r="U186" s="78"/>
      <c r="V186" s="69"/>
      <c r="W186" s="69"/>
      <c r="X186" s="69">
        <v>1</v>
      </c>
      <c r="Y186" s="69"/>
      <c r="Z186" s="69"/>
      <c r="AA186" s="69"/>
      <c r="AB186" s="49"/>
    </row>
    <row r="187" spans="1:28" ht="15.6" customHeight="1" x14ac:dyDescent="0.2">
      <c r="A187" s="212">
        <v>185</v>
      </c>
      <c r="B187" s="159" t="str">
        <f t="shared" si="2"/>
        <v>Wahlenbergia paniculata</v>
      </c>
      <c r="C187" s="160" t="s">
        <v>844</v>
      </c>
      <c r="D187" s="72"/>
      <c r="E187" s="72" t="s">
        <v>861</v>
      </c>
      <c r="F187" s="72" t="s">
        <v>884</v>
      </c>
      <c r="G187" s="289" t="s">
        <v>3127</v>
      </c>
      <c r="H187" s="166" t="s">
        <v>3261</v>
      </c>
      <c r="I187" s="142">
        <v>6</v>
      </c>
      <c r="J187" s="143">
        <v>6</v>
      </c>
      <c r="K187" s="143">
        <v>4</v>
      </c>
      <c r="L187" s="143">
        <v>2</v>
      </c>
      <c r="M187" s="143">
        <v>1</v>
      </c>
      <c r="N187" s="201">
        <v>5</v>
      </c>
      <c r="O187" s="294" t="s">
        <v>2910</v>
      </c>
      <c r="P187" s="325" t="s">
        <v>2915</v>
      </c>
      <c r="Q187" s="298"/>
      <c r="R187" s="209">
        <v>36861</v>
      </c>
      <c r="S187" s="301"/>
      <c r="T187" s="81">
        <v>1</v>
      </c>
      <c r="U187" s="78"/>
      <c r="V187" s="69"/>
      <c r="W187" s="69"/>
      <c r="X187" s="69">
        <v>1</v>
      </c>
      <c r="Y187" s="69"/>
      <c r="Z187" s="69"/>
      <c r="AA187" s="69"/>
      <c r="AB187" s="49"/>
    </row>
    <row r="188" spans="1:28" ht="15.6" customHeight="1" x14ac:dyDescent="0.2">
      <c r="A188" s="212">
        <v>186</v>
      </c>
      <c r="B188" s="159" t="str">
        <f t="shared" si="2"/>
        <v>Wahlenbergia polyantha</v>
      </c>
      <c r="C188" s="160" t="s">
        <v>844</v>
      </c>
      <c r="D188" s="72"/>
      <c r="E188" s="72" t="s">
        <v>861</v>
      </c>
      <c r="F188" s="72" t="s">
        <v>885</v>
      </c>
      <c r="G188" s="289" t="s">
        <v>3128</v>
      </c>
      <c r="H188" s="166" t="s">
        <v>3215</v>
      </c>
      <c r="I188" s="142">
        <v>2</v>
      </c>
      <c r="J188" s="143">
        <v>6</v>
      </c>
      <c r="K188" s="143">
        <v>3</v>
      </c>
      <c r="L188" s="143">
        <v>3</v>
      </c>
      <c r="M188" s="143">
        <v>1</v>
      </c>
      <c r="N188" s="201">
        <v>4</v>
      </c>
      <c r="O188" s="294" t="s">
        <v>3031</v>
      </c>
      <c r="P188" s="325" t="s">
        <v>3032</v>
      </c>
      <c r="Q188" s="298" t="s">
        <v>2703</v>
      </c>
      <c r="R188" s="209">
        <v>36281</v>
      </c>
      <c r="S188" s="301"/>
      <c r="T188" s="81">
        <v>1</v>
      </c>
      <c r="U188" s="78">
        <v>1</v>
      </c>
      <c r="V188" s="69"/>
      <c r="W188" s="69"/>
      <c r="X188" s="69">
        <v>1</v>
      </c>
      <c r="Y188" s="69"/>
      <c r="Z188" s="69"/>
      <c r="AA188" s="69"/>
      <c r="AB188" s="49"/>
    </row>
    <row r="189" spans="1:28" ht="15.6" customHeight="1" x14ac:dyDescent="0.2">
      <c r="A189" s="212">
        <v>187</v>
      </c>
      <c r="B189" s="159" t="str">
        <f t="shared" si="2"/>
        <v>Wahlenbergia tenella</v>
      </c>
      <c r="C189" s="160" t="s">
        <v>844</v>
      </c>
      <c r="D189" s="72"/>
      <c r="E189" s="72" t="s">
        <v>861</v>
      </c>
      <c r="F189" s="72" t="s">
        <v>886</v>
      </c>
      <c r="G189" s="289" t="s">
        <v>3129</v>
      </c>
      <c r="H189" s="166" t="s">
        <v>3248</v>
      </c>
      <c r="I189" s="142">
        <v>2</v>
      </c>
      <c r="J189" s="143">
        <v>5</v>
      </c>
      <c r="K189" s="143">
        <v>3</v>
      </c>
      <c r="L189" s="143">
        <v>2</v>
      </c>
      <c r="M189" s="143">
        <v>1</v>
      </c>
      <c r="N189" s="201">
        <v>5</v>
      </c>
      <c r="O189" s="294" t="s">
        <v>3031</v>
      </c>
      <c r="P189" s="325" t="s">
        <v>3032</v>
      </c>
      <c r="Q189" s="298"/>
      <c r="R189" s="209">
        <v>35612</v>
      </c>
      <c r="S189" s="301"/>
      <c r="T189" s="81">
        <v>1</v>
      </c>
      <c r="U189" s="78"/>
      <c r="V189" s="69">
        <v>1</v>
      </c>
      <c r="W189" s="69"/>
      <c r="X189" s="69">
        <v>1</v>
      </c>
      <c r="Y189" s="69"/>
      <c r="Z189" s="69"/>
      <c r="AA189" s="69"/>
      <c r="AB189" s="49"/>
    </row>
    <row r="190" spans="1:28" ht="15.6" customHeight="1" x14ac:dyDescent="0.2">
      <c r="A190" s="212">
        <v>188</v>
      </c>
      <c r="B190" s="159" t="str">
        <f t="shared" si="2"/>
        <v>Cerastium capense</v>
      </c>
      <c r="C190" s="160" t="s">
        <v>887</v>
      </c>
      <c r="D190" s="72" t="s">
        <v>14</v>
      </c>
      <c r="E190" s="72" t="s">
        <v>888</v>
      </c>
      <c r="F190" s="72" t="s">
        <v>945</v>
      </c>
      <c r="G190" s="289" t="s">
        <v>3130</v>
      </c>
      <c r="H190" s="166" t="s">
        <v>3256</v>
      </c>
      <c r="I190" s="142">
        <v>6</v>
      </c>
      <c r="J190" s="143">
        <v>6</v>
      </c>
      <c r="K190" s="143">
        <v>3</v>
      </c>
      <c r="L190" s="143">
        <v>2</v>
      </c>
      <c r="M190" s="143">
        <v>1</v>
      </c>
      <c r="N190" s="201">
        <v>4</v>
      </c>
      <c r="O190" s="294" t="s">
        <v>2910</v>
      </c>
      <c r="P190" s="325" t="s">
        <v>2915</v>
      </c>
      <c r="Q190" s="298"/>
      <c r="R190" s="209">
        <v>36586</v>
      </c>
      <c r="S190" s="301"/>
      <c r="T190" s="81">
        <v>1</v>
      </c>
      <c r="U190" s="78">
        <v>1</v>
      </c>
      <c r="V190" s="69"/>
      <c r="W190" s="69"/>
      <c r="X190" s="69"/>
      <c r="Y190" s="69"/>
      <c r="Z190" s="69"/>
      <c r="AA190" s="69"/>
      <c r="AB190" s="49"/>
    </row>
    <row r="191" spans="1:28" ht="15.6" customHeight="1" x14ac:dyDescent="0.2">
      <c r="A191" s="212">
        <v>189</v>
      </c>
      <c r="B191" s="159" t="str">
        <f t="shared" si="2"/>
        <v>Dianthus albens</v>
      </c>
      <c r="C191" s="160" t="s">
        <v>887</v>
      </c>
      <c r="D191" s="72" t="s">
        <v>15</v>
      </c>
      <c r="E191" s="72" t="s">
        <v>946</v>
      </c>
      <c r="F191" s="72" t="s">
        <v>947</v>
      </c>
      <c r="G191" s="289" t="s">
        <v>3131</v>
      </c>
      <c r="H191" s="166" t="s">
        <v>3241</v>
      </c>
      <c r="I191" s="142">
        <v>3</v>
      </c>
      <c r="J191" s="143">
        <v>6</v>
      </c>
      <c r="K191" s="143">
        <v>4</v>
      </c>
      <c r="L191" s="143">
        <v>2</v>
      </c>
      <c r="M191" s="143">
        <v>1</v>
      </c>
      <c r="N191" s="201">
        <v>3</v>
      </c>
      <c r="O191" s="294" t="s">
        <v>2910</v>
      </c>
      <c r="P191" s="325" t="s">
        <v>3032</v>
      </c>
      <c r="Q191" s="298"/>
      <c r="R191" s="209">
        <v>35612</v>
      </c>
      <c r="S191" s="301"/>
      <c r="T191" s="81">
        <v>1</v>
      </c>
      <c r="U191" s="78"/>
      <c r="V191" s="69"/>
      <c r="W191" s="69"/>
      <c r="X191" s="69">
        <v>1</v>
      </c>
      <c r="Y191" s="69"/>
      <c r="Z191" s="69"/>
      <c r="AA191" s="69"/>
      <c r="AB191" s="49"/>
    </row>
    <row r="192" spans="1:28" ht="15.6" customHeight="1" x14ac:dyDescent="0.2">
      <c r="A192" s="212">
        <v>190</v>
      </c>
      <c r="B192" s="159" t="str">
        <f t="shared" si="2"/>
        <v>Dianthus caespitosus</v>
      </c>
      <c r="C192" s="160" t="s">
        <v>887</v>
      </c>
      <c r="D192" s="72"/>
      <c r="E192" s="72" t="s">
        <v>946</v>
      </c>
      <c r="F192" s="72" t="s">
        <v>949</v>
      </c>
      <c r="G192" s="289" t="s">
        <v>3132</v>
      </c>
      <c r="H192" s="166" t="s">
        <v>3244</v>
      </c>
      <c r="I192" s="142">
        <v>3</v>
      </c>
      <c r="J192" s="143">
        <v>6</v>
      </c>
      <c r="K192" s="143">
        <v>4</v>
      </c>
      <c r="L192" s="143">
        <v>3</v>
      </c>
      <c r="M192" s="143">
        <v>1</v>
      </c>
      <c r="N192" s="201">
        <v>3</v>
      </c>
      <c r="O192" s="294" t="s">
        <v>2910</v>
      </c>
      <c r="P192" s="325" t="s">
        <v>3032</v>
      </c>
      <c r="Q192" s="298"/>
      <c r="R192" s="209">
        <v>35612</v>
      </c>
      <c r="S192" s="301"/>
      <c r="T192" s="81">
        <v>1</v>
      </c>
      <c r="U192" s="78"/>
      <c r="V192" s="69"/>
      <c r="W192" s="69"/>
      <c r="X192" s="69">
        <v>1</v>
      </c>
      <c r="Y192" s="69"/>
      <c r="Z192" s="69"/>
      <c r="AA192" s="69"/>
      <c r="AB192" s="49"/>
    </row>
    <row r="193" spans="1:28" ht="15.6" customHeight="1" x14ac:dyDescent="0.2">
      <c r="A193" s="212">
        <v>191</v>
      </c>
      <c r="B193" s="159" t="str">
        <f t="shared" si="2"/>
        <v>Herniaria capensis</v>
      </c>
      <c r="C193" s="160" t="s">
        <v>887</v>
      </c>
      <c r="D193" s="72"/>
      <c r="E193" s="72" t="s">
        <v>950</v>
      </c>
      <c r="F193" s="72" t="s">
        <v>2756</v>
      </c>
      <c r="G193" s="289" t="s">
        <v>3133</v>
      </c>
      <c r="H193" s="166" t="s">
        <v>3268</v>
      </c>
      <c r="I193" s="142">
        <v>3</v>
      </c>
      <c r="J193" s="143">
        <v>6</v>
      </c>
      <c r="K193" s="143">
        <v>3</v>
      </c>
      <c r="L193" s="143">
        <v>1</v>
      </c>
      <c r="M193" s="143">
        <v>1</v>
      </c>
      <c r="N193" s="201">
        <v>5</v>
      </c>
      <c r="O193" s="294"/>
      <c r="P193" s="325" t="s">
        <v>3032</v>
      </c>
      <c r="Q193" s="298"/>
      <c r="R193" s="209">
        <v>35612</v>
      </c>
      <c r="S193" s="301"/>
      <c r="T193" s="81">
        <v>1</v>
      </c>
      <c r="U193" s="78">
        <v>1</v>
      </c>
      <c r="V193" s="69"/>
      <c r="W193" s="69"/>
      <c r="X193" s="69"/>
      <c r="Y193" s="69"/>
      <c r="Z193" s="69"/>
      <c r="AA193" s="69"/>
      <c r="AB193" s="49"/>
    </row>
    <row r="194" spans="1:28" ht="15.6" customHeight="1" x14ac:dyDescent="0.2">
      <c r="A194" s="212">
        <v>192</v>
      </c>
      <c r="B194" s="159" t="str">
        <f t="shared" si="2"/>
        <v>Silene undulata</v>
      </c>
      <c r="C194" s="160" t="s">
        <v>887</v>
      </c>
      <c r="D194" s="72" t="s">
        <v>17</v>
      </c>
      <c r="E194" s="72" t="s">
        <v>951</v>
      </c>
      <c r="F194" s="72" t="s">
        <v>954</v>
      </c>
      <c r="G194" s="289" t="s">
        <v>3134</v>
      </c>
      <c r="H194" s="166" t="s">
        <v>3252</v>
      </c>
      <c r="I194" s="142">
        <v>3</v>
      </c>
      <c r="J194" s="143">
        <v>5</v>
      </c>
      <c r="K194" s="143">
        <v>4</v>
      </c>
      <c r="L194" s="143">
        <v>2</v>
      </c>
      <c r="M194" s="143">
        <v>1</v>
      </c>
      <c r="N194" s="201">
        <v>3</v>
      </c>
      <c r="O194" s="294" t="s">
        <v>2910</v>
      </c>
      <c r="P194" s="325" t="s">
        <v>3032</v>
      </c>
      <c r="Q194" s="298"/>
      <c r="R194" s="209">
        <v>36130</v>
      </c>
      <c r="S194" s="301"/>
      <c r="T194" s="81">
        <v>1</v>
      </c>
      <c r="U194" s="78">
        <v>1</v>
      </c>
      <c r="V194" s="69"/>
      <c r="W194" s="69"/>
      <c r="X194" s="69">
        <v>1</v>
      </c>
      <c r="Y194" s="69"/>
      <c r="Z194" s="69"/>
      <c r="AA194" s="69"/>
      <c r="AB194" s="49"/>
    </row>
    <row r="195" spans="1:28" ht="15.6" customHeight="1" x14ac:dyDescent="0.2">
      <c r="A195" s="212">
        <v>193</v>
      </c>
      <c r="B195" s="159" t="str">
        <f t="shared" ref="B195:B258" si="3">E195&amp;" "&amp;F195</f>
        <v>Cassine peragua</v>
      </c>
      <c r="C195" s="160" t="s">
        <v>955</v>
      </c>
      <c r="D195" s="72" t="s">
        <v>18</v>
      </c>
      <c r="E195" s="72" t="s">
        <v>956</v>
      </c>
      <c r="F195" s="72" t="s">
        <v>957</v>
      </c>
      <c r="G195" s="289" t="s">
        <v>3135</v>
      </c>
      <c r="H195" s="166" t="s">
        <v>3227</v>
      </c>
      <c r="I195" s="142">
        <v>2</v>
      </c>
      <c r="J195" s="143">
        <v>3</v>
      </c>
      <c r="K195" s="143">
        <v>2</v>
      </c>
      <c r="L195" s="143">
        <v>1</v>
      </c>
      <c r="M195" s="143">
        <v>2</v>
      </c>
      <c r="N195" s="201">
        <v>3</v>
      </c>
      <c r="O195" s="294" t="s">
        <v>2167</v>
      </c>
      <c r="P195" s="325" t="s">
        <v>3032</v>
      </c>
      <c r="Q195" s="298"/>
      <c r="R195" s="209">
        <v>35612</v>
      </c>
      <c r="S195" s="301"/>
      <c r="T195" s="81">
        <v>1</v>
      </c>
      <c r="U195" s="78">
        <v>1</v>
      </c>
      <c r="V195" s="69">
        <v>1</v>
      </c>
      <c r="W195" s="69"/>
      <c r="X195" s="69"/>
      <c r="Y195" s="69">
        <v>1</v>
      </c>
      <c r="Z195" s="69"/>
      <c r="AA195" s="69"/>
      <c r="AB195" s="49"/>
    </row>
    <row r="196" spans="1:28" ht="15.6" customHeight="1" x14ac:dyDescent="0.2">
      <c r="A196" s="212">
        <v>194</v>
      </c>
      <c r="B196" s="159" t="str">
        <f t="shared" si="3"/>
        <v>Gymnosporia buxifolia</v>
      </c>
      <c r="C196" s="160" t="s">
        <v>955</v>
      </c>
      <c r="D196" s="72" t="s">
        <v>19</v>
      </c>
      <c r="E196" s="72" t="s">
        <v>958</v>
      </c>
      <c r="F196" s="72" t="s">
        <v>959</v>
      </c>
      <c r="G196" s="289" t="s">
        <v>3136</v>
      </c>
      <c r="H196" s="166" t="s">
        <v>3227</v>
      </c>
      <c r="I196" s="142">
        <v>2</v>
      </c>
      <c r="J196" s="143">
        <v>3</v>
      </c>
      <c r="K196" s="143">
        <v>2</v>
      </c>
      <c r="L196" s="143">
        <v>1</v>
      </c>
      <c r="M196" s="143">
        <v>2</v>
      </c>
      <c r="N196" s="201">
        <v>3</v>
      </c>
      <c r="O196" s="294" t="s">
        <v>2167</v>
      </c>
      <c r="P196" s="325" t="s">
        <v>3032</v>
      </c>
      <c r="Q196" s="298"/>
      <c r="R196" s="209">
        <v>35490</v>
      </c>
      <c r="S196" s="301" t="s">
        <v>2250</v>
      </c>
      <c r="T196" s="81"/>
      <c r="U196" s="78">
        <v>1</v>
      </c>
      <c r="V196" s="69"/>
      <c r="W196" s="69"/>
      <c r="X196" s="69"/>
      <c r="Y196" s="69">
        <v>1</v>
      </c>
      <c r="Z196" s="69"/>
      <c r="AA196" s="69"/>
      <c r="AB196" s="49"/>
    </row>
    <row r="197" spans="1:28" ht="15.6" customHeight="1" x14ac:dyDescent="0.2">
      <c r="A197" s="212">
        <v>195</v>
      </c>
      <c r="B197" s="159" t="str">
        <f t="shared" si="3"/>
        <v>Maytenus oleoides</v>
      </c>
      <c r="C197" s="160" t="s">
        <v>955</v>
      </c>
      <c r="D197" s="72" t="s">
        <v>20</v>
      </c>
      <c r="E197" s="72" t="s">
        <v>960</v>
      </c>
      <c r="F197" s="72" t="s">
        <v>961</v>
      </c>
      <c r="G197" s="289" t="s">
        <v>3137</v>
      </c>
      <c r="H197" s="166" t="s">
        <v>3227</v>
      </c>
      <c r="I197" s="142">
        <v>2</v>
      </c>
      <c r="J197" s="143">
        <v>3</v>
      </c>
      <c r="K197" s="143">
        <v>2</v>
      </c>
      <c r="L197" s="143">
        <v>1</v>
      </c>
      <c r="M197" s="143">
        <v>2</v>
      </c>
      <c r="N197" s="201">
        <v>3</v>
      </c>
      <c r="O197" s="294" t="s">
        <v>2167</v>
      </c>
      <c r="P197" s="325" t="s">
        <v>3032</v>
      </c>
      <c r="Q197" s="298"/>
      <c r="R197" s="209">
        <v>37073</v>
      </c>
      <c r="S197" s="301" t="s">
        <v>2250</v>
      </c>
      <c r="T197" s="81"/>
      <c r="U197" s="78"/>
      <c r="V197" s="69"/>
      <c r="W197" s="69"/>
      <c r="X197" s="69"/>
      <c r="Y197" s="69"/>
      <c r="Z197" s="69">
        <v>1</v>
      </c>
      <c r="AA197" s="69"/>
      <c r="AB197" s="49"/>
    </row>
    <row r="198" spans="1:28" ht="15.6" customHeight="1" x14ac:dyDescent="0.2">
      <c r="A198" s="212">
        <v>196</v>
      </c>
      <c r="B198" s="159" t="str">
        <f t="shared" si="3"/>
        <v>Pterocelastrus tricuspidatus</v>
      </c>
      <c r="C198" s="160" t="s">
        <v>955</v>
      </c>
      <c r="D198" s="72" t="s">
        <v>21</v>
      </c>
      <c r="E198" s="72" t="s">
        <v>962</v>
      </c>
      <c r="F198" s="72" t="s">
        <v>963</v>
      </c>
      <c r="G198" s="289" t="s">
        <v>3138</v>
      </c>
      <c r="H198" s="166" t="s">
        <v>3280</v>
      </c>
      <c r="I198" s="142">
        <v>1</v>
      </c>
      <c r="J198" s="143">
        <v>2</v>
      </c>
      <c r="K198" s="143">
        <v>2</v>
      </c>
      <c r="L198" s="143">
        <v>1</v>
      </c>
      <c r="M198" s="143">
        <v>2</v>
      </c>
      <c r="N198" s="201">
        <v>3</v>
      </c>
      <c r="O198" s="294" t="s">
        <v>2167</v>
      </c>
      <c r="P198" s="325" t="s">
        <v>3032</v>
      </c>
      <c r="Q198" s="298"/>
      <c r="R198" s="209">
        <v>35855</v>
      </c>
      <c r="S198" s="301"/>
      <c r="T198" s="81">
        <v>1</v>
      </c>
      <c r="U198" s="78">
        <v>1</v>
      </c>
      <c r="V198" s="69"/>
      <c r="W198" s="69"/>
      <c r="X198" s="69"/>
      <c r="Y198" s="69">
        <v>1</v>
      </c>
      <c r="Z198" s="69"/>
      <c r="AA198" s="69"/>
      <c r="AB198" s="49"/>
    </row>
    <row r="199" spans="1:28" ht="15.6" customHeight="1" x14ac:dyDescent="0.2">
      <c r="A199" s="212">
        <v>197</v>
      </c>
      <c r="B199" s="159" t="str">
        <f t="shared" si="3"/>
        <v>Robsonodendron maritimum</v>
      </c>
      <c r="C199" s="160" t="s">
        <v>955</v>
      </c>
      <c r="D199" s="72" t="s">
        <v>22</v>
      </c>
      <c r="E199" s="72" t="s">
        <v>964</v>
      </c>
      <c r="F199" s="72" t="s">
        <v>965</v>
      </c>
      <c r="G199" s="289" t="s">
        <v>3139</v>
      </c>
      <c r="H199" s="166" t="s">
        <v>3273</v>
      </c>
      <c r="I199" s="142">
        <v>2</v>
      </c>
      <c r="J199" s="143">
        <v>4</v>
      </c>
      <c r="K199" s="143" t="s">
        <v>2690</v>
      </c>
      <c r="L199" s="143" t="s">
        <v>2690</v>
      </c>
      <c r="M199" s="143">
        <v>2</v>
      </c>
      <c r="N199" s="201" t="s">
        <v>2690</v>
      </c>
      <c r="O199" s="294" t="s">
        <v>2168</v>
      </c>
      <c r="P199" s="325" t="s">
        <v>3032</v>
      </c>
      <c r="Q199" s="298"/>
      <c r="R199" s="209">
        <v>36251</v>
      </c>
      <c r="S199" s="301" t="s">
        <v>2250</v>
      </c>
      <c r="T199" s="81"/>
      <c r="U199" s="78">
        <v>1</v>
      </c>
      <c r="V199" s="69"/>
      <c r="W199" s="69"/>
      <c r="X199" s="69">
        <v>1</v>
      </c>
      <c r="Y199" s="69"/>
      <c r="Z199" s="69"/>
      <c r="AA199" s="69"/>
      <c r="AB199" s="49"/>
    </row>
    <row r="200" spans="1:28" ht="15.6" customHeight="1" x14ac:dyDescent="0.2">
      <c r="A200" s="212">
        <v>198</v>
      </c>
      <c r="B200" s="159" t="str">
        <f t="shared" si="3"/>
        <v>Celtis africana</v>
      </c>
      <c r="C200" s="160" t="s">
        <v>966</v>
      </c>
      <c r="D200" s="72" t="s">
        <v>23</v>
      </c>
      <c r="E200" s="72" t="s">
        <v>967</v>
      </c>
      <c r="F200" s="72" t="s">
        <v>832</v>
      </c>
      <c r="G200" s="289" t="s">
        <v>3140</v>
      </c>
      <c r="H200" s="166" t="s">
        <v>3281</v>
      </c>
      <c r="I200" s="142">
        <v>1</v>
      </c>
      <c r="J200" s="143">
        <v>1</v>
      </c>
      <c r="K200" s="143">
        <v>2</v>
      </c>
      <c r="L200" s="143">
        <v>1</v>
      </c>
      <c r="M200" s="143">
        <v>1</v>
      </c>
      <c r="N200" s="201">
        <v>3</v>
      </c>
      <c r="O200" s="294" t="s">
        <v>2173</v>
      </c>
      <c r="P200" s="325" t="s">
        <v>3032</v>
      </c>
      <c r="Q200" s="298"/>
      <c r="R200" s="209">
        <v>35612</v>
      </c>
      <c r="S200" s="301"/>
      <c r="T200" s="81">
        <v>1</v>
      </c>
      <c r="U200" s="78"/>
      <c r="V200" s="69"/>
      <c r="W200" s="69"/>
      <c r="X200" s="69"/>
      <c r="Y200" s="69">
        <v>1</v>
      </c>
      <c r="Z200" s="69">
        <v>1</v>
      </c>
      <c r="AA200" s="69"/>
      <c r="AB200" s="49"/>
    </row>
    <row r="201" spans="1:28" ht="15.6" customHeight="1" x14ac:dyDescent="0.2">
      <c r="A201" s="212">
        <v>199</v>
      </c>
      <c r="B201" s="159" t="str">
        <f t="shared" si="3"/>
        <v>Androcymbium capense</v>
      </c>
      <c r="C201" s="160" t="s">
        <v>968</v>
      </c>
      <c r="D201" s="72"/>
      <c r="E201" s="72" t="s">
        <v>969</v>
      </c>
      <c r="F201" s="72" t="s">
        <v>945</v>
      </c>
      <c r="G201" s="289" t="s">
        <v>3141</v>
      </c>
      <c r="H201" s="166" t="s">
        <v>1287</v>
      </c>
      <c r="I201" s="142">
        <v>4</v>
      </c>
      <c r="J201" s="143">
        <v>6</v>
      </c>
      <c r="K201" s="143">
        <v>5</v>
      </c>
      <c r="L201" s="143">
        <v>2</v>
      </c>
      <c r="M201" s="143">
        <v>1</v>
      </c>
      <c r="N201" s="201">
        <v>1</v>
      </c>
      <c r="O201" s="294" t="s">
        <v>2163</v>
      </c>
      <c r="P201" s="325" t="s">
        <v>3032</v>
      </c>
      <c r="Q201" s="298"/>
      <c r="R201" s="209">
        <v>35612</v>
      </c>
      <c r="S201" s="301"/>
      <c r="T201" s="81">
        <v>1</v>
      </c>
      <c r="U201" s="78">
        <v>1</v>
      </c>
      <c r="V201" s="69"/>
      <c r="W201" s="69">
        <v>1</v>
      </c>
      <c r="X201" s="69"/>
      <c r="Y201" s="69"/>
      <c r="Z201" s="69"/>
      <c r="AA201" s="69"/>
      <c r="AB201" s="49"/>
    </row>
    <row r="202" spans="1:28" ht="15.6" customHeight="1" x14ac:dyDescent="0.2">
      <c r="A202" s="212">
        <v>200</v>
      </c>
      <c r="B202" s="159" t="str">
        <f t="shared" si="3"/>
        <v>Androcymbium eucomoides</v>
      </c>
      <c r="C202" s="160" t="s">
        <v>968</v>
      </c>
      <c r="D202" s="72"/>
      <c r="E202" s="72" t="s">
        <v>969</v>
      </c>
      <c r="F202" s="72" t="s">
        <v>970</v>
      </c>
      <c r="G202" s="289" t="s">
        <v>3142</v>
      </c>
      <c r="H202" s="166" t="s">
        <v>1287</v>
      </c>
      <c r="I202" s="142">
        <v>4</v>
      </c>
      <c r="J202" s="143">
        <v>6</v>
      </c>
      <c r="K202" s="143">
        <v>5</v>
      </c>
      <c r="L202" s="143">
        <v>2</v>
      </c>
      <c r="M202" s="143">
        <v>1</v>
      </c>
      <c r="N202" s="201">
        <v>1</v>
      </c>
      <c r="O202" s="294" t="s">
        <v>2163</v>
      </c>
      <c r="P202" s="325" t="s">
        <v>3032</v>
      </c>
      <c r="Q202" s="298"/>
      <c r="R202" s="209">
        <v>37347</v>
      </c>
      <c r="S202" s="301"/>
      <c r="T202" s="81">
        <v>1</v>
      </c>
      <c r="U202" s="78">
        <v>1</v>
      </c>
      <c r="V202" s="69"/>
      <c r="W202" s="69"/>
      <c r="X202" s="69"/>
      <c r="Y202" s="69">
        <v>1</v>
      </c>
      <c r="Z202" s="69"/>
      <c r="AA202" s="69"/>
      <c r="AB202" s="49"/>
    </row>
    <row r="203" spans="1:28" ht="15.6" customHeight="1" x14ac:dyDescent="0.2">
      <c r="A203" s="212">
        <v>201</v>
      </c>
      <c r="B203" s="159" t="str">
        <f t="shared" si="3"/>
        <v>Baeometra uniflora</v>
      </c>
      <c r="C203" s="160" t="s">
        <v>968</v>
      </c>
      <c r="D203" s="72" t="s">
        <v>24</v>
      </c>
      <c r="E203" s="72" t="s">
        <v>971</v>
      </c>
      <c r="F203" s="72" t="s">
        <v>972</v>
      </c>
      <c r="G203" s="289" t="s">
        <v>3143</v>
      </c>
      <c r="H203" s="166" t="s">
        <v>1287</v>
      </c>
      <c r="I203" s="142">
        <v>4</v>
      </c>
      <c r="J203" s="143">
        <v>6</v>
      </c>
      <c r="K203" s="143">
        <v>4</v>
      </c>
      <c r="L203" s="143">
        <v>2</v>
      </c>
      <c r="M203" s="143">
        <v>1</v>
      </c>
      <c r="N203" s="201">
        <v>1</v>
      </c>
      <c r="O203" s="294" t="s">
        <v>2163</v>
      </c>
      <c r="P203" s="325" t="s">
        <v>3032</v>
      </c>
      <c r="Q203" s="298"/>
      <c r="R203" s="209">
        <v>37500</v>
      </c>
      <c r="S203" s="301"/>
      <c r="T203" s="81">
        <v>1</v>
      </c>
      <c r="U203" s="78"/>
      <c r="V203" s="69"/>
      <c r="W203" s="69"/>
      <c r="X203" s="69">
        <v>1</v>
      </c>
      <c r="Y203" s="69"/>
      <c r="Z203" s="69"/>
      <c r="AA203" s="69"/>
      <c r="AB203" s="49"/>
    </row>
    <row r="204" spans="1:28" ht="15.6" customHeight="1" x14ac:dyDescent="0.2">
      <c r="A204" s="212">
        <v>202</v>
      </c>
      <c r="B204" s="159" t="str">
        <f t="shared" si="3"/>
        <v>Ornithoglossum viride</v>
      </c>
      <c r="C204" s="160" t="s">
        <v>968</v>
      </c>
      <c r="D204" s="72" t="s">
        <v>25</v>
      </c>
      <c r="E204" s="72" t="s">
        <v>973</v>
      </c>
      <c r="F204" s="72" t="s">
        <v>974</v>
      </c>
      <c r="G204" s="289" t="s">
        <v>3152</v>
      </c>
      <c r="H204" s="166" t="s">
        <v>1287</v>
      </c>
      <c r="I204" s="142">
        <v>4</v>
      </c>
      <c r="J204" s="143">
        <v>6</v>
      </c>
      <c r="K204" s="143">
        <v>4</v>
      </c>
      <c r="L204" s="143">
        <v>2</v>
      </c>
      <c r="M204" s="143">
        <v>1</v>
      </c>
      <c r="N204" s="201">
        <v>1</v>
      </c>
      <c r="O204" s="294" t="s">
        <v>2163</v>
      </c>
      <c r="P204" s="325" t="s">
        <v>3032</v>
      </c>
      <c r="Q204" s="298"/>
      <c r="R204" s="209">
        <v>37530</v>
      </c>
      <c r="S204" s="301"/>
      <c r="T204" s="81">
        <v>1</v>
      </c>
      <c r="U204" s="78"/>
      <c r="V204" s="69"/>
      <c r="W204" s="69">
        <v>1</v>
      </c>
      <c r="X204" s="69"/>
      <c r="Y204" s="69"/>
      <c r="Z204" s="69"/>
      <c r="AA204" s="69"/>
      <c r="AB204" s="49"/>
    </row>
    <row r="205" spans="1:28" ht="15.6" customHeight="1" x14ac:dyDescent="0.2">
      <c r="A205" s="212">
        <v>203</v>
      </c>
      <c r="B205" s="159" t="str">
        <f t="shared" si="3"/>
        <v>Cotyledon  orbiculata</v>
      </c>
      <c r="C205" s="160" t="s">
        <v>975</v>
      </c>
      <c r="D205" s="72" t="s">
        <v>26</v>
      </c>
      <c r="E205" s="72" t="s">
        <v>976</v>
      </c>
      <c r="F205" s="72" t="s">
        <v>977</v>
      </c>
      <c r="G205" s="289" t="s">
        <v>3153</v>
      </c>
      <c r="H205" s="166" t="s">
        <v>3282</v>
      </c>
      <c r="I205" s="142">
        <v>2</v>
      </c>
      <c r="J205" s="143">
        <v>5</v>
      </c>
      <c r="K205" s="143">
        <v>3</v>
      </c>
      <c r="L205" s="143">
        <v>1</v>
      </c>
      <c r="M205" s="143">
        <v>4</v>
      </c>
      <c r="N205" s="201">
        <v>2</v>
      </c>
      <c r="O205" s="294" t="s">
        <v>2174</v>
      </c>
      <c r="P205" s="325" t="s">
        <v>3032</v>
      </c>
      <c r="Q205" s="298"/>
      <c r="R205" s="209">
        <v>36951</v>
      </c>
      <c r="S205" s="301" t="s">
        <v>2250</v>
      </c>
      <c r="T205" s="81"/>
      <c r="U205" s="78">
        <v>1</v>
      </c>
      <c r="V205" s="69">
        <v>1</v>
      </c>
      <c r="W205" s="69"/>
      <c r="X205" s="69">
        <v>1</v>
      </c>
      <c r="Y205" s="69"/>
      <c r="Z205" s="69"/>
      <c r="AA205" s="69"/>
      <c r="AB205" s="49"/>
    </row>
    <row r="206" spans="1:28" ht="15.6" customHeight="1" x14ac:dyDescent="0.2">
      <c r="A206" s="212">
        <v>204</v>
      </c>
      <c r="B206" s="159" t="str">
        <f t="shared" si="3"/>
        <v>Crassula campestris</v>
      </c>
      <c r="C206" s="160" t="s">
        <v>975</v>
      </c>
      <c r="D206" s="72"/>
      <c r="E206" s="72" t="s">
        <v>978</v>
      </c>
      <c r="F206" s="72" t="s">
        <v>979</v>
      </c>
      <c r="G206" s="289" t="s">
        <v>3154</v>
      </c>
      <c r="H206" s="166" t="s">
        <v>3261</v>
      </c>
      <c r="I206" s="142">
        <v>6</v>
      </c>
      <c r="J206" s="143">
        <v>6</v>
      </c>
      <c r="K206" s="143">
        <v>3</v>
      </c>
      <c r="L206" s="143">
        <v>2</v>
      </c>
      <c r="M206" s="143">
        <v>3</v>
      </c>
      <c r="N206" s="201">
        <v>5</v>
      </c>
      <c r="O206" s="294" t="s">
        <v>2910</v>
      </c>
      <c r="P206" s="325" t="s">
        <v>2915</v>
      </c>
      <c r="Q206" s="298"/>
      <c r="R206" s="209">
        <v>37257</v>
      </c>
      <c r="S206" s="301"/>
      <c r="T206" s="81">
        <v>1</v>
      </c>
      <c r="U206" s="80"/>
      <c r="V206" s="69"/>
      <c r="W206" s="69"/>
      <c r="X206" s="69"/>
      <c r="Y206" s="69"/>
      <c r="Z206" s="69"/>
      <c r="AA206" s="69"/>
      <c r="AB206" s="49"/>
    </row>
    <row r="207" spans="1:28" ht="15.6" customHeight="1" x14ac:dyDescent="0.2">
      <c r="A207" s="212">
        <v>205</v>
      </c>
      <c r="B207" s="159" t="str">
        <f t="shared" si="3"/>
        <v>Crassula capensis</v>
      </c>
      <c r="C207" s="160" t="s">
        <v>975</v>
      </c>
      <c r="D207" s="72" t="s">
        <v>27</v>
      </c>
      <c r="E207" s="72" t="s">
        <v>978</v>
      </c>
      <c r="F207" s="72" t="s">
        <v>2756</v>
      </c>
      <c r="G207" s="289" t="s">
        <v>3155</v>
      </c>
      <c r="H207" s="166" t="s">
        <v>3224</v>
      </c>
      <c r="I207" s="142">
        <v>4</v>
      </c>
      <c r="J207" s="143">
        <v>6</v>
      </c>
      <c r="K207" s="143">
        <v>5</v>
      </c>
      <c r="L207" s="143">
        <v>1</v>
      </c>
      <c r="M207" s="143">
        <v>3</v>
      </c>
      <c r="N207" s="201">
        <v>3</v>
      </c>
      <c r="O207" s="294" t="s">
        <v>2163</v>
      </c>
      <c r="P207" s="325" t="s">
        <v>3032</v>
      </c>
      <c r="Q207" s="298"/>
      <c r="R207" s="209">
        <v>35916</v>
      </c>
      <c r="S207" s="301"/>
      <c r="T207" s="81">
        <v>1</v>
      </c>
      <c r="U207" s="78"/>
      <c r="V207" s="69"/>
      <c r="W207" s="69"/>
      <c r="X207" s="69">
        <v>1</v>
      </c>
      <c r="Y207" s="69"/>
      <c r="Z207" s="69"/>
      <c r="AA207" s="69">
        <v>1</v>
      </c>
      <c r="AB207" s="49"/>
    </row>
    <row r="208" spans="1:28" ht="15.6" customHeight="1" x14ac:dyDescent="0.2">
      <c r="A208" s="212">
        <v>206</v>
      </c>
      <c r="B208" s="159" t="str">
        <f t="shared" si="3"/>
        <v>Crassula depressa</v>
      </c>
      <c r="C208" s="160" t="s">
        <v>975</v>
      </c>
      <c r="D208" s="72"/>
      <c r="E208" s="72" t="s">
        <v>978</v>
      </c>
      <c r="F208" s="72" t="s">
        <v>980</v>
      </c>
      <c r="G208" s="289" t="s">
        <v>3156</v>
      </c>
      <c r="H208" s="166" t="s">
        <v>3261</v>
      </c>
      <c r="I208" s="142">
        <v>6</v>
      </c>
      <c r="J208" s="143">
        <v>6</v>
      </c>
      <c r="K208" s="143">
        <v>3</v>
      </c>
      <c r="L208" s="143">
        <v>3</v>
      </c>
      <c r="M208" s="143">
        <v>3</v>
      </c>
      <c r="N208" s="201">
        <v>5</v>
      </c>
      <c r="O208" s="294" t="s">
        <v>2910</v>
      </c>
      <c r="P208" s="325" t="s">
        <v>2915</v>
      </c>
      <c r="Q208" s="298"/>
      <c r="R208" s="209">
        <v>37165</v>
      </c>
      <c r="S208" s="301"/>
      <c r="T208" s="81">
        <v>1</v>
      </c>
      <c r="U208" s="78"/>
      <c r="V208" s="69"/>
      <c r="W208" s="69"/>
      <c r="X208" s="69">
        <v>1</v>
      </c>
      <c r="Y208" s="69"/>
      <c r="Z208" s="69"/>
      <c r="AA208" s="69"/>
      <c r="AB208" s="49"/>
    </row>
    <row r="209" spans="1:28" ht="15.6" customHeight="1" x14ac:dyDescent="0.2">
      <c r="A209" s="212">
        <v>207</v>
      </c>
      <c r="B209" s="159" t="str">
        <f t="shared" si="3"/>
        <v>Crassula dichotoma</v>
      </c>
      <c r="C209" s="160" t="s">
        <v>975</v>
      </c>
      <c r="D209" s="72"/>
      <c r="E209" s="72" t="s">
        <v>978</v>
      </c>
      <c r="F209" s="72" t="s">
        <v>985</v>
      </c>
      <c r="G209" s="289" t="s">
        <v>3157</v>
      </c>
      <c r="H209" s="166" t="s">
        <v>3283</v>
      </c>
      <c r="I209" s="142">
        <v>6</v>
      </c>
      <c r="J209" s="143">
        <v>6</v>
      </c>
      <c r="K209" s="143">
        <v>0</v>
      </c>
      <c r="L209" s="143">
        <v>7</v>
      </c>
      <c r="M209" s="143">
        <v>0</v>
      </c>
      <c r="N209" s="201">
        <v>0</v>
      </c>
      <c r="O209" s="294" t="s">
        <v>2910</v>
      </c>
      <c r="P209" s="325" t="s">
        <v>2915</v>
      </c>
      <c r="Q209" s="298"/>
      <c r="R209" s="209">
        <v>35612</v>
      </c>
      <c r="S209" s="301"/>
      <c r="T209" s="81">
        <v>1</v>
      </c>
      <c r="U209" s="78">
        <v>1</v>
      </c>
      <c r="V209" s="69"/>
      <c r="W209" s="69"/>
      <c r="X209" s="69"/>
      <c r="Y209" s="69"/>
      <c r="Z209" s="69"/>
      <c r="AA209" s="69"/>
      <c r="AB209" s="49"/>
    </row>
    <row r="210" spans="1:28" ht="15.6" customHeight="1" x14ac:dyDescent="0.2">
      <c r="A210" s="212">
        <v>208</v>
      </c>
      <c r="B210" s="159" t="str">
        <f t="shared" si="3"/>
        <v>Crassula expansa ssp. expansa</v>
      </c>
      <c r="C210" s="160" t="s">
        <v>975</v>
      </c>
      <c r="D210" s="72"/>
      <c r="E210" s="72" t="s">
        <v>978</v>
      </c>
      <c r="F210" s="72" t="s">
        <v>2242</v>
      </c>
      <c r="G210" s="289" t="s">
        <v>3162</v>
      </c>
      <c r="H210" s="166" t="s">
        <v>3268</v>
      </c>
      <c r="I210" s="142">
        <v>3</v>
      </c>
      <c r="J210" s="143">
        <v>6</v>
      </c>
      <c r="K210" s="143">
        <v>3</v>
      </c>
      <c r="L210" s="143">
        <v>2</v>
      </c>
      <c r="M210" s="143">
        <v>3</v>
      </c>
      <c r="N210" s="201">
        <v>5</v>
      </c>
      <c r="O210" s="294" t="s">
        <v>2164</v>
      </c>
      <c r="P210" s="325"/>
      <c r="Q210" s="298"/>
      <c r="R210" s="209">
        <v>37012</v>
      </c>
      <c r="S210" s="301"/>
      <c r="T210" s="81">
        <v>1</v>
      </c>
      <c r="U210" s="78"/>
      <c r="V210" s="69"/>
      <c r="W210" s="69"/>
      <c r="X210" s="69"/>
      <c r="Y210" s="69"/>
      <c r="Z210" s="69"/>
      <c r="AA210" s="69">
        <v>1</v>
      </c>
      <c r="AB210" s="49"/>
    </row>
    <row r="211" spans="1:28" ht="15.6" customHeight="1" x14ac:dyDescent="0.2">
      <c r="A211" s="212">
        <v>209</v>
      </c>
      <c r="B211" s="159" t="str">
        <f t="shared" si="3"/>
        <v>Crassula expansa ssp. filicaulis</v>
      </c>
      <c r="C211" s="160" t="s">
        <v>975</v>
      </c>
      <c r="D211" s="72"/>
      <c r="E211" s="72" t="s">
        <v>978</v>
      </c>
      <c r="F211" s="72" t="s">
        <v>2243</v>
      </c>
      <c r="G211" s="289" t="s">
        <v>3162</v>
      </c>
      <c r="H211" s="166" t="s">
        <v>3268</v>
      </c>
      <c r="I211" s="142">
        <v>3</v>
      </c>
      <c r="J211" s="143">
        <v>6</v>
      </c>
      <c r="K211" s="143">
        <v>3</v>
      </c>
      <c r="L211" s="143">
        <v>2</v>
      </c>
      <c r="M211" s="143">
        <v>3</v>
      </c>
      <c r="N211" s="201">
        <v>5</v>
      </c>
      <c r="O211" s="294" t="s">
        <v>2164</v>
      </c>
      <c r="P211" s="325"/>
      <c r="Q211" s="298"/>
      <c r="R211" s="209">
        <v>35735</v>
      </c>
      <c r="S211" s="301"/>
      <c r="T211" s="81">
        <v>1</v>
      </c>
      <c r="U211" s="78"/>
      <c r="V211" s="69"/>
      <c r="W211" s="69"/>
      <c r="X211" s="69">
        <v>1</v>
      </c>
      <c r="Y211" s="69"/>
      <c r="Z211" s="69"/>
      <c r="AA211" s="69"/>
      <c r="AB211" s="49"/>
    </row>
    <row r="212" spans="1:28" ht="15.6" customHeight="1" x14ac:dyDescent="0.2">
      <c r="A212" s="212">
        <v>210</v>
      </c>
      <c r="B212" s="159" t="str">
        <f t="shared" si="3"/>
        <v>Crassula fascicularis</v>
      </c>
      <c r="C212" s="160" t="s">
        <v>975</v>
      </c>
      <c r="D212" s="72"/>
      <c r="E212" s="72" t="s">
        <v>978</v>
      </c>
      <c r="F212" s="72" t="s">
        <v>986</v>
      </c>
      <c r="G212" s="289" t="s">
        <v>3163</v>
      </c>
      <c r="H212" s="166" t="s">
        <v>3219</v>
      </c>
      <c r="I212" s="142">
        <v>2</v>
      </c>
      <c r="J212" s="143">
        <v>6</v>
      </c>
      <c r="K212" s="143">
        <v>4</v>
      </c>
      <c r="L212" s="143">
        <v>2</v>
      </c>
      <c r="M212" s="143">
        <v>3</v>
      </c>
      <c r="N212" s="201">
        <v>3</v>
      </c>
      <c r="O212" s="294" t="s">
        <v>2174</v>
      </c>
      <c r="P212" s="325" t="s">
        <v>3032</v>
      </c>
      <c r="Q212" s="298"/>
      <c r="R212" s="209">
        <v>35612</v>
      </c>
      <c r="S212" s="301"/>
      <c r="T212" s="81">
        <v>1</v>
      </c>
      <c r="U212" s="78"/>
      <c r="V212" s="69">
        <v>1</v>
      </c>
      <c r="W212" s="69"/>
      <c r="X212" s="69">
        <v>1</v>
      </c>
      <c r="Y212" s="69"/>
      <c r="Z212" s="69"/>
      <c r="AA212" s="69"/>
      <c r="AB212" s="49"/>
    </row>
    <row r="213" spans="1:28" ht="15.6" customHeight="1" x14ac:dyDescent="0.2">
      <c r="A213" s="212">
        <v>211</v>
      </c>
      <c r="B213" s="159" t="str">
        <f t="shared" si="3"/>
        <v>Crassula glomerata</v>
      </c>
      <c r="C213" s="160" t="s">
        <v>975</v>
      </c>
      <c r="D213" s="72" t="s">
        <v>28</v>
      </c>
      <c r="E213" s="72" t="s">
        <v>978</v>
      </c>
      <c r="F213" s="72" t="s">
        <v>987</v>
      </c>
      <c r="G213" s="289" t="s">
        <v>3164</v>
      </c>
      <c r="H213" s="166" t="s">
        <v>3261</v>
      </c>
      <c r="I213" s="142">
        <v>6</v>
      </c>
      <c r="J213" s="143">
        <v>6</v>
      </c>
      <c r="K213" s="143">
        <v>3</v>
      </c>
      <c r="L213" s="143">
        <v>2</v>
      </c>
      <c r="M213" s="143">
        <v>3</v>
      </c>
      <c r="N213" s="201">
        <v>5</v>
      </c>
      <c r="O213" s="294" t="s">
        <v>2910</v>
      </c>
      <c r="P213" s="325" t="s">
        <v>2915</v>
      </c>
      <c r="Q213" s="298"/>
      <c r="R213" s="209">
        <v>35947</v>
      </c>
      <c r="S213" s="301"/>
      <c r="T213" s="81">
        <v>1</v>
      </c>
      <c r="U213" s="78">
        <v>1</v>
      </c>
      <c r="V213" s="69"/>
      <c r="W213" s="69">
        <v>1</v>
      </c>
      <c r="X213" s="69">
        <v>1</v>
      </c>
      <c r="Y213" s="69"/>
      <c r="Z213" s="69"/>
      <c r="AA213" s="69"/>
      <c r="AB213" s="49"/>
    </row>
    <row r="214" spans="1:28" ht="15.6" customHeight="1" x14ac:dyDescent="0.2">
      <c r="A214" s="212">
        <v>212</v>
      </c>
      <c r="B214" s="159" t="str">
        <f t="shared" si="3"/>
        <v>Crassula subulata var. subulata</v>
      </c>
      <c r="C214" s="160" t="s">
        <v>975</v>
      </c>
      <c r="D214" s="72" t="s">
        <v>29</v>
      </c>
      <c r="E214" s="72" t="s">
        <v>978</v>
      </c>
      <c r="F214" s="72" t="s">
        <v>837</v>
      </c>
      <c r="G214" s="289" t="s">
        <v>3165</v>
      </c>
      <c r="H214" s="166" t="s">
        <v>3248</v>
      </c>
      <c r="I214" s="142">
        <v>2</v>
      </c>
      <c r="J214" s="143">
        <v>5</v>
      </c>
      <c r="K214" s="143">
        <v>3</v>
      </c>
      <c r="L214" s="143">
        <v>3</v>
      </c>
      <c r="M214" s="143">
        <v>3</v>
      </c>
      <c r="N214" s="201">
        <v>5</v>
      </c>
      <c r="O214" s="294" t="s">
        <v>2175</v>
      </c>
      <c r="P214" s="325" t="s">
        <v>3032</v>
      </c>
      <c r="Q214" s="298"/>
      <c r="R214" s="209">
        <v>35612</v>
      </c>
      <c r="S214" s="301"/>
      <c r="T214" s="81">
        <v>1</v>
      </c>
      <c r="U214" s="78">
        <v>1</v>
      </c>
      <c r="V214" s="69">
        <v>1</v>
      </c>
      <c r="W214" s="69"/>
      <c r="X214" s="69"/>
      <c r="Y214" s="69"/>
      <c r="Z214" s="69"/>
      <c r="AA214" s="69"/>
      <c r="AB214" s="49"/>
    </row>
    <row r="215" spans="1:28" ht="15.6" customHeight="1" x14ac:dyDescent="0.2">
      <c r="A215" s="212">
        <v>213</v>
      </c>
      <c r="B215" s="159" t="str">
        <f t="shared" si="3"/>
        <v>Kedrostis nana</v>
      </c>
      <c r="C215" s="160" t="s">
        <v>988</v>
      </c>
      <c r="D215" s="72" t="s">
        <v>30</v>
      </c>
      <c r="E215" s="72" t="s">
        <v>989</v>
      </c>
      <c r="F215" s="72" t="s">
        <v>990</v>
      </c>
      <c r="G215" s="289" t="s">
        <v>3166</v>
      </c>
      <c r="H215" s="166" t="s">
        <v>3242</v>
      </c>
      <c r="I215" s="142">
        <v>7</v>
      </c>
      <c r="J215" s="143">
        <v>6</v>
      </c>
      <c r="K215" s="143">
        <v>3</v>
      </c>
      <c r="L215" s="143">
        <v>1</v>
      </c>
      <c r="M215" s="143">
        <v>1</v>
      </c>
      <c r="N215" s="201">
        <v>3</v>
      </c>
      <c r="O215" s="294" t="s">
        <v>1657</v>
      </c>
      <c r="P215" s="325" t="s">
        <v>3032</v>
      </c>
      <c r="Q215" s="298"/>
      <c r="R215" s="209">
        <v>35612</v>
      </c>
      <c r="S215" s="301"/>
      <c r="T215" s="81">
        <v>1</v>
      </c>
      <c r="U215" s="78"/>
      <c r="V215" s="69"/>
      <c r="W215" s="69"/>
      <c r="X215" s="69"/>
      <c r="Y215" s="69">
        <v>1</v>
      </c>
      <c r="Z215" s="69"/>
      <c r="AA215" s="69"/>
      <c r="AB215" s="49"/>
    </row>
    <row r="216" spans="1:28" ht="15.6" customHeight="1" x14ac:dyDescent="0.2">
      <c r="A216" s="212">
        <v>214</v>
      </c>
      <c r="B216" s="159" t="str">
        <f t="shared" si="3"/>
        <v>Zehneria scabra</v>
      </c>
      <c r="C216" s="160" t="s">
        <v>988</v>
      </c>
      <c r="D216" s="72" t="s">
        <v>31</v>
      </c>
      <c r="E216" s="72" t="s">
        <v>991</v>
      </c>
      <c r="F216" s="72" t="s">
        <v>786</v>
      </c>
      <c r="G216" s="289" t="s">
        <v>3167</v>
      </c>
      <c r="H216" s="166" t="s">
        <v>3242</v>
      </c>
      <c r="I216" s="142">
        <v>7</v>
      </c>
      <c r="J216" s="143">
        <v>2</v>
      </c>
      <c r="K216" s="143">
        <v>3</v>
      </c>
      <c r="L216" s="143">
        <v>1</v>
      </c>
      <c r="M216" s="143">
        <v>1</v>
      </c>
      <c r="N216" s="201">
        <v>2</v>
      </c>
      <c r="O216" s="294" t="s">
        <v>1657</v>
      </c>
      <c r="P216" s="325" t="s">
        <v>3032</v>
      </c>
      <c r="Q216" s="298"/>
      <c r="R216" s="209">
        <v>35612</v>
      </c>
      <c r="S216" s="301"/>
      <c r="T216" s="81">
        <v>1</v>
      </c>
      <c r="U216" s="78"/>
      <c r="V216" s="69"/>
      <c r="W216" s="69"/>
      <c r="X216" s="69"/>
      <c r="Y216" s="69">
        <v>1</v>
      </c>
      <c r="Z216" s="69"/>
      <c r="AA216" s="69"/>
      <c r="AB216" s="49"/>
    </row>
    <row r="217" spans="1:28" ht="15.6" customHeight="1" x14ac:dyDescent="0.2">
      <c r="A217" s="212">
        <v>215</v>
      </c>
      <c r="B217" s="159" t="str">
        <f t="shared" si="3"/>
        <v>Ficinia bulbosa</v>
      </c>
      <c r="C217" s="160" t="s">
        <v>992</v>
      </c>
      <c r="D217" s="72"/>
      <c r="E217" s="72" t="s">
        <v>993</v>
      </c>
      <c r="F217" s="72" t="s">
        <v>994</v>
      </c>
      <c r="G217" s="289" t="s">
        <v>3168</v>
      </c>
      <c r="H217" s="166" t="s">
        <v>3284</v>
      </c>
      <c r="I217" s="142">
        <v>5</v>
      </c>
      <c r="J217" s="143">
        <v>6</v>
      </c>
      <c r="K217" s="143">
        <v>5</v>
      </c>
      <c r="L217" s="143">
        <v>3</v>
      </c>
      <c r="M217" s="143">
        <v>1</v>
      </c>
      <c r="N217" s="201">
        <v>1</v>
      </c>
      <c r="O217" s="294" t="s">
        <v>2176</v>
      </c>
      <c r="P217" s="325" t="s">
        <v>3032</v>
      </c>
      <c r="Q217" s="298"/>
      <c r="R217" s="209">
        <v>35612</v>
      </c>
      <c r="S217" s="301"/>
      <c r="T217" s="81">
        <v>1</v>
      </c>
      <c r="U217" s="78">
        <v>1</v>
      </c>
      <c r="V217" s="69">
        <v>1</v>
      </c>
      <c r="W217" s="69"/>
      <c r="X217" s="69"/>
      <c r="Y217" s="69"/>
      <c r="Z217" s="69"/>
      <c r="AA217" s="69"/>
      <c r="AB217" s="49"/>
    </row>
    <row r="218" spans="1:28" ht="15.6" customHeight="1" x14ac:dyDescent="0.2">
      <c r="A218" s="212">
        <v>216</v>
      </c>
      <c r="B218" s="159" t="str">
        <f t="shared" si="3"/>
        <v>Ficinia deusta</v>
      </c>
      <c r="C218" s="160" t="s">
        <v>992</v>
      </c>
      <c r="D218" s="72"/>
      <c r="E218" s="72" t="s">
        <v>993</v>
      </c>
      <c r="F218" s="72" t="s">
        <v>995</v>
      </c>
      <c r="G218" s="289" t="s">
        <v>3169</v>
      </c>
      <c r="H218" s="166" t="s">
        <v>3284</v>
      </c>
      <c r="I218" s="142">
        <v>5</v>
      </c>
      <c r="J218" s="143">
        <v>6</v>
      </c>
      <c r="K218" s="143">
        <v>5</v>
      </c>
      <c r="L218" s="143">
        <v>3</v>
      </c>
      <c r="M218" s="143">
        <v>1</v>
      </c>
      <c r="N218" s="201">
        <v>1</v>
      </c>
      <c r="O218" s="294" t="s">
        <v>2176</v>
      </c>
      <c r="P218" s="325" t="s">
        <v>3032</v>
      </c>
      <c r="Q218" s="298"/>
      <c r="R218" s="209">
        <v>35612</v>
      </c>
      <c r="S218" s="301"/>
      <c r="T218" s="81">
        <v>1</v>
      </c>
      <c r="U218" s="78">
        <v>1</v>
      </c>
      <c r="V218" s="69"/>
      <c r="W218" s="69">
        <v>1</v>
      </c>
      <c r="X218" s="69">
        <v>1</v>
      </c>
      <c r="Y218" s="69"/>
      <c r="Z218" s="69"/>
      <c r="AA218" s="69"/>
      <c r="AB218" s="49"/>
    </row>
    <row r="219" spans="1:28" ht="15.6" customHeight="1" x14ac:dyDescent="0.2">
      <c r="A219" s="212">
        <v>217</v>
      </c>
      <c r="B219" s="159" t="str">
        <f t="shared" si="3"/>
        <v>Ficinia gracilis</v>
      </c>
      <c r="C219" s="160" t="s">
        <v>992</v>
      </c>
      <c r="D219" s="72"/>
      <c r="E219" s="72" t="s">
        <v>993</v>
      </c>
      <c r="F219" s="72" t="s">
        <v>996</v>
      </c>
      <c r="G219" s="289" t="s">
        <v>3170</v>
      </c>
      <c r="H219" s="166" t="s">
        <v>3284</v>
      </c>
      <c r="I219" s="142">
        <v>5</v>
      </c>
      <c r="J219" s="143">
        <v>6</v>
      </c>
      <c r="K219" s="143">
        <v>5</v>
      </c>
      <c r="L219" s="143">
        <v>3</v>
      </c>
      <c r="M219" s="143">
        <v>1</v>
      </c>
      <c r="N219" s="201">
        <v>1</v>
      </c>
      <c r="O219" s="294" t="s">
        <v>2177</v>
      </c>
      <c r="P219" s="325" t="s">
        <v>3032</v>
      </c>
      <c r="Q219" s="298"/>
      <c r="R219" s="209">
        <v>35612</v>
      </c>
      <c r="S219" s="301"/>
      <c r="T219" s="81">
        <v>1</v>
      </c>
      <c r="U219" s="78">
        <v>1</v>
      </c>
      <c r="V219" s="69">
        <v>1</v>
      </c>
      <c r="W219" s="69"/>
      <c r="X219" s="69"/>
      <c r="Y219" s="69"/>
      <c r="Z219" s="69"/>
      <c r="AA219" s="69"/>
      <c r="AB219" s="49"/>
    </row>
    <row r="220" spans="1:28" ht="15.6" customHeight="1" x14ac:dyDescent="0.2">
      <c r="A220" s="212">
        <v>218</v>
      </c>
      <c r="B220" s="159" t="str">
        <f t="shared" si="3"/>
        <v>Ficinia indica</v>
      </c>
      <c r="C220" s="160" t="s">
        <v>992</v>
      </c>
      <c r="D220" s="72"/>
      <c r="E220" s="72" t="s">
        <v>993</v>
      </c>
      <c r="F220" s="72" t="s">
        <v>997</v>
      </c>
      <c r="G220" s="289" t="s">
        <v>3171</v>
      </c>
      <c r="H220" s="166" t="s">
        <v>3284</v>
      </c>
      <c r="I220" s="142">
        <v>5</v>
      </c>
      <c r="J220" s="143">
        <v>6</v>
      </c>
      <c r="K220" s="143">
        <v>5</v>
      </c>
      <c r="L220" s="143">
        <v>3</v>
      </c>
      <c r="M220" s="143">
        <v>1</v>
      </c>
      <c r="N220" s="201">
        <v>1</v>
      </c>
      <c r="O220" s="294" t="s">
        <v>2176</v>
      </c>
      <c r="P220" s="325" t="s">
        <v>3032</v>
      </c>
      <c r="Q220" s="298"/>
      <c r="R220" s="209">
        <v>35612</v>
      </c>
      <c r="S220" s="301"/>
      <c r="T220" s="81">
        <v>1</v>
      </c>
      <c r="U220" s="78">
        <v>1</v>
      </c>
      <c r="V220" s="69">
        <v>1</v>
      </c>
      <c r="W220" s="69">
        <v>1</v>
      </c>
      <c r="X220" s="69">
        <v>1</v>
      </c>
      <c r="Y220" s="69"/>
      <c r="Z220" s="69"/>
      <c r="AA220" s="69"/>
      <c r="AB220" s="49"/>
    </row>
    <row r="221" spans="1:28" ht="15.6" customHeight="1" x14ac:dyDescent="0.2">
      <c r="A221" s="212">
        <v>219</v>
      </c>
      <c r="B221" s="159" t="str">
        <f t="shared" si="3"/>
        <v>Ficinia paradoxa</v>
      </c>
      <c r="C221" s="160" t="s">
        <v>992</v>
      </c>
      <c r="D221" s="72"/>
      <c r="E221" s="72" t="s">
        <v>993</v>
      </c>
      <c r="F221" s="72" t="s">
        <v>998</v>
      </c>
      <c r="G221" s="289" t="s">
        <v>3172</v>
      </c>
      <c r="H221" s="166" t="s">
        <v>3284</v>
      </c>
      <c r="I221" s="142">
        <v>5</v>
      </c>
      <c r="J221" s="143">
        <v>6</v>
      </c>
      <c r="K221" s="143">
        <v>5</v>
      </c>
      <c r="L221" s="143">
        <v>3</v>
      </c>
      <c r="M221" s="143">
        <v>1</v>
      </c>
      <c r="N221" s="201">
        <v>1</v>
      </c>
      <c r="O221" s="294" t="s">
        <v>2176</v>
      </c>
      <c r="P221" s="325" t="s">
        <v>3032</v>
      </c>
      <c r="Q221" s="298"/>
      <c r="R221" s="209">
        <v>35612</v>
      </c>
      <c r="S221" s="301"/>
      <c r="T221" s="81">
        <v>1</v>
      </c>
      <c r="U221" s="78">
        <v>1</v>
      </c>
      <c r="V221" s="69"/>
      <c r="W221" s="69">
        <v>1</v>
      </c>
      <c r="X221" s="69">
        <v>1</v>
      </c>
      <c r="Y221" s="69"/>
      <c r="Z221" s="69"/>
      <c r="AA221" s="69"/>
      <c r="AB221" s="49"/>
    </row>
    <row r="222" spans="1:28" ht="15.6" customHeight="1" x14ac:dyDescent="0.2">
      <c r="A222" s="212">
        <v>220</v>
      </c>
      <c r="B222" s="159" t="str">
        <f t="shared" si="3"/>
        <v>Ficinia secunda</v>
      </c>
      <c r="C222" s="160" t="s">
        <v>992</v>
      </c>
      <c r="D222" s="72"/>
      <c r="E222" s="72" t="s">
        <v>993</v>
      </c>
      <c r="F222" s="72" t="s">
        <v>999</v>
      </c>
      <c r="G222" s="289" t="s">
        <v>3173</v>
      </c>
      <c r="H222" s="166" t="s">
        <v>3285</v>
      </c>
      <c r="I222" s="142">
        <v>5</v>
      </c>
      <c r="J222" s="143">
        <v>5</v>
      </c>
      <c r="K222" s="143">
        <v>5</v>
      </c>
      <c r="L222" s="143">
        <v>3</v>
      </c>
      <c r="M222" s="143">
        <v>1</v>
      </c>
      <c r="N222" s="201">
        <v>1</v>
      </c>
      <c r="O222" s="294" t="s">
        <v>2176</v>
      </c>
      <c r="P222" s="325" t="s">
        <v>3032</v>
      </c>
      <c r="Q222" s="298"/>
      <c r="R222" s="209">
        <v>35612</v>
      </c>
      <c r="S222" s="301"/>
      <c r="T222" s="81">
        <v>1</v>
      </c>
      <c r="U222" s="78">
        <v>1</v>
      </c>
      <c r="V222" s="69"/>
      <c r="W222" s="69"/>
      <c r="X222" s="69">
        <v>1</v>
      </c>
      <c r="Y222" s="69"/>
      <c r="Z222" s="69"/>
      <c r="AA222" s="69"/>
      <c r="AB222" s="49"/>
    </row>
    <row r="223" spans="1:28" ht="15.6" customHeight="1" x14ac:dyDescent="0.2">
      <c r="A223" s="212">
        <v>221</v>
      </c>
      <c r="B223" s="159" t="str">
        <f t="shared" si="3"/>
        <v>Ficinia tenuifolia</v>
      </c>
      <c r="C223" s="160" t="s">
        <v>992</v>
      </c>
      <c r="D223" s="72"/>
      <c r="E223" s="72" t="s">
        <v>993</v>
      </c>
      <c r="F223" s="72" t="s">
        <v>1000</v>
      </c>
      <c r="G223" s="289" t="s">
        <v>3174</v>
      </c>
      <c r="H223" s="166" t="s">
        <v>3284</v>
      </c>
      <c r="I223" s="142">
        <v>5</v>
      </c>
      <c r="J223" s="143">
        <v>6</v>
      </c>
      <c r="K223" s="143">
        <v>5</v>
      </c>
      <c r="L223" s="143">
        <v>3</v>
      </c>
      <c r="M223" s="143">
        <v>1</v>
      </c>
      <c r="N223" s="201">
        <v>1</v>
      </c>
      <c r="O223" s="294" t="s">
        <v>2176</v>
      </c>
      <c r="P223" s="325" t="s">
        <v>3032</v>
      </c>
      <c r="Q223" s="298"/>
      <c r="R223" s="209">
        <v>35612</v>
      </c>
      <c r="S223" s="301"/>
      <c r="T223" s="81">
        <v>1</v>
      </c>
      <c r="U223" s="78"/>
      <c r="V223" s="69">
        <v>1</v>
      </c>
      <c r="W223" s="69"/>
      <c r="X223" s="69">
        <v>1</v>
      </c>
      <c r="Y223" s="69"/>
      <c r="Z223" s="69"/>
      <c r="AA223" s="69"/>
      <c r="AB223" s="49"/>
    </row>
    <row r="224" spans="1:28" ht="15.6" customHeight="1" x14ac:dyDescent="0.2">
      <c r="A224" s="212">
        <v>222</v>
      </c>
      <c r="B224" s="159" t="str">
        <f t="shared" si="3"/>
        <v>Ficinia trichodes</v>
      </c>
      <c r="C224" s="160" t="s">
        <v>992</v>
      </c>
      <c r="D224" s="72"/>
      <c r="E224" s="72" t="s">
        <v>993</v>
      </c>
      <c r="F224" s="72" t="s">
        <v>1001</v>
      </c>
      <c r="G224" s="289" t="s">
        <v>3175</v>
      </c>
      <c r="H224" s="166" t="s">
        <v>3284</v>
      </c>
      <c r="I224" s="142">
        <v>5</v>
      </c>
      <c r="J224" s="143">
        <v>6</v>
      </c>
      <c r="K224" s="143">
        <v>5</v>
      </c>
      <c r="L224" s="143">
        <v>3</v>
      </c>
      <c r="M224" s="143">
        <v>1</v>
      </c>
      <c r="N224" s="201">
        <v>1</v>
      </c>
      <c r="O224" s="294" t="s">
        <v>2176</v>
      </c>
      <c r="P224" s="325" t="s">
        <v>3032</v>
      </c>
      <c r="Q224" s="298"/>
      <c r="R224" s="209">
        <v>35612</v>
      </c>
      <c r="S224" s="301" t="s">
        <v>2250</v>
      </c>
      <c r="T224" s="81"/>
      <c r="U224" s="78">
        <v>1</v>
      </c>
      <c r="V224" s="69">
        <v>1</v>
      </c>
      <c r="W224" s="69"/>
      <c r="X224" s="69"/>
      <c r="Y224" s="69"/>
      <c r="Z224" s="69"/>
      <c r="AA224" s="69"/>
      <c r="AB224" s="49"/>
    </row>
    <row r="225" spans="1:28" ht="15.6" customHeight="1" x14ac:dyDescent="0.2">
      <c r="A225" s="212">
        <v>223</v>
      </c>
      <c r="B225" s="159" t="str">
        <f t="shared" si="3"/>
        <v>Ficinia tristachya</v>
      </c>
      <c r="C225" s="160" t="s">
        <v>992</v>
      </c>
      <c r="D225" s="72"/>
      <c r="E225" s="72" t="s">
        <v>993</v>
      </c>
      <c r="F225" s="72" t="s">
        <v>1002</v>
      </c>
      <c r="G225" s="289" t="s">
        <v>535</v>
      </c>
      <c r="H225" s="166" t="s">
        <v>3284</v>
      </c>
      <c r="I225" s="142">
        <v>5</v>
      </c>
      <c r="J225" s="143">
        <v>6</v>
      </c>
      <c r="K225" s="143">
        <v>5</v>
      </c>
      <c r="L225" s="143">
        <v>3</v>
      </c>
      <c r="M225" s="143">
        <v>1</v>
      </c>
      <c r="N225" s="201">
        <v>1</v>
      </c>
      <c r="O225" s="294" t="s">
        <v>2176</v>
      </c>
      <c r="P225" s="325" t="s">
        <v>3032</v>
      </c>
      <c r="Q225" s="298"/>
      <c r="R225" s="209">
        <v>35612</v>
      </c>
      <c r="S225" s="301"/>
      <c r="T225" s="81">
        <v>1</v>
      </c>
      <c r="U225" s="78">
        <v>1</v>
      </c>
      <c r="V225" s="69">
        <v>1</v>
      </c>
      <c r="W225" s="69">
        <v>1</v>
      </c>
      <c r="X225" s="69">
        <v>1</v>
      </c>
      <c r="Y225" s="69"/>
      <c r="Z225" s="69"/>
      <c r="AA225" s="69"/>
      <c r="AB225" s="49"/>
    </row>
    <row r="226" spans="1:28" ht="15.6" customHeight="1" x14ac:dyDescent="0.2">
      <c r="A226" s="212">
        <v>224</v>
      </c>
      <c r="B226" s="159" t="str">
        <f t="shared" si="3"/>
        <v>Hellmuthia membranacea</v>
      </c>
      <c r="C226" s="160" t="s">
        <v>992</v>
      </c>
      <c r="D226" s="72" t="s">
        <v>32</v>
      </c>
      <c r="E226" s="72" t="s">
        <v>1003</v>
      </c>
      <c r="F226" s="72" t="s">
        <v>1004</v>
      </c>
      <c r="G226" s="289" t="s">
        <v>3176</v>
      </c>
      <c r="H226" s="166" t="s">
        <v>3285</v>
      </c>
      <c r="I226" s="142">
        <v>5</v>
      </c>
      <c r="J226" s="143">
        <v>5</v>
      </c>
      <c r="K226" s="143">
        <v>5</v>
      </c>
      <c r="L226" s="143">
        <v>3</v>
      </c>
      <c r="M226" s="143">
        <v>1</v>
      </c>
      <c r="N226" s="201">
        <v>1</v>
      </c>
      <c r="O226" s="294" t="s">
        <v>2176</v>
      </c>
      <c r="P226" s="325" t="s">
        <v>3032</v>
      </c>
      <c r="Q226" s="298"/>
      <c r="R226" s="209">
        <v>35612</v>
      </c>
      <c r="S226" s="301"/>
      <c r="T226" s="81">
        <v>1</v>
      </c>
      <c r="U226" s="78">
        <v>1</v>
      </c>
      <c r="V226" s="69"/>
      <c r="W226" s="69"/>
      <c r="X226" s="69"/>
      <c r="Y226" s="69"/>
      <c r="Z226" s="69"/>
      <c r="AA226" s="69"/>
      <c r="AB226" s="49"/>
    </row>
    <row r="227" spans="1:28" ht="15.6" customHeight="1" x14ac:dyDescent="0.2">
      <c r="A227" s="212">
        <v>225</v>
      </c>
      <c r="B227" s="159" t="str">
        <f t="shared" si="3"/>
        <v>Isolepis antarctica</v>
      </c>
      <c r="C227" s="160" t="s">
        <v>992</v>
      </c>
      <c r="D227" s="72"/>
      <c r="E227" s="72" t="s">
        <v>1005</v>
      </c>
      <c r="F227" s="72" t="s">
        <v>1006</v>
      </c>
      <c r="G227" s="289" t="s">
        <v>3177</v>
      </c>
      <c r="H227" s="166" t="s">
        <v>3284</v>
      </c>
      <c r="I227" s="142">
        <v>5</v>
      </c>
      <c r="J227" s="143">
        <v>6</v>
      </c>
      <c r="K227" s="143">
        <v>5</v>
      </c>
      <c r="L227" s="143">
        <v>3</v>
      </c>
      <c r="M227" s="143">
        <v>1</v>
      </c>
      <c r="N227" s="201">
        <v>1</v>
      </c>
      <c r="O227" s="294" t="s">
        <v>2176</v>
      </c>
      <c r="P227" s="325" t="s">
        <v>2915</v>
      </c>
      <c r="Q227" s="298"/>
      <c r="R227" s="209">
        <v>36861</v>
      </c>
      <c r="S227" s="301" t="s">
        <v>2250</v>
      </c>
      <c r="T227" s="81"/>
      <c r="U227" s="78"/>
      <c r="V227" s="69"/>
      <c r="W227" s="69"/>
      <c r="X227" s="69"/>
      <c r="Y227" s="69"/>
      <c r="Z227" s="69"/>
      <c r="AA227" s="69">
        <v>1</v>
      </c>
      <c r="AB227" s="49"/>
    </row>
    <row r="228" spans="1:28" ht="15.6" customHeight="1" x14ac:dyDescent="0.2">
      <c r="A228" s="212">
        <v>226</v>
      </c>
      <c r="B228" s="159" t="str">
        <f t="shared" si="3"/>
        <v>Isolepis marginata</v>
      </c>
      <c r="C228" s="160" t="s">
        <v>992</v>
      </c>
      <c r="D228" s="72"/>
      <c r="E228" s="72" t="s">
        <v>1005</v>
      </c>
      <c r="F228" s="72" t="s">
        <v>1007</v>
      </c>
      <c r="G228" s="289" t="s">
        <v>3178</v>
      </c>
      <c r="H228" s="166" t="s">
        <v>3284</v>
      </c>
      <c r="I228" s="142">
        <v>5</v>
      </c>
      <c r="J228" s="143">
        <v>6</v>
      </c>
      <c r="K228" s="143">
        <v>5</v>
      </c>
      <c r="L228" s="143">
        <v>3</v>
      </c>
      <c r="M228" s="143">
        <v>1</v>
      </c>
      <c r="N228" s="201">
        <v>1</v>
      </c>
      <c r="O228" s="294" t="s">
        <v>2176</v>
      </c>
      <c r="P228" s="325" t="s">
        <v>2915</v>
      </c>
      <c r="Q228" s="298"/>
      <c r="R228" s="209">
        <v>36831</v>
      </c>
      <c r="S228" s="301"/>
      <c r="T228" s="81">
        <v>1</v>
      </c>
      <c r="U228" s="78">
        <v>1</v>
      </c>
      <c r="V228" s="69"/>
      <c r="W228" s="69"/>
      <c r="X228" s="69"/>
      <c r="Y228" s="69"/>
      <c r="Z228" s="69"/>
      <c r="AA228" s="69"/>
      <c r="AB228" s="49"/>
    </row>
    <row r="229" spans="1:28" ht="15.6" customHeight="1" x14ac:dyDescent="0.2">
      <c r="A229" s="212">
        <v>227</v>
      </c>
      <c r="B229" s="159" t="str">
        <f t="shared" si="3"/>
        <v>Mariscus congestus</v>
      </c>
      <c r="C229" s="160" t="s">
        <v>992</v>
      </c>
      <c r="D229" s="72" t="s">
        <v>33</v>
      </c>
      <c r="E229" s="72" t="s">
        <v>1008</v>
      </c>
      <c r="F229" s="72" t="s">
        <v>1009</v>
      </c>
      <c r="G229" s="289" t="s">
        <v>3179</v>
      </c>
      <c r="H229" s="166" t="s">
        <v>3285</v>
      </c>
      <c r="I229" s="142">
        <v>5</v>
      </c>
      <c r="J229" s="143">
        <v>5</v>
      </c>
      <c r="K229" s="143">
        <v>5</v>
      </c>
      <c r="L229" s="143">
        <v>3</v>
      </c>
      <c r="M229" s="143">
        <v>1</v>
      </c>
      <c r="N229" s="201">
        <v>1</v>
      </c>
      <c r="O229" s="294" t="s">
        <v>2919</v>
      </c>
      <c r="P229" s="325" t="s">
        <v>3032</v>
      </c>
      <c r="Q229" s="298"/>
      <c r="R229" s="209">
        <v>35796</v>
      </c>
      <c r="S229" s="301"/>
      <c r="T229" s="81">
        <v>1</v>
      </c>
      <c r="U229" s="78"/>
      <c r="V229" s="69"/>
      <c r="W229" s="69"/>
      <c r="X229" s="69"/>
      <c r="Y229" s="69"/>
      <c r="Z229" s="69"/>
      <c r="AA229" s="69">
        <v>1</v>
      </c>
      <c r="AB229" s="49"/>
    </row>
    <row r="230" spans="1:28" ht="15.6" customHeight="1" x14ac:dyDescent="0.2">
      <c r="A230" s="212">
        <v>228</v>
      </c>
      <c r="B230" s="159" t="str">
        <f t="shared" si="3"/>
        <v>Mariscus thunbergii</v>
      </c>
      <c r="C230" s="160" t="s">
        <v>992</v>
      </c>
      <c r="D230" s="72"/>
      <c r="E230" s="72" t="s">
        <v>1008</v>
      </c>
      <c r="F230" s="72" t="s">
        <v>1010</v>
      </c>
      <c r="G230" s="289" t="s">
        <v>3180</v>
      </c>
      <c r="H230" s="166" t="s">
        <v>3286</v>
      </c>
      <c r="I230" s="142">
        <v>5</v>
      </c>
      <c r="J230" s="143">
        <v>4</v>
      </c>
      <c r="K230" s="143">
        <v>5</v>
      </c>
      <c r="L230" s="143">
        <v>3</v>
      </c>
      <c r="M230" s="143">
        <v>1</v>
      </c>
      <c r="N230" s="201">
        <v>1</v>
      </c>
      <c r="O230" s="294" t="s">
        <v>2176</v>
      </c>
      <c r="P230" s="325" t="s">
        <v>3032</v>
      </c>
      <c r="Q230" s="298"/>
      <c r="R230" s="209">
        <v>35612</v>
      </c>
      <c r="S230" s="301"/>
      <c r="T230" s="81">
        <v>1</v>
      </c>
      <c r="U230" s="78"/>
      <c r="V230" s="69"/>
      <c r="W230" s="69"/>
      <c r="X230" s="69"/>
      <c r="Y230" s="69"/>
      <c r="Z230" s="69"/>
      <c r="AA230" s="69">
        <v>1</v>
      </c>
      <c r="AB230" s="49"/>
    </row>
    <row r="231" spans="1:28" ht="15.6" customHeight="1" x14ac:dyDescent="0.2">
      <c r="A231" s="212">
        <v>229</v>
      </c>
      <c r="B231" s="159" t="str">
        <f t="shared" si="3"/>
        <v>Scirpoides nodosus</v>
      </c>
      <c r="C231" s="160" t="s">
        <v>992</v>
      </c>
      <c r="D231" s="72" t="s">
        <v>34</v>
      </c>
      <c r="E231" s="72" t="s">
        <v>1011</v>
      </c>
      <c r="F231" s="72" t="s">
        <v>1012</v>
      </c>
      <c r="G231" s="289" t="s">
        <v>3181</v>
      </c>
      <c r="H231" s="166" t="s">
        <v>3285</v>
      </c>
      <c r="I231" s="142">
        <v>5</v>
      </c>
      <c r="J231" s="143">
        <v>5</v>
      </c>
      <c r="K231" s="143">
        <v>5</v>
      </c>
      <c r="L231" s="143">
        <v>3</v>
      </c>
      <c r="M231" s="143">
        <v>1</v>
      </c>
      <c r="N231" s="201">
        <v>1</v>
      </c>
      <c r="O231" s="294" t="s">
        <v>2176</v>
      </c>
      <c r="P231" s="325" t="s">
        <v>3032</v>
      </c>
      <c r="Q231" s="298"/>
      <c r="R231" s="209">
        <v>37316</v>
      </c>
      <c r="S231" s="301"/>
      <c r="T231" s="81">
        <v>1</v>
      </c>
      <c r="U231" s="80"/>
      <c r="V231" s="69"/>
      <c r="W231" s="69"/>
      <c r="X231" s="69"/>
      <c r="Y231" s="69"/>
      <c r="Z231" s="69"/>
      <c r="AA231" s="69"/>
      <c r="AB231" s="49"/>
    </row>
    <row r="232" spans="1:28" ht="15.6" customHeight="1" x14ac:dyDescent="0.2">
      <c r="A232" s="212">
        <v>230</v>
      </c>
      <c r="B232" s="159" t="str">
        <f t="shared" si="3"/>
        <v>Scirpoides thunbergii</v>
      </c>
      <c r="C232" s="160" t="s">
        <v>992</v>
      </c>
      <c r="D232" s="72"/>
      <c r="E232" s="72" t="s">
        <v>1011</v>
      </c>
      <c r="F232" s="72" t="s">
        <v>1010</v>
      </c>
      <c r="G232" s="289" t="s">
        <v>3182</v>
      </c>
      <c r="H232" s="166" t="s">
        <v>3284</v>
      </c>
      <c r="I232" s="142">
        <v>5</v>
      </c>
      <c r="J232" s="143">
        <v>6</v>
      </c>
      <c r="K232" s="143">
        <v>5</v>
      </c>
      <c r="L232" s="143">
        <v>3</v>
      </c>
      <c r="M232" s="143">
        <v>1</v>
      </c>
      <c r="N232" s="201">
        <v>1</v>
      </c>
      <c r="O232" s="294" t="s">
        <v>2176</v>
      </c>
      <c r="P232" s="325" t="s">
        <v>3032</v>
      </c>
      <c r="Q232" s="298"/>
      <c r="R232" s="209">
        <v>36161</v>
      </c>
      <c r="S232" s="301"/>
      <c r="T232" s="81">
        <v>1</v>
      </c>
      <c r="U232" s="78"/>
      <c r="V232" s="69"/>
      <c r="W232" s="69"/>
      <c r="X232" s="69"/>
      <c r="Y232" s="69"/>
      <c r="Z232" s="69"/>
      <c r="AA232" s="69">
        <v>1</v>
      </c>
      <c r="AB232" s="49"/>
    </row>
    <row r="233" spans="1:28" ht="15.6" customHeight="1" x14ac:dyDescent="0.2">
      <c r="A233" s="212">
        <v>231</v>
      </c>
      <c r="B233" s="159" t="str">
        <f t="shared" si="3"/>
        <v>Tetraria bolusii</v>
      </c>
      <c r="C233" s="160" t="s">
        <v>992</v>
      </c>
      <c r="D233" s="72"/>
      <c r="E233" s="72" t="s">
        <v>1013</v>
      </c>
      <c r="F233" s="72" t="s">
        <v>1014</v>
      </c>
      <c r="G233" s="289" t="s">
        <v>3183</v>
      </c>
      <c r="H233" s="166" t="s">
        <v>3284</v>
      </c>
      <c r="I233" s="142">
        <v>5</v>
      </c>
      <c r="J233" s="143">
        <v>6</v>
      </c>
      <c r="K233" s="143">
        <v>5</v>
      </c>
      <c r="L233" s="143">
        <v>3</v>
      </c>
      <c r="M233" s="143">
        <v>1</v>
      </c>
      <c r="N233" s="201">
        <v>1</v>
      </c>
      <c r="O233" s="294" t="s">
        <v>2176</v>
      </c>
      <c r="P233" s="325" t="s">
        <v>3032</v>
      </c>
      <c r="Q233" s="298"/>
      <c r="R233" s="209">
        <v>35612</v>
      </c>
      <c r="S233" s="301"/>
      <c r="T233" s="81">
        <v>1</v>
      </c>
      <c r="U233" s="78"/>
      <c r="V233" s="69"/>
      <c r="W233" s="69"/>
      <c r="X233" s="69">
        <v>1</v>
      </c>
      <c r="Y233" s="69"/>
      <c r="Z233" s="69"/>
      <c r="AA233" s="69"/>
      <c r="AB233" s="49"/>
    </row>
    <row r="234" spans="1:28" ht="15.6" customHeight="1" x14ac:dyDescent="0.2">
      <c r="A234" s="212">
        <v>232</v>
      </c>
      <c r="B234" s="159" t="str">
        <f t="shared" si="3"/>
        <v>Tetraria brachyphylla</v>
      </c>
      <c r="C234" s="160" t="s">
        <v>992</v>
      </c>
      <c r="D234" s="72"/>
      <c r="E234" s="72" t="s">
        <v>1013</v>
      </c>
      <c r="F234" s="72" t="s">
        <v>1015</v>
      </c>
      <c r="G234" s="289" t="s">
        <v>3184</v>
      </c>
      <c r="H234" s="166" t="s">
        <v>3285</v>
      </c>
      <c r="I234" s="142">
        <v>5</v>
      </c>
      <c r="J234" s="143">
        <v>5</v>
      </c>
      <c r="K234" s="143">
        <v>5</v>
      </c>
      <c r="L234" s="143">
        <v>3</v>
      </c>
      <c r="M234" s="143">
        <v>1</v>
      </c>
      <c r="N234" s="201">
        <v>1</v>
      </c>
      <c r="O234" s="294" t="s">
        <v>2176</v>
      </c>
      <c r="P234" s="325" t="s">
        <v>3032</v>
      </c>
      <c r="Q234" s="298" t="s">
        <v>2703</v>
      </c>
      <c r="R234" s="209">
        <v>35612</v>
      </c>
      <c r="S234" s="301"/>
      <c r="T234" s="81">
        <v>1</v>
      </c>
      <c r="U234" s="78">
        <v>1</v>
      </c>
      <c r="V234" s="69">
        <v>1</v>
      </c>
      <c r="W234" s="69"/>
      <c r="X234" s="69"/>
      <c r="Y234" s="69"/>
      <c r="Z234" s="69"/>
      <c r="AA234" s="69"/>
      <c r="AB234" s="49"/>
    </row>
    <row r="235" spans="1:28" ht="15.6" customHeight="1" x14ac:dyDescent="0.2">
      <c r="A235" s="212">
        <v>233</v>
      </c>
      <c r="B235" s="159" t="str">
        <f t="shared" si="3"/>
        <v>Tetraria compar</v>
      </c>
      <c r="C235" s="160" t="s">
        <v>992</v>
      </c>
      <c r="D235" s="72"/>
      <c r="E235" s="72" t="s">
        <v>1013</v>
      </c>
      <c r="F235" s="72" t="s">
        <v>1016</v>
      </c>
      <c r="G235" s="289" t="s">
        <v>3185</v>
      </c>
      <c r="H235" s="166" t="s">
        <v>3285</v>
      </c>
      <c r="I235" s="142">
        <v>5</v>
      </c>
      <c r="J235" s="143">
        <v>5</v>
      </c>
      <c r="K235" s="143">
        <v>5</v>
      </c>
      <c r="L235" s="143">
        <v>3</v>
      </c>
      <c r="M235" s="143">
        <v>1</v>
      </c>
      <c r="N235" s="201">
        <v>1</v>
      </c>
      <c r="O235" s="294" t="s">
        <v>2176</v>
      </c>
      <c r="P235" s="325" t="s">
        <v>3032</v>
      </c>
      <c r="Q235" s="298"/>
      <c r="R235" s="209">
        <v>35612</v>
      </c>
      <c r="S235" s="301"/>
      <c r="T235" s="81">
        <v>1</v>
      </c>
      <c r="U235" s="78"/>
      <c r="V235" s="69"/>
      <c r="W235" s="69"/>
      <c r="X235" s="69">
        <v>1</v>
      </c>
      <c r="Y235" s="69"/>
      <c r="Z235" s="69"/>
      <c r="AA235" s="69"/>
      <c r="AB235" s="49"/>
    </row>
    <row r="236" spans="1:28" ht="15.6" customHeight="1" x14ac:dyDescent="0.2">
      <c r="A236" s="212">
        <v>234</v>
      </c>
      <c r="B236" s="159" t="str">
        <f t="shared" si="3"/>
        <v>Tetraria cuspidata</v>
      </c>
      <c r="C236" s="160" t="s">
        <v>992</v>
      </c>
      <c r="D236" s="72" t="s">
        <v>35</v>
      </c>
      <c r="E236" s="72" t="s">
        <v>1013</v>
      </c>
      <c r="F236" s="72" t="s">
        <v>1017</v>
      </c>
      <c r="G236" s="289" t="s">
        <v>3186</v>
      </c>
      <c r="H236" s="166" t="s">
        <v>3284</v>
      </c>
      <c r="I236" s="142">
        <v>5</v>
      </c>
      <c r="J236" s="143">
        <v>6</v>
      </c>
      <c r="K236" s="143">
        <v>5</v>
      </c>
      <c r="L236" s="143">
        <v>3</v>
      </c>
      <c r="M236" s="143">
        <v>1</v>
      </c>
      <c r="N236" s="201">
        <v>1</v>
      </c>
      <c r="O236" s="294" t="s">
        <v>2176</v>
      </c>
      <c r="P236" s="325" t="s">
        <v>3032</v>
      </c>
      <c r="Q236" s="298"/>
      <c r="R236" s="209">
        <v>35612</v>
      </c>
      <c r="S236" s="301"/>
      <c r="T236" s="81">
        <v>1</v>
      </c>
      <c r="U236" s="78">
        <v>1</v>
      </c>
      <c r="V236" s="69">
        <v>1</v>
      </c>
      <c r="W236" s="69">
        <v>1</v>
      </c>
      <c r="X236" s="69"/>
      <c r="Y236" s="69"/>
      <c r="Z236" s="69"/>
      <c r="AA236" s="69"/>
      <c r="AB236" s="49"/>
    </row>
    <row r="237" spans="1:28" ht="15.6" customHeight="1" x14ac:dyDescent="0.2">
      <c r="A237" s="212">
        <v>235</v>
      </c>
      <c r="B237" s="159" t="str">
        <f t="shared" si="3"/>
        <v xml:space="preserve">Tetraria gracilis </v>
      </c>
      <c r="C237" s="160" t="s">
        <v>992</v>
      </c>
      <c r="D237" s="72"/>
      <c r="E237" s="72" t="s">
        <v>1013</v>
      </c>
      <c r="F237" s="72" t="s">
        <v>1018</v>
      </c>
      <c r="G237" s="289" t="s">
        <v>3187</v>
      </c>
      <c r="H237" s="166" t="s">
        <v>3285</v>
      </c>
      <c r="I237" s="142">
        <v>5</v>
      </c>
      <c r="J237" s="143">
        <v>5</v>
      </c>
      <c r="K237" s="143">
        <v>5</v>
      </c>
      <c r="L237" s="143">
        <v>3</v>
      </c>
      <c r="M237" s="143">
        <v>1</v>
      </c>
      <c r="N237" s="201">
        <v>1</v>
      </c>
      <c r="O237" s="294" t="s">
        <v>2176</v>
      </c>
      <c r="P237" s="325" t="s">
        <v>3032</v>
      </c>
      <c r="Q237" s="298"/>
      <c r="R237" s="209">
        <v>35462</v>
      </c>
      <c r="S237" s="301" t="s">
        <v>2250</v>
      </c>
      <c r="T237" s="81"/>
      <c r="U237" s="78"/>
      <c r="V237" s="69">
        <v>1</v>
      </c>
      <c r="W237" s="69"/>
      <c r="X237" s="69"/>
      <c r="Y237" s="69"/>
      <c r="Z237" s="69"/>
      <c r="AA237" s="69"/>
      <c r="AB237" s="49"/>
    </row>
    <row r="238" spans="1:28" ht="15.6" customHeight="1" x14ac:dyDescent="0.2">
      <c r="A238" s="212">
        <v>236</v>
      </c>
      <c r="B238" s="159" t="str">
        <f t="shared" si="3"/>
        <v>Scabiosa columbaria</v>
      </c>
      <c r="C238" s="160" t="s">
        <v>1019</v>
      </c>
      <c r="D238" s="72" t="s">
        <v>35</v>
      </c>
      <c r="E238" s="72" t="s">
        <v>1020</v>
      </c>
      <c r="F238" s="72" t="s">
        <v>1021</v>
      </c>
      <c r="G238" s="289" t="s">
        <v>3188</v>
      </c>
      <c r="H238" s="166" t="s">
        <v>3269</v>
      </c>
      <c r="I238" s="142">
        <v>3</v>
      </c>
      <c r="J238" s="143">
        <v>5</v>
      </c>
      <c r="K238" s="143">
        <v>5</v>
      </c>
      <c r="L238" s="143">
        <v>4</v>
      </c>
      <c r="M238" s="143">
        <v>1</v>
      </c>
      <c r="N238" s="201">
        <v>3</v>
      </c>
      <c r="O238" s="294" t="s">
        <v>2910</v>
      </c>
      <c r="P238" s="325" t="s">
        <v>3032</v>
      </c>
      <c r="Q238" s="298"/>
      <c r="R238" s="209">
        <v>35612</v>
      </c>
      <c r="S238" s="301"/>
      <c r="T238" s="81">
        <v>1</v>
      </c>
      <c r="U238" s="78">
        <v>1</v>
      </c>
      <c r="V238" s="69">
        <v>1</v>
      </c>
      <c r="W238" s="69">
        <v>1</v>
      </c>
      <c r="X238" s="69">
        <v>1</v>
      </c>
      <c r="Y238" s="69"/>
      <c r="Z238" s="69"/>
      <c r="AA238" s="69"/>
      <c r="AB238" s="49"/>
    </row>
    <row r="239" spans="1:28" ht="15.6" customHeight="1" x14ac:dyDescent="0.2">
      <c r="A239" s="212">
        <v>237</v>
      </c>
      <c r="B239" s="159" t="str">
        <f t="shared" si="3"/>
        <v>Scabiosa incisa</v>
      </c>
      <c r="C239" s="160" t="s">
        <v>1019</v>
      </c>
      <c r="D239" s="72" t="s">
        <v>36</v>
      </c>
      <c r="E239" s="72" t="s">
        <v>1020</v>
      </c>
      <c r="F239" s="72" t="s">
        <v>1022</v>
      </c>
      <c r="G239" s="289" t="s">
        <v>3189</v>
      </c>
      <c r="H239" s="166" t="s">
        <v>3269</v>
      </c>
      <c r="I239" s="142">
        <v>3</v>
      </c>
      <c r="J239" s="143">
        <v>5</v>
      </c>
      <c r="K239" s="143">
        <v>4</v>
      </c>
      <c r="L239" s="143">
        <v>4</v>
      </c>
      <c r="M239" s="143">
        <v>1</v>
      </c>
      <c r="N239" s="201">
        <v>3</v>
      </c>
      <c r="O239" s="294" t="s">
        <v>2910</v>
      </c>
      <c r="P239" s="325" t="s">
        <v>3032</v>
      </c>
      <c r="Q239" s="298"/>
      <c r="R239" s="209">
        <v>37316</v>
      </c>
      <c r="S239" s="301"/>
      <c r="T239" s="81">
        <v>1</v>
      </c>
      <c r="U239" s="78"/>
      <c r="V239" s="69">
        <v>1</v>
      </c>
      <c r="W239" s="69"/>
      <c r="X239" s="69"/>
      <c r="Y239" s="69"/>
      <c r="Z239" s="69"/>
      <c r="AA239" s="69"/>
      <c r="AB239" s="49"/>
    </row>
    <row r="240" spans="1:28" ht="15.6" customHeight="1" x14ac:dyDescent="0.2">
      <c r="A240" s="212">
        <v>238</v>
      </c>
      <c r="B240" s="159" t="str">
        <f t="shared" si="3"/>
        <v>Drosera capensis</v>
      </c>
      <c r="C240" s="160" t="s">
        <v>1023</v>
      </c>
      <c r="D240" s="72"/>
      <c r="E240" s="72" t="s">
        <v>1024</v>
      </c>
      <c r="F240" s="72" t="s">
        <v>2756</v>
      </c>
      <c r="G240" s="289" t="s">
        <v>3190</v>
      </c>
      <c r="H240" s="166" t="s">
        <v>3241</v>
      </c>
      <c r="I240" s="142">
        <v>3</v>
      </c>
      <c r="J240" s="143">
        <v>6</v>
      </c>
      <c r="K240" s="143">
        <v>5</v>
      </c>
      <c r="L240" s="143">
        <v>2</v>
      </c>
      <c r="M240" s="143">
        <v>1</v>
      </c>
      <c r="N240" s="201">
        <v>3</v>
      </c>
      <c r="O240" s="294" t="s">
        <v>2910</v>
      </c>
      <c r="P240" s="325" t="s">
        <v>3032</v>
      </c>
      <c r="Q240" s="298"/>
      <c r="R240" s="209">
        <v>36069</v>
      </c>
      <c r="S240" s="301"/>
      <c r="T240" s="81">
        <v>1</v>
      </c>
      <c r="U240" s="78"/>
      <c r="V240" s="69"/>
      <c r="W240" s="69"/>
      <c r="X240" s="69">
        <v>1</v>
      </c>
      <c r="Y240" s="69"/>
      <c r="Z240" s="69"/>
      <c r="AA240" s="69"/>
      <c r="AB240" s="49"/>
    </row>
    <row r="241" spans="1:28" ht="15.6" customHeight="1" x14ac:dyDescent="0.2">
      <c r="A241" s="212">
        <v>239</v>
      </c>
      <c r="B241" s="159" t="str">
        <f t="shared" si="3"/>
        <v>Drosera cistiflora</v>
      </c>
      <c r="C241" s="160" t="s">
        <v>1023</v>
      </c>
      <c r="D241" s="72" t="s">
        <v>37</v>
      </c>
      <c r="E241" s="72" t="s">
        <v>1024</v>
      </c>
      <c r="F241" s="72" t="s">
        <v>1025</v>
      </c>
      <c r="G241" s="289" t="s">
        <v>3191</v>
      </c>
      <c r="H241" s="166" t="s">
        <v>3241</v>
      </c>
      <c r="I241" s="142">
        <v>3</v>
      </c>
      <c r="J241" s="143">
        <v>6</v>
      </c>
      <c r="K241" s="143">
        <v>3</v>
      </c>
      <c r="L241" s="143">
        <v>2</v>
      </c>
      <c r="M241" s="143">
        <v>1</v>
      </c>
      <c r="N241" s="201">
        <v>3</v>
      </c>
      <c r="O241" s="294" t="s">
        <v>2910</v>
      </c>
      <c r="P241" s="325" t="s">
        <v>3032</v>
      </c>
      <c r="Q241" s="298"/>
      <c r="R241" s="209">
        <v>35612</v>
      </c>
      <c r="S241" s="301"/>
      <c r="T241" s="81">
        <v>1</v>
      </c>
      <c r="U241" s="78"/>
      <c r="V241" s="69"/>
      <c r="W241" s="69"/>
      <c r="X241" s="69">
        <v>1</v>
      </c>
      <c r="Y241" s="69"/>
      <c r="Z241" s="69"/>
      <c r="AA241" s="69"/>
      <c r="AB241" s="49"/>
    </row>
    <row r="242" spans="1:28" ht="15.6" customHeight="1" x14ac:dyDescent="0.2">
      <c r="A242" s="212">
        <v>240</v>
      </c>
      <c r="B242" s="159" t="str">
        <f t="shared" si="3"/>
        <v>Drosera trinervia</v>
      </c>
      <c r="C242" s="160" t="s">
        <v>1023</v>
      </c>
      <c r="D242" s="72"/>
      <c r="E242" s="72" t="s">
        <v>1024</v>
      </c>
      <c r="F242" s="72" t="s">
        <v>1026</v>
      </c>
      <c r="G242" s="289" t="s">
        <v>3192</v>
      </c>
      <c r="H242" s="166" t="s">
        <v>3268</v>
      </c>
      <c r="I242" s="142">
        <v>3</v>
      </c>
      <c r="J242" s="143">
        <v>6</v>
      </c>
      <c r="K242" s="143">
        <v>5</v>
      </c>
      <c r="L242" s="143">
        <v>1</v>
      </c>
      <c r="M242" s="143">
        <v>1</v>
      </c>
      <c r="N242" s="201">
        <v>5</v>
      </c>
      <c r="O242" s="294" t="s">
        <v>2910</v>
      </c>
      <c r="P242" s="325" t="s">
        <v>3032</v>
      </c>
      <c r="Q242" s="298"/>
      <c r="R242" s="209">
        <v>36434</v>
      </c>
      <c r="S242" s="301"/>
      <c r="T242" s="81">
        <v>1</v>
      </c>
      <c r="U242" s="78"/>
      <c r="V242" s="69"/>
      <c r="W242" s="69"/>
      <c r="X242" s="69">
        <v>1</v>
      </c>
      <c r="Y242" s="69"/>
      <c r="Z242" s="69"/>
      <c r="AA242" s="69">
        <v>1</v>
      </c>
      <c r="AB242" s="49"/>
    </row>
    <row r="243" spans="1:28" ht="15.6" customHeight="1" x14ac:dyDescent="0.2">
      <c r="A243" s="212">
        <v>241</v>
      </c>
      <c r="B243" s="159" t="str">
        <f t="shared" si="3"/>
        <v>Diospyros whyteana</v>
      </c>
      <c r="C243" s="160" t="s">
        <v>1027</v>
      </c>
      <c r="D243" s="72" t="s">
        <v>38</v>
      </c>
      <c r="E243" s="72" t="s">
        <v>1028</v>
      </c>
      <c r="F243" s="72" t="s">
        <v>1029</v>
      </c>
      <c r="G243" s="289" t="s">
        <v>3193</v>
      </c>
      <c r="H243" s="166" t="s">
        <v>3227</v>
      </c>
      <c r="I243" s="142">
        <v>2</v>
      </c>
      <c r="J243" s="143">
        <v>3</v>
      </c>
      <c r="K243" s="143">
        <v>2</v>
      </c>
      <c r="L243" s="143">
        <v>1</v>
      </c>
      <c r="M243" s="143">
        <v>2</v>
      </c>
      <c r="N243" s="201">
        <v>3</v>
      </c>
      <c r="O243" s="294" t="s">
        <v>2914</v>
      </c>
      <c r="P243" s="325" t="s">
        <v>3032</v>
      </c>
      <c r="Q243" s="298"/>
      <c r="R243" s="209">
        <v>35612</v>
      </c>
      <c r="S243" s="301"/>
      <c r="T243" s="81">
        <v>1</v>
      </c>
      <c r="U243" s="78"/>
      <c r="V243" s="69"/>
      <c r="W243" s="69"/>
      <c r="X243" s="69"/>
      <c r="Y243" s="69"/>
      <c r="Z243" s="69">
        <v>1</v>
      </c>
      <c r="AA243" s="69"/>
      <c r="AB243" s="49"/>
    </row>
    <row r="244" spans="1:28" ht="15.6" customHeight="1" x14ac:dyDescent="0.2">
      <c r="A244" s="212">
        <v>242</v>
      </c>
      <c r="B244" s="159" t="str">
        <f t="shared" si="3"/>
        <v>Euclea racemosa</v>
      </c>
      <c r="C244" s="160" t="s">
        <v>1027</v>
      </c>
      <c r="D244" s="72" t="s">
        <v>39</v>
      </c>
      <c r="E244" s="72" t="s">
        <v>1030</v>
      </c>
      <c r="F244" s="72" t="s">
        <v>1031</v>
      </c>
      <c r="G244" s="289" t="s">
        <v>3194</v>
      </c>
      <c r="H244" s="166" t="s">
        <v>3280</v>
      </c>
      <c r="I244" s="142">
        <v>1</v>
      </c>
      <c r="J244" s="143">
        <v>2</v>
      </c>
      <c r="K244" s="143">
        <v>2</v>
      </c>
      <c r="L244" s="143">
        <v>1</v>
      </c>
      <c r="M244" s="143">
        <v>2</v>
      </c>
      <c r="N244" s="201">
        <v>3</v>
      </c>
      <c r="O244" s="294" t="s">
        <v>2173</v>
      </c>
      <c r="P244" s="325" t="s">
        <v>3032</v>
      </c>
      <c r="Q244" s="298"/>
      <c r="R244" s="209">
        <v>35612</v>
      </c>
      <c r="S244" s="301"/>
      <c r="T244" s="81">
        <v>1</v>
      </c>
      <c r="U244" s="78">
        <v>1</v>
      </c>
      <c r="V244" s="69">
        <v>1</v>
      </c>
      <c r="W244" s="69"/>
      <c r="X244" s="69"/>
      <c r="Y244" s="69">
        <v>1</v>
      </c>
      <c r="Z244" s="69"/>
      <c r="AA244" s="69"/>
      <c r="AB244" s="49"/>
    </row>
    <row r="245" spans="1:28" ht="15.6" customHeight="1" x14ac:dyDescent="0.2">
      <c r="A245" s="212">
        <v>243</v>
      </c>
      <c r="B245" s="159" t="str">
        <f t="shared" si="3"/>
        <v>Erica axillaris</v>
      </c>
      <c r="C245" s="160" t="s">
        <v>1032</v>
      </c>
      <c r="D245" s="72"/>
      <c r="E245" s="72" t="s">
        <v>1033</v>
      </c>
      <c r="F245" s="72" t="s">
        <v>1034</v>
      </c>
      <c r="G245" s="289" t="s">
        <v>3195</v>
      </c>
      <c r="H245" s="166" t="s">
        <v>3248</v>
      </c>
      <c r="I245" s="142">
        <v>2</v>
      </c>
      <c r="J245" s="143">
        <v>5</v>
      </c>
      <c r="K245" s="143">
        <v>2</v>
      </c>
      <c r="L245" s="143">
        <v>3</v>
      </c>
      <c r="M245" s="143">
        <v>2</v>
      </c>
      <c r="N245" s="201">
        <v>5</v>
      </c>
      <c r="O245" s="294" t="s">
        <v>2914</v>
      </c>
      <c r="P245" s="325" t="s">
        <v>3032</v>
      </c>
      <c r="Q245" s="298"/>
      <c r="R245" s="209">
        <v>35612</v>
      </c>
      <c r="S245" s="301"/>
      <c r="T245" s="81">
        <v>1</v>
      </c>
      <c r="U245" s="78"/>
      <c r="V245" s="69"/>
      <c r="W245" s="69"/>
      <c r="X245" s="69">
        <v>1</v>
      </c>
      <c r="Y245" s="69"/>
      <c r="Z245" s="69"/>
      <c r="AA245" s="69"/>
      <c r="AB245" s="49"/>
    </row>
    <row r="246" spans="1:28" ht="15.6" customHeight="1" x14ac:dyDescent="0.2">
      <c r="A246" s="212">
        <v>244</v>
      </c>
      <c r="B246" s="159" t="str">
        <f t="shared" si="3"/>
        <v>Erica canescens</v>
      </c>
      <c r="C246" s="160" t="s">
        <v>1032</v>
      </c>
      <c r="D246" s="72"/>
      <c r="E246" s="72" t="s">
        <v>1033</v>
      </c>
      <c r="F246" s="72" t="s">
        <v>811</v>
      </c>
      <c r="G246" s="289" t="s">
        <v>3196</v>
      </c>
      <c r="H246" s="166" t="s">
        <v>3248</v>
      </c>
      <c r="I246" s="142">
        <v>2</v>
      </c>
      <c r="J246" s="143">
        <v>5</v>
      </c>
      <c r="K246" s="143">
        <v>2</v>
      </c>
      <c r="L246" s="143">
        <v>3</v>
      </c>
      <c r="M246" s="143">
        <v>2</v>
      </c>
      <c r="N246" s="201">
        <v>5</v>
      </c>
      <c r="O246" s="294" t="s">
        <v>2914</v>
      </c>
      <c r="P246" s="325" t="s">
        <v>3032</v>
      </c>
      <c r="Q246" s="298"/>
      <c r="R246" s="209">
        <v>35612</v>
      </c>
      <c r="S246" s="301"/>
      <c r="T246" s="81">
        <v>1</v>
      </c>
      <c r="U246" s="78"/>
      <c r="V246" s="69"/>
      <c r="W246" s="69">
        <v>1</v>
      </c>
      <c r="X246" s="69"/>
      <c r="Y246" s="69"/>
      <c r="Z246" s="69"/>
      <c r="AA246" s="69">
        <v>1</v>
      </c>
      <c r="AB246" s="49"/>
    </row>
    <row r="247" spans="1:28" ht="15.6" customHeight="1" x14ac:dyDescent="0.2">
      <c r="A247" s="212">
        <v>245</v>
      </c>
      <c r="B247" s="159" t="str">
        <f t="shared" si="3"/>
        <v>Erica coccinea var. (red)</v>
      </c>
      <c r="C247" s="160" t="s">
        <v>1032</v>
      </c>
      <c r="D247" s="72"/>
      <c r="E247" s="72" t="s">
        <v>1033</v>
      </c>
      <c r="F247" s="72" t="s">
        <v>1035</v>
      </c>
      <c r="G247" s="289" t="s">
        <v>532</v>
      </c>
      <c r="H247" s="166" t="s">
        <v>3249</v>
      </c>
      <c r="I247" s="142">
        <v>2</v>
      </c>
      <c r="J247" s="143">
        <v>4</v>
      </c>
      <c r="K247" s="143">
        <v>2</v>
      </c>
      <c r="L247" s="143">
        <v>3</v>
      </c>
      <c r="M247" s="143">
        <v>2</v>
      </c>
      <c r="N247" s="201">
        <v>5</v>
      </c>
      <c r="O247" s="294" t="s">
        <v>2168</v>
      </c>
      <c r="P247" s="325" t="s">
        <v>3032</v>
      </c>
      <c r="Q247" s="298"/>
      <c r="R247" s="209">
        <v>35612</v>
      </c>
      <c r="S247" s="301"/>
      <c r="T247" s="81">
        <v>1</v>
      </c>
      <c r="U247" s="78"/>
      <c r="V247" s="69"/>
      <c r="W247" s="69"/>
      <c r="X247" s="69">
        <v>1</v>
      </c>
      <c r="Y247" s="69"/>
      <c r="Z247" s="69"/>
      <c r="AA247" s="69"/>
      <c r="AB247" s="49"/>
    </row>
    <row r="248" spans="1:28" ht="15.6" customHeight="1" x14ac:dyDescent="0.2">
      <c r="A248" s="212">
        <v>246</v>
      </c>
      <c r="B248" s="159" t="str">
        <f t="shared" si="3"/>
        <v>Erica coccinea var. (red/yellow)</v>
      </c>
      <c r="C248" s="160" t="s">
        <v>1032</v>
      </c>
      <c r="D248" s="72"/>
      <c r="E248" s="72" t="s">
        <v>1033</v>
      </c>
      <c r="F248" s="72" t="s">
        <v>1036</v>
      </c>
      <c r="G248" s="289" t="s">
        <v>533</v>
      </c>
      <c r="H248" s="166" t="s">
        <v>3249</v>
      </c>
      <c r="I248" s="142">
        <v>2</v>
      </c>
      <c r="J248" s="143">
        <v>4</v>
      </c>
      <c r="K248" s="143">
        <v>2</v>
      </c>
      <c r="L248" s="143">
        <v>3</v>
      </c>
      <c r="M248" s="143">
        <v>2</v>
      </c>
      <c r="N248" s="201">
        <v>5</v>
      </c>
      <c r="O248" s="294" t="s">
        <v>2168</v>
      </c>
      <c r="P248" s="325" t="s">
        <v>3032</v>
      </c>
      <c r="Q248" s="298"/>
      <c r="R248" s="209">
        <v>35612</v>
      </c>
      <c r="S248" s="301"/>
      <c r="T248" s="81">
        <v>1</v>
      </c>
      <c r="U248" s="78"/>
      <c r="V248" s="69">
        <v>1</v>
      </c>
      <c r="W248" s="69"/>
      <c r="X248" s="69"/>
      <c r="Y248" s="69"/>
      <c r="Z248" s="69"/>
      <c r="AA248" s="69"/>
      <c r="AB248" s="49"/>
    </row>
    <row r="249" spans="1:28" ht="15.6" customHeight="1" x14ac:dyDescent="0.2">
      <c r="A249" s="212">
        <v>247</v>
      </c>
      <c r="B249" s="159" t="str">
        <f t="shared" si="3"/>
        <v>Erica coccinea var. (yellow)</v>
      </c>
      <c r="C249" s="160" t="s">
        <v>1032</v>
      </c>
      <c r="D249" s="72"/>
      <c r="E249" s="72" t="s">
        <v>1033</v>
      </c>
      <c r="F249" s="72" t="s">
        <v>1037</v>
      </c>
      <c r="G249" s="289" t="s">
        <v>534</v>
      </c>
      <c r="H249" s="166" t="s">
        <v>3249</v>
      </c>
      <c r="I249" s="142">
        <v>2</v>
      </c>
      <c r="J249" s="143">
        <v>4</v>
      </c>
      <c r="K249" s="143">
        <v>2</v>
      </c>
      <c r="L249" s="143">
        <v>3</v>
      </c>
      <c r="M249" s="143">
        <v>2</v>
      </c>
      <c r="N249" s="201">
        <v>5</v>
      </c>
      <c r="O249" s="294" t="s">
        <v>2168</v>
      </c>
      <c r="P249" s="325" t="s">
        <v>3032</v>
      </c>
      <c r="Q249" s="298"/>
      <c r="R249" s="209">
        <v>35612</v>
      </c>
      <c r="S249" s="301"/>
      <c r="T249" s="81">
        <v>1</v>
      </c>
      <c r="U249" s="78">
        <v>1</v>
      </c>
      <c r="V249" s="69">
        <v>1</v>
      </c>
      <c r="W249" s="69">
        <v>1</v>
      </c>
      <c r="X249" s="69"/>
      <c r="Y249" s="69"/>
      <c r="Z249" s="69"/>
      <c r="AA249" s="69"/>
      <c r="AB249" s="49"/>
    </row>
    <row r="250" spans="1:28" ht="15.6" customHeight="1" x14ac:dyDescent="0.2">
      <c r="A250" s="212">
        <v>248</v>
      </c>
      <c r="B250" s="159" t="str">
        <f t="shared" si="3"/>
        <v>Erica corifolia</v>
      </c>
      <c r="C250" s="160" t="s">
        <v>1032</v>
      </c>
      <c r="D250" s="72"/>
      <c r="E250" s="72" t="s">
        <v>1033</v>
      </c>
      <c r="F250" s="72" t="s">
        <v>1038</v>
      </c>
      <c r="G250" s="289" t="s">
        <v>3197</v>
      </c>
      <c r="H250" s="166" t="s">
        <v>3248</v>
      </c>
      <c r="I250" s="142">
        <v>2</v>
      </c>
      <c r="J250" s="143">
        <v>5</v>
      </c>
      <c r="K250" s="143">
        <v>2</v>
      </c>
      <c r="L250" s="143">
        <v>3</v>
      </c>
      <c r="M250" s="143">
        <v>2</v>
      </c>
      <c r="N250" s="201">
        <v>5</v>
      </c>
      <c r="O250" s="294" t="s">
        <v>2168</v>
      </c>
      <c r="P250" s="325" t="s">
        <v>3032</v>
      </c>
      <c r="Q250" s="298"/>
      <c r="R250" s="209">
        <v>35612</v>
      </c>
      <c r="S250" s="301"/>
      <c r="T250" s="81">
        <v>1</v>
      </c>
      <c r="U250" s="78"/>
      <c r="V250" s="69"/>
      <c r="W250" s="69"/>
      <c r="X250" s="69">
        <v>1</v>
      </c>
      <c r="Y250" s="69"/>
      <c r="Z250" s="69"/>
      <c r="AA250" s="69"/>
      <c r="AB250" s="49"/>
    </row>
    <row r="251" spans="1:28" ht="15.6" customHeight="1" x14ac:dyDescent="0.2">
      <c r="A251" s="212">
        <v>249</v>
      </c>
      <c r="B251" s="159" t="str">
        <f t="shared" si="3"/>
        <v>Erica discolor</v>
      </c>
      <c r="C251" s="160" t="s">
        <v>1032</v>
      </c>
      <c r="D251" s="72"/>
      <c r="E251" s="72" t="s">
        <v>1033</v>
      </c>
      <c r="F251" s="72" t="s">
        <v>1039</v>
      </c>
      <c r="G251" s="289" t="s">
        <v>3198</v>
      </c>
      <c r="H251" s="166" t="s">
        <v>3248</v>
      </c>
      <c r="I251" s="142">
        <v>2</v>
      </c>
      <c r="J251" s="143">
        <v>5</v>
      </c>
      <c r="K251" s="143">
        <v>2</v>
      </c>
      <c r="L251" s="143">
        <v>3</v>
      </c>
      <c r="M251" s="143">
        <v>2</v>
      </c>
      <c r="N251" s="201">
        <v>5</v>
      </c>
      <c r="O251" s="294" t="s">
        <v>2914</v>
      </c>
      <c r="P251" s="325" t="s">
        <v>3032</v>
      </c>
      <c r="Q251" s="298"/>
      <c r="R251" s="209">
        <v>35855</v>
      </c>
      <c r="S251" s="301"/>
      <c r="T251" s="81">
        <v>1</v>
      </c>
      <c r="U251" s="78"/>
      <c r="V251" s="69"/>
      <c r="W251" s="69"/>
      <c r="X251" s="69">
        <v>1</v>
      </c>
      <c r="Y251" s="69"/>
      <c r="Z251" s="69"/>
      <c r="AA251" s="69"/>
      <c r="AB251" s="49"/>
    </row>
    <row r="252" spans="1:28" ht="15.6" customHeight="1" x14ac:dyDescent="0.2">
      <c r="A252" s="212">
        <v>250</v>
      </c>
      <c r="B252" s="159" t="str">
        <f t="shared" si="3"/>
        <v>Erica glabella</v>
      </c>
      <c r="C252" s="160" t="s">
        <v>1032</v>
      </c>
      <c r="D252" s="72"/>
      <c r="E252" s="72" t="s">
        <v>1033</v>
      </c>
      <c r="F252" s="72" t="s">
        <v>1040</v>
      </c>
      <c r="G252" s="289" t="s">
        <v>3199</v>
      </c>
      <c r="H252" s="166" t="s">
        <v>3215</v>
      </c>
      <c r="I252" s="142">
        <v>2</v>
      </c>
      <c r="J252" s="143">
        <v>6</v>
      </c>
      <c r="K252" s="143">
        <v>2</v>
      </c>
      <c r="L252" s="143">
        <v>3</v>
      </c>
      <c r="M252" s="143">
        <v>2</v>
      </c>
      <c r="N252" s="201">
        <v>5</v>
      </c>
      <c r="O252" s="294" t="s">
        <v>3031</v>
      </c>
      <c r="P252" s="325" t="s">
        <v>3032</v>
      </c>
      <c r="Q252" s="298"/>
      <c r="R252" s="209">
        <v>35612</v>
      </c>
      <c r="S252" s="301"/>
      <c r="T252" s="81">
        <v>1</v>
      </c>
      <c r="U252" s="78"/>
      <c r="V252" s="69"/>
      <c r="W252" s="69">
        <v>1</v>
      </c>
      <c r="X252" s="69">
        <v>1</v>
      </c>
      <c r="Y252" s="69"/>
      <c r="Z252" s="69"/>
      <c r="AA252" s="69"/>
      <c r="AB252" s="49"/>
    </row>
    <row r="253" spans="1:28" ht="15.6" customHeight="1" x14ac:dyDescent="0.2">
      <c r="A253" s="212">
        <v>251</v>
      </c>
      <c r="B253" s="159" t="str">
        <f t="shared" si="3"/>
        <v>Erica hispidula</v>
      </c>
      <c r="C253" s="160" t="s">
        <v>1032</v>
      </c>
      <c r="D253" s="72"/>
      <c r="E253" s="72" t="s">
        <v>1033</v>
      </c>
      <c r="F253" s="72" t="s">
        <v>1041</v>
      </c>
      <c r="G253" s="289" t="s">
        <v>3200</v>
      </c>
      <c r="H253" s="166" t="s">
        <v>3248</v>
      </c>
      <c r="I253" s="142">
        <v>2</v>
      </c>
      <c r="J253" s="143">
        <v>5</v>
      </c>
      <c r="K253" s="143">
        <v>2</v>
      </c>
      <c r="L253" s="143">
        <v>3</v>
      </c>
      <c r="M253" s="143">
        <v>2</v>
      </c>
      <c r="N253" s="201">
        <v>5</v>
      </c>
      <c r="O253" s="294" t="s">
        <v>2914</v>
      </c>
      <c r="P253" s="325" t="s">
        <v>3032</v>
      </c>
      <c r="Q253" s="298"/>
      <c r="R253" s="209">
        <v>36892</v>
      </c>
      <c r="S253" s="301"/>
      <c r="T253" s="81">
        <v>1</v>
      </c>
      <c r="U253" s="78"/>
      <c r="V253" s="69"/>
      <c r="W253" s="69"/>
      <c r="X253" s="69">
        <v>1</v>
      </c>
      <c r="Y253" s="69"/>
      <c r="Z253" s="69"/>
      <c r="AA253" s="69"/>
      <c r="AB253" s="49"/>
    </row>
    <row r="254" spans="1:28" ht="15.6" customHeight="1" x14ac:dyDescent="0.2">
      <c r="A254" s="212">
        <v>252</v>
      </c>
      <c r="B254" s="159" t="str">
        <f t="shared" si="3"/>
        <v>Erica irregularis</v>
      </c>
      <c r="C254" s="160" t="s">
        <v>1032</v>
      </c>
      <c r="D254" s="72"/>
      <c r="E254" s="72" t="s">
        <v>1033</v>
      </c>
      <c r="F254" s="72" t="s">
        <v>1042</v>
      </c>
      <c r="G254" s="289" t="s">
        <v>3201</v>
      </c>
      <c r="H254" s="166" t="s">
        <v>3249</v>
      </c>
      <c r="I254" s="142">
        <v>2</v>
      </c>
      <c r="J254" s="143">
        <v>4</v>
      </c>
      <c r="K254" s="143">
        <v>2</v>
      </c>
      <c r="L254" s="143">
        <v>3</v>
      </c>
      <c r="M254" s="143">
        <v>2</v>
      </c>
      <c r="N254" s="201">
        <v>5</v>
      </c>
      <c r="O254" s="294" t="s">
        <v>2168</v>
      </c>
      <c r="P254" s="325" t="s">
        <v>3032</v>
      </c>
      <c r="Q254" s="298"/>
      <c r="R254" s="209">
        <v>35612</v>
      </c>
      <c r="S254" s="301"/>
      <c r="T254" s="81">
        <v>1</v>
      </c>
      <c r="U254" s="78">
        <v>1</v>
      </c>
      <c r="V254" s="69">
        <v>1</v>
      </c>
      <c r="W254" s="69">
        <v>1</v>
      </c>
      <c r="X254" s="69"/>
      <c r="Y254" s="69"/>
      <c r="Z254" s="69"/>
      <c r="AA254" s="69"/>
      <c r="AB254" s="49"/>
    </row>
    <row r="255" spans="1:28" ht="15.6" customHeight="1" x14ac:dyDescent="0.2">
      <c r="A255" s="212">
        <v>253</v>
      </c>
      <c r="B255" s="159" t="str">
        <f t="shared" si="3"/>
        <v>Erica lineata</v>
      </c>
      <c r="C255" s="160" t="s">
        <v>1032</v>
      </c>
      <c r="D255" s="72"/>
      <c r="E255" s="72" t="s">
        <v>1033</v>
      </c>
      <c r="F255" s="72" t="s">
        <v>1043</v>
      </c>
      <c r="G255" s="289" t="s">
        <v>3202</v>
      </c>
      <c r="H255" s="166" t="s">
        <v>3248</v>
      </c>
      <c r="I255" s="142">
        <v>2</v>
      </c>
      <c r="J255" s="143">
        <v>5</v>
      </c>
      <c r="K255" s="143">
        <v>2</v>
      </c>
      <c r="L255" s="143">
        <v>3</v>
      </c>
      <c r="M255" s="143">
        <v>2</v>
      </c>
      <c r="N255" s="201">
        <v>5</v>
      </c>
      <c r="O255" s="294" t="s">
        <v>2914</v>
      </c>
      <c r="P255" s="325" t="s">
        <v>3032</v>
      </c>
      <c r="Q255" s="298"/>
      <c r="R255" s="209">
        <v>35612</v>
      </c>
      <c r="S255" s="301"/>
      <c r="T255" s="81">
        <v>1</v>
      </c>
      <c r="U255" s="78"/>
      <c r="V255" s="69">
        <v>1</v>
      </c>
      <c r="W255" s="69">
        <v>1</v>
      </c>
      <c r="X255" s="69">
        <v>1</v>
      </c>
      <c r="Y255" s="69"/>
      <c r="Z255" s="69"/>
      <c r="AA255" s="69"/>
      <c r="AB255" s="49">
        <v>1</v>
      </c>
    </row>
    <row r="256" spans="1:28" ht="15.6" customHeight="1" x14ac:dyDescent="0.2">
      <c r="A256" s="212">
        <v>254</v>
      </c>
      <c r="B256" s="159" t="str">
        <f t="shared" si="3"/>
        <v>Erica magnisylvae</v>
      </c>
      <c r="C256" s="160" t="s">
        <v>1032</v>
      </c>
      <c r="D256" s="72"/>
      <c r="E256" s="72" t="s">
        <v>1033</v>
      </c>
      <c r="F256" s="72" t="s">
        <v>1044</v>
      </c>
      <c r="G256" s="289" t="s">
        <v>3203</v>
      </c>
      <c r="H256" s="166" t="s">
        <v>3266</v>
      </c>
      <c r="I256" s="142">
        <v>2</v>
      </c>
      <c r="J256" s="143">
        <v>3</v>
      </c>
      <c r="K256" s="143">
        <v>2</v>
      </c>
      <c r="L256" s="143">
        <v>3</v>
      </c>
      <c r="M256" s="143">
        <v>2</v>
      </c>
      <c r="N256" s="201">
        <v>5</v>
      </c>
      <c r="O256" s="294" t="s">
        <v>2168</v>
      </c>
      <c r="P256" s="325" t="s">
        <v>3032</v>
      </c>
      <c r="Q256" s="298" t="s">
        <v>3146</v>
      </c>
      <c r="R256" s="209">
        <v>35612</v>
      </c>
      <c r="S256" s="301"/>
      <c r="T256" s="81">
        <v>1</v>
      </c>
      <c r="U256" s="78"/>
      <c r="V256" s="69"/>
      <c r="W256" s="69">
        <v>1</v>
      </c>
      <c r="X256" s="69">
        <v>1</v>
      </c>
      <c r="Y256" s="69"/>
      <c r="Z256" s="69"/>
      <c r="AA256" s="69"/>
      <c r="AB256" s="49"/>
    </row>
    <row r="257" spans="1:28" ht="15.6" customHeight="1" x14ac:dyDescent="0.2">
      <c r="A257" s="212">
        <v>255</v>
      </c>
      <c r="B257" s="159" t="str">
        <f t="shared" si="3"/>
        <v>Erica nudiflora</v>
      </c>
      <c r="C257" s="160" t="s">
        <v>1032</v>
      </c>
      <c r="D257" s="72"/>
      <c r="E257" s="72" t="s">
        <v>1033</v>
      </c>
      <c r="F257" s="72" t="s">
        <v>1045</v>
      </c>
      <c r="G257" s="289" t="s">
        <v>3204</v>
      </c>
      <c r="H257" s="166" t="s">
        <v>3215</v>
      </c>
      <c r="I257" s="142">
        <v>2</v>
      </c>
      <c r="J257" s="143">
        <v>6</v>
      </c>
      <c r="K257" s="143">
        <v>2</v>
      </c>
      <c r="L257" s="143">
        <v>3</v>
      </c>
      <c r="M257" s="143">
        <v>2</v>
      </c>
      <c r="N257" s="201">
        <v>5</v>
      </c>
      <c r="O257" s="294" t="s">
        <v>3031</v>
      </c>
      <c r="P257" s="325" t="s">
        <v>3032</v>
      </c>
      <c r="Q257" s="298"/>
      <c r="R257" s="209">
        <v>35612</v>
      </c>
      <c r="S257" s="301"/>
      <c r="T257" s="81">
        <v>1</v>
      </c>
      <c r="U257" s="78"/>
      <c r="V257" s="69"/>
      <c r="W257" s="69"/>
      <c r="X257" s="69">
        <v>1</v>
      </c>
      <c r="Y257" s="69"/>
      <c r="Z257" s="69"/>
      <c r="AA257" s="69"/>
      <c r="AB257" s="49"/>
    </row>
    <row r="258" spans="1:28" ht="15.6" customHeight="1" x14ac:dyDescent="0.2">
      <c r="A258" s="212">
        <v>256</v>
      </c>
      <c r="B258" s="159" t="str">
        <f t="shared" si="3"/>
        <v>Erica parviflora</v>
      </c>
      <c r="C258" s="160" t="s">
        <v>1032</v>
      </c>
      <c r="D258" s="72"/>
      <c r="E258" s="72" t="s">
        <v>1033</v>
      </c>
      <c r="F258" s="72" t="s">
        <v>1046</v>
      </c>
      <c r="G258" s="289" t="s">
        <v>3205</v>
      </c>
      <c r="H258" s="166" t="s">
        <v>3248</v>
      </c>
      <c r="I258" s="142">
        <v>2</v>
      </c>
      <c r="J258" s="143">
        <v>5</v>
      </c>
      <c r="K258" s="143">
        <v>2</v>
      </c>
      <c r="L258" s="143">
        <v>3</v>
      </c>
      <c r="M258" s="143">
        <v>2</v>
      </c>
      <c r="N258" s="201">
        <v>5</v>
      </c>
      <c r="O258" s="294" t="s">
        <v>2914</v>
      </c>
      <c r="P258" s="325" t="s">
        <v>3032</v>
      </c>
      <c r="Q258" s="298"/>
      <c r="R258" s="209">
        <v>37165</v>
      </c>
      <c r="S258" s="301"/>
      <c r="T258" s="81">
        <v>1</v>
      </c>
      <c r="U258" s="78"/>
      <c r="V258" s="69"/>
      <c r="W258" s="69">
        <v>1</v>
      </c>
      <c r="X258" s="69"/>
      <c r="Y258" s="69"/>
      <c r="Z258" s="69"/>
      <c r="AA258" s="69">
        <v>1</v>
      </c>
      <c r="AB258" s="49"/>
    </row>
    <row r="259" spans="1:28" ht="15.6" customHeight="1" x14ac:dyDescent="0.2">
      <c r="A259" s="212">
        <v>257</v>
      </c>
      <c r="B259" s="159" t="str">
        <f t="shared" ref="B259:B322" si="4">E259&amp;" "&amp;F259</f>
        <v>Erica penicilliformis</v>
      </c>
      <c r="C259" s="160" t="s">
        <v>1032</v>
      </c>
      <c r="D259" s="72"/>
      <c r="E259" s="72" t="s">
        <v>1033</v>
      </c>
      <c r="F259" s="72" t="s">
        <v>1047</v>
      </c>
      <c r="G259" s="289" t="s">
        <v>3206</v>
      </c>
      <c r="H259" s="166" t="s">
        <v>3215</v>
      </c>
      <c r="I259" s="142">
        <v>2</v>
      </c>
      <c r="J259" s="143">
        <v>6</v>
      </c>
      <c r="K259" s="143">
        <v>2</v>
      </c>
      <c r="L259" s="143">
        <v>3</v>
      </c>
      <c r="M259" s="143">
        <v>2</v>
      </c>
      <c r="N259" s="201">
        <v>5</v>
      </c>
      <c r="O259" s="294" t="s">
        <v>3031</v>
      </c>
      <c r="P259" s="325" t="s">
        <v>3032</v>
      </c>
      <c r="Q259" s="298"/>
      <c r="R259" s="209">
        <v>35612</v>
      </c>
      <c r="S259" s="301"/>
      <c r="T259" s="81">
        <v>1</v>
      </c>
      <c r="U259" s="78"/>
      <c r="V259" s="69"/>
      <c r="W259" s="69">
        <v>1</v>
      </c>
      <c r="X259" s="69">
        <v>1</v>
      </c>
      <c r="Y259" s="69"/>
      <c r="Z259" s="69"/>
      <c r="AA259" s="69"/>
      <c r="AB259" s="49"/>
    </row>
    <row r="260" spans="1:28" ht="15.6" customHeight="1" x14ac:dyDescent="0.2">
      <c r="A260" s="212">
        <v>258</v>
      </c>
      <c r="B260" s="159" t="str">
        <f t="shared" si="4"/>
        <v>Erica propinqua</v>
      </c>
      <c r="C260" s="160" t="s">
        <v>1032</v>
      </c>
      <c r="D260" s="72"/>
      <c r="E260" s="72" t="s">
        <v>1033</v>
      </c>
      <c r="F260" s="72" t="s">
        <v>1048</v>
      </c>
      <c r="G260" s="289" t="s">
        <v>3207</v>
      </c>
      <c r="H260" s="166" t="s">
        <v>3215</v>
      </c>
      <c r="I260" s="142">
        <v>2</v>
      </c>
      <c r="J260" s="143">
        <v>6</v>
      </c>
      <c r="K260" s="143">
        <v>2</v>
      </c>
      <c r="L260" s="143">
        <v>3</v>
      </c>
      <c r="M260" s="143">
        <v>2</v>
      </c>
      <c r="N260" s="201">
        <v>5</v>
      </c>
      <c r="O260" s="294" t="s">
        <v>3031</v>
      </c>
      <c r="P260" s="325" t="s">
        <v>3032</v>
      </c>
      <c r="Q260" s="298"/>
      <c r="R260" s="209">
        <v>35612</v>
      </c>
      <c r="S260" s="301"/>
      <c r="T260" s="81">
        <v>1</v>
      </c>
      <c r="U260" s="78"/>
      <c r="V260" s="69">
        <v>1</v>
      </c>
      <c r="W260" s="69"/>
      <c r="X260" s="69"/>
      <c r="Y260" s="69"/>
      <c r="Z260" s="69"/>
      <c r="AA260" s="69"/>
      <c r="AB260" s="49"/>
    </row>
    <row r="261" spans="1:28" ht="15.6" customHeight="1" x14ac:dyDescent="0.2">
      <c r="A261" s="212">
        <v>259</v>
      </c>
      <c r="B261" s="159" t="str">
        <f t="shared" si="4"/>
        <v>Erica pulchella</v>
      </c>
      <c r="C261" s="160" t="s">
        <v>1032</v>
      </c>
      <c r="D261" s="72"/>
      <c r="E261" s="72" t="s">
        <v>1033</v>
      </c>
      <c r="F261" s="72" t="s">
        <v>1049</v>
      </c>
      <c r="G261" s="289" t="s">
        <v>3208</v>
      </c>
      <c r="H261" s="166" t="s">
        <v>3248</v>
      </c>
      <c r="I261" s="142">
        <v>2</v>
      </c>
      <c r="J261" s="143">
        <v>5</v>
      </c>
      <c r="K261" s="143">
        <v>2</v>
      </c>
      <c r="L261" s="143">
        <v>3</v>
      </c>
      <c r="M261" s="143">
        <v>2</v>
      </c>
      <c r="N261" s="201">
        <v>5</v>
      </c>
      <c r="O261" s="294" t="s">
        <v>2168</v>
      </c>
      <c r="P261" s="325" t="s">
        <v>3032</v>
      </c>
      <c r="Q261" s="298"/>
      <c r="R261" s="209">
        <v>38018</v>
      </c>
      <c r="S261" s="301"/>
      <c r="T261" s="81"/>
      <c r="U261" s="78"/>
      <c r="V261" s="69"/>
      <c r="W261" s="69"/>
      <c r="X261" s="69">
        <v>1</v>
      </c>
      <c r="Y261" s="69"/>
      <c r="Z261" s="69"/>
      <c r="AA261" s="69"/>
      <c r="AB261" s="49"/>
    </row>
    <row r="262" spans="1:28" ht="15.6" customHeight="1" x14ac:dyDescent="0.2">
      <c r="A262" s="212">
        <v>260</v>
      </c>
      <c r="B262" s="159" t="str">
        <f t="shared" si="4"/>
        <v>Erica sessiliflora</v>
      </c>
      <c r="C262" s="160" t="s">
        <v>1032</v>
      </c>
      <c r="D262" s="72"/>
      <c r="E262" s="72" t="s">
        <v>1033</v>
      </c>
      <c r="F262" s="72" t="s">
        <v>1050</v>
      </c>
      <c r="G262" s="289" t="s">
        <v>1144</v>
      </c>
      <c r="H262" s="166" t="s">
        <v>3249</v>
      </c>
      <c r="I262" s="142">
        <v>2</v>
      </c>
      <c r="J262" s="143">
        <v>4</v>
      </c>
      <c r="K262" s="143">
        <v>2</v>
      </c>
      <c r="L262" s="143">
        <v>3</v>
      </c>
      <c r="M262" s="143">
        <v>2</v>
      </c>
      <c r="N262" s="201">
        <v>5</v>
      </c>
      <c r="O262" s="294" t="s">
        <v>2914</v>
      </c>
      <c r="P262" s="325" t="s">
        <v>3032</v>
      </c>
      <c r="Q262" s="298"/>
      <c r="R262" s="209">
        <v>35612</v>
      </c>
      <c r="S262" s="301"/>
      <c r="T262" s="81">
        <v>1</v>
      </c>
      <c r="U262" s="78"/>
      <c r="V262" s="69"/>
      <c r="W262" s="69">
        <v>1</v>
      </c>
      <c r="X262" s="69">
        <v>1</v>
      </c>
      <c r="Y262" s="69"/>
      <c r="Z262" s="69"/>
      <c r="AA262" s="69"/>
      <c r="AB262" s="49"/>
    </row>
    <row r="263" spans="1:28" ht="15.6" customHeight="1" x14ac:dyDescent="0.2">
      <c r="A263" s="212">
        <v>261</v>
      </c>
      <c r="B263" s="159" t="str">
        <f t="shared" si="4"/>
        <v>Erica vestita</v>
      </c>
      <c r="C263" s="160" t="s">
        <v>1032</v>
      </c>
      <c r="D263" s="72" t="s">
        <v>40</v>
      </c>
      <c r="E263" s="72" t="s">
        <v>1033</v>
      </c>
      <c r="F263" s="72" t="s">
        <v>1051</v>
      </c>
      <c r="G263" s="289" t="s">
        <v>1145</v>
      </c>
      <c r="H263" s="166" t="s">
        <v>3248</v>
      </c>
      <c r="I263" s="142">
        <v>2</v>
      </c>
      <c r="J263" s="143">
        <v>5</v>
      </c>
      <c r="K263" s="143">
        <v>2</v>
      </c>
      <c r="L263" s="143">
        <v>3</v>
      </c>
      <c r="M263" s="143">
        <v>2</v>
      </c>
      <c r="N263" s="201">
        <v>4</v>
      </c>
      <c r="O263" s="294" t="s">
        <v>2168</v>
      </c>
      <c r="P263" s="325" t="s">
        <v>3032</v>
      </c>
      <c r="Q263" s="298"/>
      <c r="R263" s="209">
        <v>35612</v>
      </c>
      <c r="S263" s="301"/>
      <c r="T263" s="81">
        <v>1</v>
      </c>
      <c r="U263" s="78"/>
      <c r="V263" s="69"/>
      <c r="W263" s="69"/>
      <c r="X263" s="69">
        <v>1</v>
      </c>
      <c r="Y263" s="69"/>
      <c r="Z263" s="69"/>
      <c r="AA263" s="69"/>
      <c r="AB263" s="49"/>
    </row>
    <row r="264" spans="1:28" ht="15.6" customHeight="1" x14ac:dyDescent="0.2">
      <c r="A264" s="212">
        <v>262</v>
      </c>
      <c r="B264" s="159" t="str">
        <f t="shared" si="4"/>
        <v>Adenocline acuta</v>
      </c>
      <c r="C264" s="160" t="s">
        <v>1052</v>
      </c>
      <c r="D264" s="72"/>
      <c r="E264" s="72" t="s">
        <v>1053</v>
      </c>
      <c r="F264" s="72" t="s">
        <v>1054</v>
      </c>
      <c r="G264" s="289" t="s">
        <v>1146</v>
      </c>
      <c r="H264" s="166" t="s">
        <v>3242</v>
      </c>
      <c r="I264" s="142">
        <v>7</v>
      </c>
      <c r="J264" s="143">
        <v>1</v>
      </c>
      <c r="K264" s="143">
        <v>0</v>
      </c>
      <c r="L264" s="143">
        <v>1</v>
      </c>
      <c r="M264" s="143">
        <v>1</v>
      </c>
      <c r="N264" s="201">
        <v>3</v>
      </c>
      <c r="O264" s="294" t="s">
        <v>1657</v>
      </c>
      <c r="P264" s="325" t="s">
        <v>3032</v>
      </c>
      <c r="Q264" s="298"/>
      <c r="R264" s="209">
        <v>37196</v>
      </c>
      <c r="S264" s="301"/>
      <c r="T264" s="81">
        <v>1</v>
      </c>
      <c r="U264" s="78"/>
      <c r="V264" s="69"/>
      <c r="W264" s="69"/>
      <c r="X264" s="69"/>
      <c r="Y264" s="69">
        <v>1</v>
      </c>
      <c r="Z264" s="69"/>
      <c r="AA264" s="69"/>
      <c r="AB264" s="49"/>
    </row>
    <row r="265" spans="1:28" ht="15.6" customHeight="1" x14ac:dyDescent="0.2">
      <c r="A265" s="212">
        <v>263</v>
      </c>
      <c r="B265" s="159" t="str">
        <f t="shared" si="4"/>
        <v>Adenocline pauciflora</v>
      </c>
      <c r="C265" s="160" t="s">
        <v>1052</v>
      </c>
      <c r="D265" s="72"/>
      <c r="E265" s="72" t="s">
        <v>1053</v>
      </c>
      <c r="F265" s="72" t="s">
        <v>1055</v>
      </c>
      <c r="G265" s="289" t="s">
        <v>1147</v>
      </c>
      <c r="H265" s="166" t="s">
        <v>3236</v>
      </c>
      <c r="I265" s="142">
        <v>7</v>
      </c>
      <c r="J265" s="143">
        <v>1</v>
      </c>
      <c r="K265" s="143">
        <v>0</v>
      </c>
      <c r="L265" s="143">
        <v>2</v>
      </c>
      <c r="M265" s="143">
        <v>1</v>
      </c>
      <c r="N265" s="201">
        <v>4</v>
      </c>
      <c r="O265" s="294" t="s">
        <v>1657</v>
      </c>
      <c r="P265" s="325" t="s">
        <v>3032</v>
      </c>
      <c r="Q265" s="298" t="s">
        <v>3144</v>
      </c>
      <c r="R265" s="209">
        <v>36861</v>
      </c>
      <c r="S265" s="301"/>
      <c r="T265" s="81">
        <v>1</v>
      </c>
      <c r="U265" s="78">
        <v>1</v>
      </c>
      <c r="V265" s="69"/>
      <c r="W265" s="69"/>
      <c r="X265" s="69"/>
      <c r="Y265" s="69"/>
      <c r="Z265" s="69"/>
      <c r="AA265" s="69"/>
      <c r="AB265" s="49"/>
    </row>
    <row r="266" spans="1:28" ht="15.6" customHeight="1" x14ac:dyDescent="0.2">
      <c r="A266" s="212">
        <v>264</v>
      </c>
      <c r="B266" s="159" t="str">
        <f t="shared" si="4"/>
        <v>Clutia alaternoides</v>
      </c>
      <c r="C266" s="160" t="s">
        <v>1052</v>
      </c>
      <c r="D266" s="72"/>
      <c r="E266" s="72" t="s">
        <v>1056</v>
      </c>
      <c r="F266" s="72" t="s">
        <v>1057</v>
      </c>
      <c r="G266" s="289" t="s">
        <v>1148</v>
      </c>
      <c r="H266" s="166" t="s">
        <v>3215</v>
      </c>
      <c r="I266" s="142">
        <v>2</v>
      </c>
      <c r="J266" s="143">
        <v>6</v>
      </c>
      <c r="K266" s="143">
        <v>2</v>
      </c>
      <c r="L266" s="143">
        <v>2</v>
      </c>
      <c r="M266" s="143">
        <v>2</v>
      </c>
      <c r="N266" s="201">
        <v>5</v>
      </c>
      <c r="O266" s="294" t="s">
        <v>3031</v>
      </c>
      <c r="P266" s="325" t="s">
        <v>3032</v>
      </c>
      <c r="Q266" s="298"/>
      <c r="R266" s="209">
        <v>35612</v>
      </c>
      <c r="S266" s="301"/>
      <c r="T266" s="81">
        <v>1</v>
      </c>
      <c r="U266" s="78"/>
      <c r="V266" s="69">
        <v>1</v>
      </c>
      <c r="W266" s="69"/>
      <c r="X266" s="69">
        <v>1</v>
      </c>
      <c r="Y266" s="69"/>
      <c r="Z266" s="69"/>
      <c r="AA266" s="69"/>
      <c r="AB266" s="49"/>
    </row>
    <row r="267" spans="1:28" ht="15.6" customHeight="1" x14ac:dyDescent="0.2">
      <c r="A267" s="212">
        <v>265</v>
      </c>
      <c r="B267" s="159" t="str">
        <f t="shared" si="4"/>
        <v>Clutia ericoides</v>
      </c>
      <c r="C267" s="160" t="s">
        <v>1052</v>
      </c>
      <c r="D267" s="72"/>
      <c r="E267" s="72" t="s">
        <v>1056</v>
      </c>
      <c r="F267" s="72" t="s">
        <v>734</v>
      </c>
      <c r="G267" s="289" t="s">
        <v>1149</v>
      </c>
      <c r="H267" s="166" t="s">
        <v>3248</v>
      </c>
      <c r="I267" s="142">
        <v>2</v>
      </c>
      <c r="J267" s="143">
        <v>5</v>
      </c>
      <c r="K267" s="143">
        <v>2</v>
      </c>
      <c r="L267" s="143">
        <v>3</v>
      </c>
      <c r="M267" s="143">
        <v>2</v>
      </c>
      <c r="N267" s="201">
        <v>5</v>
      </c>
      <c r="O267" s="294" t="s">
        <v>2914</v>
      </c>
      <c r="P267" s="325" t="s">
        <v>3032</v>
      </c>
      <c r="Q267" s="298"/>
      <c r="R267" s="209">
        <v>35886</v>
      </c>
      <c r="S267" s="301"/>
      <c r="T267" s="81">
        <v>1</v>
      </c>
      <c r="U267" s="78"/>
      <c r="V267" s="69"/>
      <c r="W267" s="69"/>
      <c r="X267" s="69">
        <v>1</v>
      </c>
      <c r="Y267" s="69"/>
      <c r="Z267" s="69"/>
      <c r="AA267" s="69"/>
      <c r="AB267" s="49"/>
    </row>
    <row r="268" spans="1:28" ht="15.6" customHeight="1" x14ac:dyDescent="0.2">
      <c r="A268" s="212">
        <v>266</v>
      </c>
      <c r="B268" s="159" t="str">
        <f t="shared" si="4"/>
        <v>Clutia polygonoides</v>
      </c>
      <c r="C268" s="160" t="s">
        <v>1052</v>
      </c>
      <c r="D268" s="72"/>
      <c r="E268" s="72" t="s">
        <v>1056</v>
      </c>
      <c r="F268" s="72" t="s">
        <v>1058</v>
      </c>
      <c r="G268" s="289" t="s">
        <v>1150</v>
      </c>
      <c r="H268" s="166" t="s">
        <v>3287</v>
      </c>
      <c r="I268" s="142">
        <v>2</v>
      </c>
      <c r="J268" s="143">
        <v>5</v>
      </c>
      <c r="K268" s="143">
        <v>2</v>
      </c>
      <c r="L268" s="143">
        <v>2</v>
      </c>
      <c r="M268" s="143">
        <v>2</v>
      </c>
      <c r="N268" s="201">
        <v>4</v>
      </c>
      <c r="O268" s="294" t="s">
        <v>2914</v>
      </c>
      <c r="P268" s="325" t="s">
        <v>3032</v>
      </c>
      <c r="Q268" s="298"/>
      <c r="R268" s="209">
        <v>35612</v>
      </c>
      <c r="S268" s="301"/>
      <c r="T268" s="81">
        <v>1</v>
      </c>
      <c r="U268" s="78">
        <v>1</v>
      </c>
      <c r="V268" s="69"/>
      <c r="W268" s="69">
        <v>1</v>
      </c>
      <c r="X268" s="69"/>
      <c r="Y268" s="69"/>
      <c r="Z268" s="69"/>
      <c r="AA268" s="69"/>
      <c r="AB268" s="49">
        <v>1</v>
      </c>
    </row>
    <row r="269" spans="1:28" ht="15.6" customHeight="1" x14ac:dyDescent="0.2">
      <c r="A269" s="212">
        <v>267</v>
      </c>
      <c r="B269" s="159" t="str">
        <f t="shared" si="4"/>
        <v>Euphorbia tuberosa</v>
      </c>
      <c r="C269" s="160" t="s">
        <v>1052</v>
      </c>
      <c r="D269" s="72" t="s">
        <v>41</v>
      </c>
      <c r="E269" s="72" t="s">
        <v>1059</v>
      </c>
      <c r="F269" s="72" t="s">
        <v>1060</v>
      </c>
      <c r="G269" s="289" t="s">
        <v>1151</v>
      </c>
      <c r="H269" s="166" t="s">
        <v>3230</v>
      </c>
      <c r="I269" s="142">
        <v>3</v>
      </c>
      <c r="J269" s="143">
        <v>6</v>
      </c>
      <c r="K269" s="143">
        <v>2</v>
      </c>
      <c r="L269" s="143">
        <v>2</v>
      </c>
      <c r="M269" s="143">
        <v>2</v>
      </c>
      <c r="N269" s="201">
        <v>3</v>
      </c>
      <c r="O269" s="294" t="s">
        <v>2910</v>
      </c>
      <c r="P269" s="325" t="s">
        <v>3032</v>
      </c>
      <c r="Q269" s="298"/>
      <c r="R269" s="209">
        <v>35490</v>
      </c>
      <c r="S269" s="301"/>
      <c r="T269" s="81">
        <v>1</v>
      </c>
      <c r="U269" s="78"/>
      <c r="V269" s="69"/>
      <c r="W269" s="69"/>
      <c r="X269" s="69">
        <v>1</v>
      </c>
      <c r="Y269" s="69"/>
      <c r="Z269" s="69"/>
      <c r="AA269" s="69"/>
      <c r="AB269" s="49"/>
    </row>
    <row r="270" spans="1:28" ht="15.6" customHeight="1" x14ac:dyDescent="0.2">
      <c r="A270" s="212">
        <v>268</v>
      </c>
      <c r="B270" s="159" t="str">
        <f t="shared" si="4"/>
        <v>Amphithalea ericifolia ssp. ericifolia</v>
      </c>
      <c r="C270" s="160" t="s">
        <v>1061</v>
      </c>
      <c r="D270" s="72" t="s">
        <v>42</v>
      </c>
      <c r="E270" s="72" t="s">
        <v>1062</v>
      </c>
      <c r="F270" s="72" t="s">
        <v>467</v>
      </c>
      <c r="G270" s="289" t="s">
        <v>1152</v>
      </c>
      <c r="H270" s="166" t="s">
        <v>3248</v>
      </c>
      <c r="I270" s="142">
        <v>2</v>
      </c>
      <c r="J270" s="143">
        <v>5</v>
      </c>
      <c r="K270" s="143">
        <v>2</v>
      </c>
      <c r="L270" s="143">
        <v>3</v>
      </c>
      <c r="M270" s="143">
        <v>2</v>
      </c>
      <c r="N270" s="201">
        <v>5</v>
      </c>
      <c r="O270" s="294" t="s">
        <v>2914</v>
      </c>
      <c r="P270" s="325" t="s">
        <v>3032</v>
      </c>
      <c r="Q270" s="298"/>
      <c r="R270" s="209">
        <v>35612</v>
      </c>
      <c r="S270" s="301"/>
      <c r="T270" s="81">
        <v>1</v>
      </c>
      <c r="U270" s="78"/>
      <c r="V270" s="69"/>
      <c r="W270" s="69"/>
      <c r="X270" s="69">
        <v>1</v>
      </c>
      <c r="Y270" s="69"/>
      <c r="Z270" s="69"/>
      <c r="AA270" s="69"/>
      <c r="AB270" s="49"/>
    </row>
    <row r="271" spans="1:28" ht="15.6" customHeight="1" x14ac:dyDescent="0.2">
      <c r="A271" s="212">
        <v>269</v>
      </c>
      <c r="B271" s="159" t="str">
        <f t="shared" si="4"/>
        <v>Aspalathus biflora</v>
      </c>
      <c r="C271" s="160" t="s">
        <v>1061</v>
      </c>
      <c r="D271" s="72"/>
      <c r="E271" s="72" t="s">
        <v>1063</v>
      </c>
      <c r="F271" s="72" t="s">
        <v>1064</v>
      </c>
      <c r="G271" s="289" t="s">
        <v>1153</v>
      </c>
      <c r="H271" s="166" t="s">
        <v>199</v>
      </c>
      <c r="I271" s="142">
        <v>2</v>
      </c>
      <c r="J271" s="143">
        <v>9</v>
      </c>
      <c r="K271" s="143">
        <v>9</v>
      </c>
      <c r="L271" s="143">
        <v>9</v>
      </c>
      <c r="M271" s="143">
        <v>9</v>
      </c>
      <c r="N271" s="201">
        <v>9</v>
      </c>
      <c r="O271" s="294" t="s">
        <v>2914</v>
      </c>
      <c r="P271" s="325" t="s">
        <v>3032</v>
      </c>
      <c r="Q271" s="298"/>
      <c r="R271" s="209"/>
      <c r="S271" s="301" t="s">
        <v>2250</v>
      </c>
      <c r="T271" s="81"/>
      <c r="U271" s="78"/>
      <c r="V271" s="69"/>
      <c r="W271" s="69"/>
      <c r="X271" s="69">
        <v>1</v>
      </c>
      <c r="Y271" s="69"/>
      <c r="Z271" s="69"/>
      <c r="AA271" s="69"/>
      <c r="AB271" s="49"/>
    </row>
    <row r="272" spans="1:28" ht="15.6" customHeight="1" x14ac:dyDescent="0.2">
      <c r="A272" s="212">
        <v>270</v>
      </c>
      <c r="B272" s="159" t="str">
        <f t="shared" si="4"/>
        <v>Aspalathus callosa</v>
      </c>
      <c r="C272" s="160" t="s">
        <v>1061</v>
      </c>
      <c r="D272" s="72"/>
      <c r="E272" s="72" t="s">
        <v>1063</v>
      </c>
      <c r="F272" s="72" t="s">
        <v>1065</v>
      </c>
      <c r="G272" s="289" t="s">
        <v>1154</v>
      </c>
      <c r="H272" s="166" t="s">
        <v>3215</v>
      </c>
      <c r="I272" s="142">
        <v>2</v>
      </c>
      <c r="J272" s="143">
        <v>6</v>
      </c>
      <c r="K272" s="143">
        <v>2</v>
      </c>
      <c r="L272" s="143">
        <v>3</v>
      </c>
      <c r="M272" s="143">
        <v>2</v>
      </c>
      <c r="N272" s="201">
        <v>5</v>
      </c>
      <c r="O272" s="294" t="s">
        <v>3031</v>
      </c>
      <c r="P272" s="325" t="s">
        <v>3032</v>
      </c>
      <c r="Q272" s="298"/>
      <c r="R272" s="209">
        <v>35612</v>
      </c>
      <c r="S272" s="301"/>
      <c r="T272" s="81">
        <v>1</v>
      </c>
      <c r="U272" s="78"/>
      <c r="V272" s="69"/>
      <c r="W272" s="69"/>
      <c r="X272" s="69">
        <v>1</v>
      </c>
      <c r="Y272" s="69"/>
      <c r="Z272" s="69"/>
      <c r="AA272" s="69"/>
      <c r="AB272" s="49"/>
    </row>
    <row r="273" spans="1:28" ht="15.6" customHeight="1" x14ac:dyDescent="0.2">
      <c r="A273" s="212">
        <v>271</v>
      </c>
      <c r="B273" s="159" t="str">
        <f t="shared" si="4"/>
        <v>Aspalathus ciliaris</v>
      </c>
      <c r="C273" s="160" t="s">
        <v>1061</v>
      </c>
      <c r="D273" s="72"/>
      <c r="E273" s="72" t="s">
        <v>1063</v>
      </c>
      <c r="F273" s="72" t="s">
        <v>1066</v>
      </c>
      <c r="G273" s="289" t="s">
        <v>1155</v>
      </c>
      <c r="H273" s="166" t="s">
        <v>3248</v>
      </c>
      <c r="I273" s="142">
        <v>2</v>
      </c>
      <c r="J273" s="143">
        <v>5</v>
      </c>
      <c r="K273" s="143">
        <v>2</v>
      </c>
      <c r="L273" s="143">
        <v>3</v>
      </c>
      <c r="M273" s="143">
        <v>2</v>
      </c>
      <c r="N273" s="201">
        <v>5</v>
      </c>
      <c r="O273" s="294" t="s">
        <v>2914</v>
      </c>
      <c r="P273" s="325" t="s">
        <v>3032</v>
      </c>
      <c r="Q273" s="298"/>
      <c r="R273" s="209">
        <v>35612</v>
      </c>
      <c r="S273" s="301"/>
      <c r="T273" s="81">
        <v>1</v>
      </c>
      <c r="U273" s="78">
        <v>1</v>
      </c>
      <c r="V273" s="69">
        <v>1</v>
      </c>
      <c r="W273" s="69">
        <v>1</v>
      </c>
      <c r="X273" s="69">
        <v>1</v>
      </c>
      <c r="Y273" s="69"/>
      <c r="Z273" s="69"/>
      <c r="AA273" s="69"/>
      <c r="AB273" s="49"/>
    </row>
    <row r="274" spans="1:28" ht="15.6" customHeight="1" x14ac:dyDescent="0.2">
      <c r="A274" s="212">
        <v>272</v>
      </c>
      <c r="B274" s="159" t="str">
        <f t="shared" si="4"/>
        <v>Aspalathus crassisepala</v>
      </c>
      <c r="C274" s="160" t="s">
        <v>1061</v>
      </c>
      <c r="D274" s="72"/>
      <c r="E274" s="72" t="s">
        <v>1063</v>
      </c>
      <c r="F274" s="72" t="s">
        <v>1067</v>
      </c>
      <c r="G274" s="289" t="s">
        <v>1156</v>
      </c>
      <c r="H274" s="166" t="s">
        <v>3215</v>
      </c>
      <c r="I274" s="142">
        <v>2</v>
      </c>
      <c r="J274" s="143">
        <v>6</v>
      </c>
      <c r="K274" s="143">
        <v>2</v>
      </c>
      <c r="L274" s="143">
        <v>3</v>
      </c>
      <c r="M274" s="143">
        <v>2</v>
      </c>
      <c r="N274" s="201">
        <v>5</v>
      </c>
      <c r="O274" s="294" t="s">
        <v>3031</v>
      </c>
      <c r="P274" s="325" t="s">
        <v>3032</v>
      </c>
      <c r="Q274" s="298"/>
      <c r="R274" s="209">
        <v>35886</v>
      </c>
      <c r="S274" s="301"/>
      <c r="T274" s="81">
        <v>1</v>
      </c>
      <c r="U274" s="78"/>
      <c r="V274" s="69">
        <v>1</v>
      </c>
      <c r="W274" s="69"/>
      <c r="X274" s="69"/>
      <c r="Y274" s="69"/>
      <c r="Z274" s="69"/>
      <c r="AA274" s="69"/>
      <c r="AB274" s="49"/>
    </row>
    <row r="275" spans="1:28" ht="15.6" customHeight="1" x14ac:dyDescent="0.2">
      <c r="A275" s="212">
        <v>273</v>
      </c>
      <c r="B275" s="159" t="str">
        <f t="shared" si="4"/>
        <v>Aspalathus forbesii</v>
      </c>
      <c r="C275" s="160" t="s">
        <v>1061</v>
      </c>
      <c r="D275" s="72"/>
      <c r="E275" s="72" t="s">
        <v>1063</v>
      </c>
      <c r="F275" s="72" t="s">
        <v>1068</v>
      </c>
      <c r="G275" s="289" t="s">
        <v>1157</v>
      </c>
      <c r="H275" s="166" t="s">
        <v>3249</v>
      </c>
      <c r="I275" s="142">
        <v>2</v>
      </c>
      <c r="J275" s="143">
        <v>4</v>
      </c>
      <c r="K275" s="143">
        <v>2</v>
      </c>
      <c r="L275" s="143">
        <v>3</v>
      </c>
      <c r="M275" s="143">
        <v>2</v>
      </c>
      <c r="N275" s="201">
        <v>5</v>
      </c>
      <c r="O275" s="294" t="s">
        <v>2914</v>
      </c>
      <c r="P275" s="325" t="s">
        <v>3032</v>
      </c>
      <c r="Q275" s="298"/>
      <c r="R275" s="209">
        <v>35612</v>
      </c>
      <c r="S275" s="301"/>
      <c r="T275" s="81">
        <v>1</v>
      </c>
      <c r="U275" s="78">
        <v>1</v>
      </c>
      <c r="V275" s="69"/>
      <c r="W275" s="69"/>
      <c r="X275" s="69"/>
      <c r="Y275" s="69"/>
      <c r="Z275" s="69"/>
      <c r="AA275" s="69"/>
      <c r="AB275" s="49"/>
    </row>
    <row r="276" spans="1:28" ht="15.6" customHeight="1" x14ac:dyDescent="0.2">
      <c r="A276" s="212">
        <v>274</v>
      </c>
      <c r="B276" s="159" t="str">
        <f t="shared" si="4"/>
        <v>Aspalathus globulosa</v>
      </c>
      <c r="C276" s="160" t="s">
        <v>1061</v>
      </c>
      <c r="D276" s="72"/>
      <c r="E276" s="72" t="s">
        <v>1063</v>
      </c>
      <c r="F276" s="72" t="s">
        <v>1069</v>
      </c>
      <c r="G276" s="289" t="s">
        <v>1158</v>
      </c>
      <c r="H276" s="166" t="s">
        <v>3248</v>
      </c>
      <c r="I276" s="142">
        <v>2</v>
      </c>
      <c r="J276" s="143">
        <v>5</v>
      </c>
      <c r="K276" s="143">
        <v>2</v>
      </c>
      <c r="L276" s="143">
        <v>3</v>
      </c>
      <c r="M276" s="143">
        <v>2</v>
      </c>
      <c r="N276" s="201">
        <v>5</v>
      </c>
      <c r="O276" s="294" t="s">
        <v>2914</v>
      </c>
      <c r="P276" s="325" t="s">
        <v>3032</v>
      </c>
      <c r="Q276" s="298" t="s">
        <v>3147</v>
      </c>
      <c r="R276" s="209">
        <v>35612</v>
      </c>
      <c r="S276" s="301"/>
      <c r="T276" s="81">
        <v>1</v>
      </c>
      <c r="U276" s="78"/>
      <c r="V276" s="69">
        <v>1</v>
      </c>
      <c r="W276" s="69"/>
      <c r="X276" s="69">
        <v>1</v>
      </c>
      <c r="Y276" s="69"/>
      <c r="Z276" s="69"/>
      <c r="AA276" s="69"/>
      <c r="AB276" s="49"/>
    </row>
    <row r="277" spans="1:28" ht="15.6" customHeight="1" x14ac:dyDescent="0.2">
      <c r="A277" s="212">
        <v>275</v>
      </c>
      <c r="B277" s="159" t="str">
        <f t="shared" si="4"/>
        <v>Aspalathus hirta ssp. hirta</v>
      </c>
      <c r="C277" s="160" t="s">
        <v>1061</v>
      </c>
      <c r="D277" s="72"/>
      <c r="E277" s="72" t="s">
        <v>1063</v>
      </c>
      <c r="F277" s="72" t="s">
        <v>468</v>
      </c>
      <c r="G277" s="289" t="s">
        <v>1159</v>
      </c>
      <c r="H277" s="166" t="s">
        <v>3249</v>
      </c>
      <c r="I277" s="142">
        <v>2</v>
      </c>
      <c r="J277" s="143">
        <v>4</v>
      </c>
      <c r="K277" s="143">
        <v>2</v>
      </c>
      <c r="L277" s="143">
        <v>3</v>
      </c>
      <c r="M277" s="143">
        <v>2</v>
      </c>
      <c r="N277" s="201">
        <v>5</v>
      </c>
      <c r="O277" s="294" t="s">
        <v>2914</v>
      </c>
      <c r="P277" s="325" t="s">
        <v>3032</v>
      </c>
      <c r="Q277" s="298"/>
      <c r="R277" s="209">
        <v>35612</v>
      </c>
      <c r="S277" s="301"/>
      <c r="T277" s="81">
        <v>1</v>
      </c>
      <c r="U277" s="78">
        <v>1</v>
      </c>
      <c r="V277" s="69">
        <v>1</v>
      </c>
      <c r="W277" s="69"/>
      <c r="X277" s="69"/>
      <c r="Y277" s="69"/>
      <c r="Z277" s="69"/>
      <c r="AA277" s="69"/>
      <c r="AB277" s="49"/>
    </row>
    <row r="278" spans="1:28" ht="15.6" customHeight="1" x14ac:dyDescent="0.2">
      <c r="A278" s="212">
        <v>276</v>
      </c>
      <c r="B278" s="159" t="str">
        <f t="shared" si="4"/>
        <v>Aspalathus hispida</v>
      </c>
      <c r="C278" s="160" t="s">
        <v>1061</v>
      </c>
      <c r="D278" s="72" t="s">
        <v>43</v>
      </c>
      <c r="E278" s="72" t="s">
        <v>1063</v>
      </c>
      <c r="F278" s="72" t="s">
        <v>2791</v>
      </c>
      <c r="G278" s="289" t="s">
        <v>1160</v>
      </c>
      <c r="H278" s="166" t="s">
        <v>3265</v>
      </c>
      <c r="I278" s="142">
        <v>2</v>
      </c>
      <c r="J278" s="143">
        <v>6</v>
      </c>
      <c r="K278" s="143">
        <v>9</v>
      </c>
      <c r="L278" s="143">
        <v>9</v>
      </c>
      <c r="M278" s="143">
        <v>9</v>
      </c>
      <c r="N278" s="201">
        <v>9</v>
      </c>
      <c r="O278" s="294" t="s">
        <v>3031</v>
      </c>
      <c r="P278" s="325" t="s">
        <v>3032</v>
      </c>
      <c r="Q278" s="298"/>
      <c r="R278" s="209"/>
      <c r="S278" s="301" t="s">
        <v>2250</v>
      </c>
      <c r="T278" s="81"/>
      <c r="U278" s="78">
        <v>1</v>
      </c>
      <c r="V278" s="69"/>
      <c r="W278" s="69">
        <v>1</v>
      </c>
      <c r="X278" s="69"/>
      <c r="Y278" s="69"/>
      <c r="Z278" s="69"/>
      <c r="AA278" s="69"/>
      <c r="AB278" s="49"/>
    </row>
    <row r="279" spans="1:28" ht="15.6" customHeight="1" x14ac:dyDescent="0.2">
      <c r="A279" s="212">
        <v>277</v>
      </c>
      <c r="B279" s="159" t="str">
        <f t="shared" si="4"/>
        <v>Aspalathus linguiloba</v>
      </c>
      <c r="C279" s="160" t="s">
        <v>1061</v>
      </c>
      <c r="D279" s="72"/>
      <c r="E279" s="72" t="s">
        <v>1063</v>
      </c>
      <c r="F279" s="72" t="s">
        <v>1070</v>
      </c>
      <c r="G279" s="289" t="s">
        <v>1161</v>
      </c>
      <c r="H279" s="166" t="s">
        <v>3265</v>
      </c>
      <c r="I279" s="142">
        <v>2</v>
      </c>
      <c r="J279" s="143">
        <v>6</v>
      </c>
      <c r="K279" s="143">
        <v>9</v>
      </c>
      <c r="L279" s="143">
        <v>9</v>
      </c>
      <c r="M279" s="143">
        <v>9</v>
      </c>
      <c r="N279" s="201">
        <v>9</v>
      </c>
      <c r="O279" s="294" t="s">
        <v>3031</v>
      </c>
      <c r="P279" s="325" t="s">
        <v>3032</v>
      </c>
      <c r="Q279" s="298"/>
      <c r="R279" s="209"/>
      <c r="S279" s="301" t="s">
        <v>2250</v>
      </c>
      <c r="T279" s="81"/>
      <c r="U279" s="78">
        <v>1</v>
      </c>
      <c r="V279" s="69"/>
      <c r="W279" s="69"/>
      <c r="X279" s="69"/>
      <c r="Y279" s="69"/>
      <c r="Z279" s="69"/>
      <c r="AA279" s="69"/>
      <c r="AB279" s="49"/>
    </row>
    <row r="280" spans="1:28" ht="15.6" customHeight="1" x14ac:dyDescent="0.2">
      <c r="A280" s="212">
        <v>278</v>
      </c>
      <c r="B280" s="159" t="str">
        <f t="shared" si="4"/>
        <v>Aspalathus microphylla</v>
      </c>
      <c r="C280" s="160" t="s">
        <v>1061</v>
      </c>
      <c r="D280" s="72"/>
      <c r="E280" s="72" t="s">
        <v>1063</v>
      </c>
      <c r="F280" s="72" t="s">
        <v>1071</v>
      </c>
      <c r="G280" s="289" t="s">
        <v>1162</v>
      </c>
      <c r="H280" s="166" t="s">
        <v>3215</v>
      </c>
      <c r="I280" s="142">
        <v>2</v>
      </c>
      <c r="J280" s="143">
        <v>6</v>
      </c>
      <c r="K280" s="143">
        <v>2</v>
      </c>
      <c r="L280" s="143">
        <v>6</v>
      </c>
      <c r="M280" s="143">
        <v>2</v>
      </c>
      <c r="N280" s="201">
        <v>5</v>
      </c>
      <c r="O280" s="294" t="s">
        <v>3031</v>
      </c>
      <c r="P280" s="325" t="s">
        <v>3032</v>
      </c>
      <c r="Q280" s="298"/>
      <c r="R280" s="209">
        <v>37012</v>
      </c>
      <c r="S280" s="301"/>
      <c r="T280" s="81">
        <v>1</v>
      </c>
      <c r="U280" s="78">
        <v>1</v>
      </c>
      <c r="V280" s="69"/>
      <c r="W280" s="69">
        <v>1</v>
      </c>
      <c r="X280" s="69">
        <v>1</v>
      </c>
      <c r="Y280" s="69"/>
      <c r="Z280" s="69"/>
      <c r="AA280" s="69"/>
      <c r="AB280" s="49"/>
    </row>
    <row r="281" spans="1:28" ht="15.6" customHeight="1" x14ac:dyDescent="0.2">
      <c r="A281" s="212">
        <v>279</v>
      </c>
      <c r="B281" s="159" t="str">
        <f t="shared" si="4"/>
        <v>Aspalathus nigra</v>
      </c>
      <c r="C281" s="160" t="s">
        <v>1061</v>
      </c>
      <c r="D281" s="72"/>
      <c r="E281" s="72" t="s">
        <v>1063</v>
      </c>
      <c r="F281" s="72" t="s">
        <v>1072</v>
      </c>
      <c r="G281" s="289" t="s">
        <v>1163</v>
      </c>
      <c r="H281" s="166" t="s">
        <v>3215</v>
      </c>
      <c r="I281" s="142">
        <v>2</v>
      </c>
      <c r="J281" s="143">
        <v>6</v>
      </c>
      <c r="K281" s="143">
        <v>2</v>
      </c>
      <c r="L281" s="143">
        <v>3</v>
      </c>
      <c r="M281" s="143">
        <v>2</v>
      </c>
      <c r="N281" s="201">
        <v>5</v>
      </c>
      <c r="O281" s="294" t="s">
        <v>3031</v>
      </c>
      <c r="P281" s="325" t="s">
        <v>3032</v>
      </c>
      <c r="Q281" s="298"/>
      <c r="R281" s="209">
        <v>35886</v>
      </c>
      <c r="S281" s="301"/>
      <c r="T281" s="81">
        <v>1</v>
      </c>
      <c r="U281" s="78"/>
      <c r="V281" s="69"/>
      <c r="W281" s="69"/>
      <c r="X281" s="69">
        <v>1</v>
      </c>
      <c r="Y281" s="69"/>
      <c r="Z281" s="69"/>
      <c r="AA281" s="69"/>
      <c r="AB281" s="49"/>
    </row>
    <row r="282" spans="1:28" ht="15.6" customHeight="1" x14ac:dyDescent="0.2">
      <c r="A282" s="212">
        <v>280</v>
      </c>
      <c r="B282" s="159" t="str">
        <f t="shared" si="4"/>
        <v>Aspalathus pycnantha</v>
      </c>
      <c r="C282" s="160" t="s">
        <v>1061</v>
      </c>
      <c r="D282" s="72"/>
      <c r="E282" s="72" t="s">
        <v>1063</v>
      </c>
      <c r="F282" s="72" t="s">
        <v>1073</v>
      </c>
      <c r="G282" s="289" t="s">
        <v>1164</v>
      </c>
      <c r="H282" s="166" t="s">
        <v>3215</v>
      </c>
      <c r="I282" s="142">
        <v>2</v>
      </c>
      <c r="J282" s="143">
        <v>6</v>
      </c>
      <c r="K282" s="143">
        <v>2</v>
      </c>
      <c r="L282" s="143">
        <v>3</v>
      </c>
      <c r="M282" s="143">
        <v>2</v>
      </c>
      <c r="N282" s="201">
        <v>5</v>
      </c>
      <c r="O282" s="294" t="s">
        <v>3031</v>
      </c>
      <c r="P282" s="325" t="s">
        <v>3032</v>
      </c>
      <c r="Q282" s="298"/>
      <c r="R282" s="209">
        <v>35612</v>
      </c>
      <c r="S282" s="301"/>
      <c r="T282" s="81">
        <v>1</v>
      </c>
      <c r="U282" s="78"/>
      <c r="V282" s="69">
        <v>1</v>
      </c>
      <c r="W282" s="69"/>
      <c r="X282" s="69">
        <v>1</v>
      </c>
      <c r="Y282" s="69"/>
      <c r="Z282" s="69"/>
      <c r="AA282" s="69"/>
      <c r="AB282" s="49"/>
    </row>
    <row r="283" spans="1:28" ht="15.6" customHeight="1" x14ac:dyDescent="0.2">
      <c r="A283" s="212">
        <v>281</v>
      </c>
      <c r="B283" s="159" t="str">
        <f t="shared" si="4"/>
        <v>Aspalathus salteri</v>
      </c>
      <c r="C283" s="160" t="s">
        <v>1061</v>
      </c>
      <c r="D283" s="72"/>
      <c r="E283" s="72" t="s">
        <v>1063</v>
      </c>
      <c r="F283" s="72" t="s">
        <v>1074</v>
      </c>
      <c r="G283" s="289" t="s">
        <v>1165</v>
      </c>
      <c r="H283" s="166" t="s">
        <v>3215</v>
      </c>
      <c r="I283" s="142">
        <v>2</v>
      </c>
      <c r="J283" s="143">
        <v>6</v>
      </c>
      <c r="K283" s="143">
        <v>2</v>
      </c>
      <c r="L283" s="143">
        <v>3</v>
      </c>
      <c r="M283" s="143">
        <v>2</v>
      </c>
      <c r="N283" s="201">
        <v>5</v>
      </c>
      <c r="O283" s="294" t="s">
        <v>3031</v>
      </c>
      <c r="P283" s="325" t="s">
        <v>3032</v>
      </c>
      <c r="Q283" s="298"/>
      <c r="R283" s="209">
        <v>35612</v>
      </c>
      <c r="S283" s="301"/>
      <c r="T283" s="81">
        <v>1</v>
      </c>
      <c r="U283" s="78">
        <v>1</v>
      </c>
      <c r="V283" s="69">
        <v>1</v>
      </c>
      <c r="W283" s="69">
        <v>1</v>
      </c>
      <c r="X283" s="69">
        <v>1</v>
      </c>
      <c r="Y283" s="69"/>
      <c r="Z283" s="69"/>
      <c r="AA283" s="69"/>
      <c r="AB283" s="49"/>
    </row>
    <row r="284" spans="1:28" ht="15.6" customHeight="1" x14ac:dyDescent="0.2">
      <c r="A284" s="212">
        <v>282</v>
      </c>
      <c r="B284" s="159" t="str">
        <f t="shared" si="4"/>
        <v>Aspalathus sericea</v>
      </c>
      <c r="C284" s="160" t="s">
        <v>1061</v>
      </c>
      <c r="D284" s="72" t="s">
        <v>44</v>
      </c>
      <c r="E284" s="72" t="s">
        <v>1063</v>
      </c>
      <c r="F284" s="72" t="s">
        <v>1075</v>
      </c>
      <c r="G284" s="289" t="s">
        <v>1166</v>
      </c>
      <c r="H284" s="166" t="s">
        <v>3248</v>
      </c>
      <c r="I284" s="142">
        <v>2</v>
      </c>
      <c r="J284" s="143">
        <v>5</v>
      </c>
      <c r="K284" s="143">
        <v>2</v>
      </c>
      <c r="L284" s="143">
        <v>3</v>
      </c>
      <c r="M284" s="143">
        <v>2</v>
      </c>
      <c r="N284" s="201">
        <v>5</v>
      </c>
      <c r="O284" s="294" t="s">
        <v>2914</v>
      </c>
      <c r="P284" s="325" t="s">
        <v>3032</v>
      </c>
      <c r="Q284" s="298"/>
      <c r="R284" s="209">
        <v>35612</v>
      </c>
      <c r="S284" s="301"/>
      <c r="T284" s="81">
        <v>1</v>
      </c>
      <c r="U284" s="78"/>
      <c r="V284" s="69"/>
      <c r="W284" s="69"/>
      <c r="X284" s="69">
        <v>1</v>
      </c>
      <c r="Y284" s="69"/>
      <c r="Z284" s="69"/>
      <c r="AA284" s="69"/>
      <c r="AB284" s="49"/>
    </row>
    <row r="285" spans="1:28" ht="15.6" customHeight="1" x14ac:dyDescent="0.2">
      <c r="A285" s="212">
        <v>283</v>
      </c>
      <c r="B285" s="159" t="str">
        <f t="shared" si="4"/>
        <v>Dipogon lignosus</v>
      </c>
      <c r="C285" s="160" t="s">
        <v>1061</v>
      </c>
      <c r="D285" s="72"/>
      <c r="E285" s="72" t="s">
        <v>1076</v>
      </c>
      <c r="F285" s="72" t="s">
        <v>1077</v>
      </c>
      <c r="G285" s="289" t="s">
        <v>1167</v>
      </c>
      <c r="H285" s="166" t="s">
        <v>3242</v>
      </c>
      <c r="I285" s="142">
        <v>7</v>
      </c>
      <c r="J285" s="143">
        <v>1</v>
      </c>
      <c r="K285" s="143">
        <v>0</v>
      </c>
      <c r="L285" s="143">
        <v>2</v>
      </c>
      <c r="M285" s="143">
        <v>1</v>
      </c>
      <c r="N285" s="201">
        <v>3</v>
      </c>
      <c r="O285" s="294" t="s">
        <v>2169</v>
      </c>
      <c r="P285" s="325" t="s">
        <v>3032</v>
      </c>
      <c r="Q285" s="298"/>
      <c r="R285" s="209">
        <v>35612</v>
      </c>
      <c r="S285" s="301"/>
      <c r="T285" s="81">
        <v>1</v>
      </c>
      <c r="U285" s="78">
        <v>1</v>
      </c>
      <c r="V285" s="69"/>
      <c r="W285" s="69"/>
      <c r="X285" s="69"/>
      <c r="Y285" s="69"/>
      <c r="Z285" s="69"/>
      <c r="AA285" s="69"/>
      <c r="AB285" s="49"/>
    </row>
    <row r="286" spans="1:28" ht="15.6" customHeight="1" x14ac:dyDescent="0.2">
      <c r="A286" s="212">
        <v>284</v>
      </c>
      <c r="B286" s="159" t="str">
        <f t="shared" si="4"/>
        <v>Indigofera angustifolia</v>
      </c>
      <c r="C286" s="160" t="s">
        <v>1061</v>
      </c>
      <c r="D286" s="72" t="s">
        <v>45</v>
      </c>
      <c r="E286" s="72" t="s">
        <v>1078</v>
      </c>
      <c r="F286" s="72" t="s">
        <v>1079</v>
      </c>
      <c r="G286" s="289" t="s">
        <v>1168</v>
      </c>
      <c r="H286" s="166" t="s">
        <v>3215</v>
      </c>
      <c r="I286" s="142">
        <v>2</v>
      </c>
      <c r="J286" s="143">
        <v>6</v>
      </c>
      <c r="K286" s="143">
        <v>2</v>
      </c>
      <c r="L286" s="143">
        <v>3</v>
      </c>
      <c r="M286" s="143">
        <v>2</v>
      </c>
      <c r="N286" s="201">
        <v>5</v>
      </c>
      <c r="O286" s="294" t="s">
        <v>3031</v>
      </c>
      <c r="P286" s="325" t="s">
        <v>3032</v>
      </c>
      <c r="Q286" s="298"/>
      <c r="R286" s="209">
        <v>35612</v>
      </c>
      <c r="S286" s="301"/>
      <c r="T286" s="81">
        <v>1</v>
      </c>
      <c r="U286" s="78"/>
      <c r="V286" s="69">
        <v>1</v>
      </c>
      <c r="W286" s="69">
        <v>1</v>
      </c>
      <c r="X286" s="69">
        <v>1</v>
      </c>
      <c r="Y286" s="69"/>
      <c r="Z286" s="69"/>
      <c r="AA286" s="69"/>
      <c r="AB286" s="49"/>
    </row>
    <row r="287" spans="1:28" ht="15.6" customHeight="1" x14ac:dyDescent="0.2">
      <c r="A287" s="212">
        <v>285</v>
      </c>
      <c r="B287" s="159" t="str">
        <f t="shared" si="4"/>
        <v>Indigofera brachystachya</v>
      </c>
      <c r="C287" s="160" t="s">
        <v>1061</v>
      </c>
      <c r="D287" s="72" t="s">
        <v>46</v>
      </c>
      <c r="E287" s="72" t="s">
        <v>1078</v>
      </c>
      <c r="F287" s="72" t="s">
        <v>1080</v>
      </c>
      <c r="G287" s="289" t="s">
        <v>1169</v>
      </c>
      <c r="H287" s="166" t="s">
        <v>3249</v>
      </c>
      <c r="I287" s="142">
        <v>2</v>
      </c>
      <c r="J287" s="143">
        <v>4</v>
      </c>
      <c r="K287" s="143">
        <v>2</v>
      </c>
      <c r="L287" s="143">
        <v>3</v>
      </c>
      <c r="M287" s="143">
        <v>2</v>
      </c>
      <c r="N287" s="201">
        <v>4</v>
      </c>
      <c r="O287" s="294" t="s">
        <v>2168</v>
      </c>
      <c r="P287" s="325" t="s">
        <v>3032</v>
      </c>
      <c r="Q287" s="298"/>
      <c r="R287" s="209">
        <v>35612</v>
      </c>
      <c r="S287" s="301"/>
      <c r="T287" s="81">
        <v>1</v>
      </c>
      <c r="U287" s="78">
        <v>1</v>
      </c>
      <c r="V287" s="69">
        <v>1</v>
      </c>
      <c r="W287" s="69">
        <v>1</v>
      </c>
      <c r="X287" s="69">
        <v>1</v>
      </c>
      <c r="Y287" s="69"/>
      <c r="Z287" s="69"/>
      <c r="AA287" s="69"/>
      <c r="AB287" s="49"/>
    </row>
    <row r="288" spans="1:28" ht="15.6" customHeight="1" x14ac:dyDescent="0.2">
      <c r="A288" s="212">
        <v>286</v>
      </c>
      <c r="B288" s="159" t="str">
        <f t="shared" si="4"/>
        <v>Indigofera capillaris</v>
      </c>
      <c r="C288" s="160" t="s">
        <v>1061</v>
      </c>
      <c r="D288" s="72"/>
      <c r="E288" s="72" t="s">
        <v>1078</v>
      </c>
      <c r="F288" s="72" t="s">
        <v>749</v>
      </c>
      <c r="G288" s="289" t="s">
        <v>1170</v>
      </c>
      <c r="H288" s="166" t="s">
        <v>3215</v>
      </c>
      <c r="I288" s="142">
        <v>2</v>
      </c>
      <c r="J288" s="143">
        <v>6</v>
      </c>
      <c r="K288" s="143">
        <v>2</v>
      </c>
      <c r="L288" s="143">
        <v>3</v>
      </c>
      <c r="M288" s="143">
        <v>2</v>
      </c>
      <c r="N288" s="201">
        <v>5</v>
      </c>
      <c r="O288" s="294" t="s">
        <v>3031</v>
      </c>
      <c r="P288" s="325" t="s">
        <v>3032</v>
      </c>
      <c r="Q288" s="298"/>
      <c r="R288" s="209">
        <v>36434</v>
      </c>
      <c r="S288" s="301"/>
      <c r="T288" s="81">
        <v>1</v>
      </c>
      <c r="U288" s="78"/>
      <c r="V288" s="69"/>
      <c r="W288" s="69"/>
      <c r="X288" s="69">
        <v>1</v>
      </c>
      <c r="Y288" s="69"/>
      <c r="Z288" s="69"/>
      <c r="AA288" s="69"/>
      <c r="AB288" s="49"/>
    </row>
    <row r="289" spans="1:28" ht="15.6" customHeight="1" x14ac:dyDescent="0.2">
      <c r="A289" s="212">
        <v>287</v>
      </c>
      <c r="B289" s="159" t="str">
        <f t="shared" si="4"/>
        <v>Indigofera nigromontana</v>
      </c>
      <c r="C289" s="160" t="s">
        <v>1061</v>
      </c>
      <c r="D289" s="72"/>
      <c r="E289" s="72" t="s">
        <v>1078</v>
      </c>
      <c r="F289" s="72" t="s">
        <v>1081</v>
      </c>
      <c r="G289" s="289" t="s">
        <v>1171</v>
      </c>
      <c r="H289" s="166" t="s">
        <v>3288</v>
      </c>
      <c r="I289" s="142">
        <v>2</v>
      </c>
      <c r="J289" s="143">
        <v>4</v>
      </c>
      <c r="K289" s="143">
        <v>2</v>
      </c>
      <c r="L289" s="143">
        <v>2</v>
      </c>
      <c r="M289" s="143">
        <v>2</v>
      </c>
      <c r="N289" s="201">
        <v>4</v>
      </c>
      <c r="O289" s="294" t="s">
        <v>2168</v>
      </c>
      <c r="P289" s="325" t="s">
        <v>3032</v>
      </c>
      <c r="Q289" s="298"/>
      <c r="R289" s="209">
        <v>36161</v>
      </c>
      <c r="S289" s="301"/>
      <c r="T289" s="81">
        <v>1</v>
      </c>
      <c r="U289" s="78"/>
      <c r="V289" s="69"/>
      <c r="W289" s="69"/>
      <c r="X289" s="69">
        <v>1</v>
      </c>
      <c r="Y289" s="69"/>
      <c r="Z289" s="69"/>
      <c r="AA289" s="69"/>
      <c r="AB289" s="49"/>
    </row>
    <row r="290" spans="1:28" ht="15.6" customHeight="1" x14ac:dyDescent="0.2">
      <c r="A290" s="212">
        <v>288</v>
      </c>
      <c r="B290" s="159" t="str">
        <f t="shared" si="4"/>
        <v>Indigofera porrecta</v>
      </c>
      <c r="C290" s="160" t="s">
        <v>1061</v>
      </c>
      <c r="D290" s="72"/>
      <c r="E290" s="72" t="s">
        <v>1078</v>
      </c>
      <c r="F290" s="72" t="s">
        <v>1082</v>
      </c>
      <c r="G290" s="289" t="s">
        <v>1172</v>
      </c>
      <c r="H290" s="166" t="s">
        <v>3287</v>
      </c>
      <c r="I290" s="142">
        <v>2</v>
      </c>
      <c r="J290" s="143">
        <v>5</v>
      </c>
      <c r="K290" s="143">
        <v>2</v>
      </c>
      <c r="L290" s="143">
        <v>2</v>
      </c>
      <c r="M290" s="143">
        <v>2</v>
      </c>
      <c r="N290" s="201">
        <v>4</v>
      </c>
      <c r="O290" s="294" t="s">
        <v>2914</v>
      </c>
      <c r="P290" s="325" t="s">
        <v>3032</v>
      </c>
      <c r="Q290" s="298"/>
      <c r="R290" s="209">
        <v>35886</v>
      </c>
      <c r="S290" s="301"/>
      <c r="T290" s="81">
        <v>1</v>
      </c>
      <c r="U290" s="78">
        <v>1</v>
      </c>
      <c r="V290" s="69"/>
      <c r="W290" s="69"/>
      <c r="X290" s="69"/>
      <c r="Y290" s="69"/>
      <c r="Z290" s="69"/>
      <c r="AA290" s="69"/>
      <c r="AB290" s="49"/>
    </row>
    <row r="291" spans="1:28" ht="15.6" customHeight="1" x14ac:dyDescent="0.2">
      <c r="A291" s="212">
        <v>289</v>
      </c>
      <c r="B291" s="159" t="str">
        <f t="shared" si="4"/>
        <v>Lessertia capensis</v>
      </c>
      <c r="C291" s="160" t="s">
        <v>1061</v>
      </c>
      <c r="D291" s="72" t="s">
        <v>47</v>
      </c>
      <c r="E291" s="72" t="s">
        <v>2818</v>
      </c>
      <c r="F291" s="72" t="s">
        <v>2756</v>
      </c>
      <c r="G291" s="289" t="s">
        <v>1173</v>
      </c>
      <c r="H291" s="166" t="s">
        <v>3262</v>
      </c>
      <c r="I291" s="142">
        <v>2</v>
      </c>
      <c r="J291" s="143">
        <v>6</v>
      </c>
      <c r="K291" s="143">
        <v>3</v>
      </c>
      <c r="L291" s="143">
        <v>1</v>
      </c>
      <c r="M291" s="143">
        <v>1</v>
      </c>
      <c r="N291" s="201">
        <v>4</v>
      </c>
      <c r="O291" s="294" t="s">
        <v>3031</v>
      </c>
      <c r="P291" s="325" t="s">
        <v>3032</v>
      </c>
      <c r="Q291" s="298"/>
      <c r="R291" s="209">
        <v>37500</v>
      </c>
      <c r="S291" s="301"/>
      <c r="T291" s="81">
        <v>1</v>
      </c>
      <c r="U291" s="78"/>
      <c r="V291" s="69"/>
      <c r="W291" s="69"/>
      <c r="X291" s="69">
        <v>1</v>
      </c>
      <c r="Y291" s="69"/>
      <c r="Z291" s="69"/>
      <c r="AA291" s="69"/>
      <c r="AB291" s="49"/>
    </row>
    <row r="292" spans="1:28" ht="15.6" customHeight="1" x14ac:dyDescent="0.2">
      <c r="A292" s="212">
        <v>290</v>
      </c>
      <c r="B292" s="159" t="str">
        <f t="shared" si="4"/>
        <v>Lessertia frutescens</v>
      </c>
      <c r="C292" s="160" t="s">
        <v>1061</v>
      </c>
      <c r="D292" s="72" t="s">
        <v>48</v>
      </c>
      <c r="E292" s="72" t="s">
        <v>2818</v>
      </c>
      <c r="F292" s="72" t="s">
        <v>763</v>
      </c>
      <c r="G292" s="289" t="s">
        <v>1174</v>
      </c>
      <c r="H292" s="166" t="s">
        <v>3263</v>
      </c>
      <c r="I292" s="142">
        <v>2</v>
      </c>
      <c r="J292" s="143">
        <v>5</v>
      </c>
      <c r="K292" s="143">
        <v>3</v>
      </c>
      <c r="L292" s="143">
        <v>2</v>
      </c>
      <c r="M292" s="143">
        <v>1</v>
      </c>
      <c r="N292" s="201">
        <v>4</v>
      </c>
      <c r="O292" s="294" t="s">
        <v>2168</v>
      </c>
      <c r="P292" s="325" t="s">
        <v>3032</v>
      </c>
      <c r="Q292" s="298"/>
      <c r="R292" s="209">
        <v>36465</v>
      </c>
      <c r="S292" s="301"/>
      <c r="T292" s="81">
        <v>1</v>
      </c>
      <c r="U292" s="78">
        <v>1</v>
      </c>
      <c r="V292" s="69"/>
      <c r="W292" s="69"/>
      <c r="X292" s="69"/>
      <c r="Y292" s="69"/>
      <c r="Z292" s="69"/>
      <c r="AA292" s="69"/>
      <c r="AB292" s="49"/>
    </row>
    <row r="293" spans="1:28" ht="15.6" customHeight="1" x14ac:dyDescent="0.2">
      <c r="A293" s="212">
        <v>291</v>
      </c>
      <c r="B293" s="159" t="str">
        <f t="shared" si="4"/>
        <v>Liparia splendens</v>
      </c>
      <c r="C293" s="160" t="s">
        <v>1061</v>
      </c>
      <c r="D293" s="72" t="s">
        <v>49</v>
      </c>
      <c r="E293" s="72" t="s">
        <v>2819</v>
      </c>
      <c r="F293" s="72" t="s">
        <v>2820</v>
      </c>
      <c r="G293" s="289" t="s">
        <v>1175</v>
      </c>
      <c r="H293" s="166" t="s">
        <v>3232</v>
      </c>
      <c r="I293" s="142">
        <v>2</v>
      </c>
      <c r="J293" s="143">
        <v>5</v>
      </c>
      <c r="K293" s="143">
        <v>2</v>
      </c>
      <c r="L293" s="143">
        <v>2</v>
      </c>
      <c r="M293" s="143">
        <v>2</v>
      </c>
      <c r="N293" s="201">
        <v>3</v>
      </c>
      <c r="O293" s="294" t="s">
        <v>2168</v>
      </c>
      <c r="P293" s="325" t="s">
        <v>3032</v>
      </c>
      <c r="Q293" s="298" t="s">
        <v>2703</v>
      </c>
      <c r="R293" s="209">
        <v>35612</v>
      </c>
      <c r="S293" s="301"/>
      <c r="T293" s="81">
        <v>1</v>
      </c>
      <c r="U293" s="78"/>
      <c r="V293" s="69"/>
      <c r="W293" s="69"/>
      <c r="X293" s="69">
        <v>1</v>
      </c>
      <c r="Y293" s="69"/>
      <c r="Z293" s="69"/>
      <c r="AA293" s="69"/>
      <c r="AB293" s="49"/>
    </row>
    <row r="294" spans="1:28" ht="15.6" customHeight="1" x14ac:dyDescent="0.2">
      <c r="A294" s="212">
        <v>292</v>
      </c>
      <c r="B294" s="159" t="str">
        <f t="shared" si="4"/>
        <v>Lotononis umbellata</v>
      </c>
      <c r="C294" s="160" t="s">
        <v>1061</v>
      </c>
      <c r="D294" s="72"/>
      <c r="E294" s="72" t="s">
        <v>2821</v>
      </c>
      <c r="F294" s="72" t="s">
        <v>2822</v>
      </c>
      <c r="G294" s="289" t="s">
        <v>1176</v>
      </c>
      <c r="H294" s="166" t="s">
        <v>3265</v>
      </c>
      <c r="I294" s="142">
        <v>2</v>
      </c>
      <c r="J294" s="143">
        <v>6</v>
      </c>
      <c r="K294" s="143">
        <v>9</v>
      </c>
      <c r="L294" s="143">
        <v>9</v>
      </c>
      <c r="M294" s="143">
        <v>9</v>
      </c>
      <c r="N294" s="201">
        <v>9</v>
      </c>
      <c r="O294" s="294" t="s">
        <v>3031</v>
      </c>
      <c r="P294" s="325" t="s">
        <v>3032</v>
      </c>
      <c r="Q294" s="298"/>
      <c r="R294" s="209">
        <v>35612</v>
      </c>
      <c r="S294" s="301" t="s">
        <v>2250</v>
      </c>
      <c r="T294" s="81"/>
      <c r="U294" s="78"/>
      <c r="V294" s="69"/>
      <c r="W294" s="69"/>
      <c r="X294" s="69">
        <v>1</v>
      </c>
      <c r="Y294" s="69"/>
      <c r="Z294" s="69"/>
      <c r="AA294" s="69"/>
      <c r="AB294" s="49"/>
    </row>
    <row r="295" spans="1:28" ht="15.6" customHeight="1" x14ac:dyDescent="0.2">
      <c r="A295" s="212">
        <v>293</v>
      </c>
      <c r="B295" s="159" t="str">
        <f t="shared" si="4"/>
        <v>Otholobium bracteolatum</v>
      </c>
      <c r="C295" s="160" t="s">
        <v>1061</v>
      </c>
      <c r="D295" s="72" t="s">
        <v>50</v>
      </c>
      <c r="E295" s="72" t="s">
        <v>2823</v>
      </c>
      <c r="F295" s="72" t="s">
        <v>2824</v>
      </c>
      <c r="G295" s="289" t="s">
        <v>1177</v>
      </c>
      <c r="H295" s="166" t="s">
        <v>3288</v>
      </c>
      <c r="I295" s="142">
        <v>2</v>
      </c>
      <c r="J295" s="143">
        <v>4</v>
      </c>
      <c r="K295" s="143">
        <v>2</v>
      </c>
      <c r="L295" s="143">
        <v>1</v>
      </c>
      <c r="M295" s="143">
        <v>2</v>
      </c>
      <c r="N295" s="201">
        <v>4</v>
      </c>
      <c r="O295" s="294" t="s">
        <v>2168</v>
      </c>
      <c r="P295" s="325" t="s">
        <v>3032</v>
      </c>
      <c r="Q295" s="298"/>
      <c r="R295" s="209">
        <v>35612</v>
      </c>
      <c r="S295" s="301"/>
      <c r="T295" s="81">
        <v>1</v>
      </c>
      <c r="U295" s="78">
        <v>1</v>
      </c>
      <c r="V295" s="69">
        <v>1</v>
      </c>
      <c r="W295" s="69">
        <v>1</v>
      </c>
      <c r="X295" s="69">
        <v>1</v>
      </c>
      <c r="Y295" s="69"/>
      <c r="Z295" s="69"/>
      <c r="AA295" s="69"/>
      <c r="AB295" s="49">
        <v>1</v>
      </c>
    </row>
    <row r="296" spans="1:28" ht="15.6" customHeight="1" x14ac:dyDescent="0.2">
      <c r="A296" s="212">
        <v>294</v>
      </c>
      <c r="B296" s="159" t="str">
        <f t="shared" si="4"/>
        <v>Otholobium virgatum</v>
      </c>
      <c r="C296" s="160" t="s">
        <v>1061</v>
      </c>
      <c r="D296" s="72"/>
      <c r="E296" s="72" t="s">
        <v>2823</v>
      </c>
      <c r="F296" s="72" t="s">
        <v>1544</v>
      </c>
      <c r="G296" s="289" t="s">
        <v>1181</v>
      </c>
      <c r="H296" s="166" t="s">
        <v>3215</v>
      </c>
      <c r="I296" s="142">
        <v>2</v>
      </c>
      <c r="J296" s="143">
        <v>6</v>
      </c>
      <c r="K296" s="143">
        <v>2</v>
      </c>
      <c r="L296" s="143">
        <v>1</v>
      </c>
      <c r="M296" s="143">
        <v>2</v>
      </c>
      <c r="N296" s="201">
        <v>5</v>
      </c>
      <c r="O296" s="294" t="s">
        <v>3031</v>
      </c>
      <c r="P296" s="325" t="s">
        <v>3032</v>
      </c>
      <c r="Q296" s="298"/>
      <c r="R296" s="209">
        <v>36831</v>
      </c>
      <c r="S296" s="301"/>
      <c r="T296" s="81"/>
      <c r="U296" s="78"/>
      <c r="V296" s="69"/>
      <c r="W296" s="69"/>
      <c r="X296" s="69">
        <v>1</v>
      </c>
      <c r="Y296" s="69"/>
      <c r="Z296" s="69"/>
      <c r="AA296" s="69"/>
      <c r="AB296" s="49"/>
    </row>
    <row r="297" spans="1:28" ht="15.6" customHeight="1" x14ac:dyDescent="0.2">
      <c r="A297" s="212">
        <v>295</v>
      </c>
      <c r="B297" s="159" t="str">
        <f t="shared" si="4"/>
        <v>Podalyria myrtillifolia</v>
      </c>
      <c r="C297" s="160" t="s">
        <v>1061</v>
      </c>
      <c r="D297" s="72" t="s">
        <v>51</v>
      </c>
      <c r="E297" s="72" t="s">
        <v>2825</v>
      </c>
      <c r="F297" s="72" t="s">
        <v>2920</v>
      </c>
      <c r="G297" s="289" t="s">
        <v>1178</v>
      </c>
      <c r="H297" s="166" t="s">
        <v>1872</v>
      </c>
      <c r="I297" s="142">
        <v>9</v>
      </c>
      <c r="J297" s="143">
        <v>9</v>
      </c>
      <c r="K297" s="143">
        <v>2</v>
      </c>
      <c r="L297" s="143">
        <v>2</v>
      </c>
      <c r="M297" s="143">
        <v>2</v>
      </c>
      <c r="N297" s="201">
        <v>3</v>
      </c>
      <c r="O297" s="294" t="s">
        <v>2914</v>
      </c>
      <c r="P297" s="325" t="s">
        <v>3032</v>
      </c>
      <c r="Q297" s="298"/>
      <c r="R297" s="209">
        <v>35612</v>
      </c>
      <c r="S297" s="301"/>
      <c r="T297" s="81">
        <v>1</v>
      </c>
      <c r="U297" s="78"/>
      <c r="V297" s="69"/>
      <c r="W297" s="69"/>
      <c r="X297" s="69">
        <v>1</v>
      </c>
      <c r="Y297" s="69"/>
      <c r="Z297" s="69"/>
      <c r="AA297" s="69"/>
      <c r="AB297" s="49"/>
    </row>
    <row r="298" spans="1:28" ht="15.6" customHeight="1" x14ac:dyDescent="0.2">
      <c r="A298" s="212">
        <v>296</v>
      </c>
      <c r="B298" s="159" t="str">
        <f t="shared" si="4"/>
        <v>Psoralea aphylla</v>
      </c>
      <c r="C298" s="160" t="s">
        <v>1061</v>
      </c>
      <c r="D298" s="72" t="s">
        <v>52</v>
      </c>
      <c r="E298" s="72" t="s">
        <v>1541</v>
      </c>
      <c r="F298" s="72" t="s">
        <v>1542</v>
      </c>
      <c r="G298" s="289" t="s">
        <v>1179</v>
      </c>
      <c r="H298" s="166" t="s">
        <v>3266</v>
      </c>
      <c r="I298" s="142">
        <v>2</v>
      </c>
      <c r="J298" s="143">
        <v>3</v>
      </c>
      <c r="K298" s="143">
        <v>3</v>
      </c>
      <c r="L298" s="143">
        <v>3</v>
      </c>
      <c r="M298" s="143">
        <v>1</v>
      </c>
      <c r="N298" s="201">
        <v>4</v>
      </c>
      <c r="O298" s="294" t="s">
        <v>2168</v>
      </c>
      <c r="P298" s="325" t="s">
        <v>3032</v>
      </c>
      <c r="Q298" s="298" t="s">
        <v>3145</v>
      </c>
      <c r="R298" s="209">
        <v>35612</v>
      </c>
      <c r="S298" s="301"/>
      <c r="T298" s="81">
        <v>1</v>
      </c>
      <c r="U298" s="78"/>
      <c r="V298" s="69"/>
      <c r="W298" s="69"/>
      <c r="X298" s="69">
        <v>1</v>
      </c>
      <c r="Y298" s="69"/>
      <c r="Z298" s="69"/>
      <c r="AA298" s="69"/>
      <c r="AB298" s="49"/>
    </row>
    <row r="299" spans="1:28" ht="15.6" customHeight="1" x14ac:dyDescent="0.2">
      <c r="A299" s="212">
        <v>297</v>
      </c>
      <c r="B299" s="159" t="str">
        <f t="shared" si="4"/>
        <v>Psoralea arborea</v>
      </c>
      <c r="C299" s="160" t="s">
        <v>1061</v>
      </c>
      <c r="D299" s="72" t="s">
        <v>2357</v>
      </c>
      <c r="E299" s="72" t="s">
        <v>1541</v>
      </c>
      <c r="F299" s="72" t="s">
        <v>1543</v>
      </c>
      <c r="G299" s="289" t="s">
        <v>1180</v>
      </c>
      <c r="H299" s="166" t="s">
        <v>3228</v>
      </c>
      <c r="I299" s="142">
        <v>2</v>
      </c>
      <c r="J299" s="143">
        <v>5</v>
      </c>
      <c r="K299" s="143">
        <v>2</v>
      </c>
      <c r="L299" s="143">
        <v>3</v>
      </c>
      <c r="M299" s="143">
        <v>2</v>
      </c>
      <c r="N299" s="201">
        <v>3</v>
      </c>
      <c r="O299" s="294" t="s">
        <v>2914</v>
      </c>
      <c r="P299" s="325" t="s">
        <v>3032</v>
      </c>
      <c r="Q299" s="298" t="s">
        <v>3148</v>
      </c>
      <c r="R299" s="209">
        <v>35612</v>
      </c>
      <c r="S299" s="301"/>
      <c r="T299" s="81">
        <v>1</v>
      </c>
      <c r="U299" s="78"/>
      <c r="V299" s="69"/>
      <c r="W299" s="69"/>
      <c r="X299" s="69"/>
      <c r="Y299" s="69"/>
      <c r="Z299" s="69"/>
      <c r="AA299" s="69">
        <v>1</v>
      </c>
      <c r="AB299" s="49"/>
    </row>
    <row r="300" spans="1:28" ht="15.6" customHeight="1" x14ac:dyDescent="0.2">
      <c r="A300" s="212">
        <v>298</v>
      </c>
      <c r="B300" s="159" t="str">
        <f t="shared" si="4"/>
        <v>Psoralea restioides</v>
      </c>
      <c r="C300" s="160" t="s">
        <v>1061</v>
      </c>
      <c r="D300" s="72"/>
      <c r="E300" s="72" t="s">
        <v>1541</v>
      </c>
      <c r="F300" s="72" t="s">
        <v>1545</v>
      </c>
      <c r="G300" s="289" t="s">
        <v>1182</v>
      </c>
      <c r="H300" s="166" t="s">
        <v>3265</v>
      </c>
      <c r="I300" s="142">
        <v>2</v>
      </c>
      <c r="J300" s="143">
        <v>6</v>
      </c>
      <c r="K300" s="143">
        <v>9</v>
      </c>
      <c r="L300" s="143">
        <v>9</v>
      </c>
      <c r="M300" s="143">
        <v>9</v>
      </c>
      <c r="N300" s="201">
        <v>9</v>
      </c>
      <c r="O300" s="294" t="s">
        <v>3031</v>
      </c>
      <c r="P300" s="325" t="s">
        <v>3032</v>
      </c>
      <c r="Q300" s="298" t="s">
        <v>3145</v>
      </c>
      <c r="R300" s="209">
        <v>36161</v>
      </c>
      <c r="S300" s="301"/>
      <c r="T300" s="81">
        <v>1</v>
      </c>
      <c r="U300" s="80"/>
      <c r="V300" s="69"/>
      <c r="W300" s="69"/>
      <c r="X300" s="69"/>
      <c r="Y300" s="69"/>
      <c r="Z300" s="69"/>
      <c r="AA300" s="69"/>
      <c r="AB300" s="49"/>
    </row>
    <row r="301" spans="1:28" ht="15.6" customHeight="1" x14ac:dyDescent="0.2">
      <c r="A301" s="212">
        <v>299</v>
      </c>
      <c r="B301" s="159" t="str">
        <f t="shared" si="4"/>
        <v>Rafnia triflora</v>
      </c>
      <c r="C301" s="160" t="s">
        <v>1061</v>
      </c>
      <c r="D301" s="72" t="s">
        <v>2358</v>
      </c>
      <c r="E301" s="72" t="s">
        <v>1546</v>
      </c>
      <c r="F301" s="72" t="s">
        <v>1547</v>
      </c>
      <c r="G301" s="289" t="s">
        <v>1183</v>
      </c>
      <c r="H301" s="166" t="s">
        <v>3289</v>
      </c>
      <c r="I301" s="142">
        <v>2</v>
      </c>
      <c r="J301" s="143">
        <v>4</v>
      </c>
      <c r="K301" s="143">
        <v>2</v>
      </c>
      <c r="L301" s="143">
        <v>3</v>
      </c>
      <c r="M301" s="143">
        <v>1</v>
      </c>
      <c r="N301" s="201">
        <v>3</v>
      </c>
      <c r="O301" s="294" t="s">
        <v>2914</v>
      </c>
      <c r="P301" s="325" t="s">
        <v>3032</v>
      </c>
      <c r="Q301" s="298"/>
      <c r="R301" s="209">
        <v>35796</v>
      </c>
      <c r="S301" s="301"/>
      <c r="T301" s="81">
        <v>1</v>
      </c>
      <c r="U301" s="78"/>
      <c r="V301" s="69"/>
      <c r="W301" s="69"/>
      <c r="X301" s="69">
        <v>1</v>
      </c>
      <c r="Y301" s="69"/>
      <c r="Z301" s="69"/>
      <c r="AA301" s="69"/>
      <c r="AB301" s="49"/>
    </row>
    <row r="302" spans="1:28" ht="15.6" customHeight="1" x14ac:dyDescent="0.2">
      <c r="A302" s="212">
        <v>300</v>
      </c>
      <c r="B302" s="159" t="str">
        <f t="shared" si="4"/>
        <v>Rhynchosia capensis</v>
      </c>
      <c r="C302" s="160" t="s">
        <v>1061</v>
      </c>
      <c r="D302" s="72"/>
      <c r="E302" s="72" t="s">
        <v>1548</v>
      </c>
      <c r="F302" s="72" t="s">
        <v>2756</v>
      </c>
      <c r="G302" s="289" t="s">
        <v>1184</v>
      </c>
      <c r="H302" s="166" t="s">
        <v>3262</v>
      </c>
      <c r="I302" s="142">
        <v>2</v>
      </c>
      <c r="J302" s="143">
        <v>6</v>
      </c>
      <c r="K302" s="143">
        <v>3</v>
      </c>
      <c r="L302" s="143">
        <v>2</v>
      </c>
      <c r="M302" s="143">
        <v>1</v>
      </c>
      <c r="N302" s="201">
        <v>4</v>
      </c>
      <c r="O302" s="294" t="s">
        <v>3031</v>
      </c>
      <c r="P302" s="325" t="s">
        <v>3032</v>
      </c>
      <c r="Q302" s="298"/>
      <c r="R302" s="209">
        <v>36861</v>
      </c>
      <c r="S302" s="301"/>
      <c r="T302" s="81">
        <v>1</v>
      </c>
      <c r="U302" s="78"/>
      <c r="V302" s="69"/>
      <c r="W302" s="69"/>
      <c r="X302" s="69">
        <v>1</v>
      </c>
      <c r="Y302" s="69"/>
      <c r="Z302" s="69"/>
      <c r="AA302" s="69"/>
      <c r="AB302" s="49"/>
    </row>
    <row r="303" spans="1:28" ht="15.6" customHeight="1" x14ac:dyDescent="0.2">
      <c r="A303" s="212">
        <v>301</v>
      </c>
      <c r="B303" s="159" t="str">
        <f t="shared" si="4"/>
        <v>Tephrosia capensis</v>
      </c>
      <c r="C303" s="160" t="s">
        <v>1061</v>
      </c>
      <c r="D303" s="72"/>
      <c r="E303" s="72" t="s">
        <v>1549</v>
      </c>
      <c r="F303" s="72" t="s">
        <v>2756</v>
      </c>
      <c r="G303" s="289" t="s">
        <v>1185</v>
      </c>
      <c r="H303" s="166" t="s">
        <v>3262</v>
      </c>
      <c r="I303" s="142">
        <v>2</v>
      </c>
      <c r="J303" s="143">
        <v>6</v>
      </c>
      <c r="K303" s="143">
        <v>3</v>
      </c>
      <c r="L303" s="143">
        <v>2</v>
      </c>
      <c r="M303" s="143">
        <v>1</v>
      </c>
      <c r="N303" s="201">
        <v>4</v>
      </c>
      <c r="O303" s="294" t="s">
        <v>3031</v>
      </c>
      <c r="P303" s="325" t="s">
        <v>3032</v>
      </c>
      <c r="Q303" s="298"/>
      <c r="R303" s="209">
        <v>37530</v>
      </c>
      <c r="S303" s="301"/>
      <c r="T303" s="81">
        <v>1</v>
      </c>
      <c r="U303" s="78"/>
      <c r="V303" s="69"/>
      <c r="W303" s="69">
        <v>1</v>
      </c>
      <c r="X303" s="69">
        <v>1</v>
      </c>
      <c r="Y303" s="69"/>
      <c r="Z303" s="69"/>
      <c r="AA303" s="69"/>
      <c r="AB303" s="49"/>
    </row>
    <row r="304" spans="1:28" ht="15.6" customHeight="1" x14ac:dyDescent="0.2">
      <c r="A304" s="212">
        <v>302</v>
      </c>
      <c r="B304" s="159" t="str">
        <f t="shared" si="4"/>
        <v>Cysticapnos vesicaria</v>
      </c>
      <c r="C304" s="160" t="s">
        <v>1550</v>
      </c>
      <c r="D304" s="72"/>
      <c r="E304" s="72" t="s">
        <v>1551</v>
      </c>
      <c r="F304" s="72" t="s">
        <v>1552</v>
      </c>
      <c r="G304" s="289" t="s">
        <v>1186</v>
      </c>
      <c r="H304" s="166" t="s">
        <v>3290</v>
      </c>
      <c r="I304" s="142">
        <v>6</v>
      </c>
      <c r="J304" s="143">
        <v>5</v>
      </c>
      <c r="K304" s="143">
        <v>4</v>
      </c>
      <c r="L304" s="143">
        <v>5</v>
      </c>
      <c r="M304" s="143">
        <v>1</v>
      </c>
      <c r="N304" s="201">
        <v>4</v>
      </c>
      <c r="O304" s="294" t="s">
        <v>2910</v>
      </c>
      <c r="P304" s="325" t="s">
        <v>2915</v>
      </c>
      <c r="Q304" s="298"/>
      <c r="R304" s="209">
        <v>36861</v>
      </c>
      <c r="S304" s="301"/>
      <c r="T304" s="81">
        <v>1</v>
      </c>
      <c r="U304" s="78">
        <v>1</v>
      </c>
      <c r="V304" s="69"/>
      <c r="W304" s="69"/>
      <c r="X304" s="69"/>
      <c r="Y304" s="69"/>
      <c r="Z304" s="69"/>
      <c r="AA304" s="69"/>
      <c r="AB304" s="49"/>
    </row>
    <row r="305" spans="1:28" ht="15.6" customHeight="1" x14ac:dyDescent="0.2">
      <c r="A305" s="212">
        <v>303</v>
      </c>
      <c r="B305" s="159" t="str">
        <f t="shared" si="4"/>
        <v>Chironia baccifera</v>
      </c>
      <c r="C305" s="160" t="s">
        <v>1553</v>
      </c>
      <c r="D305" s="72" t="s">
        <v>2359</v>
      </c>
      <c r="E305" s="72" t="s">
        <v>1554</v>
      </c>
      <c r="F305" s="72" t="s">
        <v>1555</v>
      </c>
      <c r="G305" s="289" t="s">
        <v>1187</v>
      </c>
      <c r="H305" s="166" t="s">
        <v>3263</v>
      </c>
      <c r="I305" s="142">
        <v>2</v>
      </c>
      <c r="J305" s="143">
        <v>5</v>
      </c>
      <c r="K305" s="143">
        <v>3</v>
      </c>
      <c r="L305" s="143">
        <v>1</v>
      </c>
      <c r="M305" s="143">
        <v>1</v>
      </c>
      <c r="N305" s="201">
        <v>4</v>
      </c>
      <c r="O305" s="294" t="s">
        <v>2914</v>
      </c>
      <c r="P305" s="325" t="s">
        <v>3032</v>
      </c>
      <c r="Q305" s="298"/>
      <c r="R305" s="209">
        <v>35612</v>
      </c>
      <c r="S305" s="301"/>
      <c r="T305" s="81">
        <v>1</v>
      </c>
      <c r="U305" s="78">
        <v>1</v>
      </c>
      <c r="V305" s="69">
        <v>1</v>
      </c>
      <c r="W305" s="69">
        <v>1</v>
      </c>
      <c r="X305" s="69">
        <v>1</v>
      </c>
      <c r="Y305" s="69">
        <v>1</v>
      </c>
      <c r="Z305" s="69"/>
      <c r="AA305" s="69"/>
      <c r="AB305" s="49"/>
    </row>
    <row r="306" spans="1:28" ht="15.6" customHeight="1" x14ac:dyDescent="0.2">
      <c r="A306" s="212">
        <v>304</v>
      </c>
      <c r="B306" s="159" t="str">
        <f t="shared" si="4"/>
        <v>Chironia decumbens</v>
      </c>
      <c r="C306" s="160" t="s">
        <v>1553</v>
      </c>
      <c r="D306" s="72"/>
      <c r="E306" s="72" t="s">
        <v>1554</v>
      </c>
      <c r="F306" s="72" t="s">
        <v>1556</v>
      </c>
      <c r="G306" s="289" t="s">
        <v>1188</v>
      </c>
      <c r="H306" s="166" t="s">
        <v>3291</v>
      </c>
      <c r="I306" s="142">
        <v>3</v>
      </c>
      <c r="J306" s="143">
        <v>6</v>
      </c>
      <c r="K306" s="143">
        <v>9</v>
      </c>
      <c r="L306" s="143">
        <v>2</v>
      </c>
      <c r="M306" s="143">
        <v>9</v>
      </c>
      <c r="N306" s="201">
        <v>9</v>
      </c>
      <c r="O306" s="294" t="s">
        <v>2910</v>
      </c>
      <c r="P306" s="325" t="s">
        <v>3032</v>
      </c>
      <c r="Q306" s="298"/>
      <c r="R306" s="209">
        <v>36100</v>
      </c>
      <c r="S306" s="301" t="s">
        <v>2250</v>
      </c>
      <c r="T306" s="81"/>
      <c r="U306" s="78"/>
      <c r="V306" s="69"/>
      <c r="W306" s="69"/>
      <c r="X306" s="69">
        <v>1</v>
      </c>
      <c r="Y306" s="69"/>
      <c r="Z306" s="69"/>
      <c r="AA306" s="69"/>
      <c r="AB306" s="49"/>
    </row>
    <row r="307" spans="1:28" ht="15.6" customHeight="1" x14ac:dyDescent="0.2">
      <c r="A307" s="212">
        <v>305</v>
      </c>
      <c r="B307" s="159" t="str">
        <f t="shared" si="4"/>
        <v>Chironia linoides</v>
      </c>
      <c r="C307" s="160" t="s">
        <v>1553</v>
      </c>
      <c r="D307" s="72"/>
      <c r="E307" s="72" t="s">
        <v>1554</v>
      </c>
      <c r="F307" s="72" t="s">
        <v>1557</v>
      </c>
      <c r="G307" s="289" t="s">
        <v>1189</v>
      </c>
      <c r="H307" s="166" t="s">
        <v>3263</v>
      </c>
      <c r="I307" s="142">
        <v>2</v>
      </c>
      <c r="J307" s="143">
        <v>5</v>
      </c>
      <c r="K307" s="143">
        <v>3</v>
      </c>
      <c r="L307" s="143">
        <v>1</v>
      </c>
      <c r="M307" s="143">
        <v>1</v>
      </c>
      <c r="N307" s="201">
        <v>4</v>
      </c>
      <c r="O307" s="294" t="s">
        <v>2914</v>
      </c>
      <c r="P307" s="325" t="s">
        <v>3032</v>
      </c>
      <c r="Q307" s="298"/>
      <c r="R307" s="209">
        <v>37591</v>
      </c>
      <c r="S307" s="301"/>
      <c r="T307" s="81">
        <v>1</v>
      </c>
      <c r="U307" s="78"/>
      <c r="V307" s="69"/>
      <c r="W307" s="69"/>
      <c r="X307" s="69">
        <v>1</v>
      </c>
      <c r="Y307" s="69"/>
      <c r="Z307" s="69"/>
      <c r="AA307" s="69"/>
      <c r="AB307" s="49"/>
    </row>
    <row r="308" spans="1:28" ht="15.6" customHeight="1" x14ac:dyDescent="0.2">
      <c r="A308" s="212">
        <v>306</v>
      </c>
      <c r="B308" s="159" t="str">
        <f t="shared" si="4"/>
        <v>Chironia stokoei</v>
      </c>
      <c r="C308" s="160" t="s">
        <v>1553</v>
      </c>
      <c r="D308" s="72"/>
      <c r="E308" s="72" t="s">
        <v>1554</v>
      </c>
      <c r="F308" s="72" t="s">
        <v>1558</v>
      </c>
      <c r="G308" s="289" t="s">
        <v>1190</v>
      </c>
      <c r="H308" s="166" t="s">
        <v>3287</v>
      </c>
      <c r="I308" s="142">
        <v>2</v>
      </c>
      <c r="J308" s="143">
        <v>5</v>
      </c>
      <c r="K308" s="143">
        <v>3</v>
      </c>
      <c r="L308" s="143">
        <v>2</v>
      </c>
      <c r="M308" s="143">
        <v>2</v>
      </c>
      <c r="N308" s="201">
        <v>4</v>
      </c>
      <c r="O308" s="294" t="s">
        <v>2914</v>
      </c>
      <c r="P308" s="325" t="s">
        <v>3032</v>
      </c>
      <c r="Q308" s="298"/>
      <c r="R308" s="209">
        <v>36161</v>
      </c>
      <c r="S308" s="301"/>
      <c r="T308" s="81">
        <v>1</v>
      </c>
      <c r="U308" s="78"/>
      <c r="V308" s="69"/>
      <c r="W308" s="69"/>
      <c r="X308" s="69">
        <v>1</v>
      </c>
      <c r="Y308" s="69"/>
      <c r="Z308" s="69"/>
      <c r="AA308" s="69"/>
      <c r="AB308" s="49"/>
    </row>
    <row r="309" spans="1:28" ht="15.6" customHeight="1" x14ac:dyDescent="0.2">
      <c r="A309" s="212">
        <v>307</v>
      </c>
      <c r="B309" s="159" t="str">
        <f t="shared" si="4"/>
        <v>Chironia tetragona</v>
      </c>
      <c r="C309" s="160" t="s">
        <v>1553</v>
      </c>
      <c r="D309" s="72"/>
      <c r="E309" s="72" t="s">
        <v>1554</v>
      </c>
      <c r="F309" s="72" t="s">
        <v>1559</v>
      </c>
      <c r="G309" s="289" t="s">
        <v>1191</v>
      </c>
      <c r="H309" s="166" t="s">
        <v>3231</v>
      </c>
      <c r="I309" s="142">
        <v>6</v>
      </c>
      <c r="J309" s="143">
        <v>5</v>
      </c>
      <c r="K309" s="143">
        <v>3</v>
      </c>
      <c r="L309" s="143">
        <v>2</v>
      </c>
      <c r="M309" s="143">
        <v>1</v>
      </c>
      <c r="N309" s="201">
        <v>4</v>
      </c>
      <c r="O309" s="294" t="s">
        <v>2910</v>
      </c>
      <c r="P309" s="325" t="s">
        <v>2915</v>
      </c>
      <c r="Q309" s="298"/>
      <c r="R309" s="209">
        <v>35612</v>
      </c>
      <c r="S309" s="301"/>
      <c r="T309" s="81">
        <v>1</v>
      </c>
      <c r="U309" s="78"/>
      <c r="V309" s="69">
        <v>1</v>
      </c>
      <c r="W309" s="69"/>
      <c r="X309" s="69">
        <v>1</v>
      </c>
      <c r="Y309" s="69"/>
      <c r="Z309" s="69"/>
      <c r="AA309" s="69"/>
      <c r="AB309" s="49"/>
    </row>
    <row r="310" spans="1:28" ht="15.6" customHeight="1" x14ac:dyDescent="0.2">
      <c r="A310" s="212">
        <v>308</v>
      </c>
      <c r="B310" s="159" t="str">
        <f t="shared" si="4"/>
        <v>Sebaea albens</v>
      </c>
      <c r="C310" s="160" t="s">
        <v>1553</v>
      </c>
      <c r="D310" s="72"/>
      <c r="E310" s="72" t="s">
        <v>1560</v>
      </c>
      <c r="F310" s="72" t="s">
        <v>947</v>
      </c>
      <c r="G310" s="289" t="s">
        <v>1192</v>
      </c>
      <c r="H310" s="166" t="s">
        <v>3256</v>
      </c>
      <c r="I310" s="142">
        <v>6</v>
      </c>
      <c r="J310" s="143">
        <v>6</v>
      </c>
      <c r="K310" s="143">
        <v>3</v>
      </c>
      <c r="L310" s="143">
        <v>1</v>
      </c>
      <c r="M310" s="143">
        <v>1</v>
      </c>
      <c r="N310" s="201">
        <v>4</v>
      </c>
      <c r="O310" s="294" t="s">
        <v>2910</v>
      </c>
      <c r="P310" s="325" t="s">
        <v>2915</v>
      </c>
      <c r="Q310" s="298"/>
      <c r="R310" s="209">
        <v>36770</v>
      </c>
      <c r="S310" s="301"/>
      <c r="T310" s="81">
        <v>1</v>
      </c>
      <c r="U310" s="78">
        <v>1</v>
      </c>
      <c r="V310" s="69"/>
      <c r="W310" s="69"/>
      <c r="X310" s="69"/>
      <c r="Y310" s="69"/>
      <c r="Z310" s="69"/>
      <c r="AA310" s="69"/>
      <c r="AB310" s="49"/>
    </row>
    <row r="311" spans="1:28" ht="15.6" customHeight="1" x14ac:dyDescent="0.2">
      <c r="A311" s="212">
        <v>309</v>
      </c>
      <c r="B311" s="159" t="str">
        <f t="shared" si="4"/>
        <v>Sebaea aurea</v>
      </c>
      <c r="C311" s="160" t="s">
        <v>1553</v>
      </c>
      <c r="D311" s="72"/>
      <c r="E311" s="72" t="s">
        <v>1560</v>
      </c>
      <c r="F311" s="72" t="s">
        <v>1561</v>
      </c>
      <c r="G311" s="289" t="s">
        <v>1193</v>
      </c>
      <c r="H311" s="166" t="s">
        <v>3261</v>
      </c>
      <c r="I311" s="142">
        <v>6</v>
      </c>
      <c r="J311" s="143">
        <v>6</v>
      </c>
      <c r="K311" s="143">
        <v>3</v>
      </c>
      <c r="L311" s="143">
        <v>1</v>
      </c>
      <c r="M311" s="143">
        <v>1</v>
      </c>
      <c r="N311" s="201">
        <v>5</v>
      </c>
      <c r="O311" s="294" t="s">
        <v>2910</v>
      </c>
      <c r="P311" s="325" t="s">
        <v>2915</v>
      </c>
      <c r="Q311" s="298"/>
      <c r="R311" s="209">
        <v>36892</v>
      </c>
      <c r="S311" s="301"/>
      <c r="T311" s="81">
        <v>1</v>
      </c>
      <c r="U311" s="78">
        <v>1</v>
      </c>
      <c r="V311" s="69"/>
      <c r="W311" s="69"/>
      <c r="X311" s="69"/>
      <c r="Y311" s="69"/>
      <c r="Z311" s="69"/>
      <c r="AA311" s="69"/>
      <c r="AB311" s="49"/>
    </row>
    <row r="312" spans="1:28" ht="15.6" customHeight="1" x14ac:dyDescent="0.2">
      <c r="A312" s="212">
        <v>310</v>
      </c>
      <c r="B312" s="159" t="str">
        <f t="shared" si="4"/>
        <v>Sebaea exacoides</v>
      </c>
      <c r="C312" s="160" t="s">
        <v>1553</v>
      </c>
      <c r="D312" s="72" t="s">
        <v>2360</v>
      </c>
      <c r="E312" s="72" t="s">
        <v>1560</v>
      </c>
      <c r="F312" s="72" t="s">
        <v>1562</v>
      </c>
      <c r="G312" s="289" t="s">
        <v>1194</v>
      </c>
      <c r="H312" s="166" t="s">
        <v>3261</v>
      </c>
      <c r="I312" s="142">
        <v>6</v>
      </c>
      <c r="J312" s="143">
        <v>6</v>
      </c>
      <c r="K312" s="143">
        <v>3</v>
      </c>
      <c r="L312" s="143">
        <v>1</v>
      </c>
      <c r="M312" s="143">
        <v>1</v>
      </c>
      <c r="N312" s="201">
        <v>5</v>
      </c>
      <c r="O312" s="294" t="s">
        <v>2910</v>
      </c>
      <c r="P312" s="325" t="s">
        <v>2915</v>
      </c>
      <c r="Q312" s="298"/>
      <c r="R312" s="209">
        <v>35612</v>
      </c>
      <c r="S312" s="301"/>
      <c r="T312" s="81">
        <v>1</v>
      </c>
      <c r="U312" s="78"/>
      <c r="V312" s="69">
        <v>1</v>
      </c>
      <c r="W312" s="69"/>
      <c r="X312" s="69"/>
      <c r="Y312" s="69"/>
      <c r="Z312" s="69"/>
      <c r="AA312" s="69"/>
      <c r="AB312" s="49"/>
    </row>
    <row r="313" spans="1:28" ht="15.6" customHeight="1" x14ac:dyDescent="0.2">
      <c r="A313" s="212">
        <v>311</v>
      </c>
      <c r="B313" s="159" t="str">
        <f t="shared" si="4"/>
        <v>Sebaea minutiflora</v>
      </c>
      <c r="C313" s="160" t="s">
        <v>1553</v>
      </c>
      <c r="D313" s="72"/>
      <c r="E313" s="72" t="s">
        <v>1560</v>
      </c>
      <c r="F313" s="72" t="s">
        <v>1563</v>
      </c>
      <c r="G313" s="289" t="s">
        <v>1195</v>
      </c>
      <c r="H313" s="166" t="s">
        <v>3272</v>
      </c>
      <c r="I313" s="142">
        <v>6</v>
      </c>
      <c r="J313" s="143">
        <v>6</v>
      </c>
      <c r="K313" s="143">
        <v>9</v>
      </c>
      <c r="L313" s="143">
        <v>9</v>
      </c>
      <c r="M313" s="143">
        <v>9</v>
      </c>
      <c r="N313" s="201">
        <v>9</v>
      </c>
      <c r="O313" s="294" t="s">
        <v>2910</v>
      </c>
      <c r="P313" s="325" t="s">
        <v>2915</v>
      </c>
      <c r="Q313" s="298"/>
      <c r="R313" s="209"/>
      <c r="S313" s="301" t="s">
        <v>2250</v>
      </c>
      <c r="T313" s="81"/>
      <c r="U313" s="78">
        <v>1</v>
      </c>
      <c r="V313" s="69"/>
      <c r="W313" s="69"/>
      <c r="X313" s="69"/>
      <c r="Y313" s="69"/>
      <c r="Z313" s="69"/>
      <c r="AA313" s="69">
        <v>1</v>
      </c>
      <c r="AB313" s="49"/>
    </row>
    <row r="314" spans="1:28" ht="15.6" customHeight="1" x14ac:dyDescent="0.2">
      <c r="A314" s="212">
        <v>312</v>
      </c>
      <c r="B314" s="159" t="str">
        <f t="shared" si="4"/>
        <v>Geranium incanum</v>
      </c>
      <c r="C314" s="160" t="s">
        <v>1564</v>
      </c>
      <c r="D314" s="72" t="s">
        <v>2361</v>
      </c>
      <c r="E314" s="72" t="s">
        <v>1566</v>
      </c>
      <c r="F314" s="72" t="s">
        <v>1567</v>
      </c>
      <c r="G314" s="289" t="s">
        <v>1197</v>
      </c>
      <c r="H314" s="166" t="s">
        <v>3245</v>
      </c>
      <c r="I314" s="142">
        <v>3</v>
      </c>
      <c r="J314" s="143">
        <v>6</v>
      </c>
      <c r="K314" s="143">
        <v>3</v>
      </c>
      <c r="L314" s="143">
        <v>5</v>
      </c>
      <c r="M314" s="143">
        <v>2</v>
      </c>
      <c r="N314" s="201">
        <v>3</v>
      </c>
      <c r="O314" s="294" t="s">
        <v>2910</v>
      </c>
      <c r="P314" s="325" t="s">
        <v>3032</v>
      </c>
      <c r="Q314" s="298"/>
      <c r="R314" s="209">
        <v>35612</v>
      </c>
      <c r="S314" s="301"/>
      <c r="T314" s="81">
        <v>1</v>
      </c>
      <c r="U314" s="78">
        <v>1</v>
      </c>
      <c r="V314" s="69"/>
      <c r="W314" s="69"/>
      <c r="X314" s="69"/>
      <c r="Y314" s="69"/>
      <c r="Z314" s="69"/>
      <c r="AA314" s="69"/>
      <c r="AB314" s="49"/>
    </row>
    <row r="315" spans="1:28" ht="15.6" customHeight="1" x14ac:dyDescent="0.2">
      <c r="A315" s="212">
        <v>313</v>
      </c>
      <c r="B315" s="159" t="str">
        <f t="shared" si="4"/>
        <v>Geranium ornithopodon</v>
      </c>
      <c r="C315" s="160" t="s">
        <v>1564</v>
      </c>
      <c r="D315" s="72"/>
      <c r="E315" s="72" t="s">
        <v>1566</v>
      </c>
      <c r="F315" s="72" t="s">
        <v>1568</v>
      </c>
      <c r="G315" s="289" t="s">
        <v>1198</v>
      </c>
      <c r="H315" s="166" t="s">
        <v>199</v>
      </c>
      <c r="I315" s="142">
        <v>3</v>
      </c>
      <c r="J315" s="143">
        <v>9</v>
      </c>
      <c r="K315" s="143">
        <v>9</v>
      </c>
      <c r="L315" s="143">
        <v>9</v>
      </c>
      <c r="M315" s="143">
        <v>9</v>
      </c>
      <c r="N315" s="201">
        <v>9</v>
      </c>
      <c r="O315" s="294" t="s">
        <v>2910</v>
      </c>
      <c r="P315" s="325" t="s">
        <v>3032</v>
      </c>
      <c r="Q315" s="298"/>
      <c r="R315" s="209">
        <v>35612</v>
      </c>
      <c r="S315" s="301"/>
      <c r="T315" s="81">
        <v>1</v>
      </c>
      <c r="U315" s="78"/>
      <c r="V315" s="69"/>
      <c r="W315" s="69"/>
      <c r="X315" s="69"/>
      <c r="Y315" s="69">
        <v>1</v>
      </c>
      <c r="Z315" s="69">
        <v>1</v>
      </c>
      <c r="AA315" s="69">
        <v>1</v>
      </c>
      <c r="AB315" s="49"/>
    </row>
    <row r="316" spans="1:28" ht="15.6" customHeight="1" x14ac:dyDescent="0.2">
      <c r="A316" s="212">
        <v>314</v>
      </c>
      <c r="B316" s="159" t="str">
        <f t="shared" si="4"/>
        <v>Pelargonium alchemilloides</v>
      </c>
      <c r="C316" s="160" t="s">
        <v>1564</v>
      </c>
      <c r="D316" s="72" t="s">
        <v>2362</v>
      </c>
      <c r="E316" s="72" t="s">
        <v>1569</v>
      </c>
      <c r="F316" s="72" t="s">
        <v>1570</v>
      </c>
      <c r="G316" s="289" t="s">
        <v>1199</v>
      </c>
      <c r="H316" s="166" t="s">
        <v>3244</v>
      </c>
      <c r="I316" s="142">
        <v>3</v>
      </c>
      <c r="J316" s="143">
        <v>6</v>
      </c>
      <c r="K316" s="143">
        <v>3</v>
      </c>
      <c r="L316" s="143">
        <v>4</v>
      </c>
      <c r="M316" s="143">
        <v>1</v>
      </c>
      <c r="N316" s="201">
        <v>3</v>
      </c>
      <c r="O316" s="294" t="s">
        <v>2910</v>
      </c>
      <c r="P316" s="325" t="s">
        <v>3032</v>
      </c>
      <c r="Q316" s="298"/>
      <c r="R316" s="209">
        <v>36161</v>
      </c>
      <c r="S316" s="301"/>
      <c r="T316" s="81">
        <v>1</v>
      </c>
      <c r="U316" s="78"/>
      <c r="V316" s="69"/>
      <c r="W316" s="69"/>
      <c r="X316" s="69">
        <v>1</v>
      </c>
      <c r="Y316" s="69"/>
      <c r="Z316" s="69"/>
      <c r="AA316" s="69"/>
      <c r="AB316" s="49"/>
    </row>
    <row r="317" spans="1:28" ht="15.6" customHeight="1" x14ac:dyDescent="0.2">
      <c r="A317" s="212">
        <v>315</v>
      </c>
      <c r="B317" s="159" t="str">
        <f t="shared" si="4"/>
        <v>Pelargonium betulinum</v>
      </c>
      <c r="C317" s="160" t="s">
        <v>1564</v>
      </c>
      <c r="D317" s="72" t="s">
        <v>2363</v>
      </c>
      <c r="E317" s="72" t="s">
        <v>1569</v>
      </c>
      <c r="F317" s="72" t="s">
        <v>1571</v>
      </c>
      <c r="G317" s="289" t="s">
        <v>1200</v>
      </c>
      <c r="H317" s="166" t="s">
        <v>3292</v>
      </c>
      <c r="I317" s="142">
        <v>2</v>
      </c>
      <c r="J317" s="143">
        <v>6</v>
      </c>
      <c r="K317" s="143">
        <v>3</v>
      </c>
      <c r="L317" s="143">
        <v>1</v>
      </c>
      <c r="M317" s="143">
        <v>2</v>
      </c>
      <c r="N317" s="201">
        <v>3</v>
      </c>
      <c r="O317" s="294" t="s">
        <v>3031</v>
      </c>
      <c r="P317" s="325" t="s">
        <v>3032</v>
      </c>
      <c r="Q317" s="298"/>
      <c r="R317" s="209">
        <v>35612</v>
      </c>
      <c r="S317" s="301"/>
      <c r="T317" s="81">
        <v>1</v>
      </c>
      <c r="U317" s="78">
        <v>1</v>
      </c>
      <c r="V317" s="69">
        <v>1</v>
      </c>
      <c r="W317" s="69">
        <v>1</v>
      </c>
      <c r="X317" s="69">
        <v>1</v>
      </c>
      <c r="Y317" s="69"/>
      <c r="Z317" s="69"/>
      <c r="AA317" s="69"/>
      <c r="AB317" s="49">
        <v>1</v>
      </c>
    </row>
    <row r="318" spans="1:28" ht="15.6" customHeight="1" x14ac:dyDescent="0.2">
      <c r="A318" s="212">
        <v>316</v>
      </c>
      <c r="B318" s="159" t="str">
        <f t="shared" si="4"/>
        <v>Pelargonium capitatum</v>
      </c>
      <c r="C318" s="160" t="s">
        <v>1564</v>
      </c>
      <c r="D318" s="72" t="s">
        <v>2364</v>
      </c>
      <c r="E318" s="72" t="s">
        <v>1569</v>
      </c>
      <c r="F318" s="72" t="s">
        <v>1572</v>
      </c>
      <c r="G318" s="289" t="s">
        <v>1201</v>
      </c>
      <c r="H318" s="166" t="s">
        <v>3267</v>
      </c>
      <c r="I318" s="142">
        <v>2</v>
      </c>
      <c r="J318" s="143">
        <v>6</v>
      </c>
      <c r="K318" s="143">
        <v>3</v>
      </c>
      <c r="L318" s="143">
        <v>4</v>
      </c>
      <c r="M318" s="143">
        <v>1</v>
      </c>
      <c r="N318" s="201">
        <v>3</v>
      </c>
      <c r="O318" s="294" t="s">
        <v>3031</v>
      </c>
      <c r="P318" s="325" t="s">
        <v>3032</v>
      </c>
      <c r="Q318" s="298"/>
      <c r="R318" s="209">
        <v>35612</v>
      </c>
      <c r="S318" s="301"/>
      <c r="T318" s="81">
        <v>1</v>
      </c>
      <c r="U318" s="78">
        <v>1</v>
      </c>
      <c r="V318" s="69"/>
      <c r="W318" s="69"/>
      <c r="X318" s="69"/>
      <c r="Y318" s="69"/>
      <c r="Z318" s="69"/>
      <c r="AA318" s="69"/>
      <c r="AB318" s="49"/>
    </row>
    <row r="319" spans="1:28" ht="15.6" customHeight="1" x14ac:dyDescent="0.2">
      <c r="A319" s="212">
        <v>317</v>
      </c>
      <c r="B319" s="159" t="str">
        <f t="shared" si="4"/>
        <v>Pelargonium cucullatum</v>
      </c>
      <c r="C319" s="160" t="s">
        <v>1564</v>
      </c>
      <c r="D319" s="72"/>
      <c r="E319" s="72" t="s">
        <v>1569</v>
      </c>
      <c r="F319" s="72" t="s">
        <v>1574</v>
      </c>
      <c r="G319" s="289" t="s">
        <v>1202</v>
      </c>
      <c r="H319" s="166" t="s">
        <v>3258</v>
      </c>
      <c r="I319" s="142">
        <v>2</v>
      </c>
      <c r="J319" s="143">
        <v>4</v>
      </c>
      <c r="K319" s="143">
        <v>3</v>
      </c>
      <c r="L319" s="143">
        <v>1</v>
      </c>
      <c r="M319" s="143">
        <v>2</v>
      </c>
      <c r="N319" s="201">
        <v>2</v>
      </c>
      <c r="O319" s="294" t="s">
        <v>2168</v>
      </c>
      <c r="P319" s="325" t="s">
        <v>3032</v>
      </c>
      <c r="Q319" s="298"/>
      <c r="R319" s="209">
        <v>35612</v>
      </c>
      <c r="S319" s="301" t="s">
        <v>2250</v>
      </c>
      <c r="T319" s="81"/>
      <c r="U319" s="78"/>
      <c r="V319" s="69"/>
      <c r="W319" s="69"/>
      <c r="X319" s="69">
        <v>1</v>
      </c>
      <c r="Y319" s="69"/>
      <c r="Z319" s="69"/>
      <c r="AA319" s="69"/>
      <c r="AB319" s="49"/>
    </row>
    <row r="320" spans="1:28" ht="15.6" customHeight="1" x14ac:dyDescent="0.2">
      <c r="A320" s="212">
        <v>318</v>
      </c>
      <c r="B320" s="159" t="str">
        <f t="shared" si="4"/>
        <v>Pelargonium elegans</v>
      </c>
      <c r="C320" s="160" t="s">
        <v>1564</v>
      </c>
      <c r="D320" s="72"/>
      <c r="E320" s="72" t="s">
        <v>1569</v>
      </c>
      <c r="F320" s="72" t="s">
        <v>791</v>
      </c>
      <c r="G320" s="289" t="s">
        <v>1203</v>
      </c>
      <c r="H320" s="166" t="s">
        <v>3230</v>
      </c>
      <c r="I320" s="142">
        <v>3</v>
      </c>
      <c r="J320" s="143">
        <v>6</v>
      </c>
      <c r="K320" s="143">
        <v>5</v>
      </c>
      <c r="L320" s="143">
        <v>1</v>
      </c>
      <c r="M320" s="143">
        <v>2</v>
      </c>
      <c r="N320" s="201">
        <v>3</v>
      </c>
      <c r="O320" s="294" t="s">
        <v>2910</v>
      </c>
      <c r="P320" s="325" t="s">
        <v>3032</v>
      </c>
      <c r="Q320" s="298"/>
      <c r="R320" s="209">
        <v>35612</v>
      </c>
      <c r="S320" s="301"/>
      <c r="T320" s="81">
        <v>1</v>
      </c>
      <c r="U320" s="78">
        <v>1</v>
      </c>
      <c r="V320" s="69">
        <v>1</v>
      </c>
      <c r="W320" s="69"/>
      <c r="X320" s="69">
        <v>1</v>
      </c>
      <c r="Y320" s="69"/>
      <c r="Z320" s="69"/>
      <c r="AA320" s="69"/>
      <c r="AB320" s="49"/>
    </row>
    <row r="321" spans="1:28" ht="15.6" customHeight="1" x14ac:dyDescent="0.2">
      <c r="A321" s="212">
        <v>319</v>
      </c>
      <c r="B321" s="159" t="str">
        <f t="shared" si="4"/>
        <v>Pelargonium grossularioides</v>
      </c>
      <c r="C321" s="160" t="s">
        <v>1564</v>
      </c>
      <c r="D321" s="72" t="s">
        <v>2365</v>
      </c>
      <c r="E321" s="72" t="s">
        <v>1569</v>
      </c>
      <c r="F321" s="72" t="s">
        <v>1575</v>
      </c>
      <c r="G321" s="289" t="s">
        <v>1204</v>
      </c>
      <c r="H321" s="166" t="s">
        <v>3246</v>
      </c>
      <c r="I321" s="142">
        <v>6</v>
      </c>
      <c r="J321" s="143">
        <v>6</v>
      </c>
      <c r="K321" s="143">
        <v>3</v>
      </c>
      <c r="L321" s="143">
        <v>1</v>
      </c>
      <c r="M321" s="143">
        <v>1</v>
      </c>
      <c r="N321" s="201">
        <v>3</v>
      </c>
      <c r="O321" s="294" t="s">
        <v>2910</v>
      </c>
      <c r="P321" s="325" t="s">
        <v>2915</v>
      </c>
      <c r="Q321" s="298"/>
      <c r="R321" s="209">
        <v>36861</v>
      </c>
      <c r="S321" s="301"/>
      <c r="T321" s="81">
        <v>1</v>
      </c>
      <c r="U321" s="78">
        <v>1</v>
      </c>
      <c r="V321" s="69"/>
      <c r="W321" s="69"/>
      <c r="X321" s="69"/>
      <c r="Y321" s="69"/>
      <c r="Z321" s="69"/>
      <c r="AA321" s="69"/>
      <c r="AB321" s="49"/>
    </row>
    <row r="322" spans="1:28" ht="15.6" customHeight="1" x14ac:dyDescent="0.2">
      <c r="A322" s="212">
        <v>320</v>
      </c>
      <c r="B322" s="159" t="str">
        <f t="shared" si="4"/>
        <v>Pelargonium hypoleucum</v>
      </c>
      <c r="C322" s="160" t="s">
        <v>1564</v>
      </c>
      <c r="D322" s="72"/>
      <c r="E322" s="72" t="s">
        <v>1569</v>
      </c>
      <c r="F322" s="72" t="s">
        <v>1576</v>
      </c>
      <c r="G322" s="289" t="s">
        <v>1205</v>
      </c>
      <c r="H322" s="166" t="s">
        <v>3268</v>
      </c>
      <c r="I322" s="142">
        <v>3</v>
      </c>
      <c r="J322" s="143">
        <v>6</v>
      </c>
      <c r="K322" s="143">
        <v>3</v>
      </c>
      <c r="L322" s="143">
        <v>4</v>
      </c>
      <c r="M322" s="143">
        <v>2</v>
      </c>
      <c r="N322" s="201">
        <v>4</v>
      </c>
      <c r="O322" s="294" t="s">
        <v>2910</v>
      </c>
      <c r="P322" s="325" t="s">
        <v>3032</v>
      </c>
      <c r="Q322" s="298"/>
      <c r="R322" s="209">
        <v>35612</v>
      </c>
      <c r="S322" s="301"/>
      <c r="T322" s="81">
        <v>1</v>
      </c>
      <c r="U322" s="78"/>
      <c r="V322" s="69"/>
      <c r="W322" s="69"/>
      <c r="X322" s="69">
        <v>1</v>
      </c>
      <c r="Y322" s="69"/>
      <c r="Z322" s="69"/>
      <c r="AA322" s="69"/>
      <c r="AB322" s="49"/>
    </row>
    <row r="323" spans="1:28" ht="15.6" customHeight="1" x14ac:dyDescent="0.2">
      <c r="A323" s="212">
        <v>321</v>
      </c>
      <c r="B323" s="159" t="str">
        <f t="shared" ref="B323:B386" si="5">E323&amp;" "&amp;F323</f>
        <v>Pelargonium longifolium</v>
      </c>
      <c r="C323" s="160" t="s">
        <v>1564</v>
      </c>
      <c r="D323" s="72"/>
      <c r="E323" s="72" t="s">
        <v>1569</v>
      </c>
      <c r="F323" s="72" t="s">
        <v>1577</v>
      </c>
      <c r="G323" s="289" t="s">
        <v>1206</v>
      </c>
      <c r="H323" s="166" t="s">
        <v>1287</v>
      </c>
      <c r="I323" s="142">
        <v>4</v>
      </c>
      <c r="J323" s="143">
        <v>6</v>
      </c>
      <c r="K323" s="143">
        <v>4</v>
      </c>
      <c r="L323" s="143">
        <v>2</v>
      </c>
      <c r="M323" s="143">
        <v>1</v>
      </c>
      <c r="N323" s="201">
        <v>1</v>
      </c>
      <c r="O323" s="294" t="s">
        <v>2163</v>
      </c>
      <c r="P323" s="325" t="s">
        <v>3032</v>
      </c>
      <c r="Q323" s="298"/>
      <c r="R323" s="209">
        <v>35612</v>
      </c>
      <c r="S323" s="301"/>
      <c r="T323" s="81">
        <v>1</v>
      </c>
      <c r="U323" s="78"/>
      <c r="V323" s="69"/>
      <c r="W323" s="69"/>
      <c r="X323" s="69">
        <v>1</v>
      </c>
      <c r="Y323" s="69"/>
      <c r="Z323" s="69"/>
      <c r="AA323" s="69"/>
      <c r="AB323" s="49"/>
    </row>
    <row r="324" spans="1:28" ht="15.6" customHeight="1" x14ac:dyDescent="0.2">
      <c r="A324" s="212">
        <v>322</v>
      </c>
      <c r="B324" s="159" t="str">
        <f t="shared" si="5"/>
        <v>Pelargonium myrrhifolium</v>
      </c>
      <c r="C324" s="160" t="s">
        <v>1564</v>
      </c>
      <c r="D324" s="72"/>
      <c r="E324" s="72" t="s">
        <v>1569</v>
      </c>
      <c r="F324" s="72" t="s">
        <v>1578</v>
      </c>
      <c r="G324" s="289" t="s">
        <v>1207</v>
      </c>
      <c r="H324" s="166" t="s">
        <v>3274</v>
      </c>
      <c r="I324" s="142">
        <v>2</v>
      </c>
      <c r="J324" s="143">
        <v>6</v>
      </c>
      <c r="K324" s="143">
        <v>4</v>
      </c>
      <c r="L324" s="143">
        <v>5</v>
      </c>
      <c r="M324" s="143">
        <v>1</v>
      </c>
      <c r="N324" s="201">
        <v>3</v>
      </c>
      <c r="O324" s="294" t="s">
        <v>3031</v>
      </c>
      <c r="P324" s="325" t="s">
        <v>3032</v>
      </c>
      <c r="Q324" s="298"/>
      <c r="R324" s="209">
        <v>35612</v>
      </c>
      <c r="S324" s="301"/>
      <c r="T324" s="81">
        <v>1</v>
      </c>
      <c r="U324" s="78">
        <v>1</v>
      </c>
      <c r="V324" s="69">
        <v>1</v>
      </c>
      <c r="W324" s="69">
        <v>1</v>
      </c>
      <c r="X324" s="69"/>
      <c r="Y324" s="69"/>
      <c r="Z324" s="69"/>
      <c r="AA324" s="69"/>
      <c r="AB324" s="49"/>
    </row>
    <row r="325" spans="1:28" ht="15.6" customHeight="1" x14ac:dyDescent="0.2">
      <c r="A325" s="212">
        <v>323</v>
      </c>
      <c r="B325" s="159" t="str">
        <f t="shared" si="5"/>
        <v>Pelargonium myrrhifolium var. coriandrifolium</v>
      </c>
      <c r="C325" s="160" t="s">
        <v>1564</v>
      </c>
      <c r="D325" s="72"/>
      <c r="E325" s="72" t="s">
        <v>1569</v>
      </c>
      <c r="F325" s="72" t="s">
        <v>1579</v>
      </c>
      <c r="G325" s="289" t="s">
        <v>1207</v>
      </c>
      <c r="H325" s="166" t="s">
        <v>3274</v>
      </c>
      <c r="I325" s="142">
        <v>2</v>
      </c>
      <c r="J325" s="143">
        <v>6</v>
      </c>
      <c r="K325" s="143">
        <v>4</v>
      </c>
      <c r="L325" s="143">
        <v>5</v>
      </c>
      <c r="M325" s="143">
        <v>1</v>
      </c>
      <c r="N325" s="201">
        <v>3</v>
      </c>
      <c r="O325" s="294" t="s">
        <v>3031</v>
      </c>
      <c r="P325" s="325" t="s">
        <v>3032</v>
      </c>
      <c r="Q325" s="298"/>
      <c r="R325" s="209">
        <v>37561</v>
      </c>
      <c r="S325" s="301"/>
      <c r="T325" s="81"/>
      <c r="U325" s="78"/>
      <c r="V325" s="69"/>
      <c r="W325" s="69"/>
      <c r="X325" s="69"/>
      <c r="Y325" s="69"/>
      <c r="Z325" s="69"/>
      <c r="AA325" s="69"/>
      <c r="AB325" s="49"/>
    </row>
    <row r="326" spans="1:28" ht="15.6" customHeight="1" x14ac:dyDescent="0.2">
      <c r="A326" s="212">
        <v>324</v>
      </c>
      <c r="B326" s="159" t="str">
        <f t="shared" si="5"/>
        <v>Pelargonium suburbanum ssp. suburbanum</v>
      </c>
      <c r="C326" s="160" t="s">
        <v>1564</v>
      </c>
      <c r="D326" s="72"/>
      <c r="E326" s="72" t="s">
        <v>1569</v>
      </c>
      <c r="F326" s="74" t="s">
        <v>469</v>
      </c>
      <c r="G326" s="289" t="s">
        <v>1208</v>
      </c>
      <c r="H326" s="166" t="s">
        <v>3274</v>
      </c>
      <c r="I326" s="142">
        <v>2</v>
      </c>
      <c r="J326" s="143">
        <v>6</v>
      </c>
      <c r="K326" s="143">
        <v>4</v>
      </c>
      <c r="L326" s="143">
        <v>5</v>
      </c>
      <c r="M326" s="143">
        <v>2</v>
      </c>
      <c r="N326" s="201">
        <v>2</v>
      </c>
      <c r="O326" s="294" t="s">
        <v>2163</v>
      </c>
      <c r="P326" s="325" t="s">
        <v>3032</v>
      </c>
      <c r="Q326" s="298" t="s">
        <v>2703</v>
      </c>
      <c r="R326" s="209">
        <v>37226</v>
      </c>
      <c r="S326" s="301"/>
      <c r="T326" s="81">
        <v>1</v>
      </c>
      <c r="U326" s="78">
        <v>1</v>
      </c>
      <c r="V326" s="69"/>
      <c r="W326" s="69"/>
      <c r="X326" s="69"/>
      <c r="Y326" s="69"/>
      <c r="Z326" s="69"/>
      <c r="AA326" s="69"/>
      <c r="AB326" s="49"/>
    </row>
    <row r="327" spans="1:28" ht="15.6" customHeight="1" x14ac:dyDescent="0.2">
      <c r="A327" s="212">
        <v>325</v>
      </c>
      <c r="B327" s="159" t="str">
        <f t="shared" si="5"/>
        <v>Pelargonium triste</v>
      </c>
      <c r="C327" s="160" t="s">
        <v>1564</v>
      </c>
      <c r="D327" s="72" t="s">
        <v>2366</v>
      </c>
      <c r="E327" s="72" t="s">
        <v>1569</v>
      </c>
      <c r="F327" s="72" t="s">
        <v>1580</v>
      </c>
      <c r="G327" s="289" t="s">
        <v>1209</v>
      </c>
      <c r="H327" s="166" t="s">
        <v>3293</v>
      </c>
      <c r="I327" s="142">
        <v>4</v>
      </c>
      <c r="J327" s="143">
        <v>6</v>
      </c>
      <c r="K327" s="143">
        <v>5</v>
      </c>
      <c r="L327" s="143">
        <v>5</v>
      </c>
      <c r="M327" s="143">
        <v>2</v>
      </c>
      <c r="N327" s="201">
        <v>3</v>
      </c>
      <c r="O327" s="294" t="s">
        <v>2163</v>
      </c>
      <c r="P327" s="325" t="s">
        <v>3032</v>
      </c>
      <c r="Q327" s="298"/>
      <c r="R327" s="209">
        <v>35612</v>
      </c>
      <c r="S327" s="301"/>
      <c r="T327" s="81">
        <v>1</v>
      </c>
      <c r="U327" s="78">
        <v>1</v>
      </c>
      <c r="V327" s="69"/>
      <c r="W327" s="69">
        <v>1</v>
      </c>
      <c r="X327" s="69">
        <v>1</v>
      </c>
      <c r="Y327" s="69"/>
      <c r="Z327" s="69"/>
      <c r="AA327" s="69"/>
      <c r="AB327" s="49"/>
    </row>
    <row r="328" spans="1:28" ht="15.6" customHeight="1" x14ac:dyDescent="0.2">
      <c r="A328" s="212">
        <v>326</v>
      </c>
      <c r="B328" s="159" t="str">
        <f t="shared" si="5"/>
        <v>Wachendorfia paniculata</v>
      </c>
      <c r="C328" s="160" t="s">
        <v>1581</v>
      </c>
      <c r="D328" s="72"/>
      <c r="E328" s="72" t="s">
        <v>1582</v>
      </c>
      <c r="F328" s="72" t="s">
        <v>884</v>
      </c>
      <c r="G328" s="289" t="s">
        <v>1210</v>
      </c>
      <c r="H328" s="166" t="s">
        <v>1287</v>
      </c>
      <c r="I328" s="142">
        <v>4</v>
      </c>
      <c r="J328" s="143">
        <v>6</v>
      </c>
      <c r="K328" s="143">
        <v>5</v>
      </c>
      <c r="L328" s="143">
        <v>2</v>
      </c>
      <c r="M328" s="143">
        <v>1</v>
      </c>
      <c r="N328" s="201">
        <v>1</v>
      </c>
      <c r="O328" s="294" t="s">
        <v>2163</v>
      </c>
      <c r="P328" s="325" t="s">
        <v>3032</v>
      </c>
      <c r="Q328" s="298"/>
      <c r="R328" s="209">
        <v>35612</v>
      </c>
      <c r="S328" s="301" t="s">
        <v>2250</v>
      </c>
      <c r="T328" s="81"/>
      <c r="U328" s="78"/>
      <c r="V328" s="69">
        <v>1</v>
      </c>
      <c r="W328" s="69"/>
      <c r="X328" s="69">
        <v>1</v>
      </c>
      <c r="Y328" s="69"/>
      <c r="Z328" s="69"/>
      <c r="AA328" s="69"/>
      <c r="AB328" s="49"/>
    </row>
    <row r="329" spans="1:28" ht="15.6" customHeight="1" x14ac:dyDescent="0.2">
      <c r="A329" s="212">
        <v>327</v>
      </c>
      <c r="B329" s="159" t="str">
        <f t="shared" si="5"/>
        <v>Wachendorfia thyrsiflora</v>
      </c>
      <c r="C329" s="160" t="s">
        <v>1581</v>
      </c>
      <c r="D329" s="72" t="s">
        <v>2367</v>
      </c>
      <c r="E329" s="72" t="s">
        <v>1582</v>
      </c>
      <c r="F329" s="72" t="s">
        <v>1590</v>
      </c>
      <c r="G329" s="289" t="s">
        <v>1211</v>
      </c>
      <c r="H329" s="166" t="s">
        <v>3294</v>
      </c>
      <c r="I329" s="142">
        <v>4</v>
      </c>
      <c r="J329" s="143">
        <v>4</v>
      </c>
      <c r="K329" s="143">
        <v>9</v>
      </c>
      <c r="L329" s="143">
        <v>2</v>
      </c>
      <c r="M329" s="143">
        <v>1</v>
      </c>
      <c r="N329" s="201">
        <v>1</v>
      </c>
      <c r="O329" s="294" t="s">
        <v>2163</v>
      </c>
      <c r="P329" s="325" t="s">
        <v>3032</v>
      </c>
      <c r="Q329" s="298"/>
      <c r="R329" s="209">
        <v>35612</v>
      </c>
      <c r="S329" s="301"/>
      <c r="T329" s="81">
        <v>1</v>
      </c>
      <c r="U329" s="78"/>
      <c r="V329" s="69"/>
      <c r="W329" s="69">
        <v>1</v>
      </c>
      <c r="X329" s="69">
        <v>1</v>
      </c>
      <c r="Y329" s="69"/>
      <c r="Z329" s="69"/>
      <c r="AA329" s="69">
        <v>1</v>
      </c>
      <c r="AB329" s="49"/>
    </row>
    <row r="330" spans="1:28" ht="15.6" customHeight="1" x14ac:dyDescent="0.2">
      <c r="A330" s="212">
        <v>328</v>
      </c>
      <c r="B330" s="159" t="str">
        <f t="shared" si="5"/>
        <v>Laurembergia repens ssp. brachypoda</v>
      </c>
      <c r="C330" s="160" t="s">
        <v>1591</v>
      </c>
      <c r="D330" s="72"/>
      <c r="E330" s="72" t="s">
        <v>1592</v>
      </c>
      <c r="F330" s="72" t="s">
        <v>470</v>
      </c>
      <c r="G330" s="289" t="s">
        <v>1212</v>
      </c>
      <c r="H330" s="166" t="s">
        <v>3268</v>
      </c>
      <c r="I330" s="142">
        <v>3</v>
      </c>
      <c r="J330" s="143">
        <v>6</v>
      </c>
      <c r="K330" s="143">
        <v>3</v>
      </c>
      <c r="L330" s="143">
        <v>2</v>
      </c>
      <c r="M330" s="143">
        <v>2</v>
      </c>
      <c r="N330" s="201">
        <v>5</v>
      </c>
      <c r="O330" s="294" t="s">
        <v>2910</v>
      </c>
      <c r="P330" s="325" t="s">
        <v>3032</v>
      </c>
      <c r="Q330" s="298"/>
      <c r="R330" s="209">
        <v>36951</v>
      </c>
      <c r="S330" s="301"/>
      <c r="T330" s="81">
        <v>1</v>
      </c>
      <c r="U330" s="78"/>
      <c r="V330" s="69"/>
      <c r="W330" s="69"/>
      <c r="X330" s="69"/>
      <c r="Y330" s="69"/>
      <c r="Z330" s="69"/>
      <c r="AA330" s="69">
        <v>1</v>
      </c>
      <c r="AB330" s="49"/>
    </row>
    <row r="331" spans="1:28" ht="15.6" customHeight="1" x14ac:dyDescent="0.2">
      <c r="A331" s="212">
        <v>329</v>
      </c>
      <c r="B331" s="159" t="str">
        <f t="shared" si="5"/>
        <v>Albuca acuminata</v>
      </c>
      <c r="C331" s="160" t="s">
        <v>1593</v>
      </c>
      <c r="D331" s="72"/>
      <c r="E331" s="72" t="s">
        <v>1594</v>
      </c>
      <c r="F331" s="72" t="s">
        <v>1595</v>
      </c>
      <c r="G331" s="289" t="s">
        <v>1213</v>
      </c>
      <c r="H331" s="166" t="s">
        <v>1287</v>
      </c>
      <c r="I331" s="142">
        <v>4</v>
      </c>
      <c r="J331" s="143">
        <v>6</v>
      </c>
      <c r="K331" s="143">
        <v>5</v>
      </c>
      <c r="L331" s="143">
        <v>2</v>
      </c>
      <c r="M331" s="143">
        <v>1</v>
      </c>
      <c r="N331" s="201">
        <v>1</v>
      </c>
      <c r="O331" s="294" t="s">
        <v>2163</v>
      </c>
      <c r="P331" s="325" t="s">
        <v>3032</v>
      </c>
      <c r="Q331" s="298"/>
      <c r="R331" s="209">
        <v>37226</v>
      </c>
      <c r="S331" s="301"/>
      <c r="T331" s="81">
        <v>1</v>
      </c>
      <c r="U331" s="78"/>
      <c r="V331" s="69"/>
      <c r="W331" s="69"/>
      <c r="X331" s="69">
        <v>1</v>
      </c>
      <c r="Y331" s="69"/>
      <c r="Z331" s="69"/>
      <c r="AA331" s="69"/>
      <c r="AB331" s="49"/>
    </row>
    <row r="332" spans="1:28" ht="15.6" customHeight="1" x14ac:dyDescent="0.2">
      <c r="A332" s="212">
        <v>330</v>
      </c>
      <c r="B332" s="159" t="str">
        <f t="shared" si="5"/>
        <v>Albuca cooperi</v>
      </c>
      <c r="C332" s="160" t="s">
        <v>1593</v>
      </c>
      <c r="D332" s="72"/>
      <c r="E332" s="72" t="s">
        <v>1594</v>
      </c>
      <c r="F332" s="72" t="s">
        <v>1596</v>
      </c>
      <c r="G332" s="289" t="s">
        <v>1214</v>
      </c>
      <c r="H332" s="166" t="s">
        <v>3222</v>
      </c>
      <c r="I332" s="142">
        <v>4</v>
      </c>
      <c r="J332" s="143">
        <v>6</v>
      </c>
      <c r="K332" s="143">
        <v>5</v>
      </c>
      <c r="L332" s="143">
        <v>3</v>
      </c>
      <c r="M332" s="143">
        <v>1</v>
      </c>
      <c r="N332" s="201">
        <v>1</v>
      </c>
      <c r="O332" s="294" t="s">
        <v>2163</v>
      </c>
      <c r="P332" s="325" t="s">
        <v>3032</v>
      </c>
      <c r="Q332" s="298"/>
      <c r="R332" s="209">
        <v>36130</v>
      </c>
      <c r="S332" s="301"/>
      <c r="T332" s="81">
        <v>1</v>
      </c>
      <c r="U332" s="78"/>
      <c r="V332" s="69"/>
      <c r="W332" s="69"/>
      <c r="X332" s="69">
        <v>1</v>
      </c>
      <c r="Y332" s="69"/>
      <c r="Z332" s="69"/>
      <c r="AA332" s="69"/>
      <c r="AB332" s="49"/>
    </row>
    <row r="333" spans="1:28" ht="15.6" customHeight="1" x14ac:dyDescent="0.2">
      <c r="A333" s="212">
        <v>331</v>
      </c>
      <c r="B333" s="159" t="str">
        <f t="shared" si="5"/>
        <v>Albuca flaccida</v>
      </c>
      <c r="C333" s="160" t="s">
        <v>1593</v>
      </c>
      <c r="D333" s="72"/>
      <c r="E333" s="72" t="s">
        <v>1594</v>
      </c>
      <c r="F333" s="72" t="s">
        <v>1597</v>
      </c>
      <c r="G333" s="289" t="s">
        <v>1215</v>
      </c>
      <c r="H333" s="166" t="s">
        <v>3295</v>
      </c>
      <c r="I333" s="142">
        <v>4</v>
      </c>
      <c r="J333" s="143">
        <v>5</v>
      </c>
      <c r="K333" s="143">
        <v>5</v>
      </c>
      <c r="L333" s="143">
        <v>2</v>
      </c>
      <c r="M333" s="143">
        <v>1</v>
      </c>
      <c r="N333" s="201">
        <v>1</v>
      </c>
      <c r="O333" s="294" t="s">
        <v>2163</v>
      </c>
      <c r="P333" s="325" t="s">
        <v>3032</v>
      </c>
      <c r="Q333" s="298"/>
      <c r="R333" s="209">
        <v>37530</v>
      </c>
      <c r="S333" s="301"/>
      <c r="T333" s="81">
        <v>1</v>
      </c>
      <c r="U333" s="78"/>
      <c r="V333" s="69"/>
      <c r="W333" s="69">
        <v>1</v>
      </c>
      <c r="X333" s="69">
        <v>1</v>
      </c>
      <c r="Y333" s="69"/>
      <c r="Z333" s="69"/>
      <c r="AA333" s="69"/>
      <c r="AB333" s="49"/>
    </row>
    <row r="334" spans="1:28" ht="15.6" customHeight="1" x14ac:dyDescent="0.2">
      <c r="A334" s="212">
        <v>332</v>
      </c>
      <c r="B334" s="159" t="str">
        <f t="shared" si="5"/>
        <v>Albuca fragrans</v>
      </c>
      <c r="C334" s="160" t="s">
        <v>1593</v>
      </c>
      <c r="D334" s="72"/>
      <c r="E334" s="72" t="s">
        <v>1594</v>
      </c>
      <c r="F334" s="72" t="s">
        <v>1598</v>
      </c>
      <c r="G334" s="289" t="s">
        <v>1216</v>
      </c>
      <c r="H334" s="166" t="s">
        <v>3295</v>
      </c>
      <c r="I334" s="142">
        <v>4</v>
      </c>
      <c r="J334" s="143">
        <v>5</v>
      </c>
      <c r="K334" s="143">
        <v>5</v>
      </c>
      <c r="L334" s="143">
        <v>2</v>
      </c>
      <c r="M334" s="143">
        <v>1</v>
      </c>
      <c r="N334" s="201">
        <v>1</v>
      </c>
      <c r="O334" s="294" t="s">
        <v>2163</v>
      </c>
      <c r="P334" s="325" t="s">
        <v>3032</v>
      </c>
      <c r="Q334" s="298"/>
      <c r="R334" s="209">
        <v>37257</v>
      </c>
      <c r="S334" s="301"/>
      <c r="T334" s="81">
        <v>1</v>
      </c>
      <c r="U334" s="78"/>
      <c r="V334" s="69"/>
      <c r="W334" s="69"/>
      <c r="X334" s="69">
        <v>1</v>
      </c>
      <c r="Y334" s="69"/>
      <c r="Z334" s="69"/>
      <c r="AA334" s="69"/>
      <c r="AB334" s="49"/>
    </row>
    <row r="335" spans="1:28" ht="15.6" customHeight="1" x14ac:dyDescent="0.2">
      <c r="A335" s="212">
        <v>333</v>
      </c>
      <c r="B335" s="159" t="str">
        <f t="shared" si="5"/>
        <v>Albuca juncifolia</v>
      </c>
      <c r="C335" s="160" t="s">
        <v>1593</v>
      </c>
      <c r="D335" s="72"/>
      <c r="E335" s="72" t="s">
        <v>1594</v>
      </c>
      <c r="F335" s="72" t="s">
        <v>1599</v>
      </c>
      <c r="G335" s="289" t="s">
        <v>1217</v>
      </c>
      <c r="H335" s="166" t="s">
        <v>3222</v>
      </c>
      <c r="I335" s="142">
        <v>4</v>
      </c>
      <c r="J335" s="143">
        <v>6</v>
      </c>
      <c r="K335" s="143">
        <v>5</v>
      </c>
      <c r="L335" s="143">
        <v>3</v>
      </c>
      <c r="M335" s="143">
        <v>1</v>
      </c>
      <c r="N335" s="201">
        <v>1</v>
      </c>
      <c r="O335" s="294" t="s">
        <v>2163</v>
      </c>
      <c r="P335" s="325" t="s">
        <v>3032</v>
      </c>
      <c r="Q335" s="298"/>
      <c r="R335" s="209">
        <v>36892</v>
      </c>
      <c r="S335" s="301"/>
      <c r="T335" s="81">
        <v>1</v>
      </c>
      <c r="U335" s="78"/>
      <c r="V335" s="69"/>
      <c r="W335" s="69"/>
      <c r="X335" s="69">
        <v>1</v>
      </c>
      <c r="Y335" s="69"/>
      <c r="Z335" s="69"/>
      <c r="AA335" s="69"/>
      <c r="AB335" s="49"/>
    </row>
    <row r="336" spans="1:28" ht="15.6" customHeight="1" x14ac:dyDescent="0.2">
      <c r="A336" s="212">
        <v>334</v>
      </c>
      <c r="B336" s="159" t="str">
        <f t="shared" si="5"/>
        <v>Albuca maxima</v>
      </c>
      <c r="C336" s="160" t="s">
        <v>1593</v>
      </c>
      <c r="D336" s="72" t="s">
        <v>2368</v>
      </c>
      <c r="E336" s="72" t="s">
        <v>1594</v>
      </c>
      <c r="F336" s="72" t="s">
        <v>1600</v>
      </c>
      <c r="G336" s="289" t="s">
        <v>1218</v>
      </c>
      <c r="H336" s="166" t="s">
        <v>3295</v>
      </c>
      <c r="I336" s="142">
        <v>4</v>
      </c>
      <c r="J336" s="143">
        <v>5</v>
      </c>
      <c r="K336" s="143">
        <v>5</v>
      </c>
      <c r="L336" s="143">
        <v>2</v>
      </c>
      <c r="M336" s="143">
        <v>1</v>
      </c>
      <c r="N336" s="201">
        <v>1</v>
      </c>
      <c r="O336" s="294" t="s">
        <v>2163</v>
      </c>
      <c r="P336" s="325" t="s">
        <v>3032</v>
      </c>
      <c r="Q336" s="298"/>
      <c r="R336" s="209">
        <v>35612</v>
      </c>
      <c r="S336" s="301"/>
      <c r="T336" s="81">
        <v>1</v>
      </c>
      <c r="U336" s="78">
        <v>1</v>
      </c>
      <c r="V336" s="69">
        <v>1</v>
      </c>
      <c r="W336" s="69"/>
      <c r="X336" s="69"/>
      <c r="Y336" s="69"/>
      <c r="Z336" s="69"/>
      <c r="AA336" s="69"/>
      <c r="AB336" s="49"/>
    </row>
    <row r="337" spans="1:28" ht="15.6" customHeight="1" x14ac:dyDescent="0.2">
      <c r="A337" s="212">
        <v>335</v>
      </c>
      <c r="B337" s="159" t="str">
        <f t="shared" si="5"/>
        <v>Drimia exuviata</v>
      </c>
      <c r="C337" s="160" t="s">
        <v>1593</v>
      </c>
      <c r="D337" s="72"/>
      <c r="E337" s="72" t="s">
        <v>1601</v>
      </c>
      <c r="F337" s="72" t="s">
        <v>1602</v>
      </c>
      <c r="G337" s="289" t="s">
        <v>1219</v>
      </c>
      <c r="H337" s="166" t="s">
        <v>3296</v>
      </c>
      <c r="I337" s="142">
        <v>4</v>
      </c>
      <c r="J337" s="143">
        <v>5</v>
      </c>
      <c r="K337" s="143">
        <v>5</v>
      </c>
      <c r="L337" s="143">
        <v>3</v>
      </c>
      <c r="M337" s="143">
        <v>1</v>
      </c>
      <c r="N337" s="201">
        <v>1</v>
      </c>
      <c r="O337" s="294" t="s">
        <v>2163</v>
      </c>
      <c r="P337" s="325" t="s">
        <v>3032</v>
      </c>
      <c r="Q337" s="298"/>
      <c r="R337" s="209">
        <v>36495</v>
      </c>
      <c r="S337" s="301"/>
      <c r="T337" s="81"/>
      <c r="U337" s="78"/>
      <c r="V337" s="69"/>
      <c r="W337" s="69"/>
      <c r="X337" s="69">
        <v>1</v>
      </c>
      <c r="Y337" s="69"/>
      <c r="Z337" s="69"/>
      <c r="AA337" s="69"/>
      <c r="AB337" s="49"/>
    </row>
    <row r="338" spans="1:28" ht="15.6" customHeight="1" x14ac:dyDescent="0.2">
      <c r="A338" s="212">
        <v>336</v>
      </c>
      <c r="B338" s="159" t="str">
        <f t="shared" si="5"/>
        <v>Drimia filifolia</v>
      </c>
      <c r="C338" s="160" t="s">
        <v>1593</v>
      </c>
      <c r="D338" s="72"/>
      <c r="E338" s="72" t="s">
        <v>1601</v>
      </c>
      <c r="F338" s="72" t="s">
        <v>2786</v>
      </c>
      <c r="G338" s="289" t="s">
        <v>1220</v>
      </c>
      <c r="H338" s="166" t="s">
        <v>3222</v>
      </c>
      <c r="I338" s="142">
        <v>4</v>
      </c>
      <c r="J338" s="143">
        <v>6</v>
      </c>
      <c r="K338" s="143">
        <v>5</v>
      </c>
      <c r="L338" s="143">
        <v>3</v>
      </c>
      <c r="M338" s="143">
        <v>1</v>
      </c>
      <c r="N338" s="201">
        <v>1</v>
      </c>
      <c r="O338" s="294" t="s">
        <v>2163</v>
      </c>
      <c r="P338" s="325" t="s">
        <v>3032</v>
      </c>
      <c r="Q338" s="298" t="s">
        <v>3144</v>
      </c>
      <c r="R338" s="209">
        <v>36404</v>
      </c>
      <c r="S338" s="301"/>
      <c r="T338" s="81"/>
      <c r="U338" s="78"/>
      <c r="V338" s="69"/>
      <c r="W338" s="69"/>
      <c r="X338" s="69">
        <v>1</v>
      </c>
      <c r="Y338" s="69"/>
      <c r="Z338" s="69"/>
      <c r="AA338" s="69"/>
      <c r="AB338" s="49"/>
    </row>
    <row r="339" spans="1:28" ht="15.6" customHeight="1" x14ac:dyDescent="0.2">
      <c r="A339" s="212">
        <v>337</v>
      </c>
      <c r="B339" s="159" t="str">
        <f t="shared" si="5"/>
        <v>Drimia media</v>
      </c>
      <c r="C339" s="160" t="s">
        <v>1593</v>
      </c>
      <c r="D339" s="72" t="s">
        <v>2369</v>
      </c>
      <c r="E339" s="72" t="s">
        <v>1601</v>
      </c>
      <c r="F339" s="72" t="s">
        <v>1603</v>
      </c>
      <c r="G339" s="289" t="s">
        <v>1221</v>
      </c>
      <c r="H339" s="166" t="s">
        <v>3222</v>
      </c>
      <c r="I339" s="142">
        <v>4</v>
      </c>
      <c r="J339" s="143">
        <v>6</v>
      </c>
      <c r="K339" s="143">
        <v>5</v>
      </c>
      <c r="L339" s="143">
        <v>3</v>
      </c>
      <c r="M339" s="143">
        <v>1</v>
      </c>
      <c r="N339" s="201">
        <v>1</v>
      </c>
      <c r="O339" s="294" t="s">
        <v>2163</v>
      </c>
      <c r="P339" s="325" t="s">
        <v>3032</v>
      </c>
      <c r="Q339" s="298"/>
      <c r="R339" s="209">
        <v>35796</v>
      </c>
      <c r="S339" s="301"/>
      <c r="T339" s="81">
        <v>1</v>
      </c>
      <c r="U339" s="78"/>
      <c r="V339" s="69"/>
      <c r="W339" s="69"/>
      <c r="X339" s="69">
        <v>1</v>
      </c>
      <c r="Y339" s="69"/>
      <c r="Z339" s="69"/>
      <c r="AA339" s="69"/>
      <c r="AB339" s="49"/>
    </row>
    <row r="340" spans="1:28" ht="15.6" customHeight="1" x14ac:dyDescent="0.2">
      <c r="A340" s="212">
        <v>338</v>
      </c>
      <c r="B340" s="159" t="str">
        <f t="shared" si="5"/>
        <v>Lachenalia bulbifera</v>
      </c>
      <c r="C340" s="160" t="s">
        <v>1593</v>
      </c>
      <c r="D340" s="72" t="s">
        <v>2370</v>
      </c>
      <c r="E340" s="72" t="s">
        <v>1604</v>
      </c>
      <c r="F340" s="72" t="s">
        <v>1605</v>
      </c>
      <c r="G340" s="289" t="s">
        <v>1222</v>
      </c>
      <c r="H340" s="166" t="s">
        <v>1287</v>
      </c>
      <c r="I340" s="142">
        <v>4</v>
      </c>
      <c r="J340" s="143">
        <v>6</v>
      </c>
      <c r="K340" s="143">
        <v>5</v>
      </c>
      <c r="L340" s="143">
        <v>2</v>
      </c>
      <c r="M340" s="143">
        <v>1</v>
      </c>
      <c r="N340" s="201">
        <v>1</v>
      </c>
      <c r="O340" s="294" t="s">
        <v>2163</v>
      </c>
      <c r="P340" s="325" t="s">
        <v>3032</v>
      </c>
      <c r="Q340" s="298"/>
      <c r="R340" s="209">
        <v>35612</v>
      </c>
      <c r="S340" s="301"/>
      <c r="T340" s="81">
        <v>1</v>
      </c>
      <c r="U340" s="78"/>
      <c r="V340" s="69">
        <v>1</v>
      </c>
      <c r="W340" s="69"/>
      <c r="X340" s="69">
        <v>1</v>
      </c>
      <c r="Y340" s="69"/>
      <c r="Z340" s="69"/>
      <c r="AA340" s="69"/>
      <c r="AB340" s="49"/>
    </row>
    <row r="341" spans="1:28" ht="15.6" customHeight="1" x14ac:dyDescent="0.2">
      <c r="A341" s="212">
        <v>339</v>
      </c>
      <c r="B341" s="159" t="str">
        <f t="shared" si="5"/>
        <v>Lachenalia montana</v>
      </c>
      <c r="C341" s="160" t="s">
        <v>1593</v>
      </c>
      <c r="D341" s="72"/>
      <c r="E341" s="72" t="s">
        <v>1604</v>
      </c>
      <c r="F341" s="72" t="s">
        <v>1606</v>
      </c>
      <c r="G341" s="289" t="s">
        <v>1223</v>
      </c>
      <c r="H341" s="166" t="s">
        <v>1287</v>
      </c>
      <c r="I341" s="142">
        <v>4</v>
      </c>
      <c r="J341" s="143">
        <v>6</v>
      </c>
      <c r="K341" s="143">
        <v>5</v>
      </c>
      <c r="L341" s="143">
        <v>2</v>
      </c>
      <c r="M341" s="143">
        <v>1</v>
      </c>
      <c r="N341" s="201">
        <v>1</v>
      </c>
      <c r="O341" s="294" t="s">
        <v>2163</v>
      </c>
      <c r="P341" s="325" t="s">
        <v>3032</v>
      </c>
      <c r="Q341" s="298"/>
      <c r="R341" s="209">
        <v>37530</v>
      </c>
      <c r="S341" s="301"/>
      <c r="T341" s="81">
        <v>1</v>
      </c>
      <c r="U341" s="78"/>
      <c r="V341" s="69"/>
      <c r="W341" s="69">
        <v>1</v>
      </c>
      <c r="X341" s="69">
        <v>1</v>
      </c>
      <c r="Y341" s="69"/>
      <c r="Z341" s="69"/>
      <c r="AA341" s="69"/>
      <c r="AB341" s="49"/>
    </row>
    <row r="342" spans="1:28" ht="15.6" customHeight="1" x14ac:dyDescent="0.2">
      <c r="A342" s="212">
        <v>340</v>
      </c>
      <c r="B342" s="159" t="str">
        <f t="shared" si="5"/>
        <v>Lachenalia rosea</v>
      </c>
      <c r="C342" s="160" t="s">
        <v>1593</v>
      </c>
      <c r="D342" s="72"/>
      <c r="E342" s="72" t="s">
        <v>1604</v>
      </c>
      <c r="F342" s="72" t="s">
        <v>1607</v>
      </c>
      <c r="G342" s="289" t="s">
        <v>1224</v>
      </c>
      <c r="H342" s="166" t="s">
        <v>1287</v>
      </c>
      <c r="I342" s="142">
        <v>4</v>
      </c>
      <c r="J342" s="143">
        <v>6</v>
      </c>
      <c r="K342" s="143">
        <v>5</v>
      </c>
      <c r="L342" s="143">
        <v>2</v>
      </c>
      <c r="M342" s="143">
        <v>1</v>
      </c>
      <c r="N342" s="201">
        <v>1</v>
      </c>
      <c r="O342" s="294" t="s">
        <v>2163</v>
      </c>
      <c r="P342" s="325" t="s">
        <v>3032</v>
      </c>
      <c r="Q342" s="298"/>
      <c r="R342" s="209">
        <v>35612</v>
      </c>
      <c r="S342" s="301"/>
      <c r="T342" s="81">
        <v>1</v>
      </c>
      <c r="U342" s="78">
        <v>1</v>
      </c>
      <c r="V342" s="69"/>
      <c r="W342" s="69"/>
      <c r="X342" s="69"/>
      <c r="Y342" s="69"/>
      <c r="Z342" s="69"/>
      <c r="AA342" s="69"/>
      <c r="AB342" s="49"/>
    </row>
    <row r="343" spans="1:28" ht="15.6" customHeight="1" x14ac:dyDescent="0.2">
      <c r="A343" s="212">
        <v>341</v>
      </c>
      <c r="B343" s="159" t="str">
        <f t="shared" si="5"/>
        <v>Lachenalia variegata</v>
      </c>
      <c r="C343" s="160" t="s">
        <v>1593</v>
      </c>
      <c r="D343" s="72"/>
      <c r="E343" s="72" t="s">
        <v>1604</v>
      </c>
      <c r="F343" s="72" t="s">
        <v>1608</v>
      </c>
      <c r="G343" s="289" t="s">
        <v>1225</v>
      </c>
      <c r="H343" s="166" t="s">
        <v>1287</v>
      </c>
      <c r="I343" s="142">
        <v>4</v>
      </c>
      <c r="J343" s="143">
        <v>6</v>
      </c>
      <c r="K343" s="143">
        <v>5</v>
      </c>
      <c r="L343" s="143">
        <v>2</v>
      </c>
      <c r="M343" s="143">
        <v>1</v>
      </c>
      <c r="N343" s="201">
        <v>1</v>
      </c>
      <c r="O343" s="294" t="s">
        <v>2163</v>
      </c>
      <c r="P343" s="325" t="s">
        <v>3032</v>
      </c>
      <c r="Q343" s="298"/>
      <c r="R343" s="209">
        <v>36617</v>
      </c>
      <c r="S343" s="301"/>
      <c r="T343" s="81">
        <v>1</v>
      </c>
      <c r="U343" s="78">
        <v>1</v>
      </c>
      <c r="V343" s="69"/>
      <c r="W343" s="69"/>
      <c r="X343" s="69">
        <v>1</v>
      </c>
      <c r="Y343" s="69"/>
      <c r="Z343" s="69"/>
      <c r="AA343" s="69"/>
      <c r="AB343" s="49"/>
    </row>
    <row r="344" spans="1:28" ht="15.6" customHeight="1" x14ac:dyDescent="0.2">
      <c r="A344" s="212">
        <v>342</v>
      </c>
      <c r="B344" s="159" t="str">
        <f t="shared" si="5"/>
        <v>Massonia pustulata</v>
      </c>
      <c r="C344" s="160" t="s">
        <v>1593</v>
      </c>
      <c r="D344" s="72"/>
      <c r="E344" s="72" t="s">
        <v>1609</v>
      </c>
      <c r="F344" s="72" t="s">
        <v>1610</v>
      </c>
      <c r="G344" s="289" t="s">
        <v>1226</v>
      </c>
      <c r="H344" s="166" t="s">
        <v>1287</v>
      </c>
      <c r="I344" s="142">
        <v>4</v>
      </c>
      <c r="J344" s="143">
        <v>6</v>
      </c>
      <c r="K344" s="143">
        <v>5</v>
      </c>
      <c r="L344" s="143">
        <v>1</v>
      </c>
      <c r="M344" s="143">
        <v>1</v>
      </c>
      <c r="N344" s="201">
        <v>1</v>
      </c>
      <c r="O344" s="294" t="s">
        <v>2163</v>
      </c>
      <c r="P344" s="325" t="s">
        <v>3032</v>
      </c>
      <c r="Q344" s="298"/>
      <c r="R344" s="209">
        <v>35612</v>
      </c>
      <c r="S344" s="301"/>
      <c r="T344" s="81">
        <v>1</v>
      </c>
      <c r="U344" s="78">
        <v>1</v>
      </c>
      <c r="V344" s="69">
        <v>1</v>
      </c>
      <c r="W344" s="69"/>
      <c r="X344" s="69">
        <v>1</v>
      </c>
      <c r="Y344" s="69"/>
      <c r="Z344" s="69"/>
      <c r="AA344" s="69"/>
      <c r="AB344" s="49"/>
    </row>
    <row r="345" spans="1:28" ht="15.6" customHeight="1" x14ac:dyDescent="0.2">
      <c r="A345" s="212">
        <v>343</v>
      </c>
      <c r="B345" s="159" t="str">
        <f t="shared" si="5"/>
        <v>Ornithogalum graminifolium</v>
      </c>
      <c r="C345" s="160" t="s">
        <v>1593</v>
      </c>
      <c r="D345" s="72"/>
      <c r="E345" s="72" t="s">
        <v>1611</v>
      </c>
      <c r="F345" s="72" t="s">
        <v>1612</v>
      </c>
      <c r="G345" s="289" t="s">
        <v>1227</v>
      </c>
      <c r="H345" s="166" t="s">
        <v>3222</v>
      </c>
      <c r="I345" s="142">
        <v>4</v>
      </c>
      <c r="J345" s="143">
        <v>6</v>
      </c>
      <c r="K345" s="143">
        <v>5</v>
      </c>
      <c r="L345" s="143">
        <v>3</v>
      </c>
      <c r="M345" s="143">
        <v>1</v>
      </c>
      <c r="N345" s="201">
        <v>1</v>
      </c>
      <c r="O345" s="294" t="s">
        <v>2163</v>
      </c>
      <c r="P345" s="325" t="s">
        <v>3032</v>
      </c>
      <c r="Q345" s="298"/>
      <c r="R345" s="209">
        <v>36130</v>
      </c>
      <c r="S345" s="301"/>
      <c r="T345" s="81">
        <v>1</v>
      </c>
      <c r="U345" s="78"/>
      <c r="V345" s="69"/>
      <c r="W345" s="69"/>
      <c r="X345" s="69">
        <v>1</v>
      </c>
      <c r="Y345" s="69"/>
      <c r="Z345" s="69"/>
      <c r="AA345" s="69"/>
      <c r="AB345" s="49"/>
    </row>
    <row r="346" spans="1:28" ht="15.6" customHeight="1" x14ac:dyDescent="0.2">
      <c r="A346" s="212">
        <v>344</v>
      </c>
      <c r="B346" s="159" t="str">
        <f t="shared" si="5"/>
        <v>Ornithogalum juncifolium</v>
      </c>
      <c r="C346" s="160" t="s">
        <v>1593</v>
      </c>
      <c r="D346" s="72"/>
      <c r="E346" s="72" t="s">
        <v>1611</v>
      </c>
      <c r="F346" s="72" t="s">
        <v>1613</v>
      </c>
      <c r="G346" s="289" t="s">
        <v>1228</v>
      </c>
      <c r="H346" s="166" t="s">
        <v>3222</v>
      </c>
      <c r="I346" s="142">
        <v>4</v>
      </c>
      <c r="J346" s="143">
        <v>6</v>
      </c>
      <c r="K346" s="143">
        <v>5</v>
      </c>
      <c r="L346" s="143">
        <v>3</v>
      </c>
      <c r="M346" s="143">
        <v>1</v>
      </c>
      <c r="N346" s="201">
        <v>1</v>
      </c>
      <c r="O346" s="294" t="s">
        <v>2163</v>
      </c>
      <c r="P346" s="325" t="s">
        <v>3032</v>
      </c>
      <c r="Q346" s="298"/>
      <c r="R346" s="209">
        <v>36923</v>
      </c>
      <c r="S346" s="301"/>
      <c r="T346" s="81">
        <v>1</v>
      </c>
      <c r="U346" s="78"/>
      <c r="V346" s="69"/>
      <c r="W346" s="69"/>
      <c r="X346" s="69">
        <v>1</v>
      </c>
      <c r="Y346" s="69"/>
      <c r="Z346" s="69"/>
      <c r="AA346" s="69"/>
      <c r="AB346" s="49"/>
    </row>
    <row r="347" spans="1:28" ht="15.6" customHeight="1" x14ac:dyDescent="0.2">
      <c r="A347" s="212">
        <v>345</v>
      </c>
      <c r="B347" s="159" t="str">
        <f t="shared" si="5"/>
        <v>Ornithogalum thyrsoides</v>
      </c>
      <c r="C347" s="160" t="s">
        <v>1593</v>
      </c>
      <c r="D347" s="72" t="s">
        <v>2371</v>
      </c>
      <c r="E347" s="72" t="s">
        <v>1611</v>
      </c>
      <c r="F347" s="72" t="s">
        <v>1614</v>
      </c>
      <c r="G347" s="289" t="s">
        <v>1229</v>
      </c>
      <c r="H347" s="166" t="s">
        <v>3222</v>
      </c>
      <c r="I347" s="142">
        <v>4</v>
      </c>
      <c r="J347" s="143">
        <v>6</v>
      </c>
      <c r="K347" s="143">
        <v>5</v>
      </c>
      <c r="L347" s="143">
        <v>3</v>
      </c>
      <c r="M347" s="143">
        <v>1</v>
      </c>
      <c r="N347" s="201">
        <v>1</v>
      </c>
      <c r="O347" s="294" t="s">
        <v>2163</v>
      </c>
      <c r="P347" s="325" t="s">
        <v>3032</v>
      </c>
      <c r="Q347" s="298"/>
      <c r="R347" s="209">
        <v>36069</v>
      </c>
      <c r="S347" s="301"/>
      <c r="T347" s="81">
        <v>1</v>
      </c>
      <c r="U347" s="78"/>
      <c r="V347" s="69"/>
      <c r="W347" s="69"/>
      <c r="X347" s="69">
        <v>1</v>
      </c>
      <c r="Y347" s="69"/>
      <c r="Z347" s="69"/>
      <c r="AA347" s="69">
        <v>1</v>
      </c>
      <c r="AB347" s="49"/>
    </row>
    <row r="348" spans="1:28" ht="15.6" customHeight="1" x14ac:dyDescent="0.2">
      <c r="A348" s="212">
        <v>346</v>
      </c>
      <c r="B348" s="159" t="str">
        <f t="shared" si="5"/>
        <v>Empodium plicatum</v>
      </c>
      <c r="C348" s="160" t="s">
        <v>1615</v>
      </c>
      <c r="D348" s="72" t="s">
        <v>2372</v>
      </c>
      <c r="E348" s="72" t="s">
        <v>1616</v>
      </c>
      <c r="F348" s="72" t="s">
        <v>1617</v>
      </c>
      <c r="G348" s="289" t="s">
        <v>1230</v>
      </c>
      <c r="H348" s="166" t="s">
        <v>3225</v>
      </c>
      <c r="I348" s="142">
        <v>4</v>
      </c>
      <c r="J348" s="143">
        <v>6</v>
      </c>
      <c r="K348" s="143">
        <v>9</v>
      </c>
      <c r="L348" s="143">
        <v>9</v>
      </c>
      <c r="M348" s="143">
        <v>9</v>
      </c>
      <c r="N348" s="201">
        <v>9</v>
      </c>
      <c r="O348" s="294" t="s">
        <v>2163</v>
      </c>
      <c r="P348" s="325" t="s">
        <v>3032</v>
      </c>
      <c r="Q348" s="298"/>
      <c r="R348" s="209">
        <v>37073</v>
      </c>
      <c r="S348" s="301"/>
      <c r="T348" s="81">
        <v>1</v>
      </c>
      <c r="U348" s="78"/>
      <c r="V348" s="69"/>
      <c r="W348" s="69">
        <v>1</v>
      </c>
      <c r="X348" s="69">
        <v>1</v>
      </c>
      <c r="Y348" s="69"/>
      <c r="Z348" s="69"/>
      <c r="AA348" s="69"/>
      <c r="AB348" s="49"/>
    </row>
    <row r="349" spans="1:28" ht="15.6" customHeight="1" x14ac:dyDescent="0.2">
      <c r="A349" s="212">
        <v>347</v>
      </c>
      <c r="B349" s="159" t="str">
        <f t="shared" si="5"/>
        <v>Spiloxene capensis</v>
      </c>
      <c r="C349" s="160" t="s">
        <v>1615</v>
      </c>
      <c r="D349" s="72" t="s">
        <v>2373</v>
      </c>
      <c r="E349" s="72" t="s">
        <v>1618</v>
      </c>
      <c r="F349" s="72" t="s">
        <v>2756</v>
      </c>
      <c r="G349" s="289" t="s">
        <v>1231</v>
      </c>
      <c r="H349" s="166" t="s">
        <v>3225</v>
      </c>
      <c r="I349" s="142">
        <v>4</v>
      </c>
      <c r="J349" s="143">
        <v>6</v>
      </c>
      <c r="K349" s="143">
        <v>9</v>
      </c>
      <c r="L349" s="143">
        <v>9</v>
      </c>
      <c r="M349" s="143">
        <v>9</v>
      </c>
      <c r="N349" s="201">
        <v>9</v>
      </c>
      <c r="O349" s="294" t="s">
        <v>2163</v>
      </c>
      <c r="P349" s="325" t="s">
        <v>3032</v>
      </c>
      <c r="Q349" s="298"/>
      <c r="R349" s="209">
        <v>35886</v>
      </c>
      <c r="S349" s="301"/>
      <c r="T349" s="81">
        <v>1</v>
      </c>
      <c r="U349" s="78"/>
      <c r="V349" s="69"/>
      <c r="W349" s="69"/>
      <c r="X349" s="69">
        <v>1</v>
      </c>
      <c r="Y349" s="69"/>
      <c r="Z349" s="69"/>
      <c r="AA349" s="69"/>
      <c r="AB349" s="49"/>
    </row>
    <row r="350" spans="1:28" ht="15.6" customHeight="1" x14ac:dyDescent="0.2">
      <c r="A350" s="212">
        <v>348</v>
      </c>
      <c r="B350" s="159" t="str">
        <f t="shared" si="5"/>
        <v>Apodytes dimidiata</v>
      </c>
      <c r="C350" s="160" t="s">
        <v>1619</v>
      </c>
      <c r="D350" s="72" t="s">
        <v>2374</v>
      </c>
      <c r="E350" s="72" t="s">
        <v>1620</v>
      </c>
      <c r="F350" s="72" t="s">
        <v>1621</v>
      </c>
      <c r="G350" s="289" t="s">
        <v>1232</v>
      </c>
      <c r="H350" s="166" t="s">
        <v>3297</v>
      </c>
      <c r="I350" s="142">
        <v>1</v>
      </c>
      <c r="J350" s="143">
        <v>1</v>
      </c>
      <c r="K350" s="143">
        <v>2</v>
      </c>
      <c r="L350" s="143">
        <v>1</v>
      </c>
      <c r="M350" s="143">
        <v>2</v>
      </c>
      <c r="N350" s="201">
        <v>3</v>
      </c>
      <c r="O350" s="294" t="s">
        <v>2173</v>
      </c>
      <c r="P350" s="325" t="s">
        <v>3032</v>
      </c>
      <c r="Q350" s="298"/>
      <c r="R350" s="209">
        <v>35612</v>
      </c>
      <c r="S350" s="301"/>
      <c r="T350" s="81">
        <v>1</v>
      </c>
      <c r="U350" s="78"/>
      <c r="V350" s="69"/>
      <c r="W350" s="69"/>
      <c r="X350" s="69"/>
      <c r="Y350" s="69"/>
      <c r="Z350" s="69">
        <v>1</v>
      </c>
      <c r="AA350" s="69"/>
      <c r="AB350" s="49"/>
    </row>
    <row r="351" spans="1:28" ht="15.6" customHeight="1" x14ac:dyDescent="0.2">
      <c r="A351" s="212">
        <v>349</v>
      </c>
      <c r="B351" s="159" t="str">
        <f t="shared" si="5"/>
        <v>Aristea africana</v>
      </c>
      <c r="C351" s="160" t="s">
        <v>1622</v>
      </c>
      <c r="D351" s="72"/>
      <c r="E351" s="72" t="s">
        <v>1623</v>
      </c>
      <c r="F351" s="72" t="s">
        <v>832</v>
      </c>
      <c r="G351" s="289" t="s">
        <v>1233</v>
      </c>
      <c r="H351" s="166" t="s">
        <v>3230</v>
      </c>
      <c r="I351" s="142">
        <v>3</v>
      </c>
      <c r="J351" s="143">
        <v>6</v>
      </c>
      <c r="K351" s="143">
        <v>4</v>
      </c>
      <c r="L351" s="143">
        <v>2</v>
      </c>
      <c r="M351" s="143">
        <v>2</v>
      </c>
      <c r="N351" s="201">
        <v>2</v>
      </c>
      <c r="O351" s="294" t="s">
        <v>2910</v>
      </c>
      <c r="P351" s="325" t="s">
        <v>3032</v>
      </c>
      <c r="Q351" s="298"/>
      <c r="R351" s="209">
        <v>35612</v>
      </c>
      <c r="S351" s="301"/>
      <c r="T351" s="81">
        <v>1</v>
      </c>
      <c r="U351" s="78"/>
      <c r="V351" s="69"/>
      <c r="W351" s="69"/>
      <c r="X351" s="69">
        <v>1</v>
      </c>
      <c r="Y351" s="69"/>
      <c r="Z351" s="69"/>
      <c r="AA351" s="69"/>
      <c r="AB351" s="49"/>
    </row>
    <row r="352" spans="1:28" ht="15.6" customHeight="1" x14ac:dyDescent="0.2">
      <c r="A352" s="212">
        <v>350</v>
      </c>
      <c r="B352" s="159" t="str">
        <f t="shared" si="5"/>
        <v>Aristea glauca</v>
      </c>
      <c r="C352" s="160" t="s">
        <v>1622</v>
      </c>
      <c r="D352" s="72"/>
      <c r="E352" s="72" t="s">
        <v>1623</v>
      </c>
      <c r="F352" s="72" t="s">
        <v>2771</v>
      </c>
      <c r="G352" s="289" t="s">
        <v>1234</v>
      </c>
      <c r="H352" s="166" t="s">
        <v>3230</v>
      </c>
      <c r="I352" s="142">
        <v>3</v>
      </c>
      <c r="J352" s="143">
        <v>6</v>
      </c>
      <c r="K352" s="143">
        <v>5</v>
      </c>
      <c r="L352" s="143">
        <v>2</v>
      </c>
      <c r="M352" s="143">
        <v>2</v>
      </c>
      <c r="N352" s="201">
        <v>1</v>
      </c>
      <c r="O352" s="294" t="s">
        <v>2910</v>
      </c>
      <c r="P352" s="325" t="s">
        <v>3032</v>
      </c>
      <c r="Q352" s="298"/>
      <c r="R352" s="209">
        <v>38018</v>
      </c>
      <c r="S352" s="301"/>
      <c r="T352" s="81">
        <v>1</v>
      </c>
      <c r="U352" s="78"/>
      <c r="V352" s="69"/>
      <c r="W352" s="69"/>
      <c r="X352" s="69">
        <v>1</v>
      </c>
      <c r="Y352" s="69"/>
      <c r="Z352" s="69"/>
      <c r="AA352" s="69"/>
      <c r="AB352" s="49"/>
    </row>
    <row r="353" spans="1:28" ht="15.6" customHeight="1" x14ac:dyDescent="0.2">
      <c r="A353" s="212">
        <v>351</v>
      </c>
      <c r="B353" s="159" t="str">
        <f t="shared" si="5"/>
        <v>Aristea macrocarpa</v>
      </c>
      <c r="C353" s="160" t="s">
        <v>1622</v>
      </c>
      <c r="D353" s="72" t="s">
        <v>2375</v>
      </c>
      <c r="E353" s="72" t="s">
        <v>1623</v>
      </c>
      <c r="F353" s="72" t="s">
        <v>2779</v>
      </c>
      <c r="G353" s="289" t="s">
        <v>1235</v>
      </c>
      <c r="H353" s="166" t="s">
        <v>3298</v>
      </c>
      <c r="I353" s="142">
        <v>3</v>
      </c>
      <c r="J353" s="143">
        <v>5</v>
      </c>
      <c r="K353" s="143">
        <v>5</v>
      </c>
      <c r="L353" s="143">
        <v>2</v>
      </c>
      <c r="M353" s="143">
        <v>2</v>
      </c>
      <c r="N353" s="201">
        <v>1</v>
      </c>
      <c r="O353" s="294" t="s">
        <v>2910</v>
      </c>
      <c r="P353" s="325" t="s">
        <v>3032</v>
      </c>
      <c r="Q353" s="298"/>
      <c r="R353" s="209">
        <v>36100</v>
      </c>
      <c r="S353" s="301" t="s">
        <v>2250</v>
      </c>
      <c r="T353" s="81"/>
      <c r="U353" s="78"/>
      <c r="V353" s="69"/>
      <c r="W353" s="69"/>
      <c r="X353" s="69">
        <v>1</v>
      </c>
      <c r="Y353" s="69"/>
      <c r="Z353" s="69"/>
      <c r="AA353" s="69"/>
      <c r="AB353" s="49"/>
    </row>
    <row r="354" spans="1:28" ht="15.6" customHeight="1" x14ac:dyDescent="0.2">
      <c r="A354" s="212">
        <v>352</v>
      </c>
      <c r="B354" s="159" t="str">
        <f t="shared" si="5"/>
        <v>Aristea oligocephala</v>
      </c>
      <c r="C354" s="160" t="s">
        <v>1622</v>
      </c>
      <c r="D354" s="72"/>
      <c r="E354" s="72" t="s">
        <v>1623</v>
      </c>
      <c r="F354" s="72" t="s">
        <v>1624</v>
      </c>
      <c r="G354" s="289" t="s">
        <v>1236</v>
      </c>
      <c r="H354" s="166" t="s">
        <v>3230</v>
      </c>
      <c r="I354" s="142">
        <v>3</v>
      </c>
      <c r="J354" s="143">
        <v>6</v>
      </c>
      <c r="K354" s="143">
        <v>4</v>
      </c>
      <c r="L354" s="143">
        <v>2</v>
      </c>
      <c r="M354" s="143">
        <v>2</v>
      </c>
      <c r="N354" s="201">
        <v>1</v>
      </c>
      <c r="O354" s="294" t="s">
        <v>2910</v>
      </c>
      <c r="P354" s="325" t="s">
        <v>3032</v>
      </c>
      <c r="Q354" s="298"/>
      <c r="R354" s="209">
        <v>37316</v>
      </c>
      <c r="S354" s="301"/>
      <c r="T354" s="81">
        <v>1</v>
      </c>
      <c r="U354" s="78"/>
      <c r="V354" s="69"/>
      <c r="W354" s="69"/>
      <c r="X354" s="69">
        <v>1</v>
      </c>
      <c r="Y354" s="69"/>
      <c r="Z354" s="69"/>
      <c r="AA354" s="69"/>
      <c r="AB354" s="49"/>
    </row>
    <row r="355" spans="1:28" ht="15.6" customHeight="1" x14ac:dyDescent="0.2">
      <c r="A355" s="212">
        <v>353</v>
      </c>
      <c r="B355" s="159" t="str">
        <f t="shared" si="5"/>
        <v>Aristea spiralis</v>
      </c>
      <c r="C355" s="160" t="s">
        <v>1622</v>
      </c>
      <c r="D355" s="72"/>
      <c r="E355" s="72" t="s">
        <v>1623</v>
      </c>
      <c r="F355" s="72" t="s">
        <v>1625</v>
      </c>
      <c r="G355" s="289" t="s">
        <v>1237</v>
      </c>
      <c r="H355" s="166" t="s">
        <v>3230</v>
      </c>
      <c r="I355" s="142">
        <v>3</v>
      </c>
      <c r="J355" s="143">
        <v>6</v>
      </c>
      <c r="K355" s="143">
        <v>5</v>
      </c>
      <c r="L355" s="143">
        <v>2</v>
      </c>
      <c r="M355" s="143">
        <v>2</v>
      </c>
      <c r="N355" s="201">
        <v>1</v>
      </c>
      <c r="O355" s="294" t="s">
        <v>2910</v>
      </c>
      <c r="P355" s="325" t="s">
        <v>3032</v>
      </c>
      <c r="Q355" s="298"/>
      <c r="R355" s="209">
        <v>35612</v>
      </c>
      <c r="S355" s="301"/>
      <c r="T355" s="81">
        <v>1</v>
      </c>
      <c r="U355" s="78"/>
      <c r="V355" s="69"/>
      <c r="W355" s="69"/>
      <c r="X355" s="69">
        <v>1</v>
      </c>
      <c r="Y355" s="69"/>
      <c r="Z355" s="69"/>
      <c r="AA355" s="69"/>
      <c r="AB355" s="49"/>
    </row>
    <row r="356" spans="1:28" ht="15.6" customHeight="1" x14ac:dyDescent="0.2">
      <c r="A356" s="212">
        <v>354</v>
      </c>
      <c r="B356" s="159" t="str">
        <f t="shared" si="5"/>
        <v>Babiana ambigua</v>
      </c>
      <c r="C356" s="160" t="s">
        <v>1622</v>
      </c>
      <c r="D356" s="72"/>
      <c r="E356" s="72" t="s">
        <v>1626</v>
      </c>
      <c r="F356" s="72" t="s">
        <v>1627</v>
      </c>
      <c r="G356" s="289" t="s">
        <v>1238</v>
      </c>
      <c r="H356" s="166" t="s">
        <v>3299</v>
      </c>
      <c r="I356" s="142">
        <v>4</v>
      </c>
      <c r="J356" s="143">
        <v>6</v>
      </c>
      <c r="K356" s="143">
        <v>5</v>
      </c>
      <c r="L356" s="143">
        <v>2</v>
      </c>
      <c r="M356" s="143">
        <v>2</v>
      </c>
      <c r="N356" s="201">
        <v>1</v>
      </c>
      <c r="O356" s="294" t="s">
        <v>2163</v>
      </c>
      <c r="P356" s="325" t="s">
        <v>3032</v>
      </c>
      <c r="Q356" s="298"/>
      <c r="R356" s="209">
        <v>35612</v>
      </c>
      <c r="S356" s="301"/>
      <c r="T356" s="81">
        <v>1</v>
      </c>
      <c r="U356" s="78">
        <v>1</v>
      </c>
      <c r="V356" s="69"/>
      <c r="W356" s="69"/>
      <c r="X356" s="69"/>
      <c r="Y356" s="69"/>
      <c r="Z356" s="69"/>
      <c r="AA356" s="69"/>
      <c r="AB356" s="49"/>
    </row>
    <row r="357" spans="1:28" ht="15.6" customHeight="1" x14ac:dyDescent="0.2">
      <c r="A357" s="212">
        <v>355</v>
      </c>
      <c r="B357" s="159" t="str">
        <f t="shared" si="5"/>
        <v>Babiana nana</v>
      </c>
      <c r="C357" s="160" t="s">
        <v>1622</v>
      </c>
      <c r="D357" s="72" t="s">
        <v>2376</v>
      </c>
      <c r="E357" s="72" t="s">
        <v>1626</v>
      </c>
      <c r="F357" s="72" t="s">
        <v>990</v>
      </c>
      <c r="G357" s="289" t="s">
        <v>1239</v>
      </c>
      <c r="H357" s="166" t="s">
        <v>3299</v>
      </c>
      <c r="I357" s="142">
        <v>4</v>
      </c>
      <c r="J357" s="143">
        <v>6</v>
      </c>
      <c r="K357" s="143">
        <v>5</v>
      </c>
      <c r="L357" s="143">
        <v>2</v>
      </c>
      <c r="M357" s="143">
        <v>2</v>
      </c>
      <c r="N357" s="201">
        <v>1</v>
      </c>
      <c r="O357" s="294" t="s">
        <v>2163</v>
      </c>
      <c r="P357" s="325" t="s">
        <v>3032</v>
      </c>
      <c r="Q357" s="298"/>
      <c r="R357" s="209">
        <v>35612</v>
      </c>
      <c r="S357" s="301"/>
      <c r="T357" s="81">
        <v>1</v>
      </c>
      <c r="U357" s="78"/>
      <c r="V357" s="69"/>
      <c r="W357" s="69"/>
      <c r="X357" s="69">
        <v>1</v>
      </c>
      <c r="Y357" s="69"/>
      <c r="Z357" s="69"/>
      <c r="AA357" s="69"/>
      <c r="AB357" s="49"/>
    </row>
    <row r="358" spans="1:28" ht="15.6" customHeight="1" x14ac:dyDescent="0.2">
      <c r="A358" s="212">
        <v>356</v>
      </c>
      <c r="B358" s="159" t="str">
        <f t="shared" si="5"/>
        <v>Bobartia indica</v>
      </c>
      <c r="C358" s="160" t="s">
        <v>1622</v>
      </c>
      <c r="D358" s="72" t="s">
        <v>2377</v>
      </c>
      <c r="E358" s="72" t="s">
        <v>1628</v>
      </c>
      <c r="F358" s="72" t="s">
        <v>997</v>
      </c>
      <c r="G358" s="289" t="s">
        <v>1240</v>
      </c>
      <c r="H358" s="166" t="s">
        <v>3298</v>
      </c>
      <c r="I358" s="142">
        <v>3</v>
      </c>
      <c r="J358" s="143">
        <v>5</v>
      </c>
      <c r="K358" s="143">
        <v>4</v>
      </c>
      <c r="L358" s="143">
        <v>2</v>
      </c>
      <c r="M358" s="143">
        <v>2</v>
      </c>
      <c r="N358" s="201">
        <v>1</v>
      </c>
      <c r="O358" s="294" t="s">
        <v>2910</v>
      </c>
      <c r="P358" s="325" t="s">
        <v>3032</v>
      </c>
      <c r="Q358" s="298"/>
      <c r="R358" s="209">
        <v>35612</v>
      </c>
      <c r="S358" s="301"/>
      <c r="T358" s="81">
        <v>1</v>
      </c>
      <c r="U358" s="78"/>
      <c r="V358" s="69"/>
      <c r="W358" s="69"/>
      <c r="X358" s="69">
        <v>1</v>
      </c>
      <c r="Y358" s="69"/>
      <c r="Z358" s="69"/>
      <c r="AA358" s="69"/>
      <c r="AB358" s="49"/>
    </row>
    <row r="359" spans="1:28" ht="15.6" customHeight="1" x14ac:dyDescent="0.2">
      <c r="A359" s="212">
        <v>357</v>
      </c>
      <c r="B359" s="159" t="str">
        <f t="shared" si="5"/>
        <v>Chasmanthe aethiopica</v>
      </c>
      <c r="C359" s="160" t="s">
        <v>1622</v>
      </c>
      <c r="D359" s="72" t="s">
        <v>2378</v>
      </c>
      <c r="E359" s="72" t="s">
        <v>1629</v>
      </c>
      <c r="F359" s="72" t="s">
        <v>2817</v>
      </c>
      <c r="G359" s="289" t="s">
        <v>1241</v>
      </c>
      <c r="H359" s="166" t="s">
        <v>3243</v>
      </c>
      <c r="I359" s="142">
        <v>4</v>
      </c>
      <c r="J359" s="143">
        <v>5</v>
      </c>
      <c r="K359" s="143">
        <v>5</v>
      </c>
      <c r="L359" s="143">
        <v>2</v>
      </c>
      <c r="M359" s="143">
        <v>2</v>
      </c>
      <c r="N359" s="201">
        <v>1</v>
      </c>
      <c r="O359" s="294" t="s">
        <v>2163</v>
      </c>
      <c r="P359" s="325" t="s">
        <v>3032</v>
      </c>
      <c r="Q359" s="298"/>
      <c r="R359" s="209">
        <v>35612</v>
      </c>
      <c r="S359" s="301"/>
      <c r="T359" s="81">
        <v>1</v>
      </c>
      <c r="U359" s="78">
        <v>1</v>
      </c>
      <c r="V359" s="69"/>
      <c r="W359" s="69"/>
      <c r="X359" s="69"/>
      <c r="Y359" s="69">
        <v>1</v>
      </c>
      <c r="Z359" s="69"/>
      <c r="AA359" s="69"/>
      <c r="AB359" s="49"/>
    </row>
    <row r="360" spans="1:28" ht="15.6" customHeight="1" x14ac:dyDescent="0.2">
      <c r="A360" s="212">
        <v>358</v>
      </c>
      <c r="B360" s="159" t="str">
        <f t="shared" si="5"/>
        <v>Geissorhiza aspera</v>
      </c>
      <c r="C360" s="160" t="s">
        <v>1622</v>
      </c>
      <c r="D360" s="72" t="s">
        <v>2379</v>
      </c>
      <c r="E360" s="72" t="s">
        <v>1630</v>
      </c>
      <c r="F360" s="72" t="s">
        <v>1631</v>
      </c>
      <c r="G360" s="289" t="s">
        <v>1242</v>
      </c>
      <c r="H360" s="166" t="s">
        <v>3299</v>
      </c>
      <c r="I360" s="142">
        <v>4</v>
      </c>
      <c r="J360" s="143">
        <v>6</v>
      </c>
      <c r="K360" s="143">
        <v>4</v>
      </c>
      <c r="L360" s="143">
        <v>2</v>
      </c>
      <c r="M360" s="143">
        <v>2</v>
      </c>
      <c r="N360" s="201">
        <v>1</v>
      </c>
      <c r="O360" s="294" t="s">
        <v>2163</v>
      </c>
      <c r="P360" s="325" t="s">
        <v>3032</v>
      </c>
      <c r="Q360" s="298"/>
      <c r="R360" s="209">
        <v>36586</v>
      </c>
      <c r="S360" s="301"/>
      <c r="T360" s="81">
        <v>1</v>
      </c>
      <c r="U360" s="78"/>
      <c r="V360" s="69"/>
      <c r="W360" s="69">
        <v>1</v>
      </c>
      <c r="X360" s="69">
        <v>1</v>
      </c>
      <c r="Y360" s="69"/>
      <c r="Z360" s="69"/>
      <c r="AA360" s="69"/>
      <c r="AB360" s="49"/>
    </row>
    <row r="361" spans="1:28" ht="15.6" customHeight="1" x14ac:dyDescent="0.2">
      <c r="A361" s="212">
        <v>359</v>
      </c>
      <c r="B361" s="159" t="str">
        <f t="shared" si="5"/>
        <v>Gladiolus brevifolius</v>
      </c>
      <c r="C361" s="160" t="s">
        <v>1622</v>
      </c>
      <c r="D361" s="72" t="s">
        <v>2380</v>
      </c>
      <c r="E361" s="72" t="s">
        <v>1632</v>
      </c>
      <c r="F361" s="72" t="s">
        <v>1633</v>
      </c>
      <c r="G361" s="289" t="s">
        <v>1243</v>
      </c>
      <c r="H361" s="166" t="s">
        <v>3300</v>
      </c>
      <c r="I361" s="142">
        <v>4</v>
      </c>
      <c r="J361" s="143">
        <v>6</v>
      </c>
      <c r="K361" s="143">
        <v>2</v>
      </c>
      <c r="L361" s="143">
        <v>2</v>
      </c>
      <c r="M361" s="143">
        <v>2</v>
      </c>
      <c r="N361" s="201">
        <v>4</v>
      </c>
      <c r="O361" s="294" t="s">
        <v>2163</v>
      </c>
      <c r="P361" s="325" t="s">
        <v>3032</v>
      </c>
      <c r="Q361" s="298"/>
      <c r="R361" s="209">
        <v>35855</v>
      </c>
      <c r="S361" s="301"/>
      <c r="T361" s="81">
        <v>1</v>
      </c>
      <c r="U361" s="78"/>
      <c r="V361" s="69"/>
      <c r="W361" s="69"/>
      <c r="X361" s="69">
        <v>1</v>
      </c>
      <c r="Y361" s="69"/>
      <c r="Z361" s="69"/>
      <c r="AA361" s="69"/>
      <c r="AB361" s="49"/>
    </row>
    <row r="362" spans="1:28" ht="15.6" customHeight="1" x14ac:dyDescent="0.2">
      <c r="A362" s="212">
        <v>360</v>
      </c>
      <c r="B362" s="159" t="str">
        <f t="shared" si="5"/>
        <v>Gladiolus carinatus</v>
      </c>
      <c r="C362" s="160" t="s">
        <v>1622</v>
      </c>
      <c r="D362" s="72" t="s">
        <v>2381</v>
      </c>
      <c r="E362" s="72" t="s">
        <v>1632</v>
      </c>
      <c r="F362" s="72" t="s">
        <v>1634</v>
      </c>
      <c r="G362" s="289" t="s">
        <v>1244</v>
      </c>
      <c r="H362" s="166" t="s">
        <v>3299</v>
      </c>
      <c r="I362" s="142">
        <v>4</v>
      </c>
      <c r="J362" s="143">
        <v>6</v>
      </c>
      <c r="K362" s="143">
        <v>5</v>
      </c>
      <c r="L362" s="143">
        <v>2</v>
      </c>
      <c r="M362" s="143">
        <v>2</v>
      </c>
      <c r="N362" s="201">
        <v>1</v>
      </c>
      <c r="O362" s="294" t="s">
        <v>2163</v>
      </c>
      <c r="P362" s="325" t="s">
        <v>3032</v>
      </c>
      <c r="Q362" s="298" t="s">
        <v>3145</v>
      </c>
      <c r="R362" s="209">
        <v>37135</v>
      </c>
      <c r="S362" s="301"/>
      <c r="T362" s="81">
        <v>1</v>
      </c>
      <c r="U362" s="78">
        <v>1</v>
      </c>
      <c r="V362" s="69"/>
      <c r="W362" s="69"/>
      <c r="X362" s="69"/>
      <c r="Y362" s="69"/>
      <c r="Z362" s="69"/>
      <c r="AA362" s="69"/>
      <c r="AB362" s="49"/>
    </row>
    <row r="363" spans="1:28" ht="15.6" customHeight="1" x14ac:dyDescent="0.2">
      <c r="A363" s="212">
        <v>361</v>
      </c>
      <c r="B363" s="159" t="str">
        <f t="shared" si="5"/>
        <v>Gladiolus carneus</v>
      </c>
      <c r="C363" s="160" t="s">
        <v>1622</v>
      </c>
      <c r="D363" s="72" t="s">
        <v>2382</v>
      </c>
      <c r="E363" s="72" t="s">
        <v>1632</v>
      </c>
      <c r="F363" s="72" t="s">
        <v>1635</v>
      </c>
      <c r="G363" s="289" t="s">
        <v>536</v>
      </c>
      <c r="H363" s="166" t="s">
        <v>3299</v>
      </c>
      <c r="I363" s="142">
        <v>4</v>
      </c>
      <c r="J363" s="143">
        <v>6</v>
      </c>
      <c r="K363" s="143">
        <v>4</v>
      </c>
      <c r="L363" s="143">
        <v>2</v>
      </c>
      <c r="M363" s="143">
        <v>2</v>
      </c>
      <c r="N363" s="201">
        <v>1</v>
      </c>
      <c r="O363" s="294" t="s">
        <v>2163</v>
      </c>
      <c r="P363" s="325" t="s">
        <v>3032</v>
      </c>
      <c r="Q363" s="298"/>
      <c r="R363" s="209">
        <v>35916</v>
      </c>
      <c r="S363" s="301"/>
      <c r="T363" s="81">
        <v>1</v>
      </c>
      <c r="U363" s="78"/>
      <c r="V363" s="69"/>
      <c r="W363" s="69"/>
      <c r="X363" s="69">
        <v>1</v>
      </c>
      <c r="Y363" s="69"/>
      <c r="Z363" s="69"/>
      <c r="AA363" s="69"/>
      <c r="AB363" s="49"/>
    </row>
    <row r="364" spans="1:28" ht="15.6" customHeight="1" x14ac:dyDescent="0.2">
      <c r="A364" s="212">
        <v>362</v>
      </c>
      <c r="B364" s="159" t="str">
        <f t="shared" si="5"/>
        <v>Gladiolus cunonius</v>
      </c>
      <c r="C364" s="160" t="s">
        <v>1622</v>
      </c>
      <c r="D364" s="72" t="s">
        <v>2383</v>
      </c>
      <c r="E364" s="72" t="s">
        <v>1632</v>
      </c>
      <c r="F364" s="72" t="s">
        <v>1636</v>
      </c>
      <c r="G364" s="289" t="s">
        <v>1245</v>
      </c>
      <c r="H364" s="166" t="s">
        <v>3299</v>
      </c>
      <c r="I364" s="142">
        <v>4</v>
      </c>
      <c r="J364" s="143">
        <v>6</v>
      </c>
      <c r="K364" s="143">
        <v>3</v>
      </c>
      <c r="L364" s="143">
        <v>2</v>
      </c>
      <c r="M364" s="143">
        <v>2</v>
      </c>
      <c r="N364" s="201">
        <v>3</v>
      </c>
      <c r="O364" s="294" t="s">
        <v>2163</v>
      </c>
      <c r="P364" s="325" t="s">
        <v>3032</v>
      </c>
      <c r="Q364" s="298"/>
      <c r="R364" s="209">
        <v>36069</v>
      </c>
      <c r="S364" s="301"/>
      <c r="T364" s="81">
        <v>1</v>
      </c>
      <c r="U364" s="78">
        <v>1</v>
      </c>
      <c r="V364" s="69"/>
      <c r="W364" s="69"/>
      <c r="X364" s="69"/>
      <c r="Y364" s="69">
        <v>1</v>
      </c>
      <c r="Z364" s="69"/>
      <c r="AA364" s="69"/>
      <c r="AB364" s="49"/>
    </row>
    <row r="365" spans="1:28" ht="15.6" customHeight="1" x14ac:dyDescent="0.2">
      <c r="A365" s="212">
        <v>363</v>
      </c>
      <c r="B365" s="159" t="str">
        <f t="shared" si="5"/>
        <v>Gladiolus debilis</v>
      </c>
      <c r="C365" s="160" t="s">
        <v>1622</v>
      </c>
      <c r="D365" s="72" t="s">
        <v>2384</v>
      </c>
      <c r="E365" s="72" t="s">
        <v>1632</v>
      </c>
      <c r="F365" s="72" t="s">
        <v>855</v>
      </c>
      <c r="G365" s="289" t="s">
        <v>1246</v>
      </c>
      <c r="H365" s="166" t="s">
        <v>3299</v>
      </c>
      <c r="I365" s="142">
        <v>4</v>
      </c>
      <c r="J365" s="143">
        <v>6</v>
      </c>
      <c r="K365" s="143">
        <v>4</v>
      </c>
      <c r="L365" s="143">
        <v>2</v>
      </c>
      <c r="M365" s="143">
        <v>2</v>
      </c>
      <c r="N365" s="201">
        <v>1</v>
      </c>
      <c r="O365" s="294" t="s">
        <v>2163</v>
      </c>
      <c r="P365" s="325" t="s">
        <v>3032</v>
      </c>
      <c r="Q365" s="298" t="s">
        <v>3145</v>
      </c>
      <c r="R365" s="209">
        <v>35612</v>
      </c>
      <c r="S365" s="301"/>
      <c r="T365" s="81">
        <v>1</v>
      </c>
      <c r="U365" s="78"/>
      <c r="V365" s="69">
        <v>1</v>
      </c>
      <c r="W365" s="69"/>
      <c r="X365" s="69"/>
      <c r="Y365" s="69"/>
      <c r="Z365" s="69"/>
      <c r="AA365" s="69"/>
      <c r="AB365" s="49"/>
    </row>
    <row r="366" spans="1:28" ht="15.6" customHeight="1" x14ac:dyDescent="0.2">
      <c r="A366" s="212">
        <v>364</v>
      </c>
      <c r="B366" s="159" t="str">
        <f t="shared" si="5"/>
        <v>Gladiolus martleyi</v>
      </c>
      <c r="C366" s="160" t="s">
        <v>1622</v>
      </c>
      <c r="D366" s="72"/>
      <c r="E366" s="72" t="s">
        <v>1632</v>
      </c>
      <c r="F366" s="72" t="s">
        <v>1637</v>
      </c>
      <c r="G366" s="289" t="s">
        <v>1247</v>
      </c>
      <c r="H366" s="166" t="s">
        <v>3299</v>
      </c>
      <c r="I366" s="142">
        <v>4</v>
      </c>
      <c r="J366" s="143">
        <v>6</v>
      </c>
      <c r="K366" s="143">
        <v>5</v>
      </c>
      <c r="L366" s="143">
        <v>2</v>
      </c>
      <c r="M366" s="143">
        <v>2</v>
      </c>
      <c r="N366" s="201">
        <v>1</v>
      </c>
      <c r="O366" s="294" t="s">
        <v>2163</v>
      </c>
      <c r="P366" s="325" t="s">
        <v>3032</v>
      </c>
      <c r="Q366" s="298"/>
      <c r="R366" s="209">
        <v>36281</v>
      </c>
      <c r="S366" s="301"/>
      <c r="T366" s="81">
        <v>1</v>
      </c>
      <c r="U366" s="78"/>
      <c r="V366" s="69"/>
      <c r="W366" s="69"/>
      <c r="X366" s="69">
        <v>1</v>
      </c>
      <c r="Y366" s="69"/>
      <c r="Z366" s="69"/>
      <c r="AA366" s="69"/>
      <c r="AB366" s="49"/>
    </row>
    <row r="367" spans="1:28" ht="15.6" customHeight="1" x14ac:dyDescent="0.2">
      <c r="A367" s="212">
        <v>365</v>
      </c>
      <c r="B367" s="159" t="str">
        <f t="shared" si="5"/>
        <v>Gladiolus meridionalis</v>
      </c>
      <c r="C367" s="160" t="s">
        <v>1622</v>
      </c>
      <c r="D367" s="72"/>
      <c r="E367" s="72" t="s">
        <v>1632</v>
      </c>
      <c r="F367" s="72" t="s">
        <v>1638</v>
      </c>
      <c r="G367" s="289" t="s">
        <v>1248</v>
      </c>
      <c r="H367" s="166" t="s">
        <v>3225</v>
      </c>
      <c r="I367" s="142">
        <v>4</v>
      </c>
      <c r="J367" s="143">
        <v>6</v>
      </c>
      <c r="K367" s="143">
        <v>9</v>
      </c>
      <c r="L367" s="143">
        <v>2</v>
      </c>
      <c r="M367" s="143">
        <v>9</v>
      </c>
      <c r="N367" s="201">
        <v>9</v>
      </c>
      <c r="O367" s="294" t="s">
        <v>2163</v>
      </c>
      <c r="P367" s="325" t="s">
        <v>3032</v>
      </c>
      <c r="Q367" s="298"/>
      <c r="R367" s="209">
        <v>35551</v>
      </c>
      <c r="S367" s="301" t="s">
        <v>2250</v>
      </c>
      <c r="T367" s="81"/>
      <c r="U367" s="78"/>
      <c r="V367" s="69"/>
      <c r="W367" s="69"/>
      <c r="X367" s="69">
        <v>1</v>
      </c>
      <c r="Y367" s="69"/>
      <c r="Z367" s="69"/>
      <c r="AA367" s="69"/>
      <c r="AB367" s="49"/>
    </row>
    <row r="368" spans="1:28" ht="15.6" customHeight="1" x14ac:dyDescent="0.2">
      <c r="A368" s="212">
        <v>366</v>
      </c>
      <c r="B368" s="159" t="str">
        <f t="shared" si="5"/>
        <v>Gladiolus miniatus</v>
      </c>
      <c r="C368" s="160" t="s">
        <v>1622</v>
      </c>
      <c r="D368" s="72"/>
      <c r="E368" s="72" t="s">
        <v>1632</v>
      </c>
      <c r="F368" s="72" t="s">
        <v>1639</v>
      </c>
      <c r="G368" s="289" t="s">
        <v>1249</v>
      </c>
      <c r="H368" s="166" t="s">
        <v>3299</v>
      </c>
      <c r="I368" s="142">
        <v>4</v>
      </c>
      <c r="J368" s="143">
        <v>6</v>
      </c>
      <c r="K368" s="143">
        <v>5</v>
      </c>
      <c r="L368" s="143">
        <v>2</v>
      </c>
      <c r="M368" s="143">
        <v>2</v>
      </c>
      <c r="N368" s="201">
        <v>1</v>
      </c>
      <c r="O368" s="294" t="s">
        <v>2163</v>
      </c>
      <c r="P368" s="325" t="s">
        <v>3032</v>
      </c>
      <c r="Q368" s="298" t="s">
        <v>3145</v>
      </c>
      <c r="R368" s="209">
        <v>36100</v>
      </c>
      <c r="S368" s="301"/>
      <c r="T368" s="81">
        <v>1</v>
      </c>
      <c r="U368" s="78"/>
      <c r="V368" s="69"/>
      <c r="W368" s="69"/>
      <c r="X368" s="69">
        <v>1</v>
      </c>
      <c r="Y368" s="69"/>
      <c r="Z368" s="69"/>
      <c r="AA368" s="69"/>
      <c r="AB368" s="49"/>
    </row>
    <row r="369" spans="1:28" ht="15.6" customHeight="1" x14ac:dyDescent="0.2">
      <c r="A369" s="212">
        <v>367</v>
      </c>
      <c r="B369" s="159" t="str">
        <f t="shared" si="5"/>
        <v>Gladiolus overbergensis</v>
      </c>
      <c r="C369" s="160" t="s">
        <v>1622</v>
      </c>
      <c r="D369" s="72"/>
      <c r="E369" s="72" t="s">
        <v>1632</v>
      </c>
      <c r="F369" s="72" t="s">
        <v>1640</v>
      </c>
      <c r="G369" s="289" t="s">
        <v>1250</v>
      </c>
      <c r="H369" s="166" t="s">
        <v>3225</v>
      </c>
      <c r="I369" s="142">
        <v>4</v>
      </c>
      <c r="J369" s="143">
        <v>6</v>
      </c>
      <c r="K369" s="143">
        <v>5</v>
      </c>
      <c r="L369" s="143">
        <v>2</v>
      </c>
      <c r="M369" s="143">
        <v>2</v>
      </c>
      <c r="N369" s="201">
        <v>9</v>
      </c>
      <c r="O369" s="294" t="s">
        <v>2163</v>
      </c>
      <c r="P369" s="325" t="s">
        <v>3032</v>
      </c>
      <c r="Q369" s="298" t="s">
        <v>3148</v>
      </c>
      <c r="R369" s="209">
        <v>37500</v>
      </c>
      <c r="S369" s="301"/>
      <c r="T369" s="81">
        <v>1</v>
      </c>
      <c r="U369" s="78"/>
      <c r="V369" s="69"/>
      <c r="W369" s="69"/>
      <c r="X369" s="69">
        <v>1</v>
      </c>
      <c r="Y369" s="69"/>
      <c r="Z369" s="69"/>
      <c r="AA369" s="69"/>
      <c r="AB369" s="49"/>
    </row>
    <row r="370" spans="1:28" ht="15.6" customHeight="1" x14ac:dyDescent="0.2">
      <c r="A370" s="212">
        <v>368</v>
      </c>
      <c r="B370" s="159" t="str">
        <f t="shared" si="5"/>
        <v>Gladiolus rogersii</v>
      </c>
      <c r="C370" s="160" t="s">
        <v>1622</v>
      </c>
      <c r="D370" s="72" t="s">
        <v>2385</v>
      </c>
      <c r="E370" s="72" t="s">
        <v>1632</v>
      </c>
      <c r="F370" s="72" t="s">
        <v>1641</v>
      </c>
      <c r="G370" s="289" t="s">
        <v>1254</v>
      </c>
      <c r="H370" s="166" t="s">
        <v>3225</v>
      </c>
      <c r="I370" s="142">
        <v>4</v>
      </c>
      <c r="J370" s="143">
        <v>6</v>
      </c>
      <c r="K370" s="143">
        <v>5</v>
      </c>
      <c r="L370" s="143">
        <v>2</v>
      </c>
      <c r="M370" s="143">
        <v>2</v>
      </c>
      <c r="N370" s="201">
        <v>9</v>
      </c>
      <c r="O370" s="294" t="s">
        <v>2163</v>
      </c>
      <c r="P370" s="325" t="s">
        <v>3032</v>
      </c>
      <c r="Q370" s="298" t="s">
        <v>3145</v>
      </c>
      <c r="R370" s="209">
        <v>35612</v>
      </c>
      <c r="S370" s="301"/>
      <c r="T370" s="81">
        <v>1</v>
      </c>
      <c r="U370" s="78"/>
      <c r="V370" s="69">
        <v>1</v>
      </c>
      <c r="W370" s="69">
        <v>1</v>
      </c>
      <c r="X370" s="69">
        <v>1</v>
      </c>
      <c r="Y370" s="69"/>
      <c r="Z370" s="69"/>
      <c r="AA370" s="69"/>
      <c r="AB370" s="49"/>
    </row>
    <row r="371" spans="1:28" ht="15.6" customHeight="1" x14ac:dyDescent="0.2">
      <c r="A371" s="212">
        <v>369</v>
      </c>
      <c r="B371" s="159" t="str">
        <f t="shared" si="5"/>
        <v>Gladiolus vaginatus</v>
      </c>
      <c r="C371" s="160" t="s">
        <v>1622</v>
      </c>
      <c r="D371" s="72"/>
      <c r="E371" s="72" t="s">
        <v>1632</v>
      </c>
      <c r="F371" s="72" t="s">
        <v>1642</v>
      </c>
      <c r="G371" s="289" t="s">
        <v>1255</v>
      </c>
      <c r="H371" s="166" t="s">
        <v>3225</v>
      </c>
      <c r="I371" s="142">
        <v>4</v>
      </c>
      <c r="J371" s="143">
        <v>6</v>
      </c>
      <c r="K371" s="143">
        <v>5</v>
      </c>
      <c r="L371" s="143">
        <v>2</v>
      </c>
      <c r="M371" s="143">
        <v>2</v>
      </c>
      <c r="N371" s="201">
        <v>9</v>
      </c>
      <c r="O371" s="294" t="s">
        <v>2163</v>
      </c>
      <c r="P371" s="325" t="s">
        <v>3032</v>
      </c>
      <c r="Q371" s="298"/>
      <c r="R371" s="209">
        <v>36281</v>
      </c>
      <c r="S371" s="301"/>
      <c r="T371" s="81">
        <v>1</v>
      </c>
      <c r="U371" s="78">
        <v>1</v>
      </c>
      <c r="V371" s="69"/>
      <c r="W371" s="69"/>
      <c r="X371" s="69">
        <v>1</v>
      </c>
      <c r="Y371" s="69"/>
      <c r="Z371" s="69"/>
      <c r="AA371" s="69"/>
      <c r="AB371" s="49"/>
    </row>
    <row r="372" spans="1:28" ht="15.6" customHeight="1" x14ac:dyDescent="0.2">
      <c r="A372" s="212">
        <v>370</v>
      </c>
      <c r="B372" s="159" t="str">
        <f t="shared" si="5"/>
        <v>Gladiolus variegatus</v>
      </c>
      <c r="C372" s="160" t="s">
        <v>1622</v>
      </c>
      <c r="D372" s="72"/>
      <c r="E372" s="72" t="s">
        <v>1632</v>
      </c>
      <c r="F372" s="72" t="s">
        <v>1643</v>
      </c>
      <c r="G372" s="289" t="s">
        <v>1256</v>
      </c>
      <c r="H372" s="166" t="s">
        <v>3299</v>
      </c>
      <c r="I372" s="142">
        <v>4</v>
      </c>
      <c r="J372" s="143">
        <v>6</v>
      </c>
      <c r="K372" s="143">
        <v>5</v>
      </c>
      <c r="L372" s="143">
        <v>2</v>
      </c>
      <c r="M372" s="143">
        <v>2</v>
      </c>
      <c r="N372" s="201">
        <v>1</v>
      </c>
      <c r="O372" s="294" t="s">
        <v>2163</v>
      </c>
      <c r="P372" s="325" t="s">
        <v>3032</v>
      </c>
      <c r="Q372" s="298"/>
      <c r="R372" s="209">
        <v>37165</v>
      </c>
      <c r="S372" s="301"/>
      <c r="T372" s="81">
        <v>1</v>
      </c>
      <c r="U372" s="78"/>
      <c r="V372" s="69"/>
      <c r="W372" s="69"/>
      <c r="X372" s="69">
        <v>1</v>
      </c>
      <c r="Y372" s="69"/>
      <c r="Z372" s="69"/>
      <c r="AA372" s="69"/>
      <c r="AB372" s="49"/>
    </row>
    <row r="373" spans="1:28" ht="15.6" customHeight="1" x14ac:dyDescent="0.2">
      <c r="A373" s="212">
        <v>371</v>
      </c>
      <c r="B373" s="159" t="str">
        <f t="shared" si="5"/>
        <v>Hesperantha falcata</v>
      </c>
      <c r="C373" s="160" t="s">
        <v>1622</v>
      </c>
      <c r="D373" s="72" t="s">
        <v>2386</v>
      </c>
      <c r="E373" s="72" t="s">
        <v>1644</v>
      </c>
      <c r="F373" s="72" t="s">
        <v>1645</v>
      </c>
      <c r="G373" s="289" t="s">
        <v>1257</v>
      </c>
      <c r="H373" s="166" t="s">
        <v>3225</v>
      </c>
      <c r="I373" s="142">
        <v>4</v>
      </c>
      <c r="J373" s="143">
        <v>6</v>
      </c>
      <c r="K373" s="143">
        <v>5</v>
      </c>
      <c r="L373" s="143">
        <v>2</v>
      </c>
      <c r="M373" s="143">
        <v>2</v>
      </c>
      <c r="N373" s="201">
        <v>9</v>
      </c>
      <c r="O373" s="294" t="s">
        <v>2163</v>
      </c>
      <c r="P373" s="325" t="s">
        <v>3032</v>
      </c>
      <c r="Q373" s="298"/>
      <c r="R373" s="209">
        <v>36039</v>
      </c>
      <c r="S373" s="301"/>
      <c r="T373" s="81">
        <v>1</v>
      </c>
      <c r="U373" s="78"/>
      <c r="V373" s="69"/>
      <c r="W373" s="69"/>
      <c r="X373" s="69">
        <v>1</v>
      </c>
      <c r="Y373" s="69"/>
      <c r="Z373" s="69"/>
      <c r="AA373" s="69"/>
      <c r="AB373" s="49"/>
    </row>
    <row r="374" spans="1:28" ht="15.6" customHeight="1" x14ac:dyDescent="0.2">
      <c r="A374" s="212">
        <v>372</v>
      </c>
      <c r="B374" s="159" t="str">
        <f t="shared" si="5"/>
        <v>Hesperantha radiata</v>
      </c>
      <c r="C374" s="160" t="s">
        <v>1622</v>
      </c>
      <c r="D374" s="72"/>
      <c r="E374" s="72" t="s">
        <v>1644</v>
      </c>
      <c r="F374" s="72" t="s">
        <v>843</v>
      </c>
      <c r="G374" s="289" t="s">
        <v>1258</v>
      </c>
      <c r="H374" s="166" t="s">
        <v>3299</v>
      </c>
      <c r="I374" s="142">
        <v>4</v>
      </c>
      <c r="J374" s="143">
        <v>6</v>
      </c>
      <c r="K374" s="143">
        <v>5</v>
      </c>
      <c r="L374" s="143">
        <v>2</v>
      </c>
      <c r="M374" s="143">
        <v>2</v>
      </c>
      <c r="N374" s="201">
        <v>1</v>
      </c>
      <c r="O374" s="294" t="s">
        <v>2163</v>
      </c>
      <c r="P374" s="325" t="s">
        <v>3032</v>
      </c>
      <c r="Q374" s="298"/>
      <c r="R374" s="209">
        <v>36923</v>
      </c>
      <c r="S374" s="301"/>
      <c r="T374" s="81">
        <v>1</v>
      </c>
      <c r="U374" s="78"/>
      <c r="V374" s="69"/>
      <c r="W374" s="69"/>
      <c r="X374" s="69">
        <v>1</v>
      </c>
      <c r="Y374" s="69"/>
      <c r="Z374" s="69"/>
      <c r="AA374" s="69"/>
      <c r="AB374" s="49"/>
    </row>
    <row r="375" spans="1:28" ht="15.6" customHeight="1" x14ac:dyDescent="0.2">
      <c r="A375" s="212">
        <v>373</v>
      </c>
      <c r="B375" s="159" t="str">
        <f t="shared" si="5"/>
        <v>Ixia dubia</v>
      </c>
      <c r="C375" s="160" t="s">
        <v>1622</v>
      </c>
      <c r="D375" s="72"/>
      <c r="E375" s="72" t="s">
        <v>1646</v>
      </c>
      <c r="F375" s="72" t="s">
        <v>1647</v>
      </c>
      <c r="G375" s="289" t="s">
        <v>1259</v>
      </c>
      <c r="H375" s="166" t="s">
        <v>3299</v>
      </c>
      <c r="I375" s="142">
        <v>4</v>
      </c>
      <c r="J375" s="143">
        <v>6</v>
      </c>
      <c r="K375" s="143">
        <v>5</v>
      </c>
      <c r="L375" s="143">
        <v>2</v>
      </c>
      <c r="M375" s="143">
        <v>2</v>
      </c>
      <c r="N375" s="201">
        <v>2</v>
      </c>
      <c r="O375" s="294" t="s">
        <v>2163</v>
      </c>
      <c r="P375" s="325" t="s">
        <v>3032</v>
      </c>
      <c r="Q375" s="298"/>
      <c r="R375" s="209">
        <v>35735</v>
      </c>
      <c r="S375" s="301"/>
      <c r="T375" s="81">
        <v>1</v>
      </c>
      <c r="U375" s="78"/>
      <c r="V375" s="69"/>
      <c r="W375" s="69"/>
      <c r="X375" s="69">
        <v>1</v>
      </c>
      <c r="Y375" s="69"/>
      <c r="Z375" s="69"/>
      <c r="AA375" s="69"/>
      <c r="AB375" s="49"/>
    </row>
    <row r="376" spans="1:28" ht="15.6" customHeight="1" x14ac:dyDescent="0.2">
      <c r="A376" s="212">
        <v>374</v>
      </c>
      <c r="B376" s="159" t="str">
        <f t="shared" si="5"/>
        <v>Ixia flexuosa</v>
      </c>
      <c r="C376" s="160" t="s">
        <v>1622</v>
      </c>
      <c r="D376" s="72" t="s">
        <v>2387</v>
      </c>
      <c r="E376" s="72" t="s">
        <v>1646</v>
      </c>
      <c r="F376" s="72" t="s">
        <v>1648</v>
      </c>
      <c r="G376" s="289" t="s">
        <v>1260</v>
      </c>
      <c r="H376" s="166" t="s">
        <v>3299</v>
      </c>
      <c r="I376" s="142">
        <v>4</v>
      </c>
      <c r="J376" s="143">
        <v>6</v>
      </c>
      <c r="K376" s="143">
        <v>5</v>
      </c>
      <c r="L376" s="143">
        <v>2</v>
      </c>
      <c r="M376" s="143">
        <v>2</v>
      </c>
      <c r="N376" s="201">
        <v>1</v>
      </c>
      <c r="O376" s="294" t="s">
        <v>2163</v>
      </c>
      <c r="P376" s="325" t="s">
        <v>3032</v>
      </c>
      <c r="Q376" s="298"/>
      <c r="R376" s="209">
        <v>35612</v>
      </c>
      <c r="S376" s="301"/>
      <c r="T376" s="81">
        <v>1</v>
      </c>
      <c r="U376" s="78">
        <v>1</v>
      </c>
      <c r="V376" s="69"/>
      <c r="W376" s="69"/>
      <c r="X376" s="69"/>
      <c r="Y376" s="69"/>
      <c r="Z376" s="69"/>
      <c r="AA376" s="69"/>
      <c r="AB376" s="49"/>
    </row>
    <row r="377" spans="1:28" ht="15.6" customHeight="1" x14ac:dyDescent="0.2">
      <c r="A377" s="212">
        <v>375</v>
      </c>
      <c r="B377" s="159" t="str">
        <f t="shared" si="5"/>
        <v>Ixia odorata</v>
      </c>
      <c r="C377" s="160" t="s">
        <v>1622</v>
      </c>
      <c r="D377" s="72"/>
      <c r="E377" s="72" t="s">
        <v>1646</v>
      </c>
      <c r="F377" s="72" t="s">
        <v>1649</v>
      </c>
      <c r="G377" s="289" t="s">
        <v>1261</v>
      </c>
      <c r="H377" s="166" t="s">
        <v>3299</v>
      </c>
      <c r="I377" s="142">
        <v>4</v>
      </c>
      <c r="J377" s="143">
        <v>6</v>
      </c>
      <c r="K377" s="143">
        <v>5</v>
      </c>
      <c r="L377" s="143">
        <v>2</v>
      </c>
      <c r="M377" s="143">
        <v>2</v>
      </c>
      <c r="N377" s="201">
        <v>1</v>
      </c>
      <c r="O377" s="294" t="s">
        <v>2163</v>
      </c>
      <c r="P377" s="325" t="s">
        <v>3032</v>
      </c>
      <c r="Q377" s="298"/>
      <c r="R377" s="209">
        <v>38261</v>
      </c>
      <c r="S377" s="301"/>
      <c r="T377" s="81">
        <v>1</v>
      </c>
      <c r="U377" s="78"/>
      <c r="V377" s="69"/>
      <c r="W377" s="69"/>
      <c r="X377" s="69">
        <v>1</v>
      </c>
      <c r="Y377" s="69"/>
      <c r="Z377" s="69"/>
      <c r="AA377" s="69"/>
      <c r="AB377" s="49"/>
    </row>
    <row r="378" spans="1:28" ht="15.6" customHeight="1" x14ac:dyDescent="0.2">
      <c r="A378" s="212">
        <v>376</v>
      </c>
      <c r="B378" s="159" t="str">
        <f t="shared" si="5"/>
        <v>Ixia orientalis</v>
      </c>
      <c r="C378" s="160" t="s">
        <v>1622</v>
      </c>
      <c r="D378" s="72"/>
      <c r="E378" s="72" t="s">
        <v>1646</v>
      </c>
      <c r="F378" s="72" t="s">
        <v>2762</v>
      </c>
      <c r="G378" s="289" t="s">
        <v>1262</v>
      </c>
      <c r="H378" s="166" t="s">
        <v>3299</v>
      </c>
      <c r="I378" s="142">
        <v>4</v>
      </c>
      <c r="J378" s="143">
        <v>6</v>
      </c>
      <c r="K378" s="143">
        <v>5</v>
      </c>
      <c r="L378" s="143">
        <v>2</v>
      </c>
      <c r="M378" s="143">
        <v>2</v>
      </c>
      <c r="N378" s="201">
        <v>1</v>
      </c>
      <c r="O378" s="294" t="s">
        <v>2163</v>
      </c>
      <c r="P378" s="325" t="s">
        <v>3032</v>
      </c>
      <c r="Q378" s="298"/>
      <c r="R378" s="209">
        <v>36923</v>
      </c>
      <c r="S378" s="301"/>
      <c r="T378" s="81">
        <v>1</v>
      </c>
      <c r="U378" s="78"/>
      <c r="V378" s="69"/>
      <c r="W378" s="69"/>
      <c r="X378" s="69">
        <v>1</v>
      </c>
      <c r="Y378" s="69"/>
      <c r="Z378" s="69"/>
      <c r="AA378" s="69"/>
      <c r="AB378" s="49"/>
    </row>
    <row r="379" spans="1:28" ht="15.6" customHeight="1" x14ac:dyDescent="0.2">
      <c r="A379" s="212">
        <v>377</v>
      </c>
      <c r="B379" s="159" t="str">
        <f t="shared" si="5"/>
        <v>Ixia polystachya</v>
      </c>
      <c r="C379" s="160" t="s">
        <v>1622</v>
      </c>
      <c r="D379" s="72"/>
      <c r="E379" s="72" t="s">
        <v>1646</v>
      </c>
      <c r="F379" s="72" t="s">
        <v>2921</v>
      </c>
      <c r="G379" s="289" t="s">
        <v>1263</v>
      </c>
      <c r="H379" s="166" t="s">
        <v>3243</v>
      </c>
      <c r="I379" s="142">
        <v>4</v>
      </c>
      <c r="J379" s="143">
        <v>5</v>
      </c>
      <c r="K379" s="143">
        <v>5</v>
      </c>
      <c r="L379" s="143">
        <v>2</v>
      </c>
      <c r="M379" s="143">
        <v>2</v>
      </c>
      <c r="N379" s="201">
        <v>1</v>
      </c>
      <c r="O379" s="294" t="s">
        <v>2163</v>
      </c>
      <c r="P379" s="325" t="s">
        <v>3032</v>
      </c>
      <c r="Q379" s="298"/>
      <c r="R379" s="209">
        <v>37561</v>
      </c>
      <c r="S379" s="301"/>
      <c r="T379" s="81">
        <v>1</v>
      </c>
      <c r="U379" s="78">
        <v>1</v>
      </c>
      <c r="V379" s="69"/>
      <c r="W379" s="69"/>
      <c r="X379" s="69">
        <v>1</v>
      </c>
      <c r="Y379" s="69"/>
      <c r="Z379" s="69"/>
      <c r="AA379" s="69"/>
      <c r="AB379" s="49"/>
    </row>
    <row r="380" spans="1:28" ht="15.6" customHeight="1" x14ac:dyDescent="0.2">
      <c r="A380" s="212">
        <v>378</v>
      </c>
      <c r="B380" s="159" t="str">
        <f t="shared" si="5"/>
        <v>Moraea angusta</v>
      </c>
      <c r="C380" s="160" t="s">
        <v>1622</v>
      </c>
      <c r="D380" s="72" t="s">
        <v>2388</v>
      </c>
      <c r="E380" s="72" t="s">
        <v>1650</v>
      </c>
      <c r="F380" s="72" t="s">
        <v>1651</v>
      </c>
      <c r="G380" s="289" t="s">
        <v>1264</v>
      </c>
      <c r="H380" s="166" t="s">
        <v>3225</v>
      </c>
      <c r="I380" s="142">
        <v>4</v>
      </c>
      <c r="J380" s="143">
        <v>6</v>
      </c>
      <c r="K380" s="143">
        <v>5</v>
      </c>
      <c r="L380" s="143">
        <v>2</v>
      </c>
      <c r="M380" s="143">
        <v>2</v>
      </c>
      <c r="N380" s="201">
        <v>9</v>
      </c>
      <c r="O380" s="294" t="s">
        <v>2163</v>
      </c>
      <c r="P380" s="325" t="s">
        <v>3032</v>
      </c>
      <c r="Q380" s="298"/>
      <c r="R380" s="209">
        <v>35612</v>
      </c>
      <c r="S380" s="301"/>
      <c r="T380" s="81">
        <v>1</v>
      </c>
      <c r="U380" s="78"/>
      <c r="V380" s="69"/>
      <c r="W380" s="69"/>
      <c r="X380" s="69">
        <v>1</v>
      </c>
      <c r="Y380" s="69"/>
      <c r="Z380" s="69"/>
      <c r="AA380" s="69"/>
      <c r="AB380" s="49"/>
    </row>
    <row r="381" spans="1:28" ht="15.6" customHeight="1" x14ac:dyDescent="0.2">
      <c r="A381" s="212">
        <v>379</v>
      </c>
      <c r="B381" s="159" t="str">
        <f t="shared" si="5"/>
        <v>Moraea bulbillifera</v>
      </c>
      <c r="C381" s="160" t="s">
        <v>1622</v>
      </c>
      <c r="D381" s="72" t="s">
        <v>2389</v>
      </c>
      <c r="E381" s="72" t="s">
        <v>1650</v>
      </c>
      <c r="F381" s="72" t="s">
        <v>1652</v>
      </c>
      <c r="G381" s="289" t="s">
        <v>1265</v>
      </c>
      <c r="H381" s="166" t="s">
        <v>3299</v>
      </c>
      <c r="I381" s="142">
        <v>4</v>
      </c>
      <c r="J381" s="143">
        <v>6</v>
      </c>
      <c r="K381" s="143">
        <v>5</v>
      </c>
      <c r="L381" s="143">
        <v>2</v>
      </c>
      <c r="M381" s="143">
        <v>2</v>
      </c>
      <c r="N381" s="201">
        <v>1</v>
      </c>
      <c r="O381" s="294" t="s">
        <v>2163</v>
      </c>
      <c r="P381" s="325" t="s">
        <v>3032</v>
      </c>
      <c r="Q381" s="298"/>
      <c r="R381" s="209">
        <v>37135</v>
      </c>
      <c r="S381" s="301"/>
      <c r="T381" s="81">
        <v>1</v>
      </c>
      <c r="U381" s="78">
        <v>1</v>
      </c>
      <c r="V381" s="69"/>
      <c r="W381" s="69"/>
      <c r="X381" s="69">
        <v>1</v>
      </c>
      <c r="Y381" s="69"/>
      <c r="Z381" s="69"/>
      <c r="AA381" s="69"/>
      <c r="AB381" s="49"/>
    </row>
    <row r="382" spans="1:28" ht="15.6" customHeight="1" x14ac:dyDescent="0.2">
      <c r="A382" s="212">
        <v>380</v>
      </c>
      <c r="B382" s="159" t="str">
        <f t="shared" si="5"/>
        <v>Moraea collina</v>
      </c>
      <c r="C382" s="160" t="s">
        <v>1622</v>
      </c>
      <c r="D382" s="72" t="s">
        <v>2390</v>
      </c>
      <c r="E382" s="72" t="s">
        <v>1650</v>
      </c>
      <c r="F382" s="72" t="s">
        <v>1653</v>
      </c>
      <c r="G382" s="289" t="s">
        <v>1266</v>
      </c>
      <c r="H382" s="166" t="s">
        <v>3299</v>
      </c>
      <c r="I382" s="142">
        <v>4</v>
      </c>
      <c r="J382" s="143">
        <v>6</v>
      </c>
      <c r="K382" s="143">
        <v>2</v>
      </c>
      <c r="L382" s="143">
        <v>2</v>
      </c>
      <c r="M382" s="143">
        <v>2</v>
      </c>
      <c r="N382" s="201">
        <v>3</v>
      </c>
      <c r="O382" s="294" t="s">
        <v>2163</v>
      </c>
      <c r="P382" s="325" t="s">
        <v>3032</v>
      </c>
      <c r="Q382" s="298"/>
      <c r="R382" s="209">
        <v>36039</v>
      </c>
      <c r="S382" s="301"/>
      <c r="T382" s="81">
        <v>1</v>
      </c>
      <c r="U382" s="78">
        <v>1</v>
      </c>
      <c r="V382" s="69"/>
      <c r="W382" s="69">
        <v>1</v>
      </c>
      <c r="X382" s="69"/>
      <c r="Y382" s="69"/>
      <c r="Z382" s="69"/>
      <c r="AA382" s="69"/>
      <c r="AB382" s="49"/>
    </row>
    <row r="383" spans="1:28" ht="15.6" customHeight="1" x14ac:dyDescent="0.2">
      <c r="A383" s="212">
        <v>381</v>
      </c>
      <c r="B383" s="159" t="str">
        <f t="shared" si="5"/>
        <v>Moraea fugax</v>
      </c>
      <c r="C383" s="160" t="s">
        <v>1622</v>
      </c>
      <c r="D383" s="72" t="s">
        <v>2391</v>
      </c>
      <c r="E383" s="72" t="s">
        <v>1650</v>
      </c>
      <c r="F383" s="72" t="s">
        <v>1654</v>
      </c>
      <c r="G383" s="289" t="s">
        <v>1267</v>
      </c>
      <c r="H383" s="166" t="s">
        <v>3299</v>
      </c>
      <c r="I383" s="142">
        <v>4</v>
      </c>
      <c r="J383" s="143">
        <v>6</v>
      </c>
      <c r="K383" s="143">
        <v>5</v>
      </c>
      <c r="L383" s="143">
        <v>2</v>
      </c>
      <c r="M383" s="143">
        <v>2</v>
      </c>
      <c r="N383" s="201">
        <v>1</v>
      </c>
      <c r="O383" s="294" t="s">
        <v>2163</v>
      </c>
      <c r="P383" s="325" t="s">
        <v>3032</v>
      </c>
      <c r="Q383" s="298"/>
      <c r="R383" s="209">
        <v>36069</v>
      </c>
      <c r="S383" s="301"/>
      <c r="T383" s="81">
        <v>1</v>
      </c>
      <c r="U383" s="78">
        <v>1</v>
      </c>
      <c r="V383" s="69"/>
      <c r="W383" s="69"/>
      <c r="X383" s="69"/>
      <c r="Y383" s="69"/>
      <c r="Z383" s="69"/>
      <c r="AA383" s="69"/>
      <c r="AB383" s="49"/>
    </row>
    <row r="384" spans="1:28" ht="15.6" customHeight="1" x14ac:dyDescent="0.2">
      <c r="A384" s="212">
        <v>382</v>
      </c>
      <c r="B384" s="159" t="str">
        <f t="shared" si="5"/>
        <v>Moraea miniata</v>
      </c>
      <c r="C384" s="160" t="s">
        <v>1622</v>
      </c>
      <c r="D384" s="72" t="s">
        <v>2392</v>
      </c>
      <c r="E384" s="72" t="s">
        <v>1650</v>
      </c>
      <c r="F384" s="72" t="s">
        <v>1655</v>
      </c>
      <c r="G384" s="289" t="s">
        <v>1268</v>
      </c>
      <c r="H384" s="166" t="s">
        <v>3299</v>
      </c>
      <c r="I384" s="142">
        <v>4</v>
      </c>
      <c r="J384" s="143">
        <v>6</v>
      </c>
      <c r="K384" s="143">
        <v>5</v>
      </c>
      <c r="L384" s="143">
        <v>2</v>
      </c>
      <c r="M384" s="143">
        <v>2</v>
      </c>
      <c r="N384" s="201">
        <v>1</v>
      </c>
      <c r="O384" s="294" t="s">
        <v>2163</v>
      </c>
      <c r="P384" s="325" t="s">
        <v>3032</v>
      </c>
      <c r="Q384" s="298" t="s">
        <v>3144</v>
      </c>
      <c r="R384" s="209">
        <v>36312</v>
      </c>
      <c r="S384" s="301"/>
      <c r="T384" s="81">
        <v>1</v>
      </c>
      <c r="U384" s="78">
        <v>1</v>
      </c>
      <c r="V384" s="69"/>
      <c r="W384" s="69"/>
      <c r="X384" s="69"/>
      <c r="Y384" s="69"/>
      <c r="Z384" s="69"/>
      <c r="AA384" s="69"/>
      <c r="AB384" s="49"/>
    </row>
    <row r="385" spans="1:28" ht="15.6" customHeight="1" x14ac:dyDescent="0.2">
      <c r="A385" s="212">
        <v>383</v>
      </c>
      <c r="B385" s="159" t="str">
        <f t="shared" si="5"/>
        <v>Moraea neglecta</v>
      </c>
      <c r="C385" s="160" t="s">
        <v>1622</v>
      </c>
      <c r="D385" s="72"/>
      <c r="E385" s="72" t="s">
        <v>1650</v>
      </c>
      <c r="F385" s="72" t="s">
        <v>1656</v>
      </c>
      <c r="G385" s="289" t="s">
        <v>1269</v>
      </c>
      <c r="H385" s="166" t="s">
        <v>3299</v>
      </c>
      <c r="I385" s="142">
        <v>4</v>
      </c>
      <c r="J385" s="143">
        <v>6</v>
      </c>
      <c r="K385" s="143">
        <v>5</v>
      </c>
      <c r="L385" s="143">
        <v>2</v>
      </c>
      <c r="M385" s="143">
        <v>2</v>
      </c>
      <c r="N385" s="201">
        <v>1</v>
      </c>
      <c r="O385" s="294" t="s">
        <v>2163</v>
      </c>
      <c r="P385" s="325" t="s">
        <v>3032</v>
      </c>
      <c r="Q385" s="298"/>
      <c r="R385" s="209">
        <v>35796</v>
      </c>
      <c r="S385" s="301"/>
      <c r="T385" s="81">
        <v>1</v>
      </c>
      <c r="U385" s="78">
        <v>1</v>
      </c>
      <c r="V385" s="69"/>
      <c r="W385" s="69">
        <v>1</v>
      </c>
      <c r="X385" s="69"/>
      <c r="Y385" s="69"/>
      <c r="Z385" s="69"/>
      <c r="AA385" s="69"/>
      <c r="AB385" s="49"/>
    </row>
    <row r="386" spans="1:28" ht="15.6" customHeight="1" x14ac:dyDescent="0.2">
      <c r="A386" s="212">
        <v>384</v>
      </c>
      <c r="B386" s="159" t="str">
        <f t="shared" si="5"/>
        <v>Moraea ramosissima</v>
      </c>
      <c r="C386" s="160" t="s">
        <v>1622</v>
      </c>
      <c r="D386" s="72" t="s">
        <v>2393</v>
      </c>
      <c r="E386" s="72" t="s">
        <v>1650</v>
      </c>
      <c r="F386" s="72" t="s">
        <v>1658</v>
      </c>
      <c r="G386" s="289" t="s">
        <v>1270</v>
      </c>
      <c r="H386" s="166" t="s">
        <v>3243</v>
      </c>
      <c r="I386" s="142">
        <v>4</v>
      </c>
      <c r="J386" s="143">
        <v>5</v>
      </c>
      <c r="K386" s="143">
        <v>5</v>
      </c>
      <c r="L386" s="143">
        <v>2</v>
      </c>
      <c r="M386" s="143">
        <v>2</v>
      </c>
      <c r="N386" s="201">
        <v>1</v>
      </c>
      <c r="O386" s="294" t="s">
        <v>2163</v>
      </c>
      <c r="P386" s="325" t="s">
        <v>3032</v>
      </c>
      <c r="Q386" s="298"/>
      <c r="R386" s="209">
        <v>37561</v>
      </c>
      <c r="S386" s="301"/>
      <c r="T386" s="81">
        <v>1</v>
      </c>
      <c r="U386" s="78"/>
      <c r="V386" s="69"/>
      <c r="W386" s="69"/>
      <c r="X386" s="69">
        <v>1</v>
      </c>
      <c r="Y386" s="69"/>
      <c r="Z386" s="69"/>
      <c r="AA386" s="69"/>
      <c r="AB386" s="49"/>
    </row>
    <row r="387" spans="1:28" ht="15.6" customHeight="1" x14ac:dyDescent="0.2">
      <c r="A387" s="212">
        <v>385</v>
      </c>
      <c r="B387" s="159" t="str">
        <f t="shared" ref="B387:B450" si="6">E387&amp;" "&amp;F387</f>
        <v>Moraea setifolia</v>
      </c>
      <c r="C387" s="160" t="s">
        <v>1622</v>
      </c>
      <c r="D387" s="72" t="s">
        <v>191</v>
      </c>
      <c r="E387" s="72" t="s">
        <v>1650</v>
      </c>
      <c r="F387" s="72" t="s">
        <v>1659</v>
      </c>
      <c r="G387" s="289" t="s">
        <v>1271</v>
      </c>
      <c r="H387" s="166" t="s">
        <v>3299</v>
      </c>
      <c r="I387" s="142">
        <v>4</v>
      </c>
      <c r="J387" s="143">
        <v>6</v>
      </c>
      <c r="K387" s="143">
        <v>5</v>
      </c>
      <c r="L387" s="143">
        <v>2</v>
      </c>
      <c r="M387" s="143">
        <v>2</v>
      </c>
      <c r="N387" s="201">
        <v>1</v>
      </c>
      <c r="O387" s="294" t="s">
        <v>2163</v>
      </c>
      <c r="P387" s="325" t="s">
        <v>3032</v>
      </c>
      <c r="Q387" s="298"/>
      <c r="R387" s="209">
        <v>36434</v>
      </c>
      <c r="S387" s="301"/>
      <c r="T387" s="81">
        <v>1</v>
      </c>
      <c r="U387" s="78">
        <v>1</v>
      </c>
      <c r="V387" s="69"/>
      <c r="W387" s="69"/>
      <c r="X387" s="69"/>
      <c r="Y387" s="69"/>
      <c r="Z387" s="69"/>
      <c r="AA387" s="69"/>
      <c r="AB387" s="49"/>
    </row>
    <row r="388" spans="1:28" ht="15.6" customHeight="1" x14ac:dyDescent="0.2">
      <c r="A388" s="212">
        <v>386</v>
      </c>
      <c r="B388" s="159" t="str">
        <f t="shared" si="6"/>
        <v>Moraea tripetala</v>
      </c>
      <c r="C388" s="160" t="s">
        <v>1622</v>
      </c>
      <c r="D388" s="72" t="s">
        <v>192</v>
      </c>
      <c r="E388" s="72" t="s">
        <v>1650</v>
      </c>
      <c r="F388" s="72" t="s">
        <v>1660</v>
      </c>
      <c r="G388" s="289" t="s">
        <v>1272</v>
      </c>
      <c r="H388" s="166" t="s">
        <v>3299</v>
      </c>
      <c r="I388" s="142">
        <v>4</v>
      </c>
      <c r="J388" s="143">
        <v>6</v>
      </c>
      <c r="K388" s="143">
        <v>5</v>
      </c>
      <c r="L388" s="143">
        <v>2</v>
      </c>
      <c r="M388" s="143">
        <v>2</v>
      </c>
      <c r="N388" s="201">
        <v>1</v>
      </c>
      <c r="O388" s="294" t="s">
        <v>2163</v>
      </c>
      <c r="P388" s="325" t="s">
        <v>3032</v>
      </c>
      <c r="Q388" s="298"/>
      <c r="R388" s="209">
        <v>35612</v>
      </c>
      <c r="S388" s="301"/>
      <c r="T388" s="81">
        <v>1</v>
      </c>
      <c r="U388" s="78"/>
      <c r="V388" s="69"/>
      <c r="W388" s="69"/>
      <c r="X388" s="69">
        <v>1</v>
      </c>
      <c r="Y388" s="69"/>
      <c r="Z388" s="69"/>
      <c r="AA388" s="69"/>
      <c r="AB388" s="49"/>
    </row>
    <row r="389" spans="1:28" ht="15.6" customHeight="1" x14ac:dyDescent="0.2">
      <c r="A389" s="212">
        <v>387</v>
      </c>
      <c r="B389" s="159" t="str">
        <f t="shared" si="6"/>
        <v>Moraea virgata</v>
      </c>
      <c r="C389" s="160" t="s">
        <v>1622</v>
      </c>
      <c r="D389" s="72" t="s">
        <v>193</v>
      </c>
      <c r="E389" s="72" t="s">
        <v>1650</v>
      </c>
      <c r="F389" s="72" t="s">
        <v>1661</v>
      </c>
      <c r="G389" s="289" t="s">
        <v>1273</v>
      </c>
      <c r="H389" s="166" t="s">
        <v>3243</v>
      </c>
      <c r="I389" s="142">
        <v>4</v>
      </c>
      <c r="J389" s="143">
        <v>5</v>
      </c>
      <c r="K389" s="143">
        <v>5</v>
      </c>
      <c r="L389" s="143">
        <v>2</v>
      </c>
      <c r="M389" s="143">
        <v>2</v>
      </c>
      <c r="N389" s="201">
        <v>1</v>
      </c>
      <c r="O389" s="294" t="s">
        <v>2163</v>
      </c>
      <c r="P389" s="325" t="s">
        <v>3032</v>
      </c>
      <c r="Q389" s="298"/>
      <c r="R389" s="209">
        <v>36800</v>
      </c>
      <c r="S389" s="301"/>
      <c r="T389" s="81">
        <v>1</v>
      </c>
      <c r="U389" s="78"/>
      <c r="V389" s="69"/>
      <c r="W389" s="69"/>
      <c r="X389" s="69">
        <v>1</v>
      </c>
      <c r="Y389" s="69"/>
      <c r="Z389" s="69"/>
      <c r="AA389" s="69"/>
      <c r="AB389" s="49"/>
    </row>
    <row r="390" spans="1:28" ht="15.6" customHeight="1" x14ac:dyDescent="0.2">
      <c r="A390" s="212">
        <v>388</v>
      </c>
      <c r="B390" s="159" t="str">
        <f t="shared" si="6"/>
        <v>Moraea viscaria</v>
      </c>
      <c r="C390" s="160" t="s">
        <v>1622</v>
      </c>
      <c r="D390" s="72" t="s">
        <v>194</v>
      </c>
      <c r="E390" s="72" t="s">
        <v>1650</v>
      </c>
      <c r="F390" s="72" t="s">
        <v>1662</v>
      </c>
      <c r="G390" s="289" t="s">
        <v>1274</v>
      </c>
      <c r="H390" s="166" t="s">
        <v>3299</v>
      </c>
      <c r="I390" s="142">
        <v>4</v>
      </c>
      <c r="J390" s="143">
        <v>6</v>
      </c>
      <c r="K390" s="143">
        <v>5</v>
      </c>
      <c r="L390" s="143">
        <v>2</v>
      </c>
      <c r="M390" s="143">
        <v>2</v>
      </c>
      <c r="N390" s="201">
        <v>1</v>
      </c>
      <c r="O390" s="294" t="s">
        <v>2163</v>
      </c>
      <c r="P390" s="325" t="s">
        <v>3032</v>
      </c>
      <c r="Q390" s="298"/>
      <c r="R390" s="209">
        <v>36130</v>
      </c>
      <c r="S390" s="301"/>
      <c r="T390" s="81">
        <v>1</v>
      </c>
      <c r="U390" s="78"/>
      <c r="V390" s="69"/>
      <c r="W390" s="69">
        <v>1</v>
      </c>
      <c r="X390" s="69">
        <v>1</v>
      </c>
      <c r="Y390" s="69"/>
      <c r="Z390" s="69"/>
      <c r="AA390" s="69"/>
      <c r="AB390" s="49"/>
    </row>
    <row r="391" spans="1:28" ht="15.6" customHeight="1" x14ac:dyDescent="0.2">
      <c r="A391" s="212">
        <v>389</v>
      </c>
      <c r="B391" s="159" t="str">
        <f t="shared" si="6"/>
        <v>Romulea dichotoma</v>
      </c>
      <c r="C391" s="160" t="s">
        <v>1622</v>
      </c>
      <c r="D391" s="72"/>
      <c r="E391" s="72" t="s">
        <v>1663</v>
      </c>
      <c r="F391" s="72" t="s">
        <v>985</v>
      </c>
      <c r="G391" s="289" t="s">
        <v>1275</v>
      </c>
      <c r="H391" s="166" t="s">
        <v>3299</v>
      </c>
      <c r="I391" s="142">
        <v>4</v>
      </c>
      <c r="J391" s="143">
        <v>6</v>
      </c>
      <c r="K391" s="143">
        <v>4</v>
      </c>
      <c r="L391" s="143">
        <v>2</v>
      </c>
      <c r="M391" s="143">
        <v>2</v>
      </c>
      <c r="N391" s="201">
        <v>1</v>
      </c>
      <c r="O391" s="294" t="s">
        <v>2163</v>
      </c>
      <c r="P391" s="325" t="s">
        <v>3032</v>
      </c>
      <c r="Q391" s="298"/>
      <c r="R391" s="209">
        <v>38231</v>
      </c>
      <c r="S391" s="301"/>
      <c r="T391" s="81">
        <v>1</v>
      </c>
      <c r="U391" s="78">
        <v>1</v>
      </c>
      <c r="V391" s="69"/>
      <c r="W391" s="69"/>
      <c r="X391" s="69"/>
      <c r="Y391" s="69"/>
      <c r="Z391" s="69"/>
      <c r="AA391" s="69"/>
      <c r="AB391" s="49"/>
    </row>
    <row r="392" spans="1:28" ht="15.6" customHeight="1" x14ac:dyDescent="0.2">
      <c r="A392" s="212">
        <v>390</v>
      </c>
      <c r="B392" s="159" t="str">
        <f t="shared" si="6"/>
        <v>Romulea flava</v>
      </c>
      <c r="C392" s="160" t="s">
        <v>1622</v>
      </c>
      <c r="D392" s="72" t="s">
        <v>195</v>
      </c>
      <c r="E392" s="72" t="s">
        <v>1663</v>
      </c>
      <c r="F392" s="72" t="s">
        <v>1664</v>
      </c>
      <c r="G392" s="289" t="s">
        <v>1276</v>
      </c>
      <c r="H392" s="166" t="s">
        <v>3299</v>
      </c>
      <c r="I392" s="142">
        <v>4</v>
      </c>
      <c r="J392" s="143">
        <v>6</v>
      </c>
      <c r="K392" s="143">
        <v>5</v>
      </c>
      <c r="L392" s="143">
        <v>2</v>
      </c>
      <c r="M392" s="143">
        <v>2</v>
      </c>
      <c r="N392" s="201">
        <v>1</v>
      </c>
      <c r="O392" s="294" t="s">
        <v>2163</v>
      </c>
      <c r="P392" s="325" t="s">
        <v>3032</v>
      </c>
      <c r="Q392" s="298"/>
      <c r="R392" s="209">
        <v>35612</v>
      </c>
      <c r="S392" s="301" t="s">
        <v>2250</v>
      </c>
      <c r="T392" s="81"/>
      <c r="U392" s="78">
        <v>1</v>
      </c>
      <c r="V392" s="69"/>
      <c r="W392" s="69"/>
      <c r="X392" s="69">
        <v>1</v>
      </c>
      <c r="Y392" s="69"/>
      <c r="Z392" s="69"/>
      <c r="AA392" s="69"/>
      <c r="AB392" s="49"/>
    </row>
    <row r="393" spans="1:28" ht="15.6" customHeight="1" x14ac:dyDescent="0.2">
      <c r="A393" s="212">
        <v>391</v>
      </c>
      <c r="B393" s="159" t="str">
        <f t="shared" si="6"/>
        <v>Romulea obscura</v>
      </c>
      <c r="C393" s="160" t="s">
        <v>1622</v>
      </c>
      <c r="D393" s="72"/>
      <c r="E393" s="72" t="s">
        <v>1663</v>
      </c>
      <c r="F393" s="72" t="s">
        <v>1665</v>
      </c>
      <c r="G393" s="289" t="s">
        <v>1277</v>
      </c>
      <c r="H393" s="166" t="s">
        <v>3299</v>
      </c>
      <c r="I393" s="142">
        <v>4</v>
      </c>
      <c r="J393" s="143">
        <v>6</v>
      </c>
      <c r="K393" s="143">
        <v>5</v>
      </c>
      <c r="L393" s="143">
        <v>2</v>
      </c>
      <c r="M393" s="143">
        <v>2</v>
      </c>
      <c r="N393" s="201">
        <v>1</v>
      </c>
      <c r="O393" s="294" t="s">
        <v>2163</v>
      </c>
      <c r="P393" s="325" t="s">
        <v>3032</v>
      </c>
      <c r="Q393" s="298"/>
      <c r="R393" s="209">
        <v>37165</v>
      </c>
      <c r="S393" s="301"/>
      <c r="T393" s="81">
        <v>1</v>
      </c>
      <c r="U393" s="78">
        <v>1</v>
      </c>
      <c r="V393" s="69"/>
      <c r="W393" s="69"/>
      <c r="X393" s="69"/>
      <c r="Y393" s="69"/>
      <c r="Z393" s="69"/>
      <c r="AA393" s="69"/>
      <c r="AB393" s="49"/>
    </row>
    <row r="394" spans="1:28" ht="15.6" customHeight="1" x14ac:dyDescent="0.2">
      <c r="A394" s="212">
        <v>392</v>
      </c>
      <c r="B394" s="159" t="str">
        <f t="shared" si="6"/>
        <v>Romulea rosea</v>
      </c>
      <c r="C394" s="160" t="s">
        <v>1622</v>
      </c>
      <c r="D394" s="72" t="s">
        <v>196</v>
      </c>
      <c r="E394" s="72" t="s">
        <v>1663</v>
      </c>
      <c r="F394" s="72" t="s">
        <v>1607</v>
      </c>
      <c r="G394" s="289" t="s">
        <v>1278</v>
      </c>
      <c r="H394" s="166" t="s">
        <v>3299</v>
      </c>
      <c r="I394" s="142">
        <v>4</v>
      </c>
      <c r="J394" s="143">
        <v>6</v>
      </c>
      <c r="K394" s="143">
        <v>5</v>
      </c>
      <c r="L394" s="143">
        <v>2</v>
      </c>
      <c r="M394" s="143">
        <v>2</v>
      </c>
      <c r="N394" s="201">
        <v>1</v>
      </c>
      <c r="O394" s="294" t="s">
        <v>2163</v>
      </c>
      <c r="P394" s="325" t="s">
        <v>3032</v>
      </c>
      <c r="Q394" s="298"/>
      <c r="R394" s="209">
        <v>37165</v>
      </c>
      <c r="S394" s="301"/>
      <c r="T394" s="81">
        <v>1</v>
      </c>
      <c r="U394" s="78">
        <v>1</v>
      </c>
      <c r="V394" s="69"/>
      <c r="W394" s="69"/>
      <c r="X394" s="69"/>
      <c r="Y394" s="69"/>
      <c r="Z394" s="69"/>
      <c r="AA394" s="69"/>
      <c r="AB394" s="49"/>
    </row>
    <row r="395" spans="1:28" ht="15.6" customHeight="1" x14ac:dyDescent="0.2">
      <c r="A395" s="212">
        <v>393</v>
      </c>
      <c r="B395" s="159" t="str">
        <f t="shared" si="6"/>
        <v>Romulea setifolia</v>
      </c>
      <c r="C395" s="160" t="s">
        <v>1622</v>
      </c>
      <c r="D395" s="72"/>
      <c r="E395" s="72" t="s">
        <v>1663</v>
      </c>
      <c r="F395" s="72" t="s">
        <v>1659</v>
      </c>
      <c r="G395" s="289" t="s">
        <v>1279</v>
      </c>
      <c r="H395" s="166" t="s">
        <v>3225</v>
      </c>
      <c r="I395" s="142">
        <v>4</v>
      </c>
      <c r="J395" s="143">
        <v>6</v>
      </c>
      <c r="K395" s="143">
        <v>9</v>
      </c>
      <c r="L395" s="143">
        <v>9</v>
      </c>
      <c r="M395" s="143">
        <v>9</v>
      </c>
      <c r="N395" s="201">
        <v>9</v>
      </c>
      <c r="O395" s="294" t="s">
        <v>2163</v>
      </c>
      <c r="P395" s="325" t="s">
        <v>3032</v>
      </c>
      <c r="Q395" s="298"/>
      <c r="R395" s="209">
        <v>36008</v>
      </c>
      <c r="S395" s="301" t="s">
        <v>2250</v>
      </c>
      <c r="T395" s="81"/>
      <c r="U395" s="78">
        <v>1</v>
      </c>
      <c r="V395" s="69"/>
      <c r="W395" s="69"/>
      <c r="X395" s="69"/>
      <c r="Y395" s="69"/>
      <c r="Z395" s="69"/>
      <c r="AA395" s="69"/>
      <c r="AB395" s="49"/>
    </row>
    <row r="396" spans="1:28" ht="15.6" customHeight="1" x14ac:dyDescent="0.2">
      <c r="A396" s="212">
        <v>394</v>
      </c>
      <c r="B396" s="159" t="str">
        <f t="shared" si="6"/>
        <v>Sparaxis bulbifera</v>
      </c>
      <c r="C396" s="160" t="s">
        <v>1622</v>
      </c>
      <c r="D396" s="72" t="s">
        <v>200</v>
      </c>
      <c r="E396" s="72" t="s">
        <v>1666</v>
      </c>
      <c r="F396" s="72" t="s">
        <v>1605</v>
      </c>
      <c r="G396" s="289" t="s">
        <v>1280</v>
      </c>
      <c r="H396" s="166" t="s">
        <v>3299</v>
      </c>
      <c r="I396" s="142">
        <v>4</v>
      </c>
      <c r="J396" s="143">
        <v>6</v>
      </c>
      <c r="K396" s="143">
        <v>5</v>
      </c>
      <c r="L396" s="143">
        <v>2</v>
      </c>
      <c r="M396" s="143">
        <v>2</v>
      </c>
      <c r="N396" s="201">
        <v>1</v>
      </c>
      <c r="O396" s="294" t="s">
        <v>2163</v>
      </c>
      <c r="P396" s="325" t="s">
        <v>3032</v>
      </c>
      <c r="Q396" s="298"/>
      <c r="R396" s="209">
        <v>37500</v>
      </c>
      <c r="S396" s="301"/>
      <c r="T396" s="81">
        <v>1</v>
      </c>
      <c r="U396" s="78"/>
      <c r="V396" s="69"/>
      <c r="W396" s="69"/>
      <c r="X396" s="69">
        <v>1</v>
      </c>
      <c r="Y396" s="69"/>
      <c r="Z396" s="69"/>
      <c r="AA396" s="69">
        <v>1</v>
      </c>
      <c r="AB396" s="49"/>
    </row>
    <row r="397" spans="1:28" ht="15.6" customHeight="1" x14ac:dyDescent="0.2">
      <c r="A397" s="212">
        <v>395</v>
      </c>
      <c r="B397" s="159" t="str">
        <f t="shared" si="6"/>
        <v>Sparaxis grandiflora</v>
      </c>
      <c r="C397" s="160" t="s">
        <v>1622</v>
      </c>
      <c r="D397" s="72" t="s">
        <v>201</v>
      </c>
      <c r="E397" s="72" t="s">
        <v>1666</v>
      </c>
      <c r="F397" s="72" t="s">
        <v>1667</v>
      </c>
      <c r="G397" s="289" t="s">
        <v>1281</v>
      </c>
      <c r="H397" s="166" t="s">
        <v>3225</v>
      </c>
      <c r="I397" s="142">
        <v>4</v>
      </c>
      <c r="J397" s="143">
        <v>6</v>
      </c>
      <c r="K397" s="143">
        <v>9</v>
      </c>
      <c r="L397" s="143">
        <v>2</v>
      </c>
      <c r="M397" s="143">
        <v>9</v>
      </c>
      <c r="N397" s="201">
        <v>9</v>
      </c>
      <c r="O397" s="294" t="s">
        <v>2163</v>
      </c>
      <c r="P397" s="325" t="s">
        <v>3032</v>
      </c>
      <c r="Q397" s="298" t="s">
        <v>3145</v>
      </c>
      <c r="R397" s="209">
        <v>36434</v>
      </c>
      <c r="S397" s="301" t="s">
        <v>2250</v>
      </c>
      <c r="T397" s="48"/>
      <c r="U397" s="78"/>
      <c r="V397" s="69"/>
      <c r="W397" s="69"/>
      <c r="X397" s="69">
        <v>1</v>
      </c>
      <c r="Y397" s="69"/>
      <c r="Z397" s="69"/>
      <c r="AA397" s="69"/>
      <c r="AB397" s="49"/>
    </row>
    <row r="398" spans="1:28" ht="15.6" customHeight="1" x14ac:dyDescent="0.2">
      <c r="A398" s="212">
        <v>396</v>
      </c>
      <c r="B398" s="159" t="str">
        <f t="shared" si="6"/>
        <v>Watsonia schlechteri</v>
      </c>
      <c r="C398" s="160" t="s">
        <v>1622</v>
      </c>
      <c r="D398" s="72"/>
      <c r="E398" s="72" t="s">
        <v>1668</v>
      </c>
      <c r="F398" s="72" t="s">
        <v>708</v>
      </c>
      <c r="G398" s="289" t="s">
        <v>1282</v>
      </c>
      <c r="H398" s="166" t="s">
        <v>3243</v>
      </c>
      <c r="I398" s="142">
        <v>4</v>
      </c>
      <c r="J398" s="143">
        <v>5</v>
      </c>
      <c r="K398" s="143">
        <v>5</v>
      </c>
      <c r="L398" s="143">
        <v>2</v>
      </c>
      <c r="M398" s="143">
        <v>2</v>
      </c>
      <c r="N398" s="201">
        <v>1</v>
      </c>
      <c r="O398" s="294" t="s">
        <v>2163</v>
      </c>
      <c r="P398" s="325" t="s">
        <v>3032</v>
      </c>
      <c r="Q398" s="298"/>
      <c r="R398" s="209">
        <v>36130</v>
      </c>
      <c r="S398" s="301"/>
      <c r="T398" s="81">
        <v>1</v>
      </c>
      <c r="U398" s="78"/>
      <c r="V398" s="69"/>
      <c r="W398" s="69"/>
      <c r="X398" s="69">
        <v>1</v>
      </c>
      <c r="Y398" s="69"/>
      <c r="Z398" s="69"/>
      <c r="AA398" s="69"/>
      <c r="AB398" s="49"/>
    </row>
    <row r="399" spans="1:28" ht="15.6" customHeight="1" x14ac:dyDescent="0.2">
      <c r="A399" s="212">
        <v>397</v>
      </c>
      <c r="B399" s="159" t="str">
        <f t="shared" si="6"/>
        <v>Watsonia stenosiphon</v>
      </c>
      <c r="C399" s="160" t="s">
        <v>1622</v>
      </c>
      <c r="D399" s="72"/>
      <c r="E399" s="72" t="s">
        <v>1668</v>
      </c>
      <c r="F399" s="72" t="s">
        <v>1669</v>
      </c>
      <c r="G399" s="289" t="s">
        <v>1283</v>
      </c>
      <c r="H399" s="166" t="s">
        <v>3299</v>
      </c>
      <c r="I399" s="142">
        <v>4</v>
      </c>
      <c r="J399" s="143">
        <v>6</v>
      </c>
      <c r="K399" s="143">
        <v>5</v>
      </c>
      <c r="L399" s="143">
        <v>2</v>
      </c>
      <c r="M399" s="143">
        <v>2</v>
      </c>
      <c r="N399" s="201">
        <v>1</v>
      </c>
      <c r="O399" s="294" t="s">
        <v>2163</v>
      </c>
      <c r="P399" s="325" t="s">
        <v>3032</v>
      </c>
      <c r="Q399" s="298"/>
      <c r="R399" s="209">
        <v>35612</v>
      </c>
      <c r="S399" s="301"/>
      <c r="T399" s="81">
        <v>1</v>
      </c>
      <c r="U399" s="78"/>
      <c r="V399" s="69">
        <v>1</v>
      </c>
      <c r="W399" s="69">
        <v>1</v>
      </c>
      <c r="X399" s="69">
        <v>1</v>
      </c>
      <c r="Y399" s="69"/>
      <c r="Z399" s="69"/>
      <c r="AA399" s="69"/>
      <c r="AB399" s="49"/>
    </row>
    <row r="400" spans="1:28" ht="15.6" customHeight="1" x14ac:dyDescent="0.2">
      <c r="A400" s="212">
        <v>398</v>
      </c>
      <c r="B400" s="159" t="str">
        <f t="shared" si="6"/>
        <v>Juncus capensis</v>
      </c>
      <c r="C400" s="160" t="s">
        <v>1670</v>
      </c>
      <c r="D400" s="72"/>
      <c r="E400" s="72" t="s">
        <v>1671</v>
      </c>
      <c r="F400" s="72" t="s">
        <v>2756</v>
      </c>
      <c r="G400" s="289" t="s">
        <v>1285</v>
      </c>
      <c r="H400" s="166" t="s">
        <v>3254</v>
      </c>
      <c r="I400" s="142">
        <v>3</v>
      </c>
      <c r="J400" s="143">
        <v>5</v>
      </c>
      <c r="K400" s="143">
        <v>5</v>
      </c>
      <c r="L400" s="143">
        <v>3</v>
      </c>
      <c r="M400" s="143">
        <v>1</v>
      </c>
      <c r="N400" s="201">
        <v>1</v>
      </c>
      <c r="O400" s="294" t="s">
        <v>2910</v>
      </c>
      <c r="P400" s="325" t="s">
        <v>3032</v>
      </c>
      <c r="Q400" s="298"/>
      <c r="R400" s="209">
        <v>37257</v>
      </c>
      <c r="S400" s="301"/>
      <c r="T400" s="81">
        <v>1</v>
      </c>
      <c r="U400" s="80"/>
      <c r="V400" s="69"/>
      <c r="W400" s="69"/>
      <c r="X400" s="69"/>
      <c r="Y400" s="69"/>
      <c r="Z400" s="69"/>
      <c r="AA400" s="69"/>
      <c r="AB400" s="49"/>
    </row>
    <row r="401" spans="1:28" ht="15.6" customHeight="1" x14ac:dyDescent="0.2">
      <c r="A401" s="212">
        <v>399</v>
      </c>
      <c r="B401" s="159" t="str">
        <f t="shared" si="6"/>
        <v>Juncus cephalotes</v>
      </c>
      <c r="C401" s="160" t="s">
        <v>1670</v>
      </c>
      <c r="D401" s="72"/>
      <c r="E401" s="72" t="s">
        <v>1671</v>
      </c>
      <c r="F401" s="72" t="s">
        <v>1672</v>
      </c>
      <c r="G401" s="289" t="s">
        <v>1284</v>
      </c>
      <c r="H401" s="166" t="s">
        <v>3278</v>
      </c>
      <c r="I401" s="142">
        <v>6</v>
      </c>
      <c r="J401" s="143">
        <v>6</v>
      </c>
      <c r="K401" s="143">
        <v>5</v>
      </c>
      <c r="L401" s="143">
        <v>3</v>
      </c>
      <c r="M401" s="143">
        <v>1</v>
      </c>
      <c r="N401" s="201">
        <v>3</v>
      </c>
      <c r="O401" s="294" t="s">
        <v>2910</v>
      </c>
      <c r="P401" s="325" t="s">
        <v>2915</v>
      </c>
      <c r="Q401" s="298" t="s">
        <v>3144</v>
      </c>
      <c r="R401" s="209">
        <v>36831</v>
      </c>
      <c r="S401" s="301"/>
      <c r="T401" s="81">
        <v>1</v>
      </c>
      <c r="U401" s="78"/>
      <c r="V401" s="69"/>
      <c r="W401" s="69"/>
      <c r="X401" s="69">
        <v>1</v>
      </c>
      <c r="Y401" s="69"/>
      <c r="Z401" s="69"/>
      <c r="AA401" s="69">
        <v>1</v>
      </c>
      <c r="AB401" s="49"/>
    </row>
    <row r="402" spans="1:28" ht="15.6" customHeight="1" x14ac:dyDescent="0.2">
      <c r="A402" s="212">
        <v>400</v>
      </c>
      <c r="B402" s="159" t="str">
        <f t="shared" si="6"/>
        <v>Triglochin bulbosa</v>
      </c>
      <c r="C402" s="160" t="s">
        <v>1673</v>
      </c>
      <c r="D402" s="72"/>
      <c r="E402" s="72" t="s">
        <v>1674</v>
      </c>
      <c r="F402" s="72" t="s">
        <v>994</v>
      </c>
      <c r="G402" s="289" t="s">
        <v>3325</v>
      </c>
      <c r="H402" s="166" t="s">
        <v>3253</v>
      </c>
      <c r="I402" s="142">
        <v>3</v>
      </c>
      <c r="J402" s="143">
        <v>6</v>
      </c>
      <c r="K402" s="143">
        <v>5</v>
      </c>
      <c r="L402" s="143">
        <v>3</v>
      </c>
      <c r="M402" s="143">
        <v>1</v>
      </c>
      <c r="N402" s="201">
        <v>1</v>
      </c>
      <c r="O402" s="294" t="s">
        <v>2163</v>
      </c>
      <c r="P402" s="325" t="s">
        <v>3032</v>
      </c>
      <c r="Q402" s="298"/>
      <c r="R402" s="209">
        <v>37316</v>
      </c>
      <c r="S402" s="301"/>
      <c r="T402" s="81">
        <v>1</v>
      </c>
      <c r="U402" s="80"/>
      <c r="V402" s="69"/>
      <c r="W402" s="69"/>
      <c r="X402" s="69"/>
      <c r="Y402" s="69"/>
      <c r="Z402" s="69"/>
      <c r="AA402" s="69"/>
      <c r="AB402" s="49"/>
    </row>
    <row r="403" spans="1:28" ht="15.6" customHeight="1" x14ac:dyDescent="0.2">
      <c r="A403" s="212">
        <v>401</v>
      </c>
      <c r="B403" s="159" t="str">
        <f t="shared" si="6"/>
        <v>Triglochin striata</v>
      </c>
      <c r="C403" s="160" t="s">
        <v>1673</v>
      </c>
      <c r="D403" s="72"/>
      <c r="E403" s="72" t="s">
        <v>1674</v>
      </c>
      <c r="F403" s="72" t="s">
        <v>1675</v>
      </c>
      <c r="G403" s="289" t="s">
        <v>3326</v>
      </c>
      <c r="H403" s="166" t="s">
        <v>3253</v>
      </c>
      <c r="I403" s="142">
        <v>3</v>
      </c>
      <c r="J403" s="143">
        <v>6</v>
      </c>
      <c r="K403" s="143">
        <v>5</v>
      </c>
      <c r="L403" s="143">
        <v>3</v>
      </c>
      <c r="M403" s="143">
        <v>1</v>
      </c>
      <c r="N403" s="201">
        <v>1</v>
      </c>
      <c r="O403" s="294" t="s">
        <v>2163</v>
      </c>
      <c r="P403" s="325" t="s">
        <v>3032</v>
      </c>
      <c r="Q403" s="298"/>
      <c r="R403" s="209">
        <v>35947</v>
      </c>
      <c r="S403" s="301"/>
      <c r="T403" s="81">
        <v>1</v>
      </c>
      <c r="U403" s="78"/>
      <c r="V403" s="69"/>
      <c r="W403" s="69"/>
      <c r="X403" s="69">
        <v>1</v>
      </c>
      <c r="Y403" s="69"/>
      <c r="Z403" s="69"/>
      <c r="AA403" s="69"/>
      <c r="AB403" s="49"/>
    </row>
    <row r="404" spans="1:28" ht="15.6" customHeight="1" x14ac:dyDescent="0.2">
      <c r="A404" s="212">
        <v>402</v>
      </c>
      <c r="B404" s="159" t="str">
        <f t="shared" si="6"/>
        <v>Kiggelaria africana</v>
      </c>
      <c r="C404" s="160" t="s">
        <v>1676</v>
      </c>
      <c r="D404" s="72"/>
      <c r="E404" s="72" t="s">
        <v>1677</v>
      </c>
      <c r="F404" s="72" t="s">
        <v>832</v>
      </c>
      <c r="G404" s="289" t="s">
        <v>3327</v>
      </c>
      <c r="H404" s="166" t="s">
        <v>3281</v>
      </c>
      <c r="I404" s="142">
        <v>1</v>
      </c>
      <c r="J404" s="143">
        <v>1</v>
      </c>
      <c r="K404" s="143">
        <v>2</v>
      </c>
      <c r="L404" s="143">
        <v>1</v>
      </c>
      <c r="M404" s="143">
        <v>1</v>
      </c>
      <c r="N404" s="201">
        <v>2</v>
      </c>
      <c r="O404" s="294" t="s">
        <v>2173</v>
      </c>
      <c r="P404" s="325" t="s">
        <v>3032</v>
      </c>
      <c r="Q404" s="298"/>
      <c r="R404" s="209">
        <v>35612</v>
      </c>
      <c r="S404" s="301"/>
      <c r="T404" s="81">
        <v>1</v>
      </c>
      <c r="U404" s="78"/>
      <c r="V404" s="69"/>
      <c r="W404" s="69"/>
      <c r="X404" s="69"/>
      <c r="Y404" s="69"/>
      <c r="Z404" s="69">
        <v>1</v>
      </c>
      <c r="AA404" s="69"/>
      <c r="AB404" s="49"/>
    </row>
    <row r="405" spans="1:28" ht="15.6" customHeight="1" x14ac:dyDescent="0.2">
      <c r="A405" s="212">
        <v>403</v>
      </c>
      <c r="B405" s="159" t="str">
        <f t="shared" si="6"/>
        <v>Leonotis leonurus</v>
      </c>
      <c r="C405" s="160" t="s">
        <v>1679</v>
      </c>
      <c r="D405" s="72" t="s">
        <v>202</v>
      </c>
      <c r="E405" s="72" t="s">
        <v>1680</v>
      </c>
      <c r="F405" s="72" t="s">
        <v>1681</v>
      </c>
      <c r="G405" s="289" t="s">
        <v>3328</v>
      </c>
      <c r="H405" s="166" t="s">
        <v>3301</v>
      </c>
      <c r="I405" s="142">
        <v>2</v>
      </c>
      <c r="J405" s="143">
        <v>3</v>
      </c>
      <c r="K405" s="143">
        <v>2</v>
      </c>
      <c r="L405" s="143">
        <v>2</v>
      </c>
      <c r="M405" s="143">
        <v>1</v>
      </c>
      <c r="N405" s="201">
        <v>2</v>
      </c>
      <c r="O405" s="294" t="s">
        <v>2168</v>
      </c>
      <c r="P405" s="325" t="s">
        <v>3032</v>
      </c>
      <c r="Q405" s="298"/>
      <c r="R405" s="209">
        <v>35612</v>
      </c>
      <c r="S405" s="301"/>
      <c r="T405" s="81">
        <v>1</v>
      </c>
      <c r="U405" s="78">
        <v>1</v>
      </c>
      <c r="V405" s="69"/>
      <c r="W405" s="69"/>
      <c r="X405" s="69"/>
      <c r="Y405" s="69"/>
      <c r="Z405" s="69"/>
      <c r="AA405" s="69"/>
      <c r="AB405" s="49"/>
    </row>
    <row r="406" spans="1:28" ht="15.6" customHeight="1" x14ac:dyDescent="0.2">
      <c r="A406" s="212">
        <v>404</v>
      </c>
      <c r="B406" s="159" t="str">
        <f t="shared" si="6"/>
        <v>Mentha  aquatica</v>
      </c>
      <c r="C406" s="160" t="s">
        <v>1679</v>
      </c>
      <c r="D406" s="72" t="s">
        <v>203</v>
      </c>
      <c r="E406" s="72" t="s">
        <v>1682</v>
      </c>
      <c r="F406" s="72" t="s">
        <v>1683</v>
      </c>
      <c r="G406" s="289" t="s">
        <v>3329</v>
      </c>
      <c r="H406" s="166" t="s">
        <v>3269</v>
      </c>
      <c r="I406" s="142">
        <v>3</v>
      </c>
      <c r="J406" s="143">
        <v>5</v>
      </c>
      <c r="K406" s="143">
        <v>3</v>
      </c>
      <c r="L406" s="143">
        <v>3</v>
      </c>
      <c r="M406" s="143">
        <v>1</v>
      </c>
      <c r="N406" s="201">
        <v>3</v>
      </c>
      <c r="O406" s="294" t="s">
        <v>2910</v>
      </c>
      <c r="P406" s="325" t="s">
        <v>3032</v>
      </c>
      <c r="Q406" s="298"/>
      <c r="R406" s="209">
        <v>36770</v>
      </c>
      <c r="S406" s="301"/>
      <c r="T406" s="81">
        <v>1</v>
      </c>
      <c r="U406" s="78"/>
      <c r="V406" s="69"/>
      <c r="W406" s="69"/>
      <c r="X406" s="69"/>
      <c r="Y406" s="69"/>
      <c r="Z406" s="69"/>
      <c r="AA406" s="69">
        <v>1</v>
      </c>
      <c r="AB406" s="49"/>
    </row>
    <row r="407" spans="1:28" ht="15.6" customHeight="1" x14ac:dyDescent="0.2">
      <c r="A407" s="212">
        <v>405</v>
      </c>
      <c r="B407" s="159" t="str">
        <f t="shared" si="6"/>
        <v>Mentha  longifolia</v>
      </c>
      <c r="C407" s="160" t="s">
        <v>1679</v>
      </c>
      <c r="D407" s="72" t="s">
        <v>204</v>
      </c>
      <c r="E407" s="72" t="s">
        <v>1682</v>
      </c>
      <c r="F407" s="72" t="s">
        <v>883</v>
      </c>
      <c r="G407" s="289" t="s">
        <v>3330</v>
      </c>
      <c r="H407" s="166" t="s">
        <v>3289</v>
      </c>
      <c r="I407" s="142">
        <v>2</v>
      </c>
      <c r="J407" s="143">
        <v>4</v>
      </c>
      <c r="K407" s="143">
        <v>3</v>
      </c>
      <c r="L407" s="143">
        <v>3</v>
      </c>
      <c r="M407" s="143">
        <v>1</v>
      </c>
      <c r="N407" s="201">
        <v>3</v>
      </c>
      <c r="O407" s="294" t="s">
        <v>2914</v>
      </c>
      <c r="P407" s="325" t="s">
        <v>3032</v>
      </c>
      <c r="Q407" s="298"/>
      <c r="R407" s="209">
        <v>35855</v>
      </c>
      <c r="S407" s="301"/>
      <c r="T407" s="81">
        <v>1</v>
      </c>
      <c r="U407" s="78"/>
      <c r="V407" s="69"/>
      <c r="W407" s="69"/>
      <c r="X407" s="69"/>
      <c r="Y407" s="69"/>
      <c r="Z407" s="69"/>
      <c r="AA407" s="69">
        <v>1</v>
      </c>
      <c r="AB407" s="49"/>
    </row>
    <row r="408" spans="1:28" ht="15.6" customHeight="1" x14ac:dyDescent="0.2">
      <c r="A408" s="212">
        <v>406</v>
      </c>
      <c r="B408" s="159" t="str">
        <f t="shared" si="6"/>
        <v>Salvia africana-lutea</v>
      </c>
      <c r="C408" s="160" t="s">
        <v>1679</v>
      </c>
      <c r="D408" s="72" t="s">
        <v>205</v>
      </c>
      <c r="E408" s="72" t="s">
        <v>1684</v>
      </c>
      <c r="F408" s="72" t="s">
        <v>1685</v>
      </c>
      <c r="G408" s="289" t="s">
        <v>3331</v>
      </c>
      <c r="H408" s="166" t="s">
        <v>3249</v>
      </c>
      <c r="I408" s="142">
        <v>2</v>
      </c>
      <c r="J408" s="143">
        <v>4</v>
      </c>
      <c r="K408" s="143">
        <v>2</v>
      </c>
      <c r="L408" s="143">
        <v>3</v>
      </c>
      <c r="M408" s="143">
        <v>1</v>
      </c>
      <c r="N408" s="201">
        <v>4</v>
      </c>
      <c r="O408" s="294" t="s">
        <v>2168</v>
      </c>
      <c r="P408" s="325" t="s">
        <v>3032</v>
      </c>
      <c r="Q408" s="298"/>
      <c r="R408" s="209">
        <v>35612</v>
      </c>
      <c r="S408" s="301"/>
      <c r="T408" s="81">
        <v>1</v>
      </c>
      <c r="U408" s="78">
        <v>1</v>
      </c>
      <c r="V408" s="69">
        <v>1</v>
      </c>
      <c r="W408" s="69"/>
      <c r="X408" s="69">
        <v>1</v>
      </c>
      <c r="Y408" s="69"/>
      <c r="Z408" s="69"/>
      <c r="AA408" s="69"/>
      <c r="AB408" s="49"/>
    </row>
    <row r="409" spans="1:28" ht="15.6" customHeight="1" x14ac:dyDescent="0.2">
      <c r="A409" s="212">
        <v>407</v>
      </c>
      <c r="B409" s="159" t="str">
        <f t="shared" si="6"/>
        <v>Stachys aethiopica</v>
      </c>
      <c r="C409" s="160" t="s">
        <v>1679</v>
      </c>
      <c r="D409" s="72" t="s">
        <v>206</v>
      </c>
      <c r="E409" s="72" t="s">
        <v>1686</v>
      </c>
      <c r="F409" s="72" t="s">
        <v>2817</v>
      </c>
      <c r="G409" s="289" t="s">
        <v>3332</v>
      </c>
      <c r="H409" s="166" t="s">
        <v>3268</v>
      </c>
      <c r="I409" s="142">
        <v>3</v>
      </c>
      <c r="J409" s="143">
        <v>6</v>
      </c>
      <c r="K409" s="143">
        <v>3</v>
      </c>
      <c r="L409" s="143">
        <v>3</v>
      </c>
      <c r="M409" s="143">
        <v>1</v>
      </c>
      <c r="N409" s="201">
        <v>4</v>
      </c>
      <c r="O409" s="294" t="s">
        <v>2910</v>
      </c>
      <c r="P409" s="325" t="s">
        <v>3032</v>
      </c>
      <c r="Q409" s="298"/>
      <c r="R409" s="209">
        <v>35855</v>
      </c>
      <c r="S409" s="301"/>
      <c r="T409" s="81">
        <v>1</v>
      </c>
      <c r="U409" s="78">
        <v>1</v>
      </c>
      <c r="V409" s="69"/>
      <c r="W409" s="69"/>
      <c r="X409" s="69"/>
      <c r="Y409" s="69">
        <v>1</v>
      </c>
      <c r="Z409" s="69"/>
      <c r="AA409" s="69"/>
      <c r="AB409" s="49"/>
    </row>
    <row r="410" spans="1:28" ht="15.6" customHeight="1" x14ac:dyDescent="0.2">
      <c r="A410" s="212">
        <v>408</v>
      </c>
      <c r="B410" s="159" t="str">
        <f t="shared" si="6"/>
        <v>Stachys thunbergii</v>
      </c>
      <c r="C410" s="160" t="s">
        <v>1679</v>
      </c>
      <c r="D410" s="72"/>
      <c r="E410" s="72" t="s">
        <v>1686</v>
      </c>
      <c r="F410" s="72" t="s">
        <v>1010</v>
      </c>
      <c r="G410" s="289" t="s">
        <v>3333</v>
      </c>
      <c r="H410" s="166" t="s">
        <v>3302</v>
      </c>
      <c r="I410" s="142">
        <v>3</v>
      </c>
      <c r="J410" s="143">
        <v>4</v>
      </c>
      <c r="K410" s="143">
        <v>3</v>
      </c>
      <c r="L410" s="143">
        <v>3</v>
      </c>
      <c r="M410" s="143">
        <v>1</v>
      </c>
      <c r="N410" s="201">
        <v>2</v>
      </c>
      <c r="O410" s="294" t="s">
        <v>2910</v>
      </c>
      <c r="P410" s="325" t="s">
        <v>3032</v>
      </c>
      <c r="Q410" s="298"/>
      <c r="R410" s="209">
        <v>35947</v>
      </c>
      <c r="S410" s="301"/>
      <c r="T410" s="81">
        <v>1</v>
      </c>
      <c r="U410" s="78"/>
      <c r="V410" s="69"/>
      <c r="W410" s="69"/>
      <c r="X410" s="69">
        <v>1</v>
      </c>
      <c r="Y410" s="69"/>
      <c r="Z410" s="69"/>
      <c r="AA410" s="69"/>
      <c r="AB410" s="49"/>
    </row>
    <row r="411" spans="1:28" ht="15.6" customHeight="1" x14ac:dyDescent="0.2">
      <c r="A411" s="212">
        <v>409</v>
      </c>
      <c r="B411" s="159" t="str">
        <f t="shared" si="6"/>
        <v>Cassytha ciliolata</v>
      </c>
      <c r="C411" s="160" t="s">
        <v>1687</v>
      </c>
      <c r="D411" s="72" t="s">
        <v>207</v>
      </c>
      <c r="E411" s="72" t="s">
        <v>1688</v>
      </c>
      <c r="F411" s="72" t="s">
        <v>1689</v>
      </c>
      <c r="G411" s="289" t="s">
        <v>3334</v>
      </c>
      <c r="H411" s="166" t="s">
        <v>3303</v>
      </c>
      <c r="I411" s="142">
        <v>7</v>
      </c>
      <c r="J411" s="143">
        <v>8</v>
      </c>
      <c r="K411" s="143">
        <v>0</v>
      </c>
      <c r="L411" s="143">
        <v>7</v>
      </c>
      <c r="M411" s="143">
        <v>0</v>
      </c>
      <c r="N411" s="201">
        <v>0</v>
      </c>
      <c r="O411" s="294" t="s">
        <v>2178</v>
      </c>
      <c r="P411" s="325" t="s">
        <v>3032</v>
      </c>
      <c r="Q411" s="298"/>
      <c r="R411" s="209">
        <v>35612</v>
      </c>
      <c r="S411" s="301"/>
      <c r="T411" s="81">
        <v>1</v>
      </c>
      <c r="U411" s="78">
        <v>1</v>
      </c>
      <c r="V411" s="69">
        <v>1</v>
      </c>
      <c r="W411" s="69">
        <v>1</v>
      </c>
      <c r="X411" s="69">
        <v>1</v>
      </c>
      <c r="Y411" s="69"/>
      <c r="Z411" s="69"/>
      <c r="AA411" s="69"/>
      <c r="AB411" s="49"/>
    </row>
    <row r="412" spans="1:28" ht="15.6" customHeight="1" x14ac:dyDescent="0.2">
      <c r="A412" s="212">
        <v>410</v>
      </c>
      <c r="B412" s="159" t="str">
        <f t="shared" si="6"/>
        <v>Utricularia bisquamata</v>
      </c>
      <c r="C412" s="160" t="s">
        <v>1690</v>
      </c>
      <c r="D412" s="72" t="s">
        <v>208</v>
      </c>
      <c r="E412" s="72" t="s">
        <v>1691</v>
      </c>
      <c r="F412" s="72" t="s">
        <v>1692</v>
      </c>
      <c r="G412" s="289" t="s">
        <v>3335</v>
      </c>
      <c r="H412" s="166" t="s">
        <v>3283</v>
      </c>
      <c r="I412" s="142">
        <v>6</v>
      </c>
      <c r="J412" s="143">
        <v>6</v>
      </c>
      <c r="K412" s="143">
        <v>0</v>
      </c>
      <c r="L412" s="143">
        <v>7</v>
      </c>
      <c r="M412" s="143">
        <v>0</v>
      </c>
      <c r="N412" s="201">
        <v>0</v>
      </c>
      <c r="O412" s="294" t="s">
        <v>2910</v>
      </c>
      <c r="P412" s="325" t="s">
        <v>2915</v>
      </c>
      <c r="Q412" s="298"/>
      <c r="R412" s="209">
        <v>37530</v>
      </c>
      <c r="S412" s="301"/>
      <c r="T412" s="81">
        <v>1</v>
      </c>
      <c r="U412" s="78"/>
      <c r="V412" s="69"/>
      <c r="W412" s="69"/>
      <c r="X412" s="69"/>
      <c r="Y412" s="69"/>
      <c r="Z412" s="69"/>
      <c r="AA412" s="69">
        <v>1</v>
      </c>
      <c r="AB412" s="49"/>
    </row>
    <row r="413" spans="1:28" ht="15.6" customHeight="1" x14ac:dyDescent="0.2">
      <c r="A413" s="212">
        <v>411</v>
      </c>
      <c r="B413" s="159" t="str">
        <f t="shared" si="6"/>
        <v>Linum africanum</v>
      </c>
      <c r="C413" s="160" t="s">
        <v>1693</v>
      </c>
      <c r="D413" s="72" t="s">
        <v>209</v>
      </c>
      <c r="E413" s="72" t="s">
        <v>1694</v>
      </c>
      <c r="F413" s="72" t="s">
        <v>2797</v>
      </c>
      <c r="G413" s="289" t="s">
        <v>3498</v>
      </c>
      <c r="H413" s="166" t="s">
        <v>3215</v>
      </c>
      <c r="I413" s="142">
        <v>2</v>
      </c>
      <c r="J413" s="143">
        <v>6</v>
      </c>
      <c r="K413" s="143">
        <v>3</v>
      </c>
      <c r="L413" s="143">
        <v>3</v>
      </c>
      <c r="M413" s="143">
        <v>2</v>
      </c>
      <c r="N413" s="201">
        <v>5</v>
      </c>
      <c r="O413" s="294" t="s">
        <v>3031</v>
      </c>
      <c r="P413" s="325" t="s">
        <v>3032</v>
      </c>
      <c r="Q413" s="298"/>
      <c r="R413" s="209">
        <v>35612</v>
      </c>
      <c r="S413" s="301"/>
      <c r="T413" s="81">
        <v>1</v>
      </c>
      <c r="U413" s="78"/>
      <c r="V413" s="69">
        <v>1</v>
      </c>
      <c r="W413" s="69">
        <v>1</v>
      </c>
      <c r="X413" s="69">
        <v>1</v>
      </c>
      <c r="Y413" s="69"/>
      <c r="Z413" s="69"/>
      <c r="AA413" s="69"/>
      <c r="AB413" s="49"/>
    </row>
    <row r="414" spans="1:28" ht="15.6" customHeight="1" x14ac:dyDescent="0.2">
      <c r="A414" s="212">
        <v>412</v>
      </c>
      <c r="B414" s="159" t="str">
        <f t="shared" si="6"/>
        <v>Linum thunbergii</v>
      </c>
      <c r="C414" s="160" t="s">
        <v>1693</v>
      </c>
      <c r="D414" s="72"/>
      <c r="E414" s="72" t="s">
        <v>1694</v>
      </c>
      <c r="F414" s="72" t="s">
        <v>1010</v>
      </c>
      <c r="G414" s="289" t="s">
        <v>3499</v>
      </c>
      <c r="H414" s="166" t="s">
        <v>3215</v>
      </c>
      <c r="I414" s="142">
        <v>2</v>
      </c>
      <c r="J414" s="143">
        <v>6</v>
      </c>
      <c r="K414" s="143">
        <v>3</v>
      </c>
      <c r="L414" s="143">
        <v>3</v>
      </c>
      <c r="M414" s="143">
        <v>2</v>
      </c>
      <c r="N414" s="201">
        <v>4</v>
      </c>
      <c r="O414" s="294" t="s">
        <v>3031</v>
      </c>
      <c r="P414" s="325" t="s">
        <v>3032</v>
      </c>
      <c r="Q414" s="298"/>
      <c r="R414" s="209">
        <v>35612</v>
      </c>
      <c r="S414" s="301"/>
      <c r="T414" s="81">
        <v>1</v>
      </c>
      <c r="U414" s="78"/>
      <c r="V414" s="69"/>
      <c r="W414" s="69"/>
      <c r="X414" s="69">
        <v>1</v>
      </c>
      <c r="Y414" s="69"/>
      <c r="Z414" s="69"/>
      <c r="AA414" s="69"/>
      <c r="AB414" s="49"/>
    </row>
    <row r="415" spans="1:28" ht="15.6" customHeight="1" x14ac:dyDescent="0.2">
      <c r="A415" s="212">
        <v>413</v>
      </c>
      <c r="B415" s="159" t="str">
        <f t="shared" si="6"/>
        <v>Anisodontea scabrosa</v>
      </c>
      <c r="C415" s="160" t="s">
        <v>1695</v>
      </c>
      <c r="D415" s="72" t="s">
        <v>210</v>
      </c>
      <c r="E415" s="72" t="s">
        <v>1696</v>
      </c>
      <c r="F415" s="72" t="s">
        <v>1697</v>
      </c>
      <c r="G415" s="289" t="s">
        <v>3500</v>
      </c>
      <c r="H415" s="166" t="s">
        <v>3239</v>
      </c>
      <c r="I415" s="142">
        <v>2</v>
      </c>
      <c r="J415" s="143">
        <v>4</v>
      </c>
      <c r="K415" s="143">
        <v>3</v>
      </c>
      <c r="L415" s="143">
        <v>1</v>
      </c>
      <c r="M415" s="143">
        <v>1</v>
      </c>
      <c r="N415" s="201">
        <v>3</v>
      </c>
      <c r="O415" s="294" t="s">
        <v>2168</v>
      </c>
      <c r="P415" s="325" t="s">
        <v>3032</v>
      </c>
      <c r="Q415" s="298"/>
      <c r="R415" s="209">
        <v>36161</v>
      </c>
      <c r="S415" s="301"/>
      <c r="T415" s="81">
        <v>1</v>
      </c>
      <c r="U415" s="78">
        <v>1</v>
      </c>
      <c r="V415" s="69"/>
      <c r="W415" s="69"/>
      <c r="X415" s="69"/>
      <c r="Y415" s="69"/>
      <c r="Z415" s="69"/>
      <c r="AA415" s="69"/>
      <c r="AB415" s="49"/>
    </row>
    <row r="416" spans="1:28" ht="15.6" customHeight="1" x14ac:dyDescent="0.2">
      <c r="A416" s="212">
        <v>414</v>
      </c>
      <c r="B416" s="159" t="str">
        <f t="shared" si="6"/>
        <v>Hermannia flammea</v>
      </c>
      <c r="C416" s="160" t="s">
        <v>1695</v>
      </c>
      <c r="D416" s="72" t="s">
        <v>211</v>
      </c>
      <c r="E416" s="72" t="s">
        <v>1698</v>
      </c>
      <c r="F416" s="72" t="s">
        <v>1699</v>
      </c>
      <c r="G416" s="289" t="s">
        <v>3501</v>
      </c>
      <c r="H416" s="166" t="s">
        <v>3304</v>
      </c>
      <c r="I416" s="142">
        <v>2</v>
      </c>
      <c r="J416" s="143">
        <v>5</v>
      </c>
      <c r="K416" s="143">
        <v>0</v>
      </c>
      <c r="L416" s="143">
        <v>7</v>
      </c>
      <c r="M416" s="143">
        <v>0</v>
      </c>
      <c r="N416" s="201">
        <v>0</v>
      </c>
      <c r="O416" s="294" t="s">
        <v>2914</v>
      </c>
      <c r="P416" s="325" t="s">
        <v>3032</v>
      </c>
      <c r="Q416" s="298"/>
      <c r="R416" s="209">
        <v>35612</v>
      </c>
      <c r="S416" s="301"/>
      <c r="T416" s="81">
        <v>1</v>
      </c>
      <c r="U416" s="78"/>
      <c r="V416" s="69"/>
      <c r="W416" s="69"/>
      <c r="X416" s="69">
        <v>1</v>
      </c>
      <c r="Y416" s="69"/>
      <c r="Z416" s="69"/>
      <c r="AA416" s="69"/>
      <c r="AB416" s="49"/>
    </row>
    <row r="417" spans="1:28" ht="15.6" customHeight="1" x14ac:dyDescent="0.2">
      <c r="A417" s="212">
        <v>415</v>
      </c>
      <c r="B417" s="159" t="str">
        <f t="shared" si="6"/>
        <v>Hermannia grossularifolia</v>
      </c>
      <c r="C417" s="160" t="s">
        <v>1695</v>
      </c>
      <c r="D417" s="72"/>
      <c r="E417" s="72" t="s">
        <v>1698</v>
      </c>
      <c r="F417" s="72" t="s">
        <v>1700</v>
      </c>
      <c r="G417" s="289" t="s">
        <v>3502</v>
      </c>
      <c r="H417" s="166" t="s">
        <v>3267</v>
      </c>
      <c r="I417" s="142">
        <v>2</v>
      </c>
      <c r="J417" s="143">
        <v>6</v>
      </c>
      <c r="K417" s="143">
        <v>3</v>
      </c>
      <c r="L417" s="143">
        <v>3</v>
      </c>
      <c r="M417" s="143">
        <v>1</v>
      </c>
      <c r="N417" s="201">
        <v>3</v>
      </c>
      <c r="O417" s="294" t="s">
        <v>3031</v>
      </c>
      <c r="P417" s="325" t="s">
        <v>3032</v>
      </c>
      <c r="Q417" s="298"/>
      <c r="R417" s="209">
        <v>36861</v>
      </c>
      <c r="S417" s="301"/>
      <c r="T417" s="81">
        <v>1</v>
      </c>
      <c r="U417" s="78">
        <v>1</v>
      </c>
      <c r="V417" s="69"/>
      <c r="W417" s="69">
        <v>1</v>
      </c>
      <c r="X417" s="69"/>
      <c r="Y417" s="69"/>
      <c r="Z417" s="69"/>
      <c r="AA417" s="69"/>
      <c r="AB417" s="49"/>
    </row>
    <row r="418" spans="1:28" ht="15.6" customHeight="1" x14ac:dyDescent="0.2">
      <c r="A418" s="212">
        <v>416</v>
      </c>
      <c r="B418" s="159" t="str">
        <f t="shared" si="6"/>
        <v>Hermannia hyssopifolia</v>
      </c>
      <c r="C418" s="160" t="s">
        <v>1695</v>
      </c>
      <c r="D418" s="72" t="s">
        <v>212</v>
      </c>
      <c r="E418" s="72" t="s">
        <v>1698</v>
      </c>
      <c r="F418" s="72" t="s">
        <v>1701</v>
      </c>
      <c r="G418" s="289" t="s">
        <v>3503</v>
      </c>
      <c r="H418" s="166" t="s">
        <v>3249</v>
      </c>
      <c r="I418" s="142">
        <v>2</v>
      </c>
      <c r="J418" s="143">
        <v>4</v>
      </c>
      <c r="K418" s="143">
        <v>3</v>
      </c>
      <c r="L418" s="143">
        <v>3</v>
      </c>
      <c r="M418" s="143">
        <v>1</v>
      </c>
      <c r="N418" s="201">
        <v>4</v>
      </c>
      <c r="O418" s="294" t="s">
        <v>2168</v>
      </c>
      <c r="P418" s="325" t="s">
        <v>3032</v>
      </c>
      <c r="Q418" s="298"/>
      <c r="R418" s="209"/>
      <c r="S418" s="301"/>
      <c r="T418" s="81">
        <v>1</v>
      </c>
      <c r="U418" s="78"/>
      <c r="V418" s="69"/>
      <c r="W418" s="69"/>
      <c r="X418" s="69">
        <v>1</v>
      </c>
      <c r="Y418" s="69"/>
      <c r="Z418" s="69"/>
      <c r="AA418" s="69"/>
      <c r="AB418" s="49"/>
    </row>
    <row r="419" spans="1:28" ht="15.6" customHeight="1" x14ac:dyDescent="0.2">
      <c r="A419" s="212">
        <v>417</v>
      </c>
      <c r="B419" s="159" t="str">
        <f t="shared" si="6"/>
        <v>Hermannia joubertiana</v>
      </c>
      <c r="C419" s="160" t="s">
        <v>1695</v>
      </c>
      <c r="D419" s="72"/>
      <c r="E419" s="72" t="s">
        <v>1698</v>
      </c>
      <c r="F419" s="72" t="s">
        <v>1702</v>
      </c>
      <c r="G419" s="289" t="s">
        <v>3504</v>
      </c>
      <c r="H419" s="166" t="s">
        <v>3248</v>
      </c>
      <c r="I419" s="142">
        <v>2</v>
      </c>
      <c r="J419" s="143">
        <v>5</v>
      </c>
      <c r="K419" s="143">
        <v>2</v>
      </c>
      <c r="L419" s="143">
        <v>2</v>
      </c>
      <c r="M419" s="143">
        <v>1</v>
      </c>
      <c r="N419" s="201">
        <v>5</v>
      </c>
      <c r="O419" s="294" t="s">
        <v>2914</v>
      </c>
      <c r="P419" s="325" t="s">
        <v>3032</v>
      </c>
      <c r="Q419" s="298"/>
      <c r="R419" s="209">
        <v>35612</v>
      </c>
      <c r="S419" s="301"/>
      <c r="T419" s="81">
        <v>1</v>
      </c>
      <c r="U419" s="78">
        <v>1</v>
      </c>
      <c r="V419" s="69">
        <v>1</v>
      </c>
      <c r="W419" s="69">
        <v>1</v>
      </c>
      <c r="X419" s="69">
        <v>1</v>
      </c>
      <c r="Y419" s="69"/>
      <c r="Z419" s="69"/>
      <c r="AA419" s="69"/>
      <c r="AB419" s="49">
        <v>1</v>
      </c>
    </row>
    <row r="420" spans="1:28" ht="15.6" customHeight="1" x14ac:dyDescent="0.2">
      <c r="A420" s="212">
        <v>418</v>
      </c>
      <c r="B420" s="159" t="str">
        <f t="shared" si="6"/>
        <v>Hermannia ternifolia</v>
      </c>
      <c r="C420" s="160" t="s">
        <v>1695</v>
      </c>
      <c r="D420" s="72"/>
      <c r="E420" s="72" t="s">
        <v>1698</v>
      </c>
      <c r="F420" s="72" t="s">
        <v>1703</v>
      </c>
      <c r="G420" s="289" t="s">
        <v>3505</v>
      </c>
      <c r="H420" s="166" t="s">
        <v>3262</v>
      </c>
      <c r="I420" s="142">
        <v>2</v>
      </c>
      <c r="J420" s="143">
        <v>6</v>
      </c>
      <c r="K420" s="143">
        <v>2</v>
      </c>
      <c r="L420" s="143">
        <v>2</v>
      </c>
      <c r="M420" s="143">
        <v>1</v>
      </c>
      <c r="N420" s="201">
        <v>4</v>
      </c>
      <c r="O420" s="294" t="s">
        <v>3031</v>
      </c>
      <c r="P420" s="325" t="s">
        <v>3032</v>
      </c>
      <c r="Q420" s="298"/>
      <c r="R420" s="209">
        <v>35612</v>
      </c>
      <c r="S420" s="301" t="s">
        <v>2250</v>
      </c>
      <c r="T420" s="81"/>
      <c r="U420" s="78">
        <v>1</v>
      </c>
      <c r="V420" s="69"/>
      <c r="W420" s="69"/>
      <c r="X420" s="69"/>
      <c r="Y420" s="69"/>
      <c r="Z420" s="69"/>
      <c r="AA420" s="69"/>
      <c r="AB420" s="49"/>
    </row>
    <row r="421" spans="1:28" ht="15.6" customHeight="1" x14ac:dyDescent="0.2">
      <c r="A421" s="212">
        <v>419</v>
      </c>
      <c r="B421" s="159" t="str">
        <f t="shared" si="6"/>
        <v>Hermannia trifoliata</v>
      </c>
      <c r="C421" s="160" t="s">
        <v>1695</v>
      </c>
      <c r="D421" s="72" t="s">
        <v>213</v>
      </c>
      <c r="E421" s="72" t="s">
        <v>1698</v>
      </c>
      <c r="F421" s="72" t="s">
        <v>1704</v>
      </c>
      <c r="G421" s="289" t="s">
        <v>3506</v>
      </c>
      <c r="H421" s="166" t="s">
        <v>3215</v>
      </c>
      <c r="I421" s="142">
        <v>2</v>
      </c>
      <c r="J421" s="143">
        <v>6</v>
      </c>
      <c r="K421" s="143">
        <v>2</v>
      </c>
      <c r="L421" s="143">
        <v>2</v>
      </c>
      <c r="M421" s="143">
        <v>1</v>
      </c>
      <c r="N421" s="201">
        <v>5</v>
      </c>
      <c r="O421" s="294" t="s">
        <v>3031</v>
      </c>
      <c r="P421" s="325" t="s">
        <v>3032</v>
      </c>
      <c r="Q421" s="298" t="s">
        <v>3144</v>
      </c>
      <c r="R421" s="209">
        <v>35612</v>
      </c>
      <c r="S421" s="301"/>
      <c r="T421" s="81">
        <v>1</v>
      </c>
      <c r="U421" s="78"/>
      <c r="V421" s="69">
        <v>1</v>
      </c>
      <c r="W421" s="69"/>
      <c r="X421" s="69"/>
      <c r="Y421" s="69"/>
      <c r="Z421" s="69"/>
      <c r="AA421" s="69"/>
      <c r="AB421" s="49"/>
    </row>
    <row r="422" spans="1:28" ht="15.6" customHeight="1" x14ac:dyDescent="0.2">
      <c r="A422" s="212">
        <v>420</v>
      </c>
      <c r="B422" s="159" t="str">
        <f t="shared" si="6"/>
        <v>Hibiscus trionum</v>
      </c>
      <c r="C422" s="160" t="s">
        <v>1695</v>
      </c>
      <c r="D422" s="72"/>
      <c r="E422" s="72" t="s">
        <v>1705</v>
      </c>
      <c r="F422" s="72" t="s">
        <v>1706</v>
      </c>
      <c r="G422" s="289" t="s">
        <v>3507</v>
      </c>
      <c r="H422" s="166" t="s">
        <v>3305</v>
      </c>
      <c r="I422" s="142">
        <v>6</v>
      </c>
      <c r="J422" s="143">
        <v>9</v>
      </c>
      <c r="K422" s="143">
        <v>3</v>
      </c>
      <c r="L422" s="143">
        <v>4</v>
      </c>
      <c r="M422" s="143">
        <v>1</v>
      </c>
      <c r="N422" s="201">
        <v>3</v>
      </c>
      <c r="O422" s="294" t="s">
        <v>2910</v>
      </c>
      <c r="P422" s="325" t="s">
        <v>2915</v>
      </c>
      <c r="Q422" s="298"/>
      <c r="R422" s="209">
        <v>35855</v>
      </c>
      <c r="S422" s="301"/>
      <c r="T422" s="81">
        <v>1</v>
      </c>
      <c r="U422" s="78"/>
      <c r="V422" s="69"/>
      <c r="W422" s="69"/>
      <c r="X422" s="69"/>
      <c r="Y422" s="69"/>
      <c r="Z422" s="69"/>
      <c r="AA422" s="69">
        <v>1</v>
      </c>
      <c r="AB422" s="49"/>
    </row>
    <row r="423" spans="1:28" ht="15.6" customHeight="1" x14ac:dyDescent="0.2">
      <c r="A423" s="212">
        <v>421</v>
      </c>
      <c r="B423" s="159" t="str">
        <f t="shared" si="6"/>
        <v>Cissampelos capensis</v>
      </c>
      <c r="C423" s="160" t="s">
        <v>1707</v>
      </c>
      <c r="D423" s="72" t="s">
        <v>214</v>
      </c>
      <c r="E423" s="72" t="s">
        <v>1708</v>
      </c>
      <c r="F423" s="72" t="s">
        <v>2756</v>
      </c>
      <c r="G423" s="289" t="s">
        <v>3508</v>
      </c>
      <c r="H423" s="166" t="s">
        <v>197</v>
      </c>
      <c r="I423" s="142">
        <v>2</v>
      </c>
      <c r="J423" s="143">
        <v>9</v>
      </c>
      <c r="K423" s="143">
        <v>3</v>
      </c>
      <c r="L423" s="143">
        <v>1</v>
      </c>
      <c r="M423" s="143">
        <v>1</v>
      </c>
      <c r="N423" s="201">
        <v>3</v>
      </c>
      <c r="O423" s="294" t="s">
        <v>1657</v>
      </c>
      <c r="P423" s="325" t="s">
        <v>3032</v>
      </c>
      <c r="Q423" s="298"/>
      <c r="R423" s="209">
        <v>35612</v>
      </c>
      <c r="S423" s="301"/>
      <c r="T423" s="81">
        <v>1</v>
      </c>
      <c r="U423" s="78">
        <v>1</v>
      </c>
      <c r="V423" s="69"/>
      <c r="W423" s="69"/>
      <c r="X423" s="69"/>
      <c r="Y423" s="69"/>
      <c r="Z423" s="69"/>
      <c r="AA423" s="69"/>
      <c r="AB423" s="49"/>
    </row>
    <row r="424" spans="1:28" ht="15.6" customHeight="1" x14ac:dyDescent="0.2">
      <c r="A424" s="212">
        <v>422</v>
      </c>
      <c r="B424" s="159" t="str">
        <f t="shared" si="6"/>
        <v>Adenogramma glomerata</v>
      </c>
      <c r="C424" s="160" t="s">
        <v>1709</v>
      </c>
      <c r="D424" s="72"/>
      <c r="E424" s="72" t="s">
        <v>1710</v>
      </c>
      <c r="F424" s="72" t="s">
        <v>987</v>
      </c>
      <c r="G424" s="289" t="s">
        <v>3509</v>
      </c>
      <c r="H424" s="166" t="s">
        <v>3261</v>
      </c>
      <c r="I424" s="142">
        <v>6</v>
      </c>
      <c r="J424" s="143">
        <v>6</v>
      </c>
      <c r="K424" s="143">
        <v>3</v>
      </c>
      <c r="L424" s="143">
        <v>2</v>
      </c>
      <c r="M424" s="143">
        <v>1</v>
      </c>
      <c r="N424" s="201">
        <v>5</v>
      </c>
      <c r="O424" s="294" t="s">
        <v>2910</v>
      </c>
      <c r="P424" s="325" t="s">
        <v>2915</v>
      </c>
      <c r="Q424" s="298"/>
      <c r="R424" s="209">
        <v>36861</v>
      </c>
      <c r="S424" s="301"/>
      <c r="T424" s="81">
        <v>1</v>
      </c>
      <c r="U424" s="78">
        <v>1</v>
      </c>
      <c r="V424" s="69">
        <v>1</v>
      </c>
      <c r="W424" s="69"/>
      <c r="X424" s="69">
        <v>1</v>
      </c>
      <c r="Y424" s="69"/>
      <c r="Z424" s="69"/>
      <c r="AA424" s="69"/>
      <c r="AB424" s="49"/>
    </row>
    <row r="425" spans="1:28" ht="15.6" customHeight="1" x14ac:dyDescent="0.2">
      <c r="A425" s="212">
        <v>423</v>
      </c>
      <c r="B425" s="159" t="str">
        <f t="shared" si="6"/>
        <v>Adenogramma lichtensteiniana</v>
      </c>
      <c r="C425" s="160" t="s">
        <v>1709</v>
      </c>
      <c r="D425" s="72"/>
      <c r="E425" s="72" t="s">
        <v>1710</v>
      </c>
      <c r="F425" s="72" t="s">
        <v>1711</v>
      </c>
      <c r="G425" s="289" t="s">
        <v>3510</v>
      </c>
      <c r="H425" s="166" t="s">
        <v>3215</v>
      </c>
      <c r="I425" s="142">
        <v>2</v>
      </c>
      <c r="J425" s="143">
        <v>6</v>
      </c>
      <c r="K425" s="143">
        <v>3</v>
      </c>
      <c r="L425" s="143">
        <v>2</v>
      </c>
      <c r="M425" s="143">
        <v>1</v>
      </c>
      <c r="N425" s="201">
        <v>5</v>
      </c>
      <c r="O425" s="294" t="s">
        <v>3031</v>
      </c>
      <c r="P425" s="325" t="s">
        <v>3032</v>
      </c>
      <c r="Q425" s="298"/>
      <c r="R425" s="209">
        <v>36069</v>
      </c>
      <c r="S425" s="301"/>
      <c r="T425" s="81">
        <v>1</v>
      </c>
      <c r="U425" s="78"/>
      <c r="V425" s="69"/>
      <c r="W425" s="69"/>
      <c r="X425" s="69"/>
      <c r="Y425" s="69"/>
      <c r="Z425" s="69"/>
      <c r="AA425" s="69">
        <v>1</v>
      </c>
      <c r="AB425" s="49"/>
    </row>
    <row r="426" spans="1:28" ht="15.6" customHeight="1" x14ac:dyDescent="0.2">
      <c r="A426" s="212">
        <v>424</v>
      </c>
      <c r="B426" s="159" t="str">
        <f t="shared" si="6"/>
        <v>Mollugo cerviana</v>
      </c>
      <c r="C426" s="160" t="s">
        <v>1709</v>
      </c>
      <c r="D426" s="72"/>
      <c r="E426" s="72" t="s">
        <v>1712</v>
      </c>
      <c r="F426" s="72" t="s">
        <v>1713</v>
      </c>
      <c r="G426" s="289" t="s">
        <v>3511</v>
      </c>
      <c r="H426" s="166" t="s">
        <v>3261</v>
      </c>
      <c r="I426" s="142">
        <v>6</v>
      </c>
      <c r="J426" s="143">
        <v>6</v>
      </c>
      <c r="K426" s="143">
        <v>3</v>
      </c>
      <c r="L426" s="143">
        <v>2</v>
      </c>
      <c r="M426" s="143">
        <v>1</v>
      </c>
      <c r="N426" s="201">
        <v>5</v>
      </c>
      <c r="O426" s="294" t="s">
        <v>2910</v>
      </c>
      <c r="P426" s="325" t="s">
        <v>2915</v>
      </c>
      <c r="Q426" s="298"/>
      <c r="R426" s="209">
        <v>37257</v>
      </c>
      <c r="S426" s="301"/>
      <c r="T426" s="81">
        <v>1</v>
      </c>
      <c r="U426" s="78"/>
      <c r="V426" s="69"/>
      <c r="W426" s="69"/>
      <c r="X426" s="69">
        <v>1</v>
      </c>
      <c r="Y426" s="69"/>
      <c r="Z426" s="69"/>
      <c r="AA426" s="69"/>
      <c r="AB426" s="49"/>
    </row>
    <row r="427" spans="1:28" ht="15.6" customHeight="1" x14ac:dyDescent="0.2">
      <c r="A427" s="212">
        <v>425</v>
      </c>
      <c r="B427" s="159" t="str">
        <f t="shared" si="6"/>
        <v>Pharnaceum incanum</v>
      </c>
      <c r="C427" s="160" t="s">
        <v>1709</v>
      </c>
      <c r="D427" s="72"/>
      <c r="E427" s="72" t="s">
        <v>1714</v>
      </c>
      <c r="F427" s="72" t="s">
        <v>1567</v>
      </c>
      <c r="G427" s="289" t="s">
        <v>3512</v>
      </c>
      <c r="H427" s="166" t="s">
        <v>3215</v>
      </c>
      <c r="I427" s="142">
        <v>2</v>
      </c>
      <c r="J427" s="143">
        <v>6</v>
      </c>
      <c r="K427" s="143">
        <v>4</v>
      </c>
      <c r="L427" s="143">
        <v>3</v>
      </c>
      <c r="M427" s="143">
        <v>1</v>
      </c>
      <c r="N427" s="201">
        <v>5</v>
      </c>
      <c r="O427" s="294" t="s">
        <v>3031</v>
      </c>
      <c r="P427" s="325" t="s">
        <v>3032</v>
      </c>
      <c r="Q427" s="298"/>
      <c r="R427" s="209">
        <v>36617</v>
      </c>
      <c r="S427" s="301"/>
      <c r="T427" s="81">
        <v>1</v>
      </c>
      <c r="U427" s="78">
        <v>1</v>
      </c>
      <c r="V427" s="69"/>
      <c r="W427" s="69"/>
      <c r="X427" s="69"/>
      <c r="Y427" s="69"/>
      <c r="Z427" s="69"/>
      <c r="AA427" s="69"/>
      <c r="AB427" s="49"/>
    </row>
    <row r="428" spans="1:28" ht="15.6" customHeight="1" x14ac:dyDescent="0.2">
      <c r="A428" s="212">
        <v>426</v>
      </c>
      <c r="B428" s="159" t="str">
        <f t="shared" si="6"/>
        <v>Pharnaceum lanatum</v>
      </c>
      <c r="C428" s="160" t="s">
        <v>1709</v>
      </c>
      <c r="D428" s="72"/>
      <c r="E428" s="72" t="s">
        <v>1714</v>
      </c>
      <c r="F428" s="72" t="s">
        <v>1715</v>
      </c>
      <c r="G428" s="289" t="s">
        <v>3513</v>
      </c>
      <c r="H428" s="166" t="s">
        <v>3248</v>
      </c>
      <c r="I428" s="142">
        <v>2</v>
      </c>
      <c r="J428" s="143">
        <v>5</v>
      </c>
      <c r="K428" s="143">
        <v>4</v>
      </c>
      <c r="L428" s="143">
        <v>3</v>
      </c>
      <c r="M428" s="143">
        <v>1</v>
      </c>
      <c r="N428" s="201">
        <v>5</v>
      </c>
      <c r="O428" s="294" t="s">
        <v>2914</v>
      </c>
      <c r="P428" s="325" t="s">
        <v>3032</v>
      </c>
      <c r="Q428" s="298"/>
      <c r="R428" s="209">
        <v>35612</v>
      </c>
      <c r="S428" s="301"/>
      <c r="T428" s="81">
        <v>1</v>
      </c>
      <c r="U428" s="78">
        <v>1</v>
      </c>
      <c r="V428" s="69"/>
      <c r="W428" s="69"/>
      <c r="X428" s="69"/>
      <c r="Y428" s="69"/>
      <c r="Z428" s="69"/>
      <c r="AA428" s="69"/>
      <c r="AB428" s="49"/>
    </row>
    <row r="429" spans="1:28" ht="15.6" customHeight="1" x14ac:dyDescent="0.2">
      <c r="A429" s="212">
        <v>427</v>
      </c>
      <c r="B429" s="159" t="str">
        <f t="shared" si="6"/>
        <v>Pharnaceum lineare</v>
      </c>
      <c r="C429" s="160" t="s">
        <v>1709</v>
      </c>
      <c r="D429" s="72"/>
      <c r="E429" s="72" t="s">
        <v>1714</v>
      </c>
      <c r="F429" s="72" t="s">
        <v>1716</v>
      </c>
      <c r="G429" s="289" t="s">
        <v>3514</v>
      </c>
      <c r="H429" s="166" t="s">
        <v>3244</v>
      </c>
      <c r="I429" s="142">
        <v>3</v>
      </c>
      <c r="J429" s="143">
        <v>6</v>
      </c>
      <c r="K429" s="143">
        <v>4</v>
      </c>
      <c r="L429" s="143">
        <v>3</v>
      </c>
      <c r="M429" s="143">
        <v>1</v>
      </c>
      <c r="N429" s="201">
        <v>3</v>
      </c>
      <c r="O429" s="294" t="s">
        <v>2910</v>
      </c>
      <c r="P429" s="325" t="s">
        <v>3032</v>
      </c>
      <c r="Q429" s="298"/>
      <c r="R429" s="209">
        <v>35612</v>
      </c>
      <c r="S429" s="301"/>
      <c r="T429" s="81">
        <v>1</v>
      </c>
      <c r="U429" s="78">
        <v>1</v>
      </c>
      <c r="V429" s="69"/>
      <c r="W429" s="69"/>
      <c r="X429" s="69"/>
      <c r="Y429" s="69"/>
      <c r="Z429" s="69"/>
      <c r="AA429" s="69"/>
      <c r="AB429" s="49"/>
    </row>
    <row r="430" spans="1:28" ht="15.6" customHeight="1" x14ac:dyDescent="0.2">
      <c r="A430" s="212">
        <v>428</v>
      </c>
      <c r="B430" s="159" t="str">
        <f t="shared" si="6"/>
        <v>Morella cordifolia</v>
      </c>
      <c r="C430" s="160" t="s">
        <v>1717</v>
      </c>
      <c r="D430" s="72" t="s">
        <v>215</v>
      </c>
      <c r="E430" s="72" t="s">
        <v>1718</v>
      </c>
      <c r="F430" s="72" t="s">
        <v>1719</v>
      </c>
      <c r="G430" s="289" t="s">
        <v>3515</v>
      </c>
      <c r="H430" s="166" t="s">
        <v>3226</v>
      </c>
      <c r="I430" s="142">
        <v>2</v>
      </c>
      <c r="J430" s="143">
        <v>3</v>
      </c>
      <c r="K430" s="143">
        <v>2</v>
      </c>
      <c r="L430" s="143">
        <v>1</v>
      </c>
      <c r="M430" s="143">
        <v>2</v>
      </c>
      <c r="N430" s="201">
        <v>4</v>
      </c>
      <c r="O430" s="294" t="s">
        <v>2168</v>
      </c>
      <c r="P430" s="325" t="s">
        <v>3032</v>
      </c>
      <c r="Q430" s="298"/>
      <c r="R430" s="209">
        <v>35612</v>
      </c>
      <c r="S430" s="301"/>
      <c r="T430" s="81">
        <v>1</v>
      </c>
      <c r="U430" s="78">
        <v>1</v>
      </c>
      <c r="V430" s="69">
        <v>1</v>
      </c>
      <c r="W430" s="69"/>
      <c r="X430" s="69"/>
      <c r="Y430" s="69"/>
      <c r="Z430" s="69"/>
      <c r="AA430" s="69"/>
      <c r="AB430" s="49"/>
    </row>
    <row r="431" spans="1:28" ht="15.6" customHeight="1" x14ac:dyDescent="0.2">
      <c r="A431" s="212">
        <v>429</v>
      </c>
      <c r="B431" s="159" t="str">
        <f t="shared" si="6"/>
        <v>Morella quercifolia</v>
      </c>
      <c r="C431" s="160" t="s">
        <v>1717</v>
      </c>
      <c r="D431" s="72" t="s">
        <v>216</v>
      </c>
      <c r="E431" s="72" t="s">
        <v>1718</v>
      </c>
      <c r="F431" s="72" t="s">
        <v>1720</v>
      </c>
      <c r="G431" s="289" t="s">
        <v>3516</v>
      </c>
      <c r="H431" s="166" t="s">
        <v>3232</v>
      </c>
      <c r="I431" s="142">
        <v>2</v>
      </c>
      <c r="J431" s="143">
        <v>5</v>
      </c>
      <c r="K431" s="143">
        <v>2</v>
      </c>
      <c r="L431" s="143">
        <v>2</v>
      </c>
      <c r="M431" s="143">
        <v>2</v>
      </c>
      <c r="N431" s="201">
        <v>3</v>
      </c>
      <c r="O431" s="294" t="s">
        <v>2168</v>
      </c>
      <c r="P431" s="325" t="s">
        <v>3032</v>
      </c>
      <c r="Q431" s="298"/>
      <c r="R431" s="209">
        <v>35612</v>
      </c>
      <c r="S431" s="301"/>
      <c r="T431" s="81">
        <v>1</v>
      </c>
      <c r="U431" s="78"/>
      <c r="V431" s="69">
        <v>1</v>
      </c>
      <c r="W431" s="69"/>
      <c r="X431" s="69">
        <v>1</v>
      </c>
      <c r="Y431" s="69"/>
      <c r="Z431" s="69"/>
      <c r="AA431" s="69"/>
      <c r="AB431" s="49"/>
    </row>
    <row r="432" spans="1:28" ht="15.6" customHeight="1" x14ac:dyDescent="0.2">
      <c r="A432" s="212">
        <v>430</v>
      </c>
      <c r="B432" s="159" t="str">
        <f t="shared" si="6"/>
        <v>Myrsine africana</v>
      </c>
      <c r="C432" s="160" t="s">
        <v>1721</v>
      </c>
      <c r="D432" s="72" t="s">
        <v>217</v>
      </c>
      <c r="E432" s="72" t="s">
        <v>1722</v>
      </c>
      <c r="F432" s="72" t="s">
        <v>832</v>
      </c>
      <c r="G432" s="289" t="s">
        <v>3517</v>
      </c>
      <c r="H432" s="166" t="s">
        <v>3226</v>
      </c>
      <c r="I432" s="142">
        <v>2</v>
      </c>
      <c r="J432" s="143">
        <v>3</v>
      </c>
      <c r="K432" s="143">
        <v>2</v>
      </c>
      <c r="L432" s="143">
        <v>1</v>
      </c>
      <c r="M432" s="143">
        <v>2</v>
      </c>
      <c r="N432" s="201">
        <v>4</v>
      </c>
      <c r="O432" s="294" t="s">
        <v>2168</v>
      </c>
      <c r="P432" s="325" t="s">
        <v>3032</v>
      </c>
      <c r="Q432" s="298"/>
      <c r="R432" s="209">
        <v>35612</v>
      </c>
      <c r="S432" s="301"/>
      <c r="T432" s="81">
        <v>1</v>
      </c>
      <c r="U432" s="78">
        <v>1</v>
      </c>
      <c r="V432" s="69"/>
      <c r="W432" s="69">
        <v>1</v>
      </c>
      <c r="X432" s="69"/>
      <c r="Y432" s="69">
        <v>1</v>
      </c>
      <c r="Z432" s="69">
        <v>1</v>
      </c>
      <c r="AA432" s="69"/>
      <c r="AB432" s="49"/>
    </row>
    <row r="433" spans="1:28" ht="15.6" customHeight="1" x14ac:dyDescent="0.2">
      <c r="A433" s="212">
        <v>431</v>
      </c>
      <c r="B433" s="159" t="str">
        <f t="shared" si="6"/>
        <v>Rapanea melanophloeos</v>
      </c>
      <c r="C433" s="160" t="s">
        <v>1721</v>
      </c>
      <c r="D433" s="72" t="s">
        <v>218</v>
      </c>
      <c r="E433" s="72" t="s">
        <v>1723</v>
      </c>
      <c r="F433" s="72" t="s">
        <v>1760</v>
      </c>
      <c r="G433" s="289" t="s">
        <v>3518</v>
      </c>
      <c r="H433" s="166" t="s">
        <v>3297</v>
      </c>
      <c r="I433" s="142">
        <v>1</v>
      </c>
      <c r="J433" s="143">
        <v>1</v>
      </c>
      <c r="K433" s="143">
        <v>2</v>
      </c>
      <c r="L433" s="143">
        <v>2</v>
      </c>
      <c r="M433" s="143">
        <v>2</v>
      </c>
      <c r="N433" s="201">
        <v>2</v>
      </c>
      <c r="O433" s="294" t="s">
        <v>2173</v>
      </c>
      <c r="P433" s="325" t="s">
        <v>3032</v>
      </c>
      <c r="Q433" s="298"/>
      <c r="R433" s="209">
        <v>35612</v>
      </c>
      <c r="S433" s="301"/>
      <c r="T433" s="81">
        <v>1</v>
      </c>
      <c r="U433" s="78"/>
      <c r="V433" s="69"/>
      <c r="W433" s="69"/>
      <c r="X433" s="69"/>
      <c r="Y433" s="69"/>
      <c r="Z433" s="69">
        <v>1</v>
      </c>
      <c r="AA433" s="69"/>
      <c r="AB433" s="49"/>
    </row>
    <row r="434" spans="1:28" ht="15.6" customHeight="1" x14ac:dyDescent="0.2">
      <c r="A434" s="212">
        <v>432</v>
      </c>
      <c r="B434" s="159" t="str">
        <f t="shared" si="6"/>
        <v>Chionanthus foveolatus</v>
      </c>
      <c r="C434" s="160" t="s">
        <v>1761</v>
      </c>
      <c r="D434" s="72" t="s">
        <v>219</v>
      </c>
      <c r="E434" s="72" t="s">
        <v>1762</v>
      </c>
      <c r="F434" s="72" t="s">
        <v>1763</v>
      </c>
      <c r="G434" s="289" t="s">
        <v>3519</v>
      </c>
      <c r="H434" s="166" t="s">
        <v>3280</v>
      </c>
      <c r="I434" s="142">
        <v>1</v>
      </c>
      <c r="J434" s="143">
        <v>2</v>
      </c>
      <c r="K434" s="143">
        <v>2</v>
      </c>
      <c r="L434" s="143">
        <v>1</v>
      </c>
      <c r="M434" s="143">
        <v>2</v>
      </c>
      <c r="N434" s="201">
        <v>2</v>
      </c>
      <c r="O434" s="294" t="s">
        <v>2173</v>
      </c>
      <c r="P434" s="325" t="s">
        <v>3032</v>
      </c>
      <c r="Q434" s="298"/>
      <c r="R434" s="209">
        <v>35612</v>
      </c>
      <c r="S434" s="301"/>
      <c r="T434" s="81">
        <v>1</v>
      </c>
      <c r="U434" s="78"/>
      <c r="V434" s="69"/>
      <c r="W434" s="69"/>
      <c r="X434" s="69"/>
      <c r="Y434" s="69">
        <v>1</v>
      </c>
      <c r="Z434" s="69">
        <v>1</v>
      </c>
      <c r="AA434" s="69"/>
      <c r="AB434" s="49"/>
    </row>
    <row r="435" spans="1:28" ht="15.6" customHeight="1" x14ac:dyDescent="0.2">
      <c r="A435" s="212">
        <v>433</v>
      </c>
      <c r="B435" s="159" t="str">
        <f t="shared" si="6"/>
        <v>Olea capensis ssp. capensis</v>
      </c>
      <c r="C435" s="160" t="s">
        <v>1761</v>
      </c>
      <c r="D435" s="72" t="s">
        <v>220</v>
      </c>
      <c r="E435" s="72" t="s">
        <v>1764</v>
      </c>
      <c r="F435" s="72" t="s">
        <v>471</v>
      </c>
      <c r="G435" s="289" t="s">
        <v>3520</v>
      </c>
      <c r="H435" s="166" t="s">
        <v>3258</v>
      </c>
      <c r="I435" s="142">
        <v>2</v>
      </c>
      <c r="J435" s="143">
        <v>4</v>
      </c>
      <c r="K435" s="143">
        <v>2</v>
      </c>
      <c r="L435" s="143">
        <v>1</v>
      </c>
      <c r="M435" s="143">
        <v>2</v>
      </c>
      <c r="N435" s="201">
        <v>2</v>
      </c>
      <c r="O435" s="294" t="s">
        <v>2168</v>
      </c>
      <c r="P435" s="325" t="s">
        <v>3032</v>
      </c>
      <c r="Q435" s="298"/>
      <c r="R435" s="209">
        <v>35612</v>
      </c>
      <c r="S435" s="301"/>
      <c r="T435" s="81">
        <v>1</v>
      </c>
      <c r="U435" s="78">
        <v>1</v>
      </c>
      <c r="V435" s="69">
        <v>1</v>
      </c>
      <c r="W435" s="69">
        <v>1</v>
      </c>
      <c r="X435" s="69">
        <v>1</v>
      </c>
      <c r="Y435" s="69"/>
      <c r="Z435" s="69"/>
      <c r="AA435" s="69"/>
      <c r="AB435" s="49">
        <v>1</v>
      </c>
    </row>
    <row r="436" spans="1:28" ht="15.6" customHeight="1" x14ac:dyDescent="0.2">
      <c r="A436" s="212">
        <v>434</v>
      </c>
      <c r="B436" s="159" t="str">
        <f t="shared" si="6"/>
        <v>Olea capensis ssp. macrocarpa</v>
      </c>
      <c r="C436" s="160" t="s">
        <v>1761</v>
      </c>
      <c r="D436" s="72" t="s">
        <v>221</v>
      </c>
      <c r="E436" s="72" t="s">
        <v>1764</v>
      </c>
      <c r="F436" s="72" t="s">
        <v>525</v>
      </c>
      <c r="G436" s="289" t="s">
        <v>3520</v>
      </c>
      <c r="H436" s="166" t="s">
        <v>3280</v>
      </c>
      <c r="I436" s="142">
        <v>1</v>
      </c>
      <c r="J436" s="143">
        <v>2</v>
      </c>
      <c r="K436" s="143">
        <v>2</v>
      </c>
      <c r="L436" s="143">
        <v>1</v>
      </c>
      <c r="M436" s="143">
        <v>2</v>
      </c>
      <c r="N436" s="201">
        <v>2</v>
      </c>
      <c r="O436" s="294" t="s">
        <v>2173</v>
      </c>
      <c r="P436" s="325" t="s">
        <v>3032</v>
      </c>
      <c r="Q436" s="298"/>
      <c r="R436" s="209">
        <v>35612</v>
      </c>
      <c r="S436" s="301"/>
      <c r="T436" s="81">
        <v>1</v>
      </c>
      <c r="U436" s="78"/>
      <c r="V436" s="69"/>
      <c r="W436" s="69"/>
      <c r="X436" s="69"/>
      <c r="Y436" s="69"/>
      <c r="Z436" s="69">
        <v>1</v>
      </c>
      <c r="AA436" s="69"/>
      <c r="AB436" s="49"/>
    </row>
    <row r="437" spans="1:28" ht="15.6" customHeight="1" x14ac:dyDescent="0.2">
      <c r="A437" s="212">
        <v>435</v>
      </c>
      <c r="B437" s="159" t="str">
        <f t="shared" si="6"/>
        <v>Olea europaea ssp. africana</v>
      </c>
      <c r="C437" s="160" t="s">
        <v>1761</v>
      </c>
      <c r="D437" s="72" t="s">
        <v>222</v>
      </c>
      <c r="E437" s="72" t="s">
        <v>1764</v>
      </c>
      <c r="F437" s="72" t="s">
        <v>472</v>
      </c>
      <c r="G437" s="289" t="s">
        <v>3521</v>
      </c>
      <c r="H437" s="166" t="s">
        <v>3258</v>
      </c>
      <c r="I437" s="142">
        <v>2</v>
      </c>
      <c r="J437" s="143">
        <v>4</v>
      </c>
      <c r="K437" s="143">
        <v>2</v>
      </c>
      <c r="L437" s="143">
        <v>2</v>
      </c>
      <c r="M437" s="143">
        <v>2</v>
      </c>
      <c r="N437" s="201">
        <v>3</v>
      </c>
      <c r="O437" s="294" t="s">
        <v>2914</v>
      </c>
      <c r="P437" s="325" t="s">
        <v>3032</v>
      </c>
      <c r="Q437" s="298"/>
      <c r="R437" s="209">
        <v>35855</v>
      </c>
      <c r="S437" s="301"/>
      <c r="T437" s="81">
        <v>1</v>
      </c>
      <c r="U437" s="78">
        <v>1</v>
      </c>
      <c r="V437" s="69"/>
      <c r="W437" s="69"/>
      <c r="X437" s="69"/>
      <c r="Y437" s="69">
        <v>1</v>
      </c>
      <c r="Z437" s="69">
        <v>1</v>
      </c>
      <c r="AA437" s="69"/>
      <c r="AB437" s="49"/>
    </row>
    <row r="438" spans="1:28" ht="15.6" customHeight="1" x14ac:dyDescent="0.2">
      <c r="A438" s="212">
        <v>436</v>
      </c>
      <c r="B438" s="159" t="str">
        <f t="shared" si="6"/>
        <v>Olea exasperata</v>
      </c>
      <c r="C438" s="160" t="s">
        <v>1761</v>
      </c>
      <c r="D438" s="72" t="s">
        <v>223</v>
      </c>
      <c r="E438" s="72" t="s">
        <v>1764</v>
      </c>
      <c r="F438" s="72" t="s">
        <v>1765</v>
      </c>
      <c r="G438" s="289" t="s">
        <v>3522</v>
      </c>
      <c r="H438" s="166" t="s">
        <v>3258</v>
      </c>
      <c r="I438" s="142">
        <v>2</v>
      </c>
      <c r="J438" s="143">
        <v>4</v>
      </c>
      <c r="K438" s="143">
        <v>2</v>
      </c>
      <c r="L438" s="143">
        <v>2</v>
      </c>
      <c r="M438" s="143">
        <v>2</v>
      </c>
      <c r="N438" s="201">
        <v>3</v>
      </c>
      <c r="O438" s="294" t="s">
        <v>2168</v>
      </c>
      <c r="P438" s="325" t="s">
        <v>3032</v>
      </c>
      <c r="Q438" s="298"/>
      <c r="R438" s="209">
        <v>35612</v>
      </c>
      <c r="S438" s="301"/>
      <c r="T438" s="81">
        <v>1</v>
      </c>
      <c r="U438" s="78"/>
      <c r="V438" s="69">
        <v>1</v>
      </c>
      <c r="W438" s="69"/>
      <c r="X438" s="69">
        <v>1</v>
      </c>
      <c r="Y438" s="69">
        <v>1</v>
      </c>
      <c r="Z438" s="69"/>
      <c r="AA438" s="69"/>
      <c r="AB438" s="49">
        <v>1</v>
      </c>
    </row>
    <row r="439" spans="1:28" ht="15.6" customHeight="1" x14ac:dyDescent="0.2">
      <c r="A439" s="212">
        <v>437</v>
      </c>
      <c r="B439" s="159" t="str">
        <f t="shared" si="6"/>
        <v>Olinia ventosa</v>
      </c>
      <c r="C439" s="160" t="s">
        <v>1766</v>
      </c>
      <c r="D439" s="72" t="s">
        <v>224</v>
      </c>
      <c r="E439" s="72" t="s">
        <v>1767</v>
      </c>
      <c r="F439" s="72" t="s">
        <v>1768</v>
      </c>
      <c r="G439" s="289" t="s">
        <v>3523</v>
      </c>
      <c r="H439" s="166" t="s">
        <v>3306</v>
      </c>
      <c r="I439" s="142">
        <v>1</v>
      </c>
      <c r="J439" s="143">
        <v>1</v>
      </c>
      <c r="K439" s="143">
        <v>2</v>
      </c>
      <c r="L439" s="143">
        <v>1</v>
      </c>
      <c r="M439" s="143">
        <v>2</v>
      </c>
      <c r="N439" s="201" t="s">
        <v>2690</v>
      </c>
      <c r="O439" s="294" t="s">
        <v>2173</v>
      </c>
      <c r="P439" s="325" t="s">
        <v>3032</v>
      </c>
      <c r="Q439" s="298"/>
      <c r="R439" s="209">
        <v>35551</v>
      </c>
      <c r="S439" s="301" t="s">
        <v>2250</v>
      </c>
      <c r="T439" s="81"/>
      <c r="U439" s="78"/>
      <c r="V439" s="69"/>
      <c r="W439" s="69"/>
      <c r="X439" s="69"/>
      <c r="Y439" s="69"/>
      <c r="Z439" s="69">
        <v>1</v>
      </c>
      <c r="AA439" s="69"/>
      <c r="AB439" s="49"/>
    </row>
    <row r="440" spans="1:28" ht="15.6" customHeight="1" x14ac:dyDescent="0.2">
      <c r="A440" s="212">
        <v>438</v>
      </c>
      <c r="B440" s="159" t="str">
        <f t="shared" si="6"/>
        <v>Epilobium hirsutum</v>
      </c>
      <c r="C440" s="160" t="s">
        <v>1769</v>
      </c>
      <c r="D440" s="72" t="s">
        <v>225</v>
      </c>
      <c r="E440" s="72" t="s">
        <v>1770</v>
      </c>
      <c r="F440" s="72" t="s">
        <v>1771</v>
      </c>
      <c r="G440" s="289" t="s">
        <v>3524</v>
      </c>
      <c r="H440" s="166" t="s">
        <v>3270</v>
      </c>
      <c r="I440" s="142">
        <v>3</v>
      </c>
      <c r="J440" s="143">
        <v>3</v>
      </c>
      <c r="K440" s="143">
        <v>3</v>
      </c>
      <c r="L440" s="143">
        <v>2</v>
      </c>
      <c r="M440" s="143">
        <v>1</v>
      </c>
      <c r="N440" s="201">
        <v>3</v>
      </c>
      <c r="O440" s="294" t="s">
        <v>2910</v>
      </c>
      <c r="P440" s="325" t="s">
        <v>2915</v>
      </c>
      <c r="Q440" s="298"/>
      <c r="R440" s="209">
        <v>35947</v>
      </c>
      <c r="S440" s="301"/>
      <c r="T440" s="81">
        <v>1</v>
      </c>
      <c r="U440" s="78"/>
      <c r="V440" s="69"/>
      <c r="W440" s="69"/>
      <c r="X440" s="69"/>
      <c r="Y440" s="69"/>
      <c r="Z440" s="69"/>
      <c r="AA440" s="69">
        <v>1</v>
      </c>
      <c r="AB440" s="49"/>
    </row>
    <row r="441" spans="1:28" ht="15.6" customHeight="1" x14ac:dyDescent="0.2">
      <c r="A441" s="212">
        <v>439</v>
      </c>
      <c r="B441" s="159" t="str">
        <f t="shared" si="6"/>
        <v>Acrolophia bolusii</v>
      </c>
      <c r="C441" s="160" t="s">
        <v>1772</v>
      </c>
      <c r="D441" s="72"/>
      <c r="E441" s="72" t="s">
        <v>1773</v>
      </c>
      <c r="F441" s="72" t="s">
        <v>1014</v>
      </c>
      <c r="G441" s="289" t="s">
        <v>3525</v>
      </c>
      <c r="H441" s="166" t="s">
        <v>3243</v>
      </c>
      <c r="I441" s="142">
        <v>4</v>
      </c>
      <c r="J441" s="143">
        <v>5</v>
      </c>
      <c r="K441" s="143">
        <v>4</v>
      </c>
      <c r="L441" s="143">
        <v>2</v>
      </c>
      <c r="M441" s="143">
        <v>2</v>
      </c>
      <c r="N441" s="201">
        <v>2</v>
      </c>
      <c r="O441" s="294" t="s">
        <v>2163</v>
      </c>
      <c r="P441" s="325" t="s">
        <v>3032</v>
      </c>
      <c r="Q441" s="298" t="s">
        <v>3148</v>
      </c>
      <c r="R441" s="209">
        <v>37316</v>
      </c>
      <c r="S441" s="301"/>
      <c r="T441" s="81">
        <v>1</v>
      </c>
      <c r="U441" s="78"/>
      <c r="V441" s="69"/>
      <c r="W441" s="69"/>
      <c r="X441" s="69">
        <v>1</v>
      </c>
      <c r="Y441" s="69"/>
      <c r="Z441" s="69"/>
      <c r="AA441" s="69"/>
      <c r="AB441" s="49"/>
    </row>
    <row r="442" spans="1:28" ht="15.6" customHeight="1" x14ac:dyDescent="0.2">
      <c r="A442" s="212">
        <v>440</v>
      </c>
      <c r="B442" s="159" t="str">
        <f t="shared" si="6"/>
        <v>Acrolophia lamellata</v>
      </c>
      <c r="C442" s="160" t="s">
        <v>1772</v>
      </c>
      <c r="D442" s="72"/>
      <c r="E442" s="72" t="s">
        <v>1773</v>
      </c>
      <c r="F442" s="72" t="s">
        <v>1774</v>
      </c>
      <c r="G442" s="289" t="s">
        <v>1361</v>
      </c>
      <c r="H442" s="166" t="s">
        <v>3295</v>
      </c>
      <c r="I442" s="142">
        <v>4</v>
      </c>
      <c r="J442" s="143">
        <v>5</v>
      </c>
      <c r="K442" s="143">
        <v>4</v>
      </c>
      <c r="L442" s="143">
        <v>2</v>
      </c>
      <c r="M442" s="143">
        <v>1</v>
      </c>
      <c r="N442" s="201">
        <v>1</v>
      </c>
      <c r="O442" s="294" t="s">
        <v>2163</v>
      </c>
      <c r="P442" s="325" t="s">
        <v>3032</v>
      </c>
      <c r="Q442" s="298"/>
      <c r="R442" s="209">
        <v>36892</v>
      </c>
      <c r="S442" s="301"/>
      <c r="T442" s="81">
        <v>1</v>
      </c>
      <c r="U442" s="78"/>
      <c r="V442" s="69"/>
      <c r="W442" s="69"/>
      <c r="X442" s="69">
        <v>1</v>
      </c>
      <c r="Y442" s="69"/>
      <c r="Z442" s="69"/>
      <c r="AA442" s="69"/>
      <c r="AB442" s="49"/>
    </row>
    <row r="443" spans="1:28" ht="15.6" customHeight="1" x14ac:dyDescent="0.2">
      <c r="A443" s="212">
        <v>441</v>
      </c>
      <c r="B443" s="159" t="str">
        <f t="shared" si="6"/>
        <v>Acrolophia micrantha</v>
      </c>
      <c r="C443" s="160" t="s">
        <v>1772</v>
      </c>
      <c r="D443" s="72"/>
      <c r="E443" s="72" t="s">
        <v>1773</v>
      </c>
      <c r="F443" s="72" t="s">
        <v>1775</v>
      </c>
      <c r="G443" s="289" t="s">
        <v>1362</v>
      </c>
      <c r="H443" s="166" t="s">
        <v>3243</v>
      </c>
      <c r="I443" s="142">
        <v>4</v>
      </c>
      <c r="J443" s="143">
        <v>5</v>
      </c>
      <c r="K443" s="143">
        <v>4</v>
      </c>
      <c r="L443" s="143">
        <v>2</v>
      </c>
      <c r="M443" s="143">
        <v>2</v>
      </c>
      <c r="N443" s="201">
        <v>1</v>
      </c>
      <c r="O443" s="294" t="s">
        <v>2163</v>
      </c>
      <c r="P443" s="325" t="s">
        <v>3032</v>
      </c>
      <c r="Q443" s="298" t="s">
        <v>3145</v>
      </c>
      <c r="R443" s="209">
        <v>36069</v>
      </c>
      <c r="S443" s="301"/>
      <c r="T443" s="81">
        <v>1</v>
      </c>
      <c r="U443" s="78"/>
      <c r="V443" s="69"/>
      <c r="W443" s="69"/>
      <c r="X443" s="69">
        <v>1</v>
      </c>
      <c r="Y443" s="69"/>
      <c r="Z443" s="69"/>
      <c r="AA443" s="69"/>
      <c r="AB443" s="49"/>
    </row>
    <row r="444" spans="1:28" ht="15.6" customHeight="1" x14ac:dyDescent="0.2">
      <c r="A444" s="212">
        <v>442</v>
      </c>
      <c r="B444" s="159" t="str">
        <f t="shared" si="6"/>
        <v>Bartholina etheliae</v>
      </c>
      <c r="C444" s="160" t="s">
        <v>1772</v>
      </c>
      <c r="D444" s="72" t="s">
        <v>226</v>
      </c>
      <c r="E444" s="72" t="s">
        <v>1776</v>
      </c>
      <c r="F444" s="72" t="s">
        <v>1777</v>
      </c>
      <c r="G444" s="289" t="s">
        <v>3336</v>
      </c>
      <c r="H444" s="166" t="s">
        <v>3225</v>
      </c>
      <c r="I444" s="142">
        <v>4</v>
      </c>
      <c r="J444" s="143">
        <v>6</v>
      </c>
      <c r="K444" s="143">
        <v>4</v>
      </c>
      <c r="L444" s="143">
        <v>9</v>
      </c>
      <c r="M444" s="143">
        <v>9</v>
      </c>
      <c r="N444" s="201">
        <v>9</v>
      </c>
      <c r="O444" s="294" t="s">
        <v>2163</v>
      </c>
      <c r="P444" s="325" t="s">
        <v>3032</v>
      </c>
      <c r="Q444" s="298"/>
      <c r="R444" s="209">
        <v>35735</v>
      </c>
      <c r="S444" s="301" t="s">
        <v>2702</v>
      </c>
      <c r="T444" s="81"/>
      <c r="U444" s="78"/>
      <c r="V444" s="69"/>
      <c r="W444" s="69"/>
      <c r="X444" s="69">
        <v>1</v>
      </c>
      <c r="Y444" s="69"/>
      <c r="Z444" s="69"/>
      <c r="AA444" s="69"/>
      <c r="AB444" s="49"/>
    </row>
    <row r="445" spans="1:28" ht="15.6" customHeight="1" x14ac:dyDescent="0.2">
      <c r="A445" s="212">
        <v>443</v>
      </c>
      <c r="B445" s="159" t="str">
        <f t="shared" si="6"/>
        <v>Bonatea speciosa</v>
      </c>
      <c r="C445" s="160" t="s">
        <v>1772</v>
      </c>
      <c r="D445" s="72" t="s">
        <v>227</v>
      </c>
      <c r="E445" s="72" t="s">
        <v>1778</v>
      </c>
      <c r="F445" s="72" t="s">
        <v>1779</v>
      </c>
      <c r="G445" s="289" t="s">
        <v>3337</v>
      </c>
      <c r="H445" s="166" t="s">
        <v>3307</v>
      </c>
      <c r="I445" s="142">
        <v>4</v>
      </c>
      <c r="J445" s="143">
        <v>5</v>
      </c>
      <c r="K445" s="143">
        <v>4</v>
      </c>
      <c r="L445" s="143">
        <v>1</v>
      </c>
      <c r="M445" s="143">
        <v>4</v>
      </c>
      <c r="N445" s="201">
        <v>2</v>
      </c>
      <c r="O445" s="294" t="s">
        <v>2163</v>
      </c>
      <c r="P445" s="325" t="s">
        <v>3032</v>
      </c>
      <c r="Q445" s="298" t="s">
        <v>3144</v>
      </c>
      <c r="R445" s="209">
        <v>35490</v>
      </c>
      <c r="S445" s="301" t="s">
        <v>2702</v>
      </c>
      <c r="T445" s="81"/>
      <c r="U445" s="78"/>
      <c r="V445" s="69"/>
      <c r="W445" s="69"/>
      <c r="X445" s="69">
        <v>1</v>
      </c>
      <c r="Y445" s="69"/>
      <c r="Z445" s="69"/>
      <c r="AA445" s="69"/>
      <c r="AB445" s="49"/>
    </row>
    <row r="446" spans="1:28" ht="15.6" customHeight="1" x14ac:dyDescent="0.2">
      <c r="A446" s="212">
        <v>444</v>
      </c>
      <c r="B446" s="159" t="str">
        <f t="shared" si="6"/>
        <v>Corycium bicolorum</v>
      </c>
      <c r="C446" s="160" t="s">
        <v>1772</v>
      </c>
      <c r="D446" s="72"/>
      <c r="E446" s="72" t="s">
        <v>1780</v>
      </c>
      <c r="F446" s="72" t="s">
        <v>1781</v>
      </c>
      <c r="G446" s="289" t="s">
        <v>3338</v>
      </c>
      <c r="H446" s="166" t="s">
        <v>1287</v>
      </c>
      <c r="I446" s="142">
        <v>4</v>
      </c>
      <c r="J446" s="143">
        <v>6</v>
      </c>
      <c r="K446" s="143">
        <v>4</v>
      </c>
      <c r="L446" s="143">
        <v>2</v>
      </c>
      <c r="M446" s="143">
        <v>1</v>
      </c>
      <c r="N446" s="201">
        <v>2</v>
      </c>
      <c r="O446" s="294" t="s">
        <v>2163</v>
      </c>
      <c r="P446" s="325" t="s">
        <v>3032</v>
      </c>
      <c r="Q446" s="298"/>
      <c r="R446" s="209">
        <v>35886</v>
      </c>
      <c r="S446" s="301"/>
      <c r="T446" s="81">
        <v>1</v>
      </c>
      <c r="U446" s="78">
        <v>1</v>
      </c>
      <c r="V446" s="69"/>
      <c r="W446" s="69"/>
      <c r="X446" s="69"/>
      <c r="Y446" s="69"/>
      <c r="Z446" s="69"/>
      <c r="AA446" s="69"/>
      <c r="AB446" s="49"/>
    </row>
    <row r="447" spans="1:28" ht="15.6" customHeight="1" x14ac:dyDescent="0.2">
      <c r="A447" s="212">
        <v>445</v>
      </c>
      <c r="B447" s="159" t="str">
        <f t="shared" si="6"/>
        <v>Corycium carnosum</v>
      </c>
      <c r="C447" s="160" t="s">
        <v>1772</v>
      </c>
      <c r="D447" s="72"/>
      <c r="E447" s="72" t="s">
        <v>1780</v>
      </c>
      <c r="F447" s="72" t="s">
        <v>1782</v>
      </c>
      <c r="G447" s="289" t="s">
        <v>3339</v>
      </c>
      <c r="H447" s="166" t="s">
        <v>1873</v>
      </c>
      <c r="I447" s="142">
        <v>4</v>
      </c>
      <c r="J447" s="143">
        <v>5</v>
      </c>
      <c r="K447" s="143">
        <v>4</v>
      </c>
      <c r="L447" s="143">
        <v>9</v>
      </c>
      <c r="M447" s="143">
        <v>9</v>
      </c>
      <c r="N447" s="201">
        <v>9</v>
      </c>
      <c r="O447" s="294" t="s">
        <v>2163</v>
      </c>
      <c r="P447" s="325" t="s">
        <v>3032</v>
      </c>
      <c r="Q447" s="298"/>
      <c r="R447" s="209">
        <v>35704</v>
      </c>
      <c r="S447" s="301" t="s">
        <v>2250</v>
      </c>
      <c r="T447" s="81"/>
      <c r="U447" s="78"/>
      <c r="V447" s="69"/>
      <c r="W447" s="69">
        <v>1</v>
      </c>
      <c r="X447" s="69"/>
      <c r="Y447" s="69"/>
      <c r="Z447" s="69"/>
      <c r="AA447" s="69"/>
      <c r="AB447" s="49"/>
    </row>
    <row r="448" spans="1:28" ht="15.6" customHeight="1" x14ac:dyDescent="0.2">
      <c r="A448" s="212">
        <v>446</v>
      </c>
      <c r="B448" s="159" t="str">
        <f t="shared" si="6"/>
        <v>Corycium orobanchoides</v>
      </c>
      <c r="C448" s="160" t="s">
        <v>1772</v>
      </c>
      <c r="D448" s="72"/>
      <c r="E448" s="72" t="s">
        <v>1780</v>
      </c>
      <c r="F448" s="72" t="s">
        <v>1783</v>
      </c>
      <c r="G448" s="289" t="s">
        <v>3340</v>
      </c>
      <c r="H448" s="166" t="s">
        <v>1287</v>
      </c>
      <c r="I448" s="142">
        <v>4</v>
      </c>
      <c r="J448" s="143">
        <v>6</v>
      </c>
      <c r="K448" s="143">
        <v>4</v>
      </c>
      <c r="L448" s="143">
        <v>2</v>
      </c>
      <c r="M448" s="143">
        <v>1</v>
      </c>
      <c r="N448" s="201">
        <v>2</v>
      </c>
      <c r="O448" s="294" t="s">
        <v>2163</v>
      </c>
      <c r="P448" s="325" t="s">
        <v>3032</v>
      </c>
      <c r="Q448" s="298"/>
      <c r="R448" s="209">
        <v>37073</v>
      </c>
      <c r="S448" s="301"/>
      <c r="T448" s="81">
        <v>1</v>
      </c>
      <c r="U448" s="78">
        <v>1</v>
      </c>
      <c r="V448" s="69"/>
      <c r="W448" s="69"/>
      <c r="X448" s="69"/>
      <c r="Y448" s="69"/>
      <c r="Z448" s="69"/>
      <c r="AA448" s="69"/>
      <c r="AB448" s="49"/>
    </row>
    <row r="449" spans="1:28" ht="15.6" customHeight="1" x14ac:dyDescent="0.2">
      <c r="A449" s="212">
        <v>447</v>
      </c>
      <c r="B449" s="159" t="str">
        <f t="shared" si="6"/>
        <v>Disa bracteata</v>
      </c>
      <c r="C449" s="160" t="s">
        <v>1772</v>
      </c>
      <c r="D449" s="72"/>
      <c r="E449" s="72" t="s">
        <v>1784</v>
      </c>
      <c r="F449" s="72" t="s">
        <v>1785</v>
      </c>
      <c r="G449" s="289" t="s">
        <v>3341</v>
      </c>
      <c r="H449" s="166" t="s">
        <v>1287</v>
      </c>
      <c r="I449" s="142">
        <v>4</v>
      </c>
      <c r="J449" s="143">
        <v>6</v>
      </c>
      <c r="K449" s="143">
        <v>4</v>
      </c>
      <c r="L449" s="143">
        <v>2</v>
      </c>
      <c r="M449" s="143">
        <v>1</v>
      </c>
      <c r="N449" s="201">
        <v>1</v>
      </c>
      <c r="O449" s="294" t="s">
        <v>2163</v>
      </c>
      <c r="P449" s="325" t="s">
        <v>3032</v>
      </c>
      <c r="Q449" s="298"/>
      <c r="R449" s="209">
        <v>35886</v>
      </c>
      <c r="S449" s="301"/>
      <c r="T449" s="81">
        <v>1</v>
      </c>
      <c r="U449" s="78"/>
      <c r="V449" s="69"/>
      <c r="W449" s="69"/>
      <c r="X449" s="69">
        <v>1</v>
      </c>
      <c r="Y449" s="69"/>
      <c r="Z449" s="69"/>
      <c r="AA449" s="69"/>
      <c r="AB449" s="49"/>
    </row>
    <row r="450" spans="1:28" ht="15.6" customHeight="1" x14ac:dyDescent="0.2">
      <c r="A450" s="212">
        <v>448</v>
      </c>
      <c r="B450" s="159" t="str">
        <f t="shared" si="6"/>
        <v>Disa cornuta</v>
      </c>
      <c r="C450" s="160" t="s">
        <v>1772</v>
      </c>
      <c r="D450" s="72"/>
      <c r="E450" s="72" t="s">
        <v>1784</v>
      </c>
      <c r="F450" s="72" t="s">
        <v>1786</v>
      </c>
      <c r="G450" s="289" t="s">
        <v>3342</v>
      </c>
      <c r="H450" s="166" t="s">
        <v>3307</v>
      </c>
      <c r="I450" s="142">
        <v>4</v>
      </c>
      <c r="J450" s="143">
        <v>5</v>
      </c>
      <c r="K450" s="143">
        <v>4</v>
      </c>
      <c r="L450" s="143">
        <v>2</v>
      </c>
      <c r="M450" s="143">
        <v>4</v>
      </c>
      <c r="N450" s="201">
        <v>3</v>
      </c>
      <c r="O450" s="294" t="s">
        <v>2163</v>
      </c>
      <c r="P450" s="325" t="s">
        <v>3032</v>
      </c>
      <c r="Q450" s="298"/>
      <c r="R450" s="209">
        <v>36861</v>
      </c>
      <c r="S450" s="301" t="s">
        <v>2702</v>
      </c>
      <c r="T450" s="81"/>
      <c r="U450" s="78"/>
      <c r="V450" s="69"/>
      <c r="W450" s="69"/>
      <c r="X450" s="69">
        <v>1</v>
      </c>
      <c r="Y450" s="69"/>
      <c r="Z450" s="69"/>
      <c r="AA450" s="69"/>
      <c r="AB450" s="49"/>
    </row>
    <row r="451" spans="1:28" ht="15.6" customHeight="1" x14ac:dyDescent="0.2">
      <c r="A451" s="212">
        <v>449</v>
      </c>
      <c r="B451" s="159" t="str">
        <f t="shared" ref="B451:B514" si="7">E451&amp;" "&amp;F451</f>
        <v>Disa densiflora</v>
      </c>
      <c r="C451" s="160" t="s">
        <v>1772</v>
      </c>
      <c r="D451" s="72"/>
      <c r="E451" s="72" t="s">
        <v>1784</v>
      </c>
      <c r="F451" s="72" t="s">
        <v>1787</v>
      </c>
      <c r="G451" s="289" t="s">
        <v>3343</v>
      </c>
      <c r="H451" s="166" t="s">
        <v>1287</v>
      </c>
      <c r="I451" s="142">
        <v>4</v>
      </c>
      <c r="J451" s="143">
        <v>6</v>
      </c>
      <c r="K451" s="143">
        <v>4</v>
      </c>
      <c r="L451" s="143">
        <v>2</v>
      </c>
      <c r="M451" s="143">
        <v>1</v>
      </c>
      <c r="N451" s="201">
        <v>3</v>
      </c>
      <c r="O451" s="294" t="s">
        <v>2163</v>
      </c>
      <c r="P451" s="325" t="s">
        <v>3032</v>
      </c>
      <c r="Q451" s="298"/>
      <c r="R451" s="209">
        <v>35886</v>
      </c>
      <c r="S451" s="301"/>
      <c r="T451" s="81">
        <v>1</v>
      </c>
      <c r="U451" s="78"/>
      <c r="V451" s="69"/>
      <c r="W451" s="69"/>
      <c r="X451" s="69">
        <v>1</v>
      </c>
      <c r="Y451" s="69"/>
      <c r="Z451" s="69"/>
      <c r="AA451" s="69"/>
      <c r="AB451" s="49"/>
    </row>
    <row r="452" spans="1:28" ht="15.6" customHeight="1" x14ac:dyDescent="0.2">
      <c r="A452" s="212">
        <v>450</v>
      </c>
      <c r="B452" s="159" t="str">
        <f t="shared" si="7"/>
        <v>Disa graminifolia</v>
      </c>
      <c r="C452" s="160" t="s">
        <v>1772</v>
      </c>
      <c r="D452" s="72" t="s">
        <v>228</v>
      </c>
      <c r="E452" s="72" t="s">
        <v>1784</v>
      </c>
      <c r="F452" s="72" t="s">
        <v>1788</v>
      </c>
      <c r="G452" s="289" t="s">
        <v>3344</v>
      </c>
      <c r="H452" s="166" t="s">
        <v>3295</v>
      </c>
      <c r="I452" s="142">
        <v>4</v>
      </c>
      <c r="J452" s="143">
        <v>5</v>
      </c>
      <c r="K452" s="143">
        <v>4</v>
      </c>
      <c r="L452" s="143">
        <v>2</v>
      </c>
      <c r="M452" s="143">
        <v>1</v>
      </c>
      <c r="N452" s="201">
        <v>3</v>
      </c>
      <c r="O452" s="294" t="s">
        <v>2163</v>
      </c>
      <c r="P452" s="325" t="s">
        <v>3032</v>
      </c>
      <c r="Q452" s="298"/>
      <c r="R452" s="209">
        <v>36831</v>
      </c>
      <c r="S452" s="301"/>
      <c r="T452" s="81">
        <v>1</v>
      </c>
      <c r="U452" s="78"/>
      <c r="V452" s="69"/>
      <c r="W452" s="69"/>
      <c r="X452" s="69">
        <v>1</v>
      </c>
      <c r="Y452" s="69"/>
      <c r="Z452" s="69"/>
      <c r="AA452" s="69"/>
      <c r="AB452" s="49"/>
    </row>
    <row r="453" spans="1:28" ht="15.6" customHeight="1" x14ac:dyDescent="0.2">
      <c r="A453" s="212">
        <v>451</v>
      </c>
      <c r="B453" s="159" t="str">
        <f t="shared" si="7"/>
        <v>Disa hallackii</v>
      </c>
      <c r="C453" s="160" t="s">
        <v>1772</v>
      </c>
      <c r="D453" s="72"/>
      <c r="E453" s="72" t="s">
        <v>1784</v>
      </c>
      <c r="F453" s="72" t="s">
        <v>1789</v>
      </c>
      <c r="G453" s="289" t="s">
        <v>3345</v>
      </c>
      <c r="H453" s="166" t="s">
        <v>1287</v>
      </c>
      <c r="I453" s="142">
        <v>4</v>
      </c>
      <c r="J453" s="143">
        <v>6</v>
      </c>
      <c r="K453" s="143">
        <v>4</v>
      </c>
      <c r="L453" s="143">
        <v>2</v>
      </c>
      <c r="M453" s="143">
        <v>1</v>
      </c>
      <c r="N453" s="201">
        <v>3</v>
      </c>
      <c r="O453" s="294" t="s">
        <v>2163</v>
      </c>
      <c r="P453" s="325" t="s">
        <v>3032</v>
      </c>
      <c r="Q453" s="298" t="s">
        <v>3149</v>
      </c>
      <c r="R453" s="209">
        <v>37561</v>
      </c>
      <c r="S453" s="301"/>
      <c r="T453" s="81">
        <v>1</v>
      </c>
      <c r="U453" s="78"/>
      <c r="V453" s="69"/>
      <c r="W453" s="69"/>
      <c r="X453" s="69">
        <v>1</v>
      </c>
      <c r="Y453" s="69"/>
      <c r="Z453" s="69"/>
      <c r="AA453" s="69"/>
      <c r="AB453" s="49"/>
    </row>
    <row r="454" spans="1:28" ht="15.6" customHeight="1" x14ac:dyDescent="0.2">
      <c r="A454" s="212">
        <v>452</v>
      </c>
      <c r="B454" s="159" t="str">
        <f t="shared" si="7"/>
        <v>Disperis capensis</v>
      </c>
      <c r="C454" s="160" t="s">
        <v>1772</v>
      </c>
      <c r="D454" s="72" t="s">
        <v>229</v>
      </c>
      <c r="E454" s="72" t="s">
        <v>1790</v>
      </c>
      <c r="F454" s="72" t="s">
        <v>2756</v>
      </c>
      <c r="G454" s="289" t="s">
        <v>3346</v>
      </c>
      <c r="H454" s="166" t="s">
        <v>3224</v>
      </c>
      <c r="I454" s="142">
        <v>4</v>
      </c>
      <c r="J454" s="143">
        <v>6</v>
      </c>
      <c r="K454" s="143">
        <v>4</v>
      </c>
      <c r="L454" s="143">
        <v>1</v>
      </c>
      <c r="M454" s="143">
        <v>4</v>
      </c>
      <c r="N454" s="201">
        <v>3</v>
      </c>
      <c r="O454" s="294" t="s">
        <v>2163</v>
      </c>
      <c r="P454" s="325" t="s">
        <v>3032</v>
      </c>
      <c r="Q454" s="298"/>
      <c r="R454" s="209">
        <v>35612</v>
      </c>
      <c r="S454" s="301"/>
      <c r="T454" s="81">
        <v>1</v>
      </c>
      <c r="U454" s="78"/>
      <c r="V454" s="69">
        <v>1</v>
      </c>
      <c r="W454" s="69">
        <v>1</v>
      </c>
      <c r="X454" s="69">
        <v>1</v>
      </c>
      <c r="Y454" s="69"/>
      <c r="Z454" s="69"/>
      <c r="AA454" s="69"/>
      <c r="AB454" s="49"/>
    </row>
    <row r="455" spans="1:28" ht="15.6" customHeight="1" x14ac:dyDescent="0.2">
      <c r="A455" s="212">
        <v>453</v>
      </c>
      <c r="B455" s="159" t="str">
        <f t="shared" si="7"/>
        <v>Disperis villosa</v>
      </c>
      <c r="C455" s="160" t="s">
        <v>1772</v>
      </c>
      <c r="D455" s="72"/>
      <c r="E455" s="72" t="s">
        <v>1790</v>
      </c>
      <c r="F455" s="72" t="s">
        <v>2784</v>
      </c>
      <c r="G455" s="289" t="s">
        <v>3347</v>
      </c>
      <c r="H455" s="166" t="s">
        <v>1287</v>
      </c>
      <c r="I455" s="142">
        <v>4</v>
      </c>
      <c r="J455" s="143">
        <v>6</v>
      </c>
      <c r="K455" s="143">
        <v>4</v>
      </c>
      <c r="L455" s="143">
        <v>2</v>
      </c>
      <c r="M455" s="143">
        <v>1</v>
      </c>
      <c r="N455" s="201">
        <v>3</v>
      </c>
      <c r="O455" s="294" t="s">
        <v>2163</v>
      </c>
      <c r="P455" s="325" t="s">
        <v>3032</v>
      </c>
      <c r="Q455" s="298"/>
      <c r="R455" s="209">
        <v>37135</v>
      </c>
      <c r="S455" s="301" t="s">
        <v>2250</v>
      </c>
      <c r="T455" s="81"/>
      <c r="U455" s="78"/>
      <c r="V455" s="69"/>
      <c r="W455" s="69"/>
      <c r="X455" s="69">
        <v>1</v>
      </c>
      <c r="Y455" s="69"/>
      <c r="Z455" s="69"/>
      <c r="AA455" s="69"/>
      <c r="AB455" s="49"/>
    </row>
    <row r="456" spans="1:28" ht="15.6" customHeight="1" x14ac:dyDescent="0.2">
      <c r="A456" s="212">
        <v>454</v>
      </c>
      <c r="B456" s="159" t="str">
        <f t="shared" si="7"/>
        <v>Eulophia aculeata ssp. aculeata</v>
      </c>
      <c r="C456" s="160" t="s">
        <v>1772</v>
      </c>
      <c r="D456" s="72" t="s">
        <v>230</v>
      </c>
      <c r="E456" s="72" t="s">
        <v>1791</v>
      </c>
      <c r="F456" s="72" t="s">
        <v>473</v>
      </c>
      <c r="G456" s="289" t="s">
        <v>3348</v>
      </c>
      <c r="H456" s="166" t="s">
        <v>1287</v>
      </c>
      <c r="I456" s="142">
        <v>4</v>
      </c>
      <c r="J456" s="143">
        <v>6</v>
      </c>
      <c r="K456" s="143">
        <v>4</v>
      </c>
      <c r="L456" s="143">
        <v>2</v>
      </c>
      <c r="M456" s="143">
        <v>1</v>
      </c>
      <c r="N456" s="201">
        <v>1</v>
      </c>
      <c r="O456" s="294" t="s">
        <v>2163</v>
      </c>
      <c r="P456" s="325" t="s">
        <v>3032</v>
      </c>
      <c r="Q456" s="298"/>
      <c r="R456" s="209">
        <v>35886</v>
      </c>
      <c r="S456" s="301"/>
      <c r="T456" s="81">
        <v>1</v>
      </c>
      <c r="U456" s="78"/>
      <c r="V456" s="69"/>
      <c r="W456" s="69">
        <v>1</v>
      </c>
      <c r="X456" s="69"/>
      <c r="Y456" s="69"/>
      <c r="Z456" s="69"/>
      <c r="AA456" s="69"/>
      <c r="AB456" s="49"/>
    </row>
    <row r="457" spans="1:28" ht="15.6" customHeight="1" x14ac:dyDescent="0.2">
      <c r="A457" s="212">
        <v>455</v>
      </c>
      <c r="B457" s="159" t="str">
        <f t="shared" si="7"/>
        <v>Holothrix cernua</v>
      </c>
      <c r="C457" s="160" t="s">
        <v>1772</v>
      </c>
      <c r="D457" s="72"/>
      <c r="E457" s="72" t="s">
        <v>1792</v>
      </c>
      <c r="F457" s="72" t="s">
        <v>862</v>
      </c>
      <c r="G457" s="289" t="s">
        <v>3349</v>
      </c>
      <c r="H457" s="166" t="s">
        <v>3218</v>
      </c>
      <c r="I457" s="142">
        <v>4</v>
      </c>
      <c r="J457" s="143">
        <v>6</v>
      </c>
      <c r="K457" s="143">
        <v>5</v>
      </c>
      <c r="L457" s="143">
        <v>1</v>
      </c>
      <c r="M457" s="143">
        <v>4</v>
      </c>
      <c r="N457" s="201">
        <v>4</v>
      </c>
      <c r="O457" s="294" t="s">
        <v>2163</v>
      </c>
      <c r="P457" s="325" t="s">
        <v>3032</v>
      </c>
      <c r="Q457" s="298"/>
      <c r="R457" s="209">
        <v>36770</v>
      </c>
      <c r="S457" s="301"/>
      <c r="T457" s="81">
        <v>1</v>
      </c>
      <c r="U457" s="78"/>
      <c r="V457" s="69"/>
      <c r="W457" s="69"/>
      <c r="X457" s="69">
        <v>1</v>
      </c>
      <c r="Y457" s="69"/>
      <c r="Z457" s="69"/>
      <c r="AA457" s="69"/>
      <c r="AB457" s="49"/>
    </row>
    <row r="458" spans="1:28" ht="15.6" customHeight="1" x14ac:dyDescent="0.2">
      <c r="A458" s="212">
        <v>456</v>
      </c>
      <c r="B458" s="159" t="str">
        <f t="shared" si="7"/>
        <v>Holothrix exilis</v>
      </c>
      <c r="C458" s="160" t="s">
        <v>1772</v>
      </c>
      <c r="D458" s="72"/>
      <c r="E458" s="72" t="s">
        <v>1792</v>
      </c>
      <c r="F458" s="72" t="s">
        <v>1793</v>
      </c>
      <c r="G458" s="289" t="s">
        <v>3350</v>
      </c>
      <c r="H458" s="166" t="s">
        <v>3218</v>
      </c>
      <c r="I458" s="142">
        <v>4</v>
      </c>
      <c r="J458" s="143">
        <v>6</v>
      </c>
      <c r="K458" s="143">
        <v>5</v>
      </c>
      <c r="L458" s="143">
        <v>1</v>
      </c>
      <c r="M458" s="143">
        <v>4</v>
      </c>
      <c r="N458" s="201">
        <v>4</v>
      </c>
      <c r="O458" s="294" t="s">
        <v>2163</v>
      </c>
      <c r="P458" s="325" t="s">
        <v>3032</v>
      </c>
      <c r="Q458" s="298"/>
      <c r="R458" s="209">
        <v>36861</v>
      </c>
      <c r="S458" s="301"/>
      <c r="T458" s="81">
        <v>1</v>
      </c>
      <c r="U458" s="78"/>
      <c r="V458" s="69"/>
      <c r="W458" s="69"/>
      <c r="X458" s="69">
        <v>1</v>
      </c>
      <c r="Y458" s="69"/>
      <c r="Z458" s="69"/>
      <c r="AA458" s="69"/>
      <c r="AB458" s="49"/>
    </row>
    <row r="459" spans="1:28" ht="15.6" customHeight="1" x14ac:dyDescent="0.2">
      <c r="A459" s="212">
        <v>457</v>
      </c>
      <c r="B459" s="159" t="str">
        <f t="shared" si="7"/>
        <v>Holothrix grandiflora</v>
      </c>
      <c r="C459" s="160" t="s">
        <v>1772</v>
      </c>
      <c r="D459" s="72"/>
      <c r="E459" s="72" t="s">
        <v>1792</v>
      </c>
      <c r="F459" s="72" t="s">
        <v>1667</v>
      </c>
      <c r="G459" s="289" t="s">
        <v>3351</v>
      </c>
      <c r="H459" s="166" t="s">
        <v>3224</v>
      </c>
      <c r="I459" s="142">
        <v>4</v>
      </c>
      <c r="J459" s="143">
        <v>6</v>
      </c>
      <c r="K459" s="143">
        <v>5</v>
      </c>
      <c r="L459" s="143">
        <v>1</v>
      </c>
      <c r="M459" s="143">
        <v>4</v>
      </c>
      <c r="N459" s="201">
        <v>3</v>
      </c>
      <c r="O459" s="294" t="s">
        <v>2163</v>
      </c>
      <c r="P459" s="325" t="s">
        <v>3032</v>
      </c>
      <c r="Q459" s="298" t="s">
        <v>2703</v>
      </c>
      <c r="R459" s="209">
        <v>35796</v>
      </c>
      <c r="S459" s="301"/>
      <c r="T459" s="81">
        <v>1</v>
      </c>
      <c r="U459" s="78"/>
      <c r="V459" s="69"/>
      <c r="W459" s="69"/>
      <c r="X459" s="69">
        <v>1</v>
      </c>
      <c r="Y459" s="69"/>
      <c r="Z459" s="69"/>
      <c r="AA459" s="69"/>
      <c r="AB459" s="49"/>
    </row>
    <row r="460" spans="1:28" ht="15.6" customHeight="1" x14ac:dyDescent="0.2">
      <c r="A460" s="212">
        <v>458</v>
      </c>
      <c r="B460" s="159" t="str">
        <f t="shared" si="7"/>
        <v>Holothrix mundii</v>
      </c>
      <c r="C460" s="160" t="s">
        <v>1772</v>
      </c>
      <c r="D460" s="72"/>
      <c r="E460" s="72" t="s">
        <v>1792</v>
      </c>
      <c r="F460" s="72" t="s">
        <v>1794</v>
      </c>
      <c r="G460" s="289" t="s">
        <v>3352</v>
      </c>
      <c r="H460" s="166" t="s">
        <v>3218</v>
      </c>
      <c r="I460" s="142">
        <v>4</v>
      </c>
      <c r="J460" s="143">
        <v>6</v>
      </c>
      <c r="K460" s="143">
        <v>5</v>
      </c>
      <c r="L460" s="143">
        <v>1</v>
      </c>
      <c r="M460" s="143">
        <v>4</v>
      </c>
      <c r="N460" s="201">
        <v>4</v>
      </c>
      <c r="O460" s="294" t="s">
        <v>2163</v>
      </c>
      <c r="P460" s="325" t="s">
        <v>3032</v>
      </c>
      <c r="Q460" s="298" t="s">
        <v>3144</v>
      </c>
      <c r="R460" s="209">
        <v>37073</v>
      </c>
      <c r="S460" s="301"/>
      <c r="T460" s="81">
        <v>1</v>
      </c>
      <c r="U460" s="78">
        <v>1</v>
      </c>
      <c r="V460" s="69"/>
      <c r="W460" s="69"/>
      <c r="X460" s="69">
        <v>1</v>
      </c>
      <c r="Y460" s="69"/>
      <c r="Z460" s="69"/>
      <c r="AA460" s="69"/>
      <c r="AB460" s="49"/>
    </row>
    <row r="461" spans="1:28" ht="15.6" customHeight="1" x14ac:dyDescent="0.2">
      <c r="A461" s="212">
        <v>459</v>
      </c>
      <c r="B461" s="159" t="str">
        <f t="shared" si="7"/>
        <v>Holothrix schlechteriana</v>
      </c>
      <c r="C461" s="160" t="s">
        <v>1772</v>
      </c>
      <c r="D461" s="72"/>
      <c r="E461" s="72" t="s">
        <v>1792</v>
      </c>
      <c r="F461" s="72" t="s">
        <v>1843</v>
      </c>
      <c r="G461" s="289" t="s">
        <v>3353</v>
      </c>
      <c r="H461" s="166" t="s">
        <v>3224</v>
      </c>
      <c r="I461" s="142">
        <v>4</v>
      </c>
      <c r="J461" s="143">
        <v>6</v>
      </c>
      <c r="K461" s="143">
        <v>5</v>
      </c>
      <c r="L461" s="143">
        <v>1</v>
      </c>
      <c r="M461" s="143">
        <v>4</v>
      </c>
      <c r="N461" s="201">
        <v>3</v>
      </c>
      <c r="O461" s="294" t="s">
        <v>2163</v>
      </c>
      <c r="P461" s="325" t="s">
        <v>3032</v>
      </c>
      <c r="Q461" s="298"/>
      <c r="R461" s="209"/>
      <c r="S461" s="301"/>
      <c r="T461" s="81"/>
      <c r="U461" s="78"/>
      <c r="V461" s="69"/>
      <c r="W461" s="69"/>
      <c r="X461" s="69"/>
      <c r="Y461" s="69"/>
      <c r="Z461" s="69"/>
      <c r="AA461" s="69"/>
      <c r="AB461" s="49"/>
    </row>
    <row r="462" spans="1:28" ht="15.6" customHeight="1" x14ac:dyDescent="0.2">
      <c r="A462" s="212">
        <v>460</v>
      </c>
      <c r="B462" s="159" t="str">
        <f t="shared" si="7"/>
        <v>Pterygodium caffrum</v>
      </c>
      <c r="C462" s="160" t="s">
        <v>1772</v>
      </c>
      <c r="D462" s="72"/>
      <c r="E462" s="72" t="s">
        <v>1795</v>
      </c>
      <c r="F462" s="72" t="s">
        <v>1796</v>
      </c>
      <c r="G462" s="289" t="s">
        <v>3354</v>
      </c>
      <c r="H462" s="166" t="s">
        <v>3224</v>
      </c>
      <c r="I462" s="142">
        <v>4</v>
      </c>
      <c r="J462" s="143">
        <v>6</v>
      </c>
      <c r="K462" s="143">
        <v>4</v>
      </c>
      <c r="L462" s="143">
        <v>1</v>
      </c>
      <c r="M462" s="143">
        <v>4</v>
      </c>
      <c r="N462" s="201">
        <v>3</v>
      </c>
      <c r="O462" s="294" t="s">
        <v>2163</v>
      </c>
      <c r="P462" s="325" t="s">
        <v>3032</v>
      </c>
      <c r="Q462" s="298"/>
      <c r="R462" s="209">
        <v>36861</v>
      </c>
      <c r="S462" s="301"/>
      <c r="T462" s="81">
        <v>1</v>
      </c>
      <c r="U462" s="78"/>
      <c r="V462" s="69"/>
      <c r="W462" s="69"/>
      <c r="X462" s="69">
        <v>1</v>
      </c>
      <c r="Y462" s="69"/>
      <c r="Z462" s="69"/>
      <c r="AA462" s="69"/>
      <c r="AB462" s="49"/>
    </row>
    <row r="463" spans="1:28" ht="15.6" customHeight="1" x14ac:dyDescent="0.2">
      <c r="A463" s="212">
        <v>461</v>
      </c>
      <c r="B463" s="159" t="str">
        <f t="shared" si="7"/>
        <v>Pterygodium catholicum</v>
      </c>
      <c r="C463" s="160" t="s">
        <v>1772</v>
      </c>
      <c r="D463" s="72" t="s">
        <v>229</v>
      </c>
      <c r="E463" s="72" t="s">
        <v>1795</v>
      </c>
      <c r="F463" s="72" t="s">
        <v>1797</v>
      </c>
      <c r="G463" s="289" t="s">
        <v>3355</v>
      </c>
      <c r="H463" s="166" t="s">
        <v>3224</v>
      </c>
      <c r="I463" s="142">
        <v>4</v>
      </c>
      <c r="J463" s="143">
        <v>6</v>
      </c>
      <c r="K463" s="143">
        <v>4</v>
      </c>
      <c r="L463" s="143">
        <v>1</v>
      </c>
      <c r="M463" s="143">
        <v>4</v>
      </c>
      <c r="N463" s="201">
        <v>3</v>
      </c>
      <c r="O463" s="294" t="s">
        <v>2163</v>
      </c>
      <c r="P463" s="325" t="s">
        <v>3032</v>
      </c>
      <c r="Q463" s="298"/>
      <c r="R463" s="209">
        <v>35886</v>
      </c>
      <c r="S463" s="301"/>
      <c r="T463" s="81">
        <v>1</v>
      </c>
      <c r="U463" s="78"/>
      <c r="V463" s="69"/>
      <c r="W463" s="69"/>
      <c r="X463" s="69">
        <v>1</v>
      </c>
      <c r="Y463" s="69"/>
      <c r="Z463" s="69"/>
      <c r="AA463" s="69"/>
      <c r="AB463" s="49"/>
    </row>
    <row r="464" spans="1:28" ht="15.6" customHeight="1" x14ac:dyDescent="0.2">
      <c r="A464" s="212">
        <v>462</v>
      </c>
      <c r="B464" s="159" t="str">
        <f t="shared" si="7"/>
        <v>Pterygodium volucris</v>
      </c>
      <c r="C464" s="160" t="s">
        <v>1772</v>
      </c>
      <c r="D464" s="72"/>
      <c r="E464" s="72" t="s">
        <v>1795</v>
      </c>
      <c r="F464" s="72" t="s">
        <v>1798</v>
      </c>
      <c r="G464" s="289" t="s">
        <v>3356</v>
      </c>
      <c r="H464" s="166" t="s">
        <v>3224</v>
      </c>
      <c r="I464" s="142">
        <v>4</v>
      </c>
      <c r="J464" s="143">
        <v>6</v>
      </c>
      <c r="K464" s="143">
        <v>4</v>
      </c>
      <c r="L464" s="143">
        <v>1</v>
      </c>
      <c r="M464" s="143">
        <v>4</v>
      </c>
      <c r="N464" s="201">
        <v>2</v>
      </c>
      <c r="O464" s="294" t="s">
        <v>2163</v>
      </c>
      <c r="P464" s="325" t="s">
        <v>3032</v>
      </c>
      <c r="Q464" s="298"/>
      <c r="R464" s="209">
        <v>38231</v>
      </c>
      <c r="S464" s="301"/>
      <c r="T464" s="79">
        <v>1</v>
      </c>
      <c r="U464" s="78">
        <v>1</v>
      </c>
      <c r="V464" s="69"/>
      <c r="W464" s="69"/>
      <c r="X464" s="69"/>
      <c r="Y464" s="69"/>
      <c r="Z464" s="69"/>
      <c r="AA464" s="69"/>
      <c r="AB464" s="49"/>
    </row>
    <row r="465" spans="1:28" ht="15.6" customHeight="1" x14ac:dyDescent="0.2">
      <c r="A465" s="212">
        <v>463</v>
      </c>
      <c r="B465" s="159" t="str">
        <f t="shared" si="7"/>
        <v>Satyrium bicallosum</v>
      </c>
      <c r="C465" s="160" t="s">
        <v>1772</v>
      </c>
      <c r="D465" s="72"/>
      <c r="E465" s="72" t="s">
        <v>1799</v>
      </c>
      <c r="F465" s="72" t="s">
        <v>1800</v>
      </c>
      <c r="G465" s="289" t="s">
        <v>3357</v>
      </c>
      <c r="H465" s="166" t="s">
        <v>3224</v>
      </c>
      <c r="I465" s="142">
        <v>4</v>
      </c>
      <c r="J465" s="143">
        <v>6</v>
      </c>
      <c r="K465" s="143">
        <v>4</v>
      </c>
      <c r="L465" s="143">
        <v>1</v>
      </c>
      <c r="M465" s="143">
        <v>4</v>
      </c>
      <c r="N465" s="201">
        <v>3</v>
      </c>
      <c r="O465" s="294" t="s">
        <v>2163</v>
      </c>
      <c r="P465" s="325" t="s">
        <v>3032</v>
      </c>
      <c r="Q465" s="298"/>
      <c r="R465" s="209">
        <v>37530</v>
      </c>
      <c r="S465" s="301"/>
      <c r="T465" s="81">
        <v>1</v>
      </c>
      <c r="U465" s="78"/>
      <c r="V465" s="69"/>
      <c r="W465" s="69">
        <v>1</v>
      </c>
      <c r="X465" s="69">
        <v>1</v>
      </c>
      <c r="Y465" s="69"/>
      <c r="Z465" s="69"/>
      <c r="AA465" s="69"/>
      <c r="AB465" s="49"/>
    </row>
    <row r="466" spans="1:28" ht="15.6" customHeight="1" x14ac:dyDescent="0.2">
      <c r="A466" s="212">
        <v>464</v>
      </c>
      <c r="B466" s="159" t="str">
        <f t="shared" si="7"/>
        <v>Satyrium bracteatum</v>
      </c>
      <c r="C466" s="160" t="s">
        <v>1772</v>
      </c>
      <c r="D466" s="72"/>
      <c r="E466" s="72" t="s">
        <v>1799</v>
      </c>
      <c r="F466" s="72" t="s">
        <v>1801</v>
      </c>
      <c r="G466" s="289" t="s">
        <v>3358</v>
      </c>
      <c r="H466" s="166" t="s">
        <v>3224</v>
      </c>
      <c r="I466" s="142">
        <v>4</v>
      </c>
      <c r="J466" s="143">
        <v>6</v>
      </c>
      <c r="K466" s="143">
        <v>4</v>
      </c>
      <c r="L466" s="143">
        <v>1</v>
      </c>
      <c r="M466" s="143">
        <v>4</v>
      </c>
      <c r="N466" s="201">
        <v>3</v>
      </c>
      <c r="O466" s="294" t="s">
        <v>2163</v>
      </c>
      <c r="P466" s="325" t="s">
        <v>3032</v>
      </c>
      <c r="Q466" s="298"/>
      <c r="R466" s="209">
        <v>37530</v>
      </c>
      <c r="S466" s="301"/>
      <c r="T466" s="81">
        <v>1</v>
      </c>
      <c r="U466" s="78"/>
      <c r="V466" s="69"/>
      <c r="W466" s="69">
        <v>1</v>
      </c>
      <c r="X466" s="69">
        <v>1</v>
      </c>
      <c r="Y466" s="69"/>
      <c r="Z466" s="69"/>
      <c r="AA466" s="69"/>
      <c r="AB466" s="49"/>
    </row>
    <row r="467" spans="1:28" ht="15.6" customHeight="1" x14ac:dyDescent="0.2">
      <c r="A467" s="212">
        <v>465</v>
      </c>
      <c r="B467" s="159" t="str">
        <f t="shared" si="7"/>
        <v>Satyrium carneum</v>
      </c>
      <c r="C467" s="160" t="s">
        <v>1772</v>
      </c>
      <c r="D467" s="72" t="s">
        <v>231</v>
      </c>
      <c r="E467" s="72" t="s">
        <v>1799</v>
      </c>
      <c r="F467" s="72" t="s">
        <v>1802</v>
      </c>
      <c r="G467" s="289" t="s">
        <v>3359</v>
      </c>
      <c r="H467" s="166" t="s">
        <v>3307</v>
      </c>
      <c r="I467" s="142">
        <v>4</v>
      </c>
      <c r="J467" s="143">
        <v>5</v>
      </c>
      <c r="K467" s="143">
        <v>4</v>
      </c>
      <c r="L467" s="143">
        <v>1</v>
      </c>
      <c r="M467" s="143">
        <v>4</v>
      </c>
      <c r="N467" s="201">
        <v>2</v>
      </c>
      <c r="O467" s="294" t="s">
        <v>2163</v>
      </c>
      <c r="P467" s="325" t="s">
        <v>3032</v>
      </c>
      <c r="Q467" s="298" t="s">
        <v>3147</v>
      </c>
      <c r="R467" s="209">
        <v>35886</v>
      </c>
      <c r="S467" s="301"/>
      <c r="T467" s="81">
        <v>1</v>
      </c>
      <c r="U467" s="78">
        <v>1</v>
      </c>
      <c r="V467" s="69"/>
      <c r="W467" s="69"/>
      <c r="X467" s="69"/>
      <c r="Y467" s="69"/>
      <c r="Z467" s="69"/>
      <c r="AA467" s="69"/>
      <c r="AB467" s="49"/>
    </row>
    <row r="468" spans="1:28" ht="15.6" customHeight="1" x14ac:dyDescent="0.2">
      <c r="A468" s="212">
        <v>466</v>
      </c>
      <c r="B468" s="159" t="str">
        <f t="shared" si="7"/>
        <v>Satyrium coriifolium</v>
      </c>
      <c r="C468" s="160" t="s">
        <v>1772</v>
      </c>
      <c r="D468" s="72" t="s">
        <v>232</v>
      </c>
      <c r="E468" s="72" t="s">
        <v>1799</v>
      </c>
      <c r="F468" s="72" t="s">
        <v>1803</v>
      </c>
      <c r="G468" s="289" t="s">
        <v>3360</v>
      </c>
      <c r="H468" s="166" t="s">
        <v>3307</v>
      </c>
      <c r="I468" s="142">
        <v>4</v>
      </c>
      <c r="J468" s="143">
        <v>5</v>
      </c>
      <c r="K468" s="143">
        <v>4</v>
      </c>
      <c r="L468" s="143">
        <v>1</v>
      </c>
      <c r="M468" s="143">
        <v>4</v>
      </c>
      <c r="N468" s="201">
        <v>2</v>
      </c>
      <c r="O468" s="294" t="s">
        <v>2163</v>
      </c>
      <c r="P468" s="325" t="s">
        <v>3032</v>
      </c>
      <c r="Q468" s="298"/>
      <c r="R468" s="209">
        <v>36069</v>
      </c>
      <c r="S468" s="301"/>
      <c r="T468" s="81">
        <v>1</v>
      </c>
      <c r="U468" s="78"/>
      <c r="V468" s="69"/>
      <c r="W468" s="69"/>
      <c r="X468" s="69">
        <v>1</v>
      </c>
      <c r="Y468" s="69"/>
      <c r="Z468" s="69"/>
      <c r="AA468" s="69"/>
      <c r="AB468" s="49"/>
    </row>
    <row r="469" spans="1:28" ht="15.6" customHeight="1" x14ac:dyDescent="0.2">
      <c r="A469" s="212">
        <v>467</v>
      </c>
      <c r="B469" s="159" t="str">
        <f t="shared" si="7"/>
        <v>Satyrium ligulatum</v>
      </c>
      <c r="C469" s="160" t="s">
        <v>1772</v>
      </c>
      <c r="D469" s="72"/>
      <c r="E469" s="72" t="s">
        <v>1799</v>
      </c>
      <c r="F469" s="72" t="s">
        <v>1804</v>
      </c>
      <c r="G469" s="289" t="s">
        <v>3361</v>
      </c>
      <c r="H469" s="166" t="s">
        <v>3307</v>
      </c>
      <c r="I469" s="142">
        <v>4</v>
      </c>
      <c r="J469" s="143">
        <v>5</v>
      </c>
      <c r="K469" s="143">
        <v>4</v>
      </c>
      <c r="L469" s="143">
        <v>1</v>
      </c>
      <c r="M469" s="143">
        <v>4</v>
      </c>
      <c r="N469" s="201">
        <v>2</v>
      </c>
      <c r="O469" s="294" t="s">
        <v>2163</v>
      </c>
      <c r="P469" s="325" t="s">
        <v>3032</v>
      </c>
      <c r="Q469" s="298"/>
      <c r="R469" s="209">
        <v>37073</v>
      </c>
      <c r="S469" s="301"/>
      <c r="T469" s="81">
        <v>1</v>
      </c>
      <c r="U469" s="78"/>
      <c r="V469" s="69"/>
      <c r="W469" s="69"/>
      <c r="X469" s="69">
        <v>1</v>
      </c>
      <c r="Y469" s="69"/>
      <c r="Z469" s="69"/>
      <c r="AA469" s="69"/>
      <c r="AB469" s="49"/>
    </row>
    <row r="470" spans="1:28" ht="15.6" customHeight="1" x14ac:dyDescent="0.2">
      <c r="A470" s="212">
        <v>468</v>
      </c>
      <c r="B470" s="159" t="str">
        <f t="shared" si="7"/>
        <v>Satyrium lupulinum</v>
      </c>
      <c r="C470" s="160" t="s">
        <v>1772</v>
      </c>
      <c r="D470" s="72"/>
      <c r="E470" s="72" t="s">
        <v>1799</v>
      </c>
      <c r="F470" s="72" t="s">
        <v>1805</v>
      </c>
      <c r="G470" s="289" t="s">
        <v>3362</v>
      </c>
      <c r="H470" s="166" t="s">
        <v>3224</v>
      </c>
      <c r="I470" s="142">
        <v>4</v>
      </c>
      <c r="J470" s="143">
        <v>6</v>
      </c>
      <c r="K470" s="143">
        <v>4</v>
      </c>
      <c r="L470" s="143">
        <v>1</v>
      </c>
      <c r="M470" s="143">
        <v>4</v>
      </c>
      <c r="N470" s="201">
        <v>2</v>
      </c>
      <c r="O470" s="294" t="s">
        <v>2163</v>
      </c>
      <c r="P470" s="325" t="s">
        <v>3032</v>
      </c>
      <c r="Q470" s="298"/>
      <c r="R470" s="209">
        <v>37530</v>
      </c>
      <c r="S470" s="301"/>
      <c r="T470" s="81">
        <v>1</v>
      </c>
      <c r="U470" s="78"/>
      <c r="V470" s="69"/>
      <c r="W470" s="69"/>
      <c r="X470" s="69">
        <v>1</v>
      </c>
      <c r="Y470" s="69"/>
      <c r="Z470" s="69"/>
      <c r="AA470" s="69"/>
      <c r="AB470" s="49"/>
    </row>
    <row r="471" spans="1:28" ht="15.6" customHeight="1" x14ac:dyDescent="0.2">
      <c r="A471" s="212">
        <v>469</v>
      </c>
      <c r="B471" s="159" t="str">
        <f t="shared" si="7"/>
        <v>Satyrium odorum</v>
      </c>
      <c r="C471" s="160" t="s">
        <v>1772</v>
      </c>
      <c r="D471" s="72" t="s">
        <v>233</v>
      </c>
      <c r="E471" s="72" t="s">
        <v>1799</v>
      </c>
      <c r="F471" s="72" t="s">
        <v>1806</v>
      </c>
      <c r="G471" s="289" t="s">
        <v>3363</v>
      </c>
      <c r="H471" s="166" t="s">
        <v>3307</v>
      </c>
      <c r="I471" s="142">
        <v>4</v>
      </c>
      <c r="J471" s="143">
        <v>5</v>
      </c>
      <c r="K471" s="143">
        <v>4</v>
      </c>
      <c r="L471" s="143">
        <v>1</v>
      </c>
      <c r="M471" s="143">
        <v>4</v>
      </c>
      <c r="N471" s="201">
        <v>3</v>
      </c>
      <c r="O471" s="294" t="s">
        <v>2163</v>
      </c>
      <c r="P471" s="325" t="s">
        <v>3032</v>
      </c>
      <c r="Q471" s="298"/>
      <c r="R471" s="209">
        <v>35886</v>
      </c>
      <c r="S471" s="301"/>
      <c r="T471" s="81">
        <v>1</v>
      </c>
      <c r="U471" s="78"/>
      <c r="V471" s="69"/>
      <c r="W471" s="69"/>
      <c r="X471" s="69">
        <v>1</v>
      </c>
      <c r="Y471" s="69"/>
      <c r="Z471" s="69"/>
      <c r="AA471" s="69"/>
      <c r="AB471" s="49"/>
    </row>
    <row r="472" spans="1:28" ht="15.6" customHeight="1" x14ac:dyDescent="0.2">
      <c r="A472" s="212">
        <v>470</v>
      </c>
      <c r="B472" s="159" t="str">
        <f t="shared" si="7"/>
        <v>Alectra lurida</v>
      </c>
      <c r="C472" s="160" t="s">
        <v>1807</v>
      </c>
      <c r="D472" s="72"/>
      <c r="E472" s="72" t="s">
        <v>1808</v>
      </c>
      <c r="F472" s="72" t="s">
        <v>1809</v>
      </c>
      <c r="G472" s="289" t="s">
        <v>3364</v>
      </c>
      <c r="H472" s="166" t="s">
        <v>3268</v>
      </c>
      <c r="I472" s="142">
        <v>3</v>
      </c>
      <c r="J472" s="143">
        <v>6</v>
      </c>
      <c r="K472" s="143">
        <v>2</v>
      </c>
      <c r="L472" s="143">
        <v>2</v>
      </c>
      <c r="M472" s="143">
        <v>2</v>
      </c>
      <c r="N472" s="201">
        <v>5</v>
      </c>
      <c r="O472" s="294" t="s">
        <v>2179</v>
      </c>
      <c r="P472" s="325" t="s">
        <v>3032</v>
      </c>
      <c r="Q472" s="298"/>
      <c r="R472" s="209">
        <v>37257</v>
      </c>
      <c r="S472" s="301"/>
      <c r="T472" s="81">
        <v>1</v>
      </c>
      <c r="U472" s="78"/>
      <c r="V472" s="69"/>
      <c r="W472" s="69"/>
      <c r="X472" s="69">
        <v>1</v>
      </c>
      <c r="Y472" s="69"/>
      <c r="Z472" s="69"/>
      <c r="AA472" s="69"/>
      <c r="AB472" s="49"/>
    </row>
    <row r="473" spans="1:28" ht="15.6" customHeight="1" x14ac:dyDescent="0.2">
      <c r="A473" s="212">
        <v>471</v>
      </c>
      <c r="B473" s="159" t="str">
        <f t="shared" si="7"/>
        <v>Alectra sessiliflora</v>
      </c>
      <c r="C473" s="160" t="s">
        <v>1807</v>
      </c>
      <c r="D473" s="72" t="s">
        <v>234</v>
      </c>
      <c r="E473" s="72" t="s">
        <v>1808</v>
      </c>
      <c r="F473" s="72" t="s">
        <v>1050</v>
      </c>
      <c r="G473" s="289" t="s">
        <v>3365</v>
      </c>
      <c r="H473" s="166" t="s">
        <v>3268</v>
      </c>
      <c r="I473" s="142">
        <v>3</v>
      </c>
      <c r="J473" s="143">
        <v>6</v>
      </c>
      <c r="K473" s="143">
        <v>3</v>
      </c>
      <c r="L473" s="143">
        <v>3</v>
      </c>
      <c r="M473" s="143">
        <v>1</v>
      </c>
      <c r="N473" s="201">
        <v>4</v>
      </c>
      <c r="O473" s="294" t="s">
        <v>2179</v>
      </c>
      <c r="P473" s="325" t="s">
        <v>3032</v>
      </c>
      <c r="Q473" s="298"/>
      <c r="R473" s="209">
        <v>36161</v>
      </c>
      <c r="S473" s="301"/>
      <c r="T473" s="81">
        <v>1</v>
      </c>
      <c r="U473" s="78"/>
      <c r="V473" s="69"/>
      <c r="W473" s="69"/>
      <c r="X473" s="69"/>
      <c r="Y473" s="69"/>
      <c r="Z473" s="69"/>
      <c r="AA473" s="69">
        <v>1</v>
      </c>
      <c r="AB473" s="49"/>
    </row>
    <row r="474" spans="1:28" ht="15.6" customHeight="1" x14ac:dyDescent="0.2">
      <c r="A474" s="212">
        <v>472</v>
      </c>
      <c r="B474" s="159" t="str">
        <f t="shared" si="7"/>
        <v>Harveya capensis</v>
      </c>
      <c r="C474" s="160" t="s">
        <v>1807</v>
      </c>
      <c r="D474" s="72" t="s">
        <v>235</v>
      </c>
      <c r="E474" s="72" t="s">
        <v>1810</v>
      </c>
      <c r="F474" s="72" t="s">
        <v>2756</v>
      </c>
      <c r="G474" s="289" t="s">
        <v>3366</v>
      </c>
      <c r="H474" s="166" t="s">
        <v>3268</v>
      </c>
      <c r="I474" s="142">
        <v>3</v>
      </c>
      <c r="J474" s="143">
        <v>6</v>
      </c>
      <c r="K474" s="143">
        <v>3</v>
      </c>
      <c r="L474" s="143">
        <v>6</v>
      </c>
      <c r="M474" s="143">
        <v>1</v>
      </c>
      <c r="N474" s="201">
        <v>5</v>
      </c>
      <c r="O474" s="294" t="s">
        <v>2179</v>
      </c>
      <c r="P474" s="325" t="s">
        <v>3032</v>
      </c>
      <c r="Q474" s="298"/>
      <c r="R474" s="209">
        <v>36861</v>
      </c>
      <c r="S474" s="301" t="s">
        <v>2250</v>
      </c>
      <c r="T474" s="81"/>
      <c r="U474" s="78"/>
      <c r="V474" s="69"/>
      <c r="W474" s="69"/>
      <c r="X474" s="69">
        <v>1</v>
      </c>
      <c r="Y474" s="69"/>
      <c r="Z474" s="69"/>
      <c r="AA474" s="69"/>
      <c r="AB474" s="49"/>
    </row>
    <row r="475" spans="1:28" ht="15.6" customHeight="1" x14ac:dyDescent="0.2">
      <c r="A475" s="212">
        <v>473</v>
      </c>
      <c r="B475" s="159" t="str">
        <f t="shared" si="7"/>
        <v>Harveya squamosa</v>
      </c>
      <c r="C475" s="160" t="s">
        <v>1807</v>
      </c>
      <c r="D475" s="72" t="s">
        <v>236</v>
      </c>
      <c r="E475" s="72" t="s">
        <v>1810</v>
      </c>
      <c r="F475" s="72" t="s">
        <v>1811</v>
      </c>
      <c r="G475" s="289" t="s">
        <v>3367</v>
      </c>
      <c r="H475" s="166" t="s">
        <v>3268</v>
      </c>
      <c r="I475" s="142">
        <v>3</v>
      </c>
      <c r="J475" s="143">
        <v>6</v>
      </c>
      <c r="K475" s="143">
        <v>2</v>
      </c>
      <c r="L475" s="143">
        <v>1</v>
      </c>
      <c r="M475" s="143">
        <v>1</v>
      </c>
      <c r="N475" s="201">
        <v>5</v>
      </c>
      <c r="O475" s="294" t="s">
        <v>2179</v>
      </c>
      <c r="P475" s="325" t="s">
        <v>3032</v>
      </c>
      <c r="Q475" s="298" t="s">
        <v>3144</v>
      </c>
      <c r="R475" s="209">
        <v>36951</v>
      </c>
      <c r="S475" s="301"/>
      <c r="T475" s="81">
        <v>1</v>
      </c>
      <c r="U475" s="78">
        <v>1</v>
      </c>
      <c r="V475" s="69"/>
      <c r="W475" s="69"/>
      <c r="X475" s="69"/>
      <c r="Y475" s="69"/>
      <c r="Z475" s="69"/>
      <c r="AA475" s="69"/>
      <c r="AB475" s="49"/>
    </row>
    <row r="476" spans="1:28" ht="15.6" customHeight="1" x14ac:dyDescent="0.2">
      <c r="A476" s="212">
        <v>474</v>
      </c>
      <c r="B476" s="159" t="str">
        <f t="shared" si="7"/>
        <v>Harveya tubulosa</v>
      </c>
      <c r="C476" s="160" t="s">
        <v>1807</v>
      </c>
      <c r="D476" s="72" t="s">
        <v>237</v>
      </c>
      <c r="E476" s="72" t="s">
        <v>1810</v>
      </c>
      <c r="F476" s="72" t="s">
        <v>1812</v>
      </c>
      <c r="G476" s="289" t="s">
        <v>3368</v>
      </c>
      <c r="H476" s="166" t="s">
        <v>3279</v>
      </c>
      <c r="I476" s="142">
        <v>3</v>
      </c>
      <c r="J476" s="143">
        <v>5</v>
      </c>
      <c r="K476" s="143">
        <v>3</v>
      </c>
      <c r="L476" s="143">
        <v>6</v>
      </c>
      <c r="M476" s="143">
        <v>1</v>
      </c>
      <c r="N476" s="201">
        <v>5</v>
      </c>
      <c r="O476" s="294" t="s">
        <v>2179</v>
      </c>
      <c r="P476" s="325" t="s">
        <v>3032</v>
      </c>
      <c r="Q476" s="298"/>
      <c r="R476" s="209">
        <v>35612</v>
      </c>
      <c r="S476" s="301"/>
      <c r="T476" s="81">
        <v>1</v>
      </c>
      <c r="U476" s="78"/>
      <c r="V476" s="69"/>
      <c r="W476" s="69"/>
      <c r="X476" s="69">
        <v>1</v>
      </c>
      <c r="Y476" s="69"/>
      <c r="Z476" s="69"/>
      <c r="AA476" s="69"/>
      <c r="AB476" s="49"/>
    </row>
    <row r="477" spans="1:28" ht="15.6" customHeight="1" x14ac:dyDescent="0.2">
      <c r="A477" s="212">
        <v>475</v>
      </c>
      <c r="B477" s="159" t="str">
        <f t="shared" si="7"/>
        <v>Hyobanche sanguinea</v>
      </c>
      <c r="C477" s="160" t="s">
        <v>1807</v>
      </c>
      <c r="D477" s="72" t="s">
        <v>238</v>
      </c>
      <c r="E477" s="72" t="s">
        <v>1813</v>
      </c>
      <c r="F477" s="72" t="s">
        <v>1814</v>
      </c>
      <c r="G477" s="289" t="s">
        <v>3369</v>
      </c>
      <c r="H477" s="166" t="s">
        <v>3233</v>
      </c>
      <c r="I477" s="142">
        <v>3</v>
      </c>
      <c r="J477" s="143">
        <v>6</v>
      </c>
      <c r="K477" s="143">
        <v>0</v>
      </c>
      <c r="L477" s="143">
        <v>7</v>
      </c>
      <c r="M477" s="143">
        <v>0</v>
      </c>
      <c r="N477" s="201">
        <v>0</v>
      </c>
      <c r="O477" s="294" t="s">
        <v>2179</v>
      </c>
      <c r="P477" s="325" t="s">
        <v>3032</v>
      </c>
      <c r="Q477" s="298"/>
      <c r="R477" s="209">
        <v>35612</v>
      </c>
      <c r="S477" s="301"/>
      <c r="T477" s="81">
        <v>1</v>
      </c>
      <c r="U477" s="78">
        <v>1</v>
      </c>
      <c r="V477" s="69"/>
      <c r="W477" s="69"/>
      <c r="X477" s="69"/>
      <c r="Y477" s="69"/>
      <c r="Z477" s="69"/>
      <c r="AA477" s="69"/>
      <c r="AB477" s="49"/>
    </row>
    <row r="478" spans="1:28" ht="15.6" customHeight="1" x14ac:dyDescent="0.2">
      <c r="A478" s="212">
        <v>476</v>
      </c>
      <c r="B478" s="159" t="str">
        <f t="shared" si="7"/>
        <v>Melasma scabrum</v>
      </c>
      <c r="C478" s="160" t="s">
        <v>1807</v>
      </c>
      <c r="D478" s="72" t="s">
        <v>239</v>
      </c>
      <c r="E478" s="72" t="s">
        <v>1815</v>
      </c>
      <c r="F478" s="72" t="s">
        <v>1816</v>
      </c>
      <c r="G478" s="289" t="s">
        <v>3370</v>
      </c>
      <c r="H478" s="166" t="s">
        <v>3252</v>
      </c>
      <c r="I478" s="142">
        <v>3</v>
      </c>
      <c r="J478" s="143">
        <v>5</v>
      </c>
      <c r="K478" s="143">
        <v>2</v>
      </c>
      <c r="L478" s="143">
        <v>2</v>
      </c>
      <c r="M478" s="143">
        <v>1</v>
      </c>
      <c r="N478" s="201">
        <v>2</v>
      </c>
      <c r="O478" s="294" t="s">
        <v>2179</v>
      </c>
      <c r="P478" s="325" t="s">
        <v>3032</v>
      </c>
      <c r="Q478" s="298"/>
      <c r="R478" s="209">
        <v>36251</v>
      </c>
      <c r="S478" s="301"/>
      <c r="T478" s="81">
        <v>1</v>
      </c>
      <c r="U478" s="78"/>
      <c r="V478" s="69"/>
      <c r="W478" s="69"/>
      <c r="X478" s="69"/>
      <c r="Y478" s="69"/>
      <c r="Z478" s="69"/>
      <c r="AA478" s="69">
        <v>1</v>
      </c>
      <c r="AB478" s="49"/>
    </row>
    <row r="479" spans="1:28" ht="15.6" customHeight="1" x14ac:dyDescent="0.2">
      <c r="A479" s="212">
        <v>477</v>
      </c>
      <c r="B479" s="159" t="str">
        <f t="shared" si="7"/>
        <v>Orobanche ramosa</v>
      </c>
      <c r="C479" s="160" t="s">
        <v>1807</v>
      </c>
      <c r="D479" s="72" t="s">
        <v>240</v>
      </c>
      <c r="E479" s="72" t="s">
        <v>1817</v>
      </c>
      <c r="F479" s="72" t="s">
        <v>1818</v>
      </c>
      <c r="G479" s="289" t="s">
        <v>3371</v>
      </c>
      <c r="H479" s="166" t="s">
        <v>3233</v>
      </c>
      <c r="I479" s="142">
        <v>3</v>
      </c>
      <c r="J479" s="143">
        <v>6</v>
      </c>
      <c r="K479" s="143">
        <v>0</v>
      </c>
      <c r="L479" s="143">
        <v>7</v>
      </c>
      <c r="M479" s="143">
        <v>0</v>
      </c>
      <c r="N479" s="201">
        <v>0</v>
      </c>
      <c r="O479" s="294" t="s">
        <v>2179</v>
      </c>
      <c r="P479" s="325" t="s">
        <v>3032</v>
      </c>
      <c r="Q479" s="298"/>
      <c r="R479" s="209">
        <v>35612</v>
      </c>
      <c r="S479" s="301"/>
      <c r="T479" s="81">
        <v>1</v>
      </c>
      <c r="U479" s="78"/>
      <c r="V479" s="69"/>
      <c r="W479" s="69"/>
      <c r="X479" s="69"/>
      <c r="Y479" s="69">
        <v>1</v>
      </c>
      <c r="Z479" s="69"/>
      <c r="AA479" s="69"/>
      <c r="AB479" s="49"/>
    </row>
    <row r="480" spans="1:28" ht="15.6" customHeight="1" x14ac:dyDescent="0.2">
      <c r="A480" s="212">
        <v>478</v>
      </c>
      <c r="B480" s="159" t="str">
        <f t="shared" si="7"/>
        <v>Oxalis caprina</v>
      </c>
      <c r="C480" s="160" t="s">
        <v>1819</v>
      </c>
      <c r="D480" s="72" t="s">
        <v>241</v>
      </c>
      <c r="E480" s="72" t="s">
        <v>1820</v>
      </c>
      <c r="F480" s="72" t="s">
        <v>1821</v>
      </c>
      <c r="G480" s="289" t="s">
        <v>3372</v>
      </c>
      <c r="H480" s="166" t="s">
        <v>3308</v>
      </c>
      <c r="I480" s="142">
        <v>4</v>
      </c>
      <c r="J480" s="143">
        <v>6</v>
      </c>
      <c r="K480" s="143">
        <v>5</v>
      </c>
      <c r="L480" s="143">
        <v>4</v>
      </c>
      <c r="M480" s="143">
        <v>1</v>
      </c>
      <c r="N480" s="201">
        <v>4</v>
      </c>
      <c r="O480" s="294" t="s">
        <v>2163</v>
      </c>
      <c r="P480" s="325" t="s">
        <v>3032</v>
      </c>
      <c r="Q480" s="298"/>
      <c r="R480" s="209">
        <v>35886</v>
      </c>
      <c r="S480" s="301"/>
      <c r="T480" s="81">
        <v>1</v>
      </c>
      <c r="U480" s="78">
        <v>1</v>
      </c>
      <c r="V480" s="69"/>
      <c r="W480" s="69"/>
      <c r="X480" s="69">
        <v>1</v>
      </c>
      <c r="Y480" s="69"/>
      <c r="Z480" s="69"/>
      <c r="AA480" s="69"/>
      <c r="AB480" s="49"/>
    </row>
    <row r="481" spans="1:28" ht="15.6" customHeight="1" x14ac:dyDescent="0.2">
      <c r="A481" s="212">
        <v>479</v>
      </c>
      <c r="B481" s="159" t="str">
        <f t="shared" si="7"/>
        <v>Oxalis depressa</v>
      </c>
      <c r="C481" s="160" t="s">
        <v>1819</v>
      </c>
      <c r="D481" s="72"/>
      <c r="E481" s="72" t="s">
        <v>1820</v>
      </c>
      <c r="F481" s="72" t="s">
        <v>980</v>
      </c>
      <c r="G481" s="289" t="s">
        <v>3373</v>
      </c>
      <c r="H481" s="166" t="s">
        <v>3308</v>
      </c>
      <c r="I481" s="142">
        <v>4</v>
      </c>
      <c r="J481" s="143">
        <v>6</v>
      </c>
      <c r="K481" s="143">
        <v>5</v>
      </c>
      <c r="L481" s="143">
        <v>4</v>
      </c>
      <c r="M481" s="143">
        <v>1</v>
      </c>
      <c r="N481" s="201">
        <v>4</v>
      </c>
      <c r="O481" s="294" t="s">
        <v>2163</v>
      </c>
      <c r="P481" s="325" t="s">
        <v>3032</v>
      </c>
      <c r="Q481" s="298"/>
      <c r="R481" s="209">
        <v>37742</v>
      </c>
      <c r="S481" s="301"/>
      <c r="T481" s="81">
        <v>1</v>
      </c>
      <c r="U481" s="78"/>
      <c r="V481" s="69"/>
      <c r="W481" s="69"/>
      <c r="X481" s="69">
        <v>1</v>
      </c>
      <c r="Y481" s="69"/>
      <c r="Z481" s="69"/>
      <c r="AA481" s="69"/>
      <c r="AB481" s="49"/>
    </row>
    <row r="482" spans="1:28" ht="15.6" customHeight="1" x14ac:dyDescent="0.2">
      <c r="A482" s="212">
        <v>480</v>
      </c>
      <c r="B482" s="159" t="str">
        <f t="shared" si="7"/>
        <v>Oxalis glabra</v>
      </c>
      <c r="C482" s="160" t="s">
        <v>1819</v>
      </c>
      <c r="D482" s="72" t="s">
        <v>242</v>
      </c>
      <c r="E482" s="72" t="s">
        <v>1820</v>
      </c>
      <c r="F482" s="72" t="s">
        <v>1822</v>
      </c>
      <c r="G482" s="289" t="s">
        <v>3374</v>
      </c>
      <c r="H482" s="166" t="s">
        <v>3308</v>
      </c>
      <c r="I482" s="142">
        <v>4</v>
      </c>
      <c r="J482" s="143">
        <v>6</v>
      </c>
      <c r="K482" s="143">
        <v>5</v>
      </c>
      <c r="L482" s="143">
        <v>4</v>
      </c>
      <c r="M482" s="143">
        <v>1</v>
      </c>
      <c r="N482" s="201">
        <v>4</v>
      </c>
      <c r="O482" s="294" t="s">
        <v>2163</v>
      </c>
      <c r="P482" s="325" t="s">
        <v>3032</v>
      </c>
      <c r="Q482" s="298"/>
      <c r="R482" s="209">
        <v>35947</v>
      </c>
      <c r="S482" s="301"/>
      <c r="T482" s="81">
        <v>1</v>
      </c>
      <c r="U482" s="78"/>
      <c r="V482" s="69"/>
      <c r="W482" s="69"/>
      <c r="X482" s="69">
        <v>1</v>
      </c>
      <c r="Y482" s="69"/>
      <c r="Z482" s="69"/>
      <c r="AA482" s="69"/>
      <c r="AB482" s="49"/>
    </row>
    <row r="483" spans="1:28" ht="15.6" customHeight="1" x14ac:dyDescent="0.2">
      <c r="A483" s="212">
        <v>481</v>
      </c>
      <c r="B483" s="159" t="str">
        <f t="shared" si="7"/>
        <v>Oxalis lindaviana</v>
      </c>
      <c r="C483" s="160" t="s">
        <v>1819</v>
      </c>
      <c r="D483" s="72"/>
      <c r="E483" s="72" t="s">
        <v>1820</v>
      </c>
      <c r="F483" s="72" t="s">
        <v>1823</v>
      </c>
      <c r="G483" s="289" t="s">
        <v>3375</v>
      </c>
      <c r="H483" s="166" t="s">
        <v>3308</v>
      </c>
      <c r="I483" s="142">
        <v>4</v>
      </c>
      <c r="J483" s="143">
        <v>6</v>
      </c>
      <c r="K483" s="143">
        <v>5</v>
      </c>
      <c r="L483" s="143">
        <v>4</v>
      </c>
      <c r="M483" s="143">
        <v>1</v>
      </c>
      <c r="N483" s="201">
        <v>4</v>
      </c>
      <c r="O483" s="294" t="s">
        <v>2163</v>
      </c>
      <c r="P483" s="325" t="s">
        <v>3032</v>
      </c>
      <c r="Q483" s="298" t="s">
        <v>3147</v>
      </c>
      <c r="R483" s="209">
        <v>37742</v>
      </c>
      <c r="S483" s="301"/>
      <c r="T483" s="81">
        <v>1</v>
      </c>
      <c r="U483" s="78"/>
      <c r="V483" s="69"/>
      <c r="W483" s="69"/>
      <c r="X483" s="69">
        <v>1</v>
      </c>
      <c r="Y483" s="69"/>
      <c r="Z483" s="69"/>
      <c r="AA483" s="69"/>
      <c r="AB483" s="49"/>
    </row>
    <row r="484" spans="1:28" ht="15.6" customHeight="1" x14ac:dyDescent="0.2">
      <c r="A484" s="212">
        <v>482</v>
      </c>
      <c r="B484" s="159" t="str">
        <f t="shared" si="7"/>
        <v>Oxalis luteola</v>
      </c>
      <c r="C484" s="160" t="s">
        <v>1819</v>
      </c>
      <c r="D484" s="72"/>
      <c r="E484" s="72" t="s">
        <v>1820</v>
      </c>
      <c r="F484" s="72" t="s">
        <v>1824</v>
      </c>
      <c r="G484" s="289" t="s">
        <v>3376</v>
      </c>
      <c r="H484" s="166" t="s">
        <v>3308</v>
      </c>
      <c r="I484" s="142">
        <v>4</v>
      </c>
      <c r="J484" s="143">
        <v>6</v>
      </c>
      <c r="K484" s="143">
        <v>5</v>
      </c>
      <c r="L484" s="143">
        <v>4</v>
      </c>
      <c r="M484" s="143">
        <v>1</v>
      </c>
      <c r="N484" s="201">
        <v>4</v>
      </c>
      <c r="O484" s="294" t="s">
        <v>2163</v>
      </c>
      <c r="P484" s="325" t="s">
        <v>3032</v>
      </c>
      <c r="Q484" s="298" t="s">
        <v>2703</v>
      </c>
      <c r="R484" s="209">
        <v>35947</v>
      </c>
      <c r="S484" s="301"/>
      <c r="T484" s="81">
        <v>1</v>
      </c>
      <c r="U484" s="78"/>
      <c r="V484" s="69"/>
      <c r="W484" s="69"/>
      <c r="X484" s="69">
        <v>1</v>
      </c>
      <c r="Y484" s="69"/>
      <c r="Z484" s="69"/>
      <c r="AA484" s="69"/>
      <c r="AB484" s="49"/>
    </row>
    <row r="485" spans="1:28" ht="15.6" customHeight="1" x14ac:dyDescent="0.2">
      <c r="A485" s="212">
        <v>483</v>
      </c>
      <c r="B485" s="159" t="str">
        <f t="shared" si="7"/>
        <v>Oxalis obtusa</v>
      </c>
      <c r="C485" s="160" t="s">
        <v>1819</v>
      </c>
      <c r="D485" s="72"/>
      <c r="E485" s="72" t="s">
        <v>1820</v>
      </c>
      <c r="F485" s="72" t="s">
        <v>1825</v>
      </c>
      <c r="G485" s="289" t="s">
        <v>3377</v>
      </c>
      <c r="H485" s="166" t="s">
        <v>3308</v>
      </c>
      <c r="I485" s="142">
        <v>4</v>
      </c>
      <c r="J485" s="143">
        <v>6</v>
      </c>
      <c r="K485" s="143">
        <v>5</v>
      </c>
      <c r="L485" s="143">
        <v>4</v>
      </c>
      <c r="M485" s="143">
        <v>1</v>
      </c>
      <c r="N485" s="201">
        <v>4</v>
      </c>
      <c r="O485" s="294" t="s">
        <v>2163</v>
      </c>
      <c r="P485" s="325" t="s">
        <v>3032</v>
      </c>
      <c r="Q485" s="298"/>
      <c r="R485" s="209">
        <v>37316</v>
      </c>
      <c r="S485" s="301"/>
      <c r="T485" s="81">
        <v>1</v>
      </c>
      <c r="U485" s="78">
        <v>1</v>
      </c>
      <c r="V485" s="69"/>
      <c r="W485" s="69"/>
      <c r="X485" s="69"/>
      <c r="Y485" s="69"/>
      <c r="Z485" s="69"/>
      <c r="AA485" s="69"/>
      <c r="AB485" s="49"/>
    </row>
    <row r="486" spans="1:28" ht="15.6" customHeight="1" x14ac:dyDescent="0.2">
      <c r="A486" s="212">
        <v>484</v>
      </c>
      <c r="B486" s="159" t="str">
        <f t="shared" si="7"/>
        <v>Oxalis pardalis</v>
      </c>
      <c r="C486" s="160" t="s">
        <v>1819</v>
      </c>
      <c r="D486" s="72"/>
      <c r="E486" s="72" t="s">
        <v>1820</v>
      </c>
      <c r="F486" s="72" t="s">
        <v>1826</v>
      </c>
      <c r="G486" s="289" t="s">
        <v>3378</v>
      </c>
      <c r="H486" s="166" t="s">
        <v>3293</v>
      </c>
      <c r="I486" s="142">
        <v>4</v>
      </c>
      <c r="J486" s="143">
        <v>6</v>
      </c>
      <c r="K486" s="143">
        <v>4</v>
      </c>
      <c r="L486" s="143">
        <v>5</v>
      </c>
      <c r="M486" s="143">
        <v>1</v>
      </c>
      <c r="N486" s="201">
        <v>4</v>
      </c>
      <c r="O486" s="294" t="s">
        <v>2163</v>
      </c>
      <c r="P486" s="325" t="s">
        <v>3032</v>
      </c>
      <c r="Q486" s="298" t="s">
        <v>3144</v>
      </c>
      <c r="R486" s="209">
        <v>37073</v>
      </c>
      <c r="S486" s="301"/>
      <c r="T486" s="81">
        <v>1</v>
      </c>
      <c r="U486" s="78"/>
      <c r="V486" s="69"/>
      <c r="W486" s="69">
        <v>1</v>
      </c>
      <c r="X486" s="69"/>
      <c r="Y486" s="69"/>
      <c r="Z486" s="69"/>
      <c r="AA486" s="69"/>
      <c r="AB486" s="49"/>
    </row>
    <row r="487" spans="1:28" ht="15.6" customHeight="1" x14ac:dyDescent="0.2">
      <c r="A487" s="212">
        <v>485</v>
      </c>
      <c r="B487" s="159" t="str">
        <f t="shared" si="7"/>
        <v>Oxalis polyphylla</v>
      </c>
      <c r="C487" s="160" t="s">
        <v>1819</v>
      </c>
      <c r="D487" s="72" t="s">
        <v>243</v>
      </c>
      <c r="E487" s="72" t="s">
        <v>1820</v>
      </c>
      <c r="F487" s="72" t="s">
        <v>1827</v>
      </c>
      <c r="G487" s="289" t="s">
        <v>3379</v>
      </c>
      <c r="H487" s="166" t="s">
        <v>3308</v>
      </c>
      <c r="I487" s="142">
        <v>4</v>
      </c>
      <c r="J487" s="143">
        <v>6</v>
      </c>
      <c r="K487" s="143">
        <v>5</v>
      </c>
      <c r="L487" s="143">
        <v>4</v>
      </c>
      <c r="M487" s="143">
        <v>1</v>
      </c>
      <c r="N487" s="201">
        <v>4</v>
      </c>
      <c r="O487" s="294" t="s">
        <v>2163</v>
      </c>
      <c r="P487" s="325" t="s">
        <v>3032</v>
      </c>
      <c r="Q487" s="298"/>
      <c r="R487" s="209">
        <v>35855</v>
      </c>
      <c r="S487" s="301"/>
      <c r="T487" s="81">
        <v>1</v>
      </c>
      <c r="U487" s="78">
        <v>1</v>
      </c>
      <c r="V487" s="69"/>
      <c r="W487" s="69"/>
      <c r="X487" s="69"/>
      <c r="Y487" s="69"/>
      <c r="Z487" s="69"/>
      <c r="AA487" s="69"/>
      <c r="AB487" s="49"/>
    </row>
    <row r="488" spans="1:28" ht="15.6" customHeight="1" x14ac:dyDescent="0.2">
      <c r="A488" s="212">
        <v>486</v>
      </c>
      <c r="B488" s="159" t="str">
        <f t="shared" si="7"/>
        <v>Oxalis purpurea</v>
      </c>
      <c r="C488" s="160" t="s">
        <v>1819</v>
      </c>
      <c r="D488" s="72"/>
      <c r="E488" s="72" t="s">
        <v>1820</v>
      </c>
      <c r="F488" s="72" t="s">
        <v>1828</v>
      </c>
      <c r="G488" s="289" t="s">
        <v>3380</v>
      </c>
      <c r="H488" s="166" t="s">
        <v>3308</v>
      </c>
      <c r="I488" s="142">
        <v>4</v>
      </c>
      <c r="J488" s="143">
        <v>6</v>
      </c>
      <c r="K488" s="143">
        <v>5</v>
      </c>
      <c r="L488" s="143">
        <v>4</v>
      </c>
      <c r="M488" s="143">
        <v>1</v>
      </c>
      <c r="N488" s="201">
        <v>4</v>
      </c>
      <c r="O488" s="294" t="s">
        <v>2163</v>
      </c>
      <c r="P488" s="325" t="s">
        <v>3032</v>
      </c>
      <c r="Q488" s="298"/>
      <c r="R488" s="209">
        <v>35612</v>
      </c>
      <c r="S488" s="301" t="s">
        <v>2250</v>
      </c>
      <c r="T488" s="81"/>
      <c r="U488" s="78">
        <v>1</v>
      </c>
      <c r="V488" s="69"/>
      <c r="W488" s="69"/>
      <c r="X488" s="69"/>
      <c r="Y488" s="69"/>
      <c r="Z488" s="69"/>
      <c r="AA488" s="69"/>
      <c r="AB488" s="49"/>
    </row>
    <row r="489" spans="1:28" ht="15.6" customHeight="1" x14ac:dyDescent="0.2">
      <c r="A489" s="212">
        <v>487</v>
      </c>
      <c r="B489" s="159" t="str">
        <f t="shared" si="7"/>
        <v>Oxalis stellata</v>
      </c>
      <c r="C489" s="160" t="s">
        <v>1819</v>
      </c>
      <c r="D489" s="72"/>
      <c r="E489" s="72" t="s">
        <v>1820</v>
      </c>
      <c r="F489" s="72" t="s">
        <v>1829</v>
      </c>
      <c r="G489" s="289" t="s">
        <v>3381</v>
      </c>
      <c r="H489" s="166" t="s">
        <v>3308</v>
      </c>
      <c r="I489" s="142">
        <v>4</v>
      </c>
      <c r="J489" s="143">
        <v>6</v>
      </c>
      <c r="K489" s="143">
        <v>5</v>
      </c>
      <c r="L489" s="143">
        <v>4</v>
      </c>
      <c r="M489" s="143">
        <v>1</v>
      </c>
      <c r="N489" s="201">
        <v>4</v>
      </c>
      <c r="O489" s="294" t="s">
        <v>2163</v>
      </c>
      <c r="P489" s="325" t="s">
        <v>3032</v>
      </c>
      <c r="Q489" s="298" t="s">
        <v>3144</v>
      </c>
      <c r="R489" s="209">
        <v>37316</v>
      </c>
      <c r="S489" s="301"/>
      <c r="T489" s="81">
        <v>1</v>
      </c>
      <c r="U489" s="78"/>
      <c r="V489" s="69"/>
      <c r="W489" s="69">
        <v>1</v>
      </c>
      <c r="X489" s="69"/>
      <c r="Y489" s="69"/>
      <c r="Z489" s="69"/>
      <c r="AA489" s="69"/>
      <c r="AB489" s="49"/>
    </row>
    <row r="490" spans="1:28" ht="15.6" customHeight="1" x14ac:dyDescent="0.2">
      <c r="A490" s="212">
        <v>488</v>
      </c>
      <c r="B490" s="159" t="str">
        <f t="shared" si="7"/>
        <v>Penaea mucronata</v>
      </c>
      <c r="C490" s="160" t="s">
        <v>1830</v>
      </c>
      <c r="D490" s="72"/>
      <c r="E490" s="72" t="s">
        <v>1831</v>
      </c>
      <c r="F490" s="72" t="s">
        <v>1832</v>
      </c>
      <c r="G490" s="289" t="s">
        <v>3382</v>
      </c>
      <c r="H490" s="166" t="s">
        <v>3248</v>
      </c>
      <c r="I490" s="142">
        <v>2</v>
      </c>
      <c r="J490" s="143">
        <v>5</v>
      </c>
      <c r="K490" s="143">
        <v>2</v>
      </c>
      <c r="L490" s="143">
        <v>1</v>
      </c>
      <c r="M490" s="143">
        <v>2</v>
      </c>
      <c r="N490" s="201">
        <v>5</v>
      </c>
      <c r="O490" s="294" t="s">
        <v>2914</v>
      </c>
      <c r="P490" s="325" t="s">
        <v>3032</v>
      </c>
      <c r="Q490" s="298"/>
      <c r="R490" s="209">
        <v>35612</v>
      </c>
      <c r="S490" s="301"/>
      <c r="T490" s="81">
        <v>1</v>
      </c>
      <c r="U490" s="78"/>
      <c r="V490" s="69"/>
      <c r="W490" s="69"/>
      <c r="X490" s="69">
        <v>1</v>
      </c>
      <c r="Y490" s="69"/>
      <c r="Z490" s="69"/>
      <c r="AA490" s="69"/>
      <c r="AB490" s="49"/>
    </row>
    <row r="491" spans="1:28" ht="15.6" customHeight="1" x14ac:dyDescent="0.2">
      <c r="A491" s="212">
        <v>489</v>
      </c>
      <c r="B491" s="159" t="str">
        <f t="shared" si="7"/>
        <v>Limonium scabrum</v>
      </c>
      <c r="C491" s="160" t="s">
        <v>1833</v>
      </c>
      <c r="D491" s="72" t="s">
        <v>244</v>
      </c>
      <c r="E491" s="72" t="s">
        <v>1834</v>
      </c>
      <c r="F491" s="72" t="s">
        <v>1816</v>
      </c>
      <c r="G491" s="289" t="s">
        <v>3383</v>
      </c>
      <c r="H491" s="166" t="s">
        <v>3241</v>
      </c>
      <c r="I491" s="142">
        <v>3</v>
      </c>
      <c r="J491" s="143">
        <v>6</v>
      </c>
      <c r="K491" s="143">
        <v>5</v>
      </c>
      <c r="L491" s="143">
        <v>2</v>
      </c>
      <c r="M491" s="143">
        <v>1</v>
      </c>
      <c r="N491" s="201">
        <v>3</v>
      </c>
      <c r="O491" s="294" t="s">
        <v>2910</v>
      </c>
      <c r="P491" s="325" t="s">
        <v>3032</v>
      </c>
      <c r="Q491" s="298"/>
      <c r="R491" s="209">
        <v>35612</v>
      </c>
      <c r="S491" s="301"/>
      <c r="T491" s="81">
        <v>1</v>
      </c>
      <c r="U491" s="78">
        <v>1</v>
      </c>
      <c r="V491" s="69"/>
      <c r="W491" s="69"/>
      <c r="X491" s="69">
        <v>1</v>
      </c>
      <c r="Y491" s="69"/>
      <c r="Z491" s="69"/>
      <c r="AA491" s="69"/>
      <c r="AB491" s="49"/>
    </row>
    <row r="492" spans="1:28" ht="15.6" customHeight="1" x14ac:dyDescent="0.2">
      <c r="A492" s="212">
        <v>490</v>
      </c>
      <c r="B492" s="159" t="str">
        <f t="shared" si="7"/>
        <v>Brachypodium flexum</v>
      </c>
      <c r="C492" s="160" t="s">
        <v>2595</v>
      </c>
      <c r="D492" s="72" t="s">
        <v>245</v>
      </c>
      <c r="E492" s="72" t="s">
        <v>1836</v>
      </c>
      <c r="F492" s="72" t="s">
        <v>1837</v>
      </c>
      <c r="G492" s="289" t="s">
        <v>3384</v>
      </c>
      <c r="H492" s="166" t="s">
        <v>3285</v>
      </c>
      <c r="I492" s="142">
        <v>5</v>
      </c>
      <c r="J492" s="143">
        <v>5</v>
      </c>
      <c r="K492" s="143">
        <v>4</v>
      </c>
      <c r="L492" s="143">
        <v>3</v>
      </c>
      <c r="M492" s="143">
        <v>1</v>
      </c>
      <c r="N492" s="201">
        <v>1</v>
      </c>
      <c r="O492" s="294" t="s">
        <v>2176</v>
      </c>
      <c r="P492" s="325" t="s">
        <v>3032</v>
      </c>
      <c r="Q492" s="298"/>
      <c r="R492" s="209">
        <v>37257</v>
      </c>
      <c r="S492" s="301"/>
      <c r="T492" s="81">
        <v>1</v>
      </c>
      <c r="U492" s="80"/>
      <c r="V492" s="69"/>
      <c r="W492" s="69"/>
      <c r="X492" s="69"/>
      <c r="Y492" s="69"/>
      <c r="Z492" s="69"/>
      <c r="AA492" s="69"/>
      <c r="AB492" s="49"/>
    </row>
    <row r="493" spans="1:28" ht="15.6" customHeight="1" x14ac:dyDescent="0.2">
      <c r="A493" s="212">
        <v>491</v>
      </c>
      <c r="B493" s="159" t="str">
        <f t="shared" si="7"/>
        <v>Cymbopogon marginatus</v>
      </c>
      <c r="C493" s="160" t="s">
        <v>2595</v>
      </c>
      <c r="D493" s="72" t="s">
        <v>246</v>
      </c>
      <c r="E493" s="72" t="s">
        <v>1838</v>
      </c>
      <c r="F493" s="72" t="s">
        <v>1839</v>
      </c>
      <c r="G493" s="289" t="s">
        <v>3385</v>
      </c>
      <c r="H493" s="166" t="s">
        <v>3285</v>
      </c>
      <c r="I493" s="142">
        <v>5</v>
      </c>
      <c r="J493" s="143">
        <v>5</v>
      </c>
      <c r="K493" s="143">
        <v>4</v>
      </c>
      <c r="L493" s="143">
        <v>3</v>
      </c>
      <c r="M493" s="143">
        <v>1</v>
      </c>
      <c r="N493" s="201">
        <v>1</v>
      </c>
      <c r="O493" s="294" t="s">
        <v>2176</v>
      </c>
      <c r="P493" s="325" t="s">
        <v>3032</v>
      </c>
      <c r="Q493" s="298"/>
      <c r="R493" s="209">
        <v>35612</v>
      </c>
      <c r="S493" s="301"/>
      <c r="T493" s="81">
        <v>1</v>
      </c>
      <c r="U493" s="78"/>
      <c r="V493" s="69">
        <v>1</v>
      </c>
      <c r="W493" s="69">
        <v>1</v>
      </c>
      <c r="X493" s="69">
        <v>1</v>
      </c>
      <c r="Y493" s="69"/>
      <c r="Z493" s="69"/>
      <c r="AA493" s="69"/>
      <c r="AB493" s="49"/>
    </row>
    <row r="494" spans="1:28" ht="15.6" customHeight="1" x14ac:dyDescent="0.2">
      <c r="A494" s="212">
        <v>492</v>
      </c>
      <c r="B494" s="159" t="str">
        <f t="shared" si="7"/>
        <v>Ehrharta calycina</v>
      </c>
      <c r="C494" s="160" t="s">
        <v>2595</v>
      </c>
      <c r="D494" s="72" t="s">
        <v>247</v>
      </c>
      <c r="E494" s="72" t="s">
        <v>1840</v>
      </c>
      <c r="F494" s="72" t="s">
        <v>1841</v>
      </c>
      <c r="G494" s="289" t="s">
        <v>3386</v>
      </c>
      <c r="H494" s="166" t="s">
        <v>3285</v>
      </c>
      <c r="I494" s="142">
        <v>5</v>
      </c>
      <c r="J494" s="143">
        <v>5</v>
      </c>
      <c r="K494" s="143">
        <v>4</v>
      </c>
      <c r="L494" s="143">
        <v>3</v>
      </c>
      <c r="M494" s="143">
        <v>1</v>
      </c>
      <c r="N494" s="201">
        <v>1</v>
      </c>
      <c r="O494" s="294" t="s">
        <v>2176</v>
      </c>
      <c r="P494" s="325" t="s">
        <v>3032</v>
      </c>
      <c r="Q494" s="298"/>
      <c r="R494" s="209">
        <v>36281</v>
      </c>
      <c r="S494" s="301"/>
      <c r="T494" s="81">
        <v>1</v>
      </c>
      <c r="U494" s="78">
        <v>1</v>
      </c>
      <c r="V494" s="69"/>
      <c r="W494" s="69">
        <v>1</v>
      </c>
      <c r="X494" s="69">
        <v>1</v>
      </c>
      <c r="Y494" s="69"/>
      <c r="Z494" s="69"/>
      <c r="AA494" s="69"/>
      <c r="AB494" s="49"/>
    </row>
    <row r="495" spans="1:28" ht="15.6" customHeight="1" x14ac:dyDescent="0.2">
      <c r="A495" s="212">
        <v>493</v>
      </c>
      <c r="B495" s="159" t="str">
        <f t="shared" si="7"/>
        <v>Ehrharta erecta</v>
      </c>
      <c r="C495" s="160" t="s">
        <v>2595</v>
      </c>
      <c r="D495" s="72"/>
      <c r="E495" s="72" t="s">
        <v>1840</v>
      </c>
      <c r="F495" s="72" t="s">
        <v>1842</v>
      </c>
      <c r="G495" s="289" t="s">
        <v>3387</v>
      </c>
      <c r="H495" s="166" t="s">
        <v>3285</v>
      </c>
      <c r="I495" s="142">
        <v>5</v>
      </c>
      <c r="J495" s="143">
        <v>5</v>
      </c>
      <c r="K495" s="143">
        <v>4</v>
      </c>
      <c r="L495" s="143">
        <v>3</v>
      </c>
      <c r="M495" s="143">
        <v>1</v>
      </c>
      <c r="N495" s="201">
        <v>1</v>
      </c>
      <c r="O495" s="294" t="s">
        <v>2176</v>
      </c>
      <c r="P495" s="325" t="s">
        <v>2170</v>
      </c>
      <c r="Q495" s="298"/>
      <c r="R495" s="209">
        <v>35612</v>
      </c>
      <c r="S495" s="301"/>
      <c r="T495" s="81">
        <v>1</v>
      </c>
      <c r="U495" s="78"/>
      <c r="V495" s="69"/>
      <c r="W495" s="69"/>
      <c r="X495" s="69"/>
      <c r="Y495" s="69">
        <v>1</v>
      </c>
      <c r="Z495" s="69">
        <v>1</v>
      </c>
      <c r="AA495" s="69"/>
      <c r="AB495" s="49"/>
    </row>
    <row r="496" spans="1:28" ht="15.6" customHeight="1" x14ac:dyDescent="0.2">
      <c r="A496" s="212">
        <v>494</v>
      </c>
      <c r="B496" s="159" t="str">
        <f t="shared" si="7"/>
        <v>Ehrharta rehmannii ssp. subspicata</v>
      </c>
      <c r="C496" s="160" t="s">
        <v>2595</v>
      </c>
      <c r="D496" s="72"/>
      <c r="E496" s="72" t="s">
        <v>1840</v>
      </c>
      <c r="F496" s="72" t="s">
        <v>474</v>
      </c>
      <c r="G496" s="289" t="s">
        <v>3426</v>
      </c>
      <c r="H496" s="166" t="s">
        <v>3285</v>
      </c>
      <c r="I496" s="142">
        <v>5</v>
      </c>
      <c r="J496" s="143">
        <v>5</v>
      </c>
      <c r="K496" s="143">
        <v>4</v>
      </c>
      <c r="L496" s="143">
        <v>3</v>
      </c>
      <c r="M496" s="143">
        <v>1</v>
      </c>
      <c r="N496" s="201">
        <v>1</v>
      </c>
      <c r="O496" s="294" t="s">
        <v>2176</v>
      </c>
      <c r="P496" s="325" t="s">
        <v>3032</v>
      </c>
      <c r="Q496" s="298"/>
      <c r="R496" s="209">
        <v>36861</v>
      </c>
      <c r="S496" s="301"/>
      <c r="T496" s="81">
        <v>1</v>
      </c>
      <c r="U496" s="78"/>
      <c r="V496" s="69"/>
      <c r="W496" s="69"/>
      <c r="X496" s="69">
        <v>1</v>
      </c>
      <c r="Y496" s="69"/>
      <c r="Z496" s="69"/>
      <c r="AA496" s="69"/>
      <c r="AB496" s="49"/>
    </row>
    <row r="497" spans="1:28" ht="15.6" customHeight="1" x14ac:dyDescent="0.2">
      <c r="A497" s="212">
        <v>495</v>
      </c>
      <c r="B497" s="159" t="str">
        <f t="shared" si="7"/>
        <v>Ehrharta villosa</v>
      </c>
      <c r="C497" s="160" t="s">
        <v>2595</v>
      </c>
      <c r="D497" s="72" t="s">
        <v>248</v>
      </c>
      <c r="E497" s="72" t="s">
        <v>1840</v>
      </c>
      <c r="F497" s="72" t="s">
        <v>2784</v>
      </c>
      <c r="G497" s="289" t="s">
        <v>3427</v>
      </c>
      <c r="H497" s="166" t="s">
        <v>3286</v>
      </c>
      <c r="I497" s="142">
        <v>5</v>
      </c>
      <c r="J497" s="143">
        <v>4</v>
      </c>
      <c r="K497" s="143">
        <v>4</v>
      </c>
      <c r="L497" s="143">
        <v>3</v>
      </c>
      <c r="M497" s="143">
        <v>1</v>
      </c>
      <c r="N497" s="201">
        <v>1</v>
      </c>
      <c r="O497" s="294" t="s">
        <v>2176</v>
      </c>
      <c r="P497" s="325" t="s">
        <v>3032</v>
      </c>
      <c r="Q497" s="298"/>
      <c r="R497" s="209">
        <v>35612</v>
      </c>
      <c r="S497" s="301"/>
      <c r="T497" s="81">
        <v>1</v>
      </c>
      <c r="U497" s="78">
        <v>1</v>
      </c>
      <c r="V497" s="69"/>
      <c r="W497" s="69"/>
      <c r="X497" s="69">
        <v>1</v>
      </c>
      <c r="Y497" s="69"/>
      <c r="Z497" s="69"/>
      <c r="AA497" s="69"/>
      <c r="AB497" s="49"/>
    </row>
    <row r="498" spans="1:28" ht="15.6" customHeight="1" x14ac:dyDescent="0.2">
      <c r="A498" s="212">
        <v>496</v>
      </c>
      <c r="B498" s="159" t="str">
        <f t="shared" si="7"/>
        <v>Eragrostis curvula</v>
      </c>
      <c r="C498" s="160" t="s">
        <v>2595</v>
      </c>
      <c r="D498" s="72" t="s">
        <v>249</v>
      </c>
      <c r="E498" s="72" t="s">
        <v>1844</v>
      </c>
      <c r="F498" s="72" t="s">
        <v>2156</v>
      </c>
      <c r="G498" s="289" t="s">
        <v>485</v>
      </c>
      <c r="H498" s="166" t="s">
        <v>3285</v>
      </c>
      <c r="I498" s="142">
        <v>5</v>
      </c>
      <c r="J498" s="143">
        <v>5</v>
      </c>
      <c r="K498" s="143">
        <v>4</v>
      </c>
      <c r="L498" s="143">
        <v>3</v>
      </c>
      <c r="M498" s="143">
        <v>1</v>
      </c>
      <c r="N498" s="201">
        <v>1</v>
      </c>
      <c r="O498" s="294" t="s">
        <v>2176</v>
      </c>
      <c r="P498" s="325" t="s">
        <v>3032</v>
      </c>
      <c r="Q498" s="298"/>
      <c r="R498" s="209">
        <v>35612</v>
      </c>
      <c r="S498" s="301"/>
      <c r="T498" s="81">
        <v>1</v>
      </c>
      <c r="U498" s="78">
        <v>1</v>
      </c>
      <c r="V498" s="69"/>
      <c r="W498" s="69">
        <v>1</v>
      </c>
      <c r="X498" s="69">
        <v>1</v>
      </c>
      <c r="Y498" s="69"/>
      <c r="Z498" s="69"/>
      <c r="AA498" s="69"/>
      <c r="AB498" s="49"/>
    </row>
    <row r="499" spans="1:28" ht="15.6" customHeight="1" x14ac:dyDescent="0.2">
      <c r="A499" s="212">
        <v>497</v>
      </c>
      <c r="B499" s="159" t="str">
        <f t="shared" si="7"/>
        <v>Festuca  scabra</v>
      </c>
      <c r="C499" s="160" t="s">
        <v>2595</v>
      </c>
      <c r="D499" s="72" t="s">
        <v>250</v>
      </c>
      <c r="E499" s="72" t="s">
        <v>1845</v>
      </c>
      <c r="F499" s="72" t="s">
        <v>786</v>
      </c>
      <c r="G499" s="289" t="s">
        <v>3428</v>
      </c>
      <c r="H499" s="166" t="s">
        <v>3285</v>
      </c>
      <c r="I499" s="142">
        <v>5</v>
      </c>
      <c r="J499" s="143">
        <v>5</v>
      </c>
      <c r="K499" s="143">
        <v>4</v>
      </c>
      <c r="L499" s="143">
        <v>3</v>
      </c>
      <c r="M499" s="143">
        <v>1</v>
      </c>
      <c r="N499" s="201">
        <v>1</v>
      </c>
      <c r="O499" s="294" t="s">
        <v>2176</v>
      </c>
      <c r="P499" s="325" t="s">
        <v>3032</v>
      </c>
      <c r="Q499" s="298"/>
      <c r="R499" s="209">
        <v>36892</v>
      </c>
      <c r="S499" s="301"/>
      <c r="T499" s="81">
        <v>1</v>
      </c>
      <c r="U499" s="78">
        <v>1</v>
      </c>
      <c r="V499" s="69"/>
      <c r="W499" s="69"/>
      <c r="X499" s="69"/>
      <c r="Y499" s="69"/>
      <c r="Z499" s="69"/>
      <c r="AA499" s="69"/>
      <c r="AB499" s="49"/>
    </row>
    <row r="500" spans="1:28" ht="15.6" customHeight="1" x14ac:dyDescent="0.2">
      <c r="A500" s="212">
        <v>498</v>
      </c>
      <c r="B500" s="159" t="str">
        <f t="shared" si="7"/>
        <v>Helictotrichon capense</v>
      </c>
      <c r="C500" s="160" t="s">
        <v>2595</v>
      </c>
      <c r="D500" s="72"/>
      <c r="E500" s="72" t="s">
        <v>1846</v>
      </c>
      <c r="F500" s="72" t="s">
        <v>945</v>
      </c>
      <c r="G500" s="289" t="s">
        <v>3429</v>
      </c>
      <c r="H500" s="166" t="s">
        <v>3285</v>
      </c>
      <c r="I500" s="142">
        <v>5</v>
      </c>
      <c r="J500" s="143">
        <v>5</v>
      </c>
      <c r="K500" s="143">
        <v>4</v>
      </c>
      <c r="L500" s="143">
        <v>3</v>
      </c>
      <c r="M500" s="143">
        <v>1</v>
      </c>
      <c r="N500" s="201">
        <v>1</v>
      </c>
      <c r="O500" s="294" t="s">
        <v>2176</v>
      </c>
      <c r="P500" s="325" t="s">
        <v>3032</v>
      </c>
      <c r="Q500" s="298"/>
      <c r="R500" s="209">
        <v>35886</v>
      </c>
      <c r="S500" s="301"/>
      <c r="T500" s="81">
        <v>1</v>
      </c>
      <c r="U500" s="78">
        <v>1</v>
      </c>
      <c r="V500" s="69"/>
      <c r="W500" s="69"/>
      <c r="X500" s="69"/>
      <c r="Y500" s="69"/>
      <c r="Z500" s="69"/>
      <c r="AA500" s="69"/>
      <c r="AB500" s="49"/>
    </row>
    <row r="501" spans="1:28" ht="15.6" customHeight="1" x14ac:dyDescent="0.2">
      <c r="A501" s="212">
        <v>499</v>
      </c>
      <c r="B501" s="159" t="str">
        <f t="shared" si="7"/>
        <v>Koeleria capensis</v>
      </c>
      <c r="C501" s="160" t="s">
        <v>2595</v>
      </c>
      <c r="D501" s="72" t="s">
        <v>251</v>
      </c>
      <c r="E501" s="72" t="s">
        <v>1847</v>
      </c>
      <c r="F501" s="72" t="s">
        <v>2756</v>
      </c>
      <c r="G501" s="289" t="s">
        <v>3430</v>
      </c>
      <c r="H501" s="166" t="s">
        <v>3285</v>
      </c>
      <c r="I501" s="142">
        <v>5</v>
      </c>
      <c r="J501" s="143">
        <v>5</v>
      </c>
      <c r="K501" s="143">
        <v>4</v>
      </c>
      <c r="L501" s="143">
        <v>3</v>
      </c>
      <c r="M501" s="143">
        <v>1</v>
      </c>
      <c r="N501" s="201">
        <v>1</v>
      </c>
      <c r="O501" s="294" t="s">
        <v>2176</v>
      </c>
      <c r="P501" s="325" t="s">
        <v>3032</v>
      </c>
      <c r="Q501" s="298"/>
      <c r="R501" s="209">
        <v>35612</v>
      </c>
      <c r="S501" s="301"/>
      <c r="T501" s="81">
        <v>1</v>
      </c>
      <c r="U501" s="78">
        <v>1</v>
      </c>
      <c r="V501" s="69"/>
      <c r="W501" s="69"/>
      <c r="X501" s="69"/>
      <c r="Y501" s="69"/>
      <c r="Z501" s="69"/>
      <c r="AA501" s="69"/>
      <c r="AB501" s="49"/>
    </row>
    <row r="502" spans="1:28" ht="15.6" customHeight="1" x14ac:dyDescent="0.2">
      <c r="A502" s="212">
        <v>500</v>
      </c>
      <c r="B502" s="159" t="str">
        <f t="shared" si="7"/>
        <v>Melica racemosa</v>
      </c>
      <c r="C502" s="160" t="s">
        <v>2595</v>
      </c>
      <c r="D502" s="72" t="s">
        <v>252</v>
      </c>
      <c r="E502" s="72" t="s">
        <v>1848</v>
      </c>
      <c r="F502" s="72" t="s">
        <v>1031</v>
      </c>
      <c r="G502" s="289" t="s">
        <v>3431</v>
      </c>
      <c r="H502" s="166" t="s">
        <v>3285</v>
      </c>
      <c r="I502" s="142">
        <v>5</v>
      </c>
      <c r="J502" s="143">
        <v>5</v>
      </c>
      <c r="K502" s="143">
        <v>4</v>
      </c>
      <c r="L502" s="143">
        <v>3</v>
      </c>
      <c r="M502" s="143">
        <v>1</v>
      </c>
      <c r="N502" s="201">
        <v>1</v>
      </c>
      <c r="O502" s="294" t="s">
        <v>2176</v>
      </c>
      <c r="P502" s="325" t="s">
        <v>3032</v>
      </c>
      <c r="Q502" s="298"/>
      <c r="R502" s="209">
        <v>35612</v>
      </c>
      <c r="S502" s="301"/>
      <c r="T502" s="81">
        <v>1</v>
      </c>
      <c r="U502" s="78"/>
      <c r="V502" s="69"/>
      <c r="W502" s="69"/>
      <c r="X502" s="69"/>
      <c r="Y502" s="69">
        <v>1</v>
      </c>
      <c r="Z502" s="69">
        <v>1</v>
      </c>
      <c r="AA502" s="69"/>
      <c r="AB502" s="49"/>
    </row>
    <row r="503" spans="1:28" ht="15.6" customHeight="1" x14ac:dyDescent="0.2">
      <c r="A503" s="212">
        <v>501</v>
      </c>
      <c r="B503" s="159" t="str">
        <f t="shared" si="7"/>
        <v>Pentaschistis barbata</v>
      </c>
      <c r="C503" s="160" t="s">
        <v>2595</v>
      </c>
      <c r="D503" s="72"/>
      <c r="E503" s="72" t="s">
        <v>1849</v>
      </c>
      <c r="F503" s="72" t="s">
        <v>1850</v>
      </c>
      <c r="G503" s="289" t="s">
        <v>3432</v>
      </c>
      <c r="H503" s="166" t="s">
        <v>3285</v>
      </c>
      <c r="I503" s="142">
        <v>5</v>
      </c>
      <c r="J503" s="143">
        <v>5</v>
      </c>
      <c r="K503" s="143">
        <v>4</v>
      </c>
      <c r="L503" s="143">
        <v>3</v>
      </c>
      <c r="M503" s="143">
        <v>1</v>
      </c>
      <c r="N503" s="201">
        <v>1</v>
      </c>
      <c r="O503" s="294" t="s">
        <v>2176</v>
      </c>
      <c r="P503" s="325" t="s">
        <v>3032</v>
      </c>
      <c r="Q503" s="298" t="s">
        <v>3147</v>
      </c>
      <c r="R503" s="209">
        <v>36892</v>
      </c>
      <c r="S503" s="301"/>
      <c r="T503" s="81">
        <v>1</v>
      </c>
      <c r="U503" s="78">
        <v>1</v>
      </c>
      <c r="V503" s="69"/>
      <c r="W503" s="69"/>
      <c r="X503" s="69"/>
      <c r="Y503" s="69"/>
      <c r="Z503" s="69"/>
      <c r="AA503" s="69"/>
      <c r="AB503" s="49"/>
    </row>
    <row r="504" spans="1:28" ht="15.6" customHeight="1" x14ac:dyDescent="0.2">
      <c r="A504" s="212">
        <v>502</v>
      </c>
      <c r="B504" s="159" t="str">
        <f t="shared" si="7"/>
        <v>Pentaschistis colorata</v>
      </c>
      <c r="C504" s="160" t="s">
        <v>2595</v>
      </c>
      <c r="D504" s="72"/>
      <c r="E504" s="72" t="s">
        <v>1849</v>
      </c>
      <c r="F504" s="72" t="s">
        <v>1851</v>
      </c>
      <c r="G504" s="289" t="s">
        <v>3433</v>
      </c>
      <c r="H504" s="166" t="s">
        <v>3285</v>
      </c>
      <c r="I504" s="142">
        <v>5</v>
      </c>
      <c r="J504" s="143">
        <v>5</v>
      </c>
      <c r="K504" s="143">
        <v>4</v>
      </c>
      <c r="L504" s="143">
        <v>3</v>
      </c>
      <c r="M504" s="143">
        <v>1</v>
      </c>
      <c r="N504" s="201">
        <v>1</v>
      </c>
      <c r="O504" s="294" t="s">
        <v>2176</v>
      </c>
      <c r="P504" s="325" t="s">
        <v>3032</v>
      </c>
      <c r="Q504" s="298"/>
      <c r="R504" s="209">
        <v>35612</v>
      </c>
      <c r="S504" s="301"/>
      <c r="T504" s="81">
        <v>1</v>
      </c>
      <c r="U504" s="78">
        <v>1</v>
      </c>
      <c r="V504" s="69">
        <v>1</v>
      </c>
      <c r="W504" s="69">
        <v>1</v>
      </c>
      <c r="X504" s="69"/>
      <c r="Y504" s="69"/>
      <c r="Z504" s="69"/>
      <c r="AA504" s="69"/>
      <c r="AB504" s="49"/>
    </row>
    <row r="505" spans="1:28" ht="15.6" customHeight="1" x14ac:dyDescent="0.2">
      <c r="A505" s="212">
        <v>503</v>
      </c>
      <c r="B505" s="159" t="str">
        <f t="shared" si="7"/>
        <v>Pentaschistis pallida</v>
      </c>
      <c r="C505" s="160" t="s">
        <v>2595</v>
      </c>
      <c r="D505" s="72"/>
      <c r="E505" s="72" t="s">
        <v>1849</v>
      </c>
      <c r="F505" s="72" t="s">
        <v>1852</v>
      </c>
      <c r="G505" s="289" t="s">
        <v>3434</v>
      </c>
      <c r="H505" s="166" t="s">
        <v>3284</v>
      </c>
      <c r="I505" s="142">
        <v>5</v>
      </c>
      <c r="J505" s="143">
        <v>6</v>
      </c>
      <c r="K505" s="143">
        <v>4</v>
      </c>
      <c r="L505" s="143">
        <v>3</v>
      </c>
      <c r="M505" s="143">
        <v>1</v>
      </c>
      <c r="N505" s="201">
        <v>1</v>
      </c>
      <c r="O505" s="294" t="s">
        <v>2176</v>
      </c>
      <c r="P505" s="325" t="s">
        <v>3032</v>
      </c>
      <c r="Q505" s="298" t="s">
        <v>3144</v>
      </c>
      <c r="R505" s="209">
        <v>36281</v>
      </c>
      <c r="S505" s="301"/>
      <c r="T505" s="81">
        <v>1</v>
      </c>
      <c r="U505" s="78">
        <v>1</v>
      </c>
      <c r="V505" s="69"/>
      <c r="W505" s="69"/>
      <c r="X505" s="69"/>
      <c r="Y505" s="69"/>
      <c r="Z505" s="69"/>
      <c r="AA505" s="69"/>
      <c r="AB505" s="49"/>
    </row>
    <row r="506" spans="1:28" ht="15.6" customHeight="1" x14ac:dyDescent="0.2">
      <c r="A506" s="212">
        <v>504</v>
      </c>
      <c r="B506" s="159" t="str">
        <f t="shared" si="7"/>
        <v>Pseudopentameris macrantha</v>
      </c>
      <c r="C506" s="160" t="s">
        <v>2595</v>
      </c>
      <c r="D506" s="72"/>
      <c r="E506" s="72" t="s">
        <v>1938</v>
      </c>
      <c r="F506" s="72" t="s">
        <v>1939</v>
      </c>
      <c r="G506" s="289" t="s">
        <v>3435</v>
      </c>
      <c r="H506" s="166" t="s">
        <v>3286</v>
      </c>
      <c r="I506" s="142">
        <v>5</v>
      </c>
      <c r="J506" s="143">
        <v>4</v>
      </c>
      <c r="K506" s="143">
        <v>4</v>
      </c>
      <c r="L506" s="143">
        <v>3</v>
      </c>
      <c r="M506" s="143">
        <v>1</v>
      </c>
      <c r="N506" s="201">
        <v>1</v>
      </c>
      <c r="O506" s="294" t="s">
        <v>2176</v>
      </c>
      <c r="P506" s="325" t="s">
        <v>3032</v>
      </c>
      <c r="Q506" s="298"/>
      <c r="R506" s="209">
        <v>35612</v>
      </c>
      <c r="S506" s="301"/>
      <c r="T506" s="81">
        <v>1</v>
      </c>
      <c r="U506" s="78"/>
      <c r="V506" s="69">
        <v>1</v>
      </c>
      <c r="W506" s="69"/>
      <c r="X506" s="69">
        <v>1</v>
      </c>
      <c r="Y506" s="69"/>
      <c r="Z506" s="69"/>
      <c r="AA506" s="69"/>
      <c r="AB506" s="49"/>
    </row>
    <row r="507" spans="1:28" ht="15.6" customHeight="1" x14ac:dyDescent="0.2">
      <c r="A507" s="212">
        <v>505</v>
      </c>
      <c r="B507" s="159" t="str">
        <f t="shared" si="7"/>
        <v>Sporobolus africanus</v>
      </c>
      <c r="C507" s="160" t="s">
        <v>2595</v>
      </c>
      <c r="D507" s="72"/>
      <c r="E507" s="72" t="s">
        <v>1940</v>
      </c>
      <c r="F507" s="72" t="s">
        <v>2728</v>
      </c>
      <c r="G507" s="289" t="s">
        <v>3436</v>
      </c>
      <c r="H507" s="166" t="s">
        <v>3285</v>
      </c>
      <c r="I507" s="142">
        <v>5</v>
      </c>
      <c r="J507" s="143">
        <v>5</v>
      </c>
      <c r="K507" s="143">
        <v>4</v>
      </c>
      <c r="L507" s="143">
        <v>3</v>
      </c>
      <c r="M507" s="143">
        <v>1</v>
      </c>
      <c r="N507" s="201">
        <v>1</v>
      </c>
      <c r="O507" s="294" t="s">
        <v>2176</v>
      </c>
      <c r="P507" s="325" t="s">
        <v>3032</v>
      </c>
      <c r="Q507" s="298"/>
      <c r="R507" s="209">
        <v>35947</v>
      </c>
      <c r="S507" s="301"/>
      <c r="T507" s="81">
        <v>1</v>
      </c>
      <c r="U507" s="78"/>
      <c r="V507" s="69"/>
      <c r="W507" s="69"/>
      <c r="X507" s="69"/>
      <c r="Y507" s="69">
        <v>1</v>
      </c>
      <c r="Z507" s="69"/>
      <c r="AA507" s="69"/>
      <c r="AB507" s="49"/>
    </row>
    <row r="508" spans="1:28" ht="15.6" customHeight="1" x14ac:dyDescent="0.2">
      <c r="A508" s="212">
        <v>506</v>
      </c>
      <c r="B508" s="159" t="str">
        <f t="shared" si="7"/>
        <v>Stenotaphrum secundatum</v>
      </c>
      <c r="C508" s="160" t="s">
        <v>2595</v>
      </c>
      <c r="D508" s="72" t="s">
        <v>253</v>
      </c>
      <c r="E508" s="72" t="s">
        <v>1941</v>
      </c>
      <c r="F508" s="72" t="s">
        <v>1942</v>
      </c>
      <c r="G508" s="289" t="s">
        <v>3437</v>
      </c>
      <c r="H508" s="166" t="s">
        <v>3284</v>
      </c>
      <c r="I508" s="142">
        <v>5</v>
      </c>
      <c r="J508" s="143">
        <v>6</v>
      </c>
      <c r="K508" s="143">
        <v>4</v>
      </c>
      <c r="L508" s="143">
        <v>3</v>
      </c>
      <c r="M508" s="143">
        <v>1</v>
      </c>
      <c r="N508" s="201">
        <v>1</v>
      </c>
      <c r="O508" s="294" t="s">
        <v>2176</v>
      </c>
      <c r="P508" s="325" t="s">
        <v>3032</v>
      </c>
      <c r="Q508" s="298"/>
      <c r="R508" s="209">
        <v>35612</v>
      </c>
      <c r="S508" s="301" t="s">
        <v>2250</v>
      </c>
      <c r="T508" s="81"/>
      <c r="U508" s="78">
        <v>1</v>
      </c>
      <c r="V508" s="69"/>
      <c r="W508" s="69"/>
      <c r="X508" s="69">
        <v>1</v>
      </c>
      <c r="Y508" s="69"/>
      <c r="Z508" s="69"/>
      <c r="AA508" s="69"/>
      <c r="AB508" s="49"/>
    </row>
    <row r="509" spans="1:28" ht="15.6" customHeight="1" x14ac:dyDescent="0.2">
      <c r="A509" s="212">
        <v>507</v>
      </c>
      <c r="B509" s="159" t="str">
        <f t="shared" si="7"/>
        <v>Stipa dregeana</v>
      </c>
      <c r="C509" s="160" t="s">
        <v>2595</v>
      </c>
      <c r="D509" s="72"/>
      <c r="E509" s="72" t="s">
        <v>1587</v>
      </c>
      <c r="F509" s="72" t="s">
        <v>1943</v>
      </c>
      <c r="G509" s="289" t="s">
        <v>3438</v>
      </c>
      <c r="H509" s="166" t="s">
        <v>3286</v>
      </c>
      <c r="I509" s="142">
        <v>5</v>
      </c>
      <c r="J509" s="143">
        <v>4</v>
      </c>
      <c r="K509" s="143">
        <v>4</v>
      </c>
      <c r="L509" s="143">
        <v>3</v>
      </c>
      <c r="M509" s="143">
        <v>1</v>
      </c>
      <c r="N509" s="201">
        <v>1</v>
      </c>
      <c r="O509" s="294" t="s">
        <v>2176</v>
      </c>
      <c r="P509" s="325" t="s">
        <v>3032</v>
      </c>
      <c r="Q509" s="298"/>
      <c r="R509" s="209">
        <v>35612</v>
      </c>
      <c r="S509" s="301" t="s">
        <v>2250</v>
      </c>
      <c r="T509" s="81"/>
      <c r="U509" s="78"/>
      <c r="V509" s="69"/>
      <c r="W509" s="69"/>
      <c r="X509" s="69"/>
      <c r="Y509" s="69"/>
      <c r="Z509" s="69">
        <v>1</v>
      </c>
      <c r="AA509" s="69"/>
      <c r="AB509" s="49"/>
    </row>
    <row r="510" spans="1:28" ht="15.6" customHeight="1" x14ac:dyDescent="0.2">
      <c r="A510" s="212">
        <v>508</v>
      </c>
      <c r="B510" s="159" t="str">
        <f t="shared" si="7"/>
        <v>Themeda triandra</v>
      </c>
      <c r="C510" s="160" t="s">
        <v>2595</v>
      </c>
      <c r="D510" s="72" t="s">
        <v>254</v>
      </c>
      <c r="E510" s="72" t="s">
        <v>1944</v>
      </c>
      <c r="F510" s="72" t="s">
        <v>1945</v>
      </c>
      <c r="G510" s="289" t="s">
        <v>3439</v>
      </c>
      <c r="H510" s="166" t="s">
        <v>3285</v>
      </c>
      <c r="I510" s="142">
        <v>5</v>
      </c>
      <c r="J510" s="143">
        <v>5</v>
      </c>
      <c r="K510" s="143">
        <v>4</v>
      </c>
      <c r="L510" s="143">
        <v>3</v>
      </c>
      <c r="M510" s="143">
        <v>1</v>
      </c>
      <c r="N510" s="201">
        <v>1</v>
      </c>
      <c r="O510" s="294" t="s">
        <v>2176</v>
      </c>
      <c r="P510" s="325" t="s">
        <v>3032</v>
      </c>
      <c r="Q510" s="298"/>
      <c r="R510" s="209">
        <v>35612</v>
      </c>
      <c r="S510" s="301"/>
      <c r="T510" s="81">
        <v>1</v>
      </c>
      <c r="U510" s="78"/>
      <c r="V510" s="69"/>
      <c r="W510" s="69"/>
      <c r="X510" s="69">
        <v>1</v>
      </c>
      <c r="Y510" s="69"/>
      <c r="Z510" s="69"/>
      <c r="AA510" s="69"/>
      <c r="AB510" s="49"/>
    </row>
    <row r="511" spans="1:28" ht="15.6" customHeight="1" x14ac:dyDescent="0.2">
      <c r="A511" s="212">
        <v>509</v>
      </c>
      <c r="B511" s="159" t="str">
        <f t="shared" si="7"/>
        <v>Tribolium  hispidum</v>
      </c>
      <c r="C511" s="160" t="s">
        <v>2595</v>
      </c>
      <c r="D511" s="72"/>
      <c r="E511" s="72" t="s">
        <v>1946</v>
      </c>
      <c r="F511" s="72" t="s">
        <v>1947</v>
      </c>
      <c r="G511" s="289" t="s">
        <v>3440</v>
      </c>
      <c r="H511" s="166" t="s">
        <v>3284</v>
      </c>
      <c r="I511" s="142">
        <v>5</v>
      </c>
      <c r="J511" s="143">
        <v>6</v>
      </c>
      <c r="K511" s="143">
        <v>4</v>
      </c>
      <c r="L511" s="143">
        <v>3</v>
      </c>
      <c r="M511" s="143">
        <v>1</v>
      </c>
      <c r="N511" s="201">
        <v>1</v>
      </c>
      <c r="O511" s="294" t="s">
        <v>2176</v>
      </c>
      <c r="P511" s="325" t="s">
        <v>3032</v>
      </c>
      <c r="Q511" s="298"/>
      <c r="R511" s="209">
        <v>35612</v>
      </c>
      <c r="S511" s="301"/>
      <c r="T511" s="81">
        <v>1</v>
      </c>
      <c r="U511" s="78">
        <v>1</v>
      </c>
      <c r="V511" s="69"/>
      <c r="W511" s="69">
        <v>1</v>
      </c>
      <c r="X511" s="69">
        <v>1</v>
      </c>
      <c r="Y511" s="69"/>
      <c r="Z511" s="69"/>
      <c r="AA511" s="69"/>
      <c r="AB511" s="49"/>
    </row>
    <row r="512" spans="1:28" ht="15.6" customHeight="1" x14ac:dyDescent="0.2">
      <c r="A512" s="212">
        <v>510</v>
      </c>
      <c r="B512" s="159" t="str">
        <f t="shared" si="7"/>
        <v>Muraltia bolusii</v>
      </c>
      <c r="C512" s="160" t="s">
        <v>1948</v>
      </c>
      <c r="D512" s="72"/>
      <c r="E512" s="72" t="s">
        <v>1949</v>
      </c>
      <c r="F512" s="72" t="s">
        <v>1014</v>
      </c>
      <c r="G512" s="289" t="s">
        <v>3441</v>
      </c>
      <c r="H512" s="166" t="s">
        <v>3215</v>
      </c>
      <c r="I512" s="142">
        <v>2</v>
      </c>
      <c r="J512" s="143">
        <v>6</v>
      </c>
      <c r="K512" s="143">
        <v>4</v>
      </c>
      <c r="L512" s="143">
        <v>3</v>
      </c>
      <c r="M512" s="143">
        <v>2</v>
      </c>
      <c r="N512" s="201">
        <v>5</v>
      </c>
      <c r="O512" s="294" t="s">
        <v>3031</v>
      </c>
      <c r="P512" s="325" t="s">
        <v>3032</v>
      </c>
      <c r="Q512" s="298"/>
      <c r="R512" s="209">
        <v>35947</v>
      </c>
      <c r="S512" s="301"/>
      <c r="T512" s="81">
        <v>1</v>
      </c>
      <c r="U512" s="78"/>
      <c r="V512" s="69"/>
      <c r="W512" s="69"/>
      <c r="X512" s="69">
        <v>1</v>
      </c>
      <c r="Y512" s="69"/>
      <c r="Z512" s="69"/>
      <c r="AA512" s="69"/>
      <c r="AB512" s="49"/>
    </row>
    <row r="513" spans="1:28" ht="15.6" customHeight="1" x14ac:dyDescent="0.2">
      <c r="A513" s="212">
        <v>511</v>
      </c>
      <c r="B513" s="159" t="str">
        <f t="shared" si="7"/>
        <v>Muraltia cf. salsolacea</v>
      </c>
      <c r="C513" s="160" t="s">
        <v>1948</v>
      </c>
      <c r="D513" s="72"/>
      <c r="E513" s="72" t="s">
        <v>1949</v>
      </c>
      <c r="F513" s="72" t="s">
        <v>2925</v>
      </c>
      <c r="G513" s="289" t="s">
        <v>2926</v>
      </c>
      <c r="H513" s="166" t="s">
        <v>3215</v>
      </c>
      <c r="I513" s="142">
        <v>2</v>
      </c>
      <c r="J513" s="143">
        <v>6</v>
      </c>
      <c r="K513" s="143">
        <v>2</v>
      </c>
      <c r="L513" s="143">
        <v>2</v>
      </c>
      <c r="M513" s="143">
        <v>2</v>
      </c>
      <c r="N513" s="201">
        <v>5</v>
      </c>
      <c r="O513" s="294" t="s">
        <v>3031</v>
      </c>
      <c r="P513" s="325" t="s">
        <v>3032</v>
      </c>
      <c r="Q513" s="298"/>
      <c r="R513" s="209"/>
      <c r="S513" s="301" t="s">
        <v>2250</v>
      </c>
      <c r="T513" s="81"/>
      <c r="U513" s="78">
        <v>1</v>
      </c>
      <c r="V513" s="69">
        <v>1</v>
      </c>
      <c r="W513" s="69">
        <v>1</v>
      </c>
      <c r="X513" s="69">
        <v>1</v>
      </c>
      <c r="Y513" s="69"/>
      <c r="Z513" s="69"/>
      <c r="AA513" s="69"/>
      <c r="AB513" s="49"/>
    </row>
    <row r="514" spans="1:28" ht="15.6" customHeight="1" x14ac:dyDescent="0.2">
      <c r="A514" s="212">
        <v>512</v>
      </c>
      <c r="B514" s="159" t="str">
        <f t="shared" si="7"/>
        <v>Muraltia divaricata</v>
      </c>
      <c r="C514" s="160" t="s">
        <v>1948</v>
      </c>
      <c r="D514" s="72"/>
      <c r="E514" s="72" t="s">
        <v>1949</v>
      </c>
      <c r="F514" s="72" t="s">
        <v>1950</v>
      </c>
      <c r="G514" s="289" t="s">
        <v>3442</v>
      </c>
      <c r="H514" s="166" t="s">
        <v>3215</v>
      </c>
      <c r="I514" s="142">
        <v>2</v>
      </c>
      <c r="J514" s="143">
        <v>6</v>
      </c>
      <c r="K514" s="143">
        <v>2</v>
      </c>
      <c r="L514" s="143">
        <v>2</v>
      </c>
      <c r="M514" s="143">
        <v>2</v>
      </c>
      <c r="N514" s="201">
        <v>5</v>
      </c>
      <c r="O514" s="294" t="s">
        <v>3031</v>
      </c>
      <c r="P514" s="325" t="s">
        <v>3032</v>
      </c>
      <c r="Q514" s="298"/>
      <c r="R514" s="209">
        <v>37316</v>
      </c>
      <c r="S514" s="301"/>
      <c r="T514" s="81">
        <v>1</v>
      </c>
      <c r="U514" s="80"/>
      <c r="V514" s="69"/>
      <c r="W514" s="69"/>
      <c r="X514" s="69"/>
      <c r="Y514" s="69"/>
      <c r="Z514" s="69"/>
      <c r="AA514" s="69"/>
      <c r="AB514" s="49"/>
    </row>
    <row r="515" spans="1:28" ht="15.6" customHeight="1" x14ac:dyDescent="0.2">
      <c r="A515" s="212">
        <v>513</v>
      </c>
      <c r="B515" s="159" t="str">
        <f t="shared" ref="B515:B578" si="8">E515&amp;" "&amp;F515</f>
        <v>Muraltia ericoides</v>
      </c>
      <c r="C515" s="160" t="s">
        <v>1948</v>
      </c>
      <c r="D515" s="72"/>
      <c r="E515" s="72" t="s">
        <v>1949</v>
      </c>
      <c r="F515" s="72" t="s">
        <v>734</v>
      </c>
      <c r="G515" s="289" t="s">
        <v>3444</v>
      </c>
      <c r="H515" s="166" t="s">
        <v>3215</v>
      </c>
      <c r="I515" s="142">
        <v>2</v>
      </c>
      <c r="J515" s="143">
        <v>6</v>
      </c>
      <c r="K515" s="143">
        <v>2</v>
      </c>
      <c r="L515" s="143">
        <v>2</v>
      </c>
      <c r="M515" s="143">
        <v>2</v>
      </c>
      <c r="N515" s="201">
        <v>5</v>
      </c>
      <c r="O515" s="294" t="s">
        <v>3031</v>
      </c>
      <c r="P515" s="325" t="s">
        <v>3032</v>
      </c>
      <c r="Q515" s="298"/>
      <c r="R515" s="209"/>
      <c r="S515" s="301" t="s">
        <v>2250</v>
      </c>
      <c r="T515" s="81"/>
      <c r="U515" s="78"/>
      <c r="V515" s="69"/>
      <c r="W515" s="69"/>
      <c r="X515" s="69">
        <v>1</v>
      </c>
      <c r="Y515" s="69"/>
      <c r="Z515" s="69"/>
      <c r="AA515" s="69"/>
      <c r="AB515" s="49"/>
    </row>
    <row r="516" spans="1:28" ht="15.6" customHeight="1" x14ac:dyDescent="0.2">
      <c r="A516" s="212">
        <v>514</v>
      </c>
      <c r="B516" s="159" t="str">
        <f t="shared" si="8"/>
        <v>Muraltia filiformis</v>
      </c>
      <c r="C516" s="160" t="s">
        <v>1948</v>
      </c>
      <c r="D516" s="72"/>
      <c r="E516" s="72" t="s">
        <v>1949</v>
      </c>
      <c r="F516" s="72" t="s">
        <v>1951</v>
      </c>
      <c r="G516" s="289" t="s">
        <v>3445</v>
      </c>
      <c r="H516" s="166" t="s">
        <v>3215</v>
      </c>
      <c r="I516" s="142">
        <v>2</v>
      </c>
      <c r="J516" s="143">
        <v>6</v>
      </c>
      <c r="K516" s="143">
        <v>2</v>
      </c>
      <c r="L516" s="143">
        <v>3</v>
      </c>
      <c r="M516" s="143">
        <v>2</v>
      </c>
      <c r="N516" s="201">
        <v>5</v>
      </c>
      <c r="O516" s="294" t="s">
        <v>3031</v>
      </c>
      <c r="P516" s="325" t="s">
        <v>3032</v>
      </c>
      <c r="Q516" s="298"/>
      <c r="R516" s="209">
        <v>35612</v>
      </c>
      <c r="S516" s="301"/>
      <c r="T516" s="81">
        <v>1</v>
      </c>
      <c r="U516" s="78"/>
      <c r="V516" s="69"/>
      <c r="W516" s="69">
        <v>1</v>
      </c>
      <c r="X516" s="69">
        <v>1</v>
      </c>
      <c r="Y516" s="69"/>
      <c r="Z516" s="69"/>
      <c r="AA516" s="69"/>
      <c r="AB516" s="49"/>
    </row>
    <row r="517" spans="1:28" ht="15.6" customHeight="1" x14ac:dyDescent="0.2">
      <c r="A517" s="212">
        <v>515</v>
      </c>
      <c r="B517" s="159" t="str">
        <f t="shared" si="8"/>
        <v>Muraltia heisteria</v>
      </c>
      <c r="C517" s="160" t="s">
        <v>1948</v>
      </c>
      <c r="D517" s="72"/>
      <c r="E517" s="72" t="s">
        <v>1949</v>
      </c>
      <c r="F517" s="72" t="s">
        <v>1952</v>
      </c>
      <c r="G517" s="289" t="s">
        <v>3446</v>
      </c>
      <c r="H517" s="166" t="s">
        <v>3248</v>
      </c>
      <c r="I517" s="142">
        <v>2</v>
      </c>
      <c r="J517" s="143">
        <v>5</v>
      </c>
      <c r="K517" s="143">
        <v>2</v>
      </c>
      <c r="L517" s="143">
        <v>2</v>
      </c>
      <c r="M517" s="143">
        <v>2</v>
      </c>
      <c r="N517" s="201">
        <v>5</v>
      </c>
      <c r="O517" s="294" t="s">
        <v>2914</v>
      </c>
      <c r="P517" s="325" t="s">
        <v>3032</v>
      </c>
      <c r="Q517" s="298"/>
      <c r="R517" s="209">
        <v>35582</v>
      </c>
      <c r="S517" s="301" t="s">
        <v>2250</v>
      </c>
      <c r="T517" s="81"/>
      <c r="U517" s="78"/>
      <c r="V517" s="69"/>
      <c r="W517" s="69">
        <v>1</v>
      </c>
      <c r="X517" s="69">
        <v>1</v>
      </c>
      <c r="Y517" s="69"/>
      <c r="Z517" s="69"/>
      <c r="AA517" s="69"/>
      <c r="AB517" s="49"/>
    </row>
    <row r="518" spans="1:28" ht="15.6" customHeight="1" x14ac:dyDescent="0.2">
      <c r="A518" s="212">
        <v>516</v>
      </c>
      <c r="B518" s="159" t="str">
        <f t="shared" si="8"/>
        <v>Muraltia satureioides</v>
      </c>
      <c r="C518" s="160" t="s">
        <v>1948</v>
      </c>
      <c r="D518" s="72"/>
      <c r="E518" s="72" t="s">
        <v>1949</v>
      </c>
      <c r="F518" s="72" t="s">
        <v>1953</v>
      </c>
      <c r="G518" s="289" t="s">
        <v>3447</v>
      </c>
      <c r="H518" s="166" t="s">
        <v>3248</v>
      </c>
      <c r="I518" s="142">
        <v>2</v>
      </c>
      <c r="J518" s="143">
        <v>5</v>
      </c>
      <c r="K518" s="143">
        <v>2</v>
      </c>
      <c r="L518" s="143">
        <v>3</v>
      </c>
      <c r="M518" s="143">
        <v>2</v>
      </c>
      <c r="N518" s="201">
        <v>5</v>
      </c>
      <c r="O518" s="294" t="s">
        <v>2914</v>
      </c>
      <c r="P518" s="325" t="s">
        <v>3032</v>
      </c>
      <c r="Q518" s="298" t="s">
        <v>3149</v>
      </c>
      <c r="R518" s="209">
        <v>36039</v>
      </c>
      <c r="S518" s="301" t="s">
        <v>2250</v>
      </c>
      <c r="T518" s="81"/>
      <c r="U518" s="78">
        <v>1</v>
      </c>
      <c r="V518" s="69"/>
      <c r="W518" s="69"/>
      <c r="X518" s="69"/>
      <c r="Y518" s="69"/>
      <c r="Z518" s="69"/>
      <c r="AA518" s="69"/>
      <c r="AB518" s="49"/>
    </row>
    <row r="519" spans="1:28" ht="15.6" customHeight="1" x14ac:dyDescent="0.2">
      <c r="A519" s="212">
        <v>517</v>
      </c>
      <c r="B519" s="159" t="str">
        <f t="shared" si="8"/>
        <v>Muraltia stipulacea</v>
      </c>
      <c r="C519" s="160" t="s">
        <v>1948</v>
      </c>
      <c r="D519" s="72"/>
      <c r="E519" s="72" t="s">
        <v>1949</v>
      </c>
      <c r="F519" s="72" t="s">
        <v>1954</v>
      </c>
      <c r="G519" s="289" t="s">
        <v>3448</v>
      </c>
      <c r="H519" s="166" t="s">
        <v>3259</v>
      </c>
      <c r="I519" s="142">
        <v>2</v>
      </c>
      <c r="J519" s="143">
        <v>6</v>
      </c>
      <c r="K519" s="143">
        <v>2</v>
      </c>
      <c r="L519" s="143">
        <v>2</v>
      </c>
      <c r="M519" s="143">
        <v>2</v>
      </c>
      <c r="N519" s="201">
        <v>4</v>
      </c>
      <c r="O519" s="294" t="s">
        <v>3031</v>
      </c>
      <c r="P519" s="325" t="s">
        <v>3032</v>
      </c>
      <c r="Q519" s="298"/>
      <c r="R519" s="209">
        <v>35612</v>
      </c>
      <c r="S519" s="301"/>
      <c r="T519" s="81">
        <v>1</v>
      </c>
      <c r="U519" s="78"/>
      <c r="V519" s="69"/>
      <c r="W519" s="69"/>
      <c r="X519" s="69">
        <v>1</v>
      </c>
      <c r="Y519" s="69"/>
      <c r="Z519" s="69"/>
      <c r="AA519" s="69"/>
      <c r="AB519" s="49"/>
    </row>
    <row r="520" spans="1:28" ht="15.6" customHeight="1" x14ac:dyDescent="0.2">
      <c r="A520" s="212">
        <v>518</v>
      </c>
      <c r="B520" s="159" t="str">
        <f t="shared" si="8"/>
        <v>Nylandtia spinosa</v>
      </c>
      <c r="C520" s="160" t="s">
        <v>1948</v>
      </c>
      <c r="D520" s="72" t="s">
        <v>255</v>
      </c>
      <c r="E520" s="72" t="s">
        <v>1955</v>
      </c>
      <c r="F520" s="72" t="s">
        <v>1956</v>
      </c>
      <c r="G520" s="289" t="s">
        <v>3449</v>
      </c>
      <c r="H520" s="166" t="s">
        <v>3248</v>
      </c>
      <c r="I520" s="142">
        <v>2</v>
      </c>
      <c r="J520" s="143">
        <v>5</v>
      </c>
      <c r="K520" s="143">
        <v>2</v>
      </c>
      <c r="L520" s="143">
        <v>2</v>
      </c>
      <c r="M520" s="143">
        <v>2</v>
      </c>
      <c r="N520" s="201">
        <v>5</v>
      </c>
      <c r="O520" s="294" t="s">
        <v>2168</v>
      </c>
      <c r="P520" s="325" t="s">
        <v>3032</v>
      </c>
      <c r="Q520" s="298"/>
      <c r="R520" s="209">
        <v>35886</v>
      </c>
      <c r="S520" s="301"/>
      <c r="T520" s="81">
        <v>1</v>
      </c>
      <c r="U520" s="78">
        <v>1</v>
      </c>
      <c r="V520" s="69"/>
      <c r="W520" s="69"/>
      <c r="X520" s="69"/>
      <c r="Y520" s="69">
        <v>1</v>
      </c>
      <c r="Z520" s="69"/>
      <c r="AA520" s="69"/>
      <c r="AB520" s="49"/>
    </row>
    <row r="521" spans="1:28" ht="15.6" customHeight="1" x14ac:dyDescent="0.2">
      <c r="A521" s="212">
        <v>519</v>
      </c>
      <c r="B521" s="159" t="str">
        <f t="shared" si="8"/>
        <v>Polygala bracteolata</v>
      </c>
      <c r="C521" s="160" t="s">
        <v>1948</v>
      </c>
      <c r="D521" s="72"/>
      <c r="E521" s="72" t="s">
        <v>1957</v>
      </c>
      <c r="F521" s="72" t="s">
        <v>1958</v>
      </c>
      <c r="G521" s="289" t="s">
        <v>3450</v>
      </c>
      <c r="H521" s="166" t="s">
        <v>3287</v>
      </c>
      <c r="I521" s="142">
        <v>2</v>
      </c>
      <c r="J521" s="143">
        <v>5</v>
      </c>
      <c r="K521" s="143">
        <v>3</v>
      </c>
      <c r="L521" s="143">
        <v>2</v>
      </c>
      <c r="M521" s="143">
        <v>2</v>
      </c>
      <c r="N521" s="201">
        <v>4</v>
      </c>
      <c r="O521" s="294" t="s">
        <v>2914</v>
      </c>
      <c r="P521" s="325" t="s">
        <v>3032</v>
      </c>
      <c r="Q521" s="298"/>
      <c r="R521" s="209">
        <v>35612</v>
      </c>
      <c r="S521" s="301"/>
      <c r="T521" s="81">
        <v>1</v>
      </c>
      <c r="U521" s="78"/>
      <c r="V521" s="69"/>
      <c r="W521" s="69"/>
      <c r="X521" s="69">
        <v>1</v>
      </c>
      <c r="Y521" s="69"/>
      <c r="Z521" s="69"/>
      <c r="AA521" s="69"/>
      <c r="AB521" s="49"/>
    </row>
    <row r="522" spans="1:28" ht="15.6" customHeight="1" x14ac:dyDescent="0.2">
      <c r="A522" s="212">
        <v>520</v>
      </c>
      <c r="B522" s="159" t="str">
        <f t="shared" si="8"/>
        <v>Polygala dasyphylla</v>
      </c>
      <c r="C522" s="160" t="s">
        <v>1948</v>
      </c>
      <c r="D522" s="72"/>
      <c r="E522" s="72" t="s">
        <v>1957</v>
      </c>
      <c r="F522" s="72" t="s">
        <v>1959</v>
      </c>
      <c r="G522" s="289" t="s">
        <v>3451</v>
      </c>
      <c r="H522" s="166" t="s">
        <v>3265</v>
      </c>
      <c r="I522" s="142">
        <v>2</v>
      </c>
      <c r="J522" s="143">
        <v>6</v>
      </c>
      <c r="K522" s="143">
        <v>2</v>
      </c>
      <c r="L522" s="143">
        <v>3</v>
      </c>
      <c r="M522" s="143">
        <v>2</v>
      </c>
      <c r="N522" s="201">
        <v>9</v>
      </c>
      <c r="O522" s="294" t="s">
        <v>3031</v>
      </c>
      <c r="P522" s="325" t="s">
        <v>3032</v>
      </c>
      <c r="Q522" s="298" t="s">
        <v>3147</v>
      </c>
      <c r="R522" s="209">
        <v>35886</v>
      </c>
      <c r="S522" s="301" t="s">
        <v>2250</v>
      </c>
      <c r="T522" s="81"/>
      <c r="U522" s="78"/>
      <c r="V522" s="69">
        <v>1</v>
      </c>
      <c r="W522" s="69"/>
      <c r="X522" s="69"/>
      <c r="Y522" s="69"/>
      <c r="Z522" s="69"/>
      <c r="AA522" s="69"/>
      <c r="AB522" s="49"/>
    </row>
    <row r="523" spans="1:28" ht="15.6" customHeight="1" x14ac:dyDescent="0.2">
      <c r="A523" s="212">
        <v>521</v>
      </c>
      <c r="B523" s="159" t="str">
        <f t="shared" si="8"/>
        <v>Polygala meridionalis</v>
      </c>
      <c r="C523" s="160" t="s">
        <v>1948</v>
      </c>
      <c r="D523" s="72"/>
      <c r="E523" s="72" t="s">
        <v>1957</v>
      </c>
      <c r="F523" s="72" t="s">
        <v>1638</v>
      </c>
      <c r="G523" s="289" t="s">
        <v>3452</v>
      </c>
      <c r="H523" s="166" t="s">
        <v>3215</v>
      </c>
      <c r="I523" s="142">
        <v>2</v>
      </c>
      <c r="J523" s="143">
        <v>6</v>
      </c>
      <c r="K523" s="143">
        <v>2</v>
      </c>
      <c r="L523" s="143">
        <v>3</v>
      </c>
      <c r="M523" s="143">
        <v>2</v>
      </c>
      <c r="N523" s="201">
        <v>5</v>
      </c>
      <c r="O523" s="294" t="s">
        <v>3031</v>
      </c>
      <c r="P523" s="325" t="s">
        <v>3032</v>
      </c>
      <c r="Q523" s="298"/>
      <c r="R523" s="209">
        <v>35612</v>
      </c>
      <c r="S523" s="301"/>
      <c r="T523" s="81">
        <v>1</v>
      </c>
      <c r="U523" s="78"/>
      <c r="V523" s="69">
        <v>1</v>
      </c>
      <c r="W523" s="69"/>
      <c r="X523" s="69">
        <v>1</v>
      </c>
      <c r="Y523" s="69"/>
      <c r="Z523" s="69"/>
      <c r="AA523" s="69"/>
      <c r="AB523" s="49"/>
    </row>
    <row r="524" spans="1:28" ht="15.6" customHeight="1" x14ac:dyDescent="0.2">
      <c r="A524" s="212">
        <v>522</v>
      </c>
      <c r="B524" s="159" t="str">
        <f t="shared" si="8"/>
        <v>Polygala myrtifolia</v>
      </c>
      <c r="C524" s="160" t="s">
        <v>1948</v>
      </c>
      <c r="D524" s="72" t="s">
        <v>256</v>
      </c>
      <c r="E524" s="72" t="s">
        <v>1957</v>
      </c>
      <c r="F524" s="72" t="s">
        <v>1960</v>
      </c>
      <c r="G524" s="289" t="s">
        <v>3453</v>
      </c>
      <c r="H524" s="166" t="s">
        <v>3239</v>
      </c>
      <c r="I524" s="142">
        <v>2</v>
      </c>
      <c r="J524" s="143">
        <v>4</v>
      </c>
      <c r="K524" s="143">
        <v>2</v>
      </c>
      <c r="L524" s="143">
        <v>1</v>
      </c>
      <c r="M524" s="143">
        <v>1</v>
      </c>
      <c r="N524" s="201">
        <v>3</v>
      </c>
      <c r="O524" s="294" t="s">
        <v>2914</v>
      </c>
      <c r="P524" s="325" t="s">
        <v>3032</v>
      </c>
      <c r="Q524" s="298"/>
      <c r="R524" s="209">
        <v>36039</v>
      </c>
      <c r="S524" s="301"/>
      <c r="T524" s="81">
        <v>1</v>
      </c>
      <c r="U524" s="78">
        <v>1</v>
      </c>
      <c r="V524" s="69"/>
      <c r="W524" s="69"/>
      <c r="X524" s="69"/>
      <c r="Y524" s="69">
        <v>1</v>
      </c>
      <c r="Z524" s="69"/>
      <c r="AA524" s="69"/>
      <c r="AB524" s="49"/>
    </row>
    <row r="525" spans="1:28" ht="15.6" customHeight="1" x14ac:dyDescent="0.2">
      <c r="A525" s="212">
        <v>523</v>
      </c>
      <c r="B525" s="159" t="str">
        <f t="shared" si="8"/>
        <v>Polygala pubiflora</v>
      </c>
      <c r="C525" s="160" t="s">
        <v>1948</v>
      </c>
      <c r="D525" s="72"/>
      <c r="E525" s="72" t="s">
        <v>1957</v>
      </c>
      <c r="F525" s="72" t="s">
        <v>1961</v>
      </c>
      <c r="G525" s="289" t="s">
        <v>3454</v>
      </c>
      <c r="H525" s="166" t="s">
        <v>3215</v>
      </c>
      <c r="I525" s="142">
        <v>2</v>
      </c>
      <c r="J525" s="143">
        <v>6</v>
      </c>
      <c r="K525" s="143">
        <v>3</v>
      </c>
      <c r="L525" s="143">
        <v>2</v>
      </c>
      <c r="M525" s="143">
        <v>2</v>
      </c>
      <c r="N525" s="201">
        <v>5</v>
      </c>
      <c r="O525" s="294" t="s">
        <v>3031</v>
      </c>
      <c r="P525" s="325" t="s">
        <v>3032</v>
      </c>
      <c r="Q525" s="298"/>
      <c r="R525" s="209">
        <v>36130</v>
      </c>
      <c r="S525" s="302" t="s">
        <v>257</v>
      </c>
      <c r="T525" s="81">
        <v>1</v>
      </c>
      <c r="U525" s="78"/>
      <c r="V525" s="69">
        <v>1</v>
      </c>
      <c r="W525" s="69"/>
      <c r="X525" s="69"/>
      <c r="Y525" s="69"/>
      <c r="Z525" s="69"/>
      <c r="AA525" s="69"/>
      <c r="AB525" s="49"/>
    </row>
    <row r="526" spans="1:28" ht="15.6" customHeight="1" x14ac:dyDescent="0.2">
      <c r="A526" s="212">
        <v>524</v>
      </c>
      <c r="B526" s="159" t="str">
        <f t="shared" si="8"/>
        <v>Polygala scabra</v>
      </c>
      <c r="C526" s="160" t="s">
        <v>1948</v>
      </c>
      <c r="D526" s="72"/>
      <c r="E526" s="72" t="s">
        <v>1957</v>
      </c>
      <c r="F526" s="72" t="s">
        <v>786</v>
      </c>
      <c r="G526" s="289" t="s">
        <v>3455</v>
      </c>
      <c r="H526" s="166" t="s">
        <v>3215</v>
      </c>
      <c r="I526" s="142">
        <v>2</v>
      </c>
      <c r="J526" s="143">
        <v>6</v>
      </c>
      <c r="K526" s="143">
        <v>3</v>
      </c>
      <c r="L526" s="143">
        <v>3</v>
      </c>
      <c r="M526" s="143">
        <v>2</v>
      </c>
      <c r="N526" s="201">
        <v>5</v>
      </c>
      <c r="O526" s="294" t="s">
        <v>3031</v>
      </c>
      <c r="P526" s="325" t="s">
        <v>3032</v>
      </c>
      <c r="Q526" s="298"/>
      <c r="R526" s="209">
        <v>35947</v>
      </c>
      <c r="S526" s="301"/>
      <c r="T526" s="81">
        <v>1</v>
      </c>
      <c r="U526" s="78"/>
      <c r="V526" s="69"/>
      <c r="W526" s="69"/>
      <c r="X526" s="69">
        <v>1</v>
      </c>
      <c r="Y526" s="69"/>
      <c r="Z526" s="69"/>
      <c r="AA526" s="69"/>
      <c r="AB526" s="49"/>
    </row>
    <row r="527" spans="1:28" ht="15.6" customHeight="1" x14ac:dyDescent="0.2">
      <c r="A527" s="212">
        <v>525</v>
      </c>
      <c r="B527" s="159" t="str">
        <f t="shared" si="8"/>
        <v>Polygala umbellata</v>
      </c>
      <c r="C527" s="160" t="s">
        <v>1948</v>
      </c>
      <c r="D527" s="72"/>
      <c r="E527" s="72" t="s">
        <v>1957</v>
      </c>
      <c r="F527" s="72" t="s">
        <v>2822</v>
      </c>
      <c r="G527" s="289" t="s">
        <v>3456</v>
      </c>
      <c r="H527" s="166" t="s">
        <v>3215</v>
      </c>
      <c r="I527" s="142">
        <v>2</v>
      </c>
      <c r="J527" s="143">
        <v>6</v>
      </c>
      <c r="K527" s="143">
        <v>4</v>
      </c>
      <c r="L527" s="143">
        <v>3</v>
      </c>
      <c r="M527" s="143">
        <v>2</v>
      </c>
      <c r="N527" s="201">
        <v>5</v>
      </c>
      <c r="O527" s="294" t="s">
        <v>3031</v>
      </c>
      <c r="P527" s="325" t="s">
        <v>3032</v>
      </c>
      <c r="Q527" s="298"/>
      <c r="R527" s="209">
        <v>35612</v>
      </c>
      <c r="S527" s="301" t="s">
        <v>2250</v>
      </c>
      <c r="T527" s="81"/>
      <c r="U527" s="78"/>
      <c r="V527" s="69"/>
      <c r="W527" s="69"/>
      <c r="X527" s="69">
        <v>1</v>
      </c>
      <c r="Y527" s="69"/>
      <c r="Z527" s="69"/>
      <c r="AA527" s="69"/>
      <c r="AB527" s="49"/>
    </row>
    <row r="528" spans="1:28" ht="15.6" customHeight="1" x14ac:dyDescent="0.2">
      <c r="A528" s="212">
        <v>526</v>
      </c>
      <c r="B528" s="159" t="str">
        <f t="shared" si="8"/>
        <v>Polygala uncinata</v>
      </c>
      <c r="C528" s="160" t="s">
        <v>1948</v>
      </c>
      <c r="D528" s="72"/>
      <c r="E528" s="72" t="s">
        <v>1957</v>
      </c>
      <c r="F528" s="72" t="s">
        <v>1962</v>
      </c>
      <c r="G528" s="289" t="s">
        <v>3457</v>
      </c>
      <c r="H528" s="166" t="s">
        <v>3265</v>
      </c>
      <c r="I528" s="142">
        <v>2</v>
      </c>
      <c r="J528" s="143">
        <v>6</v>
      </c>
      <c r="K528" s="143">
        <v>2</v>
      </c>
      <c r="L528" s="143">
        <v>3</v>
      </c>
      <c r="M528" s="143">
        <v>9</v>
      </c>
      <c r="N528" s="201">
        <v>9</v>
      </c>
      <c r="O528" s="294" t="s">
        <v>3031</v>
      </c>
      <c r="P528" s="325" t="s">
        <v>3032</v>
      </c>
      <c r="Q528" s="298"/>
      <c r="R528" s="209">
        <v>35947</v>
      </c>
      <c r="S528" s="301"/>
      <c r="T528" s="81">
        <v>1</v>
      </c>
      <c r="U528" s="78"/>
      <c r="V528" s="69"/>
      <c r="W528" s="69"/>
      <c r="X528" s="69">
        <v>1</v>
      </c>
      <c r="Y528" s="69"/>
      <c r="Z528" s="69"/>
      <c r="AA528" s="69"/>
      <c r="AB528" s="49"/>
    </row>
    <row r="529" spans="1:28" ht="15.6" customHeight="1" x14ac:dyDescent="0.2">
      <c r="A529" s="212">
        <v>527</v>
      </c>
      <c r="B529" s="159" t="str">
        <f t="shared" si="8"/>
        <v>Emex australis</v>
      </c>
      <c r="C529" s="160" t="s">
        <v>1963</v>
      </c>
      <c r="D529" s="72" t="s">
        <v>258</v>
      </c>
      <c r="E529" s="72" t="s">
        <v>1964</v>
      </c>
      <c r="F529" s="72" t="s">
        <v>1965</v>
      </c>
      <c r="G529" s="289" t="s">
        <v>3458</v>
      </c>
      <c r="H529" s="166" t="s">
        <v>3272</v>
      </c>
      <c r="I529" s="142">
        <v>6</v>
      </c>
      <c r="J529" s="143">
        <v>6</v>
      </c>
      <c r="K529" s="143">
        <v>9</v>
      </c>
      <c r="L529" s="143">
        <v>9</v>
      </c>
      <c r="M529" s="143">
        <v>9</v>
      </c>
      <c r="N529" s="201">
        <v>9</v>
      </c>
      <c r="O529" s="294" t="s">
        <v>2910</v>
      </c>
      <c r="P529" s="325" t="s">
        <v>2915</v>
      </c>
      <c r="Q529" s="298"/>
      <c r="R529" s="209">
        <v>35431</v>
      </c>
      <c r="S529" s="301" t="s">
        <v>2250</v>
      </c>
      <c r="T529" s="81"/>
      <c r="U529" s="80"/>
      <c r="V529" s="69"/>
      <c r="W529" s="69"/>
      <c r="X529" s="69"/>
      <c r="Y529" s="69"/>
      <c r="Z529" s="69"/>
      <c r="AA529" s="69"/>
      <c r="AB529" s="49"/>
    </row>
    <row r="530" spans="1:28" ht="15.6" customHeight="1" x14ac:dyDescent="0.2">
      <c r="A530" s="212">
        <v>528</v>
      </c>
      <c r="B530" s="159" t="str">
        <f t="shared" si="8"/>
        <v>Rumex cordatus</v>
      </c>
      <c r="C530" s="160" t="s">
        <v>1963</v>
      </c>
      <c r="D530" s="72" t="s">
        <v>259</v>
      </c>
      <c r="E530" s="72" t="s">
        <v>1966</v>
      </c>
      <c r="F530" s="72" t="s">
        <v>1967</v>
      </c>
      <c r="G530" s="289" t="s">
        <v>3459</v>
      </c>
      <c r="H530" s="166" t="s">
        <v>3264</v>
      </c>
      <c r="I530" s="142">
        <v>3</v>
      </c>
      <c r="J530" s="143">
        <v>6</v>
      </c>
      <c r="K530" s="143">
        <v>5</v>
      </c>
      <c r="L530" s="143">
        <v>1</v>
      </c>
      <c r="M530" s="143">
        <v>1</v>
      </c>
      <c r="N530" s="201">
        <v>4</v>
      </c>
      <c r="O530" s="294" t="s">
        <v>2910</v>
      </c>
      <c r="P530" s="325" t="s">
        <v>3032</v>
      </c>
      <c r="Q530" s="298"/>
      <c r="R530" s="209">
        <v>36039</v>
      </c>
      <c r="S530" s="301" t="s">
        <v>2250</v>
      </c>
      <c r="T530" s="81"/>
      <c r="U530" s="78">
        <v>1</v>
      </c>
      <c r="V530" s="69"/>
      <c r="W530" s="69"/>
      <c r="X530" s="69"/>
      <c r="Y530" s="69"/>
      <c r="Z530" s="69"/>
      <c r="AA530" s="69"/>
      <c r="AB530" s="49"/>
    </row>
    <row r="531" spans="1:28" ht="15.6" customHeight="1" x14ac:dyDescent="0.2">
      <c r="A531" s="212">
        <v>529</v>
      </c>
      <c r="B531" s="159" t="str">
        <f t="shared" si="8"/>
        <v>Pleopeltis macrocarpa</v>
      </c>
      <c r="C531" s="160" t="s">
        <v>1968</v>
      </c>
      <c r="D531" s="72" t="s">
        <v>260</v>
      </c>
      <c r="E531" s="72" t="s">
        <v>1969</v>
      </c>
      <c r="F531" s="72" t="s">
        <v>2779</v>
      </c>
      <c r="G531" s="289" t="s">
        <v>3460</v>
      </c>
      <c r="H531" s="166" t="s">
        <v>1872</v>
      </c>
      <c r="I531" s="142">
        <v>3</v>
      </c>
      <c r="J531" s="143">
        <v>9</v>
      </c>
      <c r="K531" s="143">
        <v>5</v>
      </c>
      <c r="L531" s="143">
        <v>2</v>
      </c>
      <c r="M531" s="143">
        <v>2</v>
      </c>
      <c r="N531" s="201">
        <v>2</v>
      </c>
      <c r="O531" s="294" t="s">
        <v>2171</v>
      </c>
      <c r="P531" s="325" t="s">
        <v>3032</v>
      </c>
      <c r="Q531" s="298"/>
      <c r="R531" s="209">
        <v>36586</v>
      </c>
      <c r="S531" s="301"/>
      <c r="T531" s="81">
        <v>1</v>
      </c>
      <c r="U531" s="78"/>
      <c r="V531" s="69"/>
      <c r="W531" s="69"/>
      <c r="X531" s="69"/>
      <c r="Y531" s="69"/>
      <c r="Z531" s="69">
        <v>1</v>
      </c>
      <c r="AA531" s="69"/>
      <c r="AB531" s="49"/>
    </row>
    <row r="532" spans="1:28" ht="15.6" customHeight="1" x14ac:dyDescent="0.2">
      <c r="A532" s="212">
        <v>530</v>
      </c>
      <c r="B532" s="159" t="str">
        <f t="shared" si="8"/>
        <v>Aulax umbellata</v>
      </c>
      <c r="C532" s="160" t="s">
        <v>1970</v>
      </c>
      <c r="D532" s="72" t="s">
        <v>261</v>
      </c>
      <c r="E532" s="72" t="s">
        <v>1971</v>
      </c>
      <c r="F532" s="72" t="s">
        <v>2822</v>
      </c>
      <c r="G532" s="289" t="s">
        <v>3461</v>
      </c>
      <c r="H532" s="166" t="s">
        <v>3227</v>
      </c>
      <c r="I532" s="142">
        <v>2</v>
      </c>
      <c r="J532" s="143">
        <v>3</v>
      </c>
      <c r="K532" s="143">
        <v>2</v>
      </c>
      <c r="L532" s="143">
        <v>2</v>
      </c>
      <c r="M532" s="143">
        <v>2</v>
      </c>
      <c r="N532" s="201">
        <v>3</v>
      </c>
      <c r="O532" s="294" t="s">
        <v>2168</v>
      </c>
      <c r="P532" s="325" t="s">
        <v>3032</v>
      </c>
      <c r="Q532" s="298"/>
      <c r="R532" s="209">
        <v>35612</v>
      </c>
      <c r="S532" s="301"/>
      <c r="T532" s="81">
        <v>1</v>
      </c>
      <c r="U532" s="78"/>
      <c r="V532" s="69"/>
      <c r="W532" s="69"/>
      <c r="X532" s="69">
        <v>1</v>
      </c>
      <c r="Y532" s="69"/>
      <c r="Z532" s="69"/>
      <c r="AA532" s="69"/>
      <c r="AB532" s="49"/>
    </row>
    <row r="533" spans="1:28" ht="15.6" customHeight="1" x14ac:dyDescent="0.2">
      <c r="A533" s="212">
        <v>531</v>
      </c>
      <c r="B533" s="159" t="str">
        <f t="shared" si="8"/>
        <v>Leucadendron coniferum</v>
      </c>
      <c r="C533" s="160" t="s">
        <v>1970</v>
      </c>
      <c r="D533" s="72" t="s">
        <v>262</v>
      </c>
      <c r="E533" s="72" t="s">
        <v>1972</v>
      </c>
      <c r="F533" s="72" t="s">
        <v>1973</v>
      </c>
      <c r="G533" s="289" t="s">
        <v>3462</v>
      </c>
      <c r="H533" s="166" t="s">
        <v>3227</v>
      </c>
      <c r="I533" s="142">
        <v>2</v>
      </c>
      <c r="J533" s="143">
        <v>3</v>
      </c>
      <c r="K533" s="143">
        <v>2</v>
      </c>
      <c r="L533" s="143">
        <v>2</v>
      </c>
      <c r="M533" s="143">
        <v>2</v>
      </c>
      <c r="N533" s="201">
        <v>2</v>
      </c>
      <c r="O533" s="294" t="s">
        <v>2168</v>
      </c>
      <c r="P533" s="325" t="s">
        <v>3032</v>
      </c>
      <c r="Q533" s="298"/>
      <c r="R533" s="209">
        <v>35612</v>
      </c>
      <c r="S533" s="301"/>
      <c r="T533" s="81">
        <v>1</v>
      </c>
      <c r="U533" s="78">
        <v>1</v>
      </c>
      <c r="V533" s="69">
        <v>1</v>
      </c>
      <c r="W533" s="69">
        <v>1</v>
      </c>
      <c r="X533" s="69">
        <v>1</v>
      </c>
      <c r="Y533" s="69"/>
      <c r="Z533" s="69"/>
      <c r="AA533" s="69"/>
      <c r="AB533" s="49"/>
    </row>
    <row r="534" spans="1:28" ht="15.6" customHeight="1" x14ac:dyDescent="0.2">
      <c r="A534" s="212">
        <v>532</v>
      </c>
      <c r="B534" s="159" t="str">
        <f t="shared" si="8"/>
        <v>Leucadendron salignum</v>
      </c>
      <c r="C534" s="160" t="s">
        <v>1970</v>
      </c>
      <c r="D534" s="72" t="s">
        <v>263</v>
      </c>
      <c r="E534" s="72" t="s">
        <v>1972</v>
      </c>
      <c r="F534" s="72" t="s">
        <v>1974</v>
      </c>
      <c r="G534" s="289" t="s">
        <v>3463</v>
      </c>
      <c r="H534" s="166" t="s">
        <v>3258</v>
      </c>
      <c r="I534" s="142">
        <v>2</v>
      </c>
      <c r="J534" s="143">
        <v>4</v>
      </c>
      <c r="K534" s="143">
        <v>2</v>
      </c>
      <c r="L534" s="143">
        <v>2</v>
      </c>
      <c r="M534" s="143">
        <v>2</v>
      </c>
      <c r="N534" s="201">
        <v>3</v>
      </c>
      <c r="O534" s="294" t="s">
        <v>2168</v>
      </c>
      <c r="P534" s="325" t="s">
        <v>3032</v>
      </c>
      <c r="Q534" s="298"/>
      <c r="R534" s="209">
        <v>35612</v>
      </c>
      <c r="S534" s="301"/>
      <c r="T534" s="81">
        <v>1</v>
      </c>
      <c r="U534" s="78"/>
      <c r="V534" s="69">
        <v>1</v>
      </c>
      <c r="W534" s="69">
        <v>1</v>
      </c>
      <c r="X534" s="69">
        <v>1</v>
      </c>
      <c r="Y534" s="69"/>
      <c r="Z534" s="69"/>
      <c r="AA534" s="69"/>
      <c r="AB534" s="49"/>
    </row>
    <row r="535" spans="1:28" ht="15.6" customHeight="1" x14ac:dyDescent="0.2">
      <c r="A535" s="212">
        <v>533</v>
      </c>
      <c r="B535" s="159" t="str">
        <f t="shared" si="8"/>
        <v>Leucadendron spissifolium ssp. spissifolium</v>
      </c>
      <c r="C535" s="160" t="s">
        <v>1970</v>
      </c>
      <c r="D535" s="72" t="s">
        <v>264</v>
      </c>
      <c r="E535" s="72" t="s">
        <v>1972</v>
      </c>
      <c r="F535" s="72" t="s">
        <v>458</v>
      </c>
      <c r="G535" s="289" t="s">
        <v>3464</v>
      </c>
      <c r="H535" s="166" t="s">
        <v>3258</v>
      </c>
      <c r="I535" s="142">
        <v>2</v>
      </c>
      <c r="J535" s="143">
        <v>4</v>
      </c>
      <c r="K535" s="143">
        <v>2</v>
      </c>
      <c r="L535" s="143">
        <v>2</v>
      </c>
      <c r="M535" s="143">
        <v>2</v>
      </c>
      <c r="N535" s="201">
        <v>2</v>
      </c>
      <c r="O535" s="294" t="s">
        <v>2168</v>
      </c>
      <c r="P535" s="325" t="s">
        <v>3032</v>
      </c>
      <c r="Q535" s="298" t="s">
        <v>2703</v>
      </c>
      <c r="R535" s="209">
        <v>35612</v>
      </c>
      <c r="S535" s="301"/>
      <c r="T535" s="81">
        <v>1</v>
      </c>
      <c r="U535" s="78"/>
      <c r="V535" s="69"/>
      <c r="W535" s="69"/>
      <c r="X535" s="69">
        <v>1</v>
      </c>
      <c r="Y535" s="69"/>
      <c r="Z535" s="69"/>
      <c r="AA535" s="69"/>
      <c r="AB535" s="49"/>
    </row>
    <row r="536" spans="1:28" ht="15.6" customHeight="1" x14ac:dyDescent="0.2">
      <c r="A536" s="212">
        <v>534</v>
      </c>
      <c r="B536" s="159" t="str">
        <f t="shared" si="8"/>
        <v>Leucadendron tinctum</v>
      </c>
      <c r="C536" s="160" t="s">
        <v>1970</v>
      </c>
      <c r="D536" s="72" t="s">
        <v>265</v>
      </c>
      <c r="E536" s="72" t="s">
        <v>1972</v>
      </c>
      <c r="F536" s="72" t="s">
        <v>1975</v>
      </c>
      <c r="G536" s="289" t="s">
        <v>3465</v>
      </c>
      <c r="H536" s="166" t="s">
        <v>3258</v>
      </c>
      <c r="I536" s="142">
        <v>2</v>
      </c>
      <c r="J536" s="143">
        <v>4</v>
      </c>
      <c r="K536" s="143">
        <v>2</v>
      </c>
      <c r="L536" s="143">
        <v>1</v>
      </c>
      <c r="M536" s="143">
        <v>2</v>
      </c>
      <c r="N536" s="201">
        <v>3</v>
      </c>
      <c r="O536" s="294" t="s">
        <v>2168</v>
      </c>
      <c r="P536" s="325" t="s">
        <v>3032</v>
      </c>
      <c r="Q536" s="298"/>
      <c r="R536" s="209">
        <v>35612</v>
      </c>
      <c r="S536" s="301"/>
      <c r="T536" s="81">
        <v>1</v>
      </c>
      <c r="U536" s="78"/>
      <c r="V536" s="69"/>
      <c r="W536" s="69">
        <v>1</v>
      </c>
      <c r="X536" s="69">
        <v>1</v>
      </c>
      <c r="Y536" s="69"/>
      <c r="Z536" s="69"/>
      <c r="AA536" s="69"/>
      <c r="AB536" s="49"/>
    </row>
    <row r="537" spans="1:28" ht="15.6" customHeight="1" x14ac:dyDescent="0.2">
      <c r="A537" s="212">
        <v>535</v>
      </c>
      <c r="B537" s="159" t="str">
        <f t="shared" si="8"/>
        <v>Leucadendron xanthoconus</v>
      </c>
      <c r="C537" s="160" t="s">
        <v>1970</v>
      </c>
      <c r="D537" s="72" t="s">
        <v>266</v>
      </c>
      <c r="E537" s="72" t="s">
        <v>1972</v>
      </c>
      <c r="F537" s="72" t="s">
        <v>1976</v>
      </c>
      <c r="G537" s="289" t="s">
        <v>3466</v>
      </c>
      <c r="H537" s="166" t="s">
        <v>3258</v>
      </c>
      <c r="I537" s="142">
        <v>2</v>
      </c>
      <c r="J537" s="143">
        <v>4</v>
      </c>
      <c r="K537" s="143">
        <v>2</v>
      </c>
      <c r="L537" s="143">
        <v>2</v>
      </c>
      <c r="M537" s="143">
        <v>2</v>
      </c>
      <c r="N537" s="201">
        <v>2</v>
      </c>
      <c r="O537" s="294" t="s">
        <v>2168</v>
      </c>
      <c r="P537" s="325" t="s">
        <v>3032</v>
      </c>
      <c r="Q537" s="298"/>
      <c r="R537" s="209">
        <v>35612</v>
      </c>
      <c r="S537" s="301"/>
      <c r="T537" s="81">
        <v>1</v>
      </c>
      <c r="U537" s="78"/>
      <c r="V537" s="69"/>
      <c r="W537" s="69"/>
      <c r="X537" s="69">
        <v>1</v>
      </c>
      <c r="Y537" s="69"/>
      <c r="Z537" s="69"/>
      <c r="AA537" s="69"/>
      <c r="AB537" s="49"/>
    </row>
    <row r="538" spans="1:28" ht="15.6" customHeight="1" x14ac:dyDescent="0.2">
      <c r="A538" s="212">
        <v>536</v>
      </c>
      <c r="B538" s="159" t="str">
        <f t="shared" si="8"/>
        <v>Leucospermum patersonii</v>
      </c>
      <c r="C538" s="160" t="s">
        <v>1970</v>
      </c>
      <c r="D538" s="72" t="s">
        <v>267</v>
      </c>
      <c r="E538" s="72" t="s">
        <v>1977</v>
      </c>
      <c r="F538" s="72" t="s">
        <v>1986</v>
      </c>
      <c r="G538" s="289" t="s">
        <v>3467</v>
      </c>
      <c r="H538" s="166" t="s">
        <v>3258</v>
      </c>
      <c r="I538" s="142">
        <v>2</v>
      </c>
      <c r="J538" s="143">
        <v>4</v>
      </c>
      <c r="K538" s="143">
        <v>2</v>
      </c>
      <c r="L538" s="143">
        <v>1</v>
      </c>
      <c r="M538" s="143">
        <v>2</v>
      </c>
      <c r="N538" s="201">
        <v>2</v>
      </c>
      <c r="O538" s="294" t="s">
        <v>2168</v>
      </c>
      <c r="P538" s="325" t="s">
        <v>3032</v>
      </c>
      <c r="Q538" s="298"/>
      <c r="R538" s="209">
        <v>35612</v>
      </c>
      <c r="S538" s="301"/>
      <c r="T538" s="81">
        <v>1</v>
      </c>
      <c r="U538" s="78"/>
      <c r="V538" s="69">
        <v>1</v>
      </c>
      <c r="W538" s="69">
        <v>1</v>
      </c>
      <c r="X538" s="69">
        <v>1</v>
      </c>
      <c r="Y538" s="69"/>
      <c r="Z538" s="69"/>
      <c r="AA538" s="69"/>
      <c r="AB538" s="49">
        <v>1</v>
      </c>
    </row>
    <row r="539" spans="1:28" ht="15.6" customHeight="1" x14ac:dyDescent="0.2">
      <c r="A539" s="212">
        <v>537</v>
      </c>
      <c r="B539" s="159" t="str">
        <f t="shared" si="8"/>
        <v>Leucospermum prostratum</v>
      </c>
      <c r="C539" s="160" t="s">
        <v>1970</v>
      </c>
      <c r="D539" s="72" t="s">
        <v>268</v>
      </c>
      <c r="E539" s="72" t="s">
        <v>1977</v>
      </c>
      <c r="F539" s="72" t="s">
        <v>1987</v>
      </c>
      <c r="G539" s="289" t="s">
        <v>3468</v>
      </c>
      <c r="H539" s="166" t="s">
        <v>3292</v>
      </c>
      <c r="I539" s="142">
        <v>2</v>
      </c>
      <c r="J539" s="143">
        <v>6</v>
      </c>
      <c r="K539" s="143">
        <v>3</v>
      </c>
      <c r="L539" s="143">
        <v>2</v>
      </c>
      <c r="M539" s="143">
        <v>2</v>
      </c>
      <c r="N539" s="201">
        <v>3</v>
      </c>
      <c r="O539" s="294" t="s">
        <v>3031</v>
      </c>
      <c r="P539" s="325" t="s">
        <v>3032</v>
      </c>
      <c r="Q539" s="298"/>
      <c r="R539" s="209">
        <v>35612</v>
      </c>
      <c r="S539" s="301"/>
      <c r="T539" s="81">
        <v>1</v>
      </c>
      <c r="U539" s="78"/>
      <c r="V539" s="69"/>
      <c r="W539" s="69"/>
      <c r="X539" s="69">
        <v>1</v>
      </c>
      <c r="Y539" s="69"/>
      <c r="Z539" s="69"/>
      <c r="AA539" s="69"/>
      <c r="AB539" s="49"/>
    </row>
    <row r="540" spans="1:28" ht="15.6" customHeight="1" x14ac:dyDescent="0.2">
      <c r="A540" s="212">
        <v>538</v>
      </c>
      <c r="B540" s="159" t="str">
        <f t="shared" si="8"/>
        <v>Mimetes cucullatus</v>
      </c>
      <c r="C540" s="160" t="s">
        <v>1970</v>
      </c>
      <c r="D540" s="72" t="s">
        <v>269</v>
      </c>
      <c r="E540" s="72" t="s">
        <v>1988</v>
      </c>
      <c r="F540" s="72" t="s">
        <v>1989</v>
      </c>
      <c r="G540" s="289" t="s">
        <v>3469</v>
      </c>
      <c r="H540" s="166" t="s">
        <v>3258</v>
      </c>
      <c r="I540" s="142">
        <v>2</v>
      </c>
      <c r="J540" s="143">
        <v>4</v>
      </c>
      <c r="K540" s="143">
        <v>2</v>
      </c>
      <c r="L540" s="143">
        <v>1</v>
      </c>
      <c r="M540" s="143">
        <v>2</v>
      </c>
      <c r="N540" s="201">
        <v>2</v>
      </c>
      <c r="O540" s="294" t="s">
        <v>2168</v>
      </c>
      <c r="P540" s="325" t="s">
        <v>3032</v>
      </c>
      <c r="Q540" s="298"/>
      <c r="R540" s="209">
        <v>35612</v>
      </c>
      <c r="S540" s="301"/>
      <c r="T540" s="81">
        <v>1</v>
      </c>
      <c r="U540" s="78"/>
      <c r="V540" s="69"/>
      <c r="W540" s="69"/>
      <c r="X540" s="69">
        <v>1</v>
      </c>
      <c r="Y540" s="69"/>
      <c r="Z540" s="69"/>
      <c r="AA540" s="69"/>
      <c r="AB540" s="49"/>
    </row>
    <row r="541" spans="1:28" ht="15.6" customHeight="1" x14ac:dyDescent="0.2">
      <c r="A541" s="212">
        <v>539</v>
      </c>
      <c r="B541" s="159" t="str">
        <f t="shared" si="8"/>
        <v>Protea acaulos</v>
      </c>
      <c r="C541" s="160" t="s">
        <v>1970</v>
      </c>
      <c r="D541" s="72" t="s">
        <v>270</v>
      </c>
      <c r="E541" s="72" t="s">
        <v>1990</v>
      </c>
      <c r="F541" s="72" t="s">
        <v>1991</v>
      </c>
      <c r="G541" s="289" t="s">
        <v>3470</v>
      </c>
      <c r="H541" s="166" t="s">
        <v>3292</v>
      </c>
      <c r="I541" s="142">
        <v>2</v>
      </c>
      <c r="J541" s="143">
        <v>6</v>
      </c>
      <c r="K541" s="143">
        <v>2</v>
      </c>
      <c r="L541" s="143">
        <v>2</v>
      </c>
      <c r="M541" s="143">
        <v>2</v>
      </c>
      <c r="N541" s="201">
        <v>1</v>
      </c>
      <c r="O541" s="294" t="s">
        <v>3031</v>
      </c>
      <c r="P541" s="325" t="s">
        <v>3032</v>
      </c>
      <c r="Q541" s="298"/>
      <c r="R541" s="209">
        <v>35612</v>
      </c>
      <c r="S541" s="301"/>
      <c r="T541" s="81">
        <v>1</v>
      </c>
      <c r="U541" s="78"/>
      <c r="V541" s="69"/>
      <c r="W541" s="69"/>
      <c r="X541" s="69">
        <v>1</v>
      </c>
      <c r="Y541" s="69"/>
      <c r="Z541" s="69"/>
      <c r="AA541" s="69"/>
      <c r="AB541" s="49"/>
    </row>
    <row r="542" spans="1:28" ht="15.6" customHeight="1" x14ac:dyDescent="0.2">
      <c r="A542" s="212">
        <v>540</v>
      </c>
      <c r="B542" s="159" t="str">
        <f t="shared" si="8"/>
        <v>Protea cynaroides</v>
      </c>
      <c r="C542" s="160" t="s">
        <v>1970</v>
      </c>
      <c r="D542" s="72" t="s">
        <v>271</v>
      </c>
      <c r="E542" s="72" t="s">
        <v>1990</v>
      </c>
      <c r="F542" s="72" t="s">
        <v>1992</v>
      </c>
      <c r="G542" s="289" t="s">
        <v>3471</v>
      </c>
      <c r="H542" s="166" t="s">
        <v>3227</v>
      </c>
      <c r="I542" s="142">
        <v>2</v>
      </c>
      <c r="J542" s="143">
        <v>3</v>
      </c>
      <c r="K542" s="143">
        <v>2</v>
      </c>
      <c r="L542" s="143">
        <v>1</v>
      </c>
      <c r="M542" s="143">
        <v>2</v>
      </c>
      <c r="N542" s="201">
        <v>1</v>
      </c>
      <c r="O542" s="294" t="s">
        <v>2168</v>
      </c>
      <c r="P542" s="325" t="s">
        <v>3032</v>
      </c>
      <c r="Q542" s="298"/>
      <c r="R542" s="209">
        <v>35612</v>
      </c>
      <c r="S542" s="301"/>
      <c r="T542" s="81">
        <v>1</v>
      </c>
      <c r="U542" s="78"/>
      <c r="V542" s="69"/>
      <c r="W542" s="69">
        <v>1</v>
      </c>
      <c r="X542" s="69">
        <v>1</v>
      </c>
      <c r="Y542" s="69"/>
      <c r="Z542" s="69"/>
      <c r="AA542" s="69"/>
      <c r="AB542" s="49"/>
    </row>
    <row r="543" spans="1:28" ht="15.6" customHeight="1" x14ac:dyDescent="0.2">
      <c r="A543" s="212">
        <v>541</v>
      </c>
      <c r="B543" s="159" t="str">
        <f t="shared" si="8"/>
        <v>Protea longifolia</v>
      </c>
      <c r="C543" s="160" t="s">
        <v>1970</v>
      </c>
      <c r="D543" s="72" t="s">
        <v>272</v>
      </c>
      <c r="E543" s="72" t="s">
        <v>1990</v>
      </c>
      <c r="F543" s="72" t="s">
        <v>883</v>
      </c>
      <c r="G543" s="289" t="s">
        <v>3472</v>
      </c>
      <c r="H543" s="166" t="s">
        <v>3258</v>
      </c>
      <c r="I543" s="142">
        <v>2</v>
      </c>
      <c r="J543" s="143">
        <v>4</v>
      </c>
      <c r="K543" s="143">
        <v>2</v>
      </c>
      <c r="L543" s="143">
        <v>2</v>
      </c>
      <c r="M543" s="143">
        <v>2</v>
      </c>
      <c r="N543" s="201">
        <v>1</v>
      </c>
      <c r="O543" s="294" t="s">
        <v>2168</v>
      </c>
      <c r="P543" s="325" t="s">
        <v>3032</v>
      </c>
      <c r="Q543" s="298" t="s">
        <v>3144</v>
      </c>
      <c r="R543" s="209">
        <v>35612</v>
      </c>
      <c r="S543" s="301"/>
      <c r="T543" s="81">
        <v>1</v>
      </c>
      <c r="U543" s="78"/>
      <c r="V543" s="69"/>
      <c r="W543" s="69"/>
      <c r="X543" s="69">
        <v>1</v>
      </c>
      <c r="Y543" s="69"/>
      <c r="Z543" s="69"/>
      <c r="AA543" s="69"/>
      <c r="AB543" s="49"/>
    </row>
    <row r="544" spans="1:28" ht="15.6" customHeight="1" x14ac:dyDescent="0.2">
      <c r="A544" s="212">
        <v>542</v>
      </c>
      <c r="B544" s="159" t="str">
        <f t="shared" si="8"/>
        <v>Protea obtusifolia</v>
      </c>
      <c r="C544" s="160" t="s">
        <v>1970</v>
      </c>
      <c r="D544" s="72" t="s">
        <v>273</v>
      </c>
      <c r="E544" s="72" t="s">
        <v>1990</v>
      </c>
      <c r="F544" s="72" t="s">
        <v>1993</v>
      </c>
      <c r="G544" s="289" t="s">
        <v>3473</v>
      </c>
      <c r="H544" s="166" t="s">
        <v>3227</v>
      </c>
      <c r="I544" s="142">
        <v>2</v>
      </c>
      <c r="J544" s="143">
        <v>3</v>
      </c>
      <c r="K544" s="143">
        <v>2</v>
      </c>
      <c r="L544" s="143">
        <v>2</v>
      </c>
      <c r="M544" s="143">
        <v>2</v>
      </c>
      <c r="N544" s="201">
        <v>1</v>
      </c>
      <c r="O544" s="294" t="s">
        <v>2168</v>
      </c>
      <c r="P544" s="325" t="s">
        <v>3032</v>
      </c>
      <c r="Q544" s="298"/>
      <c r="R544" s="209">
        <v>35612</v>
      </c>
      <c r="S544" s="301"/>
      <c r="T544" s="81">
        <v>1</v>
      </c>
      <c r="U544" s="78"/>
      <c r="V544" s="69">
        <v>1</v>
      </c>
      <c r="W544" s="69"/>
      <c r="X544" s="69"/>
      <c r="Y544" s="69"/>
      <c r="Z544" s="69"/>
      <c r="AA544" s="69"/>
      <c r="AB544" s="49"/>
    </row>
    <row r="545" spans="1:28" ht="15.6" customHeight="1" x14ac:dyDescent="0.2">
      <c r="A545" s="212">
        <v>543</v>
      </c>
      <c r="B545" s="159" t="str">
        <f t="shared" si="8"/>
        <v>Protea repens</v>
      </c>
      <c r="C545" s="160" t="s">
        <v>1970</v>
      </c>
      <c r="D545" s="72" t="s">
        <v>274</v>
      </c>
      <c r="E545" s="72" t="s">
        <v>1990</v>
      </c>
      <c r="F545" s="72" t="s">
        <v>814</v>
      </c>
      <c r="G545" s="289" t="s">
        <v>3474</v>
      </c>
      <c r="H545" s="166" t="s">
        <v>3227</v>
      </c>
      <c r="I545" s="142">
        <v>2</v>
      </c>
      <c r="J545" s="143">
        <v>3</v>
      </c>
      <c r="K545" s="143">
        <v>2</v>
      </c>
      <c r="L545" s="143">
        <v>2</v>
      </c>
      <c r="M545" s="143">
        <v>2</v>
      </c>
      <c r="N545" s="201">
        <v>2</v>
      </c>
      <c r="O545" s="294" t="s">
        <v>2168</v>
      </c>
      <c r="P545" s="325" t="s">
        <v>3032</v>
      </c>
      <c r="Q545" s="298"/>
      <c r="R545" s="209">
        <v>35612</v>
      </c>
      <c r="S545" s="301"/>
      <c r="T545" s="81">
        <v>1</v>
      </c>
      <c r="U545" s="78"/>
      <c r="V545" s="69"/>
      <c r="W545" s="69">
        <v>1</v>
      </c>
      <c r="X545" s="69">
        <v>1</v>
      </c>
      <c r="Y545" s="69"/>
      <c r="Z545" s="69"/>
      <c r="AA545" s="69"/>
      <c r="AB545" s="49">
        <v>1</v>
      </c>
    </row>
    <row r="546" spans="1:28" ht="15.6" customHeight="1" x14ac:dyDescent="0.2">
      <c r="A546" s="212">
        <v>544</v>
      </c>
      <c r="B546" s="159" t="str">
        <f t="shared" si="8"/>
        <v>Protea speciosa</v>
      </c>
      <c r="C546" s="160" t="s">
        <v>1970</v>
      </c>
      <c r="D546" s="72" t="s">
        <v>275</v>
      </c>
      <c r="E546" s="72" t="s">
        <v>1990</v>
      </c>
      <c r="F546" s="72" t="s">
        <v>1779</v>
      </c>
      <c r="G546" s="289" t="s">
        <v>3475</v>
      </c>
      <c r="H546" s="166" t="s">
        <v>3258</v>
      </c>
      <c r="I546" s="142">
        <v>2</v>
      </c>
      <c r="J546" s="143">
        <v>4</v>
      </c>
      <c r="K546" s="143">
        <v>2</v>
      </c>
      <c r="L546" s="143">
        <v>1</v>
      </c>
      <c r="M546" s="143">
        <v>2</v>
      </c>
      <c r="N546" s="201">
        <v>2</v>
      </c>
      <c r="O546" s="294" t="s">
        <v>2168</v>
      </c>
      <c r="P546" s="325" t="s">
        <v>3032</v>
      </c>
      <c r="Q546" s="298"/>
      <c r="R546" s="209">
        <v>35855</v>
      </c>
      <c r="S546" s="301"/>
      <c r="T546" s="81">
        <v>1</v>
      </c>
      <c r="U546" s="78">
        <v>1</v>
      </c>
      <c r="V546" s="69">
        <v>1</v>
      </c>
      <c r="W546" s="69">
        <v>1</v>
      </c>
      <c r="X546" s="69">
        <v>1</v>
      </c>
      <c r="Y546" s="69"/>
      <c r="Z546" s="69"/>
      <c r="AA546" s="69"/>
      <c r="AB546" s="49">
        <v>1</v>
      </c>
    </row>
    <row r="547" spans="1:28" ht="15.6" customHeight="1" x14ac:dyDescent="0.2">
      <c r="A547" s="212">
        <v>545</v>
      </c>
      <c r="B547" s="159" t="str">
        <f t="shared" si="8"/>
        <v>Adiantum aethiopicum</v>
      </c>
      <c r="C547" s="160" t="s">
        <v>1994</v>
      </c>
      <c r="D547" s="72"/>
      <c r="E547" s="72" t="s">
        <v>1995</v>
      </c>
      <c r="F547" s="72" t="s">
        <v>1996</v>
      </c>
      <c r="G547" s="289" t="s">
        <v>3476</v>
      </c>
      <c r="H547" s="166" t="s">
        <v>3245</v>
      </c>
      <c r="I547" s="142">
        <v>3</v>
      </c>
      <c r="J547" s="143">
        <v>6</v>
      </c>
      <c r="K547" s="143">
        <v>2</v>
      </c>
      <c r="L547" s="143">
        <v>5</v>
      </c>
      <c r="M547" s="143">
        <v>1</v>
      </c>
      <c r="N547" s="201">
        <v>3</v>
      </c>
      <c r="O547" s="294" t="s">
        <v>2171</v>
      </c>
      <c r="P547" s="325" t="s">
        <v>3032</v>
      </c>
      <c r="Q547" s="298"/>
      <c r="R547" s="209">
        <v>35612</v>
      </c>
      <c r="S547" s="301"/>
      <c r="T547" s="81">
        <v>1</v>
      </c>
      <c r="U547" s="78"/>
      <c r="V547" s="69"/>
      <c r="W547" s="69">
        <v>1</v>
      </c>
      <c r="X547" s="69"/>
      <c r="Y547" s="69">
        <v>1</v>
      </c>
      <c r="Z547" s="69">
        <v>1</v>
      </c>
      <c r="AA547" s="69"/>
      <c r="AB547" s="49"/>
    </row>
    <row r="548" spans="1:28" ht="15.6" customHeight="1" x14ac:dyDescent="0.2">
      <c r="A548" s="212">
        <v>546</v>
      </c>
      <c r="B548" s="159" t="str">
        <f t="shared" si="8"/>
        <v>Adiantum capillus-veneris</v>
      </c>
      <c r="C548" s="160" t="s">
        <v>1994</v>
      </c>
      <c r="D548" s="72"/>
      <c r="E548" s="72" t="s">
        <v>1995</v>
      </c>
      <c r="F548" s="72" t="s">
        <v>1997</v>
      </c>
      <c r="G548" s="289" t="s">
        <v>3477</v>
      </c>
      <c r="H548" s="166" t="s">
        <v>3245</v>
      </c>
      <c r="I548" s="142">
        <v>3</v>
      </c>
      <c r="J548" s="143">
        <v>6</v>
      </c>
      <c r="K548" s="143">
        <v>2</v>
      </c>
      <c r="L548" s="143">
        <v>5</v>
      </c>
      <c r="M548" s="143">
        <v>1</v>
      </c>
      <c r="N548" s="201">
        <v>3</v>
      </c>
      <c r="O548" s="294" t="s">
        <v>2171</v>
      </c>
      <c r="P548" s="325" t="s">
        <v>3032</v>
      </c>
      <c r="Q548" s="298"/>
      <c r="R548" s="209">
        <v>35855</v>
      </c>
      <c r="S548" s="301"/>
      <c r="T548" s="81">
        <v>1</v>
      </c>
      <c r="U548" s="78"/>
      <c r="V548" s="69"/>
      <c r="W548" s="69"/>
      <c r="X548" s="69"/>
      <c r="Y548" s="69"/>
      <c r="Z548" s="69">
        <v>1</v>
      </c>
      <c r="AA548" s="69"/>
      <c r="AB548" s="49"/>
    </row>
    <row r="549" spans="1:28" ht="15.6" customHeight="1" x14ac:dyDescent="0.2">
      <c r="A549" s="212">
        <v>547</v>
      </c>
      <c r="B549" s="159" t="str">
        <f t="shared" si="8"/>
        <v>Pteris dentata</v>
      </c>
      <c r="C549" s="160" t="s">
        <v>1994</v>
      </c>
      <c r="D549" s="72"/>
      <c r="E549" s="72" t="s">
        <v>1998</v>
      </c>
      <c r="F549" s="72" t="s">
        <v>712</v>
      </c>
      <c r="G549" s="289" t="s">
        <v>3478</v>
      </c>
      <c r="H549" s="166" t="s">
        <v>3229</v>
      </c>
      <c r="I549" s="142">
        <v>3</v>
      </c>
      <c r="J549" s="143">
        <v>4</v>
      </c>
      <c r="K549" s="143">
        <v>2</v>
      </c>
      <c r="L549" s="143">
        <v>5</v>
      </c>
      <c r="M549" s="143">
        <v>1</v>
      </c>
      <c r="N549" s="201">
        <v>1</v>
      </c>
      <c r="O549" s="294" t="s">
        <v>2171</v>
      </c>
      <c r="P549" s="325" t="s">
        <v>3032</v>
      </c>
      <c r="Q549" s="298"/>
      <c r="R549" s="209">
        <v>35612</v>
      </c>
      <c r="S549" s="301"/>
      <c r="T549" s="81">
        <v>1</v>
      </c>
      <c r="U549" s="78"/>
      <c r="V549" s="69"/>
      <c r="W549" s="69"/>
      <c r="X549" s="69"/>
      <c r="Y549" s="69"/>
      <c r="Z549" s="69">
        <v>1</v>
      </c>
      <c r="AA549" s="69"/>
      <c r="AB549" s="49"/>
    </row>
    <row r="550" spans="1:28" ht="15.6" customHeight="1" x14ac:dyDescent="0.2">
      <c r="A550" s="212">
        <v>548</v>
      </c>
      <c r="B550" s="159" t="str">
        <f t="shared" si="8"/>
        <v>Knowltonia vesicatoria ssp. grossa</v>
      </c>
      <c r="C550" s="160" t="s">
        <v>1999</v>
      </c>
      <c r="D550" s="72"/>
      <c r="E550" s="72" t="s">
        <v>2000</v>
      </c>
      <c r="F550" s="72" t="s">
        <v>2001</v>
      </c>
      <c r="G550" s="289" t="s">
        <v>3479</v>
      </c>
      <c r="H550" s="166" t="s">
        <v>3309</v>
      </c>
      <c r="I550" s="142">
        <v>3</v>
      </c>
      <c r="J550" s="143">
        <v>4</v>
      </c>
      <c r="K550" s="143">
        <v>2</v>
      </c>
      <c r="L550" s="143">
        <v>1</v>
      </c>
      <c r="M550" s="143">
        <v>2</v>
      </c>
      <c r="N550" s="201">
        <v>2</v>
      </c>
      <c r="O550" s="294" t="s">
        <v>2910</v>
      </c>
      <c r="P550" s="325" t="s">
        <v>3032</v>
      </c>
      <c r="Q550" s="298"/>
      <c r="R550" s="209">
        <v>35612</v>
      </c>
      <c r="S550" s="301" t="s">
        <v>2250</v>
      </c>
      <c r="T550" s="81"/>
      <c r="U550" s="78"/>
      <c r="V550" s="69">
        <v>1</v>
      </c>
      <c r="W550" s="69"/>
      <c r="X550" s="69">
        <v>1</v>
      </c>
      <c r="Y550" s="69">
        <v>1</v>
      </c>
      <c r="Z550" s="69"/>
      <c r="AA550" s="69"/>
      <c r="AB550" s="49"/>
    </row>
    <row r="551" spans="1:28" ht="15.6" customHeight="1" x14ac:dyDescent="0.2">
      <c r="A551" s="212">
        <v>549</v>
      </c>
      <c r="B551" s="159" t="str">
        <f t="shared" si="8"/>
        <v>Knowltonia vesicatoria ssp. humilis</v>
      </c>
      <c r="C551" s="160" t="s">
        <v>1999</v>
      </c>
      <c r="D551" s="72"/>
      <c r="E551" s="72" t="s">
        <v>2000</v>
      </c>
      <c r="F551" s="72" t="s">
        <v>2002</v>
      </c>
      <c r="G551" s="289" t="s">
        <v>3479</v>
      </c>
      <c r="H551" s="166" t="s">
        <v>3309</v>
      </c>
      <c r="I551" s="142">
        <v>3</v>
      </c>
      <c r="J551" s="143">
        <v>4</v>
      </c>
      <c r="K551" s="143">
        <v>2</v>
      </c>
      <c r="L551" s="143">
        <v>1</v>
      </c>
      <c r="M551" s="143">
        <v>2</v>
      </c>
      <c r="N551" s="201">
        <v>3</v>
      </c>
      <c r="O551" s="294" t="s">
        <v>2910</v>
      </c>
      <c r="P551" s="325" t="s">
        <v>3032</v>
      </c>
      <c r="Q551" s="298"/>
      <c r="R551" s="209">
        <v>35612</v>
      </c>
      <c r="S551" s="301"/>
      <c r="T551" s="81">
        <v>1</v>
      </c>
      <c r="U551" s="78">
        <v>1</v>
      </c>
      <c r="V551" s="69">
        <v>1</v>
      </c>
      <c r="W551" s="69">
        <v>1</v>
      </c>
      <c r="X551" s="69">
        <v>1</v>
      </c>
      <c r="Y551" s="69"/>
      <c r="Z551" s="69"/>
      <c r="AA551" s="69"/>
      <c r="AB551" s="49"/>
    </row>
    <row r="552" spans="1:28" ht="15.6" customHeight="1" x14ac:dyDescent="0.2">
      <c r="A552" s="212">
        <v>550</v>
      </c>
      <c r="B552" s="159" t="str">
        <f t="shared" si="8"/>
        <v>Calopsis adpressa</v>
      </c>
      <c r="C552" s="160" t="s">
        <v>2003</v>
      </c>
      <c r="D552" s="72"/>
      <c r="E552" s="72" t="s">
        <v>2004</v>
      </c>
      <c r="F552" s="72" t="s">
        <v>2005</v>
      </c>
      <c r="G552" s="289" t="s">
        <v>3480</v>
      </c>
      <c r="H552" s="166" t="s">
        <v>3276</v>
      </c>
      <c r="I552" s="142">
        <v>5</v>
      </c>
      <c r="J552" s="143">
        <v>9</v>
      </c>
      <c r="K552" s="143">
        <v>0</v>
      </c>
      <c r="L552" s="143">
        <v>7</v>
      </c>
      <c r="M552" s="143">
        <v>0</v>
      </c>
      <c r="N552" s="201">
        <v>0</v>
      </c>
      <c r="O552" s="294" t="s">
        <v>2176</v>
      </c>
      <c r="P552" s="325" t="s">
        <v>3032</v>
      </c>
      <c r="Q552" s="298"/>
      <c r="R552" s="209">
        <v>35796</v>
      </c>
      <c r="S552" s="301"/>
      <c r="T552" s="79">
        <v>1</v>
      </c>
      <c r="U552" s="78"/>
      <c r="V552" s="69">
        <v>1</v>
      </c>
      <c r="W552" s="69"/>
      <c r="X552" s="69"/>
      <c r="Y552" s="69"/>
      <c r="Z552" s="69"/>
      <c r="AA552" s="69"/>
      <c r="AB552" s="49"/>
    </row>
    <row r="553" spans="1:28" ht="15.6" customHeight="1" x14ac:dyDescent="0.2">
      <c r="A553" s="212">
        <v>551</v>
      </c>
      <c r="B553" s="159" t="str">
        <f t="shared" si="8"/>
        <v>Calopsis viminea</v>
      </c>
      <c r="C553" s="160" t="s">
        <v>2003</v>
      </c>
      <c r="D553" s="72"/>
      <c r="E553" s="72" t="s">
        <v>2004</v>
      </c>
      <c r="F553" s="72" t="s">
        <v>2006</v>
      </c>
      <c r="G553" s="289" t="s">
        <v>3481</v>
      </c>
      <c r="H553" s="166" t="s">
        <v>3310</v>
      </c>
      <c r="I553" s="142">
        <v>5</v>
      </c>
      <c r="J553" s="143">
        <v>5</v>
      </c>
      <c r="K553" s="143">
        <v>0</v>
      </c>
      <c r="L553" s="143">
        <v>7</v>
      </c>
      <c r="M553" s="143">
        <v>0</v>
      </c>
      <c r="N553" s="201">
        <v>0</v>
      </c>
      <c r="O553" s="294" t="s">
        <v>2176</v>
      </c>
      <c r="P553" s="325" t="s">
        <v>3032</v>
      </c>
      <c r="Q553" s="298"/>
      <c r="R553" s="209">
        <v>36892</v>
      </c>
      <c r="S553" s="301" t="s">
        <v>2250</v>
      </c>
      <c r="T553" s="48"/>
      <c r="U553" s="78">
        <v>1</v>
      </c>
      <c r="V553" s="69"/>
      <c r="W553" s="69"/>
      <c r="X553" s="69"/>
      <c r="Y553" s="69"/>
      <c r="Z553" s="69"/>
      <c r="AA553" s="69"/>
      <c r="AB553" s="49"/>
    </row>
    <row r="554" spans="1:28" ht="15.6" customHeight="1" x14ac:dyDescent="0.2">
      <c r="A554" s="212">
        <v>552</v>
      </c>
      <c r="B554" s="159" t="str">
        <f t="shared" si="8"/>
        <v>Cannomois virgata</v>
      </c>
      <c r="C554" s="160" t="s">
        <v>2003</v>
      </c>
      <c r="D554" s="72"/>
      <c r="E554" s="72" t="s">
        <v>2007</v>
      </c>
      <c r="F554" s="72" t="s">
        <v>1661</v>
      </c>
      <c r="G554" s="289" t="s">
        <v>3482</v>
      </c>
      <c r="H554" s="166" t="s">
        <v>3311</v>
      </c>
      <c r="I554" s="142">
        <v>5</v>
      </c>
      <c r="J554" s="143">
        <v>3</v>
      </c>
      <c r="K554" s="143">
        <v>0</v>
      </c>
      <c r="L554" s="143">
        <v>7</v>
      </c>
      <c r="M554" s="143">
        <v>0</v>
      </c>
      <c r="N554" s="201">
        <v>0</v>
      </c>
      <c r="O554" s="294" t="s">
        <v>2176</v>
      </c>
      <c r="P554" s="325" t="s">
        <v>3032</v>
      </c>
      <c r="Q554" s="298"/>
      <c r="R554" s="209">
        <v>36586</v>
      </c>
      <c r="S554" s="301" t="s">
        <v>2250</v>
      </c>
      <c r="T554" s="48"/>
      <c r="U554" s="78"/>
      <c r="V554" s="69"/>
      <c r="W554" s="69"/>
      <c r="X554" s="69"/>
      <c r="Y554" s="69"/>
      <c r="Z554" s="69"/>
      <c r="AA554" s="69">
        <v>1</v>
      </c>
      <c r="AB554" s="49"/>
    </row>
    <row r="555" spans="1:28" ht="15.6" customHeight="1" x14ac:dyDescent="0.2">
      <c r="A555" s="212">
        <v>553</v>
      </c>
      <c r="B555" s="159" t="str">
        <f t="shared" si="8"/>
        <v>Chondropetalum ebracteatum</v>
      </c>
      <c r="C555" s="160" t="s">
        <v>2003</v>
      </c>
      <c r="D555" s="72"/>
      <c r="E555" s="72" t="s">
        <v>2008</v>
      </c>
      <c r="F555" s="72" t="s">
        <v>2927</v>
      </c>
      <c r="G555" s="289" t="s">
        <v>3483</v>
      </c>
      <c r="H555" s="166" t="s">
        <v>3276</v>
      </c>
      <c r="I555" s="142">
        <v>5</v>
      </c>
      <c r="J555" s="143">
        <v>9</v>
      </c>
      <c r="K555" s="143">
        <v>0</v>
      </c>
      <c r="L555" s="143">
        <v>7</v>
      </c>
      <c r="M555" s="143">
        <v>0</v>
      </c>
      <c r="N555" s="201">
        <v>0</v>
      </c>
      <c r="O555" s="294" t="s">
        <v>2176</v>
      </c>
      <c r="P555" s="325" t="s">
        <v>3032</v>
      </c>
      <c r="Q555" s="298"/>
      <c r="R555" s="209">
        <v>35796</v>
      </c>
      <c r="S555" s="301"/>
      <c r="T555" s="81">
        <v>1</v>
      </c>
      <c r="U555" s="80"/>
      <c r="V555" s="69"/>
      <c r="W555" s="69"/>
      <c r="X555" s="69"/>
      <c r="Y555" s="69"/>
      <c r="Z555" s="69"/>
      <c r="AA555" s="69"/>
      <c r="AB555" s="49"/>
    </row>
    <row r="556" spans="1:28" ht="15.6" customHeight="1" x14ac:dyDescent="0.2">
      <c r="A556" s="212">
        <v>554</v>
      </c>
      <c r="B556" s="159" t="str">
        <f t="shared" si="8"/>
        <v>Chondropetalum microcarpum</v>
      </c>
      <c r="C556" s="160" t="s">
        <v>2003</v>
      </c>
      <c r="D556" s="72"/>
      <c r="E556" s="72" t="s">
        <v>2008</v>
      </c>
      <c r="F556" s="72" t="s">
        <v>2009</v>
      </c>
      <c r="G556" s="289" t="s">
        <v>3484</v>
      </c>
      <c r="H556" s="166" t="s">
        <v>3276</v>
      </c>
      <c r="I556" s="142">
        <v>5</v>
      </c>
      <c r="J556" s="143">
        <v>9</v>
      </c>
      <c r="K556" s="143">
        <v>0</v>
      </c>
      <c r="L556" s="143">
        <v>7</v>
      </c>
      <c r="M556" s="143">
        <v>0</v>
      </c>
      <c r="N556" s="201">
        <v>0</v>
      </c>
      <c r="O556" s="294" t="s">
        <v>2176</v>
      </c>
      <c r="P556" s="325" t="s">
        <v>3032</v>
      </c>
      <c r="Q556" s="298"/>
      <c r="R556" s="209">
        <v>35612</v>
      </c>
      <c r="S556" s="301"/>
      <c r="T556" s="81">
        <v>1</v>
      </c>
      <c r="U556" s="78"/>
      <c r="V556" s="69">
        <v>1</v>
      </c>
      <c r="W556" s="69">
        <v>1</v>
      </c>
      <c r="X556" s="69"/>
      <c r="Y556" s="69"/>
      <c r="Z556" s="69"/>
      <c r="AA556" s="69"/>
      <c r="AB556" s="49"/>
    </row>
    <row r="557" spans="1:28" ht="15.6" customHeight="1" x14ac:dyDescent="0.2">
      <c r="A557" s="212">
        <v>555</v>
      </c>
      <c r="B557" s="159" t="str">
        <f t="shared" si="8"/>
        <v>Chondropetalum tectorum</v>
      </c>
      <c r="C557" s="160" t="s">
        <v>2003</v>
      </c>
      <c r="D557" s="72" t="s">
        <v>276</v>
      </c>
      <c r="E557" s="72" t="s">
        <v>2008</v>
      </c>
      <c r="F557" s="72" t="s">
        <v>2010</v>
      </c>
      <c r="G557" s="289" t="s">
        <v>3485</v>
      </c>
      <c r="H557" s="166" t="s">
        <v>3310</v>
      </c>
      <c r="I557" s="142">
        <v>5</v>
      </c>
      <c r="J557" s="143">
        <v>5</v>
      </c>
      <c r="K557" s="143">
        <v>0</v>
      </c>
      <c r="L557" s="143">
        <v>7</v>
      </c>
      <c r="M557" s="143">
        <v>0</v>
      </c>
      <c r="N557" s="201">
        <v>0</v>
      </c>
      <c r="O557" s="294" t="s">
        <v>2176</v>
      </c>
      <c r="P557" s="325" t="s">
        <v>3032</v>
      </c>
      <c r="Q557" s="298"/>
      <c r="R557" s="209">
        <v>35612</v>
      </c>
      <c r="S557" s="301"/>
      <c r="T557" s="81">
        <v>1</v>
      </c>
      <c r="U557" s="78">
        <v>1</v>
      </c>
      <c r="V557" s="69"/>
      <c r="W557" s="69"/>
      <c r="X557" s="69">
        <v>1</v>
      </c>
      <c r="Y557" s="69"/>
      <c r="Z557" s="69"/>
      <c r="AA557" s="69"/>
      <c r="AB557" s="49"/>
    </row>
    <row r="558" spans="1:28" ht="15.6" customHeight="1" x14ac:dyDescent="0.2">
      <c r="A558" s="212">
        <v>556</v>
      </c>
      <c r="B558" s="159" t="str">
        <f t="shared" si="8"/>
        <v>Elegia filacea</v>
      </c>
      <c r="C558" s="160" t="s">
        <v>2003</v>
      </c>
      <c r="D558" s="72"/>
      <c r="E558" s="72" t="s">
        <v>2011</v>
      </c>
      <c r="F558" s="72" t="s">
        <v>2012</v>
      </c>
      <c r="G558" s="289" t="s">
        <v>3486</v>
      </c>
      <c r="H558" s="166" t="s">
        <v>3312</v>
      </c>
      <c r="I558" s="142">
        <v>5</v>
      </c>
      <c r="J558" s="143">
        <v>6</v>
      </c>
      <c r="K558" s="143">
        <v>0</v>
      </c>
      <c r="L558" s="143">
        <v>7</v>
      </c>
      <c r="M558" s="143">
        <v>0</v>
      </c>
      <c r="N558" s="201">
        <v>0</v>
      </c>
      <c r="O558" s="294" t="s">
        <v>2176</v>
      </c>
      <c r="P558" s="325" t="s">
        <v>3032</v>
      </c>
      <c r="Q558" s="298"/>
      <c r="R558" s="209">
        <v>35612</v>
      </c>
      <c r="S558" s="301"/>
      <c r="T558" s="81">
        <v>1</v>
      </c>
      <c r="U558" s="78"/>
      <c r="V558" s="69"/>
      <c r="W558" s="69"/>
      <c r="X558" s="69">
        <v>1</v>
      </c>
      <c r="Y558" s="69"/>
      <c r="Z558" s="69"/>
      <c r="AA558" s="69"/>
      <c r="AB558" s="49"/>
    </row>
    <row r="559" spans="1:28" ht="15.6" customHeight="1" x14ac:dyDescent="0.2">
      <c r="A559" s="212">
        <v>557</v>
      </c>
      <c r="B559" s="159" t="str">
        <f t="shared" si="8"/>
        <v>Elegia juncea</v>
      </c>
      <c r="C559" s="160" t="s">
        <v>2003</v>
      </c>
      <c r="D559" s="72"/>
      <c r="E559" s="72" t="s">
        <v>2011</v>
      </c>
      <c r="F559" s="72" t="s">
        <v>2013</v>
      </c>
      <c r="G559" s="289" t="s">
        <v>3487</v>
      </c>
      <c r="H559" s="166" t="s">
        <v>3310</v>
      </c>
      <c r="I559" s="142">
        <v>5</v>
      </c>
      <c r="J559" s="143">
        <v>5</v>
      </c>
      <c r="K559" s="143">
        <v>0</v>
      </c>
      <c r="L559" s="143">
        <v>7</v>
      </c>
      <c r="M559" s="143">
        <v>0</v>
      </c>
      <c r="N559" s="201">
        <v>0</v>
      </c>
      <c r="O559" s="294" t="s">
        <v>2176</v>
      </c>
      <c r="P559" s="325" t="s">
        <v>3032</v>
      </c>
      <c r="Q559" s="298"/>
      <c r="R559" s="209">
        <v>35612</v>
      </c>
      <c r="S559" s="301"/>
      <c r="T559" s="81">
        <v>1</v>
      </c>
      <c r="U559" s="78"/>
      <c r="V559" s="69"/>
      <c r="W559" s="69">
        <v>1</v>
      </c>
      <c r="X559" s="69">
        <v>1</v>
      </c>
      <c r="Y559" s="69"/>
      <c r="Z559" s="69"/>
      <c r="AA559" s="69"/>
      <c r="AB559" s="49"/>
    </row>
    <row r="560" spans="1:28" ht="15.6" customHeight="1" x14ac:dyDescent="0.2">
      <c r="A560" s="212">
        <v>558</v>
      </c>
      <c r="B560" s="159" t="str">
        <f t="shared" si="8"/>
        <v>Elegia muirii</v>
      </c>
      <c r="C560" s="160" t="s">
        <v>2003</v>
      </c>
      <c r="D560" s="72"/>
      <c r="E560" s="72" t="s">
        <v>2011</v>
      </c>
      <c r="F560" s="72" t="s">
        <v>2014</v>
      </c>
      <c r="G560" s="289" t="s">
        <v>3488</v>
      </c>
      <c r="H560" s="166" t="s">
        <v>3310</v>
      </c>
      <c r="I560" s="142">
        <v>5</v>
      </c>
      <c r="J560" s="143">
        <v>5</v>
      </c>
      <c r="K560" s="143">
        <v>0</v>
      </c>
      <c r="L560" s="143">
        <v>7</v>
      </c>
      <c r="M560" s="143">
        <v>0</v>
      </c>
      <c r="N560" s="201">
        <v>0</v>
      </c>
      <c r="O560" s="294" t="s">
        <v>2176</v>
      </c>
      <c r="P560" s="325" t="s">
        <v>3032</v>
      </c>
      <c r="Q560" s="298"/>
      <c r="R560" s="209">
        <v>35886</v>
      </c>
      <c r="S560" s="301"/>
      <c r="T560" s="81">
        <v>1</v>
      </c>
      <c r="U560" s="78"/>
      <c r="V560" s="69">
        <v>1</v>
      </c>
      <c r="W560" s="69"/>
      <c r="X560" s="69"/>
      <c r="Y560" s="69"/>
      <c r="Z560" s="69"/>
      <c r="AA560" s="69"/>
      <c r="AB560" s="49"/>
    </row>
    <row r="561" spans="1:28" ht="15.6" customHeight="1" x14ac:dyDescent="0.2">
      <c r="A561" s="212">
        <v>559</v>
      </c>
      <c r="B561" s="159" t="str">
        <f t="shared" si="8"/>
        <v>Elegia thyrsifera</v>
      </c>
      <c r="C561" s="160" t="s">
        <v>2003</v>
      </c>
      <c r="D561" s="72"/>
      <c r="E561" s="72" t="s">
        <v>2011</v>
      </c>
      <c r="F561" s="72" t="s">
        <v>2015</v>
      </c>
      <c r="G561" s="289" t="s">
        <v>3489</v>
      </c>
      <c r="H561" s="166" t="s">
        <v>3310</v>
      </c>
      <c r="I561" s="142">
        <v>5</v>
      </c>
      <c r="J561" s="143">
        <v>5</v>
      </c>
      <c r="K561" s="143">
        <v>0</v>
      </c>
      <c r="L561" s="143">
        <v>7</v>
      </c>
      <c r="M561" s="143">
        <v>0</v>
      </c>
      <c r="N561" s="201">
        <v>0</v>
      </c>
      <c r="O561" s="294" t="s">
        <v>2176</v>
      </c>
      <c r="P561" s="325" t="s">
        <v>3032</v>
      </c>
      <c r="Q561" s="298"/>
      <c r="R561" s="209">
        <v>35643</v>
      </c>
      <c r="S561" s="301" t="s">
        <v>2250</v>
      </c>
      <c r="T561" s="48"/>
      <c r="U561" s="78"/>
      <c r="V561" s="69"/>
      <c r="W561" s="69">
        <v>1</v>
      </c>
      <c r="X561" s="69"/>
      <c r="Y561" s="69"/>
      <c r="Z561" s="69"/>
      <c r="AA561" s="69"/>
      <c r="AB561" s="49"/>
    </row>
    <row r="562" spans="1:28" ht="15.6" customHeight="1" x14ac:dyDescent="0.2">
      <c r="A562" s="212">
        <v>560</v>
      </c>
      <c r="B562" s="159" t="str">
        <f t="shared" si="8"/>
        <v>Hypodiscus willdenowia</v>
      </c>
      <c r="C562" s="160" t="s">
        <v>2003</v>
      </c>
      <c r="D562" s="72"/>
      <c r="E562" s="72" t="s">
        <v>2016</v>
      </c>
      <c r="F562" s="72" t="s">
        <v>2017</v>
      </c>
      <c r="G562" s="289" t="s">
        <v>3490</v>
      </c>
      <c r="H562" s="166" t="s">
        <v>3310</v>
      </c>
      <c r="I562" s="142">
        <v>5</v>
      </c>
      <c r="J562" s="143">
        <v>5</v>
      </c>
      <c r="K562" s="143">
        <v>0</v>
      </c>
      <c r="L562" s="143">
        <v>7</v>
      </c>
      <c r="M562" s="143">
        <v>0</v>
      </c>
      <c r="N562" s="201">
        <v>0</v>
      </c>
      <c r="O562" s="294" t="s">
        <v>2176</v>
      </c>
      <c r="P562" s="325" t="s">
        <v>3032</v>
      </c>
      <c r="Q562" s="298"/>
      <c r="R562" s="209">
        <v>35612</v>
      </c>
      <c r="S562" s="301"/>
      <c r="T562" s="81">
        <v>1</v>
      </c>
      <c r="U562" s="78">
        <v>1</v>
      </c>
      <c r="V562" s="69"/>
      <c r="W562" s="69">
        <v>1</v>
      </c>
      <c r="X562" s="69">
        <v>1</v>
      </c>
      <c r="Y562" s="69"/>
      <c r="Z562" s="69"/>
      <c r="AA562" s="69"/>
      <c r="AB562" s="49"/>
    </row>
    <row r="563" spans="1:28" ht="15.6" customHeight="1" x14ac:dyDescent="0.2">
      <c r="A563" s="212">
        <v>561</v>
      </c>
      <c r="B563" s="159" t="str">
        <f t="shared" si="8"/>
        <v>Ischyrolepis capensis</v>
      </c>
      <c r="C563" s="160" t="s">
        <v>2003</v>
      </c>
      <c r="D563" s="72"/>
      <c r="E563" s="72" t="s">
        <v>2018</v>
      </c>
      <c r="F563" s="72" t="s">
        <v>2756</v>
      </c>
      <c r="G563" s="289" t="s">
        <v>3491</v>
      </c>
      <c r="H563" s="166" t="s">
        <v>3312</v>
      </c>
      <c r="I563" s="142">
        <v>5</v>
      </c>
      <c r="J563" s="143">
        <v>6</v>
      </c>
      <c r="K563" s="143">
        <v>0</v>
      </c>
      <c r="L563" s="143">
        <v>7</v>
      </c>
      <c r="M563" s="143">
        <v>0</v>
      </c>
      <c r="N563" s="201">
        <v>0</v>
      </c>
      <c r="O563" s="294" t="s">
        <v>2176</v>
      </c>
      <c r="P563" s="325" t="s">
        <v>3032</v>
      </c>
      <c r="Q563" s="298"/>
      <c r="R563" s="209">
        <v>35612</v>
      </c>
      <c r="S563" s="301"/>
      <c r="T563" s="81">
        <v>1</v>
      </c>
      <c r="U563" s="78"/>
      <c r="V563" s="69"/>
      <c r="W563" s="69"/>
      <c r="X563" s="69">
        <v>1</v>
      </c>
      <c r="Y563" s="69"/>
      <c r="Z563" s="69"/>
      <c r="AA563" s="69"/>
      <c r="AB563" s="49"/>
    </row>
    <row r="564" spans="1:28" ht="15.6" customHeight="1" x14ac:dyDescent="0.2">
      <c r="A564" s="212">
        <v>562</v>
      </c>
      <c r="B564" s="159" t="str">
        <f t="shared" si="8"/>
        <v>Ischyrolepis eleocharis</v>
      </c>
      <c r="C564" s="160" t="s">
        <v>2003</v>
      </c>
      <c r="D564" s="72"/>
      <c r="E564" s="72" t="s">
        <v>2018</v>
      </c>
      <c r="F564" s="72" t="s">
        <v>2019</v>
      </c>
      <c r="G564" s="289" t="s">
        <v>3492</v>
      </c>
      <c r="H564" s="166" t="s">
        <v>3312</v>
      </c>
      <c r="I564" s="142">
        <v>5</v>
      </c>
      <c r="J564" s="143">
        <v>6</v>
      </c>
      <c r="K564" s="143">
        <v>0</v>
      </c>
      <c r="L564" s="143">
        <v>7</v>
      </c>
      <c r="M564" s="143">
        <v>0</v>
      </c>
      <c r="N564" s="201">
        <v>0</v>
      </c>
      <c r="O564" s="294" t="s">
        <v>2176</v>
      </c>
      <c r="P564" s="325" t="s">
        <v>3032</v>
      </c>
      <c r="Q564" s="298"/>
      <c r="R564" s="209">
        <v>35612</v>
      </c>
      <c r="S564" s="301" t="s">
        <v>2250</v>
      </c>
      <c r="T564" s="81"/>
      <c r="U564" s="78">
        <v>1</v>
      </c>
      <c r="V564" s="69">
        <v>1</v>
      </c>
      <c r="W564" s="69">
        <v>1</v>
      </c>
      <c r="X564" s="69">
        <v>1</v>
      </c>
      <c r="Y564" s="69"/>
      <c r="Z564" s="69"/>
      <c r="AA564" s="69"/>
      <c r="AB564" s="49"/>
    </row>
    <row r="565" spans="1:28" ht="15.6" customHeight="1" x14ac:dyDescent="0.2">
      <c r="A565" s="212">
        <v>563</v>
      </c>
      <c r="B565" s="159" t="str">
        <f t="shared" si="8"/>
        <v>Ischyrolepis leptoclados</v>
      </c>
      <c r="C565" s="160" t="s">
        <v>2003</v>
      </c>
      <c r="D565" s="72"/>
      <c r="E565" s="72" t="s">
        <v>2018</v>
      </c>
      <c r="F565" s="72" t="s">
        <v>2020</v>
      </c>
      <c r="G565" s="289" t="s">
        <v>3493</v>
      </c>
      <c r="H565" s="166" t="s">
        <v>3310</v>
      </c>
      <c r="I565" s="142">
        <v>5</v>
      </c>
      <c r="J565" s="143">
        <v>5</v>
      </c>
      <c r="K565" s="143">
        <v>0</v>
      </c>
      <c r="L565" s="143">
        <v>7</v>
      </c>
      <c r="M565" s="143">
        <v>0</v>
      </c>
      <c r="N565" s="201">
        <v>0</v>
      </c>
      <c r="O565" s="294" t="s">
        <v>2176</v>
      </c>
      <c r="P565" s="325" t="s">
        <v>3032</v>
      </c>
      <c r="Q565" s="298"/>
      <c r="R565" s="209">
        <v>35612</v>
      </c>
      <c r="S565" s="301"/>
      <c r="T565" s="81">
        <v>1</v>
      </c>
      <c r="U565" s="78"/>
      <c r="V565" s="69"/>
      <c r="W565" s="69">
        <v>1</v>
      </c>
      <c r="X565" s="69"/>
      <c r="Y565" s="69"/>
      <c r="Z565" s="69"/>
      <c r="AA565" s="69"/>
      <c r="AB565" s="49">
        <v>1</v>
      </c>
    </row>
    <row r="566" spans="1:28" ht="15.6" customHeight="1" x14ac:dyDescent="0.2">
      <c r="A566" s="212">
        <v>564</v>
      </c>
      <c r="B566" s="159" t="str">
        <f t="shared" si="8"/>
        <v>Restio triticeus</v>
      </c>
      <c r="C566" s="160" t="s">
        <v>2003</v>
      </c>
      <c r="D566" s="72"/>
      <c r="E566" s="72" t="s">
        <v>2021</v>
      </c>
      <c r="F566" s="72" t="s">
        <v>2022</v>
      </c>
      <c r="G566" s="289" t="s">
        <v>3494</v>
      </c>
      <c r="H566" s="166" t="s">
        <v>3310</v>
      </c>
      <c r="I566" s="142">
        <v>5</v>
      </c>
      <c r="J566" s="143">
        <v>5</v>
      </c>
      <c r="K566" s="143">
        <v>0</v>
      </c>
      <c r="L566" s="143">
        <v>7</v>
      </c>
      <c r="M566" s="143">
        <v>0</v>
      </c>
      <c r="N566" s="201">
        <v>0</v>
      </c>
      <c r="O566" s="294" t="s">
        <v>2176</v>
      </c>
      <c r="P566" s="325" t="s">
        <v>3032</v>
      </c>
      <c r="Q566" s="298"/>
      <c r="R566" s="209">
        <v>35612</v>
      </c>
      <c r="S566" s="301"/>
      <c r="T566" s="81">
        <v>1</v>
      </c>
      <c r="U566" s="78">
        <v>1</v>
      </c>
      <c r="V566" s="69">
        <v>1</v>
      </c>
      <c r="W566" s="69">
        <v>1</v>
      </c>
      <c r="X566" s="69">
        <v>1</v>
      </c>
      <c r="Y566" s="69"/>
      <c r="Z566" s="69"/>
      <c r="AA566" s="69"/>
      <c r="AB566" s="49"/>
    </row>
    <row r="567" spans="1:28" ht="15.6" customHeight="1" x14ac:dyDescent="0.2">
      <c r="A567" s="212">
        <v>565</v>
      </c>
      <c r="B567" s="159" t="str">
        <f t="shared" si="8"/>
        <v>Thamnochortus erectus</v>
      </c>
      <c r="C567" s="160" t="s">
        <v>2003</v>
      </c>
      <c r="D567" s="72" t="s">
        <v>277</v>
      </c>
      <c r="E567" s="72" t="s">
        <v>2023</v>
      </c>
      <c r="F567" s="72" t="s">
        <v>2024</v>
      </c>
      <c r="G567" s="289" t="s">
        <v>3495</v>
      </c>
      <c r="H567" s="166" t="s">
        <v>3313</v>
      </c>
      <c r="I567" s="142">
        <v>5</v>
      </c>
      <c r="J567" s="143">
        <v>4</v>
      </c>
      <c r="K567" s="143">
        <v>0</v>
      </c>
      <c r="L567" s="143">
        <v>7</v>
      </c>
      <c r="M567" s="143">
        <v>0</v>
      </c>
      <c r="N567" s="201">
        <v>0</v>
      </c>
      <c r="O567" s="294" t="s">
        <v>2176</v>
      </c>
      <c r="P567" s="325" t="s">
        <v>3032</v>
      </c>
      <c r="Q567" s="298"/>
      <c r="R567" s="209">
        <v>35612</v>
      </c>
      <c r="S567" s="301"/>
      <c r="T567" s="81">
        <v>1</v>
      </c>
      <c r="U567" s="78">
        <v>1</v>
      </c>
      <c r="V567" s="69"/>
      <c r="W567" s="69">
        <v>1</v>
      </c>
      <c r="X567" s="69">
        <v>1</v>
      </c>
      <c r="Y567" s="69"/>
      <c r="Z567" s="69"/>
      <c r="AA567" s="69"/>
      <c r="AB567" s="49">
        <v>1</v>
      </c>
    </row>
    <row r="568" spans="1:28" ht="15.6" customHeight="1" x14ac:dyDescent="0.2">
      <c r="A568" s="212">
        <v>566</v>
      </c>
      <c r="B568" s="159" t="str">
        <f t="shared" si="8"/>
        <v>Thamnochortus fraternus</v>
      </c>
      <c r="C568" s="160" t="s">
        <v>2003</v>
      </c>
      <c r="D568" s="72"/>
      <c r="E568" s="72" t="s">
        <v>2023</v>
      </c>
      <c r="F568" s="72" t="s">
        <v>2025</v>
      </c>
      <c r="G568" s="289" t="s">
        <v>3496</v>
      </c>
      <c r="H568" s="166" t="s">
        <v>3310</v>
      </c>
      <c r="I568" s="142">
        <v>5</v>
      </c>
      <c r="J568" s="143">
        <v>5</v>
      </c>
      <c r="K568" s="143">
        <v>0</v>
      </c>
      <c r="L568" s="143">
        <v>7</v>
      </c>
      <c r="M568" s="143">
        <v>0</v>
      </c>
      <c r="N568" s="201">
        <v>0</v>
      </c>
      <c r="O568" s="294" t="s">
        <v>2176</v>
      </c>
      <c r="P568" s="325" t="s">
        <v>3032</v>
      </c>
      <c r="Q568" s="298" t="s">
        <v>3144</v>
      </c>
      <c r="R568" s="209">
        <v>35612</v>
      </c>
      <c r="S568" s="301"/>
      <c r="T568" s="81">
        <v>1</v>
      </c>
      <c r="U568" s="78"/>
      <c r="V568" s="69">
        <v>1</v>
      </c>
      <c r="W568" s="69"/>
      <c r="X568" s="69"/>
      <c r="Y568" s="69"/>
      <c r="Z568" s="69"/>
      <c r="AA568" s="69"/>
      <c r="AB568" s="49"/>
    </row>
    <row r="569" spans="1:28" ht="15.6" customHeight="1" x14ac:dyDescent="0.2">
      <c r="A569" s="212">
        <v>567</v>
      </c>
      <c r="B569" s="159" t="str">
        <f t="shared" si="8"/>
        <v>Thamnochortus fruticosus</v>
      </c>
      <c r="C569" s="160" t="s">
        <v>2003</v>
      </c>
      <c r="D569" s="72"/>
      <c r="E569" s="72" t="s">
        <v>2023</v>
      </c>
      <c r="F569" s="72" t="s">
        <v>2800</v>
      </c>
      <c r="G569" s="289" t="s">
        <v>3497</v>
      </c>
      <c r="H569" s="166" t="s">
        <v>3310</v>
      </c>
      <c r="I569" s="142">
        <v>5</v>
      </c>
      <c r="J569" s="143">
        <v>5</v>
      </c>
      <c r="K569" s="143">
        <v>0</v>
      </c>
      <c r="L569" s="143">
        <v>7</v>
      </c>
      <c r="M569" s="143">
        <v>0</v>
      </c>
      <c r="N569" s="201">
        <v>0</v>
      </c>
      <c r="O569" s="294" t="s">
        <v>2176</v>
      </c>
      <c r="P569" s="325" t="s">
        <v>3032</v>
      </c>
      <c r="Q569" s="298"/>
      <c r="R569" s="209">
        <v>35796</v>
      </c>
      <c r="S569" s="301"/>
      <c r="T569" s="81">
        <v>1</v>
      </c>
      <c r="U569" s="78"/>
      <c r="V569" s="69"/>
      <c r="W569" s="69"/>
      <c r="X569" s="69">
        <v>1</v>
      </c>
      <c r="Y569" s="69"/>
      <c r="Z569" s="69"/>
      <c r="AA569" s="69"/>
      <c r="AB569" s="49"/>
    </row>
    <row r="570" spans="1:28" ht="15.6" customHeight="1" x14ac:dyDescent="0.2">
      <c r="A570" s="212">
        <v>568</v>
      </c>
      <c r="B570" s="159" t="str">
        <f t="shared" si="8"/>
        <v>Thamnochortus lucens</v>
      </c>
      <c r="C570" s="160" t="s">
        <v>2003</v>
      </c>
      <c r="D570" s="72"/>
      <c r="E570" s="72" t="s">
        <v>2023</v>
      </c>
      <c r="F570" s="72" t="s">
        <v>2026</v>
      </c>
      <c r="G570" s="289" t="s">
        <v>1399</v>
      </c>
      <c r="H570" s="166" t="s">
        <v>3310</v>
      </c>
      <c r="I570" s="142">
        <v>5</v>
      </c>
      <c r="J570" s="143">
        <v>5</v>
      </c>
      <c r="K570" s="143">
        <v>0</v>
      </c>
      <c r="L570" s="143">
        <v>7</v>
      </c>
      <c r="M570" s="143">
        <v>0</v>
      </c>
      <c r="N570" s="201">
        <v>0</v>
      </c>
      <c r="O570" s="294" t="s">
        <v>2176</v>
      </c>
      <c r="P570" s="325" t="s">
        <v>3032</v>
      </c>
      <c r="Q570" s="298"/>
      <c r="R570" s="209">
        <v>36251</v>
      </c>
      <c r="S570" s="301" t="s">
        <v>2250</v>
      </c>
      <c r="T570" s="48"/>
      <c r="U570" s="78"/>
      <c r="V570" s="69"/>
      <c r="W570" s="69"/>
      <c r="X570" s="69">
        <v>1</v>
      </c>
      <c r="Y570" s="69"/>
      <c r="Z570" s="69"/>
      <c r="AA570" s="69"/>
      <c r="AB570" s="49"/>
    </row>
    <row r="571" spans="1:28" ht="15.6" customHeight="1" x14ac:dyDescent="0.2">
      <c r="A571" s="212">
        <v>569</v>
      </c>
      <c r="B571" s="159" t="str">
        <f t="shared" si="8"/>
        <v>Willdenowia teres</v>
      </c>
      <c r="C571" s="160" t="s">
        <v>2003</v>
      </c>
      <c r="D571" s="72"/>
      <c r="E571" s="72" t="s">
        <v>2027</v>
      </c>
      <c r="F571" s="72" t="s">
        <v>2028</v>
      </c>
      <c r="G571" s="289" t="s">
        <v>1400</v>
      </c>
      <c r="H571" s="166" t="s">
        <v>3310</v>
      </c>
      <c r="I571" s="142">
        <v>5</v>
      </c>
      <c r="J571" s="143">
        <v>5</v>
      </c>
      <c r="K571" s="143">
        <v>0</v>
      </c>
      <c r="L571" s="143">
        <v>7</v>
      </c>
      <c r="M571" s="143">
        <v>0</v>
      </c>
      <c r="N571" s="201">
        <v>0</v>
      </c>
      <c r="O571" s="294" t="s">
        <v>2176</v>
      </c>
      <c r="P571" s="325" t="s">
        <v>3032</v>
      </c>
      <c r="Q571" s="298"/>
      <c r="R571" s="209">
        <v>35612</v>
      </c>
      <c r="S571" s="301"/>
      <c r="T571" s="81">
        <v>1</v>
      </c>
      <c r="U571" s="78">
        <v>1</v>
      </c>
      <c r="V571" s="69"/>
      <c r="W571" s="69"/>
      <c r="X571" s="69"/>
      <c r="Y571" s="69"/>
      <c r="Z571" s="69"/>
      <c r="AA571" s="69"/>
      <c r="AB571" s="49"/>
    </row>
    <row r="572" spans="1:28" ht="15.6" customHeight="1" x14ac:dyDescent="0.2">
      <c r="A572" s="212">
        <v>570</v>
      </c>
      <c r="B572" s="159" t="str">
        <f t="shared" si="8"/>
        <v>Phylica axillaris var. maritima</v>
      </c>
      <c r="C572" s="160" t="s">
        <v>2029</v>
      </c>
      <c r="D572" s="72"/>
      <c r="E572" s="72" t="s">
        <v>2030</v>
      </c>
      <c r="F572" s="72" t="s">
        <v>2031</v>
      </c>
      <c r="G572" s="289" t="s">
        <v>1401</v>
      </c>
      <c r="H572" s="166" t="s">
        <v>3314</v>
      </c>
      <c r="I572" s="142">
        <v>2</v>
      </c>
      <c r="J572" s="143">
        <v>5</v>
      </c>
      <c r="K572" s="143">
        <v>9</v>
      </c>
      <c r="L572" s="143">
        <v>9</v>
      </c>
      <c r="M572" s="143">
        <v>9</v>
      </c>
      <c r="N572" s="201">
        <v>9</v>
      </c>
      <c r="O572" s="294" t="s">
        <v>2180</v>
      </c>
      <c r="P572" s="325" t="s">
        <v>3032</v>
      </c>
      <c r="Q572" s="298"/>
      <c r="R572" s="209">
        <v>36892</v>
      </c>
      <c r="S572" s="301" t="s">
        <v>2250</v>
      </c>
      <c r="T572" s="81"/>
      <c r="U572" s="78">
        <v>1</v>
      </c>
      <c r="V572" s="69"/>
      <c r="W572" s="69"/>
      <c r="X572" s="69"/>
      <c r="Y572" s="69"/>
      <c r="Z572" s="69"/>
      <c r="AA572" s="69"/>
      <c r="AB572" s="49"/>
    </row>
    <row r="573" spans="1:28" ht="15.6" customHeight="1" x14ac:dyDescent="0.2">
      <c r="A573" s="212">
        <v>571</v>
      </c>
      <c r="B573" s="159" t="str">
        <f t="shared" si="8"/>
        <v>Phylica disticha</v>
      </c>
      <c r="C573" s="160" t="s">
        <v>2029</v>
      </c>
      <c r="D573" s="72"/>
      <c r="E573" s="72" t="s">
        <v>2030</v>
      </c>
      <c r="F573" s="72" t="s">
        <v>2032</v>
      </c>
      <c r="G573" s="289" t="s">
        <v>1402</v>
      </c>
      <c r="H573" s="166" t="s">
        <v>3248</v>
      </c>
      <c r="I573" s="142">
        <v>2</v>
      </c>
      <c r="J573" s="143">
        <v>5</v>
      </c>
      <c r="K573" s="143">
        <v>2</v>
      </c>
      <c r="L573" s="143">
        <v>2</v>
      </c>
      <c r="M573" s="143">
        <v>2</v>
      </c>
      <c r="N573" s="201">
        <v>5</v>
      </c>
      <c r="O573" s="294" t="s">
        <v>2168</v>
      </c>
      <c r="P573" s="325" t="s">
        <v>3032</v>
      </c>
      <c r="Q573" s="298"/>
      <c r="R573" s="209">
        <v>35947</v>
      </c>
      <c r="S573" s="301"/>
      <c r="T573" s="81">
        <v>1</v>
      </c>
      <c r="U573" s="78">
        <v>1</v>
      </c>
      <c r="V573" s="69"/>
      <c r="W573" s="69"/>
      <c r="X573" s="69"/>
      <c r="Y573" s="69"/>
      <c r="Z573" s="69"/>
      <c r="AA573" s="69"/>
      <c r="AB573" s="49"/>
    </row>
    <row r="574" spans="1:28" ht="15.6" customHeight="1" x14ac:dyDescent="0.2">
      <c r="A574" s="212">
        <v>572</v>
      </c>
      <c r="B574" s="159" t="str">
        <f t="shared" si="8"/>
        <v>Phylica dodii</v>
      </c>
      <c r="C574" s="160" t="s">
        <v>2029</v>
      </c>
      <c r="D574" s="72"/>
      <c r="E574" s="72" t="s">
        <v>2030</v>
      </c>
      <c r="F574" s="72" t="s">
        <v>2033</v>
      </c>
      <c r="G574" s="289" t="s">
        <v>1403</v>
      </c>
      <c r="H574" s="166" t="s">
        <v>3215</v>
      </c>
      <c r="I574" s="142">
        <v>2</v>
      </c>
      <c r="J574" s="143">
        <v>6</v>
      </c>
      <c r="K574" s="143">
        <v>2</v>
      </c>
      <c r="L574" s="143">
        <v>2</v>
      </c>
      <c r="M574" s="143">
        <v>2</v>
      </c>
      <c r="N574" s="201">
        <v>5</v>
      </c>
      <c r="O574" s="294" t="s">
        <v>3031</v>
      </c>
      <c r="P574" s="325" t="s">
        <v>3032</v>
      </c>
      <c r="Q574" s="298"/>
      <c r="R574" s="209">
        <v>35612</v>
      </c>
      <c r="S574" s="301"/>
      <c r="T574" s="81">
        <v>1</v>
      </c>
      <c r="U574" s="78">
        <v>1</v>
      </c>
      <c r="V574" s="69"/>
      <c r="W574" s="69">
        <v>1</v>
      </c>
      <c r="X574" s="69">
        <v>1</v>
      </c>
      <c r="Y574" s="69"/>
      <c r="Z574" s="69"/>
      <c r="AA574" s="69"/>
      <c r="AB574" s="49"/>
    </row>
    <row r="575" spans="1:28" ht="15.6" customHeight="1" x14ac:dyDescent="0.2">
      <c r="A575" s="212">
        <v>573</v>
      </c>
      <c r="B575" s="159" t="str">
        <f t="shared" si="8"/>
        <v>Phylica ericoides</v>
      </c>
      <c r="C575" s="160" t="s">
        <v>2029</v>
      </c>
      <c r="D575" s="72"/>
      <c r="E575" s="72" t="s">
        <v>2030</v>
      </c>
      <c r="F575" s="72" t="s">
        <v>734</v>
      </c>
      <c r="G575" s="289" t="s">
        <v>1404</v>
      </c>
      <c r="H575" s="166" t="s">
        <v>3248</v>
      </c>
      <c r="I575" s="142">
        <v>2</v>
      </c>
      <c r="J575" s="143">
        <v>5</v>
      </c>
      <c r="K575" s="143">
        <v>2</v>
      </c>
      <c r="L575" s="143">
        <v>3</v>
      </c>
      <c r="M575" s="143">
        <v>2</v>
      </c>
      <c r="N575" s="201">
        <v>5</v>
      </c>
      <c r="O575" s="294" t="s">
        <v>2914</v>
      </c>
      <c r="P575" s="325" t="s">
        <v>3032</v>
      </c>
      <c r="Q575" s="298"/>
      <c r="R575" s="209">
        <v>35612</v>
      </c>
      <c r="S575" s="301"/>
      <c r="T575" s="81">
        <v>1</v>
      </c>
      <c r="U575" s="78">
        <v>1</v>
      </c>
      <c r="V575" s="69">
        <v>1</v>
      </c>
      <c r="W575" s="69">
        <v>1</v>
      </c>
      <c r="X575" s="69"/>
      <c r="Y575" s="69"/>
      <c r="Z575" s="69"/>
      <c r="AA575" s="69"/>
      <c r="AB575" s="49">
        <v>1</v>
      </c>
    </row>
    <row r="576" spans="1:28" ht="15.6" customHeight="1" x14ac:dyDescent="0.2">
      <c r="A576" s="212">
        <v>574</v>
      </c>
      <c r="B576" s="159" t="str">
        <f t="shared" si="8"/>
        <v>Phylica imberbis</v>
      </c>
      <c r="C576" s="160" t="s">
        <v>2029</v>
      </c>
      <c r="D576" s="72"/>
      <c r="E576" s="72" t="s">
        <v>2030</v>
      </c>
      <c r="F576" s="72" t="s">
        <v>2034</v>
      </c>
      <c r="G576" s="289" t="s">
        <v>1405</v>
      </c>
      <c r="H576" s="166" t="s">
        <v>3215</v>
      </c>
      <c r="I576" s="142">
        <v>2</v>
      </c>
      <c r="J576" s="143">
        <v>6</v>
      </c>
      <c r="K576" s="143">
        <v>2</v>
      </c>
      <c r="L576" s="143">
        <v>3</v>
      </c>
      <c r="M576" s="143">
        <v>2</v>
      </c>
      <c r="N576" s="201">
        <v>5</v>
      </c>
      <c r="O576" s="294" t="s">
        <v>3031</v>
      </c>
      <c r="P576" s="325" t="s">
        <v>3032</v>
      </c>
      <c r="Q576" s="298"/>
      <c r="R576" s="209">
        <v>35612</v>
      </c>
      <c r="S576" s="301"/>
      <c r="T576" s="81">
        <v>1</v>
      </c>
      <c r="U576" s="78">
        <v>1</v>
      </c>
      <c r="V576" s="69"/>
      <c r="W576" s="69">
        <v>1</v>
      </c>
      <c r="X576" s="69">
        <v>1</v>
      </c>
      <c r="Y576" s="69"/>
      <c r="Z576" s="69"/>
      <c r="AA576" s="69"/>
      <c r="AB576" s="49"/>
    </row>
    <row r="577" spans="1:28" ht="15.6" customHeight="1" x14ac:dyDescent="0.2">
      <c r="A577" s="212">
        <v>575</v>
      </c>
      <c r="B577" s="159" t="str">
        <f t="shared" si="8"/>
        <v>Trichocephalus stipularis</v>
      </c>
      <c r="C577" s="160" t="s">
        <v>2029</v>
      </c>
      <c r="D577" s="72" t="s">
        <v>278</v>
      </c>
      <c r="E577" s="72" t="s">
        <v>2035</v>
      </c>
      <c r="F577" s="72" t="s">
        <v>2036</v>
      </c>
      <c r="G577" s="289" t="s">
        <v>1406</v>
      </c>
      <c r="H577" s="166" t="s">
        <v>3248</v>
      </c>
      <c r="I577" s="142">
        <v>2</v>
      </c>
      <c r="J577" s="143">
        <v>5</v>
      </c>
      <c r="K577" s="143">
        <v>2</v>
      </c>
      <c r="L577" s="143">
        <v>2</v>
      </c>
      <c r="M577" s="143">
        <v>2</v>
      </c>
      <c r="N577" s="201">
        <v>5</v>
      </c>
      <c r="O577" s="294" t="s">
        <v>2914</v>
      </c>
      <c r="P577" s="325" t="s">
        <v>3032</v>
      </c>
      <c r="Q577" s="298"/>
      <c r="R577" s="209">
        <v>35612</v>
      </c>
      <c r="S577" s="301"/>
      <c r="T577" s="81">
        <v>1</v>
      </c>
      <c r="U577" s="78">
        <v>1</v>
      </c>
      <c r="V577" s="69"/>
      <c r="W577" s="69">
        <v>1</v>
      </c>
      <c r="X577" s="69">
        <v>1</v>
      </c>
      <c r="Y577" s="69"/>
      <c r="Z577" s="69"/>
      <c r="AA577" s="69"/>
      <c r="AB577" s="49"/>
    </row>
    <row r="578" spans="1:28" ht="15.6" customHeight="1" x14ac:dyDescent="0.2">
      <c r="A578" s="212">
        <v>576</v>
      </c>
      <c r="B578" s="159" t="str">
        <f t="shared" si="8"/>
        <v>Cliffortia anthospermoides</v>
      </c>
      <c r="C578" s="160" t="s">
        <v>2037</v>
      </c>
      <c r="D578" s="72"/>
      <c r="E578" s="72" t="s">
        <v>2038</v>
      </c>
      <c r="F578" s="72" t="s">
        <v>2039</v>
      </c>
      <c r="G578" s="289" t="s">
        <v>1407</v>
      </c>
      <c r="H578" s="166" t="s">
        <v>3315</v>
      </c>
      <c r="I578" s="142">
        <v>2</v>
      </c>
      <c r="J578" s="143">
        <v>9</v>
      </c>
      <c r="K578" s="143">
        <v>2</v>
      </c>
      <c r="L578" s="143">
        <v>2</v>
      </c>
      <c r="M578" s="143">
        <v>2</v>
      </c>
      <c r="N578" s="201">
        <v>5</v>
      </c>
      <c r="O578" s="294" t="s">
        <v>2168</v>
      </c>
      <c r="P578" s="325" t="s">
        <v>3032</v>
      </c>
      <c r="Q578" s="298" t="s">
        <v>3146</v>
      </c>
      <c r="R578" s="209">
        <v>35796</v>
      </c>
      <c r="S578" s="301"/>
      <c r="T578" s="81">
        <v>1</v>
      </c>
      <c r="U578" s="78">
        <v>1</v>
      </c>
      <c r="V578" s="69"/>
      <c r="W578" s="69"/>
      <c r="X578" s="69"/>
      <c r="Y578" s="69"/>
      <c r="Z578" s="69"/>
      <c r="AA578" s="69"/>
      <c r="AB578" s="49"/>
    </row>
    <row r="579" spans="1:28" ht="15.6" customHeight="1" x14ac:dyDescent="0.2">
      <c r="A579" s="212">
        <v>577</v>
      </c>
      <c r="B579" s="159" t="str">
        <f t="shared" ref="B579:B642" si="9">E579&amp;" "&amp;F579</f>
        <v>Cliffortia falcata</v>
      </c>
      <c r="C579" s="160" t="s">
        <v>2037</v>
      </c>
      <c r="D579" s="72"/>
      <c r="E579" s="72" t="s">
        <v>2038</v>
      </c>
      <c r="F579" s="72" t="s">
        <v>1645</v>
      </c>
      <c r="G579" s="289" t="s">
        <v>1408</v>
      </c>
      <c r="H579" s="166" t="s">
        <v>3248</v>
      </c>
      <c r="I579" s="142">
        <v>2</v>
      </c>
      <c r="J579" s="143">
        <v>5</v>
      </c>
      <c r="K579" s="143">
        <v>2</v>
      </c>
      <c r="L579" s="143">
        <v>2</v>
      </c>
      <c r="M579" s="143">
        <v>2</v>
      </c>
      <c r="N579" s="201">
        <v>5</v>
      </c>
      <c r="O579" s="294" t="s">
        <v>2168</v>
      </c>
      <c r="P579" s="325" t="s">
        <v>3032</v>
      </c>
      <c r="Q579" s="298"/>
      <c r="R579" s="209">
        <v>35612</v>
      </c>
      <c r="S579" s="301"/>
      <c r="T579" s="81">
        <v>1</v>
      </c>
      <c r="U579" s="78">
        <v>1</v>
      </c>
      <c r="V579" s="69"/>
      <c r="W579" s="69">
        <v>1</v>
      </c>
      <c r="X579" s="69">
        <v>1</v>
      </c>
      <c r="Y579" s="69"/>
      <c r="Z579" s="69"/>
      <c r="AA579" s="69"/>
      <c r="AB579" s="49">
        <v>1</v>
      </c>
    </row>
    <row r="580" spans="1:28" ht="15.6" customHeight="1" x14ac:dyDescent="0.2">
      <c r="A580" s="212">
        <v>578</v>
      </c>
      <c r="B580" s="159" t="str">
        <f t="shared" si="9"/>
        <v>Cliffortia ferruginea</v>
      </c>
      <c r="C580" s="160" t="s">
        <v>2037</v>
      </c>
      <c r="D580" s="72" t="s">
        <v>279</v>
      </c>
      <c r="E580" s="72" t="s">
        <v>2038</v>
      </c>
      <c r="F580" s="72" t="s">
        <v>2040</v>
      </c>
      <c r="G580" s="289" t="s">
        <v>1409</v>
      </c>
      <c r="H580" s="166" t="s">
        <v>3292</v>
      </c>
      <c r="I580" s="142">
        <v>2</v>
      </c>
      <c r="J580" s="143">
        <v>6</v>
      </c>
      <c r="K580" s="143">
        <v>2</v>
      </c>
      <c r="L580" s="143">
        <v>2</v>
      </c>
      <c r="M580" s="143">
        <v>2</v>
      </c>
      <c r="N580" s="201">
        <v>3</v>
      </c>
      <c r="O580" s="294" t="s">
        <v>3031</v>
      </c>
      <c r="P580" s="325" t="s">
        <v>3032</v>
      </c>
      <c r="Q580" s="298"/>
      <c r="R580" s="209">
        <v>35612</v>
      </c>
      <c r="S580" s="301"/>
      <c r="T580" s="81">
        <v>1</v>
      </c>
      <c r="U580" s="78"/>
      <c r="V580" s="69"/>
      <c r="W580" s="69"/>
      <c r="X580" s="69">
        <v>1</v>
      </c>
      <c r="Y580" s="69"/>
      <c r="Z580" s="69"/>
      <c r="AA580" s="69">
        <v>1</v>
      </c>
      <c r="AB580" s="49"/>
    </row>
    <row r="581" spans="1:28" ht="15.6" customHeight="1" x14ac:dyDescent="0.2">
      <c r="A581" s="212">
        <v>579</v>
      </c>
      <c r="B581" s="159" t="str">
        <f t="shared" si="9"/>
        <v>Cliffortia filifolia</v>
      </c>
      <c r="C581" s="160" t="s">
        <v>2037</v>
      </c>
      <c r="D581" s="72"/>
      <c r="E581" s="72" t="s">
        <v>2038</v>
      </c>
      <c r="F581" s="72" t="s">
        <v>2786</v>
      </c>
      <c r="G581" s="289" t="s">
        <v>1410</v>
      </c>
      <c r="H581" s="166" t="s">
        <v>3215</v>
      </c>
      <c r="I581" s="142">
        <v>2</v>
      </c>
      <c r="J581" s="143">
        <v>6</v>
      </c>
      <c r="K581" s="143">
        <v>2</v>
      </c>
      <c r="L581" s="143">
        <v>3</v>
      </c>
      <c r="M581" s="143">
        <v>2</v>
      </c>
      <c r="N581" s="201">
        <v>5</v>
      </c>
      <c r="O581" s="294" t="s">
        <v>2914</v>
      </c>
      <c r="P581" s="325" t="s">
        <v>3032</v>
      </c>
      <c r="Q581" s="298"/>
      <c r="R581" s="209">
        <v>36192</v>
      </c>
      <c r="S581" s="301"/>
      <c r="T581" s="81">
        <v>1</v>
      </c>
      <c r="U581" s="78">
        <v>1</v>
      </c>
      <c r="V581" s="69"/>
      <c r="W581" s="69"/>
      <c r="X581" s="69"/>
      <c r="Y581" s="69"/>
      <c r="Z581" s="69"/>
      <c r="AA581" s="69"/>
      <c r="AB581" s="49"/>
    </row>
    <row r="582" spans="1:28" ht="15.6" customHeight="1" x14ac:dyDescent="0.2">
      <c r="A582" s="212">
        <v>580</v>
      </c>
      <c r="B582" s="159" t="str">
        <f t="shared" si="9"/>
        <v>Cliffortia ilicifolia</v>
      </c>
      <c r="C582" s="160" t="s">
        <v>2037</v>
      </c>
      <c r="D582" s="72" t="s">
        <v>280</v>
      </c>
      <c r="E582" s="72" t="s">
        <v>2038</v>
      </c>
      <c r="F582" s="72" t="s">
        <v>2041</v>
      </c>
      <c r="G582" s="289" t="s">
        <v>1411</v>
      </c>
      <c r="H582" s="166" t="s">
        <v>3249</v>
      </c>
      <c r="I582" s="142">
        <v>2</v>
      </c>
      <c r="J582" s="143">
        <v>4</v>
      </c>
      <c r="K582" s="143">
        <v>2</v>
      </c>
      <c r="L582" s="143">
        <v>1</v>
      </c>
      <c r="M582" s="143">
        <v>2</v>
      </c>
      <c r="N582" s="201">
        <v>5</v>
      </c>
      <c r="O582" s="294" t="s">
        <v>2168</v>
      </c>
      <c r="P582" s="325" t="s">
        <v>3032</v>
      </c>
      <c r="Q582" s="298"/>
      <c r="R582" s="209">
        <v>35612</v>
      </c>
      <c r="S582" s="301"/>
      <c r="T582" s="81">
        <v>1</v>
      </c>
      <c r="U582" s="78"/>
      <c r="V582" s="69"/>
      <c r="W582" s="69">
        <v>1</v>
      </c>
      <c r="X582" s="69">
        <v>1</v>
      </c>
      <c r="Y582" s="69"/>
      <c r="Z582" s="69"/>
      <c r="AA582" s="69"/>
      <c r="AB582" s="49"/>
    </row>
    <row r="583" spans="1:28" ht="15.6" customHeight="1" x14ac:dyDescent="0.2">
      <c r="A583" s="212">
        <v>581</v>
      </c>
      <c r="B583" s="159" t="str">
        <f t="shared" si="9"/>
        <v>Cliffortia obcordata</v>
      </c>
      <c r="C583" s="160" t="s">
        <v>2037</v>
      </c>
      <c r="D583" s="72"/>
      <c r="E583" s="72" t="s">
        <v>2038</v>
      </c>
      <c r="F583" s="72" t="s">
        <v>2042</v>
      </c>
      <c r="G583" s="289" t="s">
        <v>1412</v>
      </c>
      <c r="H583" s="166" t="s">
        <v>3249</v>
      </c>
      <c r="I583" s="142">
        <v>2</v>
      </c>
      <c r="J583" s="143">
        <v>4</v>
      </c>
      <c r="K583" s="143">
        <v>2</v>
      </c>
      <c r="L583" s="143">
        <v>1</v>
      </c>
      <c r="M583" s="143">
        <v>2</v>
      </c>
      <c r="N583" s="201">
        <v>5</v>
      </c>
      <c r="O583" s="294" t="s">
        <v>2168</v>
      </c>
      <c r="P583" s="325" t="s">
        <v>3032</v>
      </c>
      <c r="Q583" s="298"/>
      <c r="R583" s="209">
        <v>35855</v>
      </c>
      <c r="S583" s="301"/>
      <c r="T583" s="81">
        <v>1</v>
      </c>
      <c r="U583" s="78">
        <v>1</v>
      </c>
      <c r="V583" s="69"/>
      <c r="W583" s="69"/>
      <c r="X583" s="69"/>
      <c r="Y583" s="69"/>
      <c r="Z583" s="69"/>
      <c r="AA583" s="69"/>
      <c r="AB583" s="49"/>
    </row>
    <row r="584" spans="1:28" ht="15.6" customHeight="1" x14ac:dyDescent="0.2">
      <c r="A584" s="212">
        <v>582</v>
      </c>
      <c r="B584" s="159" t="str">
        <f t="shared" si="9"/>
        <v>Cliffortia phyllanthoides</v>
      </c>
      <c r="C584" s="160" t="s">
        <v>2037</v>
      </c>
      <c r="D584" s="72"/>
      <c r="E584" s="72" t="s">
        <v>2038</v>
      </c>
      <c r="F584" s="72" t="s">
        <v>2043</v>
      </c>
      <c r="G584" s="289" t="s">
        <v>1413</v>
      </c>
      <c r="H584" s="166" t="s">
        <v>3215</v>
      </c>
      <c r="I584" s="142">
        <v>2</v>
      </c>
      <c r="J584" s="143">
        <v>6</v>
      </c>
      <c r="K584" s="143">
        <v>2</v>
      </c>
      <c r="L584" s="143">
        <v>1</v>
      </c>
      <c r="M584" s="143">
        <v>2</v>
      </c>
      <c r="N584" s="201">
        <v>5</v>
      </c>
      <c r="O584" s="294" t="s">
        <v>3031</v>
      </c>
      <c r="P584" s="325" t="s">
        <v>3032</v>
      </c>
      <c r="Q584" s="298"/>
      <c r="R584" s="209">
        <v>35612</v>
      </c>
      <c r="S584" s="301"/>
      <c r="T584" s="81">
        <v>1</v>
      </c>
      <c r="U584" s="78">
        <v>1</v>
      </c>
      <c r="V584" s="69"/>
      <c r="W584" s="69"/>
      <c r="X584" s="69"/>
      <c r="Y584" s="69"/>
      <c r="Z584" s="69"/>
      <c r="AA584" s="69"/>
      <c r="AB584" s="49"/>
    </row>
    <row r="585" spans="1:28" ht="15.6" customHeight="1" x14ac:dyDescent="0.2">
      <c r="A585" s="212">
        <v>583</v>
      </c>
      <c r="B585" s="159" t="str">
        <f t="shared" si="9"/>
        <v>Cliffortia strobilifera</v>
      </c>
      <c r="C585" s="160" t="s">
        <v>2037</v>
      </c>
      <c r="D585" s="72" t="s">
        <v>281</v>
      </c>
      <c r="E585" s="72" t="s">
        <v>2038</v>
      </c>
      <c r="F585" s="72" t="s">
        <v>2044</v>
      </c>
      <c r="G585" s="289" t="s">
        <v>1414</v>
      </c>
      <c r="H585" s="166" t="s">
        <v>3316</v>
      </c>
      <c r="I585" s="142">
        <v>2</v>
      </c>
      <c r="J585" s="143">
        <v>3</v>
      </c>
      <c r="K585" s="143">
        <v>3</v>
      </c>
      <c r="L585" s="143">
        <v>3</v>
      </c>
      <c r="M585" s="143">
        <v>2</v>
      </c>
      <c r="N585" s="201">
        <v>3</v>
      </c>
      <c r="O585" s="294" t="s">
        <v>2168</v>
      </c>
      <c r="P585" s="325" t="s">
        <v>3032</v>
      </c>
      <c r="Q585" s="298"/>
      <c r="R585" s="209">
        <v>35886</v>
      </c>
      <c r="S585" s="301"/>
      <c r="T585" s="81">
        <v>1</v>
      </c>
      <c r="U585" s="78"/>
      <c r="V585" s="69"/>
      <c r="W585" s="69"/>
      <c r="X585" s="69"/>
      <c r="Y585" s="69"/>
      <c r="Z585" s="69"/>
      <c r="AA585" s="69">
        <v>1</v>
      </c>
      <c r="AB585" s="49"/>
    </row>
    <row r="586" spans="1:28" ht="15.6" customHeight="1" x14ac:dyDescent="0.2">
      <c r="A586" s="212">
        <v>584</v>
      </c>
      <c r="B586" s="159" t="str">
        <f t="shared" si="9"/>
        <v>Anthospermum aethiopicum</v>
      </c>
      <c r="C586" s="160" t="s">
        <v>2045</v>
      </c>
      <c r="D586" s="72"/>
      <c r="E586" s="72" t="s">
        <v>2719</v>
      </c>
      <c r="F586" s="72" t="s">
        <v>1996</v>
      </c>
      <c r="G586" s="289" t="s">
        <v>1415</v>
      </c>
      <c r="H586" s="166" t="s">
        <v>3249</v>
      </c>
      <c r="I586" s="142">
        <v>2</v>
      </c>
      <c r="J586" s="143">
        <v>4</v>
      </c>
      <c r="K586" s="143">
        <v>2</v>
      </c>
      <c r="L586" s="143">
        <v>3</v>
      </c>
      <c r="M586" s="143">
        <v>2</v>
      </c>
      <c r="N586" s="201">
        <v>5</v>
      </c>
      <c r="O586" s="294" t="s">
        <v>2168</v>
      </c>
      <c r="P586" s="325" t="s">
        <v>3032</v>
      </c>
      <c r="Q586" s="298"/>
      <c r="R586" s="209">
        <v>35612</v>
      </c>
      <c r="S586" s="301"/>
      <c r="T586" s="81">
        <v>1</v>
      </c>
      <c r="U586" s="78">
        <v>1</v>
      </c>
      <c r="V586" s="69">
        <v>1</v>
      </c>
      <c r="W586" s="69">
        <v>1</v>
      </c>
      <c r="X586" s="69">
        <v>1</v>
      </c>
      <c r="Y586" s="69"/>
      <c r="Z586" s="69"/>
      <c r="AA586" s="69"/>
      <c r="AB586" s="49">
        <v>1</v>
      </c>
    </row>
    <row r="587" spans="1:28" ht="15.6" customHeight="1" x14ac:dyDescent="0.2">
      <c r="A587" s="212">
        <v>585</v>
      </c>
      <c r="B587" s="159" t="str">
        <f t="shared" si="9"/>
        <v>Anthospermum hirtum</v>
      </c>
      <c r="C587" s="160" t="s">
        <v>2045</v>
      </c>
      <c r="D587" s="72"/>
      <c r="E587" s="72" t="s">
        <v>2719</v>
      </c>
      <c r="F587" s="72" t="s">
        <v>2046</v>
      </c>
      <c r="G587" s="289" t="s">
        <v>1416</v>
      </c>
      <c r="H587" s="166" t="s">
        <v>3273</v>
      </c>
      <c r="I587" s="142">
        <v>2</v>
      </c>
      <c r="J587" s="143">
        <v>4</v>
      </c>
      <c r="K587" s="143">
        <v>9</v>
      </c>
      <c r="L587" s="143">
        <v>9</v>
      </c>
      <c r="M587" s="143">
        <v>9</v>
      </c>
      <c r="N587" s="201">
        <v>9</v>
      </c>
      <c r="O587" s="294" t="s">
        <v>2168</v>
      </c>
      <c r="P587" s="325" t="s">
        <v>3032</v>
      </c>
      <c r="Q587" s="298"/>
      <c r="R587" s="209">
        <v>35612</v>
      </c>
      <c r="S587" s="301" t="s">
        <v>2250</v>
      </c>
      <c r="T587" s="81"/>
      <c r="U587" s="78"/>
      <c r="V587" s="69">
        <v>1</v>
      </c>
      <c r="W587" s="69"/>
      <c r="X587" s="69"/>
      <c r="Y587" s="69"/>
      <c r="Z587" s="69"/>
      <c r="AA587" s="69"/>
      <c r="AB587" s="49"/>
    </row>
    <row r="588" spans="1:28" ht="15.6" customHeight="1" x14ac:dyDescent="0.2">
      <c r="A588" s="212">
        <v>586</v>
      </c>
      <c r="B588" s="159" t="str">
        <f t="shared" si="9"/>
        <v>Anthospermum prostratum</v>
      </c>
      <c r="C588" s="160" t="s">
        <v>2045</v>
      </c>
      <c r="D588" s="72"/>
      <c r="E588" s="72" t="s">
        <v>2719</v>
      </c>
      <c r="F588" s="72" t="s">
        <v>1987</v>
      </c>
      <c r="G588" s="289" t="s">
        <v>1417</v>
      </c>
      <c r="H588" s="166" t="s">
        <v>3265</v>
      </c>
      <c r="I588" s="142">
        <v>2</v>
      </c>
      <c r="J588" s="143">
        <v>6</v>
      </c>
      <c r="K588" s="143">
        <v>9</v>
      </c>
      <c r="L588" s="143">
        <v>9</v>
      </c>
      <c r="M588" s="143">
        <v>9</v>
      </c>
      <c r="N588" s="201">
        <v>9</v>
      </c>
      <c r="O588" s="294" t="s">
        <v>3031</v>
      </c>
      <c r="P588" s="325" t="s">
        <v>3032</v>
      </c>
      <c r="Q588" s="298"/>
      <c r="R588" s="209">
        <v>36892</v>
      </c>
      <c r="S588" s="301" t="s">
        <v>2250</v>
      </c>
      <c r="T588" s="81"/>
      <c r="U588" s="78">
        <v>1</v>
      </c>
      <c r="V588" s="69"/>
      <c r="W588" s="69"/>
      <c r="X588" s="69"/>
      <c r="Y588" s="69"/>
      <c r="Z588" s="69"/>
      <c r="AA588" s="69"/>
      <c r="AB588" s="49"/>
    </row>
    <row r="589" spans="1:28" ht="15.6" customHeight="1" x14ac:dyDescent="0.2">
      <c r="A589" s="212">
        <v>587</v>
      </c>
      <c r="B589" s="159" t="str">
        <f t="shared" si="9"/>
        <v>Anthospermum spathulatum ssp. spathulatum</v>
      </c>
      <c r="C589" s="160" t="s">
        <v>2045</v>
      </c>
      <c r="D589" s="72"/>
      <c r="E589" s="72" t="s">
        <v>2719</v>
      </c>
      <c r="F589" s="72" t="s">
        <v>2241</v>
      </c>
      <c r="G589" s="289" t="s">
        <v>1418</v>
      </c>
      <c r="H589" s="166" t="s">
        <v>3249</v>
      </c>
      <c r="I589" s="142">
        <v>2</v>
      </c>
      <c r="J589" s="143">
        <v>4</v>
      </c>
      <c r="K589" s="143">
        <v>2</v>
      </c>
      <c r="L589" s="143">
        <v>3</v>
      </c>
      <c r="M589" s="143">
        <v>2</v>
      </c>
      <c r="N589" s="201">
        <v>5</v>
      </c>
      <c r="O589" s="294" t="s">
        <v>2168</v>
      </c>
      <c r="P589" s="325" t="s">
        <v>3032</v>
      </c>
      <c r="Q589" s="298"/>
      <c r="R589" s="209">
        <v>35612</v>
      </c>
      <c r="S589" s="301"/>
      <c r="T589" s="81">
        <v>1</v>
      </c>
      <c r="U589" s="78">
        <v>1</v>
      </c>
      <c r="V589" s="69">
        <v>1</v>
      </c>
      <c r="W589" s="69"/>
      <c r="X589" s="69">
        <v>1</v>
      </c>
      <c r="Y589" s="69"/>
      <c r="Z589" s="69"/>
      <c r="AA589" s="69"/>
      <c r="AB589" s="49"/>
    </row>
    <row r="590" spans="1:28" ht="15.6" customHeight="1" x14ac:dyDescent="0.2">
      <c r="A590" s="212">
        <v>588</v>
      </c>
      <c r="B590" s="159" t="str">
        <f t="shared" si="9"/>
        <v>Carpacoce vaginellata</v>
      </c>
      <c r="C590" s="160" t="s">
        <v>2045</v>
      </c>
      <c r="D590" s="72"/>
      <c r="E590" s="72" t="s">
        <v>2047</v>
      </c>
      <c r="F590" s="72" t="s">
        <v>2048</v>
      </c>
      <c r="G590" s="289" t="s">
        <v>1419</v>
      </c>
      <c r="H590" s="166" t="s">
        <v>3215</v>
      </c>
      <c r="I590" s="142">
        <v>2</v>
      </c>
      <c r="J590" s="143">
        <v>6</v>
      </c>
      <c r="K590" s="143">
        <v>2</v>
      </c>
      <c r="L590" s="143">
        <v>3</v>
      </c>
      <c r="M590" s="143">
        <v>2</v>
      </c>
      <c r="N590" s="201">
        <v>4</v>
      </c>
      <c r="O590" s="294" t="s">
        <v>3031</v>
      </c>
      <c r="P590" s="325" t="s">
        <v>3032</v>
      </c>
      <c r="Q590" s="298"/>
      <c r="R590" s="209">
        <v>35612</v>
      </c>
      <c r="S590" s="301"/>
      <c r="T590" s="81">
        <v>1</v>
      </c>
      <c r="U590" s="78">
        <v>1</v>
      </c>
      <c r="V590" s="69"/>
      <c r="W590" s="69"/>
      <c r="X590" s="69">
        <v>1</v>
      </c>
      <c r="Y590" s="69"/>
      <c r="Z590" s="69"/>
      <c r="AA590" s="69"/>
      <c r="AB590" s="49"/>
    </row>
    <row r="591" spans="1:28" ht="15.6" customHeight="1" x14ac:dyDescent="0.2">
      <c r="A591" s="212">
        <v>589</v>
      </c>
      <c r="B591" s="159" t="str">
        <f t="shared" si="9"/>
        <v>Galium tomentosum</v>
      </c>
      <c r="C591" s="160" t="s">
        <v>2045</v>
      </c>
      <c r="D591" s="72" t="s">
        <v>282</v>
      </c>
      <c r="E591" s="72" t="s">
        <v>2049</v>
      </c>
      <c r="F591" s="72" t="s">
        <v>2050</v>
      </c>
      <c r="G591" s="289" t="s">
        <v>1420</v>
      </c>
      <c r="H591" s="166" t="s">
        <v>3236</v>
      </c>
      <c r="I591" s="142">
        <v>7</v>
      </c>
      <c r="J591" s="143">
        <v>3</v>
      </c>
      <c r="K591" s="143">
        <v>3</v>
      </c>
      <c r="L591" s="143">
        <v>2</v>
      </c>
      <c r="M591" s="143">
        <v>1</v>
      </c>
      <c r="N591" s="201">
        <v>4</v>
      </c>
      <c r="O591" s="294" t="s">
        <v>1657</v>
      </c>
      <c r="P591" s="325" t="s">
        <v>3032</v>
      </c>
      <c r="Q591" s="298"/>
      <c r="R591" s="209">
        <v>35796</v>
      </c>
      <c r="S591" s="301"/>
      <c r="T591" s="81">
        <v>1</v>
      </c>
      <c r="U591" s="78"/>
      <c r="V591" s="69"/>
      <c r="W591" s="69"/>
      <c r="X591" s="69"/>
      <c r="Y591" s="69">
        <v>1</v>
      </c>
      <c r="Z591" s="69"/>
      <c r="AA591" s="69"/>
      <c r="AB591" s="49"/>
    </row>
    <row r="592" spans="1:28" ht="15.6" customHeight="1" x14ac:dyDescent="0.2">
      <c r="A592" s="212">
        <v>590</v>
      </c>
      <c r="B592" s="159" t="str">
        <f t="shared" si="9"/>
        <v>Nenax acerosa</v>
      </c>
      <c r="C592" s="160" t="s">
        <v>2045</v>
      </c>
      <c r="D592" s="72"/>
      <c r="E592" s="72" t="s">
        <v>2051</v>
      </c>
      <c r="F592" s="72" t="s">
        <v>2052</v>
      </c>
      <c r="G592" s="289" t="s">
        <v>1421</v>
      </c>
      <c r="H592" s="166" t="s">
        <v>3265</v>
      </c>
      <c r="I592" s="142">
        <v>2</v>
      </c>
      <c r="J592" s="143">
        <v>6</v>
      </c>
      <c r="K592" s="143">
        <v>9</v>
      </c>
      <c r="L592" s="143">
        <v>9</v>
      </c>
      <c r="M592" s="143">
        <v>9</v>
      </c>
      <c r="N592" s="201">
        <v>9</v>
      </c>
      <c r="O592" s="294" t="s">
        <v>3031</v>
      </c>
      <c r="P592" s="325" t="s">
        <v>3032</v>
      </c>
      <c r="Q592" s="298"/>
      <c r="R592" s="209">
        <v>35947</v>
      </c>
      <c r="S592" s="301" t="s">
        <v>2250</v>
      </c>
      <c r="T592" s="81"/>
      <c r="U592" s="78">
        <v>1</v>
      </c>
      <c r="V592" s="69"/>
      <c r="W592" s="69">
        <v>1</v>
      </c>
      <c r="X592" s="69">
        <v>1</v>
      </c>
      <c r="Y592" s="69"/>
      <c r="Z592" s="69"/>
      <c r="AA592" s="69"/>
      <c r="AB592" s="49"/>
    </row>
    <row r="593" spans="1:28" ht="15.6" customHeight="1" x14ac:dyDescent="0.2">
      <c r="A593" s="212">
        <v>591</v>
      </c>
      <c r="B593" s="159" t="str">
        <f t="shared" si="9"/>
        <v>Agathosma apiculata</v>
      </c>
      <c r="C593" s="160" t="s">
        <v>2053</v>
      </c>
      <c r="D593" s="72" t="s">
        <v>283</v>
      </c>
      <c r="E593" s="72" t="s">
        <v>2054</v>
      </c>
      <c r="F593" s="72" t="s">
        <v>2055</v>
      </c>
      <c r="G593" s="289" t="s">
        <v>1422</v>
      </c>
      <c r="H593" s="166" t="s">
        <v>3249</v>
      </c>
      <c r="I593" s="142">
        <v>2</v>
      </c>
      <c r="J593" s="143">
        <v>4</v>
      </c>
      <c r="K593" s="143">
        <v>2</v>
      </c>
      <c r="L593" s="143">
        <v>1</v>
      </c>
      <c r="M593" s="143">
        <v>2</v>
      </c>
      <c r="N593" s="201">
        <v>5</v>
      </c>
      <c r="O593" s="294" t="s">
        <v>2914</v>
      </c>
      <c r="P593" s="325" t="s">
        <v>3032</v>
      </c>
      <c r="Q593" s="298"/>
      <c r="R593" s="209">
        <v>37073</v>
      </c>
      <c r="S593" s="301"/>
      <c r="T593" s="81">
        <v>1</v>
      </c>
      <c r="U593" s="78">
        <v>1</v>
      </c>
      <c r="V593" s="69">
        <v>1</v>
      </c>
      <c r="W593" s="69"/>
      <c r="X593" s="69"/>
      <c r="Y593" s="69"/>
      <c r="Z593" s="69"/>
      <c r="AA593" s="69"/>
      <c r="AB593" s="49"/>
    </row>
    <row r="594" spans="1:28" ht="15.6" customHeight="1" x14ac:dyDescent="0.2">
      <c r="A594" s="212">
        <v>592</v>
      </c>
      <c r="B594" s="159" t="str">
        <f t="shared" si="9"/>
        <v>Agathosma cerefolium</v>
      </c>
      <c r="C594" s="160" t="s">
        <v>2053</v>
      </c>
      <c r="D594" s="72" t="s">
        <v>284</v>
      </c>
      <c r="E594" s="72" t="s">
        <v>2054</v>
      </c>
      <c r="F594" s="72" t="s">
        <v>2056</v>
      </c>
      <c r="G594" s="289" t="s">
        <v>1423</v>
      </c>
      <c r="H594" s="166" t="s">
        <v>3249</v>
      </c>
      <c r="I594" s="142">
        <v>2</v>
      </c>
      <c r="J594" s="143">
        <v>4</v>
      </c>
      <c r="K594" s="143">
        <v>2</v>
      </c>
      <c r="L594" s="143">
        <v>2</v>
      </c>
      <c r="M594" s="143">
        <v>2</v>
      </c>
      <c r="N594" s="201">
        <v>5</v>
      </c>
      <c r="O594" s="294" t="s">
        <v>2914</v>
      </c>
      <c r="P594" s="325" t="s">
        <v>3032</v>
      </c>
      <c r="Q594" s="298"/>
      <c r="R594" s="209">
        <v>35947</v>
      </c>
      <c r="S594" s="301"/>
      <c r="T594" s="81">
        <v>1</v>
      </c>
      <c r="U594" s="78">
        <v>1</v>
      </c>
      <c r="V594" s="69"/>
      <c r="W594" s="69"/>
      <c r="X594" s="69"/>
      <c r="Y594" s="69"/>
      <c r="Z594" s="69"/>
      <c r="AA594" s="69"/>
      <c r="AB594" s="49"/>
    </row>
    <row r="595" spans="1:28" ht="15.6" customHeight="1" x14ac:dyDescent="0.2">
      <c r="A595" s="212">
        <v>593</v>
      </c>
      <c r="B595" s="159" t="str">
        <f t="shared" si="9"/>
        <v>Agathosma ciliaris</v>
      </c>
      <c r="C595" s="160" t="s">
        <v>2053</v>
      </c>
      <c r="D595" s="72" t="s">
        <v>285</v>
      </c>
      <c r="E595" s="72" t="s">
        <v>2054</v>
      </c>
      <c r="F595" s="72" t="s">
        <v>1066</v>
      </c>
      <c r="G595" s="289" t="s">
        <v>1424</v>
      </c>
      <c r="H595" s="166" t="s">
        <v>3215</v>
      </c>
      <c r="I595" s="142">
        <v>2</v>
      </c>
      <c r="J595" s="143">
        <v>6</v>
      </c>
      <c r="K595" s="143">
        <v>2</v>
      </c>
      <c r="L595" s="143">
        <v>2</v>
      </c>
      <c r="M595" s="143">
        <v>2</v>
      </c>
      <c r="N595" s="201">
        <v>5</v>
      </c>
      <c r="O595" s="294" t="s">
        <v>3031</v>
      </c>
      <c r="P595" s="325" t="s">
        <v>3032</v>
      </c>
      <c r="Q595" s="298"/>
      <c r="R595" s="209">
        <v>36586</v>
      </c>
      <c r="S595" s="301"/>
      <c r="T595" s="81">
        <v>1</v>
      </c>
      <c r="U595" s="78"/>
      <c r="V595" s="69"/>
      <c r="W595" s="69"/>
      <c r="X595" s="69">
        <v>1</v>
      </c>
      <c r="Y595" s="69"/>
      <c r="Z595" s="69"/>
      <c r="AA595" s="69"/>
      <c r="AB595" s="49"/>
    </row>
    <row r="596" spans="1:28" ht="15.6" customHeight="1" x14ac:dyDescent="0.2">
      <c r="A596" s="212">
        <v>594</v>
      </c>
      <c r="B596" s="159" t="str">
        <f t="shared" si="9"/>
        <v>Agathosma imbricata</v>
      </c>
      <c r="C596" s="160" t="s">
        <v>2053</v>
      </c>
      <c r="D596" s="72" t="s">
        <v>286</v>
      </c>
      <c r="E596" s="72" t="s">
        <v>2054</v>
      </c>
      <c r="F596" s="72" t="s">
        <v>772</v>
      </c>
      <c r="G596" s="289" t="s">
        <v>1425</v>
      </c>
      <c r="H596" s="166" t="s">
        <v>3248</v>
      </c>
      <c r="I596" s="142">
        <v>2</v>
      </c>
      <c r="J596" s="143">
        <v>5</v>
      </c>
      <c r="K596" s="143">
        <v>2</v>
      </c>
      <c r="L596" s="143">
        <v>1</v>
      </c>
      <c r="M596" s="143">
        <v>2</v>
      </c>
      <c r="N596" s="201">
        <v>5</v>
      </c>
      <c r="O596" s="294" t="s">
        <v>2168</v>
      </c>
      <c r="P596" s="325" t="s">
        <v>3032</v>
      </c>
      <c r="Q596" s="298"/>
      <c r="R596" s="209">
        <v>35612</v>
      </c>
      <c r="S596" s="301"/>
      <c r="T596" s="81">
        <v>1</v>
      </c>
      <c r="U596" s="78"/>
      <c r="V596" s="69">
        <v>1</v>
      </c>
      <c r="W596" s="69">
        <v>1</v>
      </c>
      <c r="X596" s="69">
        <v>1</v>
      </c>
      <c r="Y596" s="69"/>
      <c r="Z596" s="69"/>
      <c r="AA596" s="69"/>
      <c r="AB596" s="49"/>
    </row>
    <row r="597" spans="1:28" ht="15.6" customHeight="1" x14ac:dyDescent="0.2">
      <c r="A597" s="212">
        <v>595</v>
      </c>
      <c r="B597" s="159" t="str">
        <f t="shared" si="9"/>
        <v>Agathosma robusta</v>
      </c>
      <c r="C597" s="160" t="s">
        <v>2053</v>
      </c>
      <c r="D597" s="72"/>
      <c r="E597" s="72" t="s">
        <v>2054</v>
      </c>
      <c r="F597" s="72" t="s">
        <v>2057</v>
      </c>
      <c r="G597" s="289" t="s">
        <v>1426</v>
      </c>
      <c r="H597" s="166" t="s">
        <v>3248</v>
      </c>
      <c r="I597" s="142">
        <v>2</v>
      </c>
      <c r="J597" s="143">
        <v>5</v>
      </c>
      <c r="K597" s="143">
        <v>2</v>
      </c>
      <c r="L597" s="143">
        <v>2</v>
      </c>
      <c r="M597" s="143">
        <v>2</v>
      </c>
      <c r="N597" s="201">
        <v>5</v>
      </c>
      <c r="O597" s="294" t="s">
        <v>2914</v>
      </c>
      <c r="P597" s="325" t="s">
        <v>3032</v>
      </c>
      <c r="Q597" s="298"/>
      <c r="R597" s="209">
        <v>35947</v>
      </c>
      <c r="S597" s="301"/>
      <c r="T597" s="81">
        <v>1</v>
      </c>
      <c r="U597" s="78"/>
      <c r="V597" s="69">
        <v>1</v>
      </c>
      <c r="W597" s="69"/>
      <c r="X597" s="69"/>
      <c r="Y597" s="69"/>
      <c r="Z597" s="69"/>
      <c r="AA597" s="69"/>
      <c r="AB597" s="49"/>
    </row>
    <row r="598" spans="1:28" ht="15.6" customHeight="1" x14ac:dyDescent="0.2">
      <c r="A598" s="212">
        <v>596</v>
      </c>
      <c r="B598" s="159" t="str">
        <f t="shared" si="9"/>
        <v>Agathosma serpyllacea</v>
      </c>
      <c r="C598" s="160" t="s">
        <v>2053</v>
      </c>
      <c r="D598" s="72"/>
      <c r="E598" s="72" t="s">
        <v>2054</v>
      </c>
      <c r="F598" s="72" t="s">
        <v>2058</v>
      </c>
      <c r="G598" s="289" t="s">
        <v>1427</v>
      </c>
      <c r="H598" s="166" t="s">
        <v>3248</v>
      </c>
      <c r="I598" s="142">
        <v>2</v>
      </c>
      <c r="J598" s="143">
        <v>5</v>
      </c>
      <c r="K598" s="143">
        <v>2</v>
      </c>
      <c r="L598" s="143">
        <v>2</v>
      </c>
      <c r="M598" s="143">
        <v>2</v>
      </c>
      <c r="N598" s="201">
        <v>5</v>
      </c>
      <c r="O598" s="294" t="s">
        <v>2914</v>
      </c>
      <c r="P598" s="325" t="s">
        <v>3032</v>
      </c>
      <c r="Q598" s="298" t="s">
        <v>3144</v>
      </c>
      <c r="R598" s="209">
        <v>35612</v>
      </c>
      <c r="S598" s="301"/>
      <c r="T598" s="81">
        <v>1</v>
      </c>
      <c r="U598" s="78">
        <v>1</v>
      </c>
      <c r="V598" s="69">
        <v>1</v>
      </c>
      <c r="W598" s="69"/>
      <c r="X598" s="69"/>
      <c r="Y598" s="69"/>
      <c r="Z598" s="69"/>
      <c r="AA598" s="69"/>
      <c r="AB598" s="49"/>
    </row>
    <row r="599" spans="1:28" ht="15.6" customHeight="1" x14ac:dyDescent="0.2">
      <c r="A599" s="212">
        <v>597</v>
      </c>
      <c r="B599" s="159" t="str">
        <f t="shared" si="9"/>
        <v>Coleonema album</v>
      </c>
      <c r="C599" s="160" t="s">
        <v>2053</v>
      </c>
      <c r="D599" s="72" t="s">
        <v>287</v>
      </c>
      <c r="E599" s="72" t="s">
        <v>2059</v>
      </c>
      <c r="F599" s="72" t="s">
        <v>2060</v>
      </c>
      <c r="G599" s="289" t="s">
        <v>1428</v>
      </c>
      <c r="H599" s="166" t="s">
        <v>3249</v>
      </c>
      <c r="I599" s="142">
        <v>2</v>
      </c>
      <c r="J599" s="143">
        <v>4</v>
      </c>
      <c r="K599" s="143">
        <v>2</v>
      </c>
      <c r="L599" s="143">
        <v>3</v>
      </c>
      <c r="M599" s="143">
        <v>2</v>
      </c>
      <c r="N599" s="201">
        <v>5</v>
      </c>
      <c r="O599" s="294" t="s">
        <v>2168</v>
      </c>
      <c r="P599" s="325" t="s">
        <v>3032</v>
      </c>
      <c r="Q599" s="298"/>
      <c r="R599" s="209">
        <v>35612</v>
      </c>
      <c r="S599" s="301"/>
      <c r="T599" s="81">
        <v>1</v>
      </c>
      <c r="U599" s="78"/>
      <c r="V599" s="69"/>
      <c r="W599" s="69"/>
      <c r="X599" s="69">
        <v>1</v>
      </c>
      <c r="Y599" s="69"/>
      <c r="Z599" s="69"/>
      <c r="AA599" s="69"/>
      <c r="AB599" s="49"/>
    </row>
    <row r="600" spans="1:28" ht="15.6" customHeight="1" x14ac:dyDescent="0.2">
      <c r="A600" s="212">
        <v>598</v>
      </c>
      <c r="B600" s="159" t="str">
        <f t="shared" si="9"/>
        <v>Diosma hirsuta</v>
      </c>
      <c r="C600" s="160" t="s">
        <v>2053</v>
      </c>
      <c r="D600" s="72" t="s">
        <v>288</v>
      </c>
      <c r="E600" s="72" t="s">
        <v>2061</v>
      </c>
      <c r="F600" s="72" t="s">
        <v>697</v>
      </c>
      <c r="G600" s="289" t="s">
        <v>1429</v>
      </c>
      <c r="H600" s="166" t="s">
        <v>3215</v>
      </c>
      <c r="I600" s="142">
        <v>2</v>
      </c>
      <c r="J600" s="143">
        <v>6</v>
      </c>
      <c r="K600" s="143">
        <v>2</v>
      </c>
      <c r="L600" s="143">
        <v>3</v>
      </c>
      <c r="M600" s="143">
        <v>2</v>
      </c>
      <c r="N600" s="201">
        <v>4</v>
      </c>
      <c r="O600" s="294" t="s">
        <v>3031</v>
      </c>
      <c r="P600" s="325" t="s">
        <v>3032</v>
      </c>
      <c r="Q600" s="298"/>
      <c r="R600" s="209">
        <v>36069</v>
      </c>
      <c r="S600" s="301"/>
      <c r="T600" s="81">
        <v>1</v>
      </c>
      <c r="U600" s="78"/>
      <c r="V600" s="69"/>
      <c r="W600" s="69">
        <v>1</v>
      </c>
      <c r="X600" s="69">
        <v>1</v>
      </c>
      <c r="Y600" s="69"/>
      <c r="Z600" s="69"/>
      <c r="AA600" s="69"/>
      <c r="AB600" s="49"/>
    </row>
    <row r="601" spans="1:28" ht="15.6" customHeight="1" x14ac:dyDescent="0.2">
      <c r="A601" s="212">
        <v>599</v>
      </c>
      <c r="B601" s="159" t="str">
        <f t="shared" si="9"/>
        <v>Diosma subulata var. subulata</v>
      </c>
      <c r="C601" s="160" t="s">
        <v>2053</v>
      </c>
      <c r="D601" s="72"/>
      <c r="E601" s="72" t="s">
        <v>2061</v>
      </c>
      <c r="F601" s="72" t="s">
        <v>837</v>
      </c>
      <c r="G601" s="289" t="s">
        <v>1430</v>
      </c>
      <c r="H601" s="166" t="s">
        <v>3288</v>
      </c>
      <c r="I601" s="142">
        <v>2</v>
      </c>
      <c r="J601" s="143">
        <v>4</v>
      </c>
      <c r="K601" s="143">
        <v>2</v>
      </c>
      <c r="L601" s="143">
        <v>2</v>
      </c>
      <c r="M601" s="143">
        <v>2</v>
      </c>
      <c r="N601" s="201">
        <v>4</v>
      </c>
      <c r="O601" s="294" t="s">
        <v>2168</v>
      </c>
      <c r="P601" s="325" t="s">
        <v>3032</v>
      </c>
      <c r="Q601" s="298"/>
      <c r="R601" s="209">
        <v>35612</v>
      </c>
      <c r="S601" s="301"/>
      <c r="T601" s="81">
        <v>1</v>
      </c>
      <c r="U601" s="78">
        <v>1</v>
      </c>
      <c r="V601" s="69"/>
      <c r="W601" s="69"/>
      <c r="X601" s="69"/>
      <c r="Y601" s="69"/>
      <c r="Z601" s="69"/>
      <c r="AA601" s="69"/>
      <c r="AB601" s="49">
        <v>1</v>
      </c>
    </row>
    <row r="602" spans="1:28" ht="15.6" customHeight="1" x14ac:dyDescent="0.2">
      <c r="A602" s="212">
        <v>600</v>
      </c>
      <c r="B602" s="159" t="str">
        <f t="shared" si="9"/>
        <v>Osyris compressa</v>
      </c>
      <c r="C602" s="160" t="s">
        <v>2062</v>
      </c>
      <c r="D602" s="72" t="s">
        <v>289</v>
      </c>
      <c r="E602" s="72" t="s">
        <v>2063</v>
      </c>
      <c r="F602" s="72" t="s">
        <v>2064</v>
      </c>
      <c r="G602" s="289" t="s">
        <v>1431</v>
      </c>
      <c r="H602" s="166" t="s">
        <v>3227</v>
      </c>
      <c r="I602" s="142">
        <v>2</v>
      </c>
      <c r="J602" s="143">
        <v>3</v>
      </c>
      <c r="K602" s="143">
        <v>2</v>
      </c>
      <c r="L602" s="143">
        <v>1</v>
      </c>
      <c r="M602" s="143">
        <v>2</v>
      </c>
      <c r="N602" s="201">
        <v>3</v>
      </c>
      <c r="O602" s="294" t="s">
        <v>2168</v>
      </c>
      <c r="P602" s="325" t="s">
        <v>3032</v>
      </c>
      <c r="Q602" s="298"/>
      <c r="R602" s="209">
        <v>35612</v>
      </c>
      <c r="S602" s="301"/>
      <c r="T602" s="81">
        <v>1</v>
      </c>
      <c r="U602" s="78">
        <v>1</v>
      </c>
      <c r="V602" s="69">
        <v>1</v>
      </c>
      <c r="W602" s="69"/>
      <c r="X602" s="69"/>
      <c r="Y602" s="69"/>
      <c r="Z602" s="69"/>
      <c r="AA602" s="69"/>
      <c r="AB602" s="49"/>
    </row>
    <row r="603" spans="1:28" ht="15.6" customHeight="1" x14ac:dyDescent="0.2">
      <c r="A603" s="212">
        <v>601</v>
      </c>
      <c r="B603" s="159" t="str">
        <f t="shared" si="9"/>
        <v>Osyris speciosa</v>
      </c>
      <c r="C603" s="160" t="s">
        <v>2062</v>
      </c>
      <c r="D603" s="72"/>
      <c r="E603" s="72" t="s">
        <v>2063</v>
      </c>
      <c r="F603" s="72" t="s">
        <v>1779</v>
      </c>
      <c r="G603" s="289" t="s">
        <v>1432</v>
      </c>
      <c r="H603" s="166" t="s">
        <v>3258</v>
      </c>
      <c r="I603" s="142">
        <v>2</v>
      </c>
      <c r="J603" s="143">
        <v>4</v>
      </c>
      <c r="K603" s="143">
        <v>2</v>
      </c>
      <c r="L603" s="143">
        <v>1</v>
      </c>
      <c r="M603" s="143">
        <v>2</v>
      </c>
      <c r="N603" s="201">
        <v>3</v>
      </c>
      <c r="O603" s="294" t="s">
        <v>2914</v>
      </c>
      <c r="P603" s="325" t="s">
        <v>3032</v>
      </c>
      <c r="Q603" s="298"/>
      <c r="R603" s="209">
        <v>36800</v>
      </c>
      <c r="S603" s="301"/>
      <c r="T603" s="81">
        <v>1</v>
      </c>
      <c r="U603" s="78"/>
      <c r="V603" s="69"/>
      <c r="W603" s="69"/>
      <c r="X603" s="69">
        <v>1</v>
      </c>
      <c r="Y603" s="69"/>
      <c r="Z603" s="69"/>
      <c r="AA603" s="69"/>
      <c r="AB603" s="49"/>
    </row>
    <row r="604" spans="1:28" ht="15.6" customHeight="1" x14ac:dyDescent="0.2">
      <c r="A604" s="212">
        <v>602</v>
      </c>
      <c r="B604" s="159" t="str">
        <f t="shared" si="9"/>
        <v>Thesidium fragile</v>
      </c>
      <c r="C604" s="160" t="s">
        <v>2062</v>
      </c>
      <c r="D604" s="72"/>
      <c r="E604" s="72" t="s">
        <v>2065</v>
      </c>
      <c r="F604" s="72" t="s">
        <v>2066</v>
      </c>
      <c r="G604" s="289" t="s">
        <v>1433</v>
      </c>
      <c r="H604" s="166" t="s">
        <v>3317</v>
      </c>
      <c r="I604" s="142">
        <v>2</v>
      </c>
      <c r="J604" s="143">
        <v>6</v>
      </c>
      <c r="K604" s="143">
        <v>0</v>
      </c>
      <c r="L604" s="143">
        <v>7</v>
      </c>
      <c r="M604" s="143">
        <v>0</v>
      </c>
      <c r="N604" s="201">
        <v>0</v>
      </c>
      <c r="O604" s="294" t="s">
        <v>2181</v>
      </c>
      <c r="P604" s="325" t="s">
        <v>3032</v>
      </c>
      <c r="Q604" s="298"/>
      <c r="R604" s="209">
        <v>36951</v>
      </c>
      <c r="S604" s="301"/>
      <c r="T604" s="81">
        <v>1</v>
      </c>
      <c r="U604" s="78">
        <v>1</v>
      </c>
      <c r="V604" s="69"/>
      <c r="W604" s="69"/>
      <c r="X604" s="69"/>
      <c r="Y604" s="69"/>
      <c r="Z604" s="69"/>
      <c r="AA604" s="69"/>
      <c r="AB604" s="49"/>
    </row>
    <row r="605" spans="1:28" ht="15.6" customHeight="1" x14ac:dyDescent="0.2">
      <c r="A605" s="212">
        <v>603</v>
      </c>
      <c r="B605" s="159" t="str">
        <f t="shared" si="9"/>
        <v>Thesium capitatum</v>
      </c>
      <c r="C605" s="160" t="s">
        <v>2062</v>
      </c>
      <c r="D605" s="72" t="s">
        <v>290</v>
      </c>
      <c r="E605" s="72" t="s">
        <v>2067</v>
      </c>
      <c r="F605" s="72" t="s">
        <v>1572</v>
      </c>
      <c r="G605" s="289" t="s">
        <v>1434</v>
      </c>
      <c r="H605" s="166" t="s">
        <v>3215</v>
      </c>
      <c r="I605" s="142">
        <v>2</v>
      </c>
      <c r="J605" s="143">
        <v>6</v>
      </c>
      <c r="K605" s="143">
        <v>2</v>
      </c>
      <c r="L605" s="143">
        <v>2</v>
      </c>
      <c r="M605" s="143">
        <v>2</v>
      </c>
      <c r="N605" s="201">
        <v>5</v>
      </c>
      <c r="O605" s="294" t="s">
        <v>3031</v>
      </c>
      <c r="P605" s="325" t="s">
        <v>3032</v>
      </c>
      <c r="Q605" s="298"/>
      <c r="R605" s="209">
        <v>35612</v>
      </c>
      <c r="S605" s="301" t="s">
        <v>2250</v>
      </c>
      <c r="T605" s="81"/>
      <c r="U605" s="78"/>
      <c r="V605" s="69">
        <v>1</v>
      </c>
      <c r="W605" s="69"/>
      <c r="X605" s="69">
        <v>1</v>
      </c>
      <c r="Y605" s="69"/>
      <c r="Z605" s="69"/>
      <c r="AA605" s="69"/>
      <c r="AB605" s="49"/>
    </row>
    <row r="606" spans="1:28" ht="15.6" customHeight="1" x14ac:dyDescent="0.2">
      <c r="A606" s="212">
        <v>604</v>
      </c>
      <c r="B606" s="159" t="str">
        <f t="shared" si="9"/>
        <v>Thesium capituliflorum</v>
      </c>
      <c r="C606" s="160" t="s">
        <v>2062</v>
      </c>
      <c r="D606" s="72"/>
      <c r="E606" s="72" t="s">
        <v>2067</v>
      </c>
      <c r="F606" s="72" t="s">
        <v>2068</v>
      </c>
      <c r="G606" s="289" t="s">
        <v>537</v>
      </c>
      <c r="H606" s="166" t="s">
        <v>3318</v>
      </c>
      <c r="I606" s="142">
        <v>2</v>
      </c>
      <c r="J606" s="143">
        <v>6</v>
      </c>
      <c r="K606" s="143">
        <v>2</v>
      </c>
      <c r="L606" s="143">
        <v>6</v>
      </c>
      <c r="M606" s="143">
        <v>2</v>
      </c>
      <c r="N606" s="201">
        <v>6</v>
      </c>
      <c r="O606" s="294" t="s">
        <v>3031</v>
      </c>
      <c r="P606" s="325" t="s">
        <v>3032</v>
      </c>
      <c r="Q606" s="298"/>
      <c r="R606" s="209">
        <v>37012</v>
      </c>
      <c r="S606" s="301"/>
      <c r="T606" s="81">
        <v>1</v>
      </c>
      <c r="U606" s="78">
        <v>1</v>
      </c>
      <c r="V606" s="69"/>
      <c r="W606" s="69"/>
      <c r="X606" s="69"/>
      <c r="Y606" s="69"/>
      <c r="Z606" s="69"/>
      <c r="AA606" s="69"/>
      <c r="AB606" s="49"/>
    </row>
    <row r="607" spans="1:28" ht="15.6" customHeight="1" x14ac:dyDescent="0.2">
      <c r="A607" s="212">
        <v>605</v>
      </c>
      <c r="B607" s="159" t="str">
        <f t="shared" si="9"/>
        <v>Thesium commutatum</v>
      </c>
      <c r="C607" s="160" t="s">
        <v>2062</v>
      </c>
      <c r="D607" s="72"/>
      <c r="E607" s="72" t="s">
        <v>2067</v>
      </c>
      <c r="F607" s="72" t="s">
        <v>2069</v>
      </c>
      <c r="G607" s="289" t="s">
        <v>1435</v>
      </c>
      <c r="H607" s="166" t="s">
        <v>3215</v>
      </c>
      <c r="I607" s="142">
        <v>2</v>
      </c>
      <c r="J607" s="143">
        <v>6</v>
      </c>
      <c r="K607" s="143">
        <v>2</v>
      </c>
      <c r="L607" s="143">
        <v>3</v>
      </c>
      <c r="M607" s="143">
        <v>2</v>
      </c>
      <c r="N607" s="201">
        <v>4</v>
      </c>
      <c r="O607" s="294" t="s">
        <v>3031</v>
      </c>
      <c r="P607" s="325" t="s">
        <v>3032</v>
      </c>
      <c r="Q607" s="298"/>
      <c r="R607" s="209">
        <v>35612</v>
      </c>
      <c r="S607" s="301"/>
      <c r="T607" s="81">
        <v>1</v>
      </c>
      <c r="U607" s="78">
        <v>1</v>
      </c>
      <c r="V607" s="69"/>
      <c r="W607" s="69"/>
      <c r="X607" s="69">
        <v>1</v>
      </c>
      <c r="Y607" s="69"/>
      <c r="Z607" s="69"/>
      <c r="AA607" s="69"/>
      <c r="AB607" s="49"/>
    </row>
    <row r="608" spans="1:28" ht="15.6" customHeight="1" x14ac:dyDescent="0.2">
      <c r="A608" s="212">
        <v>606</v>
      </c>
      <c r="B608" s="159" t="str">
        <f t="shared" si="9"/>
        <v>Thesium euphrasioides</v>
      </c>
      <c r="C608" s="160" t="s">
        <v>2062</v>
      </c>
      <c r="D608" s="72"/>
      <c r="E608" s="72" t="s">
        <v>2067</v>
      </c>
      <c r="F608" s="72" t="s">
        <v>2070</v>
      </c>
      <c r="G608" s="289" t="s">
        <v>1436</v>
      </c>
      <c r="H608" s="166" t="s">
        <v>3215</v>
      </c>
      <c r="I608" s="142">
        <v>2</v>
      </c>
      <c r="J608" s="143">
        <v>6</v>
      </c>
      <c r="K608" s="143">
        <v>2</v>
      </c>
      <c r="L608" s="143">
        <v>3</v>
      </c>
      <c r="M608" s="143">
        <v>2</v>
      </c>
      <c r="N608" s="201">
        <v>5</v>
      </c>
      <c r="O608" s="294" t="s">
        <v>3031</v>
      </c>
      <c r="P608" s="325" t="s">
        <v>3032</v>
      </c>
      <c r="Q608" s="298"/>
      <c r="R608" s="209">
        <v>35612</v>
      </c>
      <c r="S608" s="301"/>
      <c r="T608" s="81">
        <v>1</v>
      </c>
      <c r="U608" s="78"/>
      <c r="V608" s="69">
        <v>1</v>
      </c>
      <c r="W608" s="69"/>
      <c r="X608" s="69">
        <v>1</v>
      </c>
      <c r="Y608" s="69"/>
      <c r="Z608" s="69"/>
      <c r="AA608" s="69"/>
      <c r="AB608" s="49"/>
    </row>
    <row r="609" spans="1:28" ht="15.6" customHeight="1" x14ac:dyDescent="0.2">
      <c r="A609" s="212">
        <v>607</v>
      </c>
      <c r="B609" s="159" t="str">
        <f t="shared" si="9"/>
        <v>Thesium funale</v>
      </c>
      <c r="C609" s="160" t="s">
        <v>2062</v>
      </c>
      <c r="D609" s="72"/>
      <c r="E609" s="72" t="s">
        <v>2067</v>
      </c>
      <c r="F609" s="72" t="s">
        <v>2071</v>
      </c>
      <c r="G609" s="289" t="s">
        <v>1487</v>
      </c>
      <c r="H609" s="166" t="s">
        <v>3215</v>
      </c>
      <c r="I609" s="142">
        <v>2</v>
      </c>
      <c r="J609" s="143">
        <v>6</v>
      </c>
      <c r="K609" s="143">
        <v>2</v>
      </c>
      <c r="L609" s="143">
        <v>3</v>
      </c>
      <c r="M609" s="143">
        <v>2</v>
      </c>
      <c r="N609" s="201">
        <v>5</v>
      </c>
      <c r="O609" s="294" t="s">
        <v>3031</v>
      </c>
      <c r="P609" s="325" t="s">
        <v>3032</v>
      </c>
      <c r="Q609" s="298"/>
      <c r="R609" s="209">
        <v>35612</v>
      </c>
      <c r="S609" s="301"/>
      <c r="T609" s="81">
        <v>1</v>
      </c>
      <c r="U609" s="78">
        <v>1</v>
      </c>
      <c r="V609" s="69"/>
      <c r="W609" s="69"/>
      <c r="X609" s="69">
        <v>1</v>
      </c>
      <c r="Y609" s="69"/>
      <c r="Z609" s="69"/>
      <c r="AA609" s="69"/>
      <c r="AB609" s="49"/>
    </row>
    <row r="610" spans="1:28" ht="15.6" customHeight="1" x14ac:dyDescent="0.2">
      <c r="A610" s="212">
        <v>608</v>
      </c>
      <c r="B610" s="159" t="str">
        <f t="shared" si="9"/>
        <v>Thesium nigromontanum</v>
      </c>
      <c r="C610" s="160" t="s">
        <v>2062</v>
      </c>
      <c r="D610" s="72"/>
      <c r="E610" s="72" t="s">
        <v>2067</v>
      </c>
      <c r="F610" s="72" t="s">
        <v>2072</v>
      </c>
      <c r="G610" s="289" t="s">
        <v>1488</v>
      </c>
      <c r="H610" s="166" t="s">
        <v>3318</v>
      </c>
      <c r="I610" s="142">
        <v>2</v>
      </c>
      <c r="J610" s="143">
        <v>6</v>
      </c>
      <c r="K610" s="143">
        <v>2</v>
      </c>
      <c r="L610" s="143">
        <v>6</v>
      </c>
      <c r="M610" s="143">
        <v>2</v>
      </c>
      <c r="N610" s="201">
        <v>6</v>
      </c>
      <c r="O610" s="294" t="s">
        <v>2168</v>
      </c>
      <c r="P610" s="325" t="s">
        <v>3032</v>
      </c>
      <c r="Q610" s="298"/>
      <c r="R610" s="209">
        <v>35612</v>
      </c>
      <c r="S610" s="301"/>
      <c r="T610" s="81">
        <v>1</v>
      </c>
      <c r="U610" s="78"/>
      <c r="V610" s="69">
        <v>1</v>
      </c>
      <c r="W610" s="69"/>
      <c r="X610" s="69"/>
      <c r="Y610" s="69"/>
      <c r="Z610" s="69"/>
      <c r="AA610" s="69"/>
      <c r="AB610" s="49"/>
    </row>
    <row r="611" spans="1:28" ht="15.6" customHeight="1" x14ac:dyDescent="0.2">
      <c r="A611" s="212">
        <v>609</v>
      </c>
      <c r="B611" s="159" t="str">
        <f t="shared" si="9"/>
        <v>Thesium scabrum</v>
      </c>
      <c r="C611" s="160" t="s">
        <v>2062</v>
      </c>
      <c r="D611" s="72"/>
      <c r="E611" s="72" t="s">
        <v>2067</v>
      </c>
      <c r="F611" s="72" t="s">
        <v>1816</v>
      </c>
      <c r="G611" s="289" t="s">
        <v>1489</v>
      </c>
      <c r="H611" s="166" t="s">
        <v>3248</v>
      </c>
      <c r="I611" s="142">
        <v>2</v>
      </c>
      <c r="J611" s="143">
        <v>5</v>
      </c>
      <c r="K611" s="143">
        <v>3</v>
      </c>
      <c r="L611" s="143">
        <v>3</v>
      </c>
      <c r="M611" s="143">
        <v>2</v>
      </c>
      <c r="N611" s="201">
        <v>5</v>
      </c>
      <c r="O611" s="294" t="s">
        <v>3031</v>
      </c>
      <c r="P611" s="325" t="s">
        <v>3032</v>
      </c>
      <c r="Q611" s="298"/>
      <c r="R611" s="209">
        <v>35612</v>
      </c>
      <c r="S611" s="301"/>
      <c r="T611" s="81">
        <v>1</v>
      </c>
      <c r="U611" s="78">
        <v>1</v>
      </c>
      <c r="V611" s="69"/>
      <c r="W611" s="69"/>
      <c r="X611" s="69">
        <v>1</v>
      </c>
      <c r="Y611" s="69"/>
      <c r="Z611" s="69"/>
      <c r="AA611" s="69"/>
      <c r="AB611" s="49"/>
    </row>
    <row r="612" spans="1:28" ht="15.6" customHeight="1" x14ac:dyDescent="0.2">
      <c r="A612" s="212">
        <v>610</v>
      </c>
      <c r="B612" s="159" t="str">
        <f t="shared" si="9"/>
        <v>Thesium spicatum</v>
      </c>
      <c r="C612" s="160" t="s">
        <v>2062</v>
      </c>
      <c r="D612" s="72" t="s">
        <v>291</v>
      </c>
      <c r="E612" s="72" t="s">
        <v>2067</v>
      </c>
      <c r="F612" s="72" t="s">
        <v>2073</v>
      </c>
      <c r="G612" s="289" t="s">
        <v>1490</v>
      </c>
      <c r="H612" s="166" t="s">
        <v>3318</v>
      </c>
      <c r="I612" s="142">
        <v>2</v>
      </c>
      <c r="J612" s="143">
        <v>6</v>
      </c>
      <c r="K612" s="143">
        <v>2</v>
      </c>
      <c r="L612" s="143">
        <v>6</v>
      </c>
      <c r="M612" s="143">
        <v>2</v>
      </c>
      <c r="N612" s="201">
        <v>6</v>
      </c>
      <c r="O612" s="294" t="s">
        <v>2168</v>
      </c>
      <c r="P612" s="325" t="s">
        <v>3032</v>
      </c>
      <c r="Q612" s="298"/>
      <c r="R612" s="209">
        <v>35612</v>
      </c>
      <c r="S612" s="301"/>
      <c r="T612" s="81">
        <v>1</v>
      </c>
      <c r="U612" s="78"/>
      <c r="V612" s="69"/>
      <c r="W612" s="69">
        <v>1</v>
      </c>
      <c r="X612" s="69">
        <v>1</v>
      </c>
      <c r="Y612" s="69"/>
      <c r="Z612" s="69"/>
      <c r="AA612" s="69"/>
      <c r="AB612" s="49"/>
    </row>
    <row r="613" spans="1:28" ht="15.6" customHeight="1" x14ac:dyDescent="0.2">
      <c r="A613" s="212">
        <v>611</v>
      </c>
      <c r="B613" s="159" t="str">
        <f t="shared" si="9"/>
        <v>Thesium strictum</v>
      </c>
      <c r="C613" s="160" t="s">
        <v>2062</v>
      </c>
      <c r="D613" s="72" t="s">
        <v>292</v>
      </c>
      <c r="E613" s="72" t="s">
        <v>2067</v>
      </c>
      <c r="F613" s="72" t="s">
        <v>2074</v>
      </c>
      <c r="G613" s="289" t="s">
        <v>1491</v>
      </c>
      <c r="H613" s="166" t="s">
        <v>3249</v>
      </c>
      <c r="I613" s="142">
        <v>2</v>
      </c>
      <c r="J613" s="143">
        <v>4</v>
      </c>
      <c r="K613" s="143">
        <v>2</v>
      </c>
      <c r="L613" s="143">
        <v>3</v>
      </c>
      <c r="M613" s="143">
        <v>2</v>
      </c>
      <c r="N613" s="201">
        <v>4</v>
      </c>
      <c r="O613" s="294" t="s">
        <v>3031</v>
      </c>
      <c r="P613" s="325" t="s">
        <v>3032</v>
      </c>
      <c r="Q613" s="298"/>
      <c r="R613" s="209">
        <v>35612</v>
      </c>
      <c r="S613" s="301"/>
      <c r="T613" s="81">
        <v>1</v>
      </c>
      <c r="U613" s="78"/>
      <c r="V613" s="69"/>
      <c r="W613" s="69">
        <v>1</v>
      </c>
      <c r="X613" s="69">
        <v>1</v>
      </c>
      <c r="Y613" s="69"/>
      <c r="Z613" s="69"/>
      <c r="AA613" s="69"/>
      <c r="AB613" s="49"/>
    </row>
    <row r="614" spans="1:28" ht="15.6" customHeight="1" x14ac:dyDescent="0.2">
      <c r="A614" s="212">
        <v>612</v>
      </c>
      <c r="B614" s="159" t="str">
        <f t="shared" si="9"/>
        <v>Sideroxylon inerme</v>
      </c>
      <c r="C614" s="160" t="s">
        <v>2075</v>
      </c>
      <c r="D614" s="72" t="s">
        <v>293</v>
      </c>
      <c r="E614" s="72" t="s">
        <v>2076</v>
      </c>
      <c r="F614" s="72" t="s">
        <v>2077</v>
      </c>
      <c r="G614" s="289" t="s">
        <v>1492</v>
      </c>
      <c r="H614" s="166" t="s">
        <v>3280</v>
      </c>
      <c r="I614" s="142">
        <v>1</v>
      </c>
      <c r="J614" s="143">
        <v>2</v>
      </c>
      <c r="K614" s="143">
        <v>2</v>
      </c>
      <c r="L614" s="143">
        <v>1</v>
      </c>
      <c r="M614" s="143">
        <v>2</v>
      </c>
      <c r="N614" s="201">
        <v>2</v>
      </c>
      <c r="O614" s="294" t="s">
        <v>2173</v>
      </c>
      <c r="P614" s="325" t="s">
        <v>3032</v>
      </c>
      <c r="Q614" s="298"/>
      <c r="R614" s="209">
        <v>35612</v>
      </c>
      <c r="S614" s="301"/>
      <c r="T614" s="81">
        <v>1</v>
      </c>
      <c r="U614" s="78"/>
      <c r="V614" s="69"/>
      <c r="W614" s="69"/>
      <c r="X614" s="69"/>
      <c r="Y614" s="69">
        <v>1</v>
      </c>
      <c r="Z614" s="69">
        <v>1</v>
      </c>
      <c r="AA614" s="69"/>
      <c r="AB614" s="49"/>
    </row>
    <row r="615" spans="1:28" ht="15.6" customHeight="1" x14ac:dyDescent="0.2">
      <c r="A615" s="212">
        <v>613</v>
      </c>
      <c r="B615" s="159" t="str">
        <f t="shared" si="9"/>
        <v>Schizaea pectinata</v>
      </c>
      <c r="C615" s="160" t="s">
        <v>2078</v>
      </c>
      <c r="D615" s="72"/>
      <c r="E615" s="72" t="s">
        <v>2079</v>
      </c>
      <c r="F615" s="72" t="s">
        <v>745</v>
      </c>
      <c r="G615" s="289" t="s">
        <v>1493</v>
      </c>
      <c r="H615" s="166" t="s">
        <v>3312</v>
      </c>
      <c r="I615" s="142">
        <v>5</v>
      </c>
      <c r="J615" s="143">
        <v>6</v>
      </c>
      <c r="K615" s="143">
        <v>0</v>
      </c>
      <c r="L615" s="143">
        <v>7</v>
      </c>
      <c r="M615" s="143">
        <v>0</v>
      </c>
      <c r="N615" s="201">
        <v>0</v>
      </c>
      <c r="O615" s="294" t="s">
        <v>2171</v>
      </c>
      <c r="P615" s="325" t="s">
        <v>3032</v>
      </c>
      <c r="Q615" s="298"/>
      <c r="R615" s="209">
        <v>35612</v>
      </c>
      <c r="S615" s="301"/>
      <c r="T615" s="81">
        <v>1</v>
      </c>
      <c r="U615" s="78"/>
      <c r="V615" s="69"/>
      <c r="W615" s="69"/>
      <c r="X615" s="69">
        <v>1</v>
      </c>
      <c r="Y615" s="69"/>
      <c r="Z615" s="69"/>
      <c r="AA615" s="69"/>
      <c r="AB615" s="49"/>
    </row>
    <row r="616" spans="1:28" ht="15.6" customHeight="1" x14ac:dyDescent="0.2">
      <c r="A616" s="212">
        <v>614</v>
      </c>
      <c r="B616" s="159" t="str">
        <f t="shared" si="9"/>
        <v>Dischisma ciliatum</v>
      </c>
      <c r="C616" s="160" t="s">
        <v>2080</v>
      </c>
      <c r="D616" s="72" t="s">
        <v>294</v>
      </c>
      <c r="E616" s="72" t="s">
        <v>2081</v>
      </c>
      <c r="F616" s="72" t="s">
        <v>2082</v>
      </c>
      <c r="G616" s="289" t="s">
        <v>1494</v>
      </c>
      <c r="H616" s="166" t="s">
        <v>3259</v>
      </c>
      <c r="I616" s="142">
        <v>2</v>
      </c>
      <c r="J616" s="143">
        <v>6</v>
      </c>
      <c r="K616" s="143">
        <v>2</v>
      </c>
      <c r="L616" s="143">
        <v>2</v>
      </c>
      <c r="M616" s="143">
        <v>2</v>
      </c>
      <c r="N616" s="201">
        <v>4</v>
      </c>
      <c r="O616" s="294" t="s">
        <v>3031</v>
      </c>
      <c r="P616" s="325" t="s">
        <v>3032</v>
      </c>
      <c r="Q616" s="298"/>
      <c r="R616" s="209">
        <v>35612</v>
      </c>
      <c r="S616" s="301"/>
      <c r="T616" s="81">
        <v>1</v>
      </c>
      <c r="U616" s="78">
        <v>1</v>
      </c>
      <c r="V616" s="69"/>
      <c r="W616" s="69">
        <v>1</v>
      </c>
      <c r="X616" s="69">
        <v>1</v>
      </c>
      <c r="Y616" s="69"/>
      <c r="Z616" s="69"/>
      <c r="AA616" s="69"/>
      <c r="AB616" s="49"/>
    </row>
    <row r="617" spans="1:28" ht="15.6" customHeight="1" x14ac:dyDescent="0.2">
      <c r="A617" s="212">
        <v>615</v>
      </c>
      <c r="B617" s="159" t="str">
        <f t="shared" si="9"/>
        <v>Halleria lucida</v>
      </c>
      <c r="C617" s="160" t="s">
        <v>2080</v>
      </c>
      <c r="D617" s="72" t="s">
        <v>295</v>
      </c>
      <c r="E617" s="72" t="s">
        <v>2083</v>
      </c>
      <c r="F617" s="72" t="s">
        <v>2774</v>
      </c>
      <c r="G617" s="289" t="s">
        <v>1495</v>
      </c>
      <c r="H617" s="166" t="s">
        <v>3319</v>
      </c>
      <c r="I617" s="142">
        <v>2</v>
      </c>
      <c r="J617" s="143">
        <v>3</v>
      </c>
      <c r="K617" s="143">
        <v>2</v>
      </c>
      <c r="L617" s="143">
        <v>3</v>
      </c>
      <c r="M617" s="143">
        <v>2</v>
      </c>
      <c r="N617" s="201">
        <v>1</v>
      </c>
      <c r="O617" s="294" t="s">
        <v>2914</v>
      </c>
      <c r="P617" s="325" t="s">
        <v>3032</v>
      </c>
      <c r="Q617" s="298"/>
      <c r="R617" s="209">
        <v>35490</v>
      </c>
      <c r="S617" s="301" t="s">
        <v>2250</v>
      </c>
      <c r="T617" s="81"/>
      <c r="U617" s="78">
        <v>1</v>
      </c>
      <c r="V617" s="69"/>
      <c r="W617" s="69"/>
      <c r="X617" s="69"/>
      <c r="Y617" s="69"/>
      <c r="Z617" s="69">
        <v>1</v>
      </c>
      <c r="AA617" s="69"/>
      <c r="AB617" s="49"/>
    </row>
    <row r="618" spans="1:28" ht="15.6" customHeight="1" x14ac:dyDescent="0.2">
      <c r="A618" s="212">
        <v>616</v>
      </c>
      <c r="B618" s="159" t="str">
        <f t="shared" si="9"/>
        <v>Hebenstretia dentata</v>
      </c>
      <c r="C618" s="160" t="s">
        <v>2080</v>
      </c>
      <c r="D618" s="72" t="s">
        <v>296</v>
      </c>
      <c r="E618" s="72" t="s">
        <v>2152</v>
      </c>
      <c r="F618" s="72" t="s">
        <v>712</v>
      </c>
      <c r="G618" s="289" t="s">
        <v>1496</v>
      </c>
      <c r="H618" s="166" t="s">
        <v>3246</v>
      </c>
      <c r="I618" s="142">
        <v>6</v>
      </c>
      <c r="J618" s="143">
        <v>6</v>
      </c>
      <c r="K618" s="143">
        <v>3</v>
      </c>
      <c r="L618" s="143">
        <v>2</v>
      </c>
      <c r="M618" s="143">
        <v>1</v>
      </c>
      <c r="N618" s="201">
        <v>3</v>
      </c>
      <c r="O618" s="294" t="s">
        <v>2910</v>
      </c>
      <c r="P618" s="325" t="s">
        <v>2915</v>
      </c>
      <c r="Q618" s="298"/>
      <c r="R618" s="209">
        <v>37530</v>
      </c>
      <c r="S618" s="301"/>
      <c r="T618" s="81">
        <v>1</v>
      </c>
      <c r="U618" s="78"/>
      <c r="V618" s="69"/>
      <c r="W618" s="69">
        <v>1</v>
      </c>
      <c r="X618" s="69">
        <v>1</v>
      </c>
      <c r="Y618" s="69"/>
      <c r="Z618" s="69"/>
      <c r="AA618" s="69"/>
      <c r="AB618" s="49"/>
    </row>
    <row r="619" spans="1:28" ht="15.6" customHeight="1" x14ac:dyDescent="0.2">
      <c r="A619" s="212">
        <v>617</v>
      </c>
      <c r="B619" s="159" t="str">
        <f t="shared" si="9"/>
        <v>Hemimeris racemosa</v>
      </c>
      <c r="C619" s="160" t="s">
        <v>2080</v>
      </c>
      <c r="D619" s="72"/>
      <c r="E619" s="72" t="s">
        <v>2153</v>
      </c>
      <c r="F619" s="72" t="s">
        <v>1031</v>
      </c>
      <c r="G619" s="289" t="s">
        <v>1497</v>
      </c>
      <c r="H619" s="166" t="s">
        <v>3261</v>
      </c>
      <c r="I619" s="142">
        <v>6</v>
      </c>
      <c r="J619" s="143">
        <v>6</v>
      </c>
      <c r="K619" s="143">
        <v>3</v>
      </c>
      <c r="L619" s="143">
        <v>1</v>
      </c>
      <c r="M619" s="143">
        <v>1</v>
      </c>
      <c r="N619" s="201">
        <v>5</v>
      </c>
      <c r="O619" s="294" t="s">
        <v>2910</v>
      </c>
      <c r="P619" s="325" t="s">
        <v>2915</v>
      </c>
      <c r="Q619" s="298" t="s">
        <v>3144</v>
      </c>
      <c r="R619" s="209">
        <v>37165</v>
      </c>
      <c r="S619" s="301"/>
      <c r="T619" s="81">
        <v>1</v>
      </c>
      <c r="U619" s="78"/>
      <c r="V619" s="69"/>
      <c r="W619" s="69"/>
      <c r="X619" s="69">
        <v>1</v>
      </c>
      <c r="Y619" s="69"/>
      <c r="Z619" s="69"/>
      <c r="AA619" s="69"/>
      <c r="AB619" s="49"/>
    </row>
    <row r="620" spans="1:28" ht="15.6" customHeight="1" x14ac:dyDescent="0.2">
      <c r="A620" s="212">
        <v>618</v>
      </c>
      <c r="B620" s="159" t="str">
        <f t="shared" si="9"/>
        <v>Hemimeris sabulosa</v>
      </c>
      <c r="C620" s="160" t="s">
        <v>2080</v>
      </c>
      <c r="D620" s="72"/>
      <c r="E620" s="72" t="s">
        <v>2153</v>
      </c>
      <c r="F620" s="72" t="s">
        <v>2154</v>
      </c>
      <c r="G620" s="289" t="s">
        <v>1498</v>
      </c>
      <c r="H620" s="166" t="s">
        <v>3261</v>
      </c>
      <c r="I620" s="142">
        <v>6</v>
      </c>
      <c r="J620" s="143">
        <v>6</v>
      </c>
      <c r="K620" s="143">
        <v>3</v>
      </c>
      <c r="L620" s="143">
        <v>4</v>
      </c>
      <c r="M620" s="143">
        <v>1</v>
      </c>
      <c r="N620" s="201">
        <v>4</v>
      </c>
      <c r="O620" s="294" t="s">
        <v>2910</v>
      </c>
      <c r="P620" s="325" t="s">
        <v>2915</v>
      </c>
      <c r="Q620" s="298"/>
      <c r="R620" s="209">
        <v>37165</v>
      </c>
      <c r="S620" s="301"/>
      <c r="T620" s="81">
        <v>1</v>
      </c>
      <c r="U620" s="78">
        <v>1</v>
      </c>
      <c r="V620" s="69"/>
      <c r="W620" s="69"/>
      <c r="X620" s="69"/>
      <c r="Y620" s="69"/>
      <c r="Z620" s="69"/>
      <c r="AA620" s="69"/>
      <c r="AB620" s="49"/>
    </row>
    <row r="621" spans="1:28" ht="15.6" customHeight="1" x14ac:dyDescent="0.2">
      <c r="A621" s="212">
        <v>619</v>
      </c>
      <c r="B621" s="159" t="str">
        <f t="shared" si="9"/>
        <v>Jamesbrittenia albomarginata</v>
      </c>
      <c r="C621" s="160" t="s">
        <v>2080</v>
      </c>
      <c r="D621" s="72"/>
      <c r="E621" s="72" t="s">
        <v>2183</v>
      </c>
      <c r="F621" s="72" t="s">
        <v>2184</v>
      </c>
      <c r="G621" s="289" t="s">
        <v>1499</v>
      </c>
      <c r="H621" s="166" t="s">
        <v>3215</v>
      </c>
      <c r="I621" s="142">
        <v>2</v>
      </c>
      <c r="J621" s="143">
        <v>6</v>
      </c>
      <c r="K621" s="143">
        <v>3</v>
      </c>
      <c r="L621" s="143">
        <v>3</v>
      </c>
      <c r="M621" s="143">
        <v>1</v>
      </c>
      <c r="N621" s="201">
        <v>5</v>
      </c>
      <c r="O621" s="294" t="s">
        <v>3031</v>
      </c>
      <c r="P621" s="325" t="s">
        <v>3032</v>
      </c>
      <c r="Q621" s="298"/>
      <c r="R621" s="209">
        <v>35612</v>
      </c>
      <c r="S621" s="301"/>
      <c r="T621" s="81">
        <v>1</v>
      </c>
      <c r="U621" s="78">
        <v>1</v>
      </c>
      <c r="V621" s="69">
        <v>1</v>
      </c>
      <c r="W621" s="69">
        <v>1</v>
      </c>
      <c r="X621" s="69"/>
      <c r="Y621" s="69"/>
      <c r="Z621" s="69"/>
      <c r="AA621" s="69"/>
      <c r="AB621" s="49"/>
    </row>
    <row r="622" spans="1:28" ht="15.6" customHeight="1" x14ac:dyDescent="0.2">
      <c r="A622" s="212">
        <v>620</v>
      </c>
      <c r="B622" s="159" t="str">
        <f t="shared" si="9"/>
        <v>Lyperia tristis</v>
      </c>
      <c r="C622" s="160" t="s">
        <v>2080</v>
      </c>
      <c r="D622" s="72"/>
      <c r="E622" s="72" t="s">
        <v>2185</v>
      </c>
      <c r="F622" s="72" t="s">
        <v>2186</v>
      </c>
      <c r="G622" s="289" t="s">
        <v>1500</v>
      </c>
      <c r="H622" s="166" t="s">
        <v>3231</v>
      </c>
      <c r="I622" s="142">
        <v>6</v>
      </c>
      <c r="J622" s="143">
        <v>5</v>
      </c>
      <c r="K622" s="143">
        <v>3</v>
      </c>
      <c r="L622" s="143">
        <v>2</v>
      </c>
      <c r="M622" s="143">
        <v>1</v>
      </c>
      <c r="N622" s="201">
        <v>4</v>
      </c>
      <c r="O622" s="294" t="s">
        <v>2910</v>
      </c>
      <c r="P622" s="325" t="s">
        <v>2915</v>
      </c>
      <c r="Q622" s="298"/>
      <c r="R622" s="209">
        <v>36404</v>
      </c>
      <c r="S622" s="301"/>
      <c r="T622" s="81">
        <v>1</v>
      </c>
      <c r="U622" s="78">
        <v>1</v>
      </c>
      <c r="V622" s="69"/>
      <c r="W622" s="69">
        <v>1</v>
      </c>
      <c r="X622" s="69">
        <v>1</v>
      </c>
      <c r="Y622" s="69"/>
      <c r="Z622" s="69"/>
      <c r="AA622" s="69"/>
      <c r="AB622" s="49"/>
    </row>
    <row r="623" spans="1:28" ht="15.6" customHeight="1" x14ac:dyDescent="0.2">
      <c r="A623" s="212">
        <v>621</v>
      </c>
      <c r="B623" s="159" t="str">
        <f t="shared" si="9"/>
        <v>Manulea caledonica</v>
      </c>
      <c r="C623" s="160" t="s">
        <v>2080</v>
      </c>
      <c r="D623" s="72"/>
      <c r="E623" s="72" t="s">
        <v>2187</v>
      </c>
      <c r="F623" s="72" t="s">
        <v>2188</v>
      </c>
      <c r="G623" s="289" t="s">
        <v>1501</v>
      </c>
      <c r="H623" s="166" t="s">
        <v>3279</v>
      </c>
      <c r="I623" s="142">
        <v>3</v>
      </c>
      <c r="J623" s="143">
        <v>5</v>
      </c>
      <c r="K623" s="143">
        <v>3</v>
      </c>
      <c r="L623" s="143">
        <v>5</v>
      </c>
      <c r="M623" s="143">
        <v>2</v>
      </c>
      <c r="N623" s="201">
        <v>5</v>
      </c>
      <c r="O623" s="294" t="s">
        <v>2910</v>
      </c>
      <c r="P623" s="325" t="s">
        <v>3032</v>
      </c>
      <c r="Q623" s="298"/>
      <c r="R623" s="209">
        <v>36281</v>
      </c>
      <c r="S623" s="301"/>
      <c r="T623" s="81">
        <v>1</v>
      </c>
      <c r="U623" s="78">
        <v>1</v>
      </c>
      <c r="V623" s="69"/>
      <c r="W623" s="69"/>
      <c r="X623" s="69"/>
      <c r="Y623" s="69"/>
      <c r="Z623" s="69"/>
      <c r="AA623" s="69"/>
      <c r="AB623" s="49"/>
    </row>
    <row r="624" spans="1:28" ht="15.6" customHeight="1" x14ac:dyDescent="0.2">
      <c r="A624" s="212">
        <v>622</v>
      </c>
      <c r="B624" s="159" t="str">
        <f t="shared" si="9"/>
        <v>Manulea cheiranthus</v>
      </c>
      <c r="C624" s="160" t="s">
        <v>2080</v>
      </c>
      <c r="D624" s="72"/>
      <c r="E624" s="72" t="s">
        <v>2187</v>
      </c>
      <c r="F624" s="72" t="s">
        <v>2189</v>
      </c>
      <c r="G624" s="289" t="s">
        <v>1502</v>
      </c>
      <c r="H624" s="166" t="s">
        <v>3256</v>
      </c>
      <c r="I624" s="142">
        <v>6</v>
      </c>
      <c r="J624" s="143">
        <v>6</v>
      </c>
      <c r="K624" s="143">
        <v>4</v>
      </c>
      <c r="L624" s="143">
        <v>2</v>
      </c>
      <c r="M624" s="143">
        <v>1</v>
      </c>
      <c r="N624" s="201">
        <v>4</v>
      </c>
      <c r="O624" s="294" t="s">
        <v>2910</v>
      </c>
      <c r="P624" s="325" t="s">
        <v>2915</v>
      </c>
      <c r="Q624" s="298"/>
      <c r="R624" s="209">
        <v>36861</v>
      </c>
      <c r="S624" s="301"/>
      <c r="T624" s="81">
        <v>1</v>
      </c>
      <c r="U624" s="78"/>
      <c r="V624" s="69"/>
      <c r="W624" s="69"/>
      <c r="X624" s="69">
        <v>1</v>
      </c>
      <c r="Y624" s="69"/>
      <c r="Z624" s="69"/>
      <c r="AA624" s="69"/>
      <c r="AB624" s="49"/>
    </row>
    <row r="625" spans="1:28" ht="15.6" customHeight="1" x14ac:dyDescent="0.2">
      <c r="A625" s="212">
        <v>623</v>
      </c>
      <c r="B625" s="159" t="str">
        <f t="shared" si="9"/>
        <v>Manulea rubra</v>
      </c>
      <c r="C625" s="160" t="s">
        <v>2080</v>
      </c>
      <c r="D625" s="72"/>
      <c r="E625" s="72" t="s">
        <v>2187</v>
      </c>
      <c r="F625" s="72" t="s">
        <v>2190</v>
      </c>
      <c r="G625" s="289" t="s">
        <v>1503</v>
      </c>
      <c r="H625" s="166" t="s">
        <v>198</v>
      </c>
      <c r="I625" s="142">
        <v>3</v>
      </c>
      <c r="J625" s="143">
        <v>5</v>
      </c>
      <c r="K625" s="143">
        <v>9</v>
      </c>
      <c r="L625" s="143">
        <v>9</v>
      </c>
      <c r="M625" s="143">
        <v>9</v>
      </c>
      <c r="N625" s="201">
        <v>9</v>
      </c>
      <c r="O625" s="294" t="s">
        <v>2910</v>
      </c>
      <c r="P625" s="325" t="s">
        <v>3032</v>
      </c>
      <c r="Q625" s="298"/>
      <c r="R625" s="209">
        <v>37408</v>
      </c>
      <c r="S625" s="301"/>
      <c r="T625" s="81">
        <v>1</v>
      </c>
      <c r="U625" s="78">
        <v>1</v>
      </c>
      <c r="V625" s="69"/>
      <c r="W625" s="69"/>
      <c r="X625" s="69"/>
      <c r="Y625" s="69"/>
      <c r="Z625" s="69"/>
      <c r="AA625" s="69"/>
      <c r="AB625" s="49"/>
    </row>
    <row r="626" spans="1:28" ht="15.6" customHeight="1" x14ac:dyDescent="0.2">
      <c r="A626" s="212">
        <v>624</v>
      </c>
      <c r="B626" s="159" t="str">
        <f t="shared" si="9"/>
        <v>Manulea tomentosa</v>
      </c>
      <c r="C626" s="160" t="s">
        <v>2080</v>
      </c>
      <c r="D626" s="72"/>
      <c r="E626" s="72" t="s">
        <v>2187</v>
      </c>
      <c r="F626" s="72" t="s">
        <v>2776</v>
      </c>
      <c r="G626" s="289" t="s">
        <v>1504</v>
      </c>
      <c r="H626" s="166" t="s">
        <v>198</v>
      </c>
      <c r="I626" s="142">
        <v>3</v>
      </c>
      <c r="J626" s="143">
        <v>5</v>
      </c>
      <c r="K626" s="143">
        <v>9</v>
      </c>
      <c r="L626" s="143">
        <v>9</v>
      </c>
      <c r="M626" s="143">
        <v>9</v>
      </c>
      <c r="N626" s="201">
        <v>9</v>
      </c>
      <c r="O626" s="294" t="s">
        <v>2910</v>
      </c>
      <c r="P626" s="325" t="s">
        <v>3032</v>
      </c>
      <c r="Q626" s="298"/>
      <c r="R626" s="209">
        <v>35612</v>
      </c>
      <c r="S626" s="301" t="s">
        <v>2250</v>
      </c>
      <c r="T626" s="81"/>
      <c r="U626" s="78">
        <v>1</v>
      </c>
      <c r="V626" s="69"/>
      <c r="W626" s="69"/>
      <c r="X626" s="69">
        <v>1</v>
      </c>
      <c r="Y626" s="69"/>
      <c r="Z626" s="69"/>
      <c r="AA626" s="69"/>
      <c r="AB626" s="49"/>
    </row>
    <row r="627" spans="1:28" ht="15.6" customHeight="1" x14ac:dyDescent="0.2">
      <c r="A627" s="212">
        <v>625</v>
      </c>
      <c r="B627" s="159" t="str">
        <f t="shared" si="9"/>
        <v>Nemesia affinis</v>
      </c>
      <c r="C627" s="160" t="s">
        <v>2080</v>
      </c>
      <c r="D627" s="72" t="s">
        <v>297</v>
      </c>
      <c r="E627" s="72" t="s">
        <v>2191</v>
      </c>
      <c r="F627" s="72" t="s">
        <v>676</v>
      </c>
      <c r="G627" s="289" t="s">
        <v>1505</v>
      </c>
      <c r="H627" s="166" t="s">
        <v>3256</v>
      </c>
      <c r="I627" s="142">
        <v>6</v>
      </c>
      <c r="J627" s="143">
        <v>6</v>
      </c>
      <c r="K627" s="143">
        <v>4</v>
      </c>
      <c r="L627" s="143">
        <v>2</v>
      </c>
      <c r="M627" s="143">
        <v>1</v>
      </c>
      <c r="N627" s="201">
        <v>4</v>
      </c>
      <c r="O627" s="294" t="s">
        <v>2910</v>
      </c>
      <c r="P627" s="325" t="s">
        <v>2915</v>
      </c>
      <c r="Q627" s="298"/>
      <c r="R627" s="209">
        <v>35612</v>
      </c>
      <c r="S627" s="301"/>
      <c r="T627" s="81">
        <v>1</v>
      </c>
      <c r="U627" s="78">
        <v>1</v>
      </c>
      <c r="V627" s="69"/>
      <c r="W627" s="69">
        <v>1</v>
      </c>
      <c r="X627" s="69"/>
      <c r="Y627" s="69">
        <v>1</v>
      </c>
      <c r="Z627" s="69"/>
      <c r="AA627" s="69"/>
      <c r="AB627" s="49"/>
    </row>
    <row r="628" spans="1:28" ht="15.6" customHeight="1" x14ac:dyDescent="0.2">
      <c r="A628" s="212">
        <v>626</v>
      </c>
      <c r="B628" s="159" t="str">
        <f t="shared" si="9"/>
        <v>Nemesia bicornis</v>
      </c>
      <c r="C628" s="160" t="s">
        <v>2080</v>
      </c>
      <c r="D628" s="72" t="s">
        <v>298</v>
      </c>
      <c r="E628" s="72" t="s">
        <v>2191</v>
      </c>
      <c r="F628" s="72" t="s">
        <v>2192</v>
      </c>
      <c r="G628" s="289" t="s">
        <v>1506</v>
      </c>
      <c r="H628" s="166" t="s">
        <v>1871</v>
      </c>
      <c r="I628" s="142">
        <v>6</v>
      </c>
      <c r="J628" s="143">
        <v>5</v>
      </c>
      <c r="K628" s="143">
        <v>9</v>
      </c>
      <c r="L628" s="143">
        <v>9</v>
      </c>
      <c r="M628" s="143">
        <v>9</v>
      </c>
      <c r="N628" s="201">
        <v>9</v>
      </c>
      <c r="O628" s="294" t="s">
        <v>2910</v>
      </c>
      <c r="P628" s="325" t="s">
        <v>2915</v>
      </c>
      <c r="Q628" s="298"/>
      <c r="R628" s="209"/>
      <c r="S628" s="301" t="s">
        <v>2250</v>
      </c>
      <c r="T628" s="81"/>
      <c r="U628" s="78">
        <v>1</v>
      </c>
      <c r="V628" s="69"/>
      <c r="W628" s="69"/>
      <c r="X628" s="69"/>
      <c r="Y628" s="69"/>
      <c r="Z628" s="69"/>
      <c r="AA628" s="69"/>
      <c r="AB628" s="49"/>
    </row>
    <row r="629" spans="1:28" ht="15.6" customHeight="1" x14ac:dyDescent="0.2">
      <c r="A629" s="212">
        <v>627</v>
      </c>
      <c r="B629" s="159" t="str">
        <f t="shared" si="9"/>
        <v>Nemesia diffusa</v>
      </c>
      <c r="C629" s="160" t="s">
        <v>2080</v>
      </c>
      <c r="D629" s="72"/>
      <c r="E629" s="72" t="s">
        <v>2191</v>
      </c>
      <c r="F629" s="72" t="s">
        <v>2193</v>
      </c>
      <c r="G629" s="289" t="s">
        <v>1507</v>
      </c>
      <c r="H629" s="166" t="s">
        <v>3264</v>
      </c>
      <c r="I629" s="142">
        <v>3</v>
      </c>
      <c r="J629" s="143">
        <v>6</v>
      </c>
      <c r="K629" s="143">
        <v>4</v>
      </c>
      <c r="L629" s="143">
        <v>2</v>
      </c>
      <c r="M629" s="143">
        <v>1</v>
      </c>
      <c r="N629" s="201">
        <v>4</v>
      </c>
      <c r="O629" s="294" t="s">
        <v>2910</v>
      </c>
      <c r="P629" s="325" t="s">
        <v>3032</v>
      </c>
      <c r="Q629" s="298"/>
      <c r="R629" s="209">
        <v>37316</v>
      </c>
      <c r="S629" s="301"/>
      <c r="T629" s="81">
        <v>1</v>
      </c>
      <c r="U629" s="80"/>
      <c r="V629" s="69"/>
      <c r="W629" s="69"/>
      <c r="X629" s="69"/>
      <c r="Y629" s="69"/>
      <c r="Z629" s="69"/>
      <c r="AA629" s="69"/>
      <c r="AB629" s="49"/>
    </row>
    <row r="630" spans="1:28" ht="15.6" customHeight="1" x14ac:dyDescent="0.2">
      <c r="A630" s="212">
        <v>628</v>
      </c>
      <c r="B630" s="159" t="str">
        <f t="shared" si="9"/>
        <v>Pseudoselago spuria</v>
      </c>
      <c r="C630" s="160" t="s">
        <v>2080</v>
      </c>
      <c r="D630" s="72"/>
      <c r="E630" s="72" t="s">
        <v>2194</v>
      </c>
      <c r="F630" s="72" t="s">
        <v>2195</v>
      </c>
      <c r="G630" s="289" t="s">
        <v>1508</v>
      </c>
      <c r="H630" s="166" t="s">
        <v>3320</v>
      </c>
      <c r="I630" s="142">
        <v>3</v>
      </c>
      <c r="J630" s="143">
        <v>5</v>
      </c>
      <c r="K630" s="143">
        <v>3</v>
      </c>
      <c r="L630" s="143">
        <v>2</v>
      </c>
      <c r="M630" s="143">
        <v>2</v>
      </c>
      <c r="N630" s="201">
        <v>4</v>
      </c>
      <c r="O630" s="294" t="s">
        <v>2910</v>
      </c>
      <c r="P630" s="325" t="s">
        <v>3032</v>
      </c>
      <c r="Q630" s="298"/>
      <c r="R630" s="209">
        <v>35612</v>
      </c>
      <c r="S630" s="302" t="s">
        <v>257</v>
      </c>
      <c r="T630" s="79">
        <v>1</v>
      </c>
      <c r="U630" s="78">
        <v>1</v>
      </c>
      <c r="V630" s="69"/>
      <c r="W630" s="69">
        <v>1</v>
      </c>
      <c r="X630" s="69"/>
      <c r="Y630" s="69"/>
      <c r="Z630" s="69"/>
      <c r="AA630" s="69"/>
      <c r="AB630" s="49"/>
    </row>
    <row r="631" spans="1:28" ht="15.6" customHeight="1" x14ac:dyDescent="0.2">
      <c r="A631" s="212">
        <v>629</v>
      </c>
      <c r="B631" s="159" t="str">
        <f t="shared" si="9"/>
        <v>Selago aspera</v>
      </c>
      <c r="C631" s="160" t="s">
        <v>2080</v>
      </c>
      <c r="D631" s="72"/>
      <c r="E631" s="72" t="s">
        <v>2196</v>
      </c>
      <c r="F631" s="72" t="s">
        <v>1631</v>
      </c>
      <c r="G631" s="289" t="s">
        <v>1875</v>
      </c>
      <c r="H631" s="166" t="s">
        <v>3318</v>
      </c>
      <c r="I631" s="142">
        <v>2</v>
      </c>
      <c r="J631" s="143">
        <v>6</v>
      </c>
      <c r="K631" s="143">
        <v>2</v>
      </c>
      <c r="L631" s="143">
        <v>3</v>
      </c>
      <c r="M631" s="143">
        <v>2</v>
      </c>
      <c r="N631" s="201">
        <v>6</v>
      </c>
      <c r="O631" s="294" t="s">
        <v>3031</v>
      </c>
      <c r="P631" s="325" t="s">
        <v>3032</v>
      </c>
      <c r="Q631" s="298"/>
      <c r="R631" s="209">
        <v>35612</v>
      </c>
      <c r="S631" s="301"/>
      <c r="T631" s="79">
        <v>1</v>
      </c>
      <c r="U631" s="78">
        <v>1</v>
      </c>
      <c r="V631" s="69">
        <v>1</v>
      </c>
      <c r="W631" s="69">
        <v>1</v>
      </c>
      <c r="X631" s="69">
        <v>1</v>
      </c>
      <c r="Y631" s="69"/>
      <c r="Z631" s="69"/>
      <c r="AA631" s="69"/>
      <c r="AB631" s="49"/>
    </row>
    <row r="632" spans="1:28" ht="15.6" customHeight="1" x14ac:dyDescent="0.2">
      <c r="A632" s="212">
        <v>630</v>
      </c>
      <c r="B632" s="159" t="str">
        <f t="shared" si="9"/>
        <v>Selago canescens</v>
      </c>
      <c r="C632" s="160" t="s">
        <v>2080</v>
      </c>
      <c r="D632" s="72"/>
      <c r="E632" s="72" t="s">
        <v>2196</v>
      </c>
      <c r="F632" s="72" t="s">
        <v>811</v>
      </c>
      <c r="G632" s="289" t="s">
        <v>1509</v>
      </c>
      <c r="H632" s="166" t="s">
        <v>3215</v>
      </c>
      <c r="I632" s="142">
        <v>2</v>
      </c>
      <c r="J632" s="143">
        <v>6</v>
      </c>
      <c r="K632" s="143">
        <v>2</v>
      </c>
      <c r="L632" s="143">
        <v>3</v>
      </c>
      <c r="M632" s="143">
        <v>2</v>
      </c>
      <c r="N632" s="201">
        <v>5</v>
      </c>
      <c r="O632" s="294" t="s">
        <v>3031</v>
      </c>
      <c r="P632" s="325" t="s">
        <v>3032</v>
      </c>
      <c r="Q632" s="298"/>
      <c r="R632" s="209">
        <v>35796</v>
      </c>
      <c r="S632" s="301"/>
      <c r="T632" s="79">
        <v>1</v>
      </c>
      <c r="U632" s="78"/>
      <c r="V632" s="69"/>
      <c r="W632" s="69"/>
      <c r="X632" s="69">
        <v>1</v>
      </c>
      <c r="Y632" s="69"/>
      <c r="Z632" s="69"/>
      <c r="AA632" s="69"/>
      <c r="AB632" s="49"/>
    </row>
    <row r="633" spans="1:28" ht="15.6" customHeight="1" x14ac:dyDescent="0.2">
      <c r="A633" s="212">
        <v>631</v>
      </c>
      <c r="B633" s="159" t="str">
        <f t="shared" si="9"/>
        <v>Selago scabrida</v>
      </c>
      <c r="C633" s="160" t="s">
        <v>2080</v>
      </c>
      <c r="D633" s="72"/>
      <c r="E633" s="72" t="s">
        <v>2196</v>
      </c>
      <c r="F633" s="72" t="s">
        <v>2197</v>
      </c>
      <c r="G633" s="289" t="s">
        <v>1510</v>
      </c>
      <c r="H633" s="166" t="s">
        <v>3215</v>
      </c>
      <c r="I633" s="142">
        <v>2</v>
      </c>
      <c r="J633" s="143">
        <v>6</v>
      </c>
      <c r="K633" s="143">
        <v>2</v>
      </c>
      <c r="L633" s="143">
        <v>3</v>
      </c>
      <c r="M633" s="143">
        <v>2</v>
      </c>
      <c r="N633" s="201">
        <v>5</v>
      </c>
      <c r="O633" s="294" t="s">
        <v>3031</v>
      </c>
      <c r="P633" s="325" t="s">
        <v>3032</v>
      </c>
      <c r="Q633" s="298"/>
      <c r="R633" s="209">
        <v>35855</v>
      </c>
      <c r="S633" s="301"/>
      <c r="T633" s="79">
        <v>1</v>
      </c>
      <c r="U633" s="78"/>
      <c r="V633" s="69"/>
      <c r="W633" s="69"/>
      <c r="X633" s="69">
        <v>1</v>
      </c>
      <c r="Y633" s="69"/>
      <c r="Z633" s="69"/>
      <c r="AA633" s="69"/>
      <c r="AB633" s="49"/>
    </row>
    <row r="634" spans="1:28" ht="15.6" customHeight="1" x14ac:dyDescent="0.2">
      <c r="A634" s="212">
        <v>632</v>
      </c>
      <c r="B634" s="159" t="str">
        <f t="shared" si="9"/>
        <v>Selago thomii</v>
      </c>
      <c r="C634" s="160" t="s">
        <v>2080</v>
      </c>
      <c r="D634" s="72"/>
      <c r="E634" s="72" t="s">
        <v>2196</v>
      </c>
      <c r="F634" s="72" t="s">
        <v>822</v>
      </c>
      <c r="G634" s="289" t="s">
        <v>1511</v>
      </c>
      <c r="H634" s="166" t="s">
        <v>3318</v>
      </c>
      <c r="I634" s="142">
        <v>2</v>
      </c>
      <c r="J634" s="143">
        <v>6</v>
      </c>
      <c r="K634" s="143">
        <v>2</v>
      </c>
      <c r="L634" s="143">
        <v>3</v>
      </c>
      <c r="M634" s="143">
        <v>2</v>
      </c>
      <c r="N634" s="201">
        <v>6</v>
      </c>
      <c r="O634" s="294" t="s">
        <v>3031</v>
      </c>
      <c r="P634" s="325" t="s">
        <v>3032</v>
      </c>
      <c r="Q634" s="298"/>
      <c r="R634" s="209">
        <v>35612</v>
      </c>
      <c r="S634" s="301"/>
      <c r="T634" s="79">
        <v>1</v>
      </c>
      <c r="U634" s="78"/>
      <c r="V634" s="69"/>
      <c r="W634" s="69"/>
      <c r="X634" s="69">
        <v>1</v>
      </c>
      <c r="Y634" s="69"/>
      <c r="Z634" s="69"/>
      <c r="AA634" s="69"/>
      <c r="AB634" s="49"/>
    </row>
    <row r="635" spans="1:28" ht="15.6" customHeight="1" x14ac:dyDescent="0.2">
      <c r="A635" s="212">
        <v>633</v>
      </c>
      <c r="B635" s="159" t="str">
        <f t="shared" si="9"/>
        <v>Sutera caerula</v>
      </c>
      <c r="C635" s="160" t="s">
        <v>2080</v>
      </c>
      <c r="D635" s="72"/>
      <c r="E635" s="72" t="s">
        <v>2198</v>
      </c>
      <c r="F635" s="72" t="s">
        <v>2199</v>
      </c>
      <c r="G635" s="289" t="s">
        <v>1512</v>
      </c>
      <c r="H635" s="166" t="s">
        <v>3279</v>
      </c>
      <c r="I635" s="142">
        <v>3</v>
      </c>
      <c r="J635" s="143">
        <v>5</v>
      </c>
      <c r="K635" s="143">
        <v>2</v>
      </c>
      <c r="L635" s="143">
        <v>2</v>
      </c>
      <c r="M635" s="143">
        <v>2</v>
      </c>
      <c r="N635" s="201">
        <v>5</v>
      </c>
      <c r="O635" s="294" t="s">
        <v>2910</v>
      </c>
      <c r="P635" s="325" t="s">
        <v>3032</v>
      </c>
      <c r="Q635" s="298"/>
      <c r="R635" s="209">
        <v>35947</v>
      </c>
      <c r="S635" s="301"/>
      <c r="T635" s="79">
        <v>1</v>
      </c>
      <c r="U635" s="78">
        <v>1</v>
      </c>
      <c r="V635" s="69"/>
      <c r="W635" s="69"/>
      <c r="X635" s="69"/>
      <c r="Y635" s="69"/>
      <c r="Z635" s="69"/>
      <c r="AA635" s="69"/>
      <c r="AB635" s="49"/>
    </row>
    <row r="636" spans="1:28" ht="15.6" customHeight="1" x14ac:dyDescent="0.2">
      <c r="A636" s="212">
        <v>634</v>
      </c>
      <c r="B636" s="159" t="str">
        <f t="shared" si="9"/>
        <v>Sutera hispida</v>
      </c>
      <c r="C636" s="160" t="s">
        <v>2080</v>
      </c>
      <c r="D636" s="72"/>
      <c r="E636" s="72" t="s">
        <v>2198</v>
      </c>
      <c r="F636" s="72" t="s">
        <v>2791</v>
      </c>
      <c r="G636" s="289" t="s">
        <v>1513</v>
      </c>
      <c r="H636" s="166" t="s">
        <v>3215</v>
      </c>
      <c r="I636" s="142">
        <v>2</v>
      </c>
      <c r="J636" s="143">
        <v>6</v>
      </c>
      <c r="K636" s="143">
        <v>3</v>
      </c>
      <c r="L636" s="143">
        <v>1</v>
      </c>
      <c r="M636" s="143">
        <v>1</v>
      </c>
      <c r="N636" s="201">
        <v>5</v>
      </c>
      <c r="O636" s="294" t="s">
        <v>3031</v>
      </c>
      <c r="P636" s="325" t="s">
        <v>3032</v>
      </c>
      <c r="Q636" s="298"/>
      <c r="R636" s="209">
        <v>35612</v>
      </c>
      <c r="S636" s="301"/>
      <c r="T636" s="79">
        <v>1</v>
      </c>
      <c r="U636" s="78"/>
      <c r="V636" s="69">
        <v>1</v>
      </c>
      <c r="W636" s="69">
        <v>1</v>
      </c>
      <c r="X636" s="69">
        <v>1</v>
      </c>
      <c r="Y636" s="69"/>
      <c r="Z636" s="69"/>
      <c r="AA636" s="69"/>
      <c r="AB636" s="49"/>
    </row>
    <row r="637" spans="1:28" ht="15.6" customHeight="1" x14ac:dyDescent="0.2">
      <c r="A637" s="212">
        <v>635</v>
      </c>
      <c r="B637" s="159" t="str">
        <f t="shared" si="9"/>
        <v>Zaluzianskya capensis</v>
      </c>
      <c r="C637" s="160" t="s">
        <v>2080</v>
      </c>
      <c r="D637" s="72"/>
      <c r="E637" s="72" t="s">
        <v>2200</v>
      </c>
      <c r="F637" s="72" t="s">
        <v>2756</v>
      </c>
      <c r="G637" s="289" t="s">
        <v>1514</v>
      </c>
      <c r="H637" s="166" t="s">
        <v>3246</v>
      </c>
      <c r="I637" s="142">
        <v>6</v>
      </c>
      <c r="J637" s="143">
        <v>6</v>
      </c>
      <c r="K637" s="143">
        <v>2</v>
      </c>
      <c r="L637" s="143">
        <v>2</v>
      </c>
      <c r="M637" s="143">
        <v>1</v>
      </c>
      <c r="N637" s="201">
        <v>3</v>
      </c>
      <c r="O637" s="294" t="s">
        <v>2910</v>
      </c>
      <c r="P637" s="325" t="s">
        <v>2915</v>
      </c>
      <c r="Q637" s="298"/>
      <c r="R637" s="209">
        <v>36039</v>
      </c>
      <c r="S637" s="301"/>
      <c r="T637" s="79">
        <v>1</v>
      </c>
      <c r="U637" s="78">
        <v>1</v>
      </c>
      <c r="V637" s="69"/>
      <c r="W637" s="69"/>
      <c r="X637" s="69"/>
      <c r="Y637" s="69"/>
      <c r="Z637" s="69"/>
      <c r="AA637" s="69"/>
      <c r="AB637" s="49"/>
    </row>
    <row r="638" spans="1:28" ht="15.6" customHeight="1" x14ac:dyDescent="0.2">
      <c r="A638" s="212">
        <v>636</v>
      </c>
      <c r="B638" s="159" t="str">
        <f t="shared" si="9"/>
        <v>Zaluzianskya villosa</v>
      </c>
      <c r="C638" s="160" t="s">
        <v>2080</v>
      </c>
      <c r="D638" s="72" t="s">
        <v>299</v>
      </c>
      <c r="E638" s="72" t="s">
        <v>2200</v>
      </c>
      <c r="F638" s="72" t="s">
        <v>2784</v>
      </c>
      <c r="G638" s="289" t="s">
        <v>1515</v>
      </c>
      <c r="H638" s="166" t="s">
        <v>3246</v>
      </c>
      <c r="I638" s="142">
        <v>6</v>
      </c>
      <c r="J638" s="143">
        <v>6</v>
      </c>
      <c r="K638" s="143">
        <v>2</v>
      </c>
      <c r="L638" s="143">
        <v>2</v>
      </c>
      <c r="M638" s="143">
        <v>1</v>
      </c>
      <c r="N638" s="201">
        <v>3</v>
      </c>
      <c r="O638" s="294" t="s">
        <v>2910</v>
      </c>
      <c r="P638" s="325" t="s">
        <v>2915</v>
      </c>
      <c r="Q638" s="298"/>
      <c r="R638" s="209">
        <v>35612</v>
      </c>
      <c r="S638" s="301"/>
      <c r="T638" s="79">
        <v>1</v>
      </c>
      <c r="U638" s="78">
        <v>1</v>
      </c>
      <c r="V638" s="69">
        <v>1</v>
      </c>
      <c r="W638" s="69"/>
      <c r="X638" s="69">
        <v>1</v>
      </c>
      <c r="Y638" s="69"/>
      <c r="Z638" s="69"/>
      <c r="AA638" s="69"/>
      <c r="AB638" s="49"/>
    </row>
    <row r="639" spans="1:28" ht="15.6" customHeight="1" x14ac:dyDescent="0.2">
      <c r="A639" s="212">
        <v>637</v>
      </c>
      <c r="B639" s="159" t="str">
        <f t="shared" si="9"/>
        <v>Lycium afrum</v>
      </c>
      <c r="C639" s="160" t="s">
        <v>2201</v>
      </c>
      <c r="D639" s="72" t="s">
        <v>300</v>
      </c>
      <c r="E639" s="72" t="s">
        <v>479</v>
      </c>
      <c r="F639" s="72" t="s">
        <v>2202</v>
      </c>
      <c r="G639" s="289" t="s">
        <v>1516</v>
      </c>
      <c r="H639" s="166" t="s">
        <v>3266</v>
      </c>
      <c r="I639" s="142">
        <v>2</v>
      </c>
      <c r="J639" s="143">
        <v>3</v>
      </c>
      <c r="K639" s="143">
        <v>2</v>
      </c>
      <c r="L639" s="143">
        <v>3</v>
      </c>
      <c r="M639" s="143">
        <v>2</v>
      </c>
      <c r="N639" s="201">
        <v>5</v>
      </c>
      <c r="O639" s="294" t="s">
        <v>2168</v>
      </c>
      <c r="P639" s="325" t="s">
        <v>3032</v>
      </c>
      <c r="Q639" s="298"/>
      <c r="R639" s="209">
        <v>35431</v>
      </c>
      <c r="S639" s="301"/>
      <c r="T639" s="81">
        <v>1</v>
      </c>
      <c r="U639" s="78">
        <v>1</v>
      </c>
      <c r="V639" s="69"/>
      <c r="W639" s="69"/>
      <c r="X639" s="69"/>
      <c r="Y639" s="69"/>
      <c r="Z639" s="69"/>
      <c r="AA639" s="69"/>
      <c r="AB639" s="49"/>
    </row>
    <row r="640" spans="1:28" ht="15.6" customHeight="1" x14ac:dyDescent="0.2">
      <c r="A640" s="212">
        <v>638</v>
      </c>
      <c r="B640" s="159" t="str">
        <f t="shared" si="9"/>
        <v>Solanum africanum</v>
      </c>
      <c r="C640" s="160" t="s">
        <v>2201</v>
      </c>
      <c r="D640" s="72" t="s">
        <v>301</v>
      </c>
      <c r="E640" s="72" t="s">
        <v>2203</v>
      </c>
      <c r="F640" s="72" t="s">
        <v>2797</v>
      </c>
      <c r="G640" s="289" t="s">
        <v>1517</v>
      </c>
      <c r="H640" s="166" t="s">
        <v>3301</v>
      </c>
      <c r="I640" s="142">
        <v>2</v>
      </c>
      <c r="J640" s="143">
        <v>3</v>
      </c>
      <c r="K640" s="143">
        <v>3</v>
      </c>
      <c r="L640" s="143">
        <v>2</v>
      </c>
      <c r="M640" s="143">
        <v>1</v>
      </c>
      <c r="N640" s="201">
        <v>3</v>
      </c>
      <c r="O640" s="294" t="s">
        <v>2168</v>
      </c>
      <c r="P640" s="325" t="s">
        <v>3032</v>
      </c>
      <c r="Q640" s="298"/>
      <c r="R640" s="209">
        <v>35612</v>
      </c>
      <c r="S640" s="301"/>
      <c r="T640" s="81">
        <v>1</v>
      </c>
      <c r="U640" s="78">
        <v>1</v>
      </c>
      <c r="V640" s="69">
        <v>1</v>
      </c>
      <c r="W640" s="69"/>
      <c r="X640" s="69"/>
      <c r="Y640" s="69">
        <v>1</v>
      </c>
      <c r="Z640" s="69"/>
      <c r="AA640" s="69"/>
      <c r="AB640" s="49"/>
    </row>
    <row r="641" spans="1:28" ht="15.6" customHeight="1" x14ac:dyDescent="0.2">
      <c r="A641" s="212">
        <v>639</v>
      </c>
      <c r="B641" s="159" t="str">
        <f t="shared" si="9"/>
        <v>Solanum guineense</v>
      </c>
      <c r="C641" s="160" t="s">
        <v>2201</v>
      </c>
      <c r="D641" s="72"/>
      <c r="E641" s="72" t="s">
        <v>2203</v>
      </c>
      <c r="F641" s="72" t="s">
        <v>2204</v>
      </c>
      <c r="G641" s="290" t="s">
        <v>1518</v>
      </c>
      <c r="H641" s="77" t="s">
        <v>3239</v>
      </c>
      <c r="I641" s="142">
        <v>2</v>
      </c>
      <c r="J641" s="143">
        <v>4</v>
      </c>
      <c r="K641" s="143">
        <v>2</v>
      </c>
      <c r="L641" s="143">
        <v>2</v>
      </c>
      <c r="M641" s="143">
        <v>1</v>
      </c>
      <c r="N641" s="201">
        <v>3</v>
      </c>
      <c r="O641" s="300" t="s">
        <v>2168</v>
      </c>
      <c r="P641" s="327" t="s">
        <v>3032</v>
      </c>
      <c r="Q641" s="298"/>
      <c r="R641" s="209">
        <v>36892</v>
      </c>
      <c r="S641" s="301"/>
      <c r="T641" s="81">
        <v>1</v>
      </c>
      <c r="U641" s="78"/>
      <c r="V641" s="69"/>
      <c r="W641" s="69"/>
      <c r="X641" s="69"/>
      <c r="Y641" s="69">
        <v>1</v>
      </c>
      <c r="Z641" s="69"/>
      <c r="AA641" s="69"/>
      <c r="AB641" s="49"/>
    </row>
    <row r="642" spans="1:28" ht="15.6" customHeight="1" x14ac:dyDescent="0.2">
      <c r="A642" s="212">
        <v>640</v>
      </c>
      <c r="B642" s="159" t="str">
        <f t="shared" si="9"/>
        <v>Solanum linnaeanum</v>
      </c>
      <c r="C642" s="160" t="s">
        <v>2201</v>
      </c>
      <c r="D642" s="72"/>
      <c r="E642" s="72" t="s">
        <v>2203</v>
      </c>
      <c r="F642" s="72" t="s">
        <v>2205</v>
      </c>
      <c r="G642" s="290" t="s">
        <v>1519</v>
      </c>
      <c r="H642" s="77" t="s">
        <v>3271</v>
      </c>
      <c r="I642" s="142">
        <v>2</v>
      </c>
      <c r="J642" s="143">
        <v>5</v>
      </c>
      <c r="K642" s="143">
        <v>3</v>
      </c>
      <c r="L642" s="143">
        <v>4</v>
      </c>
      <c r="M642" s="143">
        <v>1</v>
      </c>
      <c r="N642" s="201">
        <v>1</v>
      </c>
      <c r="O642" s="300" t="s">
        <v>2168</v>
      </c>
      <c r="P642" s="327" t="s">
        <v>3032</v>
      </c>
      <c r="Q642" s="298"/>
      <c r="R642" s="209">
        <v>35796</v>
      </c>
      <c r="S642" s="301"/>
      <c r="T642" s="81">
        <v>1</v>
      </c>
      <c r="U642" s="78">
        <v>1</v>
      </c>
      <c r="V642" s="69"/>
      <c r="W642" s="69"/>
      <c r="X642" s="69"/>
      <c r="Y642" s="69"/>
      <c r="Z642" s="69"/>
      <c r="AA642" s="69"/>
      <c r="AB642" s="49"/>
    </row>
    <row r="643" spans="1:28" ht="15.6" customHeight="1" x14ac:dyDescent="0.2">
      <c r="A643" s="212">
        <v>641</v>
      </c>
      <c r="B643" s="159" t="str">
        <f t="shared" ref="B643:B663" si="10">E643&amp;" "&amp;F643</f>
        <v>Solanum nigrum</v>
      </c>
      <c r="C643" s="160" t="s">
        <v>2201</v>
      </c>
      <c r="D643" s="72"/>
      <c r="E643" s="72" t="s">
        <v>2203</v>
      </c>
      <c r="F643" s="72" t="s">
        <v>2206</v>
      </c>
      <c r="G643" s="290" t="s">
        <v>1520</v>
      </c>
      <c r="H643" s="77" t="s">
        <v>1874</v>
      </c>
      <c r="I643" s="142">
        <v>6</v>
      </c>
      <c r="J643" s="143">
        <v>5</v>
      </c>
      <c r="K643" s="143">
        <v>3</v>
      </c>
      <c r="L643" s="143">
        <v>1</v>
      </c>
      <c r="M643" s="143">
        <v>1</v>
      </c>
      <c r="N643" s="201">
        <v>3</v>
      </c>
      <c r="O643" s="300" t="s">
        <v>2910</v>
      </c>
      <c r="P643" s="327" t="s">
        <v>2915</v>
      </c>
      <c r="Q643" s="298"/>
      <c r="R643" s="209">
        <v>36892</v>
      </c>
      <c r="S643" s="301"/>
      <c r="T643" s="79">
        <v>1</v>
      </c>
      <c r="U643" s="78">
        <v>1</v>
      </c>
      <c r="V643" s="69"/>
      <c r="W643" s="69"/>
      <c r="X643" s="69"/>
      <c r="Y643" s="69"/>
      <c r="Z643" s="69"/>
      <c r="AA643" s="69"/>
      <c r="AB643" s="49"/>
    </row>
    <row r="644" spans="1:28" ht="15.6" customHeight="1" x14ac:dyDescent="0.2">
      <c r="A644" s="212">
        <v>642</v>
      </c>
      <c r="B644" s="159" t="str">
        <f t="shared" si="10"/>
        <v>Solanum retroflexum</v>
      </c>
      <c r="C644" s="160" t="s">
        <v>2201</v>
      </c>
      <c r="D644" s="72"/>
      <c r="E644" s="72" t="s">
        <v>2203</v>
      </c>
      <c r="F644" s="72" t="s">
        <v>2207</v>
      </c>
      <c r="G644" s="290" t="s">
        <v>1521</v>
      </c>
      <c r="H644" s="77" t="s">
        <v>1874</v>
      </c>
      <c r="I644" s="142">
        <v>6</v>
      </c>
      <c r="J644" s="143">
        <v>5</v>
      </c>
      <c r="K644" s="143">
        <v>2</v>
      </c>
      <c r="L644" s="143">
        <v>1</v>
      </c>
      <c r="M644" s="143">
        <v>1</v>
      </c>
      <c r="N644" s="201">
        <v>3</v>
      </c>
      <c r="O644" s="300" t="s">
        <v>2910</v>
      </c>
      <c r="P644" s="327" t="s">
        <v>2915</v>
      </c>
      <c r="Q644" s="298"/>
      <c r="R644" s="209">
        <v>36861</v>
      </c>
      <c r="S644" s="301"/>
      <c r="T644" s="81">
        <v>1</v>
      </c>
      <c r="U644" s="78">
        <v>1</v>
      </c>
      <c r="V644" s="69"/>
      <c r="W644" s="69"/>
      <c r="X644" s="69"/>
      <c r="Y644" s="69"/>
      <c r="Z644" s="69"/>
      <c r="AA644" s="69"/>
      <c r="AB644" s="49"/>
    </row>
    <row r="645" spans="1:28" ht="15.6" customHeight="1" x14ac:dyDescent="0.2">
      <c r="A645" s="212">
        <v>643</v>
      </c>
      <c r="B645" s="159" t="str">
        <f t="shared" si="10"/>
        <v>Cyanella hyacinthoides</v>
      </c>
      <c r="C645" s="160" t="s">
        <v>2208</v>
      </c>
      <c r="D645" s="72" t="s">
        <v>302</v>
      </c>
      <c r="E645" s="72" t="s">
        <v>2209</v>
      </c>
      <c r="F645" s="72" t="s">
        <v>2210</v>
      </c>
      <c r="G645" s="290" t="s">
        <v>1522</v>
      </c>
      <c r="H645" s="77" t="s">
        <v>197</v>
      </c>
      <c r="I645" s="142">
        <v>9</v>
      </c>
      <c r="J645" s="143">
        <v>9</v>
      </c>
      <c r="K645" s="143">
        <v>5</v>
      </c>
      <c r="L645" s="143">
        <v>2</v>
      </c>
      <c r="M645" s="143">
        <v>1</v>
      </c>
      <c r="N645" s="201">
        <v>1</v>
      </c>
      <c r="O645" s="300" t="s">
        <v>2163</v>
      </c>
      <c r="P645" s="327" t="s">
        <v>3032</v>
      </c>
      <c r="Q645" s="298"/>
      <c r="R645" s="209">
        <v>36130</v>
      </c>
      <c r="S645" s="301"/>
      <c r="T645" s="81">
        <v>1</v>
      </c>
      <c r="U645" s="78"/>
      <c r="V645" s="69"/>
      <c r="W645" s="69"/>
      <c r="X645" s="69">
        <v>1</v>
      </c>
      <c r="Y645" s="69"/>
      <c r="Z645" s="69"/>
      <c r="AA645" s="69"/>
      <c r="AB645" s="49"/>
    </row>
    <row r="646" spans="1:28" ht="15.6" customHeight="1" x14ac:dyDescent="0.2">
      <c r="A646" s="212">
        <v>644</v>
      </c>
      <c r="B646" s="159" t="str">
        <f t="shared" si="10"/>
        <v>Gnidia galpinii</v>
      </c>
      <c r="C646" s="160" t="s">
        <v>2211</v>
      </c>
      <c r="D646" s="72"/>
      <c r="E646" s="72" t="s">
        <v>2212</v>
      </c>
      <c r="F646" s="72" t="s">
        <v>2213</v>
      </c>
      <c r="G646" s="290" t="s">
        <v>1523</v>
      </c>
      <c r="H646" s="77" t="s">
        <v>3248</v>
      </c>
      <c r="I646" s="142">
        <v>2</v>
      </c>
      <c r="J646" s="143">
        <v>5</v>
      </c>
      <c r="K646" s="143">
        <v>2</v>
      </c>
      <c r="L646" s="143">
        <v>2</v>
      </c>
      <c r="M646" s="143">
        <v>2</v>
      </c>
      <c r="N646" s="201">
        <v>5</v>
      </c>
      <c r="O646" s="300" t="s">
        <v>2914</v>
      </c>
      <c r="P646" s="327" t="s">
        <v>3032</v>
      </c>
      <c r="Q646" s="298"/>
      <c r="R646" s="209">
        <v>35612</v>
      </c>
      <c r="S646" s="301"/>
      <c r="T646" s="81">
        <v>1</v>
      </c>
      <c r="U646" s="78"/>
      <c r="V646" s="69">
        <v>1</v>
      </c>
      <c r="W646" s="69"/>
      <c r="X646" s="69">
        <v>1</v>
      </c>
      <c r="Y646" s="69"/>
      <c r="Z646" s="69"/>
      <c r="AA646" s="69"/>
      <c r="AB646" s="49"/>
    </row>
    <row r="647" spans="1:28" ht="15.6" customHeight="1" x14ac:dyDescent="0.2">
      <c r="A647" s="212">
        <v>645</v>
      </c>
      <c r="B647" s="159" t="str">
        <f t="shared" si="10"/>
        <v>Gnidia juniperifolia</v>
      </c>
      <c r="C647" s="160" t="s">
        <v>2211</v>
      </c>
      <c r="D647" s="72"/>
      <c r="E647" s="72" t="s">
        <v>2212</v>
      </c>
      <c r="F647" s="72" t="s">
        <v>2214</v>
      </c>
      <c r="G647" s="290" t="s">
        <v>1524</v>
      </c>
      <c r="H647" s="77" t="s">
        <v>3215</v>
      </c>
      <c r="I647" s="142">
        <v>2</v>
      </c>
      <c r="J647" s="143">
        <v>6</v>
      </c>
      <c r="K647" s="143">
        <v>2</v>
      </c>
      <c r="L647" s="143">
        <v>2</v>
      </c>
      <c r="M647" s="143">
        <v>2</v>
      </c>
      <c r="N647" s="201">
        <v>5</v>
      </c>
      <c r="O647" s="300" t="s">
        <v>3031</v>
      </c>
      <c r="P647" s="327" t="s">
        <v>3032</v>
      </c>
      <c r="Q647" s="298"/>
      <c r="R647" s="209">
        <v>36800</v>
      </c>
      <c r="S647" s="301"/>
      <c r="T647" s="81">
        <v>1</v>
      </c>
      <c r="U647" s="78"/>
      <c r="V647" s="69"/>
      <c r="W647" s="69"/>
      <c r="X647" s="69">
        <v>1</v>
      </c>
      <c r="Y647" s="69"/>
      <c r="Z647" s="69"/>
      <c r="AA647" s="69"/>
      <c r="AB647" s="49"/>
    </row>
    <row r="648" spans="1:28" ht="15.6" customHeight="1" x14ac:dyDescent="0.2">
      <c r="A648" s="212">
        <v>646</v>
      </c>
      <c r="B648" s="159" t="str">
        <f t="shared" si="10"/>
        <v>Gnidia squarrosa</v>
      </c>
      <c r="C648" s="160" t="s">
        <v>2211</v>
      </c>
      <c r="D648" s="72"/>
      <c r="E648" s="72" t="s">
        <v>2212</v>
      </c>
      <c r="F648" s="72" t="s">
        <v>729</v>
      </c>
      <c r="G648" s="290" t="s">
        <v>1525</v>
      </c>
      <c r="H648" s="77" t="s">
        <v>3249</v>
      </c>
      <c r="I648" s="142">
        <v>2</v>
      </c>
      <c r="J648" s="143">
        <v>4</v>
      </c>
      <c r="K648" s="143">
        <v>2</v>
      </c>
      <c r="L648" s="143">
        <v>3</v>
      </c>
      <c r="M648" s="143">
        <v>2</v>
      </c>
      <c r="N648" s="201">
        <v>5</v>
      </c>
      <c r="O648" s="300" t="s">
        <v>2168</v>
      </c>
      <c r="P648" s="327" t="s">
        <v>3032</v>
      </c>
      <c r="Q648" s="298"/>
      <c r="R648" s="209">
        <v>35612</v>
      </c>
      <c r="S648" s="301"/>
      <c r="T648" s="81">
        <v>1</v>
      </c>
      <c r="U648" s="78">
        <v>1</v>
      </c>
      <c r="V648" s="69"/>
      <c r="W648" s="69"/>
      <c r="X648" s="69"/>
      <c r="Y648" s="69"/>
      <c r="Z648" s="69"/>
      <c r="AA648" s="69"/>
      <c r="AB648" s="49"/>
    </row>
    <row r="649" spans="1:28" ht="15.6" customHeight="1" x14ac:dyDescent="0.2">
      <c r="A649" s="212">
        <v>647</v>
      </c>
      <c r="B649" s="168" t="str">
        <f t="shared" si="10"/>
        <v>Gnidia subulata</v>
      </c>
      <c r="C649" s="169" t="s">
        <v>2211</v>
      </c>
      <c r="D649" s="73"/>
      <c r="E649" s="73" t="s">
        <v>2212</v>
      </c>
      <c r="F649" s="73" t="s">
        <v>2215</v>
      </c>
      <c r="G649" s="180" t="s">
        <v>1526</v>
      </c>
      <c r="H649" s="181" t="s">
        <v>3315</v>
      </c>
      <c r="I649" s="172">
        <v>2</v>
      </c>
      <c r="J649" s="173">
        <v>9</v>
      </c>
      <c r="K649" s="173">
        <v>2</v>
      </c>
      <c r="L649" s="173">
        <v>2</v>
      </c>
      <c r="M649" s="173">
        <v>2</v>
      </c>
      <c r="N649" s="202">
        <v>5</v>
      </c>
      <c r="O649" s="205" t="s">
        <v>2914</v>
      </c>
      <c r="P649" s="328" t="s">
        <v>3032</v>
      </c>
      <c r="Q649" s="174"/>
      <c r="R649" s="210">
        <v>37012</v>
      </c>
      <c r="S649" s="175"/>
      <c r="T649" s="176">
        <v>1</v>
      </c>
      <c r="U649" s="177">
        <v>1</v>
      </c>
      <c r="V649" s="178"/>
      <c r="W649" s="178"/>
      <c r="X649" s="178"/>
      <c r="Y649" s="178"/>
      <c r="Z649" s="178"/>
      <c r="AA649" s="178"/>
      <c r="AB649" s="179"/>
    </row>
    <row r="650" spans="1:28" ht="15.6" customHeight="1" x14ac:dyDescent="0.2">
      <c r="A650" s="212">
        <v>648</v>
      </c>
      <c r="B650" s="159" t="str">
        <f t="shared" si="10"/>
        <v>Gnidia tenella</v>
      </c>
      <c r="C650" s="160" t="s">
        <v>2211</v>
      </c>
      <c r="D650" s="72"/>
      <c r="E650" s="72" t="s">
        <v>2212</v>
      </c>
      <c r="F650" s="72" t="s">
        <v>886</v>
      </c>
      <c r="G650" s="290" t="s">
        <v>1527</v>
      </c>
      <c r="H650" s="77" t="s">
        <v>3249</v>
      </c>
      <c r="I650" s="142">
        <v>2</v>
      </c>
      <c r="J650" s="143">
        <v>4</v>
      </c>
      <c r="K650" s="143">
        <v>2</v>
      </c>
      <c r="L650" s="143">
        <v>1</v>
      </c>
      <c r="M650" s="143">
        <v>2</v>
      </c>
      <c r="N650" s="201">
        <v>5</v>
      </c>
      <c r="O650" s="300" t="s">
        <v>2168</v>
      </c>
      <c r="P650" s="327" t="s">
        <v>3032</v>
      </c>
      <c r="Q650" s="298"/>
      <c r="R650" s="209">
        <v>35612</v>
      </c>
      <c r="S650" s="301"/>
      <c r="T650" s="81">
        <v>1</v>
      </c>
      <c r="U650" s="78"/>
      <c r="V650" s="69"/>
      <c r="W650" s="69">
        <v>1</v>
      </c>
      <c r="X650" s="69"/>
      <c r="Y650" s="69"/>
      <c r="Z650" s="69"/>
      <c r="AA650" s="69"/>
      <c r="AB650" s="49"/>
    </row>
    <row r="651" spans="1:28" ht="15.6" customHeight="1" x14ac:dyDescent="0.2">
      <c r="A651" s="212">
        <v>649</v>
      </c>
      <c r="B651" s="159" t="str">
        <f t="shared" si="10"/>
        <v>Passerina paleacea</v>
      </c>
      <c r="C651" s="160" t="s">
        <v>2211</v>
      </c>
      <c r="D651" s="72"/>
      <c r="E651" s="72" t="s">
        <v>2216</v>
      </c>
      <c r="F651" s="72" t="s">
        <v>2217</v>
      </c>
      <c r="G651" s="290" t="s">
        <v>1528</v>
      </c>
      <c r="H651" s="77" t="s">
        <v>3314</v>
      </c>
      <c r="I651" s="142">
        <v>2</v>
      </c>
      <c r="J651" s="143">
        <v>5</v>
      </c>
      <c r="K651" s="143">
        <v>9</v>
      </c>
      <c r="L651" s="143">
        <v>3</v>
      </c>
      <c r="M651" s="143">
        <v>9</v>
      </c>
      <c r="N651" s="201">
        <v>9</v>
      </c>
      <c r="O651" s="300" t="s">
        <v>2914</v>
      </c>
      <c r="P651" s="327" t="s">
        <v>3032</v>
      </c>
      <c r="Q651" s="298"/>
      <c r="R651" s="209">
        <v>35612</v>
      </c>
      <c r="S651" s="301" t="s">
        <v>2250</v>
      </c>
      <c r="T651" s="81"/>
      <c r="U651" s="78">
        <v>1</v>
      </c>
      <c r="V651" s="69"/>
      <c r="W651" s="69">
        <v>1</v>
      </c>
      <c r="X651" s="69"/>
      <c r="Y651" s="69"/>
      <c r="Z651" s="69"/>
      <c r="AA651" s="69"/>
      <c r="AB651" s="49"/>
    </row>
    <row r="652" spans="1:28" ht="15.6" customHeight="1" x14ac:dyDescent="0.2">
      <c r="A652" s="212">
        <v>650</v>
      </c>
      <c r="B652" s="159" t="str">
        <f t="shared" si="10"/>
        <v>Passerina vulgaris</v>
      </c>
      <c r="C652" s="160" t="s">
        <v>2211</v>
      </c>
      <c r="D652" s="72"/>
      <c r="E652" s="72" t="s">
        <v>2216</v>
      </c>
      <c r="F652" s="72" t="s">
        <v>2218</v>
      </c>
      <c r="G652" s="290" t="s">
        <v>1529</v>
      </c>
      <c r="H652" s="77" t="s">
        <v>3249</v>
      </c>
      <c r="I652" s="142">
        <v>2</v>
      </c>
      <c r="J652" s="143">
        <v>4</v>
      </c>
      <c r="K652" s="143">
        <v>2</v>
      </c>
      <c r="L652" s="143">
        <v>3</v>
      </c>
      <c r="M652" s="143">
        <v>2</v>
      </c>
      <c r="N652" s="201">
        <v>5</v>
      </c>
      <c r="O652" s="300" t="s">
        <v>2168</v>
      </c>
      <c r="P652" s="327" t="s">
        <v>3032</v>
      </c>
      <c r="Q652" s="298"/>
      <c r="R652" s="209">
        <v>35612</v>
      </c>
      <c r="S652" s="301"/>
      <c r="T652" s="81">
        <v>1</v>
      </c>
      <c r="U652" s="78">
        <v>1</v>
      </c>
      <c r="V652" s="69">
        <v>1</v>
      </c>
      <c r="W652" s="69">
        <v>1</v>
      </c>
      <c r="X652" s="69">
        <v>1</v>
      </c>
      <c r="Y652" s="69"/>
      <c r="Z652" s="69"/>
      <c r="AA652" s="69">
        <v>1</v>
      </c>
      <c r="AB652" s="49"/>
    </row>
    <row r="653" spans="1:28" ht="15.6" customHeight="1" x14ac:dyDescent="0.2">
      <c r="A653" s="212">
        <v>651</v>
      </c>
      <c r="B653" s="159" t="str">
        <f t="shared" si="10"/>
        <v>Struthiola salteri</v>
      </c>
      <c r="C653" s="160" t="s">
        <v>2211</v>
      </c>
      <c r="D653" s="72"/>
      <c r="E653" s="72" t="s">
        <v>2219</v>
      </c>
      <c r="F653" s="72" t="s">
        <v>1074</v>
      </c>
      <c r="G653" s="290" t="s">
        <v>1530</v>
      </c>
      <c r="H653" s="77" t="s">
        <v>3248</v>
      </c>
      <c r="I653" s="142">
        <v>2</v>
      </c>
      <c r="J653" s="143">
        <v>5</v>
      </c>
      <c r="K653" s="143">
        <v>2</v>
      </c>
      <c r="L653" s="143">
        <v>2</v>
      </c>
      <c r="M653" s="143">
        <v>2</v>
      </c>
      <c r="N653" s="201">
        <v>5</v>
      </c>
      <c r="O653" s="300" t="s">
        <v>2910</v>
      </c>
      <c r="P653" s="327" t="s">
        <v>3032</v>
      </c>
      <c r="Q653" s="298"/>
      <c r="R653" s="209">
        <v>35612</v>
      </c>
      <c r="S653" s="301"/>
      <c r="T653" s="81">
        <v>1</v>
      </c>
      <c r="U653" s="78">
        <v>1</v>
      </c>
      <c r="V653" s="69">
        <v>1</v>
      </c>
      <c r="W653" s="69">
        <v>1</v>
      </c>
      <c r="X653" s="69">
        <v>1</v>
      </c>
      <c r="Y653" s="69"/>
      <c r="Z653" s="69"/>
      <c r="AA653" s="69"/>
      <c r="AB653" s="49"/>
    </row>
    <row r="654" spans="1:28" ht="15.6" customHeight="1" x14ac:dyDescent="0.2">
      <c r="A654" s="212">
        <v>652</v>
      </c>
      <c r="B654" s="159" t="str">
        <f t="shared" si="10"/>
        <v>Struthiola striata</v>
      </c>
      <c r="C654" s="160" t="s">
        <v>2211</v>
      </c>
      <c r="D654" s="72" t="s">
        <v>303</v>
      </c>
      <c r="E654" s="72" t="s">
        <v>2219</v>
      </c>
      <c r="F654" s="72" t="s">
        <v>1675</v>
      </c>
      <c r="G654" s="290" t="s">
        <v>1531</v>
      </c>
      <c r="H654" s="77" t="s">
        <v>3248</v>
      </c>
      <c r="I654" s="142">
        <v>2</v>
      </c>
      <c r="J654" s="143">
        <v>5</v>
      </c>
      <c r="K654" s="143">
        <v>2</v>
      </c>
      <c r="L654" s="143">
        <v>2</v>
      </c>
      <c r="M654" s="143">
        <v>2</v>
      </c>
      <c r="N654" s="201">
        <v>5</v>
      </c>
      <c r="O654" s="300" t="s">
        <v>2168</v>
      </c>
      <c r="P654" s="327" t="s">
        <v>3032</v>
      </c>
      <c r="Q654" s="298"/>
      <c r="R654" s="209">
        <v>35612</v>
      </c>
      <c r="S654" s="301"/>
      <c r="T654" s="81">
        <v>1</v>
      </c>
      <c r="U654" s="78"/>
      <c r="V654" s="69"/>
      <c r="W654" s="69">
        <v>1</v>
      </c>
      <c r="X654" s="69">
        <v>1</v>
      </c>
      <c r="Y654" s="69"/>
      <c r="Z654" s="69"/>
      <c r="AA654" s="69"/>
      <c r="AB654" s="49">
        <v>1</v>
      </c>
    </row>
    <row r="655" spans="1:28" ht="15.6" customHeight="1" x14ac:dyDescent="0.2">
      <c r="A655" s="212">
        <v>653</v>
      </c>
      <c r="B655" s="159" t="str">
        <f t="shared" si="10"/>
        <v>Typha capensis</v>
      </c>
      <c r="C655" s="160" t="s">
        <v>2220</v>
      </c>
      <c r="D655" s="72" t="s">
        <v>304</v>
      </c>
      <c r="E655" s="72" t="s">
        <v>2221</v>
      </c>
      <c r="F655" s="72" t="s">
        <v>2756</v>
      </c>
      <c r="G655" s="290" t="s">
        <v>1532</v>
      </c>
      <c r="H655" s="77" t="s">
        <v>3321</v>
      </c>
      <c r="I655" s="142">
        <v>3</v>
      </c>
      <c r="J655" s="143">
        <v>3</v>
      </c>
      <c r="K655" s="143">
        <v>5</v>
      </c>
      <c r="L655" s="143">
        <v>2</v>
      </c>
      <c r="M655" s="143">
        <v>4</v>
      </c>
      <c r="N655" s="201">
        <v>1</v>
      </c>
      <c r="O655" s="300" t="s">
        <v>2910</v>
      </c>
      <c r="P655" s="327" t="s">
        <v>3032</v>
      </c>
      <c r="Q655" s="298"/>
      <c r="R655" s="209">
        <v>35431</v>
      </c>
      <c r="S655" s="301" t="s">
        <v>2250</v>
      </c>
      <c r="T655" s="81"/>
      <c r="U655" s="78"/>
      <c r="V655" s="69"/>
      <c r="W655" s="69"/>
      <c r="X655" s="69"/>
      <c r="Y655" s="69"/>
      <c r="Z655" s="69"/>
      <c r="AA655" s="69">
        <v>1</v>
      </c>
      <c r="AB655" s="49"/>
    </row>
    <row r="656" spans="1:28" ht="15.6" customHeight="1" x14ac:dyDescent="0.2">
      <c r="A656" s="212">
        <v>654</v>
      </c>
      <c r="B656" s="159" t="str">
        <f t="shared" si="10"/>
        <v>Didymodoxa capensis</v>
      </c>
      <c r="C656" s="160" t="s">
        <v>2222</v>
      </c>
      <c r="D656" s="72"/>
      <c r="E656" s="72" t="s">
        <v>2223</v>
      </c>
      <c r="F656" s="72" t="s">
        <v>2756</v>
      </c>
      <c r="G656" s="290" t="s">
        <v>1533</v>
      </c>
      <c r="H656" s="77" t="s">
        <v>3246</v>
      </c>
      <c r="I656" s="142">
        <v>6</v>
      </c>
      <c r="J656" s="143">
        <v>6</v>
      </c>
      <c r="K656" s="143">
        <v>2</v>
      </c>
      <c r="L656" s="143">
        <v>1</v>
      </c>
      <c r="M656" s="143">
        <v>1</v>
      </c>
      <c r="N656" s="201">
        <v>3</v>
      </c>
      <c r="O656" s="300" t="s">
        <v>2910</v>
      </c>
      <c r="P656" s="327" t="s">
        <v>2915</v>
      </c>
      <c r="Q656" s="298"/>
      <c r="R656" s="209">
        <v>35612</v>
      </c>
      <c r="S656" s="302" t="s">
        <v>257</v>
      </c>
      <c r="T656" s="79">
        <v>1</v>
      </c>
      <c r="U656" s="78"/>
      <c r="V656" s="69"/>
      <c r="W656" s="69"/>
      <c r="X656" s="69"/>
      <c r="Y656" s="69"/>
      <c r="Z656" s="69">
        <v>1</v>
      </c>
      <c r="AA656" s="69"/>
      <c r="AB656" s="49"/>
    </row>
    <row r="657" spans="1:28" ht="15.6" customHeight="1" x14ac:dyDescent="0.2">
      <c r="A657" s="212">
        <v>655</v>
      </c>
      <c r="B657" s="159" t="str">
        <f t="shared" si="10"/>
        <v>Droguetia iners</v>
      </c>
      <c r="C657" s="160" t="s">
        <v>2222</v>
      </c>
      <c r="D657" s="72"/>
      <c r="E657" s="72" t="s">
        <v>2224</v>
      </c>
      <c r="F657" s="72" t="s">
        <v>2225</v>
      </c>
      <c r="G657" s="290" t="s">
        <v>1534</v>
      </c>
      <c r="H657" s="77" t="s">
        <v>3241</v>
      </c>
      <c r="I657" s="142">
        <v>3</v>
      </c>
      <c r="J657" s="143">
        <v>6</v>
      </c>
      <c r="K657" s="143">
        <v>2</v>
      </c>
      <c r="L657" s="143">
        <v>1</v>
      </c>
      <c r="M657" s="143">
        <v>1</v>
      </c>
      <c r="N657" s="201">
        <v>3</v>
      </c>
      <c r="O657" s="300" t="s">
        <v>2910</v>
      </c>
      <c r="P657" s="327" t="s">
        <v>3032</v>
      </c>
      <c r="Q657" s="298" t="s">
        <v>3144</v>
      </c>
      <c r="R657" s="209">
        <v>35612</v>
      </c>
      <c r="S657" s="301"/>
      <c r="T657" s="79">
        <v>1</v>
      </c>
      <c r="U657" s="78"/>
      <c r="V657" s="69"/>
      <c r="W657" s="69"/>
      <c r="X657" s="69"/>
      <c r="Y657" s="69">
        <v>1</v>
      </c>
      <c r="Z657" s="69">
        <v>1</v>
      </c>
      <c r="AA657" s="69"/>
      <c r="AB657" s="49"/>
    </row>
    <row r="658" spans="1:28" ht="15.6" customHeight="1" x14ac:dyDescent="0.2">
      <c r="A658" s="212">
        <v>656</v>
      </c>
      <c r="B658" s="159" t="str">
        <f t="shared" si="10"/>
        <v>Chascanum cernuum</v>
      </c>
      <c r="C658" s="160" t="s">
        <v>2226</v>
      </c>
      <c r="D658" s="72"/>
      <c r="E658" s="72" t="s">
        <v>2227</v>
      </c>
      <c r="F658" s="72" t="s">
        <v>2228</v>
      </c>
      <c r="G658" s="290" t="s">
        <v>1535</v>
      </c>
      <c r="H658" s="77" t="s">
        <v>3259</v>
      </c>
      <c r="I658" s="142">
        <v>2</v>
      </c>
      <c r="J658" s="143">
        <v>6</v>
      </c>
      <c r="K658" s="143">
        <v>2</v>
      </c>
      <c r="L658" s="143">
        <v>2</v>
      </c>
      <c r="M658" s="143">
        <v>2</v>
      </c>
      <c r="N658" s="201">
        <v>4</v>
      </c>
      <c r="O658" s="300" t="s">
        <v>3031</v>
      </c>
      <c r="P658" s="327" t="s">
        <v>3032</v>
      </c>
      <c r="Q658" s="298"/>
      <c r="R658" s="209">
        <v>35612</v>
      </c>
      <c r="S658" s="301"/>
      <c r="T658" s="79">
        <v>1</v>
      </c>
      <c r="U658" s="78"/>
      <c r="V658" s="69">
        <v>1</v>
      </c>
      <c r="W658" s="69"/>
      <c r="X658" s="69">
        <v>1</v>
      </c>
      <c r="Y658" s="69"/>
      <c r="Z658" s="69"/>
      <c r="AA658" s="69"/>
      <c r="AB658" s="49"/>
    </row>
    <row r="659" spans="1:28" ht="15.6" customHeight="1" x14ac:dyDescent="0.2">
      <c r="A659" s="212">
        <v>657</v>
      </c>
      <c r="B659" s="159" t="str">
        <f t="shared" si="10"/>
        <v>Viola decumbens var. decumbens</v>
      </c>
      <c r="C659" s="160" t="s">
        <v>2229</v>
      </c>
      <c r="D659" s="72"/>
      <c r="E659" s="72" t="s">
        <v>2230</v>
      </c>
      <c r="F659" s="72" t="s">
        <v>2231</v>
      </c>
      <c r="G659" s="290" t="s">
        <v>1536</v>
      </c>
      <c r="H659" s="77" t="s">
        <v>3267</v>
      </c>
      <c r="I659" s="142">
        <v>2</v>
      </c>
      <c r="J659" s="143">
        <v>6</v>
      </c>
      <c r="K659" s="143">
        <v>2</v>
      </c>
      <c r="L659" s="143">
        <v>3</v>
      </c>
      <c r="M659" s="143">
        <v>1</v>
      </c>
      <c r="N659" s="201">
        <v>3</v>
      </c>
      <c r="O659" s="300" t="s">
        <v>3031</v>
      </c>
      <c r="P659" s="327" t="s">
        <v>3032</v>
      </c>
      <c r="Q659" s="298"/>
      <c r="R659" s="209">
        <v>35612</v>
      </c>
      <c r="S659" s="301"/>
      <c r="T659" s="79">
        <v>1</v>
      </c>
      <c r="U659" s="78"/>
      <c r="V659" s="69"/>
      <c r="W659" s="69"/>
      <c r="X659" s="69">
        <v>1</v>
      </c>
      <c r="Y659" s="69"/>
      <c r="Z659" s="69"/>
      <c r="AA659" s="69"/>
      <c r="AB659" s="49"/>
    </row>
    <row r="660" spans="1:28" ht="15.6" customHeight="1" x14ac:dyDescent="0.2">
      <c r="A660" s="212">
        <v>658</v>
      </c>
      <c r="B660" s="159" t="str">
        <f t="shared" si="10"/>
        <v>Viscum capense</v>
      </c>
      <c r="C660" s="160" t="s">
        <v>2232</v>
      </c>
      <c r="D660" s="72" t="s">
        <v>305</v>
      </c>
      <c r="E660" s="72" t="s">
        <v>2233</v>
      </c>
      <c r="F660" s="72" t="s">
        <v>945</v>
      </c>
      <c r="G660" s="290" t="s">
        <v>1537</v>
      </c>
      <c r="H660" s="77" t="s">
        <v>3322</v>
      </c>
      <c r="I660" s="142">
        <v>7</v>
      </c>
      <c r="J660" s="143">
        <v>6</v>
      </c>
      <c r="K660" s="143">
        <v>7</v>
      </c>
      <c r="L660" s="143">
        <v>0</v>
      </c>
      <c r="M660" s="143">
        <v>0</v>
      </c>
      <c r="N660" s="201">
        <v>0</v>
      </c>
      <c r="O660" s="300" t="s">
        <v>2178</v>
      </c>
      <c r="P660" s="327" t="s">
        <v>3032</v>
      </c>
      <c r="Q660" s="298"/>
      <c r="R660" s="209">
        <v>35612</v>
      </c>
      <c r="S660" s="301"/>
      <c r="T660" s="79">
        <v>1</v>
      </c>
      <c r="U660" s="78">
        <v>1</v>
      </c>
      <c r="V660" s="69"/>
      <c r="W660" s="69"/>
      <c r="X660" s="69"/>
      <c r="Y660" s="69"/>
      <c r="Z660" s="69"/>
      <c r="AA660" s="69"/>
      <c r="AB660" s="49"/>
    </row>
    <row r="661" spans="1:28" ht="15.6" customHeight="1" x14ac:dyDescent="0.2">
      <c r="A661" s="212">
        <v>659</v>
      </c>
      <c r="B661" s="159" t="str">
        <f t="shared" si="10"/>
        <v>Rhoicissus digitata</v>
      </c>
      <c r="C661" s="160" t="s">
        <v>2234</v>
      </c>
      <c r="D661" s="72" t="s">
        <v>306</v>
      </c>
      <c r="E661" s="72" t="s">
        <v>2235</v>
      </c>
      <c r="F661" s="72" t="s">
        <v>2236</v>
      </c>
      <c r="G661" s="290" t="s">
        <v>1538</v>
      </c>
      <c r="H661" s="77" t="s">
        <v>3238</v>
      </c>
      <c r="I661" s="142">
        <v>7</v>
      </c>
      <c r="J661" s="143">
        <v>8</v>
      </c>
      <c r="K661" s="143">
        <v>3</v>
      </c>
      <c r="L661" s="143">
        <v>1</v>
      </c>
      <c r="M661" s="143">
        <v>2</v>
      </c>
      <c r="N661" s="201">
        <v>3</v>
      </c>
      <c r="O661" s="300" t="s">
        <v>1657</v>
      </c>
      <c r="P661" s="327" t="s">
        <v>3032</v>
      </c>
      <c r="Q661" s="298"/>
      <c r="R661" s="209">
        <v>37073</v>
      </c>
      <c r="S661" s="301"/>
      <c r="T661" s="79">
        <v>1</v>
      </c>
      <c r="U661" s="78"/>
      <c r="V661" s="69"/>
      <c r="W661" s="69"/>
      <c r="X661" s="69"/>
      <c r="Y661" s="69"/>
      <c r="Z661" s="69">
        <v>1</v>
      </c>
      <c r="AA661" s="69"/>
      <c r="AB661" s="49"/>
    </row>
    <row r="662" spans="1:28" ht="15.6" customHeight="1" x14ac:dyDescent="0.2">
      <c r="A662" s="212">
        <v>660</v>
      </c>
      <c r="B662" s="159" t="str">
        <f t="shared" si="10"/>
        <v>Zygophyllum flexuosum</v>
      </c>
      <c r="C662" s="160" t="s">
        <v>2237</v>
      </c>
      <c r="D662" s="72" t="s">
        <v>307</v>
      </c>
      <c r="E662" s="72" t="s">
        <v>2238</v>
      </c>
      <c r="F662" s="72" t="s">
        <v>2239</v>
      </c>
      <c r="G662" s="290" t="s">
        <v>1539</v>
      </c>
      <c r="H662" s="77" t="s">
        <v>3221</v>
      </c>
      <c r="I662" s="142">
        <v>2</v>
      </c>
      <c r="J662" s="143">
        <v>5</v>
      </c>
      <c r="K662" s="143">
        <v>2</v>
      </c>
      <c r="L662" s="143">
        <v>2</v>
      </c>
      <c r="M662" s="143">
        <v>4</v>
      </c>
      <c r="N662" s="201">
        <v>4</v>
      </c>
      <c r="O662" s="300" t="s">
        <v>2914</v>
      </c>
      <c r="P662" s="327" t="s">
        <v>3032</v>
      </c>
      <c r="Q662" s="298"/>
      <c r="R662" s="209">
        <v>35612</v>
      </c>
      <c r="S662" s="301"/>
      <c r="T662" s="81">
        <v>1</v>
      </c>
      <c r="U662" s="78">
        <v>1</v>
      </c>
      <c r="V662" s="69"/>
      <c r="W662" s="69"/>
      <c r="X662" s="69"/>
      <c r="Y662" s="69"/>
      <c r="Z662" s="69"/>
      <c r="AA662" s="69"/>
      <c r="AB662" s="49"/>
    </row>
    <row r="663" spans="1:28" ht="15.6" customHeight="1" x14ac:dyDescent="0.2">
      <c r="A663" s="212">
        <v>661</v>
      </c>
      <c r="B663" s="159" t="str">
        <f t="shared" si="10"/>
        <v>Zygophyllum sessilifolium</v>
      </c>
      <c r="C663" s="160" t="s">
        <v>2237</v>
      </c>
      <c r="D663" s="72" t="s">
        <v>308</v>
      </c>
      <c r="E663" s="72" t="s">
        <v>2238</v>
      </c>
      <c r="F663" s="72" t="s">
        <v>2240</v>
      </c>
      <c r="G663" s="290" t="s">
        <v>1540</v>
      </c>
      <c r="H663" s="77" t="s">
        <v>3216</v>
      </c>
      <c r="I663" s="142">
        <v>2</v>
      </c>
      <c r="J663" s="143">
        <v>6</v>
      </c>
      <c r="K663" s="143">
        <v>2</v>
      </c>
      <c r="L663" s="143">
        <v>2</v>
      </c>
      <c r="M663" s="143">
        <v>4</v>
      </c>
      <c r="N663" s="201">
        <v>4</v>
      </c>
      <c r="O663" s="300" t="s">
        <v>3031</v>
      </c>
      <c r="P663" s="327" t="s">
        <v>3032</v>
      </c>
      <c r="Q663" s="298"/>
      <c r="R663" s="209">
        <v>35612</v>
      </c>
      <c r="S663" s="301"/>
      <c r="T663" s="81">
        <v>1</v>
      </c>
      <c r="U663" s="78"/>
      <c r="V663" s="69">
        <v>1</v>
      </c>
      <c r="W663" s="69">
        <v>1</v>
      </c>
      <c r="X663" s="69">
        <v>1</v>
      </c>
      <c r="Y663" s="69"/>
      <c r="Z663" s="69"/>
      <c r="AA663" s="69"/>
      <c r="AB663" s="49"/>
    </row>
    <row r="664" spans="1:28" ht="15.6" customHeight="1" x14ac:dyDescent="0.2">
      <c r="A664" s="148">
        <v>1001</v>
      </c>
      <c r="B664" s="182" t="str">
        <f t="shared" ref="B664:B675" si="11">E664&amp;" "&amp;F664</f>
        <v>Nerine bowdenii</v>
      </c>
      <c r="C664" s="183" t="s">
        <v>2760</v>
      </c>
      <c r="D664" s="72"/>
      <c r="E664" s="72" t="s">
        <v>2922</v>
      </c>
      <c r="F664" s="72" t="s">
        <v>2928</v>
      </c>
      <c r="G664" s="291" t="s">
        <v>486</v>
      </c>
      <c r="H664" s="77" t="s">
        <v>199</v>
      </c>
      <c r="I664" s="142">
        <v>9</v>
      </c>
      <c r="J664" s="143">
        <v>9</v>
      </c>
      <c r="K664" s="143">
        <v>9</v>
      </c>
      <c r="L664" s="143">
        <v>9</v>
      </c>
      <c r="M664" s="143">
        <v>9</v>
      </c>
      <c r="N664" s="201">
        <v>9</v>
      </c>
      <c r="O664" s="204"/>
      <c r="P664" s="329"/>
      <c r="Q664" s="298"/>
      <c r="R664" s="209"/>
      <c r="S664" s="303">
        <v>1</v>
      </c>
      <c r="T664" s="81"/>
      <c r="U664" s="78"/>
      <c r="V664" s="69"/>
      <c r="W664" s="69"/>
      <c r="X664" s="69"/>
      <c r="Y664" s="69"/>
      <c r="Z664" s="69"/>
      <c r="AA664" s="69"/>
      <c r="AB664" s="49"/>
    </row>
    <row r="665" spans="1:28" ht="15.6" customHeight="1" x14ac:dyDescent="0.2">
      <c r="A665" s="148">
        <v>1002</v>
      </c>
      <c r="B665" s="182" t="str">
        <f t="shared" si="11"/>
        <v>Conyza albida</v>
      </c>
      <c r="C665" s="183" t="s">
        <v>703</v>
      </c>
      <c r="D665" s="72" t="s">
        <v>2929</v>
      </c>
      <c r="E665" s="72" t="s">
        <v>722</v>
      </c>
      <c r="F665" s="72" t="s">
        <v>723</v>
      </c>
      <c r="G665" s="291" t="s">
        <v>487</v>
      </c>
      <c r="H665" s="77" t="s">
        <v>199</v>
      </c>
      <c r="I665" s="142">
        <v>9</v>
      </c>
      <c r="J665" s="143">
        <v>9</v>
      </c>
      <c r="K665" s="143">
        <v>9</v>
      </c>
      <c r="L665" s="143">
        <v>9</v>
      </c>
      <c r="M665" s="143">
        <v>9</v>
      </c>
      <c r="N665" s="201">
        <v>9</v>
      </c>
      <c r="O665" s="204"/>
      <c r="P665" s="329"/>
      <c r="Q665" s="298"/>
      <c r="R665" s="209"/>
      <c r="S665" s="303"/>
      <c r="T665" s="81"/>
      <c r="U665" s="78"/>
      <c r="V665" s="69"/>
      <c r="W665" s="69"/>
      <c r="X665" s="69"/>
      <c r="Y665" s="69"/>
      <c r="Z665" s="69"/>
      <c r="AA665" s="69"/>
      <c r="AB665" s="49"/>
    </row>
    <row r="666" spans="1:28" ht="15.6" customHeight="1" x14ac:dyDescent="0.2">
      <c r="A666" s="148">
        <v>1003</v>
      </c>
      <c r="B666" s="182" t="str">
        <f t="shared" si="11"/>
        <v>Tanacetum parthenium</v>
      </c>
      <c r="C666" s="183" t="s">
        <v>703</v>
      </c>
      <c r="D666" s="72" t="s">
        <v>2930</v>
      </c>
      <c r="E666" s="72" t="s">
        <v>488</v>
      </c>
      <c r="F666" s="72" t="s">
        <v>2931</v>
      </c>
      <c r="G666" s="291" t="s">
        <v>489</v>
      </c>
      <c r="H666" s="77" t="s">
        <v>199</v>
      </c>
      <c r="I666" s="142">
        <v>9</v>
      </c>
      <c r="J666" s="143">
        <v>9</v>
      </c>
      <c r="K666" s="143">
        <v>9</v>
      </c>
      <c r="L666" s="143">
        <v>9</v>
      </c>
      <c r="M666" s="143">
        <v>9</v>
      </c>
      <c r="N666" s="201">
        <v>9</v>
      </c>
      <c r="O666" s="204"/>
      <c r="P666" s="329"/>
      <c r="Q666" s="298"/>
      <c r="R666" s="209"/>
      <c r="S666" s="303">
        <v>1</v>
      </c>
      <c r="T666" s="81"/>
      <c r="U666" s="78"/>
      <c r="V666" s="69"/>
      <c r="W666" s="69"/>
      <c r="X666" s="69"/>
      <c r="Y666" s="69"/>
      <c r="Z666" s="69"/>
      <c r="AA666" s="69"/>
      <c r="AB666" s="49"/>
    </row>
    <row r="667" spans="1:28" ht="15.6" customHeight="1" x14ac:dyDescent="0.2">
      <c r="A667" s="148">
        <v>1004</v>
      </c>
      <c r="B667" s="182" t="str">
        <f t="shared" si="11"/>
        <v>Myosotis arvensis</v>
      </c>
      <c r="C667" s="183" t="s">
        <v>2932</v>
      </c>
      <c r="D667" s="72" t="s">
        <v>2933</v>
      </c>
      <c r="E667" s="72" t="s">
        <v>2934</v>
      </c>
      <c r="F667" s="72" t="s">
        <v>2935</v>
      </c>
      <c r="G667" s="291" t="s">
        <v>490</v>
      </c>
      <c r="H667" s="77" t="s">
        <v>199</v>
      </c>
      <c r="I667" s="142">
        <v>9</v>
      </c>
      <c r="J667" s="143">
        <v>9</v>
      </c>
      <c r="K667" s="143">
        <v>9</v>
      </c>
      <c r="L667" s="143">
        <v>9</v>
      </c>
      <c r="M667" s="143">
        <v>9</v>
      </c>
      <c r="N667" s="201">
        <v>9</v>
      </c>
      <c r="O667" s="204"/>
      <c r="P667" s="329"/>
      <c r="Q667" s="298"/>
      <c r="R667" s="209">
        <v>37229</v>
      </c>
      <c r="S667" s="303">
        <v>1</v>
      </c>
      <c r="T667" s="81"/>
      <c r="U667" s="78"/>
      <c r="V667" s="69"/>
      <c r="W667" s="69"/>
      <c r="X667" s="69"/>
      <c r="Y667" s="69"/>
      <c r="Z667" s="69"/>
      <c r="AA667" s="69"/>
      <c r="AB667" s="49"/>
    </row>
    <row r="668" spans="1:28" ht="15.6" customHeight="1" x14ac:dyDescent="0.2">
      <c r="A668" s="148">
        <v>1005</v>
      </c>
      <c r="B668" s="182" t="str">
        <f t="shared" si="11"/>
        <v>Raphanus raphanistrum</v>
      </c>
      <c r="C668" s="183" t="s">
        <v>830</v>
      </c>
      <c r="D668" s="72" t="s">
        <v>2936</v>
      </c>
      <c r="E668" s="72" t="s">
        <v>2937</v>
      </c>
      <c r="F668" s="72" t="s">
        <v>2938</v>
      </c>
      <c r="G668" s="291" t="s">
        <v>491</v>
      </c>
      <c r="H668" s="77" t="s">
        <v>199</v>
      </c>
      <c r="I668" s="142">
        <v>9</v>
      </c>
      <c r="J668" s="143">
        <v>9</v>
      </c>
      <c r="K668" s="143">
        <v>9</v>
      </c>
      <c r="L668" s="143">
        <v>9</v>
      </c>
      <c r="M668" s="143">
        <v>9</v>
      </c>
      <c r="N668" s="201">
        <v>9</v>
      </c>
      <c r="O668" s="204"/>
      <c r="P668" s="329"/>
      <c r="Q668" s="298"/>
      <c r="R668" s="209">
        <v>36868</v>
      </c>
      <c r="S668" s="303">
        <v>1</v>
      </c>
      <c r="T668" s="81"/>
      <c r="U668" s="78"/>
      <c r="V668" s="69"/>
      <c r="W668" s="69"/>
      <c r="X668" s="69"/>
      <c r="Y668" s="69"/>
      <c r="Z668" s="69"/>
      <c r="AA668" s="69"/>
      <c r="AB668" s="49"/>
    </row>
    <row r="669" spans="1:28" ht="15.6" customHeight="1" x14ac:dyDescent="0.2">
      <c r="A669" s="148">
        <v>1006</v>
      </c>
      <c r="B669" s="182" t="str">
        <f t="shared" si="11"/>
        <v>Petrorhagia prolifera</v>
      </c>
      <c r="C669" s="183" t="s">
        <v>887</v>
      </c>
      <c r="D669" s="72"/>
      <c r="E669" s="72" t="s">
        <v>2939</v>
      </c>
      <c r="F669" s="72" t="s">
        <v>2940</v>
      </c>
      <c r="G669" s="291" t="s">
        <v>492</v>
      </c>
      <c r="H669" s="77" t="s">
        <v>199</v>
      </c>
      <c r="I669" s="142">
        <v>9</v>
      </c>
      <c r="J669" s="143">
        <v>9</v>
      </c>
      <c r="K669" s="143">
        <v>9</v>
      </c>
      <c r="L669" s="143">
        <v>9</v>
      </c>
      <c r="M669" s="143">
        <v>9</v>
      </c>
      <c r="N669" s="201">
        <v>9</v>
      </c>
      <c r="O669" s="204"/>
      <c r="P669" s="329"/>
      <c r="Q669" s="298"/>
      <c r="R669" s="209"/>
      <c r="S669" s="303">
        <v>1</v>
      </c>
      <c r="T669" s="81"/>
      <c r="U669" s="78"/>
      <c r="V669" s="69"/>
      <c r="W669" s="69"/>
      <c r="X669" s="69"/>
      <c r="Y669" s="69"/>
      <c r="Z669" s="69"/>
      <c r="AA669" s="69"/>
      <c r="AB669" s="49"/>
    </row>
    <row r="670" spans="1:28" ht="15.6" customHeight="1" x14ac:dyDescent="0.2">
      <c r="A670" s="148">
        <v>1007</v>
      </c>
      <c r="B670" s="182" t="str">
        <f t="shared" si="11"/>
        <v>Polycarpon tetraphyllum</v>
      </c>
      <c r="C670" s="183" t="s">
        <v>887</v>
      </c>
      <c r="D670" s="72"/>
      <c r="E670" s="72" t="s">
        <v>2941</v>
      </c>
      <c r="F670" s="72" t="s">
        <v>2942</v>
      </c>
      <c r="G670" s="291" t="s">
        <v>493</v>
      </c>
      <c r="H670" s="77" t="s">
        <v>199</v>
      </c>
      <c r="I670" s="142">
        <v>9</v>
      </c>
      <c r="J670" s="143">
        <v>9</v>
      </c>
      <c r="K670" s="143">
        <v>9</v>
      </c>
      <c r="L670" s="143">
        <v>9</v>
      </c>
      <c r="M670" s="143">
        <v>9</v>
      </c>
      <c r="N670" s="201">
        <v>9</v>
      </c>
      <c r="O670" s="204"/>
      <c r="P670" s="329"/>
      <c r="Q670" s="298"/>
      <c r="R670" s="209">
        <v>37334</v>
      </c>
      <c r="S670" s="303">
        <v>1</v>
      </c>
      <c r="T670" s="81"/>
      <c r="U670" s="78"/>
      <c r="V670" s="69"/>
      <c r="W670" s="69"/>
      <c r="X670" s="69"/>
      <c r="Y670" s="69"/>
      <c r="Z670" s="69"/>
      <c r="AA670" s="69"/>
      <c r="AB670" s="49"/>
    </row>
    <row r="671" spans="1:28" ht="15.6" customHeight="1" x14ac:dyDescent="0.2">
      <c r="A671" s="148">
        <v>1008</v>
      </c>
      <c r="B671" s="182" t="str">
        <f t="shared" si="11"/>
        <v>Silene gallica</v>
      </c>
      <c r="C671" s="183" t="s">
        <v>887</v>
      </c>
      <c r="D671" s="72" t="s">
        <v>2943</v>
      </c>
      <c r="E671" s="72" t="s">
        <v>951</v>
      </c>
      <c r="F671" s="72" t="s">
        <v>953</v>
      </c>
      <c r="G671" s="291" t="s">
        <v>494</v>
      </c>
      <c r="H671" s="77" t="s">
        <v>199</v>
      </c>
      <c r="I671" s="142">
        <v>9</v>
      </c>
      <c r="J671" s="143">
        <v>9</v>
      </c>
      <c r="K671" s="143">
        <v>9</v>
      </c>
      <c r="L671" s="143">
        <v>9</v>
      </c>
      <c r="M671" s="143">
        <v>9</v>
      </c>
      <c r="N671" s="201">
        <v>9</v>
      </c>
      <c r="O671" s="204"/>
      <c r="P671" s="329"/>
      <c r="Q671" s="298"/>
      <c r="R671" s="209">
        <v>37215</v>
      </c>
      <c r="S671" s="303">
        <v>1</v>
      </c>
      <c r="T671" s="81"/>
      <c r="U671" s="78"/>
      <c r="V671" s="69"/>
      <c r="W671" s="69"/>
      <c r="X671" s="69"/>
      <c r="Y671" s="69"/>
      <c r="Z671" s="69"/>
      <c r="AA671" s="69"/>
      <c r="AB671" s="49"/>
    </row>
    <row r="672" spans="1:28" ht="15.6" customHeight="1" x14ac:dyDescent="0.2">
      <c r="A672" s="148">
        <v>1009</v>
      </c>
      <c r="B672" s="182" t="str">
        <f t="shared" si="11"/>
        <v>Silene cretica</v>
      </c>
      <c r="C672" s="183" t="s">
        <v>887</v>
      </c>
      <c r="D672" s="72" t="s">
        <v>16</v>
      </c>
      <c r="E672" s="72" t="s">
        <v>951</v>
      </c>
      <c r="F672" s="72" t="s">
        <v>952</v>
      </c>
      <c r="G672" s="291" t="s">
        <v>495</v>
      </c>
      <c r="H672" s="77" t="s">
        <v>199</v>
      </c>
      <c r="I672" s="142">
        <v>9</v>
      </c>
      <c r="J672" s="143">
        <v>9</v>
      </c>
      <c r="K672" s="143">
        <v>9</v>
      </c>
      <c r="L672" s="143">
        <v>9</v>
      </c>
      <c r="M672" s="143">
        <v>9</v>
      </c>
      <c r="N672" s="201">
        <v>9</v>
      </c>
      <c r="O672" s="204"/>
      <c r="P672" s="329"/>
      <c r="Q672" s="298"/>
      <c r="R672" s="62"/>
      <c r="S672" s="303"/>
      <c r="T672" s="81"/>
      <c r="U672" s="78"/>
      <c r="V672" s="69"/>
      <c r="W672" s="69"/>
      <c r="X672" s="69"/>
      <c r="Y672" s="69"/>
      <c r="Z672" s="69"/>
      <c r="AA672" s="69"/>
      <c r="AB672" s="49"/>
    </row>
    <row r="673" spans="1:28" ht="15.6" customHeight="1" x14ac:dyDescent="0.2">
      <c r="A673" s="148">
        <v>1010</v>
      </c>
      <c r="B673" s="182" t="str">
        <f t="shared" si="11"/>
        <v>Stellaria media</v>
      </c>
      <c r="C673" s="183" t="s">
        <v>887</v>
      </c>
      <c r="D673" s="72"/>
      <c r="E673" s="72" t="s">
        <v>2944</v>
      </c>
      <c r="F673" s="72" t="s">
        <v>1603</v>
      </c>
      <c r="G673" s="291" t="s">
        <v>496</v>
      </c>
      <c r="H673" s="77" t="s">
        <v>199</v>
      </c>
      <c r="I673" s="142">
        <v>9</v>
      </c>
      <c r="J673" s="143">
        <v>9</v>
      </c>
      <c r="K673" s="143">
        <v>9</v>
      </c>
      <c r="L673" s="143">
        <v>9</v>
      </c>
      <c r="M673" s="143">
        <v>9</v>
      </c>
      <c r="N673" s="201">
        <v>9</v>
      </c>
      <c r="O673" s="204"/>
      <c r="P673" s="329"/>
      <c r="Q673" s="298"/>
      <c r="R673" s="209">
        <v>37334</v>
      </c>
      <c r="S673" s="303">
        <v>1</v>
      </c>
      <c r="T673" s="81"/>
      <c r="U673" s="78"/>
      <c r="V673" s="69"/>
      <c r="W673" s="69"/>
      <c r="X673" s="69"/>
      <c r="Y673" s="69"/>
      <c r="Z673" s="69"/>
      <c r="AA673" s="69"/>
      <c r="AB673" s="49"/>
    </row>
    <row r="674" spans="1:28" ht="15.6" customHeight="1" x14ac:dyDescent="0.2">
      <c r="A674" s="148">
        <v>1011</v>
      </c>
      <c r="B674" s="182" t="str">
        <f t="shared" si="11"/>
        <v>Euphorbia helioscopia</v>
      </c>
      <c r="C674" s="183" t="s">
        <v>1052</v>
      </c>
      <c r="D674" s="72"/>
      <c r="E674" s="72" t="s">
        <v>1059</v>
      </c>
      <c r="F674" s="72" t="s">
        <v>2945</v>
      </c>
      <c r="G674" s="291" t="s">
        <v>497</v>
      </c>
      <c r="H674" s="77" t="s">
        <v>199</v>
      </c>
      <c r="I674" s="142">
        <v>9</v>
      </c>
      <c r="J674" s="143">
        <v>9</v>
      </c>
      <c r="K674" s="143">
        <v>9</v>
      </c>
      <c r="L674" s="143">
        <v>9</v>
      </c>
      <c r="M674" s="143">
        <v>9</v>
      </c>
      <c r="N674" s="201">
        <v>9</v>
      </c>
      <c r="O674" s="204"/>
      <c r="P674" s="329"/>
      <c r="Q674" s="298"/>
      <c r="R674" s="209"/>
      <c r="S674" s="303"/>
      <c r="T674" s="81"/>
      <c r="U674" s="78"/>
      <c r="V674" s="69"/>
      <c r="W674" s="69"/>
      <c r="X674" s="69"/>
      <c r="Y674" s="69"/>
      <c r="Z674" s="69"/>
      <c r="AA674" s="69"/>
      <c r="AB674" s="49"/>
    </row>
    <row r="675" spans="1:28" ht="15.6" customHeight="1" x14ac:dyDescent="0.2">
      <c r="A675" s="148">
        <v>1012</v>
      </c>
      <c r="B675" s="182" t="str">
        <f t="shared" si="11"/>
        <v>Euphorbia peplus</v>
      </c>
      <c r="C675" s="183" t="s">
        <v>1052</v>
      </c>
      <c r="D675" s="72"/>
      <c r="E675" s="72" t="s">
        <v>1059</v>
      </c>
      <c r="F675" s="72" t="s">
        <v>2946</v>
      </c>
      <c r="G675" s="291" t="s">
        <v>498</v>
      </c>
      <c r="H675" s="77" t="s">
        <v>199</v>
      </c>
      <c r="I675" s="142">
        <v>9</v>
      </c>
      <c r="J675" s="143">
        <v>9</v>
      </c>
      <c r="K675" s="143">
        <v>9</v>
      </c>
      <c r="L675" s="143">
        <v>9</v>
      </c>
      <c r="M675" s="143">
        <v>9</v>
      </c>
      <c r="N675" s="201">
        <v>9</v>
      </c>
      <c r="O675" s="204"/>
      <c r="P675" s="329"/>
      <c r="Q675" s="298"/>
      <c r="R675" s="209">
        <v>37334</v>
      </c>
      <c r="S675" s="303">
        <v>1</v>
      </c>
      <c r="T675" s="81"/>
      <c r="U675" s="78"/>
      <c r="V675" s="69"/>
      <c r="W675" s="69"/>
      <c r="X675" s="69"/>
      <c r="Y675" s="69"/>
      <c r="Z675" s="69"/>
      <c r="AA675" s="69"/>
      <c r="AB675" s="49"/>
    </row>
    <row r="676" spans="1:28" ht="15.6" customHeight="1" x14ac:dyDescent="0.2">
      <c r="A676" s="148">
        <v>1013</v>
      </c>
      <c r="B676" s="182" t="str">
        <f t="shared" ref="B676:B706" si="12">E676&amp;" "&amp;F676</f>
        <v>Ricinus communis</v>
      </c>
      <c r="C676" s="183" t="s">
        <v>1052</v>
      </c>
      <c r="D676" s="72"/>
      <c r="E676" s="72" t="s">
        <v>2947</v>
      </c>
      <c r="F676" s="72" t="s">
        <v>2948</v>
      </c>
      <c r="G676" s="291" t="s">
        <v>499</v>
      </c>
      <c r="H676" s="77" t="s">
        <v>199</v>
      </c>
      <c r="I676" s="142">
        <v>9</v>
      </c>
      <c r="J676" s="143">
        <v>9</v>
      </c>
      <c r="K676" s="143">
        <v>9</v>
      </c>
      <c r="L676" s="143">
        <v>9</v>
      </c>
      <c r="M676" s="143">
        <v>9</v>
      </c>
      <c r="N676" s="201">
        <v>9</v>
      </c>
      <c r="O676" s="204"/>
      <c r="P676" s="329"/>
      <c r="Q676" s="298"/>
      <c r="R676" s="209"/>
      <c r="S676" s="303">
        <v>1</v>
      </c>
      <c r="T676" s="81"/>
      <c r="U676" s="78"/>
      <c r="V676" s="69"/>
      <c r="W676" s="69"/>
      <c r="X676" s="69"/>
      <c r="Y676" s="69"/>
      <c r="Z676" s="69"/>
      <c r="AA676" s="69"/>
      <c r="AB676" s="49"/>
    </row>
    <row r="677" spans="1:28" ht="15.6" customHeight="1" x14ac:dyDescent="0.2">
      <c r="A677" s="148">
        <v>1014</v>
      </c>
      <c r="B677" s="182" t="str">
        <f t="shared" si="12"/>
        <v>Melilotus indica</v>
      </c>
      <c r="C677" s="183" t="s">
        <v>1061</v>
      </c>
      <c r="D677" s="72"/>
      <c r="E677" s="72" t="s">
        <v>2949</v>
      </c>
      <c r="F677" s="72" t="s">
        <v>997</v>
      </c>
      <c r="G677" s="291" t="s">
        <v>500</v>
      </c>
      <c r="H677" s="77" t="s">
        <v>199</v>
      </c>
      <c r="I677" s="142">
        <v>9</v>
      </c>
      <c r="J677" s="143">
        <v>9</v>
      </c>
      <c r="K677" s="143">
        <v>9</v>
      </c>
      <c r="L677" s="143">
        <v>9</v>
      </c>
      <c r="M677" s="143">
        <v>9</v>
      </c>
      <c r="N677" s="201">
        <v>9</v>
      </c>
      <c r="O677" s="204"/>
      <c r="P677" s="329"/>
      <c r="Q677" s="298"/>
      <c r="R677" s="209">
        <v>37229</v>
      </c>
      <c r="S677" s="303">
        <v>1</v>
      </c>
      <c r="T677" s="81"/>
      <c r="U677" s="78"/>
      <c r="V677" s="69"/>
      <c r="W677" s="69"/>
      <c r="X677" s="69"/>
      <c r="Y677" s="69"/>
      <c r="Z677" s="69"/>
      <c r="AA677" s="69"/>
      <c r="AB677" s="49"/>
    </row>
    <row r="678" spans="1:28" ht="15.6" customHeight="1" x14ac:dyDescent="0.2">
      <c r="A678" s="148">
        <v>1015</v>
      </c>
      <c r="B678" s="182" t="str">
        <f t="shared" si="12"/>
        <v>Trifolium  campestre</v>
      </c>
      <c r="C678" s="183" t="s">
        <v>1061</v>
      </c>
      <c r="D678" s="72"/>
      <c r="E678" s="72" t="s">
        <v>2950</v>
      </c>
      <c r="F678" s="72" t="s">
        <v>2951</v>
      </c>
      <c r="G678" s="291" t="s">
        <v>501</v>
      </c>
      <c r="H678" s="77" t="s">
        <v>199</v>
      </c>
      <c r="I678" s="142">
        <v>9</v>
      </c>
      <c r="J678" s="143">
        <v>9</v>
      </c>
      <c r="K678" s="143">
        <v>9</v>
      </c>
      <c r="L678" s="143">
        <v>9</v>
      </c>
      <c r="M678" s="143">
        <v>9</v>
      </c>
      <c r="N678" s="201">
        <v>9</v>
      </c>
      <c r="O678" s="204"/>
      <c r="P678" s="329"/>
      <c r="Q678" s="298"/>
      <c r="R678" s="209">
        <v>37229</v>
      </c>
      <c r="S678" s="303">
        <v>1</v>
      </c>
      <c r="T678" s="81"/>
      <c r="U678" s="78"/>
      <c r="V678" s="69"/>
      <c r="W678" s="69"/>
      <c r="X678" s="69"/>
      <c r="Y678" s="69"/>
      <c r="Z678" s="69"/>
      <c r="AA678" s="69"/>
      <c r="AB678" s="49"/>
    </row>
    <row r="679" spans="1:28" ht="15.6" customHeight="1" x14ac:dyDescent="0.2">
      <c r="A679" s="148">
        <v>1016</v>
      </c>
      <c r="B679" s="182" t="str">
        <f t="shared" si="12"/>
        <v>Lotus subbiflorus</v>
      </c>
      <c r="C679" s="183" t="s">
        <v>2952</v>
      </c>
      <c r="D679" s="72"/>
      <c r="E679" s="72" t="s">
        <v>2953</v>
      </c>
      <c r="F679" s="72" t="s">
        <v>2954</v>
      </c>
      <c r="G679" s="291" t="s">
        <v>502</v>
      </c>
      <c r="H679" s="77" t="s">
        <v>199</v>
      </c>
      <c r="I679" s="142">
        <v>9</v>
      </c>
      <c r="J679" s="143">
        <v>9</v>
      </c>
      <c r="K679" s="143">
        <v>9</v>
      </c>
      <c r="L679" s="143">
        <v>9</v>
      </c>
      <c r="M679" s="143">
        <v>9</v>
      </c>
      <c r="N679" s="201">
        <v>9</v>
      </c>
      <c r="O679" s="204"/>
      <c r="P679" s="329"/>
      <c r="Q679" s="298"/>
      <c r="R679" s="209">
        <v>35971</v>
      </c>
      <c r="S679" s="303">
        <v>1</v>
      </c>
      <c r="T679" s="81"/>
      <c r="U679" s="78"/>
      <c r="V679" s="69"/>
      <c r="W679" s="69"/>
      <c r="X679" s="69"/>
      <c r="Y679" s="69"/>
      <c r="Z679" s="69"/>
      <c r="AA679" s="69"/>
      <c r="AB679" s="49"/>
    </row>
    <row r="680" spans="1:28" ht="15.6" customHeight="1" x14ac:dyDescent="0.2">
      <c r="A680" s="148">
        <v>1017</v>
      </c>
      <c r="B680" s="182" t="str">
        <f t="shared" si="12"/>
        <v>Acacia cyclops</v>
      </c>
      <c r="C680" s="183" t="s">
        <v>1061</v>
      </c>
      <c r="D680" s="72" t="s">
        <v>2955</v>
      </c>
      <c r="E680" s="72" t="s">
        <v>2956</v>
      </c>
      <c r="F680" s="72" t="s">
        <v>2957</v>
      </c>
      <c r="G680" s="291" t="s">
        <v>540</v>
      </c>
      <c r="H680" s="77" t="s">
        <v>3280</v>
      </c>
      <c r="I680" s="142">
        <v>1</v>
      </c>
      <c r="J680" s="143">
        <v>2</v>
      </c>
      <c r="K680" s="143">
        <v>2</v>
      </c>
      <c r="L680" s="143">
        <v>2</v>
      </c>
      <c r="M680" s="143">
        <v>2</v>
      </c>
      <c r="N680" s="201">
        <v>2</v>
      </c>
      <c r="O680" s="204"/>
      <c r="P680" s="329"/>
      <c r="Q680" s="298"/>
      <c r="R680" s="209"/>
      <c r="S680" s="303">
        <v>1</v>
      </c>
      <c r="T680" s="81"/>
      <c r="U680" s="78"/>
      <c r="V680" s="69"/>
      <c r="W680" s="69"/>
      <c r="X680" s="69"/>
      <c r="Y680" s="69"/>
      <c r="Z680" s="69"/>
      <c r="AA680" s="69"/>
      <c r="AB680" s="49"/>
    </row>
    <row r="681" spans="1:28" ht="15.6" customHeight="1" x14ac:dyDescent="0.2">
      <c r="A681" s="148">
        <v>1018</v>
      </c>
      <c r="B681" s="182" t="str">
        <f t="shared" si="12"/>
        <v>Acacia longifolia</v>
      </c>
      <c r="C681" s="183" t="s">
        <v>1061</v>
      </c>
      <c r="D681" s="72" t="s">
        <v>2958</v>
      </c>
      <c r="E681" s="72" t="s">
        <v>2956</v>
      </c>
      <c r="F681" s="72" t="s">
        <v>883</v>
      </c>
      <c r="G681" s="291" t="s">
        <v>503</v>
      </c>
      <c r="H681" s="77" t="s">
        <v>199</v>
      </c>
      <c r="I681" s="142">
        <v>9</v>
      </c>
      <c r="J681" s="143">
        <v>9</v>
      </c>
      <c r="K681" s="143">
        <v>9</v>
      </c>
      <c r="L681" s="143">
        <v>9</v>
      </c>
      <c r="M681" s="143">
        <v>9</v>
      </c>
      <c r="N681" s="201">
        <v>9</v>
      </c>
      <c r="O681" s="204"/>
      <c r="P681" s="329"/>
      <c r="Q681" s="298"/>
      <c r="R681" s="209"/>
      <c r="S681" s="303" t="s">
        <v>2250</v>
      </c>
      <c r="T681" s="81"/>
      <c r="U681" s="78"/>
      <c r="V681" s="69"/>
      <c r="W681" s="69"/>
      <c r="X681" s="69"/>
      <c r="Y681" s="69"/>
      <c r="Z681" s="69"/>
      <c r="AA681" s="69"/>
      <c r="AB681" s="49"/>
    </row>
    <row r="682" spans="1:28" ht="15.6" customHeight="1" x14ac:dyDescent="0.2">
      <c r="A682" s="148">
        <v>1019</v>
      </c>
      <c r="B682" s="182" t="str">
        <f t="shared" si="12"/>
        <v>Acacia mearnsii</v>
      </c>
      <c r="C682" s="183" t="s">
        <v>1061</v>
      </c>
      <c r="D682" s="72"/>
      <c r="E682" s="72" t="s">
        <v>2956</v>
      </c>
      <c r="F682" s="72" t="s">
        <v>2959</v>
      </c>
      <c r="G682" s="291" t="s">
        <v>563</v>
      </c>
      <c r="H682" s="77" t="s">
        <v>3323</v>
      </c>
      <c r="I682" s="142">
        <v>1</v>
      </c>
      <c r="J682" s="143">
        <v>1</v>
      </c>
      <c r="K682" s="143">
        <v>2</v>
      </c>
      <c r="L682" s="143">
        <v>2</v>
      </c>
      <c r="M682" s="143">
        <v>1</v>
      </c>
      <c r="N682" s="201">
        <v>4</v>
      </c>
      <c r="O682" s="204"/>
      <c r="P682" s="329"/>
      <c r="Q682" s="298"/>
      <c r="R682" s="209"/>
      <c r="S682" s="303">
        <v>1</v>
      </c>
      <c r="T682" s="81"/>
      <c r="U682" s="78"/>
      <c r="V682" s="69"/>
      <c r="W682" s="69"/>
      <c r="X682" s="69"/>
      <c r="Y682" s="69"/>
      <c r="Z682" s="69"/>
      <c r="AA682" s="69"/>
      <c r="AB682" s="49"/>
    </row>
    <row r="683" spans="1:28" ht="15.6" customHeight="1" x14ac:dyDescent="0.2">
      <c r="A683" s="148">
        <v>1020</v>
      </c>
      <c r="B683" s="182" t="str">
        <f t="shared" si="12"/>
        <v>Acacia saligna</v>
      </c>
      <c r="C683" s="183" t="s">
        <v>1061</v>
      </c>
      <c r="D683" s="72" t="s">
        <v>2960</v>
      </c>
      <c r="E683" s="72" t="s">
        <v>2956</v>
      </c>
      <c r="F683" s="72" t="s">
        <v>2961</v>
      </c>
      <c r="G683" s="291" t="s">
        <v>504</v>
      </c>
      <c r="H683" s="77" t="s">
        <v>199</v>
      </c>
      <c r="I683" s="142">
        <v>9</v>
      </c>
      <c r="J683" s="143">
        <v>9</v>
      </c>
      <c r="K683" s="143">
        <v>9</v>
      </c>
      <c r="L683" s="143">
        <v>9</v>
      </c>
      <c r="M683" s="143">
        <v>9</v>
      </c>
      <c r="N683" s="201">
        <v>9</v>
      </c>
      <c r="O683" s="204"/>
      <c r="P683" s="329"/>
      <c r="Q683" s="298"/>
      <c r="R683" s="209"/>
      <c r="S683" s="303">
        <v>1</v>
      </c>
      <c r="T683" s="81"/>
      <c r="U683" s="78"/>
      <c r="V683" s="69"/>
      <c r="W683" s="69"/>
      <c r="X683" s="69"/>
      <c r="Y683" s="69"/>
      <c r="Z683" s="69"/>
      <c r="AA683" s="69"/>
      <c r="AB683" s="49"/>
    </row>
    <row r="684" spans="1:28" ht="15.6" customHeight="1" x14ac:dyDescent="0.2">
      <c r="A684" s="148">
        <v>1021</v>
      </c>
      <c r="B684" s="182" t="str">
        <f t="shared" si="12"/>
        <v>Fumaria muralis</v>
      </c>
      <c r="C684" s="183" t="s">
        <v>1550</v>
      </c>
      <c r="D684" s="72" t="s">
        <v>2962</v>
      </c>
      <c r="E684" s="72" t="s">
        <v>2963</v>
      </c>
      <c r="F684" s="72" t="s">
        <v>2964</v>
      </c>
      <c r="G684" s="291" t="s">
        <v>505</v>
      </c>
      <c r="H684" s="77" t="s">
        <v>199</v>
      </c>
      <c r="I684" s="142">
        <v>9</v>
      </c>
      <c r="J684" s="143">
        <v>9</v>
      </c>
      <c r="K684" s="143">
        <v>9</v>
      </c>
      <c r="L684" s="143">
        <v>9</v>
      </c>
      <c r="M684" s="143">
        <v>9</v>
      </c>
      <c r="N684" s="201">
        <v>9</v>
      </c>
      <c r="O684" s="204"/>
      <c r="P684" s="329"/>
      <c r="Q684" s="298"/>
      <c r="R684" s="209"/>
      <c r="S684" s="303" t="s">
        <v>2250</v>
      </c>
      <c r="T684" s="81"/>
      <c r="U684" s="78"/>
      <c r="V684" s="69"/>
      <c r="W684" s="69"/>
      <c r="X684" s="69"/>
      <c r="Y684" s="69"/>
      <c r="Z684" s="69"/>
      <c r="AA684" s="69"/>
      <c r="AB684" s="49"/>
    </row>
    <row r="685" spans="1:28" ht="15.6" customHeight="1" x14ac:dyDescent="0.2">
      <c r="A685" s="148">
        <v>1022</v>
      </c>
      <c r="B685" s="182" t="str">
        <f t="shared" si="12"/>
        <v>Erodium chium</v>
      </c>
      <c r="C685" s="183" t="s">
        <v>1564</v>
      </c>
      <c r="D685" s="72"/>
      <c r="E685" s="72" t="s">
        <v>1565</v>
      </c>
      <c r="F685" s="72" t="s">
        <v>566</v>
      </c>
      <c r="G685" s="291" t="s">
        <v>1196</v>
      </c>
      <c r="H685" s="77" t="s">
        <v>199</v>
      </c>
      <c r="I685" s="142">
        <v>9</v>
      </c>
      <c r="J685" s="143">
        <v>9</v>
      </c>
      <c r="K685" s="143">
        <v>9</v>
      </c>
      <c r="L685" s="143">
        <v>9</v>
      </c>
      <c r="M685" s="143">
        <v>9</v>
      </c>
      <c r="N685" s="201">
        <v>9</v>
      </c>
      <c r="O685" s="204"/>
      <c r="P685" s="329"/>
      <c r="Q685" s="298"/>
      <c r="R685" s="209"/>
      <c r="S685" s="303"/>
      <c r="T685" s="81"/>
      <c r="U685" s="78"/>
      <c r="V685" s="69"/>
      <c r="W685" s="69"/>
      <c r="X685" s="69"/>
      <c r="Y685" s="69"/>
      <c r="Z685" s="69"/>
      <c r="AA685" s="69"/>
      <c r="AB685" s="49"/>
    </row>
    <row r="686" spans="1:28" ht="15.6" customHeight="1" x14ac:dyDescent="0.2">
      <c r="A686" s="148">
        <v>1023</v>
      </c>
      <c r="B686" s="182" t="str">
        <f t="shared" si="12"/>
        <v>Erodium botrys</v>
      </c>
      <c r="C686" s="183" t="s">
        <v>1564</v>
      </c>
      <c r="D686" s="72"/>
      <c r="E686" s="72" t="s">
        <v>1565</v>
      </c>
      <c r="F686" s="72" t="s">
        <v>565</v>
      </c>
      <c r="G686" s="291" t="s">
        <v>506</v>
      </c>
      <c r="H686" s="77" t="s">
        <v>199</v>
      </c>
      <c r="I686" s="142">
        <v>9</v>
      </c>
      <c r="J686" s="143">
        <v>9</v>
      </c>
      <c r="K686" s="143">
        <v>9</v>
      </c>
      <c r="L686" s="143">
        <v>9</v>
      </c>
      <c r="M686" s="143">
        <v>9</v>
      </c>
      <c r="N686" s="201">
        <v>9</v>
      </c>
      <c r="O686" s="204"/>
      <c r="P686" s="329"/>
      <c r="Q686" s="298"/>
      <c r="R686" s="209"/>
      <c r="S686" s="303"/>
      <c r="T686" s="81"/>
      <c r="U686" s="78"/>
      <c r="V686" s="69"/>
      <c r="W686" s="69"/>
      <c r="X686" s="69"/>
      <c r="Y686" s="69"/>
      <c r="Z686" s="69"/>
      <c r="AA686" s="69"/>
      <c r="AB686" s="49"/>
    </row>
    <row r="687" spans="1:28" ht="15.6" customHeight="1" x14ac:dyDescent="0.2">
      <c r="A687" s="148">
        <v>1024</v>
      </c>
      <c r="B687" s="182" t="str">
        <f t="shared" si="12"/>
        <v>Lythrum hyssopifolium</v>
      </c>
      <c r="C687" s="183" t="s">
        <v>2965</v>
      </c>
      <c r="D687" s="72"/>
      <c r="E687" s="72" t="s">
        <v>2966</v>
      </c>
      <c r="F687" s="72" t="s">
        <v>2967</v>
      </c>
      <c r="G687" s="291" t="s">
        <v>507</v>
      </c>
      <c r="H687" s="77" t="s">
        <v>199</v>
      </c>
      <c r="I687" s="142">
        <v>9</v>
      </c>
      <c r="J687" s="143">
        <v>9</v>
      </c>
      <c r="K687" s="143">
        <v>9</v>
      </c>
      <c r="L687" s="143">
        <v>9</v>
      </c>
      <c r="M687" s="143">
        <v>9</v>
      </c>
      <c r="N687" s="201">
        <v>9</v>
      </c>
      <c r="O687" s="204"/>
      <c r="P687" s="329"/>
      <c r="Q687" s="298"/>
      <c r="R687" s="209">
        <v>37334</v>
      </c>
      <c r="S687" s="303">
        <v>1</v>
      </c>
      <c r="T687" s="81"/>
      <c r="U687" s="78"/>
      <c r="V687" s="69"/>
      <c r="W687" s="69"/>
      <c r="X687" s="69"/>
      <c r="Y687" s="69"/>
      <c r="Z687" s="69"/>
      <c r="AA687" s="69"/>
      <c r="AB687" s="49"/>
    </row>
    <row r="688" spans="1:28" ht="15.6" customHeight="1" x14ac:dyDescent="0.2">
      <c r="A688" s="148">
        <v>1025</v>
      </c>
      <c r="B688" s="182" t="str">
        <f t="shared" si="12"/>
        <v>Hibiscus trionum</v>
      </c>
      <c r="C688" s="183" t="s">
        <v>1695</v>
      </c>
      <c r="D688" s="72"/>
      <c r="E688" s="72" t="s">
        <v>1705</v>
      </c>
      <c r="F688" s="72" t="s">
        <v>1706</v>
      </c>
      <c r="G688" s="291" t="s">
        <v>3507</v>
      </c>
      <c r="H688" s="77" t="s">
        <v>199</v>
      </c>
      <c r="I688" s="142">
        <v>9</v>
      </c>
      <c r="J688" s="143">
        <v>9</v>
      </c>
      <c r="K688" s="143">
        <v>9</v>
      </c>
      <c r="L688" s="143">
        <v>9</v>
      </c>
      <c r="M688" s="143">
        <v>9</v>
      </c>
      <c r="N688" s="201">
        <v>9</v>
      </c>
      <c r="O688" s="204"/>
      <c r="P688" s="329"/>
      <c r="Q688" s="298"/>
      <c r="R688" s="209"/>
      <c r="S688" s="303">
        <v>1</v>
      </c>
      <c r="T688" s="81"/>
      <c r="U688" s="78"/>
      <c r="V688" s="69"/>
      <c r="W688" s="69"/>
      <c r="X688" s="69"/>
      <c r="Y688" s="69"/>
      <c r="Z688" s="69"/>
      <c r="AA688" s="69"/>
      <c r="AB688" s="49"/>
    </row>
    <row r="689" spans="1:28" ht="15.6" customHeight="1" x14ac:dyDescent="0.2">
      <c r="A689" s="148">
        <v>1026</v>
      </c>
      <c r="B689" s="182" t="str">
        <f t="shared" si="12"/>
        <v>Myoporum sp.</v>
      </c>
      <c r="C689" s="183" t="s">
        <v>2968</v>
      </c>
      <c r="D689" s="72"/>
      <c r="E689" s="72" t="s">
        <v>2969</v>
      </c>
      <c r="F689" s="72" t="s">
        <v>2970</v>
      </c>
      <c r="G689" s="291" t="s">
        <v>508</v>
      </c>
      <c r="H689" s="77" t="s">
        <v>199</v>
      </c>
      <c r="I689" s="142">
        <v>9</v>
      </c>
      <c r="J689" s="143">
        <v>9</v>
      </c>
      <c r="K689" s="143">
        <v>9</v>
      </c>
      <c r="L689" s="143">
        <v>9</v>
      </c>
      <c r="M689" s="143">
        <v>9</v>
      </c>
      <c r="N689" s="201">
        <v>9</v>
      </c>
      <c r="O689" s="204"/>
      <c r="P689" s="329"/>
      <c r="Q689" s="298"/>
      <c r="R689" s="209"/>
      <c r="S689" s="303" t="s">
        <v>2250</v>
      </c>
      <c r="T689" s="81"/>
      <c r="U689" s="78"/>
      <c r="V689" s="69"/>
      <c r="W689" s="69"/>
      <c r="X689" s="69"/>
      <c r="Y689" s="69"/>
      <c r="Z689" s="69"/>
      <c r="AA689" s="69"/>
      <c r="AB689" s="49"/>
    </row>
    <row r="690" spans="1:28" ht="15.6" customHeight="1" x14ac:dyDescent="0.2">
      <c r="A690" s="148">
        <v>1027</v>
      </c>
      <c r="B690" s="182" t="str">
        <f t="shared" si="12"/>
        <v>Eucalyptus gomphocephala</v>
      </c>
      <c r="C690" s="183" t="s">
        <v>2971</v>
      </c>
      <c r="D690" s="72" t="s">
        <v>2972</v>
      </c>
      <c r="E690" s="72" t="s">
        <v>2973</v>
      </c>
      <c r="F690" s="72" t="s">
        <v>2974</v>
      </c>
      <c r="G690" s="291" t="s">
        <v>509</v>
      </c>
      <c r="H690" s="77" t="s">
        <v>199</v>
      </c>
      <c r="I690" s="142">
        <v>9</v>
      </c>
      <c r="J690" s="143">
        <v>9</v>
      </c>
      <c r="K690" s="143">
        <v>9</v>
      </c>
      <c r="L690" s="143">
        <v>9</v>
      </c>
      <c r="M690" s="143">
        <v>9</v>
      </c>
      <c r="N690" s="201">
        <v>9</v>
      </c>
      <c r="O690" s="204"/>
      <c r="P690" s="329"/>
      <c r="Q690" s="298"/>
      <c r="R690" s="209"/>
      <c r="S690" s="303">
        <v>1</v>
      </c>
      <c r="T690" s="81"/>
      <c r="U690" s="78"/>
      <c r="V690" s="69"/>
      <c r="W690" s="69"/>
      <c r="X690" s="69"/>
      <c r="Y690" s="69"/>
      <c r="Z690" s="69"/>
      <c r="AA690" s="69"/>
      <c r="AB690" s="49"/>
    </row>
    <row r="691" spans="1:28" ht="15.6" customHeight="1" x14ac:dyDescent="0.2">
      <c r="A691" s="148">
        <v>1028</v>
      </c>
      <c r="B691" s="182" t="str">
        <f t="shared" si="12"/>
        <v>Pinus pinaster</v>
      </c>
      <c r="C691" s="183" t="s">
        <v>2975</v>
      </c>
      <c r="D691" s="72" t="s">
        <v>2976</v>
      </c>
      <c r="E691" s="72" t="s">
        <v>2977</v>
      </c>
      <c r="F691" s="72" t="s">
        <v>2978</v>
      </c>
      <c r="G691" s="291" t="s">
        <v>510</v>
      </c>
      <c r="H691" s="77" t="s">
        <v>199</v>
      </c>
      <c r="I691" s="142">
        <v>9</v>
      </c>
      <c r="J691" s="143">
        <v>9</v>
      </c>
      <c r="K691" s="143">
        <v>9</v>
      </c>
      <c r="L691" s="143">
        <v>9</v>
      </c>
      <c r="M691" s="143">
        <v>9</v>
      </c>
      <c r="N691" s="201">
        <v>9</v>
      </c>
      <c r="O691" s="204"/>
      <c r="P691" s="329"/>
      <c r="Q691" s="298"/>
      <c r="R691" s="209"/>
      <c r="S691" s="303"/>
      <c r="T691" s="81"/>
      <c r="U691" s="78"/>
      <c r="V691" s="69"/>
      <c r="W691" s="69"/>
      <c r="X691" s="69"/>
      <c r="Y691" s="69"/>
      <c r="Z691" s="69"/>
      <c r="AA691" s="69"/>
      <c r="AB691" s="49"/>
    </row>
    <row r="692" spans="1:28" ht="15.6" customHeight="1" x14ac:dyDescent="0.2">
      <c r="A692" s="148">
        <v>1029</v>
      </c>
      <c r="B692" s="182" t="str">
        <f t="shared" si="12"/>
        <v>Plantago lanceolata</v>
      </c>
      <c r="C692" s="183" t="s">
        <v>2979</v>
      </c>
      <c r="D692" s="72"/>
      <c r="E692" s="72" t="s">
        <v>2980</v>
      </c>
      <c r="F692" s="72" t="s">
        <v>2981</v>
      </c>
      <c r="G692" s="291" t="s">
        <v>511</v>
      </c>
      <c r="H692" s="77" t="s">
        <v>199</v>
      </c>
      <c r="I692" s="142">
        <v>9</v>
      </c>
      <c r="J692" s="143">
        <v>9</v>
      </c>
      <c r="K692" s="143">
        <v>9</v>
      </c>
      <c r="L692" s="143">
        <v>9</v>
      </c>
      <c r="M692" s="143">
        <v>9</v>
      </c>
      <c r="N692" s="201">
        <v>9</v>
      </c>
      <c r="O692" s="204"/>
      <c r="P692" s="329"/>
      <c r="Q692" s="298"/>
      <c r="R692" s="209">
        <v>35582</v>
      </c>
      <c r="S692" s="303"/>
      <c r="T692" s="81"/>
      <c r="U692" s="78"/>
      <c r="V692" s="69"/>
      <c r="W692" s="69"/>
      <c r="X692" s="69"/>
      <c r="Y692" s="69"/>
      <c r="Z692" s="69"/>
      <c r="AA692" s="69"/>
      <c r="AB692" s="49"/>
    </row>
    <row r="693" spans="1:28" ht="15.6" customHeight="1" x14ac:dyDescent="0.2">
      <c r="A693" s="148">
        <v>1030</v>
      </c>
      <c r="B693" s="182" t="str">
        <f t="shared" si="12"/>
        <v>Axonopus affinis</v>
      </c>
      <c r="C693" s="183" t="s">
        <v>2595</v>
      </c>
      <c r="D693" s="72"/>
      <c r="E693" s="72" t="s">
        <v>1835</v>
      </c>
      <c r="F693" s="72" t="s">
        <v>676</v>
      </c>
      <c r="G693" s="291" t="s">
        <v>512</v>
      </c>
      <c r="H693" s="77" t="s">
        <v>199</v>
      </c>
      <c r="I693" s="142">
        <v>9</v>
      </c>
      <c r="J693" s="143">
        <v>9</v>
      </c>
      <c r="K693" s="143">
        <v>9</v>
      </c>
      <c r="L693" s="143">
        <v>9</v>
      </c>
      <c r="M693" s="143">
        <v>9</v>
      </c>
      <c r="N693" s="201">
        <v>9</v>
      </c>
      <c r="O693" s="204"/>
      <c r="P693" s="329"/>
      <c r="Q693" s="298"/>
      <c r="R693" s="209"/>
      <c r="S693" s="303"/>
      <c r="T693" s="81"/>
      <c r="U693" s="78"/>
      <c r="V693" s="69"/>
      <c r="W693" s="69"/>
      <c r="X693" s="69"/>
      <c r="Y693" s="69"/>
      <c r="Z693" s="69"/>
      <c r="AA693" s="69"/>
      <c r="AB693" s="49"/>
    </row>
    <row r="694" spans="1:28" ht="15.6" customHeight="1" x14ac:dyDescent="0.2">
      <c r="A694" s="148">
        <v>1031</v>
      </c>
      <c r="B694" s="182" t="str">
        <f t="shared" si="12"/>
        <v>Briza maxima</v>
      </c>
      <c r="C694" s="183" t="s">
        <v>2595</v>
      </c>
      <c r="D694" s="72" t="s">
        <v>2982</v>
      </c>
      <c r="E694" s="72" t="s">
        <v>2983</v>
      </c>
      <c r="F694" s="72" t="s">
        <v>1600</v>
      </c>
      <c r="G694" s="291" t="s">
        <v>513</v>
      </c>
      <c r="H694" s="77" t="s">
        <v>199</v>
      </c>
      <c r="I694" s="142">
        <v>9</v>
      </c>
      <c r="J694" s="143">
        <v>9</v>
      </c>
      <c r="K694" s="143">
        <v>9</v>
      </c>
      <c r="L694" s="143">
        <v>9</v>
      </c>
      <c r="M694" s="143">
        <v>9</v>
      </c>
      <c r="N694" s="201">
        <v>9</v>
      </c>
      <c r="O694" s="204"/>
      <c r="P694" s="329"/>
      <c r="Q694" s="298"/>
      <c r="R694" s="209"/>
      <c r="S694" s="303">
        <v>1</v>
      </c>
      <c r="T694" s="81"/>
      <c r="U694" s="78"/>
      <c r="V694" s="69"/>
      <c r="W694" s="69"/>
      <c r="X694" s="69"/>
      <c r="Y694" s="69"/>
      <c r="Z694" s="69"/>
      <c r="AA694" s="69"/>
      <c r="AB694" s="49"/>
    </row>
    <row r="695" spans="1:28" ht="15.6" customHeight="1" x14ac:dyDescent="0.2">
      <c r="A695" s="148">
        <v>1032</v>
      </c>
      <c r="B695" s="182" t="str">
        <f t="shared" si="12"/>
        <v>Bromus diandrus</v>
      </c>
      <c r="C695" s="183" t="s">
        <v>2595</v>
      </c>
      <c r="D695" s="72" t="s">
        <v>2984</v>
      </c>
      <c r="E695" s="72" t="s">
        <v>2985</v>
      </c>
      <c r="F695" s="72" t="s">
        <v>2986</v>
      </c>
      <c r="G695" s="291" t="s">
        <v>514</v>
      </c>
      <c r="H695" s="77" t="s">
        <v>199</v>
      </c>
      <c r="I695" s="142">
        <v>9</v>
      </c>
      <c r="J695" s="143">
        <v>9</v>
      </c>
      <c r="K695" s="143">
        <v>9</v>
      </c>
      <c r="L695" s="143">
        <v>9</v>
      </c>
      <c r="M695" s="143">
        <v>9</v>
      </c>
      <c r="N695" s="201">
        <v>9</v>
      </c>
      <c r="O695" s="204"/>
      <c r="P695" s="329"/>
      <c r="Q695" s="298"/>
      <c r="R695" s="209">
        <v>36909</v>
      </c>
      <c r="S695" s="303">
        <v>1</v>
      </c>
      <c r="T695" s="81"/>
      <c r="U695" s="78"/>
      <c r="V695" s="69"/>
      <c r="W695" s="69"/>
      <c r="X695" s="69"/>
      <c r="Y695" s="69"/>
      <c r="Z695" s="69"/>
      <c r="AA695" s="69"/>
      <c r="AB695" s="49"/>
    </row>
    <row r="696" spans="1:28" ht="15.6" customHeight="1" x14ac:dyDescent="0.2">
      <c r="A696" s="148">
        <v>1033</v>
      </c>
      <c r="B696" s="182" t="str">
        <f t="shared" si="12"/>
        <v>Hordeum marinum</v>
      </c>
      <c r="C696" s="183" t="s">
        <v>2595</v>
      </c>
      <c r="D696" s="72"/>
      <c r="E696" s="72" t="s">
        <v>2987</v>
      </c>
      <c r="F696" s="72" t="s">
        <v>2988</v>
      </c>
      <c r="G696" s="291" t="s">
        <v>515</v>
      </c>
      <c r="H696" s="77" t="s">
        <v>199</v>
      </c>
      <c r="I696" s="142">
        <v>9</v>
      </c>
      <c r="J696" s="143">
        <v>9</v>
      </c>
      <c r="K696" s="143">
        <v>9</v>
      </c>
      <c r="L696" s="143">
        <v>9</v>
      </c>
      <c r="M696" s="143">
        <v>9</v>
      </c>
      <c r="N696" s="201">
        <v>9</v>
      </c>
      <c r="O696" s="204"/>
      <c r="P696" s="329"/>
      <c r="Q696" s="298"/>
      <c r="R696" s="209">
        <v>36909</v>
      </c>
      <c r="S696" s="303">
        <v>1</v>
      </c>
      <c r="T696" s="81"/>
      <c r="U696" s="78"/>
      <c r="V696" s="69"/>
      <c r="W696" s="69"/>
      <c r="X696" s="69"/>
      <c r="Y696" s="69"/>
      <c r="Z696" s="69"/>
      <c r="AA696" s="69"/>
      <c r="AB696" s="49"/>
    </row>
    <row r="697" spans="1:28" ht="15.6" customHeight="1" x14ac:dyDescent="0.2">
      <c r="A697" s="148">
        <v>1034</v>
      </c>
      <c r="B697" s="182" t="str">
        <f t="shared" si="12"/>
        <v>Lagurus ovatus</v>
      </c>
      <c r="C697" s="183" t="s">
        <v>2595</v>
      </c>
      <c r="D697" s="72"/>
      <c r="E697" s="72" t="s">
        <v>2989</v>
      </c>
      <c r="F697" s="72" t="s">
        <v>681</v>
      </c>
      <c r="G697" s="291" t="s">
        <v>516</v>
      </c>
      <c r="H697" s="77" t="s">
        <v>199</v>
      </c>
      <c r="I697" s="142">
        <v>9</v>
      </c>
      <c r="J697" s="143">
        <v>9</v>
      </c>
      <c r="K697" s="143">
        <v>9</v>
      </c>
      <c r="L697" s="143">
        <v>9</v>
      </c>
      <c r="M697" s="143">
        <v>9</v>
      </c>
      <c r="N697" s="201">
        <v>9</v>
      </c>
      <c r="O697" s="204"/>
      <c r="P697" s="329"/>
      <c r="Q697" s="298"/>
      <c r="R697" s="209"/>
      <c r="S697" s="303">
        <v>1</v>
      </c>
      <c r="T697" s="81"/>
      <c r="U697" s="78"/>
      <c r="V697" s="69"/>
      <c r="W697" s="69"/>
      <c r="X697" s="69"/>
      <c r="Y697" s="69"/>
      <c r="Z697" s="69"/>
      <c r="AA697" s="69"/>
      <c r="AB697" s="49"/>
    </row>
    <row r="698" spans="1:28" ht="15.6" customHeight="1" x14ac:dyDescent="0.2">
      <c r="A698" s="148">
        <v>1035</v>
      </c>
      <c r="B698" s="182" t="str">
        <f t="shared" si="12"/>
        <v>Pennisetum clandestinum</v>
      </c>
      <c r="C698" s="183" t="s">
        <v>2595</v>
      </c>
      <c r="D698" s="72" t="s">
        <v>2990</v>
      </c>
      <c r="E698" s="72" t="s">
        <v>2991</v>
      </c>
      <c r="F698" s="72" t="s">
        <v>2992</v>
      </c>
      <c r="G698" s="291" t="s">
        <v>517</v>
      </c>
      <c r="H698" s="77" t="s">
        <v>199</v>
      </c>
      <c r="I698" s="142">
        <v>9</v>
      </c>
      <c r="J698" s="143">
        <v>9</v>
      </c>
      <c r="K698" s="143">
        <v>9</v>
      </c>
      <c r="L698" s="143">
        <v>9</v>
      </c>
      <c r="M698" s="143">
        <v>9</v>
      </c>
      <c r="N698" s="201">
        <v>9</v>
      </c>
      <c r="O698" s="204"/>
      <c r="P698" s="329"/>
      <c r="Q698" s="298"/>
      <c r="R698" s="209"/>
      <c r="S698" s="303"/>
      <c r="T698" s="81"/>
      <c r="U698" s="78"/>
      <c r="V698" s="69"/>
      <c r="W698" s="69"/>
      <c r="X698" s="69"/>
      <c r="Y698" s="69"/>
      <c r="Z698" s="69"/>
      <c r="AA698" s="69"/>
      <c r="AB698" s="49"/>
    </row>
    <row r="699" spans="1:28" ht="15.6" customHeight="1" x14ac:dyDescent="0.2">
      <c r="A699" s="148">
        <v>1036</v>
      </c>
      <c r="B699" s="182" t="str">
        <f t="shared" si="12"/>
        <v>Persicaria serrulata</v>
      </c>
      <c r="C699" s="183" t="s">
        <v>1963</v>
      </c>
      <c r="D699" s="72" t="s">
        <v>2993</v>
      </c>
      <c r="E699" s="72" t="s">
        <v>2994</v>
      </c>
      <c r="F699" s="72" t="s">
        <v>2995</v>
      </c>
      <c r="G699" s="291" t="s">
        <v>542</v>
      </c>
      <c r="H699" s="77" t="s">
        <v>199</v>
      </c>
      <c r="I699" s="142">
        <v>9</v>
      </c>
      <c r="J699" s="143">
        <v>9</v>
      </c>
      <c r="K699" s="143">
        <v>9</v>
      </c>
      <c r="L699" s="143">
        <v>9</v>
      </c>
      <c r="M699" s="143">
        <v>9</v>
      </c>
      <c r="N699" s="201">
        <v>9</v>
      </c>
      <c r="O699" s="204"/>
      <c r="P699" s="329"/>
      <c r="Q699" s="298"/>
      <c r="R699" s="209">
        <v>35906</v>
      </c>
      <c r="S699" s="303">
        <v>1</v>
      </c>
      <c r="T699" s="81"/>
      <c r="U699" s="78"/>
      <c r="V699" s="69"/>
      <c r="W699" s="69"/>
      <c r="X699" s="69"/>
      <c r="Y699" s="69"/>
      <c r="Z699" s="69"/>
      <c r="AA699" s="69"/>
      <c r="AB699" s="49"/>
    </row>
    <row r="700" spans="1:28" ht="15.6" customHeight="1" x14ac:dyDescent="0.2">
      <c r="A700" s="148">
        <v>1037</v>
      </c>
      <c r="B700" s="182" t="str">
        <f t="shared" si="12"/>
        <v>Rumex acetosella</v>
      </c>
      <c r="C700" s="183" t="s">
        <v>1963</v>
      </c>
      <c r="D700" s="72" t="s">
        <v>2996</v>
      </c>
      <c r="E700" s="72" t="s">
        <v>1966</v>
      </c>
      <c r="F700" s="72" t="s">
        <v>2997</v>
      </c>
      <c r="G700" s="291" t="s">
        <v>518</v>
      </c>
      <c r="H700" s="77" t="s">
        <v>199</v>
      </c>
      <c r="I700" s="142">
        <v>9</v>
      </c>
      <c r="J700" s="143">
        <v>9</v>
      </c>
      <c r="K700" s="143">
        <v>9</v>
      </c>
      <c r="L700" s="143">
        <v>9</v>
      </c>
      <c r="M700" s="143">
        <v>9</v>
      </c>
      <c r="N700" s="201">
        <v>9</v>
      </c>
      <c r="O700" s="204"/>
      <c r="P700" s="329"/>
      <c r="Q700" s="298"/>
      <c r="R700" s="209"/>
      <c r="S700" s="303">
        <v>1</v>
      </c>
      <c r="T700" s="81"/>
      <c r="U700" s="78"/>
      <c r="V700" s="69"/>
      <c r="W700" s="69"/>
      <c r="X700" s="69"/>
      <c r="Y700" s="69"/>
      <c r="Z700" s="69"/>
      <c r="AA700" s="69"/>
      <c r="AB700" s="49"/>
    </row>
    <row r="701" spans="1:28" ht="15.6" customHeight="1" x14ac:dyDescent="0.2">
      <c r="A701" s="148">
        <v>1038</v>
      </c>
      <c r="B701" s="182" t="str">
        <f t="shared" si="12"/>
        <v>Anagallis arvensis</v>
      </c>
      <c r="C701" s="183" t="s">
        <v>2998</v>
      </c>
      <c r="D701" s="72" t="s">
        <v>2999</v>
      </c>
      <c r="E701" s="72" t="s">
        <v>3000</v>
      </c>
      <c r="F701" s="72" t="s">
        <v>2935</v>
      </c>
      <c r="G701" s="291" t="s">
        <v>519</v>
      </c>
      <c r="H701" s="77" t="s">
        <v>199</v>
      </c>
      <c r="I701" s="142">
        <v>9</v>
      </c>
      <c r="J701" s="143">
        <v>9</v>
      </c>
      <c r="K701" s="143">
        <v>9</v>
      </c>
      <c r="L701" s="143">
        <v>9</v>
      </c>
      <c r="M701" s="143">
        <v>9</v>
      </c>
      <c r="N701" s="201">
        <v>9</v>
      </c>
      <c r="O701" s="204"/>
      <c r="P701" s="329"/>
      <c r="Q701" s="298"/>
      <c r="R701" s="209"/>
      <c r="S701" s="303">
        <v>1</v>
      </c>
      <c r="T701" s="81"/>
      <c r="U701" s="78"/>
      <c r="V701" s="69"/>
      <c r="W701" s="69"/>
      <c r="X701" s="69"/>
      <c r="Y701" s="69"/>
      <c r="Z701" s="69"/>
      <c r="AA701" s="69"/>
      <c r="AB701" s="49"/>
    </row>
    <row r="702" spans="1:28" ht="15.6" customHeight="1" x14ac:dyDescent="0.2">
      <c r="A702" s="148">
        <v>1039</v>
      </c>
      <c r="B702" s="182" t="str">
        <f t="shared" si="12"/>
        <v>Samolus valerandi</v>
      </c>
      <c r="C702" s="183" t="s">
        <v>2998</v>
      </c>
      <c r="D702" s="72" t="s">
        <v>3001</v>
      </c>
      <c r="E702" s="72" t="s">
        <v>3002</v>
      </c>
      <c r="F702" s="72" t="s">
        <v>3003</v>
      </c>
      <c r="G702" s="291" t="s">
        <v>520</v>
      </c>
      <c r="H702" s="77" t="s">
        <v>199</v>
      </c>
      <c r="I702" s="142">
        <v>9</v>
      </c>
      <c r="J702" s="143">
        <v>9</v>
      </c>
      <c r="K702" s="143">
        <v>9</v>
      </c>
      <c r="L702" s="143">
        <v>9</v>
      </c>
      <c r="M702" s="143">
        <v>9</v>
      </c>
      <c r="N702" s="201">
        <v>9</v>
      </c>
      <c r="O702" s="204"/>
      <c r="P702" s="329"/>
      <c r="Q702" s="298"/>
      <c r="R702" s="209">
        <v>36935</v>
      </c>
      <c r="S702" s="303">
        <v>1</v>
      </c>
      <c r="T702" s="81"/>
      <c r="U702" s="78"/>
      <c r="V702" s="69"/>
      <c r="W702" s="69"/>
      <c r="X702" s="69"/>
      <c r="Y702" s="69"/>
      <c r="Z702" s="69"/>
      <c r="AA702" s="69"/>
      <c r="AB702" s="49"/>
    </row>
    <row r="703" spans="1:28" ht="15.6" customHeight="1" x14ac:dyDescent="0.2">
      <c r="A703" s="148">
        <v>1040</v>
      </c>
      <c r="B703" s="182" t="str">
        <f t="shared" si="12"/>
        <v>Hakea drupacea</v>
      </c>
      <c r="C703" s="183" t="s">
        <v>1970</v>
      </c>
      <c r="D703" s="72" t="s">
        <v>3004</v>
      </c>
      <c r="E703" s="72" t="s">
        <v>3005</v>
      </c>
      <c r="F703" s="72" t="s">
        <v>3006</v>
      </c>
      <c r="G703" s="291" t="s">
        <v>521</v>
      </c>
      <c r="H703" s="77" t="s">
        <v>199</v>
      </c>
      <c r="I703" s="142">
        <v>9</v>
      </c>
      <c r="J703" s="143">
        <v>9</v>
      </c>
      <c r="K703" s="143">
        <v>9</v>
      </c>
      <c r="L703" s="143">
        <v>9</v>
      </c>
      <c r="M703" s="143">
        <v>9</v>
      </c>
      <c r="N703" s="201">
        <v>9</v>
      </c>
      <c r="O703" s="204"/>
      <c r="P703" s="329"/>
      <c r="Q703" s="298"/>
      <c r="R703" s="209"/>
      <c r="S703" s="303">
        <v>1</v>
      </c>
      <c r="T703" s="81"/>
      <c r="U703" s="78"/>
      <c r="V703" s="69"/>
      <c r="W703" s="69"/>
      <c r="X703" s="69"/>
      <c r="Y703" s="69"/>
      <c r="Z703" s="69"/>
      <c r="AA703" s="69"/>
      <c r="AB703" s="49"/>
    </row>
    <row r="704" spans="1:28" ht="15.6" customHeight="1" x14ac:dyDescent="0.2">
      <c r="A704" s="148">
        <v>1041</v>
      </c>
      <c r="B704" s="182" t="str">
        <f t="shared" si="12"/>
        <v>Ranunculus muricatus</v>
      </c>
      <c r="C704" s="183" t="s">
        <v>1999</v>
      </c>
      <c r="D704" s="72" t="s">
        <v>3007</v>
      </c>
      <c r="E704" s="72" t="s">
        <v>3008</v>
      </c>
      <c r="F704" s="72" t="s">
        <v>3009</v>
      </c>
      <c r="G704" s="291" t="s">
        <v>522</v>
      </c>
      <c r="H704" s="77" t="s">
        <v>199</v>
      </c>
      <c r="I704" s="142">
        <v>9</v>
      </c>
      <c r="J704" s="143">
        <v>9</v>
      </c>
      <c r="K704" s="143">
        <v>9</v>
      </c>
      <c r="L704" s="143">
        <v>9</v>
      </c>
      <c r="M704" s="143">
        <v>9</v>
      </c>
      <c r="N704" s="201">
        <v>9</v>
      </c>
      <c r="O704" s="204"/>
      <c r="P704" s="329"/>
      <c r="Q704" s="298"/>
      <c r="R704" s="209"/>
      <c r="S704" s="303"/>
      <c r="T704" s="81"/>
      <c r="U704" s="78"/>
      <c r="V704" s="69"/>
      <c r="W704" s="69"/>
      <c r="X704" s="69"/>
      <c r="Y704" s="69"/>
      <c r="Z704" s="69"/>
      <c r="AA704" s="69"/>
      <c r="AB704" s="49"/>
    </row>
    <row r="705" spans="1:28" ht="15.6" customHeight="1" x14ac:dyDescent="0.2">
      <c r="A705" s="148">
        <v>1042</v>
      </c>
      <c r="B705" s="182" t="str">
        <f t="shared" si="12"/>
        <v>Datura stramonium</v>
      </c>
      <c r="C705" s="183" t="s">
        <v>2201</v>
      </c>
      <c r="D705" s="72"/>
      <c r="E705" s="72" t="s">
        <v>3010</v>
      </c>
      <c r="F705" s="72" t="s">
        <v>3011</v>
      </c>
      <c r="G705" s="291" t="s">
        <v>523</v>
      </c>
      <c r="H705" s="77" t="s">
        <v>199</v>
      </c>
      <c r="I705" s="142">
        <v>9</v>
      </c>
      <c r="J705" s="143">
        <v>9</v>
      </c>
      <c r="K705" s="143">
        <v>9</v>
      </c>
      <c r="L705" s="143">
        <v>9</v>
      </c>
      <c r="M705" s="143">
        <v>9</v>
      </c>
      <c r="N705" s="201">
        <v>9</v>
      </c>
      <c r="O705" s="204"/>
      <c r="P705" s="329"/>
      <c r="Q705" s="298"/>
      <c r="R705" s="209"/>
      <c r="S705" s="303">
        <v>1</v>
      </c>
      <c r="T705" s="81"/>
      <c r="U705" s="78"/>
      <c r="V705" s="69"/>
      <c r="W705" s="69"/>
      <c r="X705" s="69"/>
      <c r="Y705" s="69"/>
      <c r="Z705" s="69"/>
      <c r="AA705" s="69"/>
      <c r="AB705" s="49"/>
    </row>
    <row r="706" spans="1:28" ht="15.6" customHeight="1" x14ac:dyDescent="0.2">
      <c r="A706" s="148">
        <v>1043</v>
      </c>
      <c r="B706" s="182" t="str">
        <f t="shared" si="12"/>
        <v>Physalis  peruviana</v>
      </c>
      <c r="C706" s="183" t="s">
        <v>2201</v>
      </c>
      <c r="D706" s="72" t="s">
        <v>3012</v>
      </c>
      <c r="E706" s="72" t="s">
        <v>3013</v>
      </c>
      <c r="F706" s="72" t="s">
        <v>3014</v>
      </c>
      <c r="G706" s="291" t="s">
        <v>524</v>
      </c>
      <c r="H706" s="77" t="s">
        <v>199</v>
      </c>
      <c r="I706" s="142">
        <v>9</v>
      </c>
      <c r="J706" s="143">
        <v>9</v>
      </c>
      <c r="K706" s="143">
        <v>9</v>
      </c>
      <c r="L706" s="143">
        <v>9</v>
      </c>
      <c r="M706" s="143">
        <v>9</v>
      </c>
      <c r="N706" s="201">
        <v>9</v>
      </c>
      <c r="O706" s="204"/>
      <c r="P706" s="329"/>
      <c r="Q706" s="298"/>
      <c r="R706" s="209">
        <v>35971</v>
      </c>
      <c r="S706" s="303">
        <v>1</v>
      </c>
      <c r="T706" s="81"/>
      <c r="U706" s="78"/>
      <c r="V706" s="69"/>
      <c r="W706" s="69"/>
      <c r="X706" s="69"/>
      <c r="Y706" s="69"/>
      <c r="Z706" s="69"/>
      <c r="AA706" s="69"/>
      <c r="AB706" s="49"/>
    </row>
    <row r="707" spans="1:28" ht="15.6" customHeight="1" x14ac:dyDescent="0.2">
      <c r="A707" s="184">
        <v>2001</v>
      </c>
      <c r="B707" s="185" t="str">
        <f t="shared" ref="B707:B738" si="13">E707&amp;" "&amp;F707</f>
        <v>Rhus laevigata</v>
      </c>
      <c r="C707" s="186" t="s">
        <v>2768</v>
      </c>
      <c r="D707" s="72"/>
      <c r="E707" s="72" t="s">
        <v>2769</v>
      </c>
      <c r="F707" s="72" t="s">
        <v>3015</v>
      </c>
      <c r="G707" s="292" t="s">
        <v>2852</v>
      </c>
      <c r="H707" s="77" t="s">
        <v>3227</v>
      </c>
      <c r="I707" s="142">
        <v>2</v>
      </c>
      <c r="J707" s="143">
        <v>3</v>
      </c>
      <c r="K707" s="143">
        <v>2</v>
      </c>
      <c r="L707" s="143">
        <v>1</v>
      </c>
      <c r="M707" s="143">
        <v>2</v>
      </c>
      <c r="N707" s="201">
        <v>3</v>
      </c>
      <c r="O707" s="204"/>
      <c r="P707" s="329"/>
      <c r="Q707" s="84"/>
      <c r="R707" s="209"/>
      <c r="S707" s="83"/>
      <c r="T707" s="81"/>
      <c r="U707" s="78"/>
      <c r="V707" s="69"/>
      <c r="W707" s="69"/>
      <c r="X707" s="69"/>
      <c r="Y707" s="69"/>
      <c r="Z707" s="69"/>
      <c r="AA707" s="69"/>
      <c r="AB707" s="49"/>
    </row>
    <row r="708" spans="1:28" ht="15.6" customHeight="1" x14ac:dyDescent="0.2">
      <c r="A708" s="184">
        <v>2002</v>
      </c>
      <c r="B708" s="185" t="str">
        <f t="shared" si="13"/>
        <v>Ficinia ramosissima</v>
      </c>
      <c r="C708" s="186" t="s">
        <v>992</v>
      </c>
      <c r="D708" s="72"/>
      <c r="E708" s="72" t="s">
        <v>993</v>
      </c>
      <c r="F708" s="72" t="s">
        <v>1658</v>
      </c>
      <c r="G708" s="292" t="s">
        <v>538</v>
      </c>
      <c r="H708" s="77" t="s">
        <v>3284</v>
      </c>
      <c r="I708" s="142">
        <v>5</v>
      </c>
      <c r="J708" s="143">
        <v>6</v>
      </c>
      <c r="K708" s="143">
        <v>3</v>
      </c>
      <c r="L708" s="143">
        <v>3</v>
      </c>
      <c r="M708" s="143">
        <v>1</v>
      </c>
      <c r="N708" s="201">
        <v>1</v>
      </c>
      <c r="O708" s="204"/>
      <c r="P708" s="329"/>
      <c r="Q708" s="84"/>
      <c r="R708" s="209"/>
      <c r="S708" s="83"/>
      <c r="T708" s="81"/>
      <c r="U708" s="78"/>
      <c r="V708" s="69"/>
      <c r="W708" s="69"/>
      <c r="X708" s="69"/>
      <c r="Y708" s="69"/>
      <c r="Z708" s="69"/>
      <c r="AA708" s="69"/>
      <c r="AB708" s="49"/>
    </row>
    <row r="709" spans="1:28" ht="15.6" customHeight="1" x14ac:dyDescent="0.2">
      <c r="A709" s="184">
        <v>2003</v>
      </c>
      <c r="B709" s="185" t="str">
        <f t="shared" si="13"/>
        <v>Aspalathus dentata</v>
      </c>
      <c r="C709" s="186" t="s">
        <v>1061</v>
      </c>
      <c r="D709" s="72"/>
      <c r="E709" s="72" t="s">
        <v>1063</v>
      </c>
      <c r="F709" s="72" t="s">
        <v>712</v>
      </c>
      <c r="G709" s="292" t="s">
        <v>550</v>
      </c>
      <c r="H709" s="77" t="s">
        <v>199</v>
      </c>
      <c r="I709" s="142">
        <v>9</v>
      </c>
      <c r="J709" s="143">
        <v>9</v>
      </c>
      <c r="K709" s="143">
        <v>9</v>
      </c>
      <c r="L709" s="143">
        <v>9</v>
      </c>
      <c r="M709" s="143">
        <v>9</v>
      </c>
      <c r="N709" s="201">
        <v>9</v>
      </c>
      <c r="O709" s="204"/>
      <c r="P709" s="329"/>
      <c r="Q709" s="84"/>
      <c r="R709" s="209"/>
      <c r="S709" s="83"/>
      <c r="T709" s="81"/>
      <c r="U709" s="78"/>
      <c r="V709" s="69"/>
      <c r="W709" s="69"/>
      <c r="X709" s="69"/>
      <c r="Y709" s="69"/>
      <c r="Z709" s="69"/>
      <c r="AA709" s="69"/>
      <c r="AB709" s="49"/>
    </row>
    <row r="710" spans="1:28" ht="15.6" customHeight="1" x14ac:dyDescent="0.2">
      <c r="A710" s="184">
        <v>2004</v>
      </c>
      <c r="B710" s="185" t="str">
        <f t="shared" si="13"/>
        <v>Indigofera leptocladis</v>
      </c>
      <c r="C710" s="186" t="s">
        <v>1061</v>
      </c>
      <c r="D710" s="72"/>
      <c r="E710" s="72" t="s">
        <v>1078</v>
      </c>
      <c r="F710" s="72" t="s">
        <v>3016</v>
      </c>
      <c r="G710" s="292" t="s">
        <v>551</v>
      </c>
      <c r="H710" s="77" t="s">
        <v>199</v>
      </c>
      <c r="I710" s="142">
        <v>9</v>
      </c>
      <c r="J710" s="143">
        <v>9</v>
      </c>
      <c r="K710" s="143">
        <v>9</v>
      </c>
      <c r="L710" s="143">
        <v>9</v>
      </c>
      <c r="M710" s="143">
        <v>9</v>
      </c>
      <c r="N710" s="201">
        <v>9</v>
      </c>
      <c r="O710" s="204"/>
      <c r="P710" s="329"/>
      <c r="Q710" s="84"/>
      <c r="R710" s="209"/>
      <c r="S710" s="83"/>
      <c r="T710" s="81"/>
      <c r="U710" s="78"/>
      <c r="V710" s="69"/>
      <c r="W710" s="69"/>
      <c r="X710" s="69"/>
      <c r="Y710" s="69"/>
      <c r="Z710" s="69"/>
      <c r="AA710" s="69"/>
      <c r="AB710" s="49"/>
    </row>
    <row r="711" spans="1:28" ht="15.6" customHeight="1" x14ac:dyDescent="0.2">
      <c r="A711" s="184">
        <v>2005</v>
      </c>
      <c r="B711" s="185" t="str">
        <f t="shared" si="13"/>
        <v>Olea capensis</v>
      </c>
      <c r="C711" s="186" t="s">
        <v>1761</v>
      </c>
      <c r="D711" s="72"/>
      <c r="E711" s="72" t="s">
        <v>1764</v>
      </c>
      <c r="F711" s="72" t="s">
        <v>2756</v>
      </c>
      <c r="G711" s="292" t="s">
        <v>3520</v>
      </c>
      <c r="H711" s="77" t="s">
        <v>3227</v>
      </c>
      <c r="I711" s="142">
        <v>2</v>
      </c>
      <c r="J711" s="143">
        <v>3</v>
      </c>
      <c r="K711" s="143">
        <v>2</v>
      </c>
      <c r="L711" s="143">
        <v>1</v>
      </c>
      <c r="M711" s="143">
        <v>2</v>
      </c>
      <c r="N711" s="201">
        <v>2</v>
      </c>
      <c r="O711" s="204"/>
      <c r="P711" s="329"/>
      <c r="Q711" s="84"/>
      <c r="R711" s="209"/>
      <c r="S711" s="83"/>
      <c r="T711" s="81"/>
      <c r="U711" s="78"/>
      <c r="V711" s="69"/>
      <c r="W711" s="69"/>
      <c r="X711" s="69"/>
      <c r="Y711" s="69"/>
      <c r="Z711" s="69"/>
      <c r="AA711" s="69"/>
      <c r="AB711" s="49"/>
    </row>
    <row r="712" spans="1:28" ht="15.6" customHeight="1" x14ac:dyDescent="0.2">
      <c r="A712" s="184">
        <v>2006</v>
      </c>
      <c r="B712" s="185" t="str">
        <f t="shared" si="13"/>
        <v>Rumex sagittarius</v>
      </c>
      <c r="C712" s="186" t="s">
        <v>1963</v>
      </c>
      <c r="D712" s="72"/>
      <c r="E712" s="72" t="s">
        <v>1966</v>
      </c>
      <c r="F712" s="72" t="s">
        <v>3017</v>
      </c>
      <c r="G712" s="292" t="s">
        <v>554</v>
      </c>
      <c r="H712" s="77" t="s">
        <v>3264</v>
      </c>
      <c r="I712" s="142">
        <v>3</v>
      </c>
      <c r="J712" s="143">
        <v>6</v>
      </c>
      <c r="K712" s="143">
        <v>5</v>
      </c>
      <c r="L712" s="143">
        <v>1</v>
      </c>
      <c r="M712" s="143">
        <v>1</v>
      </c>
      <c r="N712" s="201">
        <v>4</v>
      </c>
      <c r="O712" s="204"/>
      <c r="P712" s="329"/>
      <c r="Q712" s="84"/>
      <c r="R712" s="209"/>
      <c r="S712" s="83"/>
      <c r="T712" s="81"/>
      <c r="U712" s="78"/>
      <c r="V712" s="69"/>
      <c r="W712" s="69"/>
      <c r="X712" s="69"/>
      <c r="Y712" s="69"/>
      <c r="Z712" s="69"/>
      <c r="AA712" s="69"/>
      <c r="AB712" s="49"/>
    </row>
    <row r="713" spans="1:28" ht="15.6" customHeight="1" x14ac:dyDescent="0.2">
      <c r="A713" s="184">
        <v>2007</v>
      </c>
      <c r="B713" s="185" t="str">
        <f t="shared" si="13"/>
        <v>Knowltonia vesicatoria</v>
      </c>
      <c r="C713" s="186" t="s">
        <v>1999</v>
      </c>
      <c r="D713" s="72"/>
      <c r="E713" s="72" t="s">
        <v>2000</v>
      </c>
      <c r="F713" s="72" t="s">
        <v>3018</v>
      </c>
      <c r="G713" s="292" t="s">
        <v>3479</v>
      </c>
      <c r="H713" s="77" t="s">
        <v>3309</v>
      </c>
      <c r="I713" s="142">
        <v>3</v>
      </c>
      <c r="J713" s="143">
        <v>4</v>
      </c>
      <c r="K713" s="143">
        <v>2</v>
      </c>
      <c r="L713" s="143">
        <v>1</v>
      </c>
      <c r="M713" s="143">
        <v>2</v>
      </c>
      <c r="N713" s="201">
        <v>2</v>
      </c>
      <c r="O713" s="204"/>
      <c r="P713" s="329"/>
      <c r="Q713" s="84"/>
      <c r="R713" s="209"/>
      <c r="S713" s="83"/>
      <c r="T713" s="81"/>
      <c r="U713" s="78"/>
      <c r="V713" s="69"/>
      <c r="W713" s="69"/>
      <c r="X713" s="69"/>
      <c r="Y713" s="69"/>
      <c r="Z713" s="69"/>
      <c r="AA713" s="69"/>
      <c r="AB713" s="49"/>
    </row>
    <row r="714" spans="1:28" ht="15.6" customHeight="1" x14ac:dyDescent="0.2">
      <c r="A714" s="184">
        <v>2008</v>
      </c>
      <c r="B714" s="185" t="str">
        <f t="shared" si="13"/>
        <v>Ischyrolepis erectus</v>
      </c>
      <c r="C714" s="186" t="s">
        <v>2003</v>
      </c>
      <c r="D714" s="72"/>
      <c r="E714" s="72" t="s">
        <v>2018</v>
      </c>
      <c r="F714" s="72" t="s">
        <v>2024</v>
      </c>
      <c r="G714" s="292" t="s">
        <v>547</v>
      </c>
      <c r="H714" s="77" t="s">
        <v>199</v>
      </c>
      <c r="I714" s="142">
        <v>9</v>
      </c>
      <c r="J714" s="143">
        <v>9</v>
      </c>
      <c r="K714" s="143">
        <v>9</v>
      </c>
      <c r="L714" s="143">
        <v>9</v>
      </c>
      <c r="M714" s="143">
        <v>9</v>
      </c>
      <c r="N714" s="201">
        <v>9</v>
      </c>
      <c r="O714" s="204"/>
      <c r="P714" s="329"/>
      <c r="Q714" s="84"/>
      <c r="R714" s="209"/>
      <c r="S714" s="83"/>
      <c r="T714" s="81"/>
      <c r="U714" s="78"/>
      <c r="V714" s="69"/>
      <c r="W714" s="69"/>
      <c r="X714" s="69"/>
      <c r="Y714" s="69"/>
      <c r="Z714" s="69"/>
      <c r="AA714" s="69"/>
      <c r="AB714" s="49"/>
    </row>
    <row r="715" spans="1:28" ht="15.6" customHeight="1" x14ac:dyDescent="0.2">
      <c r="A715" s="184">
        <v>2009</v>
      </c>
      <c r="B715" s="185" t="str">
        <f t="shared" si="13"/>
        <v>Thamnochortus argenteus</v>
      </c>
      <c r="C715" s="186" t="s">
        <v>2003</v>
      </c>
      <c r="D715" s="72"/>
      <c r="E715" s="72" t="s">
        <v>2023</v>
      </c>
      <c r="F715" s="72" t="s">
        <v>828</v>
      </c>
      <c r="G715" s="292" t="s">
        <v>548</v>
      </c>
      <c r="H715" s="77" t="s">
        <v>199</v>
      </c>
      <c r="I715" s="142">
        <v>9</v>
      </c>
      <c r="J715" s="143">
        <v>9</v>
      </c>
      <c r="K715" s="143">
        <v>9</v>
      </c>
      <c r="L715" s="143">
        <v>9</v>
      </c>
      <c r="M715" s="143">
        <v>9</v>
      </c>
      <c r="N715" s="201">
        <v>9</v>
      </c>
      <c r="O715" s="204"/>
      <c r="P715" s="329"/>
      <c r="Q715" s="84"/>
      <c r="R715" s="209"/>
      <c r="S715" s="83"/>
      <c r="T715" s="81"/>
      <c r="U715" s="78"/>
      <c r="V715" s="69"/>
      <c r="W715" s="69"/>
      <c r="X715" s="69"/>
      <c r="Y715" s="69"/>
      <c r="Z715" s="69"/>
      <c r="AA715" s="69"/>
      <c r="AB715" s="49"/>
    </row>
    <row r="716" spans="1:28" ht="15.6" customHeight="1" x14ac:dyDescent="0.2">
      <c r="A716" s="184">
        <v>2010</v>
      </c>
      <c r="B716" s="185" t="str">
        <f t="shared" si="13"/>
        <v>Cliffortia cordifolia</v>
      </c>
      <c r="C716" s="186" t="s">
        <v>2037</v>
      </c>
      <c r="D716" s="72"/>
      <c r="E716" s="72" t="s">
        <v>2038</v>
      </c>
      <c r="F716" s="72" t="s">
        <v>1719</v>
      </c>
      <c r="G716" s="292" t="s">
        <v>552</v>
      </c>
      <c r="H716" s="77" t="s">
        <v>199</v>
      </c>
      <c r="I716" s="142">
        <v>9</v>
      </c>
      <c r="J716" s="143">
        <v>9</v>
      </c>
      <c r="K716" s="143">
        <v>9</v>
      </c>
      <c r="L716" s="143">
        <v>9</v>
      </c>
      <c r="M716" s="143">
        <v>9</v>
      </c>
      <c r="N716" s="201">
        <v>9</v>
      </c>
      <c r="O716" s="204"/>
      <c r="P716" s="329"/>
      <c r="Q716" s="84"/>
      <c r="R716" s="209"/>
      <c r="S716" s="83"/>
      <c r="T716" s="81"/>
      <c r="U716" s="78"/>
      <c r="V716" s="69"/>
      <c r="W716" s="69"/>
      <c r="X716" s="69"/>
      <c r="Y716" s="69"/>
      <c r="Z716" s="69"/>
      <c r="AA716" s="69"/>
      <c r="AB716" s="49"/>
    </row>
    <row r="717" spans="1:28" ht="15.6" customHeight="1" x14ac:dyDescent="0.2">
      <c r="A717" s="184">
        <v>2011</v>
      </c>
      <c r="B717" s="185" t="str">
        <f t="shared" si="13"/>
        <v>Manulea leiostachys</v>
      </c>
      <c r="C717" s="186" t="s">
        <v>2080</v>
      </c>
      <c r="D717" s="72"/>
      <c r="E717" s="72" t="s">
        <v>2187</v>
      </c>
      <c r="F717" s="72" t="s">
        <v>3019</v>
      </c>
      <c r="G717" s="292" t="s">
        <v>557</v>
      </c>
      <c r="H717" s="77" t="s">
        <v>199</v>
      </c>
      <c r="I717" s="142">
        <v>9</v>
      </c>
      <c r="J717" s="143">
        <v>9</v>
      </c>
      <c r="K717" s="143">
        <v>9</v>
      </c>
      <c r="L717" s="143">
        <v>9</v>
      </c>
      <c r="M717" s="143">
        <v>9</v>
      </c>
      <c r="N717" s="201">
        <v>9</v>
      </c>
      <c r="O717" s="204"/>
      <c r="P717" s="329"/>
      <c r="Q717" s="84"/>
      <c r="R717" s="209"/>
      <c r="S717" s="83"/>
      <c r="T717" s="81"/>
      <c r="U717" s="78"/>
      <c r="V717" s="69"/>
      <c r="W717" s="69"/>
      <c r="X717" s="69"/>
      <c r="Y717" s="69"/>
      <c r="Z717" s="69"/>
      <c r="AA717" s="69"/>
      <c r="AB717" s="49"/>
    </row>
    <row r="718" spans="1:28" ht="15.6" customHeight="1" x14ac:dyDescent="0.2">
      <c r="A718" s="184">
        <v>2012</v>
      </c>
      <c r="B718" s="185" t="str">
        <f t="shared" si="13"/>
        <v>Australina lanceolata</v>
      </c>
      <c r="C718" s="186" t="s">
        <v>2222</v>
      </c>
      <c r="D718" s="72"/>
      <c r="E718" s="72" t="s">
        <v>3020</v>
      </c>
      <c r="F718" s="72" t="s">
        <v>2981</v>
      </c>
      <c r="G718" s="292" t="s">
        <v>541</v>
      </c>
      <c r="H718" s="77" t="s">
        <v>199</v>
      </c>
      <c r="I718" s="142">
        <v>9</v>
      </c>
      <c r="J718" s="143">
        <v>9</v>
      </c>
      <c r="K718" s="143">
        <v>9</v>
      </c>
      <c r="L718" s="143">
        <v>9</v>
      </c>
      <c r="M718" s="143">
        <v>9</v>
      </c>
      <c r="N718" s="201">
        <v>9</v>
      </c>
      <c r="O718" s="204"/>
      <c r="P718" s="329"/>
      <c r="Q718" s="84"/>
      <c r="R718" s="209"/>
      <c r="S718" s="83"/>
      <c r="T718" s="81"/>
      <c r="U718" s="78"/>
      <c r="V718" s="69"/>
      <c r="W718" s="69"/>
      <c r="X718" s="69"/>
      <c r="Y718" s="69"/>
      <c r="Z718" s="69"/>
      <c r="AA718" s="69"/>
      <c r="AB718" s="49"/>
    </row>
    <row r="719" spans="1:28" ht="15.6" customHeight="1" x14ac:dyDescent="0.2">
      <c r="A719" s="184">
        <v>2013</v>
      </c>
      <c r="B719" s="185" t="str">
        <f t="shared" si="13"/>
        <v>Rhoicissus tomentosa</v>
      </c>
      <c r="C719" s="186" t="s">
        <v>2234</v>
      </c>
      <c r="D719" s="72"/>
      <c r="E719" s="72" t="s">
        <v>2235</v>
      </c>
      <c r="F719" s="72" t="s">
        <v>2776</v>
      </c>
      <c r="G719" s="292" t="s">
        <v>545</v>
      </c>
      <c r="H719" s="77" t="s">
        <v>3238</v>
      </c>
      <c r="I719" s="142">
        <v>7</v>
      </c>
      <c r="J719" s="143">
        <v>8</v>
      </c>
      <c r="K719" s="143">
        <v>3</v>
      </c>
      <c r="L719" s="143">
        <v>1</v>
      </c>
      <c r="M719" s="143">
        <v>2</v>
      </c>
      <c r="N719" s="201">
        <v>3</v>
      </c>
      <c r="O719" s="204"/>
      <c r="P719" s="329"/>
      <c r="Q719" s="84"/>
      <c r="R719" s="209"/>
      <c r="S719" s="83"/>
      <c r="T719" s="81"/>
      <c r="U719" s="78"/>
      <c r="V719" s="69"/>
      <c r="W719" s="69"/>
      <c r="X719" s="69"/>
      <c r="Y719" s="69"/>
      <c r="Z719" s="69"/>
      <c r="AA719" s="69"/>
      <c r="AB719" s="49"/>
    </row>
    <row r="720" spans="1:28" ht="15.6" customHeight="1" x14ac:dyDescent="0.2">
      <c r="A720" s="70">
        <v>3001</v>
      </c>
      <c r="B720" s="187" t="str">
        <f t="shared" si="13"/>
        <v>Carpobrotus sp.</v>
      </c>
      <c r="C720" s="188" t="s">
        <v>2729</v>
      </c>
      <c r="D720" s="72"/>
      <c r="E720" s="72" t="s">
        <v>2732</v>
      </c>
      <c r="F720" s="72" t="s">
        <v>2970</v>
      </c>
      <c r="G720" s="76" t="s">
        <v>562</v>
      </c>
      <c r="H720" s="77" t="s">
        <v>1289</v>
      </c>
      <c r="I720" s="142">
        <v>3</v>
      </c>
      <c r="J720" s="143">
        <v>6</v>
      </c>
      <c r="K720" s="143">
        <v>3</v>
      </c>
      <c r="L720" s="143">
        <v>2</v>
      </c>
      <c r="M720" s="143">
        <v>3</v>
      </c>
      <c r="N720" s="201">
        <v>3</v>
      </c>
      <c r="O720" s="204"/>
      <c r="P720" s="329"/>
      <c r="Q720" s="84"/>
      <c r="R720" s="209"/>
      <c r="S720" s="83"/>
      <c r="T720" s="81"/>
      <c r="U720" s="78"/>
      <c r="V720" s="69"/>
      <c r="W720" s="69"/>
      <c r="X720" s="69"/>
      <c r="Y720" s="69"/>
      <c r="Z720" s="69"/>
      <c r="AA720" s="69"/>
      <c r="AB720" s="49"/>
    </row>
    <row r="721" spans="1:28" ht="15.6" customHeight="1" x14ac:dyDescent="0.2">
      <c r="A721" s="70">
        <v>3002</v>
      </c>
      <c r="B721" s="187" t="str">
        <f t="shared" si="13"/>
        <v>Rhus sp.</v>
      </c>
      <c r="C721" s="188" t="s">
        <v>2768</v>
      </c>
      <c r="D721" s="72"/>
      <c r="E721" s="72" t="s">
        <v>2769</v>
      </c>
      <c r="F721" s="72" t="s">
        <v>2970</v>
      </c>
      <c r="G721" s="76" t="s">
        <v>2810</v>
      </c>
      <c r="H721" s="77" t="s">
        <v>3227</v>
      </c>
      <c r="I721" s="142">
        <v>2</v>
      </c>
      <c r="J721" s="143">
        <v>3</v>
      </c>
      <c r="K721" s="143">
        <v>2</v>
      </c>
      <c r="L721" s="143">
        <v>1</v>
      </c>
      <c r="M721" s="143">
        <v>2</v>
      </c>
      <c r="N721" s="201">
        <v>3</v>
      </c>
      <c r="O721" s="204"/>
      <c r="P721" s="329"/>
      <c r="Q721" s="84"/>
      <c r="R721" s="209"/>
      <c r="S721" s="83"/>
      <c r="T721" s="81"/>
      <c r="U721" s="78"/>
      <c r="V721" s="69"/>
      <c r="W721" s="69"/>
      <c r="X721" s="69"/>
      <c r="Y721" s="69"/>
      <c r="Z721" s="69"/>
      <c r="AA721" s="69"/>
      <c r="AB721" s="49"/>
    </row>
    <row r="722" spans="1:28" ht="15.6" customHeight="1" x14ac:dyDescent="0.2">
      <c r="A722" s="70">
        <v>3003</v>
      </c>
      <c r="B722" s="187" t="str">
        <f>E722&amp;" "&amp;F722</f>
        <v>Lobelia sp.</v>
      </c>
      <c r="C722" s="188" t="s">
        <v>844</v>
      </c>
      <c r="D722" s="72"/>
      <c r="E722" s="72" t="s">
        <v>845</v>
      </c>
      <c r="F722" s="72" t="s">
        <v>2970</v>
      </c>
      <c r="G722" s="76" t="s">
        <v>558</v>
      </c>
      <c r="H722" s="77" t="s">
        <v>3260</v>
      </c>
      <c r="I722" s="142">
        <v>2</v>
      </c>
      <c r="J722" s="143">
        <v>6</v>
      </c>
      <c r="K722" s="143">
        <v>4</v>
      </c>
      <c r="L722" s="143">
        <v>2</v>
      </c>
      <c r="M722" s="143">
        <v>1</v>
      </c>
      <c r="N722" s="201">
        <v>3</v>
      </c>
      <c r="O722" s="204"/>
      <c r="P722" s="329"/>
      <c r="Q722" s="84"/>
      <c r="R722" s="209"/>
      <c r="S722" s="83"/>
      <c r="T722" s="81"/>
      <c r="U722" s="78"/>
      <c r="V722" s="69"/>
      <c r="W722" s="69"/>
      <c r="X722" s="69"/>
      <c r="Y722" s="69"/>
      <c r="Z722" s="69"/>
      <c r="AA722" s="69"/>
      <c r="AB722" s="49"/>
    </row>
    <row r="723" spans="1:28" ht="15.6" customHeight="1" x14ac:dyDescent="0.2">
      <c r="A723" s="70">
        <v>3004</v>
      </c>
      <c r="B723" s="187" t="str">
        <f t="shared" si="13"/>
        <v>Crassula sp.</v>
      </c>
      <c r="C723" s="188" t="s">
        <v>975</v>
      </c>
      <c r="D723" s="72"/>
      <c r="E723" s="72" t="s">
        <v>978</v>
      </c>
      <c r="F723" s="72" t="s">
        <v>2970</v>
      </c>
      <c r="G723" s="76" t="s">
        <v>546</v>
      </c>
      <c r="H723" s="77" t="s">
        <v>199</v>
      </c>
      <c r="I723" s="142">
        <v>9</v>
      </c>
      <c r="J723" s="143">
        <v>9</v>
      </c>
      <c r="K723" s="143">
        <v>9</v>
      </c>
      <c r="L723" s="143">
        <v>9</v>
      </c>
      <c r="M723" s="143">
        <v>9</v>
      </c>
      <c r="N723" s="201">
        <v>9</v>
      </c>
      <c r="O723" s="204"/>
      <c r="P723" s="329"/>
      <c r="Q723" s="84"/>
      <c r="R723" s="209"/>
      <c r="S723" s="83"/>
      <c r="T723" s="81"/>
      <c r="U723" s="78"/>
      <c r="V723" s="69"/>
      <c r="W723" s="69"/>
      <c r="X723" s="69"/>
      <c r="Y723" s="69"/>
      <c r="Z723" s="69"/>
      <c r="AA723" s="69"/>
      <c r="AB723" s="49"/>
    </row>
    <row r="724" spans="1:28" ht="15.6" customHeight="1" x14ac:dyDescent="0.2">
      <c r="A724" s="70">
        <v>3005</v>
      </c>
      <c r="B724" s="187" t="str">
        <f t="shared" si="13"/>
        <v>Ficinia sp.</v>
      </c>
      <c r="C724" s="188" t="s">
        <v>992</v>
      </c>
      <c r="D724" s="72"/>
      <c r="E724" s="72" t="s">
        <v>993</v>
      </c>
      <c r="F724" s="72" t="s">
        <v>2970</v>
      </c>
      <c r="G724" s="76" t="s">
        <v>549</v>
      </c>
      <c r="H724" s="77" t="s">
        <v>3284</v>
      </c>
      <c r="I724" s="142">
        <v>5</v>
      </c>
      <c r="J724" s="143">
        <v>6</v>
      </c>
      <c r="K724" s="143">
        <v>5</v>
      </c>
      <c r="L724" s="143">
        <v>3</v>
      </c>
      <c r="M724" s="143">
        <v>1</v>
      </c>
      <c r="N724" s="201">
        <v>1</v>
      </c>
      <c r="O724" s="204"/>
      <c r="P724" s="329"/>
      <c r="Q724" s="84"/>
      <c r="R724" s="209"/>
      <c r="S724" s="83"/>
      <c r="T724" s="81"/>
      <c r="U724" s="78"/>
      <c r="V724" s="69"/>
      <c r="W724" s="69"/>
      <c r="X724" s="69"/>
      <c r="Y724" s="69"/>
      <c r="Z724" s="69"/>
      <c r="AA724" s="69"/>
      <c r="AB724" s="49"/>
    </row>
    <row r="725" spans="1:28" ht="15.6" customHeight="1" x14ac:dyDescent="0.2">
      <c r="A725" s="70">
        <v>3006</v>
      </c>
      <c r="B725" s="187" t="str">
        <f t="shared" si="13"/>
        <v>Scabiosa sp.</v>
      </c>
      <c r="C725" s="188" t="s">
        <v>1019</v>
      </c>
      <c r="D725" s="72"/>
      <c r="E725" s="72" t="s">
        <v>1020</v>
      </c>
      <c r="F725" s="72" t="s">
        <v>2970</v>
      </c>
      <c r="G725" s="76" t="s">
        <v>560</v>
      </c>
      <c r="H725" s="77" t="s">
        <v>3269</v>
      </c>
      <c r="I725" s="142">
        <v>3</v>
      </c>
      <c r="J725" s="143">
        <v>5</v>
      </c>
      <c r="K725" s="143">
        <v>4</v>
      </c>
      <c r="L725" s="143">
        <v>4</v>
      </c>
      <c r="M725" s="143">
        <v>1</v>
      </c>
      <c r="N725" s="201">
        <v>3</v>
      </c>
      <c r="O725" s="204"/>
      <c r="P725" s="329"/>
      <c r="Q725" s="84"/>
      <c r="R725" s="209"/>
      <c r="S725" s="83"/>
      <c r="T725" s="81"/>
      <c r="U725" s="78"/>
      <c r="V725" s="69"/>
      <c r="W725" s="69"/>
      <c r="X725" s="69"/>
      <c r="Y725" s="69"/>
      <c r="Z725" s="69"/>
      <c r="AA725" s="69"/>
      <c r="AB725" s="49"/>
    </row>
    <row r="726" spans="1:28" ht="15.6" customHeight="1" x14ac:dyDescent="0.2">
      <c r="A726" s="70">
        <v>3007</v>
      </c>
      <c r="B726" s="187" t="str">
        <f t="shared" si="13"/>
        <v>Euclea racemosa f. (shrub)</v>
      </c>
      <c r="C726" s="188" t="s">
        <v>1027</v>
      </c>
      <c r="D726" s="72"/>
      <c r="E726" s="72" t="s">
        <v>1030</v>
      </c>
      <c r="F726" s="72" t="s">
        <v>3021</v>
      </c>
      <c r="G726" s="76" t="s">
        <v>3194</v>
      </c>
      <c r="H726" s="77" t="s">
        <v>3258</v>
      </c>
      <c r="I726" s="142">
        <v>2</v>
      </c>
      <c r="J726" s="143">
        <v>4</v>
      </c>
      <c r="K726" s="143">
        <v>2</v>
      </c>
      <c r="L726" s="143">
        <v>1</v>
      </c>
      <c r="M726" s="143">
        <v>2</v>
      </c>
      <c r="N726" s="201">
        <v>3</v>
      </c>
      <c r="O726" s="204"/>
      <c r="P726" s="329"/>
      <c r="Q726" s="84"/>
      <c r="R726" s="209"/>
      <c r="S726" s="83"/>
      <c r="T726" s="81"/>
      <c r="U726" s="78"/>
      <c r="V726" s="69"/>
      <c r="W726" s="69"/>
      <c r="X726" s="69"/>
      <c r="Y726" s="69"/>
      <c r="Z726" s="69"/>
      <c r="AA726" s="69"/>
      <c r="AB726" s="49"/>
    </row>
    <row r="727" spans="1:28" ht="15.6" customHeight="1" x14ac:dyDescent="0.2">
      <c r="A727" s="70">
        <v>3008</v>
      </c>
      <c r="B727" s="187" t="str">
        <f t="shared" si="13"/>
        <v>Euclea racemosa f. (tree)</v>
      </c>
      <c r="C727" s="188" t="s">
        <v>1027</v>
      </c>
      <c r="D727" s="72"/>
      <c r="E727" s="72" t="s">
        <v>1030</v>
      </c>
      <c r="F727" s="72" t="s">
        <v>3022</v>
      </c>
      <c r="G727" s="76" t="s">
        <v>3194</v>
      </c>
      <c r="H727" s="77" t="s">
        <v>3280</v>
      </c>
      <c r="I727" s="142">
        <v>1</v>
      </c>
      <c r="J727" s="143">
        <v>2</v>
      </c>
      <c r="K727" s="143">
        <v>2</v>
      </c>
      <c r="L727" s="143">
        <v>1</v>
      </c>
      <c r="M727" s="143">
        <v>2</v>
      </c>
      <c r="N727" s="201">
        <v>3</v>
      </c>
      <c r="O727" s="204"/>
      <c r="P727" s="329"/>
      <c r="Q727" s="84"/>
      <c r="R727" s="209"/>
      <c r="S727" s="83"/>
      <c r="T727" s="81"/>
      <c r="U727" s="78"/>
      <c r="V727" s="69"/>
      <c r="W727" s="69"/>
      <c r="X727" s="69"/>
      <c r="Y727" s="69"/>
      <c r="Z727" s="69"/>
      <c r="AA727" s="69"/>
      <c r="AB727" s="49"/>
    </row>
    <row r="728" spans="1:28" ht="15.6" customHeight="1" x14ac:dyDescent="0.2">
      <c r="A728" s="70">
        <v>3009</v>
      </c>
      <c r="B728" s="187" t="str">
        <f t="shared" si="13"/>
        <v>Erica sp.</v>
      </c>
      <c r="C728" s="188" t="s">
        <v>1032</v>
      </c>
      <c r="D728" s="72"/>
      <c r="E728" s="72" t="s">
        <v>1033</v>
      </c>
      <c r="F728" s="72" t="s">
        <v>2970</v>
      </c>
      <c r="G728" s="76" t="s">
        <v>1870</v>
      </c>
      <c r="H728" s="77" t="s">
        <v>3248</v>
      </c>
      <c r="I728" s="142">
        <v>2</v>
      </c>
      <c r="J728" s="143">
        <v>5</v>
      </c>
      <c r="K728" s="143">
        <v>2</v>
      </c>
      <c r="L728" s="143">
        <v>3</v>
      </c>
      <c r="M728" s="143">
        <v>2</v>
      </c>
      <c r="N728" s="201">
        <v>5</v>
      </c>
      <c r="O728" s="204"/>
      <c r="P728" s="329"/>
      <c r="Q728" s="84"/>
      <c r="R728" s="209"/>
      <c r="S728" s="83"/>
      <c r="T728" s="81"/>
      <c r="U728" s="78"/>
      <c r="V728" s="69"/>
      <c r="W728" s="69"/>
      <c r="X728" s="69"/>
      <c r="Y728" s="69"/>
      <c r="Z728" s="69"/>
      <c r="AA728" s="69"/>
      <c r="AB728" s="49"/>
    </row>
    <row r="729" spans="1:28" ht="15.6" customHeight="1" x14ac:dyDescent="0.2">
      <c r="A729" s="70">
        <v>3010</v>
      </c>
      <c r="B729" s="187" t="str">
        <f t="shared" si="13"/>
        <v>Aspalathus sp.</v>
      </c>
      <c r="C729" s="188" t="s">
        <v>1061</v>
      </c>
      <c r="D729" s="72"/>
      <c r="E729" s="72" t="s">
        <v>1063</v>
      </c>
      <c r="F729" s="72" t="s">
        <v>2970</v>
      </c>
      <c r="G729" s="76" t="s">
        <v>539</v>
      </c>
      <c r="H729" s="77" t="s">
        <v>3215</v>
      </c>
      <c r="I729" s="142">
        <v>2</v>
      </c>
      <c r="J729" s="143">
        <v>6</v>
      </c>
      <c r="K729" s="143">
        <v>2</v>
      </c>
      <c r="L729" s="143">
        <v>3</v>
      </c>
      <c r="M729" s="143">
        <v>2</v>
      </c>
      <c r="N729" s="201">
        <v>5</v>
      </c>
      <c r="O729" s="204"/>
      <c r="P729" s="329"/>
      <c r="Q729" s="84"/>
      <c r="R729" s="209"/>
      <c r="S729" s="83"/>
      <c r="T729" s="81"/>
      <c r="U729" s="78"/>
      <c r="V729" s="69"/>
      <c r="W729" s="69"/>
      <c r="X729" s="69"/>
      <c r="Y729" s="69"/>
      <c r="Z729" s="69"/>
      <c r="AA729" s="69"/>
      <c r="AB729" s="49"/>
    </row>
    <row r="730" spans="1:28" ht="15.6" customHeight="1" x14ac:dyDescent="0.2">
      <c r="A730" s="70">
        <v>3011</v>
      </c>
      <c r="B730" s="187" t="str">
        <f t="shared" si="13"/>
        <v>Wachendorfia sp.</v>
      </c>
      <c r="C730" s="188" t="s">
        <v>1581</v>
      </c>
      <c r="D730" s="72"/>
      <c r="E730" s="72" t="s">
        <v>1582</v>
      </c>
      <c r="F730" s="72" t="s">
        <v>2970</v>
      </c>
      <c r="G730" s="76" t="s">
        <v>556</v>
      </c>
      <c r="H730" s="77" t="s">
        <v>1287</v>
      </c>
      <c r="I730" s="142">
        <v>4</v>
      </c>
      <c r="J730" s="143">
        <v>6</v>
      </c>
      <c r="K730" s="143">
        <v>5</v>
      </c>
      <c r="L730" s="143">
        <v>2</v>
      </c>
      <c r="M730" s="143">
        <v>1</v>
      </c>
      <c r="N730" s="201">
        <v>1</v>
      </c>
      <c r="O730" s="204"/>
      <c r="P730" s="329"/>
      <c r="Q730" s="84"/>
      <c r="R730" s="209"/>
      <c r="S730" s="83"/>
      <c r="T730" s="81"/>
      <c r="U730" s="78"/>
      <c r="V730" s="69"/>
      <c r="W730" s="69"/>
      <c r="X730" s="69"/>
      <c r="Y730" s="69"/>
      <c r="Z730" s="69"/>
      <c r="AA730" s="69"/>
      <c r="AB730" s="49"/>
    </row>
    <row r="731" spans="1:28" ht="15.6" customHeight="1" x14ac:dyDescent="0.2">
      <c r="A731" s="70">
        <v>3012</v>
      </c>
      <c r="B731" s="187" t="str">
        <f t="shared" si="13"/>
        <v>Acrolophia sp.</v>
      </c>
      <c r="C731" s="188" t="s">
        <v>1772</v>
      </c>
      <c r="D731" s="72"/>
      <c r="E731" s="72" t="s">
        <v>1773</v>
      </c>
      <c r="F731" s="72" t="s">
        <v>2970</v>
      </c>
      <c r="G731" s="76" t="s">
        <v>544</v>
      </c>
      <c r="H731" s="77" t="s">
        <v>1873</v>
      </c>
      <c r="I731" s="142">
        <v>4</v>
      </c>
      <c r="J731" s="143">
        <v>5</v>
      </c>
      <c r="K731" s="143">
        <v>4</v>
      </c>
      <c r="L731" s="143">
        <v>9</v>
      </c>
      <c r="M731" s="143">
        <v>9</v>
      </c>
      <c r="N731" s="201">
        <v>9</v>
      </c>
      <c r="O731" s="204"/>
      <c r="P731" s="329"/>
      <c r="Q731" s="84"/>
      <c r="R731" s="209"/>
      <c r="S731" s="83"/>
      <c r="T731" s="81"/>
      <c r="U731" s="78"/>
      <c r="V731" s="69"/>
      <c r="W731" s="69"/>
      <c r="X731" s="69"/>
      <c r="Y731" s="69"/>
      <c r="Z731" s="69"/>
      <c r="AA731" s="69"/>
      <c r="AB731" s="49"/>
    </row>
    <row r="732" spans="1:28" ht="15.6" customHeight="1" x14ac:dyDescent="0.2">
      <c r="A732" s="70">
        <v>3013</v>
      </c>
      <c r="B732" s="187" t="str">
        <f t="shared" si="13"/>
        <v>Oxalis sp.</v>
      </c>
      <c r="C732" s="188" t="s">
        <v>1819</v>
      </c>
      <c r="D732" s="72"/>
      <c r="E732" s="72" t="s">
        <v>1820</v>
      </c>
      <c r="F732" s="72" t="s">
        <v>2970</v>
      </c>
      <c r="G732" s="76" t="s">
        <v>553</v>
      </c>
      <c r="H732" s="77" t="s">
        <v>3308</v>
      </c>
      <c r="I732" s="142">
        <v>4</v>
      </c>
      <c r="J732" s="143">
        <v>6</v>
      </c>
      <c r="K732" s="143">
        <v>5</v>
      </c>
      <c r="L732" s="143">
        <v>4</v>
      </c>
      <c r="M732" s="143">
        <v>1</v>
      </c>
      <c r="N732" s="201">
        <v>4</v>
      </c>
      <c r="O732" s="204"/>
      <c r="P732" s="329"/>
      <c r="Q732" s="84"/>
      <c r="R732" s="209"/>
      <c r="S732" s="83"/>
      <c r="T732" s="81"/>
      <c r="U732" s="78"/>
      <c r="V732" s="69"/>
      <c r="W732" s="69"/>
      <c r="X732" s="69"/>
      <c r="Y732" s="69"/>
      <c r="Z732" s="69"/>
      <c r="AA732" s="69"/>
      <c r="AB732" s="49"/>
    </row>
    <row r="733" spans="1:28" ht="15.6" customHeight="1" x14ac:dyDescent="0.2">
      <c r="A733" s="70">
        <v>3014</v>
      </c>
      <c r="B733" s="187" t="str">
        <f t="shared" si="13"/>
        <v>Ehrharta sp.</v>
      </c>
      <c r="C733" s="188" t="s">
        <v>2595</v>
      </c>
      <c r="D733" s="72"/>
      <c r="E733" s="72" t="s">
        <v>1840</v>
      </c>
      <c r="F733" s="72" t="s">
        <v>2970</v>
      </c>
      <c r="G733" s="76" t="s">
        <v>555</v>
      </c>
      <c r="H733" s="77" t="s">
        <v>3285</v>
      </c>
      <c r="I733" s="142">
        <v>5</v>
      </c>
      <c r="J733" s="143">
        <v>5</v>
      </c>
      <c r="K733" s="143">
        <v>4</v>
      </c>
      <c r="L733" s="143">
        <v>3</v>
      </c>
      <c r="M733" s="143">
        <v>1</v>
      </c>
      <c r="N733" s="201">
        <v>1</v>
      </c>
      <c r="O733" s="204"/>
      <c r="P733" s="329"/>
      <c r="Q733" s="84"/>
      <c r="R733" s="209"/>
      <c r="S733" s="83"/>
      <c r="T733" s="81"/>
      <c r="U733" s="78"/>
      <c r="V733" s="69"/>
      <c r="W733" s="69"/>
      <c r="X733" s="69"/>
      <c r="Y733" s="69"/>
      <c r="Z733" s="69"/>
      <c r="AA733" s="69"/>
      <c r="AB733" s="49"/>
    </row>
    <row r="734" spans="1:28" ht="15.6" customHeight="1" x14ac:dyDescent="0.2">
      <c r="A734" s="70">
        <v>3015</v>
      </c>
      <c r="B734" s="187" t="str">
        <f t="shared" si="13"/>
        <v>Pentaschistis sp.</v>
      </c>
      <c r="C734" s="188" t="s">
        <v>2595</v>
      </c>
      <c r="D734" s="72"/>
      <c r="E734" s="72" t="s">
        <v>1849</v>
      </c>
      <c r="F734" s="72" t="s">
        <v>2970</v>
      </c>
      <c r="G734" s="76" t="s">
        <v>543</v>
      </c>
      <c r="H734" s="77" t="s">
        <v>3284</v>
      </c>
      <c r="I734" s="142">
        <v>5</v>
      </c>
      <c r="J734" s="143">
        <v>6</v>
      </c>
      <c r="K734" s="143">
        <v>4</v>
      </c>
      <c r="L734" s="143">
        <v>3</v>
      </c>
      <c r="M734" s="143">
        <v>1</v>
      </c>
      <c r="N734" s="201">
        <v>1</v>
      </c>
      <c r="O734" s="204"/>
      <c r="P734" s="329"/>
      <c r="Q734" s="84"/>
      <c r="R734" s="209"/>
      <c r="S734" s="83"/>
      <c r="T734" s="81"/>
      <c r="U734" s="78"/>
      <c r="V734" s="69"/>
      <c r="W734" s="69"/>
      <c r="X734" s="69"/>
      <c r="Y734" s="69"/>
      <c r="Z734" s="69"/>
      <c r="AA734" s="69"/>
      <c r="AB734" s="49"/>
    </row>
    <row r="735" spans="1:28" ht="15.6" customHeight="1" x14ac:dyDescent="0.2">
      <c r="A735" s="70">
        <v>3016</v>
      </c>
      <c r="B735" s="187" t="str">
        <f t="shared" si="13"/>
        <v>Ranunculus sp.</v>
      </c>
      <c r="C735" s="188" t="s">
        <v>1999</v>
      </c>
      <c r="D735" s="72"/>
      <c r="E735" s="72" t="s">
        <v>3008</v>
      </c>
      <c r="F735" s="72" t="s">
        <v>2970</v>
      </c>
      <c r="G735" s="76" t="s">
        <v>559</v>
      </c>
      <c r="H735" s="77" t="s">
        <v>3261</v>
      </c>
      <c r="I735" s="142">
        <v>6</v>
      </c>
      <c r="J735" s="143">
        <v>6</v>
      </c>
      <c r="K735" s="143">
        <v>4</v>
      </c>
      <c r="L735" s="143">
        <v>3</v>
      </c>
      <c r="M735" s="143">
        <v>1</v>
      </c>
      <c r="N735" s="201">
        <v>4</v>
      </c>
      <c r="O735" s="204"/>
      <c r="P735" s="329"/>
      <c r="Q735" s="84"/>
      <c r="R735" s="209"/>
      <c r="S735" s="83"/>
      <c r="T735" s="81"/>
      <c r="U735" s="78"/>
      <c r="V735" s="69"/>
      <c r="W735" s="69"/>
      <c r="X735" s="69"/>
      <c r="Y735" s="69"/>
      <c r="Z735" s="69"/>
      <c r="AA735" s="69"/>
      <c r="AB735" s="49"/>
    </row>
    <row r="736" spans="1:28" ht="15.6" customHeight="1" x14ac:dyDescent="0.2">
      <c r="A736" s="70">
        <v>3017</v>
      </c>
      <c r="B736" s="187" t="str">
        <f t="shared" si="13"/>
        <v>Nemesia sp.</v>
      </c>
      <c r="C736" s="188" t="s">
        <v>2080</v>
      </c>
      <c r="D736" s="72"/>
      <c r="E736" s="72" t="s">
        <v>2191</v>
      </c>
      <c r="F736" s="72" t="s">
        <v>2970</v>
      </c>
      <c r="G736" s="76" t="s">
        <v>568</v>
      </c>
      <c r="H736" s="77" t="s">
        <v>3256</v>
      </c>
      <c r="I736" s="142">
        <v>6</v>
      </c>
      <c r="J736" s="143">
        <v>6</v>
      </c>
      <c r="K736" s="143">
        <v>4</v>
      </c>
      <c r="L736" s="143">
        <v>2</v>
      </c>
      <c r="M736" s="143">
        <v>1</v>
      </c>
      <c r="N736" s="201">
        <v>4</v>
      </c>
      <c r="O736" s="204"/>
      <c r="P736" s="329"/>
      <c r="Q736" s="84"/>
      <c r="R736" s="209"/>
      <c r="S736" s="83"/>
      <c r="T736" s="81"/>
      <c r="U736" s="78"/>
      <c r="V736" s="69"/>
      <c r="W736" s="69"/>
      <c r="X736" s="69"/>
      <c r="Y736" s="69"/>
      <c r="Z736" s="69"/>
      <c r="AA736" s="69"/>
      <c r="AB736" s="49"/>
    </row>
    <row r="737" spans="1:28" ht="15.6" customHeight="1" x14ac:dyDescent="0.2">
      <c r="A737" s="189">
        <v>4001</v>
      </c>
      <c r="B737" s="190" t="str">
        <f t="shared" si="13"/>
        <v>Gunnera perpensa</v>
      </c>
      <c r="C737" s="191" t="s">
        <v>3023</v>
      </c>
      <c r="D737" s="72"/>
      <c r="E737" s="72" t="s">
        <v>3024</v>
      </c>
      <c r="F737" s="72" t="s">
        <v>3025</v>
      </c>
      <c r="G737" s="293" t="s">
        <v>561</v>
      </c>
      <c r="H737" s="77" t="s">
        <v>3324</v>
      </c>
      <c r="I737" s="142">
        <v>3</v>
      </c>
      <c r="J737" s="143">
        <v>4</v>
      </c>
      <c r="K737" s="143">
        <v>1</v>
      </c>
      <c r="L737" s="143">
        <v>1</v>
      </c>
      <c r="M737" s="143">
        <v>1</v>
      </c>
      <c r="N737" s="201">
        <v>1</v>
      </c>
      <c r="O737" s="204"/>
      <c r="P737" s="329"/>
      <c r="Q737" s="84"/>
      <c r="R737" s="209"/>
      <c r="S737" s="83"/>
      <c r="T737" s="81"/>
      <c r="U737" s="78"/>
      <c r="V737" s="69"/>
      <c r="W737" s="69"/>
      <c r="X737" s="69"/>
      <c r="Y737" s="69"/>
      <c r="Z737" s="69"/>
      <c r="AA737" s="69"/>
      <c r="AB737" s="49"/>
    </row>
    <row r="738" spans="1:28" ht="15.6" customHeight="1" x14ac:dyDescent="0.2">
      <c r="A738" s="189">
        <v>4002</v>
      </c>
      <c r="B738" s="190" t="str">
        <f t="shared" si="13"/>
        <v>Sutera sp. nov.</v>
      </c>
      <c r="C738" s="191" t="s">
        <v>2080</v>
      </c>
      <c r="D738" s="72"/>
      <c r="E738" s="72" t="s">
        <v>2198</v>
      </c>
      <c r="F738" s="72" t="s">
        <v>3026</v>
      </c>
      <c r="G738" s="293" t="s">
        <v>564</v>
      </c>
      <c r="H738" s="77" t="s">
        <v>3260</v>
      </c>
      <c r="I738" s="142">
        <v>2</v>
      </c>
      <c r="J738" s="143">
        <v>6</v>
      </c>
      <c r="K738" s="143">
        <v>3</v>
      </c>
      <c r="L738" s="143">
        <v>1</v>
      </c>
      <c r="M738" s="143">
        <v>1</v>
      </c>
      <c r="N738" s="201">
        <v>3</v>
      </c>
      <c r="O738" s="204"/>
      <c r="P738" s="329"/>
      <c r="Q738" s="84"/>
      <c r="R738" s="209"/>
      <c r="S738" s="83"/>
      <c r="T738" s="81"/>
      <c r="U738" s="78"/>
      <c r="V738" s="69"/>
      <c r="W738" s="69"/>
      <c r="X738" s="69"/>
      <c r="Y738" s="69"/>
      <c r="Z738" s="69"/>
      <c r="AA738" s="69"/>
      <c r="AB738" s="49"/>
    </row>
  </sheetData>
  <mergeCells count="8">
    <mergeCell ref="A1:A2"/>
    <mergeCell ref="B1:C1"/>
    <mergeCell ref="I1:N1"/>
    <mergeCell ref="U1:AB1"/>
    <mergeCell ref="G1:H1"/>
    <mergeCell ref="Q1:Q2"/>
    <mergeCell ref="R1:T1"/>
    <mergeCell ref="O1:P2"/>
  </mergeCells>
  <phoneticPr fontId="0" type="noConversion"/>
  <pageMargins left="0.75" right="0.75" top="1" bottom="1" header="0.4921259845" footer="0.4921259845"/>
  <pageSetup paperSize="9" orientation="portrait" horizontalDpi="200" verticalDpi="2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4D90-D551-4BBB-92FF-361682A106A3}">
  <sheetPr codeName="Tabelle5"/>
  <dimension ref="A1:AP200"/>
  <sheetViews>
    <sheetView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N46" sqref="N46"/>
    </sheetView>
  </sheetViews>
  <sheetFormatPr defaultColWidth="11.42578125" defaultRowHeight="12.75" x14ac:dyDescent="0.2"/>
  <cols>
    <col min="1" max="1" width="5.42578125" style="146" customWidth="1"/>
    <col min="2" max="2" width="5.28515625" style="257" customWidth="1"/>
    <col min="3" max="3" width="27.7109375" style="258" customWidth="1"/>
    <col min="4" max="4" width="11.85546875" style="248" customWidth="1"/>
    <col min="5" max="5" width="11.85546875" style="247" customWidth="1"/>
    <col min="6" max="6" width="4.7109375" style="131" customWidth="1"/>
    <col min="7" max="10" width="3.28515625" style="131" customWidth="1"/>
    <col min="11" max="11" width="10.28515625" style="132" customWidth="1"/>
    <col min="12" max="12" width="10.28515625" style="131" customWidth="1"/>
    <col min="13" max="14" width="11.85546875" style="130" customWidth="1"/>
    <col min="15" max="16" width="6" style="136" customWidth="1"/>
    <col min="17" max="17" width="9" style="257" customWidth="1"/>
    <col min="18" max="19" width="6" style="136" customWidth="1"/>
    <col min="20" max="20" width="9" style="257" customWidth="1"/>
    <col min="21" max="23" width="6" style="137" customWidth="1"/>
    <col min="24" max="27" width="9" style="246" customWidth="1"/>
    <col min="28" max="29" width="9.140625" style="137" customWidth="1"/>
    <col min="30" max="30" width="11.42578125" style="246"/>
    <col min="31" max="31" width="8.28515625" style="153" customWidth="1"/>
    <col min="32" max="33" width="12.7109375" style="246" customWidth="1"/>
    <col min="34" max="34" width="7.140625" style="246" customWidth="1"/>
    <col min="35" max="35" width="5" style="247" customWidth="1"/>
    <col min="36" max="39" width="5" style="248" customWidth="1"/>
    <col min="40" max="41" width="5" style="249" customWidth="1"/>
    <col min="42" max="42" width="8" style="146" customWidth="1"/>
    <col min="43" max="16384" width="11.42578125" style="134"/>
  </cols>
  <sheetData>
    <row r="1" spans="1:42" s="9" customFormat="1" ht="15.95" customHeight="1" x14ac:dyDescent="0.2">
      <c r="A1" s="482" t="s">
        <v>2674</v>
      </c>
      <c r="B1" s="498" t="s">
        <v>1573</v>
      </c>
      <c r="C1" s="494" t="s">
        <v>889</v>
      </c>
      <c r="D1" s="496" t="s">
        <v>1886</v>
      </c>
      <c r="E1" s="497"/>
      <c r="F1" s="491" t="s">
        <v>2614</v>
      </c>
      <c r="G1" s="492"/>
      <c r="H1" s="492"/>
      <c r="I1" s="492"/>
      <c r="J1" s="493"/>
      <c r="K1" s="502" t="s">
        <v>2675</v>
      </c>
      <c r="L1" s="503"/>
      <c r="M1" s="487" t="s">
        <v>2676</v>
      </c>
      <c r="N1" s="490"/>
      <c r="O1" s="484" t="s">
        <v>2677</v>
      </c>
      <c r="P1" s="485"/>
      <c r="Q1" s="486"/>
      <c r="R1" s="484" t="s">
        <v>2678</v>
      </c>
      <c r="S1" s="485"/>
      <c r="T1" s="486"/>
      <c r="U1" s="487" t="s">
        <v>2679</v>
      </c>
      <c r="V1" s="488"/>
      <c r="W1" s="489"/>
      <c r="X1" s="490"/>
      <c r="Y1" s="504" t="s">
        <v>3161</v>
      </c>
      <c r="Z1" s="505"/>
      <c r="AA1" s="506"/>
      <c r="AB1" s="504" t="s">
        <v>3420</v>
      </c>
      <c r="AC1" s="505"/>
      <c r="AD1" s="506"/>
      <c r="AE1" s="507" t="s">
        <v>2681</v>
      </c>
      <c r="AF1" s="508"/>
      <c r="AG1" s="508"/>
      <c r="AH1" s="509"/>
      <c r="AI1" s="500" t="s">
        <v>2682</v>
      </c>
      <c r="AJ1" s="501"/>
      <c r="AK1" s="501"/>
      <c r="AL1" s="501"/>
      <c r="AM1" s="501"/>
      <c r="AN1" s="501"/>
      <c r="AO1" s="501"/>
      <c r="AP1" s="482" t="s">
        <v>1899</v>
      </c>
    </row>
    <row r="2" spans="1:42" s="9" customFormat="1" ht="15.95" customHeight="1" x14ac:dyDescent="0.2">
      <c r="A2" s="483"/>
      <c r="B2" s="499"/>
      <c r="C2" s="495"/>
      <c r="D2" s="262" t="s">
        <v>742</v>
      </c>
      <c r="E2" s="263" t="s">
        <v>2724</v>
      </c>
      <c r="F2" s="216" t="s">
        <v>2683</v>
      </c>
      <c r="G2" s="216" t="s">
        <v>2684</v>
      </c>
      <c r="H2" s="217" t="s">
        <v>2685</v>
      </c>
      <c r="I2" s="217" t="s">
        <v>2686</v>
      </c>
      <c r="J2" s="218" t="s">
        <v>2687</v>
      </c>
      <c r="K2" s="219" t="s">
        <v>2688</v>
      </c>
      <c r="L2" s="220" t="s">
        <v>2689</v>
      </c>
      <c r="M2" s="221" t="s">
        <v>2690</v>
      </c>
      <c r="N2" s="222" t="s">
        <v>2691</v>
      </c>
      <c r="O2" s="223" t="s">
        <v>2692</v>
      </c>
      <c r="P2" s="224" t="s">
        <v>2693</v>
      </c>
      <c r="Q2" s="261" t="s">
        <v>2694</v>
      </c>
      <c r="R2" s="223" t="s">
        <v>2696</v>
      </c>
      <c r="S2" s="224" t="s">
        <v>2694</v>
      </c>
      <c r="T2" s="261" t="s">
        <v>3419</v>
      </c>
      <c r="U2" s="225" t="s">
        <v>2697</v>
      </c>
      <c r="V2" s="226" t="s">
        <v>2694</v>
      </c>
      <c r="W2" s="227" t="s">
        <v>3419</v>
      </c>
      <c r="X2" s="233" t="s">
        <v>1678</v>
      </c>
      <c r="Y2" s="321" t="s">
        <v>3158</v>
      </c>
      <c r="Z2" s="321" t="s">
        <v>3160</v>
      </c>
      <c r="AA2" s="321" t="s">
        <v>3159</v>
      </c>
      <c r="AB2" s="228" t="s">
        <v>3423</v>
      </c>
      <c r="AC2" s="229" t="s">
        <v>3422</v>
      </c>
      <c r="AD2" s="253" t="s">
        <v>3421</v>
      </c>
      <c r="AE2" s="230" t="s">
        <v>2698</v>
      </c>
      <c r="AF2" s="250" t="s">
        <v>2699</v>
      </c>
      <c r="AG2" s="233" t="s">
        <v>2700</v>
      </c>
      <c r="AH2" s="233" t="s">
        <v>3424</v>
      </c>
      <c r="AI2" s="234" t="s">
        <v>481</v>
      </c>
      <c r="AJ2" s="235" t="s">
        <v>480</v>
      </c>
      <c r="AK2" s="236" t="s">
        <v>2701</v>
      </c>
      <c r="AL2" s="236" t="s">
        <v>2702</v>
      </c>
      <c r="AM2" s="235" t="s">
        <v>2703</v>
      </c>
      <c r="AN2" s="237" t="s">
        <v>2704</v>
      </c>
      <c r="AO2" s="237" t="s">
        <v>2705</v>
      </c>
      <c r="AP2" s="483"/>
    </row>
    <row r="3" spans="1:42" x14ac:dyDescent="0.2">
      <c r="A3" s="231">
        <v>1</v>
      </c>
      <c r="B3" s="266" t="s">
        <v>1900</v>
      </c>
      <c r="C3" s="256" t="s">
        <v>1253</v>
      </c>
      <c r="D3" s="267">
        <v>12</v>
      </c>
      <c r="E3" s="268">
        <v>128.5</v>
      </c>
      <c r="F3" s="10" t="s">
        <v>2706</v>
      </c>
      <c r="G3" s="11" t="s">
        <v>2707</v>
      </c>
      <c r="H3" s="12" t="s">
        <v>743</v>
      </c>
      <c r="I3" s="12" t="s">
        <v>743</v>
      </c>
      <c r="J3" s="13" t="s">
        <v>743</v>
      </c>
      <c r="K3" s="14">
        <v>35600</v>
      </c>
      <c r="L3" s="15" t="s">
        <v>890</v>
      </c>
      <c r="M3" s="16">
        <v>354569</v>
      </c>
      <c r="N3" s="17">
        <v>6176568</v>
      </c>
      <c r="O3" s="20" t="s">
        <v>2708</v>
      </c>
      <c r="P3" s="133" t="s">
        <v>2708</v>
      </c>
      <c r="Q3" s="259">
        <v>225</v>
      </c>
      <c r="R3" s="20">
        <v>35</v>
      </c>
      <c r="S3" s="133">
        <v>16</v>
      </c>
      <c r="T3" s="259">
        <f>IF(OR(R3="ND",R3=""),S3,R3)</f>
        <v>35</v>
      </c>
      <c r="U3" s="18"/>
      <c r="V3" s="19">
        <v>209</v>
      </c>
      <c r="W3" s="19">
        <f>IF(OR(U3="ND",U3=""),V3,U3)</f>
        <v>209</v>
      </c>
      <c r="X3" s="259">
        <v>1</v>
      </c>
      <c r="Y3" s="322">
        <v>0.54</v>
      </c>
      <c r="Z3" s="322">
        <v>89172</v>
      </c>
      <c r="AA3" s="322">
        <v>1361</v>
      </c>
      <c r="AB3" s="149">
        <v>999</v>
      </c>
      <c r="AC3" s="154">
        <v>0</v>
      </c>
      <c r="AD3" s="254">
        <f t="shared" ref="AD3:AD66" si="0">IF(AC3=0,1000,IF(AC3=9999,"ND",(K3/365.25+1899)-AC3))</f>
        <v>1000</v>
      </c>
      <c r="AE3" s="150">
        <v>5</v>
      </c>
      <c r="AF3" s="251">
        <v>100</v>
      </c>
      <c r="AG3" s="238">
        <v>0</v>
      </c>
      <c r="AH3" s="238" t="s">
        <v>2252</v>
      </c>
      <c r="AI3" s="239">
        <v>7.4</v>
      </c>
      <c r="AJ3" s="240">
        <v>590</v>
      </c>
      <c r="AK3" s="240">
        <v>216</v>
      </c>
      <c r="AL3" s="240">
        <v>156</v>
      </c>
      <c r="AM3" s="240">
        <v>147</v>
      </c>
      <c r="AN3" s="241">
        <v>42.05</v>
      </c>
      <c r="AO3" s="241">
        <v>6.92</v>
      </c>
      <c r="AP3" s="232">
        <v>1</v>
      </c>
    </row>
    <row r="4" spans="1:42" x14ac:dyDescent="0.2">
      <c r="A4" s="231">
        <v>2</v>
      </c>
      <c r="B4" s="255" t="s">
        <v>1900</v>
      </c>
      <c r="C4" s="256" t="s">
        <v>1253</v>
      </c>
      <c r="D4" s="264">
        <v>12</v>
      </c>
      <c r="E4" s="265">
        <v>216.5</v>
      </c>
      <c r="F4" s="22" t="s">
        <v>2706</v>
      </c>
      <c r="G4" s="23" t="s">
        <v>2707</v>
      </c>
      <c r="H4" s="24" t="s">
        <v>743</v>
      </c>
      <c r="I4" s="24" t="s">
        <v>743</v>
      </c>
      <c r="J4" s="25" t="s">
        <v>743</v>
      </c>
      <c r="K4" s="26">
        <v>35600</v>
      </c>
      <c r="L4" s="15" t="s">
        <v>890</v>
      </c>
      <c r="M4" s="28">
        <v>354652</v>
      </c>
      <c r="N4" s="29">
        <v>6176530</v>
      </c>
      <c r="O4" s="32" t="s">
        <v>2708</v>
      </c>
      <c r="P4" s="135" t="s">
        <v>2708</v>
      </c>
      <c r="Q4" s="260">
        <v>225</v>
      </c>
      <c r="R4" s="32">
        <v>0</v>
      </c>
      <c r="S4" s="135">
        <v>10</v>
      </c>
      <c r="T4" s="260">
        <f t="shared" ref="T4:T67" si="1">IF(OR(R4="ND",R4=""),S4,R4)</f>
        <v>0</v>
      </c>
      <c r="U4" s="30"/>
      <c r="V4" s="31">
        <v>217</v>
      </c>
      <c r="W4" s="31">
        <f t="shared" ref="W4:W67" si="2">IF(OR(U4="ND",U4=""),V4,U4)</f>
        <v>217</v>
      </c>
      <c r="X4" s="260">
        <v>0</v>
      </c>
      <c r="Y4" s="323">
        <v>1.296</v>
      </c>
      <c r="Z4" s="323">
        <v>96788</v>
      </c>
      <c r="AA4" s="323">
        <v>1241</v>
      </c>
      <c r="AB4" s="151">
        <v>999</v>
      </c>
      <c r="AC4" s="155">
        <v>0</v>
      </c>
      <c r="AD4" s="254">
        <f t="shared" si="0"/>
        <v>1000</v>
      </c>
      <c r="AE4" s="152">
        <v>4</v>
      </c>
      <c r="AF4" s="252">
        <v>100</v>
      </c>
      <c r="AG4" s="242">
        <v>0</v>
      </c>
      <c r="AH4" s="242" t="s">
        <v>2252</v>
      </c>
      <c r="AI4" s="243">
        <v>7.5</v>
      </c>
      <c r="AJ4" s="244">
        <v>640</v>
      </c>
      <c r="AK4" s="244">
        <v>173</v>
      </c>
      <c r="AL4" s="244">
        <v>129</v>
      </c>
      <c r="AM4" s="244">
        <v>125</v>
      </c>
      <c r="AN4" s="245">
        <v>36.04</v>
      </c>
      <c r="AO4" s="245">
        <v>4.49</v>
      </c>
      <c r="AP4" s="232">
        <v>2</v>
      </c>
    </row>
    <row r="5" spans="1:42" x14ac:dyDescent="0.2">
      <c r="A5" s="231">
        <v>3</v>
      </c>
      <c r="B5" s="255" t="s">
        <v>1900</v>
      </c>
      <c r="C5" s="256" t="s">
        <v>1253</v>
      </c>
      <c r="D5" s="264">
        <v>13</v>
      </c>
      <c r="E5" s="265">
        <v>109</v>
      </c>
      <c r="F5" s="22" t="s">
        <v>2706</v>
      </c>
      <c r="G5" s="23" t="s">
        <v>2707</v>
      </c>
      <c r="H5" s="24" t="s">
        <v>743</v>
      </c>
      <c r="I5" s="24" t="s">
        <v>743</v>
      </c>
      <c r="J5" s="25" t="s">
        <v>743</v>
      </c>
      <c r="K5" s="26">
        <v>35601</v>
      </c>
      <c r="L5" s="15" t="s">
        <v>890</v>
      </c>
      <c r="M5" s="28">
        <v>354967</v>
      </c>
      <c r="N5" s="29">
        <v>6176375</v>
      </c>
      <c r="O5" s="32" t="s">
        <v>2708</v>
      </c>
      <c r="P5" s="135" t="s">
        <v>2708</v>
      </c>
      <c r="Q5" s="260">
        <v>233</v>
      </c>
      <c r="R5" s="32">
        <v>5</v>
      </c>
      <c r="S5" s="135">
        <v>8</v>
      </c>
      <c r="T5" s="260">
        <f t="shared" si="1"/>
        <v>5</v>
      </c>
      <c r="U5" s="30"/>
      <c r="V5" s="31">
        <v>198</v>
      </c>
      <c r="W5" s="31">
        <f t="shared" si="2"/>
        <v>198</v>
      </c>
      <c r="X5" s="260">
        <v>2</v>
      </c>
      <c r="Y5" s="323">
        <v>0.159</v>
      </c>
      <c r="Z5" s="323">
        <v>98648</v>
      </c>
      <c r="AA5" s="323">
        <v>1438</v>
      </c>
      <c r="AB5" s="151">
        <v>999</v>
      </c>
      <c r="AC5" s="155">
        <v>0</v>
      </c>
      <c r="AD5" s="254">
        <f t="shared" si="0"/>
        <v>1000</v>
      </c>
      <c r="AE5" s="152">
        <v>4</v>
      </c>
      <c r="AF5" s="252">
        <v>100</v>
      </c>
      <c r="AG5" s="242">
        <v>0</v>
      </c>
      <c r="AH5" s="242" t="s">
        <v>2252</v>
      </c>
      <c r="AI5" s="243">
        <v>7.5</v>
      </c>
      <c r="AJ5" s="244">
        <v>490</v>
      </c>
      <c r="AK5" s="244">
        <v>238</v>
      </c>
      <c r="AL5" s="244">
        <v>121</v>
      </c>
      <c r="AM5" s="244">
        <v>179</v>
      </c>
      <c r="AN5" s="245">
        <v>54.5</v>
      </c>
      <c r="AO5" s="245">
        <v>5.98</v>
      </c>
      <c r="AP5" s="232">
        <v>3</v>
      </c>
    </row>
    <row r="6" spans="1:42" x14ac:dyDescent="0.2">
      <c r="A6" s="231">
        <v>4</v>
      </c>
      <c r="B6" s="255" t="s">
        <v>1900</v>
      </c>
      <c r="C6" s="256" t="s">
        <v>2616</v>
      </c>
      <c r="D6" s="264">
        <v>18</v>
      </c>
      <c r="E6" s="265">
        <v>137</v>
      </c>
      <c r="F6" s="22" t="s">
        <v>2706</v>
      </c>
      <c r="G6" s="23" t="s">
        <v>2707</v>
      </c>
      <c r="H6" s="24" t="s">
        <v>743</v>
      </c>
      <c r="I6" s="24" t="s">
        <v>743</v>
      </c>
      <c r="J6" s="25" t="s">
        <v>743</v>
      </c>
      <c r="K6" s="26">
        <v>35601</v>
      </c>
      <c r="L6" s="15" t="s">
        <v>890</v>
      </c>
      <c r="M6" s="28">
        <v>356748</v>
      </c>
      <c r="N6" s="29">
        <v>6176730</v>
      </c>
      <c r="O6" s="32" t="s">
        <v>2708</v>
      </c>
      <c r="P6" s="135" t="s">
        <v>2708</v>
      </c>
      <c r="Q6" s="260">
        <v>332</v>
      </c>
      <c r="R6" s="32">
        <v>40</v>
      </c>
      <c r="S6" s="135">
        <v>7</v>
      </c>
      <c r="T6" s="260">
        <f t="shared" si="1"/>
        <v>40</v>
      </c>
      <c r="U6" s="30"/>
      <c r="V6" s="31">
        <v>155</v>
      </c>
      <c r="W6" s="31">
        <f t="shared" si="2"/>
        <v>155</v>
      </c>
      <c r="X6" s="260">
        <v>3</v>
      </c>
      <c r="Y6" s="323">
        <v>1.7549999999999999</v>
      </c>
      <c r="Z6" s="323">
        <v>98799</v>
      </c>
      <c r="AA6" s="323">
        <v>832</v>
      </c>
      <c r="AB6" s="151">
        <v>999</v>
      </c>
      <c r="AC6" s="155">
        <v>0</v>
      </c>
      <c r="AD6" s="254">
        <f t="shared" si="0"/>
        <v>1000</v>
      </c>
      <c r="AE6" s="152">
        <v>1</v>
      </c>
      <c r="AF6" s="252">
        <v>35</v>
      </c>
      <c r="AG6" s="242">
        <v>10</v>
      </c>
      <c r="AH6" s="242" t="s">
        <v>2252</v>
      </c>
      <c r="AI6" s="243">
        <v>6.4</v>
      </c>
      <c r="AJ6" s="244">
        <v>440</v>
      </c>
      <c r="AK6" s="244">
        <v>169</v>
      </c>
      <c r="AL6" s="244">
        <v>126</v>
      </c>
      <c r="AM6" s="244">
        <v>207</v>
      </c>
      <c r="AN6" s="245">
        <v>43.02</v>
      </c>
      <c r="AO6" s="245">
        <v>7.24</v>
      </c>
      <c r="AP6" s="232">
        <v>4</v>
      </c>
    </row>
    <row r="7" spans="1:42" x14ac:dyDescent="0.2">
      <c r="A7" s="231">
        <v>5</v>
      </c>
      <c r="B7" s="255" t="s">
        <v>1900</v>
      </c>
      <c r="C7" s="256" t="s">
        <v>2616</v>
      </c>
      <c r="D7" s="264">
        <v>16</v>
      </c>
      <c r="E7" s="265">
        <v>128.5</v>
      </c>
      <c r="F7" s="22" t="s">
        <v>2706</v>
      </c>
      <c r="G7" s="23" t="s">
        <v>2707</v>
      </c>
      <c r="H7" s="24" t="s">
        <v>743</v>
      </c>
      <c r="I7" s="24" t="s">
        <v>743</v>
      </c>
      <c r="J7" s="25" t="s">
        <v>743</v>
      </c>
      <c r="K7" s="26">
        <v>35611</v>
      </c>
      <c r="L7" s="15" t="s">
        <v>890</v>
      </c>
      <c r="M7" s="28">
        <v>356754</v>
      </c>
      <c r="N7" s="29">
        <v>6176646</v>
      </c>
      <c r="O7" s="32" t="s">
        <v>2708</v>
      </c>
      <c r="P7" s="135" t="s">
        <v>2708</v>
      </c>
      <c r="Q7" s="260">
        <v>324</v>
      </c>
      <c r="R7" s="32">
        <v>40</v>
      </c>
      <c r="S7" s="135">
        <v>15</v>
      </c>
      <c r="T7" s="260">
        <f t="shared" si="1"/>
        <v>40</v>
      </c>
      <c r="U7" s="30"/>
      <c r="V7" s="31">
        <v>179</v>
      </c>
      <c r="W7" s="31">
        <f t="shared" si="2"/>
        <v>179</v>
      </c>
      <c r="X7" s="260">
        <v>3</v>
      </c>
      <c r="Y7" s="323">
        <v>0.91300000000000003</v>
      </c>
      <c r="Z7" s="323">
        <v>88113</v>
      </c>
      <c r="AA7" s="323">
        <v>927</v>
      </c>
      <c r="AB7" s="151">
        <v>999</v>
      </c>
      <c r="AC7" s="155">
        <v>0</v>
      </c>
      <c r="AD7" s="254">
        <f t="shared" si="0"/>
        <v>1000</v>
      </c>
      <c r="AE7" s="152">
        <v>1</v>
      </c>
      <c r="AF7" s="252">
        <v>45</v>
      </c>
      <c r="AG7" s="242">
        <v>3</v>
      </c>
      <c r="AH7" s="242" t="s">
        <v>2252</v>
      </c>
      <c r="AI7" s="243">
        <v>6.1</v>
      </c>
      <c r="AJ7" s="244">
        <v>530</v>
      </c>
      <c r="AK7" s="244">
        <v>265</v>
      </c>
      <c r="AL7" s="244">
        <v>63</v>
      </c>
      <c r="AM7" s="244">
        <v>175</v>
      </c>
      <c r="AN7" s="245">
        <v>33.53</v>
      </c>
      <c r="AO7" s="245">
        <v>8.3000000000000007</v>
      </c>
      <c r="AP7" s="232">
        <v>5</v>
      </c>
    </row>
    <row r="8" spans="1:42" x14ac:dyDescent="0.2">
      <c r="A8" s="231">
        <v>6</v>
      </c>
      <c r="B8" s="255" t="s">
        <v>1900</v>
      </c>
      <c r="C8" s="256" t="s">
        <v>2616</v>
      </c>
      <c r="D8" s="264">
        <v>12</v>
      </c>
      <c r="E8" s="265">
        <v>121</v>
      </c>
      <c r="F8" s="22" t="s">
        <v>2706</v>
      </c>
      <c r="G8" s="23" t="s">
        <v>2707</v>
      </c>
      <c r="H8" s="24" t="s">
        <v>743</v>
      </c>
      <c r="I8" s="24" t="s">
        <v>743</v>
      </c>
      <c r="J8" s="25" t="s">
        <v>743</v>
      </c>
      <c r="K8" s="26">
        <v>35612</v>
      </c>
      <c r="L8" s="15" t="s">
        <v>890</v>
      </c>
      <c r="M8" s="28">
        <v>356754</v>
      </c>
      <c r="N8" s="29">
        <v>6176549</v>
      </c>
      <c r="O8" s="32" t="s">
        <v>2708</v>
      </c>
      <c r="P8" s="135" t="s">
        <v>2708</v>
      </c>
      <c r="Q8" s="260">
        <v>295</v>
      </c>
      <c r="R8" s="32">
        <v>20</v>
      </c>
      <c r="S8" s="135">
        <v>35</v>
      </c>
      <c r="T8" s="260">
        <f t="shared" si="1"/>
        <v>20</v>
      </c>
      <c r="U8" s="30"/>
      <c r="V8" s="31">
        <v>227</v>
      </c>
      <c r="W8" s="31">
        <f t="shared" si="2"/>
        <v>227</v>
      </c>
      <c r="X8" s="260">
        <v>0</v>
      </c>
      <c r="Y8" s="323">
        <v>0.66900000000000004</v>
      </c>
      <c r="Z8" s="323">
        <v>67548</v>
      </c>
      <c r="AA8" s="323">
        <v>480</v>
      </c>
      <c r="AB8" s="151">
        <v>999</v>
      </c>
      <c r="AC8" s="155">
        <v>0</v>
      </c>
      <c r="AD8" s="254">
        <f t="shared" si="0"/>
        <v>1000</v>
      </c>
      <c r="AE8" s="152">
        <v>1</v>
      </c>
      <c r="AF8" s="252">
        <v>35</v>
      </c>
      <c r="AG8" s="242">
        <v>20</v>
      </c>
      <c r="AH8" s="242" t="s">
        <v>2252</v>
      </c>
      <c r="AI8" s="243">
        <v>7.1</v>
      </c>
      <c r="AJ8" s="244">
        <v>260</v>
      </c>
      <c r="AK8" s="244">
        <v>99</v>
      </c>
      <c r="AL8" s="244">
        <v>128</v>
      </c>
      <c r="AM8" s="244">
        <v>116</v>
      </c>
      <c r="AN8" s="245">
        <v>40.07</v>
      </c>
      <c r="AO8" s="245">
        <v>4.01</v>
      </c>
      <c r="AP8" s="232">
        <v>6</v>
      </c>
    </row>
    <row r="9" spans="1:42" x14ac:dyDescent="0.2">
      <c r="A9" s="231">
        <v>7</v>
      </c>
      <c r="B9" s="255" t="s">
        <v>1900</v>
      </c>
      <c r="C9" s="256" t="s">
        <v>2616</v>
      </c>
      <c r="D9" s="264">
        <v>8</v>
      </c>
      <c r="E9" s="265">
        <v>108.5</v>
      </c>
      <c r="F9" s="22" t="s">
        <v>2706</v>
      </c>
      <c r="G9" s="23" t="s">
        <v>2707</v>
      </c>
      <c r="H9" s="24" t="s">
        <v>743</v>
      </c>
      <c r="I9" s="24" t="s">
        <v>743</v>
      </c>
      <c r="J9" s="25" t="s">
        <v>743</v>
      </c>
      <c r="K9" s="26">
        <v>35613</v>
      </c>
      <c r="L9" s="15" t="s">
        <v>890</v>
      </c>
      <c r="M9" s="28">
        <v>356783</v>
      </c>
      <c r="N9" s="29">
        <v>6176517</v>
      </c>
      <c r="O9" s="32" t="s">
        <v>2708</v>
      </c>
      <c r="P9" s="135" t="s">
        <v>2708</v>
      </c>
      <c r="Q9" s="260">
        <v>285</v>
      </c>
      <c r="R9" s="32">
        <v>40</v>
      </c>
      <c r="S9" s="135">
        <v>40</v>
      </c>
      <c r="T9" s="260">
        <f t="shared" si="1"/>
        <v>40</v>
      </c>
      <c r="U9" s="30"/>
      <c r="V9" s="31">
        <v>190</v>
      </c>
      <c r="W9" s="31">
        <f t="shared" si="2"/>
        <v>190</v>
      </c>
      <c r="X9" s="260">
        <v>0</v>
      </c>
      <c r="Y9" s="323">
        <v>7.5999999999999998E-2</v>
      </c>
      <c r="Z9" s="323">
        <v>48215</v>
      </c>
      <c r="AA9" s="323">
        <v>311</v>
      </c>
      <c r="AB9" s="151">
        <v>999</v>
      </c>
      <c r="AC9" s="155">
        <v>0</v>
      </c>
      <c r="AD9" s="254">
        <f t="shared" si="0"/>
        <v>1000</v>
      </c>
      <c r="AE9" s="152">
        <v>1</v>
      </c>
      <c r="AF9" s="252">
        <v>35</v>
      </c>
      <c r="AG9" s="242">
        <v>5</v>
      </c>
      <c r="AH9" s="242" t="s">
        <v>2252</v>
      </c>
      <c r="AI9" s="243">
        <v>7.1</v>
      </c>
      <c r="AJ9" s="244">
        <v>290</v>
      </c>
      <c r="AK9" s="244">
        <v>206</v>
      </c>
      <c r="AL9" s="244">
        <v>217</v>
      </c>
      <c r="AM9" s="244">
        <v>364</v>
      </c>
      <c r="AN9" s="245">
        <v>52.2</v>
      </c>
      <c r="AO9" s="245">
        <v>8.1300000000000008</v>
      </c>
      <c r="AP9" s="232">
        <v>7</v>
      </c>
    </row>
    <row r="10" spans="1:42" x14ac:dyDescent="0.2">
      <c r="A10" s="231">
        <v>8</v>
      </c>
      <c r="B10" s="255" t="s">
        <v>1900</v>
      </c>
      <c r="C10" s="256" t="s">
        <v>2616</v>
      </c>
      <c r="D10" s="264">
        <v>14</v>
      </c>
      <c r="E10" s="265">
        <v>126</v>
      </c>
      <c r="F10" s="22" t="s">
        <v>2706</v>
      </c>
      <c r="G10" s="23" t="s">
        <v>2707</v>
      </c>
      <c r="H10" s="24" t="s">
        <v>743</v>
      </c>
      <c r="I10" s="24" t="s">
        <v>743</v>
      </c>
      <c r="J10" s="25" t="s">
        <v>743</v>
      </c>
      <c r="K10" s="26">
        <v>35613</v>
      </c>
      <c r="L10" s="15" t="s">
        <v>890</v>
      </c>
      <c r="M10" s="28">
        <v>356829</v>
      </c>
      <c r="N10" s="29">
        <v>6176537</v>
      </c>
      <c r="O10" s="32" t="s">
        <v>2708</v>
      </c>
      <c r="P10" s="135" t="s">
        <v>2708</v>
      </c>
      <c r="Q10" s="260">
        <v>306</v>
      </c>
      <c r="R10" s="32">
        <v>45</v>
      </c>
      <c r="S10" s="135">
        <v>41</v>
      </c>
      <c r="T10" s="260">
        <f t="shared" si="1"/>
        <v>45</v>
      </c>
      <c r="U10" s="30"/>
      <c r="V10" s="31">
        <v>200</v>
      </c>
      <c r="W10" s="31">
        <f t="shared" si="2"/>
        <v>200</v>
      </c>
      <c r="X10" s="260">
        <v>0</v>
      </c>
      <c r="Y10" s="323">
        <v>0.63500000000000001</v>
      </c>
      <c r="Z10" s="323">
        <v>49015</v>
      </c>
      <c r="AA10" s="323">
        <v>539</v>
      </c>
      <c r="AB10" s="151">
        <v>999</v>
      </c>
      <c r="AC10" s="155">
        <v>0</v>
      </c>
      <c r="AD10" s="254">
        <f t="shared" si="0"/>
        <v>1000</v>
      </c>
      <c r="AE10" s="32">
        <v>1</v>
      </c>
      <c r="AF10" s="252">
        <v>35</v>
      </c>
      <c r="AG10" s="242">
        <v>15</v>
      </c>
      <c r="AH10" s="242" t="s">
        <v>2252</v>
      </c>
      <c r="AI10" s="243">
        <v>6</v>
      </c>
      <c r="AJ10" s="244">
        <v>320</v>
      </c>
      <c r="AK10" s="244">
        <v>296</v>
      </c>
      <c r="AL10" s="244">
        <v>139</v>
      </c>
      <c r="AM10" s="244">
        <v>311</v>
      </c>
      <c r="AN10" s="245">
        <v>39.799999999999997</v>
      </c>
      <c r="AO10" s="245">
        <v>7.79</v>
      </c>
      <c r="AP10" s="232">
        <v>8</v>
      </c>
    </row>
    <row r="11" spans="1:42" x14ac:dyDescent="0.2">
      <c r="A11" s="231">
        <v>9</v>
      </c>
      <c r="B11" s="255" t="s">
        <v>1900</v>
      </c>
      <c r="C11" s="256" t="s">
        <v>2617</v>
      </c>
      <c r="D11" s="264">
        <v>34</v>
      </c>
      <c r="E11" s="265">
        <v>194.5</v>
      </c>
      <c r="F11" s="22" t="s">
        <v>2706</v>
      </c>
      <c r="G11" s="23" t="s">
        <v>2707</v>
      </c>
      <c r="H11" s="24" t="s">
        <v>743</v>
      </c>
      <c r="I11" s="24" t="s">
        <v>743</v>
      </c>
      <c r="J11" s="25" t="s">
        <v>743</v>
      </c>
      <c r="K11" s="26">
        <v>35614</v>
      </c>
      <c r="L11" s="15" t="s">
        <v>890</v>
      </c>
      <c r="M11" s="28">
        <v>354471</v>
      </c>
      <c r="N11" s="29">
        <v>6176855</v>
      </c>
      <c r="O11" s="32" t="s">
        <v>2708</v>
      </c>
      <c r="P11" s="135" t="s">
        <v>2708</v>
      </c>
      <c r="Q11" s="260">
        <v>238</v>
      </c>
      <c r="R11" s="32">
        <v>2</v>
      </c>
      <c r="S11" s="135">
        <v>5</v>
      </c>
      <c r="T11" s="260">
        <f t="shared" si="1"/>
        <v>2</v>
      </c>
      <c r="U11" s="30"/>
      <c r="V11" s="31">
        <v>285</v>
      </c>
      <c r="W11" s="31">
        <f t="shared" si="2"/>
        <v>285</v>
      </c>
      <c r="X11" s="260">
        <v>3</v>
      </c>
      <c r="Y11" s="323">
        <v>1.2130000000000001</v>
      </c>
      <c r="Z11" s="323">
        <v>107814</v>
      </c>
      <c r="AA11" s="323">
        <v>917</v>
      </c>
      <c r="AB11" s="151" t="s">
        <v>2708</v>
      </c>
      <c r="AC11" s="155">
        <v>1988</v>
      </c>
      <c r="AD11" s="254">
        <f t="shared" si="0"/>
        <v>8.5058179329225823</v>
      </c>
      <c r="AE11" s="152">
        <v>3</v>
      </c>
      <c r="AF11" s="252">
        <v>100</v>
      </c>
      <c r="AG11" s="242">
        <v>0</v>
      </c>
      <c r="AH11" s="242" t="s">
        <v>2252</v>
      </c>
      <c r="AI11" s="243">
        <v>7.9</v>
      </c>
      <c r="AJ11" s="244">
        <v>2100</v>
      </c>
      <c r="AK11" s="244">
        <v>110</v>
      </c>
      <c r="AL11" s="244">
        <v>35</v>
      </c>
      <c r="AM11" s="244">
        <v>21</v>
      </c>
      <c r="AN11" s="245">
        <v>26.45</v>
      </c>
      <c r="AO11" s="245">
        <v>2.1</v>
      </c>
      <c r="AP11" s="232">
        <v>9</v>
      </c>
    </row>
    <row r="12" spans="1:42" x14ac:dyDescent="0.2">
      <c r="A12" s="231">
        <v>10</v>
      </c>
      <c r="B12" s="255" t="s">
        <v>1900</v>
      </c>
      <c r="C12" s="256" t="s">
        <v>2617</v>
      </c>
      <c r="D12" s="264">
        <v>31</v>
      </c>
      <c r="E12" s="265">
        <v>140</v>
      </c>
      <c r="F12" s="22" t="s">
        <v>2706</v>
      </c>
      <c r="G12" s="23" t="s">
        <v>2707</v>
      </c>
      <c r="H12" s="24" t="s">
        <v>743</v>
      </c>
      <c r="I12" s="24" t="s">
        <v>743</v>
      </c>
      <c r="J12" s="25" t="s">
        <v>743</v>
      </c>
      <c r="K12" s="26">
        <v>35618</v>
      </c>
      <c r="L12" s="15" t="s">
        <v>890</v>
      </c>
      <c r="M12" s="28">
        <v>354193</v>
      </c>
      <c r="N12" s="29">
        <v>6176715</v>
      </c>
      <c r="O12" s="32" t="s">
        <v>2708</v>
      </c>
      <c r="P12" s="135">
        <v>130</v>
      </c>
      <c r="Q12" s="260">
        <v>201</v>
      </c>
      <c r="R12" s="32">
        <v>2</v>
      </c>
      <c r="S12" s="135">
        <v>5</v>
      </c>
      <c r="T12" s="260">
        <f t="shared" si="1"/>
        <v>2</v>
      </c>
      <c r="U12" s="30"/>
      <c r="V12" s="31">
        <v>226</v>
      </c>
      <c r="W12" s="31">
        <f t="shared" si="2"/>
        <v>226</v>
      </c>
      <c r="X12" s="260">
        <v>3</v>
      </c>
      <c r="Y12" s="323">
        <v>1.4390000000000001</v>
      </c>
      <c r="Z12" s="323">
        <v>102326</v>
      </c>
      <c r="AA12" s="323">
        <v>1380</v>
      </c>
      <c r="AB12" s="151" t="s">
        <v>2708</v>
      </c>
      <c r="AC12" s="155">
        <v>1988</v>
      </c>
      <c r="AD12" s="254">
        <f t="shared" si="0"/>
        <v>8.5167693360710928</v>
      </c>
      <c r="AE12" s="152">
        <v>6</v>
      </c>
      <c r="AF12" s="252">
        <v>100</v>
      </c>
      <c r="AG12" s="242">
        <v>0</v>
      </c>
      <c r="AH12" s="242" t="s">
        <v>2252</v>
      </c>
      <c r="AI12" s="243">
        <v>8</v>
      </c>
      <c r="AJ12" s="244">
        <v>2460</v>
      </c>
      <c r="AK12" s="244">
        <v>104</v>
      </c>
      <c r="AL12" s="244">
        <v>36</v>
      </c>
      <c r="AM12" s="244">
        <v>11</v>
      </c>
      <c r="AN12" s="245">
        <v>29.61</v>
      </c>
      <c r="AO12" s="245">
        <v>2.4500000000000002</v>
      </c>
      <c r="AP12" s="232">
        <v>10</v>
      </c>
    </row>
    <row r="13" spans="1:42" x14ac:dyDescent="0.2">
      <c r="A13" s="231">
        <v>11</v>
      </c>
      <c r="B13" s="255" t="s">
        <v>1900</v>
      </c>
      <c r="C13" s="256" t="s">
        <v>2617</v>
      </c>
      <c r="D13" s="264">
        <v>27</v>
      </c>
      <c r="E13" s="265">
        <v>110</v>
      </c>
      <c r="F13" s="22" t="s">
        <v>2706</v>
      </c>
      <c r="G13" s="23" t="s">
        <v>2707</v>
      </c>
      <c r="H13" s="24" t="s">
        <v>743</v>
      </c>
      <c r="I13" s="24" t="s">
        <v>743</v>
      </c>
      <c r="J13" s="25" t="s">
        <v>743</v>
      </c>
      <c r="K13" s="26">
        <v>35619</v>
      </c>
      <c r="L13" s="15" t="s">
        <v>890</v>
      </c>
      <c r="M13" s="28">
        <v>354397</v>
      </c>
      <c r="N13" s="29">
        <v>6177243</v>
      </c>
      <c r="O13" s="32" t="s">
        <v>2708</v>
      </c>
      <c r="P13" s="135">
        <v>130</v>
      </c>
      <c r="Q13" s="260">
        <v>223</v>
      </c>
      <c r="R13" s="32">
        <v>2</v>
      </c>
      <c r="S13" s="135">
        <v>5</v>
      </c>
      <c r="T13" s="260">
        <f t="shared" si="1"/>
        <v>2</v>
      </c>
      <c r="U13" s="30"/>
      <c r="V13" s="31">
        <v>305</v>
      </c>
      <c r="W13" s="31">
        <f t="shared" si="2"/>
        <v>305</v>
      </c>
      <c r="X13" s="260">
        <v>3</v>
      </c>
      <c r="Y13" s="323">
        <v>1.1519999999999999</v>
      </c>
      <c r="Z13" s="323">
        <v>109535</v>
      </c>
      <c r="AA13" s="323">
        <v>1202</v>
      </c>
      <c r="AB13" s="151" t="s">
        <v>2708</v>
      </c>
      <c r="AC13" s="155">
        <v>1988</v>
      </c>
      <c r="AD13" s="254">
        <f t="shared" si="0"/>
        <v>8.5195071868583909</v>
      </c>
      <c r="AE13" s="152">
        <v>6</v>
      </c>
      <c r="AF13" s="252">
        <v>100</v>
      </c>
      <c r="AG13" s="242">
        <v>0</v>
      </c>
      <c r="AH13" s="242" t="s">
        <v>2252</v>
      </c>
      <c r="AI13" s="243">
        <v>8.1</v>
      </c>
      <c r="AJ13" s="244">
        <v>2500</v>
      </c>
      <c r="AK13" s="244">
        <v>76</v>
      </c>
      <c r="AL13" s="244">
        <v>23</v>
      </c>
      <c r="AM13" s="244">
        <v>15</v>
      </c>
      <c r="AN13" s="245">
        <v>26.88</v>
      </c>
      <c r="AO13" s="245">
        <v>1.8</v>
      </c>
      <c r="AP13" s="232">
        <v>11</v>
      </c>
    </row>
    <row r="14" spans="1:42" x14ac:dyDescent="0.2">
      <c r="A14" s="231">
        <v>12</v>
      </c>
      <c r="B14" s="255" t="s">
        <v>1900</v>
      </c>
      <c r="C14" s="256" t="s">
        <v>2617</v>
      </c>
      <c r="D14" s="264">
        <v>22</v>
      </c>
      <c r="E14" s="265">
        <v>156</v>
      </c>
      <c r="F14" s="22" t="s">
        <v>2706</v>
      </c>
      <c r="G14" s="23" t="s">
        <v>2707</v>
      </c>
      <c r="H14" s="24" t="s">
        <v>743</v>
      </c>
      <c r="I14" s="24" t="s">
        <v>743</v>
      </c>
      <c r="J14" s="25" t="s">
        <v>743</v>
      </c>
      <c r="K14" s="26">
        <v>35621</v>
      </c>
      <c r="L14" s="15" t="s">
        <v>890</v>
      </c>
      <c r="M14" s="28">
        <v>354444</v>
      </c>
      <c r="N14" s="29">
        <v>6177191</v>
      </c>
      <c r="O14" s="32" t="s">
        <v>2708</v>
      </c>
      <c r="P14" s="135">
        <v>150</v>
      </c>
      <c r="Q14" s="260">
        <v>228</v>
      </c>
      <c r="R14" s="32">
        <v>2</v>
      </c>
      <c r="S14" s="135">
        <v>4</v>
      </c>
      <c r="T14" s="260">
        <f t="shared" si="1"/>
        <v>2</v>
      </c>
      <c r="U14" s="30"/>
      <c r="V14" s="31">
        <v>311</v>
      </c>
      <c r="W14" s="31">
        <f t="shared" si="2"/>
        <v>311</v>
      </c>
      <c r="X14" s="260">
        <v>3</v>
      </c>
      <c r="Y14" s="323">
        <v>0.81799999999999995</v>
      </c>
      <c r="Z14" s="323">
        <v>109381</v>
      </c>
      <c r="AA14" s="323">
        <v>1214</v>
      </c>
      <c r="AB14" s="151" t="s">
        <v>2708</v>
      </c>
      <c r="AC14" s="155">
        <v>1988</v>
      </c>
      <c r="AD14" s="254">
        <f t="shared" si="0"/>
        <v>8.5249828884325325</v>
      </c>
      <c r="AE14" s="152">
        <v>6</v>
      </c>
      <c r="AF14" s="252">
        <v>100</v>
      </c>
      <c r="AG14" s="242">
        <v>0</v>
      </c>
      <c r="AH14" s="242" t="s">
        <v>2252</v>
      </c>
      <c r="AI14" s="243">
        <v>8</v>
      </c>
      <c r="AJ14" s="244">
        <v>2160</v>
      </c>
      <c r="AK14" s="244">
        <v>81</v>
      </c>
      <c r="AL14" s="244">
        <v>30</v>
      </c>
      <c r="AM14" s="244">
        <v>16</v>
      </c>
      <c r="AN14" s="245">
        <v>25.6</v>
      </c>
      <c r="AO14" s="245">
        <v>1.78</v>
      </c>
      <c r="AP14" s="232">
        <v>12</v>
      </c>
    </row>
    <row r="15" spans="1:42" x14ac:dyDescent="0.2">
      <c r="A15" s="231">
        <v>13</v>
      </c>
      <c r="B15" s="255" t="s">
        <v>1900</v>
      </c>
      <c r="C15" s="256" t="s">
        <v>2617</v>
      </c>
      <c r="D15" s="264">
        <v>39</v>
      </c>
      <c r="E15" s="265">
        <v>111</v>
      </c>
      <c r="F15" s="22" t="s">
        <v>2706</v>
      </c>
      <c r="G15" s="23" t="s">
        <v>2707</v>
      </c>
      <c r="H15" s="24" t="s">
        <v>743</v>
      </c>
      <c r="I15" s="24" t="s">
        <v>743</v>
      </c>
      <c r="J15" s="25" t="s">
        <v>743</v>
      </c>
      <c r="K15" s="26">
        <v>35625</v>
      </c>
      <c r="L15" s="15" t="s">
        <v>890</v>
      </c>
      <c r="M15" s="28">
        <v>354534</v>
      </c>
      <c r="N15" s="29">
        <v>6176788</v>
      </c>
      <c r="O15" s="32" t="s">
        <v>2708</v>
      </c>
      <c r="P15" s="135" t="s">
        <v>2708</v>
      </c>
      <c r="Q15" s="260">
        <v>251</v>
      </c>
      <c r="R15" s="32">
        <v>20</v>
      </c>
      <c r="S15" s="135">
        <v>16</v>
      </c>
      <c r="T15" s="260">
        <f t="shared" si="1"/>
        <v>20</v>
      </c>
      <c r="U15" s="30"/>
      <c r="V15" s="31">
        <v>310</v>
      </c>
      <c r="W15" s="31">
        <f t="shared" si="2"/>
        <v>310</v>
      </c>
      <c r="X15" s="260">
        <v>4</v>
      </c>
      <c r="Y15" s="323">
        <v>0.70499999999999996</v>
      </c>
      <c r="Z15" s="323">
        <v>113193</v>
      </c>
      <c r="AA15" s="323">
        <v>658</v>
      </c>
      <c r="AB15" s="151" t="s">
        <v>2708</v>
      </c>
      <c r="AC15" s="155">
        <v>1988</v>
      </c>
      <c r="AD15" s="254">
        <f t="shared" si="0"/>
        <v>8.535934291581043</v>
      </c>
      <c r="AE15" s="152">
        <v>2</v>
      </c>
      <c r="AF15" s="252">
        <v>0</v>
      </c>
      <c r="AG15" s="242">
        <v>25</v>
      </c>
      <c r="AH15" s="242" t="s">
        <v>2252</v>
      </c>
      <c r="AI15" s="243">
        <v>8</v>
      </c>
      <c r="AJ15" s="244">
        <v>1570</v>
      </c>
      <c r="AK15" s="244">
        <v>69</v>
      </c>
      <c r="AL15" s="244">
        <v>19</v>
      </c>
      <c r="AM15" s="244">
        <v>23</v>
      </c>
      <c r="AN15" s="245">
        <v>24.87</v>
      </c>
      <c r="AO15" s="245">
        <v>1.8</v>
      </c>
      <c r="AP15" s="232">
        <v>13</v>
      </c>
    </row>
    <row r="16" spans="1:42" x14ac:dyDescent="0.2">
      <c r="A16" s="231">
        <v>14</v>
      </c>
      <c r="B16" s="255" t="s">
        <v>1900</v>
      </c>
      <c r="C16" s="256" t="s">
        <v>2618</v>
      </c>
      <c r="D16" s="264">
        <v>36</v>
      </c>
      <c r="E16" s="265">
        <v>112</v>
      </c>
      <c r="F16" s="22" t="s">
        <v>2706</v>
      </c>
      <c r="G16" s="23" t="s">
        <v>2707</v>
      </c>
      <c r="H16" s="24" t="s">
        <v>743</v>
      </c>
      <c r="I16" s="24" t="s">
        <v>743</v>
      </c>
      <c r="J16" s="25" t="s">
        <v>743</v>
      </c>
      <c r="K16" s="26">
        <v>35632</v>
      </c>
      <c r="L16" s="15" t="s">
        <v>890</v>
      </c>
      <c r="M16" s="28">
        <v>354448</v>
      </c>
      <c r="N16" s="29">
        <v>6176758</v>
      </c>
      <c r="O16" s="32" t="s">
        <v>2708</v>
      </c>
      <c r="P16" s="135" t="s">
        <v>2708</v>
      </c>
      <c r="Q16" s="260">
        <v>240</v>
      </c>
      <c r="R16" s="32">
        <v>2</v>
      </c>
      <c r="S16" s="135">
        <v>11</v>
      </c>
      <c r="T16" s="260">
        <f t="shared" si="1"/>
        <v>2</v>
      </c>
      <c r="U16" s="30"/>
      <c r="V16" s="31">
        <v>271</v>
      </c>
      <c r="W16" s="31">
        <f t="shared" si="2"/>
        <v>271</v>
      </c>
      <c r="X16" s="260">
        <v>4</v>
      </c>
      <c r="Y16" s="323">
        <v>0.26100000000000001</v>
      </c>
      <c r="Z16" s="323">
        <v>105498</v>
      </c>
      <c r="AA16" s="323">
        <v>1062</v>
      </c>
      <c r="AB16" s="151">
        <v>10</v>
      </c>
      <c r="AC16" s="155">
        <v>1988</v>
      </c>
      <c r="AD16" s="254">
        <f t="shared" si="0"/>
        <v>8.5550992470909932</v>
      </c>
      <c r="AE16" s="152">
        <v>1</v>
      </c>
      <c r="AF16" s="252">
        <v>0</v>
      </c>
      <c r="AG16" s="242">
        <v>20</v>
      </c>
      <c r="AH16" s="242" t="s">
        <v>2252</v>
      </c>
      <c r="AI16" s="243">
        <v>7.7</v>
      </c>
      <c r="AJ16" s="244">
        <v>1240</v>
      </c>
      <c r="AK16" s="244">
        <v>134</v>
      </c>
      <c r="AL16" s="244">
        <v>55</v>
      </c>
      <c r="AM16" s="244">
        <v>55</v>
      </c>
      <c r="AN16" s="245">
        <v>46.26</v>
      </c>
      <c r="AO16" s="245">
        <v>2.64</v>
      </c>
      <c r="AP16" s="232">
        <v>14</v>
      </c>
    </row>
    <row r="17" spans="1:42" x14ac:dyDescent="0.2">
      <c r="A17" s="231">
        <v>15</v>
      </c>
      <c r="B17" s="255" t="s">
        <v>1900</v>
      </c>
      <c r="C17" s="256" t="s">
        <v>1978</v>
      </c>
      <c r="D17" s="264">
        <v>18</v>
      </c>
      <c r="E17" s="265">
        <v>130</v>
      </c>
      <c r="F17" s="22" t="s">
        <v>2706</v>
      </c>
      <c r="G17" s="23" t="s">
        <v>2707</v>
      </c>
      <c r="H17" s="24" t="s">
        <v>743</v>
      </c>
      <c r="I17" s="24" t="s">
        <v>743</v>
      </c>
      <c r="J17" s="25" t="s">
        <v>743</v>
      </c>
      <c r="K17" s="26">
        <v>35632</v>
      </c>
      <c r="L17" s="15" t="s">
        <v>890</v>
      </c>
      <c r="M17" s="28">
        <v>355364</v>
      </c>
      <c r="N17" s="29">
        <v>6176396</v>
      </c>
      <c r="O17" s="32" t="s">
        <v>2708</v>
      </c>
      <c r="P17" s="135">
        <v>150</v>
      </c>
      <c r="Q17" s="260">
        <v>241</v>
      </c>
      <c r="R17" s="32">
        <v>8</v>
      </c>
      <c r="S17" s="135">
        <v>4</v>
      </c>
      <c r="T17" s="260">
        <f t="shared" si="1"/>
        <v>8</v>
      </c>
      <c r="U17" s="30"/>
      <c r="V17" s="31">
        <v>114</v>
      </c>
      <c r="W17" s="31">
        <f t="shared" si="2"/>
        <v>114</v>
      </c>
      <c r="X17" s="260">
        <v>2</v>
      </c>
      <c r="Y17" s="323">
        <v>5.0000000000000001E-3</v>
      </c>
      <c r="Z17" s="323">
        <v>103375</v>
      </c>
      <c r="AA17" s="323">
        <v>639</v>
      </c>
      <c r="AB17" s="151" t="s">
        <v>2708</v>
      </c>
      <c r="AC17" s="155">
        <v>1990</v>
      </c>
      <c r="AD17" s="254">
        <f t="shared" si="0"/>
        <v>6.5550992470909932</v>
      </c>
      <c r="AE17" s="152">
        <v>3</v>
      </c>
      <c r="AF17" s="252">
        <v>100</v>
      </c>
      <c r="AG17" s="242">
        <v>0</v>
      </c>
      <c r="AH17" s="242" t="s">
        <v>2252</v>
      </c>
      <c r="AI17" s="243">
        <v>8</v>
      </c>
      <c r="AJ17" s="244">
        <v>2340</v>
      </c>
      <c r="AK17" s="244">
        <v>116</v>
      </c>
      <c r="AL17" s="244">
        <v>44</v>
      </c>
      <c r="AM17" s="244">
        <v>16</v>
      </c>
      <c r="AN17" s="245">
        <v>56</v>
      </c>
      <c r="AO17" s="245">
        <v>1.51</v>
      </c>
      <c r="AP17" s="232">
        <v>15</v>
      </c>
    </row>
    <row r="18" spans="1:42" x14ac:dyDescent="0.2">
      <c r="A18" s="231">
        <v>16</v>
      </c>
      <c r="B18" s="255" t="s">
        <v>1900</v>
      </c>
      <c r="C18" s="256" t="s">
        <v>2617</v>
      </c>
      <c r="D18" s="264">
        <v>33</v>
      </c>
      <c r="E18" s="265">
        <v>112.5</v>
      </c>
      <c r="F18" s="22" t="s">
        <v>2706</v>
      </c>
      <c r="G18" s="23" t="s">
        <v>2707</v>
      </c>
      <c r="H18" s="24" t="s">
        <v>743</v>
      </c>
      <c r="I18" s="24" t="s">
        <v>743</v>
      </c>
      <c r="J18" s="25" t="s">
        <v>743</v>
      </c>
      <c r="K18" s="26">
        <v>35633</v>
      </c>
      <c r="L18" s="15" t="s">
        <v>890</v>
      </c>
      <c r="M18" s="28">
        <v>355321</v>
      </c>
      <c r="N18" s="29">
        <v>6176331</v>
      </c>
      <c r="O18" s="32" t="s">
        <v>2708</v>
      </c>
      <c r="P18" s="135" t="s">
        <v>2708</v>
      </c>
      <c r="Q18" s="260">
        <v>246</v>
      </c>
      <c r="R18" s="32">
        <v>30</v>
      </c>
      <c r="S18" s="135">
        <v>14</v>
      </c>
      <c r="T18" s="260">
        <f t="shared" si="1"/>
        <v>30</v>
      </c>
      <c r="U18" s="30"/>
      <c r="V18" s="31">
        <v>318</v>
      </c>
      <c r="W18" s="31">
        <f t="shared" si="2"/>
        <v>318</v>
      </c>
      <c r="X18" s="260">
        <v>6</v>
      </c>
      <c r="Y18" s="323">
        <v>0.55200000000000005</v>
      </c>
      <c r="Z18" s="323">
        <v>113614</v>
      </c>
      <c r="AA18" s="323">
        <v>722</v>
      </c>
      <c r="AB18" s="151">
        <v>2</v>
      </c>
      <c r="AC18" s="155">
        <v>1990</v>
      </c>
      <c r="AD18" s="254">
        <f t="shared" si="0"/>
        <v>6.557837097878064</v>
      </c>
      <c r="AE18" s="152">
        <v>2</v>
      </c>
      <c r="AF18" s="252">
        <v>12</v>
      </c>
      <c r="AG18" s="242">
        <v>40</v>
      </c>
      <c r="AH18" s="242" t="s">
        <v>2252</v>
      </c>
      <c r="AI18" s="243">
        <v>8</v>
      </c>
      <c r="AJ18" s="244">
        <v>1320</v>
      </c>
      <c r="AK18" s="244">
        <v>46</v>
      </c>
      <c r="AL18" s="244">
        <v>22</v>
      </c>
      <c r="AM18" s="244">
        <v>26</v>
      </c>
      <c r="AN18" s="245">
        <v>29.3</v>
      </c>
      <c r="AO18" s="245">
        <v>2.09</v>
      </c>
      <c r="AP18" s="232">
        <v>16</v>
      </c>
    </row>
    <row r="19" spans="1:42" x14ac:dyDescent="0.2">
      <c r="A19" s="231">
        <v>17</v>
      </c>
      <c r="B19" s="255" t="s">
        <v>1900</v>
      </c>
      <c r="C19" s="256" t="s">
        <v>2617</v>
      </c>
      <c r="D19" s="264">
        <v>26</v>
      </c>
      <c r="E19" s="265">
        <v>115.5</v>
      </c>
      <c r="F19" s="22" t="s">
        <v>2706</v>
      </c>
      <c r="G19" s="23" t="s">
        <v>2707</v>
      </c>
      <c r="H19" s="24" t="s">
        <v>743</v>
      </c>
      <c r="I19" s="24" t="s">
        <v>743</v>
      </c>
      <c r="J19" s="25" t="s">
        <v>743</v>
      </c>
      <c r="K19" s="26">
        <v>35633</v>
      </c>
      <c r="L19" s="15" t="s">
        <v>890</v>
      </c>
      <c r="M19" s="28">
        <v>355065</v>
      </c>
      <c r="N19" s="29">
        <v>6177630</v>
      </c>
      <c r="O19" s="32" t="s">
        <v>2708</v>
      </c>
      <c r="P19" s="135" t="s">
        <v>2708</v>
      </c>
      <c r="Q19" s="260">
        <v>238</v>
      </c>
      <c r="R19" s="32">
        <v>2</v>
      </c>
      <c r="S19" s="135">
        <v>6</v>
      </c>
      <c r="T19" s="260">
        <f t="shared" si="1"/>
        <v>2</v>
      </c>
      <c r="U19" s="30"/>
      <c r="V19" s="31">
        <v>312</v>
      </c>
      <c r="W19" s="31">
        <f t="shared" si="2"/>
        <v>312</v>
      </c>
      <c r="X19" s="260">
        <v>3</v>
      </c>
      <c r="Y19" s="323">
        <v>1.3959999999999999</v>
      </c>
      <c r="Z19" s="323">
        <v>110763</v>
      </c>
      <c r="AA19" s="323">
        <v>1044</v>
      </c>
      <c r="AB19" s="151">
        <v>8</v>
      </c>
      <c r="AC19" s="155">
        <v>1988</v>
      </c>
      <c r="AD19" s="254">
        <f t="shared" si="0"/>
        <v>8.557837097878064</v>
      </c>
      <c r="AE19" s="152">
        <v>6</v>
      </c>
      <c r="AF19" s="252">
        <v>100</v>
      </c>
      <c r="AG19" s="242">
        <v>0</v>
      </c>
      <c r="AH19" s="242" t="s">
        <v>2252</v>
      </c>
      <c r="AI19" s="243">
        <v>8</v>
      </c>
      <c r="AJ19" s="244">
        <v>2470</v>
      </c>
      <c r="AK19" s="244">
        <v>90</v>
      </c>
      <c r="AL19" s="244">
        <v>34</v>
      </c>
      <c r="AM19" s="244">
        <v>13</v>
      </c>
      <c r="AN19" s="245">
        <v>25.56</v>
      </c>
      <c r="AO19" s="245">
        <v>1.72</v>
      </c>
      <c r="AP19" s="232">
        <v>17</v>
      </c>
    </row>
    <row r="20" spans="1:42" x14ac:dyDescent="0.2">
      <c r="A20" s="231">
        <v>18</v>
      </c>
      <c r="B20" s="255" t="s">
        <v>1900</v>
      </c>
      <c r="C20" s="256" t="s">
        <v>2617</v>
      </c>
      <c r="D20" s="264">
        <v>29</v>
      </c>
      <c r="E20" s="265">
        <v>126.5</v>
      </c>
      <c r="F20" s="22" t="s">
        <v>2706</v>
      </c>
      <c r="G20" s="23" t="s">
        <v>2707</v>
      </c>
      <c r="H20" s="24" t="s">
        <v>743</v>
      </c>
      <c r="I20" s="24" t="s">
        <v>743</v>
      </c>
      <c r="J20" s="25" t="s">
        <v>743</v>
      </c>
      <c r="K20" s="26">
        <v>35634</v>
      </c>
      <c r="L20" s="15" t="s">
        <v>890</v>
      </c>
      <c r="M20" s="28">
        <v>354834</v>
      </c>
      <c r="N20" s="29">
        <v>6177804</v>
      </c>
      <c r="O20" s="32" t="s">
        <v>2708</v>
      </c>
      <c r="P20" s="135" t="s">
        <v>2708</v>
      </c>
      <c r="Q20" s="260">
        <v>217</v>
      </c>
      <c r="R20" s="32">
        <v>2</v>
      </c>
      <c r="S20" s="135">
        <v>7</v>
      </c>
      <c r="T20" s="260">
        <f t="shared" si="1"/>
        <v>2</v>
      </c>
      <c r="U20" s="30"/>
      <c r="V20" s="31">
        <v>301</v>
      </c>
      <c r="W20" s="31">
        <f t="shared" si="2"/>
        <v>301</v>
      </c>
      <c r="X20" s="260">
        <v>3</v>
      </c>
      <c r="Y20" s="323">
        <v>0.47</v>
      </c>
      <c r="Z20" s="323">
        <v>109655</v>
      </c>
      <c r="AA20" s="323">
        <v>1057</v>
      </c>
      <c r="AB20" s="151">
        <v>8</v>
      </c>
      <c r="AC20" s="155">
        <v>1988</v>
      </c>
      <c r="AD20" s="254">
        <f t="shared" si="0"/>
        <v>8.5605749486653622</v>
      </c>
      <c r="AE20" s="152">
        <v>4</v>
      </c>
      <c r="AF20" s="252">
        <v>100</v>
      </c>
      <c r="AG20" s="242">
        <v>0</v>
      </c>
      <c r="AH20" s="242" t="s">
        <v>2252</v>
      </c>
      <c r="AI20" s="243">
        <v>8</v>
      </c>
      <c r="AJ20" s="244">
        <v>2460</v>
      </c>
      <c r="AK20" s="244">
        <v>86</v>
      </c>
      <c r="AL20" s="244">
        <v>32</v>
      </c>
      <c r="AM20" s="244">
        <v>19</v>
      </c>
      <c r="AN20" s="245">
        <v>24.82</v>
      </c>
      <c r="AO20" s="245">
        <v>2.0099999999999998</v>
      </c>
      <c r="AP20" s="232">
        <v>18</v>
      </c>
    </row>
    <row r="21" spans="1:42" x14ac:dyDescent="0.2">
      <c r="A21" s="231">
        <v>19</v>
      </c>
      <c r="B21" s="255" t="s">
        <v>1900</v>
      </c>
      <c r="C21" s="256" t="s">
        <v>2671</v>
      </c>
      <c r="D21" s="264">
        <v>18</v>
      </c>
      <c r="E21" s="265">
        <v>130</v>
      </c>
      <c r="F21" s="22" t="s">
        <v>2706</v>
      </c>
      <c r="G21" s="23" t="s">
        <v>2707</v>
      </c>
      <c r="H21" s="24" t="s">
        <v>743</v>
      </c>
      <c r="I21" s="24" t="s">
        <v>743</v>
      </c>
      <c r="J21" s="25" t="s">
        <v>743</v>
      </c>
      <c r="K21" s="26">
        <v>35636</v>
      </c>
      <c r="L21" s="15" t="s">
        <v>890</v>
      </c>
      <c r="M21" s="28">
        <v>355316</v>
      </c>
      <c r="N21" s="29">
        <v>6177042</v>
      </c>
      <c r="O21" s="32" t="s">
        <v>2708</v>
      </c>
      <c r="P21" s="135" t="s">
        <v>2708</v>
      </c>
      <c r="Q21" s="260">
        <v>340</v>
      </c>
      <c r="R21" s="32">
        <v>20</v>
      </c>
      <c r="S21" s="135">
        <v>15</v>
      </c>
      <c r="T21" s="260">
        <f t="shared" si="1"/>
        <v>20</v>
      </c>
      <c r="U21" s="30"/>
      <c r="V21" s="31">
        <v>296</v>
      </c>
      <c r="W21" s="31">
        <f t="shared" si="2"/>
        <v>296</v>
      </c>
      <c r="X21" s="260">
        <v>4</v>
      </c>
      <c r="Y21" s="323">
        <v>0.20799999999999999</v>
      </c>
      <c r="Z21" s="323">
        <v>111270</v>
      </c>
      <c r="AA21" s="323">
        <v>913</v>
      </c>
      <c r="AB21" s="151">
        <v>8</v>
      </c>
      <c r="AC21" s="155">
        <v>1990</v>
      </c>
      <c r="AD21" s="254">
        <f t="shared" si="0"/>
        <v>6.5660506502395037</v>
      </c>
      <c r="AE21" s="152">
        <v>1</v>
      </c>
      <c r="AF21" s="252">
        <v>0</v>
      </c>
      <c r="AG21" s="242">
        <v>20</v>
      </c>
      <c r="AH21" s="242" t="s">
        <v>2252</v>
      </c>
      <c r="AI21" s="243">
        <v>7.7</v>
      </c>
      <c r="AJ21" s="244">
        <v>730</v>
      </c>
      <c r="AK21" s="244">
        <v>130</v>
      </c>
      <c r="AL21" s="244">
        <v>33</v>
      </c>
      <c r="AM21" s="244">
        <v>71</v>
      </c>
      <c r="AN21" s="245">
        <v>33.07</v>
      </c>
      <c r="AO21" s="245">
        <v>2.63</v>
      </c>
      <c r="AP21" s="232">
        <v>19</v>
      </c>
    </row>
    <row r="22" spans="1:42" x14ac:dyDescent="0.2">
      <c r="A22" s="231">
        <v>20</v>
      </c>
      <c r="B22" s="255" t="s">
        <v>1900</v>
      </c>
      <c r="C22" s="256" t="s">
        <v>2671</v>
      </c>
      <c r="D22" s="264">
        <v>22</v>
      </c>
      <c r="E22" s="265">
        <v>114</v>
      </c>
      <c r="F22" s="22" t="s">
        <v>2706</v>
      </c>
      <c r="G22" s="23" t="s">
        <v>2707</v>
      </c>
      <c r="H22" s="24" t="s">
        <v>743</v>
      </c>
      <c r="I22" s="24" t="s">
        <v>743</v>
      </c>
      <c r="J22" s="25" t="s">
        <v>743</v>
      </c>
      <c r="K22" s="26">
        <v>35636</v>
      </c>
      <c r="L22" s="15" t="s">
        <v>890</v>
      </c>
      <c r="M22" s="28">
        <v>355328</v>
      </c>
      <c r="N22" s="29">
        <v>6177096</v>
      </c>
      <c r="O22" s="32" t="s">
        <v>2708</v>
      </c>
      <c r="P22" s="135" t="s">
        <v>2708</v>
      </c>
      <c r="Q22" s="260">
        <v>329</v>
      </c>
      <c r="R22" s="32">
        <v>8</v>
      </c>
      <c r="S22" s="135">
        <v>19</v>
      </c>
      <c r="T22" s="260">
        <f t="shared" si="1"/>
        <v>8</v>
      </c>
      <c r="U22" s="30"/>
      <c r="V22" s="31">
        <v>340</v>
      </c>
      <c r="W22" s="31">
        <f t="shared" si="2"/>
        <v>340</v>
      </c>
      <c r="X22" s="260">
        <v>4</v>
      </c>
      <c r="Y22" s="323">
        <v>0.63700000000000001</v>
      </c>
      <c r="Z22" s="323">
        <v>119625</v>
      </c>
      <c r="AA22" s="323">
        <v>645</v>
      </c>
      <c r="AB22" s="151" t="s">
        <v>2708</v>
      </c>
      <c r="AC22" s="155">
        <v>1990</v>
      </c>
      <c r="AD22" s="254">
        <f t="shared" si="0"/>
        <v>6.5660506502395037</v>
      </c>
      <c r="AE22" s="152">
        <v>2</v>
      </c>
      <c r="AF22" s="252">
        <v>5</v>
      </c>
      <c r="AG22" s="242">
        <v>15</v>
      </c>
      <c r="AH22" s="242" t="s">
        <v>2252</v>
      </c>
      <c r="AI22" s="243">
        <v>7.8</v>
      </c>
      <c r="AJ22" s="244">
        <v>1420</v>
      </c>
      <c r="AK22" s="244">
        <v>93</v>
      </c>
      <c r="AL22" s="244">
        <v>19</v>
      </c>
      <c r="AM22" s="244">
        <v>70</v>
      </c>
      <c r="AN22" s="245">
        <v>53.2</v>
      </c>
      <c r="AO22" s="245">
        <v>2.2000000000000002</v>
      </c>
      <c r="AP22" s="232">
        <v>20</v>
      </c>
    </row>
    <row r="23" spans="1:42" x14ac:dyDescent="0.2">
      <c r="A23" s="231">
        <v>21</v>
      </c>
      <c r="B23" s="255" t="s">
        <v>1900</v>
      </c>
      <c r="C23" s="256" t="s">
        <v>2671</v>
      </c>
      <c r="D23" s="264">
        <v>25</v>
      </c>
      <c r="E23" s="265">
        <v>118</v>
      </c>
      <c r="F23" s="22" t="s">
        <v>2706</v>
      </c>
      <c r="G23" s="23" t="s">
        <v>2707</v>
      </c>
      <c r="H23" s="24" t="s">
        <v>743</v>
      </c>
      <c r="I23" s="24" t="s">
        <v>743</v>
      </c>
      <c r="J23" s="25" t="s">
        <v>743</v>
      </c>
      <c r="K23" s="26">
        <v>35639</v>
      </c>
      <c r="L23" s="15" t="s">
        <v>890</v>
      </c>
      <c r="M23" s="28">
        <v>356254</v>
      </c>
      <c r="N23" s="29">
        <v>6177547</v>
      </c>
      <c r="O23" s="32" t="s">
        <v>2708</v>
      </c>
      <c r="P23" s="135" t="s">
        <v>2708</v>
      </c>
      <c r="Q23" s="260">
        <v>309</v>
      </c>
      <c r="R23" s="32">
        <v>5</v>
      </c>
      <c r="S23" s="135">
        <v>16</v>
      </c>
      <c r="T23" s="260">
        <f t="shared" si="1"/>
        <v>5</v>
      </c>
      <c r="U23" s="30"/>
      <c r="V23" s="31">
        <v>323</v>
      </c>
      <c r="W23" s="31">
        <f t="shared" si="2"/>
        <v>323</v>
      </c>
      <c r="X23" s="260">
        <v>6</v>
      </c>
      <c r="Y23" s="323">
        <v>0.33400000000000002</v>
      </c>
      <c r="Z23" s="323">
        <v>115284</v>
      </c>
      <c r="AA23" s="323">
        <v>589</v>
      </c>
      <c r="AB23" s="151" t="s">
        <v>2708</v>
      </c>
      <c r="AC23" s="155">
        <v>1988</v>
      </c>
      <c r="AD23" s="254">
        <f t="shared" si="0"/>
        <v>8.5742642026009435</v>
      </c>
      <c r="AE23" s="152">
        <v>2</v>
      </c>
      <c r="AF23" s="252">
        <v>0</v>
      </c>
      <c r="AG23" s="242">
        <v>20</v>
      </c>
      <c r="AH23" s="242" t="s">
        <v>2252</v>
      </c>
      <c r="AI23" s="243">
        <v>7.6</v>
      </c>
      <c r="AJ23" s="244">
        <v>350</v>
      </c>
      <c r="AK23" s="244">
        <v>211</v>
      </c>
      <c r="AL23" s="244">
        <v>74</v>
      </c>
      <c r="AM23" s="244">
        <v>132</v>
      </c>
      <c r="AN23" s="245">
        <v>43.57</v>
      </c>
      <c r="AO23" s="245">
        <v>3.25</v>
      </c>
      <c r="AP23" s="232">
        <v>21</v>
      </c>
    </row>
    <row r="24" spans="1:42" x14ac:dyDescent="0.2">
      <c r="A24" s="231">
        <v>22</v>
      </c>
      <c r="B24" s="255" t="s">
        <v>1900</v>
      </c>
      <c r="C24" s="256" t="s">
        <v>2671</v>
      </c>
      <c r="D24" s="264">
        <v>15</v>
      </c>
      <c r="E24" s="265">
        <v>87.5</v>
      </c>
      <c r="F24" s="22" t="s">
        <v>2706</v>
      </c>
      <c r="G24" s="23" t="s">
        <v>2707</v>
      </c>
      <c r="H24" s="24" t="s">
        <v>743</v>
      </c>
      <c r="I24" s="24" t="s">
        <v>743</v>
      </c>
      <c r="J24" s="25" t="s">
        <v>743</v>
      </c>
      <c r="K24" s="26">
        <v>35640</v>
      </c>
      <c r="L24" s="15" t="s">
        <v>890</v>
      </c>
      <c r="M24" s="28">
        <v>356252</v>
      </c>
      <c r="N24" s="29">
        <v>6177454</v>
      </c>
      <c r="O24" s="32" t="s">
        <v>2708</v>
      </c>
      <c r="P24" s="135" t="s">
        <v>2708</v>
      </c>
      <c r="Q24" s="260">
        <v>342</v>
      </c>
      <c r="R24" s="32">
        <v>40</v>
      </c>
      <c r="S24" s="135">
        <v>21</v>
      </c>
      <c r="T24" s="260">
        <f t="shared" si="1"/>
        <v>40</v>
      </c>
      <c r="U24" s="30"/>
      <c r="V24" s="31">
        <v>103</v>
      </c>
      <c r="W24" s="31">
        <f t="shared" si="2"/>
        <v>103</v>
      </c>
      <c r="X24" s="260">
        <v>6</v>
      </c>
      <c r="Y24" s="323">
        <v>0.46400000000000002</v>
      </c>
      <c r="Z24" s="323">
        <v>121175</v>
      </c>
      <c r="AA24" s="323">
        <v>803</v>
      </c>
      <c r="AB24" s="151" t="s">
        <v>2708</v>
      </c>
      <c r="AC24" s="155">
        <v>1990</v>
      </c>
      <c r="AD24" s="254">
        <f t="shared" si="0"/>
        <v>6.5770020533880142</v>
      </c>
      <c r="AE24" s="152">
        <v>1</v>
      </c>
      <c r="AF24" s="252">
        <v>0</v>
      </c>
      <c r="AG24" s="242">
        <v>15</v>
      </c>
      <c r="AH24" s="242" t="s">
        <v>2252</v>
      </c>
      <c r="AI24" s="243">
        <v>6.1</v>
      </c>
      <c r="AJ24" s="244">
        <v>1970</v>
      </c>
      <c r="AK24" s="244">
        <v>36</v>
      </c>
      <c r="AL24" s="244">
        <v>13</v>
      </c>
      <c r="AM24" s="244">
        <v>57</v>
      </c>
      <c r="AN24" s="245">
        <v>15.18</v>
      </c>
      <c r="AO24" s="245">
        <v>1.84</v>
      </c>
      <c r="AP24" s="232">
        <v>22</v>
      </c>
    </row>
    <row r="25" spans="1:42" x14ac:dyDescent="0.2">
      <c r="A25" s="231">
        <v>23</v>
      </c>
      <c r="B25" s="255" t="s">
        <v>1900</v>
      </c>
      <c r="C25" s="256" t="s">
        <v>2671</v>
      </c>
      <c r="D25" s="264">
        <v>19</v>
      </c>
      <c r="E25" s="265">
        <v>114.5</v>
      </c>
      <c r="F25" s="22" t="s">
        <v>2706</v>
      </c>
      <c r="G25" s="23" t="s">
        <v>2707</v>
      </c>
      <c r="H25" s="24" t="s">
        <v>743</v>
      </c>
      <c r="I25" s="24" t="s">
        <v>743</v>
      </c>
      <c r="J25" s="25" t="s">
        <v>743</v>
      </c>
      <c r="K25" s="26">
        <v>35641</v>
      </c>
      <c r="L25" s="15" t="s">
        <v>890</v>
      </c>
      <c r="M25" s="28">
        <v>356480</v>
      </c>
      <c r="N25" s="29">
        <v>6177510</v>
      </c>
      <c r="O25" s="32" t="s">
        <v>2708</v>
      </c>
      <c r="P25" s="135" t="s">
        <v>2708</v>
      </c>
      <c r="Q25" s="260">
        <v>304</v>
      </c>
      <c r="R25" s="32">
        <v>15</v>
      </c>
      <c r="S25" s="135">
        <v>12</v>
      </c>
      <c r="T25" s="260">
        <f t="shared" si="1"/>
        <v>15</v>
      </c>
      <c r="U25" s="30"/>
      <c r="V25" s="31">
        <v>305</v>
      </c>
      <c r="W25" s="31">
        <f t="shared" si="2"/>
        <v>305</v>
      </c>
      <c r="X25" s="260">
        <v>6</v>
      </c>
      <c r="Y25" s="323">
        <v>0.02</v>
      </c>
      <c r="Z25" s="323">
        <v>110807</v>
      </c>
      <c r="AA25" s="323">
        <v>702</v>
      </c>
      <c r="AB25" s="151">
        <v>10</v>
      </c>
      <c r="AC25" s="155">
        <v>1990</v>
      </c>
      <c r="AD25" s="254">
        <f t="shared" si="0"/>
        <v>6.5797399041753124</v>
      </c>
      <c r="AE25" s="152">
        <v>1</v>
      </c>
      <c r="AF25" s="252">
        <v>0</v>
      </c>
      <c r="AG25" s="242">
        <v>10</v>
      </c>
      <c r="AH25" s="242" t="s">
        <v>2252</v>
      </c>
      <c r="AI25" s="243">
        <v>6</v>
      </c>
      <c r="AJ25" s="244">
        <v>1800</v>
      </c>
      <c r="AK25" s="244">
        <v>87</v>
      </c>
      <c r="AL25" s="244">
        <v>13</v>
      </c>
      <c r="AM25" s="244">
        <v>61</v>
      </c>
      <c r="AN25" s="245">
        <v>11.56</v>
      </c>
      <c r="AO25" s="245">
        <v>1.66</v>
      </c>
      <c r="AP25" s="232">
        <v>23</v>
      </c>
    </row>
    <row r="26" spans="1:42" x14ac:dyDescent="0.2">
      <c r="A26" s="231">
        <v>24</v>
      </c>
      <c r="B26" s="255" t="s">
        <v>1900</v>
      </c>
      <c r="C26" s="256" t="s">
        <v>2671</v>
      </c>
      <c r="D26" s="264">
        <v>17</v>
      </c>
      <c r="E26" s="265">
        <v>102.5</v>
      </c>
      <c r="F26" s="22" t="s">
        <v>2706</v>
      </c>
      <c r="G26" s="23" t="s">
        <v>2707</v>
      </c>
      <c r="H26" s="24" t="s">
        <v>743</v>
      </c>
      <c r="I26" s="24" t="s">
        <v>743</v>
      </c>
      <c r="J26" s="25" t="s">
        <v>743</v>
      </c>
      <c r="K26" s="26">
        <v>35641</v>
      </c>
      <c r="L26" s="15" t="s">
        <v>890</v>
      </c>
      <c r="M26" s="28">
        <v>356020</v>
      </c>
      <c r="N26" s="29">
        <v>6177445</v>
      </c>
      <c r="O26" s="32" t="s">
        <v>2708</v>
      </c>
      <c r="P26" s="135" t="s">
        <v>2708</v>
      </c>
      <c r="Q26" s="260">
        <v>340</v>
      </c>
      <c r="R26" s="32">
        <v>20</v>
      </c>
      <c r="S26" s="135">
        <v>20</v>
      </c>
      <c r="T26" s="260">
        <f t="shared" si="1"/>
        <v>20</v>
      </c>
      <c r="U26" s="30"/>
      <c r="V26" s="31">
        <v>30</v>
      </c>
      <c r="W26" s="31">
        <f t="shared" si="2"/>
        <v>30</v>
      </c>
      <c r="X26" s="260">
        <v>6</v>
      </c>
      <c r="Y26" s="323">
        <v>0.65200000000000002</v>
      </c>
      <c r="Z26" s="323">
        <v>120932</v>
      </c>
      <c r="AA26" s="323">
        <v>720</v>
      </c>
      <c r="AB26" s="151">
        <v>8</v>
      </c>
      <c r="AC26" s="155">
        <v>1990</v>
      </c>
      <c r="AD26" s="254">
        <f t="shared" si="0"/>
        <v>6.5797399041753124</v>
      </c>
      <c r="AE26" s="152">
        <v>1</v>
      </c>
      <c r="AF26" s="252">
        <v>0</v>
      </c>
      <c r="AG26" s="242">
        <v>10</v>
      </c>
      <c r="AH26" s="242" t="s">
        <v>2252</v>
      </c>
      <c r="AI26" s="243">
        <v>7.7</v>
      </c>
      <c r="AJ26" s="244">
        <v>1640</v>
      </c>
      <c r="AK26" s="244">
        <v>76</v>
      </c>
      <c r="AL26" s="244">
        <v>22</v>
      </c>
      <c r="AM26" s="244">
        <v>45</v>
      </c>
      <c r="AN26" s="245">
        <v>35.51</v>
      </c>
      <c r="AO26" s="245">
        <v>1.83</v>
      </c>
      <c r="AP26" s="232">
        <v>24</v>
      </c>
    </row>
    <row r="27" spans="1:42" x14ac:dyDescent="0.2">
      <c r="A27" s="231">
        <v>25</v>
      </c>
      <c r="B27" s="255" t="s">
        <v>1900</v>
      </c>
      <c r="C27" s="256" t="s">
        <v>2617</v>
      </c>
      <c r="D27" s="264">
        <v>40</v>
      </c>
      <c r="E27" s="265">
        <v>121.5</v>
      </c>
      <c r="F27" s="22" t="s">
        <v>2706</v>
      </c>
      <c r="G27" s="23" t="s">
        <v>2707</v>
      </c>
      <c r="H27" s="24" t="s">
        <v>743</v>
      </c>
      <c r="I27" s="24" t="s">
        <v>743</v>
      </c>
      <c r="J27" s="25" t="s">
        <v>743</v>
      </c>
      <c r="K27" s="26">
        <v>35642</v>
      </c>
      <c r="L27" s="15" t="s">
        <v>890</v>
      </c>
      <c r="M27" s="28">
        <v>355877</v>
      </c>
      <c r="N27" s="29">
        <v>6177171</v>
      </c>
      <c r="O27" s="32" t="s">
        <v>2708</v>
      </c>
      <c r="P27" s="135" t="s">
        <v>2708</v>
      </c>
      <c r="Q27" s="260">
        <v>363</v>
      </c>
      <c r="R27" s="32">
        <v>25</v>
      </c>
      <c r="S27" s="135">
        <v>18</v>
      </c>
      <c r="T27" s="260">
        <f t="shared" si="1"/>
        <v>25</v>
      </c>
      <c r="U27" s="30"/>
      <c r="V27" s="31">
        <v>290</v>
      </c>
      <c r="W27" s="31">
        <f t="shared" si="2"/>
        <v>290</v>
      </c>
      <c r="X27" s="260">
        <v>6</v>
      </c>
      <c r="Y27" s="323">
        <v>0.33600000000000002</v>
      </c>
      <c r="Z27" s="323">
        <v>109447</v>
      </c>
      <c r="AA27" s="323">
        <v>636</v>
      </c>
      <c r="AB27" s="151">
        <v>10</v>
      </c>
      <c r="AC27" s="155">
        <v>1990</v>
      </c>
      <c r="AD27" s="254">
        <f t="shared" si="0"/>
        <v>6.5824777549623832</v>
      </c>
      <c r="AE27" s="152">
        <v>1</v>
      </c>
      <c r="AF27" s="252">
        <v>0</v>
      </c>
      <c r="AG27" s="242">
        <v>25</v>
      </c>
      <c r="AH27" s="242" t="s">
        <v>2252</v>
      </c>
      <c r="AI27" s="243">
        <v>7.5</v>
      </c>
      <c r="AJ27" s="244">
        <v>480</v>
      </c>
      <c r="AK27" s="244">
        <v>198</v>
      </c>
      <c r="AL27" s="244">
        <v>130</v>
      </c>
      <c r="AM27" s="244">
        <v>126</v>
      </c>
      <c r="AN27" s="245">
        <v>85.85</v>
      </c>
      <c r="AO27" s="245">
        <v>4.25</v>
      </c>
      <c r="AP27" s="232">
        <v>25</v>
      </c>
    </row>
    <row r="28" spans="1:42" x14ac:dyDescent="0.2">
      <c r="A28" s="231">
        <v>26</v>
      </c>
      <c r="B28" s="255" t="s">
        <v>1900</v>
      </c>
      <c r="C28" s="256" t="s">
        <v>2618</v>
      </c>
      <c r="D28" s="264">
        <v>20</v>
      </c>
      <c r="E28" s="265">
        <v>108</v>
      </c>
      <c r="F28" s="22" t="s">
        <v>2706</v>
      </c>
      <c r="G28" s="23" t="s">
        <v>2707</v>
      </c>
      <c r="H28" s="24" t="s">
        <v>743</v>
      </c>
      <c r="I28" s="24" t="s">
        <v>743</v>
      </c>
      <c r="J28" s="25" t="s">
        <v>743</v>
      </c>
      <c r="K28" s="26">
        <v>35647</v>
      </c>
      <c r="L28" s="15" t="s">
        <v>890</v>
      </c>
      <c r="M28" s="28">
        <v>356209</v>
      </c>
      <c r="N28" s="29">
        <v>6177045</v>
      </c>
      <c r="O28" s="32" t="s">
        <v>2708</v>
      </c>
      <c r="P28" s="135" t="s">
        <v>2708</v>
      </c>
      <c r="Q28" s="260">
        <v>408</v>
      </c>
      <c r="R28" s="32">
        <v>2</v>
      </c>
      <c r="S28" s="135">
        <v>1</v>
      </c>
      <c r="T28" s="260">
        <f t="shared" si="1"/>
        <v>2</v>
      </c>
      <c r="U28" s="30"/>
      <c r="V28" s="31">
        <v>313</v>
      </c>
      <c r="W28" s="31">
        <f t="shared" si="2"/>
        <v>313</v>
      </c>
      <c r="X28" s="260">
        <v>6</v>
      </c>
      <c r="Y28" s="323">
        <v>1.2E-2</v>
      </c>
      <c r="Z28" s="323">
        <v>111321</v>
      </c>
      <c r="AA28" s="323">
        <v>1686</v>
      </c>
      <c r="AB28" s="151">
        <v>8</v>
      </c>
      <c r="AC28" s="155">
        <v>1990</v>
      </c>
      <c r="AD28" s="254">
        <f t="shared" si="0"/>
        <v>6.5961670088979645</v>
      </c>
      <c r="AE28" s="152">
        <v>3</v>
      </c>
      <c r="AF28" s="252">
        <v>100</v>
      </c>
      <c r="AG28" s="242">
        <v>0</v>
      </c>
      <c r="AH28" s="242" t="s">
        <v>2252</v>
      </c>
      <c r="AI28" s="243">
        <v>5.8</v>
      </c>
      <c r="AJ28" s="244">
        <v>3040</v>
      </c>
      <c r="AK28" s="244">
        <v>6</v>
      </c>
      <c r="AL28" s="244">
        <v>6</v>
      </c>
      <c r="AM28" s="244">
        <v>8</v>
      </c>
      <c r="AN28" s="245">
        <v>6.36</v>
      </c>
      <c r="AO28" s="245">
        <v>0.61</v>
      </c>
      <c r="AP28" s="232">
        <v>26</v>
      </c>
    </row>
    <row r="29" spans="1:42" x14ac:dyDescent="0.2">
      <c r="A29" s="231">
        <v>27</v>
      </c>
      <c r="B29" s="255" t="s">
        <v>1900</v>
      </c>
      <c r="C29" s="256" t="s">
        <v>2618</v>
      </c>
      <c r="D29" s="264">
        <v>19</v>
      </c>
      <c r="E29" s="265">
        <v>109</v>
      </c>
      <c r="F29" s="22" t="s">
        <v>2706</v>
      </c>
      <c r="G29" s="23" t="s">
        <v>2707</v>
      </c>
      <c r="H29" s="24" t="s">
        <v>743</v>
      </c>
      <c r="I29" s="24" t="s">
        <v>743</v>
      </c>
      <c r="J29" s="25" t="s">
        <v>743</v>
      </c>
      <c r="K29" s="26">
        <v>35647</v>
      </c>
      <c r="L29" s="15" t="s">
        <v>890</v>
      </c>
      <c r="M29" s="28">
        <v>356975</v>
      </c>
      <c r="N29" s="29">
        <v>6176974</v>
      </c>
      <c r="O29" s="32" t="s">
        <v>2708</v>
      </c>
      <c r="P29" s="135" t="s">
        <v>2708</v>
      </c>
      <c r="Q29" s="260">
        <v>362</v>
      </c>
      <c r="R29" s="32">
        <v>16</v>
      </c>
      <c r="S29" s="135">
        <v>12</v>
      </c>
      <c r="T29" s="260">
        <f t="shared" si="1"/>
        <v>16</v>
      </c>
      <c r="U29" s="30"/>
      <c r="V29" s="31">
        <v>25</v>
      </c>
      <c r="W29" s="31">
        <f t="shared" si="2"/>
        <v>25</v>
      </c>
      <c r="X29" s="260">
        <v>4</v>
      </c>
      <c r="Y29" s="323">
        <v>0.54600000000000004</v>
      </c>
      <c r="Z29" s="323">
        <v>114271</v>
      </c>
      <c r="AA29" s="323">
        <v>745</v>
      </c>
      <c r="AB29" s="151" t="s">
        <v>2708</v>
      </c>
      <c r="AC29" s="155">
        <v>1990</v>
      </c>
      <c r="AD29" s="254">
        <f t="shared" si="0"/>
        <v>6.5961670088979645</v>
      </c>
      <c r="AE29" s="152">
        <v>1</v>
      </c>
      <c r="AF29" s="252">
        <v>10</v>
      </c>
      <c r="AG29" s="242">
        <v>10</v>
      </c>
      <c r="AH29" s="242" t="s">
        <v>2252</v>
      </c>
      <c r="AI29" s="243">
        <v>4.8</v>
      </c>
      <c r="AJ29" s="244">
        <v>4450</v>
      </c>
      <c r="AK29" s="244">
        <v>28</v>
      </c>
      <c r="AL29" s="244">
        <v>6</v>
      </c>
      <c r="AM29" s="244">
        <v>37</v>
      </c>
      <c r="AN29" s="245">
        <v>2.87</v>
      </c>
      <c r="AO29" s="245">
        <v>0.5</v>
      </c>
      <c r="AP29" s="232">
        <v>27</v>
      </c>
    </row>
    <row r="30" spans="1:42" x14ac:dyDescent="0.2">
      <c r="A30" s="231">
        <v>28</v>
      </c>
      <c r="B30" s="255" t="s">
        <v>1900</v>
      </c>
      <c r="C30" s="256" t="s">
        <v>2618</v>
      </c>
      <c r="D30" s="264">
        <v>34</v>
      </c>
      <c r="E30" s="265">
        <v>115</v>
      </c>
      <c r="F30" s="22" t="s">
        <v>2706</v>
      </c>
      <c r="G30" s="23" t="s">
        <v>2707</v>
      </c>
      <c r="H30" s="24" t="s">
        <v>743</v>
      </c>
      <c r="I30" s="24" t="s">
        <v>743</v>
      </c>
      <c r="J30" s="25" t="s">
        <v>743</v>
      </c>
      <c r="K30" s="26">
        <v>35649</v>
      </c>
      <c r="L30" s="15" t="s">
        <v>890</v>
      </c>
      <c r="M30" s="28">
        <v>357253</v>
      </c>
      <c r="N30" s="29">
        <v>6177132</v>
      </c>
      <c r="O30" s="32" t="s">
        <v>2708</v>
      </c>
      <c r="P30" s="135" t="s">
        <v>2708</v>
      </c>
      <c r="Q30" s="260">
        <v>347</v>
      </c>
      <c r="R30" s="32">
        <v>0</v>
      </c>
      <c r="S30" s="135">
        <v>8</v>
      </c>
      <c r="T30" s="260">
        <f t="shared" si="1"/>
        <v>0</v>
      </c>
      <c r="U30" s="30"/>
      <c r="V30" s="31">
        <v>243</v>
      </c>
      <c r="W30" s="31">
        <f t="shared" si="2"/>
        <v>243</v>
      </c>
      <c r="X30" s="260">
        <v>3</v>
      </c>
      <c r="Y30" s="323">
        <v>0.82899999999999996</v>
      </c>
      <c r="Z30" s="323">
        <v>102683</v>
      </c>
      <c r="AA30" s="323">
        <v>1084</v>
      </c>
      <c r="AB30" s="151">
        <v>8</v>
      </c>
      <c r="AC30" s="155">
        <v>1992</v>
      </c>
      <c r="AD30" s="254">
        <f t="shared" si="0"/>
        <v>4.6016427104723334</v>
      </c>
      <c r="AE30" s="152">
        <v>3</v>
      </c>
      <c r="AF30" s="252">
        <v>100</v>
      </c>
      <c r="AG30" s="242">
        <v>0</v>
      </c>
      <c r="AH30" s="242" t="s">
        <v>2252</v>
      </c>
      <c r="AI30" s="243">
        <v>7.8</v>
      </c>
      <c r="AJ30" s="244">
        <v>3200</v>
      </c>
      <c r="AK30" s="244">
        <v>108</v>
      </c>
      <c r="AL30" s="244">
        <v>47</v>
      </c>
      <c r="AM30" s="244">
        <v>18</v>
      </c>
      <c r="AN30" s="245">
        <v>64.650000000000006</v>
      </c>
      <c r="AO30" s="245">
        <v>1.02</v>
      </c>
      <c r="AP30" s="232">
        <v>28</v>
      </c>
    </row>
    <row r="31" spans="1:42" x14ac:dyDescent="0.2">
      <c r="A31" s="231">
        <v>29</v>
      </c>
      <c r="B31" s="255" t="s">
        <v>1900</v>
      </c>
      <c r="C31" s="256" t="s">
        <v>1252</v>
      </c>
      <c r="D31" s="264">
        <v>20</v>
      </c>
      <c r="E31" s="265">
        <v>110</v>
      </c>
      <c r="F31" s="22" t="s">
        <v>2706</v>
      </c>
      <c r="G31" s="23" t="s">
        <v>2707</v>
      </c>
      <c r="H31" s="24" t="s">
        <v>743</v>
      </c>
      <c r="I31" s="24" t="s">
        <v>743</v>
      </c>
      <c r="J31" s="25" t="s">
        <v>743</v>
      </c>
      <c r="K31" s="26">
        <v>35649</v>
      </c>
      <c r="L31" s="15" t="s">
        <v>890</v>
      </c>
      <c r="M31" s="28">
        <v>357367</v>
      </c>
      <c r="N31" s="29">
        <v>6176606</v>
      </c>
      <c r="O31" s="32" t="s">
        <v>2708</v>
      </c>
      <c r="P31" s="135" t="s">
        <v>2708</v>
      </c>
      <c r="Q31" s="260">
        <v>380</v>
      </c>
      <c r="R31" s="32">
        <v>2</v>
      </c>
      <c r="S31" s="135">
        <v>5</v>
      </c>
      <c r="T31" s="260">
        <f t="shared" si="1"/>
        <v>2</v>
      </c>
      <c r="U31" s="30"/>
      <c r="V31" s="31">
        <v>205</v>
      </c>
      <c r="W31" s="31">
        <f t="shared" si="2"/>
        <v>205</v>
      </c>
      <c r="X31" s="260">
        <v>6</v>
      </c>
      <c r="Y31" s="323">
        <v>3.3000000000000002E-2</v>
      </c>
      <c r="Z31" s="323">
        <v>104433</v>
      </c>
      <c r="AA31" s="323">
        <v>1316</v>
      </c>
      <c r="AB31" s="151" t="s">
        <v>2708</v>
      </c>
      <c r="AC31" s="155">
        <v>1990</v>
      </c>
      <c r="AD31" s="254">
        <f t="shared" si="0"/>
        <v>6.6016427104723334</v>
      </c>
      <c r="AE31" s="152">
        <v>1</v>
      </c>
      <c r="AF31" s="252">
        <v>10</v>
      </c>
      <c r="AG31" s="242">
        <v>15</v>
      </c>
      <c r="AH31" s="242" t="s">
        <v>2252</v>
      </c>
      <c r="AI31" s="243">
        <v>5.2</v>
      </c>
      <c r="AJ31" s="244">
        <v>2630</v>
      </c>
      <c r="AK31" s="244">
        <v>36</v>
      </c>
      <c r="AL31" s="244">
        <v>5</v>
      </c>
      <c r="AM31" s="244">
        <v>32</v>
      </c>
      <c r="AN31" s="245">
        <v>6.05</v>
      </c>
      <c r="AO31" s="245">
        <v>0.91</v>
      </c>
      <c r="AP31" s="232">
        <v>29</v>
      </c>
    </row>
    <row r="32" spans="1:42" x14ac:dyDescent="0.2">
      <c r="A32" s="231">
        <v>30</v>
      </c>
      <c r="B32" s="255" t="s">
        <v>1900</v>
      </c>
      <c r="C32" s="256" t="s">
        <v>1252</v>
      </c>
      <c r="D32" s="264">
        <v>18</v>
      </c>
      <c r="E32" s="265">
        <v>110</v>
      </c>
      <c r="F32" s="22" t="s">
        <v>2706</v>
      </c>
      <c r="G32" s="23" t="s">
        <v>2707</v>
      </c>
      <c r="H32" s="24" t="s">
        <v>743</v>
      </c>
      <c r="I32" s="24" t="s">
        <v>743</v>
      </c>
      <c r="J32" s="25" t="s">
        <v>743</v>
      </c>
      <c r="K32" s="26">
        <v>35651</v>
      </c>
      <c r="L32" s="15" t="s">
        <v>890</v>
      </c>
      <c r="M32" s="28">
        <v>357228</v>
      </c>
      <c r="N32" s="29">
        <v>6176698</v>
      </c>
      <c r="O32" s="32" t="s">
        <v>2708</v>
      </c>
      <c r="P32" s="135" t="s">
        <v>2708</v>
      </c>
      <c r="Q32" s="260">
        <v>377</v>
      </c>
      <c r="R32" s="32">
        <v>2</v>
      </c>
      <c r="S32" s="135">
        <v>5</v>
      </c>
      <c r="T32" s="260">
        <f t="shared" si="1"/>
        <v>2</v>
      </c>
      <c r="U32" s="30"/>
      <c r="V32" s="31">
        <v>228</v>
      </c>
      <c r="W32" s="31">
        <f t="shared" si="2"/>
        <v>228</v>
      </c>
      <c r="X32" s="260">
        <v>0</v>
      </c>
      <c r="Y32" s="323">
        <v>0.252</v>
      </c>
      <c r="Z32" s="323">
        <v>104829</v>
      </c>
      <c r="AA32" s="323">
        <v>1279</v>
      </c>
      <c r="AB32" s="151">
        <v>8</v>
      </c>
      <c r="AC32" s="155">
        <v>1990</v>
      </c>
      <c r="AD32" s="254">
        <f t="shared" si="0"/>
        <v>6.607118412046475</v>
      </c>
      <c r="AE32" s="152">
        <v>3</v>
      </c>
      <c r="AF32" s="252">
        <v>100</v>
      </c>
      <c r="AG32" s="242">
        <v>0</v>
      </c>
      <c r="AH32" s="242" t="s">
        <v>2252</v>
      </c>
      <c r="AI32" s="243">
        <v>5.3</v>
      </c>
      <c r="AJ32" s="244">
        <v>2500</v>
      </c>
      <c r="AK32" s="244">
        <v>6</v>
      </c>
      <c r="AL32" s="244">
        <v>6</v>
      </c>
      <c r="AM32" s="244">
        <v>10</v>
      </c>
      <c r="AN32" s="245">
        <v>4.25</v>
      </c>
      <c r="AO32" s="245">
        <v>0.91</v>
      </c>
      <c r="AP32" s="232">
        <v>30</v>
      </c>
    </row>
    <row r="33" spans="1:42" x14ac:dyDescent="0.2">
      <c r="A33" s="231">
        <v>31</v>
      </c>
      <c r="B33" s="255" t="s">
        <v>1900</v>
      </c>
      <c r="C33" s="256" t="s">
        <v>1251</v>
      </c>
      <c r="D33" s="264">
        <v>25</v>
      </c>
      <c r="E33" s="265">
        <v>124.5</v>
      </c>
      <c r="F33" s="22" t="s">
        <v>2706</v>
      </c>
      <c r="G33" s="23" t="s">
        <v>2707</v>
      </c>
      <c r="H33" s="24" t="s">
        <v>743</v>
      </c>
      <c r="I33" s="24" t="s">
        <v>743</v>
      </c>
      <c r="J33" s="25" t="s">
        <v>743</v>
      </c>
      <c r="K33" s="26">
        <v>35653</v>
      </c>
      <c r="L33" s="15" t="s">
        <v>890</v>
      </c>
      <c r="M33" s="28">
        <v>357234</v>
      </c>
      <c r="N33" s="29">
        <v>6176523</v>
      </c>
      <c r="O33" s="32" t="s">
        <v>2708</v>
      </c>
      <c r="P33" s="135" t="s">
        <v>2708</v>
      </c>
      <c r="Q33" s="260">
        <v>364</v>
      </c>
      <c r="R33" s="32">
        <v>5</v>
      </c>
      <c r="S33" s="135">
        <v>8</v>
      </c>
      <c r="T33" s="260">
        <f t="shared" si="1"/>
        <v>5</v>
      </c>
      <c r="U33" s="30"/>
      <c r="V33" s="31">
        <v>203</v>
      </c>
      <c r="W33" s="31">
        <f t="shared" si="2"/>
        <v>203</v>
      </c>
      <c r="X33" s="260">
        <v>0</v>
      </c>
      <c r="Y33" s="323">
        <v>1.204</v>
      </c>
      <c r="Z33" s="323">
        <v>100485</v>
      </c>
      <c r="AA33" s="323">
        <v>1151</v>
      </c>
      <c r="AB33" s="151">
        <v>9</v>
      </c>
      <c r="AC33" s="155">
        <v>1990</v>
      </c>
      <c r="AD33" s="254">
        <f t="shared" si="0"/>
        <v>6.6125941136208439</v>
      </c>
      <c r="AE33" s="152">
        <v>7</v>
      </c>
      <c r="AF33" s="252">
        <v>15</v>
      </c>
      <c r="AG33" s="242">
        <v>20</v>
      </c>
      <c r="AH33" s="242" t="s">
        <v>2252</v>
      </c>
      <c r="AI33" s="243">
        <v>5.3</v>
      </c>
      <c r="AJ33" s="244">
        <v>3100</v>
      </c>
      <c r="AK33" s="244">
        <v>16</v>
      </c>
      <c r="AL33" s="244">
        <v>4</v>
      </c>
      <c r="AM33" s="244">
        <v>27</v>
      </c>
      <c r="AN33" s="245">
        <v>3.47</v>
      </c>
      <c r="AO33" s="245">
        <v>0.79</v>
      </c>
      <c r="AP33" s="232">
        <v>31</v>
      </c>
    </row>
    <row r="34" spans="1:42" x14ac:dyDescent="0.2">
      <c r="A34" s="231">
        <v>32</v>
      </c>
      <c r="B34" s="255" t="s">
        <v>1900</v>
      </c>
      <c r="C34" s="256" t="s">
        <v>2470</v>
      </c>
      <c r="D34" s="264">
        <v>9</v>
      </c>
      <c r="E34" s="265">
        <v>94.5</v>
      </c>
      <c r="F34" s="22" t="s">
        <v>2706</v>
      </c>
      <c r="G34" s="23" t="s">
        <v>2707</v>
      </c>
      <c r="H34" s="24" t="s">
        <v>743</v>
      </c>
      <c r="I34" s="24" t="s">
        <v>743</v>
      </c>
      <c r="J34" s="25" t="s">
        <v>743</v>
      </c>
      <c r="K34" s="26">
        <v>35653</v>
      </c>
      <c r="L34" s="15" t="s">
        <v>890</v>
      </c>
      <c r="M34" s="28">
        <v>357063</v>
      </c>
      <c r="N34" s="29">
        <v>6176436</v>
      </c>
      <c r="O34" s="32" t="s">
        <v>2708</v>
      </c>
      <c r="P34" s="135" t="s">
        <v>2708</v>
      </c>
      <c r="Q34" s="260">
        <v>345</v>
      </c>
      <c r="R34" s="32">
        <v>0</v>
      </c>
      <c r="S34" s="135">
        <v>3</v>
      </c>
      <c r="T34" s="260">
        <f t="shared" si="1"/>
        <v>0</v>
      </c>
      <c r="U34" s="30"/>
      <c r="V34" s="31">
        <v>309</v>
      </c>
      <c r="W34" s="31">
        <f t="shared" si="2"/>
        <v>309</v>
      </c>
      <c r="X34" s="260">
        <v>3</v>
      </c>
      <c r="Y34" s="323">
        <v>1.28</v>
      </c>
      <c r="Z34" s="323">
        <v>109749</v>
      </c>
      <c r="AA34" s="323">
        <v>1011</v>
      </c>
      <c r="AB34" s="151" t="s">
        <v>2708</v>
      </c>
      <c r="AC34" s="155">
        <v>1990</v>
      </c>
      <c r="AD34" s="254">
        <f t="shared" si="0"/>
        <v>6.6125941136208439</v>
      </c>
      <c r="AE34" s="152">
        <v>8</v>
      </c>
      <c r="AF34" s="252">
        <v>100</v>
      </c>
      <c r="AG34" s="242">
        <v>0</v>
      </c>
      <c r="AH34" s="242" t="s">
        <v>2252</v>
      </c>
      <c r="AI34" s="243">
        <v>6.3</v>
      </c>
      <c r="AJ34" s="244">
        <v>1120</v>
      </c>
      <c r="AK34" s="244">
        <v>20</v>
      </c>
      <c r="AL34" s="244">
        <v>52</v>
      </c>
      <c r="AM34" s="244">
        <v>36</v>
      </c>
      <c r="AN34" s="245">
        <v>20.79</v>
      </c>
      <c r="AO34" s="245">
        <v>1.87</v>
      </c>
      <c r="AP34" s="232">
        <v>32</v>
      </c>
    </row>
    <row r="35" spans="1:42" x14ac:dyDescent="0.2">
      <c r="A35" s="231">
        <v>33</v>
      </c>
      <c r="B35" s="255" t="s">
        <v>1900</v>
      </c>
      <c r="C35" s="256" t="s">
        <v>1252</v>
      </c>
      <c r="D35" s="264">
        <v>38</v>
      </c>
      <c r="E35" s="265">
        <v>139.5</v>
      </c>
      <c r="F35" s="22" t="s">
        <v>2706</v>
      </c>
      <c r="G35" s="23" t="s">
        <v>2707</v>
      </c>
      <c r="H35" s="24" t="s">
        <v>743</v>
      </c>
      <c r="I35" s="24" t="s">
        <v>743</v>
      </c>
      <c r="J35" s="25" t="s">
        <v>743</v>
      </c>
      <c r="K35" s="26">
        <v>35654</v>
      </c>
      <c r="L35" s="15" t="s">
        <v>890</v>
      </c>
      <c r="M35" s="28">
        <v>357694</v>
      </c>
      <c r="N35" s="29">
        <v>6176143</v>
      </c>
      <c r="O35" s="32" t="s">
        <v>2708</v>
      </c>
      <c r="P35" s="135" t="s">
        <v>2708</v>
      </c>
      <c r="Q35" s="260">
        <v>418</v>
      </c>
      <c r="R35" s="32">
        <v>22</v>
      </c>
      <c r="S35" s="135">
        <v>21</v>
      </c>
      <c r="T35" s="260">
        <f t="shared" si="1"/>
        <v>22</v>
      </c>
      <c r="U35" s="30"/>
      <c r="V35" s="31">
        <v>57</v>
      </c>
      <c r="W35" s="31">
        <f t="shared" si="2"/>
        <v>57</v>
      </c>
      <c r="X35" s="260">
        <v>6</v>
      </c>
      <c r="Y35" s="323">
        <v>0.65</v>
      </c>
      <c r="Z35" s="323">
        <v>121627</v>
      </c>
      <c r="AA35" s="323">
        <v>557</v>
      </c>
      <c r="AB35" s="151" t="s">
        <v>2708</v>
      </c>
      <c r="AC35" s="155">
        <v>1990</v>
      </c>
      <c r="AD35" s="254">
        <f t="shared" si="0"/>
        <v>6.6153319644079147</v>
      </c>
      <c r="AE35" s="152">
        <v>1</v>
      </c>
      <c r="AF35" s="252">
        <v>10</v>
      </c>
      <c r="AG35" s="242">
        <v>20</v>
      </c>
      <c r="AH35" s="242" t="s">
        <v>2252</v>
      </c>
      <c r="AI35" s="243">
        <v>5.5</v>
      </c>
      <c r="AJ35" s="244">
        <v>1200</v>
      </c>
      <c r="AK35" s="244">
        <v>71</v>
      </c>
      <c r="AL35" s="244">
        <v>12</v>
      </c>
      <c r="AM35" s="244">
        <v>101</v>
      </c>
      <c r="AN35" s="245">
        <v>11.79</v>
      </c>
      <c r="AO35" s="245">
        <v>3.19</v>
      </c>
      <c r="AP35" s="232">
        <v>33</v>
      </c>
    </row>
    <row r="36" spans="1:42" x14ac:dyDescent="0.2">
      <c r="A36" s="231">
        <v>34</v>
      </c>
      <c r="B36" s="255" t="s">
        <v>1900</v>
      </c>
      <c r="C36" s="256" t="s">
        <v>2562</v>
      </c>
      <c r="D36" s="264">
        <v>44</v>
      </c>
      <c r="E36" s="265">
        <v>130.5</v>
      </c>
      <c r="F36" s="22" t="s">
        <v>2706</v>
      </c>
      <c r="G36" s="23" t="s">
        <v>2707</v>
      </c>
      <c r="H36" s="24" t="s">
        <v>743</v>
      </c>
      <c r="I36" s="24" t="s">
        <v>743</v>
      </c>
      <c r="J36" s="25" t="s">
        <v>743</v>
      </c>
      <c r="K36" s="26">
        <v>35655</v>
      </c>
      <c r="L36" s="15" t="s">
        <v>890</v>
      </c>
      <c r="M36" s="28">
        <v>357409</v>
      </c>
      <c r="N36" s="29">
        <v>6176060</v>
      </c>
      <c r="O36" s="32" t="s">
        <v>2708</v>
      </c>
      <c r="P36" s="135" t="s">
        <v>2708</v>
      </c>
      <c r="Q36" s="260">
        <v>375</v>
      </c>
      <c r="R36" s="32">
        <v>22</v>
      </c>
      <c r="S36" s="135">
        <v>26</v>
      </c>
      <c r="T36" s="260">
        <f t="shared" si="1"/>
        <v>22</v>
      </c>
      <c r="U36" s="30"/>
      <c r="V36" s="31">
        <v>198</v>
      </c>
      <c r="W36" s="31">
        <f t="shared" si="2"/>
        <v>198</v>
      </c>
      <c r="X36" s="260">
        <v>0</v>
      </c>
      <c r="Y36" s="323">
        <v>0.23100000000000001</v>
      </c>
      <c r="Z36" s="323">
        <v>74376</v>
      </c>
      <c r="AA36" s="323">
        <v>937</v>
      </c>
      <c r="AB36" s="151" t="s">
        <v>2708</v>
      </c>
      <c r="AC36" s="155">
        <v>1990</v>
      </c>
      <c r="AD36" s="254">
        <f t="shared" si="0"/>
        <v>6.6180698151949855</v>
      </c>
      <c r="AE36" s="152">
        <v>1</v>
      </c>
      <c r="AF36" s="252">
        <v>12</v>
      </c>
      <c r="AG36" s="242">
        <v>15</v>
      </c>
      <c r="AH36" s="242" t="s">
        <v>2252</v>
      </c>
      <c r="AI36" s="243">
        <v>5.5</v>
      </c>
      <c r="AJ36" s="244">
        <v>3200</v>
      </c>
      <c r="AK36" s="244">
        <v>29</v>
      </c>
      <c r="AL36" s="244">
        <v>6</v>
      </c>
      <c r="AM36" s="244">
        <v>52</v>
      </c>
      <c r="AN36" s="245">
        <v>8.52</v>
      </c>
      <c r="AO36" s="245">
        <v>1.49</v>
      </c>
      <c r="AP36" s="232">
        <v>34</v>
      </c>
    </row>
    <row r="37" spans="1:42" x14ac:dyDescent="0.2">
      <c r="A37" s="231">
        <v>35</v>
      </c>
      <c r="B37" s="255" t="s">
        <v>1900</v>
      </c>
      <c r="C37" s="256" t="s">
        <v>2617</v>
      </c>
      <c r="D37" s="264">
        <v>21</v>
      </c>
      <c r="E37" s="265">
        <v>94.5</v>
      </c>
      <c r="F37" s="22" t="s">
        <v>2706</v>
      </c>
      <c r="G37" s="23" t="s">
        <v>2707</v>
      </c>
      <c r="H37" s="24" t="s">
        <v>743</v>
      </c>
      <c r="I37" s="24" t="s">
        <v>743</v>
      </c>
      <c r="J37" s="25" t="s">
        <v>743</v>
      </c>
      <c r="K37" s="26">
        <v>35656</v>
      </c>
      <c r="L37" s="15" t="s">
        <v>890</v>
      </c>
      <c r="M37" s="28">
        <v>356622</v>
      </c>
      <c r="N37" s="29">
        <v>6176374</v>
      </c>
      <c r="O37" s="32" t="s">
        <v>2708</v>
      </c>
      <c r="P37" s="135" t="s">
        <v>2708</v>
      </c>
      <c r="Q37" s="260">
        <v>295</v>
      </c>
      <c r="R37" s="32">
        <v>30</v>
      </c>
      <c r="S37" s="135">
        <v>29</v>
      </c>
      <c r="T37" s="260">
        <f t="shared" si="1"/>
        <v>30</v>
      </c>
      <c r="U37" s="30"/>
      <c r="V37" s="31">
        <v>327</v>
      </c>
      <c r="W37" s="31">
        <f t="shared" si="2"/>
        <v>327</v>
      </c>
      <c r="X37" s="260">
        <v>4</v>
      </c>
      <c r="Y37" s="323">
        <v>0.86099999999999999</v>
      </c>
      <c r="Z37" s="323">
        <v>115678</v>
      </c>
      <c r="AA37" s="323">
        <v>285</v>
      </c>
      <c r="AB37" s="151">
        <v>9</v>
      </c>
      <c r="AC37" s="155">
        <v>1990</v>
      </c>
      <c r="AD37" s="254">
        <f t="shared" si="0"/>
        <v>6.6208076659822837</v>
      </c>
      <c r="AE37" s="152">
        <v>1</v>
      </c>
      <c r="AF37" s="252">
        <v>100</v>
      </c>
      <c r="AG37" s="242">
        <v>25</v>
      </c>
      <c r="AH37" s="242" t="s">
        <v>2252</v>
      </c>
      <c r="AI37" s="243">
        <v>5.9</v>
      </c>
      <c r="AJ37" s="244">
        <v>1590</v>
      </c>
      <c r="AK37" s="244">
        <v>46</v>
      </c>
      <c r="AL37" s="244">
        <v>8</v>
      </c>
      <c r="AM37" s="244">
        <v>69</v>
      </c>
      <c r="AN37" s="245">
        <v>9.48</v>
      </c>
      <c r="AO37" s="245">
        <v>1.56</v>
      </c>
      <c r="AP37" s="232">
        <v>35</v>
      </c>
    </row>
    <row r="38" spans="1:42" x14ac:dyDescent="0.2">
      <c r="A38" s="231">
        <v>36</v>
      </c>
      <c r="B38" s="255" t="s">
        <v>1900</v>
      </c>
      <c r="C38" s="256" t="s">
        <v>2618</v>
      </c>
      <c r="D38" s="264">
        <v>33</v>
      </c>
      <c r="E38" s="265">
        <v>122</v>
      </c>
      <c r="F38" s="22" t="s">
        <v>2706</v>
      </c>
      <c r="G38" s="23" t="s">
        <v>2707</v>
      </c>
      <c r="H38" s="24" t="s">
        <v>743</v>
      </c>
      <c r="I38" s="24" t="s">
        <v>743</v>
      </c>
      <c r="J38" s="25" t="s">
        <v>743</v>
      </c>
      <c r="K38" s="26">
        <v>35657</v>
      </c>
      <c r="L38" s="15" t="s">
        <v>890</v>
      </c>
      <c r="M38" s="28">
        <v>355872</v>
      </c>
      <c r="N38" s="29">
        <v>6176770</v>
      </c>
      <c r="O38" s="32" t="s">
        <v>2708</v>
      </c>
      <c r="P38" s="135" t="s">
        <v>2708</v>
      </c>
      <c r="Q38" s="260">
        <v>318</v>
      </c>
      <c r="R38" s="32">
        <v>20</v>
      </c>
      <c r="S38" s="135">
        <v>13</v>
      </c>
      <c r="T38" s="260">
        <f t="shared" si="1"/>
        <v>20</v>
      </c>
      <c r="U38" s="30"/>
      <c r="V38" s="31">
        <v>166</v>
      </c>
      <c r="W38" s="31">
        <f t="shared" si="2"/>
        <v>166</v>
      </c>
      <c r="X38" s="260">
        <v>0</v>
      </c>
      <c r="Y38" s="323">
        <v>0.61199999999999999</v>
      </c>
      <c r="Z38" s="323">
        <v>90981</v>
      </c>
      <c r="AA38" s="323">
        <v>1292</v>
      </c>
      <c r="AB38" s="151">
        <v>10</v>
      </c>
      <c r="AC38" s="155">
        <v>1988</v>
      </c>
      <c r="AD38" s="254">
        <f t="shared" si="0"/>
        <v>8.6235455167693544</v>
      </c>
      <c r="AE38" s="152">
        <v>1</v>
      </c>
      <c r="AF38" s="252">
        <v>100</v>
      </c>
      <c r="AG38" s="242">
        <v>0</v>
      </c>
      <c r="AH38" s="242" t="s">
        <v>2252</v>
      </c>
      <c r="AI38" s="243">
        <v>7.8</v>
      </c>
      <c r="AJ38" s="244">
        <v>1660</v>
      </c>
      <c r="AK38" s="244">
        <v>87</v>
      </c>
      <c r="AL38" s="244">
        <v>122</v>
      </c>
      <c r="AM38" s="244">
        <v>38</v>
      </c>
      <c r="AN38" s="245">
        <v>66</v>
      </c>
      <c r="AO38" s="245">
        <v>1.1399999999999999</v>
      </c>
      <c r="AP38" s="232">
        <v>36</v>
      </c>
    </row>
    <row r="39" spans="1:42" x14ac:dyDescent="0.2">
      <c r="A39" s="231">
        <v>37</v>
      </c>
      <c r="B39" s="255" t="s">
        <v>1900</v>
      </c>
      <c r="C39" s="256" t="s">
        <v>1251</v>
      </c>
      <c r="D39" s="264">
        <v>40</v>
      </c>
      <c r="E39" s="265">
        <v>170</v>
      </c>
      <c r="F39" s="22" t="s">
        <v>2706</v>
      </c>
      <c r="G39" s="23" t="s">
        <v>2707</v>
      </c>
      <c r="H39" s="24" t="s">
        <v>743</v>
      </c>
      <c r="I39" s="24" t="s">
        <v>743</v>
      </c>
      <c r="J39" s="25" t="s">
        <v>743</v>
      </c>
      <c r="K39" s="26">
        <v>35657</v>
      </c>
      <c r="L39" s="15" t="s">
        <v>890</v>
      </c>
      <c r="M39" s="28">
        <v>357598</v>
      </c>
      <c r="N39" s="29">
        <v>6177427</v>
      </c>
      <c r="O39" s="32" t="s">
        <v>2708</v>
      </c>
      <c r="P39" s="135" t="s">
        <v>2708</v>
      </c>
      <c r="Q39" s="260">
        <v>416</v>
      </c>
      <c r="R39" s="32">
        <v>12</v>
      </c>
      <c r="S39" s="135">
        <v>18</v>
      </c>
      <c r="T39" s="260">
        <f t="shared" si="1"/>
        <v>12</v>
      </c>
      <c r="U39" s="30"/>
      <c r="V39" s="31">
        <v>353</v>
      </c>
      <c r="W39" s="31">
        <f t="shared" si="2"/>
        <v>353</v>
      </c>
      <c r="X39" s="260">
        <v>6</v>
      </c>
      <c r="Y39" s="323">
        <v>0.98299999999999998</v>
      </c>
      <c r="Z39" s="323">
        <v>121595</v>
      </c>
      <c r="AA39" s="323">
        <v>787</v>
      </c>
      <c r="AB39" s="151" t="s">
        <v>2708</v>
      </c>
      <c r="AC39" s="155">
        <v>1992</v>
      </c>
      <c r="AD39" s="254">
        <f t="shared" si="0"/>
        <v>4.6235455167693544</v>
      </c>
      <c r="AE39" s="152">
        <v>1</v>
      </c>
      <c r="AF39" s="252">
        <v>100</v>
      </c>
      <c r="AG39" s="242">
        <v>5</v>
      </c>
      <c r="AH39" s="242" t="s">
        <v>2252</v>
      </c>
      <c r="AI39" s="243">
        <v>6</v>
      </c>
      <c r="AJ39" s="244">
        <v>1350</v>
      </c>
      <c r="AK39" s="244">
        <v>20</v>
      </c>
      <c r="AL39" s="244">
        <v>5</v>
      </c>
      <c r="AM39" s="244">
        <v>23</v>
      </c>
      <c r="AN39" s="245">
        <v>8.7100000000000009</v>
      </c>
      <c r="AO39" s="245">
        <v>1.19</v>
      </c>
      <c r="AP39" s="232">
        <v>37</v>
      </c>
    </row>
    <row r="40" spans="1:42" x14ac:dyDescent="0.2">
      <c r="A40" s="231">
        <v>38</v>
      </c>
      <c r="B40" s="255" t="s">
        <v>1900</v>
      </c>
      <c r="C40" s="256" t="s">
        <v>2618</v>
      </c>
      <c r="D40" s="264">
        <v>17</v>
      </c>
      <c r="E40" s="265">
        <v>103.5</v>
      </c>
      <c r="F40" s="22" t="s">
        <v>2706</v>
      </c>
      <c r="G40" s="23" t="s">
        <v>2707</v>
      </c>
      <c r="H40" s="24" t="s">
        <v>743</v>
      </c>
      <c r="I40" s="24" t="s">
        <v>743</v>
      </c>
      <c r="J40" s="25" t="s">
        <v>743</v>
      </c>
      <c r="K40" s="26">
        <v>35660</v>
      </c>
      <c r="L40" s="15" t="s">
        <v>890</v>
      </c>
      <c r="M40" s="28">
        <v>357196</v>
      </c>
      <c r="N40" s="29">
        <v>6177784</v>
      </c>
      <c r="O40" s="32" t="s">
        <v>2708</v>
      </c>
      <c r="P40" s="135" t="s">
        <v>2708</v>
      </c>
      <c r="Q40" s="260">
        <v>358</v>
      </c>
      <c r="R40" s="32">
        <v>5</v>
      </c>
      <c r="S40" s="135">
        <v>12</v>
      </c>
      <c r="T40" s="260">
        <f t="shared" si="1"/>
        <v>5</v>
      </c>
      <c r="U40" s="30"/>
      <c r="V40" s="31">
        <v>348</v>
      </c>
      <c r="W40" s="31">
        <f t="shared" si="2"/>
        <v>348</v>
      </c>
      <c r="X40" s="260">
        <v>6</v>
      </c>
      <c r="Y40" s="323">
        <v>0.48799999999999999</v>
      </c>
      <c r="Z40" s="323">
        <v>118142</v>
      </c>
      <c r="AA40" s="323">
        <v>968</v>
      </c>
      <c r="AB40" s="151" t="s">
        <v>2708</v>
      </c>
      <c r="AC40" s="155">
        <v>1992</v>
      </c>
      <c r="AD40" s="254">
        <f t="shared" si="0"/>
        <v>4.6317590691307942</v>
      </c>
      <c r="AE40" s="152">
        <v>1</v>
      </c>
      <c r="AF40" s="252">
        <v>0</v>
      </c>
      <c r="AG40" s="242">
        <v>10</v>
      </c>
      <c r="AH40" s="242" t="s">
        <v>2252</v>
      </c>
      <c r="AI40" s="243">
        <v>5.0999999999999996</v>
      </c>
      <c r="AJ40" s="244">
        <v>1520</v>
      </c>
      <c r="AK40" s="244">
        <v>60</v>
      </c>
      <c r="AL40" s="244">
        <v>7</v>
      </c>
      <c r="AM40" s="244">
        <v>37</v>
      </c>
      <c r="AN40" s="245">
        <v>5.79</v>
      </c>
      <c r="AO40" s="245">
        <v>0.8</v>
      </c>
      <c r="AP40" s="232">
        <v>38</v>
      </c>
    </row>
    <row r="41" spans="1:42" x14ac:dyDescent="0.2">
      <c r="A41" s="231">
        <v>39</v>
      </c>
      <c r="B41" s="255" t="s">
        <v>1900</v>
      </c>
      <c r="C41" s="256" t="s">
        <v>2620</v>
      </c>
      <c r="D41" s="264">
        <v>19</v>
      </c>
      <c r="E41" s="265">
        <v>100.5</v>
      </c>
      <c r="F41" s="22" t="s">
        <v>2706</v>
      </c>
      <c r="G41" s="23" t="s">
        <v>2707</v>
      </c>
      <c r="H41" s="24" t="s">
        <v>743</v>
      </c>
      <c r="I41" s="24" t="s">
        <v>743</v>
      </c>
      <c r="J41" s="25" t="s">
        <v>743</v>
      </c>
      <c r="K41" s="26">
        <v>35661</v>
      </c>
      <c r="L41" s="15" t="s">
        <v>890</v>
      </c>
      <c r="M41" s="28">
        <v>357309</v>
      </c>
      <c r="N41" s="29">
        <v>6177911</v>
      </c>
      <c r="O41" s="32" t="s">
        <v>2708</v>
      </c>
      <c r="P41" s="135" t="s">
        <v>2708</v>
      </c>
      <c r="Q41" s="260">
        <v>319</v>
      </c>
      <c r="R41" s="32">
        <v>2</v>
      </c>
      <c r="S41" s="135">
        <v>8</v>
      </c>
      <c r="T41" s="260">
        <f t="shared" si="1"/>
        <v>2</v>
      </c>
      <c r="U41" s="30"/>
      <c r="V41" s="31">
        <v>14</v>
      </c>
      <c r="W41" s="31">
        <f t="shared" si="2"/>
        <v>14</v>
      </c>
      <c r="X41" s="260">
        <v>6</v>
      </c>
      <c r="Y41" s="323">
        <v>0.54</v>
      </c>
      <c r="Z41" s="323">
        <v>114243</v>
      </c>
      <c r="AA41" s="323">
        <v>905</v>
      </c>
      <c r="AB41" s="151" t="s">
        <v>2708</v>
      </c>
      <c r="AC41" s="155">
        <v>1992</v>
      </c>
      <c r="AD41" s="254">
        <f t="shared" si="0"/>
        <v>4.6344969199178649</v>
      </c>
      <c r="AE41" s="152">
        <v>3</v>
      </c>
      <c r="AF41" s="252">
        <v>100</v>
      </c>
      <c r="AG41" s="242">
        <v>0</v>
      </c>
      <c r="AH41" s="242" t="s">
        <v>2252</v>
      </c>
      <c r="AI41" s="243">
        <v>6.1</v>
      </c>
      <c r="AJ41" s="244">
        <v>4350</v>
      </c>
      <c r="AK41" s="244">
        <v>10</v>
      </c>
      <c r="AL41" s="244">
        <v>48</v>
      </c>
      <c r="AM41" s="244">
        <v>32</v>
      </c>
      <c r="AN41" s="245">
        <v>5.64</v>
      </c>
      <c r="AO41" s="245">
        <v>0.65</v>
      </c>
      <c r="AP41" s="232">
        <v>39</v>
      </c>
    </row>
    <row r="42" spans="1:42" x14ac:dyDescent="0.2">
      <c r="A42" s="231">
        <v>40</v>
      </c>
      <c r="B42" s="255" t="s">
        <v>1900</v>
      </c>
      <c r="C42" s="256" t="s">
        <v>2617</v>
      </c>
      <c r="D42" s="264">
        <v>22</v>
      </c>
      <c r="E42" s="265">
        <v>94</v>
      </c>
      <c r="F42" s="22" t="s">
        <v>2706</v>
      </c>
      <c r="G42" s="23" t="s">
        <v>2707</v>
      </c>
      <c r="H42" s="24" t="s">
        <v>743</v>
      </c>
      <c r="I42" s="24" t="s">
        <v>743</v>
      </c>
      <c r="J42" s="25" t="s">
        <v>743</v>
      </c>
      <c r="K42" s="26">
        <v>35662</v>
      </c>
      <c r="L42" s="15" t="s">
        <v>890</v>
      </c>
      <c r="M42" s="28">
        <v>357798</v>
      </c>
      <c r="N42" s="29">
        <v>6177610</v>
      </c>
      <c r="O42" s="32" t="s">
        <v>2708</v>
      </c>
      <c r="P42" s="135" t="s">
        <v>2708</v>
      </c>
      <c r="Q42" s="260">
        <v>348</v>
      </c>
      <c r="R42" s="32">
        <v>2</v>
      </c>
      <c r="S42" s="135">
        <v>8</v>
      </c>
      <c r="T42" s="260">
        <f t="shared" si="1"/>
        <v>2</v>
      </c>
      <c r="U42" s="30"/>
      <c r="V42" s="31">
        <v>33</v>
      </c>
      <c r="W42" s="31">
        <f t="shared" si="2"/>
        <v>33</v>
      </c>
      <c r="X42" s="260">
        <v>6</v>
      </c>
      <c r="Y42" s="323">
        <v>0.76100000000000001</v>
      </c>
      <c r="Z42" s="323">
        <v>112760</v>
      </c>
      <c r="AA42" s="323">
        <v>1012</v>
      </c>
      <c r="AB42" s="151" t="s">
        <v>2708</v>
      </c>
      <c r="AC42" s="155">
        <v>1996</v>
      </c>
      <c r="AD42" s="254">
        <f t="shared" si="0"/>
        <v>0.63723477070493573</v>
      </c>
      <c r="AE42" s="152">
        <v>3</v>
      </c>
      <c r="AF42" s="252">
        <v>100</v>
      </c>
      <c r="AG42" s="242">
        <v>0</v>
      </c>
      <c r="AH42" s="242" t="s">
        <v>2252</v>
      </c>
      <c r="AI42" s="243">
        <v>5.9</v>
      </c>
      <c r="AJ42" s="244">
        <v>3430</v>
      </c>
      <c r="AK42" s="244">
        <v>11</v>
      </c>
      <c r="AL42" s="244">
        <v>9</v>
      </c>
      <c r="AM42" s="244">
        <v>21</v>
      </c>
      <c r="AN42" s="245">
        <v>4.07</v>
      </c>
      <c r="AO42" s="245">
        <v>0.71</v>
      </c>
      <c r="AP42" s="232">
        <v>40</v>
      </c>
    </row>
    <row r="43" spans="1:42" x14ac:dyDescent="0.2">
      <c r="A43" s="231">
        <v>41</v>
      </c>
      <c r="B43" s="255" t="s">
        <v>1900</v>
      </c>
      <c r="C43" s="256" t="s">
        <v>2617</v>
      </c>
      <c r="D43" s="264">
        <v>24</v>
      </c>
      <c r="E43" s="265">
        <v>102.5</v>
      </c>
      <c r="F43" s="22" t="s">
        <v>2706</v>
      </c>
      <c r="G43" s="23" t="s">
        <v>2707</v>
      </c>
      <c r="H43" s="24" t="s">
        <v>743</v>
      </c>
      <c r="I43" s="24" t="s">
        <v>743</v>
      </c>
      <c r="J43" s="25" t="s">
        <v>743</v>
      </c>
      <c r="K43" s="26">
        <v>35662</v>
      </c>
      <c r="L43" s="15" t="s">
        <v>890</v>
      </c>
      <c r="M43" s="28">
        <v>358341</v>
      </c>
      <c r="N43" s="29">
        <v>6177517</v>
      </c>
      <c r="O43" s="32" t="s">
        <v>2708</v>
      </c>
      <c r="P43" s="135" t="s">
        <v>2708</v>
      </c>
      <c r="Q43" s="260">
        <v>368</v>
      </c>
      <c r="R43" s="32">
        <v>2</v>
      </c>
      <c r="S43" s="135">
        <v>12</v>
      </c>
      <c r="T43" s="260">
        <f t="shared" si="1"/>
        <v>2</v>
      </c>
      <c r="U43" s="30"/>
      <c r="V43" s="31">
        <v>312</v>
      </c>
      <c r="W43" s="31">
        <f t="shared" si="2"/>
        <v>312</v>
      </c>
      <c r="X43" s="260">
        <v>4</v>
      </c>
      <c r="Y43" s="323">
        <v>1.1140000000000001</v>
      </c>
      <c r="Z43" s="323">
        <v>113012</v>
      </c>
      <c r="AA43" s="323">
        <v>627</v>
      </c>
      <c r="AB43" s="151" t="s">
        <v>2708</v>
      </c>
      <c r="AC43" s="155">
        <v>1996</v>
      </c>
      <c r="AD43" s="254">
        <f t="shared" si="0"/>
        <v>0.63723477070493573</v>
      </c>
      <c r="AE43" s="152">
        <v>1</v>
      </c>
      <c r="AF43" s="252">
        <v>100</v>
      </c>
      <c r="AG43" s="242">
        <v>0</v>
      </c>
      <c r="AH43" s="242" t="s">
        <v>2252</v>
      </c>
      <c r="AI43" s="243">
        <v>5.9</v>
      </c>
      <c r="AJ43" s="244">
        <v>2620</v>
      </c>
      <c r="AK43" s="244">
        <v>12</v>
      </c>
      <c r="AL43" s="244">
        <v>12</v>
      </c>
      <c r="AM43" s="244">
        <v>30</v>
      </c>
      <c r="AN43" s="245">
        <v>7.95</v>
      </c>
      <c r="AO43" s="245">
        <v>0.86</v>
      </c>
      <c r="AP43" s="232">
        <v>41</v>
      </c>
    </row>
    <row r="44" spans="1:42" x14ac:dyDescent="0.2">
      <c r="A44" s="231">
        <v>42</v>
      </c>
      <c r="B44" s="255" t="s">
        <v>1900</v>
      </c>
      <c r="C44" s="256" t="s">
        <v>2562</v>
      </c>
      <c r="D44" s="264">
        <v>46</v>
      </c>
      <c r="E44" s="265">
        <v>98.5</v>
      </c>
      <c r="F44" s="22" t="s">
        <v>2706</v>
      </c>
      <c r="G44" s="23" t="s">
        <v>2707</v>
      </c>
      <c r="H44" s="24" t="s">
        <v>743</v>
      </c>
      <c r="I44" s="24" t="s">
        <v>743</v>
      </c>
      <c r="J44" s="25" t="s">
        <v>743</v>
      </c>
      <c r="K44" s="26">
        <v>35674</v>
      </c>
      <c r="L44" s="15" t="s">
        <v>890</v>
      </c>
      <c r="M44" s="28">
        <v>358662</v>
      </c>
      <c r="N44" s="29">
        <v>6177808</v>
      </c>
      <c r="O44" s="32" t="s">
        <v>2708</v>
      </c>
      <c r="P44" s="135" t="s">
        <v>2708</v>
      </c>
      <c r="Q44" s="260">
        <v>381</v>
      </c>
      <c r="R44" s="32">
        <v>10</v>
      </c>
      <c r="S44" s="135">
        <v>18</v>
      </c>
      <c r="T44" s="260">
        <f t="shared" si="1"/>
        <v>10</v>
      </c>
      <c r="U44" s="30"/>
      <c r="V44" s="31">
        <v>329</v>
      </c>
      <c r="W44" s="31">
        <f t="shared" si="2"/>
        <v>329</v>
      </c>
      <c r="X44" s="260">
        <v>6</v>
      </c>
      <c r="Y44" s="323">
        <v>0.38200000000000001</v>
      </c>
      <c r="Z44" s="323">
        <v>118416</v>
      </c>
      <c r="AA44" s="323">
        <v>642</v>
      </c>
      <c r="AB44" s="151" t="s">
        <v>2708</v>
      </c>
      <c r="AC44" s="155">
        <v>1996</v>
      </c>
      <c r="AD44" s="254">
        <f t="shared" si="0"/>
        <v>0.67008898015046725</v>
      </c>
      <c r="AE44" s="152">
        <v>1</v>
      </c>
      <c r="AF44" s="252">
        <v>5</v>
      </c>
      <c r="AG44" s="242">
        <v>20</v>
      </c>
      <c r="AH44" s="242" t="s">
        <v>2252</v>
      </c>
      <c r="AI44" s="243">
        <v>5.2</v>
      </c>
      <c r="AJ44" s="244">
        <v>2440</v>
      </c>
      <c r="AK44" s="244">
        <v>56</v>
      </c>
      <c r="AL44" s="244">
        <v>10</v>
      </c>
      <c r="AM44" s="244">
        <v>77</v>
      </c>
      <c r="AN44" s="245">
        <v>11.14</v>
      </c>
      <c r="AO44" s="245">
        <v>2.54</v>
      </c>
      <c r="AP44" s="232">
        <v>42</v>
      </c>
    </row>
    <row r="45" spans="1:42" x14ac:dyDescent="0.2">
      <c r="A45" s="231">
        <v>43</v>
      </c>
      <c r="B45" s="255" t="s">
        <v>1900</v>
      </c>
      <c r="C45" s="256" t="s">
        <v>2562</v>
      </c>
      <c r="D45" s="264">
        <v>42</v>
      </c>
      <c r="E45" s="265">
        <v>92.5</v>
      </c>
      <c r="F45" s="22" t="s">
        <v>2706</v>
      </c>
      <c r="G45" s="23" t="s">
        <v>2707</v>
      </c>
      <c r="H45" s="24" t="s">
        <v>743</v>
      </c>
      <c r="I45" s="24" t="s">
        <v>743</v>
      </c>
      <c r="J45" s="25" t="s">
        <v>743</v>
      </c>
      <c r="K45" s="26">
        <v>35667</v>
      </c>
      <c r="L45" s="15" t="s">
        <v>890</v>
      </c>
      <c r="M45" s="28">
        <v>358534</v>
      </c>
      <c r="N45" s="29">
        <v>6177565</v>
      </c>
      <c r="O45" s="32" t="s">
        <v>2708</v>
      </c>
      <c r="P45" s="135" t="s">
        <v>2708</v>
      </c>
      <c r="Q45" s="260">
        <v>397</v>
      </c>
      <c r="R45" s="32">
        <v>15</v>
      </c>
      <c r="S45" s="135">
        <v>16</v>
      </c>
      <c r="T45" s="260">
        <f t="shared" si="1"/>
        <v>15</v>
      </c>
      <c r="U45" s="30"/>
      <c r="V45" s="31">
        <v>335</v>
      </c>
      <c r="W45" s="31">
        <f t="shared" si="2"/>
        <v>335</v>
      </c>
      <c r="X45" s="260">
        <v>4</v>
      </c>
      <c r="Y45" s="323">
        <v>9.5000000000000001E-2</v>
      </c>
      <c r="Z45" s="323">
        <v>118654</v>
      </c>
      <c r="AA45" s="323">
        <v>818</v>
      </c>
      <c r="AB45" s="151" t="s">
        <v>2708</v>
      </c>
      <c r="AC45" s="155">
        <v>1992</v>
      </c>
      <c r="AD45" s="254">
        <f t="shared" si="0"/>
        <v>4.6509240246407444</v>
      </c>
      <c r="AE45" s="152">
        <v>1</v>
      </c>
      <c r="AF45" s="252">
        <v>12</v>
      </c>
      <c r="AG45" s="242">
        <v>20</v>
      </c>
      <c r="AH45" s="242" t="s">
        <v>2252</v>
      </c>
      <c r="AI45" s="243">
        <v>5.6</v>
      </c>
      <c r="AJ45" s="244">
        <v>1670</v>
      </c>
      <c r="AK45" s="244">
        <v>23</v>
      </c>
      <c r="AL45" s="244">
        <v>9</v>
      </c>
      <c r="AM45" s="244">
        <v>54</v>
      </c>
      <c r="AN45" s="245">
        <v>11.68</v>
      </c>
      <c r="AO45" s="245">
        <v>1.75</v>
      </c>
      <c r="AP45" s="232">
        <v>43</v>
      </c>
    </row>
    <row r="46" spans="1:42" x14ac:dyDescent="0.2">
      <c r="A46" s="231">
        <v>44</v>
      </c>
      <c r="B46" s="255" t="s">
        <v>1900</v>
      </c>
      <c r="C46" s="256" t="s">
        <v>1251</v>
      </c>
      <c r="D46" s="264">
        <v>48</v>
      </c>
      <c r="E46" s="265">
        <v>130</v>
      </c>
      <c r="F46" s="22" t="s">
        <v>2706</v>
      </c>
      <c r="G46" s="23" t="s">
        <v>2707</v>
      </c>
      <c r="H46" s="24" t="s">
        <v>743</v>
      </c>
      <c r="I46" s="24" t="s">
        <v>743</v>
      </c>
      <c r="J46" s="25" t="s">
        <v>743</v>
      </c>
      <c r="K46" s="26">
        <v>35676</v>
      </c>
      <c r="L46" s="15" t="s">
        <v>890</v>
      </c>
      <c r="M46" s="28">
        <v>358862</v>
      </c>
      <c r="N46" s="29">
        <v>6178200</v>
      </c>
      <c r="O46" s="32" t="s">
        <v>2708</v>
      </c>
      <c r="P46" s="135" t="s">
        <v>2708</v>
      </c>
      <c r="Q46" s="260">
        <v>347</v>
      </c>
      <c r="R46" s="32">
        <v>2</v>
      </c>
      <c r="S46" s="135">
        <v>7</v>
      </c>
      <c r="T46" s="260">
        <f t="shared" si="1"/>
        <v>2</v>
      </c>
      <c r="U46" s="30"/>
      <c r="V46" s="31">
        <v>320</v>
      </c>
      <c r="W46" s="31">
        <f t="shared" si="2"/>
        <v>320</v>
      </c>
      <c r="X46" s="260">
        <v>6</v>
      </c>
      <c r="Y46" s="323">
        <v>0.125</v>
      </c>
      <c r="Z46" s="323">
        <v>113227</v>
      </c>
      <c r="AA46" s="323">
        <v>885</v>
      </c>
      <c r="AB46" s="151" t="s">
        <v>2708</v>
      </c>
      <c r="AC46" s="155">
        <v>1996</v>
      </c>
      <c r="AD46" s="254">
        <f t="shared" si="0"/>
        <v>0.67556468172483619</v>
      </c>
      <c r="AE46" s="152">
        <v>1</v>
      </c>
      <c r="AF46" s="252">
        <v>5</v>
      </c>
      <c r="AG46" s="242">
        <v>15</v>
      </c>
      <c r="AH46" s="242" t="s">
        <v>2252</v>
      </c>
      <c r="AI46" s="243">
        <v>5.6</v>
      </c>
      <c r="AJ46" s="244">
        <v>2000</v>
      </c>
      <c r="AK46" s="244">
        <v>22</v>
      </c>
      <c r="AL46" s="244">
        <v>7</v>
      </c>
      <c r="AM46" s="244">
        <v>37</v>
      </c>
      <c r="AN46" s="245">
        <v>7.61</v>
      </c>
      <c r="AO46" s="245">
        <v>1.39</v>
      </c>
      <c r="AP46" s="232">
        <v>44</v>
      </c>
    </row>
    <row r="47" spans="1:42" x14ac:dyDescent="0.2">
      <c r="A47" s="231">
        <v>45</v>
      </c>
      <c r="B47" s="255" t="s">
        <v>1900</v>
      </c>
      <c r="C47" s="256" t="s">
        <v>1253</v>
      </c>
      <c r="D47" s="264">
        <v>13</v>
      </c>
      <c r="E47" s="265">
        <v>112.5</v>
      </c>
      <c r="F47" s="22" t="s">
        <v>2706</v>
      </c>
      <c r="G47" s="23" t="s">
        <v>2707</v>
      </c>
      <c r="H47" s="24" t="s">
        <v>743</v>
      </c>
      <c r="I47" s="24" t="s">
        <v>743</v>
      </c>
      <c r="J47" s="25" t="s">
        <v>743</v>
      </c>
      <c r="K47" s="26">
        <v>35677</v>
      </c>
      <c r="L47" s="15" t="s">
        <v>890</v>
      </c>
      <c r="M47" s="28">
        <v>359057</v>
      </c>
      <c r="N47" s="29">
        <v>6178447</v>
      </c>
      <c r="O47" s="32" t="s">
        <v>2708</v>
      </c>
      <c r="P47" s="135" t="s">
        <v>2708</v>
      </c>
      <c r="Q47" s="260">
        <v>306</v>
      </c>
      <c r="R47" s="32">
        <v>5</v>
      </c>
      <c r="S47" s="135">
        <v>11</v>
      </c>
      <c r="T47" s="260">
        <f t="shared" si="1"/>
        <v>5</v>
      </c>
      <c r="U47" s="30"/>
      <c r="V47" s="31">
        <v>6</v>
      </c>
      <c r="W47" s="31">
        <f t="shared" si="2"/>
        <v>6</v>
      </c>
      <c r="X47" s="260">
        <v>6</v>
      </c>
      <c r="Y47" s="323">
        <v>0.71599999999999997</v>
      </c>
      <c r="Z47" s="323">
        <v>114994</v>
      </c>
      <c r="AA47" s="323">
        <v>629</v>
      </c>
      <c r="AB47" s="151" t="s">
        <v>2708</v>
      </c>
      <c r="AC47" s="155">
        <v>0</v>
      </c>
      <c r="AD47" s="254">
        <f t="shared" si="0"/>
        <v>1000</v>
      </c>
      <c r="AE47" s="152">
        <v>4</v>
      </c>
      <c r="AF47" s="252">
        <v>25</v>
      </c>
      <c r="AG47" s="242">
        <v>10</v>
      </c>
      <c r="AH47" s="242" t="s">
        <v>2252</v>
      </c>
      <c r="AI47" s="243">
        <v>7.4</v>
      </c>
      <c r="AJ47" s="244">
        <v>890</v>
      </c>
      <c r="AK47" s="244">
        <v>88</v>
      </c>
      <c r="AL47" s="244">
        <v>230</v>
      </c>
      <c r="AM47" s="244">
        <v>140</v>
      </c>
      <c r="AN47" s="245">
        <v>68.3</v>
      </c>
      <c r="AO47" s="245">
        <v>3.36</v>
      </c>
      <c r="AP47" s="232">
        <v>45</v>
      </c>
    </row>
    <row r="48" spans="1:42" x14ac:dyDescent="0.2">
      <c r="A48" s="231">
        <v>46</v>
      </c>
      <c r="B48" s="255" t="s">
        <v>1900</v>
      </c>
      <c r="C48" s="256" t="s">
        <v>2671</v>
      </c>
      <c r="D48" s="264">
        <v>23</v>
      </c>
      <c r="E48" s="265">
        <v>92.5</v>
      </c>
      <c r="F48" s="22" t="s">
        <v>2706</v>
      </c>
      <c r="G48" s="23" t="s">
        <v>2707</v>
      </c>
      <c r="H48" s="24" t="s">
        <v>743</v>
      </c>
      <c r="I48" s="24" t="s">
        <v>743</v>
      </c>
      <c r="J48" s="25" t="s">
        <v>743</v>
      </c>
      <c r="K48" s="26">
        <v>35677</v>
      </c>
      <c r="L48" s="15" t="s">
        <v>890</v>
      </c>
      <c r="M48" s="28">
        <v>355708</v>
      </c>
      <c r="N48" s="29">
        <v>6176283</v>
      </c>
      <c r="O48" s="32" t="s">
        <v>2708</v>
      </c>
      <c r="P48" s="135" t="s">
        <v>2708</v>
      </c>
      <c r="Q48" s="260">
        <v>300</v>
      </c>
      <c r="R48" s="32">
        <v>7</v>
      </c>
      <c r="S48" s="135">
        <v>13</v>
      </c>
      <c r="T48" s="260">
        <f t="shared" si="1"/>
        <v>7</v>
      </c>
      <c r="U48" s="30"/>
      <c r="V48" s="31">
        <v>342</v>
      </c>
      <c r="W48" s="31">
        <f t="shared" si="2"/>
        <v>342</v>
      </c>
      <c r="X48" s="260">
        <v>4</v>
      </c>
      <c r="Y48" s="323">
        <v>0.224</v>
      </c>
      <c r="Z48" s="323">
        <v>117074</v>
      </c>
      <c r="AA48" s="323">
        <v>749</v>
      </c>
      <c r="AB48" s="151" t="s">
        <v>2708</v>
      </c>
      <c r="AC48" s="155">
        <v>1990</v>
      </c>
      <c r="AD48" s="254">
        <f t="shared" si="0"/>
        <v>6.678302532511907</v>
      </c>
      <c r="AE48" s="152">
        <v>4</v>
      </c>
      <c r="AF48" s="252">
        <v>10</v>
      </c>
      <c r="AG48" s="242">
        <v>20</v>
      </c>
      <c r="AH48" s="242" t="s">
        <v>2252</v>
      </c>
      <c r="AI48" s="243">
        <v>8</v>
      </c>
      <c r="AJ48" s="244">
        <v>2180</v>
      </c>
      <c r="AK48" s="244">
        <v>78</v>
      </c>
      <c r="AL48" s="244">
        <v>24</v>
      </c>
      <c r="AM48" s="244">
        <v>25</v>
      </c>
      <c r="AN48" s="245">
        <v>58.75</v>
      </c>
      <c r="AO48" s="245">
        <v>1.34</v>
      </c>
      <c r="AP48" s="232">
        <v>46</v>
      </c>
    </row>
    <row r="49" spans="1:42" x14ac:dyDescent="0.2">
      <c r="A49" s="231">
        <v>47</v>
      </c>
      <c r="B49" s="255" t="s">
        <v>1900</v>
      </c>
      <c r="C49" s="256" t="s">
        <v>2617</v>
      </c>
      <c r="D49" s="264">
        <v>16</v>
      </c>
      <c r="E49" s="265">
        <v>103</v>
      </c>
      <c r="F49" s="22" t="s">
        <v>2706</v>
      </c>
      <c r="G49" s="23" t="s">
        <v>2707</v>
      </c>
      <c r="H49" s="24" t="s">
        <v>743</v>
      </c>
      <c r="I49" s="24" t="s">
        <v>743</v>
      </c>
      <c r="J49" s="25" t="s">
        <v>743</v>
      </c>
      <c r="K49" s="26">
        <v>35678</v>
      </c>
      <c r="L49" s="15" t="s">
        <v>890</v>
      </c>
      <c r="M49" s="28">
        <v>357165</v>
      </c>
      <c r="N49" s="29">
        <v>6178330</v>
      </c>
      <c r="O49" s="32" t="s">
        <v>2708</v>
      </c>
      <c r="P49" s="135" t="s">
        <v>2708</v>
      </c>
      <c r="Q49" s="260">
        <v>262</v>
      </c>
      <c r="R49" s="32">
        <v>5</v>
      </c>
      <c r="S49" s="135">
        <v>10</v>
      </c>
      <c r="T49" s="260">
        <f t="shared" si="1"/>
        <v>5</v>
      </c>
      <c r="U49" s="30"/>
      <c r="V49" s="31">
        <v>8</v>
      </c>
      <c r="W49" s="31">
        <f t="shared" si="2"/>
        <v>8</v>
      </c>
      <c r="X49" s="260">
        <v>6</v>
      </c>
      <c r="Y49" s="323">
        <v>1.2430000000000001</v>
      </c>
      <c r="Z49" s="323">
        <v>114940</v>
      </c>
      <c r="AA49" s="323">
        <v>960</v>
      </c>
      <c r="AB49" s="151" t="s">
        <v>2708</v>
      </c>
      <c r="AC49" s="155">
        <v>1992</v>
      </c>
      <c r="AD49" s="254">
        <f t="shared" si="0"/>
        <v>4.6810403832992051</v>
      </c>
      <c r="AE49" s="152" t="s">
        <v>2708</v>
      </c>
      <c r="AF49" s="252">
        <v>100</v>
      </c>
      <c r="AG49" s="242">
        <v>0</v>
      </c>
      <c r="AH49" s="242" t="s">
        <v>2252</v>
      </c>
      <c r="AI49" s="243">
        <v>7.9</v>
      </c>
      <c r="AJ49" s="244">
        <v>1540</v>
      </c>
      <c r="AK49" s="244">
        <v>80</v>
      </c>
      <c r="AL49" s="244">
        <v>29</v>
      </c>
      <c r="AM49" s="244">
        <v>46</v>
      </c>
      <c r="AN49" s="245">
        <v>28.8</v>
      </c>
      <c r="AO49" s="245">
        <v>1.72</v>
      </c>
      <c r="AP49" s="232">
        <v>47</v>
      </c>
    </row>
    <row r="50" spans="1:42" x14ac:dyDescent="0.2">
      <c r="A50" s="231">
        <v>48</v>
      </c>
      <c r="B50" s="255" t="s">
        <v>1900</v>
      </c>
      <c r="C50" s="256" t="s">
        <v>2616</v>
      </c>
      <c r="D50" s="264">
        <v>11</v>
      </c>
      <c r="E50" s="265">
        <v>88.5</v>
      </c>
      <c r="F50" s="22" t="s">
        <v>2706</v>
      </c>
      <c r="G50" s="23" t="s">
        <v>2707</v>
      </c>
      <c r="H50" s="24" t="s">
        <v>743</v>
      </c>
      <c r="I50" s="24" t="s">
        <v>743</v>
      </c>
      <c r="J50" s="25" t="s">
        <v>743</v>
      </c>
      <c r="K50" s="26">
        <v>35689</v>
      </c>
      <c r="L50" s="15" t="s">
        <v>890</v>
      </c>
      <c r="M50" s="28">
        <v>356545</v>
      </c>
      <c r="N50" s="29">
        <v>6176592</v>
      </c>
      <c r="O50" s="32" t="s">
        <v>2708</v>
      </c>
      <c r="P50" s="135" t="s">
        <v>2708</v>
      </c>
      <c r="Q50" s="260">
        <v>304</v>
      </c>
      <c r="R50" s="32">
        <v>10</v>
      </c>
      <c r="S50" s="135">
        <v>27</v>
      </c>
      <c r="T50" s="260">
        <f t="shared" si="1"/>
        <v>10</v>
      </c>
      <c r="U50" s="156"/>
      <c r="V50" s="31">
        <v>185</v>
      </c>
      <c r="W50" s="31">
        <f t="shared" si="2"/>
        <v>185</v>
      </c>
      <c r="X50" s="260">
        <v>0</v>
      </c>
      <c r="Y50" s="323">
        <v>1.2050000000000001</v>
      </c>
      <c r="Z50" s="323">
        <v>68928</v>
      </c>
      <c r="AA50" s="323">
        <v>856</v>
      </c>
      <c r="AB50" s="151">
        <v>999</v>
      </c>
      <c r="AC50" s="155">
        <v>0</v>
      </c>
      <c r="AD50" s="254">
        <f t="shared" si="0"/>
        <v>1000</v>
      </c>
      <c r="AE50" s="152" t="s">
        <v>2708</v>
      </c>
      <c r="AF50" s="252">
        <v>20</v>
      </c>
      <c r="AG50" s="242">
        <v>15</v>
      </c>
      <c r="AH50" s="242" t="s">
        <v>2252</v>
      </c>
      <c r="AI50" s="243">
        <v>7.4</v>
      </c>
      <c r="AJ50" s="244">
        <v>360</v>
      </c>
      <c r="AK50" s="244">
        <v>131</v>
      </c>
      <c r="AL50" s="244">
        <v>131</v>
      </c>
      <c r="AM50" s="244">
        <v>213</v>
      </c>
      <c r="AN50" s="245">
        <v>60.5</v>
      </c>
      <c r="AO50" s="245">
        <v>5.43</v>
      </c>
      <c r="AP50" s="232">
        <v>48</v>
      </c>
    </row>
    <row r="51" spans="1:42" x14ac:dyDescent="0.2">
      <c r="A51" s="231">
        <v>49</v>
      </c>
      <c r="B51" s="255" t="s">
        <v>1900</v>
      </c>
      <c r="C51" s="256" t="s">
        <v>2617</v>
      </c>
      <c r="D51" s="264">
        <v>29</v>
      </c>
      <c r="E51" s="265">
        <v>80.5</v>
      </c>
      <c r="F51" s="22" t="s">
        <v>2706</v>
      </c>
      <c r="G51" s="23" t="s">
        <v>2707</v>
      </c>
      <c r="H51" s="24" t="s">
        <v>2707</v>
      </c>
      <c r="I51" s="24" t="s">
        <v>2707</v>
      </c>
      <c r="J51" s="25" t="s">
        <v>2707</v>
      </c>
      <c r="K51" s="26">
        <v>38277</v>
      </c>
      <c r="L51" s="27" t="s">
        <v>2709</v>
      </c>
      <c r="M51" s="28">
        <v>356255</v>
      </c>
      <c r="N51" s="29">
        <v>6174980</v>
      </c>
      <c r="O51" s="32">
        <v>167</v>
      </c>
      <c r="P51" s="135" t="s">
        <v>2708</v>
      </c>
      <c r="Q51" s="260">
        <v>170</v>
      </c>
      <c r="R51" s="32">
        <v>40</v>
      </c>
      <c r="S51" s="135">
        <v>19</v>
      </c>
      <c r="T51" s="260">
        <f t="shared" si="1"/>
        <v>40</v>
      </c>
      <c r="U51" s="30">
        <v>215</v>
      </c>
      <c r="V51" s="31">
        <v>118</v>
      </c>
      <c r="W51" s="31">
        <f t="shared" si="2"/>
        <v>215</v>
      </c>
      <c r="X51" s="260">
        <f t="shared" ref="X51:X67" si="3">IF(OR(W51&lt;12,W51&gt;348),6,IF(OR(W51&lt;34,W51&gt;326),5,IF(OR(W51&lt;68,W51&gt;292),4,IF(OR(W51&lt;113,W51&gt;247),3,IF(OR(W51&lt;158,W51&gt;212),2,IF(OR(W51&lt;179,W51&gt;191),1,0))))))</f>
        <v>2</v>
      </c>
      <c r="Y51" s="323">
        <v>0.879</v>
      </c>
      <c r="Z51" s="323">
        <v>90853</v>
      </c>
      <c r="AA51" s="323">
        <v>1055</v>
      </c>
      <c r="AB51" s="151" t="s">
        <v>2708</v>
      </c>
      <c r="AC51" s="155">
        <v>1994</v>
      </c>
      <c r="AD51" s="254">
        <f t="shared" si="0"/>
        <v>9.7967145790553332</v>
      </c>
      <c r="AE51" s="152" t="s">
        <v>2708</v>
      </c>
      <c r="AF51" s="252">
        <v>100</v>
      </c>
      <c r="AG51" s="242">
        <v>15</v>
      </c>
      <c r="AH51" s="242" t="s">
        <v>2252</v>
      </c>
      <c r="AI51" s="243">
        <v>8.1999999999999993</v>
      </c>
      <c r="AJ51" s="244">
        <v>2140</v>
      </c>
      <c r="AK51" s="244">
        <v>41</v>
      </c>
      <c r="AL51" s="244">
        <v>51</v>
      </c>
      <c r="AM51" s="244">
        <v>22</v>
      </c>
      <c r="AN51" s="245">
        <v>33.75</v>
      </c>
      <c r="AO51" s="245">
        <v>1.27</v>
      </c>
      <c r="AP51" s="232">
        <v>56</v>
      </c>
    </row>
    <row r="52" spans="1:42" x14ac:dyDescent="0.2">
      <c r="A52" s="231">
        <v>50</v>
      </c>
      <c r="B52" s="255" t="s">
        <v>1900</v>
      </c>
      <c r="C52" s="256" t="s">
        <v>1253</v>
      </c>
      <c r="D52" s="264">
        <v>12</v>
      </c>
      <c r="E52" s="265">
        <v>161</v>
      </c>
      <c r="F52" s="22" t="s">
        <v>2706</v>
      </c>
      <c r="G52" s="23" t="s">
        <v>2710</v>
      </c>
      <c r="H52" s="24" t="s">
        <v>2707</v>
      </c>
      <c r="I52" s="24" t="s">
        <v>2707</v>
      </c>
      <c r="J52" s="25" t="s">
        <v>2707</v>
      </c>
      <c r="K52" s="26">
        <v>38268</v>
      </c>
      <c r="L52" s="27" t="s">
        <v>2709</v>
      </c>
      <c r="M52" s="28">
        <v>354611</v>
      </c>
      <c r="N52" s="29">
        <v>6175669</v>
      </c>
      <c r="O52" s="32">
        <v>245</v>
      </c>
      <c r="P52" s="135" t="s">
        <v>2708</v>
      </c>
      <c r="Q52" s="260">
        <v>246</v>
      </c>
      <c r="R52" s="32">
        <v>6</v>
      </c>
      <c r="S52" s="135">
        <v>7</v>
      </c>
      <c r="T52" s="260">
        <f t="shared" si="1"/>
        <v>6</v>
      </c>
      <c r="U52" s="30">
        <v>35</v>
      </c>
      <c r="V52" s="31">
        <v>344</v>
      </c>
      <c r="W52" s="31">
        <f t="shared" si="2"/>
        <v>35</v>
      </c>
      <c r="X52" s="260">
        <f t="shared" si="3"/>
        <v>4</v>
      </c>
      <c r="Y52" s="323">
        <v>0.30399999999999999</v>
      </c>
      <c r="Z52" s="323">
        <v>112652</v>
      </c>
      <c r="AA52" s="323">
        <v>860</v>
      </c>
      <c r="AB52" s="151" t="s">
        <v>2708</v>
      </c>
      <c r="AC52" s="155">
        <v>0</v>
      </c>
      <c r="AD52" s="254">
        <f t="shared" si="0"/>
        <v>1000</v>
      </c>
      <c r="AE52" s="152" t="s">
        <v>2708</v>
      </c>
      <c r="AF52" s="252">
        <v>100</v>
      </c>
      <c r="AG52" s="242">
        <v>0</v>
      </c>
      <c r="AH52" s="242" t="s">
        <v>2252</v>
      </c>
      <c r="AI52" s="243">
        <v>7.9</v>
      </c>
      <c r="AJ52" s="244">
        <v>620</v>
      </c>
      <c r="AK52" s="244">
        <v>252</v>
      </c>
      <c r="AL52" s="244">
        <v>94</v>
      </c>
      <c r="AM52" s="244">
        <v>54</v>
      </c>
      <c r="AN52" s="245">
        <v>31.59</v>
      </c>
      <c r="AO52" s="245">
        <v>2.88</v>
      </c>
      <c r="AP52" s="232">
        <v>57</v>
      </c>
    </row>
    <row r="53" spans="1:42" x14ac:dyDescent="0.2">
      <c r="A53" s="231">
        <v>51</v>
      </c>
      <c r="B53" s="255" t="s">
        <v>1900</v>
      </c>
      <c r="C53" s="256" t="s">
        <v>1253</v>
      </c>
      <c r="D53" s="264">
        <v>7</v>
      </c>
      <c r="E53" s="265">
        <v>141.5</v>
      </c>
      <c r="F53" s="22" t="s">
        <v>2687</v>
      </c>
      <c r="G53" s="23" t="s">
        <v>2710</v>
      </c>
      <c r="H53" s="24" t="s">
        <v>2707</v>
      </c>
      <c r="I53" s="24" t="s">
        <v>2707</v>
      </c>
      <c r="J53" s="25" t="s">
        <v>2707</v>
      </c>
      <c r="K53" s="26">
        <v>38268</v>
      </c>
      <c r="L53" s="27" t="s">
        <v>2709</v>
      </c>
      <c r="M53" s="28">
        <v>354499</v>
      </c>
      <c r="N53" s="29">
        <v>6175422</v>
      </c>
      <c r="O53" s="32">
        <v>269</v>
      </c>
      <c r="P53" s="135" t="s">
        <v>2708</v>
      </c>
      <c r="Q53" s="260">
        <v>269</v>
      </c>
      <c r="R53" s="32">
        <v>10</v>
      </c>
      <c r="S53" s="135">
        <v>15</v>
      </c>
      <c r="T53" s="260">
        <f t="shared" si="1"/>
        <v>10</v>
      </c>
      <c r="U53" s="30">
        <v>0</v>
      </c>
      <c r="V53" s="31">
        <v>322</v>
      </c>
      <c r="W53" s="31">
        <f t="shared" si="2"/>
        <v>0</v>
      </c>
      <c r="X53" s="260">
        <f t="shared" si="3"/>
        <v>6</v>
      </c>
      <c r="Y53" s="323">
        <v>1.036</v>
      </c>
      <c r="Z53" s="323">
        <v>115273</v>
      </c>
      <c r="AA53" s="323">
        <v>686</v>
      </c>
      <c r="AB53" s="151" t="s">
        <v>2708</v>
      </c>
      <c r="AC53" s="137">
        <v>0</v>
      </c>
      <c r="AD53" s="254">
        <f t="shared" si="0"/>
        <v>1000</v>
      </c>
      <c r="AE53" s="152" t="s">
        <v>2708</v>
      </c>
      <c r="AF53" s="252">
        <v>100</v>
      </c>
      <c r="AG53" s="242">
        <v>0</v>
      </c>
      <c r="AH53" s="242" t="s">
        <v>2252</v>
      </c>
      <c r="AI53" s="243">
        <v>7.5</v>
      </c>
      <c r="AJ53" s="244">
        <v>1080</v>
      </c>
      <c r="AK53" s="244">
        <v>141</v>
      </c>
      <c r="AL53" s="244">
        <v>79</v>
      </c>
      <c r="AM53" s="244">
        <v>47</v>
      </c>
      <c r="AN53" s="245">
        <v>57.95</v>
      </c>
      <c r="AO53" s="245">
        <v>2.73</v>
      </c>
      <c r="AP53" s="232">
        <v>58</v>
      </c>
    </row>
    <row r="54" spans="1:42" x14ac:dyDescent="0.2">
      <c r="A54" s="231">
        <v>52</v>
      </c>
      <c r="B54" s="255" t="s">
        <v>1900</v>
      </c>
      <c r="C54" s="256" t="s">
        <v>2617</v>
      </c>
      <c r="D54" s="264">
        <v>19</v>
      </c>
      <c r="E54" s="265">
        <v>158.5</v>
      </c>
      <c r="F54" s="22" t="s">
        <v>2706</v>
      </c>
      <c r="G54" s="23" t="s">
        <v>2710</v>
      </c>
      <c r="H54" s="24" t="s">
        <v>2707</v>
      </c>
      <c r="I54" s="24" t="s">
        <v>2707</v>
      </c>
      <c r="J54" s="25" t="s">
        <v>2707</v>
      </c>
      <c r="K54" s="26">
        <v>38256</v>
      </c>
      <c r="L54" s="27" t="s">
        <v>2709</v>
      </c>
      <c r="M54" s="28">
        <v>354755</v>
      </c>
      <c r="N54" s="29">
        <v>6176102</v>
      </c>
      <c r="O54" s="32">
        <v>204</v>
      </c>
      <c r="P54" s="135" t="s">
        <v>2708</v>
      </c>
      <c r="Q54" s="260">
        <v>205</v>
      </c>
      <c r="R54" s="32">
        <v>1</v>
      </c>
      <c r="S54" s="135">
        <v>3</v>
      </c>
      <c r="T54" s="260">
        <f t="shared" si="1"/>
        <v>1</v>
      </c>
      <c r="U54" s="30">
        <v>290</v>
      </c>
      <c r="V54" s="31">
        <v>348</v>
      </c>
      <c r="W54" s="31">
        <f t="shared" si="2"/>
        <v>290</v>
      </c>
      <c r="X54" s="260">
        <f t="shared" si="3"/>
        <v>3</v>
      </c>
      <c r="Y54" s="323">
        <v>5.8999999999999997E-2</v>
      </c>
      <c r="Z54" s="323">
        <v>109027</v>
      </c>
      <c r="AA54" s="323">
        <v>1052</v>
      </c>
      <c r="AB54" s="151" t="s">
        <v>2708</v>
      </c>
      <c r="AC54" s="155">
        <v>1994</v>
      </c>
      <c r="AD54" s="254">
        <f t="shared" si="0"/>
        <v>9.7392197125257098</v>
      </c>
      <c r="AE54" s="152" t="s">
        <v>2708</v>
      </c>
      <c r="AF54" s="252">
        <v>100</v>
      </c>
      <c r="AG54" s="242">
        <v>0</v>
      </c>
      <c r="AH54" s="242" t="s">
        <v>2252</v>
      </c>
      <c r="AI54" s="243">
        <v>8.1999999999999993</v>
      </c>
      <c r="AJ54" s="244">
        <v>2040</v>
      </c>
      <c r="AK54" s="244">
        <v>111</v>
      </c>
      <c r="AL54" s="244">
        <v>26</v>
      </c>
      <c r="AM54" s="244">
        <v>21</v>
      </c>
      <c r="AN54" s="245">
        <v>44.15</v>
      </c>
      <c r="AO54" s="245">
        <v>1.73</v>
      </c>
      <c r="AP54" s="232">
        <v>59</v>
      </c>
    </row>
    <row r="55" spans="1:42" x14ac:dyDescent="0.2">
      <c r="A55" s="231">
        <v>53</v>
      </c>
      <c r="B55" s="255" t="s">
        <v>1900</v>
      </c>
      <c r="C55" s="256" t="s">
        <v>2617</v>
      </c>
      <c r="D55" s="264">
        <v>30</v>
      </c>
      <c r="E55" s="265">
        <v>163</v>
      </c>
      <c r="F55" s="22" t="s">
        <v>2706</v>
      </c>
      <c r="G55" s="23" t="s">
        <v>2710</v>
      </c>
      <c r="H55" s="24" t="s">
        <v>2707</v>
      </c>
      <c r="I55" s="24" t="s">
        <v>2707</v>
      </c>
      <c r="J55" s="25" t="s">
        <v>2707</v>
      </c>
      <c r="K55" s="26">
        <v>38282</v>
      </c>
      <c r="L55" s="27" t="s">
        <v>2709</v>
      </c>
      <c r="M55" s="28">
        <v>356297</v>
      </c>
      <c r="N55" s="29">
        <v>6175012</v>
      </c>
      <c r="O55" s="32">
        <v>168</v>
      </c>
      <c r="P55" s="135" t="s">
        <v>2708</v>
      </c>
      <c r="Q55" s="260">
        <v>181</v>
      </c>
      <c r="R55" s="32">
        <v>34</v>
      </c>
      <c r="S55" s="135">
        <v>32</v>
      </c>
      <c r="T55" s="260">
        <f t="shared" si="1"/>
        <v>34</v>
      </c>
      <c r="U55" s="30">
        <v>210</v>
      </c>
      <c r="V55" s="31">
        <v>176</v>
      </c>
      <c r="W55" s="31">
        <f t="shared" si="2"/>
        <v>210</v>
      </c>
      <c r="X55" s="260">
        <f t="shared" si="3"/>
        <v>1</v>
      </c>
      <c r="Y55" s="323">
        <v>0.86099999999999999</v>
      </c>
      <c r="Z55" s="323">
        <v>60183</v>
      </c>
      <c r="AA55" s="323">
        <v>1236</v>
      </c>
      <c r="AB55" s="151" t="s">
        <v>2708</v>
      </c>
      <c r="AC55" s="155">
        <v>1994</v>
      </c>
      <c r="AD55" s="254">
        <f t="shared" si="0"/>
        <v>9.8104038329911418</v>
      </c>
      <c r="AE55" s="152" t="s">
        <v>2708</v>
      </c>
      <c r="AF55" s="252">
        <v>100</v>
      </c>
      <c r="AG55" s="242">
        <v>0</v>
      </c>
      <c r="AH55" s="242" t="s">
        <v>2252</v>
      </c>
      <c r="AI55" s="243">
        <v>8.3000000000000007</v>
      </c>
      <c r="AJ55" s="244">
        <v>2120</v>
      </c>
      <c r="AK55" s="244">
        <v>145</v>
      </c>
      <c r="AL55" s="244">
        <v>24</v>
      </c>
      <c r="AM55" s="244">
        <v>16</v>
      </c>
      <c r="AN55" s="245">
        <v>51.15</v>
      </c>
      <c r="AO55" s="245">
        <v>1.41</v>
      </c>
      <c r="AP55" s="232">
        <v>60</v>
      </c>
    </row>
    <row r="56" spans="1:42" x14ac:dyDescent="0.2">
      <c r="A56" s="231">
        <v>54</v>
      </c>
      <c r="B56" s="255" t="s">
        <v>1900</v>
      </c>
      <c r="C56" s="256" t="s">
        <v>2669</v>
      </c>
      <c r="D56" s="264">
        <v>21</v>
      </c>
      <c r="E56" s="265">
        <v>146.5</v>
      </c>
      <c r="F56" s="22" t="s">
        <v>2706</v>
      </c>
      <c r="G56" s="23" t="s">
        <v>2710</v>
      </c>
      <c r="H56" s="24" t="s">
        <v>2707</v>
      </c>
      <c r="I56" s="24" t="s">
        <v>2707</v>
      </c>
      <c r="J56" s="25" t="s">
        <v>2707</v>
      </c>
      <c r="K56" s="26">
        <v>38282</v>
      </c>
      <c r="L56" s="27" t="s">
        <v>2709</v>
      </c>
      <c r="M56" s="28">
        <v>356288</v>
      </c>
      <c r="N56" s="29">
        <v>6175082</v>
      </c>
      <c r="O56" s="32">
        <v>208</v>
      </c>
      <c r="P56" s="135" t="s">
        <v>2708</v>
      </c>
      <c r="Q56" s="260">
        <v>209</v>
      </c>
      <c r="R56" s="32">
        <v>24</v>
      </c>
      <c r="S56" s="135">
        <v>15</v>
      </c>
      <c r="T56" s="260">
        <f t="shared" si="1"/>
        <v>24</v>
      </c>
      <c r="U56" s="30">
        <v>215</v>
      </c>
      <c r="V56" s="31">
        <v>168</v>
      </c>
      <c r="W56" s="31">
        <f t="shared" si="2"/>
        <v>215</v>
      </c>
      <c r="X56" s="260">
        <f t="shared" si="3"/>
        <v>2</v>
      </c>
      <c r="Y56" s="323">
        <v>1.181</v>
      </c>
      <c r="Z56" s="323">
        <v>88467</v>
      </c>
      <c r="AA56" s="323">
        <v>1434</v>
      </c>
      <c r="AB56" s="151" t="s">
        <v>2708</v>
      </c>
      <c r="AC56" s="155">
        <v>1994</v>
      </c>
      <c r="AD56" s="254">
        <f t="shared" si="0"/>
        <v>9.8104038329911418</v>
      </c>
      <c r="AE56" s="152" t="s">
        <v>2708</v>
      </c>
      <c r="AF56" s="252">
        <v>30</v>
      </c>
      <c r="AG56" s="242">
        <v>0</v>
      </c>
      <c r="AH56" s="242" t="s">
        <v>2253</v>
      </c>
      <c r="AI56" s="243">
        <v>8</v>
      </c>
      <c r="AJ56" s="244">
        <v>1080</v>
      </c>
      <c r="AK56" s="244">
        <v>57</v>
      </c>
      <c r="AL56" s="244">
        <v>11</v>
      </c>
      <c r="AM56" s="244">
        <v>38</v>
      </c>
      <c r="AN56" s="245">
        <v>29.13</v>
      </c>
      <c r="AO56" s="245">
        <v>1.32</v>
      </c>
      <c r="AP56" s="232">
        <v>61</v>
      </c>
    </row>
    <row r="57" spans="1:42" x14ac:dyDescent="0.2">
      <c r="A57" s="231">
        <v>55</v>
      </c>
      <c r="B57" s="255" t="s">
        <v>1900</v>
      </c>
      <c r="C57" s="256" t="s">
        <v>2618</v>
      </c>
      <c r="D57" s="264">
        <v>21</v>
      </c>
      <c r="E57" s="265">
        <v>124</v>
      </c>
      <c r="F57" s="22" t="s">
        <v>2706</v>
      </c>
      <c r="G57" s="23" t="s">
        <v>2710</v>
      </c>
      <c r="H57" s="24" t="s">
        <v>2707</v>
      </c>
      <c r="I57" s="24" t="s">
        <v>2707</v>
      </c>
      <c r="J57" s="25" t="s">
        <v>2707</v>
      </c>
      <c r="K57" s="26">
        <v>38269</v>
      </c>
      <c r="L57" s="27" t="s">
        <v>2709</v>
      </c>
      <c r="M57" s="28">
        <v>355115</v>
      </c>
      <c r="N57" s="29">
        <v>6175318</v>
      </c>
      <c r="O57" s="32">
        <v>312</v>
      </c>
      <c r="P57" s="135" t="s">
        <v>2708</v>
      </c>
      <c r="Q57" s="260">
        <v>315</v>
      </c>
      <c r="R57" s="32">
        <v>4</v>
      </c>
      <c r="S57" s="135">
        <v>4</v>
      </c>
      <c r="T57" s="260">
        <f t="shared" si="1"/>
        <v>4</v>
      </c>
      <c r="U57" s="30">
        <v>60</v>
      </c>
      <c r="V57" s="31">
        <v>34</v>
      </c>
      <c r="W57" s="31">
        <f t="shared" si="2"/>
        <v>60</v>
      </c>
      <c r="X57" s="260">
        <f t="shared" si="3"/>
        <v>4</v>
      </c>
      <c r="Y57" s="323">
        <v>0.79400000000000004</v>
      </c>
      <c r="Z57" s="323">
        <v>111647</v>
      </c>
      <c r="AA57" s="323">
        <v>1519</v>
      </c>
      <c r="AB57" s="151" t="s">
        <v>2708</v>
      </c>
      <c r="AC57" s="155">
        <v>1994</v>
      </c>
      <c r="AD57" s="254">
        <f t="shared" si="0"/>
        <v>9.7748117727583121</v>
      </c>
      <c r="AE57" s="152" t="s">
        <v>2708</v>
      </c>
      <c r="AF57" s="252">
        <v>100</v>
      </c>
      <c r="AG57" s="242">
        <v>0</v>
      </c>
      <c r="AH57" s="242" t="s">
        <v>2252</v>
      </c>
      <c r="AI57" s="243">
        <v>6.8</v>
      </c>
      <c r="AJ57" s="244">
        <v>3340</v>
      </c>
      <c r="AK57" s="244">
        <v>23</v>
      </c>
      <c r="AL57" s="244">
        <v>13</v>
      </c>
      <c r="AM57" s="244">
        <v>17</v>
      </c>
      <c r="AN57" s="245">
        <v>4.59</v>
      </c>
      <c r="AO57" s="245">
        <v>0.48</v>
      </c>
      <c r="AP57" s="232">
        <v>62</v>
      </c>
    </row>
    <row r="58" spans="1:42" x14ac:dyDescent="0.2">
      <c r="A58" s="231">
        <v>56</v>
      </c>
      <c r="B58" s="255" t="s">
        <v>1900</v>
      </c>
      <c r="C58" s="256" t="s">
        <v>2620</v>
      </c>
      <c r="D58" s="264">
        <v>19</v>
      </c>
      <c r="E58" s="265">
        <v>164</v>
      </c>
      <c r="F58" s="22" t="s">
        <v>2706</v>
      </c>
      <c r="G58" s="23" t="s">
        <v>2710</v>
      </c>
      <c r="H58" s="24" t="s">
        <v>2707</v>
      </c>
      <c r="I58" s="24" t="s">
        <v>2707</v>
      </c>
      <c r="J58" s="25" t="s">
        <v>2707</v>
      </c>
      <c r="K58" s="26">
        <v>38284</v>
      </c>
      <c r="L58" s="27" t="s">
        <v>2709</v>
      </c>
      <c r="M58" s="28">
        <v>357749</v>
      </c>
      <c r="N58" s="29">
        <v>6177908</v>
      </c>
      <c r="O58" s="32">
        <v>323</v>
      </c>
      <c r="P58" s="135" t="s">
        <v>2708</v>
      </c>
      <c r="Q58" s="260">
        <v>315</v>
      </c>
      <c r="R58" s="32">
        <v>8</v>
      </c>
      <c r="S58" s="135">
        <v>7</v>
      </c>
      <c r="T58" s="260">
        <f t="shared" si="1"/>
        <v>8</v>
      </c>
      <c r="U58" s="30">
        <v>215</v>
      </c>
      <c r="V58" s="31">
        <v>183</v>
      </c>
      <c r="W58" s="31">
        <f t="shared" si="2"/>
        <v>215</v>
      </c>
      <c r="X58" s="260">
        <f t="shared" si="3"/>
        <v>2</v>
      </c>
      <c r="Y58" s="323">
        <v>1.8580000000000001</v>
      </c>
      <c r="Z58" s="323">
        <v>113325</v>
      </c>
      <c r="AA58" s="323">
        <v>1014</v>
      </c>
      <c r="AB58" s="151" t="s">
        <v>2708</v>
      </c>
      <c r="AC58" s="155">
        <v>1996</v>
      </c>
      <c r="AD58" s="254">
        <f t="shared" si="0"/>
        <v>7.8158795345652834</v>
      </c>
      <c r="AE58" s="152" t="s">
        <v>2708</v>
      </c>
      <c r="AF58" s="252">
        <v>100</v>
      </c>
      <c r="AG58" s="242">
        <v>0</v>
      </c>
      <c r="AH58" s="242" t="s">
        <v>2252</v>
      </c>
      <c r="AI58" s="243">
        <v>6.4</v>
      </c>
      <c r="AJ58" s="244">
        <v>3530</v>
      </c>
      <c r="AK58" s="244">
        <v>24</v>
      </c>
      <c r="AL58" s="244">
        <v>16</v>
      </c>
      <c r="AM58" s="244">
        <v>15</v>
      </c>
      <c r="AN58" s="245">
        <v>3.6</v>
      </c>
      <c r="AO58" s="245">
        <v>0.36</v>
      </c>
      <c r="AP58" s="232">
        <v>63</v>
      </c>
    </row>
    <row r="59" spans="1:42" x14ac:dyDescent="0.2">
      <c r="A59" s="231">
        <v>57</v>
      </c>
      <c r="B59" s="255" t="s">
        <v>1900</v>
      </c>
      <c r="C59" s="256" t="s">
        <v>2617</v>
      </c>
      <c r="D59" s="264">
        <v>30</v>
      </c>
      <c r="E59" s="265">
        <v>72</v>
      </c>
      <c r="F59" s="22" t="s">
        <v>2706</v>
      </c>
      <c r="G59" s="23" t="s">
        <v>2710</v>
      </c>
      <c r="H59" s="24" t="s">
        <v>2707</v>
      </c>
      <c r="I59" s="24" t="s">
        <v>2707</v>
      </c>
      <c r="J59" s="25" t="s">
        <v>2707</v>
      </c>
      <c r="K59" s="26">
        <v>38269</v>
      </c>
      <c r="L59" s="27" t="s">
        <v>2709</v>
      </c>
      <c r="M59" s="28">
        <v>354958</v>
      </c>
      <c r="N59" s="29">
        <v>6175491</v>
      </c>
      <c r="O59" s="32">
        <v>304</v>
      </c>
      <c r="P59" s="135" t="s">
        <v>2708</v>
      </c>
      <c r="Q59" s="260">
        <v>301</v>
      </c>
      <c r="R59" s="32">
        <v>13</v>
      </c>
      <c r="S59" s="135">
        <v>12</v>
      </c>
      <c r="T59" s="260">
        <f t="shared" si="1"/>
        <v>13</v>
      </c>
      <c r="U59" s="30">
        <v>45</v>
      </c>
      <c r="V59" s="31">
        <v>71</v>
      </c>
      <c r="W59" s="31">
        <f t="shared" si="2"/>
        <v>45</v>
      </c>
      <c r="X59" s="260">
        <f t="shared" si="3"/>
        <v>4</v>
      </c>
      <c r="Y59" s="323">
        <v>0.80700000000000005</v>
      </c>
      <c r="Z59" s="323">
        <v>117686</v>
      </c>
      <c r="AA59" s="323">
        <v>992</v>
      </c>
      <c r="AB59" s="151" t="s">
        <v>2708</v>
      </c>
      <c r="AC59" s="155">
        <v>1994</v>
      </c>
      <c r="AD59" s="254">
        <f t="shared" si="0"/>
        <v>9.7748117727583121</v>
      </c>
      <c r="AE59" s="152" t="s">
        <v>2708</v>
      </c>
      <c r="AF59" s="252">
        <v>28</v>
      </c>
      <c r="AG59" s="242">
        <v>0</v>
      </c>
      <c r="AH59" s="242" t="s">
        <v>2252</v>
      </c>
      <c r="AI59" s="243">
        <v>8.1</v>
      </c>
      <c r="AJ59" s="244">
        <v>1070</v>
      </c>
      <c r="AK59" s="244">
        <v>72</v>
      </c>
      <c r="AL59" s="244">
        <v>14</v>
      </c>
      <c r="AM59" s="244">
        <v>23</v>
      </c>
      <c r="AN59" s="245">
        <v>39.72</v>
      </c>
      <c r="AO59" s="245">
        <v>1.57</v>
      </c>
      <c r="AP59" s="232">
        <v>64</v>
      </c>
    </row>
    <row r="60" spans="1:42" x14ac:dyDescent="0.2">
      <c r="A60" s="231">
        <v>58</v>
      </c>
      <c r="B60" s="255" t="s">
        <v>1900</v>
      </c>
      <c r="C60" s="256" t="s">
        <v>2670</v>
      </c>
      <c r="D60" s="264">
        <v>6</v>
      </c>
      <c r="E60" s="265">
        <v>113</v>
      </c>
      <c r="F60" s="22" t="s">
        <v>2706</v>
      </c>
      <c r="G60" s="23" t="s">
        <v>2710</v>
      </c>
      <c r="H60" s="24" t="s">
        <v>2707</v>
      </c>
      <c r="I60" s="24" t="s">
        <v>2707</v>
      </c>
      <c r="J60" s="25" t="s">
        <v>2707</v>
      </c>
      <c r="K60" s="26">
        <v>38283</v>
      </c>
      <c r="L60" s="27" t="s">
        <v>2709</v>
      </c>
      <c r="M60" s="28">
        <v>356500</v>
      </c>
      <c r="N60" s="29">
        <v>6176447</v>
      </c>
      <c r="O60" s="32">
        <v>238</v>
      </c>
      <c r="P60" s="135" t="s">
        <v>2708</v>
      </c>
      <c r="Q60" s="260">
        <v>236</v>
      </c>
      <c r="R60" s="32">
        <v>8</v>
      </c>
      <c r="S60" s="135">
        <v>7</v>
      </c>
      <c r="T60" s="260">
        <f t="shared" si="1"/>
        <v>8</v>
      </c>
      <c r="U60" s="30">
        <v>190</v>
      </c>
      <c r="V60" s="31">
        <v>188</v>
      </c>
      <c r="W60" s="31">
        <f t="shared" si="2"/>
        <v>190</v>
      </c>
      <c r="X60" s="260">
        <f t="shared" si="3"/>
        <v>0</v>
      </c>
      <c r="Y60" s="323">
        <v>2.0470000000000002</v>
      </c>
      <c r="Z60" s="323">
        <v>93173</v>
      </c>
      <c r="AA60" s="323">
        <v>188</v>
      </c>
      <c r="AB60" s="151" t="s">
        <v>2708</v>
      </c>
      <c r="AC60" s="155">
        <v>1990</v>
      </c>
      <c r="AD60" s="254">
        <f t="shared" si="0"/>
        <v>13.813141683778213</v>
      </c>
      <c r="AE60" s="152" t="s">
        <v>2708</v>
      </c>
      <c r="AF60" s="252">
        <v>100</v>
      </c>
      <c r="AG60" s="242">
        <v>0</v>
      </c>
      <c r="AH60" s="242" t="s">
        <v>2252</v>
      </c>
      <c r="AI60" s="243">
        <v>6.1</v>
      </c>
      <c r="AJ60" s="244">
        <v>1230</v>
      </c>
      <c r="AK60" s="244">
        <v>29</v>
      </c>
      <c r="AL60" s="244">
        <v>79</v>
      </c>
      <c r="AM60" s="244">
        <v>90</v>
      </c>
      <c r="AN60" s="245">
        <v>19.5</v>
      </c>
      <c r="AO60" s="245">
        <v>1.62</v>
      </c>
      <c r="AP60" s="232">
        <v>65</v>
      </c>
    </row>
    <row r="61" spans="1:42" x14ac:dyDescent="0.2">
      <c r="A61" s="231">
        <v>59</v>
      </c>
      <c r="B61" s="255" t="s">
        <v>1900</v>
      </c>
      <c r="C61" s="256" t="s">
        <v>2470</v>
      </c>
      <c r="D61" s="264">
        <v>13</v>
      </c>
      <c r="E61" s="265">
        <v>120</v>
      </c>
      <c r="F61" s="22" t="s">
        <v>2706</v>
      </c>
      <c r="G61" s="23" t="s">
        <v>2710</v>
      </c>
      <c r="H61" s="24" t="s">
        <v>2707</v>
      </c>
      <c r="I61" s="24" t="s">
        <v>2707</v>
      </c>
      <c r="J61" s="25" t="s">
        <v>2707</v>
      </c>
      <c r="K61" s="26">
        <v>38283</v>
      </c>
      <c r="L61" s="27" t="s">
        <v>2709</v>
      </c>
      <c r="M61" s="28">
        <v>356507</v>
      </c>
      <c r="N61" s="29">
        <v>6176425</v>
      </c>
      <c r="O61" s="32">
        <v>243</v>
      </c>
      <c r="P61" s="135" t="s">
        <v>2708</v>
      </c>
      <c r="Q61" s="260">
        <v>236</v>
      </c>
      <c r="R61" s="32">
        <v>9</v>
      </c>
      <c r="S61" s="135">
        <v>9</v>
      </c>
      <c r="T61" s="260">
        <f t="shared" si="1"/>
        <v>9</v>
      </c>
      <c r="U61" s="30">
        <v>335</v>
      </c>
      <c r="V61" s="31">
        <v>305</v>
      </c>
      <c r="W61" s="31">
        <f t="shared" si="2"/>
        <v>335</v>
      </c>
      <c r="X61" s="260">
        <f t="shared" si="3"/>
        <v>5</v>
      </c>
      <c r="Y61" s="323">
        <v>1</v>
      </c>
      <c r="Z61" s="323">
        <v>106255</v>
      </c>
      <c r="AA61" s="323">
        <v>193</v>
      </c>
      <c r="AB61" s="151" t="s">
        <v>2708</v>
      </c>
      <c r="AC61" s="155">
        <v>1990</v>
      </c>
      <c r="AD61" s="254">
        <f t="shared" si="0"/>
        <v>13.813141683778213</v>
      </c>
      <c r="AE61" s="152" t="s">
        <v>2708</v>
      </c>
      <c r="AF61" s="252">
        <v>100</v>
      </c>
      <c r="AG61" s="242">
        <v>0</v>
      </c>
      <c r="AH61" s="242" t="s">
        <v>2253</v>
      </c>
      <c r="AI61" s="243">
        <v>7.9</v>
      </c>
      <c r="AJ61" s="244">
        <v>910</v>
      </c>
      <c r="AK61" s="244">
        <v>66</v>
      </c>
      <c r="AL61" s="244">
        <v>23</v>
      </c>
      <c r="AM61" s="244">
        <v>44</v>
      </c>
      <c r="AN61" s="245">
        <v>35.65</v>
      </c>
      <c r="AO61" s="245">
        <v>1.58</v>
      </c>
      <c r="AP61" s="232">
        <v>66</v>
      </c>
    </row>
    <row r="62" spans="1:42" x14ac:dyDescent="0.2">
      <c r="A62" s="231">
        <v>60</v>
      </c>
      <c r="B62" s="255" t="s">
        <v>1900</v>
      </c>
      <c r="C62" s="256" t="s">
        <v>1253</v>
      </c>
      <c r="D62" s="264">
        <v>10</v>
      </c>
      <c r="E62" s="265">
        <v>217</v>
      </c>
      <c r="F62" s="22" t="s">
        <v>2706</v>
      </c>
      <c r="G62" s="23" t="s">
        <v>2710</v>
      </c>
      <c r="H62" s="24" t="s">
        <v>2707</v>
      </c>
      <c r="I62" s="24" t="s">
        <v>2707</v>
      </c>
      <c r="J62" s="25" t="s">
        <v>2707</v>
      </c>
      <c r="K62" s="26">
        <v>38265</v>
      </c>
      <c r="L62" s="27" t="s">
        <v>2709</v>
      </c>
      <c r="M62" s="28">
        <v>357686</v>
      </c>
      <c r="N62" s="29">
        <v>6179197</v>
      </c>
      <c r="O62" s="32" t="s">
        <v>2708</v>
      </c>
      <c r="P62" s="135" t="s">
        <v>2708</v>
      </c>
      <c r="Q62" s="260">
        <v>228</v>
      </c>
      <c r="R62" s="32" t="s">
        <v>2708</v>
      </c>
      <c r="S62" s="135">
        <v>1</v>
      </c>
      <c r="T62" s="260">
        <f t="shared" si="1"/>
        <v>1</v>
      </c>
      <c r="U62" s="30" t="s">
        <v>2708</v>
      </c>
      <c r="V62" s="31">
        <v>245</v>
      </c>
      <c r="W62" s="31">
        <f t="shared" si="2"/>
        <v>245</v>
      </c>
      <c r="X62" s="260">
        <f t="shared" si="3"/>
        <v>2</v>
      </c>
      <c r="Y62" s="323">
        <v>0.29399999999999998</v>
      </c>
      <c r="Z62" s="323">
        <v>106354</v>
      </c>
      <c r="AA62" s="323">
        <v>1173</v>
      </c>
      <c r="AB62" s="151" t="s">
        <v>2708</v>
      </c>
      <c r="AC62" s="155">
        <v>0</v>
      </c>
      <c r="AD62" s="254">
        <f t="shared" si="0"/>
        <v>1000</v>
      </c>
      <c r="AE62" s="152" t="s">
        <v>2708</v>
      </c>
      <c r="AF62" s="252">
        <v>100</v>
      </c>
      <c r="AG62" s="242">
        <v>0</v>
      </c>
      <c r="AH62" s="242" t="s">
        <v>2252</v>
      </c>
      <c r="AI62" s="243">
        <v>6.3</v>
      </c>
      <c r="AJ62" s="244">
        <v>1180</v>
      </c>
      <c r="AK62" s="244">
        <v>39</v>
      </c>
      <c r="AL62" s="244">
        <v>72</v>
      </c>
      <c r="AM62" s="244">
        <v>19</v>
      </c>
      <c r="AN62" s="245">
        <v>12.9</v>
      </c>
      <c r="AO62" s="245">
        <v>0.63</v>
      </c>
      <c r="AP62" s="232">
        <v>67</v>
      </c>
    </row>
    <row r="63" spans="1:42" x14ac:dyDescent="0.2">
      <c r="A63" s="231">
        <v>61</v>
      </c>
      <c r="B63" s="255" t="s">
        <v>1900</v>
      </c>
      <c r="C63" s="256" t="s">
        <v>1253</v>
      </c>
      <c r="D63" s="264">
        <v>9</v>
      </c>
      <c r="E63" s="265">
        <v>168.5</v>
      </c>
      <c r="F63" s="22" t="s">
        <v>2706</v>
      </c>
      <c r="G63" s="23" t="s">
        <v>2710</v>
      </c>
      <c r="H63" s="24" t="s">
        <v>2707</v>
      </c>
      <c r="I63" s="24" t="s">
        <v>2707</v>
      </c>
      <c r="J63" s="25" t="s">
        <v>2707</v>
      </c>
      <c r="K63" s="26">
        <v>38259</v>
      </c>
      <c r="L63" s="27" t="s">
        <v>2709</v>
      </c>
      <c r="M63" s="28">
        <v>357904</v>
      </c>
      <c r="N63" s="29">
        <v>6179160</v>
      </c>
      <c r="O63" s="32">
        <v>247</v>
      </c>
      <c r="P63" s="135" t="s">
        <v>2708</v>
      </c>
      <c r="Q63" s="260">
        <v>237</v>
      </c>
      <c r="R63" s="32" t="s">
        <v>2708</v>
      </c>
      <c r="S63" s="135">
        <v>4</v>
      </c>
      <c r="T63" s="260">
        <f t="shared" si="1"/>
        <v>4</v>
      </c>
      <c r="U63" s="30" t="s">
        <v>2708</v>
      </c>
      <c r="V63" s="31">
        <v>264</v>
      </c>
      <c r="W63" s="31">
        <f t="shared" si="2"/>
        <v>264</v>
      </c>
      <c r="X63" s="260">
        <f t="shared" si="3"/>
        <v>3</v>
      </c>
      <c r="Y63" s="323">
        <v>1.669</v>
      </c>
      <c r="Z63" s="323">
        <v>106256</v>
      </c>
      <c r="AA63" s="323">
        <v>1113</v>
      </c>
      <c r="AB63" s="151" t="s">
        <v>2708</v>
      </c>
      <c r="AC63" s="155">
        <v>0</v>
      </c>
      <c r="AD63" s="254">
        <f t="shared" si="0"/>
        <v>1000</v>
      </c>
      <c r="AE63" s="152" t="s">
        <v>2708</v>
      </c>
      <c r="AF63" s="252">
        <v>100</v>
      </c>
      <c r="AG63" s="242">
        <v>0</v>
      </c>
      <c r="AH63" s="242" t="s">
        <v>2252</v>
      </c>
      <c r="AI63" s="243">
        <v>6.4</v>
      </c>
      <c r="AJ63" s="244">
        <v>1040</v>
      </c>
      <c r="AK63" s="244">
        <v>38</v>
      </c>
      <c r="AL63" s="244">
        <v>119</v>
      </c>
      <c r="AM63" s="244">
        <v>28</v>
      </c>
      <c r="AN63" s="245">
        <v>9.0299999999999994</v>
      </c>
      <c r="AO63" s="245">
        <v>1.35</v>
      </c>
      <c r="AP63" s="232">
        <v>68</v>
      </c>
    </row>
    <row r="64" spans="1:42" x14ac:dyDescent="0.2">
      <c r="A64" s="231">
        <v>62</v>
      </c>
      <c r="B64" s="255" t="s">
        <v>1900</v>
      </c>
      <c r="C64" s="256" t="s">
        <v>2620</v>
      </c>
      <c r="D64" s="264">
        <v>19</v>
      </c>
      <c r="E64" s="265">
        <v>141</v>
      </c>
      <c r="F64" s="22" t="s">
        <v>2706</v>
      </c>
      <c r="G64" s="23" t="s">
        <v>2710</v>
      </c>
      <c r="H64" s="24" t="s">
        <v>2707</v>
      </c>
      <c r="I64" s="24" t="s">
        <v>2707</v>
      </c>
      <c r="J64" s="25" t="s">
        <v>2707</v>
      </c>
      <c r="K64" s="26">
        <v>38284</v>
      </c>
      <c r="L64" s="27" t="s">
        <v>2709</v>
      </c>
      <c r="M64" s="28">
        <v>357939</v>
      </c>
      <c r="N64" s="29">
        <v>6177577</v>
      </c>
      <c r="O64" s="32">
        <v>349</v>
      </c>
      <c r="P64" s="135" t="s">
        <v>2708</v>
      </c>
      <c r="Q64" s="260">
        <v>343</v>
      </c>
      <c r="R64" s="32">
        <v>8</v>
      </c>
      <c r="S64" s="135">
        <v>6</v>
      </c>
      <c r="T64" s="260">
        <f t="shared" si="1"/>
        <v>8</v>
      </c>
      <c r="U64" s="30">
        <v>45</v>
      </c>
      <c r="V64" s="31">
        <v>19</v>
      </c>
      <c r="W64" s="31">
        <f t="shared" si="2"/>
        <v>45</v>
      </c>
      <c r="X64" s="260">
        <f t="shared" si="3"/>
        <v>4</v>
      </c>
      <c r="Y64" s="323">
        <v>1.768</v>
      </c>
      <c r="Z64" s="323">
        <v>112349</v>
      </c>
      <c r="AA64" s="323">
        <v>906</v>
      </c>
      <c r="AB64" s="151" t="s">
        <v>2708</v>
      </c>
      <c r="AC64" s="155">
        <v>1996</v>
      </c>
      <c r="AD64" s="254">
        <f t="shared" si="0"/>
        <v>7.8158795345652834</v>
      </c>
      <c r="AE64" s="152" t="s">
        <v>2708</v>
      </c>
      <c r="AF64" s="252">
        <v>100</v>
      </c>
      <c r="AG64" s="242">
        <v>0</v>
      </c>
      <c r="AH64" s="242" t="s">
        <v>2252</v>
      </c>
      <c r="AI64" s="243">
        <v>5.6</v>
      </c>
      <c r="AJ64" s="244">
        <v>3250</v>
      </c>
      <c r="AK64" s="244">
        <v>23</v>
      </c>
      <c r="AL64" s="244">
        <v>8</v>
      </c>
      <c r="AM64" s="244">
        <v>12</v>
      </c>
      <c r="AN64" s="245">
        <v>3.44</v>
      </c>
      <c r="AO64" s="245">
        <v>0.46</v>
      </c>
      <c r="AP64" s="232">
        <v>69</v>
      </c>
    </row>
    <row r="65" spans="1:42" x14ac:dyDescent="0.2">
      <c r="A65" s="231">
        <v>63</v>
      </c>
      <c r="B65" s="255" t="s">
        <v>1900</v>
      </c>
      <c r="C65" s="256" t="s">
        <v>2617</v>
      </c>
      <c r="D65" s="264">
        <v>22</v>
      </c>
      <c r="E65" s="265">
        <v>109.5</v>
      </c>
      <c r="F65" s="22" t="s">
        <v>2706</v>
      </c>
      <c r="G65" s="23" t="s">
        <v>2710</v>
      </c>
      <c r="H65" s="24" t="s">
        <v>2707</v>
      </c>
      <c r="I65" s="24" t="s">
        <v>2707</v>
      </c>
      <c r="J65" s="25" t="s">
        <v>2707</v>
      </c>
      <c r="K65" s="26">
        <v>38259</v>
      </c>
      <c r="L65" s="27" t="s">
        <v>2709</v>
      </c>
      <c r="M65" s="28">
        <v>356586</v>
      </c>
      <c r="N65" s="29">
        <v>6179143</v>
      </c>
      <c r="O65" s="32">
        <v>199</v>
      </c>
      <c r="P65" s="135" t="s">
        <v>2708</v>
      </c>
      <c r="Q65" s="260">
        <v>196</v>
      </c>
      <c r="R65" s="32">
        <v>0</v>
      </c>
      <c r="S65" s="135">
        <v>3</v>
      </c>
      <c r="T65" s="260">
        <f t="shared" si="1"/>
        <v>0</v>
      </c>
      <c r="U65" s="30" t="s">
        <v>2708</v>
      </c>
      <c r="V65" s="31">
        <v>225</v>
      </c>
      <c r="W65" s="31">
        <f t="shared" si="2"/>
        <v>225</v>
      </c>
      <c r="X65" s="260">
        <f t="shared" si="3"/>
        <v>2</v>
      </c>
      <c r="Y65" s="323">
        <v>0.56499999999999995</v>
      </c>
      <c r="Z65" s="323">
        <v>104583</v>
      </c>
      <c r="AA65" s="323">
        <v>1287</v>
      </c>
      <c r="AB65" s="151" t="s">
        <v>2708</v>
      </c>
      <c r="AC65" s="155">
        <v>2000</v>
      </c>
      <c r="AD65" s="254">
        <f t="shared" si="0"/>
        <v>3.7474332648871496</v>
      </c>
      <c r="AE65" s="152" t="s">
        <v>2708</v>
      </c>
      <c r="AF65" s="252">
        <v>100</v>
      </c>
      <c r="AG65" s="242">
        <v>0</v>
      </c>
      <c r="AH65" s="242" t="s">
        <v>2252</v>
      </c>
      <c r="AI65" s="243">
        <v>8.1999999999999993</v>
      </c>
      <c r="AJ65" s="244">
        <v>2150</v>
      </c>
      <c r="AK65" s="244">
        <v>115</v>
      </c>
      <c r="AL65" s="244">
        <v>20</v>
      </c>
      <c r="AM65" s="244">
        <v>15</v>
      </c>
      <c r="AN65" s="245">
        <v>32.97</v>
      </c>
      <c r="AO65" s="245">
        <v>1.47</v>
      </c>
      <c r="AP65" s="232">
        <v>70</v>
      </c>
    </row>
    <row r="66" spans="1:42" x14ac:dyDescent="0.2">
      <c r="A66" s="231">
        <v>64</v>
      </c>
      <c r="B66" s="255" t="s">
        <v>1900</v>
      </c>
      <c r="C66" s="256" t="s">
        <v>1252</v>
      </c>
      <c r="D66" s="264">
        <v>40</v>
      </c>
      <c r="E66" s="265">
        <v>120</v>
      </c>
      <c r="F66" s="22" t="s">
        <v>2706</v>
      </c>
      <c r="G66" s="23" t="s">
        <v>2707</v>
      </c>
      <c r="H66" s="24" t="s">
        <v>2707</v>
      </c>
      <c r="I66" s="24" t="s">
        <v>2707</v>
      </c>
      <c r="J66" s="25" t="s">
        <v>2707</v>
      </c>
      <c r="K66" s="26">
        <v>38261</v>
      </c>
      <c r="L66" s="27" t="s">
        <v>2709</v>
      </c>
      <c r="M66" s="28">
        <v>359444</v>
      </c>
      <c r="N66" s="29">
        <v>6179087</v>
      </c>
      <c r="O66" s="32">
        <v>390</v>
      </c>
      <c r="P66" s="135" t="s">
        <v>2708</v>
      </c>
      <c r="Q66" s="260">
        <v>388</v>
      </c>
      <c r="R66" s="32">
        <v>17</v>
      </c>
      <c r="S66" s="135">
        <v>19</v>
      </c>
      <c r="T66" s="260">
        <f t="shared" si="1"/>
        <v>17</v>
      </c>
      <c r="U66" s="30">
        <v>0</v>
      </c>
      <c r="V66" s="31">
        <v>332</v>
      </c>
      <c r="W66" s="31">
        <f t="shared" si="2"/>
        <v>0</v>
      </c>
      <c r="X66" s="260">
        <f t="shared" si="3"/>
        <v>6</v>
      </c>
      <c r="Y66" s="323">
        <v>0.41399999999999998</v>
      </c>
      <c r="Z66" s="323">
        <v>119272</v>
      </c>
      <c r="AA66" s="323">
        <v>646</v>
      </c>
      <c r="AB66" s="151" t="s">
        <v>2708</v>
      </c>
      <c r="AC66" s="155">
        <v>2000</v>
      </c>
      <c r="AD66" s="254">
        <f t="shared" si="0"/>
        <v>3.7529089664612911</v>
      </c>
      <c r="AE66" s="152" t="s">
        <v>2708</v>
      </c>
      <c r="AF66" s="252">
        <v>6</v>
      </c>
      <c r="AG66" s="242">
        <v>18</v>
      </c>
      <c r="AH66" s="242" t="s">
        <v>2252</v>
      </c>
      <c r="AI66" s="243">
        <v>5.6</v>
      </c>
      <c r="AJ66" s="244">
        <v>3120</v>
      </c>
      <c r="AK66" s="244">
        <v>39</v>
      </c>
      <c r="AL66" s="244">
        <v>4</v>
      </c>
      <c r="AM66" s="244">
        <v>54</v>
      </c>
      <c r="AN66" s="245">
        <v>13.26</v>
      </c>
      <c r="AO66" s="245">
        <v>2.27</v>
      </c>
      <c r="AP66" s="232">
        <v>73</v>
      </c>
    </row>
    <row r="67" spans="1:42" x14ac:dyDescent="0.2">
      <c r="A67" s="231">
        <v>65</v>
      </c>
      <c r="B67" s="255" t="s">
        <v>1900</v>
      </c>
      <c r="C67" s="256" t="s">
        <v>2668</v>
      </c>
      <c r="D67" s="264">
        <v>27</v>
      </c>
      <c r="E67" s="265">
        <v>104</v>
      </c>
      <c r="F67" s="22" t="s">
        <v>2706</v>
      </c>
      <c r="G67" s="23" t="s">
        <v>2710</v>
      </c>
      <c r="H67" s="24" t="s">
        <v>2707</v>
      </c>
      <c r="I67" s="24" t="s">
        <v>2707</v>
      </c>
      <c r="J67" s="25" t="s">
        <v>2707</v>
      </c>
      <c r="K67" s="26">
        <v>38265</v>
      </c>
      <c r="L67" s="27" t="s">
        <v>2709</v>
      </c>
      <c r="M67" s="28">
        <v>357999</v>
      </c>
      <c r="N67" s="29">
        <v>6179354</v>
      </c>
      <c r="O67" s="32">
        <v>252</v>
      </c>
      <c r="P67" s="135" t="s">
        <v>2708</v>
      </c>
      <c r="Q67" s="260">
        <v>247</v>
      </c>
      <c r="R67" s="32">
        <v>6</v>
      </c>
      <c r="S67" s="135">
        <v>5</v>
      </c>
      <c r="T67" s="260">
        <f t="shared" si="1"/>
        <v>6</v>
      </c>
      <c r="U67" s="30">
        <v>205</v>
      </c>
      <c r="V67" s="31">
        <v>200</v>
      </c>
      <c r="W67" s="31">
        <f t="shared" si="2"/>
        <v>205</v>
      </c>
      <c r="X67" s="260">
        <f t="shared" si="3"/>
        <v>1</v>
      </c>
      <c r="Y67" s="323">
        <v>0.25900000000000001</v>
      </c>
      <c r="Z67" s="323">
        <v>101822</v>
      </c>
      <c r="AA67" s="323">
        <v>1186</v>
      </c>
      <c r="AB67" s="151" t="s">
        <v>2708</v>
      </c>
      <c r="AC67" s="155">
        <v>2000</v>
      </c>
      <c r="AD67" s="254">
        <f t="shared" ref="AD67:AD130" si="4">IF(AC67=0,1000,IF(AC67=9999,"ND",(K67/365.25+1899)-AC67))</f>
        <v>3.7638603696098016</v>
      </c>
      <c r="AE67" s="152" t="s">
        <v>2708</v>
      </c>
      <c r="AF67" s="252">
        <v>100</v>
      </c>
      <c r="AG67" s="242">
        <v>0</v>
      </c>
      <c r="AH67" s="242" t="s">
        <v>2252</v>
      </c>
      <c r="AI67" s="243">
        <v>6.9</v>
      </c>
      <c r="AJ67" s="244">
        <v>3440</v>
      </c>
      <c r="AK67" s="244">
        <v>18</v>
      </c>
      <c r="AL67" s="244">
        <v>43</v>
      </c>
      <c r="AM67" s="244">
        <v>22</v>
      </c>
      <c r="AN67" s="245">
        <v>6.95</v>
      </c>
      <c r="AO67" s="245">
        <v>0.63</v>
      </c>
      <c r="AP67" s="232">
        <v>74</v>
      </c>
    </row>
    <row r="68" spans="1:42" x14ac:dyDescent="0.2">
      <c r="A68" s="231">
        <v>66</v>
      </c>
      <c r="B68" s="255" t="s">
        <v>1900</v>
      </c>
      <c r="C68" s="256" t="s">
        <v>2668</v>
      </c>
      <c r="D68" s="264">
        <v>25</v>
      </c>
      <c r="E68" s="265">
        <v>167.5</v>
      </c>
      <c r="F68" s="22" t="s">
        <v>2706</v>
      </c>
      <c r="G68" s="23" t="s">
        <v>2710</v>
      </c>
      <c r="H68" s="24" t="s">
        <v>2707</v>
      </c>
      <c r="I68" s="24" t="s">
        <v>2707</v>
      </c>
      <c r="J68" s="25" t="s">
        <v>2707</v>
      </c>
      <c r="K68" s="26">
        <v>38261</v>
      </c>
      <c r="L68" s="27" t="s">
        <v>2709</v>
      </c>
      <c r="M68" s="28">
        <v>358660</v>
      </c>
      <c r="N68" s="29">
        <v>6179080</v>
      </c>
      <c r="O68" s="32">
        <v>301</v>
      </c>
      <c r="P68" s="135" t="s">
        <v>2708</v>
      </c>
      <c r="Q68" s="260">
        <v>293</v>
      </c>
      <c r="R68" s="32">
        <v>2</v>
      </c>
      <c r="S68" s="135">
        <v>7</v>
      </c>
      <c r="T68" s="260">
        <f t="shared" ref="T68:T131" si="5">IF(OR(R68="ND",R68=""),S68,R68)</f>
        <v>2</v>
      </c>
      <c r="U68" s="30">
        <v>315</v>
      </c>
      <c r="V68" s="31">
        <v>258</v>
      </c>
      <c r="W68" s="31">
        <f t="shared" ref="W68:W131" si="6">IF(OR(U68="ND",U68=""),V68,U68)</f>
        <v>315</v>
      </c>
      <c r="X68" s="260">
        <f t="shared" ref="X68:X131" si="7">IF(OR(W68&lt;12,W68&gt;348),6,IF(OR(W68&lt;34,W68&gt;326),5,IF(OR(W68&lt;68,W68&gt;292),4,IF(OR(W68&lt;113,W68&gt;247),3,IF(OR(W68&lt;158,W68&gt;212),2,IF(OR(W68&lt;179,W68&gt;191),1,0))))))</f>
        <v>4</v>
      </c>
      <c r="Y68" s="323">
        <v>0.90600000000000003</v>
      </c>
      <c r="Z68" s="323">
        <v>105544</v>
      </c>
      <c r="AA68" s="323">
        <v>1029</v>
      </c>
      <c r="AB68" s="151" t="s">
        <v>2708</v>
      </c>
      <c r="AC68" s="155">
        <v>1996</v>
      </c>
      <c r="AD68" s="254">
        <f t="shared" si="4"/>
        <v>7.7529089664612911</v>
      </c>
      <c r="AE68" s="152" t="s">
        <v>2708</v>
      </c>
      <c r="AF68" s="252">
        <v>100</v>
      </c>
      <c r="AG68" s="242">
        <v>0</v>
      </c>
      <c r="AH68" s="242" t="s">
        <v>2252</v>
      </c>
      <c r="AI68" s="243">
        <v>8.1</v>
      </c>
      <c r="AJ68" s="244">
        <v>1830</v>
      </c>
      <c r="AK68" s="244">
        <v>94</v>
      </c>
      <c r="AL68" s="244">
        <v>23</v>
      </c>
      <c r="AM68" s="244">
        <v>27</v>
      </c>
      <c r="AN68" s="245">
        <v>62</v>
      </c>
      <c r="AO68" s="245">
        <v>1.28</v>
      </c>
      <c r="AP68" s="232">
        <v>75</v>
      </c>
    </row>
    <row r="69" spans="1:42" x14ac:dyDescent="0.2">
      <c r="A69" s="231">
        <v>67</v>
      </c>
      <c r="B69" s="255" t="s">
        <v>1900</v>
      </c>
      <c r="C69" s="256" t="s">
        <v>1083</v>
      </c>
      <c r="D69" s="264">
        <v>17</v>
      </c>
      <c r="E69" s="265">
        <v>159</v>
      </c>
      <c r="F69" s="22" t="s">
        <v>2706</v>
      </c>
      <c r="G69" s="23" t="s">
        <v>2710</v>
      </c>
      <c r="H69" s="24" t="s">
        <v>2707</v>
      </c>
      <c r="I69" s="24" t="s">
        <v>2707</v>
      </c>
      <c r="J69" s="25" t="s">
        <v>2707</v>
      </c>
      <c r="K69" s="26">
        <v>38261</v>
      </c>
      <c r="L69" s="27" t="s">
        <v>2709</v>
      </c>
      <c r="M69" s="28">
        <v>359046</v>
      </c>
      <c r="N69" s="29">
        <v>6179207</v>
      </c>
      <c r="O69" s="32">
        <v>314</v>
      </c>
      <c r="P69" s="135" t="s">
        <v>2708</v>
      </c>
      <c r="Q69" s="260">
        <v>312</v>
      </c>
      <c r="R69" s="32">
        <v>1</v>
      </c>
      <c r="S69" s="135">
        <v>5</v>
      </c>
      <c r="T69" s="260">
        <f t="shared" si="5"/>
        <v>1</v>
      </c>
      <c r="U69" s="30">
        <v>305</v>
      </c>
      <c r="V69" s="31">
        <v>260</v>
      </c>
      <c r="W69" s="31">
        <f t="shared" si="6"/>
        <v>305</v>
      </c>
      <c r="X69" s="260">
        <f t="shared" si="7"/>
        <v>4</v>
      </c>
      <c r="Y69" s="323">
        <v>0.37</v>
      </c>
      <c r="Z69" s="323">
        <v>106297</v>
      </c>
      <c r="AA69" s="323">
        <v>713</v>
      </c>
      <c r="AB69" s="151" t="s">
        <v>2708</v>
      </c>
      <c r="AC69" s="155">
        <v>2000</v>
      </c>
      <c r="AD69" s="254">
        <f t="shared" si="4"/>
        <v>3.7529089664612911</v>
      </c>
      <c r="AE69" s="152" t="s">
        <v>2708</v>
      </c>
      <c r="AF69" s="252">
        <v>100</v>
      </c>
      <c r="AG69" s="242">
        <v>0</v>
      </c>
      <c r="AH69" s="242" t="s">
        <v>2252</v>
      </c>
      <c r="AI69" s="243">
        <v>6.2</v>
      </c>
      <c r="AJ69" s="244">
        <v>4180</v>
      </c>
      <c r="AK69" s="244">
        <v>15</v>
      </c>
      <c r="AL69" s="244">
        <v>8</v>
      </c>
      <c r="AM69" s="244">
        <v>9</v>
      </c>
      <c r="AN69" s="245">
        <v>3.65</v>
      </c>
      <c r="AO69" s="245">
        <v>0.53</v>
      </c>
      <c r="AP69" s="232">
        <v>76</v>
      </c>
    </row>
    <row r="70" spans="1:42" x14ac:dyDescent="0.2">
      <c r="A70" s="231">
        <v>68</v>
      </c>
      <c r="B70" s="255" t="s">
        <v>1900</v>
      </c>
      <c r="C70" s="256" t="s">
        <v>1252</v>
      </c>
      <c r="D70" s="264">
        <v>37</v>
      </c>
      <c r="E70" s="265">
        <v>118</v>
      </c>
      <c r="F70" s="22" t="s">
        <v>2706</v>
      </c>
      <c r="G70" s="23" t="s">
        <v>2707</v>
      </c>
      <c r="H70" s="24" t="s">
        <v>2707</v>
      </c>
      <c r="I70" s="24" t="s">
        <v>2707</v>
      </c>
      <c r="J70" s="25" t="s">
        <v>2707</v>
      </c>
      <c r="K70" s="26">
        <v>38263</v>
      </c>
      <c r="L70" s="27" t="s">
        <v>2709</v>
      </c>
      <c r="M70" s="28">
        <v>359447</v>
      </c>
      <c r="N70" s="29">
        <v>6178415</v>
      </c>
      <c r="O70" s="32">
        <v>369</v>
      </c>
      <c r="P70" s="135" t="s">
        <v>2708</v>
      </c>
      <c r="Q70" s="260">
        <v>367</v>
      </c>
      <c r="R70" s="32">
        <v>14</v>
      </c>
      <c r="S70" s="135">
        <v>18</v>
      </c>
      <c r="T70" s="260">
        <f t="shared" si="5"/>
        <v>14</v>
      </c>
      <c r="U70" s="30">
        <v>0</v>
      </c>
      <c r="V70" s="31">
        <v>300</v>
      </c>
      <c r="W70" s="31">
        <f t="shared" si="6"/>
        <v>0</v>
      </c>
      <c r="X70" s="260">
        <f t="shared" si="7"/>
        <v>6</v>
      </c>
      <c r="Y70" s="323">
        <v>0.161</v>
      </c>
      <c r="Z70" s="323">
        <v>112335</v>
      </c>
      <c r="AA70" s="323">
        <v>770</v>
      </c>
      <c r="AB70" s="151" t="s">
        <v>2708</v>
      </c>
      <c r="AC70" s="155">
        <v>2001</v>
      </c>
      <c r="AD70" s="254">
        <f t="shared" si="4"/>
        <v>2.7583846680356601</v>
      </c>
      <c r="AE70" s="152" t="s">
        <v>2708</v>
      </c>
      <c r="AF70" s="252">
        <v>2</v>
      </c>
      <c r="AG70" s="242">
        <v>40</v>
      </c>
      <c r="AH70" s="242" t="s">
        <v>2252</v>
      </c>
      <c r="AI70" s="243">
        <v>5.5</v>
      </c>
      <c r="AJ70" s="244">
        <v>4360</v>
      </c>
      <c r="AK70" s="244">
        <v>18</v>
      </c>
      <c r="AL70" s="244">
        <v>1</v>
      </c>
      <c r="AM70" s="244">
        <v>10</v>
      </c>
      <c r="AN70" s="245">
        <v>2.74</v>
      </c>
      <c r="AO70" s="245">
        <v>0.55000000000000004</v>
      </c>
      <c r="AP70" s="232">
        <v>77</v>
      </c>
    </row>
    <row r="71" spans="1:42" x14ac:dyDescent="0.2">
      <c r="A71" s="231">
        <v>69</v>
      </c>
      <c r="B71" s="255" t="s">
        <v>1900</v>
      </c>
      <c r="C71" s="256" t="s">
        <v>2248</v>
      </c>
      <c r="D71" s="264">
        <v>22</v>
      </c>
      <c r="E71" s="265">
        <v>145.5</v>
      </c>
      <c r="F71" s="22" t="s">
        <v>2706</v>
      </c>
      <c r="G71" s="23" t="s">
        <v>2707</v>
      </c>
      <c r="H71" s="24" t="s">
        <v>2707</v>
      </c>
      <c r="I71" s="24" t="s">
        <v>2707</v>
      </c>
      <c r="J71" s="25" t="s">
        <v>2707</v>
      </c>
      <c r="K71" s="26">
        <v>38263</v>
      </c>
      <c r="L71" s="27" t="s">
        <v>2709</v>
      </c>
      <c r="M71" s="28">
        <v>358962</v>
      </c>
      <c r="N71" s="29">
        <v>6178591</v>
      </c>
      <c r="O71" s="32">
        <v>308</v>
      </c>
      <c r="P71" s="135" t="s">
        <v>2708</v>
      </c>
      <c r="Q71" s="260">
        <v>297</v>
      </c>
      <c r="R71" s="32">
        <v>9</v>
      </c>
      <c r="S71" s="135">
        <v>17</v>
      </c>
      <c r="T71" s="260">
        <f t="shared" si="5"/>
        <v>9</v>
      </c>
      <c r="U71" s="30">
        <v>230</v>
      </c>
      <c r="V71" s="31">
        <v>205</v>
      </c>
      <c r="W71" s="31">
        <f t="shared" si="6"/>
        <v>230</v>
      </c>
      <c r="X71" s="260">
        <f t="shared" si="7"/>
        <v>2</v>
      </c>
      <c r="Y71" s="323">
        <v>0.48499999999999999</v>
      </c>
      <c r="Z71" s="323">
        <v>86860</v>
      </c>
      <c r="AA71" s="323">
        <v>925</v>
      </c>
      <c r="AB71" s="151" t="s">
        <v>2708</v>
      </c>
      <c r="AC71" s="155">
        <v>1996</v>
      </c>
      <c r="AD71" s="254">
        <f t="shared" si="4"/>
        <v>7.7583846680356601</v>
      </c>
      <c r="AE71" s="152" t="s">
        <v>2708</v>
      </c>
      <c r="AF71" s="252">
        <v>55</v>
      </c>
      <c r="AG71" s="242">
        <v>0</v>
      </c>
      <c r="AH71" s="242" t="s">
        <v>2253</v>
      </c>
      <c r="AI71" s="243">
        <v>5.6</v>
      </c>
      <c r="AJ71" s="244">
        <v>1800</v>
      </c>
      <c r="AK71" s="244">
        <v>65</v>
      </c>
      <c r="AL71" s="244">
        <v>8</v>
      </c>
      <c r="AM71" s="244">
        <v>65</v>
      </c>
      <c r="AN71" s="245">
        <v>17.329999999999998</v>
      </c>
      <c r="AO71" s="245">
        <v>3</v>
      </c>
      <c r="AP71" s="232">
        <v>78</v>
      </c>
    </row>
    <row r="72" spans="1:42" x14ac:dyDescent="0.2">
      <c r="A72" s="231">
        <v>70</v>
      </c>
      <c r="B72" s="255" t="s">
        <v>1900</v>
      </c>
      <c r="C72" s="256" t="s">
        <v>2668</v>
      </c>
      <c r="D72" s="264">
        <v>35</v>
      </c>
      <c r="E72" s="265">
        <v>176.5</v>
      </c>
      <c r="F72" s="22" t="s">
        <v>2706</v>
      </c>
      <c r="G72" s="23" t="s">
        <v>2710</v>
      </c>
      <c r="H72" s="24" t="s">
        <v>2707</v>
      </c>
      <c r="I72" s="24" t="s">
        <v>2707</v>
      </c>
      <c r="J72" s="25" t="s">
        <v>2707</v>
      </c>
      <c r="K72" s="26">
        <v>38265</v>
      </c>
      <c r="L72" s="27" t="s">
        <v>2709</v>
      </c>
      <c r="M72" s="28">
        <v>357503</v>
      </c>
      <c r="N72" s="29">
        <v>6178735</v>
      </c>
      <c r="O72" s="32">
        <v>233</v>
      </c>
      <c r="P72" s="135" t="s">
        <v>2708</v>
      </c>
      <c r="Q72" s="260">
        <v>233</v>
      </c>
      <c r="R72" s="32">
        <v>2</v>
      </c>
      <c r="S72" s="135">
        <v>5</v>
      </c>
      <c r="T72" s="260">
        <f t="shared" si="5"/>
        <v>2</v>
      </c>
      <c r="U72" s="30">
        <v>340</v>
      </c>
      <c r="V72" s="31">
        <v>354</v>
      </c>
      <c r="W72" s="31">
        <f t="shared" si="6"/>
        <v>340</v>
      </c>
      <c r="X72" s="260">
        <f t="shared" si="7"/>
        <v>5</v>
      </c>
      <c r="Y72" s="323">
        <v>0.79100000000000004</v>
      </c>
      <c r="Z72" s="323">
        <v>110872</v>
      </c>
      <c r="AA72" s="323">
        <v>1088</v>
      </c>
      <c r="AB72" s="151" t="s">
        <v>2708</v>
      </c>
      <c r="AC72" s="155">
        <v>1996</v>
      </c>
      <c r="AD72" s="254">
        <f t="shared" si="4"/>
        <v>7.7638603696098016</v>
      </c>
      <c r="AE72" s="152" t="s">
        <v>2708</v>
      </c>
      <c r="AF72" s="252">
        <v>45</v>
      </c>
      <c r="AG72" s="242">
        <v>0</v>
      </c>
      <c r="AH72" s="242" t="s">
        <v>2252</v>
      </c>
      <c r="AI72" s="243">
        <v>8</v>
      </c>
      <c r="AJ72" s="244">
        <v>2380</v>
      </c>
      <c r="AK72" s="244">
        <v>90</v>
      </c>
      <c r="AL72" s="244">
        <v>20</v>
      </c>
      <c r="AM72" s="244">
        <v>14</v>
      </c>
      <c r="AN72" s="245">
        <v>48.44</v>
      </c>
      <c r="AO72" s="245">
        <v>1.23</v>
      </c>
      <c r="AP72" s="232">
        <v>79</v>
      </c>
    </row>
    <row r="73" spans="1:42" x14ac:dyDescent="0.2">
      <c r="A73" s="231">
        <v>71</v>
      </c>
      <c r="B73" s="255" t="s">
        <v>1900</v>
      </c>
      <c r="C73" s="256" t="s">
        <v>2617</v>
      </c>
      <c r="D73" s="264">
        <v>33</v>
      </c>
      <c r="E73" s="265">
        <v>98</v>
      </c>
      <c r="F73" s="22" t="s">
        <v>2706</v>
      </c>
      <c r="G73" s="23" t="s">
        <v>2707</v>
      </c>
      <c r="H73" s="24" t="s">
        <v>2707</v>
      </c>
      <c r="I73" s="24" t="s">
        <v>2707</v>
      </c>
      <c r="J73" s="25" t="s">
        <v>2707</v>
      </c>
      <c r="K73" s="26">
        <v>38278</v>
      </c>
      <c r="L73" s="27" t="s">
        <v>2709</v>
      </c>
      <c r="M73" s="28">
        <v>359162</v>
      </c>
      <c r="N73" s="29">
        <v>6178383</v>
      </c>
      <c r="O73" s="32">
        <v>323</v>
      </c>
      <c r="P73" s="135" t="s">
        <v>2708</v>
      </c>
      <c r="Q73" s="260">
        <v>317</v>
      </c>
      <c r="R73" s="32">
        <v>40</v>
      </c>
      <c r="S73" s="135">
        <v>12</v>
      </c>
      <c r="T73" s="260">
        <f t="shared" si="5"/>
        <v>40</v>
      </c>
      <c r="U73" s="30">
        <v>50</v>
      </c>
      <c r="V73" s="31">
        <v>53</v>
      </c>
      <c r="W73" s="31">
        <f t="shared" si="6"/>
        <v>50</v>
      </c>
      <c r="X73" s="260">
        <f t="shared" si="7"/>
        <v>4</v>
      </c>
      <c r="Y73" s="323">
        <v>0.69799999999999995</v>
      </c>
      <c r="Z73" s="323">
        <v>115471</v>
      </c>
      <c r="AA73" s="323">
        <v>713</v>
      </c>
      <c r="AB73" s="151" t="s">
        <v>2708</v>
      </c>
      <c r="AC73" s="155">
        <v>2001</v>
      </c>
      <c r="AD73" s="254">
        <f t="shared" si="4"/>
        <v>2.7994524298426313</v>
      </c>
      <c r="AE73" s="152" t="s">
        <v>2708</v>
      </c>
      <c r="AF73" s="252">
        <v>15</v>
      </c>
      <c r="AG73" s="242">
        <v>65</v>
      </c>
      <c r="AH73" s="242" t="s">
        <v>2253</v>
      </c>
      <c r="AI73" s="243">
        <v>7.9</v>
      </c>
      <c r="AJ73" s="244">
        <v>680</v>
      </c>
      <c r="AK73" s="244">
        <v>145</v>
      </c>
      <c r="AL73" s="244">
        <v>31</v>
      </c>
      <c r="AM73" s="244">
        <v>78</v>
      </c>
      <c r="AN73" s="245">
        <v>45.31</v>
      </c>
      <c r="AO73" s="245">
        <v>3.38</v>
      </c>
      <c r="AP73" s="232">
        <v>80</v>
      </c>
    </row>
    <row r="74" spans="1:42" x14ac:dyDescent="0.2">
      <c r="A74" s="269">
        <v>72</v>
      </c>
      <c r="B74" s="270" t="s">
        <v>1901</v>
      </c>
      <c r="C74" s="271" t="s">
        <v>1252</v>
      </c>
      <c r="D74" s="272" t="s">
        <v>2708</v>
      </c>
      <c r="E74" s="273" t="s">
        <v>2708</v>
      </c>
      <c r="F74" s="22" t="s">
        <v>743</v>
      </c>
      <c r="G74" s="23" t="s">
        <v>743</v>
      </c>
      <c r="H74" s="24" t="s">
        <v>743</v>
      </c>
      <c r="I74" s="24" t="s">
        <v>743</v>
      </c>
      <c r="J74" s="25" t="s">
        <v>743</v>
      </c>
      <c r="K74" s="26">
        <v>38278</v>
      </c>
      <c r="L74" s="27" t="s">
        <v>2709</v>
      </c>
      <c r="M74" s="28">
        <v>359335</v>
      </c>
      <c r="N74" s="29">
        <v>6178573</v>
      </c>
      <c r="O74" s="32" t="s">
        <v>2708</v>
      </c>
      <c r="P74" s="135"/>
      <c r="Q74" s="260">
        <v>314</v>
      </c>
      <c r="R74" s="32"/>
      <c r="S74" s="135">
        <v>9</v>
      </c>
      <c r="T74" s="260">
        <f t="shared" si="5"/>
        <v>9</v>
      </c>
      <c r="U74" s="30"/>
      <c r="V74" s="31">
        <v>227</v>
      </c>
      <c r="W74" s="31">
        <f t="shared" si="6"/>
        <v>227</v>
      </c>
      <c r="X74" s="260">
        <f t="shared" si="7"/>
        <v>2</v>
      </c>
      <c r="Y74" s="323">
        <v>2.597</v>
      </c>
      <c r="Z74" s="323">
        <v>99673</v>
      </c>
      <c r="AA74" s="323">
        <v>447</v>
      </c>
      <c r="AB74" s="151"/>
      <c r="AC74" s="155">
        <v>100</v>
      </c>
      <c r="AD74" s="254">
        <f t="shared" si="4"/>
        <v>1903.7994524298426</v>
      </c>
      <c r="AE74" s="152" t="s">
        <v>2708</v>
      </c>
      <c r="AF74" s="252" t="s">
        <v>2708</v>
      </c>
      <c r="AG74" s="242" t="s">
        <v>2708</v>
      </c>
      <c r="AH74" s="242" t="s">
        <v>2708</v>
      </c>
      <c r="AI74" s="243" t="s">
        <v>2708</v>
      </c>
      <c r="AJ74" s="244" t="s">
        <v>2708</v>
      </c>
      <c r="AK74" s="244" t="s">
        <v>2708</v>
      </c>
      <c r="AL74" s="244" t="s">
        <v>2708</v>
      </c>
      <c r="AM74" s="244" t="s">
        <v>2708</v>
      </c>
      <c r="AN74" s="245" t="s">
        <v>2708</v>
      </c>
      <c r="AO74" s="245" t="s">
        <v>2708</v>
      </c>
      <c r="AP74" s="274">
        <v>100</v>
      </c>
    </row>
    <row r="75" spans="1:42" x14ac:dyDescent="0.2">
      <c r="A75" s="269">
        <v>73</v>
      </c>
      <c r="B75" s="270" t="s">
        <v>1901</v>
      </c>
      <c r="C75" s="271" t="s">
        <v>1251</v>
      </c>
      <c r="D75" s="272" t="s">
        <v>2708</v>
      </c>
      <c r="E75" s="273" t="s">
        <v>2708</v>
      </c>
      <c r="F75" s="22" t="s">
        <v>743</v>
      </c>
      <c r="G75" s="23" t="s">
        <v>743</v>
      </c>
      <c r="H75" s="24" t="s">
        <v>743</v>
      </c>
      <c r="I75" s="24" t="s">
        <v>743</v>
      </c>
      <c r="J75" s="25" t="s">
        <v>743</v>
      </c>
      <c r="K75" s="26">
        <v>38278</v>
      </c>
      <c r="L75" s="27" t="s">
        <v>2709</v>
      </c>
      <c r="M75" s="28">
        <v>359379</v>
      </c>
      <c r="N75" s="29">
        <v>6178524</v>
      </c>
      <c r="O75" s="32" t="s">
        <v>2708</v>
      </c>
      <c r="P75" s="135"/>
      <c r="Q75" s="260">
        <v>326</v>
      </c>
      <c r="R75" s="32"/>
      <c r="S75" s="135">
        <v>17</v>
      </c>
      <c r="T75" s="260">
        <f t="shared" si="5"/>
        <v>17</v>
      </c>
      <c r="U75" s="30"/>
      <c r="V75" s="31">
        <v>333</v>
      </c>
      <c r="W75" s="31">
        <f t="shared" si="6"/>
        <v>333</v>
      </c>
      <c r="X75" s="260">
        <f t="shared" si="7"/>
        <v>5</v>
      </c>
      <c r="Y75" s="323">
        <v>0.80900000000000005</v>
      </c>
      <c r="Z75" s="323">
        <v>117226</v>
      </c>
      <c r="AA75" s="323">
        <v>447</v>
      </c>
      <c r="AB75" s="151"/>
      <c r="AC75" s="155">
        <v>1996</v>
      </c>
      <c r="AD75" s="254">
        <f t="shared" si="4"/>
        <v>7.7994524298426313</v>
      </c>
      <c r="AE75" s="152" t="s">
        <v>2708</v>
      </c>
      <c r="AF75" s="252" t="s">
        <v>2708</v>
      </c>
      <c r="AG75" s="242" t="s">
        <v>2708</v>
      </c>
      <c r="AH75" s="242" t="s">
        <v>2708</v>
      </c>
      <c r="AI75" s="243" t="s">
        <v>2708</v>
      </c>
      <c r="AJ75" s="244" t="s">
        <v>2708</v>
      </c>
      <c r="AK75" s="244" t="s">
        <v>2708</v>
      </c>
      <c r="AL75" s="244" t="s">
        <v>2708</v>
      </c>
      <c r="AM75" s="244" t="s">
        <v>2708</v>
      </c>
      <c r="AN75" s="245" t="s">
        <v>2708</v>
      </c>
      <c r="AO75" s="245" t="s">
        <v>2708</v>
      </c>
      <c r="AP75" s="274">
        <v>101</v>
      </c>
    </row>
    <row r="76" spans="1:42" x14ac:dyDescent="0.2">
      <c r="A76" s="269">
        <v>74</v>
      </c>
      <c r="B76" s="270" t="s">
        <v>1901</v>
      </c>
      <c r="C76" s="271" t="s">
        <v>2617</v>
      </c>
      <c r="D76" s="272" t="s">
        <v>2708</v>
      </c>
      <c r="E76" s="273" t="s">
        <v>2708</v>
      </c>
      <c r="F76" s="22" t="s">
        <v>743</v>
      </c>
      <c r="G76" s="23" t="s">
        <v>743</v>
      </c>
      <c r="H76" s="24" t="s">
        <v>743</v>
      </c>
      <c r="I76" s="24" t="s">
        <v>743</v>
      </c>
      <c r="J76" s="25" t="s">
        <v>743</v>
      </c>
      <c r="K76" s="26">
        <v>38282</v>
      </c>
      <c r="L76" s="27" t="s">
        <v>2709</v>
      </c>
      <c r="M76" s="28">
        <v>355800</v>
      </c>
      <c r="N76" s="29">
        <v>6175377</v>
      </c>
      <c r="O76" s="32">
        <v>233</v>
      </c>
      <c r="P76" s="135"/>
      <c r="Q76" s="260">
        <v>223</v>
      </c>
      <c r="R76" s="32"/>
      <c r="S76" s="135">
        <v>9</v>
      </c>
      <c r="T76" s="260">
        <f t="shared" si="5"/>
        <v>9</v>
      </c>
      <c r="U76" s="30"/>
      <c r="V76" s="31">
        <v>170</v>
      </c>
      <c r="W76" s="31">
        <f t="shared" si="6"/>
        <v>170</v>
      </c>
      <c r="X76" s="260">
        <f t="shared" si="7"/>
        <v>1</v>
      </c>
      <c r="Y76" s="323">
        <v>0.63</v>
      </c>
      <c r="Z76" s="323">
        <v>95688</v>
      </c>
      <c r="AA76" s="323">
        <v>1229</v>
      </c>
      <c r="AB76" s="151"/>
      <c r="AC76" s="155">
        <v>1994</v>
      </c>
      <c r="AD76" s="254">
        <f t="shared" si="4"/>
        <v>9.8104038329911418</v>
      </c>
      <c r="AE76" s="152" t="s">
        <v>2708</v>
      </c>
      <c r="AF76" s="252" t="s">
        <v>2708</v>
      </c>
      <c r="AG76" s="242" t="s">
        <v>2708</v>
      </c>
      <c r="AH76" s="242" t="s">
        <v>2708</v>
      </c>
      <c r="AI76" s="243" t="s">
        <v>2708</v>
      </c>
      <c r="AJ76" s="244" t="s">
        <v>2708</v>
      </c>
      <c r="AK76" s="244" t="s">
        <v>2708</v>
      </c>
      <c r="AL76" s="244" t="s">
        <v>2708</v>
      </c>
      <c r="AM76" s="244" t="s">
        <v>2708</v>
      </c>
      <c r="AN76" s="245" t="s">
        <v>2708</v>
      </c>
      <c r="AO76" s="245" t="s">
        <v>2708</v>
      </c>
      <c r="AP76" s="274">
        <v>104</v>
      </c>
    </row>
    <row r="77" spans="1:42" x14ac:dyDescent="0.2">
      <c r="A77" s="269">
        <v>75</v>
      </c>
      <c r="B77" s="270" t="s">
        <v>1901</v>
      </c>
      <c r="C77" s="271" t="s">
        <v>2669</v>
      </c>
      <c r="D77" s="272" t="s">
        <v>2708</v>
      </c>
      <c r="E77" s="273" t="s">
        <v>2708</v>
      </c>
      <c r="F77" s="22" t="s">
        <v>743</v>
      </c>
      <c r="G77" s="23" t="s">
        <v>743</v>
      </c>
      <c r="H77" s="24" t="s">
        <v>743</v>
      </c>
      <c r="I77" s="24" t="s">
        <v>743</v>
      </c>
      <c r="J77" s="25" t="s">
        <v>743</v>
      </c>
      <c r="K77" s="26">
        <v>38282</v>
      </c>
      <c r="L77" s="27" t="s">
        <v>2709</v>
      </c>
      <c r="M77" s="28">
        <v>355799</v>
      </c>
      <c r="N77" s="29">
        <v>6175404</v>
      </c>
      <c r="O77" s="32">
        <v>238</v>
      </c>
      <c r="P77" s="135"/>
      <c r="Q77" s="260">
        <v>226</v>
      </c>
      <c r="R77" s="32"/>
      <c r="S77" s="135">
        <v>11</v>
      </c>
      <c r="T77" s="260">
        <f t="shared" si="5"/>
        <v>11</v>
      </c>
      <c r="U77" s="30"/>
      <c r="V77" s="31">
        <v>188</v>
      </c>
      <c r="W77" s="31">
        <f t="shared" si="6"/>
        <v>188</v>
      </c>
      <c r="X77" s="260">
        <f t="shared" si="7"/>
        <v>0</v>
      </c>
      <c r="Y77" s="323">
        <v>0.623</v>
      </c>
      <c r="Z77" s="323">
        <v>92936</v>
      </c>
      <c r="AA77" s="323">
        <v>1140</v>
      </c>
      <c r="AB77" s="151"/>
      <c r="AC77" s="155">
        <v>1994</v>
      </c>
      <c r="AD77" s="254">
        <f t="shared" si="4"/>
        <v>9.8104038329911418</v>
      </c>
      <c r="AE77" s="152" t="s">
        <v>2708</v>
      </c>
      <c r="AF77" s="252" t="s">
        <v>2708</v>
      </c>
      <c r="AG77" s="242" t="s">
        <v>2708</v>
      </c>
      <c r="AH77" s="242" t="s">
        <v>2708</v>
      </c>
      <c r="AI77" s="243" t="s">
        <v>2708</v>
      </c>
      <c r="AJ77" s="244" t="s">
        <v>2708</v>
      </c>
      <c r="AK77" s="244" t="s">
        <v>2708</v>
      </c>
      <c r="AL77" s="244" t="s">
        <v>2708</v>
      </c>
      <c r="AM77" s="244" t="s">
        <v>2708</v>
      </c>
      <c r="AN77" s="245" t="s">
        <v>2708</v>
      </c>
      <c r="AO77" s="245" t="s">
        <v>2708</v>
      </c>
      <c r="AP77" s="274">
        <v>106</v>
      </c>
    </row>
    <row r="78" spans="1:42" x14ac:dyDescent="0.2">
      <c r="A78" s="269">
        <v>76</v>
      </c>
      <c r="B78" s="270" t="s">
        <v>1901</v>
      </c>
      <c r="C78" s="271" t="s">
        <v>2669</v>
      </c>
      <c r="D78" s="272" t="s">
        <v>2708</v>
      </c>
      <c r="E78" s="273" t="s">
        <v>2708</v>
      </c>
      <c r="F78" s="22" t="s">
        <v>743</v>
      </c>
      <c r="G78" s="23" t="s">
        <v>743</v>
      </c>
      <c r="H78" s="24" t="s">
        <v>743</v>
      </c>
      <c r="I78" s="24" t="s">
        <v>743</v>
      </c>
      <c r="J78" s="25" t="s">
        <v>743</v>
      </c>
      <c r="K78" s="26">
        <v>38282</v>
      </c>
      <c r="L78" s="27" t="s">
        <v>2709</v>
      </c>
      <c r="M78" s="28">
        <v>355816</v>
      </c>
      <c r="N78" s="29">
        <v>6175470</v>
      </c>
      <c r="O78" s="32">
        <v>233</v>
      </c>
      <c r="P78" s="135"/>
      <c r="Q78" s="260">
        <v>232</v>
      </c>
      <c r="R78" s="32"/>
      <c r="S78" s="135">
        <v>9</v>
      </c>
      <c r="T78" s="260">
        <f t="shared" si="5"/>
        <v>9</v>
      </c>
      <c r="U78" s="30"/>
      <c r="V78" s="31">
        <v>48</v>
      </c>
      <c r="W78" s="31">
        <f t="shared" si="6"/>
        <v>48</v>
      </c>
      <c r="X78" s="260">
        <f t="shared" si="7"/>
        <v>4</v>
      </c>
      <c r="Y78" s="323">
        <v>7.4999999999999997E-2</v>
      </c>
      <c r="Z78" s="323">
        <v>110981</v>
      </c>
      <c r="AA78" s="323">
        <v>1427</v>
      </c>
      <c r="AB78" s="151"/>
      <c r="AC78" s="155">
        <v>1994</v>
      </c>
      <c r="AD78" s="254">
        <f t="shared" si="4"/>
        <v>9.8104038329911418</v>
      </c>
      <c r="AE78" s="152" t="s">
        <v>2708</v>
      </c>
      <c r="AF78" s="252" t="s">
        <v>2708</v>
      </c>
      <c r="AG78" s="242" t="s">
        <v>2708</v>
      </c>
      <c r="AH78" s="242" t="s">
        <v>2708</v>
      </c>
      <c r="AI78" s="243" t="s">
        <v>2708</v>
      </c>
      <c r="AJ78" s="244" t="s">
        <v>2708</v>
      </c>
      <c r="AK78" s="244" t="s">
        <v>2708</v>
      </c>
      <c r="AL78" s="244" t="s">
        <v>2708</v>
      </c>
      <c r="AM78" s="244" t="s">
        <v>2708</v>
      </c>
      <c r="AN78" s="245" t="s">
        <v>2708</v>
      </c>
      <c r="AO78" s="245" t="s">
        <v>2708</v>
      </c>
      <c r="AP78" s="274">
        <v>108</v>
      </c>
    </row>
    <row r="79" spans="1:42" x14ac:dyDescent="0.2">
      <c r="A79" s="269">
        <v>77</v>
      </c>
      <c r="B79" s="270" t="s">
        <v>1901</v>
      </c>
      <c r="C79" s="271" t="s">
        <v>2618</v>
      </c>
      <c r="D79" s="272" t="s">
        <v>2708</v>
      </c>
      <c r="E79" s="273" t="s">
        <v>2708</v>
      </c>
      <c r="F79" s="22" t="s">
        <v>743</v>
      </c>
      <c r="G79" s="23" t="s">
        <v>743</v>
      </c>
      <c r="H79" s="24" t="s">
        <v>743</v>
      </c>
      <c r="I79" s="24" t="s">
        <v>743</v>
      </c>
      <c r="J79" s="25" t="s">
        <v>743</v>
      </c>
      <c r="K79" s="26">
        <v>38282</v>
      </c>
      <c r="L79" s="27" t="s">
        <v>2709</v>
      </c>
      <c r="M79" s="28">
        <v>355786</v>
      </c>
      <c r="N79" s="29">
        <v>6175364</v>
      </c>
      <c r="O79" s="32" t="s">
        <v>2708</v>
      </c>
      <c r="P79" s="135"/>
      <c r="Q79" s="260">
        <v>222</v>
      </c>
      <c r="R79" s="32"/>
      <c r="S79" s="135">
        <v>6</v>
      </c>
      <c r="T79" s="260">
        <f t="shared" si="5"/>
        <v>6</v>
      </c>
      <c r="U79" s="30"/>
      <c r="V79" s="31">
        <v>104</v>
      </c>
      <c r="W79" s="31">
        <f t="shared" si="6"/>
        <v>104</v>
      </c>
      <c r="X79" s="260">
        <f t="shared" si="7"/>
        <v>3</v>
      </c>
      <c r="Y79" s="323">
        <v>2.0569999999999999</v>
      </c>
      <c r="Z79" s="323">
        <v>103575</v>
      </c>
      <c r="AA79" s="323">
        <v>1220</v>
      </c>
      <c r="AB79" s="151"/>
      <c r="AC79" s="155">
        <v>100</v>
      </c>
      <c r="AD79" s="254">
        <f t="shared" si="4"/>
        <v>1903.8104038329911</v>
      </c>
      <c r="AE79" s="152" t="s">
        <v>2708</v>
      </c>
      <c r="AF79" s="252" t="s">
        <v>2708</v>
      </c>
      <c r="AG79" s="242" t="s">
        <v>2708</v>
      </c>
      <c r="AH79" s="242" t="s">
        <v>2708</v>
      </c>
      <c r="AI79" s="243" t="s">
        <v>2708</v>
      </c>
      <c r="AJ79" s="244" t="s">
        <v>2708</v>
      </c>
      <c r="AK79" s="244" t="s">
        <v>2708</v>
      </c>
      <c r="AL79" s="244" t="s">
        <v>2708</v>
      </c>
      <c r="AM79" s="244" t="s">
        <v>2708</v>
      </c>
      <c r="AN79" s="245" t="s">
        <v>2708</v>
      </c>
      <c r="AO79" s="245" t="s">
        <v>2708</v>
      </c>
      <c r="AP79" s="274">
        <v>111</v>
      </c>
    </row>
    <row r="80" spans="1:42" x14ac:dyDescent="0.2">
      <c r="A80" s="269">
        <v>78</v>
      </c>
      <c r="B80" s="270" t="s">
        <v>1901</v>
      </c>
      <c r="C80" s="271" t="s">
        <v>2618</v>
      </c>
      <c r="D80" s="272" t="s">
        <v>2708</v>
      </c>
      <c r="E80" s="273" t="s">
        <v>2708</v>
      </c>
      <c r="F80" s="22" t="s">
        <v>743</v>
      </c>
      <c r="G80" s="23" t="s">
        <v>743</v>
      </c>
      <c r="H80" s="24" t="s">
        <v>743</v>
      </c>
      <c r="I80" s="24" t="s">
        <v>743</v>
      </c>
      <c r="J80" s="25" t="s">
        <v>743</v>
      </c>
      <c r="K80" s="26">
        <v>38282</v>
      </c>
      <c r="L80" s="27" t="s">
        <v>2709</v>
      </c>
      <c r="M80" s="28">
        <v>355768</v>
      </c>
      <c r="N80" s="29">
        <v>6175357</v>
      </c>
      <c r="O80" s="32" t="s">
        <v>2708</v>
      </c>
      <c r="P80" s="135"/>
      <c r="Q80" s="260">
        <v>224</v>
      </c>
      <c r="R80" s="32"/>
      <c r="S80" s="135">
        <v>8</v>
      </c>
      <c r="T80" s="260">
        <f t="shared" si="5"/>
        <v>8</v>
      </c>
      <c r="U80" s="30"/>
      <c r="V80" s="31">
        <v>60</v>
      </c>
      <c r="W80" s="31">
        <f t="shared" si="6"/>
        <v>60</v>
      </c>
      <c r="X80" s="260">
        <f t="shared" si="7"/>
        <v>4</v>
      </c>
      <c r="Y80" s="323">
        <v>0.56399999999999995</v>
      </c>
      <c r="Z80" s="323">
        <v>108567</v>
      </c>
      <c r="AA80" s="323">
        <v>1251</v>
      </c>
      <c r="AB80" s="151"/>
      <c r="AC80" s="155">
        <v>1994</v>
      </c>
      <c r="AD80" s="254">
        <f t="shared" si="4"/>
        <v>9.8104038329911418</v>
      </c>
      <c r="AE80" s="152" t="s">
        <v>2708</v>
      </c>
      <c r="AF80" s="252" t="s">
        <v>2708</v>
      </c>
      <c r="AG80" s="242" t="s">
        <v>2708</v>
      </c>
      <c r="AH80" s="242" t="s">
        <v>2708</v>
      </c>
      <c r="AI80" s="243" t="s">
        <v>2708</v>
      </c>
      <c r="AJ80" s="244" t="s">
        <v>2708</v>
      </c>
      <c r="AK80" s="244" t="s">
        <v>2708</v>
      </c>
      <c r="AL80" s="244" t="s">
        <v>2708</v>
      </c>
      <c r="AM80" s="244" t="s">
        <v>2708</v>
      </c>
      <c r="AN80" s="245" t="s">
        <v>2708</v>
      </c>
      <c r="AO80" s="245" t="s">
        <v>2708</v>
      </c>
      <c r="AP80" s="274">
        <v>112</v>
      </c>
    </row>
    <row r="81" spans="1:42" x14ac:dyDescent="0.2">
      <c r="A81" s="269">
        <v>79</v>
      </c>
      <c r="B81" s="270" t="s">
        <v>1901</v>
      </c>
      <c r="C81" s="271" t="s">
        <v>2617</v>
      </c>
      <c r="D81" s="272" t="s">
        <v>2708</v>
      </c>
      <c r="E81" s="273" t="s">
        <v>2708</v>
      </c>
      <c r="F81" s="22" t="s">
        <v>743</v>
      </c>
      <c r="G81" s="23" t="s">
        <v>743</v>
      </c>
      <c r="H81" s="24" t="s">
        <v>743</v>
      </c>
      <c r="I81" s="24" t="s">
        <v>743</v>
      </c>
      <c r="J81" s="25" t="s">
        <v>743</v>
      </c>
      <c r="K81" s="26">
        <v>38282</v>
      </c>
      <c r="L81" s="27" t="s">
        <v>2709</v>
      </c>
      <c r="M81" s="28">
        <v>356296</v>
      </c>
      <c r="N81" s="29">
        <v>6175057</v>
      </c>
      <c r="O81" s="32">
        <v>206</v>
      </c>
      <c r="P81" s="135"/>
      <c r="Q81" s="260">
        <v>201</v>
      </c>
      <c r="R81" s="32"/>
      <c r="S81" s="135">
        <v>19</v>
      </c>
      <c r="T81" s="260">
        <f t="shared" si="5"/>
        <v>19</v>
      </c>
      <c r="U81" s="30"/>
      <c r="V81" s="31">
        <v>165</v>
      </c>
      <c r="W81" s="31">
        <f t="shared" si="6"/>
        <v>165</v>
      </c>
      <c r="X81" s="260">
        <f t="shared" si="7"/>
        <v>1</v>
      </c>
      <c r="Y81" s="323">
        <v>0.98599999999999999</v>
      </c>
      <c r="Z81" s="323">
        <v>82367</v>
      </c>
      <c r="AA81" s="323">
        <v>1396</v>
      </c>
      <c r="AB81" s="151"/>
      <c r="AC81" s="155">
        <v>1994</v>
      </c>
      <c r="AD81" s="254">
        <f t="shared" si="4"/>
        <v>9.8104038329911418</v>
      </c>
      <c r="AE81" s="152" t="s">
        <v>2708</v>
      </c>
      <c r="AF81" s="252" t="s">
        <v>2708</v>
      </c>
      <c r="AG81" s="242" t="s">
        <v>2708</v>
      </c>
      <c r="AH81" s="242" t="s">
        <v>2708</v>
      </c>
      <c r="AI81" s="243" t="s">
        <v>2708</v>
      </c>
      <c r="AJ81" s="244" t="s">
        <v>2708</v>
      </c>
      <c r="AK81" s="244" t="s">
        <v>2708</v>
      </c>
      <c r="AL81" s="244" t="s">
        <v>2708</v>
      </c>
      <c r="AM81" s="244" t="s">
        <v>2708</v>
      </c>
      <c r="AN81" s="245" t="s">
        <v>2708</v>
      </c>
      <c r="AO81" s="245" t="s">
        <v>2708</v>
      </c>
      <c r="AP81" s="274">
        <v>115</v>
      </c>
    </row>
    <row r="82" spans="1:42" x14ac:dyDescent="0.2">
      <c r="A82" s="269">
        <v>80</v>
      </c>
      <c r="B82" s="270" t="s">
        <v>1901</v>
      </c>
      <c r="C82" s="271" t="s">
        <v>2669</v>
      </c>
      <c r="D82" s="272" t="s">
        <v>2708</v>
      </c>
      <c r="E82" s="273" t="s">
        <v>2708</v>
      </c>
      <c r="F82" s="22" t="s">
        <v>743</v>
      </c>
      <c r="G82" s="23" t="s">
        <v>743</v>
      </c>
      <c r="H82" s="24" t="s">
        <v>743</v>
      </c>
      <c r="I82" s="24" t="s">
        <v>743</v>
      </c>
      <c r="J82" s="25" t="s">
        <v>743</v>
      </c>
      <c r="K82" s="26">
        <v>38282</v>
      </c>
      <c r="L82" s="27" t="s">
        <v>2709</v>
      </c>
      <c r="M82" s="28">
        <v>356291</v>
      </c>
      <c r="N82" s="29">
        <v>6175098</v>
      </c>
      <c r="O82" s="32">
        <v>217</v>
      </c>
      <c r="P82" s="135"/>
      <c r="Q82" s="260">
        <v>213</v>
      </c>
      <c r="R82" s="32"/>
      <c r="S82" s="135">
        <v>14</v>
      </c>
      <c r="T82" s="260">
        <f t="shared" si="5"/>
        <v>14</v>
      </c>
      <c r="U82" s="30"/>
      <c r="V82" s="31">
        <v>180</v>
      </c>
      <c r="W82" s="31">
        <f t="shared" si="6"/>
        <v>180</v>
      </c>
      <c r="X82" s="260">
        <f t="shared" si="7"/>
        <v>0</v>
      </c>
      <c r="Y82" s="323">
        <v>0.94</v>
      </c>
      <c r="Z82" s="323">
        <v>88377</v>
      </c>
      <c r="AA82" s="323">
        <v>1451</v>
      </c>
      <c r="AB82" s="151"/>
      <c r="AC82" s="155">
        <v>1994</v>
      </c>
      <c r="AD82" s="254">
        <f t="shared" si="4"/>
        <v>9.8104038329911418</v>
      </c>
      <c r="AE82" s="152" t="s">
        <v>2708</v>
      </c>
      <c r="AF82" s="252" t="s">
        <v>2708</v>
      </c>
      <c r="AG82" s="242" t="s">
        <v>2708</v>
      </c>
      <c r="AH82" s="242" t="s">
        <v>2708</v>
      </c>
      <c r="AI82" s="243" t="s">
        <v>2708</v>
      </c>
      <c r="AJ82" s="244" t="s">
        <v>2708</v>
      </c>
      <c r="AK82" s="244" t="s">
        <v>2708</v>
      </c>
      <c r="AL82" s="244" t="s">
        <v>2708</v>
      </c>
      <c r="AM82" s="244" t="s">
        <v>2708</v>
      </c>
      <c r="AN82" s="245" t="s">
        <v>2708</v>
      </c>
      <c r="AO82" s="245" t="s">
        <v>2708</v>
      </c>
      <c r="AP82" s="274">
        <v>116</v>
      </c>
    </row>
    <row r="83" spans="1:42" x14ac:dyDescent="0.2">
      <c r="A83" s="269">
        <v>81</v>
      </c>
      <c r="B83" s="270" t="s">
        <v>1901</v>
      </c>
      <c r="C83" s="271" t="s">
        <v>2618</v>
      </c>
      <c r="D83" s="272" t="s">
        <v>2708</v>
      </c>
      <c r="E83" s="273" t="s">
        <v>2708</v>
      </c>
      <c r="F83" s="22" t="s">
        <v>743</v>
      </c>
      <c r="G83" s="23" t="s">
        <v>743</v>
      </c>
      <c r="H83" s="24" t="s">
        <v>743</v>
      </c>
      <c r="I83" s="24" t="s">
        <v>743</v>
      </c>
      <c r="J83" s="25" t="s">
        <v>743</v>
      </c>
      <c r="K83" s="26">
        <v>38282</v>
      </c>
      <c r="L83" s="27" t="s">
        <v>2709</v>
      </c>
      <c r="M83" s="28">
        <v>356309</v>
      </c>
      <c r="N83" s="29">
        <v>6175154</v>
      </c>
      <c r="O83" s="32">
        <v>222</v>
      </c>
      <c r="P83" s="135"/>
      <c r="Q83" s="260">
        <v>226</v>
      </c>
      <c r="R83" s="32"/>
      <c r="S83" s="135">
        <v>8</v>
      </c>
      <c r="T83" s="260">
        <f t="shared" si="5"/>
        <v>8</v>
      </c>
      <c r="U83" s="30"/>
      <c r="V83" s="31">
        <v>183</v>
      </c>
      <c r="W83" s="31">
        <f t="shared" si="6"/>
        <v>183</v>
      </c>
      <c r="X83" s="260">
        <f t="shared" si="7"/>
        <v>0</v>
      </c>
      <c r="Y83" s="323">
        <v>0.153</v>
      </c>
      <c r="Z83" s="323">
        <v>98226</v>
      </c>
      <c r="AA83" s="323">
        <v>1596</v>
      </c>
      <c r="AB83" s="151"/>
      <c r="AC83" s="155">
        <v>1994</v>
      </c>
      <c r="AD83" s="254">
        <f t="shared" si="4"/>
        <v>9.8104038329911418</v>
      </c>
      <c r="AE83" s="152" t="s">
        <v>2708</v>
      </c>
      <c r="AF83" s="252" t="s">
        <v>2708</v>
      </c>
      <c r="AG83" s="242" t="s">
        <v>2708</v>
      </c>
      <c r="AH83" s="242" t="s">
        <v>2708</v>
      </c>
      <c r="AI83" s="243" t="s">
        <v>2708</v>
      </c>
      <c r="AJ83" s="244" t="s">
        <v>2708</v>
      </c>
      <c r="AK83" s="244" t="s">
        <v>2708</v>
      </c>
      <c r="AL83" s="244" t="s">
        <v>2708</v>
      </c>
      <c r="AM83" s="244" t="s">
        <v>2708</v>
      </c>
      <c r="AN83" s="245" t="s">
        <v>2708</v>
      </c>
      <c r="AO83" s="245" t="s">
        <v>2708</v>
      </c>
      <c r="AP83" s="274">
        <v>120</v>
      </c>
    </row>
    <row r="84" spans="1:42" x14ac:dyDescent="0.2">
      <c r="A84" s="269">
        <v>82</v>
      </c>
      <c r="B84" s="270" t="s">
        <v>1901</v>
      </c>
      <c r="C84" s="271" t="s">
        <v>2669</v>
      </c>
      <c r="D84" s="272" t="s">
        <v>2708</v>
      </c>
      <c r="E84" s="273" t="s">
        <v>2708</v>
      </c>
      <c r="F84" s="22" t="s">
        <v>743</v>
      </c>
      <c r="G84" s="23" t="s">
        <v>743</v>
      </c>
      <c r="H84" s="24" t="s">
        <v>743</v>
      </c>
      <c r="I84" s="24" t="s">
        <v>743</v>
      </c>
      <c r="J84" s="25" t="s">
        <v>743</v>
      </c>
      <c r="K84" s="26">
        <v>38282</v>
      </c>
      <c r="L84" s="27" t="s">
        <v>2709</v>
      </c>
      <c r="M84" s="28">
        <v>356264</v>
      </c>
      <c r="N84" s="29">
        <v>6175007</v>
      </c>
      <c r="O84" s="32">
        <v>183</v>
      </c>
      <c r="P84" s="135"/>
      <c r="Q84" s="260">
        <v>180</v>
      </c>
      <c r="R84" s="32"/>
      <c r="S84" s="135">
        <v>32</v>
      </c>
      <c r="T84" s="260">
        <f t="shared" si="5"/>
        <v>32</v>
      </c>
      <c r="U84" s="30"/>
      <c r="V84" s="31">
        <v>167</v>
      </c>
      <c r="W84" s="31">
        <f t="shared" si="6"/>
        <v>167</v>
      </c>
      <c r="X84" s="260">
        <f t="shared" si="7"/>
        <v>1</v>
      </c>
      <c r="Y84" s="323">
        <v>0.74099999999999999</v>
      </c>
      <c r="Z84" s="323">
        <v>61223</v>
      </c>
      <c r="AA84" s="323">
        <v>1166</v>
      </c>
      <c r="AB84" s="151"/>
      <c r="AC84" s="155">
        <v>1994</v>
      </c>
      <c r="AD84" s="254">
        <f t="shared" si="4"/>
        <v>9.8104038329911418</v>
      </c>
      <c r="AE84" s="152" t="s">
        <v>2708</v>
      </c>
      <c r="AF84" s="252" t="s">
        <v>2708</v>
      </c>
      <c r="AG84" s="242" t="s">
        <v>2708</v>
      </c>
      <c r="AH84" s="242" t="s">
        <v>2708</v>
      </c>
      <c r="AI84" s="243" t="s">
        <v>2708</v>
      </c>
      <c r="AJ84" s="244" t="s">
        <v>2708</v>
      </c>
      <c r="AK84" s="244" t="s">
        <v>2708</v>
      </c>
      <c r="AL84" s="244" t="s">
        <v>2708</v>
      </c>
      <c r="AM84" s="244" t="s">
        <v>2708</v>
      </c>
      <c r="AN84" s="245" t="s">
        <v>2708</v>
      </c>
      <c r="AO84" s="245" t="s">
        <v>2708</v>
      </c>
      <c r="AP84" s="274">
        <v>124</v>
      </c>
    </row>
    <row r="85" spans="1:42" x14ac:dyDescent="0.2">
      <c r="A85" s="269">
        <v>83</v>
      </c>
      <c r="B85" s="270" t="s">
        <v>1901</v>
      </c>
      <c r="C85" s="271" t="s">
        <v>2669</v>
      </c>
      <c r="D85" s="272" t="s">
        <v>2708</v>
      </c>
      <c r="E85" s="273" t="s">
        <v>2708</v>
      </c>
      <c r="F85" s="22" t="s">
        <v>743</v>
      </c>
      <c r="G85" s="23" t="s">
        <v>743</v>
      </c>
      <c r="H85" s="24" t="s">
        <v>743</v>
      </c>
      <c r="I85" s="24" t="s">
        <v>743</v>
      </c>
      <c r="J85" s="25" t="s">
        <v>743</v>
      </c>
      <c r="K85" s="26">
        <v>38282</v>
      </c>
      <c r="L85" s="27" t="s">
        <v>2709</v>
      </c>
      <c r="M85" s="28">
        <v>356236</v>
      </c>
      <c r="N85" s="29">
        <v>6174946</v>
      </c>
      <c r="O85" s="32">
        <v>180</v>
      </c>
      <c r="P85" s="135"/>
      <c r="Q85" s="260">
        <v>179</v>
      </c>
      <c r="R85" s="32"/>
      <c r="S85" s="135">
        <v>23</v>
      </c>
      <c r="T85" s="260">
        <f t="shared" si="5"/>
        <v>23</v>
      </c>
      <c r="U85" s="30"/>
      <c r="V85" s="31">
        <v>65</v>
      </c>
      <c r="W85" s="31">
        <f t="shared" si="6"/>
        <v>65</v>
      </c>
      <c r="X85" s="260">
        <f t="shared" si="7"/>
        <v>4</v>
      </c>
      <c r="Y85" s="323">
        <v>0.89800000000000002</v>
      </c>
      <c r="Z85" s="323">
        <v>106936</v>
      </c>
      <c r="AA85" s="323">
        <v>1180</v>
      </c>
      <c r="AB85" s="151"/>
      <c r="AC85" s="155">
        <v>1994</v>
      </c>
      <c r="AD85" s="254">
        <f t="shared" si="4"/>
        <v>9.8104038329911418</v>
      </c>
      <c r="AE85" s="152" t="s">
        <v>2708</v>
      </c>
      <c r="AF85" s="252" t="s">
        <v>2708</v>
      </c>
      <c r="AG85" s="242" t="s">
        <v>2708</v>
      </c>
      <c r="AH85" s="242" t="s">
        <v>2708</v>
      </c>
      <c r="AI85" s="243" t="s">
        <v>2708</v>
      </c>
      <c r="AJ85" s="244" t="s">
        <v>2708</v>
      </c>
      <c r="AK85" s="244" t="s">
        <v>2708</v>
      </c>
      <c r="AL85" s="244" t="s">
        <v>2708</v>
      </c>
      <c r="AM85" s="244" t="s">
        <v>2708</v>
      </c>
      <c r="AN85" s="245" t="s">
        <v>2708</v>
      </c>
      <c r="AO85" s="245" t="s">
        <v>2708</v>
      </c>
      <c r="AP85" s="274">
        <v>127</v>
      </c>
    </row>
    <row r="86" spans="1:42" x14ac:dyDescent="0.2">
      <c r="A86" s="269">
        <v>84</v>
      </c>
      <c r="B86" s="270" t="s">
        <v>1901</v>
      </c>
      <c r="C86" s="271" t="s">
        <v>2617</v>
      </c>
      <c r="D86" s="272" t="s">
        <v>2708</v>
      </c>
      <c r="E86" s="273" t="s">
        <v>2708</v>
      </c>
      <c r="F86" s="22" t="s">
        <v>743</v>
      </c>
      <c r="G86" s="23" t="s">
        <v>743</v>
      </c>
      <c r="H86" s="24" t="s">
        <v>743</v>
      </c>
      <c r="I86" s="24" t="s">
        <v>743</v>
      </c>
      <c r="J86" s="25" t="s">
        <v>743</v>
      </c>
      <c r="K86" s="26">
        <v>38282</v>
      </c>
      <c r="L86" s="27" t="s">
        <v>2709</v>
      </c>
      <c r="M86" s="28">
        <v>356153</v>
      </c>
      <c r="N86" s="29">
        <v>6174923</v>
      </c>
      <c r="O86" s="32">
        <v>198</v>
      </c>
      <c r="P86" s="135"/>
      <c r="Q86" s="260">
        <v>207</v>
      </c>
      <c r="R86" s="32"/>
      <c r="S86" s="135">
        <v>12</v>
      </c>
      <c r="T86" s="260">
        <f t="shared" si="5"/>
        <v>12</v>
      </c>
      <c r="U86" s="30"/>
      <c r="V86" s="31">
        <v>66</v>
      </c>
      <c r="W86" s="31">
        <f t="shared" si="6"/>
        <v>66</v>
      </c>
      <c r="X86" s="260">
        <f t="shared" si="7"/>
        <v>4</v>
      </c>
      <c r="Y86" s="323">
        <v>0.1</v>
      </c>
      <c r="Z86" s="323">
        <v>109085</v>
      </c>
      <c r="AA86" s="323">
        <v>1387</v>
      </c>
      <c r="AB86" s="151"/>
      <c r="AC86" s="155">
        <v>1994</v>
      </c>
      <c r="AD86" s="254">
        <f t="shared" si="4"/>
        <v>9.8104038329911418</v>
      </c>
      <c r="AE86" s="152" t="s">
        <v>2708</v>
      </c>
      <c r="AF86" s="252" t="s">
        <v>2708</v>
      </c>
      <c r="AG86" s="242" t="s">
        <v>2708</v>
      </c>
      <c r="AH86" s="242" t="s">
        <v>2708</v>
      </c>
      <c r="AI86" s="243" t="s">
        <v>2708</v>
      </c>
      <c r="AJ86" s="244" t="s">
        <v>2708</v>
      </c>
      <c r="AK86" s="244" t="s">
        <v>2708</v>
      </c>
      <c r="AL86" s="244" t="s">
        <v>2708</v>
      </c>
      <c r="AM86" s="244" t="s">
        <v>2708</v>
      </c>
      <c r="AN86" s="245" t="s">
        <v>2708</v>
      </c>
      <c r="AO86" s="245" t="s">
        <v>2708</v>
      </c>
      <c r="AP86" s="274">
        <v>129</v>
      </c>
    </row>
    <row r="87" spans="1:42" x14ac:dyDescent="0.2">
      <c r="A87" s="269">
        <v>85</v>
      </c>
      <c r="B87" s="270" t="s">
        <v>1901</v>
      </c>
      <c r="C87" s="271" t="s">
        <v>2618</v>
      </c>
      <c r="D87" s="272" t="s">
        <v>2708</v>
      </c>
      <c r="E87" s="273" t="s">
        <v>2708</v>
      </c>
      <c r="F87" s="22" t="s">
        <v>743</v>
      </c>
      <c r="G87" s="23" t="s">
        <v>743</v>
      </c>
      <c r="H87" s="24" t="s">
        <v>743</v>
      </c>
      <c r="I87" s="24" t="s">
        <v>743</v>
      </c>
      <c r="J87" s="25" t="s">
        <v>743</v>
      </c>
      <c r="K87" s="26">
        <v>38282</v>
      </c>
      <c r="L87" s="27" t="s">
        <v>2709</v>
      </c>
      <c r="M87" s="28">
        <v>355877</v>
      </c>
      <c r="N87" s="29">
        <v>6175160</v>
      </c>
      <c r="O87" s="32">
        <v>224</v>
      </c>
      <c r="P87" s="135"/>
      <c r="Q87" s="260">
        <v>227</v>
      </c>
      <c r="R87" s="32"/>
      <c r="S87" s="135">
        <v>16</v>
      </c>
      <c r="T87" s="260">
        <f t="shared" si="5"/>
        <v>16</v>
      </c>
      <c r="U87" s="30"/>
      <c r="V87" s="31">
        <v>60</v>
      </c>
      <c r="W87" s="31">
        <f t="shared" si="6"/>
        <v>60</v>
      </c>
      <c r="X87" s="260">
        <f t="shared" si="7"/>
        <v>4</v>
      </c>
      <c r="Y87" s="323">
        <v>0.79300000000000004</v>
      </c>
      <c r="Z87" s="323">
        <v>110322</v>
      </c>
      <c r="AA87" s="323">
        <v>1305</v>
      </c>
      <c r="AB87" s="151"/>
      <c r="AC87" s="155">
        <v>1994</v>
      </c>
      <c r="AD87" s="254">
        <f t="shared" si="4"/>
        <v>9.8104038329911418</v>
      </c>
      <c r="AE87" s="152" t="s">
        <v>2708</v>
      </c>
      <c r="AF87" s="252" t="s">
        <v>2708</v>
      </c>
      <c r="AG87" s="242" t="s">
        <v>2708</v>
      </c>
      <c r="AH87" s="242" t="s">
        <v>2708</v>
      </c>
      <c r="AI87" s="243" t="s">
        <v>2708</v>
      </c>
      <c r="AJ87" s="244" t="s">
        <v>2708</v>
      </c>
      <c r="AK87" s="244" t="s">
        <v>2708</v>
      </c>
      <c r="AL87" s="244" t="s">
        <v>2708</v>
      </c>
      <c r="AM87" s="244" t="s">
        <v>2708</v>
      </c>
      <c r="AN87" s="245" t="s">
        <v>2708</v>
      </c>
      <c r="AO87" s="245" t="s">
        <v>2708</v>
      </c>
      <c r="AP87" s="274">
        <v>133</v>
      </c>
    </row>
    <row r="88" spans="1:42" x14ac:dyDescent="0.2">
      <c r="A88" s="269">
        <v>86</v>
      </c>
      <c r="B88" s="270" t="s">
        <v>1901</v>
      </c>
      <c r="C88" s="271" t="s">
        <v>2247</v>
      </c>
      <c r="D88" s="272" t="s">
        <v>2708</v>
      </c>
      <c r="E88" s="273" t="s">
        <v>2708</v>
      </c>
      <c r="F88" s="22" t="s">
        <v>743</v>
      </c>
      <c r="G88" s="23" t="s">
        <v>743</v>
      </c>
      <c r="H88" s="24" t="s">
        <v>743</v>
      </c>
      <c r="I88" s="24" t="s">
        <v>743</v>
      </c>
      <c r="J88" s="25" t="s">
        <v>743</v>
      </c>
      <c r="K88" s="26">
        <v>38282</v>
      </c>
      <c r="L88" s="27" t="s">
        <v>2709</v>
      </c>
      <c r="M88" s="28">
        <v>355642</v>
      </c>
      <c r="N88" s="29">
        <v>6175184</v>
      </c>
      <c r="O88" s="32">
        <v>273</v>
      </c>
      <c r="P88" s="135"/>
      <c r="Q88" s="260">
        <v>271</v>
      </c>
      <c r="R88" s="32"/>
      <c r="S88" s="135">
        <v>14</v>
      </c>
      <c r="T88" s="260">
        <f t="shared" si="5"/>
        <v>14</v>
      </c>
      <c r="U88" s="30"/>
      <c r="V88" s="31">
        <v>54</v>
      </c>
      <c r="W88" s="31">
        <f t="shared" si="6"/>
        <v>54</v>
      </c>
      <c r="X88" s="260">
        <f t="shared" si="7"/>
        <v>4</v>
      </c>
      <c r="Y88" s="323">
        <v>0.79500000000000004</v>
      </c>
      <c r="Z88" s="323">
        <v>112176</v>
      </c>
      <c r="AA88" s="323">
        <v>1385</v>
      </c>
      <c r="AB88" s="151"/>
      <c r="AC88" s="155">
        <v>1994</v>
      </c>
      <c r="AD88" s="254">
        <f t="shared" si="4"/>
        <v>9.8104038329911418</v>
      </c>
      <c r="AE88" s="152" t="s">
        <v>2708</v>
      </c>
      <c r="AF88" s="252" t="s">
        <v>2708</v>
      </c>
      <c r="AG88" s="242" t="s">
        <v>2708</v>
      </c>
      <c r="AH88" s="242" t="s">
        <v>2708</v>
      </c>
      <c r="AI88" s="243" t="s">
        <v>2708</v>
      </c>
      <c r="AJ88" s="244" t="s">
        <v>2708</v>
      </c>
      <c r="AK88" s="244" t="s">
        <v>2708</v>
      </c>
      <c r="AL88" s="244" t="s">
        <v>2708</v>
      </c>
      <c r="AM88" s="244" t="s">
        <v>2708</v>
      </c>
      <c r="AN88" s="245" t="s">
        <v>2708</v>
      </c>
      <c r="AO88" s="245" t="s">
        <v>2708</v>
      </c>
      <c r="AP88" s="274">
        <v>134</v>
      </c>
    </row>
    <row r="89" spans="1:42" x14ac:dyDescent="0.2">
      <c r="A89" s="269">
        <v>87</v>
      </c>
      <c r="B89" s="270" t="s">
        <v>1901</v>
      </c>
      <c r="C89" s="271" t="s">
        <v>2249</v>
      </c>
      <c r="D89" s="272" t="s">
        <v>2708</v>
      </c>
      <c r="E89" s="273" t="s">
        <v>2708</v>
      </c>
      <c r="F89" s="22" t="s">
        <v>743</v>
      </c>
      <c r="G89" s="23" t="s">
        <v>743</v>
      </c>
      <c r="H89" s="24" t="s">
        <v>743</v>
      </c>
      <c r="I89" s="24" t="s">
        <v>743</v>
      </c>
      <c r="J89" s="25" t="s">
        <v>743</v>
      </c>
      <c r="K89" s="26">
        <v>38283</v>
      </c>
      <c r="L89" s="27" t="s">
        <v>2709</v>
      </c>
      <c r="M89" s="28">
        <v>356537</v>
      </c>
      <c r="N89" s="29">
        <v>6176499</v>
      </c>
      <c r="O89" s="32">
        <v>246</v>
      </c>
      <c r="P89" s="135"/>
      <c r="Q89" s="260">
        <v>252</v>
      </c>
      <c r="R89" s="32"/>
      <c r="S89" s="135">
        <v>25</v>
      </c>
      <c r="T89" s="260">
        <f t="shared" si="5"/>
        <v>25</v>
      </c>
      <c r="U89" s="30"/>
      <c r="V89" s="31">
        <v>180</v>
      </c>
      <c r="W89" s="31">
        <f t="shared" si="6"/>
        <v>180</v>
      </c>
      <c r="X89" s="260">
        <f t="shared" si="7"/>
        <v>0</v>
      </c>
      <c r="Y89" s="323">
        <v>1.6259999999999999</v>
      </c>
      <c r="Z89" s="323">
        <v>70627</v>
      </c>
      <c r="AA89" s="323">
        <v>354</v>
      </c>
      <c r="AB89" s="151"/>
      <c r="AC89" s="155">
        <v>100</v>
      </c>
      <c r="AD89" s="254">
        <f t="shared" si="4"/>
        <v>1903.8131416837782</v>
      </c>
      <c r="AE89" s="152" t="s">
        <v>2708</v>
      </c>
      <c r="AF89" s="252" t="s">
        <v>2708</v>
      </c>
      <c r="AG89" s="242" t="s">
        <v>2708</v>
      </c>
      <c r="AH89" s="242" t="s">
        <v>2708</v>
      </c>
      <c r="AI89" s="243" t="s">
        <v>2708</v>
      </c>
      <c r="AJ89" s="244" t="s">
        <v>2708</v>
      </c>
      <c r="AK89" s="244" t="s">
        <v>2708</v>
      </c>
      <c r="AL89" s="244" t="s">
        <v>2708</v>
      </c>
      <c r="AM89" s="244" t="s">
        <v>2708</v>
      </c>
      <c r="AN89" s="245" t="s">
        <v>2708</v>
      </c>
      <c r="AO89" s="245" t="s">
        <v>2708</v>
      </c>
      <c r="AP89" s="274">
        <v>137</v>
      </c>
    </row>
    <row r="90" spans="1:42" x14ac:dyDescent="0.2">
      <c r="A90" s="269">
        <v>88</v>
      </c>
      <c r="B90" s="270" t="s">
        <v>1901</v>
      </c>
      <c r="C90" s="271" t="s">
        <v>2670</v>
      </c>
      <c r="D90" s="272" t="s">
        <v>2708</v>
      </c>
      <c r="E90" s="273" t="s">
        <v>2708</v>
      </c>
      <c r="F90" s="22" t="s">
        <v>743</v>
      </c>
      <c r="G90" s="23" t="s">
        <v>743</v>
      </c>
      <c r="H90" s="24" t="s">
        <v>743</v>
      </c>
      <c r="I90" s="24" t="s">
        <v>743</v>
      </c>
      <c r="J90" s="25" t="s">
        <v>743</v>
      </c>
      <c r="K90" s="26">
        <v>38283</v>
      </c>
      <c r="L90" s="27" t="s">
        <v>2709</v>
      </c>
      <c r="M90" s="28">
        <v>356532</v>
      </c>
      <c r="N90" s="29">
        <v>6176465</v>
      </c>
      <c r="O90" s="32">
        <v>248</v>
      </c>
      <c r="P90" s="135"/>
      <c r="Q90" s="260">
        <v>239</v>
      </c>
      <c r="R90" s="32"/>
      <c r="S90" s="135">
        <v>13</v>
      </c>
      <c r="T90" s="260">
        <f t="shared" si="5"/>
        <v>13</v>
      </c>
      <c r="U90" s="30"/>
      <c r="V90" s="31">
        <v>201</v>
      </c>
      <c r="W90" s="31">
        <f t="shared" si="6"/>
        <v>201</v>
      </c>
      <c r="X90" s="260">
        <f t="shared" si="7"/>
        <v>1</v>
      </c>
      <c r="Y90" s="323">
        <v>2.1320000000000001</v>
      </c>
      <c r="Z90" s="323">
        <v>88404</v>
      </c>
      <c r="AA90" s="323">
        <v>217</v>
      </c>
      <c r="AB90" s="151"/>
      <c r="AC90" s="155">
        <v>1990</v>
      </c>
      <c r="AD90" s="254">
        <f t="shared" si="4"/>
        <v>13.813141683778213</v>
      </c>
      <c r="AE90" s="152" t="s">
        <v>2708</v>
      </c>
      <c r="AF90" s="252" t="s">
        <v>2708</v>
      </c>
      <c r="AG90" s="242" t="s">
        <v>2708</v>
      </c>
      <c r="AH90" s="242" t="s">
        <v>2708</v>
      </c>
      <c r="AI90" s="243" t="s">
        <v>2708</v>
      </c>
      <c r="AJ90" s="244" t="s">
        <v>2708</v>
      </c>
      <c r="AK90" s="244" t="s">
        <v>2708</v>
      </c>
      <c r="AL90" s="244" t="s">
        <v>2708</v>
      </c>
      <c r="AM90" s="244" t="s">
        <v>2708</v>
      </c>
      <c r="AN90" s="245" t="s">
        <v>2708</v>
      </c>
      <c r="AO90" s="245" t="s">
        <v>2708</v>
      </c>
      <c r="AP90" s="274">
        <v>138</v>
      </c>
    </row>
    <row r="91" spans="1:42" x14ac:dyDescent="0.2">
      <c r="A91" s="269">
        <v>89</v>
      </c>
      <c r="B91" s="270" t="s">
        <v>1901</v>
      </c>
      <c r="C91" s="271" t="s">
        <v>2617</v>
      </c>
      <c r="D91" s="272" t="s">
        <v>2708</v>
      </c>
      <c r="E91" s="273" t="s">
        <v>2708</v>
      </c>
      <c r="F91" s="22" t="s">
        <v>743</v>
      </c>
      <c r="G91" s="23" t="s">
        <v>743</v>
      </c>
      <c r="H91" s="24" t="s">
        <v>743</v>
      </c>
      <c r="I91" s="24" t="s">
        <v>743</v>
      </c>
      <c r="J91" s="25" t="s">
        <v>743</v>
      </c>
      <c r="K91" s="26">
        <v>38283</v>
      </c>
      <c r="L91" s="27" t="s">
        <v>2709</v>
      </c>
      <c r="M91" s="28">
        <v>356547</v>
      </c>
      <c r="N91" s="29">
        <v>6176435</v>
      </c>
      <c r="O91" s="32">
        <v>247</v>
      </c>
      <c r="P91" s="135"/>
      <c r="Q91" s="260">
        <v>243</v>
      </c>
      <c r="R91" s="32"/>
      <c r="S91" s="135">
        <v>21</v>
      </c>
      <c r="T91" s="260">
        <f t="shared" si="5"/>
        <v>21</v>
      </c>
      <c r="U91" s="30"/>
      <c r="V91" s="31">
        <v>309</v>
      </c>
      <c r="W91" s="31">
        <f t="shared" si="6"/>
        <v>309</v>
      </c>
      <c r="X91" s="260">
        <f t="shared" si="7"/>
        <v>4</v>
      </c>
      <c r="Y91" s="323">
        <v>1.107</v>
      </c>
      <c r="Z91" s="323">
        <v>108337</v>
      </c>
      <c r="AA91" s="323">
        <v>179</v>
      </c>
      <c r="AB91" s="151"/>
      <c r="AC91" s="155">
        <v>1990</v>
      </c>
      <c r="AD91" s="254">
        <f t="shared" si="4"/>
        <v>13.813141683778213</v>
      </c>
      <c r="AE91" s="152" t="s">
        <v>2708</v>
      </c>
      <c r="AF91" s="252" t="s">
        <v>2708</v>
      </c>
      <c r="AG91" s="242" t="s">
        <v>2708</v>
      </c>
      <c r="AH91" s="242" t="s">
        <v>2708</v>
      </c>
      <c r="AI91" s="243" t="s">
        <v>2708</v>
      </c>
      <c r="AJ91" s="244" t="s">
        <v>2708</v>
      </c>
      <c r="AK91" s="244" t="s">
        <v>2708</v>
      </c>
      <c r="AL91" s="244" t="s">
        <v>2708</v>
      </c>
      <c r="AM91" s="244" t="s">
        <v>2708</v>
      </c>
      <c r="AN91" s="245" t="s">
        <v>2708</v>
      </c>
      <c r="AO91" s="245" t="s">
        <v>2708</v>
      </c>
      <c r="AP91" s="274">
        <v>141</v>
      </c>
    </row>
    <row r="92" spans="1:42" x14ac:dyDescent="0.2">
      <c r="A92" s="269">
        <v>90</v>
      </c>
      <c r="B92" s="270" t="s">
        <v>1901</v>
      </c>
      <c r="C92" s="271" t="s">
        <v>2470</v>
      </c>
      <c r="D92" s="272" t="s">
        <v>2708</v>
      </c>
      <c r="E92" s="273" t="s">
        <v>2708</v>
      </c>
      <c r="F92" s="22" t="s">
        <v>743</v>
      </c>
      <c r="G92" s="23" t="s">
        <v>743</v>
      </c>
      <c r="H92" s="24" t="s">
        <v>743</v>
      </c>
      <c r="I92" s="24" t="s">
        <v>743</v>
      </c>
      <c r="J92" s="25" t="s">
        <v>743</v>
      </c>
      <c r="K92" s="26">
        <v>38283</v>
      </c>
      <c r="L92" s="27" t="s">
        <v>2709</v>
      </c>
      <c r="M92" s="28">
        <v>356571</v>
      </c>
      <c r="N92" s="29">
        <v>6176454</v>
      </c>
      <c r="O92" s="32">
        <v>244</v>
      </c>
      <c r="P92" s="135"/>
      <c r="Q92" s="260">
        <v>244</v>
      </c>
      <c r="R92" s="32"/>
      <c r="S92" s="135">
        <v>15</v>
      </c>
      <c r="T92" s="260">
        <f t="shared" si="5"/>
        <v>15</v>
      </c>
      <c r="U92" s="30"/>
      <c r="V92" s="31">
        <v>305</v>
      </c>
      <c r="W92" s="31">
        <f t="shared" si="6"/>
        <v>305</v>
      </c>
      <c r="X92" s="260">
        <f t="shared" si="7"/>
        <v>4</v>
      </c>
      <c r="Y92" s="323">
        <v>2.95</v>
      </c>
      <c r="Z92" s="323">
        <v>107251</v>
      </c>
      <c r="AA92" s="323">
        <v>159</v>
      </c>
      <c r="AB92" s="151"/>
      <c r="AC92" s="155">
        <v>1990</v>
      </c>
      <c r="AD92" s="254">
        <f t="shared" si="4"/>
        <v>13.813141683778213</v>
      </c>
      <c r="AE92" s="152" t="s">
        <v>2708</v>
      </c>
      <c r="AF92" s="252" t="s">
        <v>2708</v>
      </c>
      <c r="AG92" s="242" t="s">
        <v>2708</v>
      </c>
      <c r="AH92" s="242" t="s">
        <v>2708</v>
      </c>
      <c r="AI92" s="243" t="s">
        <v>2708</v>
      </c>
      <c r="AJ92" s="244" t="s">
        <v>2708</v>
      </c>
      <c r="AK92" s="244" t="s">
        <v>2708</v>
      </c>
      <c r="AL92" s="244" t="s">
        <v>2708</v>
      </c>
      <c r="AM92" s="244" t="s">
        <v>2708</v>
      </c>
      <c r="AN92" s="245" t="s">
        <v>2708</v>
      </c>
      <c r="AO92" s="245" t="s">
        <v>2708</v>
      </c>
      <c r="AP92" s="274">
        <v>142</v>
      </c>
    </row>
    <row r="93" spans="1:42" x14ac:dyDescent="0.2">
      <c r="A93" s="269">
        <v>91</v>
      </c>
      <c r="B93" s="270" t="s">
        <v>1901</v>
      </c>
      <c r="C93" s="271" t="s">
        <v>1251</v>
      </c>
      <c r="D93" s="272" t="s">
        <v>2708</v>
      </c>
      <c r="E93" s="273" t="s">
        <v>2708</v>
      </c>
      <c r="F93" s="22" t="s">
        <v>743</v>
      </c>
      <c r="G93" s="23" t="s">
        <v>743</v>
      </c>
      <c r="H93" s="24" t="s">
        <v>743</v>
      </c>
      <c r="I93" s="24" t="s">
        <v>743</v>
      </c>
      <c r="J93" s="25" t="s">
        <v>743</v>
      </c>
      <c r="K93" s="26">
        <v>38283</v>
      </c>
      <c r="L93" s="27" t="s">
        <v>2709</v>
      </c>
      <c r="M93" s="28">
        <v>356586</v>
      </c>
      <c r="N93" s="29">
        <v>6176401</v>
      </c>
      <c r="O93" s="32">
        <v>261</v>
      </c>
      <c r="P93" s="135"/>
      <c r="Q93" s="260">
        <v>272</v>
      </c>
      <c r="R93" s="32"/>
      <c r="S93" s="135">
        <v>32</v>
      </c>
      <c r="T93" s="260">
        <f t="shared" si="5"/>
        <v>32</v>
      </c>
      <c r="U93" s="30"/>
      <c r="V93" s="31">
        <v>320</v>
      </c>
      <c r="W93" s="31">
        <f t="shared" si="6"/>
        <v>320</v>
      </c>
      <c r="X93" s="260">
        <f t="shared" si="7"/>
        <v>4</v>
      </c>
      <c r="Y93" s="323">
        <v>1.143</v>
      </c>
      <c r="Z93" s="323">
        <v>111897</v>
      </c>
      <c r="AA93" s="323">
        <v>267</v>
      </c>
      <c r="AB93" s="151"/>
      <c r="AC93" s="155">
        <v>1990</v>
      </c>
      <c r="AD93" s="254">
        <f t="shared" si="4"/>
        <v>13.813141683778213</v>
      </c>
      <c r="AE93" s="152" t="s">
        <v>2708</v>
      </c>
      <c r="AF93" s="252" t="s">
        <v>2708</v>
      </c>
      <c r="AG93" s="242" t="s">
        <v>2708</v>
      </c>
      <c r="AH93" s="242" t="s">
        <v>2708</v>
      </c>
      <c r="AI93" s="243" t="s">
        <v>2708</v>
      </c>
      <c r="AJ93" s="244" t="s">
        <v>2708</v>
      </c>
      <c r="AK93" s="244" t="s">
        <v>2708</v>
      </c>
      <c r="AL93" s="244" t="s">
        <v>2708</v>
      </c>
      <c r="AM93" s="244" t="s">
        <v>2708</v>
      </c>
      <c r="AN93" s="245" t="s">
        <v>2708</v>
      </c>
      <c r="AO93" s="245" t="s">
        <v>2708</v>
      </c>
      <c r="AP93" s="274">
        <v>143</v>
      </c>
    </row>
    <row r="94" spans="1:42" x14ac:dyDescent="0.2">
      <c r="A94" s="269">
        <v>92</v>
      </c>
      <c r="B94" s="270" t="s">
        <v>1901</v>
      </c>
      <c r="C94" s="271" t="s">
        <v>2617</v>
      </c>
      <c r="D94" s="272" t="s">
        <v>2708</v>
      </c>
      <c r="E94" s="273" t="s">
        <v>2708</v>
      </c>
      <c r="F94" s="22" t="s">
        <v>743</v>
      </c>
      <c r="G94" s="23" t="s">
        <v>743</v>
      </c>
      <c r="H94" s="24" t="s">
        <v>743</v>
      </c>
      <c r="I94" s="24" t="s">
        <v>743</v>
      </c>
      <c r="J94" s="25" t="s">
        <v>743</v>
      </c>
      <c r="K94" s="26">
        <v>38284</v>
      </c>
      <c r="L94" s="27" t="s">
        <v>2709</v>
      </c>
      <c r="M94" s="28">
        <v>357749</v>
      </c>
      <c r="N94" s="29">
        <v>6178190</v>
      </c>
      <c r="O94" s="32">
        <v>291</v>
      </c>
      <c r="P94" s="135"/>
      <c r="Q94" s="260">
        <v>277</v>
      </c>
      <c r="R94" s="32"/>
      <c r="S94" s="135">
        <v>6</v>
      </c>
      <c r="T94" s="260">
        <f t="shared" si="5"/>
        <v>6</v>
      </c>
      <c r="U94" s="30"/>
      <c r="V94" s="31">
        <v>341</v>
      </c>
      <c r="W94" s="31">
        <f t="shared" si="6"/>
        <v>341</v>
      </c>
      <c r="X94" s="260">
        <f t="shared" si="7"/>
        <v>5</v>
      </c>
      <c r="Y94" s="323">
        <v>0.64200000000000002</v>
      </c>
      <c r="Z94" s="323">
        <v>112395</v>
      </c>
      <c r="AA94" s="323">
        <v>922</v>
      </c>
      <c r="AB94" s="151"/>
      <c r="AC94" s="155">
        <v>1996</v>
      </c>
      <c r="AD94" s="254">
        <f t="shared" si="4"/>
        <v>7.8158795345652834</v>
      </c>
      <c r="AE94" s="152" t="s">
        <v>2708</v>
      </c>
      <c r="AF94" s="252" t="s">
        <v>2708</v>
      </c>
      <c r="AG94" s="242" t="s">
        <v>2708</v>
      </c>
      <c r="AH94" s="242" t="s">
        <v>2708</v>
      </c>
      <c r="AI94" s="243" t="s">
        <v>2708</v>
      </c>
      <c r="AJ94" s="244" t="s">
        <v>2708</v>
      </c>
      <c r="AK94" s="244" t="s">
        <v>2708</v>
      </c>
      <c r="AL94" s="244" t="s">
        <v>2708</v>
      </c>
      <c r="AM94" s="244" t="s">
        <v>2708</v>
      </c>
      <c r="AN94" s="245" t="s">
        <v>2708</v>
      </c>
      <c r="AO94" s="245" t="s">
        <v>2708</v>
      </c>
      <c r="AP94" s="274">
        <v>153</v>
      </c>
    </row>
    <row r="95" spans="1:42" x14ac:dyDescent="0.2">
      <c r="A95" s="269">
        <v>93</v>
      </c>
      <c r="B95" s="270" t="s">
        <v>1901</v>
      </c>
      <c r="C95" s="271" t="s">
        <v>2617</v>
      </c>
      <c r="D95" s="272" t="s">
        <v>2708</v>
      </c>
      <c r="E95" s="273" t="s">
        <v>2708</v>
      </c>
      <c r="F95" s="22" t="s">
        <v>743</v>
      </c>
      <c r="G95" s="23" t="s">
        <v>743</v>
      </c>
      <c r="H95" s="24" t="s">
        <v>743</v>
      </c>
      <c r="I95" s="24" t="s">
        <v>743</v>
      </c>
      <c r="J95" s="25" t="s">
        <v>743</v>
      </c>
      <c r="K95" s="26">
        <v>38284</v>
      </c>
      <c r="L95" s="27" t="s">
        <v>2709</v>
      </c>
      <c r="M95" s="28">
        <v>357736</v>
      </c>
      <c r="N95" s="29">
        <v>6178276</v>
      </c>
      <c r="O95" s="32">
        <v>272</v>
      </c>
      <c r="P95" s="135"/>
      <c r="Q95" s="260">
        <v>266</v>
      </c>
      <c r="R95" s="32"/>
      <c r="S95" s="135">
        <v>7</v>
      </c>
      <c r="T95" s="260">
        <f t="shared" si="5"/>
        <v>7</v>
      </c>
      <c r="U95" s="30"/>
      <c r="V95" s="31">
        <v>342</v>
      </c>
      <c r="W95" s="31">
        <f t="shared" si="6"/>
        <v>342</v>
      </c>
      <c r="X95" s="260">
        <f t="shared" si="7"/>
        <v>5</v>
      </c>
      <c r="Y95" s="323">
        <v>0.4</v>
      </c>
      <c r="Z95" s="323">
        <v>112948</v>
      </c>
      <c r="AA95" s="323">
        <v>931</v>
      </c>
      <c r="AB95" s="151"/>
      <c r="AC95" s="155">
        <v>1996</v>
      </c>
      <c r="AD95" s="254">
        <f t="shared" si="4"/>
        <v>7.8158795345652834</v>
      </c>
      <c r="AE95" s="152" t="s">
        <v>2708</v>
      </c>
      <c r="AF95" s="252" t="s">
        <v>2708</v>
      </c>
      <c r="AG95" s="242" t="s">
        <v>2708</v>
      </c>
      <c r="AH95" s="242" t="s">
        <v>2708</v>
      </c>
      <c r="AI95" s="243" t="s">
        <v>2708</v>
      </c>
      <c r="AJ95" s="244" t="s">
        <v>2708</v>
      </c>
      <c r="AK95" s="244" t="s">
        <v>2708</v>
      </c>
      <c r="AL95" s="244" t="s">
        <v>2708</v>
      </c>
      <c r="AM95" s="244" t="s">
        <v>2708</v>
      </c>
      <c r="AN95" s="245" t="s">
        <v>2708</v>
      </c>
      <c r="AO95" s="245" t="s">
        <v>2708</v>
      </c>
      <c r="AP95" s="274">
        <v>154</v>
      </c>
    </row>
    <row r="96" spans="1:42" x14ac:dyDescent="0.2">
      <c r="A96" s="269">
        <v>94</v>
      </c>
      <c r="B96" s="270" t="s">
        <v>1901</v>
      </c>
      <c r="C96" s="271" t="s">
        <v>2618</v>
      </c>
      <c r="D96" s="272" t="s">
        <v>2708</v>
      </c>
      <c r="E96" s="273" t="s">
        <v>2708</v>
      </c>
      <c r="F96" s="22" t="s">
        <v>743</v>
      </c>
      <c r="G96" s="23" t="s">
        <v>743</v>
      </c>
      <c r="H96" s="24" t="s">
        <v>743</v>
      </c>
      <c r="I96" s="24" t="s">
        <v>743</v>
      </c>
      <c r="J96" s="25" t="s">
        <v>743</v>
      </c>
      <c r="K96" s="26">
        <v>38284</v>
      </c>
      <c r="L96" s="27" t="s">
        <v>2709</v>
      </c>
      <c r="M96" s="28">
        <v>357615</v>
      </c>
      <c r="N96" s="29">
        <v>6177812</v>
      </c>
      <c r="O96" s="32">
        <v>327</v>
      </c>
      <c r="P96" s="135"/>
      <c r="Q96" s="260">
        <v>334</v>
      </c>
      <c r="R96" s="32"/>
      <c r="S96" s="135">
        <v>10</v>
      </c>
      <c r="T96" s="260">
        <f t="shared" si="5"/>
        <v>10</v>
      </c>
      <c r="U96" s="30"/>
      <c r="V96" s="31">
        <v>20</v>
      </c>
      <c r="W96" s="31">
        <f t="shared" si="6"/>
        <v>20</v>
      </c>
      <c r="X96" s="260">
        <f t="shared" si="7"/>
        <v>5</v>
      </c>
      <c r="Y96" s="323">
        <v>0.221</v>
      </c>
      <c r="Z96" s="323">
        <v>115325</v>
      </c>
      <c r="AA96" s="323">
        <v>1151</v>
      </c>
      <c r="AB96" s="151"/>
      <c r="AC96" s="155">
        <v>1996</v>
      </c>
      <c r="AD96" s="254">
        <f t="shared" si="4"/>
        <v>7.8158795345652834</v>
      </c>
      <c r="AE96" s="152" t="s">
        <v>2708</v>
      </c>
      <c r="AF96" s="252" t="s">
        <v>2708</v>
      </c>
      <c r="AG96" s="242" t="s">
        <v>2708</v>
      </c>
      <c r="AH96" s="242" t="s">
        <v>2708</v>
      </c>
      <c r="AI96" s="243" t="s">
        <v>2708</v>
      </c>
      <c r="AJ96" s="244" t="s">
        <v>2708</v>
      </c>
      <c r="AK96" s="244" t="s">
        <v>2708</v>
      </c>
      <c r="AL96" s="244" t="s">
        <v>2708</v>
      </c>
      <c r="AM96" s="244" t="s">
        <v>2708</v>
      </c>
      <c r="AN96" s="245" t="s">
        <v>2708</v>
      </c>
      <c r="AO96" s="245" t="s">
        <v>2708</v>
      </c>
      <c r="AP96" s="274">
        <v>157</v>
      </c>
    </row>
    <row r="97" spans="1:42" x14ac:dyDescent="0.2">
      <c r="A97" s="269">
        <v>95</v>
      </c>
      <c r="B97" s="270" t="s">
        <v>1901</v>
      </c>
      <c r="C97" s="271" t="s">
        <v>2620</v>
      </c>
      <c r="D97" s="272" t="s">
        <v>2708</v>
      </c>
      <c r="E97" s="273" t="s">
        <v>2708</v>
      </c>
      <c r="F97" s="22" t="s">
        <v>743</v>
      </c>
      <c r="G97" s="23" t="s">
        <v>743</v>
      </c>
      <c r="H97" s="24" t="s">
        <v>743</v>
      </c>
      <c r="I97" s="24" t="s">
        <v>743</v>
      </c>
      <c r="J97" s="25" t="s">
        <v>743</v>
      </c>
      <c r="K97" s="26">
        <v>38284</v>
      </c>
      <c r="L97" s="27" t="s">
        <v>2709</v>
      </c>
      <c r="M97" s="28">
        <v>357437</v>
      </c>
      <c r="N97" s="29">
        <v>6177759</v>
      </c>
      <c r="O97" s="32">
        <v>329</v>
      </c>
      <c r="P97" s="135"/>
      <c r="Q97" s="260">
        <v>340</v>
      </c>
      <c r="R97" s="32"/>
      <c r="S97" s="135">
        <v>13</v>
      </c>
      <c r="T97" s="260">
        <f t="shared" si="5"/>
        <v>13</v>
      </c>
      <c r="U97" s="30"/>
      <c r="V97" s="31">
        <v>341</v>
      </c>
      <c r="W97" s="31">
        <f t="shared" si="6"/>
        <v>341</v>
      </c>
      <c r="X97" s="260">
        <f t="shared" si="7"/>
        <v>5</v>
      </c>
      <c r="Y97" s="323">
        <v>1.1870000000000001</v>
      </c>
      <c r="Z97" s="323">
        <v>115998</v>
      </c>
      <c r="AA97" s="323">
        <v>645</v>
      </c>
      <c r="AB97" s="151"/>
      <c r="AC97" s="155">
        <v>1996</v>
      </c>
      <c r="AD97" s="254">
        <f t="shared" si="4"/>
        <v>7.8158795345652834</v>
      </c>
      <c r="AE97" s="152" t="s">
        <v>2708</v>
      </c>
      <c r="AF97" s="252" t="s">
        <v>2708</v>
      </c>
      <c r="AG97" s="242" t="s">
        <v>2708</v>
      </c>
      <c r="AH97" s="242" t="s">
        <v>2708</v>
      </c>
      <c r="AI97" s="243" t="s">
        <v>2708</v>
      </c>
      <c r="AJ97" s="244" t="s">
        <v>2708</v>
      </c>
      <c r="AK97" s="244" t="s">
        <v>2708</v>
      </c>
      <c r="AL97" s="244" t="s">
        <v>2708</v>
      </c>
      <c r="AM97" s="244" t="s">
        <v>2708</v>
      </c>
      <c r="AN97" s="245" t="s">
        <v>2708</v>
      </c>
      <c r="AO97" s="245" t="s">
        <v>2708</v>
      </c>
      <c r="AP97" s="274">
        <v>158</v>
      </c>
    </row>
    <row r="98" spans="1:42" x14ac:dyDescent="0.2">
      <c r="A98" s="269">
        <v>96</v>
      </c>
      <c r="B98" s="270" t="s">
        <v>1901</v>
      </c>
      <c r="C98" s="271" t="s">
        <v>2248</v>
      </c>
      <c r="D98" s="272" t="s">
        <v>2708</v>
      </c>
      <c r="E98" s="273" t="s">
        <v>2708</v>
      </c>
      <c r="F98" s="22" t="s">
        <v>743</v>
      </c>
      <c r="G98" s="23" t="s">
        <v>743</v>
      </c>
      <c r="H98" s="24" t="s">
        <v>743</v>
      </c>
      <c r="I98" s="24" t="s">
        <v>743</v>
      </c>
      <c r="J98" s="25" t="s">
        <v>743</v>
      </c>
      <c r="K98" s="26">
        <v>38284</v>
      </c>
      <c r="L98" s="27" t="s">
        <v>2709</v>
      </c>
      <c r="M98" s="28">
        <v>357709</v>
      </c>
      <c r="N98" s="29">
        <v>6177527</v>
      </c>
      <c r="O98" s="32">
        <v>373</v>
      </c>
      <c r="P98" s="135"/>
      <c r="Q98" s="260">
        <v>375</v>
      </c>
      <c r="R98" s="32"/>
      <c r="S98" s="135">
        <v>15</v>
      </c>
      <c r="T98" s="260">
        <f t="shared" si="5"/>
        <v>15</v>
      </c>
      <c r="U98" s="30"/>
      <c r="V98" s="31">
        <v>36</v>
      </c>
      <c r="W98" s="31">
        <f t="shared" si="6"/>
        <v>36</v>
      </c>
      <c r="X98" s="260">
        <f t="shared" si="7"/>
        <v>4</v>
      </c>
      <c r="Y98" s="323">
        <v>0.66600000000000004</v>
      </c>
      <c r="Z98" s="323">
        <v>116154</v>
      </c>
      <c r="AA98" s="323">
        <v>863</v>
      </c>
      <c r="AB98" s="151"/>
      <c r="AC98" s="155">
        <v>1996</v>
      </c>
      <c r="AD98" s="254">
        <f t="shared" si="4"/>
        <v>7.8158795345652834</v>
      </c>
      <c r="AE98" s="152" t="s">
        <v>2708</v>
      </c>
      <c r="AF98" s="252" t="s">
        <v>2708</v>
      </c>
      <c r="AG98" s="242" t="s">
        <v>2708</v>
      </c>
      <c r="AH98" s="242" t="s">
        <v>2708</v>
      </c>
      <c r="AI98" s="243" t="s">
        <v>2708</v>
      </c>
      <c r="AJ98" s="244" t="s">
        <v>2708</v>
      </c>
      <c r="AK98" s="244" t="s">
        <v>2708</v>
      </c>
      <c r="AL98" s="244" t="s">
        <v>2708</v>
      </c>
      <c r="AM98" s="244" t="s">
        <v>2708</v>
      </c>
      <c r="AN98" s="245" t="s">
        <v>2708</v>
      </c>
      <c r="AO98" s="245" t="s">
        <v>2708</v>
      </c>
      <c r="AP98" s="274">
        <v>160</v>
      </c>
    </row>
    <row r="99" spans="1:42" x14ac:dyDescent="0.2">
      <c r="A99" s="269">
        <v>97</v>
      </c>
      <c r="B99" s="270" t="s">
        <v>1901</v>
      </c>
      <c r="C99" s="271" t="s">
        <v>2248</v>
      </c>
      <c r="D99" s="272" t="s">
        <v>2708</v>
      </c>
      <c r="E99" s="273" t="s">
        <v>2708</v>
      </c>
      <c r="F99" s="22" t="s">
        <v>743</v>
      </c>
      <c r="G99" s="23" t="s">
        <v>743</v>
      </c>
      <c r="H99" s="24" t="s">
        <v>743</v>
      </c>
      <c r="I99" s="24" t="s">
        <v>743</v>
      </c>
      <c r="J99" s="25" t="s">
        <v>743</v>
      </c>
      <c r="K99" s="26">
        <v>38284</v>
      </c>
      <c r="L99" s="27" t="s">
        <v>2709</v>
      </c>
      <c r="M99" s="28">
        <v>358142</v>
      </c>
      <c r="N99" s="29">
        <v>6177330</v>
      </c>
      <c r="O99" s="32">
        <v>369</v>
      </c>
      <c r="P99" s="135"/>
      <c r="Q99" s="260">
        <v>368</v>
      </c>
      <c r="R99" s="32"/>
      <c r="S99" s="135">
        <v>11</v>
      </c>
      <c r="T99" s="260">
        <f t="shared" si="5"/>
        <v>11</v>
      </c>
      <c r="U99" s="30"/>
      <c r="V99" s="31">
        <v>42</v>
      </c>
      <c r="W99" s="31">
        <f t="shared" si="6"/>
        <v>42</v>
      </c>
      <c r="X99" s="260">
        <f t="shared" si="7"/>
        <v>4</v>
      </c>
      <c r="Y99" s="323">
        <v>0.84899999999999998</v>
      </c>
      <c r="Z99" s="323">
        <v>112141</v>
      </c>
      <c r="AA99" s="323">
        <v>761</v>
      </c>
      <c r="AB99" s="151"/>
      <c r="AC99" s="155">
        <v>1996</v>
      </c>
      <c r="AD99" s="254">
        <f t="shared" si="4"/>
        <v>7.8158795345652834</v>
      </c>
      <c r="AE99" s="152" t="s">
        <v>2708</v>
      </c>
      <c r="AF99" s="252" t="s">
        <v>2708</v>
      </c>
      <c r="AG99" s="242" t="s">
        <v>2708</v>
      </c>
      <c r="AH99" s="242" t="s">
        <v>2708</v>
      </c>
      <c r="AI99" s="243" t="s">
        <v>2708</v>
      </c>
      <c r="AJ99" s="244" t="s">
        <v>2708</v>
      </c>
      <c r="AK99" s="244" t="s">
        <v>2708</v>
      </c>
      <c r="AL99" s="244" t="s">
        <v>2708</v>
      </c>
      <c r="AM99" s="244" t="s">
        <v>2708</v>
      </c>
      <c r="AN99" s="245" t="s">
        <v>2708</v>
      </c>
      <c r="AO99" s="245" t="s">
        <v>2708</v>
      </c>
      <c r="AP99" s="274">
        <v>163</v>
      </c>
    </row>
    <row r="100" spans="1:42" x14ac:dyDescent="0.2">
      <c r="A100" s="269">
        <v>98</v>
      </c>
      <c r="B100" s="270" t="s">
        <v>1901</v>
      </c>
      <c r="C100" s="271" t="s">
        <v>2618</v>
      </c>
      <c r="D100" s="272" t="s">
        <v>2708</v>
      </c>
      <c r="E100" s="273" t="s">
        <v>2708</v>
      </c>
      <c r="F100" s="22" t="s">
        <v>743</v>
      </c>
      <c r="G100" s="23" t="s">
        <v>743</v>
      </c>
      <c r="H100" s="24" t="s">
        <v>743</v>
      </c>
      <c r="I100" s="24" t="s">
        <v>743</v>
      </c>
      <c r="J100" s="25" t="s">
        <v>743</v>
      </c>
      <c r="K100" s="26">
        <v>38290</v>
      </c>
      <c r="L100" s="27" t="s">
        <v>2709</v>
      </c>
      <c r="M100" s="28">
        <v>355930</v>
      </c>
      <c r="N100" s="29">
        <v>6176390</v>
      </c>
      <c r="O100" s="32">
        <v>301</v>
      </c>
      <c r="P100" s="135"/>
      <c r="Q100" s="260">
        <v>299</v>
      </c>
      <c r="R100" s="32"/>
      <c r="S100" s="135">
        <v>8</v>
      </c>
      <c r="T100" s="260">
        <f t="shared" si="5"/>
        <v>8</v>
      </c>
      <c r="U100" s="30"/>
      <c r="V100" s="31">
        <v>322</v>
      </c>
      <c r="W100" s="31">
        <f t="shared" si="6"/>
        <v>322</v>
      </c>
      <c r="X100" s="260">
        <f t="shared" si="7"/>
        <v>4</v>
      </c>
      <c r="Y100" s="323">
        <v>0.51900000000000002</v>
      </c>
      <c r="Z100" s="323">
        <v>112783</v>
      </c>
      <c r="AA100" s="323">
        <v>862</v>
      </c>
      <c r="AB100" s="151"/>
      <c r="AC100" s="155">
        <v>1990</v>
      </c>
      <c r="AD100" s="254">
        <f t="shared" si="4"/>
        <v>13.832306639288163</v>
      </c>
      <c r="AE100" s="152" t="s">
        <v>2708</v>
      </c>
      <c r="AF100" s="252" t="s">
        <v>2708</v>
      </c>
      <c r="AG100" s="242" t="s">
        <v>2708</v>
      </c>
      <c r="AH100" s="242" t="s">
        <v>2708</v>
      </c>
      <c r="AI100" s="243" t="s">
        <v>2708</v>
      </c>
      <c r="AJ100" s="244" t="s">
        <v>2708</v>
      </c>
      <c r="AK100" s="244" t="s">
        <v>2708</v>
      </c>
      <c r="AL100" s="244" t="s">
        <v>2708</v>
      </c>
      <c r="AM100" s="244" t="s">
        <v>2708</v>
      </c>
      <c r="AN100" s="245" t="s">
        <v>2708</v>
      </c>
      <c r="AO100" s="245" t="s">
        <v>2708</v>
      </c>
      <c r="AP100" s="274">
        <v>204</v>
      </c>
    </row>
    <row r="101" spans="1:42" x14ac:dyDescent="0.2">
      <c r="A101" s="269">
        <v>99</v>
      </c>
      <c r="B101" s="270" t="s">
        <v>1901</v>
      </c>
      <c r="C101" s="271" t="s">
        <v>2618</v>
      </c>
      <c r="D101" s="272" t="s">
        <v>2708</v>
      </c>
      <c r="E101" s="273" t="s">
        <v>2708</v>
      </c>
      <c r="F101" s="22" t="s">
        <v>743</v>
      </c>
      <c r="G101" s="23" t="s">
        <v>743</v>
      </c>
      <c r="H101" s="24" t="s">
        <v>743</v>
      </c>
      <c r="I101" s="24" t="s">
        <v>743</v>
      </c>
      <c r="J101" s="25" t="s">
        <v>743</v>
      </c>
      <c r="K101" s="26">
        <v>38290</v>
      </c>
      <c r="L101" s="27" t="s">
        <v>2709</v>
      </c>
      <c r="M101" s="28">
        <v>355837</v>
      </c>
      <c r="N101" s="29">
        <v>6176315</v>
      </c>
      <c r="O101" s="32">
        <v>304</v>
      </c>
      <c r="P101" s="135"/>
      <c r="Q101" s="260">
        <v>302</v>
      </c>
      <c r="R101" s="32"/>
      <c r="S101" s="135">
        <v>6</v>
      </c>
      <c r="T101" s="260">
        <f t="shared" si="5"/>
        <v>6</v>
      </c>
      <c r="U101" s="30"/>
      <c r="V101" s="31">
        <v>336</v>
      </c>
      <c r="W101" s="31">
        <f t="shared" si="6"/>
        <v>336</v>
      </c>
      <c r="X101" s="260">
        <f t="shared" si="7"/>
        <v>5</v>
      </c>
      <c r="Y101" s="323">
        <v>0.215</v>
      </c>
      <c r="Z101" s="323">
        <v>112851</v>
      </c>
      <c r="AA101" s="323">
        <v>1162</v>
      </c>
      <c r="AB101" s="151"/>
      <c r="AC101" s="155">
        <v>1990</v>
      </c>
      <c r="AD101" s="254">
        <f t="shared" si="4"/>
        <v>13.832306639288163</v>
      </c>
      <c r="AE101" s="152" t="s">
        <v>2708</v>
      </c>
      <c r="AF101" s="252" t="s">
        <v>2708</v>
      </c>
      <c r="AG101" s="242" t="s">
        <v>2708</v>
      </c>
      <c r="AH101" s="242" t="s">
        <v>2708</v>
      </c>
      <c r="AI101" s="243" t="s">
        <v>2708</v>
      </c>
      <c r="AJ101" s="244" t="s">
        <v>2708</v>
      </c>
      <c r="AK101" s="244" t="s">
        <v>2708</v>
      </c>
      <c r="AL101" s="244" t="s">
        <v>2708</v>
      </c>
      <c r="AM101" s="244" t="s">
        <v>2708</v>
      </c>
      <c r="AN101" s="245" t="s">
        <v>2708</v>
      </c>
      <c r="AO101" s="245" t="s">
        <v>2708</v>
      </c>
      <c r="AP101" s="274">
        <v>206</v>
      </c>
    </row>
    <row r="102" spans="1:42" x14ac:dyDescent="0.2">
      <c r="A102" s="269">
        <v>100</v>
      </c>
      <c r="B102" s="270" t="s">
        <v>1901</v>
      </c>
      <c r="C102" s="271" t="s">
        <v>2471</v>
      </c>
      <c r="D102" s="272" t="s">
        <v>2708</v>
      </c>
      <c r="E102" s="273" t="s">
        <v>2708</v>
      </c>
      <c r="F102" s="22" t="s">
        <v>743</v>
      </c>
      <c r="G102" s="23" t="s">
        <v>743</v>
      </c>
      <c r="H102" s="24" t="s">
        <v>743</v>
      </c>
      <c r="I102" s="24" t="s">
        <v>743</v>
      </c>
      <c r="J102" s="25" t="s">
        <v>743</v>
      </c>
      <c r="K102" s="26">
        <v>38290</v>
      </c>
      <c r="L102" s="27" t="s">
        <v>2709</v>
      </c>
      <c r="M102" s="28">
        <v>355972</v>
      </c>
      <c r="N102" s="29">
        <v>6176155</v>
      </c>
      <c r="O102" s="32">
        <v>266</v>
      </c>
      <c r="P102" s="135"/>
      <c r="Q102" s="260">
        <v>269</v>
      </c>
      <c r="R102" s="32"/>
      <c r="S102" s="135">
        <v>31</v>
      </c>
      <c r="T102" s="260">
        <f t="shared" si="5"/>
        <v>31</v>
      </c>
      <c r="U102" s="30"/>
      <c r="V102" s="31">
        <v>106</v>
      </c>
      <c r="W102" s="31">
        <f t="shared" si="6"/>
        <v>106</v>
      </c>
      <c r="X102" s="260">
        <f t="shared" si="7"/>
        <v>3</v>
      </c>
      <c r="Y102" s="323">
        <v>1.53</v>
      </c>
      <c r="Z102" s="323">
        <v>84885</v>
      </c>
      <c r="AA102" s="323">
        <v>989</v>
      </c>
      <c r="AB102" s="151"/>
      <c r="AC102" s="155">
        <v>100</v>
      </c>
      <c r="AD102" s="254">
        <f t="shared" si="4"/>
        <v>1903.8323066392882</v>
      </c>
      <c r="AE102" s="152" t="s">
        <v>2708</v>
      </c>
      <c r="AF102" s="252" t="s">
        <v>2708</v>
      </c>
      <c r="AG102" s="242" t="s">
        <v>2708</v>
      </c>
      <c r="AH102" s="242" t="s">
        <v>2708</v>
      </c>
      <c r="AI102" s="243" t="s">
        <v>2708</v>
      </c>
      <c r="AJ102" s="244" t="s">
        <v>2708</v>
      </c>
      <c r="AK102" s="244" t="s">
        <v>2708</v>
      </c>
      <c r="AL102" s="244" t="s">
        <v>2708</v>
      </c>
      <c r="AM102" s="244" t="s">
        <v>2708</v>
      </c>
      <c r="AN102" s="245" t="s">
        <v>2708</v>
      </c>
      <c r="AO102" s="245" t="s">
        <v>2708</v>
      </c>
      <c r="AP102" s="274">
        <v>209</v>
      </c>
    </row>
    <row r="103" spans="1:42" x14ac:dyDescent="0.2">
      <c r="A103" s="269">
        <v>101</v>
      </c>
      <c r="B103" s="270" t="s">
        <v>1901</v>
      </c>
      <c r="C103" s="271" t="s">
        <v>2618</v>
      </c>
      <c r="D103" s="272" t="s">
        <v>2708</v>
      </c>
      <c r="E103" s="273" t="s">
        <v>2708</v>
      </c>
      <c r="F103" s="22" t="s">
        <v>743</v>
      </c>
      <c r="G103" s="23" t="s">
        <v>743</v>
      </c>
      <c r="H103" s="24" t="s">
        <v>743</v>
      </c>
      <c r="I103" s="24" t="s">
        <v>743</v>
      </c>
      <c r="J103" s="25" t="s">
        <v>743</v>
      </c>
      <c r="K103" s="26">
        <v>38290</v>
      </c>
      <c r="L103" s="27" t="s">
        <v>2709</v>
      </c>
      <c r="M103" s="28">
        <v>356069</v>
      </c>
      <c r="N103" s="29">
        <v>6176185</v>
      </c>
      <c r="O103" s="32">
        <v>284</v>
      </c>
      <c r="P103" s="135"/>
      <c r="Q103" s="260">
        <v>276</v>
      </c>
      <c r="R103" s="32"/>
      <c r="S103" s="135">
        <v>28</v>
      </c>
      <c r="T103" s="260">
        <f t="shared" si="5"/>
        <v>28</v>
      </c>
      <c r="U103" s="30"/>
      <c r="V103" s="31">
        <v>154</v>
      </c>
      <c r="W103" s="31">
        <f t="shared" si="6"/>
        <v>154</v>
      </c>
      <c r="X103" s="260">
        <f t="shared" si="7"/>
        <v>2</v>
      </c>
      <c r="Y103" s="323">
        <v>0.24299999999999999</v>
      </c>
      <c r="Z103" s="323">
        <v>71559</v>
      </c>
      <c r="AA103" s="323">
        <v>1335</v>
      </c>
      <c r="AB103" s="151"/>
      <c r="AC103" s="155">
        <v>1990</v>
      </c>
      <c r="AD103" s="254">
        <f t="shared" si="4"/>
        <v>13.832306639288163</v>
      </c>
      <c r="AE103" s="152" t="s">
        <v>2708</v>
      </c>
      <c r="AF103" s="252" t="s">
        <v>2708</v>
      </c>
      <c r="AG103" s="242" t="s">
        <v>2708</v>
      </c>
      <c r="AH103" s="242" t="s">
        <v>2708</v>
      </c>
      <c r="AI103" s="243" t="s">
        <v>2708</v>
      </c>
      <c r="AJ103" s="244" t="s">
        <v>2708</v>
      </c>
      <c r="AK103" s="244" t="s">
        <v>2708</v>
      </c>
      <c r="AL103" s="244" t="s">
        <v>2708</v>
      </c>
      <c r="AM103" s="244" t="s">
        <v>2708</v>
      </c>
      <c r="AN103" s="245" t="s">
        <v>2708</v>
      </c>
      <c r="AO103" s="245" t="s">
        <v>2708</v>
      </c>
      <c r="AP103" s="274">
        <v>210</v>
      </c>
    </row>
    <row r="104" spans="1:42" x14ac:dyDescent="0.2">
      <c r="A104" s="269">
        <v>102</v>
      </c>
      <c r="B104" s="270" t="s">
        <v>1901</v>
      </c>
      <c r="C104" s="271" t="s">
        <v>1251</v>
      </c>
      <c r="D104" s="272" t="s">
        <v>2708</v>
      </c>
      <c r="E104" s="273" t="s">
        <v>2708</v>
      </c>
      <c r="F104" s="22" t="s">
        <v>743</v>
      </c>
      <c r="G104" s="23" t="s">
        <v>743</v>
      </c>
      <c r="H104" s="24" t="s">
        <v>743</v>
      </c>
      <c r="I104" s="24" t="s">
        <v>743</v>
      </c>
      <c r="J104" s="25" t="s">
        <v>743</v>
      </c>
      <c r="K104" s="26">
        <v>38290</v>
      </c>
      <c r="L104" s="27" t="s">
        <v>2709</v>
      </c>
      <c r="M104" s="28">
        <v>356084</v>
      </c>
      <c r="N104" s="29">
        <v>6176262</v>
      </c>
      <c r="O104" s="32">
        <v>289</v>
      </c>
      <c r="P104" s="135"/>
      <c r="Q104" s="260">
        <v>288</v>
      </c>
      <c r="R104" s="32"/>
      <c r="S104" s="135">
        <v>29</v>
      </c>
      <c r="T104" s="260">
        <f t="shared" si="5"/>
        <v>29</v>
      </c>
      <c r="U104" s="30"/>
      <c r="V104" s="31">
        <v>109</v>
      </c>
      <c r="W104" s="31">
        <f t="shared" si="6"/>
        <v>109</v>
      </c>
      <c r="X104" s="260">
        <f t="shared" si="7"/>
        <v>3</v>
      </c>
      <c r="Y104" s="323">
        <v>0.88300000000000001</v>
      </c>
      <c r="Z104" s="323">
        <v>85318</v>
      </c>
      <c r="AA104" s="323">
        <v>1251</v>
      </c>
      <c r="AB104" s="151"/>
      <c r="AC104" s="155">
        <v>1990</v>
      </c>
      <c r="AD104" s="254">
        <f t="shared" si="4"/>
        <v>13.832306639288163</v>
      </c>
      <c r="AE104" s="152" t="s">
        <v>2708</v>
      </c>
      <c r="AF104" s="252" t="s">
        <v>2708</v>
      </c>
      <c r="AG104" s="242" t="s">
        <v>2708</v>
      </c>
      <c r="AH104" s="242" t="s">
        <v>2708</v>
      </c>
      <c r="AI104" s="243" t="s">
        <v>2708</v>
      </c>
      <c r="AJ104" s="244" t="s">
        <v>2708</v>
      </c>
      <c r="AK104" s="244" t="s">
        <v>2708</v>
      </c>
      <c r="AL104" s="244" t="s">
        <v>2708</v>
      </c>
      <c r="AM104" s="244" t="s">
        <v>2708</v>
      </c>
      <c r="AN104" s="245" t="s">
        <v>2708</v>
      </c>
      <c r="AO104" s="245" t="s">
        <v>2708</v>
      </c>
      <c r="AP104" s="274">
        <v>213</v>
      </c>
    </row>
    <row r="105" spans="1:42" x14ac:dyDescent="0.2">
      <c r="A105" s="269">
        <v>103</v>
      </c>
      <c r="B105" s="270" t="s">
        <v>1901</v>
      </c>
      <c r="C105" s="271" t="s">
        <v>2618</v>
      </c>
      <c r="D105" s="272" t="s">
        <v>2708</v>
      </c>
      <c r="E105" s="273" t="s">
        <v>2708</v>
      </c>
      <c r="F105" s="22" t="s">
        <v>743</v>
      </c>
      <c r="G105" s="23" t="s">
        <v>743</v>
      </c>
      <c r="H105" s="24" t="s">
        <v>743</v>
      </c>
      <c r="I105" s="24" t="s">
        <v>743</v>
      </c>
      <c r="J105" s="25" t="s">
        <v>743</v>
      </c>
      <c r="K105" s="26">
        <v>38290</v>
      </c>
      <c r="L105" s="27" t="s">
        <v>2709</v>
      </c>
      <c r="M105" s="28">
        <v>356101</v>
      </c>
      <c r="N105" s="29">
        <v>6176255</v>
      </c>
      <c r="O105" s="32">
        <v>273</v>
      </c>
      <c r="P105" s="135"/>
      <c r="Q105" s="260">
        <v>277</v>
      </c>
      <c r="R105" s="32"/>
      <c r="S105" s="135">
        <v>32</v>
      </c>
      <c r="T105" s="260">
        <f t="shared" si="5"/>
        <v>32</v>
      </c>
      <c r="U105" s="30"/>
      <c r="V105" s="31">
        <v>118</v>
      </c>
      <c r="W105" s="31">
        <f t="shared" si="6"/>
        <v>118</v>
      </c>
      <c r="X105" s="260">
        <f t="shared" si="7"/>
        <v>2</v>
      </c>
      <c r="Y105" s="323">
        <v>0.92</v>
      </c>
      <c r="Z105" s="323">
        <v>77829</v>
      </c>
      <c r="AA105" s="323">
        <v>1195</v>
      </c>
      <c r="AB105" s="151"/>
      <c r="AC105" s="155">
        <v>100</v>
      </c>
      <c r="AD105" s="254">
        <f t="shared" si="4"/>
        <v>1903.8323066392882</v>
      </c>
      <c r="AE105" s="152" t="s">
        <v>2708</v>
      </c>
      <c r="AF105" s="252" t="s">
        <v>2708</v>
      </c>
      <c r="AG105" s="242" t="s">
        <v>2708</v>
      </c>
      <c r="AH105" s="242" t="s">
        <v>2708</v>
      </c>
      <c r="AI105" s="243" t="s">
        <v>2708</v>
      </c>
      <c r="AJ105" s="244" t="s">
        <v>2708</v>
      </c>
      <c r="AK105" s="244" t="s">
        <v>2708</v>
      </c>
      <c r="AL105" s="244" t="s">
        <v>2708</v>
      </c>
      <c r="AM105" s="244" t="s">
        <v>2708</v>
      </c>
      <c r="AN105" s="245" t="s">
        <v>2708</v>
      </c>
      <c r="AO105" s="245" t="s">
        <v>2708</v>
      </c>
      <c r="AP105" s="274">
        <v>214</v>
      </c>
    </row>
    <row r="106" spans="1:42" x14ac:dyDescent="0.2">
      <c r="A106" s="269">
        <v>104</v>
      </c>
      <c r="B106" s="270" t="s">
        <v>1901</v>
      </c>
      <c r="C106" s="271" t="s">
        <v>2618</v>
      </c>
      <c r="D106" s="272" t="s">
        <v>2708</v>
      </c>
      <c r="E106" s="273" t="s">
        <v>2708</v>
      </c>
      <c r="F106" s="22" t="s">
        <v>743</v>
      </c>
      <c r="G106" s="23" t="s">
        <v>743</v>
      </c>
      <c r="H106" s="24" t="s">
        <v>743</v>
      </c>
      <c r="I106" s="24" t="s">
        <v>743</v>
      </c>
      <c r="J106" s="25" t="s">
        <v>743</v>
      </c>
      <c r="K106" s="26">
        <v>38290</v>
      </c>
      <c r="L106" s="27" t="s">
        <v>2709</v>
      </c>
      <c r="M106" s="28">
        <v>356112</v>
      </c>
      <c r="N106" s="29">
        <v>6176230</v>
      </c>
      <c r="O106" s="32">
        <v>260</v>
      </c>
      <c r="P106" s="135"/>
      <c r="Q106" s="260">
        <v>262</v>
      </c>
      <c r="R106" s="32"/>
      <c r="S106" s="135">
        <v>35</v>
      </c>
      <c r="T106" s="260">
        <f t="shared" si="5"/>
        <v>35</v>
      </c>
      <c r="U106" s="30"/>
      <c r="V106" s="31">
        <v>106</v>
      </c>
      <c r="W106" s="31">
        <f t="shared" si="6"/>
        <v>106</v>
      </c>
      <c r="X106" s="260">
        <f t="shared" si="7"/>
        <v>3</v>
      </c>
      <c r="Y106" s="323">
        <v>1.042</v>
      </c>
      <c r="Z106" s="323">
        <v>78673</v>
      </c>
      <c r="AA106" s="323">
        <v>1028</v>
      </c>
      <c r="AB106" s="151"/>
      <c r="AC106" s="155">
        <v>100</v>
      </c>
      <c r="AD106" s="254">
        <f t="shared" si="4"/>
        <v>1903.8323066392882</v>
      </c>
      <c r="AE106" s="152" t="s">
        <v>2708</v>
      </c>
      <c r="AF106" s="252" t="s">
        <v>2708</v>
      </c>
      <c r="AG106" s="242" t="s">
        <v>2708</v>
      </c>
      <c r="AH106" s="242" t="s">
        <v>2708</v>
      </c>
      <c r="AI106" s="243" t="s">
        <v>2708</v>
      </c>
      <c r="AJ106" s="244" t="s">
        <v>2708</v>
      </c>
      <c r="AK106" s="244" t="s">
        <v>2708</v>
      </c>
      <c r="AL106" s="244" t="s">
        <v>2708</v>
      </c>
      <c r="AM106" s="244" t="s">
        <v>2708</v>
      </c>
      <c r="AN106" s="245" t="s">
        <v>2708</v>
      </c>
      <c r="AO106" s="245" t="s">
        <v>2708</v>
      </c>
      <c r="AP106" s="274">
        <v>215</v>
      </c>
    </row>
    <row r="107" spans="1:42" x14ac:dyDescent="0.2">
      <c r="A107" s="269">
        <v>105</v>
      </c>
      <c r="B107" s="270" t="s">
        <v>1901</v>
      </c>
      <c r="C107" s="271" t="s">
        <v>2247</v>
      </c>
      <c r="D107" s="272" t="s">
        <v>2708</v>
      </c>
      <c r="E107" s="273" t="s">
        <v>2708</v>
      </c>
      <c r="F107" s="22" t="s">
        <v>743</v>
      </c>
      <c r="G107" s="23" t="s">
        <v>743</v>
      </c>
      <c r="H107" s="24" t="s">
        <v>743</v>
      </c>
      <c r="I107" s="24" t="s">
        <v>743</v>
      </c>
      <c r="J107" s="25" t="s">
        <v>743</v>
      </c>
      <c r="K107" s="26">
        <v>38290</v>
      </c>
      <c r="L107" s="27" t="s">
        <v>2709</v>
      </c>
      <c r="M107" s="28">
        <v>356114</v>
      </c>
      <c r="N107" s="29">
        <v>6176167</v>
      </c>
      <c r="O107" s="32">
        <v>250</v>
      </c>
      <c r="P107" s="135"/>
      <c r="Q107" s="260">
        <v>254</v>
      </c>
      <c r="R107" s="32"/>
      <c r="S107" s="135">
        <v>25</v>
      </c>
      <c r="T107" s="260">
        <f t="shared" si="5"/>
        <v>25</v>
      </c>
      <c r="U107" s="30"/>
      <c r="V107" s="31">
        <v>129</v>
      </c>
      <c r="W107" s="31">
        <f t="shared" si="6"/>
        <v>129</v>
      </c>
      <c r="X107" s="260">
        <f t="shared" si="7"/>
        <v>2</v>
      </c>
      <c r="Y107" s="323">
        <v>0.496</v>
      </c>
      <c r="Z107" s="323">
        <v>81392</v>
      </c>
      <c r="AA107" s="323">
        <v>1250</v>
      </c>
      <c r="AB107" s="151"/>
      <c r="AC107" s="155">
        <v>1990</v>
      </c>
      <c r="AD107" s="254">
        <f t="shared" si="4"/>
        <v>13.832306639288163</v>
      </c>
      <c r="AE107" s="152" t="s">
        <v>2708</v>
      </c>
      <c r="AF107" s="252" t="s">
        <v>2708</v>
      </c>
      <c r="AG107" s="242" t="s">
        <v>2708</v>
      </c>
      <c r="AH107" s="242" t="s">
        <v>2708</v>
      </c>
      <c r="AI107" s="243" t="s">
        <v>2708</v>
      </c>
      <c r="AJ107" s="244" t="s">
        <v>2708</v>
      </c>
      <c r="AK107" s="244" t="s">
        <v>2708</v>
      </c>
      <c r="AL107" s="244" t="s">
        <v>2708</v>
      </c>
      <c r="AM107" s="244" t="s">
        <v>2708</v>
      </c>
      <c r="AN107" s="245" t="s">
        <v>2708</v>
      </c>
      <c r="AO107" s="245" t="s">
        <v>2708</v>
      </c>
      <c r="AP107" s="274">
        <v>216</v>
      </c>
    </row>
    <row r="108" spans="1:42" x14ac:dyDescent="0.2">
      <c r="A108" s="269">
        <v>106</v>
      </c>
      <c r="B108" s="270" t="s">
        <v>1901</v>
      </c>
      <c r="C108" s="271" t="s">
        <v>2471</v>
      </c>
      <c r="D108" s="272" t="s">
        <v>2708</v>
      </c>
      <c r="E108" s="273" t="s">
        <v>2708</v>
      </c>
      <c r="F108" s="22" t="s">
        <v>743</v>
      </c>
      <c r="G108" s="23" t="s">
        <v>743</v>
      </c>
      <c r="H108" s="24" t="s">
        <v>743</v>
      </c>
      <c r="I108" s="24" t="s">
        <v>743</v>
      </c>
      <c r="J108" s="25" t="s">
        <v>743</v>
      </c>
      <c r="K108" s="26">
        <v>38290</v>
      </c>
      <c r="L108" s="27" t="s">
        <v>2709</v>
      </c>
      <c r="M108" s="28">
        <v>356144</v>
      </c>
      <c r="N108" s="29">
        <v>6176171</v>
      </c>
      <c r="O108" s="32">
        <v>227</v>
      </c>
      <c r="P108" s="135"/>
      <c r="Q108" s="260">
        <v>243</v>
      </c>
      <c r="R108" s="32"/>
      <c r="S108" s="135">
        <v>28</v>
      </c>
      <c r="T108" s="260">
        <f t="shared" si="5"/>
        <v>28</v>
      </c>
      <c r="U108" s="30"/>
      <c r="V108" s="31">
        <v>95</v>
      </c>
      <c r="W108" s="31">
        <f t="shared" si="6"/>
        <v>95</v>
      </c>
      <c r="X108" s="260">
        <f t="shared" si="7"/>
        <v>3</v>
      </c>
      <c r="Y108" s="323">
        <v>0.158</v>
      </c>
      <c r="Z108" s="323">
        <v>91282</v>
      </c>
      <c r="AA108" s="323">
        <v>1148</v>
      </c>
      <c r="AB108" s="151"/>
      <c r="AC108" s="155">
        <v>100</v>
      </c>
      <c r="AD108" s="254">
        <f t="shared" si="4"/>
        <v>1903.8323066392882</v>
      </c>
      <c r="AE108" s="152" t="s">
        <v>2708</v>
      </c>
      <c r="AF108" s="252" t="s">
        <v>2708</v>
      </c>
      <c r="AG108" s="242" t="s">
        <v>2708</v>
      </c>
      <c r="AH108" s="242" t="s">
        <v>2708</v>
      </c>
      <c r="AI108" s="243" t="s">
        <v>2708</v>
      </c>
      <c r="AJ108" s="244" t="s">
        <v>2708</v>
      </c>
      <c r="AK108" s="244" t="s">
        <v>2708</v>
      </c>
      <c r="AL108" s="244" t="s">
        <v>2708</v>
      </c>
      <c r="AM108" s="244" t="s">
        <v>2708</v>
      </c>
      <c r="AN108" s="245" t="s">
        <v>2708</v>
      </c>
      <c r="AO108" s="245" t="s">
        <v>2708</v>
      </c>
      <c r="AP108" s="274">
        <v>218</v>
      </c>
    </row>
    <row r="109" spans="1:42" x14ac:dyDescent="0.2">
      <c r="A109" s="269">
        <v>107</v>
      </c>
      <c r="B109" s="270" t="s">
        <v>1901</v>
      </c>
      <c r="C109" s="271" t="s">
        <v>2471</v>
      </c>
      <c r="D109" s="272" t="s">
        <v>2708</v>
      </c>
      <c r="E109" s="273" t="s">
        <v>2708</v>
      </c>
      <c r="F109" s="22" t="s">
        <v>743</v>
      </c>
      <c r="G109" s="23" t="s">
        <v>743</v>
      </c>
      <c r="H109" s="24" t="s">
        <v>743</v>
      </c>
      <c r="I109" s="24" t="s">
        <v>743</v>
      </c>
      <c r="J109" s="25" t="s">
        <v>743</v>
      </c>
      <c r="K109" s="26">
        <v>38290</v>
      </c>
      <c r="L109" s="27" t="s">
        <v>2709</v>
      </c>
      <c r="M109" s="28">
        <v>356198</v>
      </c>
      <c r="N109" s="29">
        <v>6176131</v>
      </c>
      <c r="O109" s="32">
        <v>230</v>
      </c>
      <c r="P109" s="135"/>
      <c r="Q109" s="260">
        <v>212</v>
      </c>
      <c r="R109" s="32"/>
      <c r="S109" s="135">
        <v>23</v>
      </c>
      <c r="T109" s="260">
        <f t="shared" si="5"/>
        <v>23</v>
      </c>
      <c r="U109" s="30"/>
      <c r="V109" s="31">
        <v>106</v>
      </c>
      <c r="W109" s="31">
        <f t="shared" si="6"/>
        <v>106</v>
      </c>
      <c r="X109" s="260">
        <f t="shared" si="7"/>
        <v>3</v>
      </c>
      <c r="Y109" s="323">
        <v>0.39</v>
      </c>
      <c r="Z109" s="323">
        <v>89375</v>
      </c>
      <c r="AA109" s="323">
        <v>486</v>
      </c>
      <c r="AB109" s="151"/>
      <c r="AC109" s="155">
        <v>100</v>
      </c>
      <c r="AD109" s="254">
        <f t="shared" si="4"/>
        <v>1903.8323066392882</v>
      </c>
      <c r="AE109" s="152" t="s">
        <v>2708</v>
      </c>
      <c r="AF109" s="252" t="s">
        <v>2708</v>
      </c>
      <c r="AG109" s="242" t="s">
        <v>2708</v>
      </c>
      <c r="AH109" s="242" t="s">
        <v>2708</v>
      </c>
      <c r="AI109" s="243" t="s">
        <v>2708</v>
      </c>
      <c r="AJ109" s="244" t="s">
        <v>2708</v>
      </c>
      <c r="AK109" s="244" t="s">
        <v>2708</v>
      </c>
      <c r="AL109" s="244" t="s">
        <v>2708</v>
      </c>
      <c r="AM109" s="244" t="s">
        <v>2708</v>
      </c>
      <c r="AN109" s="245" t="s">
        <v>2708</v>
      </c>
      <c r="AO109" s="245" t="s">
        <v>2708</v>
      </c>
      <c r="AP109" s="274">
        <v>219</v>
      </c>
    </row>
    <row r="110" spans="1:42" x14ac:dyDescent="0.2">
      <c r="A110" s="269">
        <v>108</v>
      </c>
      <c r="B110" s="270" t="s">
        <v>1901</v>
      </c>
      <c r="C110" s="271" t="s">
        <v>2470</v>
      </c>
      <c r="D110" s="272" t="s">
        <v>2708</v>
      </c>
      <c r="E110" s="273" t="s">
        <v>2708</v>
      </c>
      <c r="F110" s="22" t="s">
        <v>743</v>
      </c>
      <c r="G110" s="23" t="s">
        <v>743</v>
      </c>
      <c r="H110" s="24" t="s">
        <v>743</v>
      </c>
      <c r="I110" s="24" t="s">
        <v>743</v>
      </c>
      <c r="J110" s="25" t="s">
        <v>743</v>
      </c>
      <c r="K110" s="26">
        <v>38290</v>
      </c>
      <c r="L110" s="27" t="s">
        <v>2709</v>
      </c>
      <c r="M110" s="28">
        <v>356239</v>
      </c>
      <c r="N110" s="29">
        <v>6176129</v>
      </c>
      <c r="O110" s="32">
        <v>213</v>
      </c>
      <c r="P110" s="135"/>
      <c r="Q110" s="260">
        <v>205</v>
      </c>
      <c r="R110" s="32"/>
      <c r="S110" s="135">
        <v>3</v>
      </c>
      <c r="T110" s="260">
        <f t="shared" si="5"/>
        <v>3</v>
      </c>
      <c r="U110" s="30"/>
      <c r="V110" s="31">
        <v>247</v>
      </c>
      <c r="W110" s="31">
        <f t="shared" si="6"/>
        <v>247</v>
      </c>
      <c r="X110" s="260">
        <f t="shared" si="7"/>
        <v>2</v>
      </c>
      <c r="Y110" s="323">
        <v>0.57299999999999995</v>
      </c>
      <c r="Z110" s="323">
        <v>102063</v>
      </c>
      <c r="AA110" s="323">
        <v>414</v>
      </c>
      <c r="AB110" s="151"/>
      <c r="AC110" s="155">
        <v>1990</v>
      </c>
      <c r="AD110" s="254">
        <f t="shared" si="4"/>
        <v>13.832306639288163</v>
      </c>
      <c r="AE110" s="152" t="s">
        <v>2708</v>
      </c>
      <c r="AF110" s="252" t="s">
        <v>2708</v>
      </c>
      <c r="AG110" s="242" t="s">
        <v>2708</v>
      </c>
      <c r="AH110" s="242" t="s">
        <v>2708</v>
      </c>
      <c r="AI110" s="243" t="s">
        <v>2708</v>
      </c>
      <c r="AJ110" s="244" t="s">
        <v>2708</v>
      </c>
      <c r="AK110" s="244" t="s">
        <v>2708</v>
      </c>
      <c r="AL110" s="244" t="s">
        <v>2708</v>
      </c>
      <c r="AM110" s="244" t="s">
        <v>2708</v>
      </c>
      <c r="AN110" s="245" t="s">
        <v>2708</v>
      </c>
      <c r="AO110" s="245" t="s">
        <v>2708</v>
      </c>
      <c r="AP110" s="274">
        <v>220</v>
      </c>
    </row>
    <row r="111" spans="1:42" x14ac:dyDescent="0.2">
      <c r="A111" s="269">
        <v>109</v>
      </c>
      <c r="B111" s="270" t="s">
        <v>1901</v>
      </c>
      <c r="C111" s="271" t="s">
        <v>2617</v>
      </c>
      <c r="D111" s="272" t="s">
        <v>2708</v>
      </c>
      <c r="E111" s="273" t="s">
        <v>2708</v>
      </c>
      <c r="F111" s="22" t="s">
        <v>743</v>
      </c>
      <c r="G111" s="23" t="s">
        <v>743</v>
      </c>
      <c r="H111" s="24" t="s">
        <v>743</v>
      </c>
      <c r="I111" s="24" t="s">
        <v>743</v>
      </c>
      <c r="J111" s="25" t="s">
        <v>743</v>
      </c>
      <c r="K111" s="26">
        <v>38290</v>
      </c>
      <c r="L111" s="27" t="s">
        <v>2709</v>
      </c>
      <c r="M111" s="28">
        <v>356250</v>
      </c>
      <c r="N111" s="29">
        <v>6176128</v>
      </c>
      <c r="O111" s="32">
        <v>203</v>
      </c>
      <c r="P111" s="135"/>
      <c r="Q111" s="260">
        <v>205</v>
      </c>
      <c r="R111" s="32"/>
      <c r="S111" s="135">
        <v>7</v>
      </c>
      <c r="T111" s="260">
        <f t="shared" si="5"/>
        <v>7</v>
      </c>
      <c r="U111" s="30"/>
      <c r="V111" s="31">
        <v>288</v>
      </c>
      <c r="W111" s="31">
        <f t="shared" si="6"/>
        <v>288</v>
      </c>
      <c r="X111" s="260">
        <f t="shared" si="7"/>
        <v>3</v>
      </c>
      <c r="Y111" s="323">
        <v>0.496</v>
      </c>
      <c r="Z111" s="323">
        <v>103561</v>
      </c>
      <c r="AA111" s="323">
        <v>309</v>
      </c>
      <c r="AB111" s="151"/>
      <c r="AC111" s="155">
        <v>1990</v>
      </c>
      <c r="AD111" s="254">
        <f t="shared" si="4"/>
        <v>13.832306639288163</v>
      </c>
      <c r="AE111" s="152" t="s">
        <v>2708</v>
      </c>
      <c r="AF111" s="252" t="s">
        <v>2708</v>
      </c>
      <c r="AG111" s="242" t="s">
        <v>2708</v>
      </c>
      <c r="AH111" s="242" t="s">
        <v>2708</v>
      </c>
      <c r="AI111" s="243" t="s">
        <v>2708</v>
      </c>
      <c r="AJ111" s="244" t="s">
        <v>2708</v>
      </c>
      <c r="AK111" s="244" t="s">
        <v>2708</v>
      </c>
      <c r="AL111" s="244" t="s">
        <v>2708</v>
      </c>
      <c r="AM111" s="244" t="s">
        <v>2708</v>
      </c>
      <c r="AN111" s="245" t="s">
        <v>2708</v>
      </c>
      <c r="AO111" s="245" t="s">
        <v>2708</v>
      </c>
      <c r="AP111" s="274">
        <v>221</v>
      </c>
    </row>
    <row r="112" spans="1:42" x14ac:dyDescent="0.2">
      <c r="A112" s="269">
        <v>110</v>
      </c>
      <c r="B112" s="270" t="s">
        <v>1901</v>
      </c>
      <c r="C112" s="271" t="s">
        <v>2618</v>
      </c>
      <c r="D112" s="272" t="s">
        <v>2708</v>
      </c>
      <c r="E112" s="273" t="s">
        <v>2708</v>
      </c>
      <c r="F112" s="22" t="s">
        <v>743</v>
      </c>
      <c r="G112" s="23" t="s">
        <v>743</v>
      </c>
      <c r="H112" s="24" t="s">
        <v>743</v>
      </c>
      <c r="I112" s="24" t="s">
        <v>743</v>
      </c>
      <c r="J112" s="25" t="s">
        <v>743</v>
      </c>
      <c r="K112" s="26">
        <v>38290</v>
      </c>
      <c r="L112" s="27" t="s">
        <v>2709</v>
      </c>
      <c r="M112" s="28">
        <v>358339</v>
      </c>
      <c r="N112" s="29">
        <v>6177467</v>
      </c>
      <c r="O112" s="32">
        <v>368</v>
      </c>
      <c r="P112" s="135"/>
      <c r="Q112" s="260">
        <v>374</v>
      </c>
      <c r="R112" s="32"/>
      <c r="S112" s="135">
        <v>14</v>
      </c>
      <c r="T112" s="260">
        <f t="shared" si="5"/>
        <v>14</v>
      </c>
      <c r="U112" s="30"/>
      <c r="V112" s="31">
        <v>301</v>
      </c>
      <c r="W112" s="31">
        <f t="shared" si="6"/>
        <v>301</v>
      </c>
      <c r="X112" s="260">
        <f t="shared" si="7"/>
        <v>4</v>
      </c>
      <c r="Y112" s="323">
        <v>0.52200000000000002</v>
      </c>
      <c r="Z112" s="323">
        <v>111483</v>
      </c>
      <c r="AA112" s="323">
        <v>639</v>
      </c>
      <c r="AB112" s="151"/>
      <c r="AC112" s="155">
        <v>1996</v>
      </c>
      <c r="AD112" s="254">
        <f t="shared" si="4"/>
        <v>7.8323066392881628</v>
      </c>
      <c r="AE112" s="152" t="s">
        <v>2708</v>
      </c>
      <c r="AF112" s="252" t="s">
        <v>2708</v>
      </c>
      <c r="AG112" s="242" t="s">
        <v>2708</v>
      </c>
      <c r="AH112" s="242" t="s">
        <v>2708</v>
      </c>
      <c r="AI112" s="243" t="s">
        <v>2708</v>
      </c>
      <c r="AJ112" s="244" t="s">
        <v>2708</v>
      </c>
      <c r="AK112" s="244" t="s">
        <v>2708</v>
      </c>
      <c r="AL112" s="244" t="s">
        <v>2708</v>
      </c>
      <c r="AM112" s="244" t="s">
        <v>2708</v>
      </c>
      <c r="AN112" s="245" t="s">
        <v>2708</v>
      </c>
      <c r="AO112" s="245" t="s">
        <v>2708</v>
      </c>
      <c r="AP112" s="274">
        <v>279</v>
      </c>
    </row>
    <row r="113" spans="1:42" x14ac:dyDescent="0.2">
      <c r="A113" s="269">
        <v>111</v>
      </c>
      <c r="B113" s="270" t="s">
        <v>1901</v>
      </c>
      <c r="C113" s="271" t="s">
        <v>2620</v>
      </c>
      <c r="D113" s="272" t="s">
        <v>2708</v>
      </c>
      <c r="E113" s="273" t="s">
        <v>2708</v>
      </c>
      <c r="F113" s="22" t="s">
        <v>743</v>
      </c>
      <c r="G113" s="23" t="s">
        <v>743</v>
      </c>
      <c r="H113" s="24" t="s">
        <v>743</v>
      </c>
      <c r="I113" s="24" t="s">
        <v>743</v>
      </c>
      <c r="J113" s="25" t="s">
        <v>743</v>
      </c>
      <c r="K113" s="26">
        <v>38290</v>
      </c>
      <c r="L113" s="27" t="s">
        <v>2709</v>
      </c>
      <c r="M113" s="28">
        <v>358305</v>
      </c>
      <c r="N113" s="29">
        <v>6177796</v>
      </c>
      <c r="O113" s="32">
        <v>350</v>
      </c>
      <c r="P113" s="135"/>
      <c r="Q113" s="260">
        <v>339</v>
      </c>
      <c r="R113" s="32"/>
      <c r="S113" s="135">
        <v>5</v>
      </c>
      <c r="T113" s="260">
        <f t="shared" si="5"/>
        <v>5</v>
      </c>
      <c r="U113" s="30"/>
      <c r="V113" s="31">
        <v>299</v>
      </c>
      <c r="W113" s="31">
        <f t="shared" si="6"/>
        <v>299</v>
      </c>
      <c r="X113" s="260">
        <f t="shared" si="7"/>
        <v>4</v>
      </c>
      <c r="Y113" s="323">
        <v>0.69099999999999995</v>
      </c>
      <c r="Z113" s="323">
        <v>109851</v>
      </c>
      <c r="AA113" s="323">
        <v>843</v>
      </c>
      <c r="AB113" s="151"/>
      <c r="AC113" s="155">
        <v>1996</v>
      </c>
      <c r="AD113" s="254">
        <f t="shared" si="4"/>
        <v>7.8323066392881628</v>
      </c>
      <c r="AE113" s="152" t="s">
        <v>2708</v>
      </c>
      <c r="AF113" s="252" t="s">
        <v>2708</v>
      </c>
      <c r="AG113" s="242" t="s">
        <v>2708</v>
      </c>
      <c r="AH113" s="242" t="s">
        <v>2708</v>
      </c>
      <c r="AI113" s="243" t="s">
        <v>2708</v>
      </c>
      <c r="AJ113" s="244" t="s">
        <v>2708</v>
      </c>
      <c r="AK113" s="244" t="s">
        <v>2708</v>
      </c>
      <c r="AL113" s="244" t="s">
        <v>2708</v>
      </c>
      <c r="AM113" s="244" t="s">
        <v>2708</v>
      </c>
      <c r="AN113" s="245" t="s">
        <v>2708</v>
      </c>
      <c r="AO113" s="245" t="s">
        <v>2708</v>
      </c>
      <c r="AP113" s="274">
        <v>282</v>
      </c>
    </row>
    <row r="114" spans="1:42" x14ac:dyDescent="0.2">
      <c r="A114" s="269">
        <v>112</v>
      </c>
      <c r="B114" s="270" t="s">
        <v>1901</v>
      </c>
      <c r="C114" s="271" t="s">
        <v>2669</v>
      </c>
      <c r="D114" s="272" t="s">
        <v>2708</v>
      </c>
      <c r="E114" s="273" t="s">
        <v>2708</v>
      </c>
      <c r="F114" s="22" t="s">
        <v>743</v>
      </c>
      <c r="G114" s="23" t="s">
        <v>743</v>
      </c>
      <c r="H114" s="24" t="s">
        <v>743</v>
      </c>
      <c r="I114" s="24" t="s">
        <v>743</v>
      </c>
      <c r="J114" s="25" t="s">
        <v>743</v>
      </c>
      <c r="K114" s="26">
        <v>38290</v>
      </c>
      <c r="L114" s="27" t="s">
        <v>2709</v>
      </c>
      <c r="M114" s="28">
        <v>358243</v>
      </c>
      <c r="N114" s="29">
        <v>6177905</v>
      </c>
      <c r="O114" s="32">
        <v>342</v>
      </c>
      <c r="P114" s="135"/>
      <c r="Q114" s="260">
        <v>331</v>
      </c>
      <c r="R114" s="32"/>
      <c r="S114" s="135">
        <v>2</v>
      </c>
      <c r="T114" s="260">
        <f t="shared" si="5"/>
        <v>2</v>
      </c>
      <c r="U114" s="30"/>
      <c r="V114" s="31">
        <v>289</v>
      </c>
      <c r="W114" s="31">
        <f t="shared" si="6"/>
        <v>289</v>
      </c>
      <c r="X114" s="260">
        <f t="shared" si="7"/>
        <v>3</v>
      </c>
      <c r="Y114" s="323">
        <v>0.32800000000000001</v>
      </c>
      <c r="Z114" s="323">
        <v>108514</v>
      </c>
      <c r="AA114" s="323">
        <v>1027</v>
      </c>
      <c r="AB114" s="151"/>
      <c r="AC114" s="155">
        <v>1996</v>
      </c>
      <c r="AD114" s="254">
        <f t="shared" si="4"/>
        <v>7.8323066392881628</v>
      </c>
      <c r="AE114" s="152" t="s">
        <v>2708</v>
      </c>
      <c r="AF114" s="252" t="s">
        <v>2708</v>
      </c>
      <c r="AG114" s="242" t="s">
        <v>2708</v>
      </c>
      <c r="AH114" s="242" t="s">
        <v>2708</v>
      </c>
      <c r="AI114" s="243" t="s">
        <v>2708</v>
      </c>
      <c r="AJ114" s="244" t="s">
        <v>2708</v>
      </c>
      <c r="AK114" s="244" t="s">
        <v>2708</v>
      </c>
      <c r="AL114" s="244" t="s">
        <v>2708</v>
      </c>
      <c r="AM114" s="244" t="s">
        <v>2708</v>
      </c>
      <c r="AN114" s="245" t="s">
        <v>2708</v>
      </c>
      <c r="AO114" s="245" t="s">
        <v>2708</v>
      </c>
      <c r="AP114" s="274">
        <v>284</v>
      </c>
    </row>
    <row r="115" spans="1:42" x14ac:dyDescent="0.2">
      <c r="A115" s="269">
        <v>113</v>
      </c>
      <c r="B115" s="270" t="s">
        <v>1901</v>
      </c>
      <c r="C115" s="271" t="s">
        <v>2617</v>
      </c>
      <c r="D115" s="272" t="s">
        <v>2708</v>
      </c>
      <c r="E115" s="273" t="s">
        <v>2708</v>
      </c>
      <c r="F115" s="22" t="s">
        <v>743</v>
      </c>
      <c r="G115" s="23" t="s">
        <v>743</v>
      </c>
      <c r="H115" s="24" t="s">
        <v>743</v>
      </c>
      <c r="I115" s="24" t="s">
        <v>743</v>
      </c>
      <c r="J115" s="25" t="s">
        <v>743</v>
      </c>
      <c r="K115" s="26">
        <v>38290</v>
      </c>
      <c r="L115" s="27" t="s">
        <v>2709</v>
      </c>
      <c r="M115" s="28">
        <v>358302</v>
      </c>
      <c r="N115" s="29">
        <v>6178248</v>
      </c>
      <c r="O115" s="32">
        <v>296</v>
      </c>
      <c r="P115" s="135"/>
      <c r="Q115" s="260">
        <v>292</v>
      </c>
      <c r="R115" s="32"/>
      <c r="S115" s="135">
        <v>9</v>
      </c>
      <c r="T115" s="260">
        <f t="shared" si="5"/>
        <v>9</v>
      </c>
      <c r="U115" s="30"/>
      <c r="V115" s="31">
        <v>321</v>
      </c>
      <c r="W115" s="31">
        <f t="shared" si="6"/>
        <v>321</v>
      </c>
      <c r="X115" s="260">
        <f t="shared" si="7"/>
        <v>4</v>
      </c>
      <c r="Y115" s="323">
        <v>0.66300000000000003</v>
      </c>
      <c r="Z115" s="323">
        <v>112726</v>
      </c>
      <c r="AA115" s="323">
        <v>956</v>
      </c>
      <c r="AB115" s="151"/>
      <c r="AC115" s="155">
        <v>1996</v>
      </c>
      <c r="AD115" s="254">
        <f t="shared" si="4"/>
        <v>7.8323066392881628</v>
      </c>
      <c r="AE115" s="152" t="s">
        <v>2708</v>
      </c>
      <c r="AF115" s="252" t="s">
        <v>2708</v>
      </c>
      <c r="AG115" s="242" t="s">
        <v>2708</v>
      </c>
      <c r="AH115" s="242" t="s">
        <v>2708</v>
      </c>
      <c r="AI115" s="243" t="s">
        <v>2708</v>
      </c>
      <c r="AJ115" s="244" t="s">
        <v>2708</v>
      </c>
      <c r="AK115" s="244" t="s">
        <v>2708</v>
      </c>
      <c r="AL115" s="244" t="s">
        <v>2708</v>
      </c>
      <c r="AM115" s="244" t="s">
        <v>2708</v>
      </c>
      <c r="AN115" s="245" t="s">
        <v>2708</v>
      </c>
      <c r="AO115" s="245" t="s">
        <v>2708</v>
      </c>
      <c r="AP115" s="274">
        <v>287</v>
      </c>
    </row>
    <row r="116" spans="1:42" x14ac:dyDescent="0.2">
      <c r="A116" s="269">
        <v>114</v>
      </c>
      <c r="B116" s="270" t="s">
        <v>1901</v>
      </c>
      <c r="C116" s="271" t="s">
        <v>2618</v>
      </c>
      <c r="D116" s="272" t="s">
        <v>2708</v>
      </c>
      <c r="E116" s="273" t="s">
        <v>2708</v>
      </c>
      <c r="F116" s="22" t="s">
        <v>743</v>
      </c>
      <c r="G116" s="23" t="s">
        <v>743</v>
      </c>
      <c r="H116" s="24" t="s">
        <v>743</v>
      </c>
      <c r="I116" s="24" t="s">
        <v>743</v>
      </c>
      <c r="J116" s="25" t="s">
        <v>743</v>
      </c>
      <c r="K116" s="26">
        <v>38290</v>
      </c>
      <c r="L116" s="27" t="s">
        <v>2709</v>
      </c>
      <c r="M116" s="28">
        <v>358320</v>
      </c>
      <c r="N116" s="29">
        <v>6178330</v>
      </c>
      <c r="O116" s="32">
        <v>296</v>
      </c>
      <c r="P116" s="135"/>
      <c r="Q116" s="260">
        <v>285</v>
      </c>
      <c r="R116" s="32"/>
      <c r="S116" s="135">
        <v>4</v>
      </c>
      <c r="T116" s="260">
        <f t="shared" si="5"/>
        <v>4</v>
      </c>
      <c r="U116" s="30"/>
      <c r="V116" s="31">
        <v>299</v>
      </c>
      <c r="W116" s="31">
        <f t="shared" si="6"/>
        <v>299</v>
      </c>
      <c r="X116" s="260">
        <f t="shared" si="7"/>
        <v>4</v>
      </c>
      <c r="Y116" s="323">
        <v>0.86899999999999999</v>
      </c>
      <c r="Z116" s="323">
        <v>108997</v>
      </c>
      <c r="AA116" s="323">
        <v>972</v>
      </c>
      <c r="AB116" s="151"/>
      <c r="AC116" s="155">
        <v>1996</v>
      </c>
      <c r="AD116" s="254">
        <f t="shared" si="4"/>
        <v>7.8323066392881628</v>
      </c>
      <c r="AE116" s="152" t="s">
        <v>2708</v>
      </c>
      <c r="AF116" s="252" t="s">
        <v>2708</v>
      </c>
      <c r="AG116" s="242" t="s">
        <v>2708</v>
      </c>
      <c r="AH116" s="242" t="s">
        <v>2708</v>
      </c>
      <c r="AI116" s="243" t="s">
        <v>2708</v>
      </c>
      <c r="AJ116" s="244" t="s">
        <v>2708</v>
      </c>
      <c r="AK116" s="244" t="s">
        <v>2708</v>
      </c>
      <c r="AL116" s="244" t="s">
        <v>2708</v>
      </c>
      <c r="AM116" s="244" t="s">
        <v>2708</v>
      </c>
      <c r="AN116" s="245" t="s">
        <v>2708</v>
      </c>
      <c r="AO116" s="245" t="s">
        <v>2708</v>
      </c>
      <c r="AP116" s="274">
        <v>288</v>
      </c>
    </row>
    <row r="117" spans="1:42" x14ac:dyDescent="0.2">
      <c r="A117" s="269">
        <v>115</v>
      </c>
      <c r="B117" s="270" t="s">
        <v>1901</v>
      </c>
      <c r="C117" s="271" t="s">
        <v>2618</v>
      </c>
      <c r="D117" s="272" t="s">
        <v>2708</v>
      </c>
      <c r="E117" s="273" t="s">
        <v>2708</v>
      </c>
      <c r="F117" s="22" t="s">
        <v>743</v>
      </c>
      <c r="G117" s="23" t="s">
        <v>743</v>
      </c>
      <c r="H117" s="24" t="s">
        <v>743</v>
      </c>
      <c r="I117" s="24" t="s">
        <v>743</v>
      </c>
      <c r="J117" s="25" t="s">
        <v>743</v>
      </c>
      <c r="K117" s="26">
        <v>38290</v>
      </c>
      <c r="L117" s="27" t="s">
        <v>2709</v>
      </c>
      <c r="M117" s="28">
        <v>355942</v>
      </c>
      <c r="N117" s="29">
        <v>6176155</v>
      </c>
      <c r="O117" s="32">
        <v>275</v>
      </c>
      <c r="P117" s="135"/>
      <c r="Q117" s="260">
        <v>287</v>
      </c>
      <c r="R117" s="32"/>
      <c r="S117" s="135">
        <v>28</v>
      </c>
      <c r="T117" s="260">
        <f t="shared" si="5"/>
        <v>28</v>
      </c>
      <c r="U117" s="30"/>
      <c r="V117" s="31">
        <v>84</v>
      </c>
      <c r="W117" s="31">
        <f t="shared" si="6"/>
        <v>84</v>
      </c>
      <c r="X117" s="260">
        <f t="shared" si="7"/>
        <v>3</v>
      </c>
      <c r="Y117" s="323">
        <v>0.59199999999999997</v>
      </c>
      <c r="Z117" s="323">
        <v>98160</v>
      </c>
      <c r="AA117" s="323">
        <v>1094</v>
      </c>
      <c r="AB117" s="151"/>
      <c r="AC117" s="155">
        <v>1990</v>
      </c>
      <c r="AD117" s="254">
        <f t="shared" si="4"/>
        <v>13.832306639288163</v>
      </c>
      <c r="AE117" s="152" t="s">
        <v>2708</v>
      </c>
      <c r="AF117" s="252" t="s">
        <v>2708</v>
      </c>
      <c r="AG117" s="242" t="s">
        <v>2708</v>
      </c>
      <c r="AH117" s="242" t="s">
        <v>2708</v>
      </c>
      <c r="AI117" s="243" t="s">
        <v>2708</v>
      </c>
      <c r="AJ117" s="244" t="s">
        <v>2708</v>
      </c>
      <c r="AK117" s="244" t="s">
        <v>2708</v>
      </c>
      <c r="AL117" s="244" t="s">
        <v>2708</v>
      </c>
      <c r="AM117" s="244" t="s">
        <v>2708</v>
      </c>
      <c r="AN117" s="245" t="s">
        <v>2708</v>
      </c>
      <c r="AO117" s="245" t="s">
        <v>2708</v>
      </c>
      <c r="AP117" s="274">
        <v>299</v>
      </c>
    </row>
    <row r="118" spans="1:42" x14ac:dyDescent="0.2">
      <c r="A118" s="269">
        <v>116</v>
      </c>
      <c r="B118" s="270" t="s">
        <v>1901</v>
      </c>
      <c r="C118" s="271" t="s">
        <v>2620</v>
      </c>
      <c r="D118" s="272" t="s">
        <v>2708</v>
      </c>
      <c r="E118" s="273" t="s">
        <v>2708</v>
      </c>
      <c r="F118" s="22" t="s">
        <v>743</v>
      </c>
      <c r="G118" s="23" t="s">
        <v>743</v>
      </c>
      <c r="H118" s="24" t="s">
        <v>743</v>
      </c>
      <c r="I118" s="24" t="s">
        <v>743</v>
      </c>
      <c r="J118" s="25" t="s">
        <v>743</v>
      </c>
      <c r="K118" s="26">
        <v>38291</v>
      </c>
      <c r="L118" s="27" t="s">
        <v>2709</v>
      </c>
      <c r="M118" s="28">
        <v>357720</v>
      </c>
      <c r="N118" s="29">
        <v>6179069</v>
      </c>
      <c r="O118" s="32">
        <v>221</v>
      </c>
      <c r="P118" s="135"/>
      <c r="Q118" s="260">
        <v>228</v>
      </c>
      <c r="R118" s="32"/>
      <c r="S118" s="135">
        <v>1</v>
      </c>
      <c r="T118" s="260">
        <f t="shared" si="5"/>
        <v>1</v>
      </c>
      <c r="U118" s="30"/>
      <c r="V118" s="31">
        <v>51</v>
      </c>
      <c r="W118" s="31">
        <f t="shared" si="6"/>
        <v>51</v>
      </c>
      <c r="X118" s="260">
        <f t="shared" si="7"/>
        <v>4</v>
      </c>
      <c r="Y118" s="323">
        <v>0.36699999999999999</v>
      </c>
      <c r="Z118" s="323">
        <v>106634</v>
      </c>
      <c r="AA118" s="323">
        <v>1140</v>
      </c>
      <c r="AB118" s="151"/>
      <c r="AC118" s="155">
        <v>1996</v>
      </c>
      <c r="AD118" s="254">
        <f t="shared" si="4"/>
        <v>7.8350444900752336</v>
      </c>
      <c r="AE118" s="152" t="s">
        <v>2708</v>
      </c>
      <c r="AF118" s="252" t="s">
        <v>2708</v>
      </c>
      <c r="AG118" s="242" t="s">
        <v>2708</v>
      </c>
      <c r="AH118" s="242" t="s">
        <v>2252</v>
      </c>
      <c r="AI118" s="243">
        <v>6.7</v>
      </c>
      <c r="AJ118" s="244">
        <v>2870</v>
      </c>
      <c r="AK118" s="244">
        <v>26</v>
      </c>
      <c r="AL118" s="244">
        <v>55</v>
      </c>
      <c r="AM118" s="244">
        <v>22</v>
      </c>
      <c r="AN118" s="245">
        <v>5.52</v>
      </c>
      <c r="AO118" s="245">
        <v>0.82</v>
      </c>
      <c r="AP118" s="274">
        <v>301</v>
      </c>
    </row>
    <row r="119" spans="1:42" x14ac:dyDescent="0.2">
      <c r="A119" s="269">
        <v>117</v>
      </c>
      <c r="B119" s="270" t="s">
        <v>1901</v>
      </c>
      <c r="C119" s="271" t="s">
        <v>2668</v>
      </c>
      <c r="D119" s="272" t="s">
        <v>2708</v>
      </c>
      <c r="E119" s="273" t="s">
        <v>2708</v>
      </c>
      <c r="F119" s="22" t="s">
        <v>743</v>
      </c>
      <c r="G119" s="23" t="s">
        <v>743</v>
      </c>
      <c r="H119" s="24" t="s">
        <v>743</v>
      </c>
      <c r="I119" s="24" t="s">
        <v>743</v>
      </c>
      <c r="J119" s="25" t="s">
        <v>743</v>
      </c>
      <c r="K119" s="26">
        <v>38291</v>
      </c>
      <c r="L119" s="27" t="s">
        <v>2709</v>
      </c>
      <c r="M119" s="28">
        <v>357650</v>
      </c>
      <c r="N119" s="29">
        <v>6179138</v>
      </c>
      <c r="O119" s="32">
        <v>232</v>
      </c>
      <c r="P119" s="135"/>
      <c r="Q119" s="260">
        <v>228</v>
      </c>
      <c r="R119" s="32"/>
      <c r="S119" s="135">
        <v>1</v>
      </c>
      <c r="T119" s="260">
        <f t="shared" si="5"/>
        <v>1</v>
      </c>
      <c r="U119" s="30"/>
      <c r="V119" s="31">
        <v>163</v>
      </c>
      <c r="W119" s="31">
        <f t="shared" si="6"/>
        <v>163</v>
      </c>
      <c r="X119" s="260">
        <f t="shared" si="7"/>
        <v>1</v>
      </c>
      <c r="Y119" s="323">
        <v>5.1999999999999998E-2</v>
      </c>
      <c r="Z119" s="323">
        <v>104862</v>
      </c>
      <c r="AA119" s="323">
        <v>1132</v>
      </c>
      <c r="AB119" s="151"/>
      <c r="AC119" s="155">
        <v>100</v>
      </c>
      <c r="AD119" s="254">
        <f t="shared" si="4"/>
        <v>1903.8350444900752</v>
      </c>
      <c r="AE119" s="152" t="s">
        <v>2708</v>
      </c>
      <c r="AF119" s="252" t="s">
        <v>2708</v>
      </c>
      <c r="AG119" s="242" t="s">
        <v>2708</v>
      </c>
      <c r="AH119" s="242" t="s">
        <v>2708</v>
      </c>
      <c r="AI119" s="243" t="s">
        <v>2708</v>
      </c>
      <c r="AJ119" s="244" t="s">
        <v>2708</v>
      </c>
      <c r="AK119" s="244" t="s">
        <v>2708</v>
      </c>
      <c r="AL119" s="244" t="s">
        <v>2708</v>
      </c>
      <c r="AM119" s="244" t="s">
        <v>2708</v>
      </c>
      <c r="AN119" s="245" t="s">
        <v>2708</v>
      </c>
      <c r="AO119" s="245" t="s">
        <v>2708</v>
      </c>
      <c r="AP119" s="274">
        <v>304</v>
      </c>
    </row>
    <row r="120" spans="1:42" x14ac:dyDescent="0.2">
      <c r="A120" s="269">
        <v>118</v>
      </c>
      <c r="B120" s="270" t="s">
        <v>1901</v>
      </c>
      <c r="C120" s="271" t="s">
        <v>2618</v>
      </c>
      <c r="D120" s="272" t="s">
        <v>2708</v>
      </c>
      <c r="E120" s="273" t="s">
        <v>2708</v>
      </c>
      <c r="F120" s="22" t="s">
        <v>743</v>
      </c>
      <c r="G120" s="23" t="s">
        <v>743</v>
      </c>
      <c r="H120" s="24" t="s">
        <v>743</v>
      </c>
      <c r="I120" s="24" t="s">
        <v>743</v>
      </c>
      <c r="J120" s="25" t="s">
        <v>743</v>
      </c>
      <c r="K120" s="26">
        <v>38291</v>
      </c>
      <c r="L120" s="27" t="s">
        <v>2709</v>
      </c>
      <c r="M120" s="28">
        <v>357415</v>
      </c>
      <c r="N120" s="29">
        <v>6179224</v>
      </c>
      <c r="O120" s="32">
        <v>214</v>
      </c>
      <c r="P120" s="135"/>
      <c r="Q120" s="260">
        <v>216</v>
      </c>
      <c r="R120" s="32"/>
      <c r="S120" s="135">
        <v>3</v>
      </c>
      <c r="T120" s="260">
        <f t="shared" si="5"/>
        <v>3</v>
      </c>
      <c r="U120" s="30"/>
      <c r="V120" s="31">
        <v>276</v>
      </c>
      <c r="W120" s="31">
        <f t="shared" si="6"/>
        <v>276</v>
      </c>
      <c r="X120" s="260">
        <f t="shared" si="7"/>
        <v>3</v>
      </c>
      <c r="Y120" s="323">
        <v>1.3109999999999999</v>
      </c>
      <c r="Z120" s="323">
        <v>107009</v>
      </c>
      <c r="AA120" s="323">
        <v>1207</v>
      </c>
      <c r="AB120" s="151"/>
      <c r="AC120" s="155">
        <v>100</v>
      </c>
      <c r="AD120" s="254">
        <f t="shared" si="4"/>
        <v>1903.8350444900752</v>
      </c>
      <c r="AE120" s="152" t="s">
        <v>2708</v>
      </c>
      <c r="AF120" s="252" t="s">
        <v>2708</v>
      </c>
      <c r="AG120" s="242" t="s">
        <v>2708</v>
      </c>
      <c r="AH120" s="242" t="s">
        <v>2708</v>
      </c>
      <c r="AI120" s="243" t="s">
        <v>2708</v>
      </c>
      <c r="AJ120" s="244" t="s">
        <v>2708</v>
      </c>
      <c r="AK120" s="244" t="s">
        <v>2708</v>
      </c>
      <c r="AL120" s="244" t="s">
        <v>2708</v>
      </c>
      <c r="AM120" s="244" t="s">
        <v>2708</v>
      </c>
      <c r="AN120" s="245" t="s">
        <v>2708</v>
      </c>
      <c r="AO120" s="245" t="s">
        <v>2708</v>
      </c>
      <c r="AP120" s="274">
        <v>307</v>
      </c>
    </row>
    <row r="121" spans="1:42" x14ac:dyDescent="0.2">
      <c r="A121" s="269">
        <v>119</v>
      </c>
      <c r="B121" s="270" t="s">
        <v>1901</v>
      </c>
      <c r="C121" s="271" t="s">
        <v>2617</v>
      </c>
      <c r="D121" s="272" t="s">
        <v>2708</v>
      </c>
      <c r="E121" s="273" t="s">
        <v>2708</v>
      </c>
      <c r="F121" s="22" t="s">
        <v>743</v>
      </c>
      <c r="G121" s="23" t="s">
        <v>743</v>
      </c>
      <c r="H121" s="24" t="s">
        <v>743</v>
      </c>
      <c r="I121" s="24" t="s">
        <v>743</v>
      </c>
      <c r="J121" s="25" t="s">
        <v>743</v>
      </c>
      <c r="K121" s="26">
        <v>38291</v>
      </c>
      <c r="L121" s="27" t="s">
        <v>2709</v>
      </c>
      <c r="M121" s="28">
        <v>357268</v>
      </c>
      <c r="N121" s="29">
        <v>6179434</v>
      </c>
      <c r="O121" s="32">
        <v>213</v>
      </c>
      <c r="P121" s="135"/>
      <c r="Q121" s="260">
        <v>210</v>
      </c>
      <c r="R121" s="32"/>
      <c r="S121" s="135">
        <v>3</v>
      </c>
      <c r="T121" s="260">
        <f t="shared" si="5"/>
        <v>3</v>
      </c>
      <c r="U121" s="30"/>
      <c r="V121" s="31">
        <v>219</v>
      </c>
      <c r="W121" s="31">
        <f t="shared" si="6"/>
        <v>219</v>
      </c>
      <c r="X121" s="260">
        <f t="shared" si="7"/>
        <v>2</v>
      </c>
      <c r="Y121" s="323">
        <v>0.94199999999999995</v>
      </c>
      <c r="Z121" s="323">
        <v>104151</v>
      </c>
      <c r="AA121" s="323">
        <v>1156</v>
      </c>
      <c r="AB121" s="151"/>
      <c r="AC121" s="155">
        <v>2000</v>
      </c>
      <c r="AD121" s="254">
        <f t="shared" si="4"/>
        <v>3.8350444900752336</v>
      </c>
      <c r="AE121" s="152" t="s">
        <v>2708</v>
      </c>
      <c r="AF121" s="252" t="s">
        <v>2708</v>
      </c>
      <c r="AG121" s="242" t="s">
        <v>2708</v>
      </c>
      <c r="AH121" s="242" t="s">
        <v>2708</v>
      </c>
      <c r="AI121" s="243" t="s">
        <v>2708</v>
      </c>
      <c r="AJ121" s="244" t="s">
        <v>2708</v>
      </c>
      <c r="AK121" s="244" t="s">
        <v>2708</v>
      </c>
      <c r="AL121" s="244" t="s">
        <v>2708</v>
      </c>
      <c r="AM121" s="244" t="s">
        <v>2708</v>
      </c>
      <c r="AN121" s="245" t="s">
        <v>2708</v>
      </c>
      <c r="AO121" s="245" t="s">
        <v>2708</v>
      </c>
      <c r="AP121" s="274">
        <v>313</v>
      </c>
    </row>
    <row r="122" spans="1:42" x14ac:dyDescent="0.2">
      <c r="A122" s="269">
        <v>120</v>
      </c>
      <c r="B122" s="270" t="s">
        <v>1901</v>
      </c>
      <c r="C122" s="271" t="s">
        <v>2617</v>
      </c>
      <c r="D122" s="272" t="s">
        <v>2708</v>
      </c>
      <c r="E122" s="273" t="s">
        <v>2708</v>
      </c>
      <c r="F122" s="22" t="s">
        <v>743</v>
      </c>
      <c r="G122" s="23" t="s">
        <v>743</v>
      </c>
      <c r="H122" s="24" t="s">
        <v>743</v>
      </c>
      <c r="I122" s="24" t="s">
        <v>743</v>
      </c>
      <c r="J122" s="25" t="s">
        <v>743</v>
      </c>
      <c r="K122" s="26">
        <v>38291</v>
      </c>
      <c r="L122" s="27" t="s">
        <v>2709</v>
      </c>
      <c r="M122" s="28">
        <v>357421</v>
      </c>
      <c r="N122" s="29">
        <v>6179539</v>
      </c>
      <c r="O122" s="32">
        <v>231</v>
      </c>
      <c r="P122" s="135"/>
      <c r="Q122" s="260">
        <v>230</v>
      </c>
      <c r="R122" s="32"/>
      <c r="S122" s="135">
        <v>9</v>
      </c>
      <c r="T122" s="260">
        <f t="shared" si="5"/>
        <v>9</v>
      </c>
      <c r="U122" s="30"/>
      <c r="V122" s="31">
        <v>219</v>
      </c>
      <c r="W122" s="31">
        <f t="shared" si="6"/>
        <v>219</v>
      </c>
      <c r="X122" s="260">
        <f t="shared" si="7"/>
        <v>2</v>
      </c>
      <c r="Y122" s="323">
        <v>1.099</v>
      </c>
      <c r="Z122" s="323">
        <v>98316</v>
      </c>
      <c r="AA122" s="323">
        <v>1209</v>
      </c>
      <c r="AB122" s="151"/>
      <c r="AC122" s="155">
        <v>2000</v>
      </c>
      <c r="AD122" s="254">
        <f t="shared" si="4"/>
        <v>3.8350444900752336</v>
      </c>
      <c r="AE122" s="152" t="s">
        <v>2708</v>
      </c>
      <c r="AF122" s="252" t="s">
        <v>2708</v>
      </c>
      <c r="AG122" s="242" t="s">
        <v>2708</v>
      </c>
      <c r="AH122" s="242" t="s">
        <v>2708</v>
      </c>
      <c r="AI122" s="243" t="s">
        <v>2708</v>
      </c>
      <c r="AJ122" s="244" t="s">
        <v>2708</v>
      </c>
      <c r="AK122" s="244" t="s">
        <v>2708</v>
      </c>
      <c r="AL122" s="244" t="s">
        <v>2708</v>
      </c>
      <c r="AM122" s="244" t="s">
        <v>2708</v>
      </c>
      <c r="AN122" s="245" t="s">
        <v>2708</v>
      </c>
      <c r="AO122" s="245" t="s">
        <v>2708</v>
      </c>
      <c r="AP122" s="274">
        <v>315</v>
      </c>
    </row>
    <row r="123" spans="1:42" x14ac:dyDescent="0.2">
      <c r="A123" s="269">
        <v>121</v>
      </c>
      <c r="B123" s="270" t="s">
        <v>1901</v>
      </c>
      <c r="C123" s="271" t="s">
        <v>2669</v>
      </c>
      <c r="D123" s="272" t="s">
        <v>2708</v>
      </c>
      <c r="E123" s="273" t="s">
        <v>2708</v>
      </c>
      <c r="F123" s="22" t="s">
        <v>743</v>
      </c>
      <c r="G123" s="23" t="s">
        <v>743</v>
      </c>
      <c r="H123" s="24" t="s">
        <v>743</v>
      </c>
      <c r="I123" s="24" t="s">
        <v>743</v>
      </c>
      <c r="J123" s="25" t="s">
        <v>743</v>
      </c>
      <c r="K123" s="26">
        <v>38291</v>
      </c>
      <c r="L123" s="27" t="s">
        <v>2709</v>
      </c>
      <c r="M123" s="28">
        <v>357659</v>
      </c>
      <c r="N123" s="29">
        <v>6179581</v>
      </c>
      <c r="O123" s="32">
        <v>261</v>
      </c>
      <c r="P123" s="135"/>
      <c r="Q123" s="260">
        <v>254</v>
      </c>
      <c r="R123" s="32"/>
      <c r="S123" s="135">
        <v>8</v>
      </c>
      <c r="T123" s="260">
        <f t="shared" si="5"/>
        <v>8</v>
      </c>
      <c r="U123" s="30"/>
      <c r="V123" s="31">
        <v>242</v>
      </c>
      <c r="W123" s="31">
        <f t="shared" si="6"/>
        <v>242</v>
      </c>
      <c r="X123" s="260">
        <f t="shared" si="7"/>
        <v>2</v>
      </c>
      <c r="Y123" s="323">
        <v>0.60399999999999998</v>
      </c>
      <c r="Z123" s="323">
        <v>102642</v>
      </c>
      <c r="AA123" s="323">
        <v>1172</v>
      </c>
      <c r="AB123" s="151"/>
      <c r="AC123" s="155">
        <v>2000</v>
      </c>
      <c r="AD123" s="254">
        <f t="shared" si="4"/>
        <v>3.8350444900752336</v>
      </c>
      <c r="AE123" s="152" t="s">
        <v>2708</v>
      </c>
      <c r="AF123" s="252" t="s">
        <v>2708</v>
      </c>
      <c r="AG123" s="242" t="s">
        <v>2708</v>
      </c>
      <c r="AH123" s="242" t="s">
        <v>2708</v>
      </c>
      <c r="AI123" s="243" t="s">
        <v>2708</v>
      </c>
      <c r="AJ123" s="244" t="s">
        <v>2708</v>
      </c>
      <c r="AK123" s="244" t="s">
        <v>2708</v>
      </c>
      <c r="AL123" s="244" t="s">
        <v>2708</v>
      </c>
      <c r="AM123" s="244" t="s">
        <v>2708</v>
      </c>
      <c r="AN123" s="245" t="s">
        <v>2708</v>
      </c>
      <c r="AO123" s="245" t="s">
        <v>2708</v>
      </c>
      <c r="AP123" s="274">
        <v>317</v>
      </c>
    </row>
    <row r="124" spans="1:42" x14ac:dyDescent="0.2">
      <c r="A124" s="269">
        <v>122</v>
      </c>
      <c r="B124" s="270" t="s">
        <v>1901</v>
      </c>
      <c r="C124" s="271" t="s">
        <v>2618</v>
      </c>
      <c r="D124" s="272" t="s">
        <v>2708</v>
      </c>
      <c r="E124" s="273" t="s">
        <v>2708</v>
      </c>
      <c r="F124" s="22" t="s">
        <v>743</v>
      </c>
      <c r="G124" s="23" t="s">
        <v>743</v>
      </c>
      <c r="H124" s="24" t="s">
        <v>743</v>
      </c>
      <c r="I124" s="24" t="s">
        <v>743</v>
      </c>
      <c r="J124" s="25" t="s">
        <v>743</v>
      </c>
      <c r="K124" s="26">
        <v>38291</v>
      </c>
      <c r="L124" s="27" t="s">
        <v>2709</v>
      </c>
      <c r="M124" s="28">
        <v>357748</v>
      </c>
      <c r="N124" s="29">
        <v>6179542</v>
      </c>
      <c r="O124" s="32">
        <v>282</v>
      </c>
      <c r="P124" s="135"/>
      <c r="Q124" s="260">
        <v>273</v>
      </c>
      <c r="R124" s="32"/>
      <c r="S124" s="135">
        <v>23</v>
      </c>
      <c r="T124" s="260">
        <f t="shared" si="5"/>
        <v>23</v>
      </c>
      <c r="U124" s="30"/>
      <c r="V124" s="31">
        <v>249</v>
      </c>
      <c r="W124" s="31">
        <f t="shared" si="6"/>
        <v>249</v>
      </c>
      <c r="X124" s="260">
        <f t="shared" si="7"/>
        <v>3</v>
      </c>
      <c r="Y124" s="323">
        <v>0.28499999999999998</v>
      </c>
      <c r="Z124" s="323">
        <v>92498</v>
      </c>
      <c r="AA124" s="323">
        <v>904</v>
      </c>
      <c r="AB124" s="151"/>
      <c r="AC124" s="155">
        <v>2000</v>
      </c>
      <c r="AD124" s="254">
        <f t="shared" si="4"/>
        <v>3.8350444900752336</v>
      </c>
      <c r="AE124" s="152" t="s">
        <v>2708</v>
      </c>
      <c r="AF124" s="252" t="s">
        <v>2708</v>
      </c>
      <c r="AG124" s="242" t="s">
        <v>2708</v>
      </c>
      <c r="AH124" s="242" t="s">
        <v>2708</v>
      </c>
      <c r="AI124" s="243" t="s">
        <v>2708</v>
      </c>
      <c r="AJ124" s="244" t="s">
        <v>2708</v>
      </c>
      <c r="AK124" s="244" t="s">
        <v>2708</v>
      </c>
      <c r="AL124" s="244" t="s">
        <v>2708</v>
      </c>
      <c r="AM124" s="244" t="s">
        <v>2708</v>
      </c>
      <c r="AN124" s="245" t="s">
        <v>2708</v>
      </c>
      <c r="AO124" s="245" t="s">
        <v>2708</v>
      </c>
      <c r="AP124" s="274">
        <v>319</v>
      </c>
    </row>
    <row r="125" spans="1:42" x14ac:dyDescent="0.2">
      <c r="A125" s="269">
        <v>123</v>
      </c>
      <c r="B125" s="270" t="s">
        <v>1901</v>
      </c>
      <c r="C125" s="271" t="s">
        <v>2562</v>
      </c>
      <c r="D125" s="272" t="s">
        <v>2708</v>
      </c>
      <c r="E125" s="273" t="s">
        <v>2708</v>
      </c>
      <c r="F125" s="22" t="s">
        <v>743</v>
      </c>
      <c r="G125" s="23" t="s">
        <v>743</v>
      </c>
      <c r="H125" s="24" t="s">
        <v>743</v>
      </c>
      <c r="I125" s="24" t="s">
        <v>743</v>
      </c>
      <c r="J125" s="25" t="s">
        <v>743</v>
      </c>
      <c r="K125" s="26">
        <v>38291</v>
      </c>
      <c r="L125" s="27" t="s">
        <v>2709</v>
      </c>
      <c r="M125" s="28">
        <v>357796</v>
      </c>
      <c r="N125" s="29">
        <v>6179531</v>
      </c>
      <c r="O125" s="32">
        <v>285</v>
      </c>
      <c r="P125" s="135"/>
      <c r="Q125" s="260">
        <v>288</v>
      </c>
      <c r="R125" s="32"/>
      <c r="S125" s="135">
        <v>22</v>
      </c>
      <c r="T125" s="260">
        <f t="shared" si="5"/>
        <v>22</v>
      </c>
      <c r="U125" s="30"/>
      <c r="V125" s="31">
        <v>216</v>
      </c>
      <c r="W125" s="31">
        <f t="shared" si="6"/>
        <v>216</v>
      </c>
      <c r="X125" s="260">
        <f t="shared" si="7"/>
        <v>2</v>
      </c>
      <c r="Y125" s="323">
        <v>0.17</v>
      </c>
      <c r="Z125" s="323">
        <v>83184</v>
      </c>
      <c r="AA125" s="323">
        <v>1274</v>
      </c>
      <c r="AB125" s="151"/>
      <c r="AC125" s="155">
        <v>2000</v>
      </c>
      <c r="AD125" s="254">
        <f t="shared" si="4"/>
        <v>3.8350444900752336</v>
      </c>
      <c r="AE125" s="152" t="s">
        <v>2708</v>
      </c>
      <c r="AF125" s="252" t="s">
        <v>2708</v>
      </c>
      <c r="AG125" s="242" t="s">
        <v>2708</v>
      </c>
      <c r="AH125" s="242" t="s">
        <v>2708</v>
      </c>
      <c r="AI125" s="243" t="s">
        <v>2708</v>
      </c>
      <c r="AJ125" s="244" t="s">
        <v>2708</v>
      </c>
      <c r="AK125" s="244" t="s">
        <v>2708</v>
      </c>
      <c r="AL125" s="244" t="s">
        <v>2708</v>
      </c>
      <c r="AM125" s="244" t="s">
        <v>2708</v>
      </c>
      <c r="AN125" s="245" t="s">
        <v>2708</v>
      </c>
      <c r="AO125" s="245" t="s">
        <v>2708</v>
      </c>
      <c r="AP125" s="274">
        <v>320</v>
      </c>
    </row>
    <row r="126" spans="1:42" x14ac:dyDescent="0.2">
      <c r="A126" s="269">
        <v>124</v>
      </c>
      <c r="B126" s="270" t="s">
        <v>1901</v>
      </c>
      <c r="C126" s="271" t="s">
        <v>2247</v>
      </c>
      <c r="D126" s="272" t="s">
        <v>2708</v>
      </c>
      <c r="E126" s="273" t="s">
        <v>2708</v>
      </c>
      <c r="F126" s="22" t="s">
        <v>743</v>
      </c>
      <c r="G126" s="23" t="s">
        <v>743</v>
      </c>
      <c r="H126" s="24" t="s">
        <v>743</v>
      </c>
      <c r="I126" s="24" t="s">
        <v>743</v>
      </c>
      <c r="J126" s="25" t="s">
        <v>743</v>
      </c>
      <c r="K126" s="26">
        <v>38291</v>
      </c>
      <c r="L126" s="27" t="s">
        <v>2709</v>
      </c>
      <c r="M126" s="28">
        <v>357887</v>
      </c>
      <c r="N126" s="29">
        <v>6179522</v>
      </c>
      <c r="O126" s="32">
        <v>283</v>
      </c>
      <c r="P126" s="135"/>
      <c r="Q126" s="260">
        <v>275</v>
      </c>
      <c r="R126" s="32"/>
      <c r="S126" s="135">
        <v>22</v>
      </c>
      <c r="T126" s="260">
        <f t="shared" si="5"/>
        <v>22</v>
      </c>
      <c r="U126" s="30"/>
      <c r="V126" s="31">
        <v>134</v>
      </c>
      <c r="W126" s="31">
        <f t="shared" si="6"/>
        <v>134</v>
      </c>
      <c r="X126" s="260">
        <f t="shared" si="7"/>
        <v>2</v>
      </c>
      <c r="Y126" s="323">
        <v>0.48399999999999999</v>
      </c>
      <c r="Z126" s="323">
        <v>84834</v>
      </c>
      <c r="AA126" s="323">
        <v>1168</v>
      </c>
      <c r="AB126" s="151"/>
      <c r="AC126" s="155">
        <v>2000</v>
      </c>
      <c r="AD126" s="254">
        <f t="shared" si="4"/>
        <v>3.8350444900752336</v>
      </c>
      <c r="AE126" s="152" t="s">
        <v>2708</v>
      </c>
      <c r="AF126" s="252" t="s">
        <v>2708</v>
      </c>
      <c r="AG126" s="242" t="s">
        <v>2708</v>
      </c>
      <c r="AH126" s="242" t="s">
        <v>2708</v>
      </c>
      <c r="AI126" s="243" t="s">
        <v>2708</v>
      </c>
      <c r="AJ126" s="244" t="s">
        <v>2708</v>
      </c>
      <c r="AK126" s="244" t="s">
        <v>2708</v>
      </c>
      <c r="AL126" s="244" t="s">
        <v>2708</v>
      </c>
      <c r="AM126" s="244" t="s">
        <v>2708</v>
      </c>
      <c r="AN126" s="245" t="s">
        <v>2708</v>
      </c>
      <c r="AO126" s="245" t="s">
        <v>2708</v>
      </c>
      <c r="AP126" s="274">
        <v>323</v>
      </c>
    </row>
    <row r="127" spans="1:42" x14ac:dyDescent="0.2">
      <c r="A127" s="269">
        <v>125</v>
      </c>
      <c r="B127" s="270" t="s">
        <v>1901</v>
      </c>
      <c r="C127" s="271" t="s">
        <v>2617</v>
      </c>
      <c r="D127" s="272" t="s">
        <v>2708</v>
      </c>
      <c r="E127" s="273" t="s">
        <v>2708</v>
      </c>
      <c r="F127" s="22" t="s">
        <v>743</v>
      </c>
      <c r="G127" s="23" t="s">
        <v>743</v>
      </c>
      <c r="H127" s="24" t="s">
        <v>743</v>
      </c>
      <c r="I127" s="24" t="s">
        <v>743</v>
      </c>
      <c r="J127" s="25" t="s">
        <v>743</v>
      </c>
      <c r="K127" s="26">
        <v>38291</v>
      </c>
      <c r="L127" s="27" t="s">
        <v>2709</v>
      </c>
      <c r="M127" s="28">
        <v>357904</v>
      </c>
      <c r="N127" s="29">
        <v>6179508</v>
      </c>
      <c r="O127" s="32">
        <v>276</v>
      </c>
      <c r="P127" s="135"/>
      <c r="Q127" s="260">
        <v>268</v>
      </c>
      <c r="R127" s="32"/>
      <c r="S127" s="135">
        <v>16</v>
      </c>
      <c r="T127" s="260">
        <f t="shared" si="5"/>
        <v>16</v>
      </c>
      <c r="U127" s="30"/>
      <c r="V127" s="31">
        <v>137</v>
      </c>
      <c r="W127" s="31">
        <f t="shared" si="6"/>
        <v>137</v>
      </c>
      <c r="X127" s="260">
        <f t="shared" si="7"/>
        <v>2</v>
      </c>
      <c r="Y127" s="323">
        <v>0.6</v>
      </c>
      <c r="Z127" s="323">
        <v>90642</v>
      </c>
      <c r="AA127" s="323">
        <v>1177</v>
      </c>
      <c r="AB127" s="151"/>
      <c r="AC127" s="155">
        <v>2000</v>
      </c>
      <c r="AD127" s="254">
        <f t="shared" si="4"/>
        <v>3.8350444900752336</v>
      </c>
      <c r="AE127" s="152" t="s">
        <v>2708</v>
      </c>
      <c r="AF127" s="252" t="s">
        <v>2708</v>
      </c>
      <c r="AG127" s="242" t="s">
        <v>2708</v>
      </c>
      <c r="AH127" s="242" t="s">
        <v>2708</v>
      </c>
      <c r="AI127" s="243" t="s">
        <v>2708</v>
      </c>
      <c r="AJ127" s="244" t="s">
        <v>2708</v>
      </c>
      <c r="AK127" s="244" t="s">
        <v>2708</v>
      </c>
      <c r="AL127" s="244" t="s">
        <v>2708</v>
      </c>
      <c r="AM127" s="244" t="s">
        <v>2708</v>
      </c>
      <c r="AN127" s="245" t="s">
        <v>2708</v>
      </c>
      <c r="AO127" s="245" t="s">
        <v>2708</v>
      </c>
      <c r="AP127" s="274">
        <v>324</v>
      </c>
    </row>
    <row r="128" spans="1:42" x14ac:dyDescent="0.2">
      <c r="A128" s="269">
        <v>126</v>
      </c>
      <c r="B128" s="270" t="s">
        <v>1901</v>
      </c>
      <c r="C128" s="271" t="s">
        <v>2669</v>
      </c>
      <c r="D128" s="272" t="s">
        <v>2708</v>
      </c>
      <c r="E128" s="273" t="s">
        <v>2708</v>
      </c>
      <c r="F128" s="22" t="s">
        <v>743</v>
      </c>
      <c r="G128" s="23" t="s">
        <v>743</v>
      </c>
      <c r="H128" s="24" t="s">
        <v>743</v>
      </c>
      <c r="I128" s="24" t="s">
        <v>743</v>
      </c>
      <c r="J128" s="25" t="s">
        <v>743</v>
      </c>
      <c r="K128" s="26">
        <v>38291</v>
      </c>
      <c r="L128" s="27" t="s">
        <v>2709</v>
      </c>
      <c r="M128" s="28">
        <v>358016</v>
      </c>
      <c r="N128" s="29">
        <v>6179463</v>
      </c>
      <c r="O128" s="32">
        <v>270</v>
      </c>
      <c r="P128" s="135"/>
      <c r="Q128" s="260">
        <v>260</v>
      </c>
      <c r="R128" s="32"/>
      <c r="S128" s="135">
        <v>8</v>
      </c>
      <c r="T128" s="260">
        <f t="shared" si="5"/>
        <v>8</v>
      </c>
      <c r="U128" s="30"/>
      <c r="V128" s="31">
        <v>180</v>
      </c>
      <c r="W128" s="31">
        <f t="shared" si="6"/>
        <v>180</v>
      </c>
      <c r="X128" s="260">
        <f t="shared" si="7"/>
        <v>0</v>
      </c>
      <c r="Y128" s="323">
        <v>0.44400000000000001</v>
      </c>
      <c r="Z128" s="323">
        <v>96799</v>
      </c>
      <c r="AA128" s="323">
        <v>1136</v>
      </c>
      <c r="AB128" s="151"/>
      <c r="AC128" s="155">
        <v>2000</v>
      </c>
      <c r="AD128" s="254">
        <f t="shared" si="4"/>
        <v>3.8350444900752336</v>
      </c>
      <c r="AE128" s="152" t="s">
        <v>2708</v>
      </c>
      <c r="AF128" s="252" t="s">
        <v>2708</v>
      </c>
      <c r="AG128" s="242" t="s">
        <v>2708</v>
      </c>
      <c r="AH128" s="242" t="s">
        <v>2708</v>
      </c>
      <c r="AI128" s="243" t="s">
        <v>2708</v>
      </c>
      <c r="AJ128" s="244" t="s">
        <v>2708</v>
      </c>
      <c r="AK128" s="244" t="s">
        <v>2708</v>
      </c>
      <c r="AL128" s="244" t="s">
        <v>2708</v>
      </c>
      <c r="AM128" s="244" t="s">
        <v>2708</v>
      </c>
      <c r="AN128" s="245" t="s">
        <v>2708</v>
      </c>
      <c r="AO128" s="245" t="s">
        <v>2708</v>
      </c>
      <c r="AP128" s="274">
        <v>329</v>
      </c>
    </row>
    <row r="129" spans="1:42" x14ac:dyDescent="0.2">
      <c r="A129" s="269">
        <v>127</v>
      </c>
      <c r="B129" s="270" t="s">
        <v>1901</v>
      </c>
      <c r="C129" s="271" t="s">
        <v>2620</v>
      </c>
      <c r="D129" s="272" t="s">
        <v>2708</v>
      </c>
      <c r="E129" s="273" t="s">
        <v>2708</v>
      </c>
      <c r="F129" s="22" t="s">
        <v>743</v>
      </c>
      <c r="G129" s="23" t="s">
        <v>743</v>
      </c>
      <c r="H129" s="24" t="s">
        <v>743</v>
      </c>
      <c r="I129" s="24" t="s">
        <v>743</v>
      </c>
      <c r="J129" s="25" t="s">
        <v>743</v>
      </c>
      <c r="K129" s="26">
        <v>38291</v>
      </c>
      <c r="L129" s="27" t="s">
        <v>2709</v>
      </c>
      <c r="M129" s="28">
        <v>358549</v>
      </c>
      <c r="N129" s="29">
        <v>6179218</v>
      </c>
      <c r="O129" s="32">
        <v>278</v>
      </c>
      <c r="P129" s="135"/>
      <c r="Q129" s="260">
        <v>278</v>
      </c>
      <c r="R129" s="32"/>
      <c r="S129" s="135">
        <v>5</v>
      </c>
      <c r="T129" s="260">
        <f t="shared" si="5"/>
        <v>5</v>
      </c>
      <c r="U129" s="30"/>
      <c r="V129" s="31">
        <v>264</v>
      </c>
      <c r="W129" s="31">
        <f t="shared" si="6"/>
        <v>264</v>
      </c>
      <c r="X129" s="260">
        <f t="shared" si="7"/>
        <v>3</v>
      </c>
      <c r="Y129" s="323">
        <v>1.454</v>
      </c>
      <c r="Z129" s="323">
        <v>106203</v>
      </c>
      <c r="AA129" s="323">
        <v>1094</v>
      </c>
      <c r="AB129" s="151"/>
      <c r="AC129" s="155">
        <v>1999</v>
      </c>
      <c r="AD129" s="254">
        <f t="shared" si="4"/>
        <v>4.8350444900752336</v>
      </c>
      <c r="AE129" s="152" t="s">
        <v>2708</v>
      </c>
      <c r="AF129" s="252" t="s">
        <v>2708</v>
      </c>
      <c r="AG129" s="242" t="s">
        <v>2708</v>
      </c>
      <c r="AH129" s="242" t="s">
        <v>2708</v>
      </c>
      <c r="AI129" s="243" t="s">
        <v>2708</v>
      </c>
      <c r="AJ129" s="244" t="s">
        <v>2708</v>
      </c>
      <c r="AK129" s="244" t="s">
        <v>2708</v>
      </c>
      <c r="AL129" s="244" t="s">
        <v>2708</v>
      </c>
      <c r="AM129" s="244" t="s">
        <v>2708</v>
      </c>
      <c r="AN129" s="245" t="s">
        <v>2708</v>
      </c>
      <c r="AO129" s="245" t="s">
        <v>2708</v>
      </c>
      <c r="AP129" s="274">
        <v>334</v>
      </c>
    </row>
    <row r="130" spans="1:42" x14ac:dyDescent="0.2">
      <c r="A130" s="269">
        <v>128</v>
      </c>
      <c r="B130" s="270" t="s">
        <v>1901</v>
      </c>
      <c r="C130" s="271" t="s">
        <v>2620</v>
      </c>
      <c r="D130" s="272" t="s">
        <v>2708</v>
      </c>
      <c r="E130" s="273" t="s">
        <v>2708</v>
      </c>
      <c r="F130" s="22" t="s">
        <v>743</v>
      </c>
      <c r="G130" s="23" t="s">
        <v>743</v>
      </c>
      <c r="H130" s="24" t="s">
        <v>743</v>
      </c>
      <c r="I130" s="24" t="s">
        <v>743</v>
      </c>
      <c r="J130" s="25" t="s">
        <v>743</v>
      </c>
      <c r="K130" s="26">
        <v>38291</v>
      </c>
      <c r="L130" s="27" t="s">
        <v>2709</v>
      </c>
      <c r="M130" s="28">
        <v>358540</v>
      </c>
      <c r="N130" s="29">
        <v>6179225</v>
      </c>
      <c r="O130" s="32">
        <v>275</v>
      </c>
      <c r="P130" s="135"/>
      <c r="Q130" s="260">
        <v>278</v>
      </c>
      <c r="R130" s="32"/>
      <c r="S130" s="135">
        <v>5</v>
      </c>
      <c r="T130" s="260">
        <f t="shared" si="5"/>
        <v>5</v>
      </c>
      <c r="U130" s="30"/>
      <c r="V130" s="31">
        <v>259</v>
      </c>
      <c r="W130" s="31">
        <f t="shared" si="6"/>
        <v>259</v>
      </c>
      <c r="X130" s="260">
        <f t="shared" si="7"/>
        <v>3</v>
      </c>
      <c r="Y130" s="323">
        <v>2.35</v>
      </c>
      <c r="Z130" s="323">
        <v>105766</v>
      </c>
      <c r="AA130" s="323">
        <v>1082</v>
      </c>
      <c r="AB130" s="151"/>
      <c r="AC130" s="155">
        <v>2000</v>
      </c>
      <c r="AD130" s="254">
        <f t="shared" si="4"/>
        <v>3.8350444900752336</v>
      </c>
      <c r="AE130" s="152" t="s">
        <v>2708</v>
      </c>
      <c r="AF130" s="252" t="s">
        <v>2708</v>
      </c>
      <c r="AG130" s="242" t="s">
        <v>2708</v>
      </c>
      <c r="AH130" s="242" t="s">
        <v>2708</v>
      </c>
      <c r="AI130" s="243" t="s">
        <v>2708</v>
      </c>
      <c r="AJ130" s="244" t="s">
        <v>2708</v>
      </c>
      <c r="AK130" s="244" t="s">
        <v>2708</v>
      </c>
      <c r="AL130" s="244" t="s">
        <v>2708</v>
      </c>
      <c r="AM130" s="244" t="s">
        <v>2708</v>
      </c>
      <c r="AN130" s="245" t="s">
        <v>2708</v>
      </c>
      <c r="AO130" s="245" t="s">
        <v>2708</v>
      </c>
      <c r="AP130" s="274">
        <v>335</v>
      </c>
    </row>
    <row r="131" spans="1:42" x14ac:dyDescent="0.2">
      <c r="A131" s="269">
        <v>129</v>
      </c>
      <c r="B131" s="270" t="s">
        <v>1901</v>
      </c>
      <c r="C131" s="271" t="s">
        <v>1083</v>
      </c>
      <c r="D131" s="272" t="s">
        <v>2708</v>
      </c>
      <c r="E131" s="273" t="s">
        <v>2708</v>
      </c>
      <c r="F131" s="22" t="s">
        <v>743</v>
      </c>
      <c r="G131" s="23" t="s">
        <v>743</v>
      </c>
      <c r="H131" s="24" t="s">
        <v>743</v>
      </c>
      <c r="I131" s="24" t="s">
        <v>743</v>
      </c>
      <c r="J131" s="25" t="s">
        <v>743</v>
      </c>
      <c r="K131" s="26">
        <v>38291</v>
      </c>
      <c r="L131" s="27" t="s">
        <v>2709</v>
      </c>
      <c r="M131" s="28">
        <v>358590</v>
      </c>
      <c r="N131" s="29">
        <v>6179265</v>
      </c>
      <c r="O131" s="32">
        <v>282</v>
      </c>
      <c r="P131" s="135"/>
      <c r="Q131" s="260">
        <v>283</v>
      </c>
      <c r="R131" s="32"/>
      <c r="S131" s="135">
        <v>4</v>
      </c>
      <c r="T131" s="260">
        <f t="shared" si="5"/>
        <v>4</v>
      </c>
      <c r="U131" s="30"/>
      <c r="V131" s="31">
        <v>247</v>
      </c>
      <c r="W131" s="31">
        <f t="shared" si="6"/>
        <v>247</v>
      </c>
      <c r="X131" s="260">
        <f t="shared" si="7"/>
        <v>2</v>
      </c>
      <c r="Y131" s="323">
        <v>2.698</v>
      </c>
      <c r="Z131" s="323">
        <v>105302</v>
      </c>
      <c r="AA131" s="323">
        <v>1095</v>
      </c>
      <c r="AB131" s="151"/>
      <c r="AC131" s="155">
        <v>2000</v>
      </c>
      <c r="AD131" s="254">
        <f t="shared" ref="AD131:AD194" si="8">IF(AC131=0,1000,IF(AC131=9999,"ND",(K131/365.25+1899)-AC131))</f>
        <v>3.8350444900752336</v>
      </c>
      <c r="AE131" s="152" t="s">
        <v>2708</v>
      </c>
      <c r="AF131" s="252" t="s">
        <v>2708</v>
      </c>
      <c r="AG131" s="242" t="s">
        <v>2708</v>
      </c>
      <c r="AH131" s="242" t="s">
        <v>2708</v>
      </c>
      <c r="AI131" s="243" t="s">
        <v>2708</v>
      </c>
      <c r="AJ131" s="244" t="s">
        <v>2708</v>
      </c>
      <c r="AK131" s="244" t="s">
        <v>2708</v>
      </c>
      <c r="AL131" s="244" t="s">
        <v>2708</v>
      </c>
      <c r="AM131" s="244" t="s">
        <v>2708</v>
      </c>
      <c r="AN131" s="245" t="s">
        <v>2708</v>
      </c>
      <c r="AO131" s="245" t="s">
        <v>2708</v>
      </c>
      <c r="AP131" s="274">
        <v>337</v>
      </c>
    </row>
    <row r="132" spans="1:42" x14ac:dyDescent="0.2">
      <c r="A132" s="269">
        <v>130</v>
      </c>
      <c r="B132" s="270" t="s">
        <v>1901</v>
      </c>
      <c r="C132" s="271" t="s">
        <v>2562</v>
      </c>
      <c r="D132" s="272" t="s">
        <v>2708</v>
      </c>
      <c r="E132" s="273" t="s">
        <v>2708</v>
      </c>
      <c r="F132" s="22" t="s">
        <v>743</v>
      </c>
      <c r="G132" s="23" t="s">
        <v>743</v>
      </c>
      <c r="H132" s="24" t="s">
        <v>743</v>
      </c>
      <c r="I132" s="24" t="s">
        <v>743</v>
      </c>
      <c r="J132" s="25" t="s">
        <v>743</v>
      </c>
      <c r="K132" s="26">
        <v>38291</v>
      </c>
      <c r="L132" s="27" t="s">
        <v>2709</v>
      </c>
      <c r="M132" s="28">
        <v>358976</v>
      </c>
      <c r="N132" s="29">
        <v>6179311</v>
      </c>
      <c r="O132" s="32">
        <v>306</v>
      </c>
      <c r="P132" s="135"/>
      <c r="Q132" s="260">
        <v>316</v>
      </c>
      <c r="R132" s="32"/>
      <c r="S132" s="135">
        <v>20</v>
      </c>
      <c r="T132" s="260">
        <f t="shared" ref="T132:T195" si="9">IF(OR(R132="ND",R132=""),S132,R132)</f>
        <v>20</v>
      </c>
      <c r="U132" s="30"/>
      <c r="V132" s="31">
        <v>216</v>
      </c>
      <c r="W132" s="31">
        <f t="shared" ref="W132:W195" si="10">IF(OR(U132="ND",U132=""),V132,U132)</f>
        <v>216</v>
      </c>
      <c r="X132" s="260">
        <f t="shared" ref="X132:X195" si="11">IF(OR(W132&lt;12,W132&gt;348),6,IF(OR(W132&lt;34,W132&gt;326),5,IF(OR(W132&lt;68,W132&gt;292),4,IF(OR(W132&lt;113,W132&gt;247),3,IF(OR(W132&lt;158,W132&gt;212),2,IF(OR(W132&lt;179,W132&gt;191),1,0))))))</f>
        <v>2</v>
      </c>
      <c r="Y132" s="323">
        <v>0.91700000000000004</v>
      </c>
      <c r="Z132" s="323">
        <v>85345</v>
      </c>
      <c r="AA132" s="323">
        <v>779</v>
      </c>
      <c r="AB132" s="151"/>
      <c r="AC132" s="155">
        <v>2000</v>
      </c>
      <c r="AD132" s="254">
        <f t="shared" si="8"/>
        <v>3.8350444900752336</v>
      </c>
      <c r="AE132" s="152" t="s">
        <v>2708</v>
      </c>
      <c r="AF132" s="252" t="s">
        <v>2708</v>
      </c>
      <c r="AG132" s="242" t="s">
        <v>2708</v>
      </c>
      <c r="AH132" s="242" t="s">
        <v>2708</v>
      </c>
      <c r="AI132" s="243" t="s">
        <v>2708</v>
      </c>
      <c r="AJ132" s="244" t="s">
        <v>2708</v>
      </c>
      <c r="AK132" s="244" t="s">
        <v>2708</v>
      </c>
      <c r="AL132" s="244" t="s">
        <v>2708</v>
      </c>
      <c r="AM132" s="244" t="s">
        <v>2708</v>
      </c>
      <c r="AN132" s="245" t="s">
        <v>2708</v>
      </c>
      <c r="AO132" s="245" t="s">
        <v>2708</v>
      </c>
      <c r="AP132" s="274">
        <v>343</v>
      </c>
    </row>
    <row r="133" spans="1:42" x14ac:dyDescent="0.2">
      <c r="A133" s="269">
        <v>131</v>
      </c>
      <c r="B133" s="270" t="s">
        <v>1901</v>
      </c>
      <c r="C133" s="271" t="s">
        <v>2562</v>
      </c>
      <c r="D133" s="272" t="s">
        <v>2708</v>
      </c>
      <c r="E133" s="273" t="s">
        <v>2708</v>
      </c>
      <c r="F133" s="22" t="s">
        <v>743</v>
      </c>
      <c r="G133" s="23" t="s">
        <v>743</v>
      </c>
      <c r="H133" s="24" t="s">
        <v>743</v>
      </c>
      <c r="I133" s="24" t="s">
        <v>743</v>
      </c>
      <c r="J133" s="25" t="s">
        <v>743</v>
      </c>
      <c r="K133" s="26">
        <v>38291</v>
      </c>
      <c r="L133" s="27" t="s">
        <v>2709</v>
      </c>
      <c r="M133" s="28">
        <v>359159</v>
      </c>
      <c r="N133" s="29">
        <v>6179235</v>
      </c>
      <c r="O133" s="32">
        <v>326</v>
      </c>
      <c r="P133" s="135"/>
      <c r="Q133" s="260">
        <v>322</v>
      </c>
      <c r="R133" s="32"/>
      <c r="S133" s="135">
        <v>13</v>
      </c>
      <c r="T133" s="260">
        <f t="shared" si="9"/>
        <v>13</v>
      </c>
      <c r="U133" s="30"/>
      <c r="V133" s="31">
        <v>197</v>
      </c>
      <c r="W133" s="31">
        <f t="shared" si="10"/>
        <v>197</v>
      </c>
      <c r="X133" s="260">
        <f t="shared" si="11"/>
        <v>1</v>
      </c>
      <c r="Y133" s="323">
        <v>1.121</v>
      </c>
      <c r="Z133" s="323">
        <v>91731</v>
      </c>
      <c r="AA133" s="323">
        <v>574</v>
      </c>
      <c r="AB133" s="151"/>
      <c r="AC133" s="155">
        <v>2000</v>
      </c>
      <c r="AD133" s="254">
        <f t="shared" si="8"/>
        <v>3.8350444900752336</v>
      </c>
      <c r="AE133" s="152" t="s">
        <v>2708</v>
      </c>
      <c r="AF133" s="252" t="s">
        <v>2708</v>
      </c>
      <c r="AG133" s="242" t="s">
        <v>2708</v>
      </c>
      <c r="AH133" s="242" t="s">
        <v>2708</v>
      </c>
      <c r="AI133" s="243" t="s">
        <v>2708</v>
      </c>
      <c r="AJ133" s="244" t="s">
        <v>2708</v>
      </c>
      <c r="AK133" s="244" t="s">
        <v>2708</v>
      </c>
      <c r="AL133" s="244" t="s">
        <v>2708</v>
      </c>
      <c r="AM133" s="244" t="s">
        <v>2708</v>
      </c>
      <c r="AN133" s="245" t="s">
        <v>2708</v>
      </c>
      <c r="AO133" s="245" t="s">
        <v>2708</v>
      </c>
      <c r="AP133" s="274">
        <v>344</v>
      </c>
    </row>
    <row r="134" spans="1:42" x14ac:dyDescent="0.2">
      <c r="A134" s="269">
        <v>132</v>
      </c>
      <c r="B134" s="270" t="s">
        <v>1901</v>
      </c>
      <c r="C134" s="271" t="s">
        <v>2470</v>
      </c>
      <c r="D134" s="272" t="s">
        <v>2708</v>
      </c>
      <c r="E134" s="273" t="s">
        <v>2708</v>
      </c>
      <c r="F134" s="22" t="s">
        <v>743</v>
      </c>
      <c r="G134" s="23" t="s">
        <v>743</v>
      </c>
      <c r="H134" s="24" t="s">
        <v>743</v>
      </c>
      <c r="I134" s="24" t="s">
        <v>743</v>
      </c>
      <c r="J134" s="25" t="s">
        <v>743</v>
      </c>
      <c r="K134" s="26">
        <v>38291</v>
      </c>
      <c r="L134" s="27" t="s">
        <v>2709</v>
      </c>
      <c r="M134" s="28">
        <v>359303</v>
      </c>
      <c r="N134" s="29">
        <v>6179217</v>
      </c>
      <c r="O134" s="32">
        <v>330</v>
      </c>
      <c r="P134" s="135"/>
      <c r="Q134" s="260">
        <v>329</v>
      </c>
      <c r="R134" s="32"/>
      <c r="S134" s="135">
        <v>6</v>
      </c>
      <c r="T134" s="260">
        <f t="shared" si="9"/>
        <v>6</v>
      </c>
      <c r="U134" s="30"/>
      <c r="V134" s="31">
        <v>274</v>
      </c>
      <c r="W134" s="31">
        <f t="shared" si="10"/>
        <v>274</v>
      </c>
      <c r="X134" s="260">
        <f t="shared" si="11"/>
        <v>3</v>
      </c>
      <c r="Y134" s="323">
        <v>2.4809999999999999</v>
      </c>
      <c r="Z134" s="323">
        <v>107053</v>
      </c>
      <c r="AA134" s="323">
        <v>432</v>
      </c>
      <c r="AB134" s="151"/>
      <c r="AC134" s="155">
        <v>2000</v>
      </c>
      <c r="AD134" s="254">
        <f t="shared" si="8"/>
        <v>3.8350444900752336</v>
      </c>
      <c r="AE134" s="152" t="s">
        <v>2708</v>
      </c>
      <c r="AF134" s="252" t="s">
        <v>2708</v>
      </c>
      <c r="AG134" s="242" t="s">
        <v>2708</v>
      </c>
      <c r="AH134" s="242" t="s">
        <v>2708</v>
      </c>
      <c r="AI134" s="243" t="s">
        <v>2708</v>
      </c>
      <c r="AJ134" s="244" t="s">
        <v>2708</v>
      </c>
      <c r="AK134" s="244" t="s">
        <v>2708</v>
      </c>
      <c r="AL134" s="244" t="s">
        <v>2708</v>
      </c>
      <c r="AM134" s="244" t="s">
        <v>2708</v>
      </c>
      <c r="AN134" s="245" t="s">
        <v>2708</v>
      </c>
      <c r="AO134" s="245" t="s">
        <v>2708</v>
      </c>
      <c r="AP134" s="274">
        <v>346</v>
      </c>
    </row>
    <row r="135" spans="1:42" x14ac:dyDescent="0.2">
      <c r="A135" s="269">
        <v>133</v>
      </c>
      <c r="B135" s="270" t="s">
        <v>1901</v>
      </c>
      <c r="C135" s="271" t="s">
        <v>1252</v>
      </c>
      <c r="D135" s="272" t="s">
        <v>2708</v>
      </c>
      <c r="E135" s="273" t="s">
        <v>2708</v>
      </c>
      <c r="F135" s="22" t="s">
        <v>743</v>
      </c>
      <c r="G135" s="23" t="s">
        <v>743</v>
      </c>
      <c r="H135" s="24" t="s">
        <v>743</v>
      </c>
      <c r="I135" s="24" t="s">
        <v>743</v>
      </c>
      <c r="J135" s="25" t="s">
        <v>743</v>
      </c>
      <c r="K135" s="26">
        <v>38291</v>
      </c>
      <c r="L135" s="27" t="s">
        <v>2709</v>
      </c>
      <c r="M135" s="28">
        <v>359263</v>
      </c>
      <c r="N135" s="29">
        <v>6179111</v>
      </c>
      <c r="O135" s="32">
        <v>340</v>
      </c>
      <c r="P135" s="135"/>
      <c r="Q135" s="260">
        <v>349</v>
      </c>
      <c r="R135" s="32"/>
      <c r="S135" s="135">
        <v>17</v>
      </c>
      <c r="T135" s="260">
        <f t="shared" si="9"/>
        <v>17</v>
      </c>
      <c r="U135" s="30"/>
      <c r="V135" s="31">
        <v>330</v>
      </c>
      <c r="W135" s="31">
        <f t="shared" si="10"/>
        <v>330</v>
      </c>
      <c r="X135" s="260">
        <f t="shared" si="11"/>
        <v>5</v>
      </c>
      <c r="Y135" s="323">
        <v>0.98199999999999998</v>
      </c>
      <c r="Z135" s="323">
        <v>118145</v>
      </c>
      <c r="AA135" s="323">
        <v>546</v>
      </c>
      <c r="AB135" s="151"/>
      <c r="AC135" s="155">
        <v>1997</v>
      </c>
      <c r="AD135" s="254">
        <f t="shared" si="8"/>
        <v>6.8350444900752336</v>
      </c>
      <c r="AE135" s="152" t="s">
        <v>2708</v>
      </c>
      <c r="AF135" s="252" t="s">
        <v>2708</v>
      </c>
      <c r="AG135" s="242" t="s">
        <v>2708</v>
      </c>
      <c r="AH135" s="242" t="s">
        <v>2708</v>
      </c>
      <c r="AI135" s="243" t="s">
        <v>2708</v>
      </c>
      <c r="AJ135" s="244" t="s">
        <v>2708</v>
      </c>
      <c r="AK135" s="244" t="s">
        <v>2708</v>
      </c>
      <c r="AL135" s="244" t="s">
        <v>2708</v>
      </c>
      <c r="AM135" s="244" t="s">
        <v>2708</v>
      </c>
      <c r="AN135" s="245" t="s">
        <v>2708</v>
      </c>
      <c r="AO135" s="245" t="s">
        <v>2708</v>
      </c>
      <c r="AP135" s="274">
        <v>352</v>
      </c>
    </row>
    <row r="136" spans="1:42" x14ac:dyDescent="0.2">
      <c r="A136" s="269">
        <v>134</v>
      </c>
      <c r="B136" s="270" t="s">
        <v>1901</v>
      </c>
      <c r="C136" s="271" t="s">
        <v>1251</v>
      </c>
      <c r="D136" s="272" t="s">
        <v>2708</v>
      </c>
      <c r="E136" s="273" t="s">
        <v>2708</v>
      </c>
      <c r="F136" s="22" t="s">
        <v>743</v>
      </c>
      <c r="G136" s="23" t="s">
        <v>743</v>
      </c>
      <c r="H136" s="24" t="s">
        <v>743</v>
      </c>
      <c r="I136" s="24" t="s">
        <v>743</v>
      </c>
      <c r="J136" s="25" t="s">
        <v>743</v>
      </c>
      <c r="K136" s="26">
        <v>38291</v>
      </c>
      <c r="L136" s="27" t="s">
        <v>2709</v>
      </c>
      <c r="M136" s="28">
        <v>359261</v>
      </c>
      <c r="N136" s="29">
        <v>6179107</v>
      </c>
      <c r="O136" s="32">
        <v>349</v>
      </c>
      <c r="P136" s="135"/>
      <c r="Q136" s="260">
        <v>350</v>
      </c>
      <c r="R136" s="32"/>
      <c r="S136" s="135">
        <v>18</v>
      </c>
      <c r="T136" s="260">
        <f t="shared" si="9"/>
        <v>18</v>
      </c>
      <c r="U136" s="30"/>
      <c r="V136" s="31">
        <v>330</v>
      </c>
      <c r="W136" s="31">
        <f t="shared" si="10"/>
        <v>330</v>
      </c>
      <c r="X136" s="260">
        <f t="shared" si="11"/>
        <v>5</v>
      </c>
      <c r="Y136" s="323">
        <v>0.88700000000000001</v>
      </c>
      <c r="Z136" s="323">
        <v>118253</v>
      </c>
      <c r="AA136" s="323">
        <v>542</v>
      </c>
      <c r="AB136" s="151"/>
      <c r="AC136" s="155">
        <v>1996</v>
      </c>
      <c r="AD136" s="254">
        <f t="shared" si="8"/>
        <v>7.8350444900752336</v>
      </c>
      <c r="AE136" s="152" t="s">
        <v>2708</v>
      </c>
      <c r="AF136" s="252" t="s">
        <v>2708</v>
      </c>
      <c r="AG136" s="242" t="s">
        <v>2708</v>
      </c>
      <c r="AH136" s="242" t="s">
        <v>2708</v>
      </c>
      <c r="AI136" s="243" t="s">
        <v>2708</v>
      </c>
      <c r="AJ136" s="244" t="s">
        <v>2708</v>
      </c>
      <c r="AK136" s="244" t="s">
        <v>2708</v>
      </c>
      <c r="AL136" s="244" t="s">
        <v>2708</v>
      </c>
      <c r="AM136" s="244" t="s">
        <v>2708</v>
      </c>
      <c r="AN136" s="245" t="s">
        <v>2708</v>
      </c>
      <c r="AO136" s="245" t="s">
        <v>2708</v>
      </c>
      <c r="AP136" s="274">
        <v>353</v>
      </c>
    </row>
    <row r="137" spans="1:42" x14ac:dyDescent="0.2">
      <c r="A137" s="269">
        <v>135</v>
      </c>
      <c r="B137" s="270" t="s">
        <v>1901</v>
      </c>
      <c r="C137" s="271" t="s">
        <v>1251</v>
      </c>
      <c r="D137" s="272" t="s">
        <v>2708</v>
      </c>
      <c r="E137" s="273" t="s">
        <v>2708</v>
      </c>
      <c r="F137" s="22" t="s">
        <v>743</v>
      </c>
      <c r="G137" s="23" t="s">
        <v>743</v>
      </c>
      <c r="H137" s="24" t="s">
        <v>743</v>
      </c>
      <c r="I137" s="24" t="s">
        <v>743</v>
      </c>
      <c r="J137" s="25" t="s">
        <v>743</v>
      </c>
      <c r="K137" s="26">
        <v>38291</v>
      </c>
      <c r="L137" s="27" t="s">
        <v>2709</v>
      </c>
      <c r="M137" s="28">
        <v>359223</v>
      </c>
      <c r="N137" s="29">
        <v>6179051</v>
      </c>
      <c r="O137" s="32">
        <v>345</v>
      </c>
      <c r="P137" s="135"/>
      <c r="Q137" s="260">
        <v>357</v>
      </c>
      <c r="R137" s="32"/>
      <c r="S137" s="135">
        <v>17</v>
      </c>
      <c r="T137" s="260">
        <f t="shared" si="9"/>
        <v>17</v>
      </c>
      <c r="U137" s="30"/>
      <c r="V137" s="31">
        <v>322</v>
      </c>
      <c r="W137" s="31">
        <f t="shared" si="10"/>
        <v>322</v>
      </c>
      <c r="X137" s="260">
        <f t="shared" si="11"/>
        <v>4</v>
      </c>
      <c r="Y137" s="323">
        <v>0.91200000000000003</v>
      </c>
      <c r="Z137" s="323">
        <v>116776</v>
      </c>
      <c r="AA137" s="323">
        <v>611</v>
      </c>
      <c r="AB137" s="151"/>
      <c r="AC137" s="155">
        <v>1996</v>
      </c>
      <c r="AD137" s="254">
        <f t="shared" si="8"/>
        <v>7.8350444900752336</v>
      </c>
      <c r="AE137" s="152" t="s">
        <v>2708</v>
      </c>
      <c r="AF137" s="252" t="s">
        <v>2708</v>
      </c>
      <c r="AG137" s="242" t="s">
        <v>2708</v>
      </c>
      <c r="AH137" s="242" t="s">
        <v>2708</v>
      </c>
      <c r="AI137" s="243" t="s">
        <v>2708</v>
      </c>
      <c r="AJ137" s="244" t="s">
        <v>2708</v>
      </c>
      <c r="AK137" s="244" t="s">
        <v>2708</v>
      </c>
      <c r="AL137" s="244" t="s">
        <v>2708</v>
      </c>
      <c r="AM137" s="244" t="s">
        <v>2708</v>
      </c>
      <c r="AN137" s="245" t="s">
        <v>2708</v>
      </c>
      <c r="AO137" s="245" t="s">
        <v>2708</v>
      </c>
      <c r="AP137" s="274">
        <v>354</v>
      </c>
    </row>
    <row r="138" spans="1:42" x14ac:dyDescent="0.2">
      <c r="A138" s="269">
        <v>136</v>
      </c>
      <c r="B138" s="270" t="s">
        <v>1901</v>
      </c>
      <c r="C138" s="271" t="s">
        <v>2248</v>
      </c>
      <c r="D138" s="272" t="s">
        <v>2708</v>
      </c>
      <c r="E138" s="273" t="s">
        <v>2708</v>
      </c>
      <c r="F138" s="22" t="s">
        <v>743</v>
      </c>
      <c r="G138" s="23" t="s">
        <v>743</v>
      </c>
      <c r="H138" s="24" t="s">
        <v>743</v>
      </c>
      <c r="I138" s="24" t="s">
        <v>743</v>
      </c>
      <c r="J138" s="25" t="s">
        <v>743</v>
      </c>
      <c r="K138" s="26">
        <v>38291</v>
      </c>
      <c r="L138" s="27" t="s">
        <v>2709</v>
      </c>
      <c r="M138" s="28">
        <v>359338</v>
      </c>
      <c r="N138" s="29">
        <v>6179002</v>
      </c>
      <c r="O138" s="32">
        <v>396</v>
      </c>
      <c r="P138" s="135"/>
      <c r="Q138" s="260">
        <v>397</v>
      </c>
      <c r="R138" s="32"/>
      <c r="S138" s="135">
        <v>19</v>
      </c>
      <c r="T138" s="260">
        <f t="shared" si="9"/>
        <v>19</v>
      </c>
      <c r="U138" s="30"/>
      <c r="V138" s="31">
        <v>313</v>
      </c>
      <c r="W138" s="31">
        <f t="shared" si="10"/>
        <v>313</v>
      </c>
      <c r="X138" s="260">
        <f t="shared" si="11"/>
        <v>4</v>
      </c>
      <c r="Y138" s="323">
        <v>0.56699999999999995</v>
      </c>
      <c r="Z138" s="323">
        <v>116205</v>
      </c>
      <c r="AA138" s="323">
        <v>694</v>
      </c>
      <c r="AB138" s="151"/>
      <c r="AC138" s="155">
        <v>1996</v>
      </c>
      <c r="AD138" s="254">
        <f t="shared" si="8"/>
        <v>7.8350444900752336</v>
      </c>
      <c r="AE138" s="152" t="s">
        <v>2708</v>
      </c>
      <c r="AF138" s="252" t="s">
        <v>2708</v>
      </c>
      <c r="AG138" s="242" t="s">
        <v>2708</v>
      </c>
      <c r="AH138" s="242" t="s">
        <v>2708</v>
      </c>
      <c r="AI138" s="243" t="s">
        <v>2708</v>
      </c>
      <c r="AJ138" s="244" t="s">
        <v>2708</v>
      </c>
      <c r="AK138" s="244" t="s">
        <v>2708</v>
      </c>
      <c r="AL138" s="244" t="s">
        <v>2708</v>
      </c>
      <c r="AM138" s="244" t="s">
        <v>2708</v>
      </c>
      <c r="AN138" s="245" t="s">
        <v>2708</v>
      </c>
      <c r="AO138" s="245" t="s">
        <v>2708</v>
      </c>
      <c r="AP138" s="274">
        <v>356</v>
      </c>
    </row>
    <row r="139" spans="1:42" x14ac:dyDescent="0.2">
      <c r="A139" s="269">
        <v>137</v>
      </c>
      <c r="B139" s="270" t="s">
        <v>1901</v>
      </c>
      <c r="C139" s="271" t="s">
        <v>2248</v>
      </c>
      <c r="D139" s="272" t="s">
        <v>2708</v>
      </c>
      <c r="E139" s="273" t="s">
        <v>2708</v>
      </c>
      <c r="F139" s="22" t="s">
        <v>743</v>
      </c>
      <c r="G139" s="23" t="s">
        <v>743</v>
      </c>
      <c r="H139" s="24" t="s">
        <v>743</v>
      </c>
      <c r="I139" s="24" t="s">
        <v>743</v>
      </c>
      <c r="J139" s="25" t="s">
        <v>743</v>
      </c>
      <c r="K139" s="26">
        <v>38291</v>
      </c>
      <c r="L139" s="27" t="s">
        <v>2709</v>
      </c>
      <c r="M139" s="28">
        <v>359445</v>
      </c>
      <c r="N139" s="29">
        <v>6178775</v>
      </c>
      <c r="O139" s="32">
        <v>388</v>
      </c>
      <c r="P139" s="135"/>
      <c r="Q139" s="260">
        <v>382</v>
      </c>
      <c r="R139" s="32"/>
      <c r="S139" s="135">
        <v>17</v>
      </c>
      <c r="T139" s="260">
        <f t="shared" si="9"/>
        <v>17</v>
      </c>
      <c r="U139" s="30"/>
      <c r="V139" s="31">
        <v>198</v>
      </c>
      <c r="W139" s="31">
        <f t="shared" si="10"/>
        <v>198</v>
      </c>
      <c r="X139" s="260">
        <f t="shared" si="11"/>
        <v>1</v>
      </c>
      <c r="Y139" s="323">
        <v>0.70899999999999996</v>
      </c>
      <c r="Z139" s="323">
        <v>88058</v>
      </c>
      <c r="AA139" s="323">
        <v>1355</v>
      </c>
      <c r="AB139" s="151"/>
      <c r="AC139" s="155">
        <v>1999</v>
      </c>
      <c r="AD139" s="254">
        <f t="shared" si="8"/>
        <v>4.8350444900752336</v>
      </c>
      <c r="AE139" s="152" t="s">
        <v>2708</v>
      </c>
      <c r="AF139" s="252" t="s">
        <v>2708</v>
      </c>
      <c r="AG139" s="242" t="s">
        <v>2708</v>
      </c>
      <c r="AH139" s="242" t="s">
        <v>2708</v>
      </c>
      <c r="AI139" s="243" t="s">
        <v>2708</v>
      </c>
      <c r="AJ139" s="244" t="s">
        <v>2708</v>
      </c>
      <c r="AK139" s="244" t="s">
        <v>2708</v>
      </c>
      <c r="AL139" s="244" t="s">
        <v>2708</v>
      </c>
      <c r="AM139" s="244" t="s">
        <v>2708</v>
      </c>
      <c r="AN139" s="245" t="s">
        <v>2708</v>
      </c>
      <c r="AO139" s="245" t="s">
        <v>2708</v>
      </c>
      <c r="AP139" s="274">
        <v>382</v>
      </c>
    </row>
    <row r="140" spans="1:42" x14ac:dyDescent="0.2">
      <c r="A140" s="269">
        <v>138</v>
      </c>
      <c r="B140" s="270" t="s">
        <v>1901</v>
      </c>
      <c r="C140" s="271" t="s">
        <v>2562</v>
      </c>
      <c r="D140" s="272" t="s">
        <v>2708</v>
      </c>
      <c r="E140" s="273" t="s">
        <v>2708</v>
      </c>
      <c r="F140" s="22" t="s">
        <v>743</v>
      </c>
      <c r="G140" s="23" t="s">
        <v>743</v>
      </c>
      <c r="H140" s="24" t="s">
        <v>743</v>
      </c>
      <c r="I140" s="24" t="s">
        <v>743</v>
      </c>
      <c r="J140" s="25" t="s">
        <v>743</v>
      </c>
      <c r="K140" s="26">
        <v>38291</v>
      </c>
      <c r="L140" s="27" t="s">
        <v>2709</v>
      </c>
      <c r="M140" s="28">
        <v>359416</v>
      </c>
      <c r="N140" s="29">
        <v>6178854</v>
      </c>
      <c r="O140" s="32">
        <v>411</v>
      </c>
      <c r="P140" s="135"/>
      <c r="Q140" s="260">
        <v>404</v>
      </c>
      <c r="R140" s="32"/>
      <c r="S140" s="135">
        <v>16</v>
      </c>
      <c r="T140" s="260">
        <f t="shared" si="9"/>
        <v>16</v>
      </c>
      <c r="U140" s="30"/>
      <c r="V140" s="31">
        <v>213</v>
      </c>
      <c r="W140" s="31">
        <f t="shared" si="10"/>
        <v>213</v>
      </c>
      <c r="X140" s="260">
        <f t="shared" si="11"/>
        <v>2</v>
      </c>
      <c r="Y140" s="323">
        <v>0.57799999999999996</v>
      </c>
      <c r="Z140" s="323">
        <v>92365</v>
      </c>
      <c r="AA140" s="323">
        <v>1391</v>
      </c>
      <c r="AB140" s="151"/>
      <c r="AC140" s="155">
        <v>2001</v>
      </c>
      <c r="AD140" s="254">
        <f t="shared" si="8"/>
        <v>2.8350444900752336</v>
      </c>
      <c r="AE140" s="152" t="s">
        <v>2708</v>
      </c>
      <c r="AF140" s="252" t="s">
        <v>2708</v>
      </c>
      <c r="AG140" s="242" t="s">
        <v>2708</v>
      </c>
      <c r="AH140" s="242" t="s">
        <v>2708</v>
      </c>
      <c r="AI140" s="243" t="s">
        <v>2708</v>
      </c>
      <c r="AJ140" s="244" t="s">
        <v>2708</v>
      </c>
      <c r="AK140" s="244" t="s">
        <v>2708</v>
      </c>
      <c r="AL140" s="244" t="s">
        <v>2708</v>
      </c>
      <c r="AM140" s="244" t="s">
        <v>2708</v>
      </c>
      <c r="AN140" s="245" t="s">
        <v>2708</v>
      </c>
      <c r="AO140" s="245" t="s">
        <v>2708</v>
      </c>
      <c r="AP140" s="274">
        <v>414</v>
      </c>
    </row>
    <row r="141" spans="1:42" x14ac:dyDescent="0.2">
      <c r="A141" s="269">
        <v>139</v>
      </c>
      <c r="B141" s="270" t="s">
        <v>1901</v>
      </c>
      <c r="C141" s="271" t="s">
        <v>1251</v>
      </c>
      <c r="D141" s="272" t="s">
        <v>2708</v>
      </c>
      <c r="E141" s="273" t="s">
        <v>2708</v>
      </c>
      <c r="F141" s="22" t="s">
        <v>743</v>
      </c>
      <c r="G141" s="23" t="s">
        <v>743</v>
      </c>
      <c r="H141" s="24" t="s">
        <v>743</v>
      </c>
      <c r="I141" s="24" t="s">
        <v>743</v>
      </c>
      <c r="J141" s="25" t="s">
        <v>743</v>
      </c>
      <c r="K141" s="26">
        <v>38291</v>
      </c>
      <c r="L141" s="27" t="s">
        <v>2709</v>
      </c>
      <c r="M141" s="28">
        <v>359335</v>
      </c>
      <c r="N141" s="29">
        <v>6178624</v>
      </c>
      <c r="O141" s="32">
        <v>340</v>
      </c>
      <c r="P141" s="135"/>
      <c r="Q141" s="260">
        <v>331</v>
      </c>
      <c r="R141" s="32"/>
      <c r="S141" s="135">
        <v>21</v>
      </c>
      <c r="T141" s="260">
        <f t="shared" si="9"/>
        <v>21</v>
      </c>
      <c r="U141" s="30"/>
      <c r="V141" s="31">
        <v>178</v>
      </c>
      <c r="W141" s="31">
        <f t="shared" si="10"/>
        <v>178</v>
      </c>
      <c r="X141" s="260">
        <f t="shared" si="11"/>
        <v>1</v>
      </c>
      <c r="Y141" s="323">
        <v>0.67200000000000004</v>
      </c>
      <c r="Z141" s="323">
        <v>79949</v>
      </c>
      <c r="AA141" s="323">
        <v>798</v>
      </c>
      <c r="AB141" s="151"/>
      <c r="AC141" s="155">
        <v>1996</v>
      </c>
      <c r="AD141" s="254">
        <f t="shared" si="8"/>
        <v>7.8350444900752336</v>
      </c>
      <c r="AE141" s="152" t="s">
        <v>2708</v>
      </c>
      <c r="AF141" s="252" t="s">
        <v>2708</v>
      </c>
      <c r="AG141" s="242" t="s">
        <v>2708</v>
      </c>
      <c r="AH141" s="242" t="s">
        <v>2708</v>
      </c>
      <c r="AI141" s="243" t="s">
        <v>2708</v>
      </c>
      <c r="AJ141" s="244" t="s">
        <v>2708</v>
      </c>
      <c r="AK141" s="244" t="s">
        <v>2708</v>
      </c>
      <c r="AL141" s="244" t="s">
        <v>2708</v>
      </c>
      <c r="AM141" s="244" t="s">
        <v>2708</v>
      </c>
      <c r="AN141" s="245" t="s">
        <v>2708</v>
      </c>
      <c r="AO141" s="245" t="s">
        <v>2708</v>
      </c>
      <c r="AP141" s="274">
        <v>415</v>
      </c>
    </row>
    <row r="142" spans="1:42" x14ac:dyDescent="0.2">
      <c r="A142" s="269">
        <v>140</v>
      </c>
      <c r="B142" s="270" t="s">
        <v>1901</v>
      </c>
      <c r="C142" s="271" t="s">
        <v>1251</v>
      </c>
      <c r="D142" s="272" t="s">
        <v>2708</v>
      </c>
      <c r="E142" s="273" t="s">
        <v>2708</v>
      </c>
      <c r="F142" s="22" t="s">
        <v>743</v>
      </c>
      <c r="G142" s="23" t="s">
        <v>743</v>
      </c>
      <c r="H142" s="24" t="s">
        <v>743</v>
      </c>
      <c r="I142" s="24" t="s">
        <v>743</v>
      </c>
      <c r="J142" s="25" t="s">
        <v>743</v>
      </c>
      <c r="K142" s="26">
        <v>38291</v>
      </c>
      <c r="L142" s="27" t="s">
        <v>2709</v>
      </c>
      <c r="M142" s="28">
        <v>359083</v>
      </c>
      <c r="N142" s="29">
        <v>6178881</v>
      </c>
      <c r="O142" s="32">
        <v>357</v>
      </c>
      <c r="P142" s="135"/>
      <c r="Q142" s="260">
        <v>351</v>
      </c>
      <c r="R142" s="32"/>
      <c r="S142" s="135">
        <v>6</v>
      </c>
      <c r="T142" s="260">
        <f t="shared" si="9"/>
        <v>6</v>
      </c>
      <c r="U142" s="30"/>
      <c r="V142" s="31">
        <v>298</v>
      </c>
      <c r="W142" s="31">
        <f t="shared" si="10"/>
        <v>298</v>
      </c>
      <c r="X142" s="260">
        <f t="shared" si="11"/>
        <v>4</v>
      </c>
      <c r="Y142" s="323">
        <v>0.497</v>
      </c>
      <c r="Z142" s="323">
        <v>110352</v>
      </c>
      <c r="AA142" s="323">
        <v>1146</v>
      </c>
      <c r="AB142" s="151"/>
      <c r="AC142" s="155">
        <v>1996</v>
      </c>
      <c r="AD142" s="254">
        <f t="shared" si="8"/>
        <v>7.8350444900752336</v>
      </c>
      <c r="AE142" s="152" t="s">
        <v>2708</v>
      </c>
      <c r="AF142" s="252" t="s">
        <v>2708</v>
      </c>
      <c r="AG142" s="242" t="s">
        <v>2708</v>
      </c>
      <c r="AH142" s="242" t="s">
        <v>2708</v>
      </c>
      <c r="AI142" s="243" t="s">
        <v>2708</v>
      </c>
      <c r="AJ142" s="244" t="s">
        <v>2708</v>
      </c>
      <c r="AK142" s="244" t="s">
        <v>2708</v>
      </c>
      <c r="AL142" s="244" t="s">
        <v>2708</v>
      </c>
      <c r="AM142" s="244" t="s">
        <v>2708</v>
      </c>
      <c r="AN142" s="245" t="s">
        <v>2708</v>
      </c>
      <c r="AO142" s="245" t="s">
        <v>2708</v>
      </c>
      <c r="AP142" s="274">
        <v>419</v>
      </c>
    </row>
    <row r="143" spans="1:42" x14ac:dyDescent="0.2">
      <c r="A143" s="269">
        <v>141</v>
      </c>
      <c r="B143" s="270" t="s">
        <v>1901</v>
      </c>
      <c r="C143" s="271" t="s">
        <v>2247</v>
      </c>
      <c r="D143" s="272" t="s">
        <v>2708</v>
      </c>
      <c r="E143" s="273" t="s">
        <v>2708</v>
      </c>
      <c r="F143" s="22" t="s">
        <v>743</v>
      </c>
      <c r="G143" s="23" t="s">
        <v>743</v>
      </c>
      <c r="H143" s="24" t="s">
        <v>743</v>
      </c>
      <c r="I143" s="24" t="s">
        <v>743</v>
      </c>
      <c r="J143" s="25" t="s">
        <v>743</v>
      </c>
      <c r="K143" s="26">
        <v>38291</v>
      </c>
      <c r="L143" s="27" t="s">
        <v>2709</v>
      </c>
      <c r="M143" s="28">
        <v>358900</v>
      </c>
      <c r="N143" s="29">
        <v>6178935</v>
      </c>
      <c r="O143" s="32">
        <v>329</v>
      </c>
      <c r="P143" s="135"/>
      <c r="Q143" s="260">
        <v>323</v>
      </c>
      <c r="R143" s="32"/>
      <c r="S143" s="135">
        <v>10</v>
      </c>
      <c r="T143" s="260">
        <f t="shared" si="9"/>
        <v>10</v>
      </c>
      <c r="U143" s="30"/>
      <c r="V143" s="31">
        <v>286</v>
      </c>
      <c r="W143" s="31">
        <f t="shared" si="10"/>
        <v>286</v>
      </c>
      <c r="X143" s="260">
        <f t="shared" si="11"/>
        <v>3</v>
      </c>
      <c r="Y143" s="323">
        <v>1.496</v>
      </c>
      <c r="Z143" s="323">
        <v>109182</v>
      </c>
      <c r="AA143" s="323">
        <v>950</v>
      </c>
      <c r="AB143" s="151"/>
      <c r="AC143" s="155">
        <v>1996</v>
      </c>
      <c r="AD143" s="254">
        <f t="shared" si="8"/>
        <v>7.8350444900752336</v>
      </c>
      <c r="AE143" s="152" t="s">
        <v>2708</v>
      </c>
      <c r="AF143" s="252" t="s">
        <v>2708</v>
      </c>
      <c r="AG143" s="242" t="s">
        <v>2708</v>
      </c>
      <c r="AH143" s="242" t="s">
        <v>2708</v>
      </c>
      <c r="AI143" s="243" t="s">
        <v>2708</v>
      </c>
      <c r="AJ143" s="244" t="s">
        <v>2708</v>
      </c>
      <c r="AK143" s="244" t="s">
        <v>2708</v>
      </c>
      <c r="AL143" s="244" t="s">
        <v>2708</v>
      </c>
      <c r="AM143" s="244" t="s">
        <v>2708</v>
      </c>
      <c r="AN143" s="245" t="s">
        <v>2708</v>
      </c>
      <c r="AO143" s="245" t="s">
        <v>2708</v>
      </c>
      <c r="AP143" s="274">
        <v>421</v>
      </c>
    </row>
    <row r="144" spans="1:42" x14ac:dyDescent="0.2">
      <c r="A144" s="269">
        <v>142</v>
      </c>
      <c r="B144" s="270" t="s">
        <v>1901</v>
      </c>
      <c r="C144" s="271" t="s">
        <v>2669</v>
      </c>
      <c r="D144" s="272" t="s">
        <v>2708</v>
      </c>
      <c r="E144" s="273" t="s">
        <v>2708</v>
      </c>
      <c r="F144" s="22" t="s">
        <v>743</v>
      </c>
      <c r="G144" s="23" t="s">
        <v>743</v>
      </c>
      <c r="H144" s="24" t="s">
        <v>743</v>
      </c>
      <c r="I144" s="24" t="s">
        <v>743</v>
      </c>
      <c r="J144" s="25" t="s">
        <v>743</v>
      </c>
      <c r="K144" s="26">
        <v>38291</v>
      </c>
      <c r="L144" s="27" t="s">
        <v>2709</v>
      </c>
      <c r="M144" s="28">
        <v>358605</v>
      </c>
      <c r="N144" s="29">
        <v>6179065</v>
      </c>
      <c r="O144" s="32">
        <v>289</v>
      </c>
      <c r="P144" s="135"/>
      <c r="Q144" s="260">
        <v>287</v>
      </c>
      <c r="R144" s="32"/>
      <c r="S144" s="135">
        <v>5</v>
      </c>
      <c r="T144" s="260">
        <f t="shared" si="9"/>
        <v>5</v>
      </c>
      <c r="U144" s="30"/>
      <c r="V144" s="31">
        <v>271</v>
      </c>
      <c r="W144" s="31">
        <f t="shared" si="10"/>
        <v>271</v>
      </c>
      <c r="X144" s="260">
        <f t="shared" si="11"/>
        <v>3</v>
      </c>
      <c r="Y144" s="323">
        <v>0.63300000000000001</v>
      </c>
      <c r="Z144" s="323">
        <v>107076</v>
      </c>
      <c r="AA144" s="323">
        <v>1135</v>
      </c>
      <c r="AB144" s="151"/>
      <c r="AC144" s="155">
        <v>1996</v>
      </c>
      <c r="AD144" s="254">
        <f t="shared" si="8"/>
        <v>7.8350444900752336</v>
      </c>
      <c r="AE144" s="152" t="s">
        <v>2708</v>
      </c>
      <c r="AF144" s="252" t="s">
        <v>2708</v>
      </c>
      <c r="AG144" s="242" t="s">
        <v>2708</v>
      </c>
      <c r="AH144" s="242" t="s">
        <v>2708</v>
      </c>
      <c r="AI144" s="243" t="s">
        <v>2708</v>
      </c>
      <c r="AJ144" s="244" t="s">
        <v>2708</v>
      </c>
      <c r="AK144" s="244" t="s">
        <v>2708</v>
      </c>
      <c r="AL144" s="244" t="s">
        <v>2708</v>
      </c>
      <c r="AM144" s="244" t="s">
        <v>2708</v>
      </c>
      <c r="AN144" s="245" t="s">
        <v>2708</v>
      </c>
      <c r="AO144" s="245" t="s">
        <v>2708</v>
      </c>
      <c r="AP144" s="274">
        <v>423</v>
      </c>
    </row>
    <row r="145" spans="1:42" x14ac:dyDescent="0.2">
      <c r="A145" s="269">
        <v>143</v>
      </c>
      <c r="B145" s="270" t="s">
        <v>1901</v>
      </c>
      <c r="C145" s="271" t="s">
        <v>2618</v>
      </c>
      <c r="D145" s="272" t="s">
        <v>2708</v>
      </c>
      <c r="E145" s="273" t="s">
        <v>2708</v>
      </c>
      <c r="F145" s="22" t="s">
        <v>743</v>
      </c>
      <c r="G145" s="23" t="s">
        <v>743</v>
      </c>
      <c r="H145" s="24" t="s">
        <v>743</v>
      </c>
      <c r="I145" s="24" t="s">
        <v>743</v>
      </c>
      <c r="J145" s="25" t="s">
        <v>743</v>
      </c>
      <c r="K145" s="26">
        <v>38291</v>
      </c>
      <c r="L145" s="27" t="s">
        <v>2709</v>
      </c>
      <c r="M145" s="28">
        <v>358417</v>
      </c>
      <c r="N145" s="29">
        <v>6179015</v>
      </c>
      <c r="O145" s="32">
        <v>310</v>
      </c>
      <c r="P145" s="135"/>
      <c r="Q145" s="260">
        <v>270</v>
      </c>
      <c r="R145" s="32"/>
      <c r="S145" s="135">
        <v>6</v>
      </c>
      <c r="T145" s="260">
        <f t="shared" si="9"/>
        <v>6</v>
      </c>
      <c r="U145" s="30"/>
      <c r="V145" s="31">
        <v>261</v>
      </c>
      <c r="W145" s="31">
        <f t="shared" si="10"/>
        <v>261</v>
      </c>
      <c r="X145" s="260">
        <f t="shared" si="11"/>
        <v>3</v>
      </c>
      <c r="Y145" s="323">
        <v>0.219</v>
      </c>
      <c r="Z145" s="323">
        <v>105783</v>
      </c>
      <c r="AA145" s="323">
        <v>932</v>
      </c>
      <c r="AB145" s="151"/>
      <c r="AC145" s="155">
        <v>1996</v>
      </c>
      <c r="AD145" s="254">
        <f t="shared" si="8"/>
        <v>7.8350444900752336</v>
      </c>
      <c r="AE145" s="152" t="s">
        <v>2708</v>
      </c>
      <c r="AF145" s="252" t="s">
        <v>2708</v>
      </c>
      <c r="AG145" s="242" t="s">
        <v>2708</v>
      </c>
      <c r="AH145" s="242" t="s">
        <v>2708</v>
      </c>
      <c r="AI145" s="243" t="s">
        <v>2708</v>
      </c>
      <c r="AJ145" s="244" t="s">
        <v>2708</v>
      </c>
      <c r="AK145" s="244" t="s">
        <v>2708</v>
      </c>
      <c r="AL145" s="244" t="s">
        <v>2708</v>
      </c>
      <c r="AM145" s="244" t="s">
        <v>2708</v>
      </c>
      <c r="AN145" s="245" t="s">
        <v>2708</v>
      </c>
      <c r="AO145" s="245" t="s">
        <v>2708</v>
      </c>
      <c r="AP145" s="274">
        <v>425</v>
      </c>
    </row>
    <row r="146" spans="1:42" x14ac:dyDescent="0.2">
      <c r="A146" s="269">
        <v>144</v>
      </c>
      <c r="B146" s="270" t="s">
        <v>1901</v>
      </c>
      <c r="C146" s="271" t="s">
        <v>2620</v>
      </c>
      <c r="D146" s="272" t="s">
        <v>2708</v>
      </c>
      <c r="E146" s="273" t="s">
        <v>2708</v>
      </c>
      <c r="F146" s="22" t="s">
        <v>743</v>
      </c>
      <c r="G146" s="23" t="s">
        <v>743</v>
      </c>
      <c r="H146" s="24" t="s">
        <v>743</v>
      </c>
      <c r="I146" s="24" t="s">
        <v>743</v>
      </c>
      <c r="J146" s="25" t="s">
        <v>743</v>
      </c>
      <c r="K146" s="26">
        <v>38294</v>
      </c>
      <c r="L146" s="27" t="s">
        <v>2709</v>
      </c>
      <c r="M146" s="28">
        <v>358231</v>
      </c>
      <c r="N146" s="29">
        <v>6179133</v>
      </c>
      <c r="O146" s="32">
        <v>243</v>
      </c>
      <c r="P146" s="135"/>
      <c r="Q146" s="260">
        <v>253</v>
      </c>
      <c r="R146" s="32"/>
      <c r="S146" s="135">
        <v>3</v>
      </c>
      <c r="T146" s="260">
        <f t="shared" si="9"/>
        <v>3</v>
      </c>
      <c r="U146" s="30"/>
      <c r="V146" s="31">
        <v>286</v>
      </c>
      <c r="W146" s="31">
        <f t="shared" si="10"/>
        <v>286</v>
      </c>
      <c r="X146" s="260">
        <f t="shared" si="11"/>
        <v>3</v>
      </c>
      <c r="Y146" s="323">
        <v>1.1659999999999999</v>
      </c>
      <c r="Z146" s="323">
        <v>107575</v>
      </c>
      <c r="AA146" s="323">
        <v>1173</v>
      </c>
      <c r="AB146" s="151"/>
      <c r="AC146" s="155">
        <v>1996</v>
      </c>
      <c r="AD146" s="254">
        <f t="shared" si="8"/>
        <v>7.8432580424366733</v>
      </c>
      <c r="AE146" s="152" t="s">
        <v>2708</v>
      </c>
      <c r="AF146" s="252" t="s">
        <v>2708</v>
      </c>
      <c r="AG146" s="242" t="s">
        <v>2708</v>
      </c>
      <c r="AH146" s="242" t="s">
        <v>2252</v>
      </c>
      <c r="AI146" s="243">
        <v>6.3</v>
      </c>
      <c r="AJ146" s="244">
        <v>3190</v>
      </c>
      <c r="AK146" s="244">
        <v>24</v>
      </c>
      <c r="AL146" s="244">
        <v>18</v>
      </c>
      <c r="AM146" s="244">
        <v>14</v>
      </c>
      <c r="AN146" s="245">
        <v>3.63</v>
      </c>
      <c r="AO146" s="245">
        <v>0.35</v>
      </c>
      <c r="AP146" s="274">
        <v>433</v>
      </c>
    </row>
    <row r="147" spans="1:42" x14ac:dyDescent="0.2">
      <c r="A147" s="269">
        <v>145</v>
      </c>
      <c r="B147" s="270" t="s">
        <v>1901</v>
      </c>
      <c r="C147" s="271" t="s">
        <v>2620</v>
      </c>
      <c r="D147" s="272" t="s">
        <v>2708</v>
      </c>
      <c r="E147" s="273" t="s">
        <v>2708</v>
      </c>
      <c r="F147" s="22" t="s">
        <v>743</v>
      </c>
      <c r="G147" s="23" t="s">
        <v>743</v>
      </c>
      <c r="H147" s="24" t="s">
        <v>743</v>
      </c>
      <c r="I147" s="24" t="s">
        <v>743</v>
      </c>
      <c r="J147" s="25" t="s">
        <v>743</v>
      </c>
      <c r="K147" s="26">
        <v>38294</v>
      </c>
      <c r="L147" s="27" t="s">
        <v>2709</v>
      </c>
      <c r="M147" s="28">
        <v>358872</v>
      </c>
      <c r="N147" s="29">
        <v>6179202</v>
      </c>
      <c r="O147" s="32">
        <v>307</v>
      </c>
      <c r="P147" s="135"/>
      <c r="Q147" s="260">
        <v>301</v>
      </c>
      <c r="R147" s="32"/>
      <c r="S147" s="135">
        <v>4</v>
      </c>
      <c r="T147" s="260">
        <f t="shared" si="9"/>
        <v>4</v>
      </c>
      <c r="U147" s="30"/>
      <c r="V147" s="31">
        <v>347</v>
      </c>
      <c r="W147" s="31">
        <f t="shared" si="10"/>
        <v>347</v>
      </c>
      <c r="X147" s="260">
        <f t="shared" si="11"/>
        <v>5</v>
      </c>
      <c r="Y147" s="323">
        <v>0.80500000000000005</v>
      </c>
      <c r="Z147" s="323">
        <v>110172</v>
      </c>
      <c r="AA147" s="323">
        <v>894</v>
      </c>
      <c r="AB147" s="151"/>
      <c r="AC147" s="155">
        <v>2000</v>
      </c>
      <c r="AD147" s="254">
        <f t="shared" si="8"/>
        <v>3.8432580424366733</v>
      </c>
      <c r="AE147" s="152" t="s">
        <v>2708</v>
      </c>
      <c r="AF147" s="252" t="s">
        <v>2708</v>
      </c>
      <c r="AG147" s="242" t="s">
        <v>2708</v>
      </c>
      <c r="AH147" s="242" t="s">
        <v>2252</v>
      </c>
      <c r="AI147" s="243">
        <v>6.2</v>
      </c>
      <c r="AJ147" s="244">
        <v>5920</v>
      </c>
      <c r="AK147" s="244">
        <v>15</v>
      </c>
      <c r="AL147" s="244">
        <v>8</v>
      </c>
      <c r="AM147" s="244">
        <v>9</v>
      </c>
      <c r="AN147" s="245">
        <v>2.87</v>
      </c>
      <c r="AO147" s="245">
        <v>0.37</v>
      </c>
      <c r="AP147" s="274">
        <v>434</v>
      </c>
    </row>
    <row r="148" spans="1:42" x14ac:dyDescent="0.2">
      <c r="A148" s="269">
        <v>146</v>
      </c>
      <c r="B148" s="270" t="s">
        <v>1901</v>
      </c>
      <c r="C148" s="271" t="s">
        <v>2671</v>
      </c>
      <c r="D148" s="272" t="s">
        <v>2708</v>
      </c>
      <c r="E148" s="273" t="s">
        <v>2708</v>
      </c>
      <c r="F148" s="22" t="s">
        <v>743</v>
      </c>
      <c r="G148" s="23" t="s">
        <v>743</v>
      </c>
      <c r="H148" s="24" t="s">
        <v>743</v>
      </c>
      <c r="I148" s="24" t="s">
        <v>743</v>
      </c>
      <c r="J148" s="25" t="s">
        <v>743</v>
      </c>
      <c r="K148" s="26">
        <v>38294</v>
      </c>
      <c r="L148" s="27" t="s">
        <v>2709</v>
      </c>
      <c r="M148" s="28">
        <v>354692</v>
      </c>
      <c r="N148" s="29">
        <v>6175522</v>
      </c>
      <c r="O148" s="32">
        <v>272</v>
      </c>
      <c r="P148" s="135"/>
      <c r="Q148" s="260">
        <v>275</v>
      </c>
      <c r="R148" s="32"/>
      <c r="S148" s="135">
        <v>17</v>
      </c>
      <c r="T148" s="260">
        <f t="shared" si="9"/>
        <v>17</v>
      </c>
      <c r="U148" s="30"/>
      <c r="V148" s="31">
        <v>341</v>
      </c>
      <c r="W148" s="31">
        <f t="shared" si="10"/>
        <v>341</v>
      </c>
      <c r="X148" s="260">
        <f t="shared" si="11"/>
        <v>5</v>
      </c>
      <c r="Y148" s="323">
        <v>0.36599999999999999</v>
      </c>
      <c r="Z148" s="323">
        <v>118149</v>
      </c>
      <c r="AA148" s="323">
        <v>646</v>
      </c>
      <c r="AB148" s="151"/>
      <c r="AC148" s="155">
        <v>1994</v>
      </c>
      <c r="AD148" s="254">
        <f t="shared" si="8"/>
        <v>9.8432580424366733</v>
      </c>
      <c r="AE148" s="152" t="s">
        <v>2708</v>
      </c>
      <c r="AF148" s="252" t="s">
        <v>2708</v>
      </c>
      <c r="AG148" s="242" t="s">
        <v>2708</v>
      </c>
      <c r="AH148" s="242" t="s">
        <v>2708</v>
      </c>
      <c r="AI148" s="243" t="s">
        <v>2708</v>
      </c>
      <c r="AJ148" s="244" t="s">
        <v>2708</v>
      </c>
      <c r="AK148" s="244" t="s">
        <v>2708</v>
      </c>
      <c r="AL148" s="244" t="s">
        <v>2708</v>
      </c>
      <c r="AM148" s="244" t="s">
        <v>2708</v>
      </c>
      <c r="AN148" s="245" t="s">
        <v>2708</v>
      </c>
      <c r="AO148" s="245" t="s">
        <v>2708</v>
      </c>
      <c r="AP148" s="274">
        <v>435</v>
      </c>
    </row>
    <row r="149" spans="1:42" x14ac:dyDescent="0.2">
      <c r="A149" s="269">
        <v>147</v>
      </c>
      <c r="B149" s="270" t="s">
        <v>1901</v>
      </c>
      <c r="C149" s="271" t="s">
        <v>2671</v>
      </c>
      <c r="D149" s="272" t="s">
        <v>2708</v>
      </c>
      <c r="E149" s="273" t="s">
        <v>2708</v>
      </c>
      <c r="F149" s="22" t="s">
        <v>743</v>
      </c>
      <c r="G149" s="23" t="s">
        <v>743</v>
      </c>
      <c r="H149" s="24" t="s">
        <v>743</v>
      </c>
      <c r="I149" s="24" t="s">
        <v>743</v>
      </c>
      <c r="J149" s="25" t="s">
        <v>743</v>
      </c>
      <c r="K149" s="26">
        <v>38294</v>
      </c>
      <c r="L149" s="27" t="s">
        <v>2709</v>
      </c>
      <c r="M149" s="28">
        <v>354712</v>
      </c>
      <c r="N149" s="29">
        <v>6175495</v>
      </c>
      <c r="O149" s="32">
        <v>285</v>
      </c>
      <c r="P149" s="135"/>
      <c r="Q149" s="260">
        <v>286</v>
      </c>
      <c r="R149" s="32"/>
      <c r="S149" s="135">
        <v>19</v>
      </c>
      <c r="T149" s="260">
        <f t="shared" si="9"/>
        <v>19</v>
      </c>
      <c r="U149" s="30"/>
      <c r="V149" s="31">
        <v>342</v>
      </c>
      <c r="W149" s="31">
        <f t="shared" si="10"/>
        <v>342</v>
      </c>
      <c r="X149" s="260">
        <f t="shared" si="11"/>
        <v>5</v>
      </c>
      <c r="Y149" s="323">
        <v>0.81399999999999995</v>
      </c>
      <c r="Z149" s="323">
        <v>118873</v>
      </c>
      <c r="AA149" s="323">
        <v>633</v>
      </c>
      <c r="AB149" s="151"/>
      <c r="AC149" s="155">
        <v>1994</v>
      </c>
      <c r="AD149" s="254">
        <f t="shared" si="8"/>
        <v>9.8432580424366733</v>
      </c>
      <c r="AE149" s="152" t="s">
        <v>2708</v>
      </c>
      <c r="AF149" s="252" t="s">
        <v>2708</v>
      </c>
      <c r="AG149" s="242" t="s">
        <v>2708</v>
      </c>
      <c r="AH149" s="242" t="s">
        <v>2708</v>
      </c>
      <c r="AI149" s="243" t="s">
        <v>2708</v>
      </c>
      <c r="AJ149" s="244" t="s">
        <v>2708</v>
      </c>
      <c r="AK149" s="244" t="s">
        <v>2708</v>
      </c>
      <c r="AL149" s="244" t="s">
        <v>2708</v>
      </c>
      <c r="AM149" s="244" t="s">
        <v>2708</v>
      </c>
      <c r="AN149" s="245" t="s">
        <v>2708</v>
      </c>
      <c r="AO149" s="245" t="s">
        <v>2708</v>
      </c>
      <c r="AP149" s="274">
        <v>437</v>
      </c>
    </row>
    <row r="150" spans="1:42" x14ac:dyDescent="0.2">
      <c r="A150" s="269">
        <v>148</v>
      </c>
      <c r="B150" s="270" t="s">
        <v>1901</v>
      </c>
      <c r="C150" s="271" t="s">
        <v>2617</v>
      </c>
      <c r="D150" s="272" t="s">
        <v>2708</v>
      </c>
      <c r="E150" s="273" t="s">
        <v>2708</v>
      </c>
      <c r="F150" s="22" t="s">
        <v>743</v>
      </c>
      <c r="G150" s="23" t="s">
        <v>743</v>
      </c>
      <c r="H150" s="24" t="s">
        <v>743</v>
      </c>
      <c r="I150" s="24" t="s">
        <v>743</v>
      </c>
      <c r="J150" s="25" t="s">
        <v>743</v>
      </c>
      <c r="K150" s="26">
        <v>38294</v>
      </c>
      <c r="L150" s="27" t="s">
        <v>2709</v>
      </c>
      <c r="M150" s="28">
        <v>354682</v>
      </c>
      <c r="N150" s="29">
        <v>6175411</v>
      </c>
      <c r="O150" s="32">
        <v>303</v>
      </c>
      <c r="P150" s="135"/>
      <c r="Q150" s="260">
        <v>304</v>
      </c>
      <c r="R150" s="32"/>
      <c r="S150" s="135">
        <v>12</v>
      </c>
      <c r="T150" s="260">
        <f t="shared" si="9"/>
        <v>12</v>
      </c>
      <c r="U150" s="30"/>
      <c r="V150" s="31">
        <v>333</v>
      </c>
      <c r="W150" s="31">
        <f t="shared" si="10"/>
        <v>333</v>
      </c>
      <c r="X150" s="260">
        <f t="shared" si="11"/>
        <v>5</v>
      </c>
      <c r="Y150" s="323">
        <v>1.1319999999999999</v>
      </c>
      <c r="Z150" s="323">
        <v>115655</v>
      </c>
      <c r="AA150" s="323">
        <v>832</v>
      </c>
      <c r="AB150" s="151"/>
      <c r="AC150" s="155">
        <v>1994</v>
      </c>
      <c r="AD150" s="254">
        <f t="shared" si="8"/>
        <v>9.8432580424366733</v>
      </c>
      <c r="AE150" s="152" t="s">
        <v>2708</v>
      </c>
      <c r="AF150" s="252" t="s">
        <v>2708</v>
      </c>
      <c r="AG150" s="242" t="s">
        <v>2708</v>
      </c>
      <c r="AH150" s="242" t="s">
        <v>2708</v>
      </c>
      <c r="AI150" s="243" t="s">
        <v>2708</v>
      </c>
      <c r="AJ150" s="244" t="s">
        <v>2708</v>
      </c>
      <c r="AK150" s="244" t="s">
        <v>2708</v>
      </c>
      <c r="AL150" s="244" t="s">
        <v>2708</v>
      </c>
      <c r="AM150" s="244" t="s">
        <v>2708</v>
      </c>
      <c r="AN150" s="245" t="s">
        <v>2708</v>
      </c>
      <c r="AO150" s="245" t="s">
        <v>2708</v>
      </c>
      <c r="AP150" s="274">
        <v>440</v>
      </c>
    </row>
    <row r="151" spans="1:42" x14ac:dyDescent="0.2">
      <c r="A151" s="269">
        <v>149</v>
      </c>
      <c r="B151" s="270" t="s">
        <v>1901</v>
      </c>
      <c r="C151" s="271" t="s">
        <v>2671</v>
      </c>
      <c r="D151" s="272" t="s">
        <v>2708</v>
      </c>
      <c r="E151" s="273" t="s">
        <v>2708</v>
      </c>
      <c r="F151" s="22" t="s">
        <v>743</v>
      </c>
      <c r="G151" s="23" t="s">
        <v>743</v>
      </c>
      <c r="H151" s="24" t="s">
        <v>743</v>
      </c>
      <c r="I151" s="24" t="s">
        <v>743</v>
      </c>
      <c r="J151" s="25" t="s">
        <v>743</v>
      </c>
      <c r="K151" s="26">
        <v>38294</v>
      </c>
      <c r="L151" s="27" t="s">
        <v>2709</v>
      </c>
      <c r="M151" s="28">
        <v>354630</v>
      </c>
      <c r="N151" s="29">
        <v>6175398</v>
      </c>
      <c r="O151" s="32">
        <v>299</v>
      </c>
      <c r="P151" s="135"/>
      <c r="Q151" s="260">
        <v>301</v>
      </c>
      <c r="R151" s="32"/>
      <c r="S151" s="135">
        <v>14</v>
      </c>
      <c r="T151" s="260">
        <f t="shared" si="9"/>
        <v>14</v>
      </c>
      <c r="U151" s="30"/>
      <c r="V151" s="31">
        <v>325</v>
      </c>
      <c r="W151" s="31">
        <f t="shared" si="10"/>
        <v>325</v>
      </c>
      <c r="X151" s="260">
        <f t="shared" si="11"/>
        <v>4</v>
      </c>
      <c r="Y151" s="323">
        <v>0.88400000000000001</v>
      </c>
      <c r="Z151" s="323">
        <v>115780</v>
      </c>
      <c r="AA151" s="323">
        <v>799</v>
      </c>
      <c r="AB151" s="151"/>
      <c r="AC151" s="155">
        <v>1994</v>
      </c>
      <c r="AD151" s="254">
        <f t="shared" si="8"/>
        <v>9.8432580424366733</v>
      </c>
      <c r="AE151" s="152" t="s">
        <v>2708</v>
      </c>
      <c r="AF151" s="252" t="s">
        <v>2708</v>
      </c>
      <c r="AG151" s="242" t="s">
        <v>2708</v>
      </c>
      <c r="AH151" s="242" t="s">
        <v>2708</v>
      </c>
      <c r="AI151" s="243" t="s">
        <v>2708</v>
      </c>
      <c r="AJ151" s="244" t="s">
        <v>2708</v>
      </c>
      <c r="AK151" s="244" t="s">
        <v>2708</v>
      </c>
      <c r="AL151" s="244" t="s">
        <v>2708</v>
      </c>
      <c r="AM151" s="244" t="s">
        <v>2708</v>
      </c>
      <c r="AN151" s="245" t="s">
        <v>2708</v>
      </c>
      <c r="AO151" s="245" t="s">
        <v>2708</v>
      </c>
      <c r="AP151" s="274">
        <v>441</v>
      </c>
    </row>
    <row r="152" spans="1:42" x14ac:dyDescent="0.2">
      <c r="A152" s="269">
        <v>150</v>
      </c>
      <c r="B152" s="270" t="s">
        <v>1901</v>
      </c>
      <c r="C152" s="271" t="s">
        <v>2618</v>
      </c>
      <c r="D152" s="272" t="s">
        <v>2708</v>
      </c>
      <c r="E152" s="273" t="s">
        <v>2708</v>
      </c>
      <c r="F152" s="22" t="s">
        <v>743</v>
      </c>
      <c r="G152" s="23" t="s">
        <v>743</v>
      </c>
      <c r="H152" s="24" t="s">
        <v>743</v>
      </c>
      <c r="I152" s="24" t="s">
        <v>743</v>
      </c>
      <c r="J152" s="25" t="s">
        <v>743</v>
      </c>
      <c r="K152" s="26">
        <v>38294</v>
      </c>
      <c r="L152" s="27" t="s">
        <v>2709</v>
      </c>
      <c r="M152" s="28">
        <v>355281</v>
      </c>
      <c r="N152" s="29">
        <v>6175238</v>
      </c>
      <c r="O152" s="32">
        <v>303</v>
      </c>
      <c r="P152" s="135"/>
      <c r="Q152" s="260">
        <v>309</v>
      </c>
      <c r="R152" s="32"/>
      <c r="S152" s="135">
        <v>9</v>
      </c>
      <c r="T152" s="260">
        <f t="shared" si="9"/>
        <v>9</v>
      </c>
      <c r="U152" s="30"/>
      <c r="V152" s="31">
        <v>71</v>
      </c>
      <c r="W152" s="31">
        <f t="shared" si="10"/>
        <v>71</v>
      </c>
      <c r="X152" s="260">
        <f t="shared" si="11"/>
        <v>3</v>
      </c>
      <c r="Y152" s="323">
        <v>0.745</v>
      </c>
      <c r="Z152" s="323">
        <v>109534</v>
      </c>
      <c r="AA152" s="323">
        <v>1510</v>
      </c>
      <c r="AB152" s="151"/>
      <c r="AC152" s="155">
        <v>1994</v>
      </c>
      <c r="AD152" s="254">
        <f t="shared" si="8"/>
        <v>9.8432580424366733</v>
      </c>
      <c r="AE152" s="152" t="s">
        <v>2708</v>
      </c>
      <c r="AF152" s="252" t="s">
        <v>2708</v>
      </c>
      <c r="AG152" s="242" t="s">
        <v>2708</v>
      </c>
      <c r="AH152" s="242" t="s">
        <v>2708</v>
      </c>
      <c r="AI152" s="243" t="s">
        <v>2708</v>
      </c>
      <c r="AJ152" s="244" t="s">
        <v>2708</v>
      </c>
      <c r="AK152" s="244" t="s">
        <v>2708</v>
      </c>
      <c r="AL152" s="244" t="s">
        <v>2708</v>
      </c>
      <c r="AM152" s="244" t="s">
        <v>2708</v>
      </c>
      <c r="AN152" s="245" t="s">
        <v>2708</v>
      </c>
      <c r="AO152" s="245" t="s">
        <v>2708</v>
      </c>
      <c r="AP152" s="274">
        <v>447</v>
      </c>
    </row>
    <row r="153" spans="1:42" x14ac:dyDescent="0.2">
      <c r="A153" s="269">
        <v>151</v>
      </c>
      <c r="B153" s="270" t="s">
        <v>1901</v>
      </c>
      <c r="C153" s="271" t="s">
        <v>2618</v>
      </c>
      <c r="D153" s="272" t="s">
        <v>2708</v>
      </c>
      <c r="E153" s="273" t="s">
        <v>2708</v>
      </c>
      <c r="F153" s="22" t="s">
        <v>743</v>
      </c>
      <c r="G153" s="23" t="s">
        <v>743</v>
      </c>
      <c r="H153" s="24" t="s">
        <v>743</v>
      </c>
      <c r="I153" s="24" t="s">
        <v>743</v>
      </c>
      <c r="J153" s="25" t="s">
        <v>743</v>
      </c>
      <c r="K153" s="26">
        <v>38294</v>
      </c>
      <c r="L153" s="27" t="s">
        <v>2709</v>
      </c>
      <c r="M153" s="28">
        <v>355431</v>
      </c>
      <c r="N153" s="29">
        <v>6175319</v>
      </c>
      <c r="O153" s="32">
        <v>281</v>
      </c>
      <c r="P153" s="135"/>
      <c r="Q153" s="260">
        <v>281</v>
      </c>
      <c r="R153" s="32"/>
      <c r="S153" s="135">
        <v>10</v>
      </c>
      <c r="T153" s="260">
        <f t="shared" si="9"/>
        <v>10</v>
      </c>
      <c r="U153" s="30"/>
      <c r="V153" s="31">
        <v>121</v>
      </c>
      <c r="W153" s="31">
        <f t="shared" si="10"/>
        <v>121</v>
      </c>
      <c r="X153" s="260">
        <f t="shared" si="11"/>
        <v>2</v>
      </c>
      <c r="Y153" s="323">
        <v>0.35099999999999998</v>
      </c>
      <c r="Z153" s="323">
        <v>100578</v>
      </c>
      <c r="AA153" s="323">
        <v>1417</v>
      </c>
      <c r="AB153" s="151"/>
      <c r="AC153" s="155">
        <v>1994</v>
      </c>
      <c r="AD153" s="254">
        <f t="shared" si="8"/>
        <v>9.8432580424366733</v>
      </c>
      <c r="AE153" s="152" t="s">
        <v>2708</v>
      </c>
      <c r="AF153" s="252" t="s">
        <v>2708</v>
      </c>
      <c r="AG153" s="242" t="s">
        <v>2708</v>
      </c>
      <c r="AH153" s="242" t="s">
        <v>2708</v>
      </c>
      <c r="AI153" s="243" t="s">
        <v>2708</v>
      </c>
      <c r="AJ153" s="244" t="s">
        <v>2708</v>
      </c>
      <c r="AK153" s="244" t="s">
        <v>2708</v>
      </c>
      <c r="AL153" s="244" t="s">
        <v>2708</v>
      </c>
      <c r="AM153" s="244" t="s">
        <v>2708</v>
      </c>
      <c r="AN153" s="245" t="s">
        <v>2708</v>
      </c>
      <c r="AO153" s="245" t="s">
        <v>2708</v>
      </c>
      <c r="AP153" s="274">
        <v>448</v>
      </c>
    </row>
    <row r="154" spans="1:42" x14ac:dyDescent="0.2">
      <c r="A154" s="269">
        <v>152</v>
      </c>
      <c r="B154" s="270" t="s">
        <v>1901</v>
      </c>
      <c r="C154" s="271" t="s">
        <v>2618</v>
      </c>
      <c r="D154" s="272" t="s">
        <v>2708</v>
      </c>
      <c r="E154" s="273" t="s">
        <v>2708</v>
      </c>
      <c r="F154" s="22" t="s">
        <v>743</v>
      </c>
      <c r="G154" s="23" t="s">
        <v>743</v>
      </c>
      <c r="H154" s="24" t="s">
        <v>743</v>
      </c>
      <c r="I154" s="24" t="s">
        <v>743</v>
      </c>
      <c r="J154" s="25" t="s">
        <v>743</v>
      </c>
      <c r="K154" s="26">
        <v>38294</v>
      </c>
      <c r="L154" s="27" t="s">
        <v>2709</v>
      </c>
      <c r="M154" s="28">
        <v>355413</v>
      </c>
      <c r="N154" s="29">
        <v>6175194</v>
      </c>
      <c r="O154" s="32">
        <v>286</v>
      </c>
      <c r="P154" s="135"/>
      <c r="Q154" s="260">
        <v>288</v>
      </c>
      <c r="R154" s="32"/>
      <c r="S154" s="135">
        <v>14</v>
      </c>
      <c r="T154" s="260">
        <f t="shared" si="9"/>
        <v>14</v>
      </c>
      <c r="U154" s="30"/>
      <c r="V154" s="31">
        <v>39</v>
      </c>
      <c r="W154" s="31">
        <f t="shared" si="10"/>
        <v>39</v>
      </c>
      <c r="X154" s="260">
        <f t="shared" si="11"/>
        <v>4</v>
      </c>
      <c r="Y154" s="323">
        <v>1.202</v>
      </c>
      <c r="Z154" s="323">
        <v>114373</v>
      </c>
      <c r="AA154" s="323">
        <v>1053</v>
      </c>
      <c r="AB154" s="151"/>
      <c r="AC154" s="155">
        <v>1994</v>
      </c>
      <c r="AD154" s="254">
        <f t="shared" si="8"/>
        <v>9.8432580424366733</v>
      </c>
      <c r="AE154" s="152" t="s">
        <v>2708</v>
      </c>
      <c r="AF154" s="252" t="s">
        <v>2708</v>
      </c>
      <c r="AG154" s="242" t="s">
        <v>2708</v>
      </c>
      <c r="AH154" s="242" t="s">
        <v>2708</v>
      </c>
      <c r="AI154" s="243" t="s">
        <v>2708</v>
      </c>
      <c r="AJ154" s="244" t="s">
        <v>2708</v>
      </c>
      <c r="AK154" s="244" t="s">
        <v>2708</v>
      </c>
      <c r="AL154" s="244" t="s">
        <v>2708</v>
      </c>
      <c r="AM154" s="244" t="s">
        <v>2708</v>
      </c>
      <c r="AN154" s="245" t="s">
        <v>2708</v>
      </c>
      <c r="AO154" s="245" t="s">
        <v>2708</v>
      </c>
      <c r="AP154" s="274">
        <v>452</v>
      </c>
    </row>
    <row r="155" spans="1:42" x14ac:dyDescent="0.2">
      <c r="A155" s="269">
        <v>153</v>
      </c>
      <c r="B155" s="270" t="s">
        <v>1901</v>
      </c>
      <c r="C155" s="271" t="s">
        <v>2562</v>
      </c>
      <c r="D155" s="272" t="s">
        <v>2708</v>
      </c>
      <c r="E155" s="273" t="s">
        <v>2708</v>
      </c>
      <c r="F155" s="22" t="s">
        <v>743</v>
      </c>
      <c r="G155" s="23" t="s">
        <v>743</v>
      </c>
      <c r="H155" s="24" t="s">
        <v>743</v>
      </c>
      <c r="I155" s="24" t="s">
        <v>743</v>
      </c>
      <c r="J155" s="25" t="s">
        <v>743</v>
      </c>
      <c r="K155" s="26">
        <v>38294</v>
      </c>
      <c r="L155" s="27" t="s">
        <v>2709</v>
      </c>
      <c r="M155" s="28">
        <v>355738</v>
      </c>
      <c r="N155" s="29">
        <v>6174998</v>
      </c>
      <c r="O155" s="32">
        <v>270</v>
      </c>
      <c r="P155" s="135"/>
      <c r="Q155" s="260">
        <v>266</v>
      </c>
      <c r="R155" s="32"/>
      <c r="S155" s="135">
        <v>13</v>
      </c>
      <c r="T155" s="260">
        <f t="shared" si="9"/>
        <v>13</v>
      </c>
      <c r="U155" s="30"/>
      <c r="V155" s="31">
        <v>80</v>
      </c>
      <c r="W155" s="31">
        <f t="shared" si="10"/>
        <v>80</v>
      </c>
      <c r="X155" s="260">
        <f t="shared" si="11"/>
        <v>3</v>
      </c>
      <c r="Y155" s="323">
        <v>1.3640000000000001</v>
      </c>
      <c r="Z155" s="323">
        <v>107110</v>
      </c>
      <c r="AA155" s="323">
        <v>1380</v>
      </c>
      <c r="AB155" s="151"/>
      <c r="AC155" s="155">
        <v>1994</v>
      </c>
      <c r="AD155" s="254">
        <f t="shared" si="8"/>
        <v>9.8432580424366733</v>
      </c>
      <c r="AE155" s="152" t="s">
        <v>2708</v>
      </c>
      <c r="AF155" s="252" t="s">
        <v>2708</v>
      </c>
      <c r="AG155" s="242" t="s">
        <v>2708</v>
      </c>
      <c r="AH155" s="242" t="s">
        <v>2708</v>
      </c>
      <c r="AI155" s="243" t="s">
        <v>2708</v>
      </c>
      <c r="AJ155" s="244" t="s">
        <v>2708</v>
      </c>
      <c r="AK155" s="244" t="s">
        <v>2708</v>
      </c>
      <c r="AL155" s="244" t="s">
        <v>2708</v>
      </c>
      <c r="AM155" s="244" t="s">
        <v>2708</v>
      </c>
      <c r="AN155" s="245" t="s">
        <v>2708</v>
      </c>
      <c r="AO155" s="245" t="s">
        <v>2708</v>
      </c>
      <c r="AP155" s="274">
        <v>457</v>
      </c>
    </row>
    <row r="156" spans="1:42" x14ac:dyDescent="0.2">
      <c r="A156" s="269">
        <v>154</v>
      </c>
      <c r="B156" s="270" t="s">
        <v>1901</v>
      </c>
      <c r="C156" s="271" t="s">
        <v>2617</v>
      </c>
      <c r="D156" s="272" t="s">
        <v>2708</v>
      </c>
      <c r="E156" s="273" t="s">
        <v>2708</v>
      </c>
      <c r="F156" s="22" t="s">
        <v>743</v>
      </c>
      <c r="G156" s="23" t="s">
        <v>743</v>
      </c>
      <c r="H156" s="24" t="s">
        <v>743</v>
      </c>
      <c r="I156" s="24" t="s">
        <v>743</v>
      </c>
      <c r="J156" s="25" t="s">
        <v>743</v>
      </c>
      <c r="K156" s="26">
        <v>38294</v>
      </c>
      <c r="L156" s="27" t="s">
        <v>2709</v>
      </c>
      <c r="M156" s="28">
        <v>355904</v>
      </c>
      <c r="N156" s="29">
        <v>6175069</v>
      </c>
      <c r="O156" s="32">
        <v>232</v>
      </c>
      <c r="P156" s="135"/>
      <c r="Q156" s="260">
        <v>231</v>
      </c>
      <c r="R156" s="32"/>
      <c r="S156" s="135">
        <v>9</v>
      </c>
      <c r="T156" s="260">
        <f t="shared" si="9"/>
        <v>9</v>
      </c>
      <c r="U156" s="30"/>
      <c r="V156" s="31">
        <v>65</v>
      </c>
      <c r="W156" s="31">
        <f t="shared" si="10"/>
        <v>65</v>
      </c>
      <c r="X156" s="260">
        <f t="shared" si="11"/>
        <v>4</v>
      </c>
      <c r="Y156" s="323">
        <v>1.0960000000000001</v>
      </c>
      <c r="Z156" s="323">
        <v>109083</v>
      </c>
      <c r="AA156" s="323">
        <v>1354</v>
      </c>
      <c r="AB156" s="151"/>
      <c r="AC156" s="155">
        <v>1994</v>
      </c>
      <c r="AD156" s="254">
        <f t="shared" si="8"/>
        <v>9.8432580424366733</v>
      </c>
      <c r="AE156" s="152" t="s">
        <v>2708</v>
      </c>
      <c r="AF156" s="252" t="s">
        <v>2708</v>
      </c>
      <c r="AG156" s="242" t="s">
        <v>2708</v>
      </c>
      <c r="AH156" s="242" t="s">
        <v>2708</v>
      </c>
      <c r="AI156" s="243" t="s">
        <v>2708</v>
      </c>
      <c r="AJ156" s="244" t="s">
        <v>2708</v>
      </c>
      <c r="AK156" s="244" t="s">
        <v>2708</v>
      </c>
      <c r="AL156" s="244" t="s">
        <v>2708</v>
      </c>
      <c r="AM156" s="244" t="s">
        <v>2708</v>
      </c>
      <c r="AN156" s="245" t="s">
        <v>2708</v>
      </c>
      <c r="AO156" s="245" t="s">
        <v>2708</v>
      </c>
      <c r="AP156" s="274">
        <v>460</v>
      </c>
    </row>
    <row r="157" spans="1:42" x14ac:dyDescent="0.2">
      <c r="A157" s="269">
        <v>155</v>
      </c>
      <c r="B157" s="270" t="s">
        <v>1901</v>
      </c>
      <c r="C157" s="271" t="s">
        <v>2669</v>
      </c>
      <c r="D157" s="272" t="s">
        <v>2708</v>
      </c>
      <c r="E157" s="273" t="s">
        <v>2708</v>
      </c>
      <c r="F157" s="22" t="s">
        <v>743</v>
      </c>
      <c r="G157" s="23" t="s">
        <v>743</v>
      </c>
      <c r="H157" s="24" t="s">
        <v>743</v>
      </c>
      <c r="I157" s="24" t="s">
        <v>743</v>
      </c>
      <c r="J157" s="25" t="s">
        <v>743</v>
      </c>
      <c r="K157" s="26">
        <v>38294</v>
      </c>
      <c r="L157" s="27" t="s">
        <v>2709</v>
      </c>
      <c r="M157" s="28">
        <v>355885</v>
      </c>
      <c r="N157" s="29">
        <v>6175157</v>
      </c>
      <c r="O157" s="32">
        <v>220</v>
      </c>
      <c r="P157" s="135"/>
      <c r="Q157" s="260">
        <v>225</v>
      </c>
      <c r="R157" s="32"/>
      <c r="S157" s="135">
        <v>16</v>
      </c>
      <c r="T157" s="260">
        <f t="shared" si="9"/>
        <v>16</v>
      </c>
      <c r="U157" s="30"/>
      <c r="V157" s="31">
        <v>61</v>
      </c>
      <c r="W157" s="31">
        <f t="shared" si="10"/>
        <v>61</v>
      </c>
      <c r="X157" s="260">
        <f t="shared" si="11"/>
        <v>4</v>
      </c>
      <c r="Y157" s="323">
        <v>0.754</v>
      </c>
      <c r="Z157" s="323">
        <v>110096</v>
      </c>
      <c r="AA157" s="323">
        <v>1285</v>
      </c>
      <c r="AB157" s="151"/>
      <c r="AC157" s="155">
        <v>1994</v>
      </c>
      <c r="AD157" s="254">
        <f t="shared" si="8"/>
        <v>9.8432580424366733</v>
      </c>
      <c r="AE157" s="152" t="s">
        <v>2708</v>
      </c>
      <c r="AF157" s="252" t="s">
        <v>2708</v>
      </c>
      <c r="AG157" s="242" t="s">
        <v>2708</v>
      </c>
      <c r="AH157" s="242" t="s">
        <v>2708</v>
      </c>
      <c r="AI157" s="243" t="s">
        <v>2708</v>
      </c>
      <c r="AJ157" s="244" t="s">
        <v>2708</v>
      </c>
      <c r="AK157" s="244" t="s">
        <v>2708</v>
      </c>
      <c r="AL157" s="244" t="s">
        <v>2708</v>
      </c>
      <c r="AM157" s="244" t="s">
        <v>2708</v>
      </c>
      <c r="AN157" s="245" t="s">
        <v>2708</v>
      </c>
      <c r="AO157" s="245" t="s">
        <v>2708</v>
      </c>
      <c r="AP157" s="274">
        <v>462</v>
      </c>
    </row>
    <row r="158" spans="1:42" x14ac:dyDescent="0.2">
      <c r="A158" s="269">
        <v>156</v>
      </c>
      <c r="B158" s="270" t="s">
        <v>1901</v>
      </c>
      <c r="C158" s="271" t="s">
        <v>2618</v>
      </c>
      <c r="D158" s="272" t="s">
        <v>2708</v>
      </c>
      <c r="E158" s="273" t="s">
        <v>2708</v>
      </c>
      <c r="F158" s="22" t="s">
        <v>743</v>
      </c>
      <c r="G158" s="23" t="s">
        <v>743</v>
      </c>
      <c r="H158" s="24" t="s">
        <v>743</v>
      </c>
      <c r="I158" s="24" t="s">
        <v>743</v>
      </c>
      <c r="J158" s="25" t="s">
        <v>743</v>
      </c>
      <c r="K158" s="26">
        <v>38294</v>
      </c>
      <c r="L158" s="27" t="s">
        <v>2709</v>
      </c>
      <c r="M158" s="28">
        <v>355752</v>
      </c>
      <c r="N158" s="29">
        <v>6175225</v>
      </c>
      <c r="O158" s="32">
        <v>243</v>
      </c>
      <c r="P158" s="135"/>
      <c r="Q158" s="260">
        <v>249</v>
      </c>
      <c r="R158" s="32"/>
      <c r="S158" s="135">
        <v>12</v>
      </c>
      <c r="T158" s="260">
        <f t="shared" si="9"/>
        <v>12</v>
      </c>
      <c r="U158" s="30"/>
      <c r="V158" s="31">
        <v>59</v>
      </c>
      <c r="W158" s="31">
        <f t="shared" si="10"/>
        <v>59</v>
      </c>
      <c r="X158" s="260">
        <f t="shared" si="11"/>
        <v>4</v>
      </c>
      <c r="Y158" s="323">
        <v>0.98299999999999998</v>
      </c>
      <c r="Z158" s="323">
        <v>110650</v>
      </c>
      <c r="AA158" s="323">
        <v>1415</v>
      </c>
      <c r="AB158" s="151"/>
      <c r="AC158" s="155">
        <v>1994</v>
      </c>
      <c r="AD158" s="254">
        <f t="shared" si="8"/>
        <v>9.8432580424366733</v>
      </c>
      <c r="AE158" s="152" t="s">
        <v>2708</v>
      </c>
      <c r="AF158" s="252" t="s">
        <v>2708</v>
      </c>
      <c r="AG158" s="242" t="s">
        <v>2708</v>
      </c>
      <c r="AH158" s="242" t="s">
        <v>2708</v>
      </c>
      <c r="AI158" s="243" t="s">
        <v>2708</v>
      </c>
      <c r="AJ158" s="244" t="s">
        <v>2708</v>
      </c>
      <c r="AK158" s="244" t="s">
        <v>2708</v>
      </c>
      <c r="AL158" s="244" t="s">
        <v>2708</v>
      </c>
      <c r="AM158" s="244" t="s">
        <v>2708</v>
      </c>
      <c r="AN158" s="245" t="s">
        <v>2708</v>
      </c>
      <c r="AO158" s="245" t="s">
        <v>2708</v>
      </c>
      <c r="AP158" s="274">
        <v>464</v>
      </c>
    </row>
    <row r="159" spans="1:42" x14ac:dyDescent="0.2">
      <c r="A159" s="269">
        <v>157</v>
      </c>
      <c r="B159" s="270" t="s">
        <v>1901</v>
      </c>
      <c r="C159" s="271" t="s">
        <v>2669</v>
      </c>
      <c r="D159" s="272" t="s">
        <v>2708</v>
      </c>
      <c r="E159" s="273" t="s">
        <v>2708</v>
      </c>
      <c r="F159" s="22" t="s">
        <v>743</v>
      </c>
      <c r="G159" s="23" t="s">
        <v>743</v>
      </c>
      <c r="H159" s="24" t="s">
        <v>743</v>
      </c>
      <c r="I159" s="24" t="s">
        <v>743</v>
      </c>
      <c r="J159" s="25" t="s">
        <v>743</v>
      </c>
      <c r="K159" s="26">
        <v>38294</v>
      </c>
      <c r="L159" s="27" t="s">
        <v>2709</v>
      </c>
      <c r="M159" s="28">
        <v>355388</v>
      </c>
      <c r="N159" s="29">
        <v>6175299</v>
      </c>
      <c r="O159" s="32">
        <v>284</v>
      </c>
      <c r="P159" s="135"/>
      <c r="Q159" s="260">
        <v>287</v>
      </c>
      <c r="R159" s="32"/>
      <c r="S159" s="135">
        <v>11</v>
      </c>
      <c r="T159" s="260">
        <f t="shared" si="9"/>
        <v>11</v>
      </c>
      <c r="U159" s="30"/>
      <c r="V159" s="31">
        <v>99</v>
      </c>
      <c r="W159" s="31">
        <f t="shared" si="10"/>
        <v>99</v>
      </c>
      <c r="X159" s="260">
        <f t="shared" si="11"/>
        <v>3</v>
      </c>
      <c r="Y159" s="323">
        <v>0.84199999999999997</v>
      </c>
      <c r="Z159" s="323">
        <v>104361</v>
      </c>
      <c r="AA159" s="323">
        <v>1404</v>
      </c>
      <c r="AB159" s="151"/>
      <c r="AC159" s="155">
        <v>1994</v>
      </c>
      <c r="AD159" s="254">
        <f t="shared" si="8"/>
        <v>9.8432580424366733</v>
      </c>
      <c r="AE159" s="152" t="s">
        <v>2708</v>
      </c>
      <c r="AF159" s="252" t="s">
        <v>2708</v>
      </c>
      <c r="AG159" s="242" t="s">
        <v>2708</v>
      </c>
      <c r="AH159" s="242" t="s">
        <v>2708</v>
      </c>
      <c r="AI159" s="243" t="s">
        <v>2708</v>
      </c>
      <c r="AJ159" s="244" t="s">
        <v>2708</v>
      </c>
      <c r="AK159" s="244" t="s">
        <v>2708</v>
      </c>
      <c r="AL159" s="244" t="s">
        <v>2708</v>
      </c>
      <c r="AM159" s="244" t="s">
        <v>2708</v>
      </c>
      <c r="AN159" s="245" t="s">
        <v>2708</v>
      </c>
      <c r="AO159" s="245" t="s">
        <v>2708</v>
      </c>
      <c r="AP159" s="274">
        <v>471</v>
      </c>
    </row>
    <row r="160" spans="1:42" x14ac:dyDescent="0.2">
      <c r="A160" s="269">
        <v>158</v>
      </c>
      <c r="B160" s="270" t="s">
        <v>1901</v>
      </c>
      <c r="C160" s="271" t="s">
        <v>2669</v>
      </c>
      <c r="D160" s="272" t="s">
        <v>2708</v>
      </c>
      <c r="E160" s="273" t="s">
        <v>2708</v>
      </c>
      <c r="F160" s="22" t="s">
        <v>743</v>
      </c>
      <c r="G160" s="23" t="s">
        <v>743</v>
      </c>
      <c r="H160" s="24" t="s">
        <v>743</v>
      </c>
      <c r="I160" s="24" t="s">
        <v>743</v>
      </c>
      <c r="J160" s="25" t="s">
        <v>743</v>
      </c>
      <c r="K160" s="26">
        <v>38294</v>
      </c>
      <c r="L160" s="27" t="s">
        <v>2709</v>
      </c>
      <c r="M160" s="28">
        <v>355320</v>
      </c>
      <c r="N160" s="29">
        <v>6175418</v>
      </c>
      <c r="O160" s="32">
        <v>284</v>
      </c>
      <c r="P160" s="135"/>
      <c r="Q160" s="260">
        <v>290</v>
      </c>
      <c r="R160" s="32"/>
      <c r="S160" s="135">
        <v>9</v>
      </c>
      <c r="T160" s="260">
        <f t="shared" si="9"/>
        <v>9</v>
      </c>
      <c r="U160" s="30"/>
      <c r="V160" s="31">
        <v>27</v>
      </c>
      <c r="W160" s="31">
        <f t="shared" si="10"/>
        <v>27</v>
      </c>
      <c r="X160" s="260">
        <f t="shared" si="11"/>
        <v>5</v>
      </c>
      <c r="Y160" s="323">
        <v>0.26100000000000001</v>
      </c>
      <c r="Z160" s="323">
        <v>113994</v>
      </c>
      <c r="AA160" s="323">
        <v>1482</v>
      </c>
      <c r="AB160" s="151"/>
      <c r="AC160" s="155">
        <v>1994</v>
      </c>
      <c r="AD160" s="254">
        <f t="shared" si="8"/>
        <v>9.8432580424366733</v>
      </c>
      <c r="AE160" s="152" t="s">
        <v>2708</v>
      </c>
      <c r="AF160" s="252" t="s">
        <v>2708</v>
      </c>
      <c r="AG160" s="242" t="s">
        <v>2708</v>
      </c>
      <c r="AH160" s="242" t="s">
        <v>2708</v>
      </c>
      <c r="AI160" s="243" t="s">
        <v>2708</v>
      </c>
      <c r="AJ160" s="244" t="s">
        <v>2708</v>
      </c>
      <c r="AK160" s="244" t="s">
        <v>2708</v>
      </c>
      <c r="AL160" s="244" t="s">
        <v>2708</v>
      </c>
      <c r="AM160" s="244" t="s">
        <v>2708</v>
      </c>
      <c r="AN160" s="245" t="s">
        <v>2708</v>
      </c>
      <c r="AO160" s="245" t="s">
        <v>2708</v>
      </c>
      <c r="AP160" s="274">
        <v>474</v>
      </c>
    </row>
    <row r="161" spans="1:42" x14ac:dyDescent="0.2">
      <c r="A161" s="269">
        <v>159</v>
      </c>
      <c r="B161" s="270" t="s">
        <v>1901</v>
      </c>
      <c r="C161" s="271" t="s">
        <v>2669</v>
      </c>
      <c r="D161" s="272" t="s">
        <v>2708</v>
      </c>
      <c r="E161" s="273" t="s">
        <v>2708</v>
      </c>
      <c r="F161" s="22" t="s">
        <v>743</v>
      </c>
      <c r="G161" s="23" t="s">
        <v>743</v>
      </c>
      <c r="H161" s="24" t="s">
        <v>743</v>
      </c>
      <c r="I161" s="24" t="s">
        <v>743</v>
      </c>
      <c r="J161" s="25" t="s">
        <v>743</v>
      </c>
      <c r="K161" s="26">
        <v>38294</v>
      </c>
      <c r="L161" s="27" t="s">
        <v>2709</v>
      </c>
      <c r="M161" s="28">
        <v>355331</v>
      </c>
      <c r="N161" s="29">
        <v>6175667</v>
      </c>
      <c r="O161" s="32">
        <v>246</v>
      </c>
      <c r="P161" s="135"/>
      <c r="Q161" s="260">
        <v>247</v>
      </c>
      <c r="R161" s="32"/>
      <c r="S161" s="135">
        <v>13</v>
      </c>
      <c r="T161" s="260">
        <f t="shared" si="9"/>
        <v>13</v>
      </c>
      <c r="U161" s="30"/>
      <c r="V161" s="31">
        <v>23</v>
      </c>
      <c r="W161" s="31">
        <f t="shared" si="10"/>
        <v>23</v>
      </c>
      <c r="X161" s="260">
        <f t="shared" si="11"/>
        <v>5</v>
      </c>
      <c r="Y161" s="323">
        <v>0.83</v>
      </c>
      <c r="Z161" s="323">
        <v>114930</v>
      </c>
      <c r="AA161" s="323">
        <v>994</v>
      </c>
      <c r="AB161" s="151"/>
      <c r="AC161" s="155">
        <v>1994</v>
      </c>
      <c r="AD161" s="254">
        <f t="shared" si="8"/>
        <v>9.8432580424366733</v>
      </c>
      <c r="AE161" s="152" t="s">
        <v>2708</v>
      </c>
      <c r="AF161" s="252" t="s">
        <v>2708</v>
      </c>
      <c r="AG161" s="242" t="s">
        <v>2708</v>
      </c>
      <c r="AH161" s="242" t="s">
        <v>2708</v>
      </c>
      <c r="AI161" s="243" t="s">
        <v>2708</v>
      </c>
      <c r="AJ161" s="244" t="s">
        <v>2708</v>
      </c>
      <c r="AK161" s="244" t="s">
        <v>2708</v>
      </c>
      <c r="AL161" s="244" t="s">
        <v>2708</v>
      </c>
      <c r="AM161" s="244" t="s">
        <v>2708</v>
      </c>
      <c r="AN161" s="245" t="s">
        <v>2708</v>
      </c>
      <c r="AO161" s="245" t="s">
        <v>2708</v>
      </c>
      <c r="AP161" s="274">
        <v>475</v>
      </c>
    </row>
    <row r="162" spans="1:42" x14ac:dyDescent="0.2">
      <c r="A162" s="269">
        <v>160</v>
      </c>
      <c r="B162" s="270" t="s">
        <v>1901</v>
      </c>
      <c r="C162" s="271" t="s">
        <v>2669</v>
      </c>
      <c r="D162" s="272" t="s">
        <v>2708</v>
      </c>
      <c r="E162" s="273" t="s">
        <v>2708</v>
      </c>
      <c r="F162" s="22" t="s">
        <v>743</v>
      </c>
      <c r="G162" s="23" t="s">
        <v>743</v>
      </c>
      <c r="H162" s="24" t="s">
        <v>743</v>
      </c>
      <c r="I162" s="24" t="s">
        <v>743</v>
      </c>
      <c r="J162" s="25" t="s">
        <v>743</v>
      </c>
      <c r="K162" s="26">
        <v>38294</v>
      </c>
      <c r="L162" s="27" t="s">
        <v>2709</v>
      </c>
      <c r="M162" s="28">
        <v>354955</v>
      </c>
      <c r="N162" s="29">
        <v>6175596</v>
      </c>
      <c r="O162" s="32">
        <v>270</v>
      </c>
      <c r="P162" s="135"/>
      <c r="Q162" s="260">
        <v>273</v>
      </c>
      <c r="R162" s="32"/>
      <c r="S162" s="135">
        <v>18</v>
      </c>
      <c r="T162" s="260">
        <f t="shared" si="9"/>
        <v>18</v>
      </c>
      <c r="U162" s="30"/>
      <c r="V162" s="31">
        <v>31</v>
      </c>
      <c r="W162" s="31">
        <f t="shared" si="10"/>
        <v>31</v>
      </c>
      <c r="X162" s="260">
        <f t="shared" si="11"/>
        <v>5</v>
      </c>
      <c r="Y162" s="323">
        <v>0.74</v>
      </c>
      <c r="Z162" s="323">
        <v>116099</v>
      </c>
      <c r="AA162" s="323">
        <v>760</v>
      </c>
      <c r="AB162" s="151"/>
      <c r="AC162" s="155">
        <v>1994</v>
      </c>
      <c r="AD162" s="254">
        <f t="shared" si="8"/>
        <v>9.8432580424366733</v>
      </c>
      <c r="AE162" s="152" t="s">
        <v>2708</v>
      </c>
      <c r="AF162" s="252" t="s">
        <v>2708</v>
      </c>
      <c r="AG162" s="242" t="s">
        <v>2708</v>
      </c>
      <c r="AH162" s="242" t="s">
        <v>2708</v>
      </c>
      <c r="AI162" s="243" t="s">
        <v>2708</v>
      </c>
      <c r="AJ162" s="244" t="s">
        <v>2708</v>
      </c>
      <c r="AK162" s="244" t="s">
        <v>2708</v>
      </c>
      <c r="AL162" s="244" t="s">
        <v>2708</v>
      </c>
      <c r="AM162" s="244" t="s">
        <v>2708</v>
      </c>
      <c r="AN162" s="245" t="s">
        <v>2708</v>
      </c>
      <c r="AO162" s="245" t="s">
        <v>2708</v>
      </c>
      <c r="AP162" s="274">
        <v>478</v>
      </c>
    </row>
    <row r="163" spans="1:42" x14ac:dyDescent="0.2">
      <c r="A163" s="269">
        <v>161</v>
      </c>
      <c r="B163" s="270" t="s">
        <v>1901</v>
      </c>
      <c r="C163" s="271" t="s">
        <v>2668</v>
      </c>
      <c r="D163" s="272" t="s">
        <v>2708</v>
      </c>
      <c r="E163" s="273" t="s">
        <v>2708</v>
      </c>
      <c r="F163" s="22" t="s">
        <v>743</v>
      </c>
      <c r="G163" s="23" t="s">
        <v>743</v>
      </c>
      <c r="H163" s="24" t="s">
        <v>743</v>
      </c>
      <c r="I163" s="24" t="s">
        <v>743</v>
      </c>
      <c r="J163" s="25" t="s">
        <v>743</v>
      </c>
      <c r="K163" s="26">
        <v>38295</v>
      </c>
      <c r="L163" s="27" t="s">
        <v>2709</v>
      </c>
      <c r="M163" s="28">
        <v>358561</v>
      </c>
      <c r="N163" s="29">
        <v>6178650</v>
      </c>
      <c r="O163" s="32">
        <v>279</v>
      </c>
      <c r="P163" s="135"/>
      <c r="Q163" s="260">
        <v>278</v>
      </c>
      <c r="R163" s="32"/>
      <c r="S163" s="135">
        <v>11</v>
      </c>
      <c r="T163" s="260">
        <f t="shared" si="9"/>
        <v>11</v>
      </c>
      <c r="U163" s="30"/>
      <c r="V163" s="31">
        <v>17</v>
      </c>
      <c r="W163" s="31">
        <f t="shared" si="10"/>
        <v>17</v>
      </c>
      <c r="X163" s="260">
        <f t="shared" si="11"/>
        <v>5</v>
      </c>
      <c r="Y163" s="323">
        <v>0.60299999999999998</v>
      </c>
      <c r="Z163" s="323">
        <v>114261</v>
      </c>
      <c r="AA163" s="323">
        <v>737</v>
      </c>
      <c r="AB163" s="151"/>
      <c r="AC163" s="155">
        <v>1996</v>
      </c>
      <c r="AD163" s="254">
        <f t="shared" si="8"/>
        <v>7.8459958932237441</v>
      </c>
      <c r="AE163" s="152" t="s">
        <v>2708</v>
      </c>
      <c r="AF163" s="252" t="s">
        <v>2708</v>
      </c>
      <c r="AG163" s="242" t="s">
        <v>2708</v>
      </c>
      <c r="AH163" s="242" t="s">
        <v>2708</v>
      </c>
      <c r="AI163" s="243" t="s">
        <v>2708</v>
      </c>
      <c r="AJ163" s="244" t="s">
        <v>2708</v>
      </c>
      <c r="AK163" s="244" t="s">
        <v>2708</v>
      </c>
      <c r="AL163" s="244" t="s">
        <v>2708</v>
      </c>
      <c r="AM163" s="244" t="s">
        <v>2708</v>
      </c>
      <c r="AN163" s="245" t="s">
        <v>2708</v>
      </c>
      <c r="AO163" s="245" t="s">
        <v>2708</v>
      </c>
      <c r="AP163" s="274">
        <v>504</v>
      </c>
    </row>
    <row r="164" spans="1:42" x14ac:dyDescent="0.2">
      <c r="A164" s="269">
        <v>162</v>
      </c>
      <c r="B164" s="270" t="s">
        <v>1901</v>
      </c>
      <c r="C164" s="271" t="s">
        <v>2618</v>
      </c>
      <c r="D164" s="272" t="s">
        <v>2708</v>
      </c>
      <c r="E164" s="273" t="s">
        <v>2708</v>
      </c>
      <c r="F164" s="22" t="s">
        <v>743</v>
      </c>
      <c r="G164" s="23" t="s">
        <v>743</v>
      </c>
      <c r="H164" s="24" t="s">
        <v>743</v>
      </c>
      <c r="I164" s="24" t="s">
        <v>743</v>
      </c>
      <c r="J164" s="25" t="s">
        <v>743</v>
      </c>
      <c r="K164" s="26">
        <v>38295</v>
      </c>
      <c r="L164" s="27" t="s">
        <v>2709</v>
      </c>
      <c r="M164" s="28">
        <v>358545</v>
      </c>
      <c r="N164" s="29">
        <v>6178671</v>
      </c>
      <c r="O164" s="32">
        <v>275</v>
      </c>
      <c r="P164" s="135"/>
      <c r="Q164" s="260">
        <v>275</v>
      </c>
      <c r="R164" s="32"/>
      <c r="S164" s="135">
        <v>8</v>
      </c>
      <c r="T164" s="260">
        <f t="shared" si="9"/>
        <v>8</v>
      </c>
      <c r="U164" s="30"/>
      <c r="V164" s="31">
        <v>24</v>
      </c>
      <c r="W164" s="31">
        <f t="shared" si="10"/>
        <v>24</v>
      </c>
      <c r="X164" s="260">
        <f t="shared" si="11"/>
        <v>5</v>
      </c>
      <c r="Y164" s="323">
        <v>0.54800000000000004</v>
      </c>
      <c r="Z164" s="323">
        <v>111832</v>
      </c>
      <c r="AA164" s="323">
        <v>722</v>
      </c>
      <c r="AB164" s="151"/>
      <c r="AC164" s="155">
        <v>1996</v>
      </c>
      <c r="AD164" s="254">
        <f t="shared" si="8"/>
        <v>7.8459958932237441</v>
      </c>
      <c r="AE164" s="152" t="s">
        <v>2708</v>
      </c>
      <c r="AF164" s="252" t="s">
        <v>2708</v>
      </c>
      <c r="AG164" s="242" t="s">
        <v>2708</v>
      </c>
      <c r="AH164" s="242" t="s">
        <v>2708</v>
      </c>
      <c r="AI164" s="243" t="s">
        <v>2708</v>
      </c>
      <c r="AJ164" s="244" t="s">
        <v>2708</v>
      </c>
      <c r="AK164" s="244" t="s">
        <v>2708</v>
      </c>
      <c r="AL164" s="244" t="s">
        <v>2708</v>
      </c>
      <c r="AM164" s="244" t="s">
        <v>2708</v>
      </c>
      <c r="AN164" s="245" t="s">
        <v>2708</v>
      </c>
      <c r="AO164" s="245" t="s">
        <v>2708</v>
      </c>
      <c r="AP164" s="274">
        <v>505</v>
      </c>
    </row>
    <row r="165" spans="1:42" x14ac:dyDescent="0.2">
      <c r="A165" s="269">
        <v>163</v>
      </c>
      <c r="B165" s="270" t="s">
        <v>1901</v>
      </c>
      <c r="C165" s="271" t="s">
        <v>2247</v>
      </c>
      <c r="D165" s="272" t="s">
        <v>2708</v>
      </c>
      <c r="E165" s="273" t="s">
        <v>2708</v>
      </c>
      <c r="F165" s="22" t="s">
        <v>743</v>
      </c>
      <c r="G165" s="23" t="s">
        <v>743</v>
      </c>
      <c r="H165" s="24" t="s">
        <v>743</v>
      </c>
      <c r="I165" s="24" t="s">
        <v>743</v>
      </c>
      <c r="J165" s="25" t="s">
        <v>743</v>
      </c>
      <c r="K165" s="26">
        <v>38295</v>
      </c>
      <c r="L165" s="27" t="s">
        <v>2709</v>
      </c>
      <c r="M165" s="28">
        <v>358792</v>
      </c>
      <c r="N165" s="29">
        <v>6178578</v>
      </c>
      <c r="O165" s="32">
        <v>284</v>
      </c>
      <c r="P165" s="135"/>
      <c r="Q165" s="260">
        <v>290</v>
      </c>
      <c r="R165" s="32"/>
      <c r="S165" s="135">
        <v>11</v>
      </c>
      <c r="T165" s="260">
        <f t="shared" si="9"/>
        <v>11</v>
      </c>
      <c r="U165" s="30"/>
      <c r="V165" s="31">
        <v>347</v>
      </c>
      <c r="W165" s="31">
        <f t="shared" si="10"/>
        <v>347</v>
      </c>
      <c r="X165" s="260">
        <f t="shared" si="11"/>
        <v>5</v>
      </c>
      <c r="Y165" s="323">
        <v>1.1679999999999999</v>
      </c>
      <c r="Z165" s="323">
        <v>114832</v>
      </c>
      <c r="AA165" s="323">
        <v>582</v>
      </c>
      <c r="AB165" s="151"/>
      <c r="AC165" s="155">
        <v>100</v>
      </c>
      <c r="AD165" s="254">
        <f t="shared" si="8"/>
        <v>1903.8459958932237</v>
      </c>
      <c r="AE165" s="152" t="s">
        <v>2708</v>
      </c>
      <c r="AF165" s="252" t="s">
        <v>2708</v>
      </c>
      <c r="AG165" s="242" t="s">
        <v>2708</v>
      </c>
      <c r="AH165" s="242" t="s">
        <v>2708</v>
      </c>
      <c r="AI165" s="243" t="s">
        <v>2708</v>
      </c>
      <c r="AJ165" s="244" t="s">
        <v>2708</v>
      </c>
      <c r="AK165" s="244" t="s">
        <v>2708</v>
      </c>
      <c r="AL165" s="244" t="s">
        <v>2708</v>
      </c>
      <c r="AM165" s="244" t="s">
        <v>2708</v>
      </c>
      <c r="AN165" s="245" t="s">
        <v>2708</v>
      </c>
      <c r="AO165" s="245" t="s">
        <v>2708</v>
      </c>
      <c r="AP165" s="274">
        <v>507</v>
      </c>
    </row>
    <row r="166" spans="1:42" x14ac:dyDescent="0.2">
      <c r="A166" s="269">
        <v>164</v>
      </c>
      <c r="B166" s="270" t="s">
        <v>1901</v>
      </c>
      <c r="C166" s="271" t="s">
        <v>2470</v>
      </c>
      <c r="D166" s="272" t="s">
        <v>2708</v>
      </c>
      <c r="E166" s="273" t="s">
        <v>2708</v>
      </c>
      <c r="F166" s="22" t="s">
        <v>743</v>
      </c>
      <c r="G166" s="23" t="s">
        <v>743</v>
      </c>
      <c r="H166" s="24" t="s">
        <v>743</v>
      </c>
      <c r="I166" s="24" t="s">
        <v>743</v>
      </c>
      <c r="J166" s="25" t="s">
        <v>743</v>
      </c>
      <c r="K166" s="26">
        <v>38295</v>
      </c>
      <c r="L166" s="27" t="s">
        <v>2709</v>
      </c>
      <c r="M166" s="28">
        <v>358998</v>
      </c>
      <c r="N166" s="29">
        <v>6178504</v>
      </c>
      <c r="O166" s="32">
        <v>289</v>
      </c>
      <c r="P166" s="135"/>
      <c r="Q166" s="260">
        <v>290</v>
      </c>
      <c r="R166" s="32"/>
      <c r="S166" s="135">
        <v>7</v>
      </c>
      <c r="T166" s="260">
        <f t="shared" si="9"/>
        <v>7</v>
      </c>
      <c r="U166" s="30"/>
      <c r="V166" s="31">
        <v>304</v>
      </c>
      <c r="W166" s="31">
        <f t="shared" si="10"/>
        <v>304</v>
      </c>
      <c r="X166" s="260">
        <f t="shared" si="11"/>
        <v>4</v>
      </c>
      <c r="Y166" s="323">
        <v>1.159</v>
      </c>
      <c r="Z166" s="323">
        <v>108593</v>
      </c>
      <c r="AA166" s="323">
        <v>444</v>
      </c>
      <c r="AB166" s="151"/>
      <c r="AC166" s="155">
        <v>100</v>
      </c>
      <c r="AD166" s="254">
        <f t="shared" si="8"/>
        <v>1903.8459958932237</v>
      </c>
      <c r="AE166" s="152" t="s">
        <v>2708</v>
      </c>
      <c r="AF166" s="252" t="s">
        <v>2708</v>
      </c>
      <c r="AG166" s="242" t="s">
        <v>2708</v>
      </c>
      <c r="AH166" s="242" t="s">
        <v>2708</v>
      </c>
      <c r="AI166" s="243" t="s">
        <v>2708</v>
      </c>
      <c r="AJ166" s="244" t="s">
        <v>2708</v>
      </c>
      <c r="AK166" s="244" t="s">
        <v>2708</v>
      </c>
      <c r="AL166" s="244" t="s">
        <v>2708</v>
      </c>
      <c r="AM166" s="244" t="s">
        <v>2708</v>
      </c>
      <c r="AN166" s="245" t="s">
        <v>2708</v>
      </c>
      <c r="AO166" s="245" t="s">
        <v>2708</v>
      </c>
      <c r="AP166" s="274">
        <v>509</v>
      </c>
    </row>
    <row r="167" spans="1:42" x14ac:dyDescent="0.2">
      <c r="A167" s="269">
        <v>165</v>
      </c>
      <c r="B167" s="270" t="s">
        <v>1901</v>
      </c>
      <c r="C167" s="271" t="s">
        <v>2248</v>
      </c>
      <c r="D167" s="272" t="s">
        <v>2708</v>
      </c>
      <c r="E167" s="273" t="s">
        <v>2708</v>
      </c>
      <c r="F167" s="22" t="s">
        <v>743</v>
      </c>
      <c r="G167" s="23" t="s">
        <v>743</v>
      </c>
      <c r="H167" s="24" t="s">
        <v>743</v>
      </c>
      <c r="I167" s="24" t="s">
        <v>743</v>
      </c>
      <c r="J167" s="25" t="s">
        <v>743</v>
      </c>
      <c r="K167" s="26">
        <v>38295</v>
      </c>
      <c r="L167" s="27" t="s">
        <v>2709</v>
      </c>
      <c r="M167" s="28">
        <v>358863</v>
      </c>
      <c r="N167" s="29">
        <v>6178639</v>
      </c>
      <c r="O167" s="32">
        <v>301</v>
      </c>
      <c r="P167" s="135"/>
      <c r="Q167" s="260">
        <v>295</v>
      </c>
      <c r="R167" s="32"/>
      <c r="S167" s="135">
        <v>11</v>
      </c>
      <c r="T167" s="260">
        <f t="shared" si="9"/>
        <v>11</v>
      </c>
      <c r="U167" s="30"/>
      <c r="V167" s="31">
        <v>200</v>
      </c>
      <c r="W167" s="31">
        <f t="shared" si="10"/>
        <v>200</v>
      </c>
      <c r="X167" s="260">
        <f t="shared" si="11"/>
        <v>1</v>
      </c>
      <c r="Y167" s="323">
        <v>0.65900000000000003</v>
      </c>
      <c r="Z167" s="323">
        <v>94177</v>
      </c>
      <c r="AA167" s="323">
        <v>954</v>
      </c>
      <c r="AB167" s="151"/>
      <c r="AC167" s="155">
        <v>1996</v>
      </c>
      <c r="AD167" s="254">
        <f t="shared" si="8"/>
        <v>7.8459958932237441</v>
      </c>
      <c r="AE167" s="152" t="s">
        <v>2708</v>
      </c>
      <c r="AF167" s="252" t="s">
        <v>2708</v>
      </c>
      <c r="AG167" s="242" t="s">
        <v>2708</v>
      </c>
      <c r="AH167" s="242" t="s">
        <v>2708</v>
      </c>
      <c r="AI167" s="243" t="s">
        <v>2708</v>
      </c>
      <c r="AJ167" s="244" t="s">
        <v>2708</v>
      </c>
      <c r="AK167" s="244" t="s">
        <v>2708</v>
      </c>
      <c r="AL167" s="244" t="s">
        <v>2708</v>
      </c>
      <c r="AM167" s="244" t="s">
        <v>2708</v>
      </c>
      <c r="AN167" s="245" t="s">
        <v>2708</v>
      </c>
      <c r="AO167" s="245" t="s">
        <v>2708</v>
      </c>
      <c r="AP167" s="274">
        <v>510</v>
      </c>
    </row>
    <row r="168" spans="1:42" x14ac:dyDescent="0.2">
      <c r="A168" s="269">
        <v>166</v>
      </c>
      <c r="B168" s="270" t="s">
        <v>1901</v>
      </c>
      <c r="C168" s="271" t="s">
        <v>2248</v>
      </c>
      <c r="D168" s="272" t="s">
        <v>2708</v>
      </c>
      <c r="E168" s="273" t="s">
        <v>2708</v>
      </c>
      <c r="F168" s="22" t="s">
        <v>743</v>
      </c>
      <c r="G168" s="23" t="s">
        <v>743</v>
      </c>
      <c r="H168" s="24" t="s">
        <v>743</v>
      </c>
      <c r="I168" s="24" t="s">
        <v>743</v>
      </c>
      <c r="J168" s="25" t="s">
        <v>743</v>
      </c>
      <c r="K168" s="26">
        <v>38295</v>
      </c>
      <c r="L168" s="27" t="s">
        <v>2709</v>
      </c>
      <c r="M168" s="28">
        <v>359185</v>
      </c>
      <c r="N168" s="29">
        <v>6178446</v>
      </c>
      <c r="O168" s="32">
        <v>306</v>
      </c>
      <c r="P168" s="135"/>
      <c r="Q168" s="260">
        <v>303</v>
      </c>
      <c r="R168" s="32"/>
      <c r="S168" s="135">
        <v>12</v>
      </c>
      <c r="T168" s="260">
        <f t="shared" si="9"/>
        <v>12</v>
      </c>
      <c r="U168" s="30"/>
      <c r="V168" s="31">
        <v>303</v>
      </c>
      <c r="W168" s="31">
        <f t="shared" si="10"/>
        <v>303</v>
      </c>
      <c r="X168" s="260">
        <f t="shared" si="11"/>
        <v>4</v>
      </c>
      <c r="Y168" s="323">
        <v>1.8080000000000001</v>
      </c>
      <c r="Z168" s="323">
        <v>110278</v>
      </c>
      <c r="AA168" s="323">
        <v>501</v>
      </c>
      <c r="AB168" s="151"/>
      <c r="AC168" s="155">
        <v>481</v>
      </c>
      <c r="AD168" s="254">
        <f t="shared" si="8"/>
        <v>1522.8459958932237</v>
      </c>
      <c r="AE168" s="152" t="s">
        <v>2708</v>
      </c>
      <c r="AF168" s="252" t="s">
        <v>2708</v>
      </c>
      <c r="AG168" s="242" t="s">
        <v>2708</v>
      </c>
      <c r="AH168" s="242" t="s">
        <v>2708</v>
      </c>
      <c r="AI168" s="243" t="s">
        <v>2708</v>
      </c>
      <c r="AJ168" s="244" t="s">
        <v>2708</v>
      </c>
      <c r="AK168" s="244" t="s">
        <v>2708</v>
      </c>
      <c r="AL168" s="244" t="s">
        <v>2708</v>
      </c>
      <c r="AM168" s="244" t="s">
        <v>2708</v>
      </c>
      <c r="AN168" s="245" t="s">
        <v>2708</v>
      </c>
      <c r="AO168" s="245" t="s">
        <v>2708</v>
      </c>
      <c r="AP168" s="274">
        <v>513</v>
      </c>
    </row>
    <row r="169" spans="1:42" x14ac:dyDescent="0.2">
      <c r="A169" s="269">
        <v>167</v>
      </c>
      <c r="B169" s="270" t="s">
        <v>1901</v>
      </c>
      <c r="C169" s="271" t="s">
        <v>2247</v>
      </c>
      <c r="D169" s="272" t="s">
        <v>2708</v>
      </c>
      <c r="E169" s="273" t="s">
        <v>2708</v>
      </c>
      <c r="F169" s="22" t="s">
        <v>743</v>
      </c>
      <c r="G169" s="23" t="s">
        <v>743</v>
      </c>
      <c r="H169" s="24" t="s">
        <v>743</v>
      </c>
      <c r="I169" s="24" t="s">
        <v>743</v>
      </c>
      <c r="J169" s="25" t="s">
        <v>743</v>
      </c>
      <c r="K169" s="26">
        <v>38295</v>
      </c>
      <c r="L169" s="27" t="s">
        <v>2709</v>
      </c>
      <c r="M169" s="28">
        <v>359381</v>
      </c>
      <c r="N169" s="29">
        <v>6178461</v>
      </c>
      <c r="O169" s="32">
        <v>339</v>
      </c>
      <c r="P169" s="135"/>
      <c r="Q169" s="260">
        <v>341</v>
      </c>
      <c r="R169" s="32"/>
      <c r="S169" s="135">
        <v>14</v>
      </c>
      <c r="T169" s="260">
        <f t="shared" si="9"/>
        <v>14</v>
      </c>
      <c r="U169" s="30"/>
      <c r="V169" s="31">
        <v>313</v>
      </c>
      <c r="W169" s="31">
        <f t="shared" si="10"/>
        <v>313</v>
      </c>
      <c r="X169" s="260">
        <f t="shared" si="11"/>
        <v>4</v>
      </c>
      <c r="Y169" s="323">
        <v>0.36799999999999999</v>
      </c>
      <c r="Z169" s="323">
        <v>114181</v>
      </c>
      <c r="AA169" s="323">
        <v>572</v>
      </c>
      <c r="AB169" s="151"/>
      <c r="AC169" s="155">
        <v>1996</v>
      </c>
      <c r="AD169" s="254">
        <f t="shared" si="8"/>
        <v>7.8459958932237441</v>
      </c>
      <c r="AE169" s="152" t="s">
        <v>2708</v>
      </c>
      <c r="AF169" s="252" t="s">
        <v>2708</v>
      </c>
      <c r="AG169" s="242" t="s">
        <v>2708</v>
      </c>
      <c r="AH169" s="242" t="s">
        <v>2708</v>
      </c>
      <c r="AI169" s="243" t="s">
        <v>2708</v>
      </c>
      <c r="AJ169" s="244" t="s">
        <v>2708</v>
      </c>
      <c r="AK169" s="244" t="s">
        <v>2708</v>
      </c>
      <c r="AL169" s="244" t="s">
        <v>2708</v>
      </c>
      <c r="AM169" s="244" t="s">
        <v>2708</v>
      </c>
      <c r="AN169" s="245" t="s">
        <v>2708</v>
      </c>
      <c r="AO169" s="245" t="s">
        <v>2708</v>
      </c>
      <c r="AP169" s="274">
        <v>527</v>
      </c>
    </row>
    <row r="170" spans="1:42" x14ac:dyDescent="0.2">
      <c r="A170" s="269">
        <v>168</v>
      </c>
      <c r="B170" s="270" t="s">
        <v>1901</v>
      </c>
      <c r="C170" s="271" t="s">
        <v>1251</v>
      </c>
      <c r="D170" s="272" t="s">
        <v>2708</v>
      </c>
      <c r="E170" s="273" t="s">
        <v>2708</v>
      </c>
      <c r="F170" s="22" t="s">
        <v>743</v>
      </c>
      <c r="G170" s="23" t="s">
        <v>743</v>
      </c>
      <c r="H170" s="24" t="s">
        <v>743</v>
      </c>
      <c r="I170" s="24" t="s">
        <v>743</v>
      </c>
      <c r="J170" s="25" t="s">
        <v>743</v>
      </c>
      <c r="K170" s="26">
        <v>38295</v>
      </c>
      <c r="L170" s="27" t="s">
        <v>2709</v>
      </c>
      <c r="M170" s="28">
        <v>359518</v>
      </c>
      <c r="N170" s="29">
        <v>6178467</v>
      </c>
      <c r="O170" s="32">
        <v>353</v>
      </c>
      <c r="P170" s="135"/>
      <c r="Q170" s="260">
        <v>361</v>
      </c>
      <c r="R170" s="32"/>
      <c r="S170" s="135">
        <v>23</v>
      </c>
      <c r="T170" s="260">
        <f t="shared" si="9"/>
        <v>23</v>
      </c>
      <c r="U170" s="30"/>
      <c r="V170" s="31">
        <v>169</v>
      </c>
      <c r="W170" s="31">
        <f t="shared" si="10"/>
        <v>169</v>
      </c>
      <c r="X170" s="260">
        <f t="shared" si="11"/>
        <v>1</v>
      </c>
      <c r="Y170" s="323">
        <v>0.442</v>
      </c>
      <c r="Z170" s="323">
        <v>121830</v>
      </c>
      <c r="AA170" s="323">
        <v>593</v>
      </c>
      <c r="AB170" s="151"/>
      <c r="AC170" s="155">
        <v>1996</v>
      </c>
      <c r="AD170" s="254">
        <f t="shared" si="8"/>
        <v>7.8459958932237441</v>
      </c>
      <c r="AE170" s="152" t="s">
        <v>2708</v>
      </c>
      <c r="AF170" s="252" t="s">
        <v>2708</v>
      </c>
      <c r="AG170" s="242" t="s">
        <v>2708</v>
      </c>
      <c r="AH170" s="242" t="s">
        <v>2708</v>
      </c>
      <c r="AI170" s="243" t="s">
        <v>2708</v>
      </c>
      <c r="AJ170" s="244" t="s">
        <v>2708</v>
      </c>
      <c r="AK170" s="244" t="s">
        <v>2708</v>
      </c>
      <c r="AL170" s="244" t="s">
        <v>2708</v>
      </c>
      <c r="AM170" s="244" t="s">
        <v>2708</v>
      </c>
      <c r="AN170" s="245" t="s">
        <v>2708</v>
      </c>
      <c r="AO170" s="245" t="s">
        <v>2708</v>
      </c>
      <c r="AP170" s="274">
        <v>543</v>
      </c>
    </row>
    <row r="171" spans="1:42" x14ac:dyDescent="0.2">
      <c r="A171" s="269">
        <v>169</v>
      </c>
      <c r="B171" s="270" t="s">
        <v>1901</v>
      </c>
      <c r="C171" s="271" t="s">
        <v>1252</v>
      </c>
      <c r="D171" s="272" t="s">
        <v>2708</v>
      </c>
      <c r="E171" s="273" t="s">
        <v>2708</v>
      </c>
      <c r="F171" s="22" t="s">
        <v>743</v>
      </c>
      <c r="G171" s="23" t="s">
        <v>743</v>
      </c>
      <c r="H171" s="24" t="s">
        <v>743</v>
      </c>
      <c r="I171" s="24" t="s">
        <v>743</v>
      </c>
      <c r="J171" s="25" t="s">
        <v>743</v>
      </c>
      <c r="K171" s="26">
        <v>38295</v>
      </c>
      <c r="L171" s="27" t="s">
        <v>2709</v>
      </c>
      <c r="M171" s="28">
        <v>359509</v>
      </c>
      <c r="N171" s="29">
        <v>6178434</v>
      </c>
      <c r="O171" s="32">
        <v>370</v>
      </c>
      <c r="P171" s="135"/>
      <c r="Q171" s="260">
        <v>372</v>
      </c>
      <c r="R171" s="32"/>
      <c r="S171" s="135">
        <v>12</v>
      </c>
      <c r="T171" s="260">
        <f t="shared" si="9"/>
        <v>12</v>
      </c>
      <c r="U171" s="30"/>
      <c r="V171" s="31">
        <v>349</v>
      </c>
      <c r="W171" s="31">
        <f t="shared" si="10"/>
        <v>349</v>
      </c>
      <c r="X171" s="260">
        <f t="shared" si="11"/>
        <v>6</v>
      </c>
      <c r="Y171" s="323">
        <v>0.11799999999999999</v>
      </c>
      <c r="Z171" s="323">
        <v>118639</v>
      </c>
      <c r="AA171" s="323">
        <v>1180</v>
      </c>
      <c r="AB171" s="151"/>
      <c r="AC171" s="155">
        <v>1996</v>
      </c>
      <c r="AD171" s="254">
        <f t="shared" si="8"/>
        <v>7.8459958932237441</v>
      </c>
      <c r="AE171" s="152" t="s">
        <v>2708</v>
      </c>
      <c r="AF171" s="252" t="s">
        <v>2708</v>
      </c>
      <c r="AG171" s="242" t="s">
        <v>2708</v>
      </c>
      <c r="AH171" s="242" t="s">
        <v>2708</v>
      </c>
      <c r="AI171" s="243" t="s">
        <v>2708</v>
      </c>
      <c r="AJ171" s="244" t="s">
        <v>2708</v>
      </c>
      <c r="AK171" s="244" t="s">
        <v>2708</v>
      </c>
      <c r="AL171" s="244" t="s">
        <v>2708</v>
      </c>
      <c r="AM171" s="244" t="s">
        <v>2708</v>
      </c>
      <c r="AN171" s="245" t="s">
        <v>2708</v>
      </c>
      <c r="AO171" s="245" t="s">
        <v>2708</v>
      </c>
      <c r="AP171" s="274">
        <v>545</v>
      </c>
    </row>
    <row r="172" spans="1:42" x14ac:dyDescent="0.2">
      <c r="A172" s="269">
        <v>170</v>
      </c>
      <c r="B172" s="270" t="s">
        <v>1901</v>
      </c>
      <c r="C172" s="271" t="s">
        <v>2562</v>
      </c>
      <c r="D172" s="272" t="s">
        <v>2708</v>
      </c>
      <c r="E172" s="273" t="s">
        <v>2708</v>
      </c>
      <c r="F172" s="22" t="s">
        <v>743</v>
      </c>
      <c r="G172" s="23" t="s">
        <v>743</v>
      </c>
      <c r="H172" s="24" t="s">
        <v>743</v>
      </c>
      <c r="I172" s="24" t="s">
        <v>743</v>
      </c>
      <c r="J172" s="25" t="s">
        <v>743</v>
      </c>
      <c r="K172" s="26">
        <v>38295</v>
      </c>
      <c r="L172" s="27" t="s">
        <v>2709</v>
      </c>
      <c r="M172" s="28">
        <v>359468</v>
      </c>
      <c r="N172" s="29">
        <v>6178146</v>
      </c>
      <c r="O172" s="32">
        <v>366</v>
      </c>
      <c r="P172" s="135"/>
      <c r="Q172" s="260">
        <v>344</v>
      </c>
      <c r="R172" s="32"/>
      <c r="S172" s="135">
        <v>5</v>
      </c>
      <c r="T172" s="260">
        <f t="shared" si="9"/>
        <v>5</v>
      </c>
      <c r="U172" s="30"/>
      <c r="V172" s="31">
        <v>245</v>
      </c>
      <c r="W172" s="31">
        <f t="shared" si="10"/>
        <v>245</v>
      </c>
      <c r="X172" s="260">
        <f t="shared" si="11"/>
        <v>2</v>
      </c>
      <c r="Y172" s="323">
        <v>0.17100000000000001</v>
      </c>
      <c r="Z172" s="323">
        <v>105390</v>
      </c>
      <c r="AA172" s="323">
        <v>1535</v>
      </c>
      <c r="AB172" s="151"/>
      <c r="AC172" s="155">
        <v>2001</v>
      </c>
      <c r="AD172" s="254">
        <f t="shared" si="8"/>
        <v>2.8459958932237441</v>
      </c>
      <c r="AE172" s="152" t="s">
        <v>2708</v>
      </c>
      <c r="AF172" s="252" t="s">
        <v>2708</v>
      </c>
      <c r="AG172" s="242" t="s">
        <v>2708</v>
      </c>
      <c r="AH172" s="242" t="s">
        <v>2708</v>
      </c>
      <c r="AI172" s="243" t="s">
        <v>2708</v>
      </c>
      <c r="AJ172" s="244" t="s">
        <v>2708</v>
      </c>
      <c r="AK172" s="244" t="s">
        <v>2708</v>
      </c>
      <c r="AL172" s="244" t="s">
        <v>2708</v>
      </c>
      <c r="AM172" s="244" t="s">
        <v>2708</v>
      </c>
      <c r="AN172" s="245" t="s">
        <v>2708</v>
      </c>
      <c r="AO172" s="245" t="s">
        <v>2708</v>
      </c>
      <c r="AP172" s="274">
        <v>548</v>
      </c>
    </row>
    <row r="173" spans="1:42" x14ac:dyDescent="0.2">
      <c r="A173" s="269">
        <v>171</v>
      </c>
      <c r="B173" s="270" t="s">
        <v>1901</v>
      </c>
      <c r="C173" s="271" t="s">
        <v>1083</v>
      </c>
      <c r="D173" s="272" t="s">
        <v>2708</v>
      </c>
      <c r="E173" s="273" t="s">
        <v>2708</v>
      </c>
      <c r="F173" s="22" t="s">
        <v>743</v>
      </c>
      <c r="G173" s="23" t="s">
        <v>743</v>
      </c>
      <c r="H173" s="24" t="s">
        <v>743</v>
      </c>
      <c r="I173" s="24" t="s">
        <v>743</v>
      </c>
      <c r="J173" s="25" t="s">
        <v>743</v>
      </c>
      <c r="K173" s="26">
        <v>38295</v>
      </c>
      <c r="L173" s="27" t="s">
        <v>2709</v>
      </c>
      <c r="M173" s="28">
        <v>359426</v>
      </c>
      <c r="N173" s="29">
        <v>6178079</v>
      </c>
      <c r="O173" s="32">
        <v>340</v>
      </c>
      <c r="P173" s="135"/>
      <c r="Q173" s="260">
        <v>341</v>
      </c>
      <c r="R173" s="32"/>
      <c r="S173" s="135">
        <v>2</v>
      </c>
      <c r="T173" s="260">
        <f t="shared" si="9"/>
        <v>2</v>
      </c>
      <c r="U173" s="30"/>
      <c r="V173" s="31">
        <v>147</v>
      </c>
      <c r="W173" s="31">
        <f t="shared" si="10"/>
        <v>147</v>
      </c>
      <c r="X173" s="260">
        <f t="shared" si="11"/>
        <v>2</v>
      </c>
      <c r="Y173" s="323">
        <v>0.35</v>
      </c>
      <c r="Z173" s="323">
        <v>106325</v>
      </c>
      <c r="AA173" s="323">
        <v>1556</v>
      </c>
      <c r="AB173" s="151"/>
      <c r="AC173" s="155">
        <v>2001</v>
      </c>
      <c r="AD173" s="254">
        <f t="shared" si="8"/>
        <v>2.8459958932237441</v>
      </c>
      <c r="AE173" s="152" t="s">
        <v>2708</v>
      </c>
      <c r="AF173" s="252" t="s">
        <v>2708</v>
      </c>
      <c r="AG173" s="242" t="s">
        <v>2708</v>
      </c>
      <c r="AH173" s="242" t="s">
        <v>2708</v>
      </c>
      <c r="AI173" s="243" t="s">
        <v>2708</v>
      </c>
      <c r="AJ173" s="244" t="s">
        <v>2708</v>
      </c>
      <c r="AK173" s="244" t="s">
        <v>2708</v>
      </c>
      <c r="AL173" s="244" t="s">
        <v>2708</v>
      </c>
      <c r="AM173" s="244" t="s">
        <v>2708</v>
      </c>
      <c r="AN173" s="245" t="s">
        <v>2708</v>
      </c>
      <c r="AO173" s="245" t="s">
        <v>2708</v>
      </c>
      <c r="AP173" s="274">
        <v>550</v>
      </c>
    </row>
    <row r="174" spans="1:42" x14ac:dyDescent="0.2">
      <c r="A174" s="269">
        <v>172</v>
      </c>
      <c r="B174" s="270" t="s">
        <v>1901</v>
      </c>
      <c r="C174" s="271" t="s">
        <v>2562</v>
      </c>
      <c r="D174" s="272" t="s">
        <v>2708</v>
      </c>
      <c r="E174" s="273" t="s">
        <v>2708</v>
      </c>
      <c r="F174" s="22" t="s">
        <v>743</v>
      </c>
      <c r="G174" s="23" t="s">
        <v>743</v>
      </c>
      <c r="H174" s="24" t="s">
        <v>743</v>
      </c>
      <c r="I174" s="24" t="s">
        <v>743</v>
      </c>
      <c r="J174" s="25" t="s">
        <v>743</v>
      </c>
      <c r="K174" s="26">
        <v>38295</v>
      </c>
      <c r="L174" s="27" t="s">
        <v>2709</v>
      </c>
      <c r="M174" s="28">
        <v>358836</v>
      </c>
      <c r="N174" s="29">
        <v>6178193</v>
      </c>
      <c r="O174" s="32">
        <v>342</v>
      </c>
      <c r="P174" s="135"/>
      <c r="Q174" s="260">
        <v>344</v>
      </c>
      <c r="R174" s="32"/>
      <c r="S174" s="135">
        <v>8</v>
      </c>
      <c r="T174" s="260">
        <f t="shared" si="9"/>
        <v>8</v>
      </c>
      <c r="U174" s="30"/>
      <c r="V174" s="31">
        <v>292</v>
      </c>
      <c r="W174" s="31">
        <f t="shared" si="10"/>
        <v>292</v>
      </c>
      <c r="X174" s="260">
        <f t="shared" si="11"/>
        <v>3</v>
      </c>
      <c r="Y174" s="323">
        <v>0.85399999999999998</v>
      </c>
      <c r="Z174" s="323">
        <v>110071</v>
      </c>
      <c r="AA174" s="323">
        <v>796</v>
      </c>
      <c r="AB174" s="151"/>
      <c r="AC174" s="155">
        <v>2001</v>
      </c>
      <c r="AD174" s="254">
        <f t="shared" si="8"/>
        <v>2.8459958932237441</v>
      </c>
      <c r="AE174" s="152" t="s">
        <v>2708</v>
      </c>
      <c r="AF174" s="252" t="s">
        <v>2708</v>
      </c>
      <c r="AG174" s="242" t="s">
        <v>2708</v>
      </c>
      <c r="AH174" s="242" t="s">
        <v>2708</v>
      </c>
      <c r="AI174" s="243" t="s">
        <v>2708</v>
      </c>
      <c r="AJ174" s="244" t="s">
        <v>2708</v>
      </c>
      <c r="AK174" s="244" t="s">
        <v>2708</v>
      </c>
      <c r="AL174" s="244" t="s">
        <v>2708</v>
      </c>
      <c r="AM174" s="244" t="s">
        <v>2708</v>
      </c>
      <c r="AN174" s="245" t="s">
        <v>2708</v>
      </c>
      <c r="AO174" s="245" t="s">
        <v>2708</v>
      </c>
      <c r="AP174" s="274">
        <v>576</v>
      </c>
    </row>
    <row r="175" spans="1:42" x14ac:dyDescent="0.2">
      <c r="A175" s="269">
        <v>173</v>
      </c>
      <c r="B175" s="270" t="s">
        <v>1901</v>
      </c>
      <c r="C175" s="271" t="s">
        <v>2248</v>
      </c>
      <c r="D175" s="272" t="s">
        <v>2708</v>
      </c>
      <c r="E175" s="273" t="s">
        <v>2708</v>
      </c>
      <c r="F175" s="22" t="s">
        <v>743</v>
      </c>
      <c r="G175" s="23" t="s">
        <v>743</v>
      </c>
      <c r="H175" s="24" t="s">
        <v>743</v>
      </c>
      <c r="I175" s="24" t="s">
        <v>743</v>
      </c>
      <c r="J175" s="25" t="s">
        <v>743</v>
      </c>
      <c r="K175" s="26">
        <v>38295</v>
      </c>
      <c r="L175" s="27" t="s">
        <v>2709</v>
      </c>
      <c r="M175" s="28">
        <v>358740</v>
      </c>
      <c r="N175" s="29">
        <v>6178129</v>
      </c>
      <c r="O175" s="32">
        <v>328</v>
      </c>
      <c r="P175" s="135"/>
      <c r="Q175" s="260">
        <v>330</v>
      </c>
      <c r="R175" s="32"/>
      <c r="S175" s="135">
        <v>11</v>
      </c>
      <c r="T175" s="260">
        <f t="shared" si="9"/>
        <v>11</v>
      </c>
      <c r="U175" s="30"/>
      <c r="V175" s="31">
        <v>294</v>
      </c>
      <c r="W175" s="31">
        <f t="shared" si="10"/>
        <v>294</v>
      </c>
      <c r="X175" s="260">
        <f t="shared" si="11"/>
        <v>4</v>
      </c>
      <c r="Y175" s="323">
        <v>0.50900000000000001</v>
      </c>
      <c r="Z175" s="323">
        <v>110188</v>
      </c>
      <c r="AA175" s="323">
        <v>609</v>
      </c>
      <c r="AB175" s="151"/>
      <c r="AC175" s="155">
        <v>1997</v>
      </c>
      <c r="AD175" s="254">
        <f t="shared" si="8"/>
        <v>6.8459958932237441</v>
      </c>
      <c r="AE175" s="152" t="s">
        <v>2708</v>
      </c>
      <c r="AF175" s="252" t="s">
        <v>2708</v>
      </c>
      <c r="AG175" s="242" t="s">
        <v>2708</v>
      </c>
      <c r="AH175" s="242" t="s">
        <v>2708</v>
      </c>
      <c r="AI175" s="243" t="s">
        <v>2708</v>
      </c>
      <c r="AJ175" s="244" t="s">
        <v>2708</v>
      </c>
      <c r="AK175" s="244" t="s">
        <v>2708</v>
      </c>
      <c r="AL175" s="244" t="s">
        <v>2708</v>
      </c>
      <c r="AM175" s="244" t="s">
        <v>2708</v>
      </c>
      <c r="AN175" s="245" t="s">
        <v>2708</v>
      </c>
      <c r="AO175" s="245" t="s">
        <v>2708</v>
      </c>
      <c r="AP175" s="274">
        <v>577</v>
      </c>
    </row>
    <row r="176" spans="1:42" x14ac:dyDescent="0.2">
      <c r="A176" s="269">
        <v>174</v>
      </c>
      <c r="B176" s="270" t="s">
        <v>1901</v>
      </c>
      <c r="C176" s="271" t="s">
        <v>2618</v>
      </c>
      <c r="D176" s="272" t="s">
        <v>2708</v>
      </c>
      <c r="E176" s="273" t="s">
        <v>2708</v>
      </c>
      <c r="F176" s="22" t="s">
        <v>743</v>
      </c>
      <c r="G176" s="23" t="s">
        <v>743</v>
      </c>
      <c r="H176" s="24" t="s">
        <v>743</v>
      </c>
      <c r="I176" s="24" t="s">
        <v>743</v>
      </c>
      <c r="J176" s="25" t="s">
        <v>743</v>
      </c>
      <c r="K176" s="26">
        <v>38295</v>
      </c>
      <c r="L176" s="27" t="s">
        <v>2709</v>
      </c>
      <c r="M176" s="28">
        <v>358607</v>
      </c>
      <c r="N176" s="29">
        <v>6178106</v>
      </c>
      <c r="O176" s="32">
        <v>324</v>
      </c>
      <c r="P176" s="135"/>
      <c r="Q176" s="260">
        <v>327</v>
      </c>
      <c r="R176" s="32"/>
      <c r="S176" s="135">
        <v>9</v>
      </c>
      <c r="T176" s="260">
        <f t="shared" si="9"/>
        <v>9</v>
      </c>
      <c r="U176" s="30"/>
      <c r="V176" s="31">
        <v>10</v>
      </c>
      <c r="W176" s="31">
        <f t="shared" si="10"/>
        <v>10</v>
      </c>
      <c r="X176" s="260">
        <f t="shared" si="11"/>
        <v>6</v>
      </c>
      <c r="Y176" s="323">
        <v>0.14299999999999999</v>
      </c>
      <c r="Z176" s="323">
        <v>114446</v>
      </c>
      <c r="AA176" s="323">
        <v>849</v>
      </c>
      <c r="AB176" s="151"/>
      <c r="AC176" s="155">
        <v>1996</v>
      </c>
      <c r="AD176" s="254">
        <f t="shared" si="8"/>
        <v>7.8459958932237441</v>
      </c>
      <c r="AE176" s="152" t="s">
        <v>2708</v>
      </c>
      <c r="AF176" s="252" t="s">
        <v>2708</v>
      </c>
      <c r="AG176" s="242" t="s">
        <v>2708</v>
      </c>
      <c r="AH176" s="242" t="s">
        <v>2708</v>
      </c>
      <c r="AI176" s="243" t="s">
        <v>2708</v>
      </c>
      <c r="AJ176" s="244" t="s">
        <v>2708</v>
      </c>
      <c r="AK176" s="244" t="s">
        <v>2708</v>
      </c>
      <c r="AL176" s="244" t="s">
        <v>2708</v>
      </c>
      <c r="AM176" s="244" t="s">
        <v>2708</v>
      </c>
      <c r="AN176" s="245" t="s">
        <v>2708</v>
      </c>
      <c r="AO176" s="245" t="s">
        <v>2708</v>
      </c>
      <c r="AP176" s="274">
        <v>581</v>
      </c>
    </row>
    <row r="177" spans="1:42" x14ac:dyDescent="0.2">
      <c r="A177" s="269">
        <v>175</v>
      </c>
      <c r="B177" s="270" t="s">
        <v>1901</v>
      </c>
      <c r="C177" s="271" t="s">
        <v>2617</v>
      </c>
      <c r="D177" s="272" t="s">
        <v>2708</v>
      </c>
      <c r="E177" s="273" t="s">
        <v>2708</v>
      </c>
      <c r="F177" s="22" t="s">
        <v>743</v>
      </c>
      <c r="G177" s="23" t="s">
        <v>743</v>
      </c>
      <c r="H177" s="24" t="s">
        <v>743</v>
      </c>
      <c r="I177" s="24" t="s">
        <v>743</v>
      </c>
      <c r="J177" s="25" t="s">
        <v>743</v>
      </c>
      <c r="K177" s="26">
        <v>38295</v>
      </c>
      <c r="L177" s="27" t="s">
        <v>2709</v>
      </c>
      <c r="M177" s="28">
        <v>358541</v>
      </c>
      <c r="N177" s="29">
        <v>6178188</v>
      </c>
      <c r="O177" s="32">
        <v>309</v>
      </c>
      <c r="P177" s="135"/>
      <c r="Q177" s="260">
        <v>314</v>
      </c>
      <c r="R177" s="32"/>
      <c r="S177" s="135">
        <v>8</v>
      </c>
      <c r="T177" s="260">
        <f t="shared" si="9"/>
        <v>8</v>
      </c>
      <c r="U177" s="30"/>
      <c r="V177" s="31">
        <v>326</v>
      </c>
      <c r="W177" s="31">
        <f t="shared" si="10"/>
        <v>326</v>
      </c>
      <c r="X177" s="260">
        <f t="shared" si="11"/>
        <v>4</v>
      </c>
      <c r="Y177" s="323">
        <v>1.143</v>
      </c>
      <c r="Z177" s="323">
        <v>112943</v>
      </c>
      <c r="AA177" s="323">
        <v>908</v>
      </c>
      <c r="AB177" s="151"/>
      <c r="AC177" s="155">
        <v>2001</v>
      </c>
      <c r="AD177" s="254">
        <f t="shared" si="8"/>
        <v>2.8459958932237441</v>
      </c>
      <c r="AE177" s="152" t="s">
        <v>2708</v>
      </c>
      <c r="AF177" s="252" t="s">
        <v>2708</v>
      </c>
      <c r="AG177" s="242" t="s">
        <v>2708</v>
      </c>
      <c r="AH177" s="242" t="s">
        <v>2708</v>
      </c>
      <c r="AI177" s="243" t="s">
        <v>2708</v>
      </c>
      <c r="AJ177" s="244" t="s">
        <v>2708</v>
      </c>
      <c r="AK177" s="244" t="s">
        <v>2708</v>
      </c>
      <c r="AL177" s="244" t="s">
        <v>2708</v>
      </c>
      <c r="AM177" s="244" t="s">
        <v>2708</v>
      </c>
      <c r="AN177" s="245" t="s">
        <v>2708</v>
      </c>
      <c r="AO177" s="245" t="s">
        <v>2708</v>
      </c>
      <c r="AP177" s="274">
        <v>585</v>
      </c>
    </row>
    <row r="178" spans="1:42" x14ac:dyDescent="0.2">
      <c r="A178" s="269">
        <v>176</v>
      </c>
      <c r="B178" s="270" t="s">
        <v>1901</v>
      </c>
      <c r="C178" s="271" t="s">
        <v>2618</v>
      </c>
      <c r="D178" s="272" t="s">
        <v>2708</v>
      </c>
      <c r="E178" s="273" t="s">
        <v>2708</v>
      </c>
      <c r="F178" s="22" t="s">
        <v>743</v>
      </c>
      <c r="G178" s="23" t="s">
        <v>743</v>
      </c>
      <c r="H178" s="24" t="s">
        <v>743</v>
      </c>
      <c r="I178" s="24" t="s">
        <v>743</v>
      </c>
      <c r="J178" s="25" t="s">
        <v>743</v>
      </c>
      <c r="K178" s="26">
        <v>38295</v>
      </c>
      <c r="L178" s="27" t="s">
        <v>2709</v>
      </c>
      <c r="M178" s="28">
        <v>358607</v>
      </c>
      <c r="N178" s="29">
        <v>6178204</v>
      </c>
      <c r="O178" s="32">
        <v>314</v>
      </c>
      <c r="P178" s="135"/>
      <c r="Q178" s="260">
        <v>317</v>
      </c>
      <c r="R178" s="32"/>
      <c r="S178" s="135">
        <v>6</v>
      </c>
      <c r="T178" s="260">
        <f t="shared" si="9"/>
        <v>6</v>
      </c>
      <c r="U178" s="30"/>
      <c r="V178" s="31">
        <v>330</v>
      </c>
      <c r="W178" s="31">
        <f t="shared" si="10"/>
        <v>330</v>
      </c>
      <c r="X178" s="260">
        <f t="shared" si="11"/>
        <v>5</v>
      </c>
      <c r="Y178" s="323">
        <v>0.69599999999999995</v>
      </c>
      <c r="Z178" s="323">
        <v>112314</v>
      </c>
      <c r="AA178" s="323">
        <v>896</v>
      </c>
      <c r="AB178" s="151"/>
      <c r="AC178" s="155">
        <v>1996</v>
      </c>
      <c r="AD178" s="254">
        <f t="shared" si="8"/>
        <v>7.8459958932237441</v>
      </c>
      <c r="AE178" s="152" t="s">
        <v>2708</v>
      </c>
      <c r="AF178" s="252" t="s">
        <v>2708</v>
      </c>
      <c r="AG178" s="242" t="s">
        <v>2708</v>
      </c>
      <c r="AH178" s="242" t="s">
        <v>2708</v>
      </c>
      <c r="AI178" s="243" t="s">
        <v>2708</v>
      </c>
      <c r="AJ178" s="244" t="s">
        <v>2708</v>
      </c>
      <c r="AK178" s="244" t="s">
        <v>2708</v>
      </c>
      <c r="AL178" s="244" t="s">
        <v>2708</v>
      </c>
      <c r="AM178" s="244" t="s">
        <v>2708</v>
      </c>
      <c r="AN178" s="245" t="s">
        <v>2708</v>
      </c>
      <c r="AO178" s="245" t="s">
        <v>2708</v>
      </c>
      <c r="AP178" s="274">
        <v>589</v>
      </c>
    </row>
    <row r="179" spans="1:42" x14ac:dyDescent="0.2">
      <c r="A179" s="269">
        <v>177</v>
      </c>
      <c r="B179" s="270" t="s">
        <v>1901</v>
      </c>
      <c r="C179" s="271" t="s">
        <v>2668</v>
      </c>
      <c r="D179" s="272" t="s">
        <v>2708</v>
      </c>
      <c r="E179" s="273" t="s">
        <v>2708</v>
      </c>
      <c r="F179" s="22" t="s">
        <v>743</v>
      </c>
      <c r="G179" s="23" t="s">
        <v>743</v>
      </c>
      <c r="H179" s="24" t="s">
        <v>743</v>
      </c>
      <c r="I179" s="24" t="s">
        <v>743</v>
      </c>
      <c r="J179" s="25" t="s">
        <v>743</v>
      </c>
      <c r="K179" s="26">
        <v>38295</v>
      </c>
      <c r="L179" s="27" t="s">
        <v>2709</v>
      </c>
      <c r="M179" s="28">
        <v>358013</v>
      </c>
      <c r="N179" s="29">
        <v>6178197</v>
      </c>
      <c r="O179" s="32">
        <v>279</v>
      </c>
      <c r="P179" s="135"/>
      <c r="Q179" s="260">
        <v>282</v>
      </c>
      <c r="R179" s="32"/>
      <c r="S179" s="135">
        <v>7</v>
      </c>
      <c r="T179" s="260">
        <f t="shared" si="9"/>
        <v>7</v>
      </c>
      <c r="U179" s="30"/>
      <c r="V179" s="31">
        <v>318</v>
      </c>
      <c r="W179" s="31">
        <f t="shared" si="10"/>
        <v>318</v>
      </c>
      <c r="X179" s="260">
        <f t="shared" si="11"/>
        <v>4</v>
      </c>
      <c r="Y179" s="323">
        <v>1.0860000000000001</v>
      </c>
      <c r="Z179" s="323">
        <v>113502</v>
      </c>
      <c r="AA179" s="323">
        <v>896</v>
      </c>
      <c r="AB179" s="151"/>
      <c r="AC179" s="155">
        <v>1996</v>
      </c>
      <c r="AD179" s="254">
        <f t="shared" si="8"/>
        <v>7.8459958932237441</v>
      </c>
      <c r="AE179" s="152" t="s">
        <v>2708</v>
      </c>
      <c r="AF179" s="252" t="s">
        <v>2708</v>
      </c>
      <c r="AG179" s="242" t="s">
        <v>2708</v>
      </c>
      <c r="AH179" s="242" t="s">
        <v>2708</v>
      </c>
      <c r="AI179" s="243" t="s">
        <v>2708</v>
      </c>
      <c r="AJ179" s="244" t="s">
        <v>2708</v>
      </c>
      <c r="AK179" s="244" t="s">
        <v>2708</v>
      </c>
      <c r="AL179" s="244" t="s">
        <v>2708</v>
      </c>
      <c r="AM179" s="244" t="s">
        <v>2708</v>
      </c>
      <c r="AN179" s="245" t="s">
        <v>2708</v>
      </c>
      <c r="AO179" s="245" t="s">
        <v>2708</v>
      </c>
      <c r="AP179" s="274">
        <v>603</v>
      </c>
    </row>
    <row r="180" spans="1:42" x14ac:dyDescent="0.2">
      <c r="A180" s="269">
        <v>178</v>
      </c>
      <c r="B180" s="270" t="s">
        <v>1901</v>
      </c>
      <c r="C180" s="271" t="s">
        <v>2620</v>
      </c>
      <c r="D180" s="272" t="s">
        <v>2708</v>
      </c>
      <c r="E180" s="273" t="s">
        <v>2708</v>
      </c>
      <c r="F180" s="22" t="s">
        <v>743</v>
      </c>
      <c r="G180" s="23" t="s">
        <v>743</v>
      </c>
      <c r="H180" s="24" t="s">
        <v>743</v>
      </c>
      <c r="I180" s="24" t="s">
        <v>743</v>
      </c>
      <c r="J180" s="25" t="s">
        <v>743</v>
      </c>
      <c r="K180" s="26">
        <v>38295</v>
      </c>
      <c r="L180" s="27" t="s">
        <v>2709</v>
      </c>
      <c r="M180" s="28">
        <v>359057</v>
      </c>
      <c r="N180" s="29">
        <v>6178331</v>
      </c>
      <c r="O180" s="32">
        <v>324</v>
      </c>
      <c r="P180" s="135"/>
      <c r="Q180" s="260">
        <v>324</v>
      </c>
      <c r="R180" s="32"/>
      <c r="S180" s="135">
        <v>3</v>
      </c>
      <c r="T180" s="260">
        <f t="shared" si="9"/>
        <v>3</v>
      </c>
      <c r="U180" s="30"/>
      <c r="V180" s="31">
        <v>328</v>
      </c>
      <c r="W180" s="31">
        <f t="shared" si="10"/>
        <v>328</v>
      </c>
      <c r="X180" s="260">
        <f t="shared" si="11"/>
        <v>5</v>
      </c>
      <c r="Y180" s="323">
        <v>2E-3</v>
      </c>
      <c r="Z180" s="323">
        <v>109949</v>
      </c>
      <c r="AA180" s="323">
        <v>1157</v>
      </c>
      <c r="AB180" s="151"/>
      <c r="AC180" s="155">
        <v>1996</v>
      </c>
      <c r="AD180" s="254">
        <f t="shared" si="8"/>
        <v>7.8459958932237441</v>
      </c>
      <c r="AE180" s="152" t="s">
        <v>2708</v>
      </c>
      <c r="AF180" s="252" t="s">
        <v>2708</v>
      </c>
      <c r="AG180" s="242" t="s">
        <v>2708</v>
      </c>
      <c r="AH180" s="242" t="s">
        <v>2708</v>
      </c>
      <c r="AI180" s="243" t="s">
        <v>2708</v>
      </c>
      <c r="AJ180" s="244" t="s">
        <v>2708</v>
      </c>
      <c r="AK180" s="244" t="s">
        <v>2708</v>
      </c>
      <c r="AL180" s="244" t="s">
        <v>2708</v>
      </c>
      <c r="AM180" s="244" t="s">
        <v>2708</v>
      </c>
      <c r="AN180" s="245" t="s">
        <v>2708</v>
      </c>
      <c r="AO180" s="245" t="s">
        <v>2708</v>
      </c>
      <c r="AP180" s="274">
        <v>613</v>
      </c>
    </row>
    <row r="181" spans="1:42" x14ac:dyDescent="0.2">
      <c r="A181" s="269">
        <v>179</v>
      </c>
      <c r="B181" s="270" t="s">
        <v>1901</v>
      </c>
      <c r="C181" s="271" t="s">
        <v>2668</v>
      </c>
      <c r="D181" s="272" t="s">
        <v>2708</v>
      </c>
      <c r="E181" s="273" t="s">
        <v>2708</v>
      </c>
      <c r="F181" s="22" t="s">
        <v>743</v>
      </c>
      <c r="G181" s="23" t="s">
        <v>743</v>
      </c>
      <c r="H181" s="24" t="s">
        <v>743</v>
      </c>
      <c r="I181" s="24" t="s">
        <v>743</v>
      </c>
      <c r="J181" s="25" t="s">
        <v>743</v>
      </c>
      <c r="K181" s="26">
        <v>38295</v>
      </c>
      <c r="L181" s="27" t="s">
        <v>2709</v>
      </c>
      <c r="M181" s="28">
        <v>358685</v>
      </c>
      <c r="N181" s="29">
        <v>6178442</v>
      </c>
      <c r="O181" s="32">
        <v>304</v>
      </c>
      <c r="P181" s="135"/>
      <c r="Q181" s="260">
        <v>308</v>
      </c>
      <c r="R181" s="32"/>
      <c r="S181" s="135">
        <v>7</v>
      </c>
      <c r="T181" s="260">
        <f t="shared" si="9"/>
        <v>7</v>
      </c>
      <c r="U181" s="30"/>
      <c r="V181" s="31">
        <v>266</v>
      </c>
      <c r="W181" s="31">
        <f t="shared" si="10"/>
        <v>266</v>
      </c>
      <c r="X181" s="260">
        <f t="shared" si="11"/>
        <v>3</v>
      </c>
      <c r="Y181" s="323">
        <v>0.54300000000000004</v>
      </c>
      <c r="Z181" s="323">
        <v>106421</v>
      </c>
      <c r="AA181" s="323">
        <v>885</v>
      </c>
      <c r="AB181" s="151"/>
      <c r="AC181" s="155">
        <v>1996</v>
      </c>
      <c r="AD181" s="254">
        <f t="shared" si="8"/>
        <v>7.8459958932237441</v>
      </c>
      <c r="AE181" s="152" t="s">
        <v>2708</v>
      </c>
      <c r="AF181" s="252" t="s">
        <v>2708</v>
      </c>
      <c r="AG181" s="242" t="s">
        <v>2708</v>
      </c>
      <c r="AH181" s="242" t="s">
        <v>2708</v>
      </c>
      <c r="AI181" s="243" t="s">
        <v>2708</v>
      </c>
      <c r="AJ181" s="244" t="s">
        <v>2708</v>
      </c>
      <c r="AK181" s="244" t="s">
        <v>2708</v>
      </c>
      <c r="AL181" s="244" t="s">
        <v>2708</v>
      </c>
      <c r="AM181" s="244" t="s">
        <v>2708</v>
      </c>
      <c r="AN181" s="245" t="s">
        <v>2708</v>
      </c>
      <c r="AO181" s="245" t="s">
        <v>2708</v>
      </c>
      <c r="AP181" s="274">
        <v>616</v>
      </c>
    </row>
    <row r="182" spans="1:42" x14ac:dyDescent="0.2">
      <c r="A182" s="269">
        <v>180</v>
      </c>
      <c r="B182" s="270" t="s">
        <v>1901</v>
      </c>
      <c r="C182" s="271" t="s">
        <v>2669</v>
      </c>
      <c r="D182" s="272" t="s">
        <v>2708</v>
      </c>
      <c r="E182" s="273" t="s">
        <v>2708</v>
      </c>
      <c r="F182" s="22" t="s">
        <v>743</v>
      </c>
      <c r="G182" s="23" t="s">
        <v>743</v>
      </c>
      <c r="H182" s="24" t="s">
        <v>743</v>
      </c>
      <c r="I182" s="24" t="s">
        <v>743</v>
      </c>
      <c r="J182" s="25" t="s">
        <v>743</v>
      </c>
      <c r="K182" s="26">
        <v>38295</v>
      </c>
      <c r="L182" s="27" t="s">
        <v>2709</v>
      </c>
      <c r="M182" s="28">
        <v>358335</v>
      </c>
      <c r="N182" s="29">
        <v>6178475</v>
      </c>
      <c r="O182" s="32">
        <v>276</v>
      </c>
      <c r="P182" s="135"/>
      <c r="Q182" s="260">
        <v>284</v>
      </c>
      <c r="R182" s="32"/>
      <c r="S182" s="135">
        <v>4</v>
      </c>
      <c r="T182" s="260">
        <f t="shared" si="9"/>
        <v>4</v>
      </c>
      <c r="U182" s="30"/>
      <c r="V182" s="31">
        <v>276</v>
      </c>
      <c r="W182" s="31">
        <f t="shared" si="10"/>
        <v>276</v>
      </c>
      <c r="X182" s="260">
        <f t="shared" si="11"/>
        <v>3</v>
      </c>
      <c r="Y182" s="323">
        <v>0.83099999999999996</v>
      </c>
      <c r="Z182" s="323">
        <v>107632</v>
      </c>
      <c r="AA182" s="323">
        <v>1083</v>
      </c>
      <c r="AB182" s="151"/>
      <c r="AC182" s="155">
        <v>1996</v>
      </c>
      <c r="AD182" s="254">
        <f t="shared" si="8"/>
        <v>7.8459958932237441</v>
      </c>
      <c r="AE182" s="152" t="s">
        <v>2708</v>
      </c>
      <c r="AF182" s="252" t="s">
        <v>2708</v>
      </c>
      <c r="AG182" s="242" t="s">
        <v>2708</v>
      </c>
      <c r="AH182" s="242" t="s">
        <v>2708</v>
      </c>
      <c r="AI182" s="243" t="s">
        <v>2708</v>
      </c>
      <c r="AJ182" s="244" t="s">
        <v>2708</v>
      </c>
      <c r="AK182" s="244" t="s">
        <v>2708</v>
      </c>
      <c r="AL182" s="244" t="s">
        <v>2708</v>
      </c>
      <c r="AM182" s="244" t="s">
        <v>2708</v>
      </c>
      <c r="AN182" s="245" t="s">
        <v>2708</v>
      </c>
      <c r="AO182" s="245" t="s">
        <v>2708</v>
      </c>
      <c r="AP182" s="274">
        <v>618</v>
      </c>
    </row>
    <row r="183" spans="1:42" x14ac:dyDescent="0.2">
      <c r="A183" s="269">
        <v>181</v>
      </c>
      <c r="B183" s="270" t="s">
        <v>1901</v>
      </c>
      <c r="C183" s="271" t="s">
        <v>2668</v>
      </c>
      <c r="D183" s="272" t="s">
        <v>2708</v>
      </c>
      <c r="E183" s="273" t="s">
        <v>2708</v>
      </c>
      <c r="F183" s="22" t="s">
        <v>743</v>
      </c>
      <c r="G183" s="23" t="s">
        <v>743</v>
      </c>
      <c r="H183" s="24" t="s">
        <v>743</v>
      </c>
      <c r="I183" s="24" t="s">
        <v>743</v>
      </c>
      <c r="J183" s="25" t="s">
        <v>743</v>
      </c>
      <c r="K183" s="26">
        <v>38295</v>
      </c>
      <c r="L183" s="27" t="s">
        <v>2709</v>
      </c>
      <c r="M183" s="28">
        <v>357255</v>
      </c>
      <c r="N183" s="29">
        <v>6178660</v>
      </c>
      <c r="O183" s="32">
        <v>221</v>
      </c>
      <c r="P183" s="135"/>
      <c r="Q183" s="260">
        <v>230</v>
      </c>
      <c r="R183" s="32"/>
      <c r="S183" s="135">
        <v>6</v>
      </c>
      <c r="T183" s="260">
        <f t="shared" si="9"/>
        <v>6</v>
      </c>
      <c r="U183" s="30"/>
      <c r="V183" s="31">
        <v>285</v>
      </c>
      <c r="W183" s="31">
        <f t="shared" si="10"/>
        <v>285</v>
      </c>
      <c r="X183" s="260">
        <f t="shared" si="11"/>
        <v>3</v>
      </c>
      <c r="Y183" s="323">
        <v>0.51700000000000002</v>
      </c>
      <c r="Z183" s="323">
        <v>107778</v>
      </c>
      <c r="AA183" s="323">
        <v>1073</v>
      </c>
      <c r="AB183" s="151"/>
      <c r="AC183" s="155">
        <v>1996</v>
      </c>
      <c r="AD183" s="254">
        <f t="shared" si="8"/>
        <v>7.8459958932237441</v>
      </c>
      <c r="AE183" s="152" t="s">
        <v>2708</v>
      </c>
      <c r="AF183" s="252" t="s">
        <v>2708</v>
      </c>
      <c r="AG183" s="242" t="s">
        <v>2708</v>
      </c>
      <c r="AH183" s="242" t="s">
        <v>2708</v>
      </c>
      <c r="AI183" s="243" t="s">
        <v>2708</v>
      </c>
      <c r="AJ183" s="244" t="s">
        <v>2708</v>
      </c>
      <c r="AK183" s="244" t="s">
        <v>2708</v>
      </c>
      <c r="AL183" s="244" t="s">
        <v>2708</v>
      </c>
      <c r="AM183" s="244" t="s">
        <v>2708</v>
      </c>
      <c r="AN183" s="245" t="s">
        <v>2708</v>
      </c>
      <c r="AO183" s="245" t="s">
        <v>2708</v>
      </c>
      <c r="AP183" s="274">
        <v>624</v>
      </c>
    </row>
    <row r="184" spans="1:42" x14ac:dyDescent="0.2">
      <c r="A184" s="269">
        <v>182</v>
      </c>
      <c r="B184" s="270" t="s">
        <v>1901</v>
      </c>
      <c r="C184" s="271" t="s">
        <v>2617</v>
      </c>
      <c r="D184" s="272" t="s">
        <v>2708</v>
      </c>
      <c r="E184" s="273" t="s">
        <v>2708</v>
      </c>
      <c r="F184" s="22" t="s">
        <v>743</v>
      </c>
      <c r="G184" s="23" t="s">
        <v>743</v>
      </c>
      <c r="H184" s="24" t="s">
        <v>743</v>
      </c>
      <c r="I184" s="24" t="s">
        <v>743</v>
      </c>
      <c r="J184" s="25" t="s">
        <v>743</v>
      </c>
      <c r="K184" s="26">
        <v>38295</v>
      </c>
      <c r="L184" s="27" t="s">
        <v>2709</v>
      </c>
      <c r="M184" s="28">
        <v>357155</v>
      </c>
      <c r="N184" s="29">
        <v>6178282</v>
      </c>
      <c r="O184" s="32">
        <v>264</v>
      </c>
      <c r="P184" s="135"/>
      <c r="Q184" s="260">
        <v>270</v>
      </c>
      <c r="R184" s="32"/>
      <c r="S184" s="135">
        <v>11</v>
      </c>
      <c r="T184" s="260">
        <f t="shared" si="9"/>
        <v>11</v>
      </c>
      <c r="U184" s="30"/>
      <c r="V184" s="31">
        <v>5</v>
      </c>
      <c r="W184" s="31">
        <f t="shared" si="10"/>
        <v>5</v>
      </c>
      <c r="X184" s="260">
        <f t="shared" si="11"/>
        <v>6</v>
      </c>
      <c r="Y184" s="323">
        <v>1.149</v>
      </c>
      <c r="Z184" s="323">
        <v>115508</v>
      </c>
      <c r="AA184" s="323">
        <v>980</v>
      </c>
      <c r="AB184" s="151"/>
      <c r="AC184" s="155">
        <v>1992</v>
      </c>
      <c r="AD184" s="254">
        <f t="shared" si="8"/>
        <v>11.845995893223744</v>
      </c>
      <c r="AE184" s="152" t="s">
        <v>2708</v>
      </c>
      <c r="AF184" s="252" t="s">
        <v>2708</v>
      </c>
      <c r="AG184" s="242" t="s">
        <v>2708</v>
      </c>
      <c r="AH184" s="242" t="s">
        <v>2708</v>
      </c>
      <c r="AI184" s="243" t="s">
        <v>2708</v>
      </c>
      <c r="AJ184" s="244" t="s">
        <v>2708</v>
      </c>
      <c r="AK184" s="244" t="s">
        <v>2708</v>
      </c>
      <c r="AL184" s="244" t="s">
        <v>2708</v>
      </c>
      <c r="AM184" s="244" t="s">
        <v>2708</v>
      </c>
      <c r="AN184" s="245" t="s">
        <v>2708</v>
      </c>
      <c r="AO184" s="245" t="s">
        <v>2708</v>
      </c>
      <c r="AP184" s="274">
        <v>627</v>
      </c>
    </row>
    <row r="185" spans="1:42" x14ac:dyDescent="0.2">
      <c r="A185" s="269">
        <v>183</v>
      </c>
      <c r="B185" s="270" t="s">
        <v>1901</v>
      </c>
      <c r="C185" s="271" t="s">
        <v>2247</v>
      </c>
      <c r="D185" s="272" t="s">
        <v>2708</v>
      </c>
      <c r="E185" s="273" t="s">
        <v>2708</v>
      </c>
      <c r="F185" s="22" t="s">
        <v>743</v>
      </c>
      <c r="G185" s="23" t="s">
        <v>743</v>
      </c>
      <c r="H185" s="24" t="s">
        <v>743</v>
      </c>
      <c r="I185" s="24" t="s">
        <v>743</v>
      </c>
      <c r="J185" s="25" t="s">
        <v>743</v>
      </c>
      <c r="K185" s="26">
        <v>38297</v>
      </c>
      <c r="L185" s="27" t="s">
        <v>2709</v>
      </c>
      <c r="M185" s="28">
        <v>357142</v>
      </c>
      <c r="N185" s="29">
        <v>6176645</v>
      </c>
      <c r="O185" s="32">
        <v>363</v>
      </c>
      <c r="P185" s="135"/>
      <c r="Q185" s="260">
        <v>364</v>
      </c>
      <c r="R185" s="32"/>
      <c r="S185" s="135">
        <v>8</v>
      </c>
      <c r="T185" s="260">
        <f t="shared" si="9"/>
        <v>8</v>
      </c>
      <c r="U185" s="30"/>
      <c r="V185" s="31">
        <v>216</v>
      </c>
      <c r="W185" s="31">
        <f t="shared" si="10"/>
        <v>216</v>
      </c>
      <c r="X185" s="260">
        <f t="shared" si="11"/>
        <v>2</v>
      </c>
      <c r="Y185" s="323">
        <v>0.82599999999999996</v>
      </c>
      <c r="Z185" s="323">
        <v>100536</v>
      </c>
      <c r="AA185" s="323">
        <v>1178</v>
      </c>
      <c r="AB185" s="151"/>
      <c r="AC185" s="155">
        <v>1990</v>
      </c>
      <c r="AD185" s="254">
        <f t="shared" si="8"/>
        <v>13.851471594798113</v>
      </c>
      <c r="AE185" s="152" t="s">
        <v>2708</v>
      </c>
      <c r="AF185" s="252" t="s">
        <v>2708</v>
      </c>
      <c r="AG185" s="242" t="s">
        <v>2708</v>
      </c>
      <c r="AH185" s="242" t="s">
        <v>2708</v>
      </c>
      <c r="AI185" s="243" t="s">
        <v>2708</v>
      </c>
      <c r="AJ185" s="244" t="s">
        <v>2708</v>
      </c>
      <c r="AK185" s="244" t="s">
        <v>2708</v>
      </c>
      <c r="AL185" s="244" t="s">
        <v>2708</v>
      </c>
      <c r="AM185" s="244" t="s">
        <v>2708</v>
      </c>
      <c r="AN185" s="245" t="s">
        <v>2708</v>
      </c>
      <c r="AO185" s="245" t="s">
        <v>2708</v>
      </c>
      <c r="AP185" s="274">
        <v>703</v>
      </c>
    </row>
    <row r="186" spans="1:42" x14ac:dyDescent="0.2">
      <c r="A186" s="269">
        <v>184</v>
      </c>
      <c r="B186" s="270" t="s">
        <v>1901</v>
      </c>
      <c r="C186" s="271" t="s">
        <v>1251</v>
      </c>
      <c r="D186" s="272" t="s">
        <v>2708</v>
      </c>
      <c r="E186" s="273" t="s">
        <v>2708</v>
      </c>
      <c r="F186" s="22" t="s">
        <v>743</v>
      </c>
      <c r="G186" s="23" t="s">
        <v>743</v>
      </c>
      <c r="H186" s="24" t="s">
        <v>743</v>
      </c>
      <c r="I186" s="24" t="s">
        <v>743</v>
      </c>
      <c r="J186" s="25" t="s">
        <v>743</v>
      </c>
      <c r="K186" s="26">
        <v>38297</v>
      </c>
      <c r="L186" s="27" t="s">
        <v>2709</v>
      </c>
      <c r="M186" s="28">
        <v>357487</v>
      </c>
      <c r="N186" s="29">
        <v>6176460</v>
      </c>
      <c r="O186" s="32">
        <v>362</v>
      </c>
      <c r="P186" s="135"/>
      <c r="Q186" s="260">
        <v>366</v>
      </c>
      <c r="R186" s="32"/>
      <c r="S186" s="135">
        <v>2</v>
      </c>
      <c r="T186" s="260">
        <f t="shared" si="9"/>
        <v>2</v>
      </c>
      <c r="U186" s="30"/>
      <c r="V186" s="31">
        <v>48</v>
      </c>
      <c r="W186" s="31">
        <f t="shared" si="10"/>
        <v>48</v>
      </c>
      <c r="X186" s="260">
        <f t="shared" si="11"/>
        <v>4</v>
      </c>
      <c r="Y186" s="323">
        <v>0.14099999999999999</v>
      </c>
      <c r="Z186" s="323">
        <v>110603</v>
      </c>
      <c r="AA186" s="323">
        <v>1041</v>
      </c>
      <c r="AB186" s="151"/>
      <c r="AC186" s="155">
        <v>1990</v>
      </c>
      <c r="AD186" s="254">
        <f t="shared" si="8"/>
        <v>13.851471594798113</v>
      </c>
      <c r="AE186" s="152" t="s">
        <v>2708</v>
      </c>
      <c r="AF186" s="252" t="s">
        <v>2708</v>
      </c>
      <c r="AG186" s="242" t="s">
        <v>2708</v>
      </c>
      <c r="AH186" s="242" t="s">
        <v>2708</v>
      </c>
      <c r="AI186" s="243" t="s">
        <v>2708</v>
      </c>
      <c r="AJ186" s="244" t="s">
        <v>2708</v>
      </c>
      <c r="AK186" s="244" t="s">
        <v>2708</v>
      </c>
      <c r="AL186" s="244" t="s">
        <v>2708</v>
      </c>
      <c r="AM186" s="244" t="s">
        <v>2708</v>
      </c>
      <c r="AN186" s="245" t="s">
        <v>2708</v>
      </c>
      <c r="AO186" s="245" t="s">
        <v>2708</v>
      </c>
      <c r="AP186" s="274">
        <v>710</v>
      </c>
    </row>
    <row r="187" spans="1:42" x14ac:dyDescent="0.2">
      <c r="A187" s="269">
        <v>185</v>
      </c>
      <c r="B187" s="270" t="s">
        <v>1901</v>
      </c>
      <c r="C187" s="271" t="s">
        <v>1251</v>
      </c>
      <c r="D187" s="272" t="s">
        <v>2708</v>
      </c>
      <c r="E187" s="273" t="s">
        <v>2708</v>
      </c>
      <c r="F187" s="22" t="s">
        <v>743</v>
      </c>
      <c r="G187" s="23" t="s">
        <v>743</v>
      </c>
      <c r="H187" s="24" t="s">
        <v>743</v>
      </c>
      <c r="I187" s="24" t="s">
        <v>743</v>
      </c>
      <c r="J187" s="25" t="s">
        <v>743</v>
      </c>
      <c r="K187" s="26">
        <v>38297</v>
      </c>
      <c r="L187" s="27" t="s">
        <v>2709</v>
      </c>
      <c r="M187" s="28">
        <v>357370</v>
      </c>
      <c r="N187" s="29">
        <v>6176543</v>
      </c>
      <c r="O187" s="32">
        <v>370</v>
      </c>
      <c r="P187" s="135"/>
      <c r="Q187" s="260">
        <v>374</v>
      </c>
      <c r="R187" s="32"/>
      <c r="S187" s="135">
        <v>8</v>
      </c>
      <c r="T187" s="260">
        <f t="shared" si="9"/>
        <v>8</v>
      </c>
      <c r="U187" s="30"/>
      <c r="V187" s="31">
        <v>196</v>
      </c>
      <c r="W187" s="31">
        <f t="shared" si="10"/>
        <v>196</v>
      </c>
      <c r="X187" s="260">
        <f t="shared" si="11"/>
        <v>1</v>
      </c>
      <c r="Y187" s="323">
        <v>0.24299999999999999</v>
      </c>
      <c r="Z187" s="323">
        <v>100190</v>
      </c>
      <c r="AA187" s="323">
        <v>1154</v>
      </c>
      <c r="AB187" s="151"/>
      <c r="AC187" s="155">
        <v>1990</v>
      </c>
      <c r="AD187" s="254">
        <f t="shared" si="8"/>
        <v>13.851471594798113</v>
      </c>
      <c r="AE187" s="152" t="s">
        <v>2708</v>
      </c>
      <c r="AF187" s="252" t="s">
        <v>2708</v>
      </c>
      <c r="AG187" s="242" t="s">
        <v>2708</v>
      </c>
      <c r="AH187" s="242" t="s">
        <v>2708</v>
      </c>
      <c r="AI187" s="243" t="s">
        <v>2708</v>
      </c>
      <c r="AJ187" s="244" t="s">
        <v>2708</v>
      </c>
      <c r="AK187" s="244" t="s">
        <v>2708</v>
      </c>
      <c r="AL187" s="244" t="s">
        <v>2708</v>
      </c>
      <c r="AM187" s="244" t="s">
        <v>2708</v>
      </c>
      <c r="AN187" s="245" t="s">
        <v>2708</v>
      </c>
      <c r="AO187" s="245" t="s">
        <v>2708</v>
      </c>
      <c r="AP187" s="274">
        <v>713</v>
      </c>
    </row>
    <row r="188" spans="1:42" x14ac:dyDescent="0.2">
      <c r="A188" s="269">
        <v>186</v>
      </c>
      <c r="B188" s="270" t="s">
        <v>1901</v>
      </c>
      <c r="C188" s="271" t="s">
        <v>1251</v>
      </c>
      <c r="D188" s="272" t="s">
        <v>2708</v>
      </c>
      <c r="E188" s="273" t="s">
        <v>2708</v>
      </c>
      <c r="F188" s="22" t="s">
        <v>743</v>
      </c>
      <c r="G188" s="23" t="s">
        <v>743</v>
      </c>
      <c r="H188" s="24" t="s">
        <v>743</v>
      </c>
      <c r="I188" s="24" t="s">
        <v>743</v>
      </c>
      <c r="J188" s="25" t="s">
        <v>743</v>
      </c>
      <c r="K188" s="26">
        <v>38297</v>
      </c>
      <c r="L188" s="27" t="s">
        <v>2709</v>
      </c>
      <c r="M188" s="28">
        <v>357431</v>
      </c>
      <c r="N188" s="29">
        <v>6176703</v>
      </c>
      <c r="O188" s="32">
        <v>370</v>
      </c>
      <c r="P188" s="135"/>
      <c r="Q188" s="260">
        <v>379</v>
      </c>
      <c r="R188" s="32"/>
      <c r="S188" s="135">
        <v>7</v>
      </c>
      <c r="T188" s="260">
        <f t="shared" si="9"/>
        <v>7</v>
      </c>
      <c r="U188" s="30"/>
      <c r="V188" s="31">
        <v>19</v>
      </c>
      <c r="W188" s="31">
        <f t="shared" si="10"/>
        <v>19</v>
      </c>
      <c r="X188" s="260">
        <f t="shared" si="11"/>
        <v>5</v>
      </c>
      <c r="Y188" s="323">
        <v>0.38200000000000001</v>
      </c>
      <c r="Z188" s="323">
        <v>114284</v>
      </c>
      <c r="AA188" s="323">
        <v>1309</v>
      </c>
      <c r="AB188" s="151"/>
      <c r="AC188" s="155">
        <v>1990</v>
      </c>
      <c r="AD188" s="254">
        <f t="shared" si="8"/>
        <v>13.851471594798113</v>
      </c>
      <c r="AE188" s="152" t="s">
        <v>2708</v>
      </c>
      <c r="AF188" s="252" t="s">
        <v>2708</v>
      </c>
      <c r="AG188" s="242" t="s">
        <v>2708</v>
      </c>
      <c r="AH188" s="242" t="s">
        <v>2708</v>
      </c>
      <c r="AI188" s="243" t="s">
        <v>2708</v>
      </c>
      <c r="AJ188" s="244" t="s">
        <v>2708</v>
      </c>
      <c r="AK188" s="244" t="s">
        <v>2708</v>
      </c>
      <c r="AL188" s="244" t="s">
        <v>2708</v>
      </c>
      <c r="AM188" s="244" t="s">
        <v>2708</v>
      </c>
      <c r="AN188" s="245" t="s">
        <v>2708</v>
      </c>
      <c r="AO188" s="245" t="s">
        <v>2708</v>
      </c>
      <c r="AP188" s="274">
        <v>715</v>
      </c>
    </row>
    <row r="189" spans="1:42" x14ac:dyDescent="0.2">
      <c r="A189" s="269">
        <v>187</v>
      </c>
      <c r="B189" s="270" t="s">
        <v>1901</v>
      </c>
      <c r="C189" s="271" t="s">
        <v>1252</v>
      </c>
      <c r="D189" s="272" t="s">
        <v>2708</v>
      </c>
      <c r="E189" s="273" t="s">
        <v>2708</v>
      </c>
      <c r="F189" s="22" t="s">
        <v>743</v>
      </c>
      <c r="G189" s="23" t="s">
        <v>743</v>
      </c>
      <c r="H189" s="24" t="s">
        <v>743</v>
      </c>
      <c r="I189" s="24" t="s">
        <v>743</v>
      </c>
      <c r="J189" s="25" t="s">
        <v>743</v>
      </c>
      <c r="K189" s="26">
        <v>38297</v>
      </c>
      <c r="L189" s="27" t="s">
        <v>2709</v>
      </c>
      <c r="M189" s="28">
        <v>357611</v>
      </c>
      <c r="N189" s="29">
        <v>6177207</v>
      </c>
      <c r="O189" s="32">
        <v>453</v>
      </c>
      <c r="P189" s="135"/>
      <c r="Q189" s="260">
        <v>455</v>
      </c>
      <c r="R189" s="32"/>
      <c r="S189" s="135">
        <v>14</v>
      </c>
      <c r="T189" s="260">
        <f t="shared" si="9"/>
        <v>14</v>
      </c>
      <c r="U189" s="30"/>
      <c r="V189" s="31">
        <v>255</v>
      </c>
      <c r="W189" s="31">
        <f t="shared" si="10"/>
        <v>255</v>
      </c>
      <c r="X189" s="260">
        <f t="shared" si="11"/>
        <v>3</v>
      </c>
      <c r="Y189" s="323">
        <v>0.74399999999999999</v>
      </c>
      <c r="Z189" s="323">
        <v>103646</v>
      </c>
      <c r="AA189" s="323">
        <v>961</v>
      </c>
      <c r="AB189" s="151"/>
      <c r="AC189" s="155">
        <v>1992</v>
      </c>
      <c r="AD189" s="254">
        <f t="shared" si="8"/>
        <v>11.851471594798113</v>
      </c>
      <c r="AE189" s="152" t="s">
        <v>2708</v>
      </c>
      <c r="AF189" s="252" t="s">
        <v>2708</v>
      </c>
      <c r="AG189" s="242" t="s">
        <v>2708</v>
      </c>
      <c r="AH189" s="242" t="s">
        <v>2708</v>
      </c>
      <c r="AI189" s="243" t="s">
        <v>2708</v>
      </c>
      <c r="AJ189" s="244" t="s">
        <v>2708</v>
      </c>
      <c r="AK189" s="244" t="s">
        <v>2708</v>
      </c>
      <c r="AL189" s="244" t="s">
        <v>2708</v>
      </c>
      <c r="AM189" s="244" t="s">
        <v>2708</v>
      </c>
      <c r="AN189" s="245" t="s">
        <v>2708</v>
      </c>
      <c r="AO189" s="245" t="s">
        <v>2708</v>
      </c>
      <c r="AP189" s="274">
        <v>718</v>
      </c>
    </row>
    <row r="190" spans="1:42" x14ac:dyDescent="0.2">
      <c r="A190" s="269">
        <v>188</v>
      </c>
      <c r="B190" s="270" t="s">
        <v>1901</v>
      </c>
      <c r="C190" s="271" t="s">
        <v>1251</v>
      </c>
      <c r="D190" s="272" t="s">
        <v>2708</v>
      </c>
      <c r="E190" s="273" t="s">
        <v>2708</v>
      </c>
      <c r="F190" s="22" t="s">
        <v>743</v>
      </c>
      <c r="G190" s="23" t="s">
        <v>743</v>
      </c>
      <c r="H190" s="24" t="s">
        <v>743</v>
      </c>
      <c r="I190" s="24" t="s">
        <v>743</v>
      </c>
      <c r="J190" s="25" t="s">
        <v>743</v>
      </c>
      <c r="K190" s="26">
        <v>38297</v>
      </c>
      <c r="L190" s="27" t="s">
        <v>2709</v>
      </c>
      <c r="M190" s="28">
        <v>357488</v>
      </c>
      <c r="N190" s="29">
        <v>6177227</v>
      </c>
      <c r="O190" s="32">
        <v>431</v>
      </c>
      <c r="P190" s="135"/>
      <c r="Q190" s="260">
        <v>414</v>
      </c>
      <c r="R190" s="32"/>
      <c r="S190" s="135">
        <v>26</v>
      </c>
      <c r="T190" s="260">
        <f t="shared" si="9"/>
        <v>26</v>
      </c>
      <c r="U190" s="30"/>
      <c r="V190" s="31">
        <v>233</v>
      </c>
      <c r="W190" s="31">
        <f t="shared" si="10"/>
        <v>233</v>
      </c>
      <c r="X190" s="260">
        <f t="shared" si="11"/>
        <v>2</v>
      </c>
      <c r="Y190" s="323">
        <v>0.57499999999999996</v>
      </c>
      <c r="Z190" s="323">
        <v>84434</v>
      </c>
      <c r="AA190" s="323">
        <v>707</v>
      </c>
      <c r="AB190" s="151"/>
      <c r="AC190" s="155">
        <v>1992</v>
      </c>
      <c r="AD190" s="254">
        <f t="shared" si="8"/>
        <v>11.851471594798113</v>
      </c>
      <c r="AE190" s="152" t="s">
        <v>2708</v>
      </c>
      <c r="AF190" s="252" t="s">
        <v>2708</v>
      </c>
      <c r="AG190" s="242" t="s">
        <v>2708</v>
      </c>
      <c r="AH190" s="242" t="s">
        <v>2708</v>
      </c>
      <c r="AI190" s="243" t="s">
        <v>2708</v>
      </c>
      <c r="AJ190" s="244" t="s">
        <v>2708</v>
      </c>
      <c r="AK190" s="244" t="s">
        <v>2708</v>
      </c>
      <c r="AL190" s="244" t="s">
        <v>2708</v>
      </c>
      <c r="AM190" s="244" t="s">
        <v>2708</v>
      </c>
      <c r="AN190" s="245" t="s">
        <v>2708</v>
      </c>
      <c r="AO190" s="245" t="s">
        <v>2708</v>
      </c>
      <c r="AP190" s="274">
        <v>720</v>
      </c>
    </row>
    <row r="191" spans="1:42" x14ac:dyDescent="0.2">
      <c r="A191" s="269">
        <v>189</v>
      </c>
      <c r="B191" s="270" t="s">
        <v>1901</v>
      </c>
      <c r="C191" s="271" t="s">
        <v>1251</v>
      </c>
      <c r="D191" s="272" t="s">
        <v>2708</v>
      </c>
      <c r="E191" s="273" t="s">
        <v>2708</v>
      </c>
      <c r="F191" s="22" t="s">
        <v>743</v>
      </c>
      <c r="G191" s="23" t="s">
        <v>743</v>
      </c>
      <c r="H191" s="24" t="s">
        <v>743</v>
      </c>
      <c r="I191" s="24" t="s">
        <v>743</v>
      </c>
      <c r="J191" s="25" t="s">
        <v>743</v>
      </c>
      <c r="K191" s="26">
        <v>38297</v>
      </c>
      <c r="L191" s="27" t="s">
        <v>2709</v>
      </c>
      <c r="M191" s="28">
        <v>357577</v>
      </c>
      <c r="N191" s="29">
        <v>6177365</v>
      </c>
      <c r="O191" s="32">
        <v>431</v>
      </c>
      <c r="P191" s="135"/>
      <c r="Q191" s="260">
        <v>433</v>
      </c>
      <c r="R191" s="32"/>
      <c r="S191" s="135">
        <v>16</v>
      </c>
      <c r="T191" s="260">
        <f t="shared" si="9"/>
        <v>16</v>
      </c>
      <c r="U191" s="30"/>
      <c r="V191" s="31">
        <v>347</v>
      </c>
      <c r="W191" s="31">
        <f t="shared" si="10"/>
        <v>347</v>
      </c>
      <c r="X191" s="260">
        <f t="shared" si="11"/>
        <v>5</v>
      </c>
      <c r="Y191" s="323">
        <v>0.65400000000000003</v>
      </c>
      <c r="Z191" s="323">
        <v>121024</v>
      </c>
      <c r="AA191" s="323">
        <v>770</v>
      </c>
      <c r="AB191" s="151"/>
      <c r="AC191" s="155">
        <v>1992</v>
      </c>
      <c r="AD191" s="254">
        <f t="shared" si="8"/>
        <v>11.851471594798113</v>
      </c>
      <c r="AE191" s="152" t="s">
        <v>2708</v>
      </c>
      <c r="AF191" s="252" t="s">
        <v>2708</v>
      </c>
      <c r="AG191" s="242" t="s">
        <v>2708</v>
      </c>
      <c r="AH191" s="242" t="s">
        <v>2708</v>
      </c>
      <c r="AI191" s="243" t="s">
        <v>2708</v>
      </c>
      <c r="AJ191" s="244" t="s">
        <v>2708</v>
      </c>
      <c r="AK191" s="244" t="s">
        <v>2708</v>
      </c>
      <c r="AL191" s="244" t="s">
        <v>2708</v>
      </c>
      <c r="AM191" s="244" t="s">
        <v>2708</v>
      </c>
      <c r="AN191" s="245" t="s">
        <v>2708</v>
      </c>
      <c r="AO191" s="245" t="s">
        <v>2708</v>
      </c>
      <c r="AP191" s="274">
        <v>722</v>
      </c>
    </row>
    <row r="192" spans="1:42" x14ac:dyDescent="0.2">
      <c r="A192" s="269">
        <v>190</v>
      </c>
      <c r="B192" s="270" t="s">
        <v>1901</v>
      </c>
      <c r="C192" s="271" t="s">
        <v>1251</v>
      </c>
      <c r="D192" s="272" t="s">
        <v>2708</v>
      </c>
      <c r="E192" s="273" t="s">
        <v>2708</v>
      </c>
      <c r="F192" s="22" t="s">
        <v>743</v>
      </c>
      <c r="G192" s="23" t="s">
        <v>743</v>
      </c>
      <c r="H192" s="24" t="s">
        <v>743</v>
      </c>
      <c r="I192" s="24" t="s">
        <v>743</v>
      </c>
      <c r="J192" s="25" t="s">
        <v>743</v>
      </c>
      <c r="K192" s="26">
        <v>38297</v>
      </c>
      <c r="L192" s="27" t="s">
        <v>2709</v>
      </c>
      <c r="M192" s="28">
        <v>357641</v>
      </c>
      <c r="N192" s="29">
        <v>6177424</v>
      </c>
      <c r="O192" s="32">
        <v>407</v>
      </c>
      <c r="P192" s="135"/>
      <c r="Q192" s="260">
        <v>415</v>
      </c>
      <c r="R192" s="32"/>
      <c r="S192" s="135">
        <v>19</v>
      </c>
      <c r="T192" s="260">
        <f t="shared" si="9"/>
        <v>19</v>
      </c>
      <c r="U192" s="30"/>
      <c r="V192" s="31">
        <v>18</v>
      </c>
      <c r="W192" s="31">
        <f t="shared" si="10"/>
        <v>18</v>
      </c>
      <c r="X192" s="260">
        <f t="shared" si="11"/>
        <v>5</v>
      </c>
      <c r="Y192" s="323">
        <v>0.73</v>
      </c>
      <c r="Z192" s="323">
        <v>121205</v>
      </c>
      <c r="AA192" s="323">
        <v>816</v>
      </c>
      <c r="AB192" s="151"/>
      <c r="AC192" s="155">
        <v>1992</v>
      </c>
      <c r="AD192" s="254">
        <f t="shared" si="8"/>
        <v>11.851471594798113</v>
      </c>
      <c r="AE192" s="152" t="s">
        <v>2708</v>
      </c>
      <c r="AF192" s="252" t="s">
        <v>2708</v>
      </c>
      <c r="AG192" s="242" t="s">
        <v>2708</v>
      </c>
      <c r="AH192" s="242" t="s">
        <v>2708</v>
      </c>
      <c r="AI192" s="243" t="s">
        <v>2708</v>
      </c>
      <c r="AJ192" s="244" t="s">
        <v>2708</v>
      </c>
      <c r="AK192" s="244" t="s">
        <v>2708</v>
      </c>
      <c r="AL192" s="244" t="s">
        <v>2708</v>
      </c>
      <c r="AM192" s="244" t="s">
        <v>2708</v>
      </c>
      <c r="AN192" s="245" t="s">
        <v>2708</v>
      </c>
      <c r="AO192" s="245" t="s">
        <v>2708</v>
      </c>
      <c r="AP192" s="274">
        <v>724</v>
      </c>
    </row>
    <row r="193" spans="1:42" x14ac:dyDescent="0.2">
      <c r="A193" s="269">
        <v>191</v>
      </c>
      <c r="B193" s="270" t="s">
        <v>1901</v>
      </c>
      <c r="C193" s="271" t="s">
        <v>2248</v>
      </c>
      <c r="D193" s="272" t="s">
        <v>2708</v>
      </c>
      <c r="E193" s="273" t="s">
        <v>2708</v>
      </c>
      <c r="F193" s="22" t="s">
        <v>743</v>
      </c>
      <c r="G193" s="23" t="s">
        <v>743</v>
      </c>
      <c r="H193" s="24" t="s">
        <v>743</v>
      </c>
      <c r="I193" s="24" t="s">
        <v>743</v>
      </c>
      <c r="J193" s="25" t="s">
        <v>743</v>
      </c>
      <c r="K193" s="26">
        <v>38297</v>
      </c>
      <c r="L193" s="27" t="s">
        <v>2709</v>
      </c>
      <c r="M193" s="28">
        <v>358301</v>
      </c>
      <c r="N193" s="29">
        <v>6177290</v>
      </c>
      <c r="O193" s="32">
        <v>392</v>
      </c>
      <c r="P193" s="135"/>
      <c r="Q193" s="260">
        <v>379</v>
      </c>
      <c r="R193" s="32"/>
      <c r="S193" s="135">
        <v>11</v>
      </c>
      <c r="T193" s="260">
        <f t="shared" si="9"/>
        <v>11</v>
      </c>
      <c r="U193" s="30"/>
      <c r="V193" s="31">
        <v>292</v>
      </c>
      <c r="W193" s="31">
        <f t="shared" si="10"/>
        <v>292</v>
      </c>
      <c r="X193" s="260">
        <f t="shared" si="11"/>
        <v>3</v>
      </c>
      <c r="Y193" s="323">
        <v>1.5189999999999999</v>
      </c>
      <c r="Z193" s="323">
        <v>108971</v>
      </c>
      <c r="AA193" s="323">
        <v>516</v>
      </c>
      <c r="AB193" s="151"/>
      <c r="AC193" s="155">
        <v>1992</v>
      </c>
      <c r="AD193" s="254">
        <f t="shared" si="8"/>
        <v>11.851471594798113</v>
      </c>
      <c r="AE193" s="152" t="s">
        <v>2708</v>
      </c>
      <c r="AF193" s="252" t="s">
        <v>2708</v>
      </c>
      <c r="AG193" s="242" t="s">
        <v>2708</v>
      </c>
      <c r="AH193" s="242" t="s">
        <v>2708</v>
      </c>
      <c r="AI193" s="243" t="s">
        <v>2708</v>
      </c>
      <c r="AJ193" s="244" t="s">
        <v>2708</v>
      </c>
      <c r="AK193" s="244" t="s">
        <v>2708</v>
      </c>
      <c r="AL193" s="244" t="s">
        <v>2708</v>
      </c>
      <c r="AM193" s="244" t="s">
        <v>2708</v>
      </c>
      <c r="AN193" s="245" t="s">
        <v>2708</v>
      </c>
      <c r="AO193" s="245" t="s">
        <v>2708</v>
      </c>
      <c r="AP193" s="274">
        <v>726</v>
      </c>
    </row>
    <row r="194" spans="1:42" x14ac:dyDescent="0.2">
      <c r="A194" s="269">
        <v>192</v>
      </c>
      <c r="B194" s="270" t="s">
        <v>1901</v>
      </c>
      <c r="C194" s="271" t="s">
        <v>1252</v>
      </c>
      <c r="D194" s="272" t="s">
        <v>2708</v>
      </c>
      <c r="E194" s="273" t="s">
        <v>2708</v>
      </c>
      <c r="F194" s="22" t="s">
        <v>743</v>
      </c>
      <c r="G194" s="23" t="s">
        <v>743</v>
      </c>
      <c r="H194" s="24" t="s">
        <v>743</v>
      </c>
      <c r="I194" s="24" t="s">
        <v>743</v>
      </c>
      <c r="J194" s="25" t="s">
        <v>743</v>
      </c>
      <c r="K194" s="26">
        <v>38297</v>
      </c>
      <c r="L194" s="27" t="s">
        <v>2709</v>
      </c>
      <c r="M194" s="28">
        <v>358418</v>
      </c>
      <c r="N194" s="29">
        <v>6177308</v>
      </c>
      <c r="O194" s="32">
        <v>410</v>
      </c>
      <c r="P194" s="135"/>
      <c r="Q194" s="260">
        <v>408</v>
      </c>
      <c r="R194" s="32"/>
      <c r="S194" s="135">
        <v>19</v>
      </c>
      <c r="T194" s="260">
        <f t="shared" si="9"/>
        <v>19</v>
      </c>
      <c r="U194" s="30"/>
      <c r="V194" s="31">
        <v>281</v>
      </c>
      <c r="W194" s="31">
        <f t="shared" si="10"/>
        <v>281</v>
      </c>
      <c r="X194" s="260">
        <f t="shared" si="11"/>
        <v>3</v>
      </c>
      <c r="Y194" s="323">
        <v>0.83</v>
      </c>
      <c r="Z194" s="323">
        <v>106049</v>
      </c>
      <c r="AA194" s="323">
        <v>688</v>
      </c>
      <c r="AB194" s="151"/>
      <c r="AC194" s="155">
        <v>1992</v>
      </c>
      <c r="AD194" s="254">
        <f t="shared" si="8"/>
        <v>11.851471594798113</v>
      </c>
      <c r="AE194" s="152" t="s">
        <v>2708</v>
      </c>
      <c r="AF194" s="252" t="s">
        <v>2708</v>
      </c>
      <c r="AG194" s="242" t="s">
        <v>2708</v>
      </c>
      <c r="AH194" s="242" t="s">
        <v>2708</v>
      </c>
      <c r="AI194" s="243" t="s">
        <v>2708</v>
      </c>
      <c r="AJ194" s="244" t="s">
        <v>2708</v>
      </c>
      <c r="AK194" s="244" t="s">
        <v>2708</v>
      </c>
      <c r="AL194" s="244" t="s">
        <v>2708</v>
      </c>
      <c r="AM194" s="244" t="s">
        <v>2708</v>
      </c>
      <c r="AN194" s="245" t="s">
        <v>2708</v>
      </c>
      <c r="AO194" s="245" t="s">
        <v>2708</v>
      </c>
      <c r="AP194" s="274">
        <v>727</v>
      </c>
    </row>
    <row r="195" spans="1:42" x14ac:dyDescent="0.2">
      <c r="A195" s="269">
        <v>193</v>
      </c>
      <c r="B195" s="270" t="s">
        <v>1901</v>
      </c>
      <c r="C195" s="271" t="s">
        <v>2562</v>
      </c>
      <c r="D195" s="272" t="s">
        <v>2708</v>
      </c>
      <c r="E195" s="273" t="s">
        <v>2708</v>
      </c>
      <c r="F195" s="22" t="s">
        <v>743</v>
      </c>
      <c r="G195" s="23" t="s">
        <v>743</v>
      </c>
      <c r="H195" s="24" t="s">
        <v>743</v>
      </c>
      <c r="I195" s="24" t="s">
        <v>743</v>
      </c>
      <c r="J195" s="25" t="s">
        <v>743</v>
      </c>
      <c r="K195" s="26">
        <v>38297</v>
      </c>
      <c r="L195" s="27" t="s">
        <v>2709</v>
      </c>
      <c r="M195" s="28">
        <v>358501</v>
      </c>
      <c r="N195" s="29">
        <v>6177350</v>
      </c>
      <c r="O195" s="32">
        <v>424</v>
      </c>
      <c r="P195" s="135"/>
      <c r="Q195" s="260">
        <v>426</v>
      </c>
      <c r="R195" s="32"/>
      <c r="S195" s="135">
        <v>11</v>
      </c>
      <c r="T195" s="260">
        <f t="shared" si="9"/>
        <v>11</v>
      </c>
      <c r="U195" s="30"/>
      <c r="V195" s="31">
        <v>304</v>
      </c>
      <c r="W195" s="31">
        <f t="shared" si="10"/>
        <v>304</v>
      </c>
      <c r="X195" s="260">
        <f t="shared" si="11"/>
        <v>4</v>
      </c>
      <c r="Y195" s="323">
        <v>0.51600000000000001</v>
      </c>
      <c r="Z195" s="323">
        <v>112595</v>
      </c>
      <c r="AA195" s="323">
        <v>904</v>
      </c>
      <c r="AB195" s="151"/>
      <c r="AC195" s="155">
        <v>2001</v>
      </c>
      <c r="AD195" s="254">
        <f t="shared" ref="AD195:AD200" si="12">IF(AC195=0,1000,IF(AC195=9999,"ND",(K195/365.25+1899)-AC195))</f>
        <v>2.8514715947981131</v>
      </c>
      <c r="AE195" s="152" t="s">
        <v>2708</v>
      </c>
      <c r="AF195" s="252" t="s">
        <v>2708</v>
      </c>
      <c r="AG195" s="242" t="s">
        <v>2708</v>
      </c>
      <c r="AH195" s="242" t="s">
        <v>2708</v>
      </c>
      <c r="AI195" s="243" t="s">
        <v>2708</v>
      </c>
      <c r="AJ195" s="244" t="s">
        <v>2708</v>
      </c>
      <c r="AK195" s="244" t="s">
        <v>2708</v>
      </c>
      <c r="AL195" s="244" t="s">
        <v>2708</v>
      </c>
      <c r="AM195" s="244" t="s">
        <v>2708</v>
      </c>
      <c r="AN195" s="245" t="s">
        <v>2708</v>
      </c>
      <c r="AO195" s="245" t="s">
        <v>2708</v>
      </c>
      <c r="AP195" s="274">
        <v>729</v>
      </c>
    </row>
    <row r="196" spans="1:42" x14ac:dyDescent="0.2">
      <c r="A196" s="269">
        <v>194</v>
      </c>
      <c r="B196" s="270" t="s">
        <v>1901</v>
      </c>
      <c r="C196" s="271" t="s">
        <v>2247</v>
      </c>
      <c r="D196" s="272" t="s">
        <v>2708</v>
      </c>
      <c r="E196" s="273" t="s">
        <v>2708</v>
      </c>
      <c r="F196" s="22" t="s">
        <v>743</v>
      </c>
      <c r="G196" s="23" t="s">
        <v>743</v>
      </c>
      <c r="H196" s="24" t="s">
        <v>743</v>
      </c>
      <c r="I196" s="24" t="s">
        <v>743</v>
      </c>
      <c r="J196" s="25" t="s">
        <v>743</v>
      </c>
      <c r="K196" s="26">
        <v>38297</v>
      </c>
      <c r="L196" s="27" t="s">
        <v>2709</v>
      </c>
      <c r="M196" s="28">
        <v>358730</v>
      </c>
      <c r="N196" s="29">
        <v>6177518</v>
      </c>
      <c r="O196" s="32">
        <v>402</v>
      </c>
      <c r="P196" s="135"/>
      <c r="Q196" s="260">
        <v>399</v>
      </c>
      <c r="R196" s="32"/>
      <c r="S196" s="135">
        <v>5</v>
      </c>
      <c r="T196" s="260">
        <f>IF(OR(R196="ND",R196=""),S196,R196)</f>
        <v>5</v>
      </c>
      <c r="U196" s="30"/>
      <c r="V196" s="31">
        <v>66</v>
      </c>
      <c r="W196" s="31">
        <f>IF(OR(U196="ND",U196=""),V196,U196)</f>
        <v>66</v>
      </c>
      <c r="X196" s="260">
        <f>IF(OR(W196&lt;12,W196&gt;348),6,IF(OR(W196&lt;34,W196&gt;326),5,IF(OR(W196&lt;68,W196&gt;292),4,IF(OR(W196&lt;113,W196&gt;247),3,IF(OR(W196&lt;158,W196&gt;212),2,IF(OR(W196&lt;179,W196&gt;191),1,0))))))</f>
        <v>4</v>
      </c>
      <c r="Y196" s="323">
        <v>0.33400000000000002</v>
      </c>
      <c r="Z196" s="323">
        <v>111170</v>
      </c>
      <c r="AA196" s="323">
        <v>1200</v>
      </c>
      <c r="AB196" s="151"/>
      <c r="AC196" s="155">
        <v>1992</v>
      </c>
      <c r="AD196" s="254">
        <f t="shared" si="12"/>
        <v>11.851471594798113</v>
      </c>
      <c r="AE196" s="152" t="s">
        <v>2708</v>
      </c>
      <c r="AF196" s="252" t="s">
        <v>2708</v>
      </c>
      <c r="AG196" s="242" t="s">
        <v>2708</v>
      </c>
      <c r="AH196" s="242" t="s">
        <v>2708</v>
      </c>
      <c r="AI196" s="243" t="s">
        <v>2708</v>
      </c>
      <c r="AJ196" s="244" t="s">
        <v>2708</v>
      </c>
      <c r="AK196" s="244" t="s">
        <v>2708</v>
      </c>
      <c r="AL196" s="244" t="s">
        <v>2708</v>
      </c>
      <c r="AM196" s="244" t="s">
        <v>2708</v>
      </c>
      <c r="AN196" s="245" t="s">
        <v>2708</v>
      </c>
      <c r="AO196" s="245" t="s">
        <v>2708</v>
      </c>
      <c r="AP196" s="274">
        <v>733</v>
      </c>
    </row>
    <row r="197" spans="1:42" x14ac:dyDescent="0.2">
      <c r="A197" s="269">
        <v>195</v>
      </c>
      <c r="B197" s="270" t="s">
        <v>1901</v>
      </c>
      <c r="C197" s="271" t="s">
        <v>2248</v>
      </c>
      <c r="D197" s="272" t="s">
        <v>2708</v>
      </c>
      <c r="E197" s="273" t="s">
        <v>2708</v>
      </c>
      <c r="F197" s="22" t="s">
        <v>743</v>
      </c>
      <c r="G197" s="23" t="s">
        <v>743</v>
      </c>
      <c r="H197" s="24" t="s">
        <v>743</v>
      </c>
      <c r="I197" s="24" t="s">
        <v>743</v>
      </c>
      <c r="J197" s="25" t="s">
        <v>743</v>
      </c>
      <c r="K197" s="26">
        <v>38297</v>
      </c>
      <c r="L197" s="27" t="s">
        <v>2709</v>
      </c>
      <c r="M197" s="28">
        <v>358756</v>
      </c>
      <c r="N197" s="29">
        <v>6177588</v>
      </c>
      <c r="O197" s="32">
        <v>403</v>
      </c>
      <c r="P197" s="135"/>
      <c r="Q197" s="260">
        <v>406</v>
      </c>
      <c r="R197" s="32"/>
      <c r="S197" s="135">
        <v>12</v>
      </c>
      <c r="T197" s="260">
        <f>IF(OR(R197="ND",R197=""),S197,R197)</f>
        <v>12</v>
      </c>
      <c r="U197" s="30"/>
      <c r="V197" s="31">
        <v>143</v>
      </c>
      <c r="W197" s="31">
        <f>IF(OR(U197="ND",U197=""),V197,U197)</f>
        <v>143</v>
      </c>
      <c r="X197" s="260">
        <f>IF(OR(W197&lt;12,W197&gt;348),6,IF(OR(W197&lt;34,W197&gt;326),5,IF(OR(W197&lt;68,W197&gt;292),4,IF(OR(W197&lt;113,W197&gt;247),3,IF(OR(W197&lt;158,W197&gt;212),2,IF(OR(W197&lt;179,W197&gt;191),1,0))))))</f>
        <v>2</v>
      </c>
      <c r="Y197" s="323">
        <v>0.51600000000000001</v>
      </c>
      <c r="Z197" s="323">
        <v>98002</v>
      </c>
      <c r="AA197" s="323">
        <v>1513</v>
      </c>
      <c r="AB197" s="151"/>
      <c r="AC197" s="155">
        <v>1996</v>
      </c>
      <c r="AD197" s="254">
        <f t="shared" si="12"/>
        <v>7.8514715947981131</v>
      </c>
      <c r="AE197" s="152" t="s">
        <v>2708</v>
      </c>
      <c r="AF197" s="252" t="s">
        <v>2708</v>
      </c>
      <c r="AG197" s="242" t="s">
        <v>2708</v>
      </c>
      <c r="AH197" s="242" t="s">
        <v>2708</v>
      </c>
      <c r="AI197" s="243" t="s">
        <v>2708</v>
      </c>
      <c r="AJ197" s="244" t="s">
        <v>2708</v>
      </c>
      <c r="AK197" s="244" t="s">
        <v>2708</v>
      </c>
      <c r="AL197" s="244" t="s">
        <v>2708</v>
      </c>
      <c r="AM197" s="244" t="s">
        <v>2708</v>
      </c>
      <c r="AN197" s="245" t="s">
        <v>2708</v>
      </c>
      <c r="AO197" s="245" t="s">
        <v>2708</v>
      </c>
      <c r="AP197" s="274">
        <v>736</v>
      </c>
    </row>
    <row r="198" spans="1:42" x14ac:dyDescent="0.2">
      <c r="A198" s="269">
        <v>196</v>
      </c>
      <c r="B198" s="270" t="s">
        <v>1901</v>
      </c>
      <c r="C198" s="271" t="s">
        <v>1252</v>
      </c>
      <c r="D198" s="272" t="s">
        <v>2708</v>
      </c>
      <c r="E198" s="273" t="s">
        <v>2708</v>
      </c>
      <c r="F198" s="22" t="s">
        <v>743</v>
      </c>
      <c r="G198" s="23" t="s">
        <v>743</v>
      </c>
      <c r="H198" s="24" t="s">
        <v>743</v>
      </c>
      <c r="I198" s="24" t="s">
        <v>743</v>
      </c>
      <c r="J198" s="25" t="s">
        <v>743</v>
      </c>
      <c r="K198" s="26">
        <v>38297</v>
      </c>
      <c r="L198" s="27" t="s">
        <v>2709</v>
      </c>
      <c r="M198" s="28">
        <v>358646</v>
      </c>
      <c r="N198" s="29">
        <v>6177650</v>
      </c>
      <c r="O198" s="32">
        <v>407</v>
      </c>
      <c r="P198" s="135"/>
      <c r="Q198" s="260">
        <v>408</v>
      </c>
      <c r="R198" s="32"/>
      <c r="S198" s="135">
        <v>17</v>
      </c>
      <c r="T198" s="260">
        <f>IF(OR(R198="ND",R198=""),S198,R198)</f>
        <v>17</v>
      </c>
      <c r="U198" s="30"/>
      <c r="V198" s="31">
        <v>262</v>
      </c>
      <c r="W198" s="31">
        <f>IF(OR(U198="ND",U198=""),V198,U198)</f>
        <v>262</v>
      </c>
      <c r="X198" s="260">
        <f>IF(OR(W198&lt;12,W198&gt;348),6,IF(OR(W198&lt;34,W198&gt;326),5,IF(OR(W198&lt;68,W198&gt;292),4,IF(OR(W198&lt;113,W198&gt;247),3,IF(OR(W198&lt;158,W198&gt;212),2,IF(OR(W198&lt;179,W198&gt;191),1,0))))))</f>
        <v>3</v>
      </c>
      <c r="Y198" s="323">
        <v>0.91500000000000004</v>
      </c>
      <c r="Z198" s="323">
        <v>102363</v>
      </c>
      <c r="AA198" s="323">
        <v>802</v>
      </c>
      <c r="AB198" s="151"/>
      <c r="AC198" s="155">
        <v>1996</v>
      </c>
      <c r="AD198" s="254">
        <f t="shared" si="12"/>
        <v>7.8514715947981131</v>
      </c>
      <c r="AE198" s="152" t="s">
        <v>2708</v>
      </c>
      <c r="AF198" s="252" t="s">
        <v>2708</v>
      </c>
      <c r="AG198" s="242" t="s">
        <v>2708</v>
      </c>
      <c r="AH198" s="242" t="s">
        <v>2708</v>
      </c>
      <c r="AI198" s="243" t="s">
        <v>2708</v>
      </c>
      <c r="AJ198" s="244" t="s">
        <v>2708</v>
      </c>
      <c r="AK198" s="244" t="s">
        <v>2708</v>
      </c>
      <c r="AL198" s="244" t="s">
        <v>2708</v>
      </c>
      <c r="AM198" s="244" t="s">
        <v>2708</v>
      </c>
      <c r="AN198" s="245" t="s">
        <v>2708</v>
      </c>
      <c r="AO198" s="245" t="s">
        <v>2708</v>
      </c>
      <c r="AP198" s="274">
        <v>737</v>
      </c>
    </row>
    <row r="199" spans="1:42" x14ac:dyDescent="0.2">
      <c r="A199" s="269">
        <v>197</v>
      </c>
      <c r="B199" s="270" t="s">
        <v>1901</v>
      </c>
      <c r="C199" s="271" t="s">
        <v>1251</v>
      </c>
      <c r="D199" s="272" t="s">
        <v>2708</v>
      </c>
      <c r="E199" s="273" t="s">
        <v>2708</v>
      </c>
      <c r="F199" s="22" t="s">
        <v>743</v>
      </c>
      <c r="G199" s="23" t="s">
        <v>743</v>
      </c>
      <c r="H199" s="24" t="s">
        <v>743</v>
      </c>
      <c r="I199" s="24" t="s">
        <v>743</v>
      </c>
      <c r="J199" s="25" t="s">
        <v>743</v>
      </c>
      <c r="K199" s="26">
        <v>38297</v>
      </c>
      <c r="L199" s="27" t="s">
        <v>2709</v>
      </c>
      <c r="M199" s="28">
        <v>358809</v>
      </c>
      <c r="N199" s="29">
        <v>6177767</v>
      </c>
      <c r="O199" s="32">
        <v>392</v>
      </c>
      <c r="P199" s="135"/>
      <c r="Q199" s="260">
        <v>399</v>
      </c>
      <c r="R199" s="32"/>
      <c r="S199" s="135">
        <v>13</v>
      </c>
      <c r="T199" s="260">
        <f>IF(OR(R199="ND",R199=""),S199,R199)</f>
        <v>13</v>
      </c>
      <c r="U199" s="30"/>
      <c r="V199" s="31">
        <v>24</v>
      </c>
      <c r="W199" s="31">
        <f>IF(OR(U199="ND",U199=""),V199,U199)</f>
        <v>24</v>
      </c>
      <c r="X199" s="260">
        <f>IF(OR(W199&lt;12,W199&gt;348),6,IF(OR(W199&lt;34,W199&gt;326),5,IF(OR(W199&lt;68,W199&gt;292),4,IF(OR(W199&lt;113,W199&gt;247),3,IF(OR(W199&lt;158,W199&gt;212),2,IF(OR(W199&lt;179,W199&gt;191),1,0))))))</f>
        <v>5</v>
      </c>
      <c r="Y199" s="323">
        <v>0.76500000000000001</v>
      </c>
      <c r="Z199" s="323">
        <v>117901</v>
      </c>
      <c r="AA199" s="323">
        <v>1108</v>
      </c>
      <c r="AB199" s="151"/>
      <c r="AC199" s="155">
        <v>1996</v>
      </c>
      <c r="AD199" s="254">
        <f t="shared" si="12"/>
        <v>7.8514715947981131</v>
      </c>
      <c r="AE199" s="152" t="s">
        <v>2708</v>
      </c>
      <c r="AF199" s="252" t="s">
        <v>2708</v>
      </c>
      <c r="AG199" s="242" t="s">
        <v>2708</v>
      </c>
      <c r="AH199" s="242" t="s">
        <v>2708</v>
      </c>
      <c r="AI199" s="243" t="s">
        <v>2708</v>
      </c>
      <c r="AJ199" s="244" t="s">
        <v>2708</v>
      </c>
      <c r="AK199" s="244" t="s">
        <v>2708</v>
      </c>
      <c r="AL199" s="244" t="s">
        <v>2708</v>
      </c>
      <c r="AM199" s="244" t="s">
        <v>2708</v>
      </c>
      <c r="AN199" s="245" t="s">
        <v>2708</v>
      </c>
      <c r="AO199" s="245" t="s">
        <v>2708</v>
      </c>
      <c r="AP199" s="274">
        <v>741</v>
      </c>
    </row>
    <row r="200" spans="1:42" x14ac:dyDescent="0.2">
      <c r="A200" s="269">
        <v>198</v>
      </c>
      <c r="B200" s="270" t="s">
        <v>1901</v>
      </c>
      <c r="C200" s="271" t="s">
        <v>1251</v>
      </c>
      <c r="D200" s="272" t="s">
        <v>2708</v>
      </c>
      <c r="E200" s="273" t="s">
        <v>2708</v>
      </c>
      <c r="F200" s="22" t="s">
        <v>743</v>
      </c>
      <c r="G200" s="23" t="s">
        <v>743</v>
      </c>
      <c r="H200" s="24" t="s">
        <v>743</v>
      </c>
      <c r="I200" s="24" t="s">
        <v>743</v>
      </c>
      <c r="J200" s="25" t="s">
        <v>743</v>
      </c>
      <c r="K200" s="26">
        <v>38297</v>
      </c>
      <c r="L200" s="27" t="s">
        <v>2709</v>
      </c>
      <c r="M200" s="28">
        <v>358906</v>
      </c>
      <c r="N200" s="29">
        <v>6178065</v>
      </c>
      <c r="O200" s="32">
        <v>368</v>
      </c>
      <c r="P200" s="135"/>
      <c r="Q200" s="260">
        <v>369</v>
      </c>
      <c r="R200" s="32"/>
      <c r="S200" s="135">
        <v>6</v>
      </c>
      <c r="T200" s="260">
        <f>IF(OR(R200="ND",R200=""),S200,R200)</f>
        <v>6</v>
      </c>
      <c r="U200" s="30"/>
      <c r="V200" s="31">
        <v>305</v>
      </c>
      <c r="W200" s="31">
        <f>IF(OR(U200="ND",U200=""),V200,U200)</f>
        <v>305</v>
      </c>
      <c r="X200" s="260">
        <f>IF(OR(W200&lt;12,W200&gt;348),6,IF(OR(W200&lt;34,W200&gt;326),5,IF(OR(W200&lt;68,W200&gt;292),4,IF(OR(W200&lt;113,W200&gt;247),3,IF(OR(W200&lt;158,W200&gt;212),2,IF(OR(W200&lt;179,W200&gt;191),1,0))))))</f>
        <v>4</v>
      </c>
      <c r="Y200" s="323">
        <v>0.505</v>
      </c>
      <c r="Z200" s="323">
        <v>111836</v>
      </c>
      <c r="AA200" s="323">
        <v>1205</v>
      </c>
      <c r="AB200" s="151"/>
      <c r="AC200" s="155">
        <v>1996</v>
      </c>
      <c r="AD200" s="254">
        <f t="shared" si="12"/>
        <v>7.8514715947981131</v>
      </c>
      <c r="AE200" s="152" t="s">
        <v>2708</v>
      </c>
      <c r="AF200" s="252" t="s">
        <v>2708</v>
      </c>
      <c r="AG200" s="242" t="s">
        <v>2708</v>
      </c>
      <c r="AH200" s="242" t="s">
        <v>2708</v>
      </c>
      <c r="AI200" s="243" t="s">
        <v>2708</v>
      </c>
      <c r="AJ200" s="244" t="s">
        <v>2708</v>
      </c>
      <c r="AK200" s="244" t="s">
        <v>2708</v>
      </c>
      <c r="AL200" s="244" t="s">
        <v>2708</v>
      </c>
      <c r="AM200" s="244" t="s">
        <v>2708</v>
      </c>
      <c r="AN200" s="245" t="s">
        <v>2708</v>
      </c>
      <c r="AO200" s="245" t="s">
        <v>2708</v>
      </c>
      <c r="AP200" s="274">
        <v>743</v>
      </c>
    </row>
  </sheetData>
  <mergeCells count="15">
    <mergeCell ref="AI1:AO1"/>
    <mergeCell ref="K1:L1"/>
    <mergeCell ref="AP1:AP2"/>
    <mergeCell ref="AB1:AD1"/>
    <mergeCell ref="AE1:AH1"/>
    <mergeCell ref="Y1:AA1"/>
    <mergeCell ref="A1:A2"/>
    <mergeCell ref="O1:Q1"/>
    <mergeCell ref="R1:T1"/>
    <mergeCell ref="U1:X1"/>
    <mergeCell ref="F1:J1"/>
    <mergeCell ref="C1:C2"/>
    <mergeCell ref="D1:E1"/>
    <mergeCell ref="M1:N1"/>
    <mergeCell ref="B1:B2"/>
  </mergeCells>
  <phoneticPr fontId="3" type="noConversion"/>
  <hyperlinks>
    <hyperlink ref="AP3" location="sampling!A2" display="sampling!A2" xr:uid="{657E0D38-4B94-4362-AE8B-1958585383BF}"/>
  </hyperlinks>
  <pageMargins left="0.75" right="0.75" top="1" bottom="1" header="0.4921259845" footer="0.4921259845"/>
  <pageSetup paperSize="9" orientation="portrait" horizontalDpi="200" verticalDpi="2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34D0-F6E0-411E-9850-F62E62CF6221}">
  <sheetPr codeName="Tabelle10"/>
  <dimension ref="A1:L25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8" sqref="K18"/>
    </sheetView>
  </sheetViews>
  <sheetFormatPr defaultColWidth="11.42578125" defaultRowHeight="12.75" x14ac:dyDescent="0.2"/>
  <cols>
    <col min="1" max="1" width="8" style="145" customWidth="1"/>
    <col min="2" max="2" width="39.7109375" style="112" customWidth="1"/>
    <col min="3" max="3" width="10.28515625" style="37" customWidth="1"/>
    <col min="4" max="4" width="10.28515625" style="36" customWidth="1"/>
    <col min="5" max="6" width="13.28515625" style="38" customWidth="1"/>
    <col min="7" max="7" width="6" style="38" customWidth="1"/>
    <col min="8" max="9" width="9" style="39" customWidth="1"/>
    <col min="10" max="10" width="9" style="40" customWidth="1"/>
    <col min="11" max="11" width="11.42578125" style="40"/>
    <col min="12" max="12" width="12.7109375" style="41" customWidth="1"/>
    <col min="13" max="16384" width="11.42578125" style="21"/>
  </cols>
  <sheetData>
    <row r="1" spans="1:12" s="1" customFormat="1" ht="15.95" customHeight="1" x14ac:dyDescent="0.2">
      <c r="A1" s="514" t="s">
        <v>1857</v>
      </c>
      <c r="B1" s="520" t="s">
        <v>1856</v>
      </c>
      <c r="C1" s="512" t="s">
        <v>2675</v>
      </c>
      <c r="D1" s="513"/>
      <c r="E1" s="522" t="s">
        <v>2676</v>
      </c>
      <c r="F1" s="523"/>
      <c r="G1" s="518" t="s">
        <v>2677</v>
      </c>
      <c r="H1" s="519"/>
      <c r="I1" s="86" t="s">
        <v>2813</v>
      </c>
      <c r="J1" s="85" t="s">
        <v>2814</v>
      </c>
      <c r="K1" s="516" t="s">
        <v>2680</v>
      </c>
      <c r="L1" s="510" t="s">
        <v>2698</v>
      </c>
    </row>
    <row r="2" spans="1:12" s="9" customFormat="1" ht="15.95" customHeight="1" x14ac:dyDescent="0.2">
      <c r="A2" s="515"/>
      <c r="B2" s="521"/>
      <c r="C2" s="2" t="s">
        <v>2688</v>
      </c>
      <c r="D2" s="3" t="s">
        <v>2689</v>
      </c>
      <c r="E2" s="4" t="s">
        <v>2690</v>
      </c>
      <c r="F2" s="5" t="s">
        <v>2691</v>
      </c>
      <c r="G2" s="6" t="s">
        <v>2692</v>
      </c>
      <c r="H2" s="7" t="s">
        <v>2694</v>
      </c>
      <c r="I2" s="7" t="s">
        <v>2694</v>
      </c>
      <c r="J2" s="8" t="s">
        <v>2694</v>
      </c>
      <c r="K2" s="517"/>
      <c r="L2" s="511"/>
    </row>
    <row r="3" spans="1:12" x14ac:dyDescent="0.2">
      <c r="A3" s="215">
        <v>1001</v>
      </c>
      <c r="B3" s="147" t="s">
        <v>1864</v>
      </c>
      <c r="C3" s="26">
        <v>38282</v>
      </c>
      <c r="D3" s="27" t="s">
        <v>2709</v>
      </c>
      <c r="E3" s="28">
        <v>355803</v>
      </c>
      <c r="F3" s="29">
        <v>6175383</v>
      </c>
      <c r="G3" s="30">
        <v>231</v>
      </c>
      <c r="H3" s="33"/>
      <c r="I3" s="33"/>
      <c r="J3" s="34"/>
      <c r="K3" s="35"/>
      <c r="L3" s="87"/>
    </row>
    <row r="4" spans="1:12" x14ac:dyDescent="0.2">
      <c r="A4" s="215">
        <v>1002</v>
      </c>
      <c r="B4" s="147" t="s">
        <v>1865</v>
      </c>
      <c r="C4" s="26">
        <v>38282</v>
      </c>
      <c r="D4" s="27" t="s">
        <v>2709</v>
      </c>
      <c r="E4" s="28">
        <v>355817</v>
      </c>
      <c r="F4" s="29">
        <v>6175457</v>
      </c>
      <c r="G4" s="30">
        <v>243</v>
      </c>
      <c r="H4" s="33"/>
      <c r="I4" s="33"/>
      <c r="J4" s="34"/>
      <c r="K4" s="35"/>
      <c r="L4" s="87"/>
    </row>
    <row r="5" spans="1:12" x14ac:dyDescent="0.2">
      <c r="A5" s="215">
        <v>1003</v>
      </c>
      <c r="B5" s="147" t="s">
        <v>1884</v>
      </c>
      <c r="C5" s="26">
        <v>38282</v>
      </c>
      <c r="D5" s="27" t="s">
        <v>2709</v>
      </c>
      <c r="E5" s="28">
        <v>355816</v>
      </c>
      <c r="F5" s="29">
        <v>6175471</v>
      </c>
      <c r="G5" s="30">
        <v>234</v>
      </c>
      <c r="H5" s="33"/>
      <c r="I5" s="33"/>
      <c r="J5" s="34"/>
      <c r="K5" s="35"/>
      <c r="L5" s="87"/>
    </row>
    <row r="6" spans="1:12" x14ac:dyDescent="0.2">
      <c r="A6" s="215">
        <v>1004</v>
      </c>
      <c r="B6" s="147" t="s">
        <v>1876</v>
      </c>
      <c r="C6" s="26">
        <v>38282</v>
      </c>
      <c r="D6" s="27" t="s">
        <v>2709</v>
      </c>
      <c r="E6" s="28">
        <v>355818</v>
      </c>
      <c r="F6" s="29">
        <v>6175487</v>
      </c>
      <c r="G6" s="30">
        <v>227</v>
      </c>
      <c r="H6" s="33"/>
      <c r="I6" s="33"/>
      <c r="J6" s="34"/>
      <c r="K6" s="35"/>
      <c r="L6" s="87"/>
    </row>
    <row r="7" spans="1:12" x14ac:dyDescent="0.2">
      <c r="A7" s="215">
        <v>1005</v>
      </c>
      <c r="B7" s="147" t="s">
        <v>1858</v>
      </c>
      <c r="C7" s="26">
        <v>38282</v>
      </c>
      <c r="D7" s="27" t="s">
        <v>2709</v>
      </c>
      <c r="E7" s="28">
        <v>356285</v>
      </c>
      <c r="F7" s="29">
        <v>6175077</v>
      </c>
      <c r="G7" s="30">
        <v>206</v>
      </c>
      <c r="H7" s="33"/>
      <c r="I7" s="33"/>
      <c r="J7" s="34"/>
      <c r="K7" s="35"/>
      <c r="L7" s="87"/>
    </row>
    <row r="8" spans="1:12" x14ac:dyDescent="0.2">
      <c r="A8" s="215">
        <v>1006</v>
      </c>
      <c r="B8" s="147" t="s">
        <v>1859</v>
      </c>
      <c r="C8" s="26">
        <v>38282</v>
      </c>
      <c r="D8" s="27" t="s">
        <v>2709</v>
      </c>
      <c r="E8" s="28">
        <v>356310</v>
      </c>
      <c r="F8" s="29">
        <v>6175050</v>
      </c>
      <c r="G8" s="30">
        <v>201</v>
      </c>
      <c r="H8" s="33"/>
      <c r="I8" s="33"/>
      <c r="J8" s="34"/>
      <c r="K8" s="35"/>
      <c r="L8" s="87"/>
    </row>
    <row r="9" spans="1:12" x14ac:dyDescent="0.2">
      <c r="A9" s="215">
        <v>1007</v>
      </c>
      <c r="B9" s="147" t="s">
        <v>1862</v>
      </c>
      <c r="C9" s="26">
        <v>38282</v>
      </c>
      <c r="D9" s="27" t="s">
        <v>2709</v>
      </c>
      <c r="E9" s="28">
        <v>356291</v>
      </c>
      <c r="F9" s="29">
        <v>6175098</v>
      </c>
      <c r="G9" s="30">
        <v>217</v>
      </c>
      <c r="H9" s="33"/>
      <c r="I9" s="33"/>
      <c r="J9" s="34"/>
      <c r="K9" s="35"/>
      <c r="L9" s="87"/>
    </row>
    <row r="10" spans="1:12" x14ac:dyDescent="0.2">
      <c r="A10" s="215">
        <v>1008</v>
      </c>
      <c r="B10" s="147" t="s">
        <v>1860</v>
      </c>
      <c r="C10" s="26">
        <v>38282</v>
      </c>
      <c r="D10" s="27" t="s">
        <v>2709</v>
      </c>
      <c r="E10" s="28">
        <v>356304</v>
      </c>
      <c r="F10" s="29">
        <v>6175121</v>
      </c>
      <c r="G10" s="30">
        <v>218</v>
      </c>
      <c r="H10" s="33"/>
      <c r="I10" s="33"/>
      <c r="J10" s="34"/>
      <c r="K10" s="35"/>
      <c r="L10" s="87"/>
    </row>
    <row r="11" spans="1:12" x14ac:dyDescent="0.2">
      <c r="A11" s="215">
        <v>1009</v>
      </c>
      <c r="B11" s="147" t="s">
        <v>1861</v>
      </c>
      <c r="C11" s="26">
        <v>38282</v>
      </c>
      <c r="D11" s="27" t="s">
        <v>2709</v>
      </c>
      <c r="E11" s="28">
        <v>356300</v>
      </c>
      <c r="F11" s="29">
        <v>6175132</v>
      </c>
      <c r="G11" s="30">
        <v>226</v>
      </c>
      <c r="H11" s="33"/>
      <c r="I11" s="33"/>
      <c r="J11" s="34"/>
      <c r="K11" s="35"/>
      <c r="L11" s="87"/>
    </row>
    <row r="12" spans="1:12" x14ac:dyDescent="0.2">
      <c r="A12" s="215">
        <v>1010</v>
      </c>
      <c r="B12" s="147" t="s">
        <v>1863</v>
      </c>
      <c r="C12" s="26">
        <v>38282</v>
      </c>
      <c r="D12" s="27" t="s">
        <v>2709</v>
      </c>
      <c r="E12" s="28">
        <v>356312</v>
      </c>
      <c r="F12" s="29">
        <v>6175168</v>
      </c>
      <c r="G12" s="30">
        <v>221</v>
      </c>
      <c r="H12" s="33"/>
      <c r="I12" s="33"/>
      <c r="J12" s="34"/>
      <c r="K12" s="35"/>
      <c r="L12" s="87"/>
    </row>
    <row r="13" spans="1:12" x14ac:dyDescent="0.2">
      <c r="A13" s="215">
        <v>1011</v>
      </c>
      <c r="B13" s="147" t="s">
        <v>2655</v>
      </c>
      <c r="C13" s="26">
        <v>38282</v>
      </c>
      <c r="D13" s="27" t="s">
        <v>2709</v>
      </c>
      <c r="E13" s="28">
        <v>355760</v>
      </c>
      <c r="F13" s="29">
        <v>6175345</v>
      </c>
      <c r="G13" s="30" t="s">
        <v>2708</v>
      </c>
      <c r="H13" s="33"/>
      <c r="I13" s="33"/>
      <c r="J13" s="34"/>
      <c r="K13" s="35"/>
      <c r="L13" s="87"/>
    </row>
    <row r="14" spans="1:12" x14ac:dyDescent="0.2">
      <c r="A14" s="215">
        <v>1012</v>
      </c>
      <c r="B14" s="147" t="s">
        <v>1879</v>
      </c>
      <c r="C14" s="26">
        <v>38282</v>
      </c>
      <c r="D14" s="27" t="s">
        <v>2709</v>
      </c>
      <c r="E14" s="28">
        <v>355642</v>
      </c>
      <c r="F14" s="29">
        <v>6175184</v>
      </c>
      <c r="G14" s="30">
        <v>273</v>
      </c>
      <c r="H14" s="33"/>
      <c r="I14" s="33"/>
      <c r="J14" s="34"/>
      <c r="K14" s="35"/>
      <c r="L14" s="87"/>
    </row>
    <row r="15" spans="1:12" x14ac:dyDescent="0.2">
      <c r="A15" s="215">
        <v>1013</v>
      </c>
      <c r="B15" s="147" t="s">
        <v>1877</v>
      </c>
      <c r="C15" s="26">
        <v>38283</v>
      </c>
      <c r="D15" s="27" t="s">
        <v>2709</v>
      </c>
      <c r="E15" s="28">
        <v>356524</v>
      </c>
      <c r="F15" s="29">
        <v>6176481</v>
      </c>
      <c r="G15" s="30">
        <v>242</v>
      </c>
      <c r="H15" s="33"/>
      <c r="I15" s="33"/>
      <c r="J15" s="34"/>
      <c r="K15" s="35"/>
      <c r="L15" s="87"/>
    </row>
    <row r="16" spans="1:12" x14ac:dyDescent="0.2">
      <c r="A16" s="215">
        <v>1014</v>
      </c>
      <c r="B16" s="147" t="s">
        <v>1883</v>
      </c>
      <c r="C16" s="26">
        <v>38284</v>
      </c>
      <c r="D16" s="27" t="s">
        <v>2709</v>
      </c>
      <c r="E16" s="28">
        <v>357755</v>
      </c>
      <c r="F16" s="29">
        <v>6178010</v>
      </c>
      <c r="G16" s="30">
        <v>299</v>
      </c>
      <c r="H16" s="33"/>
      <c r="I16" s="33"/>
      <c r="J16" s="34"/>
      <c r="K16" s="35"/>
      <c r="L16" s="87"/>
    </row>
    <row r="17" spans="1:12" x14ac:dyDescent="0.2">
      <c r="A17" s="215">
        <v>1015</v>
      </c>
      <c r="B17" s="147" t="s">
        <v>1878</v>
      </c>
      <c r="C17" s="26">
        <v>38284</v>
      </c>
      <c r="D17" s="27" t="s">
        <v>2709</v>
      </c>
      <c r="E17" s="28">
        <v>357817</v>
      </c>
      <c r="F17" s="29">
        <v>6178257</v>
      </c>
      <c r="G17" s="30">
        <v>267</v>
      </c>
      <c r="H17" s="33"/>
      <c r="I17" s="33"/>
      <c r="J17" s="34"/>
      <c r="K17" s="35"/>
      <c r="L17" s="87"/>
    </row>
    <row r="18" spans="1:12" x14ac:dyDescent="0.2">
      <c r="A18" s="215">
        <v>1016</v>
      </c>
      <c r="B18" s="147" t="s">
        <v>1880</v>
      </c>
      <c r="C18" s="26">
        <v>38284</v>
      </c>
      <c r="D18" s="27" t="s">
        <v>2709</v>
      </c>
      <c r="E18" s="28">
        <v>357637</v>
      </c>
      <c r="F18" s="29">
        <v>6177842</v>
      </c>
      <c r="G18" s="30">
        <v>320</v>
      </c>
      <c r="H18" s="33"/>
      <c r="I18" s="33"/>
      <c r="J18" s="34"/>
      <c r="K18" s="35"/>
      <c r="L18" s="87"/>
    </row>
    <row r="19" spans="1:12" x14ac:dyDescent="0.2">
      <c r="A19" s="215">
        <v>1017</v>
      </c>
      <c r="B19" s="147" t="s">
        <v>1881</v>
      </c>
      <c r="C19" s="26">
        <v>38284</v>
      </c>
      <c r="D19" s="27" t="s">
        <v>2709</v>
      </c>
      <c r="E19" s="28">
        <v>357542</v>
      </c>
      <c r="F19" s="29">
        <v>6177532</v>
      </c>
      <c r="G19" s="30">
        <v>376</v>
      </c>
      <c r="H19" s="33"/>
      <c r="I19" s="33"/>
      <c r="J19" s="34"/>
      <c r="K19" s="35"/>
      <c r="L19" s="87"/>
    </row>
    <row r="20" spans="1:12" x14ac:dyDescent="0.2">
      <c r="A20" s="215">
        <v>1018</v>
      </c>
      <c r="B20" s="147" t="s">
        <v>793</v>
      </c>
      <c r="C20" s="26">
        <v>38284</v>
      </c>
      <c r="D20" s="27" t="s">
        <v>2709</v>
      </c>
      <c r="E20" s="28">
        <v>357938</v>
      </c>
      <c r="F20" s="29">
        <v>6177578</v>
      </c>
      <c r="G20" s="30">
        <v>349</v>
      </c>
      <c r="H20" s="33"/>
      <c r="I20" s="33"/>
      <c r="J20" s="34"/>
      <c r="K20" s="35"/>
      <c r="L20" s="87"/>
    </row>
    <row r="21" spans="1:12" x14ac:dyDescent="0.2">
      <c r="A21" s="215">
        <v>1019</v>
      </c>
      <c r="B21" s="147" t="s">
        <v>1882</v>
      </c>
      <c r="C21" s="26">
        <v>38284</v>
      </c>
      <c r="D21" s="27" t="s">
        <v>2709</v>
      </c>
      <c r="E21" s="28">
        <v>358142</v>
      </c>
      <c r="F21" s="29">
        <v>6177330</v>
      </c>
      <c r="G21" s="30">
        <v>369</v>
      </c>
      <c r="H21" s="33"/>
      <c r="I21" s="33"/>
      <c r="J21" s="34"/>
      <c r="K21" s="35"/>
      <c r="L21" s="87"/>
    </row>
    <row r="22" spans="1:12" x14ac:dyDescent="0.2">
      <c r="A22" s="215">
        <v>1020</v>
      </c>
      <c r="B22" s="147" t="s">
        <v>1890</v>
      </c>
      <c r="C22" s="26">
        <v>38290</v>
      </c>
      <c r="D22" s="27" t="s">
        <v>2709</v>
      </c>
      <c r="E22" s="28">
        <v>355980</v>
      </c>
      <c r="F22" s="29">
        <v>6176393</v>
      </c>
      <c r="G22" s="30">
        <v>310</v>
      </c>
      <c r="H22" s="33"/>
      <c r="I22" s="33"/>
      <c r="J22" s="34"/>
      <c r="K22" s="35"/>
      <c r="L22" s="87"/>
    </row>
    <row r="23" spans="1:12" x14ac:dyDescent="0.2">
      <c r="A23" s="215">
        <v>1021</v>
      </c>
      <c r="B23" s="147" t="s">
        <v>1891</v>
      </c>
      <c r="C23" s="26">
        <v>38290</v>
      </c>
      <c r="D23" s="27" t="s">
        <v>2709</v>
      </c>
      <c r="E23" s="28">
        <v>355842</v>
      </c>
      <c r="F23" s="29">
        <v>6176241</v>
      </c>
      <c r="G23" s="30">
        <v>306</v>
      </c>
      <c r="H23" s="33"/>
      <c r="I23" s="33"/>
      <c r="J23" s="34"/>
      <c r="K23" s="35"/>
      <c r="L23" s="87"/>
    </row>
    <row r="24" spans="1:12" x14ac:dyDescent="0.2">
      <c r="A24" s="215">
        <v>1022</v>
      </c>
      <c r="B24" s="147" t="s">
        <v>1892</v>
      </c>
      <c r="C24" s="26">
        <v>38290</v>
      </c>
      <c r="D24" s="27" t="s">
        <v>2709</v>
      </c>
      <c r="E24" s="28">
        <v>355915</v>
      </c>
      <c r="F24" s="29">
        <v>6176168</v>
      </c>
      <c r="G24" s="30">
        <v>303</v>
      </c>
      <c r="H24" s="33"/>
      <c r="I24" s="33"/>
      <c r="J24" s="34"/>
      <c r="K24" s="35"/>
      <c r="L24" s="87"/>
    </row>
    <row r="25" spans="1:12" x14ac:dyDescent="0.2">
      <c r="A25" s="215">
        <v>1023</v>
      </c>
      <c r="B25" s="147" t="s">
        <v>1894</v>
      </c>
      <c r="C25" s="26">
        <v>38290</v>
      </c>
      <c r="D25" s="27" t="s">
        <v>2709</v>
      </c>
      <c r="E25" s="28">
        <v>356069</v>
      </c>
      <c r="F25" s="29">
        <v>6176185</v>
      </c>
      <c r="G25" s="30">
        <v>284</v>
      </c>
      <c r="H25" s="33"/>
      <c r="I25" s="33"/>
      <c r="J25" s="34"/>
      <c r="K25" s="35"/>
      <c r="L25" s="87"/>
    </row>
    <row r="26" spans="1:12" x14ac:dyDescent="0.2">
      <c r="A26" s="215">
        <v>1024</v>
      </c>
      <c r="B26" s="147" t="s">
        <v>1895</v>
      </c>
      <c r="C26" s="26">
        <v>38290</v>
      </c>
      <c r="D26" s="27" t="s">
        <v>2709</v>
      </c>
      <c r="E26" s="28">
        <v>356004</v>
      </c>
      <c r="F26" s="29">
        <v>6176211</v>
      </c>
      <c r="G26" s="30">
        <v>292</v>
      </c>
      <c r="H26" s="33"/>
      <c r="I26" s="33"/>
      <c r="J26" s="34"/>
      <c r="K26" s="35"/>
      <c r="L26" s="87"/>
    </row>
    <row r="27" spans="1:12" x14ac:dyDescent="0.2">
      <c r="A27" s="215">
        <v>1025</v>
      </c>
      <c r="B27" s="147" t="s">
        <v>1896</v>
      </c>
      <c r="C27" s="26">
        <v>38290</v>
      </c>
      <c r="D27" s="27" t="s">
        <v>2709</v>
      </c>
      <c r="E27" s="28">
        <v>356048</v>
      </c>
      <c r="F27" s="29">
        <v>6176269</v>
      </c>
      <c r="G27" s="30">
        <v>296</v>
      </c>
      <c r="H27" s="33"/>
      <c r="I27" s="33"/>
      <c r="J27" s="34"/>
      <c r="K27" s="35"/>
      <c r="L27" s="87"/>
    </row>
    <row r="28" spans="1:12" x14ac:dyDescent="0.2">
      <c r="A28" s="215">
        <v>1026</v>
      </c>
      <c r="B28" s="147" t="s">
        <v>1923</v>
      </c>
      <c r="C28" s="26">
        <v>38290</v>
      </c>
      <c r="D28" s="27" t="s">
        <v>2709</v>
      </c>
      <c r="E28" s="28">
        <v>356090</v>
      </c>
      <c r="F28" s="29">
        <v>6176218</v>
      </c>
      <c r="G28" s="30">
        <v>208</v>
      </c>
      <c r="H28" s="33"/>
      <c r="I28" s="33"/>
      <c r="J28" s="34"/>
      <c r="K28" s="35"/>
      <c r="L28" s="87"/>
    </row>
    <row r="29" spans="1:12" x14ac:dyDescent="0.2">
      <c r="A29" s="215">
        <v>1027</v>
      </c>
      <c r="B29" s="147" t="s">
        <v>1924</v>
      </c>
      <c r="C29" s="26">
        <v>38290</v>
      </c>
      <c r="D29" s="27" t="s">
        <v>2709</v>
      </c>
      <c r="E29" s="28">
        <v>356162</v>
      </c>
      <c r="F29" s="29">
        <v>6176139</v>
      </c>
      <c r="G29" s="30">
        <v>230</v>
      </c>
      <c r="H29" s="33"/>
      <c r="I29" s="33"/>
      <c r="J29" s="34"/>
      <c r="K29" s="35"/>
      <c r="L29" s="87"/>
    </row>
    <row r="30" spans="1:12" x14ac:dyDescent="0.2">
      <c r="A30" s="215">
        <v>1028</v>
      </c>
      <c r="B30" s="147" t="s">
        <v>1925</v>
      </c>
      <c r="C30" s="26">
        <v>38290</v>
      </c>
      <c r="D30" s="27" t="s">
        <v>2709</v>
      </c>
      <c r="E30" s="28">
        <v>356241</v>
      </c>
      <c r="F30" s="29">
        <v>6176129</v>
      </c>
      <c r="G30" s="30">
        <v>213</v>
      </c>
      <c r="H30" s="33"/>
      <c r="I30" s="33"/>
      <c r="J30" s="34"/>
      <c r="K30" s="35"/>
      <c r="L30" s="87"/>
    </row>
    <row r="31" spans="1:12" x14ac:dyDescent="0.2">
      <c r="A31" s="215">
        <v>1029</v>
      </c>
      <c r="B31" s="147" t="s">
        <v>1926</v>
      </c>
      <c r="C31" s="26">
        <v>38290</v>
      </c>
      <c r="D31" s="27" t="s">
        <v>2709</v>
      </c>
      <c r="E31" s="28">
        <v>356255</v>
      </c>
      <c r="F31" s="29">
        <v>6176128</v>
      </c>
      <c r="G31" s="30">
        <v>203</v>
      </c>
      <c r="H31" s="33"/>
      <c r="I31" s="33"/>
      <c r="J31" s="34"/>
      <c r="K31" s="35"/>
      <c r="L31" s="87"/>
    </row>
    <row r="32" spans="1:12" x14ac:dyDescent="0.2">
      <c r="A32" s="215">
        <v>1030</v>
      </c>
      <c r="B32" s="147" t="s">
        <v>1927</v>
      </c>
      <c r="C32" s="26">
        <v>38290</v>
      </c>
      <c r="D32" s="27" t="s">
        <v>2709</v>
      </c>
      <c r="E32" s="28">
        <v>356257</v>
      </c>
      <c r="F32" s="29">
        <v>6176118</v>
      </c>
      <c r="G32" s="30">
        <v>205</v>
      </c>
      <c r="H32" s="33"/>
      <c r="I32" s="33"/>
      <c r="J32" s="34"/>
      <c r="K32" s="35"/>
      <c r="L32" s="87"/>
    </row>
    <row r="33" spans="1:12" x14ac:dyDescent="0.2">
      <c r="A33" s="215">
        <v>1031</v>
      </c>
      <c r="B33" s="147" t="s">
        <v>1929</v>
      </c>
      <c r="C33" s="26">
        <v>38290</v>
      </c>
      <c r="D33" s="27" t="s">
        <v>2709</v>
      </c>
      <c r="E33" s="28">
        <v>356678</v>
      </c>
      <c r="F33" s="29">
        <v>6176362</v>
      </c>
      <c r="G33" s="30">
        <v>268</v>
      </c>
      <c r="H33" s="33"/>
      <c r="I33" s="33"/>
      <c r="J33" s="34"/>
      <c r="K33" s="35"/>
      <c r="L33" s="87"/>
    </row>
    <row r="34" spans="1:12" x14ac:dyDescent="0.2">
      <c r="A34" s="215">
        <v>1032</v>
      </c>
      <c r="B34" s="147" t="s">
        <v>1930</v>
      </c>
      <c r="C34" s="26">
        <v>38290</v>
      </c>
      <c r="D34" s="27" t="s">
        <v>2709</v>
      </c>
      <c r="E34" s="28">
        <v>356742</v>
      </c>
      <c r="F34" s="29">
        <v>6176363</v>
      </c>
      <c r="G34" s="30">
        <v>316</v>
      </c>
      <c r="H34" s="33"/>
      <c r="I34" s="33"/>
      <c r="J34" s="34"/>
      <c r="K34" s="35"/>
      <c r="L34" s="87"/>
    </row>
    <row r="35" spans="1:12" x14ac:dyDescent="0.2">
      <c r="A35" s="215">
        <v>1033</v>
      </c>
      <c r="B35" s="147" t="s">
        <v>1931</v>
      </c>
      <c r="C35" s="26">
        <v>38290</v>
      </c>
      <c r="D35" s="27" t="s">
        <v>2709</v>
      </c>
      <c r="E35" s="28">
        <v>358372</v>
      </c>
      <c r="F35" s="29">
        <v>6177595</v>
      </c>
      <c r="G35" s="30">
        <v>360</v>
      </c>
      <c r="H35" s="33"/>
      <c r="I35" s="33"/>
      <c r="J35" s="34"/>
      <c r="K35" s="35"/>
      <c r="L35" s="87"/>
    </row>
    <row r="36" spans="1:12" x14ac:dyDescent="0.2">
      <c r="A36" s="215">
        <v>1034</v>
      </c>
      <c r="B36" s="147" t="s">
        <v>1932</v>
      </c>
      <c r="C36" s="26">
        <v>38290</v>
      </c>
      <c r="D36" s="27" t="s">
        <v>2709</v>
      </c>
      <c r="E36" s="28">
        <v>358360</v>
      </c>
      <c r="F36" s="29">
        <v>6177651</v>
      </c>
      <c r="G36" s="30">
        <v>357</v>
      </c>
      <c r="H36" s="33"/>
      <c r="I36" s="33"/>
      <c r="J36" s="34"/>
      <c r="K36" s="35"/>
      <c r="L36" s="87"/>
    </row>
    <row r="37" spans="1:12" x14ac:dyDescent="0.2">
      <c r="A37" s="215">
        <v>1035</v>
      </c>
      <c r="B37" s="147" t="s">
        <v>1933</v>
      </c>
      <c r="C37" s="26">
        <v>38290</v>
      </c>
      <c r="D37" s="27" t="s">
        <v>2709</v>
      </c>
      <c r="E37" s="28">
        <v>358236</v>
      </c>
      <c r="F37" s="29">
        <v>6177858</v>
      </c>
      <c r="G37" s="30">
        <v>341</v>
      </c>
      <c r="H37" s="33"/>
      <c r="I37" s="33"/>
      <c r="J37" s="34"/>
      <c r="K37" s="35"/>
      <c r="L37" s="87"/>
    </row>
    <row r="38" spans="1:12" x14ac:dyDescent="0.2">
      <c r="A38" s="215">
        <v>1036</v>
      </c>
      <c r="B38" s="147" t="s">
        <v>1934</v>
      </c>
      <c r="C38" s="26">
        <v>38290</v>
      </c>
      <c r="D38" s="27" t="s">
        <v>2709</v>
      </c>
      <c r="E38" s="28">
        <v>358243</v>
      </c>
      <c r="F38" s="29">
        <v>6177905</v>
      </c>
      <c r="G38" s="30">
        <v>342</v>
      </c>
      <c r="H38" s="33"/>
      <c r="I38" s="33"/>
      <c r="J38" s="34"/>
      <c r="K38" s="35"/>
      <c r="L38" s="87"/>
    </row>
    <row r="39" spans="1:12" x14ac:dyDescent="0.2">
      <c r="A39" s="215">
        <v>1037</v>
      </c>
      <c r="B39" s="147" t="s">
        <v>1937</v>
      </c>
      <c r="C39" s="26">
        <v>38290</v>
      </c>
      <c r="D39" s="27" t="s">
        <v>2709</v>
      </c>
      <c r="E39" s="28">
        <v>358177</v>
      </c>
      <c r="F39" s="29">
        <v>6178085</v>
      </c>
      <c r="G39" s="30">
        <v>300</v>
      </c>
      <c r="H39" s="33"/>
      <c r="I39" s="33"/>
      <c r="J39" s="34"/>
      <c r="K39" s="35"/>
      <c r="L39" s="87"/>
    </row>
    <row r="40" spans="1:12" x14ac:dyDescent="0.2">
      <c r="A40" s="215">
        <v>1038</v>
      </c>
      <c r="B40" s="147" t="s">
        <v>1935</v>
      </c>
      <c r="C40" s="26">
        <v>38290</v>
      </c>
      <c r="D40" s="27" t="s">
        <v>2709</v>
      </c>
      <c r="E40" s="28">
        <v>358215</v>
      </c>
      <c r="F40" s="29">
        <v>6178121</v>
      </c>
      <c r="G40" s="30">
        <v>297</v>
      </c>
      <c r="H40" s="33"/>
      <c r="I40" s="33"/>
      <c r="J40" s="34"/>
      <c r="K40" s="35"/>
      <c r="L40" s="87"/>
    </row>
    <row r="41" spans="1:12" x14ac:dyDescent="0.2">
      <c r="A41" s="215">
        <v>1039</v>
      </c>
      <c r="B41" s="147" t="s">
        <v>392</v>
      </c>
      <c r="C41" s="26">
        <v>38290</v>
      </c>
      <c r="D41" s="27" t="s">
        <v>2709</v>
      </c>
      <c r="E41" s="28">
        <v>358355</v>
      </c>
      <c r="F41" s="29">
        <v>6178435</v>
      </c>
      <c r="G41" s="30">
        <v>285</v>
      </c>
      <c r="H41" s="33"/>
      <c r="I41" s="33"/>
      <c r="J41" s="34"/>
      <c r="K41" s="35"/>
      <c r="L41" s="87"/>
    </row>
    <row r="42" spans="1:12" x14ac:dyDescent="0.2">
      <c r="A42" s="215">
        <v>1040</v>
      </c>
      <c r="B42" s="147" t="s">
        <v>3389</v>
      </c>
      <c r="C42" s="26">
        <v>38291</v>
      </c>
      <c r="D42" s="27" t="s">
        <v>2709</v>
      </c>
      <c r="E42" s="28">
        <v>357736</v>
      </c>
      <c r="F42" s="29">
        <v>6179082</v>
      </c>
      <c r="G42" s="30">
        <v>233</v>
      </c>
      <c r="H42" s="33"/>
      <c r="I42" s="33"/>
      <c r="J42" s="34"/>
      <c r="K42" s="35"/>
      <c r="L42" s="87"/>
    </row>
    <row r="43" spans="1:12" x14ac:dyDescent="0.2">
      <c r="A43" s="215">
        <v>1041</v>
      </c>
      <c r="B43" s="147" t="s">
        <v>3389</v>
      </c>
      <c r="C43" s="26">
        <v>38291</v>
      </c>
      <c r="D43" s="27" t="s">
        <v>2709</v>
      </c>
      <c r="E43" s="28">
        <v>357691</v>
      </c>
      <c r="F43" s="29">
        <v>6179106</v>
      </c>
      <c r="G43" s="30">
        <v>230</v>
      </c>
      <c r="H43" s="33"/>
      <c r="I43" s="33"/>
      <c r="J43" s="34"/>
      <c r="K43" s="35"/>
      <c r="L43" s="87"/>
    </row>
    <row r="44" spans="1:12" x14ac:dyDescent="0.2">
      <c r="A44" s="215">
        <v>1042</v>
      </c>
      <c r="B44" s="147" t="s">
        <v>3389</v>
      </c>
      <c r="C44" s="26">
        <v>38291</v>
      </c>
      <c r="D44" s="27" t="s">
        <v>2709</v>
      </c>
      <c r="E44" s="28">
        <v>357581</v>
      </c>
      <c r="F44" s="29">
        <v>6179147</v>
      </c>
      <c r="G44" s="30">
        <v>224</v>
      </c>
      <c r="H44" s="33"/>
      <c r="I44" s="33"/>
      <c r="J44" s="34"/>
      <c r="K44" s="35"/>
      <c r="L44" s="87"/>
    </row>
    <row r="45" spans="1:12" x14ac:dyDescent="0.2">
      <c r="A45" s="215">
        <v>1043</v>
      </c>
      <c r="B45" s="147" t="s">
        <v>3390</v>
      </c>
      <c r="C45" s="26">
        <v>38291</v>
      </c>
      <c r="D45" s="27" t="s">
        <v>2709</v>
      </c>
      <c r="E45" s="28">
        <v>357465</v>
      </c>
      <c r="F45" s="29">
        <v>6179139</v>
      </c>
      <c r="G45" s="30">
        <v>225</v>
      </c>
      <c r="H45" s="33"/>
      <c r="I45" s="33"/>
      <c r="J45" s="34"/>
      <c r="K45" s="35"/>
      <c r="L45" s="87"/>
    </row>
    <row r="46" spans="1:12" x14ac:dyDescent="0.2">
      <c r="A46" s="215">
        <v>1044</v>
      </c>
      <c r="B46" s="147" t="s">
        <v>3391</v>
      </c>
      <c r="C46" s="26">
        <v>38291</v>
      </c>
      <c r="D46" s="27" t="s">
        <v>2709</v>
      </c>
      <c r="E46" s="28">
        <v>357377</v>
      </c>
      <c r="F46" s="29">
        <v>6179258</v>
      </c>
      <c r="G46" s="30">
        <v>218</v>
      </c>
      <c r="H46" s="33"/>
      <c r="I46" s="33"/>
      <c r="J46" s="34"/>
      <c r="K46" s="35"/>
      <c r="L46" s="87"/>
    </row>
    <row r="47" spans="1:12" x14ac:dyDescent="0.2">
      <c r="A47" s="215">
        <v>1045</v>
      </c>
      <c r="B47" s="147" t="s">
        <v>3392</v>
      </c>
      <c r="C47" s="26">
        <v>38291</v>
      </c>
      <c r="D47" s="27" t="s">
        <v>2709</v>
      </c>
      <c r="E47" s="28">
        <v>357323</v>
      </c>
      <c r="F47" s="29">
        <v>6179362</v>
      </c>
      <c r="G47" s="30">
        <v>217</v>
      </c>
      <c r="H47" s="33"/>
      <c r="I47" s="33"/>
      <c r="J47" s="34"/>
      <c r="K47" s="35"/>
      <c r="L47" s="87"/>
    </row>
    <row r="48" spans="1:12" x14ac:dyDescent="0.2">
      <c r="A48" s="215">
        <v>1046</v>
      </c>
      <c r="B48" s="147" t="s">
        <v>3393</v>
      </c>
      <c r="C48" s="26">
        <v>38291</v>
      </c>
      <c r="D48" s="27" t="s">
        <v>2709</v>
      </c>
      <c r="E48" s="28">
        <v>357334</v>
      </c>
      <c r="F48" s="29">
        <v>6179409</v>
      </c>
      <c r="G48" s="30">
        <v>214</v>
      </c>
      <c r="H48" s="33"/>
      <c r="I48" s="33"/>
      <c r="J48" s="34"/>
      <c r="K48" s="35"/>
      <c r="L48" s="87"/>
    </row>
    <row r="49" spans="1:12" x14ac:dyDescent="0.2">
      <c r="A49" s="215">
        <v>1047</v>
      </c>
      <c r="B49" s="147" t="s">
        <v>3393</v>
      </c>
      <c r="C49" s="26">
        <v>38291</v>
      </c>
      <c r="D49" s="27" t="s">
        <v>2709</v>
      </c>
      <c r="E49" s="28">
        <v>357313</v>
      </c>
      <c r="F49" s="29">
        <v>6179404</v>
      </c>
      <c r="G49" s="30">
        <v>213</v>
      </c>
      <c r="H49" s="33"/>
      <c r="I49" s="33"/>
      <c r="J49" s="34"/>
      <c r="K49" s="35"/>
      <c r="L49" s="87"/>
    </row>
    <row r="50" spans="1:12" x14ac:dyDescent="0.2">
      <c r="A50" s="215">
        <v>1048</v>
      </c>
      <c r="B50" s="147" t="s">
        <v>3393</v>
      </c>
      <c r="C50" s="26">
        <v>38291</v>
      </c>
      <c r="D50" s="27" t="s">
        <v>2709</v>
      </c>
      <c r="E50" s="28">
        <v>357287</v>
      </c>
      <c r="F50" s="29">
        <v>6179400</v>
      </c>
      <c r="G50" s="30">
        <v>213</v>
      </c>
      <c r="H50" s="33"/>
      <c r="I50" s="33"/>
      <c r="J50" s="34"/>
      <c r="K50" s="35"/>
      <c r="L50" s="87"/>
    </row>
    <row r="51" spans="1:12" x14ac:dyDescent="0.2">
      <c r="A51" s="215">
        <v>1049</v>
      </c>
      <c r="B51" s="147" t="s">
        <v>3395</v>
      </c>
      <c r="C51" s="26">
        <v>38291</v>
      </c>
      <c r="D51" s="27" t="s">
        <v>2709</v>
      </c>
      <c r="E51" s="28">
        <v>357269</v>
      </c>
      <c r="F51" s="29">
        <v>6179472</v>
      </c>
      <c r="G51" s="30">
        <v>210</v>
      </c>
      <c r="H51" s="33"/>
      <c r="I51" s="33"/>
      <c r="J51" s="34"/>
      <c r="K51" s="35"/>
      <c r="L51" s="87"/>
    </row>
    <row r="52" spans="1:12" x14ac:dyDescent="0.2">
      <c r="A52" s="215">
        <v>1050</v>
      </c>
      <c r="B52" s="147" t="s">
        <v>3396</v>
      </c>
      <c r="C52" s="26">
        <v>38291</v>
      </c>
      <c r="D52" s="27" t="s">
        <v>2709</v>
      </c>
      <c r="E52" s="28">
        <v>357569</v>
      </c>
      <c r="F52" s="29">
        <v>6179561</v>
      </c>
      <c r="G52" s="30">
        <v>250</v>
      </c>
      <c r="H52" s="33"/>
      <c r="I52" s="33"/>
      <c r="J52" s="34"/>
      <c r="K52" s="35"/>
      <c r="L52" s="87"/>
    </row>
    <row r="53" spans="1:12" x14ac:dyDescent="0.2">
      <c r="A53" s="215">
        <v>1051</v>
      </c>
      <c r="B53" s="147" t="s">
        <v>3397</v>
      </c>
      <c r="C53" s="26">
        <v>38291</v>
      </c>
      <c r="D53" s="27" t="s">
        <v>2709</v>
      </c>
      <c r="E53" s="28">
        <v>357760</v>
      </c>
      <c r="F53" s="29">
        <v>6179550</v>
      </c>
      <c r="G53" s="30">
        <v>286</v>
      </c>
      <c r="H53" s="33"/>
      <c r="I53" s="33"/>
      <c r="J53" s="34"/>
      <c r="K53" s="35"/>
      <c r="L53" s="87"/>
    </row>
    <row r="54" spans="1:12" x14ac:dyDescent="0.2">
      <c r="A54" s="215">
        <v>1052</v>
      </c>
      <c r="B54" s="147" t="s">
        <v>3398</v>
      </c>
      <c r="C54" s="26">
        <v>38291</v>
      </c>
      <c r="D54" s="27" t="s">
        <v>2709</v>
      </c>
      <c r="E54" s="28">
        <v>357802</v>
      </c>
      <c r="F54" s="29">
        <v>6179591</v>
      </c>
      <c r="G54" s="30">
        <v>286</v>
      </c>
      <c r="H54" s="33"/>
      <c r="I54" s="33"/>
      <c r="J54" s="34"/>
      <c r="K54" s="35"/>
      <c r="L54" s="87"/>
    </row>
    <row r="55" spans="1:12" x14ac:dyDescent="0.2">
      <c r="A55" s="215">
        <v>1053</v>
      </c>
      <c r="B55" s="147" t="s">
        <v>3399</v>
      </c>
      <c r="C55" s="26">
        <v>38291</v>
      </c>
      <c r="D55" s="27" t="s">
        <v>2709</v>
      </c>
      <c r="E55" s="28">
        <v>357865</v>
      </c>
      <c r="F55" s="29">
        <v>6179544</v>
      </c>
      <c r="G55" s="30">
        <v>286</v>
      </c>
      <c r="H55" s="33"/>
      <c r="I55" s="33"/>
      <c r="J55" s="34"/>
      <c r="K55" s="35"/>
      <c r="L55" s="87"/>
    </row>
    <row r="56" spans="1:12" x14ac:dyDescent="0.2">
      <c r="A56" s="215">
        <v>1054</v>
      </c>
      <c r="B56" s="147" t="s">
        <v>3400</v>
      </c>
      <c r="C56" s="26">
        <v>38291</v>
      </c>
      <c r="D56" s="27" t="s">
        <v>2709</v>
      </c>
      <c r="E56" s="28">
        <v>357937</v>
      </c>
      <c r="F56" s="29">
        <v>6179494</v>
      </c>
      <c r="G56" s="30">
        <v>264</v>
      </c>
      <c r="H56" s="33"/>
      <c r="I56" s="33"/>
      <c r="J56" s="34"/>
      <c r="K56" s="35"/>
      <c r="L56" s="87"/>
    </row>
    <row r="57" spans="1:12" x14ac:dyDescent="0.2">
      <c r="A57" s="215">
        <v>1055</v>
      </c>
      <c r="B57" s="147" t="s">
        <v>399</v>
      </c>
      <c r="C57" s="26">
        <v>38291</v>
      </c>
      <c r="D57" s="27" t="s">
        <v>2709</v>
      </c>
      <c r="E57" s="28">
        <v>357970</v>
      </c>
      <c r="F57" s="29">
        <v>6179439</v>
      </c>
      <c r="G57" s="30">
        <v>258</v>
      </c>
      <c r="H57" s="33"/>
      <c r="I57" s="33"/>
      <c r="J57" s="34"/>
      <c r="K57" s="35"/>
      <c r="L57" s="87"/>
    </row>
    <row r="58" spans="1:12" x14ac:dyDescent="0.2">
      <c r="A58" s="215">
        <v>1056</v>
      </c>
      <c r="B58" s="147" t="s">
        <v>3401</v>
      </c>
      <c r="C58" s="26">
        <v>38291</v>
      </c>
      <c r="D58" s="27" t="s">
        <v>2709</v>
      </c>
      <c r="E58" s="28">
        <v>357969</v>
      </c>
      <c r="F58" s="29">
        <v>6179435</v>
      </c>
      <c r="G58" s="30">
        <v>259</v>
      </c>
      <c r="H58" s="33"/>
      <c r="I58" s="33"/>
      <c r="J58" s="34"/>
      <c r="K58" s="35"/>
      <c r="L58" s="87"/>
    </row>
    <row r="59" spans="1:12" x14ac:dyDescent="0.2">
      <c r="A59" s="215">
        <v>1057</v>
      </c>
      <c r="B59" s="147" t="s">
        <v>3401</v>
      </c>
      <c r="C59" s="26">
        <v>38291</v>
      </c>
      <c r="D59" s="27" t="s">
        <v>2709</v>
      </c>
      <c r="E59" s="28">
        <v>358014</v>
      </c>
      <c r="F59" s="29">
        <v>6179442</v>
      </c>
      <c r="G59" s="30">
        <v>261</v>
      </c>
      <c r="H59" s="33"/>
      <c r="I59" s="33"/>
      <c r="J59" s="34"/>
      <c r="K59" s="35"/>
      <c r="L59" s="87"/>
    </row>
    <row r="60" spans="1:12" x14ac:dyDescent="0.2">
      <c r="A60" s="215">
        <v>1058</v>
      </c>
      <c r="B60" s="147" t="s">
        <v>392</v>
      </c>
      <c r="C60" s="26">
        <v>38291</v>
      </c>
      <c r="D60" s="27" t="s">
        <v>2709</v>
      </c>
      <c r="E60" s="28">
        <v>358091</v>
      </c>
      <c r="F60" s="29">
        <v>6179507</v>
      </c>
      <c r="G60" s="30">
        <v>272</v>
      </c>
      <c r="H60" s="33"/>
      <c r="I60" s="33"/>
      <c r="J60" s="34"/>
      <c r="K60" s="35"/>
      <c r="L60" s="87"/>
    </row>
    <row r="61" spans="1:12" x14ac:dyDescent="0.2">
      <c r="A61" s="215">
        <v>1059</v>
      </c>
      <c r="B61" s="147" t="s">
        <v>3401</v>
      </c>
      <c r="C61" s="26">
        <v>38291</v>
      </c>
      <c r="D61" s="27" t="s">
        <v>2709</v>
      </c>
      <c r="E61" s="28">
        <v>358095</v>
      </c>
      <c r="F61" s="29">
        <v>6179511</v>
      </c>
      <c r="G61" s="30">
        <v>272</v>
      </c>
      <c r="H61" s="33"/>
      <c r="I61" s="33"/>
      <c r="J61" s="34"/>
      <c r="K61" s="35"/>
      <c r="L61" s="87"/>
    </row>
    <row r="62" spans="1:12" x14ac:dyDescent="0.2">
      <c r="A62" s="215">
        <v>1060</v>
      </c>
      <c r="B62" s="147" t="s">
        <v>3402</v>
      </c>
      <c r="C62" s="26">
        <v>38291</v>
      </c>
      <c r="D62" s="27" t="s">
        <v>2709</v>
      </c>
      <c r="E62" s="28">
        <v>358405</v>
      </c>
      <c r="F62" s="29">
        <v>6179368</v>
      </c>
      <c r="G62" s="30">
        <v>272</v>
      </c>
      <c r="H62" s="33"/>
      <c r="I62" s="33"/>
      <c r="J62" s="34"/>
      <c r="K62" s="35"/>
      <c r="L62" s="87"/>
    </row>
    <row r="63" spans="1:12" x14ac:dyDescent="0.2">
      <c r="A63" s="215">
        <v>1061</v>
      </c>
      <c r="B63" s="147" t="s">
        <v>3403</v>
      </c>
      <c r="C63" s="26">
        <v>38291</v>
      </c>
      <c r="D63" s="27" t="s">
        <v>2709</v>
      </c>
      <c r="E63" s="28">
        <v>358452</v>
      </c>
      <c r="F63" s="29">
        <v>6179324</v>
      </c>
      <c r="G63" s="30">
        <v>278</v>
      </c>
      <c r="H63" s="33"/>
      <c r="I63" s="33"/>
      <c r="J63" s="34"/>
      <c r="K63" s="35"/>
      <c r="L63" s="87"/>
    </row>
    <row r="64" spans="1:12" x14ac:dyDescent="0.2">
      <c r="A64" s="215">
        <v>1062</v>
      </c>
      <c r="B64" s="147" t="s">
        <v>3404</v>
      </c>
      <c r="C64" s="26">
        <v>38291</v>
      </c>
      <c r="D64" s="27" t="s">
        <v>2709</v>
      </c>
      <c r="E64" s="28">
        <v>358404</v>
      </c>
      <c r="F64" s="29">
        <v>6179210</v>
      </c>
      <c r="G64" s="30">
        <v>267</v>
      </c>
      <c r="H64" s="33"/>
      <c r="I64" s="33"/>
      <c r="J64" s="34"/>
      <c r="K64" s="35"/>
      <c r="L64" s="87"/>
    </row>
    <row r="65" spans="1:12" x14ac:dyDescent="0.2">
      <c r="A65" s="215">
        <v>1063</v>
      </c>
      <c r="B65" s="147" t="s">
        <v>3405</v>
      </c>
      <c r="C65" s="26">
        <v>38291</v>
      </c>
      <c r="D65" s="27" t="s">
        <v>2709</v>
      </c>
      <c r="E65" s="28">
        <v>358590</v>
      </c>
      <c r="F65" s="29">
        <v>6179265</v>
      </c>
      <c r="G65" s="30">
        <v>282</v>
      </c>
      <c r="H65" s="33"/>
      <c r="I65" s="33"/>
      <c r="J65" s="34"/>
      <c r="K65" s="35"/>
      <c r="L65" s="87"/>
    </row>
    <row r="66" spans="1:12" x14ac:dyDescent="0.2">
      <c r="A66" s="215">
        <v>1064</v>
      </c>
      <c r="B66" s="147" t="s">
        <v>3406</v>
      </c>
      <c r="C66" s="26">
        <v>38291</v>
      </c>
      <c r="D66" s="27" t="s">
        <v>2709</v>
      </c>
      <c r="E66" s="28">
        <v>358677</v>
      </c>
      <c r="F66" s="29">
        <v>6179275</v>
      </c>
      <c r="G66" s="30">
        <v>285</v>
      </c>
      <c r="H66" s="33"/>
      <c r="I66" s="33"/>
      <c r="J66" s="34"/>
      <c r="K66" s="35"/>
      <c r="L66" s="87"/>
    </row>
    <row r="67" spans="1:12" x14ac:dyDescent="0.2">
      <c r="A67" s="215">
        <v>1065</v>
      </c>
      <c r="B67" s="147" t="s">
        <v>3407</v>
      </c>
      <c r="C67" s="26">
        <v>38291</v>
      </c>
      <c r="D67" s="27" t="s">
        <v>2709</v>
      </c>
      <c r="E67" s="28">
        <v>358852</v>
      </c>
      <c r="F67" s="29">
        <v>6179252</v>
      </c>
      <c r="G67" s="30">
        <v>295</v>
      </c>
      <c r="H67" s="33"/>
      <c r="I67" s="33"/>
      <c r="J67" s="34"/>
      <c r="K67" s="35"/>
      <c r="L67" s="87"/>
    </row>
    <row r="68" spans="1:12" x14ac:dyDescent="0.2">
      <c r="A68" s="215">
        <v>1066</v>
      </c>
      <c r="B68" s="147" t="s">
        <v>3408</v>
      </c>
      <c r="C68" s="26">
        <v>38291</v>
      </c>
      <c r="D68" s="27" t="s">
        <v>2709</v>
      </c>
      <c r="E68" s="28">
        <v>358836</v>
      </c>
      <c r="F68" s="29">
        <v>6179187</v>
      </c>
      <c r="G68" s="30">
        <v>301</v>
      </c>
      <c r="H68" s="33"/>
      <c r="I68" s="33"/>
      <c r="J68" s="34"/>
      <c r="K68" s="35"/>
      <c r="L68" s="87"/>
    </row>
    <row r="69" spans="1:12" x14ac:dyDescent="0.2">
      <c r="A69" s="215">
        <v>1067</v>
      </c>
      <c r="B69" s="147" t="s">
        <v>3401</v>
      </c>
      <c r="C69" s="26">
        <v>38291</v>
      </c>
      <c r="D69" s="27" t="s">
        <v>2709</v>
      </c>
      <c r="E69" s="28">
        <v>358934</v>
      </c>
      <c r="F69" s="29">
        <v>6179212</v>
      </c>
      <c r="G69" s="30">
        <v>303</v>
      </c>
      <c r="H69" s="33"/>
      <c r="I69" s="33"/>
      <c r="J69" s="34"/>
      <c r="K69" s="35"/>
      <c r="L69" s="87"/>
    </row>
    <row r="70" spans="1:12" x14ac:dyDescent="0.2">
      <c r="A70" s="215">
        <v>1068</v>
      </c>
      <c r="B70" s="147" t="s">
        <v>3409</v>
      </c>
      <c r="C70" s="26">
        <v>38291</v>
      </c>
      <c r="D70" s="27" t="s">
        <v>2709</v>
      </c>
      <c r="E70" s="28">
        <v>358942</v>
      </c>
      <c r="F70" s="29">
        <v>6179200</v>
      </c>
      <c r="G70" s="30">
        <v>303</v>
      </c>
      <c r="H70" s="33"/>
      <c r="I70" s="33"/>
      <c r="J70" s="34"/>
      <c r="K70" s="35"/>
      <c r="L70" s="87"/>
    </row>
    <row r="71" spans="1:12" x14ac:dyDescent="0.2">
      <c r="A71" s="215">
        <v>1069</v>
      </c>
      <c r="B71" s="147" t="s">
        <v>3401</v>
      </c>
      <c r="C71" s="26">
        <v>38291</v>
      </c>
      <c r="D71" s="27" t="s">
        <v>2709</v>
      </c>
      <c r="E71" s="28">
        <v>359288</v>
      </c>
      <c r="F71" s="29">
        <v>6179233</v>
      </c>
      <c r="G71" s="30">
        <v>323</v>
      </c>
      <c r="H71" s="33"/>
      <c r="I71" s="33"/>
      <c r="J71" s="34"/>
      <c r="K71" s="35"/>
      <c r="L71" s="87"/>
    </row>
    <row r="72" spans="1:12" x14ac:dyDescent="0.2">
      <c r="A72" s="215">
        <v>1070</v>
      </c>
      <c r="B72" s="147" t="s">
        <v>3411</v>
      </c>
      <c r="C72" s="26">
        <v>38291</v>
      </c>
      <c r="D72" s="27" t="s">
        <v>2709</v>
      </c>
      <c r="E72" s="28">
        <v>359355</v>
      </c>
      <c r="F72" s="29">
        <v>6179207</v>
      </c>
      <c r="G72" s="30">
        <v>337</v>
      </c>
      <c r="H72" s="33"/>
      <c r="I72" s="33"/>
      <c r="J72" s="34"/>
      <c r="K72" s="35"/>
      <c r="L72" s="87"/>
    </row>
    <row r="73" spans="1:12" x14ac:dyDescent="0.2">
      <c r="A73" s="215">
        <v>1071</v>
      </c>
      <c r="B73" s="147" t="s">
        <v>3411</v>
      </c>
      <c r="C73" s="26">
        <v>38291</v>
      </c>
      <c r="D73" s="27" t="s">
        <v>2709</v>
      </c>
      <c r="E73" s="28">
        <v>359313</v>
      </c>
      <c r="F73" s="29">
        <v>6179177</v>
      </c>
      <c r="G73" s="30">
        <v>326</v>
      </c>
      <c r="H73" s="33"/>
      <c r="I73" s="33"/>
      <c r="J73" s="34"/>
      <c r="K73" s="35"/>
      <c r="L73" s="87"/>
    </row>
    <row r="74" spans="1:12" x14ac:dyDescent="0.2">
      <c r="A74" s="215">
        <v>1072</v>
      </c>
      <c r="B74" s="147" t="s">
        <v>3411</v>
      </c>
      <c r="C74" s="26">
        <v>38291</v>
      </c>
      <c r="D74" s="27" t="s">
        <v>2709</v>
      </c>
      <c r="E74" s="28">
        <v>359304</v>
      </c>
      <c r="F74" s="29">
        <v>6179171</v>
      </c>
      <c r="G74" s="30">
        <v>332</v>
      </c>
      <c r="H74" s="33"/>
      <c r="I74" s="33"/>
      <c r="J74" s="34"/>
      <c r="K74" s="35"/>
      <c r="L74" s="87"/>
    </row>
    <row r="75" spans="1:12" x14ac:dyDescent="0.2">
      <c r="A75" s="215">
        <v>1073</v>
      </c>
      <c r="B75" s="147" t="s">
        <v>2725</v>
      </c>
      <c r="C75" s="26">
        <v>38291</v>
      </c>
      <c r="D75" s="27" t="s">
        <v>2709</v>
      </c>
      <c r="E75" s="28">
        <v>359296</v>
      </c>
      <c r="F75" s="29">
        <v>6179169</v>
      </c>
      <c r="G75" s="30">
        <v>333</v>
      </c>
      <c r="H75" s="33"/>
      <c r="I75" s="33"/>
      <c r="J75" s="34"/>
      <c r="K75" s="35"/>
      <c r="L75" s="87"/>
    </row>
    <row r="76" spans="1:12" x14ac:dyDescent="0.2">
      <c r="A76" s="215">
        <v>1074</v>
      </c>
      <c r="B76" s="147" t="s">
        <v>3410</v>
      </c>
      <c r="C76" s="26">
        <v>38291</v>
      </c>
      <c r="D76" s="27" t="s">
        <v>2709</v>
      </c>
      <c r="E76" s="28">
        <v>359274</v>
      </c>
      <c r="F76" s="29">
        <v>6179150</v>
      </c>
      <c r="G76" s="30">
        <v>335</v>
      </c>
      <c r="H76" s="33"/>
      <c r="I76" s="33"/>
      <c r="J76" s="34"/>
      <c r="K76" s="35"/>
      <c r="L76" s="87"/>
    </row>
    <row r="77" spans="1:12" x14ac:dyDescent="0.2">
      <c r="A77" s="215">
        <v>1075</v>
      </c>
      <c r="B77" s="147" t="s">
        <v>3412</v>
      </c>
      <c r="C77" s="26">
        <v>38291</v>
      </c>
      <c r="D77" s="27" t="s">
        <v>2709</v>
      </c>
      <c r="E77" s="28">
        <v>359301</v>
      </c>
      <c r="F77" s="29">
        <v>6179021</v>
      </c>
      <c r="G77" s="30">
        <v>333</v>
      </c>
      <c r="H77" s="33"/>
      <c r="I77" s="33"/>
      <c r="J77" s="34"/>
      <c r="K77" s="35"/>
      <c r="L77" s="87"/>
    </row>
    <row r="78" spans="1:12" x14ac:dyDescent="0.2">
      <c r="A78" s="215">
        <v>1076</v>
      </c>
      <c r="B78" s="147" t="s">
        <v>415</v>
      </c>
      <c r="C78" s="26">
        <v>38291</v>
      </c>
      <c r="D78" s="27" t="s">
        <v>2709</v>
      </c>
      <c r="E78" s="28">
        <v>359369</v>
      </c>
      <c r="F78" s="29">
        <v>6179003</v>
      </c>
      <c r="G78" s="30">
        <v>413</v>
      </c>
      <c r="H78" s="33"/>
      <c r="I78" s="33"/>
      <c r="J78" s="34"/>
      <c r="K78" s="35"/>
      <c r="L78" s="87"/>
    </row>
    <row r="79" spans="1:12" x14ac:dyDescent="0.2">
      <c r="A79" s="215">
        <v>1077</v>
      </c>
      <c r="B79" s="147" t="s">
        <v>3413</v>
      </c>
      <c r="C79" s="26">
        <v>38291</v>
      </c>
      <c r="D79" s="27" t="s">
        <v>2709</v>
      </c>
      <c r="E79" s="28">
        <v>359369</v>
      </c>
      <c r="F79" s="29">
        <v>6179095</v>
      </c>
      <c r="G79" s="30">
        <v>371</v>
      </c>
      <c r="H79" s="33"/>
      <c r="I79" s="33"/>
      <c r="J79" s="34"/>
      <c r="K79" s="35"/>
      <c r="L79" s="87"/>
    </row>
    <row r="80" spans="1:12" x14ac:dyDescent="0.2">
      <c r="A80" s="215">
        <v>1078</v>
      </c>
      <c r="B80" s="147" t="s">
        <v>3414</v>
      </c>
      <c r="C80" s="26">
        <v>38291</v>
      </c>
      <c r="D80" s="27" t="s">
        <v>2709</v>
      </c>
      <c r="E80" s="28">
        <v>359316</v>
      </c>
      <c r="F80" s="29">
        <v>6179020</v>
      </c>
      <c r="G80" s="30">
        <v>380</v>
      </c>
      <c r="H80" s="33"/>
      <c r="I80" s="33"/>
      <c r="J80" s="34"/>
      <c r="K80" s="35"/>
      <c r="L80" s="87"/>
    </row>
    <row r="81" spans="1:12" x14ac:dyDescent="0.2">
      <c r="A81" s="215">
        <v>1079</v>
      </c>
      <c r="B81" s="147" t="s">
        <v>2654</v>
      </c>
      <c r="C81" s="26">
        <v>38291</v>
      </c>
      <c r="D81" s="27" t="s">
        <v>2709</v>
      </c>
      <c r="E81" s="28">
        <v>359283</v>
      </c>
      <c r="F81" s="29">
        <v>6178842</v>
      </c>
      <c r="G81" s="30">
        <v>381</v>
      </c>
      <c r="H81" s="33"/>
      <c r="I81" s="33"/>
      <c r="J81" s="34"/>
      <c r="K81" s="35"/>
      <c r="L81" s="87"/>
    </row>
    <row r="82" spans="1:12" x14ac:dyDescent="0.2">
      <c r="A82" s="215">
        <v>1080</v>
      </c>
      <c r="B82" s="147" t="s">
        <v>3415</v>
      </c>
      <c r="C82" s="26">
        <v>38291</v>
      </c>
      <c r="D82" s="27" t="s">
        <v>2709</v>
      </c>
      <c r="E82" s="28">
        <v>359271</v>
      </c>
      <c r="F82" s="29">
        <v>6178864</v>
      </c>
      <c r="G82" s="30">
        <v>380</v>
      </c>
      <c r="H82" s="33"/>
      <c r="I82" s="33"/>
      <c r="J82" s="34"/>
      <c r="K82" s="35"/>
      <c r="L82" s="87"/>
    </row>
    <row r="83" spans="1:12" x14ac:dyDescent="0.2">
      <c r="A83" s="215">
        <v>1081</v>
      </c>
      <c r="B83" s="147" t="s">
        <v>3417</v>
      </c>
      <c r="C83" s="26">
        <v>38291</v>
      </c>
      <c r="D83" s="27" t="s">
        <v>2709</v>
      </c>
      <c r="E83" s="28">
        <v>359260</v>
      </c>
      <c r="F83" s="29">
        <v>6178702</v>
      </c>
      <c r="G83" s="30">
        <v>350</v>
      </c>
      <c r="H83" s="33"/>
      <c r="I83" s="33"/>
      <c r="J83" s="34"/>
      <c r="K83" s="35"/>
      <c r="L83" s="87"/>
    </row>
    <row r="84" spans="1:12" x14ac:dyDescent="0.2">
      <c r="A84" s="215">
        <v>1082</v>
      </c>
      <c r="B84" s="147" t="s">
        <v>3417</v>
      </c>
      <c r="C84" s="26">
        <v>38291</v>
      </c>
      <c r="D84" s="27" t="s">
        <v>2709</v>
      </c>
      <c r="E84" s="28">
        <v>359217</v>
      </c>
      <c r="F84" s="29">
        <v>6178746</v>
      </c>
      <c r="G84" s="30">
        <v>360</v>
      </c>
      <c r="H84" s="33"/>
      <c r="I84" s="33"/>
      <c r="J84" s="34"/>
      <c r="K84" s="35"/>
      <c r="L84" s="87"/>
    </row>
    <row r="85" spans="1:12" x14ac:dyDescent="0.2">
      <c r="A85" s="215">
        <v>1083</v>
      </c>
      <c r="B85" s="147" t="s">
        <v>3416</v>
      </c>
      <c r="C85" s="26">
        <v>38291</v>
      </c>
      <c r="D85" s="27" t="s">
        <v>2709</v>
      </c>
      <c r="E85" s="28">
        <v>359109</v>
      </c>
      <c r="F85" s="29">
        <v>6178922</v>
      </c>
      <c r="G85" s="30">
        <v>355</v>
      </c>
      <c r="H85" s="33"/>
      <c r="I85" s="33"/>
      <c r="J85" s="34"/>
      <c r="K85" s="35"/>
      <c r="L85" s="87"/>
    </row>
    <row r="86" spans="1:12" x14ac:dyDescent="0.2">
      <c r="A86" s="215">
        <v>1084</v>
      </c>
      <c r="B86" s="147" t="s">
        <v>3418</v>
      </c>
      <c r="C86" s="26">
        <v>38291</v>
      </c>
      <c r="D86" s="27" t="s">
        <v>2709</v>
      </c>
      <c r="E86" s="28">
        <v>358969</v>
      </c>
      <c r="F86" s="29">
        <v>6178883</v>
      </c>
      <c r="G86" s="30">
        <v>344</v>
      </c>
      <c r="H86" s="33"/>
      <c r="I86" s="33"/>
      <c r="J86" s="34"/>
      <c r="K86" s="35"/>
      <c r="L86" s="87"/>
    </row>
    <row r="87" spans="1:12" x14ac:dyDescent="0.2">
      <c r="A87" s="215">
        <v>1085</v>
      </c>
      <c r="B87" s="147" t="s">
        <v>445</v>
      </c>
      <c r="C87" s="26">
        <v>38291</v>
      </c>
      <c r="D87" s="27" t="s">
        <v>2709</v>
      </c>
      <c r="E87" s="28">
        <v>358790</v>
      </c>
      <c r="F87" s="29">
        <v>6178999</v>
      </c>
      <c r="G87" s="30">
        <v>295</v>
      </c>
      <c r="H87" s="33"/>
      <c r="I87" s="33"/>
      <c r="J87" s="34"/>
      <c r="K87" s="35"/>
      <c r="L87" s="87"/>
    </row>
    <row r="88" spans="1:12" x14ac:dyDescent="0.2">
      <c r="A88" s="215">
        <v>1086</v>
      </c>
      <c r="B88" s="147" t="s">
        <v>3425</v>
      </c>
      <c r="C88" s="26">
        <v>38291</v>
      </c>
      <c r="D88" s="27" t="s">
        <v>2709</v>
      </c>
      <c r="E88" s="28">
        <v>358417</v>
      </c>
      <c r="F88" s="29">
        <v>6179015</v>
      </c>
      <c r="G88" s="30">
        <v>310</v>
      </c>
      <c r="H88" s="33"/>
      <c r="I88" s="33"/>
      <c r="J88" s="34"/>
      <c r="K88" s="35"/>
      <c r="L88" s="87"/>
    </row>
    <row r="89" spans="1:12" x14ac:dyDescent="0.2">
      <c r="A89" s="215">
        <v>1087</v>
      </c>
      <c r="B89" s="147" t="s">
        <v>1892</v>
      </c>
      <c r="C89" s="26">
        <v>38294</v>
      </c>
      <c r="D89" s="27" t="s">
        <v>2709</v>
      </c>
      <c r="E89" s="28">
        <v>354700</v>
      </c>
      <c r="F89" s="29">
        <v>6175507</v>
      </c>
      <c r="G89" s="30">
        <v>280</v>
      </c>
      <c r="H89" s="33"/>
      <c r="I89" s="33"/>
      <c r="J89" s="34"/>
      <c r="K89" s="35"/>
      <c r="L89" s="87"/>
    </row>
    <row r="90" spans="1:12" x14ac:dyDescent="0.2">
      <c r="A90" s="215">
        <v>1088</v>
      </c>
      <c r="B90" s="147" t="s">
        <v>2276</v>
      </c>
      <c r="C90" s="26">
        <v>38294</v>
      </c>
      <c r="D90" s="27" t="s">
        <v>2709</v>
      </c>
      <c r="E90" s="28">
        <v>354703</v>
      </c>
      <c r="F90" s="29">
        <v>6175474</v>
      </c>
      <c r="G90" s="30">
        <v>292</v>
      </c>
      <c r="H90" s="33"/>
      <c r="I90" s="33"/>
      <c r="J90" s="34"/>
      <c r="K90" s="35"/>
      <c r="L90" s="87"/>
    </row>
    <row r="91" spans="1:12" x14ac:dyDescent="0.2">
      <c r="A91" s="215">
        <v>1089</v>
      </c>
      <c r="B91" s="147" t="s">
        <v>2291</v>
      </c>
      <c r="C91" s="26">
        <v>38294</v>
      </c>
      <c r="D91" s="27" t="s">
        <v>2709</v>
      </c>
      <c r="E91" s="28">
        <v>354773</v>
      </c>
      <c r="F91" s="29">
        <v>6175354</v>
      </c>
      <c r="G91" s="30">
        <v>305</v>
      </c>
      <c r="H91" s="33"/>
      <c r="I91" s="33"/>
      <c r="J91" s="34"/>
      <c r="K91" s="35"/>
      <c r="L91" s="87"/>
    </row>
    <row r="92" spans="1:12" x14ac:dyDescent="0.2">
      <c r="A92" s="215">
        <v>1090</v>
      </c>
      <c r="B92" s="147" t="s">
        <v>2292</v>
      </c>
      <c r="C92" s="26">
        <v>38294</v>
      </c>
      <c r="D92" s="27" t="s">
        <v>2709</v>
      </c>
      <c r="E92" s="28">
        <v>354919</v>
      </c>
      <c r="F92" s="29">
        <v>6175343</v>
      </c>
      <c r="G92" s="30">
        <v>315</v>
      </c>
      <c r="H92" s="33"/>
      <c r="I92" s="33"/>
      <c r="J92" s="34"/>
      <c r="K92" s="35"/>
      <c r="L92" s="87"/>
    </row>
    <row r="93" spans="1:12" x14ac:dyDescent="0.2">
      <c r="A93" s="215">
        <v>1091</v>
      </c>
      <c r="B93" s="147" t="s">
        <v>2275</v>
      </c>
      <c r="C93" s="26">
        <v>38294</v>
      </c>
      <c r="D93" s="27" t="s">
        <v>2709</v>
      </c>
      <c r="E93" s="28">
        <v>354964</v>
      </c>
      <c r="F93" s="29">
        <v>6175317</v>
      </c>
      <c r="G93" s="30">
        <v>316</v>
      </c>
      <c r="H93" s="33"/>
      <c r="I93" s="33"/>
      <c r="J93" s="34"/>
      <c r="K93" s="35"/>
      <c r="L93" s="35"/>
    </row>
    <row r="94" spans="1:12" x14ac:dyDescent="0.2">
      <c r="A94" s="215">
        <v>1092</v>
      </c>
      <c r="B94" s="147" t="s">
        <v>2279</v>
      </c>
      <c r="C94" s="26">
        <v>38294</v>
      </c>
      <c r="D94" s="27" t="s">
        <v>2709</v>
      </c>
      <c r="E94" s="28">
        <v>355210</v>
      </c>
      <c r="F94" s="29">
        <v>6175319</v>
      </c>
      <c r="G94" s="30">
        <v>305</v>
      </c>
      <c r="H94" s="33"/>
      <c r="I94" s="33"/>
      <c r="J94" s="34"/>
      <c r="K94" s="35"/>
      <c r="L94" s="87"/>
    </row>
    <row r="95" spans="1:12" x14ac:dyDescent="0.2">
      <c r="A95" s="215">
        <v>1093</v>
      </c>
      <c r="B95" s="147" t="s">
        <v>2275</v>
      </c>
      <c r="C95" s="26">
        <v>38294</v>
      </c>
      <c r="D95" s="27" t="s">
        <v>2709</v>
      </c>
      <c r="E95" s="28">
        <v>355262</v>
      </c>
      <c r="F95" s="29">
        <v>6175230</v>
      </c>
      <c r="G95" s="30">
        <v>307</v>
      </c>
      <c r="H95" s="33"/>
      <c r="I95" s="33"/>
      <c r="J95" s="34"/>
      <c r="K95" s="35"/>
      <c r="L95" s="87"/>
    </row>
    <row r="96" spans="1:12" x14ac:dyDescent="0.2">
      <c r="A96" s="215">
        <v>1094</v>
      </c>
      <c r="B96" s="147" t="s">
        <v>2281</v>
      </c>
      <c r="C96" s="26">
        <v>38294</v>
      </c>
      <c r="D96" s="27" t="s">
        <v>2709</v>
      </c>
      <c r="E96" s="28">
        <v>355424</v>
      </c>
      <c r="F96" s="29">
        <v>6175267</v>
      </c>
      <c r="G96" s="30">
        <v>275</v>
      </c>
      <c r="H96" s="33"/>
      <c r="I96" s="33"/>
      <c r="J96" s="34"/>
      <c r="K96" s="35"/>
      <c r="L96" s="87"/>
    </row>
    <row r="97" spans="1:12" x14ac:dyDescent="0.2">
      <c r="A97" s="215">
        <v>1095</v>
      </c>
      <c r="B97" s="147" t="s">
        <v>1892</v>
      </c>
      <c r="C97" s="26">
        <v>38294</v>
      </c>
      <c r="D97" s="27" t="s">
        <v>2709</v>
      </c>
      <c r="E97" s="28">
        <v>355423</v>
      </c>
      <c r="F97" s="29">
        <v>6175233</v>
      </c>
      <c r="G97" s="30">
        <v>282</v>
      </c>
      <c r="H97" s="33"/>
      <c r="I97" s="33"/>
      <c r="J97" s="34"/>
      <c r="K97" s="35"/>
      <c r="L97" s="87"/>
    </row>
    <row r="98" spans="1:12" x14ac:dyDescent="0.2">
      <c r="A98" s="215">
        <v>1096</v>
      </c>
      <c r="B98" s="147" t="s">
        <v>2279</v>
      </c>
      <c r="C98" s="26">
        <v>38294</v>
      </c>
      <c r="D98" s="27" t="s">
        <v>2709</v>
      </c>
      <c r="E98" s="28">
        <v>355429</v>
      </c>
      <c r="F98" s="29">
        <v>6175176</v>
      </c>
      <c r="G98" s="30">
        <v>287</v>
      </c>
      <c r="H98" s="33"/>
      <c r="I98" s="33"/>
      <c r="J98" s="34"/>
      <c r="K98" s="35"/>
      <c r="L98" s="87"/>
    </row>
    <row r="99" spans="1:12" x14ac:dyDescent="0.2">
      <c r="A99" s="215">
        <v>1097</v>
      </c>
      <c r="B99" s="147" t="s">
        <v>2282</v>
      </c>
      <c r="C99" s="26">
        <v>38294</v>
      </c>
      <c r="D99" s="27" t="s">
        <v>2709</v>
      </c>
      <c r="E99" s="28">
        <v>355466</v>
      </c>
      <c r="F99" s="29">
        <v>6175142</v>
      </c>
      <c r="G99" s="30">
        <v>289</v>
      </c>
      <c r="H99" s="33"/>
      <c r="I99" s="33"/>
      <c r="J99" s="34"/>
      <c r="K99" s="35"/>
      <c r="L99" s="87"/>
    </row>
    <row r="100" spans="1:12" x14ac:dyDescent="0.2">
      <c r="A100" s="215">
        <v>1098</v>
      </c>
      <c r="B100" s="147" t="s">
        <v>2280</v>
      </c>
      <c r="C100" s="26">
        <v>38294</v>
      </c>
      <c r="D100" s="27" t="s">
        <v>2709</v>
      </c>
      <c r="E100" s="28">
        <v>355544</v>
      </c>
      <c r="F100" s="29">
        <v>6175108</v>
      </c>
      <c r="G100" s="30">
        <v>288</v>
      </c>
      <c r="H100" s="33"/>
      <c r="I100" s="33"/>
      <c r="J100" s="34"/>
      <c r="K100" s="35"/>
      <c r="L100" s="87"/>
    </row>
    <row r="101" spans="1:12" x14ac:dyDescent="0.2">
      <c r="A101" s="215">
        <v>1099</v>
      </c>
      <c r="B101" s="147" t="s">
        <v>2283</v>
      </c>
      <c r="C101" s="26">
        <v>38294</v>
      </c>
      <c r="D101" s="27" t="s">
        <v>2709</v>
      </c>
      <c r="E101" s="28">
        <v>355905</v>
      </c>
      <c r="F101" s="29">
        <v>6175109</v>
      </c>
      <c r="G101" s="30">
        <v>223</v>
      </c>
      <c r="H101" s="33"/>
      <c r="I101" s="33"/>
      <c r="J101" s="34"/>
      <c r="K101" s="35"/>
      <c r="L101" s="87"/>
    </row>
    <row r="102" spans="1:12" x14ac:dyDescent="0.2">
      <c r="A102" s="215">
        <v>1100</v>
      </c>
      <c r="B102" s="147" t="s">
        <v>2294</v>
      </c>
      <c r="C102" s="26">
        <v>38294</v>
      </c>
      <c r="D102" s="27" t="s">
        <v>2709</v>
      </c>
      <c r="E102" s="28">
        <v>355864</v>
      </c>
      <c r="F102" s="29">
        <v>6175175</v>
      </c>
      <c r="G102" s="30">
        <v>223</v>
      </c>
      <c r="H102" s="33"/>
      <c r="I102" s="33"/>
      <c r="J102" s="34"/>
      <c r="K102" s="35"/>
      <c r="L102" s="87"/>
    </row>
    <row r="103" spans="1:12" x14ac:dyDescent="0.2">
      <c r="A103" s="215">
        <v>1101</v>
      </c>
      <c r="B103" s="147" t="s">
        <v>2284</v>
      </c>
      <c r="C103" s="26">
        <v>38294</v>
      </c>
      <c r="D103" s="27" t="s">
        <v>2709</v>
      </c>
      <c r="E103" s="28">
        <v>355551</v>
      </c>
      <c r="F103" s="29">
        <v>6175260</v>
      </c>
      <c r="G103" s="30">
        <v>269</v>
      </c>
      <c r="H103" s="33"/>
      <c r="I103" s="33"/>
      <c r="J103" s="34"/>
      <c r="K103" s="35"/>
      <c r="L103" s="35"/>
    </row>
    <row r="104" spans="1:12" x14ac:dyDescent="0.2">
      <c r="A104" s="215">
        <v>1102</v>
      </c>
      <c r="B104" s="147" t="s">
        <v>2284</v>
      </c>
      <c r="C104" s="26">
        <v>38294</v>
      </c>
      <c r="D104" s="27" t="s">
        <v>2709</v>
      </c>
      <c r="E104" s="28">
        <v>355419</v>
      </c>
      <c r="F104" s="29">
        <v>6175259</v>
      </c>
      <c r="G104" s="30">
        <v>273</v>
      </c>
      <c r="H104" s="33"/>
      <c r="I104" s="33"/>
      <c r="J104" s="34"/>
      <c r="K104" s="35"/>
      <c r="L104" s="87"/>
    </row>
    <row r="105" spans="1:12" x14ac:dyDescent="0.2">
      <c r="A105" s="215">
        <v>1103</v>
      </c>
      <c r="B105" s="147" t="s">
        <v>2285</v>
      </c>
      <c r="C105" s="26">
        <v>38294</v>
      </c>
      <c r="D105" s="27" t="s">
        <v>2709</v>
      </c>
      <c r="E105" s="28">
        <v>355395</v>
      </c>
      <c r="F105" s="29">
        <v>6175284</v>
      </c>
      <c r="G105" s="30">
        <v>279</v>
      </c>
      <c r="H105" s="33"/>
      <c r="I105" s="33"/>
      <c r="J105" s="34"/>
      <c r="K105" s="35"/>
      <c r="L105" s="87"/>
    </row>
    <row r="106" spans="1:12" x14ac:dyDescent="0.2">
      <c r="A106" s="215">
        <v>1104</v>
      </c>
      <c r="B106" s="147" t="s">
        <v>2286</v>
      </c>
      <c r="C106" s="26">
        <v>38294</v>
      </c>
      <c r="D106" s="27" t="s">
        <v>2709</v>
      </c>
      <c r="E106" s="28">
        <v>355349</v>
      </c>
      <c r="F106" s="29">
        <v>6175393</v>
      </c>
      <c r="G106" s="30">
        <v>284</v>
      </c>
      <c r="H106" s="33"/>
      <c r="I106" s="33"/>
      <c r="J106" s="34"/>
      <c r="K106" s="35"/>
      <c r="L106" s="87"/>
    </row>
    <row r="107" spans="1:12" x14ac:dyDescent="0.2">
      <c r="A107" s="215">
        <v>1105</v>
      </c>
      <c r="B107" s="147" t="s">
        <v>2287</v>
      </c>
      <c r="C107" s="26">
        <v>38294</v>
      </c>
      <c r="D107" s="27" t="s">
        <v>2709</v>
      </c>
      <c r="E107" s="28">
        <v>355331</v>
      </c>
      <c r="F107" s="29">
        <v>6175667</v>
      </c>
      <c r="G107" s="30">
        <v>246</v>
      </c>
      <c r="H107" s="33"/>
      <c r="I107" s="33"/>
      <c r="J107" s="34"/>
      <c r="K107" s="35"/>
      <c r="L107" s="87"/>
    </row>
    <row r="108" spans="1:12" x14ac:dyDescent="0.2">
      <c r="A108" s="215">
        <v>1106</v>
      </c>
      <c r="B108" s="147" t="s">
        <v>2295</v>
      </c>
      <c r="C108" s="26">
        <v>38294</v>
      </c>
      <c r="D108" s="27" t="s">
        <v>2709</v>
      </c>
      <c r="E108" s="28">
        <v>355097</v>
      </c>
      <c r="F108" s="29">
        <v>6175399</v>
      </c>
      <c r="G108" s="30">
        <v>303</v>
      </c>
      <c r="H108" s="33"/>
      <c r="I108" s="33"/>
      <c r="J108" s="34"/>
      <c r="K108" s="35"/>
      <c r="L108" s="35"/>
    </row>
    <row r="109" spans="1:12" x14ac:dyDescent="0.2">
      <c r="A109" s="215">
        <v>1107</v>
      </c>
      <c r="B109" s="147" t="s">
        <v>2288</v>
      </c>
      <c r="C109" s="26">
        <v>38294</v>
      </c>
      <c r="D109" s="27" t="s">
        <v>2709</v>
      </c>
      <c r="E109" s="28">
        <v>354818</v>
      </c>
      <c r="F109" s="29">
        <v>6175435</v>
      </c>
      <c r="G109" s="30">
        <v>296</v>
      </c>
      <c r="H109" s="33"/>
      <c r="I109" s="33"/>
      <c r="J109" s="34"/>
      <c r="K109" s="35"/>
      <c r="L109" s="87"/>
    </row>
    <row r="110" spans="1:12" x14ac:dyDescent="0.2">
      <c r="A110" s="215">
        <v>1108</v>
      </c>
      <c r="B110" s="147" t="s">
        <v>2290</v>
      </c>
      <c r="C110" s="26">
        <v>38294</v>
      </c>
      <c r="D110" s="27" t="s">
        <v>2709</v>
      </c>
      <c r="E110" s="28">
        <v>354948</v>
      </c>
      <c r="F110" s="29">
        <v>6175572</v>
      </c>
      <c r="G110" s="30">
        <v>277</v>
      </c>
      <c r="H110" s="33"/>
      <c r="I110" s="33"/>
      <c r="J110" s="34"/>
      <c r="K110" s="35"/>
      <c r="L110" s="87"/>
    </row>
    <row r="111" spans="1:12" x14ac:dyDescent="0.2">
      <c r="A111" s="215">
        <v>1109</v>
      </c>
      <c r="B111" s="147" t="s">
        <v>2289</v>
      </c>
      <c r="C111" s="26">
        <v>38294</v>
      </c>
      <c r="D111" s="27" t="s">
        <v>2709</v>
      </c>
      <c r="E111" s="28">
        <v>354978</v>
      </c>
      <c r="F111" s="29">
        <v>6175533</v>
      </c>
      <c r="G111" s="30">
        <v>284</v>
      </c>
      <c r="H111" s="33"/>
      <c r="I111" s="33"/>
      <c r="J111" s="34"/>
      <c r="K111" s="35"/>
      <c r="L111" s="87"/>
    </row>
    <row r="112" spans="1:12" x14ac:dyDescent="0.2">
      <c r="A112" s="215">
        <v>1110</v>
      </c>
      <c r="B112" s="147" t="s">
        <v>2290</v>
      </c>
      <c r="C112" s="26">
        <v>38294</v>
      </c>
      <c r="D112" s="27" t="s">
        <v>2709</v>
      </c>
      <c r="E112" s="28">
        <v>354928</v>
      </c>
      <c r="F112" s="29">
        <v>6175454</v>
      </c>
      <c r="G112" s="30">
        <v>301</v>
      </c>
      <c r="H112" s="33"/>
      <c r="I112" s="33"/>
      <c r="J112" s="34"/>
      <c r="K112" s="35"/>
      <c r="L112" s="87"/>
    </row>
    <row r="113" spans="1:12" x14ac:dyDescent="0.2">
      <c r="A113" s="215">
        <v>1111</v>
      </c>
      <c r="B113" s="147" t="s">
        <v>2290</v>
      </c>
      <c r="C113" s="26">
        <v>38294</v>
      </c>
      <c r="D113" s="27" t="s">
        <v>2709</v>
      </c>
      <c r="E113" s="28">
        <v>354911</v>
      </c>
      <c r="F113" s="29">
        <v>6175506</v>
      </c>
      <c r="G113" s="30">
        <v>289</v>
      </c>
      <c r="H113" s="33"/>
      <c r="I113" s="33"/>
      <c r="J113" s="34"/>
      <c r="K113" s="35"/>
      <c r="L113" s="87"/>
    </row>
    <row r="114" spans="1:12" x14ac:dyDescent="0.2">
      <c r="A114" s="215">
        <v>1112</v>
      </c>
      <c r="B114" s="147" t="s">
        <v>2290</v>
      </c>
      <c r="C114" s="26">
        <v>38294</v>
      </c>
      <c r="D114" s="27" t="s">
        <v>2709</v>
      </c>
      <c r="E114" s="28">
        <v>354887</v>
      </c>
      <c r="F114" s="29">
        <v>6175506</v>
      </c>
      <c r="G114" s="30">
        <v>286</v>
      </c>
      <c r="H114" s="33"/>
      <c r="I114" s="33"/>
      <c r="J114" s="34"/>
      <c r="K114" s="35"/>
      <c r="L114" s="87"/>
    </row>
    <row r="115" spans="1:12" x14ac:dyDescent="0.2">
      <c r="A115" s="215">
        <v>1113</v>
      </c>
      <c r="B115" s="147" t="s">
        <v>2290</v>
      </c>
      <c r="C115" s="26">
        <v>38294</v>
      </c>
      <c r="D115" s="27" t="s">
        <v>2709</v>
      </c>
      <c r="E115" s="28">
        <v>354939</v>
      </c>
      <c r="F115" s="29">
        <v>6175519</v>
      </c>
      <c r="G115" s="30">
        <v>287</v>
      </c>
      <c r="H115" s="33"/>
      <c r="I115" s="33"/>
      <c r="J115" s="34"/>
      <c r="K115" s="35"/>
      <c r="L115" s="87"/>
    </row>
    <row r="116" spans="1:12" x14ac:dyDescent="0.2">
      <c r="A116" s="215">
        <v>1114</v>
      </c>
      <c r="B116" s="147" t="s">
        <v>1437</v>
      </c>
      <c r="C116" s="26">
        <v>38295</v>
      </c>
      <c r="D116" s="27" t="s">
        <v>2709</v>
      </c>
      <c r="E116" s="28">
        <v>358284</v>
      </c>
      <c r="F116" s="29">
        <v>6178753</v>
      </c>
      <c r="G116" s="30">
        <v>260</v>
      </c>
      <c r="H116" s="33"/>
      <c r="I116" s="33"/>
      <c r="J116" s="34"/>
      <c r="K116" s="35"/>
      <c r="L116" s="87"/>
    </row>
    <row r="117" spans="1:12" x14ac:dyDescent="0.2">
      <c r="A117" s="215">
        <v>1115</v>
      </c>
      <c r="B117" s="147" t="s">
        <v>1438</v>
      </c>
      <c r="C117" s="26">
        <v>38295</v>
      </c>
      <c r="D117" s="27" t="s">
        <v>2709</v>
      </c>
      <c r="E117" s="28">
        <v>358479</v>
      </c>
      <c r="F117" s="29">
        <v>6178682</v>
      </c>
      <c r="G117" s="30">
        <v>276</v>
      </c>
      <c r="H117" s="33"/>
      <c r="I117" s="33"/>
      <c r="J117" s="34"/>
      <c r="K117" s="35"/>
      <c r="L117" s="87"/>
    </row>
    <row r="118" spans="1:12" x14ac:dyDescent="0.2">
      <c r="A118" s="215">
        <v>1116</v>
      </c>
      <c r="B118" s="147" t="s">
        <v>1439</v>
      </c>
      <c r="C118" s="26">
        <v>38295</v>
      </c>
      <c r="D118" s="27" t="s">
        <v>2709</v>
      </c>
      <c r="E118" s="28">
        <v>358518</v>
      </c>
      <c r="F118" s="29">
        <v>6178673</v>
      </c>
      <c r="G118" s="30">
        <v>272</v>
      </c>
      <c r="H118" s="33"/>
      <c r="I118" s="33"/>
      <c r="J118" s="34"/>
      <c r="K118" s="35"/>
      <c r="L118" s="87"/>
    </row>
    <row r="119" spans="1:12" x14ac:dyDescent="0.2">
      <c r="A119" s="215">
        <v>1117</v>
      </c>
      <c r="B119" s="147" t="s">
        <v>1440</v>
      </c>
      <c r="C119" s="26">
        <v>38295</v>
      </c>
      <c r="D119" s="27" t="s">
        <v>2709</v>
      </c>
      <c r="E119" s="28">
        <v>358671</v>
      </c>
      <c r="F119" s="29">
        <v>6178613</v>
      </c>
      <c r="G119" s="30">
        <v>277</v>
      </c>
      <c r="H119" s="33"/>
      <c r="I119" s="33"/>
      <c r="J119" s="34"/>
      <c r="K119" s="35"/>
      <c r="L119" s="87"/>
    </row>
    <row r="120" spans="1:12" x14ac:dyDescent="0.2">
      <c r="A120" s="215">
        <v>1118</v>
      </c>
      <c r="B120" s="147" t="s">
        <v>1442</v>
      </c>
      <c r="C120" s="26">
        <v>38295</v>
      </c>
      <c r="D120" s="27" t="s">
        <v>2709</v>
      </c>
      <c r="E120" s="28">
        <v>358933</v>
      </c>
      <c r="F120" s="29">
        <v>6178513</v>
      </c>
      <c r="G120" s="30">
        <v>284</v>
      </c>
      <c r="H120" s="33"/>
      <c r="I120" s="33"/>
      <c r="J120" s="34"/>
      <c r="K120" s="35"/>
      <c r="L120" s="87"/>
    </row>
    <row r="121" spans="1:12" x14ac:dyDescent="0.2">
      <c r="A121" s="215">
        <v>1119</v>
      </c>
      <c r="B121" s="147" t="s">
        <v>1443</v>
      </c>
      <c r="C121" s="26">
        <v>38295</v>
      </c>
      <c r="D121" s="27" t="s">
        <v>2709</v>
      </c>
      <c r="E121" s="28">
        <v>359048</v>
      </c>
      <c r="F121" s="29">
        <v>6178457</v>
      </c>
      <c r="G121" s="30">
        <v>283</v>
      </c>
      <c r="H121" s="33"/>
      <c r="I121" s="33"/>
      <c r="J121" s="34"/>
      <c r="K121" s="35"/>
      <c r="L121" s="87"/>
    </row>
    <row r="122" spans="1:12" x14ac:dyDescent="0.2">
      <c r="A122" s="215">
        <v>1120</v>
      </c>
      <c r="B122" s="147" t="s">
        <v>1444</v>
      </c>
      <c r="C122" s="26">
        <v>38295</v>
      </c>
      <c r="D122" s="27" t="s">
        <v>2709</v>
      </c>
      <c r="E122" s="28">
        <v>359125</v>
      </c>
      <c r="F122" s="29">
        <v>6178444</v>
      </c>
      <c r="G122" s="30">
        <v>296</v>
      </c>
      <c r="H122" s="33"/>
      <c r="I122" s="33"/>
      <c r="J122" s="34"/>
      <c r="K122" s="35"/>
      <c r="L122" s="87"/>
    </row>
    <row r="123" spans="1:12" x14ac:dyDescent="0.2">
      <c r="A123" s="215">
        <v>1121</v>
      </c>
      <c r="B123" s="147" t="s">
        <v>1446</v>
      </c>
      <c r="C123" s="26">
        <v>38295</v>
      </c>
      <c r="D123" s="27" t="s">
        <v>2709</v>
      </c>
      <c r="E123" s="28">
        <v>359226</v>
      </c>
      <c r="F123" s="29">
        <v>6178449</v>
      </c>
      <c r="G123" s="30">
        <v>318</v>
      </c>
      <c r="H123" s="33"/>
      <c r="I123" s="33"/>
      <c r="J123" s="34"/>
      <c r="K123" s="35"/>
      <c r="L123" s="87"/>
    </row>
    <row r="124" spans="1:12" x14ac:dyDescent="0.2">
      <c r="A124" s="215">
        <v>1122</v>
      </c>
      <c r="B124" s="147" t="s">
        <v>1447</v>
      </c>
      <c r="C124" s="26">
        <v>38295</v>
      </c>
      <c r="D124" s="27" t="s">
        <v>2709</v>
      </c>
      <c r="E124" s="28">
        <v>359250</v>
      </c>
      <c r="F124" s="29">
        <v>6178444</v>
      </c>
      <c r="G124" s="30">
        <v>318</v>
      </c>
      <c r="H124" s="33"/>
      <c r="I124" s="33"/>
      <c r="J124" s="34"/>
      <c r="K124" s="35"/>
      <c r="L124" s="87"/>
    </row>
    <row r="125" spans="1:12" x14ac:dyDescent="0.2">
      <c r="A125" s="215">
        <v>1123</v>
      </c>
      <c r="B125" s="147" t="s">
        <v>1447</v>
      </c>
      <c r="C125" s="26">
        <v>38295</v>
      </c>
      <c r="D125" s="27" t="s">
        <v>2709</v>
      </c>
      <c r="E125" s="28">
        <v>359267</v>
      </c>
      <c r="F125" s="29">
        <v>6178444</v>
      </c>
      <c r="G125" s="30">
        <v>318</v>
      </c>
      <c r="H125" s="33"/>
      <c r="I125" s="33"/>
      <c r="J125" s="34"/>
      <c r="K125" s="35"/>
      <c r="L125" s="87"/>
    </row>
    <row r="126" spans="1:12" x14ac:dyDescent="0.2">
      <c r="A126" s="215">
        <v>1124</v>
      </c>
      <c r="B126" s="147" t="s">
        <v>1447</v>
      </c>
      <c r="C126" s="26">
        <v>38295</v>
      </c>
      <c r="D126" s="27" t="s">
        <v>2709</v>
      </c>
      <c r="E126" s="28">
        <v>359288</v>
      </c>
      <c r="F126" s="29">
        <v>6178443</v>
      </c>
      <c r="G126" s="30">
        <v>323</v>
      </c>
      <c r="H126" s="33"/>
      <c r="I126" s="33"/>
      <c r="J126" s="34"/>
      <c r="K126" s="35"/>
      <c r="L126" s="87"/>
    </row>
    <row r="127" spans="1:12" x14ac:dyDescent="0.2">
      <c r="A127" s="215">
        <v>1125</v>
      </c>
      <c r="B127" s="147" t="s">
        <v>1447</v>
      </c>
      <c r="C127" s="26">
        <v>38295</v>
      </c>
      <c r="D127" s="27" t="s">
        <v>2709</v>
      </c>
      <c r="E127" s="28">
        <v>359290</v>
      </c>
      <c r="F127" s="29">
        <v>6178431</v>
      </c>
      <c r="G127" s="30">
        <v>326</v>
      </c>
      <c r="H127" s="33"/>
      <c r="I127" s="33"/>
      <c r="J127" s="34"/>
      <c r="K127" s="35"/>
      <c r="L127" s="87"/>
    </row>
    <row r="128" spans="1:12" x14ac:dyDescent="0.2">
      <c r="A128" s="215">
        <v>1126</v>
      </c>
      <c r="B128" s="147" t="s">
        <v>1447</v>
      </c>
      <c r="C128" s="26">
        <v>38295</v>
      </c>
      <c r="D128" s="27" t="s">
        <v>2709</v>
      </c>
      <c r="E128" s="28">
        <v>359300</v>
      </c>
      <c r="F128" s="29">
        <v>6178428</v>
      </c>
      <c r="G128" s="30">
        <v>327</v>
      </c>
      <c r="H128" s="33"/>
      <c r="I128" s="33"/>
      <c r="J128" s="34"/>
      <c r="K128" s="35"/>
      <c r="L128" s="87"/>
    </row>
    <row r="129" spans="1:12" x14ac:dyDescent="0.2">
      <c r="A129" s="215">
        <v>1127</v>
      </c>
      <c r="B129" s="147" t="s">
        <v>1447</v>
      </c>
      <c r="C129" s="26">
        <v>38295</v>
      </c>
      <c r="D129" s="27" t="s">
        <v>2709</v>
      </c>
      <c r="E129" s="28">
        <v>359323</v>
      </c>
      <c r="F129" s="29">
        <v>6178434</v>
      </c>
      <c r="G129" s="30">
        <v>330</v>
      </c>
      <c r="H129" s="33"/>
      <c r="I129" s="33"/>
      <c r="J129" s="34"/>
      <c r="K129" s="35"/>
      <c r="L129" s="87"/>
    </row>
    <row r="130" spans="1:12" x14ac:dyDescent="0.2">
      <c r="A130" s="215">
        <v>1128</v>
      </c>
      <c r="B130" s="147" t="s">
        <v>1447</v>
      </c>
      <c r="C130" s="26">
        <v>38295</v>
      </c>
      <c r="D130" s="27" t="s">
        <v>2709</v>
      </c>
      <c r="E130" s="28">
        <v>359332</v>
      </c>
      <c r="F130" s="29">
        <v>6178450</v>
      </c>
      <c r="G130" s="30">
        <v>332</v>
      </c>
      <c r="H130" s="33"/>
      <c r="I130" s="33"/>
      <c r="J130" s="34"/>
      <c r="K130" s="35"/>
      <c r="L130" s="87"/>
    </row>
    <row r="131" spans="1:12" x14ac:dyDescent="0.2">
      <c r="A131" s="215">
        <v>1129</v>
      </c>
      <c r="B131" s="147" t="s">
        <v>1447</v>
      </c>
      <c r="C131" s="26">
        <v>38295</v>
      </c>
      <c r="D131" s="27" t="s">
        <v>2709</v>
      </c>
      <c r="E131" s="28">
        <v>359337</v>
      </c>
      <c r="F131" s="29">
        <v>6178435</v>
      </c>
      <c r="G131" s="30">
        <v>334</v>
      </c>
      <c r="H131" s="33"/>
      <c r="I131" s="33"/>
      <c r="J131" s="34"/>
      <c r="K131" s="35"/>
      <c r="L131" s="87"/>
    </row>
    <row r="132" spans="1:12" x14ac:dyDescent="0.2">
      <c r="A132" s="215">
        <v>1130</v>
      </c>
      <c r="B132" s="147" t="s">
        <v>1447</v>
      </c>
      <c r="C132" s="26">
        <v>38295</v>
      </c>
      <c r="D132" s="27" t="s">
        <v>2709</v>
      </c>
      <c r="E132" s="28">
        <v>359351</v>
      </c>
      <c r="F132" s="29">
        <v>6178434</v>
      </c>
      <c r="G132" s="30">
        <v>335</v>
      </c>
      <c r="H132" s="33"/>
      <c r="I132" s="33"/>
      <c r="J132" s="34"/>
      <c r="K132" s="35"/>
      <c r="L132" s="87"/>
    </row>
    <row r="133" spans="1:12" x14ac:dyDescent="0.2">
      <c r="A133" s="215">
        <v>1131</v>
      </c>
      <c r="B133" s="147" t="s">
        <v>1447</v>
      </c>
      <c r="C133" s="26">
        <v>38295</v>
      </c>
      <c r="D133" s="27" t="s">
        <v>2709</v>
      </c>
      <c r="E133" s="28">
        <v>359359</v>
      </c>
      <c r="F133" s="29">
        <v>6178427</v>
      </c>
      <c r="G133" s="30">
        <v>338</v>
      </c>
      <c r="H133" s="33"/>
      <c r="I133" s="33"/>
      <c r="J133" s="34"/>
      <c r="K133" s="35"/>
      <c r="L133" s="87"/>
    </row>
    <row r="134" spans="1:12" x14ac:dyDescent="0.2">
      <c r="A134" s="215">
        <v>1132</v>
      </c>
      <c r="B134" s="147" t="s">
        <v>1447</v>
      </c>
      <c r="C134" s="26">
        <v>38295</v>
      </c>
      <c r="D134" s="27" t="s">
        <v>2709</v>
      </c>
      <c r="E134" s="28">
        <v>359371</v>
      </c>
      <c r="F134" s="29">
        <v>6178437</v>
      </c>
      <c r="G134" s="30">
        <v>339</v>
      </c>
      <c r="H134" s="33"/>
      <c r="I134" s="33"/>
      <c r="J134" s="34"/>
      <c r="K134" s="35"/>
      <c r="L134" s="87"/>
    </row>
    <row r="135" spans="1:12" x14ac:dyDescent="0.2">
      <c r="A135" s="215">
        <v>1133</v>
      </c>
      <c r="B135" s="147" t="s">
        <v>1447</v>
      </c>
      <c r="C135" s="26">
        <v>38295</v>
      </c>
      <c r="D135" s="27" t="s">
        <v>2709</v>
      </c>
      <c r="E135" s="28">
        <v>359369</v>
      </c>
      <c r="F135" s="29">
        <v>6178455</v>
      </c>
      <c r="G135" s="30">
        <v>337</v>
      </c>
      <c r="H135" s="33"/>
      <c r="I135" s="33"/>
      <c r="J135" s="34"/>
      <c r="K135" s="35"/>
      <c r="L135" s="87"/>
    </row>
    <row r="136" spans="1:12" x14ac:dyDescent="0.2">
      <c r="A136" s="215">
        <v>1134</v>
      </c>
      <c r="B136" s="147" t="s">
        <v>1447</v>
      </c>
      <c r="C136" s="26">
        <v>38295</v>
      </c>
      <c r="D136" s="27" t="s">
        <v>2709</v>
      </c>
      <c r="E136" s="28">
        <v>359386</v>
      </c>
      <c r="F136" s="29">
        <v>6178457</v>
      </c>
      <c r="G136" s="30">
        <v>341</v>
      </c>
      <c r="H136" s="33"/>
      <c r="I136" s="33"/>
      <c r="J136" s="34"/>
      <c r="K136" s="35"/>
      <c r="L136" s="87"/>
    </row>
    <row r="137" spans="1:12" x14ac:dyDescent="0.2">
      <c r="A137" s="215">
        <v>1135</v>
      </c>
      <c r="B137" s="147" t="s">
        <v>1447</v>
      </c>
      <c r="C137" s="26">
        <v>38295</v>
      </c>
      <c r="D137" s="27" t="s">
        <v>2709</v>
      </c>
      <c r="E137" s="28">
        <v>359387</v>
      </c>
      <c r="F137" s="29">
        <v>6178439</v>
      </c>
      <c r="G137" s="30">
        <v>342</v>
      </c>
      <c r="H137" s="33"/>
      <c r="I137" s="33"/>
      <c r="J137" s="34"/>
      <c r="K137" s="35"/>
      <c r="L137" s="87"/>
    </row>
    <row r="138" spans="1:12" x14ac:dyDescent="0.2">
      <c r="A138" s="215">
        <v>1136</v>
      </c>
      <c r="B138" s="147" t="s">
        <v>982</v>
      </c>
      <c r="C138" s="26">
        <v>38295</v>
      </c>
      <c r="D138" s="27" t="s">
        <v>2709</v>
      </c>
      <c r="E138" s="28">
        <v>359406</v>
      </c>
      <c r="F138" s="29">
        <v>6178433</v>
      </c>
      <c r="G138" s="30">
        <v>351</v>
      </c>
      <c r="H138" s="33"/>
      <c r="I138" s="33"/>
      <c r="J138" s="34"/>
      <c r="K138" s="35"/>
      <c r="L138" s="87"/>
    </row>
    <row r="139" spans="1:12" x14ac:dyDescent="0.2">
      <c r="A139" s="215">
        <v>1137</v>
      </c>
      <c r="B139" s="147" t="s">
        <v>1447</v>
      </c>
      <c r="C139" s="26">
        <v>38295</v>
      </c>
      <c r="D139" s="27" t="s">
        <v>2709</v>
      </c>
      <c r="E139" s="28">
        <v>359411</v>
      </c>
      <c r="F139" s="29">
        <v>6178440</v>
      </c>
      <c r="G139" s="30">
        <v>352</v>
      </c>
      <c r="H139" s="33"/>
      <c r="I139" s="33"/>
      <c r="J139" s="34"/>
      <c r="K139" s="35"/>
      <c r="L139" s="87"/>
    </row>
    <row r="140" spans="1:12" x14ac:dyDescent="0.2">
      <c r="A140" s="215">
        <v>1138</v>
      </c>
      <c r="B140" s="147" t="s">
        <v>1447</v>
      </c>
      <c r="C140" s="26">
        <v>38295</v>
      </c>
      <c r="D140" s="27" t="s">
        <v>2709</v>
      </c>
      <c r="E140" s="28">
        <v>359435</v>
      </c>
      <c r="F140" s="29">
        <v>6178444</v>
      </c>
      <c r="G140" s="30">
        <v>353</v>
      </c>
      <c r="H140" s="33"/>
      <c r="I140" s="33"/>
      <c r="J140" s="34"/>
      <c r="K140" s="35"/>
      <c r="L140" s="87"/>
    </row>
    <row r="141" spans="1:12" x14ac:dyDescent="0.2">
      <c r="A141" s="215">
        <v>1139</v>
      </c>
      <c r="B141" s="147" t="s">
        <v>1447</v>
      </c>
      <c r="C141" s="26">
        <v>38295</v>
      </c>
      <c r="D141" s="27" t="s">
        <v>2709</v>
      </c>
      <c r="E141" s="28">
        <v>359447</v>
      </c>
      <c r="F141" s="29">
        <v>6178436</v>
      </c>
      <c r="G141" s="30">
        <v>361</v>
      </c>
      <c r="H141" s="33"/>
      <c r="I141" s="33"/>
      <c r="J141" s="34"/>
      <c r="K141" s="35"/>
      <c r="L141" s="87"/>
    </row>
    <row r="142" spans="1:12" x14ac:dyDescent="0.2">
      <c r="A142" s="215">
        <v>1140</v>
      </c>
      <c r="B142" s="147" t="s">
        <v>1448</v>
      </c>
      <c r="C142" s="26">
        <v>38295</v>
      </c>
      <c r="D142" s="27" t="s">
        <v>2709</v>
      </c>
      <c r="E142" s="28">
        <v>359468</v>
      </c>
      <c r="F142" s="29">
        <v>6178450</v>
      </c>
      <c r="G142" s="30">
        <v>356</v>
      </c>
      <c r="H142" s="33"/>
      <c r="I142" s="33"/>
      <c r="J142" s="34"/>
      <c r="K142" s="35"/>
      <c r="L142" s="87"/>
    </row>
    <row r="143" spans="1:12" x14ac:dyDescent="0.2">
      <c r="A143" s="215">
        <v>1141</v>
      </c>
      <c r="B143" s="147" t="s">
        <v>1450</v>
      </c>
      <c r="C143" s="26">
        <v>38295</v>
      </c>
      <c r="D143" s="27" t="s">
        <v>2709</v>
      </c>
      <c r="E143" s="28">
        <v>359478</v>
      </c>
      <c r="F143" s="29">
        <v>6178435</v>
      </c>
      <c r="G143" s="30">
        <v>363</v>
      </c>
      <c r="H143" s="33"/>
      <c r="I143" s="33"/>
      <c r="J143" s="34"/>
      <c r="K143" s="35"/>
      <c r="L143" s="87"/>
    </row>
    <row r="144" spans="1:12" x14ac:dyDescent="0.2">
      <c r="A144" s="215">
        <v>1142</v>
      </c>
      <c r="B144" s="147" t="s">
        <v>1450</v>
      </c>
      <c r="C144" s="26">
        <v>38295</v>
      </c>
      <c r="D144" s="27" t="s">
        <v>2709</v>
      </c>
      <c r="E144" s="28">
        <v>359471</v>
      </c>
      <c r="F144" s="29">
        <v>6178430</v>
      </c>
      <c r="G144" s="30">
        <v>363</v>
      </c>
      <c r="H144" s="33"/>
      <c r="I144" s="33"/>
      <c r="J144" s="34"/>
      <c r="K144" s="35"/>
      <c r="L144" s="87"/>
    </row>
    <row r="145" spans="1:12" x14ac:dyDescent="0.2">
      <c r="A145" s="215">
        <v>1143</v>
      </c>
      <c r="B145" s="147" t="s">
        <v>1450</v>
      </c>
      <c r="C145" s="26">
        <v>38295</v>
      </c>
      <c r="D145" s="27" t="s">
        <v>2709</v>
      </c>
      <c r="E145" s="28">
        <v>359482</v>
      </c>
      <c r="F145" s="29">
        <v>6178413</v>
      </c>
      <c r="G145" s="30">
        <v>370</v>
      </c>
      <c r="H145" s="33"/>
      <c r="I145" s="33"/>
      <c r="J145" s="34"/>
      <c r="K145" s="35"/>
      <c r="L145" s="87"/>
    </row>
    <row r="146" spans="1:12" x14ac:dyDescent="0.2">
      <c r="A146" s="215">
        <v>1144</v>
      </c>
      <c r="B146" s="147" t="s">
        <v>1450</v>
      </c>
      <c r="C146" s="26">
        <v>38295</v>
      </c>
      <c r="D146" s="27" t="s">
        <v>2709</v>
      </c>
      <c r="E146" s="28">
        <v>359490</v>
      </c>
      <c r="F146" s="29">
        <v>6178406</v>
      </c>
      <c r="G146" s="30">
        <v>372</v>
      </c>
      <c r="H146" s="33"/>
      <c r="I146" s="33"/>
      <c r="J146" s="34"/>
      <c r="K146" s="35"/>
      <c r="L146" s="87"/>
    </row>
    <row r="147" spans="1:12" x14ac:dyDescent="0.2">
      <c r="A147" s="215">
        <v>1145</v>
      </c>
      <c r="B147" s="147" t="s">
        <v>1450</v>
      </c>
      <c r="C147" s="26">
        <v>38295</v>
      </c>
      <c r="D147" s="27" t="s">
        <v>2709</v>
      </c>
      <c r="E147" s="28">
        <v>359516</v>
      </c>
      <c r="F147" s="29">
        <v>6178418</v>
      </c>
      <c r="G147" s="30">
        <v>376</v>
      </c>
      <c r="H147" s="33"/>
      <c r="I147" s="33"/>
      <c r="J147" s="34"/>
      <c r="K147" s="35"/>
      <c r="L147" s="87"/>
    </row>
    <row r="148" spans="1:12" x14ac:dyDescent="0.2">
      <c r="A148" s="215">
        <v>1146</v>
      </c>
      <c r="B148" s="147" t="s">
        <v>1450</v>
      </c>
      <c r="C148" s="26">
        <v>38295</v>
      </c>
      <c r="D148" s="27" t="s">
        <v>2709</v>
      </c>
      <c r="E148" s="28">
        <v>359526</v>
      </c>
      <c r="F148" s="29">
        <v>6178428</v>
      </c>
      <c r="G148" s="30">
        <v>369</v>
      </c>
      <c r="H148" s="33"/>
      <c r="I148" s="33"/>
      <c r="J148" s="34"/>
      <c r="K148" s="35"/>
      <c r="L148" s="87"/>
    </row>
    <row r="149" spans="1:12" x14ac:dyDescent="0.2">
      <c r="A149" s="215">
        <v>1147</v>
      </c>
      <c r="B149" s="147" t="s">
        <v>1449</v>
      </c>
      <c r="C149" s="26">
        <v>38295</v>
      </c>
      <c r="D149" s="27" t="s">
        <v>2709</v>
      </c>
      <c r="E149" s="28">
        <v>359526</v>
      </c>
      <c r="F149" s="29">
        <v>6178440</v>
      </c>
      <c r="G149" s="30">
        <v>364</v>
      </c>
      <c r="H149" s="33"/>
      <c r="I149" s="33"/>
      <c r="J149" s="34"/>
      <c r="K149" s="35"/>
      <c r="L149" s="87"/>
    </row>
    <row r="150" spans="1:12" x14ac:dyDescent="0.2">
      <c r="A150" s="215">
        <v>1148</v>
      </c>
      <c r="B150" s="147" t="s">
        <v>1450</v>
      </c>
      <c r="C150" s="26">
        <v>38295</v>
      </c>
      <c r="D150" s="27" t="s">
        <v>2709</v>
      </c>
      <c r="E150" s="28">
        <v>359528</v>
      </c>
      <c r="F150" s="29">
        <v>6178458</v>
      </c>
      <c r="G150" s="30">
        <v>359</v>
      </c>
      <c r="H150" s="33"/>
      <c r="I150" s="33"/>
      <c r="J150" s="34"/>
      <c r="K150" s="35"/>
      <c r="L150" s="87"/>
    </row>
    <row r="151" spans="1:12" x14ac:dyDescent="0.2">
      <c r="A151" s="215">
        <v>1149</v>
      </c>
      <c r="B151" s="147" t="s">
        <v>1450</v>
      </c>
      <c r="C151" s="26">
        <v>38295</v>
      </c>
      <c r="D151" s="27" t="s">
        <v>2709</v>
      </c>
      <c r="E151" s="28">
        <v>359515</v>
      </c>
      <c r="F151" s="29">
        <v>6178436</v>
      </c>
      <c r="G151" s="30">
        <v>363</v>
      </c>
      <c r="H151" s="33"/>
      <c r="I151" s="33"/>
      <c r="J151" s="34"/>
      <c r="K151" s="35"/>
      <c r="L151" s="87"/>
    </row>
    <row r="152" spans="1:12" x14ac:dyDescent="0.2">
      <c r="A152" s="215">
        <v>1150</v>
      </c>
      <c r="B152" s="147" t="s">
        <v>1451</v>
      </c>
      <c r="C152" s="26">
        <v>38295</v>
      </c>
      <c r="D152" s="27" t="s">
        <v>2709</v>
      </c>
      <c r="E152" s="28">
        <v>359397</v>
      </c>
      <c r="F152" s="29">
        <v>6178362</v>
      </c>
      <c r="G152" s="30">
        <v>345</v>
      </c>
      <c r="H152" s="33"/>
      <c r="I152" s="33"/>
      <c r="J152" s="34"/>
      <c r="K152" s="35"/>
      <c r="L152" s="87"/>
    </row>
    <row r="153" spans="1:12" x14ac:dyDescent="0.2">
      <c r="A153" s="215">
        <v>1151</v>
      </c>
      <c r="B153" s="147" t="s">
        <v>1452</v>
      </c>
      <c r="C153" s="26">
        <v>38295</v>
      </c>
      <c r="D153" s="27" t="s">
        <v>2709</v>
      </c>
      <c r="E153" s="28">
        <v>359340</v>
      </c>
      <c r="F153" s="29">
        <v>6178263</v>
      </c>
      <c r="G153" s="30">
        <v>324</v>
      </c>
      <c r="H153" s="33"/>
      <c r="I153" s="33"/>
      <c r="J153" s="34"/>
      <c r="K153" s="35"/>
      <c r="L153" s="87"/>
    </row>
    <row r="154" spans="1:12" x14ac:dyDescent="0.2">
      <c r="A154" s="215">
        <v>1152</v>
      </c>
      <c r="B154" s="147" t="s">
        <v>1453</v>
      </c>
      <c r="C154" s="26">
        <v>38295</v>
      </c>
      <c r="D154" s="27" t="s">
        <v>2709</v>
      </c>
      <c r="E154" s="28">
        <v>359429</v>
      </c>
      <c r="F154" s="29">
        <v>6178100</v>
      </c>
      <c r="G154" s="30">
        <v>338</v>
      </c>
      <c r="H154" s="33"/>
      <c r="I154" s="33"/>
      <c r="J154" s="34"/>
      <c r="K154" s="35"/>
      <c r="L154" s="87"/>
    </row>
    <row r="155" spans="1:12" x14ac:dyDescent="0.2">
      <c r="A155" s="215">
        <v>1153</v>
      </c>
      <c r="B155" s="147" t="s">
        <v>2281</v>
      </c>
      <c r="C155" s="26">
        <v>38295</v>
      </c>
      <c r="D155" s="27" t="s">
        <v>2709</v>
      </c>
      <c r="E155" s="28">
        <v>359458</v>
      </c>
      <c r="F155" s="29">
        <v>6178068</v>
      </c>
      <c r="G155" s="30">
        <v>336</v>
      </c>
      <c r="H155" s="33"/>
      <c r="I155" s="33"/>
      <c r="J155" s="34"/>
      <c r="K155" s="35"/>
      <c r="L155" s="87"/>
    </row>
    <row r="156" spans="1:12" x14ac:dyDescent="0.2">
      <c r="A156" s="215">
        <v>1154</v>
      </c>
      <c r="B156" s="147" t="s">
        <v>1454</v>
      </c>
      <c r="C156" s="26">
        <v>38295</v>
      </c>
      <c r="D156" s="27" t="s">
        <v>2709</v>
      </c>
      <c r="E156" s="28">
        <v>359419</v>
      </c>
      <c r="F156" s="29">
        <v>6178061</v>
      </c>
      <c r="G156" s="30">
        <v>337</v>
      </c>
      <c r="H156" s="33"/>
      <c r="I156" s="33"/>
      <c r="J156" s="34"/>
      <c r="K156" s="35"/>
      <c r="L156" s="87"/>
    </row>
    <row r="157" spans="1:12" x14ac:dyDescent="0.2">
      <c r="A157" s="215">
        <v>1155</v>
      </c>
      <c r="B157" s="147" t="s">
        <v>1454</v>
      </c>
      <c r="C157" s="26">
        <v>38295</v>
      </c>
      <c r="D157" s="27" t="s">
        <v>2709</v>
      </c>
      <c r="E157" s="28">
        <v>359395</v>
      </c>
      <c r="F157" s="29">
        <v>6178061</v>
      </c>
      <c r="G157" s="30">
        <v>337</v>
      </c>
      <c r="H157" s="33"/>
      <c r="I157" s="33"/>
      <c r="J157" s="34"/>
      <c r="K157" s="35"/>
      <c r="L157" s="87"/>
    </row>
    <row r="158" spans="1:12" x14ac:dyDescent="0.2">
      <c r="A158" s="215">
        <v>1156</v>
      </c>
      <c r="B158" s="147" t="s">
        <v>1454</v>
      </c>
      <c r="C158" s="26">
        <v>38295</v>
      </c>
      <c r="D158" s="27" t="s">
        <v>2709</v>
      </c>
      <c r="E158" s="28">
        <v>359377</v>
      </c>
      <c r="F158" s="29">
        <v>6178052</v>
      </c>
      <c r="G158" s="30">
        <v>338</v>
      </c>
      <c r="H158" s="33"/>
      <c r="I158" s="33"/>
      <c r="J158" s="34"/>
      <c r="K158" s="35"/>
      <c r="L158" s="87"/>
    </row>
    <row r="159" spans="1:12" x14ac:dyDescent="0.2">
      <c r="A159" s="215">
        <v>1157</v>
      </c>
      <c r="B159" s="147" t="s">
        <v>1454</v>
      </c>
      <c r="C159" s="26">
        <v>38295</v>
      </c>
      <c r="D159" s="27" t="s">
        <v>2709</v>
      </c>
      <c r="E159" s="28">
        <v>359333</v>
      </c>
      <c r="F159" s="29">
        <v>6178043</v>
      </c>
      <c r="G159" s="30">
        <v>341</v>
      </c>
      <c r="H159" s="33"/>
      <c r="I159" s="33"/>
      <c r="J159" s="34"/>
      <c r="K159" s="35"/>
      <c r="L159" s="87"/>
    </row>
    <row r="160" spans="1:12" x14ac:dyDescent="0.2">
      <c r="A160" s="215">
        <v>1158</v>
      </c>
      <c r="B160" s="147" t="s">
        <v>1454</v>
      </c>
      <c r="C160" s="26">
        <v>38295</v>
      </c>
      <c r="D160" s="27" t="s">
        <v>2709</v>
      </c>
      <c r="E160" s="28">
        <v>359288</v>
      </c>
      <c r="F160" s="29">
        <v>6178053</v>
      </c>
      <c r="G160" s="30">
        <v>342</v>
      </c>
      <c r="H160" s="33"/>
      <c r="I160" s="33"/>
      <c r="J160" s="34"/>
      <c r="K160" s="35"/>
      <c r="L160" s="87"/>
    </row>
    <row r="161" spans="1:12" x14ac:dyDescent="0.2">
      <c r="A161" s="215">
        <v>1159</v>
      </c>
      <c r="B161" s="147" t="s">
        <v>1454</v>
      </c>
      <c r="C161" s="26">
        <v>38295</v>
      </c>
      <c r="D161" s="27" t="s">
        <v>2709</v>
      </c>
      <c r="E161" s="28">
        <v>359241</v>
      </c>
      <c r="F161" s="29">
        <v>6178057</v>
      </c>
      <c r="G161" s="30">
        <v>344</v>
      </c>
      <c r="H161" s="33"/>
      <c r="I161" s="33"/>
      <c r="J161" s="34"/>
      <c r="K161" s="35"/>
      <c r="L161" s="87"/>
    </row>
    <row r="162" spans="1:12" x14ac:dyDescent="0.2">
      <c r="A162" s="215">
        <v>1160</v>
      </c>
      <c r="B162" s="147" t="s">
        <v>1454</v>
      </c>
      <c r="C162" s="26">
        <v>38295</v>
      </c>
      <c r="D162" s="27" t="s">
        <v>2709</v>
      </c>
      <c r="E162" s="28">
        <v>359224</v>
      </c>
      <c r="F162" s="29">
        <v>6178052</v>
      </c>
      <c r="G162" s="30">
        <v>345</v>
      </c>
      <c r="H162" s="33"/>
      <c r="I162" s="33"/>
      <c r="J162" s="34"/>
      <c r="K162" s="35"/>
      <c r="L162" s="87"/>
    </row>
    <row r="163" spans="1:12" x14ac:dyDescent="0.2">
      <c r="A163" s="215">
        <v>1161</v>
      </c>
      <c r="B163" s="147" t="s">
        <v>1454</v>
      </c>
      <c r="C163" s="26">
        <v>38295</v>
      </c>
      <c r="D163" s="27" t="s">
        <v>2709</v>
      </c>
      <c r="E163" s="28">
        <v>359202</v>
      </c>
      <c r="F163" s="29">
        <v>6178060</v>
      </c>
      <c r="G163" s="30">
        <v>344</v>
      </c>
      <c r="H163" s="33"/>
      <c r="I163" s="33"/>
      <c r="J163" s="34"/>
      <c r="K163" s="35"/>
      <c r="L163" s="87"/>
    </row>
    <row r="164" spans="1:12" x14ac:dyDescent="0.2">
      <c r="A164" s="215">
        <v>1162</v>
      </c>
      <c r="B164" s="147" t="s">
        <v>1454</v>
      </c>
      <c r="C164" s="26">
        <v>38295</v>
      </c>
      <c r="D164" s="27" t="s">
        <v>2709</v>
      </c>
      <c r="E164" s="28">
        <v>359179</v>
      </c>
      <c r="F164" s="29">
        <v>6178058</v>
      </c>
      <c r="G164" s="30">
        <v>344</v>
      </c>
      <c r="H164" s="33"/>
      <c r="I164" s="33"/>
      <c r="J164" s="34"/>
      <c r="K164" s="35"/>
      <c r="L164" s="87"/>
    </row>
    <row r="165" spans="1:12" x14ac:dyDescent="0.2">
      <c r="A165" s="215">
        <v>1163</v>
      </c>
      <c r="B165" s="147" t="s">
        <v>1454</v>
      </c>
      <c r="C165" s="26">
        <v>38295</v>
      </c>
      <c r="D165" s="27" t="s">
        <v>2709</v>
      </c>
      <c r="E165" s="28">
        <v>359155</v>
      </c>
      <c r="F165" s="29">
        <v>6178042</v>
      </c>
      <c r="G165" s="30">
        <v>347</v>
      </c>
      <c r="H165" s="33"/>
      <c r="I165" s="33"/>
      <c r="J165" s="34"/>
      <c r="K165" s="35"/>
      <c r="L165" s="87"/>
    </row>
    <row r="166" spans="1:12" x14ac:dyDescent="0.2">
      <c r="A166" s="215">
        <v>1164</v>
      </c>
      <c r="B166" s="147" t="s">
        <v>1454</v>
      </c>
      <c r="C166" s="26">
        <v>38295</v>
      </c>
      <c r="D166" s="27" t="s">
        <v>2709</v>
      </c>
      <c r="E166" s="28">
        <v>359131</v>
      </c>
      <c r="F166" s="29">
        <v>6178043</v>
      </c>
      <c r="G166" s="30">
        <v>347</v>
      </c>
      <c r="H166" s="33"/>
      <c r="I166" s="33"/>
      <c r="J166" s="34"/>
      <c r="K166" s="35"/>
      <c r="L166" s="87"/>
    </row>
    <row r="167" spans="1:12" x14ac:dyDescent="0.2">
      <c r="A167" s="215">
        <v>1165</v>
      </c>
      <c r="B167" s="147" t="s">
        <v>1454</v>
      </c>
      <c r="C167" s="26">
        <v>38295</v>
      </c>
      <c r="D167" s="27" t="s">
        <v>2709</v>
      </c>
      <c r="E167" s="28">
        <v>359106</v>
      </c>
      <c r="F167" s="29">
        <v>6178062</v>
      </c>
      <c r="G167" s="30">
        <v>348</v>
      </c>
      <c r="H167" s="33"/>
      <c r="I167" s="33"/>
      <c r="J167" s="34"/>
      <c r="K167" s="35"/>
      <c r="L167" s="87"/>
    </row>
    <row r="168" spans="1:12" x14ac:dyDescent="0.2">
      <c r="A168" s="215">
        <v>1166</v>
      </c>
      <c r="B168" s="147" t="s">
        <v>1454</v>
      </c>
      <c r="C168" s="26">
        <v>38295</v>
      </c>
      <c r="D168" s="27" t="s">
        <v>2709</v>
      </c>
      <c r="E168" s="28">
        <v>359132</v>
      </c>
      <c r="F168" s="29">
        <v>6178078</v>
      </c>
      <c r="G168" s="30">
        <v>345</v>
      </c>
      <c r="H168" s="33"/>
      <c r="I168" s="33"/>
      <c r="J168" s="34"/>
      <c r="K168" s="35"/>
      <c r="L168" s="87"/>
    </row>
    <row r="169" spans="1:12" x14ac:dyDescent="0.2">
      <c r="A169" s="215">
        <v>1167</v>
      </c>
      <c r="B169" s="147" t="s">
        <v>1454</v>
      </c>
      <c r="C169" s="26">
        <v>38295</v>
      </c>
      <c r="D169" s="27" t="s">
        <v>2709</v>
      </c>
      <c r="E169" s="28">
        <v>359134</v>
      </c>
      <c r="F169" s="29">
        <v>6178110</v>
      </c>
      <c r="G169" s="30">
        <v>342</v>
      </c>
      <c r="H169" s="33"/>
      <c r="I169" s="33"/>
      <c r="J169" s="34"/>
      <c r="K169" s="35"/>
      <c r="L169" s="87"/>
    </row>
    <row r="170" spans="1:12" x14ac:dyDescent="0.2">
      <c r="A170" s="215">
        <v>1168</v>
      </c>
      <c r="B170" s="147" t="s">
        <v>1454</v>
      </c>
      <c r="C170" s="26">
        <v>38295</v>
      </c>
      <c r="D170" s="27" t="s">
        <v>2709</v>
      </c>
      <c r="E170" s="28">
        <v>359105</v>
      </c>
      <c r="F170" s="29">
        <v>6178093</v>
      </c>
      <c r="G170" s="30">
        <v>342</v>
      </c>
      <c r="H170" s="33"/>
      <c r="I170" s="33"/>
      <c r="J170" s="34"/>
      <c r="K170" s="35"/>
      <c r="L170" s="87"/>
    </row>
    <row r="171" spans="1:12" x14ac:dyDescent="0.2">
      <c r="A171" s="215">
        <v>1169</v>
      </c>
      <c r="B171" s="147" t="s">
        <v>1454</v>
      </c>
      <c r="C171" s="26">
        <v>38295</v>
      </c>
      <c r="D171" s="27" t="s">
        <v>2709</v>
      </c>
      <c r="E171" s="28">
        <v>359086</v>
      </c>
      <c r="F171" s="29">
        <v>6178099</v>
      </c>
      <c r="G171" s="30">
        <v>344</v>
      </c>
      <c r="H171" s="33"/>
      <c r="I171" s="33"/>
      <c r="J171" s="34"/>
      <c r="K171" s="35"/>
      <c r="L171" s="87"/>
    </row>
    <row r="172" spans="1:12" x14ac:dyDescent="0.2">
      <c r="A172" s="215">
        <v>1170</v>
      </c>
      <c r="B172" s="147" t="s">
        <v>1454</v>
      </c>
      <c r="C172" s="26">
        <v>38295</v>
      </c>
      <c r="D172" s="27" t="s">
        <v>2709</v>
      </c>
      <c r="E172" s="28">
        <v>359105</v>
      </c>
      <c r="F172" s="29">
        <v>6178127</v>
      </c>
      <c r="G172" s="30">
        <v>340</v>
      </c>
      <c r="H172" s="33"/>
      <c r="I172" s="33"/>
      <c r="J172" s="34"/>
      <c r="K172" s="35"/>
      <c r="L172" s="87"/>
    </row>
    <row r="173" spans="1:12" x14ac:dyDescent="0.2">
      <c r="A173" s="215">
        <v>1171</v>
      </c>
      <c r="B173" s="147" t="s">
        <v>1454</v>
      </c>
      <c r="C173" s="26">
        <v>38295</v>
      </c>
      <c r="D173" s="27" t="s">
        <v>2709</v>
      </c>
      <c r="E173" s="28">
        <v>359074</v>
      </c>
      <c r="F173" s="29">
        <v>6178134</v>
      </c>
      <c r="G173" s="30">
        <v>340</v>
      </c>
      <c r="H173" s="33"/>
      <c r="I173" s="33"/>
      <c r="J173" s="34"/>
      <c r="K173" s="35"/>
      <c r="L173" s="87"/>
    </row>
    <row r="174" spans="1:12" x14ac:dyDescent="0.2">
      <c r="A174" s="215">
        <v>1172</v>
      </c>
      <c r="B174" s="147" t="s">
        <v>1454</v>
      </c>
      <c r="C174" s="26">
        <v>38295</v>
      </c>
      <c r="D174" s="27" t="s">
        <v>2709</v>
      </c>
      <c r="E174" s="28">
        <v>359046</v>
      </c>
      <c r="F174" s="29">
        <v>6178117</v>
      </c>
      <c r="G174" s="30">
        <v>345</v>
      </c>
      <c r="H174" s="33"/>
      <c r="I174" s="33"/>
      <c r="J174" s="34"/>
      <c r="K174" s="35"/>
      <c r="L174" s="87"/>
    </row>
    <row r="175" spans="1:12" x14ac:dyDescent="0.2">
      <c r="A175" s="215">
        <v>1173</v>
      </c>
      <c r="B175" s="147" t="s">
        <v>1454</v>
      </c>
      <c r="C175" s="26">
        <v>38295</v>
      </c>
      <c r="D175" s="27" t="s">
        <v>2709</v>
      </c>
      <c r="E175" s="28">
        <v>359039</v>
      </c>
      <c r="F175" s="29">
        <v>6178137</v>
      </c>
      <c r="G175" s="30">
        <v>344</v>
      </c>
      <c r="H175" s="33"/>
      <c r="I175" s="33"/>
      <c r="J175" s="34"/>
      <c r="K175" s="35"/>
      <c r="L175" s="87"/>
    </row>
    <row r="176" spans="1:12" x14ac:dyDescent="0.2">
      <c r="A176" s="215">
        <v>1174</v>
      </c>
      <c r="B176" s="147" t="s">
        <v>1454</v>
      </c>
      <c r="C176" s="26">
        <v>38295</v>
      </c>
      <c r="D176" s="27" t="s">
        <v>2709</v>
      </c>
      <c r="E176" s="28">
        <v>359016</v>
      </c>
      <c r="F176" s="29">
        <v>6178133</v>
      </c>
      <c r="G176" s="30">
        <v>346</v>
      </c>
      <c r="H176" s="33"/>
      <c r="I176" s="33"/>
      <c r="J176" s="34"/>
      <c r="K176" s="35"/>
      <c r="L176" s="87"/>
    </row>
    <row r="177" spans="1:12" x14ac:dyDescent="0.2">
      <c r="A177" s="215">
        <v>1175</v>
      </c>
      <c r="B177" s="147" t="s">
        <v>1454</v>
      </c>
      <c r="C177" s="26">
        <v>38295</v>
      </c>
      <c r="D177" s="27" t="s">
        <v>2709</v>
      </c>
      <c r="E177" s="28">
        <v>358991</v>
      </c>
      <c r="F177" s="29">
        <v>6178133</v>
      </c>
      <c r="G177" s="30">
        <v>350</v>
      </c>
      <c r="H177" s="33"/>
      <c r="I177" s="33"/>
      <c r="J177" s="34"/>
      <c r="K177" s="35"/>
      <c r="L177" s="87"/>
    </row>
    <row r="178" spans="1:12" x14ac:dyDescent="0.2">
      <c r="A178" s="215">
        <v>1176</v>
      </c>
      <c r="B178" s="147" t="s">
        <v>1454</v>
      </c>
      <c r="C178" s="26">
        <v>38295</v>
      </c>
      <c r="D178" s="27" t="s">
        <v>2709</v>
      </c>
      <c r="E178" s="28">
        <v>358994</v>
      </c>
      <c r="F178" s="29">
        <v>6178155</v>
      </c>
      <c r="G178" s="30">
        <v>347</v>
      </c>
      <c r="H178" s="33"/>
      <c r="I178" s="33"/>
      <c r="J178" s="34"/>
      <c r="K178" s="35"/>
      <c r="L178" s="87"/>
    </row>
    <row r="179" spans="1:12" x14ac:dyDescent="0.2">
      <c r="A179" s="215">
        <v>1177</v>
      </c>
      <c r="B179" s="147" t="s">
        <v>1454</v>
      </c>
      <c r="C179" s="26">
        <v>38295</v>
      </c>
      <c r="D179" s="27" t="s">
        <v>2709</v>
      </c>
      <c r="E179" s="28">
        <v>358969</v>
      </c>
      <c r="F179" s="29">
        <v>6178180</v>
      </c>
      <c r="G179" s="30">
        <v>341</v>
      </c>
      <c r="H179" s="33"/>
      <c r="I179" s="33"/>
      <c r="J179" s="34"/>
      <c r="K179" s="35"/>
      <c r="L179" s="87"/>
    </row>
    <row r="180" spans="1:12" x14ac:dyDescent="0.2">
      <c r="A180" s="215">
        <v>1178</v>
      </c>
      <c r="B180" s="147" t="s">
        <v>2281</v>
      </c>
      <c r="C180" s="26">
        <v>38295</v>
      </c>
      <c r="D180" s="27" t="s">
        <v>2709</v>
      </c>
      <c r="E180" s="28">
        <v>358712</v>
      </c>
      <c r="F180" s="29">
        <v>6178155</v>
      </c>
      <c r="G180" s="30">
        <v>326</v>
      </c>
      <c r="H180" s="33"/>
      <c r="I180" s="33"/>
      <c r="J180" s="34"/>
      <c r="K180" s="35"/>
      <c r="L180" s="87"/>
    </row>
    <row r="181" spans="1:12" x14ac:dyDescent="0.2">
      <c r="A181" s="215">
        <v>1179</v>
      </c>
      <c r="B181" s="147" t="s">
        <v>1448</v>
      </c>
      <c r="C181" s="26">
        <v>38295</v>
      </c>
      <c r="D181" s="27" t="s">
        <v>2709</v>
      </c>
      <c r="E181" s="28">
        <v>358648</v>
      </c>
      <c r="F181" s="29">
        <v>6178121</v>
      </c>
      <c r="G181" s="30">
        <v>321</v>
      </c>
      <c r="H181" s="33"/>
      <c r="I181" s="33"/>
      <c r="J181" s="34"/>
      <c r="K181" s="35"/>
      <c r="L181" s="87"/>
    </row>
    <row r="182" spans="1:12" x14ac:dyDescent="0.2">
      <c r="A182" s="215">
        <v>1180</v>
      </c>
      <c r="B182" s="147" t="s">
        <v>1455</v>
      </c>
      <c r="C182" s="26">
        <v>38295</v>
      </c>
      <c r="D182" s="27" t="s">
        <v>2709</v>
      </c>
      <c r="E182" s="28">
        <v>358627</v>
      </c>
      <c r="F182" s="29">
        <v>6178111</v>
      </c>
      <c r="G182" s="30">
        <v>321</v>
      </c>
      <c r="H182" s="33"/>
      <c r="I182" s="33"/>
      <c r="J182" s="34"/>
      <c r="K182" s="35"/>
      <c r="L182" s="87"/>
    </row>
    <row r="183" spans="1:12" x14ac:dyDescent="0.2">
      <c r="A183" s="215">
        <v>1181</v>
      </c>
      <c r="B183" s="147" t="s">
        <v>3401</v>
      </c>
      <c r="C183" s="26">
        <v>38295</v>
      </c>
      <c r="D183" s="27" t="s">
        <v>2709</v>
      </c>
      <c r="E183" s="28">
        <v>358606</v>
      </c>
      <c r="F183" s="29">
        <v>6178143</v>
      </c>
      <c r="G183" s="30">
        <v>316</v>
      </c>
      <c r="H183" s="33"/>
      <c r="I183" s="33"/>
      <c r="J183" s="34"/>
      <c r="K183" s="35"/>
      <c r="L183" s="87"/>
    </row>
    <row r="184" spans="1:12" x14ac:dyDescent="0.2">
      <c r="A184" s="215">
        <v>1182</v>
      </c>
      <c r="B184" s="147" t="s">
        <v>3401</v>
      </c>
      <c r="C184" s="26">
        <v>38295</v>
      </c>
      <c r="D184" s="27" t="s">
        <v>2709</v>
      </c>
      <c r="E184" s="28">
        <v>358520</v>
      </c>
      <c r="F184" s="29">
        <v>6178182</v>
      </c>
      <c r="G184" s="30">
        <v>308</v>
      </c>
      <c r="H184" s="33"/>
      <c r="I184" s="33"/>
      <c r="J184" s="34"/>
      <c r="K184" s="35"/>
      <c r="L184" s="87"/>
    </row>
    <row r="185" spans="1:12" x14ac:dyDescent="0.2">
      <c r="A185" s="215">
        <v>1183</v>
      </c>
      <c r="B185" s="147" t="s">
        <v>1456</v>
      </c>
      <c r="C185" s="26">
        <v>38295</v>
      </c>
      <c r="D185" s="27" t="s">
        <v>2709</v>
      </c>
      <c r="E185" s="28">
        <v>358482</v>
      </c>
      <c r="F185" s="29">
        <v>6178190</v>
      </c>
      <c r="G185" s="30">
        <v>306</v>
      </c>
      <c r="H185" s="33"/>
      <c r="I185" s="33"/>
      <c r="J185" s="34"/>
      <c r="K185" s="35"/>
      <c r="L185" s="87"/>
    </row>
    <row r="186" spans="1:12" x14ac:dyDescent="0.2">
      <c r="A186" s="215">
        <v>1184</v>
      </c>
      <c r="B186" s="147" t="s">
        <v>1458</v>
      </c>
      <c r="C186" s="26">
        <v>38295</v>
      </c>
      <c r="D186" s="27" t="s">
        <v>2709</v>
      </c>
      <c r="E186" s="28">
        <v>358567</v>
      </c>
      <c r="F186" s="29">
        <v>6178199</v>
      </c>
      <c r="G186" s="30">
        <v>313</v>
      </c>
      <c r="H186" s="33"/>
      <c r="I186" s="33"/>
      <c r="J186" s="34"/>
      <c r="K186" s="35"/>
      <c r="L186" s="87"/>
    </row>
    <row r="187" spans="1:12" x14ac:dyDescent="0.2">
      <c r="A187" s="215">
        <v>1185</v>
      </c>
      <c r="B187" s="147" t="s">
        <v>1458</v>
      </c>
      <c r="C187" s="26">
        <v>38295</v>
      </c>
      <c r="D187" s="27" t="s">
        <v>2709</v>
      </c>
      <c r="E187" s="28">
        <v>358600</v>
      </c>
      <c r="F187" s="29">
        <v>6178194</v>
      </c>
      <c r="G187" s="30">
        <v>315</v>
      </c>
      <c r="H187" s="33"/>
      <c r="I187" s="33"/>
      <c r="J187" s="34"/>
      <c r="K187" s="35"/>
      <c r="L187" s="87"/>
    </row>
    <row r="188" spans="1:12" x14ac:dyDescent="0.2">
      <c r="A188" s="215">
        <v>1186</v>
      </c>
      <c r="B188" s="147" t="s">
        <v>1458</v>
      </c>
      <c r="C188" s="26">
        <v>38295</v>
      </c>
      <c r="D188" s="27" t="s">
        <v>2709</v>
      </c>
      <c r="E188" s="28">
        <v>358619</v>
      </c>
      <c r="F188" s="29">
        <v>6178195</v>
      </c>
      <c r="G188" s="30">
        <v>315</v>
      </c>
      <c r="H188" s="33"/>
      <c r="I188" s="33"/>
      <c r="J188" s="34"/>
      <c r="K188" s="35"/>
      <c r="L188" s="87"/>
    </row>
    <row r="189" spans="1:12" x14ac:dyDescent="0.2">
      <c r="A189" s="215">
        <v>1187</v>
      </c>
      <c r="B189" s="147" t="s">
        <v>1459</v>
      </c>
      <c r="C189" s="26">
        <v>38295</v>
      </c>
      <c r="D189" s="27" t="s">
        <v>2709</v>
      </c>
      <c r="E189" s="28">
        <v>358443</v>
      </c>
      <c r="F189" s="29">
        <v>6178234</v>
      </c>
      <c r="G189" s="30">
        <v>298</v>
      </c>
      <c r="H189" s="33"/>
      <c r="I189" s="33"/>
      <c r="J189" s="34"/>
      <c r="K189" s="35"/>
      <c r="L189" s="87"/>
    </row>
    <row r="190" spans="1:12" x14ac:dyDescent="0.2">
      <c r="A190" s="215">
        <v>1188</v>
      </c>
      <c r="B190" s="147" t="s">
        <v>1459</v>
      </c>
      <c r="C190" s="26">
        <v>38295</v>
      </c>
      <c r="D190" s="27" t="s">
        <v>2709</v>
      </c>
      <c r="E190" s="28">
        <v>358383</v>
      </c>
      <c r="F190" s="29">
        <v>6178265</v>
      </c>
      <c r="G190" s="30">
        <v>293</v>
      </c>
      <c r="H190" s="33"/>
      <c r="I190" s="33"/>
      <c r="J190" s="34"/>
      <c r="K190" s="35"/>
      <c r="L190" s="87"/>
    </row>
    <row r="191" spans="1:12" x14ac:dyDescent="0.2">
      <c r="A191" s="215">
        <v>1189</v>
      </c>
      <c r="B191" s="147" t="s">
        <v>1460</v>
      </c>
      <c r="C191" s="26">
        <v>38295</v>
      </c>
      <c r="D191" s="27" t="s">
        <v>2709</v>
      </c>
      <c r="E191" s="28">
        <v>358373</v>
      </c>
      <c r="F191" s="29">
        <v>6178282</v>
      </c>
      <c r="G191" s="30">
        <v>289</v>
      </c>
      <c r="H191" s="33"/>
      <c r="I191" s="33"/>
      <c r="J191" s="34"/>
      <c r="K191" s="35"/>
      <c r="L191" s="87"/>
    </row>
    <row r="192" spans="1:12" x14ac:dyDescent="0.2">
      <c r="A192" s="215">
        <v>1190</v>
      </c>
      <c r="B192" s="147" t="s">
        <v>3401</v>
      </c>
      <c r="C192" s="26">
        <v>38295</v>
      </c>
      <c r="D192" s="27" t="s">
        <v>2709</v>
      </c>
      <c r="E192" s="28">
        <v>358315</v>
      </c>
      <c r="F192" s="29">
        <v>6178295</v>
      </c>
      <c r="G192" s="30">
        <v>282</v>
      </c>
      <c r="H192" s="33"/>
      <c r="I192" s="33"/>
      <c r="J192" s="34"/>
      <c r="K192" s="35"/>
      <c r="L192" s="87"/>
    </row>
    <row r="193" spans="1:12" x14ac:dyDescent="0.2">
      <c r="A193" s="215">
        <v>1191</v>
      </c>
      <c r="B193" s="147" t="s">
        <v>3401</v>
      </c>
      <c r="C193" s="26">
        <v>38295</v>
      </c>
      <c r="D193" s="27" t="s">
        <v>2709</v>
      </c>
      <c r="E193" s="28">
        <v>358293</v>
      </c>
      <c r="F193" s="29">
        <v>6178301</v>
      </c>
      <c r="G193" s="30">
        <v>281</v>
      </c>
      <c r="H193" s="33"/>
      <c r="I193" s="33"/>
      <c r="J193" s="34"/>
      <c r="K193" s="35"/>
      <c r="L193" s="87"/>
    </row>
    <row r="194" spans="1:12" x14ac:dyDescent="0.2">
      <c r="A194" s="215">
        <v>1192</v>
      </c>
      <c r="B194" s="147" t="s">
        <v>1461</v>
      </c>
      <c r="C194" s="26">
        <v>38295</v>
      </c>
      <c r="D194" s="27" t="s">
        <v>2709</v>
      </c>
      <c r="E194" s="28">
        <v>358260</v>
      </c>
      <c r="F194" s="29">
        <v>6178295</v>
      </c>
      <c r="G194" s="30">
        <v>278</v>
      </c>
      <c r="H194" s="33"/>
      <c r="I194" s="33"/>
      <c r="J194" s="34"/>
      <c r="K194" s="35"/>
      <c r="L194" s="87"/>
    </row>
    <row r="195" spans="1:12" x14ac:dyDescent="0.2">
      <c r="A195" s="215">
        <v>1193</v>
      </c>
      <c r="B195" s="147" t="s">
        <v>1462</v>
      </c>
      <c r="C195" s="26">
        <v>38295</v>
      </c>
      <c r="D195" s="27" t="s">
        <v>2709</v>
      </c>
      <c r="E195" s="28">
        <v>358222</v>
      </c>
      <c r="F195" s="29">
        <v>6178267</v>
      </c>
      <c r="G195" s="30">
        <v>278</v>
      </c>
      <c r="H195" s="33"/>
      <c r="I195" s="33"/>
      <c r="J195" s="34"/>
      <c r="K195" s="35"/>
      <c r="L195" s="87"/>
    </row>
    <row r="196" spans="1:12" x14ac:dyDescent="0.2">
      <c r="A196" s="215">
        <v>1194</v>
      </c>
      <c r="B196" s="147" t="s">
        <v>1463</v>
      </c>
      <c r="C196" s="26">
        <v>38295</v>
      </c>
      <c r="D196" s="27" t="s">
        <v>2709</v>
      </c>
      <c r="E196" s="28">
        <v>358185</v>
      </c>
      <c r="F196" s="29">
        <v>6178253</v>
      </c>
      <c r="G196" s="30">
        <v>279</v>
      </c>
      <c r="H196" s="33"/>
      <c r="I196" s="33"/>
      <c r="J196" s="34"/>
      <c r="K196" s="35"/>
      <c r="L196" s="87"/>
    </row>
    <row r="197" spans="1:12" x14ac:dyDescent="0.2">
      <c r="A197" s="215">
        <v>1195</v>
      </c>
      <c r="B197" s="147" t="s">
        <v>1464</v>
      </c>
      <c r="C197" s="26">
        <v>38295</v>
      </c>
      <c r="D197" s="27" t="s">
        <v>2709</v>
      </c>
      <c r="E197" s="28">
        <v>358122</v>
      </c>
      <c r="F197" s="29">
        <v>6178227</v>
      </c>
      <c r="G197" s="30">
        <v>278</v>
      </c>
      <c r="H197" s="33"/>
      <c r="I197" s="33"/>
      <c r="J197" s="34"/>
      <c r="K197" s="35"/>
      <c r="L197" s="87"/>
    </row>
    <row r="198" spans="1:12" x14ac:dyDescent="0.2">
      <c r="A198" s="215">
        <v>1196</v>
      </c>
      <c r="B198" s="147" t="s">
        <v>3401</v>
      </c>
      <c r="C198" s="26">
        <v>38295</v>
      </c>
      <c r="D198" s="27" t="s">
        <v>2709</v>
      </c>
      <c r="E198" s="28">
        <v>358114</v>
      </c>
      <c r="F198" s="29">
        <v>6178215</v>
      </c>
      <c r="G198" s="30">
        <v>279</v>
      </c>
      <c r="H198" s="33"/>
      <c r="I198" s="33"/>
      <c r="J198" s="34"/>
      <c r="K198" s="35"/>
      <c r="L198" s="87"/>
    </row>
    <row r="199" spans="1:12" x14ac:dyDescent="0.2">
      <c r="A199" s="215">
        <v>1197</v>
      </c>
      <c r="B199" s="147" t="s">
        <v>1465</v>
      </c>
      <c r="C199" s="26">
        <v>38295</v>
      </c>
      <c r="D199" s="27" t="s">
        <v>2709</v>
      </c>
      <c r="E199" s="28">
        <v>358070</v>
      </c>
      <c r="F199" s="29">
        <v>6178212</v>
      </c>
      <c r="G199" s="30">
        <v>277</v>
      </c>
      <c r="H199" s="33"/>
      <c r="I199" s="33"/>
      <c r="J199" s="34"/>
      <c r="K199" s="35"/>
      <c r="L199" s="87"/>
    </row>
    <row r="200" spans="1:12" x14ac:dyDescent="0.2">
      <c r="A200" s="215">
        <v>1198</v>
      </c>
      <c r="B200" s="147" t="s">
        <v>3401</v>
      </c>
      <c r="C200" s="26">
        <v>38295</v>
      </c>
      <c r="D200" s="27" t="s">
        <v>2709</v>
      </c>
      <c r="E200" s="28">
        <v>358070</v>
      </c>
      <c r="F200" s="29">
        <v>6178212</v>
      </c>
      <c r="G200" s="30">
        <v>279</v>
      </c>
      <c r="H200" s="33"/>
      <c r="I200" s="33"/>
      <c r="J200" s="34"/>
      <c r="K200" s="35"/>
      <c r="L200" s="87"/>
    </row>
    <row r="201" spans="1:12" x14ac:dyDescent="0.2">
      <c r="A201" s="215">
        <v>1199</v>
      </c>
      <c r="B201" s="147" t="s">
        <v>1466</v>
      </c>
      <c r="C201" s="26">
        <v>38295</v>
      </c>
      <c r="D201" s="27" t="s">
        <v>2709</v>
      </c>
      <c r="E201" s="28">
        <v>358036</v>
      </c>
      <c r="F201" s="29">
        <v>6178224</v>
      </c>
      <c r="G201" s="30">
        <v>275</v>
      </c>
      <c r="H201" s="33"/>
      <c r="I201" s="33"/>
      <c r="J201" s="34"/>
      <c r="K201" s="35"/>
      <c r="L201" s="87"/>
    </row>
    <row r="202" spans="1:12" x14ac:dyDescent="0.2">
      <c r="A202" s="215">
        <v>1200</v>
      </c>
      <c r="B202" s="147" t="s">
        <v>3401</v>
      </c>
      <c r="C202" s="26">
        <v>38295</v>
      </c>
      <c r="D202" s="27" t="s">
        <v>2709</v>
      </c>
      <c r="E202" s="28">
        <v>357946</v>
      </c>
      <c r="F202" s="29">
        <v>6178167</v>
      </c>
      <c r="G202" s="30">
        <v>278</v>
      </c>
      <c r="H202" s="33"/>
      <c r="I202" s="33"/>
      <c r="J202" s="34"/>
      <c r="K202" s="35"/>
      <c r="L202" s="87"/>
    </row>
    <row r="203" spans="1:12" x14ac:dyDescent="0.2">
      <c r="A203" s="215">
        <v>1201</v>
      </c>
      <c r="B203" s="147" t="s">
        <v>1467</v>
      </c>
      <c r="C203" s="26">
        <v>38295</v>
      </c>
      <c r="D203" s="27" t="s">
        <v>2709</v>
      </c>
      <c r="E203" s="28">
        <v>357948</v>
      </c>
      <c r="F203" s="29">
        <v>6178167</v>
      </c>
      <c r="G203" s="30">
        <v>277</v>
      </c>
      <c r="H203" s="33"/>
      <c r="I203" s="33"/>
      <c r="J203" s="34"/>
      <c r="K203" s="35"/>
      <c r="L203" s="87"/>
    </row>
    <row r="204" spans="1:12" x14ac:dyDescent="0.2">
      <c r="A204" s="215">
        <v>1202</v>
      </c>
      <c r="B204" s="147" t="s">
        <v>1468</v>
      </c>
      <c r="C204" s="26">
        <v>38295</v>
      </c>
      <c r="D204" s="27" t="s">
        <v>2709</v>
      </c>
      <c r="E204" s="28">
        <v>357894</v>
      </c>
      <c r="F204" s="29">
        <v>6178118</v>
      </c>
      <c r="G204" s="30">
        <v>281</v>
      </c>
      <c r="H204" s="33"/>
      <c r="I204" s="33"/>
      <c r="J204" s="34"/>
      <c r="K204" s="35"/>
      <c r="L204" s="87"/>
    </row>
    <row r="205" spans="1:12" x14ac:dyDescent="0.2">
      <c r="A205" s="215">
        <v>1203</v>
      </c>
      <c r="B205" s="147" t="s">
        <v>1469</v>
      </c>
      <c r="C205" s="26">
        <v>38295</v>
      </c>
      <c r="D205" s="27" t="s">
        <v>2709</v>
      </c>
      <c r="E205" s="28">
        <v>357820</v>
      </c>
      <c r="F205" s="29">
        <v>6178144</v>
      </c>
      <c r="G205" s="30">
        <v>277</v>
      </c>
      <c r="H205" s="33"/>
      <c r="I205" s="33"/>
      <c r="J205" s="34"/>
      <c r="K205" s="35"/>
      <c r="L205" s="87"/>
    </row>
    <row r="206" spans="1:12" x14ac:dyDescent="0.2">
      <c r="A206" s="215">
        <v>1204</v>
      </c>
      <c r="B206" s="147" t="s">
        <v>1470</v>
      </c>
      <c r="C206" s="26">
        <v>38295</v>
      </c>
      <c r="D206" s="27" t="s">
        <v>2709</v>
      </c>
      <c r="E206" s="28">
        <v>357343</v>
      </c>
      <c r="F206" s="29">
        <v>6177676</v>
      </c>
      <c r="G206" s="30">
        <v>351</v>
      </c>
      <c r="H206" s="33"/>
      <c r="I206" s="33"/>
      <c r="J206" s="34"/>
      <c r="K206" s="35"/>
      <c r="L206" s="87"/>
    </row>
    <row r="207" spans="1:12" x14ac:dyDescent="0.2">
      <c r="A207" s="215">
        <v>1205</v>
      </c>
      <c r="B207" s="147" t="s">
        <v>1471</v>
      </c>
      <c r="C207" s="26">
        <v>38295</v>
      </c>
      <c r="D207" s="27" t="s">
        <v>2709</v>
      </c>
      <c r="E207" s="28">
        <v>358266</v>
      </c>
      <c r="F207" s="29">
        <v>6177294</v>
      </c>
      <c r="G207" s="30">
        <v>369</v>
      </c>
      <c r="H207" s="33"/>
      <c r="I207" s="33"/>
      <c r="J207" s="34"/>
      <c r="K207" s="35"/>
      <c r="L207" s="87"/>
    </row>
    <row r="208" spans="1:12" x14ac:dyDescent="0.2">
      <c r="A208" s="215">
        <v>1206</v>
      </c>
      <c r="B208" s="147" t="s">
        <v>1449</v>
      </c>
      <c r="C208" s="26">
        <v>38295</v>
      </c>
      <c r="D208" s="27" t="s">
        <v>2709</v>
      </c>
      <c r="E208" s="28">
        <v>358322</v>
      </c>
      <c r="F208" s="29">
        <v>6177388</v>
      </c>
      <c r="G208" s="30">
        <v>376</v>
      </c>
      <c r="H208" s="33"/>
      <c r="I208" s="33"/>
      <c r="J208" s="34"/>
      <c r="K208" s="35"/>
      <c r="L208" s="87"/>
    </row>
    <row r="209" spans="1:12" x14ac:dyDescent="0.2">
      <c r="A209" s="215">
        <v>1207</v>
      </c>
      <c r="B209" s="147" t="s">
        <v>1472</v>
      </c>
      <c r="C209" s="26">
        <v>38295</v>
      </c>
      <c r="D209" s="27" t="s">
        <v>2709</v>
      </c>
      <c r="E209" s="28">
        <v>358479</v>
      </c>
      <c r="F209" s="29">
        <v>6177714</v>
      </c>
      <c r="G209" s="30">
        <v>357</v>
      </c>
      <c r="H209" s="33"/>
      <c r="I209" s="33"/>
      <c r="J209" s="34"/>
      <c r="K209" s="35"/>
      <c r="L209" s="87"/>
    </row>
    <row r="210" spans="1:12" x14ac:dyDescent="0.2">
      <c r="A210" s="215">
        <v>1208</v>
      </c>
      <c r="B210" s="147" t="s">
        <v>1473</v>
      </c>
      <c r="C210" s="26">
        <v>38295</v>
      </c>
      <c r="D210" s="27" t="s">
        <v>2709</v>
      </c>
      <c r="E210" s="28">
        <v>359245</v>
      </c>
      <c r="F210" s="29">
        <v>6178170</v>
      </c>
      <c r="G210" s="30">
        <v>330</v>
      </c>
      <c r="H210" s="33"/>
      <c r="I210" s="33"/>
      <c r="J210" s="34"/>
      <c r="K210" s="35"/>
      <c r="L210" s="87"/>
    </row>
    <row r="211" spans="1:12" x14ac:dyDescent="0.2">
      <c r="A211" s="215">
        <v>1209</v>
      </c>
      <c r="B211" s="147" t="s">
        <v>1474</v>
      </c>
      <c r="C211" s="26">
        <v>38295</v>
      </c>
      <c r="D211" s="27" t="s">
        <v>2709</v>
      </c>
      <c r="E211" s="28">
        <v>359014</v>
      </c>
      <c r="F211" s="29">
        <v>6178372</v>
      </c>
      <c r="G211" s="30">
        <v>332</v>
      </c>
      <c r="H211" s="33"/>
      <c r="I211" s="33"/>
      <c r="J211" s="34"/>
      <c r="K211" s="35"/>
      <c r="L211" s="87"/>
    </row>
    <row r="212" spans="1:12" x14ac:dyDescent="0.2">
      <c r="A212" s="215">
        <v>1210</v>
      </c>
      <c r="B212" s="147" t="s">
        <v>1475</v>
      </c>
      <c r="C212" s="26">
        <v>38295</v>
      </c>
      <c r="D212" s="27" t="s">
        <v>2709</v>
      </c>
      <c r="E212" s="28">
        <v>358854</v>
      </c>
      <c r="F212" s="29">
        <v>6178394</v>
      </c>
      <c r="G212" s="30">
        <v>314</v>
      </c>
      <c r="H212" s="33"/>
      <c r="I212" s="33"/>
      <c r="J212" s="34"/>
      <c r="K212" s="35"/>
      <c r="L212" s="87"/>
    </row>
    <row r="213" spans="1:12" x14ac:dyDescent="0.2">
      <c r="A213" s="215">
        <v>1211</v>
      </c>
      <c r="B213" s="147" t="s">
        <v>1476</v>
      </c>
      <c r="C213" s="26">
        <v>38295</v>
      </c>
      <c r="D213" s="27" t="s">
        <v>2709</v>
      </c>
      <c r="E213" s="28">
        <v>358539</v>
      </c>
      <c r="F213" s="29">
        <v>6178478</v>
      </c>
      <c r="G213" s="30">
        <v>295</v>
      </c>
      <c r="H213" s="33"/>
      <c r="I213" s="33"/>
      <c r="J213" s="34"/>
      <c r="K213" s="35"/>
      <c r="L213" s="87"/>
    </row>
    <row r="214" spans="1:12" x14ac:dyDescent="0.2">
      <c r="A214" s="215">
        <v>1212</v>
      </c>
      <c r="B214" s="147" t="s">
        <v>1477</v>
      </c>
      <c r="C214" s="26">
        <v>38295</v>
      </c>
      <c r="D214" s="27" t="s">
        <v>2709</v>
      </c>
      <c r="E214" s="28">
        <v>358298</v>
      </c>
      <c r="F214" s="29">
        <v>6178455</v>
      </c>
      <c r="G214" s="30">
        <v>274</v>
      </c>
      <c r="H214" s="33"/>
      <c r="I214" s="33"/>
      <c r="J214" s="34"/>
      <c r="K214" s="35"/>
      <c r="L214" s="87"/>
    </row>
    <row r="215" spans="1:12" x14ac:dyDescent="0.2">
      <c r="A215" s="215">
        <v>1213</v>
      </c>
      <c r="B215" s="147" t="s">
        <v>1478</v>
      </c>
      <c r="C215" s="26">
        <v>38295</v>
      </c>
      <c r="D215" s="27" t="s">
        <v>2709</v>
      </c>
      <c r="E215" s="28">
        <v>358239</v>
      </c>
      <c r="F215" s="29">
        <v>6178531</v>
      </c>
      <c r="G215" s="30">
        <v>273</v>
      </c>
      <c r="H215" s="33"/>
      <c r="I215" s="33"/>
      <c r="J215" s="34"/>
      <c r="K215" s="35"/>
      <c r="L215" s="87"/>
    </row>
    <row r="216" spans="1:12" x14ac:dyDescent="0.2">
      <c r="A216" s="215">
        <v>1214</v>
      </c>
      <c r="B216" s="147" t="s">
        <v>1479</v>
      </c>
      <c r="C216" s="26">
        <v>38295</v>
      </c>
      <c r="D216" s="27" t="s">
        <v>2709</v>
      </c>
      <c r="E216" s="28">
        <v>358186</v>
      </c>
      <c r="F216" s="29">
        <v>6178530</v>
      </c>
      <c r="G216" s="30">
        <v>268</v>
      </c>
      <c r="H216" s="33"/>
      <c r="I216" s="33"/>
      <c r="J216" s="34"/>
      <c r="K216" s="35"/>
      <c r="L216" s="87"/>
    </row>
    <row r="217" spans="1:12" x14ac:dyDescent="0.2">
      <c r="A217" s="215">
        <v>1215</v>
      </c>
      <c r="B217" s="147" t="s">
        <v>1480</v>
      </c>
      <c r="C217" s="26">
        <v>38295</v>
      </c>
      <c r="D217" s="27" t="s">
        <v>2709</v>
      </c>
      <c r="E217" s="28">
        <v>357929</v>
      </c>
      <c r="F217" s="29">
        <v>6178511</v>
      </c>
      <c r="G217" s="30">
        <v>254</v>
      </c>
      <c r="H217" s="33"/>
      <c r="I217" s="33"/>
      <c r="J217" s="34"/>
      <c r="K217" s="35"/>
      <c r="L217" s="87"/>
    </row>
    <row r="218" spans="1:12" x14ac:dyDescent="0.2">
      <c r="A218" s="215">
        <v>1216</v>
      </c>
      <c r="B218" s="147" t="s">
        <v>1481</v>
      </c>
      <c r="C218" s="26">
        <v>38295</v>
      </c>
      <c r="D218" s="27" t="s">
        <v>2709</v>
      </c>
      <c r="E218" s="28">
        <v>357269</v>
      </c>
      <c r="F218" s="29">
        <v>6178683</v>
      </c>
      <c r="G218" s="30">
        <v>221</v>
      </c>
      <c r="H218" s="33"/>
      <c r="I218" s="33"/>
      <c r="J218" s="34"/>
      <c r="K218" s="35"/>
      <c r="L218" s="87"/>
    </row>
    <row r="219" spans="1:12" x14ac:dyDescent="0.2">
      <c r="A219" s="215">
        <v>1217</v>
      </c>
      <c r="B219" s="147" t="s">
        <v>1482</v>
      </c>
      <c r="C219" s="26">
        <v>38295</v>
      </c>
      <c r="D219" s="27" t="s">
        <v>2709</v>
      </c>
      <c r="E219" s="28">
        <v>357229</v>
      </c>
      <c r="F219" s="29">
        <v>6178581</v>
      </c>
      <c r="G219" s="30">
        <v>222</v>
      </c>
      <c r="H219" s="33"/>
      <c r="I219" s="33"/>
      <c r="J219" s="34"/>
      <c r="K219" s="35"/>
      <c r="L219" s="87"/>
    </row>
    <row r="220" spans="1:12" x14ac:dyDescent="0.2">
      <c r="A220" s="215">
        <v>1218</v>
      </c>
      <c r="B220" s="147" t="s">
        <v>1483</v>
      </c>
      <c r="C220" s="26">
        <v>38295</v>
      </c>
      <c r="D220" s="27" t="s">
        <v>2709</v>
      </c>
      <c r="E220" s="28">
        <v>357202</v>
      </c>
      <c r="F220" s="29">
        <v>6178498</v>
      </c>
      <c r="G220" s="30">
        <v>224</v>
      </c>
      <c r="H220" s="33"/>
      <c r="I220" s="33"/>
      <c r="J220" s="34"/>
      <c r="K220" s="35"/>
      <c r="L220" s="87"/>
    </row>
    <row r="221" spans="1:12" x14ac:dyDescent="0.2">
      <c r="A221" s="215">
        <v>1219</v>
      </c>
      <c r="B221" s="147" t="s">
        <v>1484</v>
      </c>
      <c r="C221" s="26">
        <v>38295</v>
      </c>
      <c r="D221" s="27" t="s">
        <v>2709</v>
      </c>
      <c r="E221" s="28">
        <v>357149</v>
      </c>
      <c r="F221" s="29">
        <v>6178222</v>
      </c>
      <c r="G221" s="30">
        <v>275</v>
      </c>
      <c r="H221" s="33"/>
      <c r="I221" s="33"/>
      <c r="J221" s="34"/>
      <c r="K221" s="35"/>
      <c r="L221" s="87"/>
    </row>
    <row r="222" spans="1:12" x14ac:dyDescent="0.2">
      <c r="A222" s="215">
        <v>1220</v>
      </c>
      <c r="B222" s="147" t="s">
        <v>1485</v>
      </c>
      <c r="C222" s="26">
        <v>38295</v>
      </c>
      <c r="D222" s="27" t="s">
        <v>2709</v>
      </c>
      <c r="E222" s="28">
        <v>357228</v>
      </c>
      <c r="F222" s="29">
        <v>6178127</v>
      </c>
      <c r="G222" s="30">
        <v>296</v>
      </c>
      <c r="H222" s="33"/>
      <c r="I222" s="33"/>
      <c r="J222" s="34"/>
      <c r="K222" s="35"/>
      <c r="L222" s="87"/>
    </row>
    <row r="223" spans="1:12" x14ac:dyDescent="0.2">
      <c r="A223" s="215">
        <v>1221</v>
      </c>
      <c r="B223" s="147" t="s">
        <v>1486</v>
      </c>
      <c r="C223" s="26">
        <v>38295</v>
      </c>
      <c r="D223" s="27" t="s">
        <v>2709</v>
      </c>
      <c r="E223" s="28">
        <v>357268</v>
      </c>
      <c r="F223" s="29">
        <v>6178159</v>
      </c>
      <c r="G223" s="30">
        <v>287</v>
      </c>
      <c r="H223" s="33"/>
      <c r="I223" s="33"/>
      <c r="J223" s="34"/>
      <c r="K223" s="35"/>
      <c r="L223" s="87"/>
    </row>
    <row r="224" spans="1:12" x14ac:dyDescent="0.2">
      <c r="A224" s="215">
        <v>1222</v>
      </c>
      <c r="B224" s="147" t="s">
        <v>864</v>
      </c>
      <c r="C224" s="26">
        <v>38297</v>
      </c>
      <c r="D224" s="27" t="s">
        <v>2709</v>
      </c>
      <c r="E224" s="28">
        <v>357081</v>
      </c>
      <c r="F224" s="29">
        <v>6176517</v>
      </c>
      <c r="G224" s="30">
        <v>348</v>
      </c>
      <c r="H224" s="33"/>
      <c r="I224" s="33"/>
      <c r="J224" s="34"/>
      <c r="K224" s="35"/>
      <c r="L224" s="87"/>
    </row>
    <row r="225" spans="1:12" x14ac:dyDescent="0.2">
      <c r="A225" s="215">
        <v>1223</v>
      </c>
      <c r="B225" s="147" t="s">
        <v>865</v>
      </c>
      <c r="C225" s="26">
        <v>38297</v>
      </c>
      <c r="D225" s="27" t="s">
        <v>2709</v>
      </c>
      <c r="E225" s="28">
        <v>357201</v>
      </c>
      <c r="F225" s="29">
        <v>6176602</v>
      </c>
      <c r="G225" s="30">
        <v>366</v>
      </c>
      <c r="H225" s="33"/>
      <c r="I225" s="33"/>
      <c r="J225" s="34"/>
      <c r="K225" s="35"/>
      <c r="L225" s="87"/>
    </row>
    <row r="226" spans="1:12" x14ac:dyDescent="0.2">
      <c r="A226" s="215">
        <v>1224</v>
      </c>
      <c r="B226" s="147" t="s">
        <v>866</v>
      </c>
      <c r="C226" s="26">
        <v>38297</v>
      </c>
      <c r="D226" s="27" t="s">
        <v>2709</v>
      </c>
      <c r="E226" s="28">
        <v>357353</v>
      </c>
      <c r="F226" s="29">
        <v>6176540</v>
      </c>
      <c r="G226" s="30">
        <v>372</v>
      </c>
      <c r="H226" s="33"/>
      <c r="I226" s="33"/>
      <c r="J226" s="34"/>
      <c r="K226" s="35"/>
      <c r="L226" s="87"/>
    </row>
    <row r="227" spans="1:12" x14ac:dyDescent="0.2">
      <c r="A227" s="215">
        <v>1225</v>
      </c>
      <c r="B227" s="147" t="s">
        <v>865</v>
      </c>
      <c r="C227" s="26">
        <v>38297</v>
      </c>
      <c r="D227" s="27" t="s">
        <v>2709</v>
      </c>
      <c r="E227" s="28">
        <v>357367</v>
      </c>
      <c r="F227" s="29">
        <v>6176406</v>
      </c>
      <c r="G227" s="30">
        <v>354</v>
      </c>
      <c r="H227" s="33"/>
      <c r="I227" s="33"/>
      <c r="J227" s="34"/>
      <c r="K227" s="35"/>
      <c r="L227" s="87"/>
    </row>
    <row r="228" spans="1:12" x14ac:dyDescent="0.2">
      <c r="A228" s="215">
        <v>1226</v>
      </c>
      <c r="B228" s="147" t="s">
        <v>3401</v>
      </c>
      <c r="C228" s="26">
        <v>38297</v>
      </c>
      <c r="D228" s="27" t="s">
        <v>2709</v>
      </c>
      <c r="E228" s="28">
        <v>357536</v>
      </c>
      <c r="F228" s="29">
        <v>6176389</v>
      </c>
      <c r="G228" s="30">
        <v>358</v>
      </c>
      <c r="H228" s="33"/>
      <c r="I228" s="33"/>
      <c r="J228" s="34"/>
      <c r="K228" s="35"/>
      <c r="L228" s="87"/>
    </row>
    <row r="229" spans="1:12" x14ac:dyDescent="0.2">
      <c r="A229" s="215">
        <v>1227</v>
      </c>
      <c r="B229" s="147" t="s">
        <v>867</v>
      </c>
      <c r="C229" s="26">
        <v>38297</v>
      </c>
      <c r="D229" s="27" t="s">
        <v>2709</v>
      </c>
      <c r="E229" s="28">
        <v>357476</v>
      </c>
      <c r="F229" s="29">
        <v>6176436</v>
      </c>
      <c r="G229" s="30">
        <v>357</v>
      </c>
      <c r="H229" s="33"/>
      <c r="I229" s="33"/>
      <c r="J229" s="34"/>
      <c r="K229" s="35"/>
      <c r="L229" s="87"/>
    </row>
    <row r="230" spans="1:12" x14ac:dyDescent="0.2">
      <c r="A230" s="215">
        <v>1228</v>
      </c>
      <c r="B230" s="147" t="s">
        <v>867</v>
      </c>
      <c r="C230" s="26">
        <v>38297</v>
      </c>
      <c r="D230" s="27" t="s">
        <v>2709</v>
      </c>
      <c r="E230" s="28">
        <v>357464</v>
      </c>
      <c r="F230" s="29">
        <v>6176448</v>
      </c>
      <c r="G230" s="30">
        <v>360</v>
      </c>
      <c r="H230" s="33"/>
      <c r="I230" s="33"/>
      <c r="J230" s="34"/>
      <c r="K230" s="35"/>
      <c r="L230" s="87"/>
    </row>
    <row r="231" spans="1:12" x14ac:dyDescent="0.2">
      <c r="A231" s="215">
        <v>1229</v>
      </c>
      <c r="B231" s="147" t="s">
        <v>867</v>
      </c>
      <c r="C231" s="26">
        <v>38297</v>
      </c>
      <c r="D231" s="27" t="s">
        <v>2709</v>
      </c>
      <c r="E231" s="28">
        <v>357460</v>
      </c>
      <c r="F231" s="29">
        <v>6176458</v>
      </c>
      <c r="G231" s="30">
        <v>361</v>
      </c>
      <c r="H231" s="33"/>
      <c r="I231" s="33"/>
      <c r="J231" s="34"/>
      <c r="K231" s="35"/>
      <c r="L231" s="87"/>
    </row>
    <row r="232" spans="1:12" x14ac:dyDescent="0.2">
      <c r="A232" s="215">
        <v>1230</v>
      </c>
      <c r="B232" s="147" t="s">
        <v>868</v>
      </c>
      <c r="C232" s="26">
        <v>38297</v>
      </c>
      <c r="D232" s="27" t="s">
        <v>2709</v>
      </c>
      <c r="E232" s="28">
        <v>357516</v>
      </c>
      <c r="F232" s="29">
        <v>6176497</v>
      </c>
      <c r="G232" s="30">
        <v>357</v>
      </c>
      <c r="H232" s="33"/>
      <c r="I232" s="33"/>
      <c r="J232" s="34"/>
      <c r="K232" s="35"/>
      <c r="L232" s="87"/>
    </row>
    <row r="233" spans="1:12" x14ac:dyDescent="0.2">
      <c r="A233" s="215">
        <v>1231</v>
      </c>
      <c r="B233" s="147" t="s">
        <v>867</v>
      </c>
      <c r="C233" s="26">
        <v>38297</v>
      </c>
      <c r="D233" s="27" t="s">
        <v>2709</v>
      </c>
      <c r="E233" s="28">
        <v>357387</v>
      </c>
      <c r="F233" s="29">
        <v>6176588</v>
      </c>
      <c r="G233" s="30">
        <v>372</v>
      </c>
      <c r="H233" s="33"/>
      <c r="I233" s="33"/>
      <c r="J233" s="34"/>
      <c r="K233" s="35"/>
      <c r="L233" s="87"/>
    </row>
    <row r="234" spans="1:12" x14ac:dyDescent="0.2">
      <c r="A234" s="215">
        <v>1232</v>
      </c>
      <c r="B234" s="147" t="s">
        <v>869</v>
      </c>
      <c r="C234" s="26">
        <v>38297</v>
      </c>
      <c r="D234" s="27" t="s">
        <v>2709</v>
      </c>
      <c r="E234" s="28">
        <v>357386</v>
      </c>
      <c r="F234" s="29">
        <v>6176711</v>
      </c>
      <c r="G234" s="30">
        <v>372</v>
      </c>
      <c r="H234" s="33"/>
      <c r="I234" s="33"/>
      <c r="J234" s="34"/>
      <c r="K234" s="35"/>
      <c r="L234" s="87"/>
    </row>
    <row r="235" spans="1:12" x14ac:dyDescent="0.2">
      <c r="A235" s="215">
        <v>1233</v>
      </c>
      <c r="B235" s="147" t="s">
        <v>870</v>
      </c>
      <c r="C235" s="26">
        <v>38297</v>
      </c>
      <c r="D235" s="27" t="s">
        <v>2709</v>
      </c>
      <c r="E235" s="28">
        <v>357561</v>
      </c>
      <c r="F235" s="29">
        <v>6176771</v>
      </c>
      <c r="G235" s="30">
        <v>368</v>
      </c>
      <c r="H235" s="33"/>
      <c r="I235" s="33"/>
      <c r="J235" s="34"/>
      <c r="K235" s="35"/>
      <c r="L235" s="87"/>
    </row>
    <row r="236" spans="1:12" x14ac:dyDescent="0.2">
      <c r="A236" s="215">
        <v>1234</v>
      </c>
      <c r="B236" s="147" t="s">
        <v>871</v>
      </c>
      <c r="C236" s="26">
        <v>38297</v>
      </c>
      <c r="D236" s="27" t="s">
        <v>2709</v>
      </c>
      <c r="E236" s="28">
        <v>357629</v>
      </c>
      <c r="F236" s="29">
        <v>6177188</v>
      </c>
      <c r="G236" s="30">
        <v>451</v>
      </c>
      <c r="H236" s="33"/>
      <c r="I236" s="33"/>
      <c r="J236" s="34"/>
      <c r="K236" s="35"/>
      <c r="L236" s="87"/>
    </row>
    <row r="237" spans="1:12" x14ac:dyDescent="0.2">
      <c r="A237" s="215">
        <v>1235</v>
      </c>
      <c r="B237" s="147" t="s">
        <v>872</v>
      </c>
      <c r="C237" s="26">
        <v>38297</v>
      </c>
      <c r="D237" s="27" t="s">
        <v>2709</v>
      </c>
      <c r="E237" s="28">
        <v>357563</v>
      </c>
      <c r="F237" s="29">
        <v>6177222</v>
      </c>
      <c r="G237" s="30">
        <v>449</v>
      </c>
      <c r="H237" s="33"/>
      <c r="I237" s="33"/>
      <c r="J237" s="34"/>
      <c r="K237" s="35"/>
      <c r="L237" s="87"/>
    </row>
    <row r="238" spans="1:12" x14ac:dyDescent="0.2">
      <c r="A238" s="215">
        <v>1236</v>
      </c>
      <c r="B238" s="147" t="s">
        <v>873</v>
      </c>
      <c r="C238" s="26">
        <v>38297</v>
      </c>
      <c r="D238" s="27" t="s">
        <v>2709</v>
      </c>
      <c r="E238" s="28">
        <v>357633</v>
      </c>
      <c r="F238" s="29">
        <v>6177320</v>
      </c>
      <c r="G238" s="30">
        <v>440</v>
      </c>
      <c r="H238" s="33"/>
      <c r="I238" s="33"/>
      <c r="J238" s="34"/>
      <c r="K238" s="35"/>
      <c r="L238" s="87"/>
    </row>
    <row r="239" spans="1:12" x14ac:dyDescent="0.2">
      <c r="A239" s="215">
        <v>1237</v>
      </c>
      <c r="B239" s="147" t="s">
        <v>1892</v>
      </c>
      <c r="C239" s="26">
        <v>38297</v>
      </c>
      <c r="D239" s="27" t="s">
        <v>2709</v>
      </c>
      <c r="E239" s="28">
        <v>357646</v>
      </c>
      <c r="F239" s="29">
        <v>6177416</v>
      </c>
      <c r="G239" s="30">
        <v>408</v>
      </c>
      <c r="H239" s="33"/>
      <c r="I239" s="33"/>
      <c r="J239" s="34"/>
      <c r="K239" s="35"/>
      <c r="L239" s="87"/>
    </row>
    <row r="240" spans="1:12" x14ac:dyDescent="0.2">
      <c r="A240" s="215">
        <v>1238</v>
      </c>
      <c r="B240" s="147" t="s">
        <v>3406</v>
      </c>
      <c r="C240" s="26">
        <v>38297</v>
      </c>
      <c r="D240" s="27" t="s">
        <v>2709</v>
      </c>
      <c r="E240" s="28">
        <v>358298</v>
      </c>
      <c r="F240" s="29">
        <v>6177298</v>
      </c>
      <c r="G240" s="30">
        <v>382</v>
      </c>
      <c r="H240" s="33"/>
      <c r="I240" s="33"/>
      <c r="J240" s="34"/>
      <c r="K240" s="35"/>
      <c r="L240" s="87"/>
    </row>
    <row r="241" spans="1:12" x14ac:dyDescent="0.2">
      <c r="A241" s="215">
        <v>1239</v>
      </c>
      <c r="B241" s="147" t="s">
        <v>874</v>
      </c>
      <c r="C241" s="26">
        <v>38297</v>
      </c>
      <c r="D241" s="27" t="s">
        <v>2709</v>
      </c>
      <c r="E241" s="28">
        <v>358427</v>
      </c>
      <c r="F241" s="29">
        <v>6177337</v>
      </c>
      <c r="G241" s="30">
        <v>408</v>
      </c>
      <c r="H241" s="33"/>
      <c r="I241" s="33"/>
      <c r="J241" s="34"/>
      <c r="K241" s="35"/>
      <c r="L241" s="87"/>
    </row>
    <row r="242" spans="1:12" x14ac:dyDescent="0.2">
      <c r="A242" s="215">
        <v>1240</v>
      </c>
      <c r="B242" s="147" t="s">
        <v>875</v>
      </c>
      <c r="C242" s="26">
        <v>38297</v>
      </c>
      <c r="D242" s="27" t="s">
        <v>2709</v>
      </c>
      <c r="E242" s="28">
        <v>358633</v>
      </c>
      <c r="F242" s="29">
        <v>6177422</v>
      </c>
      <c r="G242" s="30">
        <v>413</v>
      </c>
      <c r="H242" s="33"/>
      <c r="I242" s="33"/>
      <c r="J242" s="34"/>
      <c r="K242" s="35"/>
      <c r="L242" s="87"/>
    </row>
    <row r="243" spans="1:12" x14ac:dyDescent="0.2">
      <c r="A243" s="215">
        <v>1241</v>
      </c>
      <c r="B243" s="147" t="s">
        <v>875</v>
      </c>
      <c r="C243" s="26">
        <v>38297</v>
      </c>
      <c r="D243" s="27" t="s">
        <v>2709</v>
      </c>
      <c r="E243" s="28">
        <v>358647</v>
      </c>
      <c r="F243" s="29">
        <v>6177473</v>
      </c>
      <c r="G243" s="30">
        <v>415</v>
      </c>
      <c r="H243" s="33"/>
      <c r="I243" s="33"/>
      <c r="J243" s="34"/>
      <c r="K243" s="35"/>
      <c r="L243" s="87"/>
    </row>
    <row r="244" spans="1:12" x14ac:dyDescent="0.2">
      <c r="A244" s="215">
        <v>1242</v>
      </c>
      <c r="B244" s="147" t="s">
        <v>2281</v>
      </c>
      <c r="C244" s="26">
        <v>38297</v>
      </c>
      <c r="D244" s="27" t="s">
        <v>2709</v>
      </c>
      <c r="E244" s="28">
        <v>358726</v>
      </c>
      <c r="F244" s="29">
        <v>6177485</v>
      </c>
      <c r="G244" s="30">
        <v>404</v>
      </c>
      <c r="H244" s="33"/>
      <c r="I244" s="33"/>
      <c r="J244" s="34"/>
      <c r="K244" s="35"/>
      <c r="L244" s="87"/>
    </row>
    <row r="245" spans="1:12" x14ac:dyDescent="0.2">
      <c r="A245" s="215">
        <v>1243</v>
      </c>
      <c r="B245" s="147" t="s">
        <v>876</v>
      </c>
      <c r="C245" s="26">
        <v>38297</v>
      </c>
      <c r="D245" s="27" t="s">
        <v>2709</v>
      </c>
      <c r="E245" s="28">
        <v>358706</v>
      </c>
      <c r="F245" s="29">
        <v>6177548</v>
      </c>
      <c r="G245" s="30">
        <v>396</v>
      </c>
      <c r="H245" s="33"/>
      <c r="I245" s="33"/>
      <c r="J245" s="34"/>
      <c r="K245" s="35"/>
      <c r="L245" s="87"/>
    </row>
    <row r="246" spans="1:12" x14ac:dyDescent="0.2">
      <c r="A246" s="215">
        <v>1244</v>
      </c>
      <c r="B246" s="147" t="s">
        <v>877</v>
      </c>
      <c r="C246" s="26">
        <v>38297</v>
      </c>
      <c r="D246" s="27" t="s">
        <v>2709</v>
      </c>
      <c r="E246" s="28">
        <v>358694</v>
      </c>
      <c r="F246" s="29">
        <v>6177622</v>
      </c>
      <c r="G246" s="30">
        <v>401</v>
      </c>
      <c r="H246" s="33"/>
      <c r="I246" s="33"/>
      <c r="J246" s="34"/>
      <c r="K246" s="35"/>
      <c r="L246" s="87"/>
    </row>
    <row r="247" spans="1:12" x14ac:dyDescent="0.2">
      <c r="A247" s="215">
        <v>1245</v>
      </c>
      <c r="B247" s="147" t="s">
        <v>1892</v>
      </c>
      <c r="C247" s="26">
        <v>38297</v>
      </c>
      <c r="D247" s="27" t="s">
        <v>2709</v>
      </c>
      <c r="E247" s="28">
        <v>358645</v>
      </c>
      <c r="F247" s="29">
        <v>6177653</v>
      </c>
      <c r="G247" s="30">
        <v>407</v>
      </c>
      <c r="H247" s="33"/>
      <c r="I247" s="33"/>
      <c r="J247" s="34"/>
      <c r="K247" s="35"/>
      <c r="L247" s="87"/>
    </row>
    <row r="248" spans="1:12" x14ac:dyDescent="0.2">
      <c r="A248" s="215">
        <v>1246</v>
      </c>
      <c r="B248" s="147" t="s">
        <v>878</v>
      </c>
      <c r="C248" s="26">
        <v>38297</v>
      </c>
      <c r="D248" s="27" t="s">
        <v>2709</v>
      </c>
      <c r="E248" s="28">
        <v>358684</v>
      </c>
      <c r="F248" s="29">
        <v>6177702</v>
      </c>
      <c r="G248" s="30">
        <v>412</v>
      </c>
      <c r="H248" s="33"/>
      <c r="I248" s="33"/>
      <c r="J248" s="34"/>
      <c r="K248" s="35"/>
      <c r="L248" s="87"/>
    </row>
    <row r="249" spans="1:12" x14ac:dyDescent="0.2">
      <c r="A249" s="215">
        <v>1247</v>
      </c>
      <c r="B249" s="147" t="s">
        <v>879</v>
      </c>
      <c r="C249" s="26">
        <v>38297</v>
      </c>
      <c r="D249" s="27" t="s">
        <v>2709</v>
      </c>
      <c r="E249" s="28">
        <v>358755</v>
      </c>
      <c r="F249" s="29">
        <v>6177747</v>
      </c>
      <c r="G249" s="30">
        <v>403</v>
      </c>
      <c r="H249" s="33"/>
      <c r="I249" s="33"/>
      <c r="J249" s="34"/>
      <c r="K249" s="35"/>
      <c r="L249" s="87"/>
    </row>
    <row r="250" spans="1:12" x14ac:dyDescent="0.2">
      <c r="A250" s="215">
        <v>1248</v>
      </c>
      <c r="B250" s="147" t="s">
        <v>880</v>
      </c>
      <c r="C250" s="26">
        <v>38297</v>
      </c>
      <c r="D250" s="27" t="s">
        <v>2709</v>
      </c>
      <c r="E250" s="28">
        <v>358819</v>
      </c>
      <c r="F250" s="29">
        <v>6177734</v>
      </c>
      <c r="G250" s="30">
        <v>396</v>
      </c>
      <c r="H250" s="33"/>
      <c r="I250" s="33"/>
      <c r="J250" s="34"/>
      <c r="K250" s="35"/>
      <c r="L250" s="87"/>
    </row>
    <row r="251" spans="1:12" x14ac:dyDescent="0.2">
      <c r="A251" s="215">
        <v>1249</v>
      </c>
      <c r="B251" s="147" t="s">
        <v>881</v>
      </c>
      <c r="C251" s="26">
        <v>38297</v>
      </c>
      <c r="D251" s="27" t="s">
        <v>2709</v>
      </c>
      <c r="E251" s="28">
        <v>358899</v>
      </c>
      <c r="F251" s="29">
        <v>6178098</v>
      </c>
      <c r="G251" s="30">
        <v>363</v>
      </c>
      <c r="H251" s="33"/>
      <c r="I251" s="33"/>
      <c r="J251" s="34"/>
      <c r="K251" s="35"/>
      <c r="L251" s="87"/>
    </row>
  </sheetData>
  <mergeCells count="7">
    <mergeCell ref="L1:L2"/>
    <mergeCell ref="C1:D1"/>
    <mergeCell ref="A1:A2"/>
    <mergeCell ref="K1:K2"/>
    <mergeCell ref="G1:H1"/>
    <mergeCell ref="B1:B2"/>
    <mergeCell ref="E1:F1"/>
  </mergeCells>
  <phoneticPr fontId="3" type="noConversion"/>
  <pageMargins left="0.75" right="0.75" top="1" bottom="1" header="0.4921259845" footer="0.4921259845"/>
  <pageSetup paperSize="9" orientation="portrait" horizontalDpi="200" verticalDpi="2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76DA-1FE0-44F1-B79C-FDBFD3CE0006}">
  <sheetPr codeName="Tabelle2"/>
  <dimension ref="A1:H287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23" sqref="C423"/>
    </sheetView>
  </sheetViews>
  <sheetFormatPr defaultColWidth="8.85546875" defaultRowHeight="12.75" x14ac:dyDescent="0.2"/>
  <cols>
    <col min="1" max="1" width="5.7109375" style="52" customWidth="1"/>
    <col min="2" max="2" width="42.140625" style="46" customWidth="1"/>
    <col min="3" max="3" width="6.28515625" style="52" customWidth="1"/>
    <col min="4" max="4" width="2" style="42" customWidth="1"/>
    <col min="5" max="5" width="11" style="121" customWidth="1"/>
    <col min="6" max="6" width="11" style="120" customWidth="1"/>
    <col min="7" max="7" width="1.7109375" style="63" customWidth="1"/>
    <col min="8" max="8" width="26.7109375" style="125" customWidth="1"/>
    <col min="9" max="16384" width="8.85546875" style="42"/>
  </cols>
  <sheetData>
    <row r="1" spans="1:8" x14ac:dyDescent="0.2">
      <c r="A1" s="53" t="s">
        <v>2674</v>
      </c>
      <c r="B1" s="43" t="s">
        <v>2711</v>
      </c>
      <c r="C1" s="122" t="s">
        <v>2712</v>
      </c>
      <c r="D1" s="123"/>
      <c r="E1" s="124" t="s">
        <v>2826</v>
      </c>
      <c r="F1" s="124" t="s">
        <v>2278</v>
      </c>
      <c r="G1" s="123"/>
      <c r="H1" s="124" t="s">
        <v>2277</v>
      </c>
    </row>
    <row r="2" spans="1:8" x14ac:dyDescent="0.2">
      <c r="A2" s="54">
        <v>1</v>
      </c>
      <c r="B2" s="44" t="s">
        <v>326</v>
      </c>
      <c r="C2" s="47">
        <v>85</v>
      </c>
      <c r="E2" s="121" t="s">
        <v>1492</v>
      </c>
      <c r="F2" s="120" t="s">
        <v>3280</v>
      </c>
    </row>
    <row r="3" spans="1:8" x14ac:dyDescent="0.2">
      <c r="A3" s="55">
        <v>1</v>
      </c>
      <c r="B3" s="45" t="s">
        <v>2590</v>
      </c>
      <c r="C3" s="48">
        <v>21</v>
      </c>
      <c r="E3" s="121" t="s">
        <v>1534</v>
      </c>
      <c r="F3" s="120" t="s">
        <v>3241</v>
      </c>
    </row>
    <row r="4" spans="1:8" x14ac:dyDescent="0.2">
      <c r="A4" s="55">
        <v>1</v>
      </c>
      <c r="B4" s="45" t="s">
        <v>332</v>
      </c>
      <c r="C4" s="48">
        <v>7</v>
      </c>
      <c r="E4" s="121" t="s">
        <v>3519</v>
      </c>
      <c r="F4" s="120" t="s">
        <v>3280</v>
      </c>
    </row>
    <row r="5" spans="1:8" x14ac:dyDescent="0.2">
      <c r="A5" s="55">
        <v>1</v>
      </c>
      <c r="B5" s="45" t="s">
        <v>327</v>
      </c>
      <c r="C5" s="48">
        <v>4</v>
      </c>
      <c r="E5" s="121" t="s">
        <v>3517</v>
      </c>
      <c r="F5" s="120" t="s">
        <v>3226</v>
      </c>
    </row>
    <row r="6" spans="1:8" x14ac:dyDescent="0.2">
      <c r="A6" s="55">
        <v>1</v>
      </c>
      <c r="B6" s="45" t="s">
        <v>330</v>
      </c>
      <c r="C6" s="48">
        <v>4</v>
      </c>
      <c r="E6" s="121" t="s">
        <v>3438</v>
      </c>
      <c r="F6" s="120" t="s">
        <v>3286</v>
      </c>
    </row>
    <row r="7" spans="1:8" x14ac:dyDescent="0.2">
      <c r="A7" s="55">
        <v>1</v>
      </c>
      <c r="B7" s="45" t="s">
        <v>329</v>
      </c>
      <c r="C7" s="48">
        <v>2</v>
      </c>
      <c r="E7" s="121" t="s">
        <v>2867</v>
      </c>
      <c r="F7" s="120" t="s">
        <v>3238</v>
      </c>
    </row>
    <row r="8" spans="1:8" x14ac:dyDescent="0.2">
      <c r="A8" s="55">
        <v>1</v>
      </c>
      <c r="B8" s="45" t="s">
        <v>328</v>
      </c>
      <c r="C8" s="48">
        <v>2</v>
      </c>
      <c r="E8" s="121" t="s">
        <v>2873</v>
      </c>
      <c r="F8" s="120" t="s">
        <v>3243</v>
      </c>
    </row>
    <row r="9" spans="1:8" x14ac:dyDescent="0.2">
      <c r="A9" s="55">
        <v>1</v>
      </c>
      <c r="B9" s="45" t="s">
        <v>2591</v>
      </c>
      <c r="C9" s="48">
        <v>1</v>
      </c>
      <c r="E9" s="121" t="s">
        <v>2877</v>
      </c>
      <c r="F9" s="120" t="s">
        <v>3247</v>
      </c>
    </row>
    <row r="10" spans="1:8" x14ac:dyDescent="0.2">
      <c r="A10" s="55">
        <v>1</v>
      </c>
      <c r="B10" s="45" t="s">
        <v>331</v>
      </c>
      <c r="C10" s="48">
        <v>1</v>
      </c>
      <c r="E10" s="121" t="s">
        <v>1241</v>
      </c>
      <c r="F10" s="120" t="s">
        <v>3243</v>
      </c>
    </row>
    <row r="11" spans="1:8" x14ac:dyDescent="0.2">
      <c r="A11" s="55">
        <v>1</v>
      </c>
      <c r="B11" s="45" t="s">
        <v>334</v>
      </c>
      <c r="C11" s="48">
        <v>0.5</v>
      </c>
      <c r="E11" s="121" t="s">
        <v>3387</v>
      </c>
      <c r="F11" s="120" t="s">
        <v>3285</v>
      </c>
    </row>
    <row r="12" spans="1:8" x14ac:dyDescent="0.2">
      <c r="A12" s="55">
        <v>1</v>
      </c>
      <c r="B12" s="45" t="s">
        <v>612</v>
      </c>
      <c r="C12" s="48">
        <v>0.5</v>
      </c>
      <c r="E12" s="121" t="s">
        <v>3166</v>
      </c>
      <c r="F12" s="120" t="s">
        <v>3242</v>
      </c>
    </row>
    <row r="13" spans="1:8" x14ac:dyDescent="0.2">
      <c r="A13" s="55">
        <v>1</v>
      </c>
      <c r="B13" s="45" t="s">
        <v>613</v>
      </c>
      <c r="C13" s="48">
        <v>0.5</v>
      </c>
      <c r="E13" s="121" t="s">
        <v>3479</v>
      </c>
      <c r="F13" s="120" t="s">
        <v>3309</v>
      </c>
    </row>
    <row r="14" spans="1:8" x14ac:dyDescent="0.2">
      <c r="A14" s="55">
        <v>2</v>
      </c>
      <c r="B14" s="45" t="s">
        <v>326</v>
      </c>
      <c r="C14" s="48">
        <v>95</v>
      </c>
      <c r="E14" s="121" t="s">
        <v>1492</v>
      </c>
      <c r="F14" s="120" t="s">
        <v>3280</v>
      </c>
    </row>
    <row r="15" spans="1:8" x14ac:dyDescent="0.2">
      <c r="A15" s="55">
        <v>2</v>
      </c>
      <c r="B15" s="45" t="s">
        <v>2590</v>
      </c>
      <c r="C15" s="48">
        <v>40</v>
      </c>
      <c r="E15" s="121" t="s">
        <v>1534</v>
      </c>
      <c r="F15" s="120" t="s">
        <v>3241</v>
      </c>
    </row>
    <row r="16" spans="1:8" x14ac:dyDescent="0.2">
      <c r="A16" s="55">
        <v>2</v>
      </c>
      <c r="B16" s="45" t="s">
        <v>330</v>
      </c>
      <c r="C16" s="48">
        <v>30</v>
      </c>
      <c r="E16" s="121" t="s">
        <v>3438</v>
      </c>
      <c r="F16" s="120" t="s">
        <v>3286</v>
      </c>
    </row>
    <row r="17" spans="1:6" x14ac:dyDescent="0.2">
      <c r="A17" s="55">
        <v>2</v>
      </c>
      <c r="B17" s="45" t="s">
        <v>327</v>
      </c>
      <c r="C17" s="48">
        <v>20</v>
      </c>
      <c r="E17" s="121" t="s">
        <v>3517</v>
      </c>
      <c r="F17" s="120" t="s">
        <v>3226</v>
      </c>
    </row>
    <row r="18" spans="1:6" x14ac:dyDescent="0.2">
      <c r="A18" s="55">
        <v>2</v>
      </c>
      <c r="B18" s="45" t="s">
        <v>2632</v>
      </c>
      <c r="C18" s="48">
        <v>12</v>
      </c>
      <c r="E18" s="121" t="s">
        <v>3136</v>
      </c>
      <c r="F18" s="120" t="s">
        <v>3227</v>
      </c>
    </row>
    <row r="19" spans="1:6" x14ac:dyDescent="0.2">
      <c r="A19" s="55">
        <v>2</v>
      </c>
      <c r="B19" s="45" t="s">
        <v>3150</v>
      </c>
      <c r="C19" s="48">
        <v>10</v>
      </c>
      <c r="E19" s="121" t="s">
        <v>3194</v>
      </c>
      <c r="F19" s="120" t="s">
        <v>3280</v>
      </c>
    </row>
    <row r="20" spans="1:6" x14ac:dyDescent="0.2">
      <c r="A20" s="55">
        <v>2</v>
      </c>
      <c r="B20" s="45" t="s">
        <v>2591</v>
      </c>
      <c r="C20" s="48">
        <v>4</v>
      </c>
      <c r="E20" s="121" t="s">
        <v>2877</v>
      </c>
      <c r="F20" s="120" t="s">
        <v>3247</v>
      </c>
    </row>
    <row r="21" spans="1:6" x14ac:dyDescent="0.2">
      <c r="A21" s="55">
        <v>2</v>
      </c>
      <c r="B21" s="45" t="s">
        <v>332</v>
      </c>
      <c r="C21" s="48">
        <v>2</v>
      </c>
      <c r="E21" s="121" t="s">
        <v>3519</v>
      </c>
      <c r="F21" s="120" t="s">
        <v>3280</v>
      </c>
    </row>
    <row r="22" spans="1:6" x14ac:dyDescent="0.2">
      <c r="A22" s="55">
        <v>2</v>
      </c>
      <c r="B22" s="45" t="s">
        <v>328</v>
      </c>
      <c r="C22" s="48">
        <v>2</v>
      </c>
      <c r="E22" s="121" t="s">
        <v>2873</v>
      </c>
      <c r="F22" s="120" t="s">
        <v>3243</v>
      </c>
    </row>
    <row r="23" spans="1:6" x14ac:dyDescent="0.2">
      <c r="A23" s="55">
        <v>2</v>
      </c>
      <c r="B23" s="45" t="s">
        <v>329</v>
      </c>
      <c r="C23" s="48">
        <v>0.5</v>
      </c>
      <c r="E23" s="121" t="s">
        <v>2867</v>
      </c>
      <c r="F23" s="120" t="s">
        <v>3238</v>
      </c>
    </row>
    <row r="24" spans="1:6" x14ac:dyDescent="0.2">
      <c r="A24" s="55">
        <v>2</v>
      </c>
      <c r="B24" s="45" t="s">
        <v>334</v>
      </c>
      <c r="C24" s="48">
        <v>0.5</v>
      </c>
      <c r="E24" s="121" t="s">
        <v>3387</v>
      </c>
      <c r="F24" s="120" t="s">
        <v>3285</v>
      </c>
    </row>
    <row r="25" spans="1:6" x14ac:dyDescent="0.2">
      <c r="A25" s="55">
        <v>2</v>
      </c>
      <c r="B25" s="45" t="s">
        <v>1586</v>
      </c>
      <c r="C25" s="49">
        <v>0.5</v>
      </c>
      <c r="E25" s="121" t="s">
        <v>1517</v>
      </c>
      <c r="F25" s="120" t="s">
        <v>3301</v>
      </c>
    </row>
    <row r="26" spans="1:6" x14ac:dyDescent="0.2">
      <c r="A26" s="55">
        <v>3</v>
      </c>
      <c r="B26" s="45" t="s">
        <v>326</v>
      </c>
      <c r="C26" s="48">
        <v>35</v>
      </c>
      <c r="E26" s="121" t="s">
        <v>1492</v>
      </c>
      <c r="F26" s="120" t="s">
        <v>3280</v>
      </c>
    </row>
    <row r="27" spans="1:6" x14ac:dyDescent="0.2">
      <c r="A27" s="55">
        <v>3</v>
      </c>
      <c r="B27" s="45" t="s">
        <v>2590</v>
      </c>
      <c r="C27" s="48">
        <v>12</v>
      </c>
      <c r="E27" s="121" t="s">
        <v>1534</v>
      </c>
      <c r="F27" s="120" t="s">
        <v>3241</v>
      </c>
    </row>
    <row r="28" spans="1:6" x14ac:dyDescent="0.2">
      <c r="A28" s="55">
        <v>3</v>
      </c>
      <c r="B28" s="45" t="s">
        <v>3150</v>
      </c>
      <c r="C28" s="48">
        <v>12</v>
      </c>
      <c r="E28" s="121" t="s">
        <v>3194</v>
      </c>
      <c r="F28" s="120" t="s">
        <v>3280</v>
      </c>
    </row>
    <row r="29" spans="1:6" x14ac:dyDescent="0.2">
      <c r="A29" s="55">
        <v>3</v>
      </c>
      <c r="B29" s="45" t="s">
        <v>332</v>
      </c>
      <c r="C29" s="48">
        <v>8</v>
      </c>
      <c r="E29" s="121" t="s">
        <v>3519</v>
      </c>
      <c r="F29" s="120" t="s">
        <v>3280</v>
      </c>
    </row>
    <row r="30" spans="1:6" x14ac:dyDescent="0.2">
      <c r="A30" s="55">
        <v>3</v>
      </c>
      <c r="B30" s="45" t="s">
        <v>329</v>
      </c>
      <c r="C30" s="48">
        <v>8</v>
      </c>
      <c r="E30" s="121" t="s">
        <v>2867</v>
      </c>
      <c r="F30" s="120" t="s">
        <v>3238</v>
      </c>
    </row>
    <row r="31" spans="1:6" x14ac:dyDescent="0.2">
      <c r="A31" s="55">
        <v>3</v>
      </c>
      <c r="B31" s="45" t="s">
        <v>2591</v>
      </c>
      <c r="C31" s="48">
        <v>6</v>
      </c>
      <c r="E31" s="121" t="s">
        <v>2877</v>
      </c>
      <c r="F31" s="120" t="s">
        <v>3247</v>
      </c>
    </row>
    <row r="32" spans="1:6" x14ac:dyDescent="0.2">
      <c r="A32" s="55">
        <v>3</v>
      </c>
      <c r="B32" s="45" t="s">
        <v>599</v>
      </c>
      <c r="C32" s="48">
        <v>6</v>
      </c>
      <c r="E32" s="121" t="s">
        <v>3431</v>
      </c>
      <c r="F32" s="120" t="s">
        <v>3285</v>
      </c>
    </row>
    <row r="33" spans="1:6" x14ac:dyDescent="0.2">
      <c r="A33" s="55">
        <v>3</v>
      </c>
      <c r="B33" s="45" t="s">
        <v>330</v>
      </c>
      <c r="C33" s="48">
        <v>6</v>
      </c>
      <c r="E33" s="121" t="s">
        <v>3438</v>
      </c>
      <c r="F33" s="120" t="s">
        <v>3286</v>
      </c>
    </row>
    <row r="34" spans="1:6" x14ac:dyDescent="0.2">
      <c r="A34" s="55">
        <v>3</v>
      </c>
      <c r="B34" s="45" t="s">
        <v>327</v>
      </c>
      <c r="C34" s="48">
        <v>5</v>
      </c>
      <c r="E34" s="121" t="s">
        <v>3517</v>
      </c>
      <c r="F34" s="120" t="s">
        <v>3226</v>
      </c>
    </row>
    <row r="35" spans="1:6" x14ac:dyDescent="0.2">
      <c r="A35" s="55">
        <v>3</v>
      </c>
      <c r="B35" s="45" t="s">
        <v>2632</v>
      </c>
      <c r="C35" s="48">
        <v>4</v>
      </c>
      <c r="E35" s="121" t="s">
        <v>3136</v>
      </c>
      <c r="F35" s="120" t="s">
        <v>3227</v>
      </c>
    </row>
    <row r="36" spans="1:6" x14ac:dyDescent="0.2">
      <c r="A36" s="55">
        <v>3</v>
      </c>
      <c r="B36" s="45" t="s">
        <v>612</v>
      </c>
      <c r="C36" s="48">
        <v>3</v>
      </c>
      <c r="E36" s="121" t="s">
        <v>3166</v>
      </c>
      <c r="F36" s="120" t="s">
        <v>3242</v>
      </c>
    </row>
    <row r="37" spans="1:6" x14ac:dyDescent="0.2">
      <c r="A37" s="55">
        <v>3</v>
      </c>
      <c r="B37" s="45" t="s">
        <v>334</v>
      </c>
      <c r="C37" s="48">
        <v>2</v>
      </c>
      <c r="E37" s="121" t="s">
        <v>3387</v>
      </c>
      <c r="F37" s="120" t="s">
        <v>3285</v>
      </c>
    </row>
    <row r="38" spans="1:6" x14ac:dyDescent="0.2">
      <c r="A38" s="55">
        <v>3</v>
      </c>
      <c r="B38" s="45" t="s">
        <v>328</v>
      </c>
      <c r="C38" s="48">
        <v>2</v>
      </c>
      <c r="E38" s="121" t="s">
        <v>2873</v>
      </c>
      <c r="F38" s="120" t="s">
        <v>3243</v>
      </c>
    </row>
    <row r="39" spans="1:6" x14ac:dyDescent="0.2">
      <c r="A39" s="55">
        <v>4</v>
      </c>
      <c r="B39" s="45" t="s">
        <v>332</v>
      </c>
      <c r="C39" s="48">
        <v>30</v>
      </c>
      <c r="E39" s="121" t="s">
        <v>3519</v>
      </c>
      <c r="F39" s="120" t="s">
        <v>3280</v>
      </c>
    </row>
    <row r="40" spans="1:6" x14ac:dyDescent="0.2">
      <c r="A40" s="55">
        <v>4</v>
      </c>
      <c r="B40" s="45" t="s">
        <v>1585</v>
      </c>
      <c r="C40" s="48">
        <v>30</v>
      </c>
      <c r="E40" s="121" t="s">
        <v>3518</v>
      </c>
      <c r="F40" s="120" t="s">
        <v>3297</v>
      </c>
    </row>
    <row r="41" spans="1:6" x14ac:dyDescent="0.2">
      <c r="A41" s="55">
        <v>4</v>
      </c>
      <c r="B41" s="45" t="s">
        <v>2590</v>
      </c>
      <c r="C41" s="48">
        <v>20</v>
      </c>
      <c r="E41" s="121" t="s">
        <v>1534</v>
      </c>
      <c r="F41" s="120" t="s">
        <v>3241</v>
      </c>
    </row>
    <row r="42" spans="1:6" x14ac:dyDescent="0.2">
      <c r="A42" s="55">
        <v>4</v>
      </c>
      <c r="B42" s="45" t="s">
        <v>326</v>
      </c>
      <c r="C42" s="48">
        <v>13</v>
      </c>
      <c r="E42" s="121" t="s">
        <v>1492</v>
      </c>
      <c r="F42" s="120" t="s">
        <v>3280</v>
      </c>
    </row>
    <row r="43" spans="1:6" x14ac:dyDescent="0.2">
      <c r="A43" s="55">
        <v>4</v>
      </c>
      <c r="B43" s="45" t="s">
        <v>338</v>
      </c>
      <c r="C43" s="48">
        <v>10</v>
      </c>
      <c r="E43" s="121" t="s">
        <v>3140</v>
      </c>
      <c r="F43" s="120" t="s">
        <v>3281</v>
      </c>
    </row>
    <row r="44" spans="1:6" x14ac:dyDescent="0.2">
      <c r="A44" s="55">
        <v>4</v>
      </c>
      <c r="B44" s="45" t="s">
        <v>337</v>
      </c>
      <c r="C44" s="48">
        <v>8</v>
      </c>
      <c r="E44" s="121" t="s">
        <v>3193</v>
      </c>
      <c r="F44" s="120" t="s">
        <v>3227</v>
      </c>
    </row>
    <row r="45" spans="1:6" x14ac:dyDescent="0.2">
      <c r="A45" s="55">
        <v>4</v>
      </c>
      <c r="B45" s="45" t="s">
        <v>603</v>
      </c>
      <c r="C45" s="48">
        <v>7</v>
      </c>
      <c r="E45" s="121" t="s">
        <v>541</v>
      </c>
      <c r="F45" s="120" t="s">
        <v>199</v>
      </c>
    </row>
    <row r="46" spans="1:6" x14ac:dyDescent="0.2">
      <c r="A46" s="55">
        <v>4</v>
      </c>
      <c r="B46" s="45" t="s">
        <v>336</v>
      </c>
      <c r="C46" s="48">
        <v>6</v>
      </c>
      <c r="E46" s="121" t="s">
        <v>3327</v>
      </c>
      <c r="F46" s="120" t="s">
        <v>3281</v>
      </c>
    </row>
    <row r="47" spans="1:6" x14ac:dyDescent="0.2">
      <c r="A47" s="55">
        <v>4</v>
      </c>
      <c r="B47" s="45" t="s">
        <v>2633</v>
      </c>
      <c r="C47" s="48">
        <v>4</v>
      </c>
      <c r="E47" s="121" t="s">
        <v>2881</v>
      </c>
      <c r="F47" s="120" t="s">
        <v>3250</v>
      </c>
    </row>
    <row r="48" spans="1:6" x14ac:dyDescent="0.2">
      <c r="A48" s="55">
        <v>4</v>
      </c>
      <c r="B48" s="45" t="s">
        <v>329</v>
      </c>
      <c r="C48" s="48">
        <v>3</v>
      </c>
      <c r="E48" s="121" t="s">
        <v>2867</v>
      </c>
      <c r="F48" s="120" t="s">
        <v>3238</v>
      </c>
    </row>
    <row r="49" spans="1:6" x14ac:dyDescent="0.2">
      <c r="A49" s="55">
        <v>4</v>
      </c>
      <c r="B49" s="45" t="s">
        <v>2634</v>
      </c>
      <c r="C49" s="48">
        <v>1</v>
      </c>
      <c r="E49" s="121" t="s">
        <v>2893</v>
      </c>
      <c r="F49" s="120" t="s">
        <v>3244</v>
      </c>
    </row>
    <row r="50" spans="1:6" x14ac:dyDescent="0.2">
      <c r="A50" s="55">
        <v>4</v>
      </c>
      <c r="B50" s="45" t="s">
        <v>334</v>
      </c>
      <c r="C50" s="48">
        <v>1</v>
      </c>
      <c r="E50" s="121" t="s">
        <v>3387</v>
      </c>
      <c r="F50" s="120" t="s">
        <v>3285</v>
      </c>
    </row>
    <row r="51" spans="1:6" x14ac:dyDescent="0.2">
      <c r="A51" s="55">
        <v>4</v>
      </c>
      <c r="B51" s="45" t="s">
        <v>330</v>
      </c>
      <c r="C51" s="48">
        <v>1</v>
      </c>
      <c r="E51" s="121" t="s">
        <v>3438</v>
      </c>
      <c r="F51" s="120" t="s">
        <v>3286</v>
      </c>
    </row>
    <row r="52" spans="1:6" x14ac:dyDescent="0.2">
      <c r="A52" s="55">
        <v>4</v>
      </c>
      <c r="B52" s="45" t="s">
        <v>333</v>
      </c>
      <c r="C52" s="48">
        <v>1</v>
      </c>
      <c r="E52" s="121" t="s">
        <v>3167</v>
      </c>
      <c r="F52" s="120" t="s">
        <v>3242</v>
      </c>
    </row>
    <row r="53" spans="1:6" x14ac:dyDescent="0.2">
      <c r="A53" s="55">
        <v>4</v>
      </c>
      <c r="B53" s="45" t="s">
        <v>2591</v>
      </c>
      <c r="C53" s="48">
        <v>0.5</v>
      </c>
      <c r="E53" s="121" t="s">
        <v>2877</v>
      </c>
      <c r="F53" s="120" t="s">
        <v>3247</v>
      </c>
    </row>
    <row r="54" spans="1:6" x14ac:dyDescent="0.2">
      <c r="A54" s="55">
        <v>4</v>
      </c>
      <c r="B54" s="45" t="s">
        <v>2634</v>
      </c>
      <c r="C54" s="48">
        <v>0.5</v>
      </c>
      <c r="E54" s="121" t="s">
        <v>2893</v>
      </c>
      <c r="F54" s="120" t="s">
        <v>3244</v>
      </c>
    </row>
    <row r="55" spans="1:6" x14ac:dyDescent="0.2">
      <c r="A55" s="55">
        <v>4</v>
      </c>
      <c r="B55" s="45" t="s">
        <v>2632</v>
      </c>
      <c r="C55" s="48">
        <v>0.5</v>
      </c>
      <c r="E55" s="121" t="s">
        <v>3136</v>
      </c>
      <c r="F55" s="120" t="s">
        <v>3227</v>
      </c>
    </row>
    <row r="56" spans="1:6" x14ac:dyDescent="0.2">
      <c r="A56" s="55">
        <v>4</v>
      </c>
      <c r="B56" s="45" t="s">
        <v>335</v>
      </c>
      <c r="C56" s="48">
        <v>0.5</v>
      </c>
      <c r="E56" s="121" t="s">
        <v>2848</v>
      </c>
      <c r="F56" s="120" t="s">
        <v>3224</v>
      </c>
    </row>
    <row r="57" spans="1:6" x14ac:dyDescent="0.2">
      <c r="A57" s="55">
        <v>5</v>
      </c>
      <c r="B57" s="45" t="s">
        <v>1585</v>
      </c>
      <c r="C57" s="48">
        <v>30</v>
      </c>
      <c r="E57" s="121" t="s">
        <v>3518</v>
      </c>
      <c r="F57" s="120" t="s">
        <v>3297</v>
      </c>
    </row>
    <row r="58" spans="1:6" x14ac:dyDescent="0.2">
      <c r="A58" s="55">
        <v>5</v>
      </c>
      <c r="B58" s="45" t="s">
        <v>337</v>
      </c>
      <c r="C58" s="48">
        <v>25</v>
      </c>
      <c r="E58" s="121" t="s">
        <v>3193</v>
      </c>
      <c r="F58" s="120" t="s">
        <v>3227</v>
      </c>
    </row>
    <row r="59" spans="1:6" x14ac:dyDescent="0.2">
      <c r="A59" s="55">
        <v>5</v>
      </c>
      <c r="B59" s="45" t="s">
        <v>338</v>
      </c>
      <c r="C59" s="48">
        <v>15</v>
      </c>
      <c r="E59" s="121" t="s">
        <v>3140</v>
      </c>
      <c r="F59" s="120" t="s">
        <v>3281</v>
      </c>
    </row>
    <row r="60" spans="1:6" x14ac:dyDescent="0.2">
      <c r="A60" s="55">
        <v>5</v>
      </c>
      <c r="B60" s="45" t="s">
        <v>332</v>
      </c>
      <c r="C60" s="48">
        <v>15</v>
      </c>
      <c r="E60" s="121" t="s">
        <v>3519</v>
      </c>
      <c r="F60" s="120" t="s">
        <v>3280</v>
      </c>
    </row>
    <row r="61" spans="1:6" x14ac:dyDescent="0.2">
      <c r="A61" s="55">
        <v>5</v>
      </c>
      <c r="B61" s="45" t="s">
        <v>2633</v>
      </c>
      <c r="C61" s="48">
        <v>10</v>
      </c>
      <c r="E61" s="121" t="s">
        <v>2881</v>
      </c>
      <c r="F61" s="120" t="s">
        <v>3250</v>
      </c>
    </row>
    <row r="62" spans="1:6" x14ac:dyDescent="0.2">
      <c r="A62" s="55">
        <v>5</v>
      </c>
      <c r="B62" s="45" t="s">
        <v>2590</v>
      </c>
      <c r="C62" s="48">
        <v>10</v>
      </c>
      <c r="E62" s="121" t="s">
        <v>1534</v>
      </c>
      <c r="F62" s="120" t="s">
        <v>3241</v>
      </c>
    </row>
    <row r="63" spans="1:6" x14ac:dyDescent="0.2">
      <c r="A63" s="55">
        <v>5</v>
      </c>
      <c r="B63" s="45" t="s">
        <v>326</v>
      </c>
      <c r="C63" s="48">
        <v>10</v>
      </c>
      <c r="E63" s="121" t="s">
        <v>1492</v>
      </c>
      <c r="F63" s="120" t="s">
        <v>3280</v>
      </c>
    </row>
    <row r="64" spans="1:6" x14ac:dyDescent="0.2">
      <c r="A64" s="55">
        <v>5</v>
      </c>
      <c r="B64" s="45" t="s">
        <v>329</v>
      </c>
      <c r="C64" s="48">
        <v>6</v>
      </c>
      <c r="E64" s="121" t="s">
        <v>2867</v>
      </c>
      <c r="F64" s="120" t="s">
        <v>3238</v>
      </c>
    </row>
    <row r="65" spans="1:6" x14ac:dyDescent="0.2">
      <c r="A65" s="55">
        <v>5</v>
      </c>
      <c r="B65" s="45" t="s">
        <v>330</v>
      </c>
      <c r="C65" s="48">
        <v>2</v>
      </c>
      <c r="E65" s="121" t="s">
        <v>3438</v>
      </c>
      <c r="F65" s="120" t="s">
        <v>3286</v>
      </c>
    </row>
    <row r="66" spans="1:6" x14ac:dyDescent="0.2">
      <c r="A66" s="55">
        <v>5</v>
      </c>
      <c r="B66" s="45" t="s">
        <v>333</v>
      </c>
      <c r="C66" s="48">
        <v>2</v>
      </c>
      <c r="E66" s="121" t="s">
        <v>3167</v>
      </c>
      <c r="F66" s="120" t="s">
        <v>3242</v>
      </c>
    </row>
    <row r="67" spans="1:6" x14ac:dyDescent="0.2">
      <c r="A67" s="55">
        <v>5</v>
      </c>
      <c r="B67" s="45" t="s">
        <v>336</v>
      </c>
      <c r="C67" s="48">
        <v>1</v>
      </c>
      <c r="E67" s="121" t="s">
        <v>3327</v>
      </c>
      <c r="F67" s="120" t="s">
        <v>3281</v>
      </c>
    </row>
    <row r="68" spans="1:6" x14ac:dyDescent="0.2">
      <c r="A68" s="55">
        <v>5</v>
      </c>
      <c r="B68" s="45" t="s">
        <v>2634</v>
      </c>
      <c r="C68" s="48">
        <v>0.5</v>
      </c>
      <c r="E68" s="121" t="s">
        <v>2893</v>
      </c>
      <c r="F68" s="120" t="s">
        <v>3244</v>
      </c>
    </row>
    <row r="69" spans="1:6" x14ac:dyDescent="0.2">
      <c r="A69" s="55">
        <v>5</v>
      </c>
      <c r="B69" s="45" t="s">
        <v>603</v>
      </c>
      <c r="C69" s="48">
        <v>0.5</v>
      </c>
      <c r="E69" s="121" t="s">
        <v>541</v>
      </c>
      <c r="F69" s="120" t="s">
        <v>199</v>
      </c>
    </row>
    <row r="70" spans="1:6" x14ac:dyDescent="0.2">
      <c r="A70" s="55">
        <v>5</v>
      </c>
      <c r="B70" s="45" t="s">
        <v>334</v>
      </c>
      <c r="C70" s="48">
        <v>0.5</v>
      </c>
      <c r="E70" s="121" t="s">
        <v>3387</v>
      </c>
      <c r="F70" s="120" t="s">
        <v>3285</v>
      </c>
    </row>
    <row r="71" spans="1:6" x14ac:dyDescent="0.2">
      <c r="A71" s="55">
        <v>5</v>
      </c>
      <c r="B71" s="45" t="s">
        <v>2632</v>
      </c>
      <c r="C71" s="48">
        <v>0.5</v>
      </c>
      <c r="E71" s="121" t="s">
        <v>3136</v>
      </c>
      <c r="F71" s="120" t="s">
        <v>3227</v>
      </c>
    </row>
    <row r="72" spans="1:6" x14ac:dyDescent="0.2">
      <c r="A72" s="55">
        <v>5</v>
      </c>
      <c r="B72" s="45" t="s">
        <v>2635</v>
      </c>
      <c r="C72" s="48">
        <v>0.5</v>
      </c>
      <c r="E72" s="121" t="s">
        <v>2872</v>
      </c>
      <c r="F72" s="120" t="s">
        <v>3242</v>
      </c>
    </row>
    <row r="73" spans="1:6" x14ac:dyDescent="0.2">
      <c r="A73" s="55">
        <v>6</v>
      </c>
      <c r="B73" s="45" t="s">
        <v>336</v>
      </c>
      <c r="C73" s="48">
        <v>40</v>
      </c>
      <c r="E73" s="121" t="s">
        <v>3327</v>
      </c>
      <c r="F73" s="120" t="s">
        <v>3281</v>
      </c>
    </row>
    <row r="74" spans="1:6" x14ac:dyDescent="0.2">
      <c r="A74" s="55">
        <v>6</v>
      </c>
      <c r="B74" s="45" t="s">
        <v>1585</v>
      </c>
      <c r="C74" s="48">
        <v>20</v>
      </c>
      <c r="E74" s="121" t="s">
        <v>3518</v>
      </c>
      <c r="F74" s="120" t="s">
        <v>3297</v>
      </c>
    </row>
    <row r="75" spans="1:6" x14ac:dyDescent="0.2">
      <c r="A75" s="55">
        <v>6</v>
      </c>
      <c r="B75" s="45" t="s">
        <v>337</v>
      </c>
      <c r="C75" s="48">
        <v>15</v>
      </c>
      <c r="E75" s="121" t="s">
        <v>3193</v>
      </c>
      <c r="F75" s="120" t="s">
        <v>3227</v>
      </c>
    </row>
    <row r="76" spans="1:6" x14ac:dyDescent="0.2">
      <c r="A76" s="55">
        <v>6</v>
      </c>
      <c r="B76" s="45" t="s">
        <v>332</v>
      </c>
      <c r="C76" s="48">
        <v>10</v>
      </c>
      <c r="E76" s="121" t="s">
        <v>3519</v>
      </c>
      <c r="F76" s="120" t="s">
        <v>3280</v>
      </c>
    </row>
    <row r="77" spans="1:6" x14ac:dyDescent="0.2">
      <c r="A77" s="55">
        <v>6</v>
      </c>
      <c r="B77" s="45" t="s">
        <v>2632</v>
      </c>
      <c r="C77" s="48">
        <v>10</v>
      </c>
      <c r="E77" s="121" t="s">
        <v>3136</v>
      </c>
      <c r="F77" s="120" t="s">
        <v>3227</v>
      </c>
    </row>
    <row r="78" spans="1:6" x14ac:dyDescent="0.2">
      <c r="A78" s="55">
        <v>6</v>
      </c>
      <c r="B78" s="45" t="s">
        <v>329</v>
      </c>
      <c r="C78" s="48">
        <v>6</v>
      </c>
      <c r="E78" s="121" t="s">
        <v>2867</v>
      </c>
      <c r="F78" s="120" t="s">
        <v>3238</v>
      </c>
    </row>
    <row r="79" spans="1:6" x14ac:dyDescent="0.2">
      <c r="A79" s="55">
        <v>6</v>
      </c>
      <c r="B79" s="45" t="s">
        <v>598</v>
      </c>
      <c r="C79" s="48">
        <v>6</v>
      </c>
      <c r="E79" s="121" t="s">
        <v>3478</v>
      </c>
      <c r="F79" s="120" t="s">
        <v>3229</v>
      </c>
    </row>
    <row r="80" spans="1:6" x14ac:dyDescent="0.2">
      <c r="A80" s="55">
        <v>6</v>
      </c>
      <c r="B80" s="45" t="s">
        <v>330</v>
      </c>
      <c r="C80" s="48">
        <v>6</v>
      </c>
      <c r="E80" s="121" t="s">
        <v>3438</v>
      </c>
      <c r="F80" s="120" t="s">
        <v>3286</v>
      </c>
    </row>
    <row r="81" spans="1:6" x14ac:dyDescent="0.2">
      <c r="A81" s="55">
        <v>6</v>
      </c>
      <c r="B81" s="45" t="s">
        <v>2590</v>
      </c>
      <c r="C81" s="48">
        <v>4</v>
      </c>
      <c r="E81" s="121" t="s">
        <v>1534</v>
      </c>
      <c r="F81" s="120" t="s">
        <v>3241</v>
      </c>
    </row>
    <row r="82" spans="1:6" x14ac:dyDescent="0.2">
      <c r="A82" s="55">
        <v>6</v>
      </c>
      <c r="B82" s="45" t="s">
        <v>2633</v>
      </c>
      <c r="C82" s="48">
        <v>2</v>
      </c>
      <c r="E82" s="121" t="s">
        <v>2881</v>
      </c>
      <c r="F82" s="120" t="s">
        <v>3250</v>
      </c>
    </row>
    <row r="83" spans="1:6" x14ac:dyDescent="0.2">
      <c r="A83" s="55">
        <v>6</v>
      </c>
      <c r="B83" s="45" t="s">
        <v>2635</v>
      </c>
      <c r="C83" s="48">
        <v>1</v>
      </c>
      <c r="E83" s="121" t="s">
        <v>2872</v>
      </c>
      <c r="F83" s="120" t="s">
        <v>3242</v>
      </c>
    </row>
    <row r="84" spans="1:6" x14ac:dyDescent="0.2">
      <c r="A84" s="55">
        <v>6</v>
      </c>
      <c r="B84" s="45" t="s">
        <v>333</v>
      </c>
      <c r="C84" s="48">
        <v>1</v>
      </c>
      <c r="E84" s="121" t="s">
        <v>3167</v>
      </c>
      <c r="F84" s="120" t="s">
        <v>3242</v>
      </c>
    </row>
    <row r="85" spans="1:6" x14ac:dyDescent="0.2">
      <c r="A85" s="55">
        <v>7</v>
      </c>
      <c r="B85" s="45" t="s">
        <v>336</v>
      </c>
      <c r="C85" s="48">
        <v>30</v>
      </c>
      <c r="E85" s="121" t="s">
        <v>3327</v>
      </c>
      <c r="F85" s="120" t="s">
        <v>3281</v>
      </c>
    </row>
    <row r="86" spans="1:6" x14ac:dyDescent="0.2">
      <c r="A86" s="55">
        <v>7</v>
      </c>
      <c r="B86" s="45" t="s">
        <v>1585</v>
      </c>
      <c r="C86" s="48">
        <v>30</v>
      </c>
      <c r="E86" s="121" t="s">
        <v>3518</v>
      </c>
      <c r="F86" s="120" t="s">
        <v>3297</v>
      </c>
    </row>
    <row r="87" spans="1:6" x14ac:dyDescent="0.2">
      <c r="A87" s="55">
        <v>7</v>
      </c>
      <c r="B87" s="45" t="s">
        <v>332</v>
      </c>
      <c r="C87" s="48">
        <v>15</v>
      </c>
      <c r="E87" s="121" t="s">
        <v>3519</v>
      </c>
      <c r="F87" s="120" t="s">
        <v>3280</v>
      </c>
    </row>
    <row r="88" spans="1:6" x14ac:dyDescent="0.2">
      <c r="A88" s="55">
        <v>7</v>
      </c>
      <c r="B88" s="45" t="s">
        <v>337</v>
      </c>
      <c r="C88" s="48">
        <v>15</v>
      </c>
      <c r="E88" s="121" t="s">
        <v>3193</v>
      </c>
      <c r="F88" s="120" t="s">
        <v>3227</v>
      </c>
    </row>
    <row r="89" spans="1:6" x14ac:dyDescent="0.2">
      <c r="A89" s="55">
        <v>7</v>
      </c>
      <c r="B89" s="45" t="s">
        <v>339</v>
      </c>
      <c r="C89" s="48">
        <v>10</v>
      </c>
      <c r="E89" s="121" t="s">
        <v>545</v>
      </c>
      <c r="F89" s="120" t="s">
        <v>3238</v>
      </c>
    </row>
    <row r="90" spans="1:6" x14ac:dyDescent="0.2">
      <c r="A90" s="55">
        <v>7</v>
      </c>
      <c r="B90" s="45" t="s">
        <v>329</v>
      </c>
      <c r="C90" s="48">
        <v>4</v>
      </c>
      <c r="E90" s="121" t="s">
        <v>2867</v>
      </c>
      <c r="F90" s="120" t="s">
        <v>3238</v>
      </c>
    </row>
    <row r="91" spans="1:6" x14ac:dyDescent="0.2">
      <c r="A91" s="55">
        <v>7</v>
      </c>
      <c r="B91" s="45" t="s">
        <v>333</v>
      </c>
      <c r="C91" s="48">
        <v>4</v>
      </c>
      <c r="E91" s="121" t="s">
        <v>3167</v>
      </c>
      <c r="F91" s="120" t="s">
        <v>3242</v>
      </c>
    </row>
    <row r="92" spans="1:6" x14ac:dyDescent="0.2">
      <c r="A92" s="55">
        <v>7</v>
      </c>
      <c r="B92" s="45" t="s">
        <v>2634</v>
      </c>
      <c r="C92" s="48">
        <v>0.5</v>
      </c>
      <c r="E92" s="121" t="s">
        <v>2893</v>
      </c>
      <c r="F92" s="120" t="s">
        <v>3244</v>
      </c>
    </row>
    <row r="93" spans="1:6" x14ac:dyDescent="0.2">
      <c r="A93" s="55">
        <v>8</v>
      </c>
      <c r="B93" s="45" t="s">
        <v>1585</v>
      </c>
      <c r="C93" s="48">
        <v>40</v>
      </c>
      <c r="E93" s="121" t="s">
        <v>3518</v>
      </c>
      <c r="F93" s="120" t="s">
        <v>3297</v>
      </c>
    </row>
    <row r="94" spans="1:6" x14ac:dyDescent="0.2">
      <c r="A94" s="55">
        <v>8</v>
      </c>
      <c r="B94" s="45" t="s">
        <v>339</v>
      </c>
      <c r="C94" s="48">
        <v>30</v>
      </c>
      <c r="E94" s="121" t="s">
        <v>545</v>
      </c>
      <c r="F94" s="120" t="s">
        <v>3238</v>
      </c>
    </row>
    <row r="95" spans="1:6" x14ac:dyDescent="0.2">
      <c r="A95" s="55">
        <v>8</v>
      </c>
      <c r="B95" s="45" t="s">
        <v>338</v>
      </c>
      <c r="C95" s="48">
        <v>20</v>
      </c>
      <c r="E95" s="121" t="s">
        <v>3140</v>
      </c>
      <c r="F95" s="120" t="s">
        <v>3281</v>
      </c>
    </row>
    <row r="96" spans="1:6" x14ac:dyDescent="0.2">
      <c r="A96" s="55">
        <v>8</v>
      </c>
      <c r="B96" s="45" t="s">
        <v>337</v>
      </c>
      <c r="C96" s="48">
        <v>10</v>
      </c>
      <c r="E96" s="121" t="s">
        <v>3193</v>
      </c>
      <c r="F96" s="120" t="s">
        <v>3227</v>
      </c>
    </row>
    <row r="97" spans="1:6" x14ac:dyDescent="0.2">
      <c r="A97" s="55">
        <v>8</v>
      </c>
      <c r="B97" s="45" t="s">
        <v>2635</v>
      </c>
      <c r="C97" s="48">
        <v>8</v>
      </c>
      <c r="E97" s="121" t="s">
        <v>2872</v>
      </c>
      <c r="F97" s="120" t="s">
        <v>3242</v>
      </c>
    </row>
    <row r="98" spans="1:6" x14ac:dyDescent="0.2">
      <c r="A98" s="55">
        <v>8</v>
      </c>
      <c r="B98" s="45" t="s">
        <v>332</v>
      </c>
      <c r="C98" s="48">
        <v>6</v>
      </c>
      <c r="E98" s="121" t="s">
        <v>3519</v>
      </c>
      <c r="F98" s="120" t="s">
        <v>3280</v>
      </c>
    </row>
    <row r="99" spans="1:6" x14ac:dyDescent="0.2">
      <c r="A99" s="55">
        <v>8</v>
      </c>
      <c r="B99" s="45" t="s">
        <v>2590</v>
      </c>
      <c r="C99" s="48">
        <v>4</v>
      </c>
      <c r="E99" s="121" t="s">
        <v>1534</v>
      </c>
      <c r="F99" s="120" t="s">
        <v>3241</v>
      </c>
    </row>
    <row r="100" spans="1:6" x14ac:dyDescent="0.2">
      <c r="A100" s="55">
        <v>8</v>
      </c>
      <c r="B100" s="45" t="s">
        <v>329</v>
      </c>
      <c r="C100" s="48">
        <v>3</v>
      </c>
      <c r="E100" s="121" t="s">
        <v>2867</v>
      </c>
      <c r="F100" s="120" t="s">
        <v>3238</v>
      </c>
    </row>
    <row r="101" spans="1:6" x14ac:dyDescent="0.2">
      <c r="A101" s="55">
        <v>8</v>
      </c>
      <c r="B101" s="45" t="s">
        <v>2633</v>
      </c>
      <c r="C101" s="48">
        <v>2</v>
      </c>
      <c r="E101" s="121" t="s">
        <v>2881</v>
      </c>
      <c r="F101" s="120" t="s">
        <v>3250</v>
      </c>
    </row>
    <row r="102" spans="1:6" x14ac:dyDescent="0.2">
      <c r="A102" s="55">
        <v>8</v>
      </c>
      <c r="B102" s="45" t="s">
        <v>328</v>
      </c>
      <c r="C102" s="48">
        <v>1</v>
      </c>
      <c r="E102" s="121" t="s">
        <v>2873</v>
      </c>
      <c r="F102" s="120" t="s">
        <v>3243</v>
      </c>
    </row>
    <row r="103" spans="1:6" x14ac:dyDescent="0.2">
      <c r="A103" s="55">
        <v>8</v>
      </c>
      <c r="B103" s="45" t="s">
        <v>603</v>
      </c>
      <c r="C103" s="48">
        <v>0.5</v>
      </c>
      <c r="E103" s="121" t="s">
        <v>541</v>
      </c>
      <c r="F103" s="120" t="s">
        <v>199</v>
      </c>
    </row>
    <row r="104" spans="1:6" x14ac:dyDescent="0.2">
      <c r="A104" s="55">
        <v>8</v>
      </c>
      <c r="B104" s="45" t="s">
        <v>334</v>
      </c>
      <c r="C104" s="48">
        <v>0.5</v>
      </c>
      <c r="E104" s="121" t="s">
        <v>3387</v>
      </c>
      <c r="F104" s="120" t="s">
        <v>3285</v>
      </c>
    </row>
    <row r="105" spans="1:6" x14ac:dyDescent="0.2">
      <c r="A105" s="55">
        <v>8</v>
      </c>
      <c r="B105" s="45" t="s">
        <v>335</v>
      </c>
      <c r="C105" s="48">
        <v>0.5</v>
      </c>
      <c r="E105" s="121" t="s">
        <v>2848</v>
      </c>
      <c r="F105" s="120" t="s">
        <v>3224</v>
      </c>
    </row>
    <row r="106" spans="1:6" x14ac:dyDescent="0.2">
      <c r="A106" s="55">
        <v>8</v>
      </c>
      <c r="B106" s="45" t="s">
        <v>333</v>
      </c>
      <c r="C106" s="48">
        <v>0.5</v>
      </c>
      <c r="E106" s="121" t="s">
        <v>3167</v>
      </c>
      <c r="F106" s="120" t="s">
        <v>3242</v>
      </c>
    </row>
    <row r="107" spans="1:6" x14ac:dyDescent="0.2">
      <c r="A107" s="55">
        <v>9</v>
      </c>
      <c r="B107" s="45" t="s">
        <v>347</v>
      </c>
      <c r="C107" s="48">
        <v>40</v>
      </c>
      <c r="E107" s="121" t="s">
        <v>3492</v>
      </c>
      <c r="F107" s="120" t="s">
        <v>3312</v>
      </c>
    </row>
    <row r="108" spans="1:6" x14ac:dyDescent="0.2">
      <c r="A108" s="55">
        <v>9</v>
      </c>
      <c r="B108" s="45" t="s">
        <v>340</v>
      </c>
      <c r="C108" s="48">
        <v>25</v>
      </c>
      <c r="E108" s="121" t="s">
        <v>1529</v>
      </c>
      <c r="F108" s="120" t="s">
        <v>3249</v>
      </c>
    </row>
    <row r="109" spans="1:6" x14ac:dyDescent="0.2">
      <c r="A109" s="55">
        <v>9</v>
      </c>
      <c r="B109" s="45" t="s">
        <v>348</v>
      </c>
      <c r="C109" s="48">
        <v>25</v>
      </c>
      <c r="E109" s="121" t="s">
        <v>3433</v>
      </c>
      <c r="F109" s="120" t="s">
        <v>3285</v>
      </c>
    </row>
    <row r="110" spans="1:6" x14ac:dyDescent="0.2">
      <c r="A110" s="55">
        <v>9</v>
      </c>
      <c r="B110" s="45" t="s">
        <v>432</v>
      </c>
      <c r="C110" s="48">
        <v>20</v>
      </c>
      <c r="E110" s="121" t="s">
        <v>3186</v>
      </c>
      <c r="F110" s="120" t="s">
        <v>3284</v>
      </c>
    </row>
    <row r="111" spans="1:6" x14ac:dyDescent="0.2">
      <c r="A111" s="55">
        <v>9</v>
      </c>
      <c r="B111" s="45" t="s">
        <v>343</v>
      </c>
      <c r="C111" s="48">
        <v>10</v>
      </c>
      <c r="E111" s="121" t="s">
        <v>3334</v>
      </c>
      <c r="F111" s="120" t="s">
        <v>3303</v>
      </c>
    </row>
    <row r="112" spans="1:6" x14ac:dyDescent="0.2">
      <c r="A112" s="55">
        <v>9</v>
      </c>
      <c r="B112" s="45" t="s">
        <v>341</v>
      </c>
      <c r="C112" s="48">
        <v>8</v>
      </c>
      <c r="E112" s="121" t="s">
        <v>3062</v>
      </c>
      <c r="F112" s="120" t="s">
        <v>3266</v>
      </c>
    </row>
    <row r="113" spans="1:6" x14ac:dyDescent="0.2">
      <c r="A113" s="55">
        <v>9</v>
      </c>
      <c r="B113" s="45" t="s">
        <v>1286</v>
      </c>
      <c r="C113" s="48">
        <v>8</v>
      </c>
      <c r="E113" s="121" t="s">
        <v>2926</v>
      </c>
      <c r="F113" s="120" t="s">
        <v>3215</v>
      </c>
    </row>
    <row r="114" spans="1:6" x14ac:dyDescent="0.2">
      <c r="A114" s="55">
        <v>9</v>
      </c>
      <c r="B114" s="45" t="s">
        <v>355</v>
      </c>
      <c r="C114" s="48">
        <v>7</v>
      </c>
      <c r="E114" s="121" t="s">
        <v>1150</v>
      </c>
      <c r="F114" s="120" t="s">
        <v>3287</v>
      </c>
    </row>
    <row r="115" spans="1:6" x14ac:dyDescent="0.2">
      <c r="A115" s="55">
        <v>9</v>
      </c>
      <c r="B115" s="45" t="s">
        <v>2636</v>
      </c>
      <c r="C115" s="48">
        <v>6</v>
      </c>
      <c r="E115" s="121" t="s">
        <v>3504</v>
      </c>
      <c r="F115" s="120" t="s">
        <v>3248</v>
      </c>
    </row>
    <row r="116" spans="1:6" x14ac:dyDescent="0.2">
      <c r="A116" s="55">
        <v>9</v>
      </c>
      <c r="B116" s="45" t="s">
        <v>342</v>
      </c>
      <c r="C116" s="48">
        <v>5</v>
      </c>
      <c r="E116" s="121" t="s">
        <v>1169</v>
      </c>
      <c r="F116" s="120" t="s">
        <v>3249</v>
      </c>
    </row>
    <row r="117" spans="1:6" x14ac:dyDescent="0.2">
      <c r="A117" s="55">
        <v>9</v>
      </c>
      <c r="B117" s="45" t="s">
        <v>597</v>
      </c>
      <c r="C117" s="48">
        <v>5</v>
      </c>
      <c r="E117" s="121" t="s">
        <v>3060</v>
      </c>
      <c r="F117" s="120" t="s">
        <v>3248</v>
      </c>
    </row>
    <row r="118" spans="1:6" x14ac:dyDescent="0.2">
      <c r="A118" s="55">
        <v>9</v>
      </c>
      <c r="B118" s="45" t="s">
        <v>350</v>
      </c>
      <c r="C118" s="48">
        <v>4</v>
      </c>
      <c r="E118" s="121" t="s">
        <v>1415</v>
      </c>
      <c r="F118" s="120" t="s">
        <v>3249</v>
      </c>
    </row>
    <row r="119" spans="1:6" x14ac:dyDescent="0.2">
      <c r="A119" s="55">
        <v>9</v>
      </c>
      <c r="B119" s="45" t="s">
        <v>346</v>
      </c>
      <c r="C119" s="48">
        <v>4</v>
      </c>
      <c r="E119" s="121" t="s">
        <v>3490</v>
      </c>
      <c r="F119" s="120" t="s">
        <v>3310</v>
      </c>
    </row>
    <row r="120" spans="1:6" x14ac:dyDescent="0.2">
      <c r="A120" s="55">
        <v>9</v>
      </c>
      <c r="B120" s="45" t="s">
        <v>345</v>
      </c>
      <c r="C120" s="48">
        <v>4</v>
      </c>
      <c r="E120" s="121" t="s">
        <v>3520</v>
      </c>
      <c r="F120" s="120" t="s">
        <v>3227</v>
      </c>
    </row>
    <row r="121" spans="1:6" x14ac:dyDescent="0.2">
      <c r="A121" s="55">
        <v>9</v>
      </c>
      <c r="B121" s="45" t="s">
        <v>353</v>
      </c>
      <c r="C121" s="48">
        <v>3</v>
      </c>
      <c r="E121" s="121" t="s">
        <v>2866</v>
      </c>
      <c r="F121" s="120" t="s">
        <v>3237</v>
      </c>
    </row>
    <row r="122" spans="1:6" x14ac:dyDescent="0.2">
      <c r="A122" s="55">
        <v>9</v>
      </c>
      <c r="B122" s="45" t="s">
        <v>352</v>
      </c>
      <c r="C122" s="48">
        <v>2</v>
      </c>
      <c r="E122" s="121" t="s">
        <v>2908</v>
      </c>
      <c r="F122" s="120" t="s">
        <v>3259</v>
      </c>
    </row>
    <row r="123" spans="1:6" x14ac:dyDescent="0.2">
      <c r="A123" s="55">
        <v>9</v>
      </c>
      <c r="B123" s="45" t="s">
        <v>3151</v>
      </c>
      <c r="C123" s="48">
        <v>2</v>
      </c>
      <c r="E123" s="121" t="s">
        <v>3194</v>
      </c>
      <c r="F123" s="120" t="s">
        <v>3258</v>
      </c>
    </row>
    <row r="124" spans="1:6" x14ac:dyDescent="0.2">
      <c r="A124" s="55">
        <v>9</v>
      </c>
      <c r="B124" s="45" t="s">
        <v>2574</v>
      </c>
      <c r="C124" s="48">
        <v>2</v>
      </c>
      <c r="E124" s="121" t="s">
        <v>1226</v>
      </c>
      <c r="F124" s="120" t="s">
        <v>1287</v>
      </c>
    </row>
    <row r="125" spans="1:6" x14ac:dyDescent="0.2">
      <c r="A125" s="55">
        <v>9</v>
      </c>
      <c r="B125" s="45" t="s">
        <v>357</v>
      </c>
      <c r="C125" s="48">
        <v>2</v>
      </c>
      <c r="E125" s="121" t="s">
        <v>3063</v>
      </c>
      <c r="F125" s="120" t="s">
        <v>3262</v>
      </c>
    </row>
    <row r="126" spans="1:6" x14ac:dyDescent="0.2">
      <c r="A126" s="55">
        <v>9</v>
      </c>
      <c r="B126" s="45" t="s">
        <v>344</v>
      </c>
      <c r="C126" s="48">
        <v>2</v>
      </c>
      <c r="E126" s="121" t="s">
        <v>1403</v>
      </c>
      <c r="F126" s="120" t="s">
        <v>3215</v>
      </c>
    </row>
    <row r="127" spans="1:6" x14ac:dyDescent="0.2">
      <c r="A127" s="55">
        <v>9</v>
      </c>
      <c r="B127" s="45" t="s">
        <v>354</v>
      </c>
      <c r="C127" s="48">
        <v>2</v>
      </c>
      <c r="E127" s="121" t="s">
        <v>3188</v>
      </c>
      <c r="F127" s="120" t="s">
        <v>3269</v>
      </c>
    </row>
    <row r="128" spans="1:6" x14ac:dyDescent="0.2">
      <c r="A128" s="55">
        <v>9</v>
      </c>
      <c r="B128" s="45" t="s">
        <v>2637</v>
      </c>
      <c r="C128" s="48">
        <v>1</v>
      </c>
      <c r="E128" s="121" t="s">
        <v>1499</v>
      </c>
      <c r="F128" s="120" t="s">
        <v>3215</v>
      </c>
    </row>
    <row r="129" spans="1:6" x14ac:dyDescent="0.2">
      <c r="A129" s="55">
        <v>9</v>
      </c>
      <c r="B129" s="45" t="s">
        <v>370</v>
      </c>
      <c r="C129" s="48">
        <v>1</v>
      </c>
      <c r="E129" s="121" t="s">
        <v>1875</v>
      </c>
      <c r="F129" s="120" t="s">
        <v>3318</v>
      </c>
    </row>
    <row r="130" spans="1:6" x14ac:dyDescent="0.2">
      <c r="A130" s="55">
        <v>9</v>
      </c>
      <c r="B130" s="45" t="s">
        <v>359</v>
      </c>
      <c r="C130" s="48">
        <v>1</v>
      </c>
      <c r="E130" s="121" t="s">
        <v>3086</v>
      </c>
      <c r="F130" s="120" t="s">
        <v>3272</v>
      </c>
    </row>
    <row r="131" spans="1:6" x14ac:dyDescent="0.2">
      <c r="A131" s="55">
        <v>9</v>
      </c>
      <c r="B131" s="45" t="s">
        <v>569</v>
      </c>
      <c r="C131" s="48">
        <v>1</v>
      </c>
      <c r="E131" s="121" t="s">
        <v>1515</v>
      </c>
      <c r="F131" s="120" t="s">
        <v>3246</v>
      </c>
    </row>
    <row r="132" spans="1:6" x14ac:dyDescent="0.2">
      <c r="A132" s="55">
        <v>9</v>
      </c>
      <c r="B132" s="45" t="s">
        <v>369</v>
      </c>
      <c r="C132" s="48">
        <v>0.5</v>
      </c>
      <c r="E132" s="121" t="s">
        <v>2829</v>
      </c>
      <c r="F132" s="120" t="s">
        <v>1289</v>
      </c>
    </row>
    <row r="133" spans="1:6" x14ac:dyDescent="0.2">
      <c r="A133" s="55">
        <v>9</v>
      </c>
      <c r="B133" s="45" t="s">
        <v>356</v>
      </c>
      <c r="C133" s="48">
        <v>0.5</v>
      </c>
      <c r="E133" s="121" t="s">
        <v>2902</v>
      </c>
      <c r="F133" s="120" t="s">
        <v>3258</v>
      </c>
    </row>
    <row r="134" spans="1:6" x14ac:dyDescent="0.2">
      <c r="A134" s="55">
        <v>9</v>
      </c>
      <c r="B134" s="45" t="s">
        <v>402</v>
      </c>
      <c r="C134" s="48">
        <v>0.5</v>
      </c>
      <c r="E134" s="121" t="s">
        <v>3171</v>
      </c>
      <c r="F134" s="120" t="s">
        <v>3284</v>
      </c>
    </row>
    <row r="135" spans="1:6" x14ac:dyDescent="0.2">
      <c r="A135" s="55">
        <v>9</v>
      </c>
      <c r="B135" s="45" t="s">
        <v>391</v>
      </c>
      <c r="C135" s="48">
        <v>0.5</v>
      </c>
      <c r="E135" s="121" t="s">
        <v>535</v>
      </c>
      <c r="F135" s="120" t="s">
        <v>3284</v>
      </c>
    </row>
    <row r="136" spans="1:6" x14ac:dyDescent="0.2">
      <c r="A136" s="55">
        <v>9</v>
      </c>
      <c r="B136" s="45" t="s">
        <v>351</v>
      </c>
      <c r="C136" s="48">
        <v>0.5</v>
      </c>
      <c r="E136" s="121" t="s">
        <v>3051</v>
      </c>
      <c r="F136" s="120" t="s">
        <v>3215</v>
      </c>
    </row>
    <row r="137" spans="1:6" x14ac:dyDescent="0.2">
      <c r="A137" s="55">
        <v>9</v>
      </c>
      <c r="B137" s="45" t="s">
        <v>614</v>
      </c>
      <c r="C137" s="48">
        <v>0.5</v>
      </c>
      <c r="E137" s="121" t="s">
        <v>2836</v>
      </c>
      <c r="F137" s="120" t="s">
        <v>3217</v>
      </c>
    </row>
    <row r="138" spans="1:6" x14ac:dyDescent="0.2">
      <c r="A138" s="55">
        <v>9</v>
      </c>
      <c r="B138" s="45" t="s">
        <v>349</v>
      </c>
      <c r="C138" s="48">
        <v>0.5</v>
      </c>
      <c r="E138" s="121" t="s">
        <v>1200</v>
      </c>
      <c r="F138" s="120" t="s">
        <v>3292</v>
      </c>
    </row>
    <row r="139" spans="1:6" x14ac:dyDescent="0.2">
      <c r="A139" s="55">
        <v>9</v>
      </c>
      <c r="B139" s="45" t="s">
        <v>583</v>
      </c>
      <c r="C139" s="48">
        <v>0.5</v>
      </c>
      <c r="E139" s="121" t="s">
        <v>1207</v>
      </c>
      <c r="F139" s="120" t="s">
        <v>3274</v>
      </c>
    </row>
    <row r="140" spans="1:6" x14ac:dyDescent="0.2">
      <c r="A140" s="55">
        <v>9</v>
      </c>
      <c r="B140" s="45" t="s">
        <v>358</v>
      </c>
      <c r="C140" s="48">
        <v>0.5</v>
      </c>
      <c r="E140" s="121" t="s">
        <v>1404</v>
      </c>
      <c r="F140" s="120" t="s">
        <v>3248</v>
      </c>
    </row>
    <row r="141" spans="1:6" x14ac:dyDescent="0.2">
      <c r="A141" s="55">
        <v>10</v>
      </c>
      <c r="B141" s="45" t="s">
        <v>360</v>
      </c>
      <c r="C141" s="48">
        <v>25</v>
      </c>
      <c r="E141" s="121" t="s">
        <v>3522</v>
      </c>
      <c r="F141" s="120" t="s">
        <v>3258</v>
      </c>
    </row>
    <row r="142" spans="1:6" x14ac:dyDescent="0.2">
      <c r="A142" s="55">
        <v>10</v>
      </c>
      <c r="B142" s="45" t="s">
        <v>3151</v>
      </c>
      <c r="C142" s="48">
        <v>15</v>
      </c>
      <c r="E142" s="121" t="s">
        <v>3194</v>
      </c>
      <c r="F142" s="120" t="s">
        <v>3258</v>
      </c>
    </row>
    <row r="143" spans="1:6" x14ac:dyDescent="0.2">
      <c r="A143" s="55">
        <v>10</v>
      </c>
      <c r="B143" s="45" t="s">
        <v>340</v>
      </c>
      <c r="C143" s="48">
        <v>12</v>
      </c>
      <c r="E143" s="121" t="s">
        <v>1529</v>
      </c>
      <c r="F143" s="120" t="s">
        <v>3249</v>
      </c>
    </row>
    <row r="144" spans="1:6" x14ac:dyDescent="0.2">
      <c r="A144" s="55">
        <v>10</v>
      </c>
      <c r="B144" s="45" t="s">
        <v>358</v>
      </c>
      <c r="C144" s="48">
        <v>12</v>
      </c>
      <c r="E144" s="121" t="s">
        <v>1404</v>
      </c>
      <c r="F144" s="120" t="s">
        <v>3248</v>
      </c>
    </row>
    <row r="145" spans="1:6" x14ac:dyDescent="0.2">
      <c r="A145" s="55">
        <v>10</v>
      </c>
      <c r="B145" s="45" t="s">
        <v>361</v>
      </c>
      <c r="C145" s="48">
        <v>10</v>
      </c>
      <c r="E145" s="121" t="s">
        <v>3201</v>
      </c>
      <c r="F145" s="120" t="s">
        <v>3249</v>
      </c>
    </row>
    <row r="146" spans="1:6" x14ac:dyDescent="0.2">
      <c r="A146" s="55">
        <v>10</v>
      </c>
      <c r="B146" s="45" t="s">
        <v>348</v>
      </c>
      <c r="C146" s="48">
        <v>8</v>
      </c>
      <c r="E146" s="121" t="s">
        <v>3433</v>
      </c>
      <c r="F146" s="120" t="s">
        <v>3285</v>
      </c>
    </row>
    <row r="147" spans="1:6" x14ac:dyDescent="0.2">
      <c r="A147" s="55">
        <v>10</v>
      </c>
      <c r="B147" s="45" t="s">
        <v>364</v>
      </c>
      <c r="C147" s="48">
        <v>8</v>
      </c>
      <c r="E147" s="121" t="s">
        <v>3495</v>
      </c>
      <c r="F147" s="120" t="s">
        <v>3313</v>
      </c>
    </row>
    <row r="148" spans="1:6" x14ac:dyDescent="0.2">
      <c r="A148" s="55">
        <v>10</v>
      </c>
      <c r="B148" s="45" t="s">
        <v>347</v>
      </c>
      <c r="C148" s="48">
        <v>7</v>
      </c>
      <c r="E148" s="121" t="s">
        <v>3492</v>
      </c>
      <c r="F148" s="120" t="s">
        <v>3312</v>
      </c>
    </row>
    <row r="149" spans="1:6" x14ac:dyDescent="0.2">
      <c r="A149" s="55">
        <v>10</v>
      </c>
      <c r="B149" s="45" t="s">
        <v>362</v>
      </c>
      <c r="C149" s="48">
        <v>6</v>
      </c>
      <c r="E149" s="121" t="s">
        <v>3135</v>
      </c>
      <c r="F149" s="120" t="s">
        <v>3227</v>
      </c>
    </row>
    <row r="150" spans="1:6" x14ac:dyDescent="0.2">
      <c r="A150" s="55">
        <v>10</v>
      </c>
      <c r="B150" s="45" t="s">
        <v>2636</v>
      </c>
      <c r="C150" s="48">
        <v>5</v>
      </c>
      <c r="E150" s="121" t="s">
        <v>3504</v>
      </c>
      <c r="F150" s="120" t="s">
        <v>3248</v>
      </c>
    </row>
    <row r="151" spans="1:6" x14ac:dyDescent="0.2">
      <c r="A151" s="55">
        <v>10</v>
      </c>
      <c r="B151" s="45" t="s">
        <v>342</v>
      </c>
      <c r="C151" s="48">
        <v>5</v>
      </c>
      <c r="E151" s="121" t="s">
        <v>1169</v>
      </c>
      <c r="F151" s="120" t="s">
        <v>3249</v>
      </c>
    </row>
    <row r="152" spans="1:6" x14ac:dyDescent="0.2">
      <c r="A152" s="55">
        <v>10</v>
      </c>
      <c r="B152" s="45" t="s">
        <v>2639</v>
      </c>
      <c r="C152" s="48">
        <v>4</v>
      </c>
      <c r="E152" s="121" t="s">
        <v>1430</v>
      </c>
      <c r="F152" s="120" t="s">
        <v>3288</v>
      </c>
    </row>
    <row r="153" spans="1:6" x14ac:dyDescent="0.2">
      <c r="A153" s="55">
        <v>10</v>
      </c>
      <c r="B153" s="45" t="s">
        <v>582</v>
      </c>
      <c r="C153" s="48">
        <v>3</v>
      </c>
      <c r="E153" s="121" t="s">
        <v>2841</v>
      </c>
      <c r="F153" s="120" t="s">
        <v>3219</v>
      </c>
    </row>
    <row r="154" spans="1:6" x14ac:dyDescent="0.2">
      <c r="A154" s="55">
        <v>10</v>
      </c>
      <c r="B154" s="45" t="s">
        <v>2573</v>
      </c>
      <c r="C154" s="48">
        <v>2</v>
      </c>
      <c r="E154" s="121" t="s">
        <v>2880</v>
      </c>
      <c r="F154" s="120" t="s">
        <v>3249</v>
      </c>
    </row>
    <row r="155" spans="1:6" x14ac:dyDescent="0.2">
      <c r="A155" s="55">
        <v>10</v>
      </c>
      <c r="B155" s="45" t="s">
        <v>402</v>
      </c>
      <c r="C155" s="48">
        <v>2</v>
      </c>
      <c r="E155" s="121" t="s">
        <v>3171</v>
      </c>
      <c r="F155" s="120" t="s">
        <v>3284</v>
      </c>
    </row>
    <row r="156" spans="1:6" x14ac:dyDescent="0.2">
      <c r="A156" s="55">
        <v>10</v>
      </c>
      <c r="B156" s="45" t="s">
        <v>388</v>
      </c>
      <c r="C156" s="48">
        <v>2</v>
      </c>
      <c r="E156" s="121" t="s">
        <v>3175</v>
      </c>
      <c r="F156" s="120" t="s">
        <v>3284</v>
      </c>
    </row>
    <row r="157" spans="1:6" x14ac:dyDescent="0.2">
      <c r="A157" s="55">
        <v>10</v>
      </c>
      <c r="B157" s="45" t="s">
        <v>2611</v>
      </c>
      <c r="C157" s="48">
        <v>2</v>
      </c>
      <c r="E157" s="121" t="s">
        <v>3430</v>
      </c>
      <c r="F157" s="120" t="s">
        <v>3285</v>
      </c>
    </row>
    <row r="158" spans="1:6" x14ac:dyDescent="0.2">
      <c r="A158" s="55">
        <v>10</v>
      </c>
      <c r="B158" s="45" t="s">
        <v>367</v>
      </c>
      <c r="C158" s="48">
        <v>2</v>
      </c>
      <c r="E158" s="121" t="s">
        <v>2851</v>
      </c>
      <c r="F158" s="120" t="s">
        <v>3226</v>
      </c>
    </row>
    <row r="159" spans="1:6" x14ac:dyDescent="0.2">
      <c r="A159" s="55">
        <v>10</v>
      </c>
      <c r="B159" s="45" t="s">
        <v>366</v>
      </c>
      <c r="C159" s="48">
        <v>1</v>
      </c>
      <c r="E159" s="121" t="s">
        <v>1187</v>
      </c>
      <c r="F159" s="120" t="s">
        <v>3263</v>
      </c>
    </row>
    <row r="160" spans="1:6" x14ac:dyDescent="0.2">
      <c r="A160" s="55">
        <v>10</v>
      </c>
      <c r="B160" s="45" t="s">
        <v>363</v>
      </c>
      <c r="C160" s="48">
        <v>1</v>
      </c>
      <c r="E160" s="121" t="s">
        <v>3048</v>
      </c>
      <c r="F160" s="120" t="s">
        <v>3250</v>
      </c>
    </row>
    <row r="161" spans="1:6" x14ac:dyDescent="0.2">
      <c r="A161" s="55">
        <v>10</v>
      </c>
      <c r="B161" s="45" t="s">
        <v>341</v>
      </c>
      <c r="C161" s="48">
        <v>1</v>
      </c>
      <c r="E161" s="121" t="s">
        <v>3062</v>
      </c>
      <c r="F161" s="120" t="s">
        <v>3266</v>
      </c>
    </row>
    <row r="162" spans="1:6" x14ac:dyDescent="0.2">
      <c r="A162" s="55">
        <v>10</v>
      </c>
      <c r="B162" s="45" t="s">
        <v>327</v>
      </c>
      <c r="C162" s="48">
        <v>1</v>
      </c>
      <c r="E162" s="121" t="s">
        <v>3517</v>
      </c>
      <c r="F162" s="120" t="s">
        <v>3226</v>
      </c>
    </row>
    <row r="163" spans="1:6" x14ac:dyDescent="0.2">
      <c r="A163" s="55">
        <v>10</v>
      </c>
      <c r="B163" s="45" t="s">
        <v>349</v>
      </c>
      <c r="C163" s="48">
        <v>1</v>
      </c>
      <c r="E163" s="121" t="s">
        <v>1200</v>
      </c>
      <c r="F163" s="120" t="s">
        <v>3292</v>
      </c>
    </row>
    <row r="164" spans="1:6" x14ac:dyDescent="0.2">
      <c r="A164" s="55">
        <v>10</v>
      </c>
      <c r="B164" s="45" t="s">
        <v>344</v>
      </c>
      <c r="C164" s="48">
        <v>1</v>
      </c>
      <c r="E164" s="121" t="s">
        <v>1403</v>
      </c>
      <c r="F164" s="120" t="s">
        <v>3215</v>
      </c>
    </row>
    <row r="165" spans="1:6" x14ac:dyDescent="0.2">
      <c r="A165" s="55">
        <v>10</v>
      </c>
      <c r="B165" s="45" t="s">
        <v>359</v>
      </c>
      <c r="C165" s="48">
        <v>1</v>
      </c>
      <c r="E165" s="121" t="s">
        <v>3086</v>
      </c>
      <c r="F165" s="120" t="s">
        <v>3272</v>
      </c>
    </row>
    <row r="166" spans="1:6" x14ac:dyDescent="0.2">
      <c r="A166" s="55">
        <v>10</v>
      </c>
      <c r="B166" s="45" t="s">
        <v>350</v>
      </c>
      <c r="C166" s="48">
        <v>0.5</v>
      </c>
      <c r="E166" s="121" t="s">
        <v>1415</v>
      </c>
      <c r="F166" s="120" t="s">
        <v>3249</v>
      </c>
    </row>
    <row r="167" spans="1:6" x14ac:dyDescent="0.2">
      <c r="A167" s="55">
        <v>10</v>
      </c>
      <c r="B167" s="45" t="s">
        <v>2638</v>
      </c>
      <c r="C167" s="48">
        <v>0.5</v>
      </c>
      <c r="E167" s="121" t="s">
        <v>3165</v>
      </c>
      <c r="F167" s="120" t="s">
        <v>3248</v>
      </c>
    </row>
    <row r="168" spans="1:6" x14ac:dyDescent="0.2">
      <c r="A168" s="55">
        <v>10</v>
      </c>
      <c r="B168" s="45" t="s">
        <v>2574</v>
      </c>
      <c r="C168" s="48">
        <v>0.5</v>
      </c>
      <c r="E168" s="121" t="s">
        <v>1226</v>
      </c>
      <c r="F168" s="120" t="s">
        <v>1287</v>
      </c>
    </row>
    <row r="169" spans="1:6" x14ac:dyDescent="0.2">
      <c r="A169" s="55">
        <v>10</v>
      </c>
      <c r="B169" s="45" t="s">
        <v>1286</v>
      </c>
      <c r="C169" s="48">
        <v>0.5</v>
      </c>
      <c r="E169" s="121" t="s">
        <v>2926</v>
      </c>
      <c r="F169" s="120" t="s">
        <v>3215</v>
      </c>
    </row>
    <row r="170" spans="1:6" x14ac:dyDescent="0.2">
      <c r="A170" s="55">
        <v>10</v>
      </c>
      <c r="B170" s="45" t="s">
        <v>365</v>
      </c>
      <c r="C170" s="48">
        <v>0.5</v>
      </c>
      <c r="E170" s="121" t="s">
        <v>3380</v>
      </c>
      <c r="F170" s="120" t="s">
        <v>3308</v>
      </c>
    </row>
    <row r="171" spans="1:6" x14ac:dyDescent="0.2">
      <c r="A171" s="55">
        <v>10</v>
      </c>
      <c r="B171" s="45" t="s">
        <v>2640</v>
      </c>
      <c r="C171" s="48">
        <v>0.5</v>
      </c>
      <c r="E171" s="121" t="s">
        <v>1539</v>
      </c>
      <c r="F171" s="120" t="s">
        <v>3221</v>
      </c>
    </row>
    <row r="172" spans="1:6" x14ac:dyDescent="0.2">
      <c r="A172" s="55">
        <v>11</v>
      </c>
      <c r="B172" s="45" t="s">
        <v>347</v>
      </c>
      <c r="C172" s="48">
        <v>30</v>
      </c>
      <c r="E172" s="121" t="s">
        <v>3492</v>
      </c>
      <c r="F172" s="120" t="s">
        <v>3312</v>
      </c>
    </row>
    <row r="173" spans="1:6" x14ac:dyDescent="0.2">
      <c r="A173" s="55">
        <v>11</v>
      </c>
      <c r="B173" s="45" t="s">
        <v>340</v>
      </c>
      <c r="C173" s="48">
        <v>15</v>
      </c>
      <c r="E173" s="121" t="s">
        <v>1529</v>
      </c>
      <c r="F173" s="120" t="s">
        <v>3249</v>
      </c>
    </row>
    <row r="174" spans="1:6" x14ac:dyDescent="0.2">
      <c r="A174" s="55">
        <v>11</v>
      </c>
      <c r="B174" s="45" t="s">
        <v>361</v>
      </c>
      <c r="C174" s="48">
        <v>10</v>
      </c>
      <c r="E174" s="121" t="s">
        <v>3201</v>
      </c>
      <c r="F174" s="120" t="s">
        <v>3249</v>
      </c>
    </row>
    <row r="175" spans="1:6" x14ac:dyDescent="0.2">
      <c r="A175" s="55">
        <v>11</v>
      </c>
      <c r="B175" s="45" t="s">
        <v>341</v>
      </c>
      <c r="C175" s="48">
        <v>10</v>
      </c>
      <c r="E175" s="121" t="s">
        <v>3062</v>
      </c>
      <c r="F175" s="120" t="s">
        <v>3266</v>
      </c>
    </row>
    <row r="176" spans="1:6" x14ac:dyDescent="0.2">
      <c r="A176" s="55">
        <v>11</v>
      </c>
      <c r="B176" s="45" t="s">
        <v>342</v>
      </c>
      <c r="C176" s="48">
        <v>8</v>
      </c>
      <c r="E176" s="121" t="s">
        <v>1169</v>
      </c>
      <c r="F176" s="120" t="s">
        <v>3249</v>
      </c>
    </row>
    <row r="177" spans="1:6" x14ac:dyDescent="0.2">
      <c r="A177" s="55">
        <v>11</v>
      </c>
      <c r="B177" s="45" t="s">
        <v>597</v>
      </c>
      <c r="C177" s="48">
        <v>5</v>
      </c>
      <c r="E177" s="121" t="s">
        <v>3060</v>
      </c>
      <c r="F177" s="120" t="s">
        <v>3248</v>
      </c>
    </row>
    <row r="178" spans="1:6" x14ac:dyDescent="0.2">
      <c r="A178" s="55">
        <v>11</v>
      </c>
      <c r="B178" s="45" t="s">
        <v>350</v>
      </c>
      <c r="C178" s="48">
        <v>4</v>
      </c>
      <c r="E178" s="121" t="s">
        <v>1415</v>
      </c>
      <c r="F178" s="120" t="s">
        <v>3249</v>
      </c>
    </row>
    <row r="179" spans="1:6" x14ac:dyDescent="0.2">
      <c r="A179" s="55">
        <v>11</v>
      </c>
      <c r="B179" s="45" t="s">
        <v>362</v>
      </c>
      <c r="C179" s="48">
        <v>3</v>
      </c>
      <c r="E179" s="121" t="s">
        <v>3135</v>
      </c>
      <c r="F179" s="120" t="s">
        <v>3227</v>
      </c>
    </row>
    <row r="180" spans="1:6" x14ac:dyDescent="0.2">
      <c r="A180" s="55">
        <v>11</v>
      </c>
      <c r="B180" s="45" t="s">
        <v>357</v>
      </c>
      <c r="C180" s="48">
        <v>3</v>
      </c>
      <c r="E180" s="121" t="s">
        <v>3063</v>
      </c>
      <c r="F180" s="120" t="s">
        <v>3262</v>
      </c>
    </row>
    <row r="181" spans="1:6" x14ac:dyDescent="0.2">
      <c r="A181" s="55">
        <v>11</v>
      </c>
      <c r="B181" s="45" t="s">
        <v>602</v>
      </c>
      <c r="C181" s="48">
        <v>2</v>
      </c>
      <c r="E181" s="121" t="s">
        <v>2898</v>
      </c>
      <c r="F181" s="120" t="s">
        <v>3249</v>
      </c>
    </row>
    <row r="182" spans="1:6" x14ac:dyDescent="0.2">
      <c r="A182" s="55">
        <v>11</v>
      </c>
      <c r="B182" s="45" t="s">
        <v>2638</v>
      </c>
      <c r="C182" s="48">
        <v>2</v>
      </c>
      <c r="E182" s="121" t="s">
        <v>3165</v>
      </c>
      <c r="F182" s="120" t="s">
        <v>3248</v>
      </c>
    </row>
    <row r="183" spans="1:6" x14ac:dyDescent="0.2">
      <c r="A183" s="55">
        <v>11</v>
      </c>
      <c r="B183" s="45" t="s">
        <v>3151</v>
      </c>
      <c r="C183" s="48">
        <v>2</v>
      </c>
      <c r="E183" s="121" t="s">
        <v>3194</v>
      </c>
      <c r="F183" s="120" t="s">
        <v>3258</v>
      </c>
    </row>
    <row r="184" spans="1:6" x14ac:dyDescent="0.2">
      <c r="A184" s="55">
        <v>11</v>
      </c>
      <c r="B184" s="45" t="s">
        <v>1286</v>
      </c>
      <c r="C184" s="48">
        <v>2</v>
      </c>
      <c r="E184" s="121" t="s">
        <v>2926</v>
      </c>
      <c r="F184" s="120" t="s">
        <v>3215</v>
      </c>
    </row>
    <row r="185" spans="1:6" x14ac:dyDescent="0.2">
      <c r="A185" s="55">
        <v>11</v>
      </c>
      <c r="B185" s="45" t="s">
        <v>2583</v>
      </c>
      <c r="C185" s="48">
        <v>2</v>
      </c>
      <c r="E185" s="121" t="s">
        <v>1177</v>
      </c>
      <c r="F185" s="120" t="s">
        <v>3288</v>
      </c>
    </row>
    <row r="186" spans="1:6" x14ac:dyDescent="0.2">
      <c r="A186" s="55">
        <v>11</v>
      </c>
      <c r="B186" s="45" t="s">
        <v>348</v>
      </c>
      <c r="C186" s="48">
        <v>2</v>
      </c>
      <c r="E186" s="121" t="s">
        <v>3433</v>
      </c>
      <c r="F186" s="120" t="s">
        <v>3285</v>
      </c>
    </row>
    <row r="187" spans="1:6" x14ac:dyDescent="0.2">
      <c r="A187" s="55">
        <v>11</v>
      </c>
      <c r="B187" s="45" t="s">
        <v>364</v>
      </c>
      <c r="C187" s="48">
        <v>2</v>
      </c>
      <c r="E187" s="121" t="s">
        <v>3495</v>
      </c>
      <c r="F187" s="120" t="s">
        <v>3313</v>
      </c>
    </row>
    <row r="188" spans="1:6" x14ac:dyDescent="0.2">
      <c r="A188" s="55">
        <v>11</v>
      </c>
      <c r="B188" s="45" t="s">
        <v>2641</v>
      </c>
      <c r="C188" s="48">
        <v>1</v>
      </c>
      <c r="E188" s="121" t="s">
        <v>1418</v>
      </c>
      <c r="F188" s="120" t="s">
        <v>3249</v>
      </c>
    </row>
    <row r="189" spans="1:6" x14ac:dyDescent="0.2">
      <c r="A189" s="55">
        <v>11</v>
      </c>
      <c r="B189" s="45" t="s">
        <v>343</v>
      </c>
      <c r="C189" s="48">
        <v>1</v>
      </c>
      <c r="E189" s="121" t="s">
        <v>3334</v>
      </c>
      <c r="F189" s="120" t="s">
        <v>3303</v>
      </c>
    </row>
    <row r="190" spans="1:6" x14ac:dyDescent="0.2">
      <c r="A190" s="55">
        <v>11</v>
      </c>
      <c r="B190" s="45" t="s">
        <v>366</v>
      </c>
      <c r="C190" s="48">
        <v>1</v>
      </c>
      <c r="E190" s="121" t="s">
        <v>1187</v>
      </c>
      <c r="F190" s="120" t="s">
        <v>3263</v>
      </c>
    </row>
    <row r="191" spans="1:6" x14ac:dyDescent="0.2">
      <c r="A191" s="55">
        <v>11</v>
      </c>
      <c r="B191" s="45" t="s">
        <v>349</v>
      </c>
      <c r="C191" s="48">
        <v>1</v>
      </c>
      <c r="E191" s="121" t="s">
        <v>1200</v>
      </c>
      <c r="F191" s="120" t="s">
        <v>3292</v>
      </c>
    </row>
    <row r="192" spans="1:6" x14ac:dyDescent="0.2">
      <c r="A192" s="55">
        <v>11</v>
      </c>
      <c r="B192" s="45" t="s">
        <v>423</v>
      </c>
      <c r="C192" s="48">
        <v>1</v>
      </c>
      <c r="E192" s="121" t="s">
        <v>3494</v>
      </c>
      <c r="F192" s="120" t="s">
        <v>3310</v>
      </c>
    </row>
    <row r="193" spans="1:6" x14ac:dyDescent="0.2">
      <c r="A193" s="55">
        <v>11</v>
      </c>
      <c r="B193" s="45" t="s">
        <v>2642</v>
      </c>
      <c r="C193" s="48">
        <v>0.5</v>
      </c>
      <c r="E193" s="121" t="s">
        <v>1148</v>
      </c>
      <c r="F193" s="120" t="s">
        <v>3215</v>
      </c>
    </row>
    <row r="194" spans="1:6" x14ac:dyDescent="0.2">
      <c r="A194" s="55">
        <v>11</v>
      </c>
      <c r="B194" s="45" t="s">
        <v>2636</v>
      </c>
      <c r="C194" s="48">
        <v>0.5</v>
      </c>
      <c r="E194" s="121" t="s">
        <v>3504</v>
      </c>
      <c r="F194" s="120" t="s">
        <v>3248</v>
      </c>
    </row>
    <row r="195" spans="1:6" x14ac:dyDescent="0.2">
      <c r="A195" s="55">
        <v>11</v>
      </c>
      <c r="B195" s="45" t="s">
        <v>613</v>
      </c>
      <c r="C195" s="48">
        <v>0.5</v>
      </c>
      <c r="E195" s="121" t="s">
        <v>3479</v>
      </c>
      <c r="F195" s="120" t="s">
        <v>3309</v>
      </c>
    </row>
    <row r="196" spans="1:6" x14ac:dyDescent="0.2">
      <c r="A196" s="55">
        <v>11</v>
      </c>
      <c r="B196" s="45" t="s">
        <v>387</v>
      </c>
      <c r="C196" s="48">
        <v>0.5</v>
      </c>
      <c r="E196" s="121" t="s">
        <v>1504</v>
      </c>
      <c r="F196" s="120" t="s">
        <v>198</v>
      </c>
    </row>
    <row r="197" spans="1:6" x14ac:dyDescent="0.2">
      <c r="A197" s="55">
        <v>11</v>
      </c>
      <c r="B197" s="45" t="s">
        <v>2574</v>
      </c>
      <c r="C197" s="48">
        <v>0.5</v>
      </c>
      <c r="E197" s="121" t="s">
        <v>1226</v>
      </c>
      <c r="F197" s="120" t="s">
        <v>1287</v>
      </c>
    </row>
    <row r="198" spans="1:6" x14ac:dyDescent="0.2">
      <c r="A198" s="55">
        <v>11</v>
      </c>
      <c r="B198" s="45" t="s">
        <v>432</v>
      </c>
      <c r="C198" s="48">
        <v>0.5</v>
      </c>
      <c r="E198" s="121" t="s">
        <v>3186</v>
      </c>
      <c r="F198" s="120" t="s">
        <v>3284</v>
      </c>
    </row>
    <row r="199" spans="1:6" x14ac:dyDescent="0.2">
      <c r="A199" s="55">
        <v>12</v>
      </c>
      <c r="B199" s="45" t="s">
        <v>361</v>
      </c>
      <c r="C199" s="48">
        <v>40</v>
      </c>
      <c r="E199" s="121" t="s">
        <v>3201</v>
      </c>
      <c r="F199" s="120" t="s">
        <v>3249</v>
      </c>
    </row>
    <row r="200" spans="1:6" x14ac:dyDescent="0.2">
      <c r="A200" s="55">
        <v>12</v>
      </c>
      <c r="B200" s="45" t="s">
        <v>347</v>
      </c>
      <c r="C200" s="48">
        <v>30</v>
      </c>
      <c r="E200" s="121" t="s">
        <v>3492</v>
      </c>
      <c r="F200" s="120" t="s">
        <v>3312</v>
      </c>
    </row>
    <row r="201" spans="1:6" x14ac:dyDescent="0.2">
      <c r="A201" s="55">
        <v>12</v>
      </c>
      <c r="B201" s="45" t="s">
        <v>3151</v>
      </c>
      <c r="C201" s="48">
        <v>15</v>
      </c>
      <c r="E201" s="121" t="s">
        <v>3194</v>
      </c>
      <c r="F201" s="120" t="s">
        <v>3258</v>
      </c>
    </row>
    <row r="202" spans="1:6" x14ac:dyDescent="0.2">
      <c r="A202" s="55">
        <v>12</v>
      </c>
      <c r="B202" s="45" t="s">
        <v>341</v>
      </c>
      <c r="C202" s="48">
        <v>15</v>
      </c>
      <c r="E202" s="121" t="s">
        <v>3062</v>
      </c>
      <c r="F202" s="120" t="s">
        <v>3266</v>
      </c>
    </row>
    <row r="203" spans="1:6" x14ac:dyDescent="0.2">
      <c r="A203" s="55">
        <v>12</v>
      </c>
      <c r="B203" s="45" t="s">
        <v>342</v>
      </c>
      <c r="C203" s="48">
        <v>12</v>
      </c>
      <c r="E203" s="121" t="s">
        <v>1169</v>
      </c>
      <c r="F203" s="120" t="s">
        <v>3249</v>
      </c>
    </row>
    <row r="204" spans="1:6" x14ac:dyDescent="0.2">
      <c r="A204" s="55">
        <v>12</v>
      </c>
      <c r="B204" s="45" t="s">
        <v>343</v>
      </c>
      <c r="C204" s="48">
        <v>10</v>
      </c>
      <c r="E204" s="121" t="s">
        <v>3334</v>
      </c>
      <c r="F204" s="120" t="s">
        <v>3303</v>
      </c>
    </row>
    <row r="205" spans="1:6" x14ac:dyDescent="0.2">
      <c r="A205" s="55">
        <v>12</v>
      </c>
      <c r="B205" s="45" t="s">
        <v>340</v>
      </c>
      <c r="C205" s="48">
        <v>8</v>
      </c>
      <c r="E205" s="121" t="s">
        <v>1529</v>
      </c>
      <c r="F205" s="120" t="s">
        <v>3249</v>
      </c>
    </row>
    <row r="206" spans="1:6" x14ac:dyDescent="0.2">
      <c r="A206" s="55">
        <v>12</v>
      </c>
      <c r="B206" s="45" t="s">
        <v>2643</v>
      </c>
      <c r="C206" s="48">
        <v>6</v>
      </c>
      <c r="E206" s="121" t="s">
        <v>547</v>
      </c>
      <c r="F206" s="120" t="s">
        <v>199</v>
      </c>
    </row>
    <row r="207" spans="1:6" x14ac:dyDescent="0.2">
      <c r="A207" s="55">
        <v>12</v>
      </c>
      <c r="B207" s="45" t="s">
        <v>357</v>
      </c>
      <c r="C207" s="48">
        <v>4</v>
      </c>
      <c r="E207" s="121" t="s">
        <v>3063</v>
      </c>
      <c r="F207" s="120" t="s">
        <v>3262</v>
      </c>
    </row>
    <row r="208" spans="1:6" x14ac:dyDescent="0.2">
      <c r="A208" s="55">
        <v>12</v>
      </c>
      <c r="B208" s="45" t="s">
        <v>360</v>
      </c>
      <c r="C208" s="48">
        <v>4</v>
      </c>
      <c r="E208" s="121" t="s">
        <v>3522</v>
      </c>
      <c r="F208" s="120" t="s">
        <v>3258</v>
      </c>
    </row>
    <row r="209" spans="1:6" x14ac:dyDescent="0.2">
      <c r="A209" s="55">
        <v>12</v>
      </c>
      <c r="B209" s="45" t="s">
        <v>2641</v>
      </c>
      <c r="C209" s="48">
        <v>2</v>
      </c>
      <c r="E209" s="121" t="s">
        <v>1418</v>
      </c>
      <c r="F209" s="120" t="s">
        <v>3249</v>
      </c>
    </row>
    <row r="210" spans="1:6" x14ac:dyDescent="0.2">
      <c r="A210" s="55">
        <v>12</v>
      </c>
      <c r="B210" s="45" t="s">
        <v>356</v>
      </c>
      <c r="C210" s="48">
        <v>2</v>
      </c>
      <c r="E210" s="121" t="s">
        <v>2902</v>
      </c>
      <c r="F210" s="120" t="s">
        <v>3258</v>
      </c>
    </row>
    <row r="211" spans="1:6" x14ac:dyDescent="0.2">
      <c r="A211" s="55">
        <v>12</v>
      </c>
      <c r="B211" s="45" t="s">
        <v>2636</v>
      </c>
      <c r="C211" s="48">
        <v>2</v>
      </c>
      <c r="E211" s="121" t="s">
        <v>3504</v>
      </c>
      <c r="F211" s="120" t="s">
        <v>3248</v>
      </c>
    </row>
    <row r="212" spans="1:6" x14ac:dyDescent="0.2">
      <c r="A212" s="55">
        <v>12</v>
      </c>
      <c r="B212" s="45" t="s">
        <v>349</v>
      </c>
      <c r="C212" s="48">
        <v>2</v>
      </c>
      <c r="E212" s="121" t="s">
        <v>1200</v>
      </c>
      <c r="F212" s="120" t="s">
        <v>3292</v>
      </c>
    </row>
    <row r="213" spans="1:6" x14ac:dyDescent="0.2">
      <c r="A213" s="55">
        <v>12</v>
      </c>
      <c r="B213" s="45" t="s">
        <v>350</v>
      </c>
      <c r="C213" s="48">
        <v>0.5</v>
      </c>
      <c r="E213" s="121" t="s">
        <v>1415</v>
      </c>
      <c r="F213" s="120" t="s">
        <v>3249</v>
      </c>
    </row>
    <row r="214" spans="1:6" x14ac:dyDescent="0.2">
      <c r="A214" s="55">
        <v>12</v>
      </c>
      <c r="B214" s="45" t="s">
        <v>602</v>
      </c>
      <c r="C214" s="48">
        <v>0.5</v>
      </c>
      <c r="E214" s="121" t="s">
        <v>2898</v>
      </c>
      <c r="F214" s="120" t="s">
        <v>3249</v>
      </c>
    </row>
    <row r="215" spans="1:6" x14ac:dyDescent="0.2">
      <c r="A215" s="55">
        <v>12</v>
      </c>
      <c r="B215" s="45" t="s">
        <v>352</v>
      </c>
      <c r="C215" s="48">
        <v>0.5</v>
      </c>
      <c r="E215" s="121" t="s">
        <v>2908</v>
      </c>
      <c r="F215" s="120" t="s">
        <v>3259</v>
      </c>
    </row>
    <row r="216" spans="1:6" x14ac:dyDescent="0.2">
      <c r="A216" s="55">
        <v>12</v>
      </c>
      <c r="B216" s="45" t="s">
        <v>391</v>
      </c>
      <c r="C216" s="48">
        <v>0.5</v>
      </c>
      <c r="E216" s="121" t="s">
        <v>535</v>
      </c>
      <c r="F216" s="120" t="s">
        <v>3284</v>
      </c>
    </row>
    <row r="217" spans="1:6" x14ac:dyDescent="0.2">
      <c r="A217" s="55">
        <v>12</v>
      </c>
      <c r="B217" s="45" t="s">
        <v>613</v>
      </c>
      <c r="C217" s="48">
        <v>0.5</v>
      </c>
      <c r="E217" s="121" t="s">
        <v>3479</v>
      </c>
      <c r="F217" s="120" t="s">
        <v>3309</v>
      </c>
    </row>
    <row r="218" spans="1:6" x14ac:dyDescent="0.2">
      <c r="A218" s="55">
        <v>12</v>
      </c>
      <c r="B218" s="45" t="s">
        <v>2574</v>
      </c>
      <c r="C218" s="48">
        <v>0.5</v>
      </c>
      <c r="E218" s="121" t="s">
        <v>1226</v>
      </c>
      <c r="F218" s="120" t="s">
        <v>1287</v>
      </c>
    </row>
    <row r="219" spans="1:6" x14ac:dyDescent="0.2">
      <c r="A219" s="55">
        <v>12</v>
      </c>
      <c r="B219" s="45" t="s">
        <v>2583</v>
      </c>
      <c r="C219" s="48">
        <v>0.5</v>
      </c>
      <c r="E219" s="121" t="s">
        <v>1177</v>
      </c>
      <c r="F219" s="120" t="s">
        <v>3288</v>
      </c>
    </row>
    <row r="220" spans="1:6" x14ac:dyDescent="0.2">
      <c r="A220" s="55">
        <v>12</v>
      </c>
      <c r="B220" s="45" t="s">
        <v>358</v>
      </c>
      <c r="C220" s="48">
        <v>0.5</v>
      </c>
      <c r="E220" s="121" t="s">
        <v>1404</v>
      </c>
      <c r="F220" s="120" t="s">
        <v>3248</v>
      </c>
    </row>
    <row r="221" spans="1:6" x14ac:dyDescent="0.2">
      <c r="A221" s="55">
        <v>13</v>
      </c>
      <c r="B221" s="45" t="s">
        <v>398</v>
      </c>
      <c r="C221" s="48">
        <v>15</v>
      </c>
      <c r="E221" s="121" t="s">
        <v>1165</v>
      </c>
      <c r="F221" s="120" t="s">
        <v>3215</v>
      </c>
    </row>
    <row r="222" spans="1:6" x14ac:dyDescent="0.2">
      <c r="A222" s="55">
        <v>13</v>
      </c>
      <c r="B222" s="45" t="s">
        <v>348</v>
      </c>
      <c r="C222" s="48">
        <v>12</v>
      </c>
      <c r="E222" s="121" t="s">
        <v>3433</v>
      </c>
      <c r="F222" s="120" t="s">
        <v>3285</v>
      </c>
    </row>
    <row r="223" spans="1:6" x14ac:dyDescent="0.2">
      <c r="A223" s="55">
        <v>13</v>
      </c>
      <c r="B223" s="45" t="s">
        <v>373</v>
      </c>
      <c r="C223" s="48">
        <v>10</v>
      </c>
      <c r="E223" s="121" t="s">
        <v>3484</v>
      </c>
      <c r="F223" s="120" t="s">
        <v>3276</v>
      </c>
    </row>
    <row r="224" spans="1:6" x14ac:dyDescent="0.2">
      <c r="A224" s="55">
        <v>13</v>
      </c>
      <c r="B224" s="45" t="s">
        <v>595</v>
      </c>
      <c r="C224" s="48">
        <v>7</v>
      </c>
      <c r="E224" s="121" t="s">
        <v>3033</v>
      </c>
      <c r="F224" s="120" t="s">
        <v>3248</v>
      </c>
    </row>
    <row r="225" spans="1:6" x14ac:dyDescent="0.2">
      <c r="A225" s="55">
        <v>13</v>
      </c>
      <c r="B225" s="45" t="s">
        <v>342</v>
      </c>
      <c r="C225" s="48">
        <v>6</v>
      </c>
      <c r="E225" s="121" t="s">
        <v>1169</v>
      </c>
      <c r="F225" s="120" t="s">
        <v>3249</v>
      </c>
    </row>
    <row r="226" spans="1:6" x14ac:dyDescent="0.2">
      <c r="A226" s="55">
        <v>13</v>
      </c>
      <c r="B226" s="45" t="s">
        <v>1286</v>
      </c>
      <c r="C226" s="48">
        <v>6</v>
      </c>
      <c r="E226" s="121" t="s">
        <v>2926</v>
      </c>
      <c r="F226" s="120" t="s">
        <v>3215</v>
      </c>
    </row>
    <row r="227" spans="1:6" x14ac:dyDescent="0.2">
      <c r="A227" s="55">
        <v>13</v>
      </c>
      <c r="B227" s="45" t="s">
        <v>351</v>
      </c>
      <c r="C227" s="48">
        <v>5</v>
      </c>
      <c r="E227" s="121" t="s">
        <v>3051</v>
      </c>
      <c r="F227" s="120" t="s">
        <v>3215</v>
      </c>
    </row>
    <row r="228" spans="1:6" x14ac:dyDescent="0.2">
      <c r="A228" s="55">
        <v>13</v>
      </c>
      <c r="B228" s="45" t="s">
        <v>2578</v>
      </c>
      <c r="C228" s="48">
        <v>4</v>
      </c>
      <c r="E228" s="121" t="s">
        <v>3515</v>
      </c>
      <c r="F228" s="120" t="s">
        <v>3226</v>
      </c>
    </row>
    <row r="229" spans="1:6" x14ac:dyDescent="0.2">
      <c r="A229" s="55">
        <v>13</v>
      </c>
      <c r="B229" s="45" t="s">
        <v>358</v>
      </c>
      <c r="C229" s="48">
        <v>4</v>
      </c>
      <c r="E229" s="121" t="s">
        <v>1404</v>
      </c>
      <c r="F229" s="120" t="s">
        <v>3248</v>
      </c>
    </row>
    <row r="230" spans="1:6" x14ac:dyDescent="0.2">
      <c r="A230" s="55">
        <v>13</v>
      </c>
      <c r="B230" s="45" t="s">
        <v>2644</v>
      </c>
      <c r="C230" s="48">
        <v>3</v>
      </c>
      <c r="E230" s="121" t="s">
        <v>1416</v>
      </c>
      <c r="F230" s="120" t="s">
        <v>3273</v>
      </c>
    </row>
    <row r="231" spans="1:6" x14ac:dyDescent="0.2">
      <c r="A231" s="55">
        <v>13</v>
      </c>
      <c r="B231" s="45" t="s">
        <v>340</v>
      </c>
      <c r="C231" s="48">
        <v>3</v>
      </c>
      <c r="E231" s="121" t="s">
        <v>1529</v>
      </c>
      <c r="F231" s="120" t="s">
        <v>3249</v>
      </c>
    </row>
    <row r="232" spans="1:6" x14ac:dyDescent="0.2">
      <c r="A232" s="55">
        <v>13</v>
      </c>
      <c r="B232" s="45" t="s">
        <v>349</v>
      </c>
      <c r="C232" s="48">
        <v>3</v>
      </c>
      <c r="E232" s="121" t="s">
        <v>1200</v>
      </c>
      <c r="F232" s="120" t="s">
        <v>3292</v>
      </c>
    </row>
    <row r="233" spans="1:6" x14ac:dyDescent="0.2">
      <c r="A233" s="55">
        <v>13</v>
      </c>
      <c r="B233" s="45" t="s">
        <v>370</v>
      </c>
      <c r="C233" s="48">
        <v>3</v>
      </c>
      <c r="E233" s="121" t="s">
        <v>1875</v>
      </c>
      <c r="F233" s="120" t="s">
        <v>3318</v>
      </c>
    </row>
    <row r="234" spans="1:6" x14ac:dyDescent="0.2">
      <c r="A234" s="55">
        <v>13</v>
      </c>
      <c r="B234" s="45" t="s">
        <v>371</v>
      </c>
      <c r="C234" s="48">
        <v>2</v>
      </c>
      <c r="E234" s="121" t="s">
        <v>1425</v>
      </c>
      <c r="F234" s="120" t="s">
        <v>3248</v>
      </c>
    </row>
    <row r="235" spans="1:6" x14ac:dyDescent="0.2">
      <c r="A235" s="55">
        <v>13</v>
      </c>
      <c r="B235" s="45" t="s">
        <v>350</v>
      </c>
      <c r="C235" s="48">
        <v>2</v>
      </c>
      <c r="E235" s="121" t="s">
        <v>1415</v>
      </c>
      <c r="F235" s="120" t="s">
        <v>3249</v>
      </c>
    </row>
    <row r="236" spans="1:6" x14ac:dyDescent="0.2">
      <c r="A236" s="55">
        <v>13</v>
      </c>
      <c r="B236" s="45" t="s">
        <v>2642</v>
      </c>
      <c r="C236" s="48">
        <v>2</v>
      </c>
      <c r="E236" s="121" t="s">
        <v>1148</v>
      </c>
      <c r="F236" s="120" t="s">
        <v>3215</v>
      </c>
    </row>
    <row r="237" spans="1:6" x14ac:dyDescent="0.2">
      <c r="A237" s="55">
        <v>13</v>
      </c>
      <c r="B237" s="45" t="s">
        <v>2638</v>
      </c>
      <c r="C237" s="48">
        <v>2</v>
      </c>
      <c r="E237" s="121" t="s">
        <v>3165</v>
      </c>
      <c r="F237" s="120" t="s">
        <v>3248</v>
      </c>
    </row>
    <row r="238" spans="1:6" x14ac:dyDescent="0.2">
      <c r="A238" s="55">
        <v>13</v>
      </c>
      <c r="B238" s="45" t="s">
        <v>391</v>
      </c>
      <c r="C238" s="48">
        <v>2</v>
      </c>
      <c r="E238" s="121" t="s">
        <v>535</v>
      </c>
      <c r="F238" s="120" t="s">
        <v>3284</v>
      </c>
    </row>
    <row r="239" spans="1:6" x14ac:dyDescent="0.2">
      <c r="A239" s="55">
        <v>13</v>
      </c>
      <c r="B239" s="45" t="s">
        <v>357</v>
      </c>
      <c r="C239" s="48">
        <v>2</v>
      </c>
      <c r="E239" s="121" t="s">
        <v>3063</v>
      </c>
      <c r="F239" s="120" t="s">
        <v>3262</v>
      </c>
    </row>
    <row r="240" spans="1:6" x14ac:dyDescent="0.2">
      <c r="A240" s="55">
        <v>13</v>
      </c>
      <c r="B240" s="45" t="s">
        <v>2583</v>
      </c>
      <c r="C240" s="48">
        <v>2</v>
      </c>
      <c r="E240" s="121" t="s">
        <v>1177</v>
      </c>
      <c r="F240" s="120" t="s">
        <v>3288</v>
      </c>
    </row>
    <row r="241" spans="1:6" x14ac:dyDescent="0.2">
      <c r="A241" s="55">
        <v>13</v>
      </c>
      <c r="B241" s="45" t="s">
        <v>375</v>
      </c>
      <c r="C241" s="48">
        <v>2</v>
      </c>
      <c r="E241" s="121" t="s">
        <v>1530</v>
      </c>
      <c r="F241" s="120" t="s">
        <v>3248</v>
      </c>
    </row>
    <row r="242" spans="1:6" x14ac:dyDescent="0.2">
      <c r="A242" s="55">
        <v>13</v>
      </c>
      <c r="B242" s="45" t="s">
        <v>356</v>
      </c>
      <c r="C242" s="48">
        <v>1</v>
      </c>
      <c r="E242" s="121" t="s">
        <v>2902</v>
      </c>
      <c r="F242" s="120" t="s">
        <v>3258</v>
      </c>
    </row>
    <row r="243" spans="1:6" x14ac:dyDescent="0.2">
      <c r="A243" s="55">
        <v>13</v>
      </c>
      <c r="B243" s="45" t="s">
        <v>402</v>
      </c>
      <c r="C243" s="48">
        <v>1</v>
      </c>
      <c r="E243" s="121" t="s">
        <v>3171</v>
      </c>
      <c r="F243" s="120" t="s">
        <v>3284</v>
      </c>
    </row>
    <row r="244" spans="1:6" x14ac:dyDescent="0.2">
      <c r="A244" s="55">
        <v>13</v>
      </c>
      <c r="B244" s="45" t="s">
        <v>587</v>
      </c>
      <c r="C244" s="48">
        <v>1</v>
      </c>
      <c r="E244" s="121" t="s">
        <v>3107</v>
      </c>
      <c r="F244" s="120" t="s">
        <v>3277</v>
      </c>
    </row>
    <row r="245" spans="1:6" x14ac:dyDescent="0.2">
      <c r="A245" s="55">
        <v>13</v>
      </c>
      <c r="B245" s="45" t="s">
        <v>347</v>
      </c>
      <c r="C245" s="48">
        <v>1</v>
      </c>
      <c r="E245" s="121" t="s">
        <v>3492</v>
      </c>
      <c r="F245" s="120" t="s">
        <v>3312</v>
      </c>
    </row>
    <row r="246" spans="1:6" x14ac:dyDescent="0.2">
      <c r="A246" s="55">
        <v>13</v>
      </c>
      <c r="B246" s="45" t="s">
        <v>613</v>
      </c>
      <c r="C246" s="48">
        <v>1</v>
      </c>
      <c r="E246" s="121" t="s">
        <v>3479</v>
      </c>
      <c r="F246" s="120" t="s">
        <v>3309</v>
      </c>
    </row>
    <row r="247" spans="1:6" x14ac:dyDescent="0.2">
      <c r="A247" s="55">
        <v>13</v>
      </c>
      <c r="B247" s="45" t="s">
        <v>2574</v>
      </c>
      <c r="C247" s="48">
        <v>1</v>
      </c>
      <c r="E247" s="121" t="s">
        <v>1226</v>
      </c>
      <c r="F247" s="120" t="s">
        <v>1287</v>
      </c>
    </row>
    <row r="248" spans="1:6" x14ac:dyDescent="0.2">
      <c r="A248" s="55">
        <v>13</v>
      </c>
      <c r="B248" s="45" t="s">
        <v>341</v>
      </c>
      <c r="C248" s="48">
        <v>1</v>
      </c>
      <c r="E248" s="121" t="s">
        <v>3062</v>
      </c>
      <c r="F248" s="120" t="s">
        <v>3266</v>
      </c>
    </row>
    <row r="249" spans="1:6" x14ac:dyDescent="0.2">
      <c r="A249" s="55">
        <v>13</v>
      </c>
      <c r="B249" s="45" t="s">
        <v>354</v>
      </c>
      <c r="C249" s="48">
        <v>1</v>
      </c>
      <c r="E249" s="121" t="s">
        <v>3188</v>
      </c>
      <c r="F249" s="120" t="s">
        <v>3269</v>
      </c>
    </row>
    <row r="250" spans="1:6" x14ac:dyDescent="0.2">
      <c r="A250" s="55">
        <v>13</v>
      </c>
      <c r="B250" s="45" t="s">
        <v>359</v>
      </c>
      <c r="C250" s="48">
        <v>1</v>
      </c>
      <c r="E250" s="121" t="s">
        <v>3086</v>
      </c>
      <c r="F250" s="120" t="s">
        <v>3272</v>
      </c>
    </row>
    <row r="251" spans="1:6" x14ac:dyDescent="0.2">
      <c r="A251" s="55">
        <v>13</v>
      </c>
      <c r="B251" s="45" t="s">
        <v>442</v>
      </c>
      <c r="C251" s="48">
        <v>1</v>
      </c>
      <c r="E251" s="121" t="s">
        <v>1436</v>
      </c>
      <c r="F251" s="120" t="s">
        <v>3215</v>
      </c>
    </row>
    <row r="252" spans="1:6" x14ac:dyDescent="0.2">
      <c r="A252" s="55">
        <v>13</v>
      </c>
      <c r="B252" s="45" t="s">
        <v>369</v>
      </c>
      <c r="C252" s="48">
        <v>0.5</v>
      </c>
      <c r="E252" s="121" t="s">
        <v>2829</v>
      </c>
      <c r="F252" s="120" t="s">
        <v>1289</v>
      </c>
    </row>
    <row r="253" spans="1:6" x14ac:dyDescent="0.2">
      <c r="A253" s="55">
        <v>13</v>
      </c>
      <c r="B253" s="45" t="s">
        <v>366</v>
      </c>
      <c r="C253" s="48">
        <v>0.5</v>
      </c>
      <c r="E253" s="121" t="s">
        <v>1187</v>
      </c>
      <c r="F253" s="120" t="s">
        <v>3263</v>
      </c>
    </row>
    <row r="254" spans="1:6" x14ac:dyDescent="0.2">
      <c r="A254" s="55">
        <v>13</v>
      </c>
      <c r="B254" s="45" t="s">
        <v>361</v>
      </c>
      <c r="C254" s="48">
        <v>0.5</v>
      </c>
      <c r="E254" s="121" t="s">
        <v>3201</v>
      </c>
      <c r="F254" s="120" t="s">
        <v>3249</v>
      </c>
    </row>
    <row r="255" spans="1:6" x14ac:dyDescent="0.2">
      <c r="A255" s="55">
        <v>13</v>
      </c>
      <c r="B255" s="45" t="s">
        <v>2636</v>
      </c>
      <c r="C255" s="48">
        <v>0.5</v>
      </c>
      <c r="E255" s="121" t="s">
        <v>3504</v>
      </c>
      <c r="F255" s="120" t="s">
        <v>3248</v>
      </c>
    </row>
    <row r="256" spans="1:6" x14ac:dyDescent="0.2">
      <c r="A256" s="55">
        <v>13</v>
      </c>
      <c r="B256" s="45" t="s">
        <v>368</v>
      </c>
      <c r="C256" s="48">
        <v>0.5</v>
      </c>
      <c r="E256" s="121" t="s">
        <v>1203</v>
      </c>
      <c r="F256" s="120" t="s">
        <v>3230</v>
      </c>
    </row>
    <row r="257" spans="1:6" x14ac:dyDescent="0.2">
      <c r="A257" s="55">
        <v>13</v>
      </c>
      <c r="B257" s="45" t="s">
        <v>583</v>
      </c>
      <c r="C257" s="48">
        <v>0.5</v>
      </c>
      <c r="E257" s="121" t="s">
        <v>1207</v>
      </c>
      <c r="F257" s="120" t="s">
        <v>3274</v>
      </c>
    </row>
    <row r="258" spans="1:6" x14ac:dyDescent="0.2">
      <c r="A258" s="55">
        <v>13</v>
      </c>
      <c r="B258" s="45" t="s">
        <v>372</v>
      </c>
      <c r="C258" s="48">
        <v>0.5</v>
      </c>
      <c r="E258" s="121" t="s">
        <v>3129</v>
      </c>
      <c r="F258" s="120" t="s">
        <v>3248</v>
      </c>
    </row>
    <row r="259" spans="1:6" x14ac:dyDescent="0.2">
      <c r="A259" s="55">
        <v>13</v>
      </c>
      <c r="B259" s="45" t="s">
        <v>374</v>
      </c>
      <c r="C259" s="48">
        <v>0.5</v>
      </c>
      <c r="E259" s="121" t="s">
        <v>1283</v>
      </c>
      <c r="F259" s="120" t="s">
        <v>3299</v>
      </c>
    </row>
    <row r="260" spans="1:6" x14ac:dyDescent="0.2">
      <c r="A260" s="55">
        <v>14</v>
      </c>
      <c r="B260" s="45" t="s">
        <v>347</v>
      </c>
      <c r="C260" s="48">
        <v>11</v>
      </c>
      <c r="E260" s="121" t="s">
        <v>3492</v>
      </c>
      <c r="F260" s="120" t="s">
        <v>3312</v>
      </c>
    </row>
    <row r="261" spans="1:6" x14ac:dyDescent="0.2">
      <c r="A261" s="55">
        <v>14</v>
      </c>
      <c r="B261" s="45" t="s">
        <v>340</v>
      </c>
      <c r="C261" s="48">
        <v>10</v>
      </c>
      <c r="E261" s="121" t="s">
        <v>1529</v>
      </c>
      <c r="F261" s="120" t="s">
        <v>3249</v>
      </c>
    </row>
    <row r="262" spans="1:6" x14ac:dyDescent="0.2">
      <c r="A262" s="55">
        <v>14</v>
      </c>
      <c r="B262" s="45" t="s">
        <v>371</v>
      </c>
      <c r="C262" s="48">
        <v>8</v>
      </c>
      <c r="E262" s="121" t="s">
        <v>1425</v>
      </c>
      <c r="F262" s="120" t="s">
        <v>3248</v>
      </c>
    </row>
    <row r="263" spans="1:6" x14ac:dyDescent="0.2">
      <c r="A263" s="55">
        <v>14</v>
      </c>
      <c r="B263" s="45" t="s">
        <v>376</v>
      </c>
      <c r="C263" s="48">
        <v>7</v>
      </c>
      <c r="E263" s="121" t="s">
        <v>3462</v>
      </c>
      <c r="F263" s="120" t="s">
        <v>3227</v>
      </c>
    </row>
    <row r="264" spans="1:6" x14ac:dyDescent="0.2">
      <c r="A264" s="55">
        <v>14</v>
      </c>
      <c r="B264" s="45" t="s">
        <v>341</v>
      </c>
      <c r="C264" s="48">
        <v>7</v>
      </c>
      <c r="E264" s="121" t="s">
        <v>3062</v>
      </c>
      <c r="F264" s="120" t="s">
        <v>3266</v>
      </c>
    </row>
    <row r="265" spans="1:6" x14ac:dyDescent="0.2">
      <c r="A265" s="55">
        <v>14</v>
      </c>
      <c r="B265" s="45" t="s">
        <v>2574</v>
      </c>
      <c r="C265" s="48">
        <v>6</v>
      </c>
      <c r="E265" s="121" t="s">
        <v>1226</v>
      </c>
      <c r="F265" s="120" t="s">
        <v>1287</v>
      </c>
    </row>
    <row r="266" spans="1:6" x14ac:dyDescent="0.2">
      <c r="A266" s="55">
        <v>14</v>
      </c>
      <c r="B266" s="45" t="s">
        <v>379</v>
      </c>
      <c r="C266" s="48">
        <v>5</v>
      </c>
      <c r="E266" s="121" t="s">
        <v>550</v>
      </c>
      <c r="F266" s="120" t="s">
        <v>199</v>
      </c>
    </row>
    <row r="267" spans="1:6" x14ac:dyDescent="0.2">
      <c r="A267" s="55">
        <v>14</v>
      </c>
      <c r="B267" s="45" t="s">
        <v>595</v>
      </c>
      <c r="C267" s="48">
        <v>5</v>
      </c>
      <c r="E267" s="121" t="s">
        <v>3033</v>
      </c>
      <c r="F267" s="120" t="s">
        <v>3248</v>
      </c>
    </row>
    <row r="268" spans="1:6" x14ac:dyDescent="0.2">
      <c r="A268" s="55">
        <v>14</v>
      </c>
      <c r="B268" s="45" t="s">
        <v>2572</v>
      </c>
      <c r="C268" s="48">
        <v>5</v>
      </c>
      <c r="E268" s="121" t="s">
        <v>1488</v>
      </c>
      <c r="F268" s="120" t="s">
        <v>3318</v>
      </c>
    </row>
    <row r="269" spans="1:6" x14ac:dyDescent="0.2">
      <c r="A269" s="55">
        <v>14</v>
      </c>
      <c r="B269" s="45" t="s">
        <v>602</v>
      </c>
      <c r="C269" s="48">
        <v>4</v>
      </c>
      <c r="E269" s="121" t="s">
        <v>2898</v>
      </c>
      <c r="F269" s="120" t="s">
        <v>3249</v>
      </c>
    </row>
    <row r="270" spans="1:6" x14ac:dyDescent="0.2">
      <c r="A270" s="55">
        <v>14</v>
      </c>
      <c r="B270" s="45" t="s">
        <v>569</v>
      </c>
      <c r="C270" s="48">
        <v>4</v>
      </c>
      <c r="E270" s="121" t="s">
        <v>1515</v>
      </c>
      <c r="F270" s="120" t="s">
        <v>3246</v>
      </c>
    </row>
    <row r="271" spans="1:6" x14ac:dyDescent="0.2">
      <c r="A271" s="55">
        <v>14</v>
      </c>
      <c r="B271" s="45" t="s">
        <v>609</v>
      </c>
      <c r="C271" s="48">
        <v>3</v>
      </c>
      <c r="E271" s="121" t="s">
        <v>3168</v>
      </c>
      <c r="F271" s="120" t="s">
        <v>3284</v>
      </c>
    </row>
    <row r="272" spans="1:6" x14ac:dyDescent="0.2">
      <c r="A272" s="55">
        <v>14</v>
      </c>
      <c r="B272" s="45" t="s">
        <v>2579</v>
      </c>
      <c r="C272" s="48">
        <v>3</v>
      </c>
      <c r="E272" s="121" t="s">
        <v>3516</v>
      </c>
      <c r="F272" s="120" t="s">
        <v>3232</v>
      </c>
    </row>
    <row r="273" spans="1:6" x14ac:dyDescent="0.2">
      <c r="A273" s="55">
        <v>14</v>
      </c>
      <c r="B273" s="45" t="s">
        <v>2583</v>
      </c>
      <c r="C273" s="48">
        <v>3</v>
      </c>
      <c r="E273" s="121" t="s">
        <v>1177</v>
      </c>
      <c r="F273" s="120" t="s">
        <v>3288</v>
      </c>
    </row>
    <row r="274" spans="1:6" x14ac:dyDescent="0.2">
      <c r="A274" s="55">
        <v>14</v>
      </c>
      <c r="B274" s="45" t="s">
        <v>375</v>
      </c>
      <c r="C274" s="48">
        <v>3</v>
      </c>
      <c r="E274" s="121" t="s">
        <v>1530</v>
      </c>
      <c r="F274" s="120" t="s">
        <v>3248</v>
      </c>
    </row>
    <row r="275" spans="1:6" x14ac:dyDescent="0.2">
      <c r="A275" s="55">
        <v>14</v>
      </c>
      <c r="B275" s="45" t="s">
        <v>369</v>
      </c>
      <c r="C275" s="48">
        <v>2</v>
      </c>
      <c r="E275" s="121" t="s">
        <v>2829</v>
      </c>
      <c r="F275" s="120" t="s">
        <v>1289</v>
      </c>
    </row>
    <row r="276" spans="1:6" x14ac:dyDescent="0.2">
      <c r="A276" s="55">
        <v>14</v>
      </c>
      <c r="B276" s="45" t="s">
        <v>2645</v>
      </c>
      <c r="C276" s="48">
        <v>2</v>
      </c>
      <c r="E276" s="121" t="s">
        <v>1535</v>
      </c>
      <c r="F276" s="120" t="s">
        <v>3259</v>
      </c>
    </row>
    <row r="277" spans="1:6" x14ac:dyDescent="0.2">
      <c r="A277" s="55">
        <v>14</v>
      </c>
      <c r="B277" s="45" t="s">
        <v>2638</v>
      </c>
      <c r="C277" s="48">
        <v>2</v>
      </c>
      <c r="E277" s="121" t="s">
        <v>3165</v>
      </c>
      <c r="F277" s="120" t="s">
        <v>3248</v>
      </c>
    </row>
    <row r="278" spans="1:6" x14ac:dyDescent="0.2">
      <c r="A278" s="55">
        <v>14</v>
      </c>
      <c r="B278" s="45" t="s">
        <v>378</v>
      </c>
      <c r="C278" s="48">
        <v>2</v>
      </c>
      <c r="E278" s="121" t="s">
        <v>3045</v>
      </c>
      <c r="F278" s="120" t="s">
        <v>3244</v>
      </c>
    </row>
    <row r="279" spans="1:6" x14ac:dyDescent="0.2">
      <c r="A279" s="55">
        <v>14</v>
      </c>
      <c r="B279" s="45" t="s">
        <v>357</v>
      </c>
      <c r="C279" s="48">
        <v>2</v>
      </c>
      <c r="E279" s="121" t="s">
        <v>3063</v>
      </c>
      <c r="F279" s="120" t="s">
        <v>3262</v>
      </c>
    </row>
    <row r="280" spans="1:6" x14ac:dyDescent="0.2">
      <c r="A280" s="55">
        <v>14</v>
      </c>
      <c r="B280" s="45" t="s">
        <v>348</v>
      </c>
      <c r="C280" s="48">
        <v>2</v>
      </c>
      <c r="E280" s="121" t="s">
        <v>3433</v>
      </c>
      <c r="F280" s="120" t="s">
        <v>3285</v>
      </c>
    </row>
    <row r="281" spans="1:6" x14ac:dyDescent="0.2">
      <c r="A281" s="55">
        <v>14</v>
      </c>
      <c r="B281" s="45" t="s">
        <v>380</v>
      </c>
      <c r="C281" s="48">
        <v>2</v>
      </c>
      <c r="E281" s="121" t="s">
        <v>2853</v>
      </c>
      <c r="F281" s="120" t="s">
        <v>3227</v>
      </c>
    </row>
    <row r="282" spans="1:6" x14ac:dyDescent="0.2">
      <c r="A282" s="55">
        <v>14</v>
      </c>
      <c r="B282" s="45" t="s">
        <v>2566</v>
      </c>
      <c r="C282" s="48">
        <v>2</v>
      </c>
      <c r="E282" s="121" t="s">
        <v>3331</v>
      </c>
      <c r="F282" s="120" t="s">
        <v>3249</v>
      </c>
    </row>
    <row r="283" spans="1:6" x14ac:dyDescent="0.2">
      <c r="A283" s="55">
        <v>14</v>
      </c>
      <c r="B283" s="45" t="s">
        <v>350</v>
      </c>
      <c r="C283" s="48">
        <v>1</v>
      </c>
      <c r="E283" s="121" t="s">
        <v>1415</v>
      </c>
      <c r="F283" s="120" t="s">
        <v>3249</v>
      </c>
    </row>
    <row r="284" spans="1:6" x14ac:dyDescent="0.2">
      <c r="A284" s="55">
        <v>14</v>
      </c>
      <c r="B284" s="45" t="s">
        <v>2642</v>
      </c>
      <c r="C284" s="48">
        <v>1</v>
      </c>
      <c r="E284" s="121" t="s">
        <v>1148</v>
      </c>
      <c r="F284" s="120" t="s">
        <v>3215</v>
      </c>
    </row>
    <row r="285" spans="1:6" x14ac:dyDescent="0.2">
      <c r="A285" s="55">
        <v>14</v>
      </c>
      <c r="B285" s="45" t="s">
        <v>2636</v>
      </c>
      <c r="C285" s="48">
        <v>1</v>
      </c>
      <c r="E285" s="121" t="s">
        <v>3504</v>
      </c>
      <c r="F285" s="120" t="s">
        <v>3248</v>
      </c>
    </row>
    <row r="286" spans="1:6" x14ac:dyDescent="0.2">
      <c r="A286" s="55">
        <v>14</v>
      </c>
      <c r="B286" s="45" t="s">
        <v>613</v>
      </c>
      <c r="C286" s="48">
        <v>1</v>
      </c>
      <c r="E286" s="121" t="s">
        <v>3479</v>
      </c>
      <c r="F286" s="120" t="s">
        <v>3309</v>
      </c>
    </row>
    <row r="287" spans="1:6" x14ac:dyDescent="0.2">
      <c r="A287" s="55">
        <v>14</v>
      </c>
      <c r="B287" s="45" t="s">
        <v>614</v>
      </c>
      <c r="C287" s="48">
        <v>1</v>
      </c>
      <c r="E287" s="121" t="s">
        <v>2836</v>
      </c>
      <c r="F287" s="120" t="s">
        <v>3217</v>
      </c>
    </row>
    <row r="288" spans="1:6" x14ac:dyDescent="0.2">
      <c r="A288" s="55">
        <v>14</v>
      </c>
      <c r="B288" s="45" t="s">
        <v>1286</v>
      </c>
      <c r="C288" s="48">
        <v>1</v>
      </c>
      <c r="E288" s="121" t="s">
        <v>2926</v>
      </c>
      <c r="F288" s="120" t="s">
        <v>3215</v>
      </c>
    </row>
    <row r="289" spans="1:6" x14ac:dyDescent="0.2">
      <c r="A289" s="55">
        <v>14</v>
      </c>
      <c r="B289" s="45" t="s">
        <v>358</v>
      </c>
      <c r="C289" s="48">
        <v>1</v>
      </c>
      <c r="E289" s="121" t="s">
        <v>1404</v>
      </c>
      <c r="F289" s="120" t="s">
        <v>3248</v>
      </c>
    </row>
    <row r="290" spans="1:6" x14ac:dyDescent="0.2">
      <c r="A290" s="55">
        <v>14</v>
      </c>
      <c r="B290" s="45" t="s">
        <v>582</v>
      </c>
      <c r="C290" s="48">
        <v>1</v>
      </c>
      <c r="E290" s="121" t="s">
        <v>2841</v>
      </c>
      <c r="F290" s="120" t="s">
        <v>3219</v>
      </c>
    </row>
    <row r="291" spans="1:6" x14ac:dyDescent="0.2">
      <c r="A291" s="55">
        <v>14</v>
      </c>
      <c r="B291" s="45" t="s">
        <v>354</v>
      </c>
      <c r="C291" s="48">
        <v>1</v>
      </c>
      <c r="E291" s="121" t="s">
        <v>3188</v>
      </c>
      <c r="F291" s="120" t="s">
        <v>3269</v>
      </c>
    </row>
    <row r="292" spans="1:6" x14ac:dyDescent="0.2">
      <c r="A292" s="55">
        <v>14</v>
      </c>
      <c r="B292" s="45" t="s">
        <v>374</v>
      </c>
      <c r="C292" s="48">
        <v>1</v>
      </c>
      <c r="E292" s="121" t="s">
        <v>1283</v>
      </c>
      <c r="F292" s="120" t="s">
        <v>3299</v>
      </c>
    </row>
    <row r="293" spans="1:6" x14ac:dyDescent="0.2">
      <c r="A293" s="55">
        <v>14</v>
      </c>
      <c r="B293" s="45" t="s">
        <v>377</v>
      </c>
      <c r="C293" s="48">
        <v>1</v>
      </c>
      <c r="E293" s="121" t="s">
        <v>1540</v>
      </c>
      <c r="F293" s="120" t="s">
        <v>3216</v>
      </c>
    </row>
    <row r="294" spans="1:6" x14ac:dyDescent="0.2">
      <c r="A294" s="55">
        <v>14</v>
      </c>
      <c r="B294" s="45" t="s">
        <v>356</v>
      </c>
      <c r="C294" s="48">
        <v>0.5</v>
      </c>
      <c r="E294" s="121" t="s">
        <v>2902</v>
      </c>
      <c r="F294" s="120" t="s">
        <v>3258</v>
      </c>
    </row>
    <row r="295" spans="1:6" x14ac:dyDescent="0.2">
      <c r="A295" s="55">
        <v>14</v>
      </c>
      <c r="B295" s="45" t="s">
        <v>391</v>
      </c>
      <c r="C295" s="48">
        <v>0.5</v>
      </c>
      <c r="E295" s="121" t="s">
        <v>535</v>
      </c>
      <c r="F295" s="120" t="s">
        <v>3284</v>
      </c>
    </row>
    <row r="296" spans="1:6" x14ac:dyDescent="0.2">
      <c r="A296" s="55">
        <v>15</v>
      </c>
      <c r="B296" s="45" t="s">
        <v>382</v>
      </c>
      <c r="C296" s="48">
        <v>55</v>
      </c>
      <c r="E296" s="121" t="s">
        <v>3427</v>
      </c>
      <c r="F296" s="120" t="s">
        <v>3286</v>
      </c>
    </row>
    <row r="297" spans="1:6" x14ac:dyDescent="0.2">
      <c r="A297" s="55">
        <v>15</v>
      </c>
      <c r="B297" s="45" t="s">
        <v>346</v>
      </c>
      <c r="C297" s="48">
        <v>25</v>
      </c>
      <c r="E297" s="121" t="s">
        <v>3490</v>
      </c>
      <c r="F297" s="120" t="s">
        <v>3310</v>
      </c>
    </row>
    <row r="298" spans="1:6" x14ac:dyDescent="0.2">
      <c r="A298" s="55">
        <v>15</v>
      </c>
      <c r="B298" s="45" t="s">
        <v>381</v>
      </c>
      <c r="C298" s="48">
        <v>14</v>
      </c>
      <c r="E298" s="121" t="s">
        <v>1197</v>
      </c>
      <c r="F298" s="120" t="s">
        <v>3245</v>
      </c>
    </row>
    <row r="299" spans="1:6" x14ac:dyDescent="0.2">
      <c r="A299" s="55">
        <v>15</v>
      </c>
      <c r="B299" s="45" t="s">
        <v>340</v>
      </c>
      <c r="C299" s="48">
        <v>12</v>
      </c>
      <c r="E299" s="121" t="s">
        <v>1529</v>
      </c>
      <c r="F299" s="120" t="s">
        <v>3249</v>
      </c>
    </row>
    <row r="300" spans="1:6" x14ac:dyDescent="0.2">
      <c r="A300" s="55">
        <v>15</v>
      </c>
      <c r="B300" s="45" t="s">
        <v>601</v>
      </c>
      <c r="C300" s="48">
        <v>8</v>
      </c>
      <c r="E300" s="121" t="s">
        <v>1157</v>
      </c>
      <c r="F300" s="120" t="s">
        <v>3249</v>
      </c>
    </row>
    <row r="301" spans="1:6" x14ac:dyDescent="0.2">
      <c r="A301" s="55">
        <v>15</v>
      </c>
      <c r="B301" s="45" t="s">
        <v>402</v>
      </c>
      <c r="C301" s="48">
        <v>7</v>
      </c>
      <c r="E301" s="121" t="s">
        <v>3171</v>
      </c>
      <c r="F301" s="120" t="s">
        <v>3284</v>
      </c>
    </row>
    <row r="302" spans="1:6" x14ac:dyDescent="0.2">
      <c r="A302" s="55">
        <v>15</v>
      </c>
      <c r="B302" s="45" t="s">
        <v>342</v>
      </c>
      <c r="C302" s="48">
        <v>2</v>
      </c>
      <c r="E302" s="121" t="s">
        <v>1169</v>
      </c>
      <c r="F302" s="120" t="s">
        <v>3249</v>
      </c>
    </row>
    <row r="303" spans="1:6" x14ac:dyDescent="0.2">
      <c r="A303" s="55">
        <v>15</v>
      </c>
      <c r="B303" s="45" t="s">
        <v>350</v>
      </c>
      <c r="C303" s="48">
        <v>1</v>
      </c>
      <c r="E303" s="121" t="s">
        <v>1415</v>
      </c>
      <c r="F303" s="120" t="s">
        <v>3249</v>
      </c>
    </row>
    <row r="304" spans="1:6" x14ac:dyDescent="0.2">
      <c r="A304" s="55">
        <v>15</v>
      </c>
      <c r="B304" s="45" t="s">
        <v>391</v>
      </c>
      <c r="C304" s="48">
        <v>1</v>
      </c>
      <c r="E304" s="121" t="s">
        <v>535</v>
      </c>
      <c r="F304" s="120" t="s">
        <v>3284</v>
      </c>
    </row>
    <row r="305" spans="1:6" x14ac:dyDescent="0.2">
      <c r="A305" s="55">
        <v>15</v>
      </c>
      <c r="B305" s="45" t="s">
        <v>1286</v>
      </c>
      <c r="C305" s="48">
        <v>1</v>
      </c>
      <c r="E305" s="121" t="s">
        <v>2926</v>
      </c>
      <c r="F305" s="120" t="s">
        <v>3215</v>
      </c>
    </row>
    <row r="306" spans="1:6" x14ac:dyDescent="0.2">
      <c r="A306" s="55">
        <v>15</v>
      </c>
      <c r="B306" s="45" t="s">
        <v>475</v>
      </c>
      <c r="C306" s="48">
        <v>0.5</v>
      </c>
      <c r="E306" s="121" t="s">
        <v>546</v>
      </c>
      <c r="F306" s="120" t="s">
        <v>199</v>
      </c>
    </row>
    <row r="307" spans="1:6" x14ac:dyDescent="0.2">
      <c r="A307" s="55">
        <v>15</v>
      </c>
      <c r="B307" s="45" t="s">
        <v>388</v>
      </c>
      <c r="C307" s="48">
        <v>0.5</v>
      </c>
      <c r="E307" s="121" t="s">
        <v>3175</v>
      </c>
      <c r="F307" s="120" t="s">
        <v>3284</v>
      </c>
    </row>
    <row r="308" spans="1:6" x14ac:dyDescent="0.2">
      <c r="A308" s="55">
        <v>15</v>
      </c>
      <c r="B308" s="45" t="s">
        <v>383</v>
      </c>
      <c r="C308" s="48">
        <v>0.5</v>
      </c>
      <c r="E308" s="121" t="s">
        <v>3133</v>
      </c>
      <c r="F308" s="120" t="s">
        <v>3268</v>
      </c>
    </row>
    <row r="309" spans="1:6" x14ac:dyDescent="0.2">
      <c r="A309" s="55">
        <v>15</v>
      </c>
      <c r="B309" s="45" t="s">
        <v>384</v>
      </c>
      <c r="C309" s="48">
        <v>0.5</v>
      </c>
      <c r="E309" s="121" t="s">
        <v>557</v>
      </c>
      <c r="F309" s="120" t="s">
        <v>199</v>
      </c>
    </row>
    <row r="310" spans="1:6" x14ac:dyDescent="0.2">
      <c r="A310" s="55">
        <v>15</v>
      </c>
      <c r="B310" s="45" t="s">
        <v>358</v>
      </c>
      <c r="C310" s="48">
        <v>0.5</v>
      </c>
      <c r="E310" s="121" t="s">
        <v>1404</v>
      </c>
      <c r="F310" s="120" t="s">
        <v>3248</v>
      </c>
    </row>
    <row r="311" spans="1:6" x14ac:dyDescent="0.2">
      <c r="A311" s="55">
        <v>15</v>
      </c>
      <c r="B311" s="45" t="s">
        <v>2566</v>
      </c>
      <c r="C311" s="48">
        <v>0.5</v>
      </c>
      <c r="E311" s="121" t="s">
        <v>3331</v>
      </c>
      <c r="F311" s="120" t="s">
        <v>3249</v>
      </c>
    </row>
    <row r="312" spans="1:6" x14ac:dyDescent="0.2">
      <c r="A312" s="55">
        <v>15</v>
      </c>
      <c r="B312" s="45" t="s">
        <v>476</v>
      </c>
      <c r="C312" s="48">
        <v>0.5</v>
      </c>
      <c r="E312" s="121" t="s">
        <v>3074</v>
      </c>
      <c r="F312" s="120" t="s">
        <v>3267</v>
      </c>
    </row>
    <row r="313" spans="1:6" x14ac:dyDescent="0.2">
      <c r="A313" s="55">
        <v>15</v>
      </c>
      <c r="B313" s="45" t="s">
        <v>571</v>
      </c>
      <c r="C313" s="48">
        <v>0.5</v>
      </c>
      <c r="E313" s="121" t="s">
        <v>3183</v>
      </c>
      <c r="F313" s="120" t="s">
        <v>3284</v>
      </c>
    </row>
    <row r="314" spans="1:6" x14ac:dyDescent="0.2">
      <c r="A314" s="55">
        <v>16</v>
      </c>
      <c r="B314" s="45" t="s">
        <v>437</v>
      </c>
      <c r="C314" s="48">
        <v>30</v>
      </c>
      <c r="E314" s="121" t="s">
        <v>3385</v>
      </c>
      <c r="F314" s="120" t="s">
        <v>3285</v>
      </c>
    </row>
    <row r="315" spans="1:6" x14ac:dyDescent="0.2">
      <c r="A315" s="55">
        <v>16</v>
      </c>
      <c r="B315" s="45" t="s">
        <v>347</v>
      </c>
      <c r="C315" s="48">
        <v>12</v>
      </c>
      <c r="E315" s="121" t="s">
        <v>3492</v>
      </c>
      <c r="F315" s="120" t="s">
        <v>3312</v>
      </c>
    </row>
    <row r="316" spans="1:6" x14ac:dyDescent="0.2">
      <c r="A316" s="55">
        <v>16</v>
      </c>
      <c r="B316" s="45" t="s">
        <v>391</v>
      </c>
      <c r="C316" s="48">
        <v>8</v>
      </c>
      <c r="E316" s="121" t="s">
        <v>535</v>
      </c>
      <c r="F316" s="120" t="s">
        <v>3284</v>
      </c>
    </row>
    <row r="317" spans="1:6" x14ac:dyDescent="0.2">
      <c r="A317" s="55">
        <v>16</v>
      </c>
      <c r="B317" s="45" t="s">
        <v>370</v>
      </c>
      <c r="C317" s="48">
        <v>8</v>
      </c>
      <c r="E317" s="121" t="s">
        <v>1875</v>
      </c>
      <c r="F317" s="120" t="s">
        <v>3318</v>
      </c>
    </row>
    <row r="318" spans="1:6" x14ac:dyDescent="0.2">
      <c r="A318" s="55">
        <v>16</v>
      </c>
      <c r="B318" s="45" t="s">
        <v>350</v>
      </c>
      <c r="C318" s="48">
        <v>6</v>
      </c>
      <c r="E318" s="121" t="s">
        <v>1415</v>
      </c>
      <c r="F318" s="120" t="s">
        <v>3249</v>
      </c>
    </row>
    <row r="319" spans="1:6" x14ac:dyDescent="0.2">
      <c r="A319" s="55">
        <v>16</v>
      </c>
      <c r="B319" s="45" t="s">
        <v>348</v>
      </c>
      <c r="C319" s="48">
        <v>6</v>
      </c>
      <c r="E319" s="121" t="s">
        <v>3433</v>
      </c>
      <c r="F319" s="120" t="s">
        <v>3285</v>
      </c>
    </row>
    <row r="320" spans="1:6" x14ac:dyDescent="0.2">
      <c r="A320" s="55">
        <v>16</v>
      </c>
      <c r="B320" s="45" t="s">
        <v>351</v>
      </c>
      <c r="C320" s="48">
        <v>4</v>
      </c>
      <c r="E320" s="121" t="s">
        <v>3051</v>
      </c>
      <c r="F320" s="120" t="s">
        <v>3215</v>
      </c>
    </row>
    <row r="321" spans="1:6" x14ac:dyDescent="0.2">
      <c r="A321" s="55">
        <v>16</v>
      </c>
      <c r="B321" s="45" t="s">
        <v>2636</v>
      </c>
      <c r="C321" s="48">
        <v>4</v>
      </c>
      <c r="E321" s="121" t="s">
        <v>3504</v>
      </c>
      <c r="F321" s="120" t="s">
        <v>3248</v>
      </c>
    </row>
    <row r="322" spans="1:6" x14ac:dyDescent="0.2">
      <c r="A322" s="55">
        <v>16</v>
      </c>
      <c r="B322" s="45" t="s">
        <v>2583</v>
      </c>
      <c r="C322" s="48">
        <v>4</v>
      </c>
      <c r="E322" s="121" t="s">
        <v>1177</v>
      </c>
      <c r="F322" s="120" t="s">
        <v>3288</v>
      </c>
    </row>
    <row r="323" spans="1:6" x14ac:dyDescent="0.2">
      <c r="A323" s="55">
        <v>16</v>
      </c>
      <c r="B323" s="45" t="s">
        <v>349</v>
      </c>
      <c r="C323" s="48">
        <v>4</v>
      </c>
      <c r="E323" s="121" t="s">
        <v>1200</v>
      </c>
      <c r="F323" s="120" t="s">
        <v>3292</v>
      </c>
    </row>
    <row r="324" spans="1:6" x14ac:dyDescent="0.2">
      <c r="A324" s="55">
        <v>16</v>
      </c>
      <c r="B324" s="45" t="s">
        <v>451</v>
      </c>
      <c r="C324" s="48">
        <v>3</v>
      </c>
      <c r="E324" s="121" t="s">
        <v>1434</v>
      </c>
      <c r="F324" s="120" t="s">
        <v>3215</v>
      </c>
    </row>
    <row r="325" spans="1:6" x14ac:dyDescent="0.2">
      <c r="A325" s="55">
        <v>16</v>
      </c>
      <c r="B325" s="45" t="s">
        <v>362</v>
      </c>
      <c r="C325" s="48">
        <v>2</v>
      </c>
      <c r="E325" s="121" t="s">
        <v>3135</v>
      </c>
      <c r="F325" s="120" t="s">
        <v>3227</v>
      </c>
    </row>
    <row r="326" spans="1:6" x14ac:dyDescent="0.2">
      <c r="A326" s="55">
        <v>16</v>
      </c>
      <c r="B326" s="45" t="s">
        <v>385</v>
      </c>
      <c r="C326" s="48">
        <v>2</v>
      </c>
      <c r="E326" s="121" t="s">
        <v>3174</v>
      </c>
      <c r="F326" s="120" t="s">
        <v>3284</v>
      </c>
    </row>
    <row r="327" spans="1:6" x14ac:dyDescent="0.2">
      <c r="A327" s="55">
        <v>16</v>
      </c>
      <c r="B327" s="45" t="s">
        <v>386</v>
      </c>
      <c r="C327" s="48">
        <v>2</v>
      </c>
      <c r="E327" s="121" t="s">
        <v>3498</v>
      </c>
      <c r="F327" s="120" t="s">
        <v>3215</v>
      </c>
    </row>
    <row r="328" spans="1:6" x14ac:dyDescent="0.2">
      <c r="A328" s="55">
        <v>16</v>
      </c>
      <c r="B328" s="45" t="s">
        <v>354</v>
      </c>
      <c r="C328" s="48">
        <v>2</v>
      </c>
      <c r="E328" s="121" t="s">
        <v>3188</v>
      </c>
      <c r="F328" s="120" t="s">
        <v>3269</v>
      </c>
    </row>
    <row r="329" spans="1:6" x14ac:dyDescent="0.2">
      <c r="A329" s="55">
        <v>16</v>
      </c>
      <c r="B329" s="45" t="s">
        <v>442</v>
      </c>
      <c r="C329" s="48">
        <v>2</v>
      </c>
      <c r="E329" s="121" t="s">
        <v>1436</v>
      </c>
      <c r="F329" s="120" t="s">
        <v>3215</v>
      </c>
    </row>
    <row r="330" spans="1:6" x14ac:dyDescent="0.2">
      <c r="A330" s="55">
        <v>16</v>
      </c>
      <c r="B330" s="45" t="s">
        <v>431</v>
      </c>
      <c r="C330" s="48">
        <v>2</v>
      </c>
      <c r="E330" s="121" t="s">
        <v>1210</v>
      </c>
      <c r="F330" s="120" t="s">
        <v>1287</v>
      </c>
    </row>
    <row r="331" spans="1:6" x14ac:dyDescent="0.2">
      <c r="A331" s="55">
        <v>16</v>
      </c>
      <c r="B331" s="45" t="s">
        <v>377</v>
      </c>
      <c r="C331" s="48">
        <v>2</v>
      </c>
      <c r="E331" s="121" t="s">
        <v>1540</v>
      </c>
      <c r="F331" s="120" t="s">
        <v>3216</v>
      </c>
    </row>
    <row r="332" spans="1:6" x14ac:dyDescent="0.2">
      <c r="A332" s="55">
        <v>16</v>
      </c>
      <c r="B332" s="45" t="s">
        <v>3151</v>
      </c>
      <c r="C332" s="48">
        <v>1</v>
      </c>
      <c r="E332" s="121" t="s">
        <v>3194</v>
      </c>
      <c r="F332" s="120" t="s">
        <v>3258</v>
      </c>
    </row>
    <row r="333" spans="1:6" x14ac:dyDescent="0.2">
      <c r="A333" s="55">
        <v>16</v>
      </c>
      <c r="B333" s="45" t="s">
        <v>342</v>
      </c>
      <c r="C333" s="48">
        <v>1</v>
      </c>
      <c r="E333" s="121" t="s">
        <v>1169</v>
      </c>
      <c r="F333" s="120" t="s">
        <v>3249</v>
      </c>
    </row>
    <row r="334" spans="1:6" x14ac:dyDescent="0.2">
      <c r="A334" s="55">
        <v>16</v>
      </c>
      <c r="B334" s="45" t="s">
        <v>597</v>
      </c>
      <c r="C334" s="48">
        <v>1</v>
      </c>
      <c r="E334" s="121" t="s">
        <v>3060</v>
      </c>
      <c r="F334" s="120" t="s">
        <v>3248</v>
      </c>
    </row>
    <row r="335" spans="1:6" x14ac:dyDescent="0.2">
      <c r="A335" s="55">
        <v>16</v>
      </c>
      <c r="B335" s="45" t="s">
        <v>357</v>
      </c>
      <c r="C335" s="48">
        <v>1</v>
      </c>
      <c r="E335" s="121" t="s">
        <v>3063</v>
      </c>
      <c r="F335" s="120" t="s">
        <v>3262</v>
      </c>
    </row>
    <row r="336" spans="1:6" x14ac:dyDescent="0.2">
      <c r="A336" s="55">
        <v>16</v>
      </c>
      <c r="B336" s="45" t="s">
        <v>398</v>
      </c>
      <c r="C336" s="48">
        <v>0.5</v>
      </c>
      <c r="E336" s="121" t="s">
        <v>1165</v>
      </c>
      <c r="F336" s="120" t="s">
        <v>3215</v>
      </c>
    </row>
    <row r="337" spans="1:6" x14ac:dyDescent="0.2">
      <c r="A337" s="55">
        <v>16</v>
      </c>
      <c r="B337" s="45" t="s">
        <v>2642</v>
      </c>
      <c r="C337" s="48">
        <v>0.5</v>
      </c>
      <c r="E337" s="121" t="s">
        <v>1148</v>
      </c>
      <c r="F337" s="120" t="s">
        <v>3215</v>
      </c>
    </row>
    <row r="338" spans="1:6" x14ac:dyDescent="0.2">
      <c r="A338" s="55">
        <v>16</v>
      </c>
      <c r="B338" s="45" t="s">
        <v>352</v>
      </c>
      <c r="C338" s="48">
        <v>0.5</v>
      </c>
      <c r="E338" s="121" t="s">
        <v>2908</v>
      </c>
      <c r="F338" s="120" t="s">
        <v>3259</v>
      </c>
    </row>
    <row r="339" spans="1:6" x14ac:dyDescent="0.2">
      <c r="A339" s="55">
        <v>16</v>
      </c>
      <c r="B339" s="45" t="s">
        <v>378</v>
      </c>
      <c r="C339" s="48">
        <v>0.5</v>
      </c>
      <c r="E339" s="121" t="s">
        <v>3045</v>
      </c>
      <c r="F339" s="120" t="s">
        <v>3244</v>
      </c>
    </row>
    <row r="340" spans="1:6" x14ac:dyDescent="0.2">
      <c r="A340" s="55">
        <v>16</v>
      </c>
      <c r="B340" s="45" t="s">
        <v>2637</v>
      </c>
      <c r="C340" s="48">
        <v>0.5</v>
      </c>
      <c r="E340" s="121" t="s">
        <v>1499</v>
      </c>
      <c r="F340" s="120" t="s">
        <v>3215</v>
      </c>
    </row>
    <row r="341" spans="1:6" x14ac:dyDescent="0.2">
      <c r="A341" s="55">
        <v>16</v>
      </c>
      <c r="B341" s="45" t="s">
        <v>2574</v>
      </c>
      <c r="C341" s="48">
        <v>0.5</v>
      </c>
      <c r="E341" s="121" t="s">
        <v>1226</v>
      </c>
      <c r="F341" s="120" t="s">
        <v>1287</v>
      </c>
    </row>
    <row r="342" spans="1:6" x14ac:dyDescent="0.2">
      <c r="A342" s="55">
        <v>16</v>
      </c>
      <c r="B342" s="45" t="s">
        <v>341</v>
      </c>
      <c r="C342" s="48">
        <v>0.5</v>
      </c>
      <c r="E342" s="121" t="s">
        <v>3062</v>
      </c>
      <c r="F342" s="120" t="s">
        <v>3266</v>
      </c>
    </row>
    <row r="343" spans="1:6" x14ac:dyDescent="0.2">
      <c r="A343" s="55">
        <v>16</v>
      </c>
      <c r="B343" s="45" t="s">
        <v>1286</v>
      </c>
      <c r="C343" s="48">
        <v>0.5</v>
      </c>
      <c r="E343" s="121" t="s">
        <v>2926</v>
      </c>
      <c r="F343" s="120" t="s">
        <v>3215</v>
      </c>
    </row>
    <row r="344" spans="1:6" x14ac:dyDescent="0.2">
      <c r="A344" s="55">
        <v>16</v>
      </c>
      <c r="B344" s="45" t="s">
        <v>1586</v>
      </c>
      <c r="C344" s="48">
        <v>0.5</v>
      </c>
      <c r="E344" s="121" t="s">
        <v>1517</v>
      </c>
      <c r="F344" s="120" t="s">
        <v>3301</v>
      </c>
    </row>
    <row r="345" spans="1:6" x14ac:dyDescent="0.2">
      <c r="A345" s="55">
        <v>16</v>
      </c>
      <c r="B345" s="45" t="s">
        <v>375</v>
      </c>
      <c r="C345" s="48">
        <v>0.5</v>
      </c>
      <c r="E345" s="121" t="s">
        <v>1530</v>
      </c>
      <c r="F345" s="120" t="s">
        <v>3248</v>
      </c>
    </row>
    <row r="346" spans="1:6" x14ac:dyDescent="0.2">
      <c r="A346" s="55">
        <v>16</v>
      </c>
      <c r="B346" s="45" t="s">
        <v>372</v>
      </c>
      <c r="C346" s="48">
        <v>0.5</v>
      </c>
      <c r="E346" s="121" t="s">
        <v>3129</v>
      </c>
      <c r="F346" s="120" t="s">
        <v>3248</v>
      </c>
    </row>
    <row r="347" spans="1:6" x14ac:dyDescent="0.2">
      <c r="A347" s="55">
        <v>17</v>
      </c>
      <c r="B347" s="45" t="s">
        <v>347</v>
      </c>
      <c r="C347" s="48">
        <v>20</v>
      </c>
      <c r="E347" s="121" t="s">
        <v>3492</v>
      </c>
      <c r="F347" s="120" t="s">
        <v>3312</v>
      </c>
    </row>
    <row r="348" spans="1:6" x14ac:dyDescent="0.2">
      <c r="A348" s="55">
        <v>17</v>
      </c>
      <c r="B348" s="45" t="s">
        <v>341</v>
      </c>
      <c r="C348" s="48">
        <v>20</v>
      </c>
      <c r="E348" s="121" t="s">
        <v>3062</v>
      </c>
      <c r="F348" s="120" t="s">
        <v>3266</v>
      </c>
    </row>
    <row r="349" spans="1:6" x14ac:dyDescent="0.2">
      <c r="A349" s="55">
        <v>17</v>
      </c>
      <c r="B349" s="45" t="s">
        <v>340</v>
      </c>
      <c r="C349" s="48">
        <v>20</v>
      </c>
      <c r="E349" s="121" t="s">
        <v>1529</v>
      </c>
      <c r="F349" s="120" t="s">
        <v>3249</v>
      </c>
    </row>
    <row r="350" spans="1:6" x14ac:dyDescent="0.2">
      <c r="A350" s="55">
        <v>17</v>
      </c>
      <c r="B350" s="45" t="s">
        <v>1286</v>
      </c>
      <c r="C350" s="48">
        <v>14</v>
      </c>
      <c r="E350" s="121" t="s">
        <v>2926</v>
      </c>
      <c r="F350" s="120" t="s">
        <v>3215</v>
      </c>
    </row>
    <row r="351" spans="1:6" x14ac:dyDescent="0.2">
      <c r="A351" s="55">
        <v>17</v>
      </c>
      <c r="B351" s="45" t="s">
        <v>597</v>
      </c>
      <c r="C351" s="48">
        <v>8</v>
      </c>
      <c r="E351" s="121" t="s">
        <v>3060</v>
      </c>
      <c r="F351" s="120" t="s">
        <v>3248</v>
      </c>
    </row>
    <row r="352" spans="1:6" x14ac:dyDescent="0.2">
      <c r="A352" s="55">
        <v>17</v>
      </c>
      <c r="B352" s="45" t="s">
        <v>3151</v>
      </c>
      <c r="C352" s="48">
        <v>5</v>
      </c>
      <c r="E352" s="121" t="s">
        <v>3194</v>
      </c>
      <c r="F352" s="120" t="s">
        <v>3258</v>
      </c>
    </row>
    <row r="353" spans="1:6" x14ac:dyDescent="0.2">
      <c r="A353" s="55">
        <v>17</v>
      </c>
      <c r="B353" s="45" t="s">
        <v>2566</v>
      </c>
      <c r="C353" s="48">
        <v>5</v>
      </c>
      <c r="E353" s="121" t="s">
        <v>3331</v>
      </c>
      <c r="F353" s="120" t="s">
        <v>3249</v>
      </c>
    </row>
    <row r="354" spans="1:6" x14ac:dyDescent="0.2">
      <c r="A354" s="55">
        <v>17</v>
      </c>
      <c r="B354" s="45" t="s">
        <v>350</v>
      </c>
      <c r="C354" s="48">
        <v>4</v>
      </c>
      <c r="E354" s="121" t="s">
        <v>1415</v>
      </c>
      <c r="F354" s="120" t="s">
        <v>3249</v>
      </c>
    </row>
    <row r="355" spans="1:6" x14ac:dyDescent="0.2">
      <c r="A355" s="55">
        <v>17</v>
      </c>
      <c r="B355" s="45" t="s">
        <v>583</v>
      </c>
      <c r="C355" s="48">
        <v>3</v>
      </c>
      <c r="E355" s="121" t="s">
        <v>1207</v>
      </c>
      <c r="F355" s="120" t="s">
        <v>3274</v>
      </c>
    </row>
    <row r="356" spans="1:6" x14ac:dyDescent="0.2">
      <c r="A356" s="55">
        <v>17</v>
      </c>
      <c r="B356" s="45" t="s">
        <v>402</v>
      </c>
      <c r="C356" s="48">
        <v>2</v>
      </c>
      <c r="E356" s="121" t="s">
        <v>3171</v>
      </c>
      <c r="F356" s="120" t="s">
        <v>3284</v>
      </c>
    </row>
    <row r="357" spans="1:6" x14ac:dyDescent="0.2">
      <c r="A357" s="55">
        <v>17</v>
      </c>
      <c r="B357" s="45" t="s">
        <v>342</v>
      </c>
      <c r="C357" s="48">
        <v>2</v>
      </c>
      <c r="E357" s="121" t="s">
        <v>1169</v>
      </c>
      <c r="F357" s="120" t="s">
        <v>3249</v>
      </c>
    </row>
    <row r="358" spans="1:6" x14ac:dyDescent="0.2">
      <c r="A358" s="55">
        <v>17</v>
      </c>
      <c r="B358" s="45" t="s">
        <v>357</v>
      </c>
      <c r="C358" s="48">
        <v>2</v>
      </c>
      <c r="E358" s="121" t="s">
        <v>3063</v>
      </c>
      <c r="F358" s="120" t="s">
        <v>3262</v>
      </c>
    </row>
    <row r="359" spans="1:6" x14ac:dyDescent="0.2">
      <c r="A359" s="55">
        <v>17</v>
      </c>
      <c r="B359" s="45" t="s">
        <v>354</v>
      </c>
      <c r="C359" s="48">
        <v>2</v>
      </c>
      <c r="E359" s="121" t="s">
        <v>3188</v>
      </c>
      <c r="F359" s="120" t="s">
        <v>3269</v>
      </c>
    </row>
    <row r="360" spans="1:6" x14ac:dyDescent="0.2">
      <c r="A360" s="55">
        <v>17</v>
      </c>
      <c r="B360" s="45" t="s">
        <v>600</v>
      </c>
      <c r="C360" s="48">
        <v>1</v>
      </c>
      <c r="E360" s="121" t="s">
        <v>1423</v>
      </c>
      <c r="F360" s="120" t="s">
        <v>3249</v>
      </c>
    </row>
    <row r="361" spans="1:6" x14ac:dyDescent="0.2">
      <c r="A361" s="55">
        <v>17</v>
      </c>
      <c r="B361" s="45" t="s">
        <v>353</v>
      </c>
      <c r="C361" s="48">
        <v>1</v>
      </c>
      <c r="E361" s="121" t="s">
        <v>2866</v>
      </c>
      <c r="F361" s="120" t="s">
        <v>3237</v>
      </c>
    </row>
    <row r="362" spans="1:6" x14ac:dyDescent="0.2">
      <c r="A362" s="55">
        <v>17</v>
      </c>
      <c r="B362" s="45" t="s">
        <v>2636</v>
      </c>
      <c r="C362" s="48">
        <v>1</v>
      </c>
      <c r="E362" s="121" t="s">
        <v>3504</v>
      </c>
      <c r="F362" s="120" t="s">
        <v>3248</v>
      </c>
    </row>
    <row r="363" spans="1:6" x14ac:dyDescent="0.2">
      <c r="A363" s="55">
        <v>17</v>
      </c>
      <c r="B363" s="45" t="s">
        <v>349</v>
      </c>
      <c r="C363" s="48">
        <v>1</v>
      </c>
      <c r="E363" s="121" t="s">
        <v>1200</v>
      </c>
      <c r="F363" s="120" t="s">
        <v>3292</v>
      </c>
    </row>
    <row r="364" spans="1:6" x14ac:dyDescent="0.2">
      <c r="A364" s="55">
        <v>17</v>
      </c>
      <c r="B364" s="45" t="s">
        <v>382</v>
      </c>
      <c r="C364" s="48">
        <v>0.5</v>
      </c>
      <c r="E364" s="121" t="s">
        <v>3427</v>
      </c>
      <c r="F364" s="120" t="s">
        <v>3286</v>
      </c>
    </row>
    <row r="365" spans="1:6" x14ac:dyDescent="0.2">
      <c r="A365" s="55">
        <v>17</v>
      </c>
      <c r="B365" s="45" t="s">
        <v>361</v>
      </c>
      <c r="C365" s="48">
        <v>0.5</v>
      </c>
      <c r="E365" s="121" t="s">
        <v>3201</v>
      </c>
      <c r="F365" s="120" t="s">
        <v>3249</v>
      </c>
    </row>
    <row r="366" spans="1:6" x14ac:dyDescent="0.2">
      <c r="A366" s="55">
        <v>17</v>
      </c>
      <c r="B366" s="45" t="s">
        <v>2643</v>
      </c>
      <c r="C366" s="48">
        <v>0.5</v>
      </c>
      <c r="E366" s="121" t="s">
        <v>547</v>
      </c>
      <c r="F366" s="120" t="s">
        <v>199</v>
      </c>
    </row>
    <row r="367" spans="1:6" x14ac:dyDescent="0.2">
      <c r="A367" s="55">
        <v>17</v>
      </c>
      <c r="B367" s="45" t="s">
        <v>2637</v>
      </c>
      <c r="C367" s="48">
        <v>0.5</v>
      </c>
      <c r="E367" s="121" t="s">
        <v>1499</v>
      </c>
      <c r="F367" s="120" t="s">
        <v>3215</v>
      </c>
    </row>
    <row r="368" spans="1:6" x14ac:dyDescent="0.2">
      <c r="A368" s="55">
        <v>17</v>
      </c>
      <c r="B368" s="45" t="s">
        <v>387</v>
      </c>
      <c r="C368" s="48">
        <v>0.5</v>
      </c>
      <c r="E368" s="121" t="s">
        <v>1504</v>
      </c>
      <c r="F368" s="120" t="s">
        <v>198</v>
      </c>
    </row>
    <row r="369" spans="1:6" x14ac:dyDescent="0.2">
      <c r="A369" s="55">
        <v>17</v>
      </c>
      <c r="B369" s="45" t="s">
        <v>348</v>
      </c>
      <c r="C369" s="48">
        <v>0.5</v>
      </c>
      <c r="E369" s="121" t="s">
        <v>3433</v>
      </c>
      <c r="F369" s="120" t="s">
        <v>3285</v>
      </c>
    </row>
    <row r="370" spans="1:6" x14ac:dyDescent="0.2">
      <c r="A370" s="55">
        <v>17</v>
      </c>
      <c r="B370" s="45" t="s">
        <v>344</v>
      </c>
      <c r="C370" s="48">
        <v>0.5</v>
      </c>
      <c r="E370" s="121" t="s">
        <v>1403</v>
      </c>
      <c r="F370" s="120" t="s">
        <v>3215</v>
      </c>
    </row>
    <row r="371" spans="1:6" x14ac:dyDescent="0.2">
      <c r="A371" s="55">
        <v>17</v>
      </c>
      <c r="B371" s="45" t="s">
        <v>423</v>
      </c>
      <c r="C371" s="48">
        <v>0.5</v>
      </c>
      <c r="E371" s="121" t="s">
        <v>3494</v>
      </c>
      <c r="F371" s="120" t="s">
        <v>3310</v>
      </c>
    </row>
    <row r="372" spans="1:6" x14ac:dyDescent="0.2">
      <c r="A372" s="55">
        <v>17</v>
      </c>
      <c r="B372" s="45" t="s">
        <v>432</v>
      </c>
      <c r="C372" s="48">
        <v>0.5</v>
      </c>
      <c r="E372" s="121" t="s">
        <v>3186</v>
      </c>
      <c r="F372" s="120" t="s">
        <v>3284</v>
      </c>
    </row>
    <row r="373" spans="1:6" x14ac:dyDescent="0.2">
      <c r="A373" s="55">
        <v>18</v>
      </c>
      <c r="B373" s="45" t="s">
        <v>361</v>
      </c>
      <c r="C373" s="48">
        <v>30</v>
      </c>
      <c r="E373" s="121" t="s">
        <v>3201</v>
      </c>
      <c r="F373" s="120" t="s">
        <v>3249</v>
      </c>
    </row>
    <row r="374" spans="1:6" x14ac:dyDescent="0.2">
      <c r="A374" s="55">
        <v>18</v>
      </c>
      <c r="B374" s="45" t="s">
        <v>341</v>
      </c>
      <c r="C374" s="48">
        <v>20</v>
      </c>
      <c r="E374" s="121" t="s">
        <v>3062</v>
      </c>
      <c r="F374" s="120" t="s">
        <v>3266</v>
      </c>
    </row>
    <row r="375" spans="1:6" x14ac:dyDescent="0.2">
      <c r="A375" s="55">
        <v>18</v>
      </c>
      <c r="B375" s="45" t="s">
        <v>347</v>
      </c>
      <c r="C375" s="48">
        <v>15</v>
      </c>
      <c r="E375" s="121" t="s">
        <v>3492</v>
      </c>
      <c r="F375" s="120" t="s">
        <v>3312</v>
      </c>
    </row>
    <row r="376" spans="1:6" x14ac:dyDescent="0.2">
      <c r="A376" s="55">
        <v>18</v>
      </c>
      <c r="B376" s="45" t="s">
        <v>3151</v>
      </c>
      <c r="C376" s="48">
        <v>12</v>
      </c>
      <c r="E376" s="121" t="s">
        <v>3194</v>
      </c>
      <c r="F376" s="120" t="s">
        <v>3258</v>
      </c>
    </row>
    <row r="377" spans="1:6" x14ac:dyDescent="0.2">
      <c r="A377" s="55">
        <v>18</v>
      </c>
      <c r="B377" s="45" t="s">
        <v>597</v>
      </c>
      <c r="C377" s="48">
        <v>10</v>
      </c>
      <c r="E377" s="121" t="s">
        <v>3060</v>
      </c>
      <c r="F377" s="120" t="s">
        <v>3248</v>
      </c>
    </row>
    <row r="378" spans="1:6" x14ac:dyDescent="0.2">
      <c r="A378" s="55">
        <v>18</v>
      </c>
      <c r="B378" s="45" t="s">
        <v>342</v>
      </c>
      <c r="C378" s="48">
        <v>7</v>
      </c>
      <c r="E378" s="121" t="s">
        <v>1169</v>
      </c>
      <c r="F378" s="120" t="s">
        <v>3249</v>
      </c>
    </row>
    <row r="379" spans="1:6" x14ac:dyDescent="0.2">
      <c r="A379" s="55">
        <v>18</v>
      </c>
      <c r="B379" s="45" t="s">
        <v>350</v>
      </c>
      <c r="C379" s="48">
        <v>4</v>
      </c>
      <c r="E379" s="121" t="s">
        <v>1415</v>
      </c>
      <c r="F379" s="120" t="s">
        <v>3249</v>
      </c>
    </row>
    <row r="380" spans="1:6" x14ac:dyDescent="0.2">
      <c r="A380" s="55">
        <v>18</v>
      </c>
      <c r="B380" s="45" t="s">
        <v>356</v>
      </c>
      <c r="C380" s="48">
        <v>3</v>
      </c>
      <c r="E380" s="121" t="s">
        <v>2902</v>
      </c>
      <c r="F380" s="120" t="s">
        <v>3258</v>
      </c>
    </row>
    <row r="381" spans="1:6" x14ac:dyDescent="0.2">
      <c r="A381" s="55">
        <v>18</v>
      </c>
      <c r="B381" s="45" t="s">
        <v>380</v>
      </c>
      <c r="C381" s="48">
        <v>3</v>
      </c>
      <c r="E381" s="121" t="s">
        <v>2853</v>
      </c>
      <c r="F381" s="120" t="s">
        <v>3227</v>
      </c>
    </row>
    <row r="382" spans="1:6" x14ac:dyDescent="0.2">
      <c r="A382" s="55">
        <v>18</v>
      </c>
      <c r="B382" s="45" t="s">
        <v>343</v>
      </c>
      <c r="C382" s="48">
        <v>2</v>
      </c>
      <c r="E382" s="121" t="s">
        <v>3334</v>
      </c>
      <c r="F382" s="120" t="s">
        <v>3303</v>
      </c>
    </row>
    <row r="383" spans="1:6" x14ac:dyDescent="0.2">
      <c r="A383" s="55">
        <v>18</v>
      </c>
      <c r="B383" s="45" t="s">
        <v>2642</v>
      </c>
      <c r="C383" s="48">
        <v>2</v>
      </c>
      <c r="E383" s="121" t="s">
        <v>1148</v>
      </c>
      <c r="F383" s="120" t="s">
        <v>3215</v>
      </c>
    </row>
    <row r="384" spans="1:6" x14ac:dyDescent="0.2">
      <c r="A384" s="55">
        <v>18</v>
      </c>
      <c r="B384" s="45" t="s">
        <v>357</v>
      </c>
      <c r="C384" s="48">
        <v>2</v>
      </c>
      <c r="E384" s="121" t="s">
        <v>3063</v>
      </c>
      <c r="F384" s="120" t="s">
        <v>3262</v>
      </c>
    </row>
    <row r="385" spans="1:6" x14ac:dyDescent="0.2">
      <c r="A385" s="55">
        <v>18</v>
      </c>
      <c r="B385" s="45" t="s">
        <v>340</v>
      </c>
      <c r="C385" s="48">
        <v>2</v>
      </c>
      <c r="E385" s="121" t="s">
        <v>1529</v>
      </c>
      <c r="F385" s="120" t="s">
        <v>3249</v>
      </c>
    </row>
    <row r="386" spans="1:6" x14ac:dyDescent="0.2">
      <c r="A386" s="55">
        <v>18</v>
      </c>
      <c r="B386" s="45" t="s">
        <v>370</v>
      </c>
      <c r="C386" s="48">
        <v>2</v>
      </c>
      <c r="E386" s="121" t="s">
        <v>1875</v>
      </c>
      <c r="F386" s="120" t="s">
        <v>3318</v>
      </c>
    </row>
    <row r="387" spans="1:6" x14ac:dyDescent="0.2">
      <c r="A387" s="55">
        <v>18</v>
      </c>
      <c r="B387" s="45" t="s">
        <v>2571</v>
      </c>
      <c r="C387" s="48">
        <v>2</v>
      </c>
      <c r="E387" s="121" t="s">
        <v>1435</v>
      </c>
      <c r="F387" s="120" t="s">
        <v>3215</v>
      </c>
    </row>
    <row r="388" spans="1:6" x14ac:dyDescent="0.2">
      <c r="A388" s="55">
        <v>18</v>
      </c>
      <c r="B388" s="45" t="s">
        <v>604</v>
      </c>
      <c r="C388" s="48">
        <v>1</v>
      </c>
      <c r="E388" s="121" t="s">
        <v>1419</v>
      </c>
      <c r="F388" s="120" t="s">
        <v>3215</v>
      </c>
    </row>
    <row r="389" spans="1:6" x14ac:dyDescent="0.2">
      <c r="A389" s="55">
        <v>18</v>
      </c>
      <c r="B389" s="45" t="s">
        <v>2638</v>
      </c>
      <c r="C389" s="48">
        <v>1</v>
      </c>
      <c r="E389" s="121" t="s">
        <v>3165</v>
      </c>
      <c r="F389" s="120" t="s">
        <v>3248</v>
      </c>
    </row>
    <row r="390" spans="1:6" x14ac:dyDescent="0.2">
      <c r="A390" s="55">
        <v>18</v>
      </c>
      <c r="B390" s="45" t="s">
        <v>388</v>
      </c>
      <c r="C390" s="48">
        <v>1</v>
      </c>
      <c r="E390" s="121" t="s">
        <v>3175</v>
      </c>
      <c r="F390" s="120" t="s">
        <v>3284</v>
      </c>
    </row>
    <row r="391" spans="1:6" x14ac:dyDescent="0.2">
      <c r="A391" s="55">
        <v>18</v>
      </c>
      <c r="B391" s="45" t="s">
        <v>2637</v>
      </c>
      <c r="C391" s="48">
        <v>1</v>
      </c>
      <c r="E391" s="121" t="s">
        <v>1499</v>
      </c>
      <c r="F391" s="120" t="s">
        <v>3215</v>
      </c>
    </row>
    <row r="392" spans="1:6" x14ac:dyDescent="0.2">
      <c r="A392" s="55">
        <v>18</v>
      </c>
      <c r="B392" s="45" t="s">
        <v>387</v>
      </c>
      <c r="C392" s="48">
        <v>1</v>
      </c>
      <c r="E392" s="121" t="s">
        <v>1504</v>
      </c>
      <c r="F392" s="120" t="s">
        <v>198</v>
      </c>
    </row>
    <row r="393" spans="1:6" x14ac:dyDescent="0.2">
      <c r="A393" s="55">
        <v>18</v>
      </c>
      <c r="B393" s="45" t="s">
        <v>354</v>
      </c>
      <c r="C393" s="48">
        <v>1</v>
      </c>
      <c r="E393" s="121" t="s">
        <v>3188</v>
      </c>
      <c r="F393" s="120" t="s">
        <v>3269</v>
      </c>
    </row>
    <row r="394" spans="1:6" x14ac:dyDescent="0.2">
      <c r="A394" s="55">
        <v>18</v>
      </c>
      <c r="B394" s="45" t="s">
        <v>389</v>
      </c>
      <c r="C394" s="48">
        <v>1</v>
      </c>
      <c r="E394" s="121" t="s">
        <v>3096</v>
      </c>
      <c r="F394" s="120" t="s">
        <v>3274</v>
      </c>
    </row>
    <row r="395" spans="1:6" x14ac:dyDescent="0.2">
      <c r="A395" s="55">
        <v>18</v>
      </c>
      <c r="B395" s="45" t="s">
        <v>366</v>
      </c>
      <c r="C395" s="48">
        <v>0.5</v>
      </c>
      <c r="E395" s="121" t="s">
        <v>1187</v>
      </c>
      <c r="F395" s="120" t="s">
        <v>3263</v>
      </c>
    </row>
    <row r="396" spans="1:6" x14ac:dyDescent="0.2">
      <c r="A396" s="55">
        <v>18</v>
      </c>
      <c r="B396" s="45" t="s">
        <v>353</v>
      </c>
      <c r="C396" s="48">
        <v>0.5</v>
      </c>
      <c r="E396" s="121" t="s">
        <v>2866</v>
      </c>
      <c r="F396" s="120" t="s">
        <v>3237</v>
      </c>
    </row>
    <row r="397" spans="1:6" x14ac:dyDescent="0.2">
      <c r="A397" s="55">
        <v>18</v>
      </c>
      <c r="B397" s="45" t="s">
        <v>2636</v>
      </c>
      <c r="C397" s="48">
        <v>0.5</v>
      </c>
      <c r="E397" s="121" t="s">
        <v>3504</v>
      </c>
      <c r="F397" s="120" t="s">
        <v>3248</v>
      </c>
    </row>
    <row r="398" spans="1:6" x14ac:dyDescent="0.2">
      <c r="A398" s="55">
        <v>18</v>
      </c>
      <c r="B398" s="45" t="s">
        <v>2574</v>
      </c>
      <c r="C398" s="48">
        <v>0.5</v>
      </c>
      <c r="E398" s="121" t="s">
        <v>1226</v>
      </c>
      <c r="F398" s="120" t="s">
        <v>1287</v>
      </c>
    </row>
    <row r="399" spans="1:6" x14ac:dyDescent="0.2">
      <c r="A399" s="55">
        <v>18</v>
      </c>
      <c r="B399" s="45" t="s">
        <v>349</v>
      </c>
      <c r="C399" s="48">
        <v>0.5</v>
      </c>
      <c r="E399" s="121" t="s">
        <v>1200</v>
      </c>
      <c r="F399" s="120" t="s">
        <v>3292</v>
      </c>
    </row>
    <row r="400" spans="1:6" x14ac:dyDescent="0.2">
      <c r="A400" s="55">
        <v>18</v>
      </c>
      <c r="B400" s="45" t="s">
        <v>344</v>
      </c>
      <c r="C400" s="48">
        <v>0.5</v>
      </c>
      <c r="E400" s="121" t="s">
        <v>1403</v>
      </c>
      <c r="F400" s="120" t="s">
        <v>3215</v>
      </c>
    </row>
    <row r="401" spans="1:6" x14ac:dyDescent="0.2">
      <c r="A401" s="55">
        <v>18</v>
      </c>
      <c r="B401" s="45" t="s">
        <v>358</v>
      </c>
      <c r="C401" s="48">
        <v>0.5</v>
      </c>
      <c r="E401" s="121" t="s">
        <v>1404</v>
      </c>
      <c r="F401" s="120" t="s">
        <v>3248</v>
      </c>
    </row>
    <row r="402" spans="1:6" x14ac:dyDescent="0.2">
      <c r="A402" s="55">
        <v>19</v>
      </c>
      <c r="B402" s="45" t="s">
        <v>2569</v>
      </c>
      <c r="C402" s="48">
        <v>55</v>
      </c>
      <c r="E402" s="121" t="s">
        <v>3496</v>
      </c>
      <c r="F402" s="120" t="s">
        <v>3310</v>
      </c>
    </row>
    <row r="403" spans="1:6" x14ac:dyDescent="0.2">
      <c r="A403" s="55">
        <v>19</v>
      </c>
      <c r="B403" s="45" t="s">
        <v>398</v>
      </c>
      <c r="C403" s="48">
        <v>20</v>
      </c>
      <c r="E403" s="121" t="s">
        <v>1165</v>
      </c>
      <c r="F403" s="120" t="s">
        <v>3215</v>
      </c>
    </row>
    <row r="404" spans="1:6" x14ac:dyDescent="0.2">
      <c r="A404" s="55">
        <v>19</v>
      </c>
      <c r="B404" s="45" t="s">
        <v>595</v>
      </c>
      <c r="C404" s="48">
        <v>20</v>
      </c>
      <c r="E404" s="121" t="s">
        <v>3033</v>
      </c>
      <c r="F404" s="120" t="s">
        <v>3248</v>
      </c>
    </row>
    <row r="405" spans="1:6" x14ac:dyDescent="0.2">
      <c r="A405" s="55">
        <v>19</v>
      </c>
      <c r="B405" s="45" t="s">
        <v>342</v>
      </c>
      <c r="C405" s="48">
        <v>12</v>
      </c>
      <c r="E405" s="121" t="s">
        <v>1169</v>
      </c>
      <c r="F405" s="120" t="s">
        <v>3249</v>
      </c>
    </row>
    <row r="406" spans="1:6" x14ac:dyDescent="0.2">
      <c r="A406" s="55">
        <v>19</v>
      </c>
      <c r="B406" s="45" t="s">
        <v>347</v>
      </c>
      <c r="C406" s="48">
        <v>12</v>
      </c>
      <c r="E406" s="121" t="s">
        <v>3492</v>
      </c>
      <c r="F406" s="120" t="s">
        <v>3312</v>
      </c>
    </row>
    <row r="407" spans="1:6" x14ac:dyDescent="0.2">
      <c r="A407" s="55">
        <v>19</v>
      </c>
      <c r="B407" s="45" t="s">
        <v>2637</v>
      </c>
      <c r="C407" s="48">
        <v>2</v>
      </c>
      <c r="E407" s="121" t="s">
        <v>1499</v>
      </c>
      <c r="F407" s="120" t="s">
        <v>3215</v>
      </c>
    </row>
    <row r="408" spans="1:6" x14ac:dyDescent="0.2">
      <c r="A408" s="55">
        <v>19</v>
      </c>
      <c r="B408" s="45" t="s">
        <v>343</v>
      </c>
      <c r="C408" s="48">
        <v>1</v>
      </c>
      <c r="E408" s="121" t="s">
        <v>3334</v>
      </c>
      <c r="F408" s="120" t="s">
        <v>3303</v>
      </c>
    </row>
    <row r="409" spans="1:6" x14ac:dyDescent="0.2">
      <c r="A409" s="55">
        <v>19</v>
      </c>
      <c r="B409" s="45" t="s">
        <v>391</v>
      </c>
      <c r="C409" s="48">
        <v>1</v>
      </c>
      <c r="E409" s="121" t="s">
        <v>535</v>
      </c>
      <c r="F409" s="120" t="s">
        <v>3284</v>
      </c>
    </row>
    <row r="410" spans="1:6" x14ac:dyDescent="0.2">
      <c r="A410" s="55">
        <v>19</v>
      </c>
      <c r="B410" s="45" t="s">
        <v>2636</v>
      </c>
      <c r="C410" s="48">
        <v>1</v>
      </c>
      <c r="E410" s="121" t="s">
        <v>3504</v>
      </c>
      <c r="F410" s="120" t="s">
        <v>3248</v>
      </c>
    </row>
    <row r="411" spans="1:6" x14ac:dyDescent="0.2">
      <c r="A411" s="55">
        <v>19</v>
      </c>
      <c r="B411" s="45" t="s">
        <v>357</v>
      </c>
      <c r="C411" s="48">
        <v>1</v>
      </c>
      <c r="E411" s="121" t="s">
        <v>3063</v>
      </c>
      <c r="F411" s="120" t="s">
        <v>3262</v>
      </c>
    </row>
    <row r="412" spans="1:6" x14ac:dyDescent="0.2">
      <c r="A412" s="55">
        <v>19</v>
      </c>
      <c r="B412" s="45" t="s">
        <v>349</v>
      </c>
      <c r="C412" s="48">
        <v>1</v>
      </c>
      <c r="E412" s="121" t="s">
        <v>1200</v>
      </c>
      <c r="F412" s="120" t="s">
        <v>3292</v>
      </c>
    </row>
    <row r="413" spans="1:6" x14ac:dyDescent="0.2">
      <c r="A413" s="55">
        <v>19</v>
      </c>
      <c r="B413" s="45" t="s">
        <v>348</v>
      </c>
      <c r="C413" s="48">
        <v>1</v>
      </c>
      <c r="E413" s="121" t="s">
        <v>3433</v>
      </c>
      <c r="F413" s="120" t="s">
        <v>3285</v>
      </c>
    </row>
    <row r="414" spans="1:6" x14ac:dyDescent="0.2">
      <c r="A414" s="55">
        <v>19</v>
      </c>
      <c r="B414" s="45" t="s">
        <v>2644</v>
      </c>
      <c r="C414" s="48">
        <v>0.5</v>
      </c>
      <c r="E414" s="121" t="s">
        <v>1416</v>
      </c>
      <c r="F414" s="120" t="s">
        <v>3273</v>
      </c>
    </row>
    <row r="415" spans="1:6" x14ac:dyDescent="0.2">
      <c r="A415" s="55">
        <v>19</v>
      </c>
      <c r="B415" s="45" t="s">
        <v>437</v>
      </c>
      <c r="C415" s="48">
        <v>0.5</v>
      </c>
      <c r="E415" s="121" t="s">
        <v>3385</v>
      </c>
      <c r="F415" s="120" t="s">
        <v>3285</v>
      </c>
    </row>
    <row r="416" spans="1:6" x14ac:dyDescent="0.2">
      <c r="A416" s="55">
        <v>19</v>
      </c>
      <c r="B416" s="45" t="s">
        <v>358</v>
      </c>
      <c r="C416" s="48">
        <v>0.5</v>
      </c>
      <c r="E416" s="121" t="s">
        <v>1404</v>
      </c>
      <c r="F416" s="120" t="s">
        <v>3248</v>
      </c>
    </row>
    <row r="417" spans="1:6" x14ac:dyDescent="0.2">
      <c r="A417" s="55">
        <v>19</v>
      </c>
      <c r="B417" s="45" t="s">
        <v>375</v>
      </c>
      <c r="C417" s="48">
        <v>0.5</v>
      </c>
      <c r="E417" s="121" t="s">
        <v>1530</v>
      </c>
      <c r="F417" s="120" t="s">
        <v>3248</v>
      </c>
    </row>
    <row r="418" spans="1:6" x14ac:dyDescent="0.2">
      <c r="A418" s="55">
        <v>19</v>
      </c>
      <c r="B418" s="45" t="s">
        <v>432</v>
      </c>
      <c r="C418" s="48">
        <v>0.5</v>
      </c>
      <c r="E418" s="121" t="s">
        <v>3186</v>
      </c>
      <c r="F418" s="120" t="s">
        <v>3284</v>
      </c>
    </row>
    <row r="419" spans="1:6" x14ac:dyDescent="0.2">
      <c r="A419" s="55">
        <v>19</v>
      </c>
      <c r="B419" s="45" t="s">
        <v>372</v>
      </c>
      <c r="C419" s="48">
        <v>0.5</v>
      </c>
      <c r="E419" s="121" t="s">
        <v>3129</v>
      </c>
      <c r="F419" s="120" t="s">
        <v>3248</v>
      </c>
    </row>
    <row r="420" spans="1:6" x14ac:dyDescent="0.2">
      <c r="A420" s="55">
        <v>20</v>
      </c>
      <c r="B420" s="45" t="s">
        <v>2579</v>
      </c>
      <c r="C420" s="48">
        <v>20</v>
      </c>
      <c r="E420" s="121" t="s">
        <v>3516</v>
      </c>
      <c r="F420" s="120" t="s">
        <v>3232</v>
      </c>
    </row>
    <row r="421" spans="1:6" x14ac:dyDescent="0.2">
      <c r="A421" s="55">
        <v>20</v>
      </c>
      <c r="B421" s="45" t="s">
        <v>402</v>
      </c>
      <c r="C421" s="48">
        <v>15</v>
      </c>
      <c r="E421" s="121" t="s">
        <v>3171</v>
      </c>
      <c r="F421" s="120" t="s">
        <v>3284</v>
      </c>
    </row>
    <row r="422" spans="1:6" x14ac:dyDescent="0.2">
      <c r="A422" s="55">
        <v>20</v>
      </c>
      <c r="B422" s="45" t="s">
        <v>342</v>
      </c>
      <c r="C422" s="48">
        <v>15</v>
      </c>
      <c r="E422" s="121" t="s">
        <v>1169</v>
      </c>
      <c r="F422" s="120" t="s">
        <v>3249</v>
      </c>
    </row>
    <row r="423" spans="1:6" x14ac:dyDescent="0.2">
      <c r="A423" s="55">
        <v>20</v>
      </c>
      <c r="B423" s="45" t="s">
        <v>454</v>
      </c>
      <c r="C423" s="48">
        <v>12</v>
      </c>
      <c r="E423" s="121" t="s">
        <v>534</v>
      </c>
      <c r="F423" s="120" t="s">
        <v>3249</v>
      </c>
    </row>
    <row r="424" spans="1:6" x14ac:dyDescent="0.2">
      <c r="A424" s="55">
        <v>20</v>
      </c>
      <c r="B424" s="45" t="s">
        <v>2569</v>
      </c>
      <c r="C424" s="48">
        <v>10</v>
      </c>
      <c r="E424" s="121" t="s">
        <v>3496</v>
      </c>
      <c r="F424" s="120" t="s">
        <v>3310</v>
      </c>
    </row>
    <row r="425" spans="1:6" x14ac:dyDescent="0.2">
      <c r="A425" s="55">
        <v>20</v>
      </c>
      <c r="B425" s="45" t="s">
        <v>595</v>
      </c>
      <c r="C425" s="48">
        <v>8</v>
      </c>
      <c r="E425" s="121" t="s">
        <v>3033</v>
      </c>
      <c r="F425" s="120" t="s">
        <v>3248</v>
      </c>
    </row>
    <row r="426" spans="1:6" x14ac:dyDescent="0.2">
      <c r="A426" s="55">
        <v>20</v>
      </c>
      <c r="B426" s="45" t="s">
        <v>375</v>
      </c>
      <c r="C426" s="48">
        <v>7</v>
      </c>
      <c r="E426" s="121" t="s">
        <v>1530</v>
      </c>
      <c r="F426" s="120" t="s">
        <v>3248</v>
      </c>
    </row>
    <row r="427" spans="1:6" x14ac:dyDescent="0.2">
      <c r="A427" s="55">
        <v>20</v>
      </c>
      <c r="B427" s="45" t="s">
        <v>349</v>
      </c>
      <c r="C427" s="48">
        <v>5</v>
      </c>
      <c r="E427" s="121" t="s">
        <v>1200</v>
      </c>
      <c r="F427" s="120" t="s">
        <v>3292</v>
      </c>
    </row>
    <row r="428" spans="1:6" x14ac:dyDescent="0.2">
      <c r="A428" s="55">
        <v>20</v>
      </c>
      <c r="B428" s="45" t="s">
        <v>2647</v>
      </c>
      <c r="C428" s="48">
        <v>5</v>
      </c>
      <c r="E428" s="121" t="s">
        <v>3091</v>
      </c>
      <c r="F428" s="120" t="s">
        <v>3223</v>
      </c>
    </row>
    <row r="429" spans="1:6" x14ac:dyDescent="0.2">
      <c r="A429" s="55">
        <v>20</v>
      </c>
      <c r="B429" s="45" t="s">
        <v>2645</v>
      </c>
      <c r="C429" s="48">
        <v>3</v>
      </c>
      <c r="E429" s="121" t="s">
        <v>1535</v>
      </c>
      <c r="F429" s="120" t="s">
        <v>3259</v>
      </c>
    </row>
    <row r="430" spans="1:6" x14ac:dyDescent="0.2">
      <c r="A430" s="55">
        <v>20</v>
      </c>
      <c r="B430" s="45" t="s">
        <v>348</v>
      </c>
      <c r="C430" s="48">
        <v>3</v>
      </c>
      <c r="E430" s="121" t="s">
        <v>3433</v>
      </c>
      <c r="F430" s="120" t="s">
        <v>3285</v>
      </c>
    </row>
    <row r="431" spans="1:6" x14ac:dyDescent="0.2">
      <c r="A431" s="55">
        <v>20</v>
      </c>
      <c r="B431" s="45" t="s">
        <v>432</v>
      </c>
      <c r="C431" s="48">
        <v>3</v>
      </c>
      <c r="E431" s="121" t="s">
        <v>3186</v>
      </c>
      <c r="F431" s="120" t="s">
        <v>3284</v>
      </c>
    </row>
    <row r="432" spans="1:6" x14ac:dyDescent="0.2">
      <c r="A432" s="55">
        <v>20</v>
      </c>
      <c r="B432" s="45" t="s">
        <v>341</v>
      </c>
      <c r="C432" s="48">
        <v>2</v>
      </c>
      <c r="E432" s="121" t="s">
        <v>3062</v>
      </c>
      <c r="F432" s="120" t="s">
        <v>3266</v>
      </c>
    </row>
    <row r="433" spans="1:6" x14ac:dyDescent="0.2">
      <c r="A433" s="55">
        <v>20</v>
      </c>
      <c r="B433" s="45" t="s">
        <v>600</v>
      </c>
      <c r="C433" s="48">
        <v>1</v>
      </c>
      <c r="E433" s="121" t="s">
        <v>1423</v>
      </c>
      <c r="F433" s="120" t="s">
        <v>3249</v>
      </c>
    </row>
    <row r="434" spans="1:6" x14ac:dyDescent="0.2">
      <c r="A434" s="55">
        <v>20</v>
      </c>
      <c r="B434" s="45" t="s">
        <v>2603</v>
      </c>
      <c r="C434" s="48">
        <v>1</v>
      </c>
      <c r="E434" s="121" t="s">
        <v>2905</v>
      </c>
      <c r="F434" s="120" t="s">
        <v>3253</v>
      </c>
    </row>
    <row r="435" spans="1:6" x14ac:dyDescent="0.2">
      <c r="A435" s="55">
        <v>20</v>
      </c>
      <c r="B435" s="45" t="s">
        <v>437</v>
      </c>
      <c r="C435" s="48">
        <v>1</v>
      </c>
      <c r="E435" s="121" t="s">
        <v>3385</v>
      </c>
      <c r="F435" s="120" t="s">
        <v>3285</v>
      </c>
    </row>
    <row r="436" spans="1:6" x14ac:dyDescent="0.2">
      <c r="A436" s="55">
        <v>20</v>
      </c>
      <c r="B436" s="45" t="s">
        <v>398</v>
      </c>
      <c r="C436" s="48">
        <v>0.5</v>
      </c>
      <c r="E436" s="121" t="s">
        <v>1165</v>
      </c>
      <c r="F436" s="120" t="s">
        <v>3215</v>
      </c>
    </row>
    <row r="437" spans="1:6" x14ac:dyDescent="0.2">
      <c r="A437" s="55">
        <v>20</v>
      </c>
      <c r="B437" s="45" t="s">
        <v>347</v>
      </c>
      <c r="C437" s="48">
        <v>0.5</v>
      </c>
      <c r="E437" s="121" t="s">
        <v>3492</v>
      </c>
      <c r="F437" s="120" t="s">
        <v>3312</v>
      </c>
    </row>
    <row r="438" spans="1:6" x14ac:dyDescent="0.2">
      <c r="A438" s="55">
        <v>20</v>
      </c>
      <c r="B438" s="45" t="s">
        <v>2574</v>
      </c>
      <c r="C438" s="48">
        <v>0.5</v>
      </c>
      <c r="E438" s="121" t="s">
        <v>1226</v>
      </c>
      <c r="F438" s="120" t="s">
        <v>1287</v>
      </c>
    </row>
    <row r="439" spans="1:6" x14ac:dyDescent="0.2">
      <c r="A439" s="55">
        <v>20</v>
      </c>
      <c r="B439" s="45" t="s">
        <v>2646</v>
      </c>
      <c r="C439" s="48">
        <v>0.5</v>
      </c>
      <c r="E439" s="121" t="s">
        <v>1431</v>
      </c>
      <c r="F439" s="120" t="s">
        <v>3227</v>
      </c>
    </row>
    <row r="440" spans="1:6" x14ac:dyDescent="0.2">
      <c r="A440" s="55">
        <v>20</v>
      </c>
      <c r="B440" s="45" t="s">
        <v>358</v>
      </c>
      <c r="C440" s="48">
        <v>0.5</v>
      </c>
      <c r="E440" s="121" t="s">
        <v>1404</v>
      </c>
      <c r="F440" s="120" t="s">
        <v>3248</v>
      </c>
    </row>
    <row r="441" spans="1:6" x14ac:dyDescent="0.2">
      <c r="A441" s="55">
        <v>20</v>
      </c>
      <c r="B441" s="45" t="s">
        <v>392</v>
      </c>
      <c r="C441" s="48">
        <v>0.5</v>
      </c>
      <c r="E441" s="121" t="s">
        <v>3473</v>
      </c>
      <c r="F441" s="120" t="s">
        <v>3227</v>
      </c>
    </row>
    <row r="442" spans="1:6" x14ac:dyDescent="0.2">
      <c r="A442" s="55">
        <v>21</v>
      </c>
      <c r="B442" s="45" t="s">
        <v>342</v>
      </c>
      <c r="C442" s="48">
        <v>25</v>
      </c>
      <c r="E442" s="121" t="s">
        <v>1169</v>
      </c>
      <c r="F442" s="120" t="s">
        <v>3249</v>
      </c>
    </row>
    <row r="443" spans="1:6" x14ac:dyDescent="0.2">
      <c r="A443" s="55">
        <v>21</v>
      </c>
      <c r="B443" s="45" t="s">
        <v>2579</v>
      </c>
      <c r="C443" s="48">
        <v>25</v>
      </c>
      <c r="E443" s="121" t="s">
        <v>3516</v>
      </c>
      <c r="F443" s="120" t="s">
        <v>3232</v>
      </c>
    </row>
    <row r="444" spans="1:6" x14ac:dyDescent="0.2">
      <c r="A444" s="55">
        <v>21</v>
      </c>
      <c r="B444" s="45" t="s">
        <v>350</v>
      </c>
      <c r="C444" s="48">
        <v>8</v>
      </c>
      <c r="E444" s="121" t="s">
        <v>1415</v>
      </c>
      <c r="F444" s="120" t="s">
        <v>3249</v>
      </c>
    </row>
    <row r="445" spans="1:6" x14ac:dyDescent="0.2">
      <c r="A445" s="55">
        <v>21</v>
      </c>
      <c r="B445" s="45" t="s">
        <v>373</v>
      </c>
      <c r="C445" s="48">
        <v>8</v>
      </c>
      <c r="E445" s="121" t="s">
        <v>3484</v>
      </c>
      <c r="F445" s="120" t="s">
        <v>3276</v>
      </c>
    </row>
    <row r="446" spans="1:6" x14ac:dyDescent="0.2">
      <c r="A446" s="55">
        <v>21</v>
      </c>
      <c r="B446" s="45" t="s">
        <v>380</v>
      </c>
      <c r="C446" s="48">
        <v>7</v>
      </c>
      <c r="E446" s="121" t="s">
        <v>2853</v>
      </c>
      <c r="F446" s="120" t="s">
        <v>3227</v>
      </c>
    </row>
    <row r="447" spans="1:6" x14ac:dyDescent="0.2">
      <c r="A447" s="55">
        <v>21</v>
      </c>
      <c r="B447" s="45" t="s">
        <v>341</v>
      </c>
      <c r="C447" s="48">
        <v>6</v>
      </c>
      <c r="E447" s="121" t="s">
        <v>3062</v>
      </c>
      <c r="F447" s="120" t="s">
        <v>3266</v>
      </c>
    </row>
    <row r="448" spans="1:6" x14ac:dyDescent="0.2">
      <c r="A448" s="55">
        <v>21</v>
      </c>
      <c r="B448" s="45" t="s">
        <v>432</v>
      </c>
      <c r="C448" s="48">
        <v>6</v>
      </c>
      <c r="E448" s="121" t="s">
        <v>3186</v>
      </c>
      <c r="F448" s="120" t="s">
        <v>3284</v>
      </c>
    </row>
    <row r="449" spans="1:6" x14ac:dyDescent="0.2">
      <c r="A449" s="55">
        <v>21</v>
      </c>
      <c r="B449" s="45" t="s">
        <v>391</v>
      </c>
      <c r="C449" s="48">
        <v>5</v>
      </c>
      <c r="E449" s="121" t="s">
        <v>535</v>
      </c>
      <c r="F449" s="120" t="s">
        <v>3284</v>
      </c>
    </row>
    <row r="450" spans="1:6" x14ac:dyDescent="0.2">
      <c r="A450" s="55">
        <v>21</v>
      </c>
      <c r="B450" s="45" t="s">
        <v>2569</v>
      </c>
      <c r="C450" s="48">
        <v>5</v>
      </c>
      <c r="E450" s="121" t="s">
        <v>3496</v>
      </c>
      <c r="F450" s="120" t="s">
        <v>3310</v>
      </c>
    </row>
    <row r="451" spans="1:6" x14ac:dyDescent="0.2">
      <c r="A451" s="55">
        <v>21</v>
      </c>
      <c r="B451" s="45" t="s">
        <v>375</v>
      </c>
      <c r="C451" s="48">
        <v>4</v>
      </c>
      <c r="E451" s="121" t="s">
        <v>1530</v>
      </c>
      <c r="F451" s="120" t="s">
        <v>3248</v>
      </c>
    </row>
    <row r="452" spans="1:6" x14ac:dyDescent="0.2">
      <c r="A452" s="55">
        <v>21</v>
      </c>
      <c r="B452" s="45" t="s">
        <v>347</v>
      </c>
      <c r="C452" s="48">
        <v>3</v>
      </c>
      <c r="E452" s="121" t="s">
        <v>3492</v>
      </c>
      <c r="F452" s="120" t="s">
        <v>3312</v>
      </c>
    </row>
    <row r="453" spans="1:6" x14ac:dyDescent="0.2">
      <c r="A453" s="55">
        <v>21</v>
      </c>
      <c r="B453" s="45" t="s">
        <v>2645</v>
      </c>
      <c r="C453" s="48">
        <v>2</v>
      </c>
      <c r="E453" s="121" t="s">
        <v>1535</v>
      </c>
      <c r="F453" s="120" t="s">
        <v>3259</v>
      </c>
    </row>
    <row r="454" spans="1:6" x14ac:dyDescent="0.2">
      <c r="A454" s="55">
        <v>21</v>
      </c>
      <c r="B454" s="45" t="s">
        <v>390</v>
      </c>
      <c r="C454" s="48">
        <v>2</v>
      </c>
      <c r="E454" s="121" t="s">
        <v>1191</v>
      </c>
      <c r="F454" s="120" t="s">
        <v>3231</v>
      </c>
    </row>
    <row r="455" spans="1:6" x14ac:dyDescent="0.2">
      <c r="A455" s="55">
        <v>21</v>
      </c>
      <c r="B455" s="45" t="s">
        <v>597</v>
      </c>
      <c r="C455" s="48">
        <v>2</v>
      </c>
      <c r="E455" s="121" t="s">
        <v>3060</v>
      </c>
      <c r="F455" s="120" t="s">
        <v>3248</v>
      </c>
    </row>
    <row r="456" spans="1:6" x14ac:dyDescent="0.2">
      <c r="A456" s="55">
        <v>21</v>
      </c>
      <c r="B456" s="45" t="s">
        <v>357</v>
      </c>
      <c r="C456" s="48">
        <v>2</v>
      </c>
      <c r="E456" s="121" t="s">
        <v>3063</v>
      </c>
      <c r="F456" s="120" t="s">
        <v>3262</v>
      </c>
    </row>
    <row r="457" spans="1:6" x14ac:dyDescent="0.2">
      <c r="A457" s="55">
        <v>21</v>
      </c>
      <c r="B457" s="45" t="s">
        <v>349</v>
      </c>
      <c r="C457" s="48">
        <v>2</v>
      </c>
      <c r="E457" s="121" t="s">
        <v>1200</v>
      </c>
      <c r="F457" s="120" t="s">
        <v>3292</v>
      </c>
    </row>
    <row r="458" spans="1:6" x14ac:dyDescent="0.2">
      <c r="A458" s="55">
        <v>21</v>
      </c>
      <c r="B458" s="45" t="s">
        <v>2565</v>
      </c>
      <c r="C458" s="48">
        <v>2</v>
      </c>
      <c r="E458" s="121" t="s">
        <v>3435</v>
      </c>
      <c r="F458" s="120" t="s">
        <v>3286</v>
      </c>
    </row>
    <row r="459" spans="1:6" x14ac:dyDescent="0.2">
      <c r="A459" s="55">
        <v>21</v>
      </c>
      <c r="B459" s="45" t="s">
        <v>600</v>
      </c>
      <c r="C459" s="48">
        <v>0.5</v>
      </c>
      <c r="E459" s="121" t="s">
        <v>1423</v>
      </c>
      <c r="F459" s="120" t="s">
        <v>3249</v>
      </c>
    </row>
    <row r="460" spans="1:6" x14ac:dyDescent="0.2">
      <c r="A460" s="55">
        <v>21</v>
      </c>
      <c r="B460" s="45" t="s">
        <v>2641</v>
      </c>
      <c r="C460" s="48">
        <v>0.5</v>
      </c>
      <c r="E460" s="121" t="s">
        <v>1418</v>
      </c>
      <c r="F460" s="120" t="s">
        <v>3249</v>
      </c>
    </row>
    <row r="461" spans="1:6" x14ac:dyDescent="0.2">
      <c r="A461" s="55">
        <v>21</v>
      </c>
      <c r="B461" s="45" t="s">
        <v>369</v>
      </c>
      <c r="C461" s="48">
        <v>0.5</v>
      </c>
      <c r="E461" s="121" t="s">
        <v>2829</v>
      </c>
      <c r="F461" s="120" t="s">
        <v>1289</v>
      </c>
    </row>
    <row r="462" spans="1:6" x14ac:dyDescent="0.2">
      <c r="A462" s="55">
        <v>21</v>
      </c>
      <c r="B462" s="45" t="s">
        <v>2648</v>
      </c>
      <c r="C462" s="48">
        <v>0.5</v>
      </c>
      <c r="E462" s="121" t="s">
        <v>3162</v>
      </c>
      <c r="F462" s="120" t="s">
        <v>3268</v>
      </c>
    </row>
    <row r="463" spans="1:6" x14ac:dyDescent="0.2">
      <c r="A463" s="55">
        <v>21</v>
      </c>
      <c r="B463" s="45" t="s">
        <v>595</v>
      </c>
      <c r="C463" s="48">
        <v>0.5</v>
      </c>
      <c r="E463" s="121" t="s">
        <v>3033</v>
      </c>
      <c r="F463" s="120" t="s">
        <v>3248</v>
      </c>
    </row>
    <row r="464" spans="1:6" x14ac:dyDescent="0.2">
      <c r="A464" s="55">
        <v>21</v>
      </c>
      <c r="B464" s="45" t="s">
        <v>454</v>
      </c>
      <c r="C464" s="48">
        <v>0.5</v>
      </c>
      <c r="E464" s="121" t="s">
        <v>534</v>
      </c>
      <c r="F464" s="120" t="s">
        <v>3249</v>
      </c>
    </row>
    <row r="465" spans="1:6" x14ac:dyDescent="0.2">
      <c r="A465" s="55">
        <v>21</v>
      </c>
      <c r="B465" s="45" t="s">
        <v>2636</v>
      </c>
      <c r="C465" s="48">
        <v>0.5</v>
      </c>
      <c r="E465" s="121" t="s">
        <v>3504</v>
      </c>
      <c r="F465" s="120" t="s">
        <v>3248</v>
      </c>
    </row>
    <row r="466" spans="1:6" x14ac:dyDescent="0.2">
      <c r="A466" s="55">
        <v>21</v>
      </c>
      <c r="B466" s="45" t="s">
        <v>386</v>
      </c>
      <c r="C466" s="48">
        <v>0.5</v>
      </c>
      <c r="E466" s="121" t="s">
        <v>3498</v>
      </c>
      <c r="F466" s="120" t="s">
        <v>3215</v>
      </c>
    </row>
    <row r="467" spans="1:6" x14ac:dyDescent="0.2">
      <c r="A467" s="55">
        <v>22</v>
      </c>
      <c r="B467" s="45" t="s">
        <v>392</v>
      </c>
      <c r="C467" s="48">
        <v>25</v>
      </c>
      <c r="E467" s="121" t="s">
        <v>3473</v>
      </c>
      <c r="F467" s="120" t="s">
        <v>3227</v>
      </c>
    </row>
    <row r="468" spans="1:6" x14ac:dyDescent="0.2">
      <c r="A468" s="55">
        <v>22</v>
      </c>
      <c r="B468" s="45" t="s">
        <v>2569</v>
      </c>
      <c r="C468" s="48">
        <v>25</v>
      </c>
      <c r="E468" s="121" t="s">
        <v>3496</v>
      </c>
      <c r="F468" s="120" t="s">
        <v>3310</v>
      </c>
    </row>
    <row r="469" spans="1:6" x14ac:dyDescent="0.2">
      <c r="A469" s="55">
        <v>22</v>
      </c>
      <c r="B469" s="45" t="s">
        <v>342</v>
      </c>
      <c r="C469" s="48">
        <v>8</v>
      </c>
      <c r="E469" s="121" t="s">
        <v>1169</v>
      </c>
      <c r="F469" s="120" t="s">
        <v>3249</v>
      </c>
    </row>
    <row r="470" spans="1:6" x14ac:dyDescent="0.2">
      <c r="A470" s="55">
        <v>22</v>
      </c>
      <c r="B470" s="45" t="s">
        <v>2565</v>
      </c>
      <c r="C470" s="48">
        <v>8</v>
      </c>
      <c r="E470" s="121" t="s">
        <v>3435</v>
      </c>
      <c r="F470" s="120" t="s">
        <v>3286</v>
      </c>
    </row>
    <row r="471" spans="1:6" x14ac:dyDescent="0.2">
      <c r="A471" s="55">
        <v>22</v>
      </c>
      <c r="B471" s="45" t="s">
        <v>347</v>
      </c>
      <c r="C471" s="48">
        <v>4</v>
      </c>
      <c r="E471" s="121" t="s">
        <v>3492</v>
      </c>
      <c r="F471" s="120" t="s">
        <v>3312</v>
      </c>
    </row>
    <row r="472" spans="1:6" x14ac:dyDescent="0.2">
      <c r="A472" s="55">
        <v>22</v>
      </c>
      <c r="B472" s="45" t="s">
        <v>376</v>
      </c>
      <c r="C472" s="48">
        <v>4</v>
      </c>
      <c r="E472" s="121" t="s">
        <v>3462</v>
      </c>
      <c r="F472" s="120" t="s">
        <v>3227</v>
      </c>
    </row>
    <row r="473" spans="1:6" x14ac:dyDescent="0.2">
      <c r="A473" s="55">
        <v>22</v>
      </c>
      <c r="B473" s="45" t="s">
        <v>375</v>
      </c>
      <c r="C473" s="48">
        <v>4</v>
      </c>
      <c r="E473" s="121" t="s">
        <v>1530</v>
      </c>
      <c r="F473" s="120" t="s">
        <v>3248</v>
      </c>
    </row>
    <row r="474" spans="1:6" x14ac:dyDescent="0.2">
      <c r="A474" s="55">
        <v>22</v>
      </c>
      <c r="B474" s="45" t="s">
        <v>349</v>
      </c>
      <c r="C474" s="48">
        <v>3</v>
      </c>
      <c r="E474" s="121" t="s">
        <v>1200</v>
      </c>
      <c r="F474" s="120" t="s">
        <v>3292</v>
      </c>
    </row>
    <row r="475" spans="1:6" x14ac:dyDescent="0.2">
      <c r="A475" s="55">
        <v>22</v>
      </c>
      <c r="B475" s="45" t="s">
        <v>398</v>
      </c>
      <c r="C475" s="48">
        <v>2</v>
      </c>
      <c r="E475" s="121" t="s">
        <v>1165</v>
      </c>
      <c r="F475" s="120" t="s">
        <v>3215</v>
      </c>
    </row>
    <row r="476" spans="1:6" x14ac:dyDescent="0.2">
      <c r="A476" s="55">
        <v>22</v>
      </c>
      <c r="B476" s="45" t="s">
        <v>595</v>
      </c>
      <c r="C476" s="48">
        <v>2</v>
      </c>
      <c r="E476" s="121" t="s">
        <v>3033</v>
      </c>
      <c r="F476" s="120" t="s">
        <v>3248</v>
      </c>
    </row>
    <row r="477" spans="1:6" x14ac:dyDescent="0.2">
      <c r="A477" s="55">
        <v>22</v>
      </c>
      <c r="B477" s="45" t="s">
        <v>2644</v>
      </c>
      <c r="C477" s="48">
        <v>0.5</v>
      </c>
      <c r="E477" s="121" t="s">
        <v>1416</v>
      </c>
      <c r="F477" s="120" t="s">
        <v>3273</v>
      </c>
    </row>
    <row r="478" spans="1:6" x14ac:dyDescent="0.2">
      <c r="A478" s="55">
        <v>22</v>
      </c>
      <c r="B478" s="45" t="s">
        <v>391</v>
      </c>
      <c r="C478" s="48">
        <v>0.5</v>
      </c>
      <c r="E478" s="121" t="s">
        <v>535</v>
      </c>
      <c r="F478" s="120" t="s">
        <v>3284</v>
      </c>
    </row>
    <row r="479" spans="1:6" x14ac:dyDescent="0.2">
      <c r="A479" s="55">
        <v>22</v>
      </c>
      <c r="B479" s="45" t="s">
        <v>2637</v>
      </c>
      <c r="C479" s="48">
        <v>0.5</v>
      </c>
      <c r="E479" s="121" t="s">
        <v>1499</v>
      </c>
      <c r="F479" s="120" t="s">
        <v>3215</v>
      </c>
    </row>
    <row r="480" spans="1:6" x14ac:dyDescent="0.2">
      <c r="A480" s="55">
        <v>22</v>
      </c>
      <c r="B480" s="45" t="s">
        <v>357</v>
      </c>
      <c r="C480" s="48">
        <v>0.5</v>
      </c>
      <c r="E480" s="121" t="s">
        <v>3063</v>
      </c>
      <c r="F480" s="120" t="s">
        <v>3262</v>
      </c>
    </row>
    <row r="481" spans="1:6" x14ac:dyDescent="0.2">
      <c r="A481" s="55">
        <v>22</v>
      </c>
      <c r="B481" s="45" t="s">
        <v>411</v>
      </c>
      <c r="C481" s="48">
        <v>0.5</v>
      </c>
      <c r="E481" s="121" t="s">
        <v>3073</v>
      </c>
      <c r="F481" s="120" t="s">
        <v>3267</v>
      </c>
    </row>
    <row r="482" spans="1:6" x14ac:dyDescent="0.2">
      <c r="A482" s="55">
        <v>23</v>
      </c>
      <c r="B482" s="45" t="s">
        <v>2569</v>
      </c>
      <c r="C482" s="48">
        <v>35</v>
      </c>
      <c r="E482" s="121" t="s">
        <v>3496</v>
      </c>
      <c r="F482" s="120" t="s">
        <v>3310</v>
      </c>
    </row>
    <row r="483" spans="1:6" x14ac:dyDescent="0.2">
      <c r="A483" s="55">
        <v>23</v>
      </c>
      <c r="B483" s="45" t="s">
        <v>392</v>
      </c>
      <c r="C483" s="48">
        <v>30</v>
      </c>
      <c r="E483" s="121" t="s">
        <v>3473</v>
      </c>
      <c r="F483" s="120" t="s">
        <v>3227</v>
      </c>
    </row>
    <row r="484" spans="1:6" x14ac:dyDescent="0.2">
      <c r="A484" s="55">
        <v>23</v>
      </c>
      <c r="B484" s="45" t="s">
        <v>394</v>
      </c>
      <c r="C484" s="48">
        <v>8</v>
      </c>
      <c r="E484" s="121" t="s">
        <v>3467</v>
      </c>
      <c r="F484" s="120" t="s">
        <v>3258</v>
      </c>
    </row>
    <row r="485" spans="1:6" x14ac:dyDescent="0.2">
      <c r="A485" s="55">
        <v>23</v>
      </c>
      <c r="B485" s="45" t="s">
        <v>2565</v>
      </c>
      <c r="C485" s="48">
        <v>7</v>
      </c>
      <c r="E485" s="121" t="s">
        <v>3435</v>
      </c>
      <c r="F485" s="120" t="s">
        <v>3286</v>
      </c>
    </row>
    <row r="486" spans="1:6" x14ac:dyDescent="0.2">
      <c r="A486" s="55">
        <v>23</v>
      </c>
      <c r="B486" s="45" t="s">
        <v>391</v>
      </c>
      <c r="C486" s="48">
        <v>4</v>
      </c>
      <c r="E486" s="121" t="s">
        <v>535</v>
      </c>
      <c r="F486" s="120" t="s">
        <v>3284</v>
      </c>
    </row>
    <row r="487" spans="1:6" x14ac:dyDescent="0.2">
      <c r="A487" s="55">
        <v>23</v>
      </c>
      <c r="B487" s="45" t="s">
        <v>341</v>
      </c>
      <c r="C487" s="48">
        <v>4</v>
      </c>
      <c r="E487" s="121" t="s">
        <v>3062</v>
      </c>
      <c r="F487" s="120" t="s">
        <v>3266</v>
      </c>
    </row>
    <row r="488" spans="1:6" x14ac:dyDescent="0.2">
      <c r="A488" s="55">
        <v>23</v>
      </c>
      <c r="B488" s="45" t="s">
        <v>357</v>
      </c>
      <c r="C488" s="48">
        <v>4</v>
      </c>
      <c r="E488" s="121" t="s">
        <v>3063</v>
      </c>
      <c r="F488" s="120" t="s">
        <v>3262</v>
      </c>
    </row>
    <row r="489" spans="1:6" x14ac:dyDescent="0.2">
      <c r="A489" s="55">
        <v>23</v>
      </c>
      <c r="B489" s="45" t="s">
        <v>423</v>
      </c>
      <c r="C489" s="48">
        <v>4</v>
      </c>
      <c r="E489" s="121" t="s">
        <v>3494</v>
      </c>
      <c r="F489" s="120" t="s">
        <v>3310</v>
      </c>
    </row>
    <row r="490" spans="1:6" x14ac:dyDescent="0.2">
      <c r="A490" s="55">
        <v>23</v>
      </c>
      <c r="B490" s="45" t="s">
        <v>2644</v>
      </c>
      <c r="C490" s="48">
        <v>3</v>
      </c>
      <c r="E490" s="121" t="s">
        <v>1416</v>
      </c>
      <c r="F490" s="120" t="s">
        <v>3273</v>
      </c>
    </row>
    <row r="491" spans="1:6" x14ac:dyDescent="0.2">
      <c r="A491" s="55">
        <v>23</v>
      </c>
      <c r="B491" s="45" t="s">
        <v>376</v>
      </c>
      <c r="C491" s="48">
        <v>3</v>
      </c>
      <c r="E491" s="121" t="s">
        <v>3462</v>
      </c>
      <c r="F491" s="120" t="s">
        <v>3227</v>
      </c>
    </row>
    <row r="492" spans="1:6" x14ac:dyDescent="0.2">
      <c r="A492" s="55">
        <v>23</v>
      </c>
      <c r="B492" s="45" t="s">
        <v>398</v>
      </c>
      <c r="C492" s="48">
        <v>2</v>
      </c>
      <c r="E492" s="121" t="s">
        <v>1165</v>
      </c>
      <c r="F492" s="120" t="s">
        <v>3215</v>
      </c>
    </row>
    <row r="493" spans="1:6" x14ac:dyDescent="0.2">
      <c r="A493" s="55">
        <v>23</v>
      </c>
      <c r="B493" s="45" t="s">
        <v>347</v>
      </c>
      <c r="C493" s="48">
        <v>2</v>
      </c>
      <c r="E493" s="121" t="s">
        <v>3492</v>
      </c>
      <c r="F493" s="120" t="s">
        <v>3312</v>
      </c>
    </row>
    <row r="494" spans="1:6" x14ac:dyDescent="0.2">
      <c r="A494" s="55">
        <v>23</v>
      </c>
      <c r="B494" s="45" t="s">
        <v>597</v>
      </c>
      <c r="C494" s="48">
        <v>2</v>
      </c>
      <c r="E494" s="121" t="s">
        <v>3060</v>
      </c>
      <c r="F494" s="120" t="s">
        <v>3248</v>
      </c>
    </row>
    <row r="495" spans="1:6" x14ac:dyDescent="0.2">
      <c r="A495" s="55">
        <v>23</v>
      </c>
      <c r="B495" s="45" t="s">
        <v>432</v>
      </c>
      <c r="C495" s="48">
        <v>2</v>
      </c>
      <c r="E495" s="121" t="s">
        <v>3186</v>
      </c>
      <c r="F495" s="120" t="s">
        <v>3284</v>
      </c>
    </row>
    <row r="496" spans="1:6" x14ac:dyDescent="0.2">
      <c r="A496" s="55">
        <v>23</v>
      </c>
      <c r="B496" s="45" t="s">
        <v>372</v>
      </c>
      <c r="C496" s="48">
        <v>2</v>
      </c>
      <c r="E496" s="121" t="s">
        <v>3129</v>
      </c>
      <c r="F496" s="120" t="s">
        <v>3248</v>
      </c>
    </row>
    <row r="497" spans="1:6" x14ac:dyDescent="0.2">
      <c r="A497" s="55">
        <v>23</v>
      </c>
      <c r="B497" s="45" t="s">
        <v>393</v>
      </c>
      <c r="C497" s="48">
        <v>1</v>
      </c>
      <c r="E497" s="121" t="s">
        <v>3346</v>
      </c>
      <c r="F497" s="120" t="s">
        <v>3224</v>
      </c>
    </row>
    <row r="498" spans="1:6" x14ac:dyDescent="0.2">
      <c r="A498" s="55">
        <v>23</v>
      </c>
      <c r="B498" s="45" t="s">
        <v>395</v>
      </c>
      <c r="C498" s="48">
        <v>0.5</v>
      </c>
      <c r="E498" s="121" t="s">
        <v>3202</v>
      </c>
      <c r="F498" s="120" t="s">
        <v>3248</v>
      </c>
    </row>
    <row r="499" spans="1:6" x14ac:dyDescent="0.2">
      <c r="A499" s="55">
        <v>23</v>
      </c>
      <c r="B499" s="45" t="s">
        <v>396</v>
      </c>
      <c r="C499" s="48">
        <v>0.5</v>
      </c>
      <c r="E499" s="121" t="s">
        <v>3105</v>
      </c>
      <c r="F499" s="120" t="s">
        <v>3260</v>
      </c>
    </row>
    <row r="500" spans="1:6" x14ac:dyDescent="0.2">
      <c r="A500" s="55">
        <v>23</v>
      </c>
      <c r="B500" s="45" t="s">
        <v>349</v>
      </c>
      <c r="C500" s="48">
        <v>0.5</v>
      </c>
      <c r="E500" s="121" t="s">
        <v>1200</v>
      </c>
      <c r="F500" s="120" t="s">
        <v>3292</v>
      </c>
    </row>
    <row r="501" spans="1:6" x14ac:dyDescent="0.2">
      <c r="A501" s="55">
        <v>24</v>
      </c>
      <c r="B501" s="45" t="s">
        <v>392</v>
      </c>
      <c r="C501" s="48">
        <v>40</v>
      </c>
      <c r="E501" s="121" t="s">
        <v>3473</v>
      </c>
      <c r="F501" s="120" t="s">
        <v>3227</v>
      </c>
    </row>
    <row r="502" spans="1:6" x14ac:dyDescent="0.2">
      <c r="A502" s="55">
        <v>24</v>
      </c>
      <c r="B502" s="45" t="s">
        <v>2569</v>
      </c>
      <c r="C502" s="48">
        <v>30</v>
      </c>
      <c r="E502" s="121" t="s">
        <v>3496</v>
      </c>
      <c r="F502" s="120" t="s">
        <v>3310</v>
      </c>
    </row>
    <row r="503" spans="1:6" x14ac:dyDescent="0.2">
      <c r="A503" s="55">
        <v>24</v>
      </c>
      <c r="B503" s="45" t="s">
        <v>376</v>
      </c>
      <c r="C503" s="48">
        <v>15</v>
      </c>
      <c r="E503" s="121" t="s">
        <v>3462</v>
      </c>
      <c r="F503" s="120" t="s">
        <v>3227</v>
      </c>
    </row>
    <row r="504" spans="1:6" x14ac:dyDescent="0.2">
      <c r="A504" s="55">
        <v>24</v>
      </c>
      <c r="B504" s="45" t="s">
        <v>391</v>
      </c>
      <c r="C504" s="48">
        <v>3</v>
      </c>
      <c r="E504" s="121" t="s">
        <v>535</v>
      </c>
      <c r="F504" s="120" t="s">
        <v>3284</v>
      </c>
    </row>
    <row r="505" spans="1:6" x14ac:dyDescent="0.2">
      <c r="A505" s="55">
        <v>24</v>
      </c>
      <c r="B505" s="45" t="s">
        <v>398</v>
      </c>
      <c r="C505" s="48">
        <v>2</v>
      </c>
      <c r="E505" s="121" t="s">
        <v>1165</v>
      </c>
      <c r="F505" s="120" t="s">
        <v>3215</v>
      </c>
    </row>
    <row r="506" spans="1:6" x14ac:dyDescent="0.2">
      <c r="A506" s="55">
        <v>24</v>
      </c>
      <c r="B506" s="45" t="s">
        <v>595</v>
      </c>
      <c r="C506" s="48">
        <v>2</v>
      </c>
      <c r="E506" s="121" t="s">
        <v>3033</v>
      </c>
      <c r="F506" s="120" t="s">
        <v>3248</v>
      </c>
    </row>
    <row r="507" spans="1:6" x14ac:dyDescent="0.2">
      <c r="A507" s="55">
        <v>24</v>
      </c>
      <c r="B507" s="45" t="s">
        <v>347</v>
      </c>
      <c r="C507" s="48">
        <v>2</v>
      </c>
      <c r="E507" s="121" t="s">
        <v>3492</v>
      </c>
      <c r="F507" s="120" t="s">
        <v>3312</v>
      </c>
    </row>
    <row r="508" spans="1:6" x14ac:dyDescent="0.2">
      <c r="A508" s="55">
        <v>24</v>
      </c>
      <c r="B508" s="45" t="s">
        <v>2574</v>
      </c>
      <c r="C508" s="48">
        <v>2</v>
      </c>
      <c r="E508" s="121" t="s">
        <v>1226</v>
      </c>
      <c r="F508" s="120" t="s">
        <v>1287</v>
      </c>
    </row>
    <row r="509" spans="1:6" x14ac:dyDescent="0.2">
      <c r="A509" s="55">
        <v>24</v>
      </c>
      <c r="B509" s="45" t="s">
        <v>371</v>
      </c>
      <c r="C509" s="48">
        <v>1</v>
      </c>
      <c r="E509" s="121" t="s">
        <v>1425</v>
      </c>
      <c r="F509" s="120" t="s">
        <v>3248</v>
      </c>
    </row>
    <row r="510" spans="1:6" x14ac:dyDescent="0.2">
      <c r="A510" s="55">
        <v>24</v>
      </c>
      <c r="B510" s="45" t="s">
        <v>2644</v>
      </c>
      <c r="C510" s="48">
        <v>1</v>
      </c>
      <c r="E510" s="121" t="s">
        <v>1416</v>
      </c>
      <c r="F510" s="120" t="s">
        <v>3273</v>
      </c>
    </row>
    <row r="511" spans="1:6" x14ac:dyDescent="0.2">
      <c r="A511" s="55">
        <v>24</v>
      </c>
      <c r="B511" s="45" t="s">
        <v>2648</v>
      </c>
      <c r="C511" s="48">
        <v>1</v>
      </c>
      <c r="E511" s="121" t="s">
        <v>3162</v>
      </c>
      <c r="F511" s="120" t="s">
        <v>3268</v>
      </c>
    </row>
    <row r="512" spans="1:6" x14ac:dyDescent="0.2">
      <c r="A512" s="55">
        <v>24</v>
      </c>
      <c r="B512" s="45" t="s">
        <v>2579</v>
      </c>
      <c r="C512" s="48">
        <v>1</v>
      </c>
      <c r="E512" s="121" t="s">
        <v>3516</v>
      </c>
      <c r="F512" s="120" t="s">
        <v>3232</v>
      </c>
    </row>
    <row r="513" spans="1:6" x14ac:dyDescent="0.2">
      <c r="A513" s="55">
        <v>24</v>
      </c>
      <c r="B513" s="45" t="s">
        <v>454</v>
      </c>
      <c r="C513" s="48">
        <v>0.5</v>
      </c>
      <c r="E513" s="121" t="s">
        <v>534</v>
      </c>
      <c r="F513" s="120" t="s">
        <v>3249</v>
      </c>
    </row>
    <row r="514" spans="1:6" x14ac:dyDescent="0.2">
      <c r="A514" s="55">
        <v>24</v>
      </c>
      <c r="B514" s="45" t="s">
        <v>2636</v>
      </c>
      <c r="C514" s="48">
        <v>0.5</v>
      </c>
      <c r="E514" s="121" t="s">
        <v>3504</v>
      </c>
      <c r="F514" s="120" t="s">
        <v>3248</v>
      </c>
    </row>
    <row r="515" spans="1:6" x14ac:dyDescent="0.2">
      <c r="A515" s="55">
        <v>24</v>
      </c>
      <c r="B515" s="45" t="s">
        <v>613</v>
      </c>
      <c r="C515" s="48">
        <v>0.5</v>
      </c>
      <c r="E515" s="121" t="s">
        <v>3479</v>
      </c>
      <c r="F515" s="120" t="s">
        <v>3309</v>
      </c>
    </row>
    <row r="516" spans="1:6" x14ac:dyDescent="0.2">
      <c r="A516" s="55">
        <v>24</v>
      </c>
      <c r="B516" s="45" t="s">
        <v>349</v>
      </c>
      <c r="C516" s="48">
        <v>0.5</v>
      </c>
      <c r="E516" s="121" t="s">
        <v>1200</v>
      </c>
      <c r="F516" s="120" t="s">
        <v>3292</v>
      </c>
    </row>
    <row r="517" spans="1:6" x14ac:dyDescent="0.2">
      <c r="A517" s="55">
        <v>24</v>
      </c>
      <c r="B517" s="45" t="s">
        <v>358</v>
      </c>
      <c r="C517" s="48">
        <v>0.5</v>
      </c>
      <c r="E517" s="121" t="s">
        <v>1404</v>
      </c>
      <c r="F517" s="120" t="s">
        <v>3248</v>
      </c>
    </row>
    <row r="518" spans="1:6" x14ac:dyDescent="0.2">
      <c r="A518" s="55">
        <v>25</v>
      </c>
      <c r="B518" s="45" t="s">
        <v>357</v>
      </c>
      <c r="C518" s="48">
        <v>35</v>
      </c>
      <c r="E518" s="121" t="s">
        <v>3063</v>
      </c>
      <c r="F518" s="120" t="s">
        <v>3262</v>
      </c>
    </row>
    <row r="519" spans="1:6" x14ac:dyDescent="0.2">
      <c r="A519" s="55">
        <v>25</v>
      </c>
      <c r="B519" s="45" t="s">
        <v>592</v>
      </c>
      <c r="C519" s="48">
        <v>12</v>
      </c>
      <c r="E519" s="121" t="s">
        <v>1158</v>
      </c>
      <c r="F519" s="120" t="s">
        <v>3248</v>
      </c>
    </row>
    <row r="520" spans="1:6" x14ac:dyDescent="0.2">
      <c r="A520" s="55">
        <v>25</v>
      </c>
      <c r="B520" s="45" t="s">
        <v>2565</v>
      </c>
      <c r="C520" s="48">
        <v>10</v>
      </c>
      <c r="E520" s="121" t="s">
        <v>3435</v>
      </c>
      <c r="F520" s="120" t="s">
        <v>3286</v>
      </c>
    </row>
    <row r="521" spans="1:6" x14ac:dyDescent="0.2">
      <c r="A521" s="55">
        <v>25</v>
      </c>
      <c r="B521" s="45" t="s">
        <v>2579</v>
      </c>
      <c r="C521" s="48">
        <v>6</v>
      </c>
      <c r="E521" s="121" t="s">
        <v>3516</v>
      </c>
      <c r="F521" s="120" t="s">
        <v>3232</v>
      </c>
    </row>
    <row r="522" spans="1:6" x14ac:dyDescent="0.2">
      <c r="A522" s="55">
        <v>25</v>
      </c>
      <c r="B522" s="45" t="s">
        <v>398</v>
      </c>
      <c r="C522" s="48">
        <v>4</v>
      </c>
      <c r="E522" s="121" t="s">
        <v>1165</v>
      </c>
      <c r="F522" s="120" t="s">
        <v>3215</v>
      </c>
    </row>
    <row r="523" spans="1:6" x14ac:dyDescent="0.2">
      <c r="A523" s="55">
        <v>25</v>
      </c>
      <c r="B523" s="45" t="s">
        <v>437</v>
      </c>
      <c r="C523" s="48">
        <v>4</v>
      </c>
      <c r="E523" s="121" t="s">
        <v>3385</v>
      </c>
      <c r="F523" s="120" t="s">
        <v>3285</v>
      </c>
    </row>
    <row r="524" spans="1:6" x14ac:dyDescent="0.2">
      <c r="A524" s="55">
        <v>25</v>
      </c>
      <c r="B524" s="45" t="s">
        <v>2649</v>
      </c>
      <c r="C524" s="48">
        <v>4</v>
      </c>
      <c r="E524" s="121" t="s">
        <v>3052</v>
      </c>
      <c r="F524" s="120" t="s">
        <v>3250</v>
      </c>
    </row>
    <row r="525" spans="1:6" x14ac:dyDescent="0.2">
      <c r="A525" s="55">
        <v>25</v>
      </c>
      <c r="B525" s="45" t="s">
        <v>2636</v>
      </c>
      <c r="C525" s="48">
        <v>4</v>
      </c>
      <c r="E525" s="121" t="s">
        <v>3504</v>
      </c>
      <c r="F525" s="120" t="s">
        <v>3248</v>
      </c>
    </row>
    <row r="526" spans="1:6" x14ac:dyDescent="0.2">
      <c r="A526" s="55">
        <v>25</v>
      </c>
      <c r="B526" s="45" t="s">
        <v>345</v>
      </c>
      <c r="C526" s="48">
        <v>4</v>
      </c>
      <c r="E526" s="121" t="s">
        <v>3520</v>
      </c>
      <c r="F526" s="120" t="s">
        <v>3227</v>
      </c>
    </row>
    <row r="527" spans="1:6" x14ac:dyDescent="0.2">
      <c r="A527" s="55">
        <v>25</v>
      </c>
      <c r="B527" s="45" t="s">
        <v>432</v>
      </c>
      <c r="C527" s="48">
        <v>4</v>
      </c>
      <c r="E527" s="121" t="s">
        <v>3186</v>
      </c>
      <c r="F527" s="120" t="s">
        <v>3284</v>
      </c>
    </row>
    <row r="528" spans="1:6" x14ac:dyDescent="0.2">
      <c r="A528" s="55">
        <v>25</v>
      </c>
      <c r="B528" s="45" t="s">
        <v>342</v>
      </c>
      <c r="C528" s="48">
        <v>3</v>
      </c>
      <c r="E528" s="121" t="s">
        <v>1169</v>
      </c>
      <c r="F528" s="120" t="s">
        <v>3249</v>
      </c>
    </row>
    <row r="529" spans="1:6" x14ac:dyDescent="0.2">
      <c r="A529" s="55">
        <v>25</v>
      </c>
      <c r="B529" s="45" t="s">
        <v>2644</v>
      </c>
      <c r="C529" s="48">
        <v>2</v>
      </c>
      <c r="E529" s="121" t="s">
        <v>1416</v>
      </c>
      <c r="F529" s="120" t="s">
        <v>3273</v>
      </c>
    </row>
    <row r="530" spans="1:6" x14ac:dyDescent="0.2">
      <c r="A530" s="55">
        <v>25</v>
      </c>
      <c r="B530" s="45" t="s">
        <v>3151</v>
      </c>
      <c r="C530" s="48">
        <v>2</v>
      </c>
      <c r="E530" s="121" t="s">
        <v>3194</v>
      </c>
      <c r="F530" s="120" t="s">
        <v>3258</v>
      </c>
    </row>
    <row r="531" spans="1:6" x14ac:dyDescent="0.2">
      <c r="A531" s="55">
        <v>25</v>
      </c>
      <c r="B531" s="45" t="s">
        <v>388</v>
      </c>
      <c r="C531" s="48">
        <v>2</v>
      </c>
      <c r="E531" s="121" t="s">
        <v>3175</v>
      </c>
      <c r="F531" s="120" t="s">
        <v>3284</v>
      </c>
    </row>
    <row r="532" spans="1:6" x14ac:dyDescent="0.2">
      <c r="A532" s="55">
        <v>25</v>
      </c>
      <c r="B532" s="45" t="s">
        <v>347</v>
      </c>
      <c r="C532" s="48">
        <v>2</v>
      </c>
      <c r="E532" s="121" t="s">
        <v>3492</v>
      </c>
      <c r="F532" s="120" t="s">
        <v>3312</v>
      </c>
    </row>
    <row r="533" spans="1:6" x14ac:dyDescent="0.2">
      <c r="A533" s="55">
        <v>25</v>
      </c>
      <c r="B533" s="45" t="s">
        <v>341</v>
      </c>
      <c r="C533" s="48">
        <v>2</v>
      </c>
      <c r="E533" s="121" t="s">
        <v>3062</v>
      </c>
      <c r="F533" s="120" t="s">
        <v>3266</v>
      </c>
    </row>
    <row r="534" spans="1:6" x14ac:dyDescent="0.2">
      <c r="A534" s="55">
        <v>25</v>
      </c>
      <c r="B534" s="45" t="s">
        <v>349</v>
      </c>
      <c r="C534" s="48">
        <v>2</v>
      </c>
      <c r="E534" s="121" t="s">
        <v>1200</v>
      </c>
      <c r="F534" s="120" t="s">
        <v>3292</v>
      </c>
    </row>
    <row r="535" spans="1:6" x14ac:dyDescent="0.2">
      <c r="A535" s="55">
        <v>25</v>
      </c>
      <c r="B535" s="45" t="s">
        <v>380</v>
      </c>
      <c r="C535" s="48">
        <v>2</v>
      </c>
      <c r="E535" s="121" t="s">
        <v>2853</v>
      </c>
      <c r="F535" s="120" t="s">
        <v>3227</v>
      </c>
    </row>
    <row r="536" spans="1:6" x14ac:dyDescent="0.2">
      <c r="A536" s="55">
        <v>25</v>
      </c>
      <c r="B536" s="45" t="s">
        <v>411</v>
      </c>
      <c r="C536" s="48">
        <v>2</v>
      </c>
      <c r="E536" s="121" t="s">
        <v>3073</v>
      </c>
      <c r="F536" s="120" t="s">
        <v>3267</v>
      </c>
    </row>
    <row r="537" spans="1:6" x14ac:dyDescent="0.2">
      <c r="A537" s="55">
        <v>25</v>
      </c>
      <c r="B537" s="45" t="s">
        <v>2573</v>
      </c>
      <c r="C537" s="48">
        <v>1</v>
      </c>
      <c r="E537" s="121" t="s">
        <v>2880</v>
      </c>
      <c r="F537" s="120" t="s">
        <v>3249</v>
      </c>
    </row>
    <row r="538" spans="1:6" x14ac:dyDescent="0.2">
      <c r="A538" s="55">
        <v>25</v>
      </c>
      <c r="B538" s="45" t="s">
        <v>595</v>
      </c>
      <c r="C538" s="48">
        <v>1</v>
      </c>
      <c r="E538" s="121" t="s">
        <v>3033</v>
      </c>
      <c r="F538" s="120" t="s">
        <v>3248</v>
      </c>
    </row>
    <row r="539" spans="1:6" x14ac:dyDescent="0.2">
      <c r="A539" s="55">
        <v>25</v>
      </c>
      <c r="B539" s="45" t="s">
        <v>613</v>
      </c>
      <c r="C539" s="48">
        <v>1</v>
      </c>
      <c r="E539" s="121" t="s">
        <v>3479</v>
      </c>
      <c r="F539" s="120" t="s">
        <v>3309</v>
      </c>
    </row>
    <row r="540" spans="1:6" x14ac:dyDescent="0.2">
      <c r="A540" s="55">
        <v>25</v>
      </c>
      <c r="B540" s="45" t="s">
        <v>397</v>
      </c>
      <c r="C540" s="48">
        <v>1</v>
      </c>
      <c r="E540" s="121" t="s">
        <v>1222</v>
      </c>
      <c r="F540" s="120" t="s">
        <v>1287</v>
      </c>
    </row>
    <row r="541" spans="1:6" x14ac:dyDescent="0.2">
      <c r="A541" s="55">
        <v>25</v>
      </c>
      <c r="B541" s="45" t="s">
        <v>394</v>
      </c>
      <c r="C541" s="48">
        <v>1</v>
      </c>
      <c r="E541" s="121" t="s">
        <v>3467</v>
      </c>
      <c r="F541" s="120" t="s">
        <v>3258</v>
      </c>
    </row>
    <row r="542" spans="1:6" x14ac:dyDescent="0.2">
      <c r="A542" s="55">
        <v>25</v>
      </c>
      <c r="B542" s="45" t="s">
        <v>386</v>
      </c>
      <c r="C542" s="48">
        <v>1</v>
      </c>
      <c r="E542" s="121" t="s">
        <v>3498</v>
      </c>
      <c r="F542" s="120" t="s">
        <v>3215</v>
      </c>
    </row>
    <row r="543" spans="1:6" x14ac:dyDescent="0.2">
      <c r="A543" s="55">
        <v>25</v>
      </c>
      <c r="B543" s="45" t="s">
        <v>583</v>
      </c>
      <c r="C543" s="48">
        <v>1</v>
      </c>
      <c r="E543" s="121" t="s">
        <v>1207</v>
      </c>
      <c r="F543" s="120" t="s">
        <v>3274</v>
      </c>
    </row>
    <row r="544" spans="1:6" x14ac:dyDescent="0.2">
      <c r="A544" s="55">
        <v>25</v>
      </c>
      <c r="B544" s="45" t="s">
        <v>348</v>
      </c>
      <c r="C544" s="48">
        <v>1</v>
      </c>
      <c r="E544" s="121" t="s">
        <v>3433</v>
      </c>
      <c r="F544" s="120" t="s">
        <v>3285</v>
      </c>
    </row>
    <row r="545" spans="1:6" x14ac:dyDescent="0.2">
      <c r="A545" s="55">
        <v>25</v>
      </c>
      <c r="B545" s="45" t="s">
        <v>2589</v>
      </c>
      <c r="C545" s="48">
        <v>1</v>
      </c>
      <c r="E545" s="121" t="s">
        <v>1194</v>
      </c>
      <c r="F545" s="120" t="s">
        <v>3261</v>
      </c>
    </row>
    <row r="546" spans="1:6" x14ac:dyDescent="0.2">
      <c r="A546" s="55">
        <v>25</v>
      </c>
      <c r="B546" s="45" t="s">
        <v>374</v>
      </c>
      <c r="C546" s="48">
        <v>1</v>
      </c>
      <c r="E546" s="121" t="s">
        <v>1283</v>
      </c>
      <c r="F546" s="120" t="s">
        <v>3299</v>
      </c>
    </row>
    <row r="547" spans="1:6" x14ac:dyDescent="0.2">
      <c r="A547" s="55">
        <v>25</v>
      </c>
      <c r="B547" s="45" t="s">
        <v>350</v>
      </c>
      <c r="C547" s="48">
        <v>0.5</v>
      </c>
      <c r="E547" s="121" t="s">
        <v>1415</v>
      </c>
      <c r="F547" s="120" t="s">
        <v>3249</v>
      </c>
    </row>
    <row r="548" spans="1:6" x14ac:dyDescent="0.2">
      <c r="A548" s="55">
        <v>25</v>
      </c>
      <c r="B548" s="45" t="s">
        <v>369</v>
      </c>
      <c r="C548" s="48">
        <v>0.5</v>
      </c>
      <c r="E548" s="121" t="s">
        <v>2829</v>
      </c>
      <c r="F548" s="120" t="s">
        <v>1289</v>
      </c>
    </row>
    <row r="549" spans="1:6" x14ac:dyDescent="0.2">
      <c r="A549" s="55">
        <v>25</v>
      </c>
      <c r="B549" s="45" t="s">
        <v>2642</v>
      </c>
      <c r="C549" s="48">
        <v>0.5</v>
      </c>
      <c r="E549" s="121" t="s">
        <v>1148</v>
      </c>
      <c r="F549" s="120" t="s">
        <v>3215</v>
      </c>
    </row>
    <row r="550" spans="1:6" x14ac:dyDescent="0.2">
      <c r="A550" s="55">
        <v>25</v>
      </c>
      <c r="B550" s="45" t="s">
        <v>2603</v>
      </c>
      <c r="C550" s="48">
        <v>0.5</v>
      </c>
      <c r="E550" s="121" t="s">
        <v>2905</v>
      </c>
      <c r="F550" s="120" t="s">
        <v>3253</v>
      </c>
    </row>
    <row r="551" spans="1:6" x14ac:dyDescent="0.2">
      <c r="A551" s="55">
        <v>25</v>
      </c>
      <c r="B551" s="45" t="s">
        <v>2648</v>
      </c>
      <c r="C551" s="48">
        <v>0.5</v>
      </c>
      <c r="E551" s="121" t="s">
        <v>3162</v>
      </c>
      <c r="F551" s="120" t="s">
        <v>3268</v>
      </c>
    </row>
    <row r="552" spans="1:6" x14ac:dyDescent="0.2">
      <c r="A552" s="55">
        <v>25</v>
      </c>
      <c r="B552" s="45" t="s">
        <v>329</v>
      </c>
      <c r="C552" s="48">
        <v>0.5</v>
      </c>
      <c r="E552" s="121" t="s">
        <v>2867</v>
      </c>
      <c r="F552" s="120" t="s">
        <v>3238</v>
      </c>
    </row>
    <row r="553" spans="1:6" x14ac:dyDescent="0.2">
      <c r="A553" s="55">
        <v>25</v>
      </c>
      <c r="B553" s="45" t="s">
        <v>2637</v>
      </c>
      <c r="C553" s="48">
        <v>0.5</v>
      </c>
      <c r="E553" s="121" t="s">
        <v>1499</v>
      </c>
      <c r="F553" s="120" t="s">
        <v>3215</v>
      </c>
    </row>
    <row r="554" spans="1:6" x14ac:dyDescent="0.2">
      <c r="A554" s="55">
        <v>25</v>
      </c>
      <c r="B554" s="45" t="s">
        <v>614</v>
      </c>
      <c r="C554" s="48">
        <v>0.5</v>
      </c>
      <c r="E554" s="121" t="s">
        <v>2836</v>
      </c>
      <c r="F554" s="120" t="s">
        <v>3217</v>
      </c>
    </row>
    <row r="555" spans="1:6" x14ac:dyDescent="0.2">
      <c r="A555" s="55">
        <v>25</v>
      </c>
      <c r="B555" s="45" t="s">
        <v>340</v>
      </c>
      <c r="C555" s="48">
        <v>0.5</v>
      </c>
      <c r="E555" s="121" t="s">
        <v>1529</v>
      </c>
      <c r="F555" s="120" t="s">
        <v>3249</v>
      </c>
    </row>
    <row r="556" spans="1:6" x14ac:dyDescent="0.2">
      <c r="A556" s="55">
        <v>25</v>
      </c>
      <c r="B556" s="45" t="s">
        <v>375</v>
      </c>
      <c r="C556" s="48">
        <v>0.5</v>
      </c>
      <c r="E556" s="121" t="s">
        <v>1530</v>
      </c>
      <c r="F556" s="120" t="s">
        <v>3248</v>
      </c>
    </row>
    <row r="557" spans="1:6" x14ac:dyDescent="0.2">
      <c r="A557" s="55">
        <v>25</v>
      </c>
      <c r="B557" s="45" t="s">
        <v>389</v>
      </c>
      <c r="C557" s="48">
        <v>0.5</v>
      </c>
      <c r="E557" s="121" t="s">
        <v>3096</v>
      </c>
      <c r="F557" s="120" t="s">
        <v>3274</v>
      </c>
    </row>
    <row r="558" spans="1:6" x14ac:dyDescent="0.2">
      <c r="A558" s="55">
        <v>26</v>
      </c>
      <c r="B558" s="45" t="s">
        <v>341</v>
      </c>
      <c r="C558" s="48">
        <v>25</v>
      </c>
      <c r="E558" s="121" t="s">
        <v>3062</v>
      </c>
      <c r="F558" s="120" t="s">
        <v>3266</v>
      </c>
    </row>
    <row r="559" spans="1:6" x14ac:dyDescent="0.2">
      <c r="A559" s="55">
        <v>26</v>
      </c>
      <c r="B559" s="45" t="s">
        <v>2579</v>
      </c>
      <c r="C559" s="48">
        <v>20</v>
      </c>
      <c r="E559" s="121" t="s">
        <v>3516</v>
      </c>
      <c r="F559" s="120" t="s">
        <v>3232</v>
      </c>
    </row>
    <row r="560" spans="1:6" x14ac:dyDescent="0.2">
      <c r="A560" s="55">
        <v>26</v>
      </c>
      <c r="B560" s="45" t="s">
        <v>395</v>
      </c>
      <c r="C560" s="48">
        <v>12</v>
      </c>
      <c r="E560" s="121" t="s">
        <v>3202</v>
      </c>
      <c r="F560" s="120" t="s">
        <v>3248</v>
      </c>
    </row>
    <row r="561" spans="1:6" x14ac:dyDescent="0.2">
      <c r="A561" s="55">
        <v>26</v>
      </c>
      <c r="B561" s="45" t="s">
        <v>423</v>
      </c>
      <c r="C561" s="48">
        <v>10</v>
      </c>
      <c r="E561" s="121" t="s">
        <v>3494</v>
      </c>
      <c r="F561" s="120" t="s">
        <v>3310</v>
      </c>
    </row>
    <row r="562" spans="1:6" x14ac:dyDescent="0.2">
      <c r="A562" s="55">
        <v>26</v>
      </c>
      <c r="B562" s="45" t="s">
        <v>347</v>
      </c>
      <c r="C562" s="48">
        <v>8</v>
      </c>
      <c r="E562" s="121" t="s">
        <v>3492</v>
      </c>
      <c r="F562" s="120" t="s">
        <v>3312</v>
      </c>
    </row>
    <row r="563" spans="1:6" x14ac:dyDescent="0.2">
      <c r="A563" s="55">
        <v>26</v>
      </c>
      <c r="B563" s="45" t="s">
        <v>376</v>
      </c>
      <c r="C563" s="48">
        <v>8</v>
      </c>
      <c r="E563" s="121" t="s">
        <v>3462</v>
      </c>
      <c r="F563" s="120" t="s">
        <v>3227</v>
      </c>
    </row>
    <row r="564" spans="1:6" x14ac:dyDescent="0.2">
      <c r="A564" s="55">
        <v>26</v>
      </c>
      <c r="B564" s="45" t="s">
        <v>399</v>
      </c>
      <c r="C564" s="48">
        <v>6</v>
      </c>
      <c r="E564" s="121" t="s">
        <v>1155</v>
      </c>
      <c r="F564" s="120" t="s">
        <v>3248</v>
      </c>
    </row>
    <row r="565" spans="1:6" x14ac:dyDescent="0.2">
      <c r="A565" s="55">
        <v>26</v>
      </c>
      <c r="B565" s="45" t="s">
        <v>2642</v>
      </c>
      <c r="C565" s="48">
        <v>4</v>
      </c>
      <c r="E565" s="121" t="s">
        <v>1148</v>
      </c>
      <c r="F565" s="120" t="s">
        <v>3215</v>
      </c>
    </row>
    <row r="566" spans="1:6" x14ac:dyDescent="0.2">
      <c r="A566" s="55">
        <v>26</v>
      </c>
      <c r="B566" s="45" t="s">
        <v>364</v>
      </c>
      <c r="C566" s="48">
        <v>3</v>
      </c>
      <c r="E566" s="121" t="s">
        <v>3495</v>
      </c>
      <c r="F566" s="120" t="s">
        <v>3313</v>
      </c>
    </row>
    <row r="567" spans="1:6" x14ac:dyDescent="0.2">
      <c r="A567" s="55">
        <v>26</v>
      </c>
      <c r="B567" s="45" t="s">
        <v>350</v>
      </c>
      <c r="C567" s="48">
        <v>2</v>
      </c>
      <c r="E567" s="121" t="s">
        <v>1415</v>
      </c>
      <c r="F567" s="120" t="s">
        <v>3249</v>
      </c>
    </row>
    <row r="568" spans="1:6" x14ac:dyDescent="0.2">
      <c r="A568" s="55">
        <v>26</v>
      </c>
      <c r="B568" s="45" t="s">
        <v>374</v>
      </c>
      <c r="C568" s="48">
        <v>2</v>
      </c>
      <c r="E568" s="121" t="s">
        <v>1283</v>
      </c>
      <c r="F568" s="120" t="s">
        <v>3299</v>
      </c>
    </row>
    <row r="569" spans="1:6" x14ac:dyDescent="0.2">
      <c r="A569" s="55">
        <v>26</v>
      </c>
      <c r="B569" s="45" t="s">
        <v>2573</v>
      </c>
      <c r="C569" s="48">
        <v>1</v>
      </c>
      <c r="E569" s="121" t="s">
        <v>2880</v>
      </c>
      <c r="F569" s="120" t="s">
        <v>3249</v>
      </c>
    </row>
    <row r="570" spans="1:6" x14ac:dyDescent="0.2">
      <c r="A570" s="55">
        <v>26</v>
      </c>
      <c r="B570" s="45" t="s">
        <v>369</v>
      </c>
      <c r="C570" s="48">
        <v>1</v>
      </c>
      <c r="E570" s="121" t="s">
        <v>2829</v>
      </c>
      <c r="F570" s="120" t="s">
        <v>1289</v>
      </c>
    </row>
    <row r="571" spans="1:6" x14ac:dyDescent="0.2">
      <c r="A571" s="55">
        <v>26</v>
      </c>
      <c r="B571" s="45" t="s">
        <v>393</v>
      </c>
      <c r="C571" s="48">
        <v>1</v>
      </c>
      <c r="E571" s="121" t="s">
        <v>3346</v>
      </c>
      <c r="F571" s="120" t="s">
        <v>3224</v>
      </c>
    </row>
    <row r="572" spans="1:6" x14ac:dyDescent="0.2">
      <c r="A572" s="55">
        <v>26</v>
      </c>
      <c r="B572" s="45" t="s">
        <v>402</v>
      </c>
      <c r="C572" s="48">
        <v>1</v>
      </c>
      <c r="E572" s="121" t="s">
        <v>3171</v>
      </c>
      <c r="F572" s="120" t="s">
        <v>3284</v>
      </c>
    </row>
    <row r="573" spans="1:6" x14ac:dyDescent="0.2">
      <c r="A573" s="55">
        <v>26</v>
      </c>
      <c r="B573" s="45" t="s">
        <v>583</v>
      </c>
      <c r="C573" s="48">
        <v>1</v>
      </c>
      <c r="E573" s="121" t="s">
        <v>1207</v>
      </c>
      <c r="F573" s="120" t="s">
        <v>3274</v>
      </c>
    </row>
    <row r="574" spans="1:6" x14ac:dyDescent="0.2">
      <c r="A574" s="55">
        <v>26</v>
      </c>
      <c r="B574" s="45" t="s">
        <v>344</v>
      </c>
      <c r="C574" s="48">
        <v>1</v>
      </c>
      <c r="E574" s="121" t="s">
        <v>1403</v>
      </c>
      <c r="F574" s="120" t="s">
        <v>3215</v>
      </c>
    </row>
    <row r="575" spans="1:6" x14ac:dyDescent="0.2">
      <c r="A575" s="55">
        <v>26</v>
      </c>
      <c r="B575" s="45" t="s">
        <v>375</v>
      </c>
      <c r="C575" s="48">
        <v>1</v>
      </c>
      <c r="E575" s="121" t="s">
        <v>1530</v>
      </c>
      <c r="F575" s="120" t="s">
        <v>3248</v>
      </c>
    </row>
    <row r="576" spans="1:6" x14ac:dyDescent="0.2">
      <c r="A576" s="55">
        <v>26</v>
      </c>
      <c r="B576" s="45" t="s">
        <v>2636</v>
      </c>
      <c r="C576" s="48">
        <v>0.5</v>
      </c>
      <c r="E576" s="121" t="s">
        <v>3504</v>
      </c>
      <c r="F576" s="120" t="s">
        <v>3248</v>
      </c>
    </row>
    <row r="577" spans="1:6" x14ac:dyDescent="0.2">
      <c r="A577" s="55">
        <v>26</v>
      </c>
      <c r="B577" s="45" t="s">
        <v>380</v>
      </c>
      <c r="C577" s="48">
        <v>0.5</v>
      </c>
      <c r="E577" s="121" t="s">
        <v>2853</v>
      </c>
      <c r="F577" s="120" t="s">
        <v>3227</v>
      </c>
    </row>
    <row r="578" spans="1:6" x14ac:dyDescent="0.2">
      <c r="A578" s="55">
        <v>27</v>
      </c>
      <c r="B578" s="45" t="s">
        <v>341</v>
      </c>
      <c r="C578" s="48">
        <v>20</v>
      </c>
      <c r="E578" s="121" t="s">
        <v>3062</v>
      </c>
      <c r="F578" s="120" t="s">
        <v>3266</v>
      </c>
    </row>
    <row r="579" spans="1:6" x14ac:dyDescent="0.2">
      <c r="A579" s="55">
        <v>27</v>
      </c>
      <c r="B579" s="45" t="s">
        <v>400</v>
      </c>
      <c r="C579" s="48">
        <v>12</v>
      </c>
      <c r="E579" s="121" t="s">
        <v>1411</v>
      </c>
      <c r="F579" s="120" t="s">
        <v>3249</v>
      </c>
    </row>
    <row r="580" spans="1:6" x14ac:dyDescent="0.2">
      <c r="A580" s="55">
        <v>27</v>
      </c>
      <c r="B580" s="45" t="s">
        <v>2579</v>
      </c>
      <c r="C580" s="48">
        <v>12</v>
      </c>
      <c r="E580" s="121" t="s">
        <v>3516</v>
      </c>
      <c r="F580" s="120" t="s">
        <v>3232</v>
      </c>
    </row>
    <row r="581" spans="1:6" x14ac:dyDescent="0.2">
      <c r="A581" s="55">
        <v>27</v>
      </c>
      <c r="B581" s="45" t="s">
        <v>423</v>
      </c>
      <c r="C581" s="48">
        <v>12</v>
      </c>
      <c r="E581" s="121" t="s">
        <v>3494</v>
      </c>
      <c r="F581" s="120" t="s">
        <v>3310</v>
      </c>
    </row>
    <row r="582" spans="1:6" x14ac:dyDescent="0.2">
      <c r="A582" s="55">
        <v>27</v>
      </c>
      <c r="B582" s="45" t="s">
        <v>394</v>
      </c>
      <c r="C582" s="48">
        <v>10</v>
      </c>
      <c r="E582" s="121" t="s">
        <v>3467</v>
      </c>
      <c r="F582" s="120" t="s">
        <v>3258</v>
      </c>
    </row>
    <row r="583" spans="1:6" x14ac:dyDescent="0.2">
      <c r="A583" s="55">
        <v>27</v>
      </c>
      <c r="B583" s="45" t="s">
        <v>347</v>
      </c>
      <c r="C583" s="48">
        <v>8</v>
      </c>
      <c r="E583" s="121" t="s">
        <v>3492</v>
      </c>
      <c r="F583" s="120" t="s">
        <v>3312</v>
      </c>
    </row>
    <row r="584" spans="1:6" x14ac:dyDescent="0.2">
      <c r="A584" s="55">
        <v>27</v>
      </c>
      <c r="B584" s="45" t="s">
        <v>401</v>
      </c>
      <c r="C584" s="48">
        <v>6</v>
      </c>
      <c r="E584" s="121" t="s">
        <v>3465</v>
      </c>
      <c r="F584" s="120" t="s">
        <v>3258</v>
      </c>
    </row>
    <row r="585" spans="1:6" x14ac:dyDescent="0.2">
      <c r="A585" s="55">
        <v>27</v>
      </c>
      <c r="B585" s="45" t="s">
        <v>597</v>
      </c>
      <c r="C585" s="48">
        <v>5</v>
      </c>
      <c r="E585" s="121" t="s">
        <v>3060</v>
      </c>
      <c r="F585" s="120" t="s">
        <v>3248</v>
      </c>
    </row>
    <row r="586" spans="1:6" x14ac:dyDescent="0.2">
      <c r="A586" s="55">
        <v>27</v>
      </c>
      <c r="B586" s="45" t="s">
        <v>340</v>
      </c>
      <c r="C586" s="48">
        <v>5</v>
      </c>
      <c r="E586" s="121" t="s">
        <v>1529</v>
      </c>
      <c r="F586" s="120" t="s">
        <v>3249</v>
      </c>
    </row>
    <row r="587" spans="1:6" x14ac:dyDescent="0.2">
      <c r="A587" s="55">
        <v>27</v>
      </c>
      <c r="B587" s="45" t="s">
        <v>395</v>
      </c>
      <c r="C587" s="48">
        <v>4</v>
      </c>
      <c r="E587" s="121" t="s">
        <v>3202</v>
      </c>
      <c r="F587" s="120" t="s">
        <v>3248</v>
      </c>
    </row>
    <row r="588" spans="1:6" x14ac:dyDescent="0.2">
      <c r="A588" s="55">
        <v>27</v>
      </c>
      <c r="B588" s="45" t="s">
        <v>432</v>
      </c>
      <c r="C588" s="48">
        <v>4</v>
      </c>
      <c r="E588" s="121" t="s">
        <v>3186</v>
      </c>
      <c r="F588" s="120" t="s">
        <v>3284</v>
      </c>
    </row>
    <row r="589" spans="1:6" x14ac:dyDescent="0.2">
      <c r="A589" s="55">
        <v>27</v>
      </c>
      <c r="B589" s="45" t="s">
        <v>2601</v>
      </c>
      <c r="C589" s="48">
        <v>3</v>
      </c>
      <c r="E589" s="121" t="s">
        <v>1406</v>
      </c>
      <c r="F589" s="120" t="s">
        <v>3248</v>
      </c>
    </row>
    <row r="590" spans="1:6" x14ac:dyDescent="0.2">
      <c r="A590" s="55">
        <v>27</v>
      </c>
      <c r="B590" s="45" t="s">
        <v>437</v>
      </c>
      <c r="C590" s="48">
        <v>2</v>
      </c>
      <c r="E590" s="121" t="s">
        <v>3385</v>
      </c>
      <c r="F590" s="120" t="s">
        <v>3285</v>
      </c>
    </row>
    <row r="591" spans="1:6" x14ac:dyDescent="0.2">
      <c r="A591" s="55">
        <v>27</v>
      </c>
      <c r="B591" s="45" t="s">
        <v>349</v>
      </c>
      <c r="C591" s="48">
        <v>2</v>
      </c>
      <c r="E591" s="121" t="s">
        <v>1200</v>
      </c>
      <c r="F591" s="120" t="s">
        <v>3292</v>
      </c>
    </row>
    <row r="592" spans="1:6" x14ac:dyDescent="0.2">
      <c r="A592" s="55">
        <v>27</v>
      </c>
      <c r="B592" s="45" t="s">
        <v>2637</v>
      </c>
      <c r="C592" s="48">
        <v>1</v>
      </c>
      <c r="E592" s="121" t="s">
        <v>1499</v>
      </c>
      <c r="F592" s="120" t="s">
        <v>3215</v>
      </c>
    </row>
    <row r="593" spans="1:6" x14ac:dyDescent="0.2">
      <c r="A593" s="55">
        <v>27</v>
      </c>
      <c r="B593" s="45" t="s">
        <v>376</v>
      </c>
      <c r="C593" s="48">
        <v>1</v>
      </c>
      <c r="E593" s="121" t="s">
        <v>3462</v>
      </c>
      <c r="F593" s="120" t="s">
        <v>3227</v>
      </c>
    </row>
    <row r="594" spans="1:6" x14ac:dyDescent="0.2">
      <c r="A594" s="55">
        <v>27</v>
      </c>
      <c r="B594" s="45" t="s">
        <v>450</v>
      </c>
      <c r="C594" s="48">
        <v>1</v>
      </c>
      <c r="E594" s="121" t="s">
        <v>3089</v>
      </c>
      <c r="F594" s="120" t="s">
        <v>3248</v>
      </c>
    </row>
    <row r="595" spans="1:6" x14ac:dyDescent="0.2">
      <c r="A595" s="55">
        <v>27</v>
      </c>
      <c r="B595" s="45" t="s">
        <v>398</v>
      </c>
      <c r="C595" s="48">
        <v>0.5</v>
      </c>
      <c r="E595" s="121" t="s">
        <v>1165</v>
      </c>
      <c r="F595" s="120" t="s">
        <v>3215</v>
      </c>
    </row>
    <row r="596" spans="1:6" x14ac:dyDescent="0.2">
      <c r="A596" s="55">
        <v>27</v>
      </c>
      <c r="B596" s="45" t="s">
        <v>393</v>
      </c>
      <c r="C596" s="48">
        <v>0.5</v>
      </c>
      <c r="E596" s="121" t="s">
        <v>3346</v>
      </c>
      <c r="F596" s="120" t="s">
        <v>3224</v>
      </c>
    </row>
    <row r="597" spans="1:6" x14ac:dyDescent="0.2">
      <c r="A597" s="55">
        <v>28</v>
      </c>
      <c r="B597" s="45" t="s">
        <v>423</v>
      </c>
      <c r="C597" s="48">
        <v>20</v>
      </c>
      <c r="E597" s="121" t="s">
        <v>3494</v>
      </c>
      <c r="F597" s="120" t="s">
        <v>3310</v>
      </c>
    </row>
    <row r="598" spans="1:6" x14ac:dyDescent="0.2">
      <c r="A598" s="55">
        <v>28</v>
      </c>
      <c r="B598" s="45" t="s">
        <v>361</v>
      </c>
      <c r="C598" s="48">
        <v>12</v>
      </c>
      <c r="E598" s="121" t="s">
        <v>3201</v>
      </c>
      <c r="F598" s="120" t="s">
        <v>3249</v>
      </c>
    </row>
    <row r="599" spans="1:6" x14ac:dyDescent="0.2">
      <c r="A599" s="55">
        <v>28</v>
      </c>
      <c r="B599" s="45" t="s">
        <v>342</v>
      </c>
      <c r="C599" s="48">
        <v>10</v>
      </c>
      <c r="E599" s="121" t="s">
        <v>1169</v>
      </c>
      <c r="F599" s="120" t="s">
        <v>3249</v>
      </c>
    </row>
    <row r="600" spans="1:6" x14ac:dyDescent="0.2">
      <c r="A600" s="55">
        <v>28</v>
      </c>
      <c r="B600" s="45" t="s">
        <v>376</v>
      </c>
      <c r="C600" s="48">
        <v>7</v>
      </c>
      <c r="E600" s="121" t="s">
        <v>3462</v>
      </c>
      <c r="F600" s="120" t="s">
        <v>3227</v>
      </c>
    </row>
    <row r="601" spans="1:6" x14ac:dyDescent="0.2">
      <c r="A601" s="55">
        <v>28</v>
      </c>
      <c r="B601" s="45" t="s">
        <v>341</v>
      </c>
      <c r="C601" s="48">
        <v>6</v>
      </c>
      <c r="E601" s="121" t="s">
        <v>3062</v>
      </c>
      <c r="F601" s="120" t="s">
        <v>3266</v>
      </c>
    </row>
    <row r="602" spans="1:6" x14ac:dyDescent="0.2">
      <c r="A602" s="55">
        <v>28</v>
      </c>
      <c r="B602" s="45" t="s">
        <v>432</v>
      </c>
      <c r="C602" s="48">
        <v>6</v>
      </c>
      <c r="E602" s="121" t="s">
        <v>3186</v>
      </c>
      <c r="F602" s="120" t="s">
        <v>3284</v>
      </c>
    </row>
    <row r="603" spans="1:6" x14ac:dyDescent="0.2">
      <c r="A603" s="55">
        <v>28</v>
      </c>
      <c r="B603" s="45" t="s">
        <v>391</v>
      </c>
      <c r="C603" s="48">
        <v>4</v>
      </c>
      <c r="E603" s="121" t="s">
        <v>535</v>
      </c>
      <c r="F603" s="120" t="s">
        <v>3284</v>
      </c>
    </row>
    <row r="604" spans="1:6" x14ac:dyDescent="0.2">
      <c r="A604" s="55">
        <v>28</v>
      </c>
      <c r="B604" s="45" t="s">
        <v>394</v>
      </c>
      <c r="C604" s="48">
        <v>4</v>
      </c>
      <c r="E604" s="121" t="s">
        <v>3467</v>
      </c>
      <c r="F604" s="120" t="s">
        <v>3258</v>
      </c>
    </row>
    <row r="605" spans="1:6" x14ac:dyDescent="0.2">
      <c r="A605" s="55">
        <v>28</v>
      </c>
      <c r="B605" s="45" t="s">
        <v>349</v>
      </c>
      <c r="C605" s="48">
        <v>4</v>
      </c>
      <c r="E605" s="121" t="s">
        <v>1200</v>
      </c>
      <c r="F605" s="120" t="s">
        <v>3292</v>
      </c>
    </row>
    <row r="606" spans="1:6" x14ac:dyDescent="0.2">
      <c r="A606" s="55">
        <v>28</v>
      </c>
      <c r="B606" s="45" t="s">
        <v>373</v>
      </c>
      <c r="C606" s="48">
        <v>3</v>
      </c>
      <c r="E606" s="121" t="s">
        <v>3484</v>
      </c>
      <c r="F606" s="120" t="s">
        <v>3276</v>
      </c>
    </row>
    <row r="607" spans="1:6" x14ac:dyDescent="0.2">
      <c r="A607" s="55">
        <v>28</v>
      </c>
      <c r="B607" s="45" t="s">
        <v>400</v>
      </c>
      <c r="C607" s="48">
        <v>3</v>
      </c>
      <c r="E607" s="121" t="s">
        <v>1411</v>
      </c>
      <c r="F607" s="120" t="s">
        <v>3249</v>
      </c>
    </row>
    <row r="608" spans="1:6" x14ac:dyDescent="0.2">
      <c r="A608" s="55">
        <v>28</v>
      </c>
      <c r="B608" s="45" t="s">
        <v>346</v>
      </c>
      <c r="C608" s="48">
        <v>3</v>
      </c>
      <c r="E608" s="121" t="s">
        <v>3490</v>
      </c>
      <c r="F608" s="120" t="s">
        <v>3310</v>
      </c>
    </row>
    <row r="609" spans="1:6" x14ac:dyDescent="0.2">
      <c r="A609" s="55">
        <v>28</v>
      </c>
      <c r="B609" s="45" t="s">
        <v>597</v>
      </c>
      <c r="C609" s="48">
        <v>3</v>
      </c>
      <c r="E609" s="121" t="s">
        <v>3060</v>
      </c>
      <c r="F609" s="120" t="s">
        <v>3248</v>
      </c>
    </row>
    <row r="610" spans="1:6" x14ac:dyDescent="0.2">
      <c r="A610" s="55">
        <v>28</v>
      </c>
      <c r="B610" s="45" t="s">
        <v>340</v>
      </c>
      <c r="C610" s="48">
        <v>3</v>
      </c>
      <c r="E610" s="121" t="s">
        <v>1529</v>
      </c>
      <c r="F610" s="120" t="s">
        <v>3249</v>
      </c>
    </row>
    <row r="611" spans="1:6" x14ac:dyDescent="0.2">
      <c r="A611" s="55">
        <v>28</v>
      </c>
      <c r="B611" s="45" t="s">
        <v>370</v>
      </c>
      <c r="C611" s="48">
        <v>3</v>
      </c>
      <c r="E611" s="121" t="s">
        <v>1875</v>
      </c>
      <c r="F611" s="120" t="s">
        <v>3318</v>
      </c>
    </row>
    <row r="612" spans="1:6" x14ac:dyDescent="0.2">
      <c r="A612" s="55">
        <v>28</v>
      </c>
      <c r="B612" s="45" t="s">
        <v>371</v>
      </c>
      <c r="C612" s="48">
        <v>2</v>
      </c>
      <c r="E612" s="121" t="s">
        <v>1425</v>
      </c>
      <c r="F612" s="120" t="s">
        <v>3248</v>
      </c>
    </row>
    <row r="613" spans="1:6" x14ac:dyDescent="0.2">
      <c r="A613" s="55">
        <v>28</v>
      </c>
      <c r="B613" s="45" t="s">
        <v>398</v>
      </c>
      <c r="C613" s="48">
        <v>2</v>
      </c>
      <c r="E613" s="121" t="s">
        <v>1165</v>
      </c>
      <c r="F613" s="120" t="s">
        <v>3215</v>
      </c>
    </row>
    <row r="614" spans="1:6" x14ac:dyDescent="0.2">
      <c r="A614" s="55">
        <v>28</v>
      </c>
      <c r="B614" s="45" t="s">
        <v>343</v>
      </c>
      <c r="C614" s="48">
        <v>2</v>
      </c>
      <c r="E614" s="121" t="s">
        <v>3334</v>
      </c>
      <c r="F614" s="120" t="s">
        <v>3303</v>
      </c>
    </row>
    <row r="615" spans="1:6" x14ac:dyDescent="0.2">
      <c r="A615" s="55">
        <v>28</v>
      </c>
      <c r="B615" s="45" t="s">
        <v>403</v>
      </c>
      <c r="C615" s="48">
        <v>2</v>
      </c>
      <c r="E615" s="121" t="s">
        <v>1408</v>
      </c>
      <c r="F615" s="120" t="s">
        <v>3248</v>
      </c>
    </row>
    <row r="616" spans="1:6" x14ac:dyDescent="0.2">
      <c r="A616" s="55">
        <v>28</v>
      </c>
      <c r="B616" s="45" t="s">
        <v>1286</v>
      </c>
      <c r="C616" s="48">
        <v>2</v>
      </c>
      <c r="E616" s="121" t="s">
        <v>2926</v>
      </c>
      <c r="F616" s="120" t="s">
        <v>3215</v>
      </c>
    </row>
    <row r="617" spans="1:6" x14ac:dyDescent="0.2">
      <c r="A617" s="55">
        <v>28</v>
      </c>
      <c r="B617" s="45" t="s">
        <v>348</v>
      </c>
      <c r="C617" s="48">
        <v>2</v>
      </c>
      <c r="E617" s="121" t="s">
        <v>3433</v>
      </c>
      <c r="F617" s="120" t="s">
        <v>3285</v>
      </c>
    </row>
    <row r="618" spans="1:6" x14ac:dyDescent="0.2">
      <c r="A618" s="55">
        <v>28</v>
      </c>
      <c r="B618" s="45" t="s">
        <v>411</v>
      </c>
      <c r="C618" s="48">
        <v>2</v>
      </c>
      <c r="E618" s="121" t="s">
        <v>3073</v>
      </c>
      <c r="F618" s="120" t="s">
        <v>3267</v>
      </c>
    </row>
    <row r="619" spans="1:6" x14ac:dyDescent="0.2">
      <c r="A619" s="55">
        <v>28</v>
      </c>
      <c r="B619" s="45" t="s">
        <v>364</v>
      </c>
      <c r="C619" s="48">
        <v>2</v>
      </c>
      <c r="E619" s="121" t="s">
        <v>3495</v>
      </c>
      <c r="F619" s="120" t="s">
        <v>3313</v>
      </c>
    </row>
    <row r="620" spans="1:6" x14ac:dyDescent="0.2">
      <c r="A620" s="55">
        <v>28</v>
      </c>
      <c r="B620" s="45" t="s">
        <v>355</v>
      </c>
      <c r="C620" s="48">
        <v>1</v>
      </c>
      <c r="E620" s="121" t="s">
        <v>1150</v>
      </c>
      <c r="F620" s="120" t="s">
        <v>3287</v>
      </c>
    </row>
    <row r="621" spans="1:6" x14ac:dyDescent="0.2">
      <c r="A621" s="55">
        <v>28</v>
      </c>
      <c r="B621" s="45" t="s">
        <v>402</v>
      </c>
      <c r="C621" s="48">
        <v>1</v>
      </c>
      <c r="E621" s="121" t="s">
        <v>3171</v>
      </c>
      <c r="F621" s="120" t="s">
        <v>3284</v>
      </c>
    </row>
    <row r="622" spans="1:6" x14ac:dyDescent="0.2">
      <c r="A622" s="55">
        <v>28</v>
      </c>
      <c r="B622" s="45" t="s">
        <v>478</v>
      </c>
      <c r="C622" s="48">
        <v>1</v>
      </c>
      <c r="E622" s="121" t="s">
        <v>1527</v>
      </c>
      <c r="F622" s="120" t="s">
        <v>3249</v>
      </c>
    </row>
    <row r="623" spans="1:6" x14ac:dyDescent="0.2">
      <c r="A623" s="55">
        <v>28</v>
      </c>
      <c r="B623" s="45" t="s">
        <v>357</v>
      </c>
      <c r="C623" s="48">
        <v>1</v>
      </c>
      <c r="E623" s="121" t="s">
        <v>3063</v>
      </c>
      <c r="F623" s="120" t="s">
        <v>3262</v>
      </c>
    </row>
    <row r="624" spans="1:6" x14ac:dyDescent="0.2">
      <c r="A624" s="55">
        <v>28</v>
      </c>
      <c r="B624" s="45" t="s">
        <v>377</v>
      </c>
      <c r="C624" s="48">
        <v>1</v>
      </c>
      <c r="E624" s="121" t="s">
        <v>1540</v>
      </c>
      <c r="F624" s="120" t="s">
        <v>3216</v>
      </c>
    </row>
    <row r="625" spans="1:6" x14ac:dyDescent="0.2">
      <c r="A625" s="55">
        <v>28</v>
      </c>
      <c r="B625" s="45" t="s">
        <v>350</v>
      </c>
      <c r="C625" s="48">
        <v>0.5</v>
      </c>
      <c r="E625" s="121" t="s">
        <v>1415</v>
      </c>
      <c r="F625" s="120" t="s">
        <v>3249</v>
      </c>
    </row>
    <row r="626" spans="1:6" x14ac:dyDescent="0.2">
      <c r="A626" s="55">
        <v>28</v>
      </c>
      <c r="B626" s="45" t="s">
        <v>369</v>
      </c>
      <c r="C626" s="48">
        <v>0.5</v>
      </c>
      <c r="E626" s="121" t="s">
        <v>2829</v>
      </c>
      <c r="F626" s="120" t="s">
        <v>1289</v>
      </c>
    </row>
    <row r="627" spans="1:6" x14ac:dyDescent="0.2">
      <c r="A627" s="55">
        <v>28</v>
      </c>
      <c r="B627" s="45" t="s">
        <v>356</v>
      </c>
      <c r="C627" s="48">
        <v>0.5</v>
      </c>
      <c r="E627" s="121" t="s">
        <v>2902</v>
      </c>
      <c r="F627" s="120" t="s">
        <v>3258</v>
      </c>
    </row>
    <row r="628" spans="1:6" x14ac:dyDescent="0.2">
      <c r="A628" s="55">
        <v>28</v>
      </c>
      <c r="B628" s="45" t="s">
        <v>611</v>
      </c>
      <c r="C628" s="48">
        <v>0.5</v>
      </c>
      <c r="E628" s="121" t="s">
        <v>551</v>
      </c>
      <c r="F628" s="120" t="s">
        <v>199</v>
      </c>
    </row>
    <row r="629" spans="1:6" x14ac:dyDescent="0.2">
      <c r="A629" s="55">
        <v>28</v>
      </c>
      <c r="B629" s="45" t="s">
        <v>358</v>
      </c>
      <c r="C629" s="48">
        <v>0.5</v>
      </c>
      <c r="E629" s="121" t="s">
        <v>1404</v>
      </c>
      <c r="F629" s="120" t="s">
        <v>3248</v>
      </c>
    </row>
    <row r="630" spans="1:6" x14ac:dyDescent="0.2">
      <c r="A630" s="55">
        <v>28</v>
      </c>
      <c r="B630" s="45" t="s">
        <v>389</v>
      </c>
      <c r="C630" s="48">
        <v>0.5</v>
      </c>
      <c r="E630" s="121" t="s">
        <v>3096</v>
      </c>
      <c r="F630" s="120" t="s">
        <v>3274</v>
      </c>
    </row>
    <row r="631" spans="1:6" x14ac:dyDescent="0.2">
      <c r="A631" s="55">
        <v>29</v>
      </c>
      <c r="B631" s="45" t="s">
        <v>405</v>
      </c>
      <c r="C631" s="48">
        <v>45</v>
      </c>
      <c r="E631" s="121" t="s">
        <v>3199</v>
      </c>
      <c r="F631" s="120" t="s">
        <v>3215</v>
      </c>
    </row>
    <row r="632" spans="1:6" x14ac:dyDescent="0.2">
      <c r="A632" s="55">
        <v>29</v>
      </c>
      <c r="B632" s="45" t="s">
        <v>401</v>
      </c>
      <c r="C632" s="48">
        <v>15</v>
      </c>
      <c r="E632" s="121" t="s">
        <v>3465</v>
      </c>
      <c r="F632" s="120" t="s">
        <v>3258</v>
      </c>
    </row>
    <row r="633" spans="1:6" x14ac:dyDescent="0.2">
      <c r="A633" s="55">
        <v>29</v>
      </c>
      <c r="B633" s="45" t="s">
        <v>404</v>
      </c>
      <c r="C633" s="48">
        <v>12</v>
      </c>
      <c r="E633" s="121" t="s">
        <v>3463</v>
      </c>
      <c r="F633" s="120" t="s">
        <v>3258</v>
      </c>
    </row>
    <row r="634" spans="1:6" x14ac:dyDescent="0.2">
      <c r="A634" s="55">
        <v>29</v>
      </c>
      <c r="B634" s="45" t="s">
        <v>606</v>
      </c>
      <c r="C634" s="48">
        <v>8</v>
      </c>
      <c r="E634" s="121" t="s">
        <v>3203</v>
      </c>
      <c r="F634" s="120" t="s">
        <v>3266</v>
      </c>
    </row>
    <row r="635" spans="1:6" x14ac:dyDescent="0.2">
      <c r="A635" s="55">
        <v>29</v>
      </c>
      <c r="B635" s="45" t="s">
        <v>441</v>
      </c>
      <c r="C635" s="48">
        <v>6</v>
      </c>
      <c r="E635" s="121" t="s">
        <v>3469</v>
      </c>
      <c r="F635" s="120" t="s">
        <v>3258</v>
      </c>
    </row>
    <row r="636" spans="1:6" x14ac:dyDescent="0.2">
      <c r="A636" s="55">
        <v>29</v>
      </c>
      <c r="B636" s="45" t="s">
        <v>423</v>
      </c>
      <c r="C636" s="48">
        <v>4</v>
      </c>
      <c r="E636" s="121" t="s">
        <v>3494</v>
      </c>
      <c r="F636" s="120" t="s">
        <v>3310</v>
      </c>
    </row>
    <row r="637" spans="1:6" x14ac:dyDescent="0.2">
      <c r="A637" s="55">
        <v>29</v>
      </c>
      <c r="B637" s="45" t="s">
        <v>342</v>
      </c>
      <c r="C637" s="48">
        <v>3</v>
      </c>
      <c r="E637" s="121" t="s">
        <v>1169</v>
      </c>
      <c r="F637" s="120" t="s">
        <v>3249</v>
      </c>
    </row>
    <row r="638" spans="1:6" x14ac:dyDescent="0.2">
      <c r="A638" s="55">
        <v>29</v>
      </c>
      <c r="B638" s="45" t="s">
        <v>2579</v>
      </c>
      <c r="C638" s="48">
        <v>3</v>
      </c>
      <c r="E638" s="121" t="s">
        <v>3516</v>
      </c>
      <c r="F638" s="120" t="s">
        <v>3232</v>
      </c>
    </row>
    <row r="639" spans="1:6" x14ac:dyDescent="0.2">
      <c r="A639" s="55">
        <v>29</v>
      </c>
      <c r="B639" s="45" t="s">
        <v>403</v>
      </c>
      <c r="C639" s="48">
        <v>2</v>
      </c>
      <c r="E639" s="121" t="s">
        <v>1408</v>
      </c>
      <c r="F639" s="120" t="s">
        <v>3248</v>
      </c>
    </row>
    <row r="640" spans="1:6" x14ac:dyDescent="0.2">
      <c r="A640" s="55">
        <v>29</v>
      </c>
      <c r="B640" s="45" t="s">
        <v>409</v>
      </c>
      <c r="C640" s="48">
        <v>2</v>
      </c>
      <c r="E640" s="121" t="s">
        <v>3206</v>
      </c>
      <c r="F640" s="120" t="s">
        <v>3215</v>
      </c>
    </row>
    <row r="641" spans="1:6" x14ac:dyDescent="0.2">
      <c r="A641" s="55">
        <v>29</v>
      </c>
      <c r="B641" s="45" t="s">
        <v>408</v>
      </c>
      <c r="C641" s="48">
        <v>2</v>
      </c>
      <c r="E641" s="121" t="s">
        <v>3468</v>
      </c>
      <c r="F641" s="120" t="s">
        <v>3292</v>
      </c>
    </row>
    <row r="642" spans="1:6" x14ac:dyDescent="0.2">
      <c r="A642" s="55">
        <v>29</v>
      </c>
      <c r="B642" s="45" t="s">
        <v>432</v>
      </c>
      <c r="C642" s="48">
        <v>2</v>
      </c>
      <c r="E642" s="121" t="s">
        <v>3186</v>
      </c>
      <c r="F642" s="120" t="s">
        <v>3284</v>
      </c>
    </row>
    <row r="643" spans="1:6" x14ac:dyDescent="0.2">
      <c r="A643" s="55">
        <v>29</v>
      </c>
      <c r="B643" s="45" t="s">
        <v>2601</v>
      </c>
      <c r="C643" s="48">
        <v>2</v>
      </c>
      <c r="E643" s="121" t="s">
        <v>1406</v>
      </c>
      <c r="F643" s="120" t="s">
        <v>3248</v>
      </c>
    </row>
    <row r="644" spans="1:6" x14ac:dyDescent="0.2">
      <c r="A644" s="55">
        <v>29</v>
      </c>
      <c r="B644" s="45" t="s">
        <v>410</v>
      </c>
      <c r="C644" s="48">
        <v>1</v>
      </c>
      <c r="E644" s="121" t="s">
        <v>1489</v>
      </c>
      <c r="F644" s="120" t="s">
        <v>3248</v>
      </c>
    </row>
    <row r="645" spans="1:6" x14ac:dyDescent="0.2">
      <c r="A645" s="55">
        <v>29</v>
      </c>
      <c r="B645" s="45" t="s">
        <v>406</v>
      </c>
      <c r="C645" s="48">
        <v>0.5</v>
      </c>
      <c r="E645" s="121" t="s">
        <v>3035</v>
      </c>
      <c r="F645" s="120" t="s">
        <v>3215</v>
      </c>
    </row>
    <row r="646" spans="1:6" x14ac:dyDescent="0.2">
      <c r="A646" s="55">
        <v>29</v>
      </c>
      <c r="B646" s="45" t="s">
        <v>407</v>
      </c>
      <c r="C646" s="48">
        <v>0.5</v>
      </c>
      <c r="E646" s="121" t="s">
        <v>1145</v>
      </c>
      <c r="F646" s="120" t="s">
        <v>3248</v>
      </c>
    </row>
    <row r="647" spans="1:6" x14ac:dyDescent="0.2">
      <c r="A647" s="55">
        <v>29</v>
      </c>
      <c r="B647" s="45" t="s">
        <v>347</v>
      </c>
      <c r="C647" s="48">
        <v>0.5</v>
      </c>
      <c r="E647" s="121" t="s">
        <v>3492</v>
      </c>
      <c r="F647" s="120" t="s">
        <v>3312</v>
      </c>
    </row>
    <row r="648" spans="1:6" x14ac:dyDescent="0.2">
      <c r="A648" s="55">
        <v>29</v>
      </c>
      <c r="B648" s="45" t="s">
        <v>597</v>
      </c>
      <c r="C648" s="48">
        <v>0.5</v>
      </c>
      <c r="E648" s="121" t="s">
        <v>3060</v>
      </c>
      <c r="F648" s="120" t="s">
        <v>3248</v>
      </c>
    </row>
    <row r="649" spans="1:6" x14ac:dyDescent="0.2">
      <c r="A649" s="55">
        <v>29</v>
      </c>
      <c r="B649" s="45" t="s">
        <v>443</v>
      </c>
      <c r="C649" s="48">
        <v>0.5</v>
      </c>
      <c r="E649" s="121" t="s">
        <v>3445</v>
      </c>
      <c r="F649" s="120" t="s">
        <v>3215</v>
      </c>
    </row>
    <row r="650" spans="1:6" x14ac:dyDescent="0.2">
      <c r="A650" s="55">
        <v>29</v>
      </c>
      <c r="B650" s="45" t="s">
        <v>349</v>
      </c>
      <c r="C650" s="48">
        <v>0.5</v>
      </c>
      <c r="E650" s="121" t="s">
        <v>1200</v>
      </c>
      <c r="F650" s="120" t="s">
        <v>3292</v>
      </c>
    </row>
    <row r="651" spans="1:6" x14ac:dyDescent="0.2">
      <c r="A651" s="55">
        <v>30</v>
      </c>
      <c r="B651" s="45" t="s">
        <v>398</v>
      </c>
      <c r="C651" s="48">
        <v>25</v>
      </c>
      <c r="E651" s="121" t="s">
        <v>1165</v>
      </c>
      <c r="F651" s="120" t="s">
        <v>3215</v>
      </c>
    </row>
    <row r="652" spans="1:6" x14ac:dyDescent="0.2">
      <c r="A652" s="55">
        <v>30</v>
      </c>
      <c r="B652" s="45" t="s">
        <v>405</v>
      </c>
      <c r="C652" s="48">
        <v>25</v>
      </c>
      <c r="E652" s="121" t="s">
        <v>3199</v>
      </c>
      <c r="F652" s="120" t="s">
        <v>3215</v>
      </c>
    </row>
    <row r="653" spans="1:6" x14ac:dyDescent="0.2">
      <c r="A653" s="55">
        <v>30</v>
      </c>
      <c r="B653" s="45" t="s">
        <v>375</v>
      </c>
      <c r="C653" s="48">
        <v>18</v>
      </c>
      <c r="E653" s="121" t="s">
        <v>1530</v>
      </c>
      <c r="F653" s="120" t="s">
        <v>3248</v>
      </c>
    </row>
    <row r="654" spans="1:6" x14ac:dyDescent="0.2">
      <c r="A654" s="55">
        <v>30</v>
      </c>
      <c r="B654" s="45" t="s">
        <v>606</v>
      </c>
      <c r="C654" s="48">
        <v>15</v>
      </c>
      <c r="E654" s="121" t="s">
        <v>3203</v>
      </c>
      <c r="F654" s="120" t="s">
        <v>3266</v>
      </c>
    </row>
    <row r="655" spans="1:6" x14ac:dyDescent="0.2">
      <c r="A655" s="55">
        <v>30</v>
      </c>
      <c r="B655" s="45" t="s">
        <v>2573</v>
      </c>
      <c r="C655" s="48">
        <v>4</v>
      </c>
      <c r="E655" s="121" t="s">
        <v>2880</v>
      </c>
      <c r="F655" s="120" t="s">
        <v>3249</v>
      </c>
    </row>
    <row r="656" spans="1:6" x14ac:dyDescent="0.2">
      <c r="A656" s="55">
        <v>30</v>
      </c>
      <c r="B656" s="45" t="s">
        <v>350</v>
      </c>
      <c r="C656" s="48">
        <v>3</v>
      </c>
      <c r="E656" s="121" t="s">
        <v>1415</v>
      </c>
      <c r="F656" s="120" t="s">
        <v>3249</v>
      </c>
    </row>
    <row r="657" spans="1:6" x14ac:dyDescent="0.2">
      <c r="A657" s="55">
        <v>30</v>
      </c>
      <c r="B657" s="45" t="s">
        <v>408</v>
      </c>
      <c r="C657" s="48">
        <v>3</v>
      </c>
      <c r="E657" s="121" t="s">
        <v>3468</v>
      </c>
      <c r="F657" s="120" t="s">
        <v>3292</v>
      </c>
    </row>
    <row r="658" spans="1:6" x14ac:dyDescent="0.2">
      <c r="A658" s="55">
        <v>30</v>
      </c>
      <c r="B658" s="45" t="s">
        <v>2601</v>
      </c>
      <c r="C658" s="48">
        <v>3</v>
      </c>
      <c r="E658" s="121" t="s">
        <v>1406</v>
      </c>
      <c r="F658" s="120" t="s">
        <v>3248</v>
      </c>
    </row>
    <row r="659" spans="1:6" x14ac:dyDescent="0.2">
      <c r="A659" s="55">
        <v>30</v>
      </c>
      <c r="B659" s="45" t="s">
        <v>403</v>
      </c>
      <c r="C659" s="48">
        <v>2</v>
      </c>
      <c r="E659" s="121" t="s">
        <v>1408</v>
      </c>
      <c r="F659" s="120" t="s">
        <v>3248</v>
      </c>
    </row>
    <row r="660" spans="1:6" x14ac:dyDescent="0.2">
      <c r="A660" s="55">
        <v>30</v>
      </c>
      <c r="B660" s="45" t="s">
        <v>404</v>
      </c>
      <c r="C660" s="48">
        <v>2</v>
      </c>
      <c r="E660" s="121" t="s">
        <v>3463</v>
      </c>
      <c r="F660" s="120" t="s">
        <v>3258</v>
      </c>
    </row>
    <row r="661" spans="1:6" x14ac:dyDescent="0.2">
      <c r="A661" s="55">
        <v>30</v>
      </c>
      <c r="B661" s="45" t="s">
        <v>1286</v>
      </c>
      <c r="C661" s="48">
        <v>2</v>
      </c>
      <c r="E661" s="121" t="s">
        <v>2926</v>
      </c>
      <c r="F661" s="120" t="s">
        <v>3215</v>
      </c>
    </row>
    <row r="662" spans="1:6" x14ac:dyDescent="0.2">
      <c r="A662" s="55">
        <v>30</v>
      </c>
      <c r="B662" s="45" t="s">
        <v>354</v>
      </c>
      <c r="C662" s="48">
        <v>2</v>
      </c>
      <c r="E662" s="121" t="s">
        <v>3188</v>
      </c>
      <c r="F662" s="120" t="s">
        <v>3269</v>
      </c>
    </row>
    <row r="663" spans="1:6" x14ac:dyDescent="0.2">
      <c r="A663" s="55">
        <v>30</v>
      </c>
      <c r="B663" s="45" t="s">
        <v>411</v>
      </c>
      <c r="C663" s="48">
        <v>2</v>
      </c>
      <c r="E663" s="121" t="s">
        <v>3073</v>
      </c>
      <c r="F663" s="120" t="s">
        <v>3267</v>
      </c>
    </row>
    <row r="664" spans="1:6" x14ac:dyDescent="0.2">
      <c r="A664" s="55">
        <v>30</v>
      </c>
      <c r="B664" s="45" t="s">
        <v>2649</v>
      </c>
      <c r="C664" s="48">
        <v>1</v>
      </c>
      <c r="E664" s="121" t="s">
        <v>3052</v>
      </c>
      <c r="F664" s="120" t="s">
        <v>3250</v>
      </c>
    </row>
    <row r="665" spans="1:6" x14ac:dyDescent="0.2">
      <c r="A665" s="55">
        <v>30</v>
      </c>
      <c r="B665" s="45" t="s">
        <v>2574</v>
      </c>
      <c r="C665" s="48">
        <v>1</v>
      </c>
      <c r="E665" s="121" t="s">
        <v>1226</v>
      </c>
      <c r="F665" s="120" t="s">
        <v>1287</v>
      </c>
    </row>
    <row r="666" spans="1:6" x14ac:dyDescent="0.2">
      <c r="A666" s="55">
        <v>30</v>
      </c>
      <c r="B666" s="45" t="s">
        <v>2601</v>
      </c>
      <c r="C666" s="48">
        <v>1</v>
      </c>
      <c r="E666" s="121" t="s">
        <v>1406</v>
      </c>
      <c r="F666" s="120" t="s">
        <v>3248</v>
      </c>
    </row>
    <row r="667" spans="1:6" x14ac:dyDescent="0.2">
      <c r="A667" s="55">
        <v>30</v>
      </c>
      <c r="B667" s="45" t="s">
        <v>616</v>
      </c>
      <c r="C667" s="48">
        <v>0.5</v>
      </c>
      <c r="E667" s="121" t="s">
        <v>1202</v>
      </c>
      <c r="F667" s="120" t="s">
        <v>3258</v>
      </c>
    </row>
    <row r="668" spans="1:6" x14ac:dyDescent="0.2">
      <c r="A668" s="55">
        <v>30</v>
      </c>
      <c r="B668" s="45" t="s">
        <v>2570</v>
      </c>
      <c r="C668" s="48">
        <v>0.5</v>
      </c>
      <c r="E668" s="121" t="s">
        <v>548</v>
      </c>
      <c r="F668" s="120" t="s">
        <v>199</v>
      </c>
    </row>
    <row r="669" spans="1:6" x14ac:dyDescent="0.2">
      <c r="A669" s="55">
        <v>31</v>
      </c>
      <c r="B669" s="45" t="s">
        <v>413</v>
      </c>
      <c r="C669" s="48">
        <v>20</v>
      </c>
      <c r="E669" s="121" t="s">
        <v>3204</v>
      </c>
      <c r="F669" s="120" t="s">
        <v>3215</v>
      </c>
    </row>
    <row r="670" spans="1:6" x14ac:dyDescent="0.2">
      <c r="A670" s="55">
        <v>31</v>
      </c>
      <c r="B670" s="45" t="s">
        <v>2579</v>
      </c>
      <c r="C670" s="48">
        <v>15</v>
      </c>
      <c r="E670" s="121" t="s">
        <v>3516</v>
      </c>
      <c r="F670" s="120" t="s">
        <v>3232</v>
      </c>
    </row>
    <row r="671" spans="1:6" x14ac:dyDescent="0.2">
      <c r="A671" s="55">
        <v>31</v>
      </c>
      <c r="B671" s="45" t="s">
        <v>376</v>
      </c>
      <c r="C671" s="48">
        <v>12</v>
      </c>
      <c r="E671" s="121" t="s">
        <v>3462</v>
      </c>
      <c r="F671" s="120" t="s">
        <v>3227</v>
      </c>
    </row>
    <row r="672" spans="1:6" x14ac:dyDescent="0.2">
      <c r="A672" s="55">
        <v>31</v>
      </c>
      <c r="B672" s="45" t="s">
        <v>423</v>
      </c>
      <c r="C672" s="48">
        <v>12</v>
      </c>
      <c r="E672" s="121" t="s">
        <v>3494</v>
      </c>
      <c r="F672" s="120" t="s">
        <v>3310</v>
      </c>
    </row>
    <row r="673" spans="1:6" x14ac:dyDescent="0.2">
      <c r="A673" s="55">
        <v>31</v>
      </c>
      <c r="B673" s="45" t="s">
        <v>416</v>
      </c>
      <c r="C673" s="48">
        <v>10</v>
      </c>
      <c r="E673" s="121" t="s">
        <v>1409</v>
      </c>
      <c r="F673" s="120" t="s">
        <v>3292</v>
      </c>
    </row>
    <row r="674" spans="1:6" x14ac:dyDescent="0.2">
      <c r="A674" s="55">
        <v>31</v>
      </c>
      <c r="B674" s="45" t="s">
        <v>412</v>
      </c>
      <c r="C674" s="48">
        <v>8</v>
      </c>
      <c r="E674" s="121" t="s">
        <v>3487</v>
      </c>
      <c r="F674" s="120" t="s">
        <v>3310</v>
      </c>
    </row>
    <row r="675" spans="1:6" x14ac:dyDescent="0.2">
      <c r="A675" s="55">
        <v>31</v>
      </c>
      <c r="B675" s="45" t="s">
        <v>414</v>
      </c>
      <c r="C675" s="48">
        <v>8</v>
      </c>
      <c r="E675" s="121" t="s">
        <v>3472</v>
      </c>
      <c r="F675" s="120" t="s">
        <v>3258</v>
      </c>
    </row>
    <row r="676" spans="1:6" x14ac:dyDescent="0.2">
      <c r="A676" s="55">
        <v>31</v>
      </c>
      <c r="B676" s="45" t="s">
        <v>405</v>
      </c>
      <c r="C676" s="48">
        <v>6</v>
      </c>
      <c r="E676" s="121" t="s">
        <v>3199</v>
      </c>
      <c r="F676" s="120" t="s">
        <v>3215</v>
      </c>
    </row>
    <row r="677" spans="1:6" x14ac:dyDescent="0.2">
      <c r="A677" s="55">
        <v>31</v>
      </c>
      <c r="B677" s="45" t="s">
        <v>606</v>
      </c>
      <c r="C677" s="48">
        <v>4</v>
      </c>
      <c r="E677" s="121" t="s">
        <v>3203</v>
      </c>
      <c r="F677" s="120" t="s">
        <v>3266</v>
      </c>
    </row>
    <row r="678" spans="1:6" x14ac:dyDescent="0.2">
      <c r="A678" s="55">
        <v>31</v>
      </c>
      <c r="B678" s="45" t="s">
        <v>387</v>
      </c>
      <c r="C678" s="48">
        <v>4</v>
      </c>
      <c r="E678" s="121" t="s">
        <v>1504</v>
      </c>
      <c r="F678" s="120" t="s">
        <v>198</v>
      </c>
    </row>
    <row r="679" spans="1:6" x14ac:dyDescent="0.2">
      <c r="A679" s="55">
        <v>31</v>
      </c>
      <c r="B679" s="45" t="s">
        <v>354</v>
      </c>
      <c r="C679" s="48">
        <v>4</v>
      </c>
      <c r="E679" s="121" t="s">
        <v>3188</v>
      </c>
      <c r="F679" s="120" t="s">
        <v>3269</v>
      </c>
    </row>
    <row r="680" spans="1:6" x14ac:dyDescent="0.2">
      <c r="A680" s="55">
        <v>31</v>
      </c>
      <c r="B680" s="45" t="s">
        <v>432</v>
      </c>
      <c r="C680" s="48">
        <v>4</v>
      </c>
      <c r="E680" s="121" t="s">
        <v>3186</v>
      </c>
      <c r="F680" s="120" t="s">
        <v>3284</v>
      </c>
    </row>
    <row r="681" spans="1:6" x14ac:dyDescent="0.2">
      <c r="A681" s="55">
        <v>31</v>
      </c>
      <c r="B681" s="45" t="s">
        <v>395</v>
      </c>
      <c r="C681" s="48">
        <v>3</v>
      </c>
      <c r="E681" s="121" t="s">
        <v>3202</v>
      </c>
      <c r="F681" s="120" t="s">
        <v>3248</v>
      </c>
    </row>
    <row r="682" spans="1:6" x14ac:dyDescent="0.2">
      <c r="A682" s="55">
        <v>31</v>
      </c>
      <c r="B682" s="45" t="s">
        <v>350</v>
      </c>
      <c r="C682" s="48">
        <v>2</v>
      </c>
      <c r="E682" s="121" t="s">
        <v>1415</v>
      </c>
      <c r="F682" s="120" t="s">
        <v>3249</v>
      </c>
    </row>
    <row r="683" spans="1:6" x14ac:dyDescent="0.2">
      <c r="A683" s="55">
        <v>31</v>
      </c>
      <c r="B683" s="45" t="s">
        <v>602</v>
      </c>
      <c r="C683" s="48">
        <v>2</v>
      </c>
      <c r="E683" s="121" t="s">
        <v>2898</v>
      </c>
      <c r="F683" s="120" t="s">
        <v>3249</v>
      </c>
    </row>
    <row r="684" spans="1:6" x14ac:dyDescent="0.2">
      <c r="A684" s="55">
        <v>31</v>
      </c>
      <c r="B684" s="45" t="s">
        <v>409</v>
      </c>
      <c r="C684" s="48">
        <v>2</v>
      </c>
      <c r="E684" s="121" t="s">
        <v>3206</v>
      </c>
      <c r="F684" s="120" t="s">
        <v>3215</v>
      </c>
    </row>
    <row r="685" spans="1:6" x14ac:dyDescent="0.2">
      <c r="A685" s="55">
        <v>31</v>
      </c>
      <c r="B685" s="45" t="s">
        <v>415</v>
      </c>
      <c r="C685" s="48">
        <v>2</v>
      </c>
      <c r="E685" s="121" t="s">
        <v>1144</v>
      </c>
      <c r="F685" s="120" t="s">
        <v>3249</v>
      </c>
    </row>
    <row r="686" spans="1:6" x14ac:dyDescent="0.2">
      <c r="A686" s="55">
        <v>31</v>
      </c>
      <c r="B686" s="45" t="s">
        <v>391</v>
      </c>
      <c r="C686" s="48">
        <v>2</v>
      </c>
      <c r="E686" s="121" t="s">
        <v>535</v>
      </c>
      <c r="F686" s="120" t="s">
        <v>3284</v>
      </c>
    </row>
    <row r="687" spans="1:6" x14ac:dyDescent="0.2">
      <c r="A687" s="55">
        <v>31</v>
      </c>
      <c r="B687" s="45" t="s">
        <v>349</v>
      </c>
      <c r="C687" s="48">
        <v>1</v>
      </c>
      <c r="E687" s="121" t="s">
        <v>1200</v>
      </c>
      <c r="F687" s="120" t="s">
        <v>3292</v>
      </c>
    </row>
    <row r="688" spans="1:6" x14ac:dyDescent="0.2">
      <c r="A688" s="55">
        <v>31</v>
      </c>
      <c r="B688" s="45" t="s">
        <v>450</v>
      </c>
      <c r="C688" s="48">
        <v>1</v>
      </c>
      <c r="E688" s="121" t="s">
        <v>3089</v>
      </c>
      <c r="F688" s="120" t="s">
        <v>3248</v>
      </c>
    </row>
    <row r="689" spans="1:6" x14ac:dyDescent="0.2">
      <c r="A689" s="55">
        <v>31</v>
      </c>
      <c r="B689" s="45" t="s">
        <v>2573</v>
      </c>
      <c r="C689" s="48">
        <v>0.5</v>
      </c>
      <c r="E689" s="121" t="s">
        <v>2880</v>
      </c>
      <c r="F689" s="120" t="s">
        <v>3249</v>
      </c>
    </row>
    <row r="690" spans="1:6" x14ac:dyDescent="0.2">
      <c r="A690" s="55">
        <v>31</v>
      </c>
      <c r="B690" s="45" t="s">
        <v>433</v>
      </c>
      <c r="C690" s="48">
        <v>0.5</v>
      </c>
      <c r="E690" s="121" t="s">
        <v>1239</v>
      </c>
      <c r="F690" s="120" t="s">
        <v>3299</v>
      </c>
    </row>
    <row r="691" spans="1:6" x14ac:dyDescent="0.2">
      <c r="A691" s="55">
        <v>31</v>
      </c>
      <c r="B691" s="45" t="s">
        <v>605</v>
      </c>
      <c r="C691" s="48">
        <v>0.5</v>
      </c>
      <c r="E691" s="121" t="s">
        <v>3191</v>
      </c>
      <c r="F691" s="120" t="s">
        <v>3241</v>
      </c>
    </row>
    <row r="692" spans="1:6" x14ac:dyDescent="0.2">
      <c r="A692" s="55">
        <v>31</v>
      </c>
      <c r="B692" s="45" t="s">
        <v>341</v>
      </c>
      <c r="C692" s="48">
        <v>0.5</v>
      </c>
      <c r="E692" s="121" t="s">
        <v>3062</v>
      </c>
      <c r="F692" s="120" t="s">
        <v>3266</v>
      </c>
    </row>
    <row r="693" spans="1:6" x14ac:dyDescent="0.2">
      <c r="A693" s="55">
        <v>31</v>
      </c>
      <c r="B693" s="45" t="s">
        <v>375</v>
      </c>
      <c r="C693" s="48">
        <v>0.5</v>
      </c>
      <c r="E693" s="121" t="s">
        <v>1530</v>
      </c>
      <c r="F693" s="120" t="s">
        <v>3248</v>
      </c>
    </row>
    <row r="694" spans="1:6" x14ac:dyDescent="0.2">
      <c r="A694" s="55">
        <v>32</v>
      </c>
      <c r="B694" s="45" t="s">
        <v>2567</v>
      </c>
      <c r="C694" s="48">
        <v>60</v>
      </c>
      <c r="E694" s="121" t="s">
        <v>3076</v>
      </c>
      <c r="F694" s="120" t="s">
        <v>3258</v>
      </c>
    </row>
    <row r="695" spans="1:6" x14ac:dyDescent="0.2">
      <c r="A695" s="55">
        <v>32</v>
      </c>
      <c r="B695" s="45" t="s">
        <v>417</v>
      </c>
      <c r="C695" s="48">
        <v>15</v>
      </c>
      <c r="E695" s="121" t="s">
        <v>3055</v>
      </c>
      <c r="F695" s="120" t="s">
        <v>3263</v>
      </c>
    </row>
    <row r="696" spans="1:6" x14ac:dyDescent="0.2">
      <c r="A696" s="55">
        <v>32</v>
      </c>
      <c r="B696" s="45" t="s">
        <v>418</v>
      </c>
      <c r="C696" s="48">
        <v>5</v>
      </c>
      <c r="E696" s="121" t="s">
        <v>3180</v>
      </c>
      <c r="F696" s="120" t="s">
        <v>3286</v>
      </c>
    </row>
    <row r="697" spans="1:6" x14ac:dyDescent="0.2">
      <c r="A697" s="55">
        <v>32</v>
      </c>
      <c r="B697" s="45" t="s">
        <v>2580</v>
      </c>
      <c r="C697" s="48">
        <v>4</v>
      </c>
      <c r="E697" s="121" t="s">
        <v>2897</v>
      </c>
      <c r="F697" s="120" t="s">
        <v>3257</v>
      </c>
    </row>
    <row r="698" spans="1:6" x14ac:dyDescent="0.2">
      <c r="A698" s="55">
        <v>32</v>
      </c>
      <c r="B698" s="45" t="s">
        <v>421</v>
      </c>
      <c r="C698" s="48">
        <v>4</v>
      </c>
      <c r="E698" s="121" t="s">
        <v>3057</v>
      </c>
      <c r="F698" s="120" t="s">
        <v>3257</v>
      </c>
    </row>
    <row r="699" spans="1:6" x14ac:dyDescent="0.2">
      <c r="A699" s="55">
        <v>32</v>
      </c>
      <c r="B699" s="45" t="s">
        <v>420</v>
      </c>
      <c r="C699" s="48">
        <v>2</v>
      </c>
      <c r="E699" s="121" t="s">
        <v>552</v>
      </c>
      <c r="F699" s="120" t="s">
        <v>199</v>
      </c>
    </row>
    <row r="700" spans="1:6" x14ac:dyDescent="0.2">
      <c r="A700" s="55">
        <v>32</v>
      </c>
      <c r="B700" s="45" t="s">
        <v>419</v>
      </c>
      <c r="C700" s="48">
        <v>2</v>
      </c>
      <c r="E700" s="121" t="s">
        <v>542</v>
      </c>
      <c r="F700" s="120" t="s">
        <v>199</v>
      </c>
    </row>
    <row r="701" spans="1:6" x14ac:dyDescent="0.2">
      <c r="A701" s="55">
        <v>32</v>
      </c>
      <c r="B701" s="45" t="s">
        <v>328</v>
      </c>
      <c r="C701" s="48">
        <v>2</v>
      </c>
      <c r="E701" s="121" t="s">
        <v>2873</v>
      </c>
      <c r="F701" s="120" t="s">
        <v>3243</v>
      </c>
    </row>
    <row r="702" spans="1:6" x14ac:dyDescent="0.2">
      <c r="A702" s="55">
        <v>32</v>
      </c>
      <c r="B702" s="45" t="s">
        <v>2650</v>
      </c>
      <c r="C702" s="48">
        <v>0.5</v>
      </c>
      <c r="E702" s="121" t="s">
        <v>1198</v>
      </c>
      <c r="F702" s="120" t="s">
        <v>199</v>
      </c>
    </row>
    <row r="703" spans="1:6" x14ac:dyDescent="0.2">
      <c r="A703" s="55">
        <v>33</v>
      </c>
      <c r="B703" s="45" t="s">
        <v>606</v>
      </c>
      <c r="C703" s="48">
        <v>15</v>
      </c>
      <c r="E703" s="121" t="s">
        <v>3203</v>
      </c>
      <c r="F703" s="120" t="s">
        <v>3266</v>
      </c>
    </row>
    <row r="704" spans="1:6" x14ac:dyDescent="0.2">
      <c r="A704" s="55">
        <v>33</v>
      </c>
      <c r="B704" s="45" t="s">
        <v>412</v>
      </c>
      <c r="C704" s="48">
        <v>14</v>
      </c>
      <c r="E704" s="121" t="s">
        <v>3487</v>
      </c>
      <c r="F704" s="120" t="s">
        <v>3310</v>
      </c>
    </row>
    <row r="705" spans="1:6" x14ac:dyDescent="0.2">
      <c r="A705" s="55">
        <v>33</v>
      </c>
      <c r="B705" s="45" t="s">
        <v>437</v>
      </c>
      <c r="C705" s="48">
        <v>12</v>
      </c>
      <c r="E705" s="121" t="s">
        <v>3385</v>
      </c>
      <c r="F705" s="120" t="s">
        <v>3285</v>
      </c>
    </row>
    <row r="706" spans="1:6" x14ac:dyDescent="0.2">
      <c r="A706" s="55">
        <v>33</v>
      </c>
      <c r="B706" s="45" t="s">
        <v>2651</v>
      </c>
      <c r="C706" s="48">
        <v>10</v>
      </c>
      <c r="E706" s="121" t="s">
        <v>1152</v>
      </c>
      <c r="F706" s="120" t="s">
        <v>3248</v>
      </c>
    </row>
    <row r="707" spans="1:6" x14ac:dyDescent="0.2">
      <c r="A707" s="55">
        <v>33</v>
      </c>
      <c r="B707" s="45" t="s">
        <v>404</v>
      </c>
      <c r="C707" s="48">
        <v>8</v>
      </c>
      <c r="E707" s="121" t="s">
        <v>3463</v>
      </c>
      <c r="F707" s="120" t="s">
        <v>3258</v>
      </c>
    </row>
    <row r="708" spans="1:6" x14ac:dyDescent="0.2">
      <c r="A708" s="55">
        <v>33</v>
      </c>
      <c r="B708" s="45" t="s">
        <v>597</v>
      </c>
      <c r="C708" s="48">
        <v>8</v>
      </c>
      <c r="E708" s="121" t="s">
        <v>3060</v>
      </c>
      <c r="F708" s="120" t="s">
        <v>3248</v>
      </c>
    </row>
    <row r="709" spans="1:6" x14ac:dyDescent="0.2">
      <c r="A709" s="55">
        <v>33</v>
      </c>
      <c r="B709" s="45" t="s">
        <v>398</v>
      </c>
      <c r="C709" s="48">
        <v>6</v>
      </c>
      <c r="E709" s="121" t="s">
        <v>1165</v>
      </c>
      <c r="F709" s="120" t="s">
        <v>3215</v>
      </c>
    </row>
    <row r="710" spans="1:6" x14ac:dyDescent="0.2">
      <c r="A710" s="55">
        <v>33</v>
      </c>
      <c r="B710" s="45" t="s">
        <v>2579</v>
      </c>
      <c r="C710" s="48">
        <v>6</v>
      </c>
      <c r="E710" s="121" t="s">
        <v>3516</v>
      </c>
      <c r="F710" s="120" t="s">
        <v>3232</v>
      </c>
    </row>
    <row r="711" spans="1:6" x14ac:dyDescent="0.2">
      <c r="A711" s="55">
        <v>33</v>
      </c>
      <c r="B711" s="45" t="s">
        <v>2602</v>
      </c>
      <c r="C711" s="48">
        <v>6</v>
      </c>
      <c r="E711" s="121" t="s">
        <v>3382</v>
      </c>
      <c r="F711" s="120" t="s">
        <v>3248</v>
      </c>
    </row>
    <row r="712" spans="1:6" x14ac:dyDescent="0.2">
      <c r="A712" s="55">
        <v>33</v>
      </c>
      <c r="B712" s="45" t="s">
        <v>441</v>
      </c>
      <c r="C712" s="48">
        <v>5</v>
      </c>
      <c r="E712" s="121" t="s">
        <v>3469</v>
      </c>
      <c r="F712" s="120" t="s">
        <v>3258</v>
      </c>
    </row>
    <row r="713" spans="1:6" x14ac:dyDescent="0.2">
      <c r="A713" s="55">
        <v>33</v>
      </c>
      <c r="B713" s="45" t="s">
        <v>2656</v>
      </c>
      <c r="C713" s="48">
        <v>4</v>
      </c>
      <c r="E713" s="121" t="s">
        <v>3195</v>
      </c>
      <c r="F713" s="120" t="s">
        <v>3248</v>
      </c>
    </row>
    <row r="714" spans="1:6" x14ac:dyDescent="0.2">
      <c r="A714" s="55">
        <v>33</v>
      </c>
      <c r="B714" s="45" t="s">
        <v>424</v>
      </c>
      <c r="C714" s="48">
        <v>4</v>
      </c>
      <c r="E714" s="121" t="s">
        <v>1405</v>
      </c>
      <c r="F714" s="120" t="s">
        <v>3215</v>
      </c>
    </row>
    <row r="715" spans="1:6" x14ac:dyDescent="0.2">
      <c r="A715" s="55">
        <v>33</v>
      </c>
      <c r="B715" s="45" t="s">
        <v>354</v>
      </c>
      <c r="C715" s="48">
        <v>4</v>
      </c>
      <c r="E715" s="121" t="s">
        <v>3188</v>
      </c>
      <c r="F715" s="120" t="s">
        <v>3269</v>
      </c>
    </row>
    <row r="716" spans="1:6" x14ac:dyDescent="0.2">
      <c r="A716" s="55">
        <v>33</v>
      </c>
      <c r="B716" s="45" t="s">
        <v>375</v>
      </c>
      <c r="C716" s="48">
        <v>4</v>
      </c>
      <c r="E716" s="121" t="s">
        <v>1530</v>
      </c>
      <c r="F716" s="120" t="s">
        <v>3248</v>
      </c>
    </row>
    <row r="717" spans="1:6" x14ac:dyDescent="0.2">
      <c r="A717" s="55">
        <v>33</v>
      </c>
      <c r="B717" s="45" t="s">
        <v>2601</v>
      </c>
      <c r="C717" s="48">
        <v>4</v>
      </c>
      <c r="E717" s="121" t="s">
        <v>1406</v>
      </c>
      <c r="F717" s="120" t="s">
        <v>3248</v>
      </c>
    </row>
    <row r="718" spans="1:6" x14ac:dyDescent="0.2">
      <c r="A718" s="55">
        <v>33</v>
      </c>
      <c r="B718" s="45" t="s">
        <v>2570</v>
      </c>
      <c r="C718" s="48">
        <v>3</v>
      </c>
      <c r="E718" s="121" t="s">
        <v>548</v>
      </c>
      <c r="F718" s="120" t="s">
        <v>199</v>
      </c>
    </row>
    <row r="719" spans="1:6" x14ac:dyDescent="0.2">
      <c r="A719" s="55">
        <v>33</v>
      </c>
      <c r="B719" s="45" t="s">
        <v>431</v>
      </c>
      <c r="C719" s="48">
        <v>3</v>
      </c>
      <c r="E719" s="121" t="s">
        <v>1210</v>
      </c>
      <c r="F719" s="120" t="s">
        <v>1287</v>
      </c>
    </row>
    <row r="720" spans="1:6" x14ac:dyDescent="0.2">
      <c r="A720" s="55">
        <v>33</v>
      </c>
      <c r="B720" s="45" t="s">
        <v>602</v>
      </c>
      <c r="C720" s="48">
        <v>2</v>
      </c>
      <c r="E720" s="121" t="s">
        <v>2898</v>
      </c>
      <c r="F720" s="120" t="s">
        <v>3249</v>
      </c>
    </row>
    <row r="721" spans="1:6" x14ac:dyDescent="0.2">
      <c r="A721" s="55">
        <v>33</v>
      </c>
      <c r="B721" s="45" t="s">
        <v>347</v>
      </c>
      <c r="C721" s="48">
        <v>2</v>
      </c>
      <c r="E721" s="121" t="s">
        <v>3492</v>
      </c>
      <c r="F721" s="120" t="s">
        <v>3312</v>
      </c>
    </row>
    <row r="722" spans="1:6" x14ac:dyDescent="0.2">
      <c r="A722" s="55">
        <v>33</v>
      </c>
      <c r="B722" s="45" t="s">
        <v>2652</v>
      </c>
      <c r="C722" s="48">
        <v>2</v>
      </c>
      <c r="E722" s="121" t="s">
        <v>3464</v>
      </c>
      <c r="F722" s="120" t="s">
        <v>3258</v>
      </c>
    </row>
    <row r="723" spans="1:6" x14ac:dyDescent="0.2">
      <c r="A723" s="55">
        <v>33</v>
      </c>
      <c r="B723" s="45" t="s">
        <v>408</v>
      </c>
      <c r="C723" s="48">
        <v>2</v>
      </c>
      <c r="E723" s="121" t="s">
        <v>3468</v>
      </c>
      <c r="F723" s="120" t="s">
        <v>3292</v>
      </c>
    </row>
    <row r="724" spans="1:6" x14ac:dyDescent="0.2">
      <c r="A724" s="55">
        <v>33</v>
      </c>
      <c r="B724" s="45" t="s">
        <v>357</v>
      </c>
      <c r="C724" s="48">
        <v>2</v>
      </c>
      <c r="E724" s="121" t="s">
        <v>3063</v>
      </c>
      <c r="F724" s="120" t="s">
        <v>3262</v>
      </c>
    </row>
    <row r="725" spans="1:6" x14ac:dyDescent="0.2">
      <c r="A725" s="55">
        <v>33</v>
      </c>
      <c r="B725" s="45" t="s">
        <v>348</v>
      </c>
      <c r="C725" s="48">
        <v>2</v>
      </c>
      <c r="E725" s="121" t="s">
        <v>3433</v>
      </c>
      <c r="F725" s="120" t="s">
        <v>3285</v>
      </c>
    </row>
    <row r="726" spans="1:6" x14ac:dyDescent="0.2">
      <c r="A726" s="55">
        <v>33</v>
      </c>
      <c r="B726" s="45" t="s">
        <v>423</v>
      </c>
      <c r="C726" s="48">
        <v>2</v>
      </c>
      <c r="E726" s="121" t="s">
        <v>3494</v>
      </c>
      <c r="F726" s="120" t="s">
        <v>3310</v>
      </c>
    </row>
    <row r="727" spans="1:6" x14ac:dyDescent="0.2">
      <c r="A727" s="55">
        <v>33</v>
      </c>
      <c r="B727" s="45" t="s">
        <v>422</v>
      </c>
      <c r="C727" s="48">
        <v>2</v>
      </c>
      <c r="E727" s="121" t="s">
        <v>3185</v>
      </c>
      <c r="F727" s="120" t="s">
        <v>3285</v>
      </c>
    </row>
    <row r="728" spans="1:6" x14ac:dyDescent="0.2">
      <c r="A728" s="55">
        <v>33</v>
      </c>
      <c r="B728" s="45" t="s">
        <v>613</v>
      </c>
      <c r="C728" s="48">
        <v>1</v>
      </c>
      <c r="E728" s="121" t="s">
        <v>3479</v>
      </c>
      <c r="F728" s="120" t="s">
        <v>3309</v>
      </c>
    </row>
    <row r="729" spans="1:6" x14ac:dyDescent="0.2">
      <c r="A729" s="55">
        <v>33</v>
      </c>
      <c r="B729" s="45" t="s">
        <v>386</v>
      </c>
      <c r="C729" s="48">
        <v>1</v>
      </c>
      <c r="E729" s="121" t="s">
        <v>3498</v>
      </c>
      <c r="F729" s="120" t="s">
        <v>3215</v>
      </c>
    </row>
    <row r="730" spans="1:6" x14ac:dyDescent="0.2">
      <c r="A730" s="55">
        <v>33</v>
      </c>
      <c r="B730" s="45" t="s">
        <v>477</v>
      </c>
      <c r="C730" s="48">
        <v>0.5</v>
      </c>
      <c r="E730" s="121" t="s">
        <v>544</v>
      </c>
      <c r="F730" s="120" t="s">
        <v>1873</v>
      </c>
    </row>
    <row r="731" spans="1:6" x14ac:dyDescent="0.2">
      <c r="A731" s="55">
        <v>33</v>
      </c>
      <c r="B731" s="45" t="s">
        <v>2600</v>
      </c>
      <c r="C731" s="48">
        <v>0.5</v>
      </c>
      <c r="E731" s="121" t="s">
        <v>3163</v>
      </c>
      <c r="F731" s="120" t="s">
        <v>3219</v>
      </c>
    </row>
    <row r="732" spans="1:6" x14ac:dyDescent="0.2">
      <c r="A732" s="55">
        <v>33</v>
      </c>
      <c r="B732" s="45" t="s">
        <v>426</v>
      </c>
      <c r="C732" s="48">
        <v>0.5</v>
      </c>
      <c r="E732" s="121" t="s">
        <v>3486</v>
      </c>
      <c r="F732" s="120" t="s">
        <v>3312</v>
      </c>
    </row>
    <row r="733" spans="1:6" x14ac:dyDescent="0.2">
      <c r="A733" s="55">
        <v>33</v>
      </c>
      <c r="B733" s="45" t="s">
        <v>402</v>
      </c>
      <c r="C733" s="48">
        <v>0.5</v>
      </c>
      <c r="E733" s="121" t="s">
        <v>3171</v>
      </c>
      <c r="F733" s="120" t="s">
        <v>3284</v>
      </c>
    </row>
    <row r="734" spans="1:6" x14ac:dyDescent="0.2">
      <c r="A734" s="55">
        <v>33</v>
      </c>
      <c r="B734" s="45" t="s">
        <v>391</v>
      </c>
      <c r="C734" s="48">
        <v>0.5</v>
      </c>
      <c r="E734" s="121" t="s">
        <v>535</v>
      </c>
      <c r="F734" s="120" t="s">
        <v>3284</v>
      </c>
    </row>
    <row r="735" spans="1:6" x14ac:dyDescent="0.2">
      <c r="A735" s="55">
        <v>33</v>
      </c>
      <c r="B735" s="45" t="s">
        <v>2649</v>
      </c>
      <c r="C735" s="48">
        <v>0.5</v>
      </c>
      <c r="E735" s="121" t="s">
        <v>3052</v>
      </c>
      <c r="F735" s="120" t="s">
        <v>3250</v>
      </c>
    </row>
    <row r="736" spans="1:6" x14ac:dyDescent="0.2">
      <c r="A736" s="55">
        <v>33</v>
      </c>
      <c r="B736" s="45" t="s">
        <v>427</v>
      </c>
      <c r="C736" s="48">
        <v>0.5</v>
      </c>
      <c r="E736" s="121" t="s">
        <v>2859</v>
      </c>
      <c r="F736" s="120" t="s">
        <v>3232</v>
      </c>
    </row>
    <row r="737" spans="1:6" x14ac:dyDescent="0.2">
      <c r="A737" s="55">
        <v>33</v>
      </c>
      <c r="B737" s="45" t="s">
        <v>425</v>
      </c>
      <c r="C737" s="48">
        <v>0.5</v>
      </c>
      <c r="E737" s="121" t="s">
        <v>1168</v>
      </c>
      <c r="F737" s="120" t="s">
        <v>3215</v>
      </c>
    </row>
    <row r="738" spans="1:6" x14ac:dyDescent="0.2">
      <c r="A738" s="55">
        <v>33</v>
      </c>
      <c r="B738" s="45" t="s">
        <v>429</v>
      </c>
      <c r="C738" s="48">
        <v>0.5</v>
      </c>
      <c r="E738" s="121" t="s">
        <v>1175</v>
      </c>
      <c r="F738" s="120" t="s">
        <v>3232</v>
      </c>
    </row>
    <row r="739" spans="1:6" x14ac:dyDescent="0.2">
      <c r="A739" s="55">
        <v>33</v>
      </c>
      <c r="B739" s="45" t="s">
        <v>428</v>
      </c>
      <c r="C739" s="48">
        <v>0.5</v>
      </c>
      <c r="E739" s="121" t="s">
        <v>3470</v>
      </c>
      <c r="F739" s="120" t="s">
        <v>3292</v>
      </c>
    </row>
    <row r="740" spans="1:6" x14ac:dyDescent="0.2">
      <c r="A740" s="55">
        <v>33</v>
      </c>
      <c r="B740" s="45" t="s">
        <v>2568</v>
      </c>
      <c r="C740" s="48">
        <v>0.5</v>
      </c>
      <c r="E740" s="121" t="s">
        <v>3437</v>
      </c>
      <c r="F740" s="120" t="s">
        <v>3284</v>
      </c>
    </row>
    <row r="741" spans="1:6" x14ac:dyDescent="0.2">
      <c r="A741" s="55">
        <v>34</v>
      </c>
      <c r="B741" s="45" t="s">
        <v>412</v>
      </c>
      <c r="C741" s="48">
        <v>15</v>
      </c>
      <c r="E741" s="121" t="s">
        <v>3487</v>
      </c>
      <c r="F741" s="120" t="s">
        <v>3310</v>
      </c>
    </row>
    <row r="742" spans="1:6" x14ac:dyDescent="0.2">
      <c r="A742" s="55">
        <v>34</v>
      </c>
      <c r="B742" s="45" t="s">
        <v>413</v>
      </c>
      <c r="C742" s="48">
        <v>14</v>
      </c>
      <c r="E742" s="121" t="s">
        <v>3204</v>
      </c>
      <c r="F742" s="120" t="s">
        <v>3215</v>
      </c>
    </row>
    <row r="743" spans="1:6" x14ac:dyDescent="0.2">
      <c r="A743" s="55">
        <v>34</v>
      </c>
      <c r="B743" s="45" t="s">
        <v>437</v>
      </c>
      <c r="C743" s="48">
        <v>10</v>
      </c>
      <c r="E743" s="121" t="s">
        <v>3385</v>
      </c>
      <c r="F743" s="120" t="s">
        <v>3285</v>
      </c>
    </row>
    <row r="744" spans="1:6" x14ac:dyDescent="0.2">
      <c r="A744" s="55">
        <v>34</v>
      </c>
      <c r="B744" s="45" t="s">
        <v>404</v>
      </c>
      <c r="C744" s="48">
        <v>8</v>
      </c>
      <c r="E744" s="121" t="s">
        <v>3463</v>
      </c>
      <c r="F744" s="120" t="s">
        <v>3258</v>
      </c>
    </row>
    <row r="745" spans="1:6" x14ac:dyDescent="0.2">
      <c r="A745" s="55">
        <v>34</v>
      </c>
      <c r="B745" s="45" t="s">
        <v>2652</v>
      </c>
      <c r="C745" s="48">
        <v>8</v>
      </c>
      <c r="E745" s="121" t="s">
        <v>3464</v>
      </c>
      <c r="F745" s="120" t="s">
        <v>3258</v>
      </c>
    </row>
    <row r="746" spans="1:6" x14ac:dyDescent="0.2">
      <c r="A746" s="55">
        <v>34</v>
      </c>
      <c r="B746" s="45" t="s">
        <v>597</v>
      </c>
      <c r="C746" s="48">
        <v>8</v>
      </c>
      <c r="E746" s="121" t="s">
        <v>3060</v>
      </c>
      <c r="F746" s="120" t="s">
        <v>3248</v>
      </c>
    </row>
    <row r="747" spans="1:6" x14ac:dyDescent="0.2">
      <c r="A747" s="55">
        <v>34</v>
      </c>
      <c r="B747" s="45" t="s">
        <v>399</v>
      </c>
      <c r="C747" s="48">
        <v>6</v>
      </c>
      <c r="E747" s="121" t="s">
        <v>1155</v>
      </c>
      <c r="F747" s="120" t="s">
        <v>3248</v>
      </c>
    </row>
    <row r="748" spans="1:6" x14ac:dyDescent="0.2">
      <c r="A748" s="55">
        <v>34</v>
      </c>
      <c r="B748" s="45" t="s">
        <v>407</v>
      </c>
      <c r="C748" s="48">
        <v>6</v>
      </c>
      <c r="E748" s="121" t="s">
        <v>1145</v>
      </c>
      <c r="F748" s="120" t="s">
        <v>3248</v>
      </c>
    </row>
    <row r="749" spans="1:6" x14ac:dyDescent="0.2">
      <c r="A749" s="55">
        <v>34</v>
      </c>
      <c r="B749" s="45" t="s">
        <v>430</v>
      </c>
      <c r="C749" s="48">
        <v>3</v>
      </c>
      <c r="E749" s="121" t="s">
        <v>1237</v>
      </c>
      <c r="F749" s="120" t="s">
        <v>3230</v>
      </c>
    </row>
    <row r="750" spans="1:6" x14ac:dyDescent="0.2">
      <c r="A750" s="55">
        <v>34</v>
      </c>
      <c r="B750" s="45" t="s">
        <v>2649</v>
      </c>
      <c r="C750" s="48">
        <v>3</v>
      </c>
      <c r="E750" s="121" t="s">
        <v>3052</v>
      </c>
      <c r="F750" s="120" t="s">
        <v>3250</v>
      </c>
    </row>
    <row r="751" spans="1:6" x14ac:dyDescent="0.2">
      <c r="A751" s="55">
        <v>34</v>
      </c>
      <c r="B751" s="45" t="s">
        <v>408</v>
      </c>
      <c r="C751" s="48">
        <v>3</v>
      </c>
      <c r="E751" s="121" t="s">
        <v>3468</v>
      </c>
      <c r="F751" s="120" t="s">
        <v>3292</v>
      </c>
    </row>
    <row r="752" spans="1:6" x14ac:dyDescent="0.2">
      <c r="A752" s="55">
        <v>34</v>
      </c>
      <c r="B752" s="45" t="s">
        <v>423</v>
      </c>
      <c r="C752" s="48">
        <v>3</v>
      </c>
      <c r="E752" s="121" t="s">
        <v>3494</v>
      </c>
      <c r="F752" s="120" t="s">
        <v>3310</v>
      </c>
    </row>
    <row r="753" spans="1:6" x14ac:dyDescent="0.2">
      <c r="A753" s="55">
        <v>34</v>
      </c>
      <c r="B753" s="45" t="s">
        <v>431</v>
      </c>
      <c r="C753" s="48">
        <v>3</v>
      </c>
      <c r="E753" s="121" t="s">
        <v>1210</v>
      </c>
      <c r="F753" s="120" t="s">
        <v>1287</v>
      </c>
    </row>
    <row r="754" spans="1:6" x14ac:dyDescent="0.2">
      <c r="A754" s="55">
        <v>34</v>
      </c>
      <c r="B754" s="45" t="s">
        <v>371</v>
      </c>
      <c r="C754" s="48">
        <v>2</v>
      </c>
      <c r="E754" s="121" t="s">
        <v>1425</v>
      </c>
      <c r="F754" s="120" t="s">
        <v>3248</v>
      </c>
    </row>
    <row r="755" spans="1:6" x14ac:dyDescent="0.2">
      <c r="A755" s="55">
        <v>34</v>
      </c>
      <c r="B755" s="45" t="s">
        <v>390</v>
      </c>
      <c r="C755" s="48">
        <v>2</v>
      </c>
      <c r="E755" s="121" t="s">
        <v>1191</v>
      </c>
      <c r="F755" s="120" t="s">
        <v>3231</v>
      </c>
    </row>
    <row r="756" spans="1:6" x14ac:dyDescent="0.2">
      <c r="A756" s="55">
        <v>34</v>
      </c>
      <c r="B756" s="45" t="s">
        <v>409</v>
      </c>
      <c r="C756" s="48">
        <v>2</v>
      </c>
      <c r="E756" s="121" t="s">
        <v>3206</v>
      </c>
      <c r="F756" s="120" t="s">
        <v>3215</v>
      </c>
    </row>
    <row r="757" spans="1:6" x14ac:dyDescent="0.2">
      <c r="A757" s="55">
        <v>34</v>
      </c>
      <c r="B757" s="45" t="s">
        <v>427</v>
      </c>
      <c r="C757" s="48">
        <v>2</v>
      </c>
      <c r="E757" s="121" t="s">
        <v>2859</v>
      </c>
      <c r="F757" s="120" t="s">
        <v>3232</v>
      </c>
    </row>
    <row r="758" spans="1:6" x14ac:dyDescent="0.2">
      <c r="A758" s="55">
        <v>34</v>
      </c>
      <c r="B758" s="45" t="s">
        <v>425</v>
      </c>
      <c r="C758" s="48">
        <v>2</v>
      </c>
      <c r="E758" s="121" t="s">
        <v>1168</v>
      </c>
      <c r="F758" s="120" t="s">
        <v>3215</v>
      </c>
    </row>
    <row r="759" spans="1:6" x14ac:dyDescent="0.2">
      <c r="A759" s="55">
        <v>34</v>
      </c>
      <c r="B759" s="45" t="s">
        <v>347</v>
      </c>
      <c r="C759" s="48">
        <v>2</v>
      </c>
      <c r="E759" s="121" t="s">
        <v>3492</v>
      </c>
      <c r="F759" s="120" t="s">
        <v>3312</v>
      </c>
    </row>
    <row r="760" spans="1:6" x14ac:dyDescent="0.2">
      <c r="A760" s="55">
        <v>34</v>
      </c>
      <c r="B760" s="45" t="s">
        <v>441</v>
      </c>
      <c r="C760" s="48">
        <v>2</v>
      </c>
      <c r="E760" s="121" t="s">
        <v>3469</v>
      </c>
      <c r="F760" s="120" t="s">
        <v>3258</v>
      </c>
    </row>
    <row r="761" spans="1:6" x14ac:dyDescent="0.2">
      <c r="A761" s="55">
        <v>34</v>
      </c>
      <c r="B761" s="45" t="s">
        <v>443</v>
      </c>
      <c r="C761" s="48">
        <v>2</v>
      </c>
      <c r="E761" s="121" t="s">
        <v>3445</v>
      </c>
      <c r="F761" s="120" t="s">
        <v>3215</v>
      </c>
    </row>
    <row r="762" spans="1:6" x14ac:dyDescent="0.2">
      <c r="A762" s="55">
        <v>34</v>
      </c>
      <c r="B762" s="45" t="s">
        <v>424</v>
      </c>
      <c r="C762" s="48">
        <v>2</v>
      </c>
      <c r="E762" s="121" t="s">
        <v>1405</v>
      </c>
      <c r="F762" s="120" t="s">
        <v>3215</v>
      </c>
    </row>
    <row r="763" spans="1:6" x14ac:dyDescent="0.2">
      <c r="A763" s="55">
        <v>34</v>
      </c>
      <c r="B763" s="45" t="s">
        <v>2565</v>
      </c>
      <c r="C763" s="48">
        <v>2</v>
      </c>
      <c r="E763" s="121" t="s">
        <v>3435</v>
      </c>
      <c r="F763" s="120" t="s">
        <v>3286</v>
      </c>
    </row>
    <row r="764" spans="1:6" x14ac:dyDescent="0.2">
      <c r="A764" s="55">
        <v>34</v>
      </c>
      <c r="B764" s="45" t="s">
        <v>422</v>
      </c>
      <c r="C764" s="48">
        <v>2</v>
      </c>
      <c r="E764" s="121" t="s">
        <v>3185</v>
      </c>
      <c r="F764" s="120" t="s">
        <v>3285</v>
      </c>
    </row>
    <row r="765" spans="1:6" x14ac:dyDescent="0.2">
      <c r="A765" s="55">
        <v>34</v>
      </c>
      <c r="B765" s="45" t="s">
        <v>432</v>
      </c>
      <c r="C765" s="48">
        <v>2</v>
      </c>
      <c r="E765" s="121" t="s">
        <v>3186</v>
      </c>
      <c r="F765" s="120" t="s">
        <v>3284</v>
      </c>
    </row>
    <row r="766" spans="1:6" x14ac:dyDescent="0.2">
      <c r="A766" s="55">
        <v>34</v>
      </c>
      <c r="B766" s="45" t="s">
        <v>442</v>
      </c>
      <c r="C766" s="48">
        <v>2</v>
      </c>
      <c r="E766" s="121" t="s">
        <v>1436</v>
      </c>
      <c r="F766" s="120" t="s">
        <v>3215</v>
      </c>
    </row>
    <row r="767" spans="1:6" x14ac:dyDescent="0.2">
      <c r="A767" s="55">
        <v>34</v>
      </c>
      <c r="B767" s="45" t="s">
        <v>430</v>
      </c>
      <c r="C767" s="48">
        <v>1</v>
      </c>
      <c r="E767" s="121" t="s">
        <v>1237</v>
      </c>
      <c r="F767" s="120" t="s">
        <v>3230</v>
      </c>
    </row>
    <row r="768" spans="1:6" x14ac:dyDescent="0.2">
      <c r="A768" s="55">
        <v>34</v>
      </c>
      <c r="B768" s="45" t="s">
        <v>433</v>
      </c>
      <c r="C768" s="48">
        <v>1</v>
      </c>
      <c r="E768" s="121" t="s">
        <v>1239</v>
      </c>
      <c r="F768" s="120" t="s">
        <v>3299</v>
      </c>
    </row>
    <row r="769" spans="1:6" x14ac:dyDescent="0.2">
      <c r="A769" s="55">
        <v>34</v>
      </c>
      <c r="B769" s="45" t="s">
        <v>2642</v>
      </c>
      <c r="C769" s="48">
        <v>1</v>
      </c>
      <c r="E769" s="121" t="s">
        <v>1148</v>
      </c>
      <c r="F769" s="120" t="s">
        <v>3215</v>
      </c>
    </row>
    <row r="770" spans="1:6" x14ac:dyDescent="0.2">
      <c r="A770" s="55">
        <v>34</v>
      </c>
      <c r="B770" s="45" t="s">
        <v>605</v>
      </c>
      <c r="C770" s="48">
        <v>1</v>
      </c>
      <c r="E770" s="121" t="s">
        <v>3191</v>
      </c>
      <c r="F770" s="120" t="s">
        <v>3241</v>
      </c>
    </row>
    <row r="771" spans="1:6" x14ac:dyDescent="0.2">
      <c r="A771" s="55">
        <v>34</v>
      </c>
      <c r="B771" s="45" t="s">
        <v>610</v>
      </c>
      <c r="C771" s="48">
        <v>1</v>
      </c>
      <c r="E771" s="121" t="s">
        <v>3368</v>
      </c>
      <c r="F771" s="120" t="s">
        <v>3279</v>
      </c>
    </row>
    <row r="772" spans="1:6" x14ac:dyDescent="0.2">
      <c r="A772" s="55">
        <v>34</v>
      </c>
      <c r="B772" s="45" t="s">
        <v>387</v>
      </c>
      <c r="C772" s="48">
        <v>1</v>
      </c>
      <c r="E772" s="121" t="s">
        <v>1504</v>
      </c>
      <c r="F772" s="120" t="s">
        <v>198</v>
      </c>
    </row>
    <row r="773" spans="1:6" x14ac:dyDescent="0.2">
      <c r="A773" s="55">
        <v>34</v>
      </c>
      <c r="B773" s="45" t="s">
        <v>357</v>
      </c>
      <c r="C773" s="48">
        <v>1</v>
      </c>
      <c r="E773" s="121" t="s">
        <v>3063</v>
      </c>
      <c r="F773" s="120" t="s">
        <v>3262</v>
      </c>
    </row>
    <row r="774" spans="1:6" x14ac:dyDescent="0.2">
      <c r="A774" s="55">
        <v>34</v>
      </c>
      <c r="B774" s="45" t="s">
        <v>349</v>
      </c>
      <c r="C774" s="48">
        <v>1</v>
      </c>
      <c r="E774" s="121" t="s">
        <v>1200</v>
      </c>
      <c r="F774" s="120" t="s">
        <v>3292</v>
      </c>
    </row>
    <row r="775" spans="1:6" x14ac:dyDescent="0.2">
      <c r="A775" s="55">
        <v>34</v>
      </c>
      <c r="B775" s="45" t="s">
        <v>2570</v>
      </c>
      <c r="C775" s="48">
        <v>1</v>
      </c>
      <c r="E775" s="121" t="s">
        <v>548</v>
      </c>
      <c r="F775" s="120" t="s">
        <v>199</v>
      </c>
    </row>
    <row r="776" spans="1:6" x14ac:dyDescent="0.2">
      <c r="A776" s="55">
        <v>34</v>
      </c>
      <c r="B776" s="45" t="s">
        <v>410</v>
      </c>
      <c r="C776" s="48">
        <v>1</v>
      </c>
      <c r="E776" s="121" t="s">
        <v>1489</v>
      </c>
      <c r="F776" s="120" t="s">
        <v>3248</v>
      </c>
    </row>
    <row r="777" spans="1:6" x14ac:dyDescent="0.2">
      <c r="A777" s="55">
        <v>34</v>
      </c>
      <c r="B777" s="45" t="s">
        <v>2658</v>
      </c>
      <c r="C777" s="48">
        <v>1</v>
      </c>
      <c r="E777" s="121" t="s">
        <v>1536</v>
      </c>
      <c r="F777" s="120" t="s">
        <v>3267</v>
      </c>
    </row>
    <row r="778" spans="1:6" x14ac:dyDescent="0.2">
      <c r="A778" s="55">
        <v>34</v>
      </c>
      <c r="B778" s="45" t="s">
        <v>350</v>
      </c>
      <c r="C778" s="48">
        <v>0.5</v>
      </c>
      <c r="E778" s="121" t="s">
        <v>1415</v>
      </c>
      <c r="F778" s="120" t="s">
        <v>3249</v>
      </c>
    </row>
    <row r="779" spans="1:6" x14ac:dyDescent="0.2">
      <c r="A779" s="55">
        <v>34</v>
      </c>
      <c r="B779" s="45" t="s">
        <v>353</v>
      </c>
      <c r="C779" s="48">
        <v>0.5</v>
      </c>
      <c r="E779" s="121" t="s">
        <v>2866</v>
      </c>
      <c r="F779" s="120" t="s">
        <v>3237</v>
      </c>
    </row>
    <row r="780" spans="1:6" x14ac:dyDescent="0.2">
      <c r="A780" s="55">
        <v>34</v>
      </c>
      <c r="B780" s="45" t="s">
        <v>2657</v>
      </c>
      <c r="C780" s="48">
        <v>0.5</v>
      </c>
      <c r="E780" s="121" t="s">
        <v>1176</v>
      </c>
      <c r="F780" s="120" t="s">
        <v>3265</v>
      </c>
    </row>
    <row r="781" spans="1:6" x14ac:dyDescent="0.2">
      <c r="A781" s="55">
        <v>34</v>
      </c>
      <c r="B781" s="45" t="s">
        <v>368</v>
      </c>
      <c r="C781" s="48">
        <v>0.5</v>
      </c>
      <c r="E781" s="121" t="s">
        <v>1203</v>
      </c>
      <c r="F781" s="120" t="s">
        <v>3230</v>
      </c>
    </row>
    <row r="782" spans="1:6" x14ac:dyDescent="0.2">
      <c r="A782" s="55">
        <v>34</v>
      </c>
      <c r="B782" s="45" t="s">
        <v>2564</v>
      </c>
      <c r="C782" s="48">
        <v>0.5</v>
      </c>
      <c r="E782" s="121" t="s">
        <v>3450</v>
      </c>
      <c r="F782" s="120" t="s">
        <v>3287</v>
      </c>
    </row>
    <row r="783" spans="1:6" x14ac:dyDescent="0.2">
      <c r="A783" s="55">
        <v>34</v>
      </c>
      <c r="B783" s="45" t="s">
        <v>354</v>
      </c>
      <c r="C783" s="48">
        <v>0.5</v>
      </c>
      <c r="E783" s="121" t="s">
        <v>3188</v>
      </c>
      <c r="F783" s="120" t="s">
        <v>3269</v>
      </c>
    </row>
    <row r="784" spans="1:6" x14ac:dyDescent="0.2">
      <c r="A784" s="55">
        <v>34</v>
      </c>
      <c r="B784" s="45" t="s">
        <v>389</v>
      </c>
      <c r="C784" s="48">
        <v>0.5</v>
      </c>
      <c r="E784" s="121" t="s">
        <v>3096</v>
      </c>
      <c r="F784" s="120" t="s">
        <v>3274</v>
      </c>
    </row>
    <row r="785" spans="1:6" x14ac:dyDescent="0.2">
      <c r="A785" s="55">
        <v>35</v>
      </c>
      <c r="B785" s="45" t="s">
        <v>437</v>
      </c>
      <c r="C785" s="48">
        <v>15</v>
      </c>
      <c r="E785" s="121" t="s">
        <v>3385</v>
      </c>
      <c r="F785" s="120" t="s">
        <v>3285</v>
      </c>
    </row>
    <row r="786" spans="1:6" x14ac:dyDescent="0.2">
      <c r="A786" s="55">
        <v>35</v>
      </c>
      <c r="B786" s="45" t="s">
        <v>373</v>
      </c>
      <c r="C786" s="48">
        <v>10</v>
      </c>
      <c r="E786" s="121" t="s">
        <v>3484</v>
      </c>
      <c r="F786" s="120" t="s">
        <v>3276</v>
      </c>
    </row>
    <row r="787" spans="1:6" x14ac:dyDescent="0.2">
      <c r="A787" s="55">
        <v>35</v>
      </c>
      <c r="B787" s="45" t="s">
        <v>347</v>
      </c>
      <c r="C787" s="48">
        <v>10</v>
      </c>
      <c r="E787" s="121" t="s">
        <v>3492</v>
      </c>
      <c r="F787" s="120" t="s">
        <v>3312</v>
      </c>
    </row>
    <row r="788" spans="1:6" x14ac:dyDescent="0.2">
      <c r="A788" s="55">
        <v>35</v>
      </c>
      <c r="B788" s="45" t="s">
        <v>2579</v>
      </c>
      <c r="C788" s="48">
        <v>10</v>
      </c>
      <c r="E788" s="121" t="s">
        <v>3516</v>
      </c>
      <c r="F788" s="120" t="s">
        <v>3232</v>
      </c>
    </row>
    <row r="789" spans="1:6" x14ac:dyDescent="0.2">
      <c r="A789" s="55">
        <v>35</v>
      </c>
      <c r="B789" s="45" t="s">
        <v>341</v>
      </c>
      <c r="C789" s="48">
        <v>8</v>
      </c>
      <c r="E789" s="121" t="s">
        <v>3062</v>
      </c>
      <c r="F789" s="120" t="s">
        <v>3266</v>
      </c>
    </row>
    <row r="790" spans="1:6" x14ac:dyDescent="0.2">
      <c r="A790" s="55">
        <v>35</v>
      </c>
      <c r="B790" s="45" t="s">
        <v>432</v>
      </c>
      <c r="C790" s="48">
        <v>6</v>
      </c>
      <c r="E790" s="121" t="s">
        <v>3186</v>
      </c>
      <c r="F790" s="120" t="s">
        <v>3284</v>
      </c>
    </row>
    <row r="791" spans="1:6" x14ac:dyDescent="0.2">
      <c r="A791" s="55">
        <v>35</v>
      </c>
      <c r="B791" s="45" t="s">
        <v>2565</v>
      </c>
      <c r="C791" s="48">
        <v>5</v>
      </c>
      <c r="E791" s="121" t="s">
        <v>3435</v>
      </c>
      <c r="F791" s="120" t="s">
        <v>3286</v>
      </c>
    </row>
    <row r="792" spans="1:6" x14ac:dyDescent="0.2">
      <c r="A792" s="55">
        <v>35</v>
      </c>
      <c r="B792" s="45" t="s">
        <v>2636</v>
      </c>
      <c r="C792" s="48">
        <v>4</v>
      </c>
      <c r="E792" s="121" t="s">
        <v>3504</v>
      </c>
      <c r="F792" s="120" t="s">
        <v>3248</v>
      </c>
    </row>
    <row r="793" spans="1:6" x14ac:dyDescent="0.2">
      <c r="A793" s="55">
        <v>35</v>
      </c>
      <c r="B793" s="45" t="s">
        <v>357</v>
      </c>
      <c r="C793" s="48">
        <v>4</v>
      </c>
      <c r="E793" s="121" t="s">
        <v>3063</v>
      </c>
      <c r="F793" s="120" t="s">
        <v>3262</v>
      </c>
    </row>
    <row r="794" spans="1:6" x14ac:dyDescent="0.2">
      <c r="A794" s="55">
        <v>35</v>
      </c>
      <c r="B794" s="45" t="s">
        <v>349</v>
      </c>
      <c r="C794" s="48">
        <v>4</v>
      </c>
      <c r="E794" s="121" t="s">
        <v>1200</v>
      </c>
      <c r="F794" s="120" t="s">
        <v>3292</v>
      </c>
    </row>
    <row r="795" spans="1:6" x14ac:dyDescent="0.2">
      <c r="A795" s="55">
        <v>35</v>
      </c>
      <c r="B795" s="45" t="s">
        <v>586</v>
      </c>
      <c r="C795" s="48">
        <v>3</v>
      </c>
      <c r="E795" s="121" t="s">
        <v>1164</v>
      </c>
      <c r="F795" s="120" t="s">
        <v>3215</v>
      </c>
    </row>
    <row r="796" spans="1:6" x14ac:dyDescent="0.2">
      <c r="A796" s="55">
        <v>35</v>
      </c>
      <c r="B796" s="45" t="s">
        <v>597</v>
      </c>
      <c r="C796" s="48">
        <v>3</v>
      </c>
      <c r="E796" s="121" t="s">
        <v>3060</v>
      </c>
      <c r="F796" s="120" t="s">
        <v>3248</v>
      </c>
    </row>
    <row r="797" spans="1:6" x14ac:dyDescent="0.2">
      <c r="A797" s="55">
        <v>35</v>
      </c>
      <c r="B797" s="45" t="s">
        <v>398</v>
      </c>
      <c r="C797" s="48">
        <v>2</v>
      </c>
      <c r="E797" s="121" t="s">
        <v>1165</v>
      </c>
      <c r="F797" s="120" t="s">
        <v>3215</v>
      </c>
    </row>
    <row r="798" spans="1:6" x14ac:dyDescent="0.2">
      <c r="A798" s="55">
        <v>35</v>
      </c>
      <c r="B798" s="45" t="s">
        <v>369</v>
      </c>
      <c r="C798" s="48">
        <v>2</v>
      </c>
      <c r="E798" s="121" t="s">
        <v>2829</v>
      </c>
      <c r="F798" s="120" t="s">
        <v>1289</v>
      </c>
    </row>
    <row r="799" spans="1:6" x14ac:dyDescent="0.2">
      <c r="A799" s="55">
        <v>35</v>
      </c>
      <c r="B799" s="45" t="s">
        <v>342</v>
      </c>
      <c r="C799" s="48">
        <v>2</v>
      </c>
      <c r="E799" s="121" t="s">
        <v>1169</v>
      </c>
      <c r="F799" s="120" t="s">
        <v>3249</v>
      </c>
    </row>
    <row r="800" spans="1:6" x14ac:dyDescent="0.2">
      <c r="A800" s="55">
        <v>35</v>
      </c>
      <c r="B800" s="45" t="s">
        <v>614</v>
      </c>
      <c r="C800" s="48">
        <v>2</v>
      </c>
      <c r="E800" s="121" t="s">
        <v>2836</v>
      </c>
      <c r="F800" s="120" t="s">
        <v>3217</v>
      </c>
    </row>
    <row r="801" spans="1:6" x14ac:dyDescent="0.2">
      <c r="A801" s="55">
        <v>35</v>
      </c>
      <c r="B801" s="45" t="s">
        <v>350</v>
      </c>
      <c r="C801" s="48">
        <v>1</v>
      </c>
      <c r="E801" s="121" t="s">
        <v>1415</v>
      </c>
      <c r="F801" s="120" t="s">
        <v>3249</v>
      </c>
    </row>
    <row r="802" spans="1:6" x14ac:dyDescent="0.2">
      <c r="A802" s="55">
        <v>35</v>
      </c>
      <c r="B802" s="45" t="s">
        <v>404</v>
      </c>
      <c r="C802" s="48">
        <v>1</v>
      </c>
      <c r="E802" s="121" t="s">
        <v>3463</v>
      </c>
      <c r="F802" s="120" t="s">
        <v>3258</v>
      </c>
    </row>
    <row r="803" spans="1:6" x14ac:dyDescent="0.2">
      <c r="A803" s="55">
        <v>35</v>
      </c>
      <c r="B803" s="45" t="s">
        <v>423</v>
      </c>
      <c r="C803" s="48">
        <v>1</v>
      </c>
      <c r="E803" s="121" t="s">
        <v>3494</v>
      </c>
      <c r="F803" s="120" t="s">
        <v>3310</v>
      </c>
    </row>
    <row r="804" spans="1:6" x14ac:dyDescent="0.2">
      <c r="A804" s="55">
        <v>35</v>
      </c>
      <c r="B804" s="45" t="s">
        <v>380</v>
      </c>
      <c r="C804" s="48">
        <v>1</v>
      </c>
      <c r="E804" s="121" t="s">
        <v>2853</v>
      </c>
      <c r="F804" s="120" t="s">
        <v>3227</v>
      </c>
    </row>
    <row r="805" spans="1:6" x14ac:dyDescent="0.2">
      <c r="A805" s="55">
        <v>35</v>
      </c>
      <c r="B805" s="45" t="s">
        <v>370</v>
      </c>
      <c r="C805" s="48">
        <v>0.5</v>
      </c>
      <c r="E805" s="121" t="s">
        <v>1875</v>
      </c>
      <c r="F805" s="120" t="s">
        <v>3318</v>
      </c>
    </row>
    <row r="806" spans="1:6" x14ac:dyDescent="0.2">
      <c r="A806" s="55">
        <v>36</v>
      </c>
      <c r="B806" s="45" t="s">
        <v>2660</v>
      </c>
      <c r="C806" s="48">
        <v>20</v>
      </c>
      <c r="E806" s="121" t="s">
        <v>3493</v>
      </c>
      <c r="F806" s="120" t="s">
        <v>3310</v>
      </c>
    </row>
    <row r="807" spans="1:6" x14ac:dyDescent="0.2">
      <c r="A807" s="55">
        <v>36</v>
      </c>
      <c r="B807" s="45" t="s">
        <v>380</v>
      </c>
      <c r="C807" s="48">
        <v>20</v>
      </c>
      <c r="E807" s="121" t="s">
        <v>2853</v>
      </c>
      <c r="F807" s="120" t="s">
        <v>3227</v>
      </c>
    </row>
    <row r="808" spans="1:6" x14ac:dyDescent="0.2">
      <c r="A808" s="55">
        <v>36</v>
      </c>
      <c r="B808" s="45" t="s">
        <v>606</v>
      </c>
      <c r="C808" s="48">
        <v>15</v>
      </c>
      <c r="E808" s="121" t="s">
        <v>3203</v>
      </c>
      <c r="F808" s="120" t="s">
        <v>3266</v>
      </c>
    </row>
    <row r="809" spans="1:6" x14ac:dyDescent="0.2">
      <c r="A809" s="55">
        <v>36</v>
      </c>
      <c r="B809" s="45" t="s">
        <v>394</v>
      </c>
      <c r="C809" s="48">
        <v>8</v>
      </c>
      <c r="E809" s="121" t="s">
        <v>3467</v>
      </c>
      <c r="F809" s="120" t="s">
        <v>3258</v>
      </c>
    </row>
    <row r="810" spans="1:6" x14ac:dyDescent="0.2">
      <c r="A810" s="55">
        <v>36</v>
      </c>
      <c r="B810" s="45" t="s">
        <v>398</v>
      </c>
      <c r="C810" s="48">
        <v>5</v>
      </c>
      <c r="E810" s="121" t="s">
        <v>1165</v>
      </c>
      <c r="F810" s="120" t="s">
        <v>3215</v>
      </c>
    </row>
    <row r="811" spans="1:6" x14ac:dyDescent="0.2">
      <c r="A811" s="55">
        <v>36</v>
      </c>
      <c r="B811" s="45" t="s">
        <v>437</v>
      </c>
      <c r="C811" s="48">
        <v>5</v>
      </c>
      <c r="E811" s="121" t="s">
        <v>3385</v>
      </c>
      <c r="F811" s="120" t="s">
        <v>3285</v>
      </c>
    </row>
    <row r="812" spans="1:6" x14ac:dyDescent="0.2">
      <c r="A812" s="55">
        <v>36</v>
      </c>
      <c r="B812" s="45" t="s">
        <v>345</v>
      </c>
      <c r="C812" s="48">
        <v>5</v>
      </c>
      <c r="E812" s="121" t="s">
        <v>3520</v>
      </c>
      <c r="F812" s="120" t="s">
        <v>3227</v>
      </c>
    </row>
    <row r="813" spans="1:6" x14ac:dyDescent="0.2">
      <c r="A813" s="55">
        <v>36</v>
      </c>
      <c r="B813" s="45" t="s">
        <v>341</v>
      </c>
      <c r="C813" s="48">
        <v>4</v>
      </c>
      <c r="E813" s="121" t="s">
        <v>3062</v>
      </c>
      <c r="F813" s="120" t="s">
        <v>3266</v>
      </c>
    </row>
    <row r="814" spans="1:6" x14ac:dyDescent="0.2">
      <c r="A814" s="55">
        <v>36</v>
      </c>
      <c r="B814" s="45" t="s">
        <v>343</v>
      </c>
      <c r="C814" s="48">
        <v>3</v>
      </c>
      <c r="E814" s="121" t="s">
        <v>3334</v>
      </c>
      <c r="F814" s="120" t="s">
        <v>3303</v>
      </c>
    </row>
    <row r="815" spans="1:6" x14ac:dyDescent="0.2">
      <c r="A815" s="55">
        <v>36</v>
      </c>
      <c r="B815" s="45" t="s">
        <v>342</v>
      </c>
      <c r="C815" s="48">
        <v>3</v>
      </c>
      <c r="E815" s="121" t="s">
        <v>1169</v>
      </c>
      <c r="F815" s="120" t="s">
        <v>3249</v>
      </c>
    </row>
    <row r="816" spans="1:6" x14ac:dyDescent="0.2">
      <c r="A816" s="55">
        <v>36</v>
      </c>
      <c r="B816" s="45" t="s">
        <v>2579</v>
      </c>
      <c r="C816" s="48">
        <v>3</v>
      </c>
      <c r="E816" s="121" t="s">
        <v>3516</v>
      </c>
      <c r="F816" s="120" t="s">
        <v>3232</v>
      </c>
    </row>
    <row r="817" spans="1:6" x14ac:dyDescent="0.2">
      <c r="A817" s="55">
        <v>36</v>
      </c>
      <c r="B817" s="45" t="s">
        <v>327</v>
      </c>
      <c r="C817" s="48">
        <v>3</v>
      </c>
      <c r="E817" s="121" t="s">
        <v>3517</v>
      </c>
      <c r="F817" s="120" t="s">
        <v>3226</v>
      </c>
    </row>
    <row r="818" spans="1:6" x14ac:dyDescent="0.2">
      <c r="A818" s="55">
        <v>36</v>
      </c>
      <c r="B818" s="45" t="s">
        <v>432</v>
      </c>
      <c r="C818" s="48">
        <v>3</v>
      </c>
      <c r="E818" s="121" t="s">
        <v>3186</v>
      </c>
      <c r="F818" s="120" t="s">
        <v>3284</v>
      </c>
    </row>
    <row r="819" spans="1:6" x14ac:dyDescent="0.2">
      <c r="A819" s="55">
        <v>36</v>
      </c>
      <c r="B819" s="45" t="s">
        <v>366</v>
      </c>
      <c r="C819" s="48">
        <v>2</v>
      </c>
      <c r="E819" s="121" t="s">
        <v>1187</v>
      </c>
      <c r="F819" s="120" t="s">
        <v>3263</v>
      </c>
    </row>
    <row r="820" spans="1:6" x14ac:dyDescent="0.2">
      <c r="A820" s="55">
        <v>36</v>
      </c>
      <c r="B820" s="45" t="s">
        <v>355</v>
      </c>
      <c r="C820" s="48">
        <v>2</v>
      </c>
      <c r="E820" s="121" t="s">
        <v>1150</v>
      </c>
      <c r="F820" s="120" t="s">
        <v>3287</v>
      </c>
    </row>
    <row r="821" spans="1:6" x14ac:dyDescent="0.2">
      <c r="A821" s="55">
        <v>36</v>
      </c>
      <c r="B821" s="45" t="s">
        <v>425</v>
      </c>
      <c r="C821" s="48">
        <v>2</v>
      </c>
      <c r="E821" s="121" t="s">
        <v>1168</v>
      </c>
      <c r="F821" s="120" t="s">
        <v>3215</v>
      </c>
    </row>
    <row r="822" spans="1:6" x14ac:dyDescent="0.2">
      <c r="A822" s="55">
        <v>36</v>
      </c>
      <c r="B822" s="45" t="s">
        <v>376</v>
      </c>
      <c r="C822" s="48">
        <v>2</v>
      </c>
      <c r="E822" s="121" t="s">
        <v>3462</v>
      </c>
      <c r="F822" s="120" t="s">
        <v>3227</v>
      </c>
    </row>
    <row r="823" spans="1:6" x14ac:dyDescent="0.2">
      <c r="A823" s="55">
        <v>36</v>
      </c>
      <c r="B823" s="45" t="s">
        <v>386</v>
      </c>
      <c r="C823" s="48">
        <v>2</v>
      </c>
      <c r="E823" s="121" t="s">
        <v>3498</v>
      </c>
      <c r="F823" s="120" t="s">
        <v>3215</v>
      </c>
    </row>
    <row r="824" spans="1:6" x14ac:dyDescent="0.2">
      <c r="A824" s="55">
        <v>36</v>
      </c>
      <c r="B824" s="45" t="s">
        <v>354</v>
      </c>
      <c r="C824" s="48">
        <v>2</v>
      </c>
      <c r="E824" s="121" t="s">
        <v>3188</v>
      </c>
      <c r="F824" s="120" t="s">
        <v>3269</v>
      </c>
    </row>
    <row r="825" spans="1:6" x14ac:dyDescent="0.2">
      <c r="A825" s="55">
        <v>36</v>
      </c>
      <c r="B825" s="45" t="s">
        <v>370</v>
      </c>
      <c r="C825" s="48">
        <v>2</v>
      </c>
      <c r="E825" s="121" t="s">
        <v>1875</v>
      </c>
      <c r="F825" s="120" t="s">
        <v>3318</v>
      </c>
    </row>
    <row r="826" spans="1:6" x14ac:dyDescent="0.2">
      <c r="A826" s="55">
        <v>36</v>
      </c>
      <c r="B826" s="45" t="s">
        <v>436</v>
      </c>
      <c r="C826" s="48">
        <v>2</v>
      </c>
      <c r="E826" s="121" t="s">
        <v>1513</v>
      </c>
      <c r="F826" s="120" t="s">
        <v>3215</v>
      </c>
    </row>
    <row r="827" spans="1:6" x14ac:dyDescent="0.2">
      <c r="A827" s="55">
        <v>36</v>
      </c>
      <c r="B827" s="45" t="s">
        <v>350</v>
      </c>
      <c r="C827" s="48">
        <v>1</v>
      </c>
      <c r="E827" s="121" t="s">
        <v>1415</v>
      </c>
      <c r="F827" s="120" t="s">
        <v>3249</v>
      </c>
    </row>
    <row r="828" spans="1:6" x14ac:dyDescent="0.2">
      <c r="A828" s="55">
        <v>36</v>
      </c>
      <c r="B828" s="45" t="s">
        <v>2642</v>
      </c>
      <c r="C828" s="48">
        <v>1</v>
      </c>
      <c r="E828" s="121" t="s">
        <v>1148</v>
      </c>
      <c r="F828" s="120" t="s">
        <v>3215</v>
      </c>
    </row>
    <row r="829" spans="1:6" x14ac:dyDescent="0.2">
      <c r="A829" s="55">
        <v>36</v>
      </c>
      <c r="B829" s="45" t="s">
        <v>2659</v>
      </c>
      <c r="C829" s="48">
        <v>1</v>
      </c>
      <c r="E829" s="121" t="s">
        <v>3039</v>
      </c>
      <c r="F829" s="120" t="s">
        <v>3256</v>
      </c>
    </row>
    <row r="830" spans="1:6" x14ac:dyDescent="0.2">
      <c r="A830" s="55">
        <v>36</v>
      </c>
      <c r="B830" s="45" t="s">
        <v>391</v>
      </c>
      <c r="C830" s="48">
        <v>1</v>
      </c>
      <c r="E830" s="121" t="s">
        <v>535</v>
      </c>
      <c r="F830" s="120" t="s">
        <v>3284</v>
      </c>
    </row>
    <row r="831" spans="1:6" x14ac:dyDescent="0.2">
      <c r="A831" s="55">
        <v>36</v>
      </c>
      <c r="B831" s="45" t="s">
        <v>613</v>
      </c>
      <c r="C831" s="48">
        <v>1</v>
      </c>
      <c r="E831" s="121" t="s">
        <v>3479</v>
      </c>
      <c r="F831" s="120" t="s">
        <v>3309</v>
      </c>
    </row>
    <row r="832" spans="1:6" x14ac:dyDescent="0.2">
      <c r="A832" s="55">
        <v>36</v>
      </c>
      <c r="B832" s="45" t="s">
        <v>435</v>
      </c>
      <c r="C832" s="48">
        <v>1</v>
      </c>
      <c r="E832" s="121" t="s">
        <v>1211</v>
      </c>
      <c r="F832" s="120" t="s">
        <v>3294</v>
      </c>
    </row>
    <row r="833" spans="1:6" x14ac:dyDescent="0.2">
      <c r="A833" s="55">
        <v>36</v>
      </c>
      <c r="B833" s="45" t="s">
        <v>434</v>
      </c>
      <c r="C833" s="48">
        <v>0.5</v>
      </c>
      <c r="E833" s="121" t="s">
        <v>3476</v>
      </c>
      <c r="F833" s="120" t="s">
        <v>3245</v>
      </c>
    </row>
    <row r="834" spans="1:6" x14ac:dyDescent="0.2">
      <c r="A834" s="55">
        <v>36</v>
      </c>
      <c r="B834" s="45" t="s">
        <v>361</v>
      </c>
      <c r="C834" s="48">
        <v>0.5</v>
      </c>
      <c r="E834" s="121" t="s">
        <v>3201</v>
      </c>
      <c r="F834" s="120" t="s">
        <v>3249</v>
      </c>
    </row>
    <row r="835" spans="1:6" x14ac:dyDescent="0.2">
      <c r="A835" s="55">
        <v>36</v>
      </c>
      <c r="B835" s="45" t="s">
        <v>395</v>
      </c>
      <c r="C835" s="48">
        <v>0.5</v>
      </c>
      <c r="E835" s="121" t="s">
        <v>3202</v>
      </c>
      <c r="F835" s="120" t="s">
        <v>3248</v>
      </c>
    </row>
    <row r="836" spans="1:6" x14ac:dyDescent="0.2">
      <c r="A836" s="55">
        <v>36</v>
      </c>
      <c r="B836" s="45" t="s">
        <v>349</v>
      </c>
      <c r="C836" s="48">
        <v>0.5</v>
      </c>
      <c r="E836" s="121" t="s">
        <v>1200</v>
      </c>
      <c r="F836" s="120" t="s">
        <v>3292</v>
      </c>
    </row>
    <row r="837" spans="1:6" x14ac:dyDescent="0.2">
      <c r="A837" s="55">
        <v>36</v>
      </c>
      <c r="B837" s="45" t="s">
        <v>375</v>
      </c>
      <c r="C837" s="48">
        <v>0.5</v>
      </c>
      <c r="E837" s="121" t="s">
        <v>1530</v>
      </c>
      <c r="F837" s="120" t="s">
        <v>3248</v>
      </c>
    </row>
    <row r="838" spans="1:6" x14ac:dyDescent="0.2">
      <c r="A838" s="55">
        <v>36</v>
      </c>
      <c r="B838" s="45" t="s">
        <v>435</v>
      </c>
      <c r="C838" s="48">
        <v>0.5</v>
      </c>
      <c r="E838" s="121" t="s">
        <v>1211</v>
      </c>
      <c r="F838" s="120" t="s">
        <v>3294</v>
      </c>
    </row>
    <row r="839" spans="1:6" x14ac:dyDescent="0.2">
      <c r="A839" s="55">
        <v>37</v>
      </c>
      <c r="B839" s="45" t="s">
        <v>586</v>
      </c>
      <c r="C839" s="48">
        <v>25</v>
      </c>
      <c r="E839" s="121" t="s">
        <v>1164</v>
      </c>
      <c r="F839" s="120" t="s">
        <v>3215</v>
      </c>
    </row>
    <row r="840" spans="1:6" x14ac:dyDescent="0.2">
      <c r="A840" s="55">
        <v>37</v>
      </c>
      <c r="B840" s="45" t="s">
        <v>437</v>
      </c>
      <c r="C840" s="48">
        <v>15</v>
      </c>
      <c r="E840" s="121" t="s">
        <v>3385</v>
      </c>
      <c r="F840" s="120" t="s">
        <v>3285</v>
      </c>
    </row>
    <row r="841" spans="1:6" x14ac:dyDescent="0.2">
      <c r="A841" s="55">
        <v>37</v>
      </c>
      <c r="B841" s="45" t="s">
        <v>2661</v>
      </c>
      <c r="C841" s="48">
        <v>15</v>
      </c>
      <c r="E841" s="121" t="s">
        <v>1508</v>
      </c>
      <c r="F841" s="120" t="s">
        <v>3320</v>
      </c>
    </row>
    <row r="842" spans="1:6" x14ac:dyDescent="0.2">
      <c r="A842" s="55">
        <v>37</v>
      </c>
      <c r="B842" s="45" t="s">
        <v>347</v>
      </c>
      <c r="C842" s="48">
        <v>13</v>
      </c>
      <c r="E842" s="121" t="s">
        <v>3492</v>
      </c>
      <c r="F842" s="120" t="s">
        <v>3312</v>
      </c>
    </row>
    <row r="843" spans="1:6" x14ac:dyDescent="0.2">
      <c r="A843" s="55">
        <v>37</v>
      </c>
      <c r="B843" s="45" t="s">
        <v>402</v>
      </c>
      <c r="C843" s="48">
        <v>8</v>
      </c>
      <c r="E843" s="121" t="s">
        <v>3171</v>
      </c>
      <c r="F843" s="120" t="s">
        <v>3284</v>
      </c>
    </row>
    <row r="844" spans="1:6" x14ac:dyDescent="0.2">
      <c r="A844" s="55">
        <v>37</v>
      </c>
      <c r="B844" s="45" t="s">
        <v>2642</v>
      </c>
      <c r="C844" s="48">
        <v>7</v>
      </c>
      <c r="E844" s="121" t="s">
        <v>1148</v>
      </c>
      <c r="F844" s="120" t="s">
        <v>3215</v>
      </c>
    </row>
    <row r="845" spans="1:6" x14ac:dyDescent="0.2">
      <c r="A845" s="55">
        <v>37</v>
      </c>
      <c r="B845" s="45" t="s">
        <v>391</v>
      </c>
      <c r="C845" s="48">
        <v>6</v>
      </c>
      <c r="E845" s="121" t="s">
        <v>535</v>
      </c>
      <c r="F845" s="120" t="s">
        <v>3284</v>
      </c>
    </row>
    <row r="846" spans="1:6" x14ac:dyDescent="0.2">
      <c r="A846" s="55">
        <v>37</v>
      </c>
      <c r="B846" s="45" t="s">
        <v>368</v>
      </c>
      <c r="C846" s="48">
        <v>6</v>
      </c>
      <c r="E846" s="121" t="s">
        <v>1203</v>
      </c>
      <c r="F846" s="120" t="s">
        <v>3230</v>
      </c>
    </row>
    <row r="847" spans="1:6" x14ac:dyDescent="0.2">
      <c r="A847" s="55">
        <v>37</v>
      </c>
      <c r="B847" s="45" t="s">
        <v>2601</v>
      </c>
      <c r="C847" s="48">
        <v>6</v>
      </c>
      <c r="E847" s="121" t="s">
        <v>1406</v>
      </c>
      <c r="F847" s="120" t="s">
        <v>3248</v>
      </c>
    </row>
    <row r="848" spans="1:6" x14ac:dyDescent="0.2">
      <c r="A848" s="55">
        <v>37</v>
      </c>
      <c r="B848" s="45" t="s">
        <v>399</v>
      </c>
      <c r="C848" s="48">
        <v>5</v>
      </c>
      <c r="E848" s="121" t="s">
        <v>1155</v>
      </c>
      <c r="F848" s="120" t="s">
        <v>3248</v>
      </c>
    </row>
    <row r="849" spans="1:6" x14ac:dyDescent="0.2">
      <c r="A849" s="55">
        <v>37</v>
      </c>
      <c r="B849" s="45" t="s">
        <v>582</v>
      </c>
      <c r="C849" s="48">
        <v>5</v>
      </c>
      <c r="E849" s="121" t="s">
        <v>2841</v>
      </c>
      <c r="F849" s="120" t="s">
        <v>3219</v>
      </c>
    </row>
    <row r="850" spans="1:6" x14ac:dyDescent="0.2">
      <c r="A850" s="55">
        <v>37</v>
      </c>
      <c r="B850" s="45" t="s">
        <v>350</v>
      </c>
      <c r="C850" s="48">
        <v>4</v>
      </c>
      <c r="E850" s="121" t="s">
        <v>1415</v>
      </c>
      <c r="F850" s="120" t="s">
        <v>3249</v>
      </c>
    </row>
    <row r="851" spans="1:6" x14ac:dyDescent="0.2">
      <c r="A851" s="55">
        <v>37</v>
      </c>
      <c r="B851" s="45" t="s">
        <v>376</v>
      </c>
      <c r="C851" s="48">
        <v>4</v>
      </c>
      <c r="E851" s="121" t="s">
        <v>3462</v>
      </c>
      <c r="F851" s="120" t="s">
        <v>3227</v>
      </c>
    </row>
    <row r="852" spans="1:6" x14ac:dyDescent="0.2">
      <c r="A852" s="55">
        <v>37</v>
      </c>
      <c r="B852" s="45" t="s">
        <v>441</v>
      </c>
      <c r="C852" s="48">
        <v>4</v>
      </c>
      <c r="E852" s="121" t="s">
        <v>3469</v>
      </c>
      <c r="F852" s="120" t="s">
        <v>3258</v>
      </c>
    </row>
    <row r="853" spans="1:6" x14ac:dyDescent="0.2">
      <c r="A853" s="55">
        <v>37</v>
      </c>
      <c r="B853" s="45" t="s">
        <v>344</v>
      </c>
      <c r="C853" s="48">
        <v>4</v>
      </c>
      <c r="E853" s="121" t="s">
        <v>1403</v>
      </c>
      <c r="F853" s="120" t="s">
        <v>3215</v>
      </c>
    </row>
    <row r="854" spans="1:6" x14ac:dyDescent="0.2">
      <c r="A854" s="55">
        <v>37</v>
      </c>
      <c r="B854" s="45" t="s">
        <v>426</v>
      </c>
      <c r="C854" s="48">
        <v>3</v>
      </c>
      <c r="E854" s="121" t="s">
        <v>3486</v>
      </c>
      <c r="F854" s="120" t="s">
        <v>3312</v>
      </c>
    </row>
    <row r="855" spans="1:6" x14ac:dyDescent="0.2">
      <c r="A855" s="55">
        <v>37</v>
      </c>
      <c r="B855" s="45" t="s">
        <v>346</v>
      </c>
      <c r="C855" s="48">
        <v>3</v>
      </c>
      <c r="E855" s="121" t="s">
        <v>3490</v>
      </c>
      <c r="F855" s="120" t="s">
        <v>3310</v>
      </c>
    </row>
    <row r="856" spans="1:6" x14ac:dyDescent="0.2">
      <c r="A856" s="55">
        <v>37</v>
      </c>
      <c r="B856" s="45" t="s">
        <v>583</v>
      </c>
      <c r="C856" s="48">
        <v>3</v>
      </c>
      <c r="E856" s="121" t="s">
        <v>1207</v>
      </c>
      <c r="F856" s="120" t="s">
        <v>3274</v>
      </c>
    </row>
    <row r="857" spans="1:6" x14ac:dyDescent="0.2">
      <c r="A857" s="55">
        <v>37</v>
      </c>
      <c r="B857" s="45" t="s">
        <v>451</v>
      </c>
      <c r="C857" s="48">
        <v>3</v>
      </c>
      <c r="E857" s="121" t="s">
        <v>1434</v>
      </c>
      <c r="F857" s="120" t="s">
        <v>3215</v>
      </c>
    </row>
    <row r="858" spans="1:6" x14ac:dyDescent="0.2">
      <c r="A858" s="55">
        <v>37</v>
      </c>
      <c r="B858" s="45" t="s">
        <v>403</v>
      </c>
      <c r="C858" s="48">
        <v>2</v>
      </c>
      <c r="E858" s="121" t="s">
        <v>1408</v>
      </c>
      <c r="F858" s="120" t="s">
        <v>3248</v>
      </c>
    </row>
    <row r="859" spans="1:6" x14ac:dyDescent="0.2">
      <c r="A859" s="55">
        <v>37</v>
      </c>
      <c r="B859" s="45" t="s">
        <v>400</v>
      </c>
      <c r="C859" s="48">
        <v>2</v>
      </c>
      <c r="E859" s="121" t="s">
        <v>1411</v>
      </c>
      <c r="F859" s="120" t="s">
        <v>3249</v>
      </c>
    </row>
    <row r="860" spans="1:6" x14ac:dyDescent="0.2">
      <c r="A860" s="55">
        <v>37</v>
      </c>
      <c r="B860" s="45" t="s">
        <v>2636</v>
      </c>
      <c r="C860" s="48">
        <v>2</v>
      </c>
      <c r="E860" s="121" t="s">
        <v>3504</v>
      </c>
      <c r="F860" s="120" t="s">
        <v>3248</v>
      </c>
    </row>
    <row r="861" spans="1:6" x14ac:dyDescent="0.2">
      <c r="A861" s="55">
        <v>37</v>
      </c>
      <c r="B861" s="45" t="s">
        <v>342</v>
      </c>
      <c r="C861" s="48">
        <v>2</v>
      </c>
      <c r="E861" s="121" t="s">
        <v>1169</v>
      </c>
      <c r="F861" s="120" t="s">
        <v>3249</v>
      </c>
    </row>
    <row r="862" spans="1:6" x14ac:dyDescent="0.2">
      <c r="A862" s="55">
        <v>37</v>
      </c>
      <c r="B862" s="45" t="s">
        <v>404</v>
      </c>
      <c r="C862" s="48">
        <v>2</v>
      </c>
      <c r="E862" s="121" t="s">
        <v>3463</v>
      </c>
      <c r="F862" s="120" t="s">
        <v>3258</v>
      </c>
    </row>
    <row r="863" spans="1:6" x14ac:dyDescent="0.2">
      <c r="A863" s="55">
        <v>37</v>
      </c>
      <c r="B863" s="45" t="s">
        <v>386</v>
      </c>
      <c r="C863" s="48">
        <v>2</v>
      </c>
      <c r="E863" s="121" t="s">
        <v>3498</v>
      </c>
      <c r="F863" s="120" t="s">
        <v>3215</v>
      </c>
    </row>
    <row r="864" spans="1:6" x14ac:dyDescent="0.2">
      <c r="A864" s="55">
        <v>37</v>
      </c>
      <c r="B864" s="45" t="s">
        <v>440</v>
      </c>
      <c r="C864" s="48">
        <v>2</v>
      </c>
      <c r="E864" s="121" t="s">
        <v>3114</v>
      </c>
      <c r="F864" s="120" t="s">
        <v>3260</v>
      </c>
    </row>
    <row r="865" spans="1:6" x14ac:dyDescent="0.2">
      <c r="A865" s="55">
        <v>37</v>
      </c>
      <c r="B865" s="45" t="s">
        <v>443</v>
      </c>
      <c r="C865" s="48">
        <v>2</v>
      </c>
      <c r="E865" s="121" t="s">
        <v>3445</v>
      </c>
      <c r="F865" s="120" t="s">
        <v>3215</v>
      </c>
    </row>
    <row r="866" spans="1:6" x14ac:dyDescent="0.2">
      <c r="A866" s="55">
        <v>37</v>
      </c>
      <c r="B866" s="45" t="s">
        <v>349</v>
      </c>
      <c r="C866" s="48">
        <v>2</v>
      </c>
      <c r="E866" s="121" t="s">
        <v>1200</v>
      </c>
      <c r="F866" s="120" t="s">
        <v>3292</v>
      </c>
    </row>
    <row r="867" spans="1:6" x14ac:dyDescent="0.2">
      <c r="A867" s="55">
        <v>37</v>
      </c>
      <c r="B867" s="45" t="s">
        <v>432</v>
      </c>
      <c r="C867" s="48">
        <v>2</v>
      </c>
      <c r="E867" s="121" t="s">
        <v>3186</v>
      </c>
      <c r="F867" s="120" t="s">
        <v>3284</v>
      </c>
    </row>
    <row r="868" spans="1:6" x14ac:dyDescent="0.2">
      <c r="A868" s="55">
        <v>37</v>
      </c>
      <c r="B868" s="45" t="s">
        <v>364</v>
      </c>
      <c r="C868" s="48">
        <v>2</v>
      </c>
      <c r="E868" s="121" t="s">
        <v>3495</v>
      </c>
      <c r="F868" s="120" t="s">
        <v>3313</v>
      </c>
    </row>
    <row r="869" spans="1:6" x14ac:dyDescent="0.2">
      <c r="A869" s="55">
        <v>37</v>
      </c>
      <c r="B869" s="45" t="s">
        <v>442</v>
      </c>
      <c r="C869" s="48">
        <v>2</v>
      </c>
      <c r="E869" s="121" t="s">
        <v>1436</v>
      </c>
      <c r="F869" s="120" t="s">
        <v>3215</v>
      </c>
    </row>
    <row r="870" spans="1:6" x14ac:dyDescent="0.2">
      <c r="A870" s="55">
        <v>37</v>
      </c>
      <c r="B870" s="45" t="s">
        <v>410</v>
      </c>
      <c r="C870" s="48">
        <v>2</v>
      </c>
      <c r="E870" s="121" t="s">
        <v>1489</v>
      </c>
      <c r="F870" s="120" t="s">
        <v>3248</v>
      </c>
    </row>
    <row r="871" spans="1:6" x14ac:dyDescent="0.2">
      <c r="A871" s="55">
        <v>37</v>
      </c>
      <c r="B871" s="45" t="s">
        <v>2579</v>
      </c>
      <c r="C871" s="48">
        <v>1</v>
      </c>
      <c r="E871" s="121" t="s">
        <v>3516</v>
      </c>
      <c r="F871" s="120" t="s">
        <v>3232</v>
      </c>
    </row>
    <row r="872" spans="1:6" x14ac:dyDescent="0.2">
      <c r="A872" s="55">
        <v>37</v>
      </c>
      <c r="B872" s="45" t="s">
        <v>2570</v>
      </c>
      <c r="C872" s="48">
        <v>1</v>
      </c>
      <c r="E872" s="121" t="s">
        <v>548</v>
      </c>
      <c r="F872" s="120" t="s">
        <v>199</v>
      </c>
    </row>
    <row r="873" spans="1:6" x14ac:dyDescent="0.2">
      <c r="A873" s="55">
        <v>37</v>
      </c>
      <c r="B873" s="45" t="s">
        <v>366</v>
      </c>
      <c r="C873" s="48">
        <v>0.5</v>
      </c>
      <c r="E873" s="121" t="s">
        <v>1187</v>
      </c>
      <c r="F873" s="120" t="s">
        <v>3263</v>
      </c>
    </row>
    <row r="874" spans="1:6" x14ac:dyDescent="0.2">
      <c r="A874" s="55">
        <v>37</v>
      </c>
      <c r="B874" s="45" t="s">
        <v>2649</v>
      </c>
      <c r="C874" s="48">
        <v>0.5</v>
      </c>
      <c r="E874" s="121" t="s">
        <v>3052</v>
      </c>
      <c r="F874" s="120" t="s">
        <v>3250</v>
      </c>
    </row>
    <row r="875" spans="1:6" x14ac:dyDescent="0.2">
      <c r="A875" s="55">
        <v>37</v>
      </c>
      <c r="B875" s="45" t="s">
        <v>438</v>
      </c>
      <c r="C875" s="48">
        <v>0.5</v>
      </c>
      <c r="E875" s="121" t="s">
        <v>3456</v>
      </c>
      <c r="F875" s="120" t="s">
        <v>3215</v>
      </c>
    </row>
    <row r="876" spans="1:6" x14ac:dyDescent="0.2">
      <c r="A876" s="55">
        <v>37</v>
      </c>
      <c r="B876" s="45" t="s">
        <v>439</v>
      </c>
      <c r="C876" s="48">
        <v>0.5</v>
      </c>
      <c r="E876" s="121" t="s">
        <v>1276</v>
      </c>
      <c r="F876" s="120" t="s">
        <v>3299</v>
      </c>
    </row>
    <row r="877" spans="1:6" x14ac:dyDescent="0.2">
      <c r="A877" s="55">
        <v>37</v>
      </c>
      <c r="B877" s="45" t="s">
        <v>450</v>
      </c>
      <c r="C877" s="48">
        <v>0.5</v>
      </c>
      <c r="E877" s="121" t="s">
        <v>3089</v>
      </c>
      <c r="F877" s="120" t="s">
        <v>3248</v>
      </c>
    </row>
    <row r="878" spans="1:6" x14ac:dyDescent="0.2">
      <c r="A878" s="55">
        <v>37</v>
      </c>
      <c r="B878" s="45" t="s">
        <v>372</v>
      </c>
      <c r="C878" s="48">
        <v>0.5</v>
      </c>
      <c r="E878" s="121" t="s">
        <v>3129</v>
      </c>
      <c r="F878" s="120" t="s">
        <v>3248</v>
      </c>
    </row>
    <row r="879" spans="1:6" x14ac:dyDescent="0.2">
      <c r="A879" s="55">
        <v>38</v>
      </c>
      <c r="B879" s="45" t="s">
        <v>376</v>
      </c>
      <c r="C879" s="48">
        <v>25</v>
      </c>
      <c r="E879" s="121" t="s">
        <v>3462</v>
      </c>
      <c r="F879" s="120" t="s">
        <v>3227</v>
      </c>
    </row>
    <row r="880" spans="1:6" x14ac:dyDescent="0.2">
      <c r="A880" s="55">
        <v>38</v>
      </c>
      <c r="B880" s="45" t="s">
        <v>342</v>
      </c>
      <c r="C880" s="48">
        <v>15</v>
      </c>
      <c r="E880" s="121" t="s">
        <v>1169</v>
      </c>
      <c r="F880" s="120" t="s">
        <v>3249</v>
      </c>
    </row>
    <row r="881" spans="1:6" x14ac:dyDescent="0.2">
      <c r="A881" s="55">
        <v>38</v>
      </c>
      <c r="B881" s="45" t="s">
        <v>364</v>
      </c>
      <c r="C881" s="48">
        <v>15</v>
      </c>
      <c r="E881" s="121" t="s">
        <v>3495</v>
      </c>
      <c r="F881" s="120" t="s">
        <v>3313</v>
      </c>
    </row>
    <row r="882" spans="1:6" x14ac:dyDescent="0.2">
      <c r="A882" s="55">
        <v>38</v>
      </c>
      <c r="B882" s="45" t="s">
        <v>394</v>
      </c>
      <c r="C882" s="48">
        <v>14</v>
      </c>
      <c r="E882" s="121" t="s">
        <v>3467</v>
      </c>
      <c r="F882" s="120" t="s">
        <v>3258</v>
      </c>
    </row>
    <row r="883" spans="1:6" x14ac:dyDescent="0.2">
      <c r="A883" s="55">
        <v>38</v>
      </c>
      <c r="B883" s="45" t="s">
        <v>341</v>
      </c>
      <c r="C883" s="48">
        <v>8</v>
      </c>
      <c r="E883" s="121" t="s">
        <v>3062</v>
      </c>
      <c r="F883" s="120" t="s">
        <v>3266</v>
      </c>
    </row>
    <row r="884" spans="1:6" x14ac:dyDescent="0.2">
      <c r="A884" s="55">
        <v>38</v>
      </c>
      <c r="B884" s="45" t="s">
        <v>395</v>
      </c>
      <c r="C884" s="48">
        <v>6</v>
      </c>
      <c r="E884" s="121" t="s">
        <v>3202</v>
      </c>
      <c r="F884" s="120" t="s">
        <v>3248</v>
      </c>
    </row>
    <row r="885" spans="1:6" x14ac:dyDescent="0.2">
      <c r="A885" s="55">
        <v>38</v>
      </c>
      <c r="B885" s="45" t="s">
        <v>444</v>
      </c>
      <c r="C885" s="48">
        <v>5</v>
      </c>
      <c r="E885" s="121" t="s">
        <v>3471</v>
      </c>
      <c r="F885" s="120" t="s">
        <v>3227</v>
      </c>
    </row>
    <row r="886" spans="1:6" x14ac:dyDescent="0.2">
      <c r="A886" s="55">
        <v>38</v>
      </c>
      <c r="B886" s="45" t="s">
        <v>349</v>
      </c>
      <c r="C886" s="48">
        <v>4</v>
      </c>
      <c r="E886" s="121" t="s">
        <v>1200</v>
      </c>
      <c r="F886" s="120" t="s">
        <v>3292</v>
      </c>
    </row>
    <row r="887" spans="1:6" x14ac:dyDescent="0.2">
      <c r="A887" s="55">
        <v>38</v>
      </c>
      <c r="B887" s="45" t="s">
        <v>375</v>
      </c>
      <c r="C887" s="48">
        <v>4</v>
      </c>
      <c r="E887" s="121" t="s">
        <v>1530</v>
      </c>
      <c r="F887" s="120" t="s">
        <v>3248</v>
      </c>
    </row>
    <row r="888" spans="1:6" x14ac:dyDescent="0.2">
      <c r="A888" s="55">
        <v>38</v>
      </c>
      <c r="B888" s="45" t="s">
        <v>437</v>
      </c>
      <c r="C888" s="48">
        <v>2</v>
      </c>
      <c r="E888" s="121" t="s">
        <v>3385</v>
      </c>
      <c r="F888" s="120" t="s">
        <v>3285</v>
      </c>
    </row>
    <row r="889" spans="1:6" x14ac:dyDescent="0.2">
      <c r="A889" s="55">
        <v>38</v>
      </c>
      <c r="B889" s="45" t="s">
        <v>2579</v>
      </c>
      <c r="C889" s="48">
        <v>2</v>
      </c>
      <c r="E889" s="121" t="s">
        <v>3516</v>
      </c>
      <c r="F889" s="120" t="s">
        <v>3232</v>
      </c>
    </row>
    <row r="890" spans="1:6" x14ac:dyDescent="0.2">
      <c r="A890" s="55">
        <v>38</v>
      </c>
      <c r="B890" s="45" t="s">
        <v>445</v>
      </c>
      <c r="C890" s="48">
        <v>1</v>
      </c>
      <c r="E890" s="121" t="s">
        <v>3474</v>
      </c>
      <c r="F890" s="120" t="s">
        <v>3227</v>
      </c>
    </row>
    <row r="891" spans="1:6" x14ac:dyDescent="0.2">
      <c r="A891" s="55">
        <v>38</v>
      </c>
      <c r="B891" s="45" t="s">
        <v>402</v>
      </c>
      <c r="C891" s="48">
        <v>0.5</v>
      </c>
      <c r="E891" s="121" t="s">
        <v>3171</v>
      </c>
      <c r="F891" s="120" t="s">
        <v>3284</v>
      </c>
    </row>
    <row r="892" spans="1:6" x14ac:dyDescent="0.2">
      <c r="A892" s="55">
        <v>38</v>
      </c>
      <c r="B892" s="45" t="s">
        <v>583</v>
      </c>
      <c r="C892" s="48">
        <v>0.5</v>
      </c>
      <c r="E892" s="121" t="s">
        <v>1207</v>
      </c>
      <c r="F892" s="120" t="s">
        <v>3274</v>
      </c>
    </row>
    <row r="893" spans="1:6" x14ac:dyDescent="0.2">
      <c r="A893" s="55">
        <v>38</v>
      </c>
      <c r="B893" s="45" t="s">
        <v>423</v>
      </c>
      <c r="C893" s="48">
        <v>0.5</v>
      </c>
      <c r="E893" s="121" t="s">
        <v>3494</v>
      </c>
      <c r="F893" s="120" t="s">
        <v>3310</v>
      </c>
    </row>
    <row r="894" spans="1:6" x14ac:dyDescent="0.2">
      <c r="A894" s="55">
        <v>38</v>
      </c>
      <c r="B894" s="45" t="s">
        <v>354</v>
      </c>
      <c r="C894" s="48">
        <v>0.5</v>
      </c>
      <c r="E894" s="121" t="s">
        <v>3188</v>
      </c>
      <c r="F894" s="120" t="s">
        <v>3269</v>
      </c>
    </row>
    <row r="895" spans="1:6" x14ac:dyDescent="0.2">
      <c r="A895" s="55">
        <v>38</v>
      </c>
      <c r="B895" s="45" t="s">
        <v>432</v>
      </c>
      <c r="C895" s="48">
        <v>0.5</v>
      </c>
      <c r="E895" s="121" t="s">
        <v>3186</v>
      </c>
      <c r="F895" s="120" t="s">
        <v>3284</v>
      </c>
    </row>
    <row r="896" spans="1:6" x14ac:dyDescent="0.2">
      <c r="A896" s="55">
        <v>39</v>
      </c>
      <c r="B896" s="45" t="s">
        <v>445</v>
      </c>
      <c r="C896" s="48">
        <v>65</v>
      </c>
      <c r="E896" s="121" t="s">
        <v>3474</v>
      </c>
      <c r="F896" s="120" t="s">
        <v>3227</v>
      </c>
    </row>
    <row r="897" spans="1:6" x14ac:dyDescent="0.2">
      <c r="A897" s="55">
        <v>39</v>
      </c>
      <c r="B897" s="45" t="s">
        <v>360</v>
      </c>
      <c r="C897" s="48">
        <v>6</v>
      </c>
      <c r="E897" s="121" t="s">
        <v>3522</v>
      </c>
      <c r="F897" s="120" t="s">
        <v>3258</v>
      </c>
    </row>
    <row r="898" spans="1:6" x14ac:dyDescent="0.2">
      <c r="A898" s="55">
        <v>39</v>
      </c>
      <c r="B898" s="45" t="s">
        <v>395</v>
      </c>
      <c r="C898" s="48">
        <v>5</v>
      </c>
      <c r="E898" s="121" t="s">
        <v>3202</v>
      </c>
      <c r="F898" s="120" t="s">
        <v>3248</v>
      </c>
    </row>
    <row r="899" spans="1:6" x14ac:dyDescent="0.2">
      <c r="A899" s="55">
        <v>39</v>
      </c>
      <c r="B899" s="45" t="s">
        <v>394</v>
      </c>
      <c r="C899" s="48">
        <v>5</v>
      </c>
      <c r="E899" s="121" t="s">
        <v>3467</v>
      </c>
      <c r="F899" s="120" t="s">
        <v>3258</v>
      </c>
    </row>
    <row r="900" spans="1:6" x14ac:dyDescent="0.2">
      <c r="A900" s="55">
        <v>39</v>
      </c>
      <c r="B900" s="45" t="s">
        <v>2573</v>
      </c>
      <c r="C900" s="48">
        <v>2</v>
      </c>
      <c r="E900" s="121" t="s">
        <v>2880</v>
      </c>
      <c r="F900" s="120" t="s">
        <v>3249</v>
      </c>
    </row>
    <row r="901" spans="1:6" x14ac:dyDescent="0.2">
      <c r="A901" s="55">
        <v>39</v>
      </c>
      <c r="B901" s="45" t="s">
        <v>403</v>
      </c>
      <c r="C901" s="48">
        <v>2</v>
      </c>
      <c r="E901" s="121" t="s">
        <v>1408</v>
      </c>
      <c r="F901" s="120" t="s">
        <v>3248</v>
      </c>
    </row>
    <row r="902" spans="1:6" x14ac:dyDescent="0.2">
      <c r="A902" s="55">
        <v>39</v>
      </c>
      <c r="B902" s="45" t="s">
        <v>355</v>
      </c>
      <c r="C902" s="48">
        <v>2</v>
      </c>
      <c r="E902" s="121" t="s">
        <v>1150</v>
      </c>
      <c r="F902" s="120" t="s">
        <v>3287</v>
      </c>
    </row>
    <row r="903" spans="1:6" x14ac:dyDescent="0.2">
      <c r="A903" s="55">
        <v>39</v>
      </c>
      <c r="B903" s="45" t="s">
        <v>2639</v>
      </c>
      <c r="C903" s="48">
        <v>2</v>
      </c>
      <c r="E903" s="121" t="s">
        <v>1430</v>
      </c>
      <c r="F903" s="120" t="s">
        <v>3288</v>
      </c>
    </row>
    <row r="904" spans="1:6" x14ac:dyDescent="0.2">
      <c r="A904" s="55">
        <v>39</v>
      </c>
      <c r="B904" s="45" t="s">
        <v>345</v>
      </c>
      <c r="C904" s="48">
        <v>2</v>
      </c>
      <c r="E904" s="121" t="s">
        <v>3520</v>
      </c>
      <c r="F904" s="120" t="s">
        <v>3227</v>
      </c>
    </row>
    <row r="905" spans="1:6" x14ac:dyDescent="0.2">
      <c r="A905" s="55">
        <v>39</v>
      </c>
      <c r="B905" s="45" t="s">
        <v>358</v>
      </c>
      <c r="C905" s="48">
        <v>2</v>
      </c>
      <c r="E905" s="121" t="s">
        <v>1404</v>
      </c>
      <c r="F905" s="120" t="s">
        <v>3248</v>
      </c>
    </row>
    <row r="906" spans="1:6" x14ac:dyDescent="0.2">
      <c r="A906" s="55">
        <v>39</v>
      </c>
      <c r="B906" s="45" t="s">
        <v>364</v>
      </c>
      <c r="C906" s="48">
        <v>2</v>
      </c>
      <c r="E906" s="121" t="s">
        <v>3495</v>
      </c>
      <c r="F906" s="120" t="s">
        <v>3313</v>
      </c>
    </row>
    <row r="907" spans="1:6" x14ac:dyDescent="0.2">
      <c r="A907" s="55">
        <v>39</v>
      </c>
      <c r="B907" s="45" t="s">
        <v>446</v>
      </c>
      <c r="C907" s="48">
        <v>2</v>
      </c>
      <c r="E907" s="121" t="s">
        <v>1491</v>
      </c>
      <c r="F907" s="120" t="s">
        <v>3249</v>
      </c>
    </row>
    <row r="908" spans="1:6" x14ac:dyDescent="0.2">
      <c r="A908" s="55">
        <v>39</v>
      </c>
      <c r="B908" s="45" t="s">
        <v>350</v>
      </c>
      <c r="C908" s="48">
        <v>0.5</v>
      </c>
      <c r="E908" s="121" t="s">
        <v>1415</v>
      </c>
      <c r="F908" s="120" t="s">
        <v>3249</v>
      </c>
    </row>
    <row r="909" spans="1:6" x14ac:dyDescent="0.2">
      <c r="A909" s="55">
        <v>39</v>
      </c>
      <c r="B909" s="45" t="s">
        <v>369</v>
      </c>
      <c r="C909" s="48">
        <v>0.5</v>
      </c>
      <c r="E909" s="121" t="s">
        <v>2829</v>
      </c>
      <c r="F909" s="120" t="s">
        <v>1289</v>
      </c>
    </row>
    <row r="910" spans="1:6" x14ac:dyDescent="0.2">
      <c r="A910" s="55">
        <v>39</v>
      </c>
      <c r="B910" s="45" t="s">
        <v>2636</v>
      </c>
      <c r="C910" s="48">
        <v>0.5</v>
      </c>
      <c r="E910" s="121" t="s">
        <v>3504</v>
      </c>
      <c r="F910" s="120" t="s">
        <v>3248</v>
      </c>
    </row>
    <row r="911" spans="1:6" x14ac:dyDescent="0.2">
      <c r="A911" s="55">
        <v>39</v>
      </c>
      <c r="B911" s="45" t="s">
        <v>2660</v>
      </c>
      <c r="C911" s="48">
        <v>0.5</v>
      </c>
      <c r="E911" s="121" t="s">
        <v>3493</v>
      </c>
      <c r="F911" s="120" t="s">
        <v>3310</v>
      </c>
    </row>
    <row r="912" spans="1:6" x14ac:dyDescent="0.2">
      <c r="A912" s="55">
        <v>39</v>
      </c>
      <c r="B912" s="45" t="s">
        <v>2583</v>
      </c>
      <c r="C912" s="48">
        <v>0.5</v>
      </c>
      <c r="E912" s="121" t="s">
        <v>1177</v>
      </c>
      <c r="F912" s="120" t="s">
        <v>3288</v>
      </c>
    </row>
    <row r="913" spans="1:6" x14ac:dyDescent="0.2">
      <c r="A913" s="55">
        <v>39</v>
      </c>
      <c r="B913" s="45" t="s">
        <v>349</v>
      </c>
      <c r="C913" s="48">
        <v>0.5</v>
      </c>
      <c r="E913" s="121" t="s">
        <v>1200</v>
      </c>
      <c r="F913" s="120" t="s">
        <v>3292</v>
      </c>
    </row>
    <row r="914" spans="1:6" x14ac:dyDescent="0.2">
      <c r="A914" s="55">
        <v>39</v>
      </c>
      <c r="B914" s="45" t="s">
        <v>447</v>
      </c>
      <c r="C914" s="48">
        <v>0.5</v>
      </c>
      <c r="E914" s="121" t="s">
        <v>1531</v>
      </c>
      <c r="F914" s="120" t="s">
        <v>3248</v>
      </c>
    </row>
    <row r="915" spans="1:6" x14ac:dyDescent="0.2">
      <c r="A915" s="55">
        <v>40</v>
      </c>
      <c r="B915" s="45" t="s">
        <v>398</v>
      </c>
      <c r="C915" s="48">
        <v>45</v>
      </c>
      <c r="E915" s="121" t="s">
        <v>1165</v>
      </c>
      <c r="F915" s="120" t="s">
        <v>3215</v>
      </c>
    </row>
    <row r="916" spans="1:6" x14ac:dyDescent="0.2">
      <c r="A916" s="55">
        <v>40</v>
      </c>
      <c r="B916" s="45" t="s">
        <v>400</v>
      </c>
      <c r="C916" s="48">
        <v>15</v>
      </c>
      <c r="E916" s="121" t="s">
        <v>1411</v>
      </c>
      <c r="F916" s="120" t="s">
        <v>3249</v>
      </c>
    </row>
    <row r="917" spans="1:6" x14ac:dyDescent="0.2">
      <c r="A917" s="55">
        <v>40</v>
      </c>
      <c r="B917" s="45" t="s">
        <v>402</v>
      </c>
      <c r="C917" s="48">
        <v>6</v>
      </c>
      <c r="E917" s="121" t="s">
        <v>3171</v>
      </c>
      <c r="F917" s="120" t="s">
        <v>3284</v>
      </c>
    </row>
    <row r="918" spans="1:6" x14ac:dyDescent="0.2">
      <c r="A918" s="55">
        <v>40</v>
      </c>
      <c r="B918" s="45" t="s">
        <v>2661</v>
      </c>
      <c r="C918" s="48">
        <v>4</v>
      </c>
      <c r="E918" s="121" t="s">
        <v>1508</v>
      </c>
      <c r="F918" s="120" t="s">
        <v>3320</v>
      </c>
    </row>
    <row r="919" spans="1:6" x14ac:dyDescent="0.2">
      <c r="A919" s="55">
        <v>40</v>
      </c>
      <c r="B919" s="45" t="s">
        <v>355</v>
      </c>
      <c r="C919" s="48">
        <v>3</v>
      </c>
      <c r="E919" s="121" t="s">
        <v>1150</v>
      </c>
      <c r="F919" s="120" t="s">
        <v>3287</v>
      </c>
    </row>
    <row r="920" spans="1:6" x14ac:dyDescent="0.2">
      <c r="A920" s="55">
        <v>40</v>
      </c>
      <c r="B920" s="45" t="s">
        <v>449</v>
      </c>
      <c r="C920" s="48">
        <v>3</v>
      </c>
      <c r="E920" s="121" t="s">
        <v>3172</v>
      </c>
      <c r="F920" s="120" t="s">
        <v>3284</v>
      </c>
    </row>
    <row r="921" spans="1:6" x14ac:dyDescent="0.2">
      <c r="A921" s="55">
        <v>40</v>
      </c>
      <c r="B921" s="45" t="s">
        <v>403</v>
      </c>
      <c r="C921" s="48">
        <v>2</v>
      </c>
      <c r="E921" s="121" t="s">
        <v>1408</v>
      </c>
      <c r="F921" s="120" t="s">
        <v>3248</v>
      </c>
    </row>
    <row r="922" spans="1:6" x14ac:dyDescent="0.2">
      <c r="A922" s="55">
        <v>40</v>
      </c>
      <c r="B922" s="45" t="s">
        <v>2642</v>
      </c>
      <c r="C922" s="48">
        <v>2</v>
      </c>
      <c r="E922" s="121" t="s">
        <v>1148</v>
      </c>
      <c r="F922" s="120" t="s">
        <v>3215</v>
      </c>
    </row>
    <row r="923" spans="1:6" x14ac:dyDescent="0.2">
      <c r="A923" s="55">
        <v>40</v>
      </c>
      <c r="B923" s="45" t="s">
        <v>2662</v>
      </c>
      <c r="C923" s="48">
        <v>2</v>
      </c>
      <c r="E923" s="121" t="s">
        <v>3040</v>
      </c>
      <c r="F923" s="120" t="s">
        <v>3261</v>
      </c>
    </row>
    <row r="924" spans="1:6" x14ac:dyDescent="0.2">
      <c r="A924" s="55">
        <v>40</v>
      </c>
      <c r="B924" s="45" t="s">
        <v>448</v>
      </c>
      <c r="C924" s="48">
        <v>2</v>
      </c>
      <c r="E924" s="121" t="s">
        <v>3173</v>
      </c>
      <c r="F924" s="120" t="s">
        <v>3285</v>
      </c>
    </row>
    <row r="925" spans="1:6" x14ac:dyDescent="0.2">
      <c r="A925" s="55">
        <v>40</v>
      </c>
      <c r="B925" s="45" t="s">
        <v>2641</v>
      </c>
      <c r="C925" s="48">
        <v>1</v>
      </c>
      <c r="E925" s="121" t="s">
        <v>1418</v>
      </c>
      <c r="F925" s="120" t="s">
        <v>3249</v>
      </c>
    </row>
    <row r="926" spans="1:6" x14ac:dyDescent="0.2">
      <c r="A926" s="55">
        <v>40</v>
      </c>
      <c r="B926" s="45" t="s">
        <v>366</v>
      </c>
      <c r="C926" s="48">
        <v>1</v>
      </c>
      <c r="E926" s="121" t="s">
        <v>1187</v>
      </c>
      <c r="F926" s="120" t="s">
        <v>3263</v>
      </c>
    </row>
    <row r="927" spans="1:6" x14ac:dyDescent="0.2">
      <c r="A927" s="55">
        <v>40</v>
      </c>
      <c r="B927" s="45" t="s">
        <v>376</v>
      </c>
      <c r="C927" s="48">
        <v>1</v>
      </c>
      <c r="E927" s="121" t="s">
        <v>3462</v>
      </c>
      <c r="F927" s="120" t="s">
        <v>3227</v>
      </c>
    </row>
    <row r="928" spans="1:6" x14ac:dyDescent="0.2">
      <c r="A928" s="55">
        <v>40</v>
      </c>
      <c r="B928" s="45" t="s">
        <v>349</v>
      </c>
      <c r="C928" s="48">
        <v>1</v>
      </c>
      <c r="E928" s="121" t="s">
        <v>1200</v>
      </c>
      <c r="F928" s="120" t="s">
        <v>3292</v>
      </c>
    </row>
    <row r="929" spans="1:6" x14ac:dyDescent="0.2">
      <c r="A929" s="55">
        <v>40</v>
      </c>
      <c r="B929" s="45" t="s">
        <v>348</v>
      </c>
      <c r="C929" s="48">
        <v>1</v>
      </c>
      <c r="E929" s="121" t="s">
        <v>3433</v>
      </c>
      <c r="F929" s="120" t="s">
        <v>3285</v>
      </c>
    </row>
    <row r="930" spans="1:6" x14ac:dyDescent="0.2">
      <c r="A930" s="55">
        <v>40</v>
      </c>
      <c r="B930" s="45" t="s">
        <v>445</v>
      </c>
      <c r="C930" s="48">
        <v>1</v>
      </c>
      <c r="E930" s="121" t="s">
        <v>3474</v>
      </c>
      <c r="F930" s="120" t="s">
        <v>3227</v>
      </c>
    </row>
    <row r="931" spans="1:6" x14ac:dyDescent="0.2">
      <c r="A931" s="55">
        <v>40</v>
      </c>
      <c r="B931" s="45" t="s">
        <v>364</v>
      </c>
      <c r="C931" s="48">
        <v>1</v>
      </c>
      <c r="E931" s="121" t="s">
        <v>3495</v>
      </c>
      <c r="F931" s="120" t="s">
        <v>3313</v>
      </c>
    </row>
    <row r="932" spans="1:6" x14ac:dyDescent="0.2">
      <c r="A932" s="55">
        <v>40</v>
      </c>
      <c r="B932" s="45" t="s">
        <v>451</v>
      </c>
      <c r="C932" s="48">
        <v>1</v>
      </c>
      <c r="E932" s="121" t="s">
        <v>1434</v>
      </c>
      <c r="F932" s="120" t="s">
        <v>3215</v>
      </c>
    </row>
    <row r="933" spans="1:6" x14ac:dyDescent="0.2">
      <c r="A933" s="55">
        <v>40</v>
      </c>
      <c r="B933" s="45" t="s">
        <v>433</v>
      </c>
      <c r="C933" s="48">
        <v>0.5</v>
      </c>
      <c r="E933" s="121" t="s">
        <v>1239</v>
      </c>
      <c r="F933" s="120" t="s">
        <v>3299</v>
      </c>
    </row>
    <row r="934" spans="1:6" x14ac:dyDescent="0.2">
      <c r="A934" s="55">
        <v>40</v>
      </c>
      <c r="B934" s="45" t="s">
        <v>440</v>
      </c>
      <c r="C934" s="48">
        <v>0.5</v>
      </c>
      <c r="E934" s="121" t="s">
        <v>3114</v>
      </c>
      <c r="F934" s="120" t="s">
        <v>3260</v>
      </c>
    </row>
    <row r="935" spans="1:6" x14ac:dyDescent="0.2">
      <c r="A935" s="55">
        <v>40</v>
      </c>
      <c r="B935" s="45" t="s">
        <v>396</v>
      </c>
      <c r="C935" s="48">
        <v>0.5</v>
      </c>
      <c r="E935" s="121" t="s">
        <v>3105</v>
      </c>
      <c r="F935" s="120" t="s">
        <v>3260</v>
      </c>
    </row>
    <row r="936" spans="1:6" x14ac:dyDescent="0.2">
      <c r="A936" s="55">
        <v>40</v>
      </c>
      <c r="B936" s="45" t="s">
        <v>450</v>
      </c>
      <c r="C936" s="48">
        <v>0.5</v>
      </c>
      <c r="E936" s="121" t="s">
        <v>3089</v>
      </c>
      <c r="F936" s="120" t="s">
        <v>3248</v>
      </c>
    </row>
    <row r="937" spans="1:6" x14ac:dyDescent="0.2">
      <c r="A937" s="55">
        <v>41</v>
      </c>
      <c r="B937" s="45" t="s">
        <v>398</v>
      </c>
      <c r="C937" s="48">
        <v>40</v>
      </c>
      <c r="E937" s="121" t="s">
        <v>1165</v>
      </c>
      <c r="F937" s="120" t="s">
        <v>3215</v>
      </c>
    </row>
    <row r="938" spans="1:6" x14ac:dyDescent="0.2">
      <c r="A938" s="55">
        <v>41</v>
      </c>
      <c r="B938" s="45" t="s">
        <v>400</v>
      </c>
      <c r="C938" s="48">
        <v>10</v>
      </c>
      <c r="E938" s="121" t="s">
        <v>1411</v>
      </c>
      <c r="F938" s="120" t="s">
        <v>3249</v>
      </c>
    </row>
    <row r="939" spans="1:6" x14ac:dyDescent="0.2">
      <c r="A939" s="55">
        <v>41</v>
      </c>
      <c r="B939" s="45" t="s">
        <v>364</v>
      </c>
      <c r="C939" s="48">
        <v>10</v>
      </c>
      <c r="E939" s="121" t="s">
        <v>3495</v>
      </c>
      <c r="F939" s="120" t="s">
        <v>3313</v>
      </c>
    </row>
    <row r="940" spans="1:6" x14ac:dyDescent="0.2">
      <c r="A940" s="55">
        <v>41</v>
      </c>
      <c r="B940" s="45" t="s">
        <v>2566</v>
      </c>
      <c r="C940" s="48">
        <v>8</v>
      </c>
      <c r="E940" s="121" t="s">
        <v>3331</v>
      </c>
      <c r="F940" s="120" t="s">
        <v>3249</v>
      </c>
    </row>
    <row r="941" spans="1:6" x14ac:dyDescent="0.2">
      <c r="A941" s="55">
        <v>41</v>
      </c>
      <c r="B941" s="45" t="s">
        <v>2649</v>
      </c>
      <c r="C941" s="48">
        <v>4</v>
      </c>
      <c r="E941" s="121" t="s">
        <v>3052</v>
      </c>
      <c r="F941" s="120" t="s">
        <v>3250</v>
      </c>
    </row>
    <row r="942" spans="1:6" x14ac:dyDescent="0.2">
      <c r="A942" s="55">
        <v>41</v>
      </c>
      <c r="B942" s="45" t="s">
        <v>2661</v>
      </c>
      <c r="C942" s="48">
        <v>4</v>
      </c>
      <c r="E942" s="121" t="s">
        <v>1508</v>
      </c>
      <c r="F942" s="120" t="s">
        <v>3320</v>
      </c>
    </row>
    <row r="943" spans="1:6" x14ac:dyDescent="0.2">
      <c r="A943" s="55">
        <v>41</v>
      </c>
      <c r="B943" s="45" t="s">
        <v>2641</v>
      </c>
      <c r="C943" s="48">
        <v>3</v>
      </c>
      <c r="E943" s="121" t="s">
        <v>1418</v>
      </c>
      <c r="F943" s="120" t="s">
        <v>3249</v>
      </c>
    </row>
    <row r="944" spans="1:6" x14ac:dyDescent="0.2">
      <c r="A944" s="55">
        <v>41</v>
      </c>
      <c r="B944" s="45" t="s">
        <v>2573</v>
      </c>
      <c r="C944" s="48">
        <v>3</v>
      </c>
      <c r="E944" s="121" t="s">
        <v>2880</v>
      </c>
      <c r="F944" s="120" t="s">
        <v>3249</v>
      </c>
    </row>
    <row r="945" spans="1:6" x14ac:dyDescent="0.2">
      <c r="A945" s="55">
        <v>41</v>
      </c>
      <c r="B945" s="45" t="s">
        <v>2642</v>
      </c>
      <c r="C945" s="48">
        <v>3</v>
      </c>
      <c r="E945" s="121" t="s">
        <v>1148</v>
      </c>
      <c r="F945" s="120" t="s">
        <v>3215</v>
      </c>
    </row>
    <row r="946" spans="1:6" x14ac:dyDescent="0.2">
      <c r="A946" s="55">
        <v>41</v>
      </c>
      <c r="B946" s="45" t="s">
        <v>399</v>
      </c>
      <c r="C946" s="48">
        <v>2</v>
      </c>
      <c r="E946" s="121" t="s">
        <v>1155</v>
      </c>
      <c r="F946" s="120" t="s">
        <v>3248</v>
      </c>
    </row>
    <row r="947" spans="1:6" x14ac:dyDescent="0.2">
      <c r="A947" s="55">
        <v>41</v>
      </c>
      <c r="B947" s="45" t="s">
        <v>355</v>
      </c>
      <c r="C947" s="48">
        <v>2</v>
      </c>
      <c r="E947" s="121" t="s">
        <v>1150</v>
      </c>
      <c r="F947" s="120" t="s">
        <v>3287</v>
      </c>
    </row>
    <row r="948" spans="1:6" x14ac:dyDescent="0.2">
      <c r="A948" s="55">
        <v>41</v>
      </c>
      <c r="B948" s="45" t="s">
        <v>360</v>
      </c>
      <c r="C948" s="48">
        <v>2</v>
      </c>
      <c r="E948" s="121" t="s">
        <v>3522</v>
      </c>
      <c r="F948" s="120" t="s">
        <v>3258</v>
      </c>
    </row>
    <row r="949" spans="1:6" x14ac:dyDescent="0.2">
      <c r="A949" s="55">
        <v>41</v>
      </c>
      <c r="B949" s="45" t="s">
        <v>370</v>
      </c>
      <c r="C949" s="48">
        <v>2</v>
      </c>
      <c r="E949" s="121" t="s">
        <v>1875</v>
      </c>
      <c r="F949" s="120" t="s">
        <v>3318</v>
      </c>
    </row>
    <row r="950" spans="1:6" x14ac:dyDescent="0.2">
      <c r="A950" s="55">
        <v>41</v>
      </c>
      <c r="B950" s="45" t="s">
        <v>451</v>
      </c>
      <c r="C950" s="48">
        <v>2</v>
      </c>
      <c r="E950" s="121" t="s">
        <v>1434</v>
      </c>
      <c r="F950" s="120" t="s">
        <v>3215</v>
      </c>
    </row>
    <row r="951" spans="1:6" x14ac:dyDescent="0.2">
      <c r="A951" s="55">
        <v>41</v>
      </c>
      <c r="B951" s="45" t="s">
        <v>350</v>
      </c>
      <c r="C951" s="48">
        <v>1</v>
      </c>
      <c r="E951" s="121" t="s">
        <v>1415</v>
      </c>
      <c r="F951" s="120" t="s">
        <v>3249</v>
      </c>
    </row>
    <row r="952" spans="1:6" x14ac:dyDescent="0.2">
      <c r="A952" s="55">
        <v>41</v>
      </c>
      <c r="B952" s="45" t="s">
        <v>402</v>
      </c>
      <c r="C952" s="48">
        <v>1</v>
      </c>
      <c r="E952" s="121" t="s">
        <v>3171</v>
      </c>
      <c r="F952" s="120" t="s">
        <v>3284</v>
      </c>
    </row>
    <row r="953" spans="1:6" x14ac:dyDescent="0.2">
      <c r="A953" s="55">
        <v>41</v>
      </c>
      <c r="B953" s="45" t="s">
        <v>440</v>
      </c>
      <c r="C953" s="48">
        <v>1</v>
      </c>
      <c r="E953" s="121" t="s">
        <v>3114</v>
      </c>
      <c r="F953" s="120" t="s">
        <v>3260</v>
      </c>
    </row>
    <row r="954" spans="1:6" x14ac:dyDescent="0.2">
      <c r="A954" s="55">
        <v>41</v>
      </c>
      <c r="B954" s="45" t="s">
        <v>345</v>
      </c>
      <c r="C954" s="48">
        <v>1</v>
      </c>
      <c r="E954" s="121" t="s">
        <v>3520</v>
      </c>
      <c r="F954" s="120" t="s">
        <v>3227</v>
      </c>
    </row>
    <row r="955" spans="1:6" x14ac:dyDescent="0.2">
      <c r="A955" s="55">
        <v>41</v>
      </c>
      <c r="B955" s="45" t="s">
        <v>348</v>
      </c>
      <c r="C955" s="48">
        <v>1</v>
      </c>
      <c r="E955" s="121" t="s">
        <v>3433</v>
      </c>
      <c r="F955" s="120" t="s">
        <v>3285</v>
      </c>
    </row>
    <row r="956" spans="1:6" x14ac:dyDescent="0.2">
      <c r="A956" s="55">
        <v>41</v>
      </c>
      <c r="B956" s="45" t="s">
        <v>369</v>
      </c>
      <c r="C956" s="48">
        <v>0.5</v>
      </c>
      <c r="E956" s="121" t="s">
        <v>2829</v>
      </c>
      <c r="F956" s="120" t="s">
        <v>1289</v>
      </c>
    </row>
    <row r="957" spans="1:6" x14ac:dyDescent="0.2">
      <c r="A957" s="55">
        <v>41</v>
      </c>
      <c r="B957" s="45" t="s">
        <v>452</v>
      </c>
      <c r="C957" s="48">
        <v>0.5</v>
      </c>
      <c r="E957" s="121" t="s">
        <v>1494</v>
      </c>
      <c r="F957" s="120" t="s">
        <v>3259</v>
      </c>
    </row>
    <row r="958" spans="1:6" x14ac:dyDescent="0.2">
      <c r="A958" s="55">
        <v>41</v>
      </c>
      <c r="B958" s="45" t="s">
        <v>349</v>
      </c>
      <c r="C958" s="48">
        <v>0.5</v>
      </c>
      <c r="E958" s="121" t="s">
        <v>1200</v>
      </c>
      <c r="F958" s="120" t="s">
        <v>3292</v>
      </c>
    </row>
    <row r="959" spans="1:6" x14ac:dyDescent="0.2">
      <c r="A959" s="55">
        <v>41</v>
      </c>
      <c r="B959" s="45" t="s">
        <v>380</v>
      </c>
      <c r="C959" s="48">
        <v>0.5</v>
      </c>
      <c r="E959" s="121" t="s">
        <v>2853</v>
      </c>
      <c r="F959" s="120" t="s">
        <v>3227</v>
      </c>
    </row>
    <row r="960" spans="1:6" x14ac:dyDescent="0.2">
      <c r="A960" s="55">
        <v>41</v>
      </c>
      <c r="B960" s="45" t="s">
        <v>2571</v>
      </c>
      <c r="C960" s="48">
        <v>0.5</v>
      </c>
      <c r="E960" s="121" t="s">
        <v>1435</v>
      </c>
      <c r="F960" s="120" t="s">
        <v>3215</v>
      </c>
    </row>
    <row r="961" spans="1:6" x14ac:dyDescent="0.2">
      <c r="A961" s="55">
        <v>42</v>
      </c>
      <c r="B961" s="45" t="s">
        <v>426</v>
      </c>
      <c r="C961" s="48">
        <v>10</v>
      </c>
      <c r="E961" s="121" t="s">
        <v>3486</v>
      </c>
      <c r="F961" s="120" t="s">
        <v>3312</v>
      </c>
    </row>
    <row r="962" spans="1:6" x14ac:dyDescent="0.2">
      <c r="A962" s="55">
        <v>42</v>
      </c>
      <c r="B962" s="45" t="s">
        <v>2565</v>
      </c>
      <c r="C962" s="48">
        <v>10</v>
      </c>
      <c r="E962" s="121" t="s">
        <v>3435</v>
      </c>
      <c r="F962" s="120" t="s">
        <v>3286</v>
      </c>
    </row>
    <row r="963" spans="1:6" x14ac:dyDescent="0.2">
      <c r="A963" s="55">
        <v>42</v>
      </c>
      <c r="B963" s="45" t="s">
        <v>441</v>
      </c>
      <c r="C963" s="48">
        <v>8</v>
      </c>
      <c r="E963" s="121" t="s">
        <v>3469</v>
      </c>
      <c r="F963" s="120" t="s">
        <v>3258</v>
      </c>
    </row>
    <row r="964" spans="1:6" x14ac:dyDescent="0.2">
      <c r="A964" s="55">
        <v>42</v>
      </c>
      <c r="B964" s="45" t="s">
        <v>2579</v>
      </c>
      <c r="C964" s="48">
        <v>6</v>
      </c>
      <c r="E964" s="121" t="s">
        <v>3516</v>
      </c>
      <c r="F964" s="120" t="s">
        <v>3232</v>
      </c>
    </row>
    <row r="965" spans="1:6" x14ac:dyDescent="0.2">
      <c r="A965" s="55">
        <v>42</v>
      </c>
      <c r="B965" s="45" t="s">
        <v>2663</v>
      </c>
      <c r="C965" s="48">
        <v>4</v>
      </c>
      <c r="E965" s="121" t="s">
        <v>3491</v>
      </c>
      <c r="F965" s="120" t="s">
        <v>3312</v>
      </c>
    </row>
    <row r="966" spans="1:6" x14ac:dyDescent="0.2">
      <c r="A966" s="55">
        <v>42</v>
      </c>
      <c r="B966" s="45" t="s">
        <v>347</v>
      </c>
      <c r="C966" s="48">
        <v>3</v>
      </c>
      <c r="E966" s="121" t="s">
        <v>3492</v>
      </c>
      <c r="F966" s="120" t="s">
        <v>3312</v>
      </c>
    </row>
    <row r="967" spans="1:6" x14ac:dyDescent="0.2">
      <c r="A967" s="55">
        <v>42</v>
      </c>
      <c r="B967" s="45" t="s">
        <v>408</v>
      </c>
      <c r="C967" s="48">
        <v>3</v>
      </c>
      <c r="E967" s="121" t="s">
        <v>3468</v>
      </c>
      <c r="F967" s="120" t="s">
        <v>3292</v>
      </c>
    </row>
    <row r="968" spans="1:6" x14ac:dyDescent="0.2">
      <c r="A968" s="55">
        <v>42</v>
      </c>
      <c r="B968" s="45" t="s">
        <v>2602</v>
      </c>
      <c r="C968" s="48">
        <v>3</v>
      </c>
      <c r="E968" s="121" t="s">
        <v>3382</v>
      </c>
      <c r="F968" s="120" t="s">
        <v>3248</v>
      </c>
    </row>
    <row r="969" spans="1:6" x14ac:dyDescent="0.2">
      <c r="A969" s="55">
        <v>42</v>
      </c>
      <c r="B969" s="45" t="s">
        <v>451</v>
      </c>
      <c r="C969" s="48">
        <v>3</v>
      </c>
      <c r="E969" s="121" t="s">
        <v>1434</v>
      </c>
      <c r="F969" s="120" t="s">
        <v>3215</v>
      </c>
    </row>
    <row r="970" spans="1:6" x14ac:dyDescent="0.2">
      <c r="A970" s="55">
        <v>42</v>
      </c>
      <c r="B970" s="45" t="s">
        <v>350</v>
      </c>
      <c r="C970" s="48">
        <v>2</v>
      </c>
      <c r="E970" s="121" t="s">
        <v>1415</v>
      </c>
      <c r="F970" s="120" t="s">
        <v>3249</v>
      </c>
    </row>
    <row r="971" spans="1:6" x14ac:dyDescent="0.2">
      <c r="A971" s="55">
        <v>42</v>
      </c>
      <c r="B971" s="45" t="s">
        <v>430</v>
      </c>
      <c r="C971" s="48">
        <v>2</v>
      </c>
      <c r="E971" s="121" t="s">
        <v>1237</v>
      </c>
      <c r="F971" s="120" t="s">
        <v>3230</v>
      </c>
    </row>
    <row r="972" spans="1:6" x14ac:dyDescent="0.2">
      <c r="A972" s="55">
        <v>42</v>
      </c>
      <c r="B972" s="45" t="s">
        <v>399</v>
      </c>
      <c r="C972" s="48">
        <v>2</v>
      </c>
      <c r="E972" s="121" t="s">
        <v>1155</v>
      </c>
      <c r="F972" s="120" t="s">
        <v>3248</v>
      </c>
    </row>
    <row r="973" spans="1:6" x14ac:dyDescent="0.2">
      <c r="A973" s="55">
        <v>42</v>
      </c>
      <c r="B973" s="45" t="s">
        <v>398</v>
      </c>
      <c r="C973" s="48">
        <v>2</v>
      </c>
      <c r="E973" s="121" t="s">
        <v>1165</v>
      </c>
      <c r="F973" s="120" t="s">
        <v>3215</v>
      </c>
    </row>
    <row r="974" spans="1:6" x14ac:dyDescent="0.2">
      <c r="A974" s="55">
        <v>42</v>
      </c>
      <c r="B974" s="45" t="s">
        <v>2603</v>
      </c>
      <c r="C974" s="48">
        <v>2</v>
      </c>
      <c r="E974" s="121" t="s">
        <v>2905</v>
      </c>
      <c r="F974" s="120" t="s">
        <v>3253</v>
      </c>
    </row>
    <row r="975" spans="1:6" x14ac:dyDescent="0.2">
      <c r="A975" s="55">
        <v>42</v>
      </c>
      <c r="B975" s="45" t="s">
        <v>412</v>
      </c>
      <c r="C975" s="48">
        <v>2</v>
      </c>
      <c r="E975" s="121" t="s">
        <v>3487</v>
      </c>
      <c r="F975" s="120" t="s">
        <v>3310</v>
      </c>
    </row>
    <row r="976" spans="1:6" x14ac:dyDescent="0.2">
      <c r="A976" s="55">
        <v>42</v>
      </c>
      <c r="B976" s="45" t="s">
        <v>425</v>
      </c>
      <c r="C976" s="48">
        <v>2</v>
      </c>
      <c r="E976" s="121" t="s">
        <v>1168</v>
      </c>
      <c r="F976" s="120" t="s">
        <v>3215</v>
      </c>
    </row>
    <row r="977" spans="1:6" x14ac:dyDescent="0.2">
      <c r="A977" s="55">
        <v>42</v>
      </c>
      <c r="B977" s="45" t="s">
        <v>2664</v>
      </c>
      <c r="C977" s="48">
        <v>2</v>
      </c>
      <c r="E977" s="121" t="s">
        <v>3059</v>
      </c>
      <c r="F977" s="120" t="s">
        <v>3230</v>
      </c>
    </row>
    <row r="978" spans="1:6" x14ac:dyDescent="0.2">
      <c r="A978" s="55">
        <v>42</v>
      </c>
      <c r="B978" s="45" t="s">
        <v>615</v>
      </c>
      <c r="C978" s="48">
        <v>2</v>
      </c>
      <c r="E978" s="121" t="s">
        <v>3068</v>
      </c>
      <c r="F978" s="120" t="s">
        <v>3232</v>
      </c>
    </row>
    <row r="979" spans="1:6" x14ac:dyDescent="0.2">
      <c r="A979" s="55">
        <v>42</v>
      </c>
      <c r="B979" s="45" t="s">
        <v>583</v>
      </c>
      <c r="C979" s="48">
        <v>2</v>
      </c>
      <c r="E979" s="121" t="s">
        <v>1207</v>
      </c>
      <c r="F979" s="120" t="s">
        <v>3274</v>
      </c>
    </row>
    <row r="980" spans="1:6" x14ac:dyDescent="0.2">
      <c r="A980" s="55">
        <v>42</v>
      </c>
      <c r="B980" s="45" t="s">
        <v>424</v>
      </c>
      <c r="C980" s="48">
        <v>2</v>
      </c>
      <c r="E980" s="121" t="s">
        <v>1405</v>
      </c>
      <c r="F980" s="120" t="s">
        <v>3215</v>
      </c>
    </row>
    <row r="981" spans="1:6" x14ac:dyDescent="0.2">
      <c r="A981" s="55">
        <v>42</v>
      </c>
      <c r="B981" s="45" t="s">
        <v>444</v>
      </c>
      <c r="C981" s="48">
        <v>2</v>
      </c>
      <c r="E981" s="121" t="s">
        <v>3471</v>
      </c>
      <c r="F981" s="120" t="s">
        <v>3227</v>
      </c>
    </row>
    <row r="982" spans="1:6" x14ac:dyDescent="0.2">
      <c r="A982" s="55">
        <v>42</v>
      </c>
      <c r="B982" s="45" t="s">
        <v>582</v>
      </c>
      <c r="C982" s="48">
        <v>2</v>
      </c>
      <c r="E982" s="121" t="s">
        <v>2841</v>
      </c>
      <c r="F982" s="120" t="s">
        <v>3219</v>
      </c>
    </row>
    <row r="983" spans="1:6" x14ac:dyDescent="0.2">
      <c r="A983" s="55">
        <v>42</v>
      </c>
      <c r="B983" s="45" t="s">
        <v>432</v>
      </c>
      <c r="C983" s="48">
        <v>2</v>
      </c>
      <c r="E983" s="121" t="s">
        <v>3186</v>
      </c>
      <c r="F983" s="120" t="s">
        <v>3284</v>
      </c>
    </row>
    <row r="984" spans="1:6" x14ac:dyDescent="0.2">
      <c r="A984" s="55">
        <v>42</v>
      </c>
      <c r="B984" s="45" t="s">
        <v>570</v>
      </c>
      <c r="C984" s="48">
        <v>2</v>
      </c>
      <c r="E984" s="121" t="s">
        <v>1487</v>
      </c>
      <c r="F984" s="120" t="s">
        <v>3215</v>
      </c>
    </row>
    <row r="985" spans="1:6" x14ac:dyDescent="0.2">
      <c r="A985" s="55">
        <v>42</v>
      </c>
      <c r="B985" s="45" t="s">
        <v>371</v>
      </c>
      <c r="C985" s="48">
        <v>1</v>
      </c>
      <c r="E985" s="121" t="s">
        <v>1425</v>
      </c>
      <c r="F985" s="120" t="s">
        <v>3248</v>
      </c>
    </row>
    <row r="986" spans="1:6" x14ac:dyDescent="0.2">
      <c r="A986" s="55">
        <v>42</v>
      </c>
      <c r="B986" s="45" t="s">
        <v>2573</v>
      </c>
      <c r="C986" s="48">
        <v>1</v>
      </c>
      <c r="E986" s="121" t="s">
        <v>2880</v>
      </c>
      <c r="F986" s="120" t="s">
        <v>3249</v>
      </c>
    </row>
    <row r="987" spans="1:6" x14ac:dyDescent="0.2">
      <c r="A987" s="55">
        <v>42</v>
      </c>
      <c r="B987" s="45" t="s">
        <v>572</v>
      </c>
      <c r="C987" s="48">
        <v>1</v>
      </c>
      <c r="E987" s="121" t="s">
        <v>1240</v>
      </c>
      <c r="F987" s="120" t="s">
        <v>3298</v>
      </c>
    </row>
    <row r="988" spans="1:6" x14ac:dyDescent="0.2">
      <c r="A988" s="55">
        <v>42</v>
      </c>
      <c r="B988" s="45" t="s">
        <v>2642</v>
      </c>
      <c r="C988" s="48">
        <v>1</v>
      </c>
      <c r="E988" s="121" t="s">
        <v>1148</v>
      </c>
      <c r="F988" s="120" t="s">
        <v>3215</v>
      </c>
    </row>
    <row r="989" spans="1:6" x14ac:dyDescent="0.2">
      <c r="A989" s="55">
        <v>42</v>
      </c>
      <c r="B989" s="45" t="s">
        <v>355</v>
      </c>
      <c r="C989" s="48">
        <v>1</v>
      </c>
      <c r="E989" s="121" t="s">
        <v>1150</v>
      </c>
      <c r="F989" s="120" t="s">
        <v>3287</v>
      </c>
    </row>
    <row r="990" spans="1:6" x14ac:dyDescent="0.2">
      <c r="A990" s="55">
        <v>42</v>
      </c>
      <c r="B990" s="45" t="s">
        <v>607</v>
      </c>
      <c r="C990" s="48">
        <v>1</v>
      </c>
      <c r="E990" s="121" t="s">
        <v>3038</v>
      </c>
      <c r="F990" s="120" t="s">
        <v>3248</v>
      </c>
    </row>
    <row r="991" spans="1:6" x14ac:dyDescent="0.2">
      <c r="A991" s="55">
        <v>42</v>
      </c>
      <c r="B991" s="45" t="s">
        <v>391</v>
      </c>
      <c r="C991" s="48">
        <v>1</v>
      </c>
      <c r="E991" s="121" t="s">
        <v>535</v>
      </c>
      <c r="F991" s="120" t="s">
        <v>3284</v>
      </c>
    </row>
    <row r="992" spans="1:6" x14ac:dyDescent="0.2">
      <c r="A992" s="55">
        <v>42</v>
      </c>
      <c r="B992" s="45" t="s">
        <v>342</v>
      </c>
      <c r="C992" s="48">
        <v>1</v>
      </c>
      <c r="E992" s="121" t="s">
        <v>1169</v>
      </c>
      <c r="F992" s="120" t="s">
        <v>3249</v>
      </c>
    </row>
    <row r="993" spans="1:6" x14ac:dyDescent="0.2">
      <c r="A993" s="55">
        <v>42</v>
      </c>
      <c r="B993" s="45" t="s">
        <v>404</v>
      </c>
      <c r="C993" s="48">
        <v>1</v>
      </c>
      <c r="E993" s="121" t="s">
        <v>3463</v>
      </c>
      <c r="F993" s="120" t="s">
        <v>3258</v>
      </c>
    </row>
    <row r="994" spans="1:6" x14ac:dyDescent="0.2">
      <c r="A994" s="55">
        <v>42</v>
      </c>
      <c r="B994" s="45" t="s">
        <v>429</v>
      </c>
      <c r="C994" s="48">
        <v>1</v>
      </c>
      <c r="E994" s="121" t="s">
        <v>1175</v>
      </c>
      <c r="F994" s="120" t="s">
        <v>3232</v>
      </c>
    </row>
    <row r="995" spans="1:6" x14ac:dyDescent="0.2">
      <c r="A995" s="55">
        <v>42</v>
      </c>
      <c r="B995" s="45" t="s">
        <v>438</v>
      </c>
      <c r="C995" s="48">
        <v>1</v>
      </c>
      <c r="E995" s="121" t="s">
        <v>3456</v>
      </c>
      <c r="F995" s="120" t="s">
        <v>3215</v>
      </c>
    </row>
    <row r="996" spans="1:6" x14ac:dyDescent="0.2">
      <c r="A996" s="55">
        <v>42</v>
      </c>
      <c r="B996" s="45" t="s">
        <v>2570</v>
      </c>
      <c r="C996" s="48">
        <v>1</v>
      </c>
      <c r="E996" s="121" t="s">
        <v>548</v>
      </c>
      <c r="F996" s="120" t="s">
        <v>199</v>
      </c>
    </row>
    <row r="997" spans="1:6" x14ac:dyDescent="0.2">
      <c r="A997" s="55">
        <v>42</v>
      </c>
      <c r="B997" s="45" t="s">
        <v>442</v>
      </c>
      <c r="C997" s="48">
        <v>1</v>
      </c>
      <c r="E997" s="121" t="s">
        <v>1436</v>
      </c>
      <c r="F997" s="120" t="s">
        <v>3215</v>
      </c>
    </row>
    <row r="998" spans="1:6" x14ac:dyDescent="0.2">
      <c r="A998" s="55">
        <v>42</v>
      </c>
      <c r="B998" s="45" t="s">
        <v>389</v>
      </c>
      <c r="C998" s="48">
        <v>1</v>
      </c>
      <c r="E998" s="121" t="s">
        <v>3096</v>
      </c>
      <c r="F998" s="120" t="s">
        <v>3274</v>
      </c>
    </row>
    <row r="999" spans="1:6" x14ac:dyDescent="0.2">
      <c r="A999" s="55">
        <v>42</v>
      </c>
      <c r="B999" s="45" t="s">
        <v>431</v>
      </c>
      <c r="C999" s="48">
        <v>1</v>
      </c>
      <c r="E999" s="121" t="s">
        <v>1210</v>
      </c>
      <c r="F999" s="120" t="s">
        <v>1287</v>
      </c>
    </row>
    <row r="1000" spans="1:6" x14ac:dyDescent="0.2">
      <c r="A1000" s="55">
        <v>42</v>
      </c>
      <c r="B1000" s="45" t="s">
        <v>402</v>
      </c>
      <c r="C1000" s="48">
        <v>0.5</v>
      </c>
      <c r="E1000" s="121" t="s">
        <v>3171</v>
      </c>
      <c r="F1000" s="120" t="s">
        <v>3284</v>
      </c>
    </row>
    <row r="1001" spans="1:6" x14ac:dyDescent="0.2">
      <c r="A1001" s="55">
        <v>42</v>
      </c>
      <c r="B1001" s="45" t="s">
        <v>2649</v>
      </c>
      <c r="C1001" s="48">
        <v>0.5</v>
      </c>
      <c r="E1001" s="121" t="s">
        <v>3052</v>
      </c>
      <c r="F1001" s="120" t="s">
        <v>3250</v>
      </c>
    </row>
    <row r="1002" spans="1:6" x14ac:dyDescent="0.2">
      <c r="A1002" s="55">
        <v>42</v>
      </c>
      <c r="B1002" s="45" t="s">
        <v>386</v>
      </c>
      <c r="C1002" s="48">
        <v>0.5</v>
      </c>
      <c r="E1002" s="121" t="s">
        <v>3498</v>
      </c>
      <c r="F1002" s="120" t="s">
        <v>3215</v>
      </c>
    </row>
    <row r="1003" spans="1:6" x14ac:dyDescent="0.2">
      <c r="A1003" s="55">
        <v>42</v>
      </c>
      <c r="B1003" s="45" t="s">
        <v>370</v>
      </c>
      <c r="C1003" s="48">
        <v>0.5</v>
      </c>
      <c r="E1003" s="121" t="s">
        <v>1875</v>
      </c>
      <c r="F1003" s="120" t="s">
        <v>3318</v>
      </c>
    </row>
    <row r="1004" spans="1:6" x14ac:dyDescent="0.2">
      <c r="A1004" s="55">
        <v>42</v>
      </c>
      <c r="B1004" s="45" t="s">
        <v>571</v>
      </c>
      <c r="C1004" s="48">
        <v>0.5</v>
      </c>
      <c r="E1004" s="121" t="s">
        <v>3183</v>
      </c>
      <c r="F1004" s="120" t="s">
        <v>3284</v>
      </c>
    </row>
    <row r="1005" spans="1:6" x14ac:dyDescent="0.2">
      <c r="A1005" s="55">
        <v>42</v>
      </c>
      <c r="B1005" s="45" t="s">
        <v>2658</v>
      </c>
      <c r="C1005" s="48">
        <v>0.5</v>
      </c>
      <c r="E1005" s="121" t="s">
        <v>1536</v>
      </c>
      <c r="F1005" s="120" t="s">
        <v>3267</v>
      </c>
    </row>
    <row r="1006" spans="1:6" x14ac:dyDescent="0.2">
      <c r="A1006" s="55">
        <v>42</v>
      </c>
      <c r="B1006" s="45" t="s">
        <v>569</v>
      </c>
      <c r="C1006" s="48">
        <v>0.5</v>
      </c>
      <c r="E1006" s="121" t="s">
        <v>1515</v>
      </c>
      <c r="F1006" s="120" t="s">
        <v>3246</v>
      </c>
    </row>
    <row r="1007" spans="1:6" x14ac:dyDescent="0.2">
      <c r="A1007" s="55">
        <v>43</v>
      </c>
      <c r="B1007" s="45" t="s">
        <v>399</v>
      </c>
      <c r="C1007" s="48">
        <v>20</v>
      </c>
      <c r="E1007" s="121" t="s">
        <v>1155</v>
      </c>
      <c r="F1007" s="120" t="s">
        <v>3248</v>
      </c>
    </row>
    <row r="1008" spans="1:6" x14ac:dyDescent="0.2">
      <c r="A1008" s="55">
        <v>43</v>
      </c>
      <c r="B1008" s="45" t="s">
        <v>2579</v>
      </c>
      <c r="C1008" s="48">
        <v>10</v>
      </c>
      <c r="E1008" s="121" t="s">
        <v>3516</v>
      </c>
      <c r="F1008" s="120" t="s">
        <v>3232</v>
      </c>
    </row>
    <row r="1009" spans="1:6" x14ac:dyDescent="0.2">
      <c r="A1009" s="55">
        <v>43</v>
      </c>
      <c r="B1009" s="45" t="s">
        <v>2565</v>
      </c>
      <c r="C1009" s="48">
        <v>10</v>
      </c>
      <c r="E1009" s="121" t="s">
        <v>3435</v>
      </c>
      <c r="F1009" s="120" t="s">
        <v>3286</v>
      </c>
    </row>
    <row r="1010" spans="1:6" x14ac:dyDescent="0.2">
      <c r="A1010" s="55">
        <v>43</v>
      </c>
      <c r="B1010" s="45" t="s">
        <v>2570</v>
      </c>
      <c r="C1010" s="48">
        <v>6</v>
      </c>
      <c r="E1010" s="121" t="s">
        <v>548</v>
      </c>
      <c r="F1010" s="120" t="s">
        <v>199</v>
      </c>
    </row>
    <row r="1011" spans="1:6" x14ac:dyDescent="0.2">
      <c r="A1011" s="55">
        <v>43</v>
      </c>
      <c r="B1011" s="45" t="s">
        <v>425</v>
      </c>
      <c r="C1011" s="48">
        <v>4</v>
      </c>
      <c r="E1011" s="121" t="s">
        <v>1168</v>
      </c>
      <c r="F1011" s="120" t="s">
        <v>3215</v>
      </c>
    </row>
    <row r="1012" spans="1:6" x14ac:dyDescent="0.2">
      <c r="A1012" s="55">
        <v>43</v>
      </c>
      <c r="B1012" s="45" t="s">
        <v>402</v>
      </c>
      <c r="C1012" s="48">
        <v>3</v>
      </c>
      <c r="E1012" s="121" t="s">
        <v>3171</v>
      </c>
      <c r="F1012" s="120" t="s">
        <v>3284</v>
      </c>
    </row>
    <row r="1013" spans="1:6" x14ac:dyDescent="0.2">
      <c r="A1013" s="55">
        <v>43</v>
      </c>
      <c r="B1013" s="45" t="s">
        <v>342</v>
      </c>
      <c r="C1013" s="48">
        <v>3</v>
      </c>
      <c r="E1013" s="121" t="s">
        <v>1169</v>
      </c>
      <c r="F1013" s="120" t="s">
        <v>3249</v>
      </c>
    </row>
    <row r="1014" spans="1:6" x14ac:dyDescent="0.2">
      <c r="A1014" s="55">
        <v>43</v>
      </c>
      <c r="B1014" s="45" t="s">
        <v>572</v>
      </c>
      <c r="C1014" s="48">
        <v>2</v>
      </c>
      <c r="E1014" s="121" t="s">
        <v>1240</v>
      </c>
      <c r="F1014" s="120" t="s">
        <v>3298</v>
      </c>
    </row>
    <row r="1015" spans="1:6" x14ac:dyDescent="0.2">
      <c r="A1015" s="55">
        <v>43</v>
      </c>
      <c r="B1015" s="45" t="s">
        <v>426</v>
      </c>
      <c r="C1015" s="48">
        <v>2</v>
      </c>
      <c r="E1015" s="121" t="s">
        <v>3486</v>
      </c>
      <c r="F1015" s="120" t="s">
        <v>3312</v>
      </c>
    </row>
    <row r="1016" spans="1:6" x14ac:dyDescent="0.2">
      <c r="A1016" s="55">
        <v>43</v>
      </c>
      <c r="B1016" s="45" t="s">
        <v>607</v>
      </c>
      <c r="C1016" s="48">
        <v>2</v>
      </c>
      <c r="E1016" s="121" t="s">
        <v>3038</v>
      </c>
      <c r="F1016" s="120" t="s">
        <v>3248</v>
      </c>
    </row>
    <row r="1017" spans="1:6" x14ac:dyDescent="0.2">
      <c r="A1017" s="55">
        <v>43</v>
      </c>
      <c r="B1017" s="45" t="s">
        <v>408</v>
      </c>
      <c r="C1017" s="48">
        <v>2</v>
      </c>
      <c r="E1017" s="121" t="s">
        <v>3468</v>
      </c>
      <c r="F1017" s="120" t="s">
        <v>3292</v>
      </c>
    </row>
    <row r="1018" spans="1:6" x14ac:dyDescent="0.2">
      <c r="A1018" s="55">
        <v>43</v>
      </c>
      <c r="B1018" s="45" t="s">
        <v>441</v>
      </c>
      <c r="C1018" s="48">
        <v>2</v>
      </c>
      <c r="E1018" s="121" t="s">
        <v>3469</v>
      </c>
      <c r="F1018" s="120" t="s">
        <v>3258</v>
      </c>
    </row>
    <row r="1019" spans="1:6" x14ac:dyDescent="0.2">
      <c r="A1019" s="55">
        <v>43</v>
      </c>
      <c r="B1019" s="45" t="s">
        <v>349</v>
      </c>
      <c r="C1019" s="48">
        <v>2</v>
      </c>
      <c r="E1019" s="121" t="s">
        <v>1200</v>
      </c>
      <c r="F1019" s="120" t="s">
        <v>3292</v>
      </c>
    </row>
    <row r="1020" spans="1:6" x14ac:dyDescent="0.2">
      <c r="A1020" s="55">
        <v>43</v>
      </c>
      <c r="B1020" s="45" t="s">
        <v>445</v>
      </c>
      <c r="C1020" s="48">
        <v>2</v>
      </c>
      <c r="E1020" s="121" t="s">
        <v>3474</v>
      </c>
      <c r="F1020" s="120" t="s">
        <v>3227</v>
      </c>
    </row>
    <row r="1021" spans="1:6" x14ac:dyDescent="0.2">
      <c r="A1021" s="55">
        <v>43</v>
      </c>
      <c r="B1021" s="45" t="s">
        <v>442</v>
      </c>
      <c r="C1021" s="48">
        <v>2</v>
      </c>
      <c r="E1021" s="121" t="s">
        <v>1436</v>
      </c>
      <c r="F1021" s="120" t="s">
        <v>3215</v>
      </c>
    </row>
    <row r="1022" spans="1:6" x14ac:dyDescent="0.2">
      <c r="A1022" s="55">
        <v>43</v>
      </c>
      <c r="B1022" s="45" t="s">
        <v>2601</v>
      </c>
      <c r="C1022" s="48">
        <v>2</v>
      </c>
      <c r="E1022" s="121" t="s">
        <v>1406</v>
      </c>
      <c r="F1022" s="120" t="s">
        <v>3248</v>
      </c>
    </row>
    <row r="1023" spans="1:6" x14ac:dyDescent="0.2">
      <c r="A1023" s="55">
        <v>43</v>
      </c>
      <c r="B1023" s="45" t="s">
        <v>371</v>
      </c>
      <c r="C1023" s="48">
        <v>1</v>
      </c>
      <c r="E1023" s="121" t="s">
        <v>1425</v>
      </c>
      <c r="F1023" s="120" t="s">
        <v>3248</v>
      </c>
    </row>
    <row r="1024" spans="1:6" x14ac:dyDescent="0.2">
      <c r="A1024" s="55">
        <v>43</v>
      </c>
      <c r="B1024" s="45" t="s">
        <v>2651</v>
      </c>
      <c r="C1024" s="48">
        <v>1</v>
      </c>
      <c r="E1024" s="121" t="s">
        <v>1152</v>
      </c>
      <c r="F1024" s="120" t="s">
        <v>3248</v>
      </c>
    </row>
    <row r="1025" spans="1:6" x14ac:dyDescent="0.2">
      <c r="A1025" s="55">
        <v>43</v>
      </c>
      <c r="B1025" s="45" t="s">
        <v>2642</v>
      </c>
      <c r="C1025" s="48">
        <v>1</v>
      </c>
      <c r="E1025" s="121" t="s">
        <v>1148</v>
      </c>
      <c r="F1025" s="120" t="s">
        <v>3215</v>
      </c>
    </row>
    <row r="1026" spans="1:6" x14ac:dyDescent="0.2">
      <c r="A1026" s="55">
        <v>43</v>
      </c>
      <c r="B1026" s="45" t="s">
        <v>355</v>
      </c>
      <c r="C1026" s="48">
        <v>1</v>
      </c>
      <c r="E1026" s="121" t="s">
        <v>1150</v>
      </c>
      <c r="F1026" s="120" t="s">
        <v>3287</v>
      </c>
    </row>
    <row r="1027" spans="1:6" x14ac:dyDescent="0.2">
      <c r="A1027" s="55">
        <v>43</v>
      </c>
      <c r="B1027" s="45" t="s">
        <v>391</v>
      </c>
      <c r="C1027" s="48">
        <v>1</v>
      </c>
      <c r="E1027" s="121" t="s">
        <v>535</v>
      </c>
      <c r="F1027" s="120" t="s">
        <v>3284</v>
      </c>
    </row>
    <row r="1028" spans="1:6" x14ac:dyDescent="0.2">
      <c r="A1028" s="55">
        <v>43</v>
      </c>
      <c r="B1028" s="45" t="s">
        <v>386</v>
      </c>
      <c r="C1028" s="48">
        <v>1</v>
      </c>
      <c r="E1028" s="121" t="s">
        <v>3498</v>
      </c>
      <c r="F1028" s="120" t="s">
        <v>3215</v>
      </c>
    </row>
    <row r="1029" spans="1:6" x14ac:dyDescent="0.2">
      <c r="A1029" s="55">
        <v>43</v>
      </c>
      <c r="B1029" s="45" t="s">
        <v>2602</v>
      </c>
      <c r="C1029" s="48">
        <v>1</v>
      </c>
      <c r="E1029" s="121" t="s">
        <v>3382</v>
      </c>
      <c r="F1029" s="120" t="s">
        <v>3248</v>
      </c>
    </row>
    <row r="1030" spans="1:6" x14ac:dyDescent="0.2">
      <c r="A1030" s="55">
        <v>43</v>
      </c>
      <c r="B1030" s="45" t="s">
        <v>424</v>
      </c>
      <c r="C1030" s="48">
        <v>1</v>
      </c>
      <c r="E1030" s="121" t="s">
        <v>1405</v>
      </c>
      <c r="F1030" s="120" t="s">
        <v>3215</v>
      </c>
    </row>
    <row r="1031" spans="1:6" x14ac:dyDescent="0.2">
      <c r="A1031" s="55">
        <v>43</v>
      </c>
      <c r="B1031" s="45" t="s">
        <v>590</v>
      </c>
      <c r="C1031" s="48">
        <v>1</v>
      </c>
      <c r="E1031" s="121" t="s">
        <v>3452</v>
      </c>
      <c r="F1031" s="120" t="s">
        <v>3215</v>
      </c>
    </row>
    <row r="1032" spans="1:6" x14ac:dyDescent="0.2">
      <c r="A1032" s="55">
        <v>43</v>
      </c>
      <c r="B1032" s="45" t="s">
        <v>451</v>
      </c>
      <c r="C1032" s="48">
        <v>1</v>
      </c>
      <c r="E1032" s="121" t="s">
        <v>1434</v>
      </c>
      <c r="F1032" s="120" t="s">
        <v>3215</v>
      </c>
    </row>
    <row r="1033" spans="1:6" x14ac:dyDescent="0.2">
      <c r="A1033" s="55">
        <v>43</v>
      </c>
      <c r="B1033" s="45" t="s">
        <v>431</v>
      </c>
      <c r="C1033" s="48">
        <v>1</v>
      </c>
      <c r="E1033" s="121" t="s">
        <v>1210</v>
      </c>
      <c r="F1033" s="120" t="s">
        <v>1287</v>
      </c>
    </row>
    <row r="1034" spans="1:6" x14ac:dyDescent="0.2">
      <c r="A1034" s="55">
        <v>43</v>
      </c>
      <c r="B1034" s="45" t="s">
        <v>350</v>
      </c>
      <c r="C1034" s="48">
        <v>0.5</v>
      </c>
      <c r="E1034" s="121" t="s">
        <v>1415</v>
      </c>
      <c r="F1034" s="120" t="s">
        <v>3249</v>
      </c>
    </row>
    <row r="1035" spans="1:6" x14ac:dyDescent="0.2">
      <c r="A1035" s="55">
        <v>43</v>
      </c>
      <c r="B1035" s="45" t="s">
        <v>604</v>
      </c>
      <c r="C1035" s="48">
        <v>0.5</v>
      </c>
      <c r="E1035" s="121" t="s">
        <v>1419</v>
      </c>
      <c r="F1035" s="120" t="s">
        <v>3215</v>
      </c>
    </row>
    <row r="1036" spans="1:6" x14ac:dyDescent="0.2">
      <c r="A1036" s="55">
        <v>43</v>
      </c>
      <c r="B1036" s="45" t="s">
        <v>608</v>
      </c>
      <c r="C1036" s="48">
        <v>0.5</v>
      </c>
      <c r="E1036" s="121" t="s">
        <v>3169</v>
      </c>
      <c r="F1036" s="120" t="s">
        <v>3284</v>
      </c>
    </row>
    <row r="1037" spans="1:6" x14ac:dyDescent="0.2">
      <c r="A1037" s="55">
        <v>43</v>
      </c>
      <c r="B1037" s="45" t="s">
        <v>385</v>
      </c>
      <c r="C1037" s="48">
        <v>0.5</v>
      </c>
      <c r="E1037" s="121" t="s">
        <v>3174</v>
      </c>
      <c r="F1037" s="120" t="s">
        <v>3284</v>
      </c>
    </row>
    <row r="1038" spans="1:6" x14ac:dyDescent="0.2">
      <c r="A1038" s="55">
        <v>43</v>
      </c>
      <c r="B1038" s="45" t="s">
        <v>585</v>
      </c>
      <c r="C1038" s="48">
        <v>0.5</v>
      </c>
      <c r="E1038" s="121" t="s">
        <v>1523</v>
      </c>
      <c r="F1038" s="120" t="s">
        <v>3248</v>
      </c>
    </row>
    <row r="1039" spans="1:6" x14ac:dyDescent="0.2">
      <c r="A1039" s="55">
        <v>43</v>
      </c>
      <c r="B1039" s="45" t="s">
        <v>2663</v>
      </c>
      <c r="C1039" s="48">
        <v>0.5</v>
      </c>
      <c r="E1039" s="121" t="s">
        <v>3491</v>
      </c>
      <c r="F1039" s="120" t="s">
        <v>3312</v>
      </c>
    </row>
    <row r="1040" spans="1:6" x14ac:dyDescent="0.2">
      <c r="A1040" s="55">
        <v>43</v>
      </c>
      <c r="B1040" s="45" t="s">
        <v>347</v>
      </c>
      <c r="C1040" s="48">
        <v>0.5</v>
      </c>
      <c r="E1040" s="121" t="s">
        <v>3492</v>
      </c>
      <c r="F1040" s="120" t="s">
        <v>3312</v>
      </c>
    </row>
    <row r="1041" spans="1:6" x14ac:dyDescent="0.2">
      <c r="A1041" s="55">
        <v>43</v>
      </c>
      <c r="B1041" s="45" t="s">
        <v>376</v>
      </c>
      <c r="C1041" s="48">
        <v>0.5</v>
      </c>
      <c r="E1041" s="121" t="s">
        <v>3462</v>
      </c>
      <c r="F1041" s="120" t="s">
        <v>3227</v>
      </c>
    </row>
    <row r="1042" spans="1:6" x14ac:dyDescent="0.2">
      <c r="A1042" s="55">
        <v>43</v>
      </c>
      <c r="B1042" s="45" t="s">
        <v>584</v>
      </c>
      <c r="C1042" s="48">
        <v>0.5</v>
      </c>
      <c r="E1042" s="121" t="s">
        <v>3499</v>
      </c>
      <c r="F1042" s="120" t="s">
        <v>3215</v>
      </c>
    </row>
    <row r="1043" spans="1:6" x14ac:dyDescent="0.2">
      <c r="A1043" s="55">
        <v>43</v>
      </c>
      <c r="B1043" s="45" t="s">
        <v>597</v>
      </c>
      <c r="C1043" s="48">
        <v>0.5</v>
      </c>
      <c r="E1043" s="121" t="s">
        <v>3060</v>
      </c>
      <c r="F1043" s="120" t="s">
        <v>3248</v>
      </c>
    </row>
    <row r="1044" spans="1:6" x14ac:dyDescent="0.2">
      <c r="A1044" s="55">
        <v>43</v>
      </c>
      <c r="B1044" s="45" t="s">
        <v>583</v>
      </c>
      <c r="C1044" s="48">
        <v>0.5</v>
      </c>
      <c r="E1044" s="121" t="s">
        <v>1207</v>
      </c>
      <c r="F1044" s="120" t="s">
        <v>3274</v>
      </c>
    </row>
    <row r="1045" spans="1:6" x14ac:dyDescent="0.2">
      <c r="A1045" s="55">
        <v>43</v>
      </c>
      <c r="B1045" s="45" t="s">
        <v>571</v>
      </c>
      <c r="C1045" s="48">
        <v>0.5</v>
      </c>
      <c r="E1045" s="121" t="s">
        <v>3183</v>
      </c>
      <c r="F1045" s="120" t="s">
        <v>3284</v>
      </c>
    </row>
    <row r="1046" spans="1:6" x14ac:dyDescent="0.2">
      <c r="A1046" s="55">
        <v>43</v>
      </c>
      <c r="B1046" s="45" t="s">
        <v>364</v>
      </c>
      <c r="C1046" s="48">
        <v>0.5</v>
      </c>
      <c r="E1046" s="121" t="s">
        <v>3495</v>
      </c>
      <c r="F1046" s="120" t="s">
        <v>3313</v>
      </c>
    </row>
    <row r="1047" spans="1:6" x14ac:dyDescent="0.2">
      <c r="A1047" s="55">
        <v>43</v>
      </c>
      <c r="B1047" s="45" t="s">
        <v>2571</v>
      </c>
      <c r="C1047" s="48">
        <v>0.5</v>
      </c>
      <c r="E1047" s="121" t="s">
        <v>1435</v>
      </c>
      <c r="F1047" s="120" t="s">
        <v>3215</v>
      </c>
    </row>
    <row r="1048" spans="1:6" x14ac:dyDescent="0.2">
      <c r="A1048" s="55">
        <v>43</v>
      </c>
      <c r="B1048" s="45" t="s">
        <v>389</v>
      </c>
      <c r="C1048" s="48">
        <v>0.5</v>
      </c>
      <c r="E1048" s="121" t="s">
        <v>3096</v>
      </c>
      <c r="F1048" s="120" t="s">
        <v>3274</v>
      </c>
    </row>
    <row r="1049" spans="1:6" x14ac:dyDescent="0.2">
      <c r="A1049" s="55">
        <v>44</v>
      </c>
      <c r="B1049" s="45" t="s">
        <v>2565</v>
      </c>
      <c r="C1049" s="48">
        <v>25</v>
      </c>
      <c r="E1049" s="121" t="s">
        <v>3435</v>
      </c>
      <c r="F1049" s="120" t="s">
        <v>3286</v>
      </c>
    </row>
    <row r="1050" spans="1:6" x14ac:dyDescent="0.2">
      <c r="A1050" s="55">
        <v>44</v>
      </c>
      <c r="B1050" s="45" t="s">
        <v>586</v>
      </c>
      <c r="C1050" s="48">
        <v>12</v>
      </c>
      <c r="E1050" s="121" t="s">
        <v>1164</v>
      </c>
      <c r="F1050" s="120" t="s">
        <v>3215</v>
      </c>
    </row>
    <row r="1051" spans="1:6" x14ac:dyDescent="0.2">
      <c r="A1051" s="55">
        <v>44</v>
      </c>
      <c r="B1051" s="45" t="s">
        <v>398</v>
      </c>
      <c r="C1051" s="48">
        <v>12</v>
      </c>
      <c r="E1051" s="121" t="s">
        <v>1165</v>
      </c>
      <c r="F1051" s="120" t="s">
        <v>3215</v>
      </c>
    </row>
    <row r="1052" spans="1:6" x14ac:dyDescent="0.2">
      <c r="A1052" s="55">
        <v>44</v>
      </c>
      <c r="B1052" s="45" t="s">
        <v>368</v>
      </c>
      <c r="C1052" s="48">
        <v>7</v>
      </c>
      <c r="E1052" s="121" t="s">
        <v>1203</v>
      </c>
      <c r="F1052" s="120" t="s">
        <v>3230</v>
      </c>
    </row>
    <row r="1053" spans="1:6" x14ac:dyDescent="0.2">
      <c r="A1053" s="55">
        <v>44</v>
      </c>
      <c r="B1053" s="45" t="s">
        <v>426</v>
      </c>
      <c r="C1053" s="48">
        <v>4</v>
      </c>
      <c r="E1053" s="121" t="s">
        <v>3486</v>
      </c>
      <c r="F1053" s="120" t="s">
        <v>3312</v>
      </c>
    </row>
    <row r="1054" spans="1:6" x14ac:dyDescent="0.2">
      <c r="A1054" s="55">
        <v>44</v>
      </c>
      <c r="B1054" s="45" t="s">
        <v>412</v>
      </c>
      <c r="C1054" s="48">
        <v>4</v>
      </c>
      <c r="E1054" s="121" t="s">
        <v>3487</v>
      </c>
      <c r="F1054" s="120" t="s">
        <v>3310</v>
      </c>
    </row>
    <row r="1055" spans="1:6" x14ac:dyDescent="0.2">
      <c r="A1055" s="55">
        <v>44</v>
      </c>
      <c r="B1055" s="45" t="s">
        <v>402</v>
      </c>
      <c r="C1055" s="48">
        <v>3</v>
      </c>
      <c r="E1055" s="121" t="s">
        <v>3171</v>
      </c>
      <c r="F1055" s="120" t="s">
        <v>3284</v>
      </c>
    </row>
    <row r="1056" spans="1:6" x14ac:dyDescent="0.2">
      <c r="A1056" s="55">
        <v>44</v>
      </c>
      <c r="B1056" s="45" t="s">
        <v>2663</v>
      </c>
      <c r="C1056" s="48">
        <v>3</v>
      </c>
      <c r="E1056" s="121" t="s">
        <v>3491</v>
      </c>
      <c r="F1056" s="120" t="s">
        <v>3312</v>
      </c>
    </row>
    <row r="1057" spans="1:6" x14ac:dyDescent="0.2">
      <c r="A1057" s="55">
        <v>44</v>
      </c>
      <c r="B1057" s="45" t="s">
        <v>582</v>
      </c>
      <c r="C1057" s="48">
        <v>3</v>
      </c>
      <c r="E1057" s="121" t="s">
        <v>2841</v>
      </c>
      <c r="F1057" s="120" t="s">
        <v>3219</v>
      </c>
    </row>
    <row r="1058" spans="1:6" x14ac:dyDescent="0.2">
      <c r="A1058" s="55">
        <v>44</v>
      </c>
      <c r="B1058" s="45" t="s">
        <v>451</v>
      </c>
      <c r="C1058" s="48">
        <v>3</v>
      </c>
      <c r="E1058" s="121" t="s">
        <v>1434</v>
      </c>
      <c r="F1058" s="120" t="s">
        <v>3215</v>
      </c>
    </row>
    <row r="1059" spans="1:6" x14ac:dyDescent="0.2">
      <c r="A1059" s="55">
        <v>44</v>
      </c>
      <c r="B1059" s="45" t="s">
        <v>2601</v>
      </c>
      <c r="C1059" s="48">
        <v>3</v>
      </c>
      <c r="E1059" s="121" t="s">
        <v>1406</v>
      </c>
      <c r="F1059" s="120" t="s">
        <v>3248</v>
      </c>
    </row>
    <row r="1060" spans="1:6" x14ac:dyDescent="0.2">
      <c r="A1060" s="55">
        <v>44</v>
      </c>
      <c r="B1060" s="45" t="s">
        <v>2651</v>
      </c>
      <c r="C1060" s="48">
        <v>2</v>
      </c>
      <c r="E1060" s="121" t="s">
        <v>1152</v>
      </c>
      <c r="F1060" s="120" t="s">
        <v>3248</v>
      </c>
    </row>
    <row r="1061" spans="1:6" x14ac:dyDescent="0.2">
      <c r="A1061" s="55">
        <v>44</v>
      </c>
      <c r="B1061" s="45" t="s">
        <v>350</v>
      </c>
      <c r="C1061" s="48">
        <v>2</v>
      </c>
      <c r="E1061" s="121" t="s">
        <v>1415</v>
      </c>
      <c r="F1061" s="120" t="s">
        <v>3249</v>
      </c>
    </row>
    <row r="1062" spans="1:6" x14ac:dyDescent="0.2">
      <c r="A1062" s="55">
        <v>44</v>
      </c>
      <c r="B1062" s="45" t="s">
        <v>430</v>
      </c>
      <c r="C1062" s="48">
        <v>2</v>
      </c>
      <c r="E1062" s="121" t="s">
        <v>1237</v>
      </c>
      <c r="F1062" s="120" t="s">
        <v>3230</v>
      </c>
    </row>
    <row r="1063" spans="1:6" x14ac:dyDescent="0.2">
      <c r="A1063" s="55">
        <v>44</v>
      </c>
      <c r="B1063" s="45" t="s">
        <v>592</v>
      </c>
      <c r="C1063" s="48">
        <v>2</v>
      </c>
      <c r="E1063" s="121" t="s">
        <v>1158</v>
      </c>
      <c r="F1063" s="120" t="s">
        <v>3248</v>
      </c>
    </row>
    <row r="1064" spans="1:6" x14ac:dyDescent="0.2">
      <c r="A1064" s="55">
        <v>44</v>
      </c>
      <c r="B1064" s="45" t="s">
        <v>2573</v>
      </c>
      <c r="C1064" s="48">
        <v>2</v>
      </c>
      <c r="E1064" s="121" t="s">
        <v>2880</v>
      </c>
      <c r="F1064" s="120" t="s">
        <v>3249</v>
      </c>
    </row>
    <row r="1065" spans="1:6" x14ac:dyDescent="0.2">
      <c r="A1065" s="55">
        <v>44</v>
      </c>
      <c r="B1065" s="45" t="s">
        <v>391</v>
      </c>
      <c r="C1065" s="48">
        <v>2</v>
      </c>
      <c r="E1065" s="121" t="s">
        <v>535</v>
      </c>
      <c r="F1065" s="120" t="s">
        <v>3284</v>
      </c>
    </row>
    <row r="1066" spans="1:6" x14ac:dyDescent="0.2">
      <c r="A1066" s="55">
        <v>44</v>
      </c>
      <c r="B1066" s="45" t="s">
        <v>347</v>
      </c>
      <c r="C1066" s="48">
        <v>2</v>
      </c>
      <c r="E1066" s="121" t="s">
        <v>3492</v>
      </c>
      <c r="F1066" s="120" t="s">
        <v>3312</v>
      </c>
    </row>
    <row r="1067" spans="1:6" x14ac:dyDescent="0.2">
      <c r="A1067" s="55">
        <v>44</v>
      </c>
      <c r="B1067" s="45" t="s">
        <v>404</v>
      </c>
      <c r="C1067" s="48">
        <v>2</v>
      </c>
      <c r="E1067" s="121" t="s">
        <v>3463</v>
      </c>
      <c r="F1067" s="120" t="s">
        <v>3258</v>
      </c>
    </row>
    <row r="1068" spans="1:6" x14ac:dyDescent="0.2">
      <c r="A1068" s="55">
        <v>44</v>
      </c>
      <c r="B1068" s="45" t="s">
        <v>394</v>
      </c>
      <c r="C1068" s="48">
        <v>2</v>
      </c>
      <c r="E1068" s="121" t="s">
        <v>3467</v>
      </c>
      <c r="F1068" s="120" t="s">
        <v>3258</v>
      </c>
    </row>
    <row r="1069" spans="1:6" x14ac:dyDescent="0.2">
      <c r="A1069" s="55">
        <v>44</v>
      </c>
      <c r="B1069" s="45" t="s">
        <v>441</v>
      </c>
      <c r="C1069" s="48">
        <v>2</v>
      </c>
      <c r="E1069" s="121" t="s">
        <v>3469</v>
      </c>
      <c r="F1069" s="120" t="s">
        <v>3258</v>
      </c>
    </row>
    <row r="1070" spans="1:6" x14ac:dyDescent="0.2">
      <c r="A1070" s="55">
        <v>44</v>
      </c>
      <c r="B1070" s="45" t="s">
        <v>1286</v>
      </c>
      <c r="C1070" s="48">
        <v>2</v>
      </c>
      <c r="E1070" s="121" t="s">
        <v>2926</v>
      </c>
      <c r="F1070" s="120" t="s">
        <v>3215</v>
      </c>
    </row>
    <row r="1071" spans="1:6" x14ac:dyDescent="0.2">
      <c r="A1071" s="55">
        <v>44</v>
      </c>
      <c r="B1071" s="45" t="s">
        <v>583</v>
      </c>
      <c r="C1071" s="48">
        <v>2</v>
      </c>
      <c r="E1071" s="121" t="s">
        <v>1207</v>
      </c>
      <c r="F1071" s="120" t="s">
        <v>3274</v>
      </c>
    </row>
    <row r="1072" spans="1:6" x14ac:dyDescent="0.2">
      <c r="A1072" s="55">
        <v>44</v>
      </c>
      <c r="B1072" s="45" t="s">
        <v>348</v>
      </c>
      <c r="C1072" s="48">
        <v>2</v>
      </c>
      <c r="E1072" s="121" t="s">
        <v>3433</v>
      </c>
      <c r="F1072" s="120" t="s">
        <v>3285</v>
      </c>
    </row>
    <row r="1073" spans="1:6" x14ac:dyDescent="0.2">
      <c r="A1073" s="55">
        <v>44</v>
      </c>
      <c r="B1073" s="45" t="s">
        <v>424</v>
      </c>
      <c r="C1073" s="48">
        <v>2</v>
      </c>
      <c r="E1073" s="121" t="s">
        <v>1405</v>
      </c>
      <c r="F1073" s="120" t="s">
        <v>3215</v>
      </c>
    </row>
    <row r="1074" spans="1:6" x14ac:dyDescent="0.2">
      <c r="A1074" s="55">
        <v>44</v>
      </c>
      <c r="B1074" s="45" t="s">
        <v>590</v>
      </c>
      <c r="C1074" s="48">
        <v>2</v>
      </c>
      <c r="E1074" s="121" t="s">
        <v>3452</v>
      </c>
      <c r="F1074" s="120" t="s">
        <v>3215</v>
      </c>
    </row>
    <row r="1075" spans="1:6" x14ac:dyDescent="0.2">
      <c r="A1075" s="55">
        <v>44</v>
      </c>
      <c r="B1075" s="45" t="s">
        <v>370</v>
      </c>
      <c r="C1075" s="48">
        <v>2</v>
      </c>
      <c r="E1075" s="121" t="s">
        <v>1875</v>
      </c>
      <c r="F1075" s="120" t="s">
        <v>3318</v>
      </c>
    </row>
    <row r="1076" spans="1:6" x14ac:dyDescent="0.2">
      <c r="A1076" s="55">
        <v>44</v>
      </c>
      <c r="B1076" s="45" t="s">
        <v>442</v>
      </c>
      <c r="C1076" s="48">
        <v>2</v>
      </c>
      <c r="E1076" s="121" t="s">
        <v>1436</v>
      </c>
      <c r="F1076" s="120" t="s">
        <v>3215</v>
      </c>
    </row>
    <row r="1077" spans="1:6" x14ac:dyDescent="0.2">
      <c r="A1077" s="55">
        <v>44</v>
      </c>
      <c r="B1077" s="45" t="s">
        <v>2642</v>
      </c>
      <c r="C1077" s="48">
        <v>1</v>
      </c>
      <c r="E1077" s="121" t="s">
        <v>1148</v>
      </c>
      <c r="F1077" s="120" t="s">
        <v>3215</v>
      </c>
    </row>
    <row r="1078" spans="1:6" x14ac:dyDescent="0.2">
      <c r="A1078" s="55">
        <v>44</v>
      </c>
      <c r="B1078" s="45" t="s">
        <v>2603</v>
      </c>
      <c r="C1078" s="48">
        <v>1</v>
      </c>
      <c r="E1078" s="121" t="s">
        <v>2905</v>
      </c>
      <c r="F1078" s="120" t="s">
        <v>3253</v>
      </c>
    </row>
    <row r="1079" spans="1:6" x14ac:dyDescent="0.2">
      <c r="A1079" s="55">
        <v>44</v>
      </c>
      <c r="B1079" s="45" t="s">
        <v>589</v>
      </c>
      <c r="C1079" s="48">
        <v>1</v>
      </c>
      <c r="E1079" s="121" t="s">
        <v>3041</v>
      </c>
      <c r="F1079" s="120" t="s">
        <v>3235</v>
      </c>
    </row>
    <row r="1080" spans="1:6" x14ac:dyDescent="0.2">
      <c r="A1080" s="55">
        <v>44</v>
      </c>
      <c r="B1080" s="45" t="s">
        <v>587</v>
      </c>
      <c r="C1080" s="48">
        <v>1</v>
      </c>
      <c r="E1080" s="121" t="s">
        <v>3107</v>
      </c>
      <c r="F1080" s="120" t="s">
        <v>3277</v>
      </c>
    </row>
    <row r="1081" spans="1:6" x14ac:dyDescent="0.2">
      <c r="A1081" s="55">
        <v>44</v>
      </c>
      <c r="B1081" s="45" t="s">
        <v>425</v>
      </c>
      <c r="C1081" s="48">
        <v>1</v>
      </c>
      <c r="E1081" s="121" t="s">
        <v>1168</v>
      </c>
      <c r="F1081" s="120" t="s">
        <v>3215</v>
      </c>
    </row>
    <row r="1082" spans="1:6" x14ac:dyDescent="0.2">
      <c r="A1082" s="55">
        <v>44</v>
      </c>
      <c r="B1082" s="45" t="s">
        <v>342</v>
      </c>
      <c r="C1082" s="48">
        <v>1</v>
      </c>
      <c r="E1082" s="121" t="s">
        <v>1169</v>
      </c>
      <c r="F1082" s="120" t="s">
        <v>3249</v>
      </c>
    </row>
    <row r="1083" spans="1:6" x14ac:dyDescent="0.2">
      <c r="A1083" s="55">
        <v>44</v>
      </c>
      <c r="B1083" s="45" t="s">
        <v>376</v>
      </c>
      <c r="C1083" s="48">
        <v>1</v>
      </c>
      <c r="E1083" s="121" t="s">
        <v>3462</v>
      </c>
      <c r="F1083" s="120" t="s">
        <v>3227</v>
      </c>
    </row>
    <row r="1084" spans="1:6" x14ac:dyDescent="0.2">
      <c r="A1084" s="55">
        <v>44</v>
      </c>
      <c r="B1084" s="45" t="s">
        <v>440</v>
      </c>
      <c r="C1084" s="48">
        <v>1</v>
      </c>
      <c r="E1084" s="121" t="s">
        <v>3114</v>
      </c>
      <c r="F1084" s="120" t="s">
        <v>3260</v>
      </c>
    </row>
    <row r="1085" spans="1:6" x14ac:dyDescent="0.2">
      <c r="A1085" s="55">
        <v>44</v>
      </c>
      <c r="B1085" s="45" t="s">
        <v>341</v>
      </c>
      <c r="C1085" s="48">
        <v>1</v>
      </c>
      <c r="E1085" s="121" t="s">
        <v>3062</v>
      </c>
      <c r="F1085" s="120" t="s">
        <v>3266</v>
      </c>
    </row>
    <row r="1086" spans="1:6" x14ac:dyDescent="0.2">
      <c r="A1086" s="55">
        <v>44</v>
      </c>
      <c r="B1086" s="45" t="s">
        <v>443</v>
      </c>
      <c r="C1086" s="48">
        <v>1</v>
      </c>
      <c r="E1086" s="121" t="s">
        <v>3445</v>
      </c>
      <c r="F1086" s="120" t="s">
        <v>3215</v>
      </c>
    </row>
    <row r="1087" spans="1:6" x14ac:dyDescent="0.2">
      <c r="A1087" s="55">
        <v>44</v>
      </c>
      <c r="B1087" s="45" t="s">
        <v>2583</v>
      </c>
      <c r="C1087" s="48">
        <v>1</v>
      </c>
      <c r="E1087" s="121" t="s">
        <v>1177</v>
      </c>
      <c r="F1087" s="120" t="s">
        <v>3288</v>
      </c>
    </row>
    <row r="1088" spans="1:6" x14ac:dyDescent="0.2">
      <c r="A1088" s="55">
        <v>44</v>
      </c>
      <c r="B1088" s="45" t="s">
        <v>588</v>
      </c>
      <c r="C1088" s="48">
        <v>1</v>
      </c>
      <c r="E1088" s="121" t="s">
        <v>3087</v>
      </c>
      <c r="F1088" s="120" t="s">
        <v>3215</v>
      </c>
    </row>
    <row r="1089" spans="1:6" x14ac:dyDescent="0.2">
      <c r="A1089" s="55">
        <v>44</v>
      </c>
      <c r="B1089" s="45" t="s">
        <v>2570</v>
      </c>
      <c r="C1089" s="48">
        <v>1</v>
      </c>
      <c r="E1089" s="121" t="s">
        <v>548</v>
      </c>
      <c r="F1089" s="120" t="s">
        <v>199</v>
      </c>
    </row>
    <row r="1090" spans="1:6" x14ac:dyDescent="0.2">
      <c r="A1090" s="55">
        <v>44</v>
      </c>
      <c r="B1090" s="45" t="s">
        <v>372</v>
      </c>
      <c r="C1090" s="48">
        <v>1</v>
      </c>
      <c r="E1090" s="121" t="s">
        <v>3129</v>
      </c>
      <c r="F1090" s="120" t="s">
        <v>3248</v>
      </c>
    </row>
    <row r="1091" spans="1:6" x14ac:dyDescent="0.2">
      <c r="A1091" s="55">
        <v>44</v>
      </c>
      <c r="B1091" s="45" t="s">
        <v>477</v>
      </c>
      <c r="C1091" s="48">
        <v>0.5</v>
      </c>
      <c r="E1091" s="121" t="s">
        <v>544</v>
      </c>
      <c r="F1091" s="120" t="s">
        <v>1873</v>
      </c>
    </row>
    <row r="1092" spans="1:6" x14ac:dyDescent="0.2">
      <c r="A1092" s="55">
        <v>44</v>
      </c>
      <c r="B1092" s="45" t="s">
        <v>371</v>
      </c>
      <c r="C1092" s="48">
        <v>0.5</v>
      </c>
      <c r="E1092" s="121" t="s">
        <v>1425</v>
      </c>
      <c r="F1092" s="120" t="s">
        <v>3248</v>
      </c>
    </row>
    <row r="1093" spans="1:6" x14ac:dyDescent="0.2">
      <c r="A1093" s="55">
        <v>44</v>
      </c>
      <c r="B1093" s="45" t="s">
        <v>369</v>
      </c>
      <c r="C1093" s="48">
        <v>0.5</v>
      </c>
      <c r="E1093" s="121" t="s">
        <v>2829</v>
      </c>
      <c r="F1093" s="120" t="s">
        <v>1289</v>
      </c>
    </row>
    <row r="1094" spans="1:6" x14ac:dyDescent="0.2">
      <c r="A1094" s="55">
        <v>44</v>
      </c>
      <c r="B1094" s="45" t="s">
        <v>2600</v>
      </c>
      <c r="C1094" s="48">
        <v>0.5</v>
      </c>
      <c r="E1094" s="121" t="s">
        <v>3163</v>
      </c>
      <c r="F1094" s="120" t="s">
        <v>3219</v>
      </c>
    </row>
    <row r="1095" spans="1:6" x14ac:dyDescent="0.2">
      <c r="A1095" s="55">
        <v>44</v>
      </c>
      <c r="B1095" s="45" t="s">
        <v>584</v>
      </c>
      <c r="C1095" s="48">
        <v>0.5</v>
      </c>
      <c r="E1095" s="121" t="s">
        <v>3499</v>
      </c>
      <c r="F1095" s="120" t="s">
        <v>3215</v>
      </c>
    </row>
    <row r="1096" spans="1:6" x14ac:dyDescent="0.2">
      <c r="A1096" s="55">
        <v>44</v>
      </c>
      <c r="B1096" s="45" t="s">
        <v>591</v>
      </c>
      <c r="C1096" s="48">
        <v>0.5</v>
      </c>
      <c r="E1096" s="121" t="s">
        <v>3083</v>
      </c>
      <c r="F1096" s="120" t="s">
        <v>3269</v>
      </c>
    </row>
    <row r="1097" spans="1:6" x14ac:dyDescent="0.2">
      <c r="A1097" s="55">
        <v>45</v>
      </c>
      <c r="B1097" s="45" t="s">
        <v>326</v>
      </c>
      <c r="C1097" s="48">
        <v>65</v>
      </c>
      <c r="E1097" s="121" t="s">
        <v>1492</v>
      </c>
      <c r="F1097" s="120" t="s">
        <v>3280</v>
      </c>
    </row>
    <row r="1098" spans="1:6" x14ac:dyDescent="0.2">
      <c r="A1098" s="55">
        <v>45</v>
      </c>
      <c r="B1098" s="45" t="s">
        <v>2590</v>
      </c>
      <c r="C1098" s="48">
        <v>8</v>
      </c>
      <c r="E1098" s="121" t="s">
        <v>1534</v>
      </c>
      <c r="F1098" s="120" t="s">
        <v>3241</v>
      </c>
    </row>
    <row r="1099" spans="1:6" x14ac:dyDescent="0.2">
      <c r="A1099" s="55">
        <v>45</v>
      </c>
      <c r="B1099" s="45" t="s">
        <v>2632</v>
      </c>
      <c r="C1099" s="48">
        <v>8</v>
      </c>
      <c r="E1099" s="121" t="s">
        <v>3136</v>
      </c>
      <c r="F1099" s="120" t="s">
        <v>3227</v>
      </c>
    </row>
    <row r="1100" spans="1:6" x14ac:dyDescent="0.2">
      <c r="A1100" s="55">
        <v>45</v>
      </c>
      <c r="B1100" s="45" t="s">
        <v>332</v>
      </c>
      <c r="C1100" s="48">
        <v>5</v>
      </c>
      <c r="E1100" s="121" t="s">
        <v>3519</v>
      </c>
      <c r="F1100" s="120" t="s">
        <v>3280</v>
      </c>
    </row>
    <row r="1101" spans="1:6" x14ac:dyDescent="0.2">
      <c r="A1101" s="55">
        <v>45</v>
      </c>
      <c r="B1101" s="45" t="s">
        <v>2591</v>
      </c>
      <c r="C1101" s="48">
        <v>4</v>
      </c>
      <c r="E1101" s="121" t="s">
        <v>2877</v>
      </c>
      <c r="F1101" s="120" t="s">
        <v>3247</v>
      </c>
    </row>
    <row r="1102" spans="1:6" x14ac:dyDescent="0.2">
      <c r="A1102" s="55">
        <v>45</v>
      </c>
      <c r="B1102" s="45" t="s">
        <v>327</v>
      </c>
      <c r="C1102" s="48">
        <v>4</v>
      </c>
      <c r="E1102" s="121" t="s">
        <v>3517</v>
      </c>
      <c r="F1102" s="120" t="s">
        <v>3226</v>
      </c>
    </row>
    <row r="1103" spans="1:6" x14ac:dyDescent="0.2">
      <c r="A1103" s="55">
        <v>45</v>
      </c>
      <c r="B1103" s="45" t="s">
        <v>333</v>
      </c>
      <c r="C1103" s="48">
        <v>4</v>
      </c>
      <c r="E1103" s="121" t="s">
        <v>3167</v>
      </c>
      <c r="F1103" s="120" t="s">
        <v>3242</v>
      </c>
    </row>
    <row r="1104" spans="1:6" x14ac:dyDescent="0.2">
      <c r="A1104" s="55">
        <v>45</v>
      </c>
      <c r="B1104" s="45" t="s">
        <v>329</v>
      </c>
      <c r="C1104" s="48">
        <v>3</v>
      </c>
      <c r="E1104" s="121" t="s">
        <v>2867</v>
      </c>
      <c r="F1104" s="120" t="s">
        <v>3238</v>
      </c>
    </row>
    <row r="1105" spans="1:6" x14ac:dyDescent="0.2">
      <c r="A1105" s="55">
        <v>45</v>
      </c>
      <c r="B1105" s="45" t="s">
        <v>334</v>
      </c>
      <c r="C1105" s="48">
        <v>3</v>
      </c>
      <c r="E1105" s="121" t="s">
        <v>3387</v>
      </c>
      <c r="F1105" s="120" t="s">
        <v>3285</v>
      </c>
    </row>
    <row r="1106" spans="1:6" x14ac:dyDescent="0.2">
      <c r="A1106" s="55">
        <v>45</v>
      </c>
      <c r="B1106" s="45" t="s">
        <v>593</v>
      </c>
      <c r="C1106" s="48">
        <v>3</v>
      </c>
      <c r="E1106" s="121" t="s">
        <v>2852</v>
      </c>
      <c r="F1106" s="120" t="s">
        <v>3227</v>
      </c>
    </row>
    <row r="1107" spans="1:6" x14ac:dyDescent="0.2">
      <c r="A1107" s="55">
        <v>45</v>
      </c>
      <c r="B1107" s="45" t="s">
        <v>1586</v>
      </c>
      <c r="C1107" s="48">
        <v>3</v>
      </c>
      <c r="E1107" s="121" t="s">
        <v>1517</v>
      </c>
      <c r="F1107" s="120" t="s">
        <v>3301</v>
      </c>
    </row>
    <row r="1108" spans="1:6" x14ac:dyDescent="0.2">
      <c r="A1108" s="55">
        <v>45</v>
      </c>
      <c r="B1108" s="45" t="s">
        <v>434</v>
      </c>
      <c r="C1108" s="48">
        <v>2</v>
      </c>
      <c r="E1108" s="121" t="s">
        <v>3476</v>
      </c>
      <c r="F1108" s="120" t="s">
        <v>3245</v>
      </c>
    </row>
    <row r="1109" spans="1:6" x14ac:dyDescent="0.2">
      <c r="A1109" s="55">
        <v>45</v>
      </c>
      <c r="B1109" s="45" t="s">
        <v>603</v>
      </c>
      <c r="C1109" s="48">
        <v>0.5</v>
      </c>
      <c r="E1109" s="121" t="s">
        <v>541</v>
      </c>
      <c r="F1109" s="120" t="s">
        <v>199</v>
      </c>
    </row>
    <row r="1110" spans="1:6" x14ac:dyDescent="0.2">
      <c r="A1110" s="55">
        <v>46</v>
      </c>
      <c r="B1110" s="45" t="s">
        <v>2569</v>
      </c>
      <c r="C1110" s="48">
        <v>25</v>
      </c>
      <c r="E1110" s="121" t="s">
        <v>3496</v>
      </c>
      <c r="F1110" s="120" t="s">
        <v>3310</v>
      </c>
    </row>
    <row r="1111" spans="1:6" x14ac:dyDescent="0.2">
      <c r="A1111" s="55">
        <v>46</v>
      </c>
      <c r="B1111" s="45" t="s">
        <v>425</v>
      </c>
      <c r="C1111" s="48">
        <v>18</v>
      </c>
      <c r="E1111" s="121" t="s">
        <v>1168</v>
      </c>
      <c r="F1111" s="120" t="s">
        <v>3215</v>
      </c>
    </row>
    <row r="1112" spans="1:6" x14ac:dyDescent="0.2">
      <c r="A1112" s="55">
        <v>46</v>
      </c>
      <c r="B1112" s="45" t="s">
        <v>398</v>
      </c>
      <c r="C1112" s="48">
        <v>10</v>
      </c>
      <c r="E1112" s="121" t="s">
        <v>1165</v>
      </c>
      <c r="F1112" s="120" t="s">
        <v>3215</v>
      </c>
    </row>
    <row r="1113" spans="1:6" x14ac:dyDescent="0.2">
      <c r="A1113" s="55">
        <v>46</v>
      </c>
      <c r="B1113" s="45" t="s">
        <v>361</v>
      </c>
      <c r="C1113" s="48">
        <v>6</v>
      </c>
      <c r="E1113" s="121" t="s">
        <v>3201</v>
      </c>
      <c r="F1113" s="120" t="s">
        <v>3249</v>
      </c>
    </row>
    <row r="1114" spans="1:6" x14ac:dyDescent="0.2">
      <c r="A1114" s="55">
        <v>46</v>
      </c>
      <c r="B1114" s="45" t="s">
        <v>376</v>
      </c>
      <c r="C1114" s="48">
        <v>5</v>
      </c>
      <c r="E1114" s="121" t="s">
        <v>3462</v>
      </c>
      <c r="F1114" s="120" t="s">
        <v>3227</v>
      </c>
    </row>
    <row r="1115" spans="1:6" x14ac:dyDescent="0.2">
      <c r="A1115" s="55">
        <v>46</v>
      </c>
      <c r="B1115" s="45" t="s">
        <v>2644</v>
      </c>
      <c r="C1115" s="48">
        <v>3</v>
      </c>
      <c r="E1115" s="121" t="s">
        <v>1416</v>
      </c>
      <c r="F1115" s="120" t="s">
        <v>3273</v>
      </c>
    </row>
    <row r="1116" spans="1:6" x14ac:dyDescent="0.2">
      <c r="A1116" s="55">
        <v>46</v>
      </c>
      <c r="B1116" s="45" t="s">
        <v>373</v>
      </c>
      <c r="C1116" s="48">
        <v>3</v>
      </c>
      <c r="E1116" s="121" t="s">
        <v>3484</v>
      </c>
      <c r="F1116" s="120" t="s">
        <v>3276</v>
      </c>
    </row>
    <row r="1117" spans="1:6" x14ac:dyDescent="0.2">
      <c r="A1117" s="55">
        <v>46</v>
      </c>
      <c r="B1117" s="45" t="s">
        <v>595</v>
      </c>
      <c r="C1117" s="48">
        <v>3</v>
      </c>
      <c r="E1117" s="121" t="s">
        <v>3033</v>
      </c>
      <c r="F1117" s="120" t="s">
        <v>3248</v>
      </c>
    </row>
    <row r="1118" spans="1:6" x14ac:dyDescent="0.2">
      <c r="A1118" s="55">
        <v>46</v>
      </c>
      <c r="B1118" s="45" t="s">
        <v>347</v>
      </c>
      <c r="C1118" s="48">
        <v>3</v>
      </c>
      <c r="E1118" s="121" t="s">
        <v>3492</v>
      </c>
      <c r="F1118" s="120" t="s">
        <v>3312</v>
      </c>
    </row>
    <row r="1119" spans="1:6" x14ac:dyDescent="0.2">
      <c r="A1119" s="55">
        <v>46</v>
      </c>
      <c r="B1119" s="45" t="s">
        <v>341</v>
      </c>
      <c r="C1119" s="48">
        <v>3</v>
      </c>
      <c r="E1119" s="121" t="s">
        <v>3062</v>
      </c>
      <c r="F1119" s="120" t="s">
        <v>3266</v>
      </c>
    </row>
    <row r="1120" spans="1:6" x14ac:dyDescent="0.2">
      <c r="A1120" s="55">
        <v>46</v>
      </c>
      <c r="B1120" s="45" t="s">
        <v>1286</v>
      </c>
      <c r="C1120" s="48">
        <v>3</v>
      </c>
      <c r="E1120" s="121" t="s">
        <v>2926</v>
      </c>
      <c r="F1120" s="120" t="s">
        <v>3215</v>
      </c>
    </row>
    <row r="1121" spans="1:6" x14ac:dyDescent="0.2">
      <c r="A1121" s="55">
        <v>46</v>
      </c>
      <c r="B1121" s="45" t="s">
        <v>402</v>
      </c>
      <c r="C1121" s="48">
        <v>2</v>
      </c>
      <c r="E1121" s="121" t="s">
        <v>3171</v>
      </c>
      <c r="F1121" s="120" t="s">
        <v>3284</v>
      </c>
    </row>
    <row r="1122" spans="1:6" x14ac:dyDescent="0.2">
      <c r="A1122" s="55">
        <v>46</v>
      </c>
      <c r="B1122" s="45" t="s">
        <v>594</v>
      </c>
      <c r="C1122" s="48">
        <v>1</v>
      </c>
      <c r="E1122" s="121" t="s">
        <v>1246</v>
      </c>
      <c r="F1122" s="120" t="s">
        <v>3299</v>
      </c>
    </row>
    <row r="1123" spans="1:6" x14ac:dyDescent="0.2">
      <c r="A1123" s="55">
        <v>46</v>
      </c>
      <c r="B1123" s="45" t="s">
        <v>2636</v>
      </c>
      <c r="C1123" s="48">
        <v>1</v>
      </c>
      <c r="E1123" s="121" t="s">
        <v>3504</v>
      </c>
      <c r="F1123" s="120" t="s">
        <v>3248</v>
      </c>
    </row>
    <row r="1124" spans="1:6" x14ac:dyDescent="0.2">
      <c r="A1124" s="55">
        <v>46</v>
      </c>
      <c r="B1124" s="45" t="s">
        <v>357</v>
      </c>
      <c r="C1124" s="48">
        <v>1</v>
      </c>
      <c r="E1124" s="121" t="s">
        <v>3063</v>
      </c>
      <c r="F1124" s="120" t="s">
        <v>3262</v>
      </c>
    </row>
    <row r="1125" spans="1:6" x14ac:dyDescent="0.2">
      <c r="A1125" s="55">
        <v>46</v>
      </c>
      <c r="B1125" s="45" t="s">
        <v>2583</v>
      </c>
      <c r="C1125" s="48">
        <v>1</v>
      </c>
      <c r="E1125" s="121" t="s">
        <v>1177</v>
      </c>
      <c r="F1125" s="120" t="s">
        <v>3288</v>
      </c>
    </row>
    <row r="1126" spans="1:6" x14ac:dyDescent="0.2">
      <c r="A1126" s="55">
        <v>46</v>
      </c>
      <c r="B1126" s="45" t="s">
        <v>596</v>
      </c>
      <c r="C1126" s="48">
        <v>1</v>
      </c>
      <c r="E1126" s="121" t="s">
        <v>2854</v>
      </c>
      <c r="F1126" s="120" t="s">
        <v>3228</v>
      </c>
    </row>
    <row r="1127" spans="1:6" x14ac:dyDescent="0.2">
      <c r="A1127" s="55">
        <v>46</v>
      </c>
      <c r="B1127" s="45" t="s">
        <v>375</v>
      </c>
      <c r="C1127" s="48">
        <v>1</v>
      </c>
      <c r="E1127" s="121" t="s">
        <v>1530</v>
      </c>
      <c r="F1127" s="120" t="s">
        <v>3248</v>
      </c>
    </row>
    <row r="1128" spans="1:6" x14ac:dyDescent="0.2">
      <c r="A1128" s="55">
        <v>46</v>
      </c>
      <c r="B1128" s="45" t="s">
        <v>2641</v>
      </c>
      <c r="C1128" s="48">
        <v>0.5</v>
      </c>
      <c r="E1128" s="121" t="s">
        <v>1418</v>
      </c>
      <c r="F1128" s="120" t="s">
        <v>3249</v>
      </c>
    </row>
    <row r="1129" spans="1:6" x14ac:dyDescent="0.2">
      <c r="A1129" s="55">
        <v>46</v>
      </c>
      <c r="B1129" s="45" t="s">
        <v>2645</v>
      </c>
      <c r="C1129" s="48">
        <v>0.5</v>
      </c>
      <c r="E1129" s="121" t="s">
        <v>1535</v>
      </c>
      <c r="F1129" s="120" t="s">
        <v>3259</v>
      </c>
    </row>
    <row r="1130" spans="1:6" x14ac:dyDescent="0.2">
      <c r="A1130" s="55">
        <v>46</v>
      </c>
      <c r="B1130" s="45" t="s">
        <v>437</v>
      </c>
      <c r="C1130" s="48">
        <v>0.5</v>
      </c>
      <c r="E1130" s="121" t="s">
        <v>3385</v>
      </c>
      <c r="F1130" s="120" t="s">
        <v>3285</v>
      </c>
    </row>
    <row r="1131" spans="1:6" x14ac:dyDescent="0.2">
      <c r="A1131" s="55">
        <v>46</v>
      </c>
      <c r="B1131" s="45" t="s">
        <v>358</v>
      </c>
      <c r="C1131" s="48">
        <v>0.5</v>
      </c>
      <c r="E1131" s="121" t="s">
        <v>1404</v>
      </c>
      <c r="F1131" s="120" t="s">
        <v>3248</v>
      </c>
    </row>
    <row r="1132" spans="1:6" x14ac:dyDescent="0.2">
      <c r="A1132" s="55">
        <v>46</v>
      </c>
      <c r="B1132" s="45" t="s">
        <v>372</v>
      </c>
      <c r="C1132" s="48">
        <v>0.5</v>
      </c>
      <c r="E1132" s="121" t="s">
        <v>3129</v>
      </c>
      <c r="F1132" s="120" t="s">
        <v>3248</v>
      </c>
    </row>
    <row r="1133" spans="1:6" x14ac:dyDescent="0.2">
      <c r="A1133" s="55">
        <v>47</v>
      </c>
      <c r="B1133" s="45" t="s">
        <v>341</v>
      </c>
      <c r="C1133" s="48">
        <v>20</v>
      </c>
      <c r="E1133" s="121" t="s">
        <v>3062</v>
      </c>
      <c r="F1133" s="120" t="s">
        <v>3266</v>
      </c>
    </row>
    <row r="1134" spans="1:6" x14ac:dyDescent="0.2">
      <c r="A1134" s="55">
        <v>47</v>
      </c>
      <c r="B1134" s="45" t="s">
        <v>347</v>
      </c>
      <c r="C1134" s="48">
        <v>12</v>
      </c>
      <c r="E1134" s="121" t="s">
        <v>3492</v>
      </c>
      <c r="F1134" s="120" t="s">
        <v>3312</v>
      </c>
    </row>
    <row r="1135" spans="1:6" x14ac:dyDescent="0.2">
      <c r="A1135" s="55">
        <v>47</v>
      </c>
      <c r="B1135" s="45" t="s">
        <v>361</v>
      </c>
      <c r="C1135" s="48">
        <v>8</v>
      </c>
      <c r="E1135" s="121" t="s">
        <v>3201</v>
      </c>
      <c r="F1135" s="120" t="s">
        <v>3249</v>
      </c>
    </row>
    <row r="1136" spans="1:6" x14ac:dyDescent="0.2">
      <c r="A1136" s="55">
        <v>47</v>
      </c>
      <c r="B1136" s="45" t="s">
        <v>597</v>
      </c>
      <c r="C1136" s="48">
        <v>8</v>
      </c>
      <c r="E1136" s="121" t="s">
        <v>3060</v>
      </c>
      <c r="F1136" s="120" t="s">
        <v>3248</v>
      </c>
    </row>
    <row r="1137" spans="1:6" x14ac:dyDescent="0.2">
      <c r="A1137" s="55">
        <v>47</v>
      </c>
      <c r="B1137" s="45" t="s">
        <v>340</v>
      </c>
      <c r="C1137" s="48">
        <v>8</v>
      </c>
      <c r="E1137" s="121" t="s">
        <v>1529</v>
      </c>
      <c r="F1137" s="120" t="s">
        <v>3249</v>
      </c>
    </row>
    <row r="1138" spans="1:6" x14ac:dyDescent="0.2">
      <c r="A1138" s="55">
        <v>47</v>
      </c>
      <c r="B1138" s="45" t="s">
        <v>432</v>
      </c>
      <c r="C1138" s="48">
        <v>7</v>
      </c>
      <c r="E1138" s="121" t="s">
        <v>3186</v>
      </c>
      <c r="F1138" s="120" t="s">
        <v>3284</v>
      </c>
    </row>
    <row r="1139" spans="1:6" x14ac:dyDescent="0.2">
      <c r="A1139" s="55">
        <v>47</v>
      </c>
      <c r="B1139" s="45" t="s">
        <v>398</v>
      </c>
      <c r="C1139" s="48">
        <v>6</v>
      </c>
      <c r="E1139" s="121" t="s">
        <v>1165</v>
      </c>
      <c r="F1139" s="120" t="s">
        <v>3215</v>
      </c>
    </row>
    <row r="1140" spans="1:6" x14ac:dyDescent="0.2">
      <c r="A1140" s="55">
        <v>47</v>
      </c>
      <c r="B1140" s="45" t="s">
        <v>343</v>
      </c>
      <c r="C1140" s="48">
        <v>6</v>
      </c>
      <c r="E1140" s="121" t="s">
        <v>3334</v>
      </c>
      <c r="F1140" s="120" t="s">
        <v>3303</v>
      </c>
    </row>
    <row r="1141" spans="1:6" x14ac:dyDescent="0.2">
      <c r="A1141" s="55">
        <v>47</v>
      </c>
      <c r="B1141" s="45" t="s">
        <v>345</v>
      </c>
      <c r="C1141" s="48">
        <v>6</v>
      </c>
      <c r="E1141" s="121" t="s">
        <v>3520</v>
      </c>
      <c r="F1141" s="120" t="s">
        <v>3227</v>
      </c>
    </row>
    <row r="1142" spans="1:6" x14ac:dyDescent="0.2">
      <c r="A1142" s="55">
        <v>47</v>
      </c>
      <c r="B1142" s="45" t="s">
        <v>375</v>
      </c>
      <c r="C1142" s="48">
        <v>6</v>
      </c>
      <c r="E1142" s="121" t="s">
        <v>1530</v>
      </c>
      <c r="F1142" s="120" t="s">
        <v>3248</v>
      </c>
    </row>
    <row r="1143" spans="1:6" x14ac:dyDescent="0.2">
      <c r="A1143" s="55">
        <v>47</v>
      </c>
      <c r="B1143" s="45" t="s">
        <v>2636</v>
      </c>
      <c r="C1143" s="48">
        <v>4</v>
      </c>
      <c r="E1143" s="121" t="s">
        <v>3504</v>
      </c>
      <c r="F1143" s="120" t="s">
        <v>3248</v>
      </c>
    </row>
    <row r="1144" spans="1:6" x14ac:dyDescent="0.2">
      <c r="A1144" s="55">
        <v>47</v>
      </c>
      <c r="B1144" s="45" t="s">
        <v>2583</v>
      </c>
      <c r="C1144" s="48">
        <v>3</v>
      </c>
      <c r="E1144" s="121" t="s">
        <v>1177</v>
      </c>
      <c r="F1144" s="120" t="s">
        <v>3288</v>
      </c>
    </row>
    <row r="1145" spans="1:6" x14ac:dyDescent="0.2">
      <c r="A1145" s="55">
        <v>47</v>
      </c>
      <c r="B1145" s="45" t="s">
        <v>349</v>
      </c>
      <c r="C1145" s="48">
        <v>3</v>
      </c>
      <c r="E1145" s="121" t="s">
        <v>1200</v>
      </c>
      <c r="F1145" s="120" t="s">
        <v>3292</v>
      </c>
    </row>
    <row r="1146" spans="1:6" x14ac:dyDescent="0.2">
      <c r="A1146" s="55">
        <v>47</v>
      </c>
      <c r="B1146" s="45" t="s">
        <v>380</v>
      </c>
      <c r="C1146" s="48">
        <v>3</v>
      </c>
      <c r="E1146" s="121" t="s">
        <v>2853</v>
      </c>
      <c r="F1146" s="120" t="s">
        <v>3227</v>
      </c>
    </row>
    <row r="1147" spans="1:6" x14ac:dyDescent="0.2">
      <c r="A1147" s="55">
        <v>47</v>
      </c>
      <c r="B1147" s="45" t="s">
        <v>583</v>
      </c>
      <c r="C1147" s="48">
        <v>2</v>
      </c>
      <c r="E1147" s="121" t="s">
        <v>1207</v>
      </c>
      <c r="F1147" s="120" t="s">
        <v>3274</v>
      </c>
    </row>
    <row r="1148" spans="1:6" x14ac:dyDescent="0.2">
      <c r="A1148" s="55">
        <v>47</v>
      </c>
      <c r="B1148" s="45" t="s">
        <v>613</v>
      </c>
      <c r="C1148" s="48">
        <v>1</v>
      </c>
      <c r="E1148" s="121" t="s">
        <v>3479</v>
      </c>
      <c r="F1148" s="120" t="s">
        <v>3309</v>
      </c>
    </row>
    <row r="1149" spans="1:6" x14ac:dyDescent="0.2">
      <c r="A1149" s="55">
        <v>48</v>
      </c>
      <c r="B1149" s="45" t="s">
        <v>336</v>
      </c>
      <c r="C1149" s="48">
        <v>40</v>
      </c>
      <c r="E1149" s="121" t="s">
        <v>3327</v>
      </c>
      <c r="F1149" s="120" t="s">
        <v>3281</v>
      </c>
    </row>
    <row r="1150" spans="1:6" x14ac:dyDescent="0.2">
      <c r="A1150" s="55">
        <v>48</v>
      </c>
      <c r="B1150" s="45" t="s">
        <v>337</v>
      </c>
      <c r="C1150" s="48">
        <v>15</v>
      </c>
      <c r="E1150" s="121" t="s">
        <v>3193</v>
      </c>
      <c r="F1150" s="120" t="s">
        <v>3227</v>
      </c>
    </row>
    <row r="1151" spans="1:6" x14ac:dyDescent="0.2">
      <c r="A1151" s="55">
        <v>48</v>
      </c>
      <c r="B1151" s="45" t="s">
        <v>332</v>
      </c>
      <c r="C1151" s="48">
        <v>10</v>
      </c>
      <c r="E1151" s="121" t="s">
        <v>3519</v>
      </c>
      <c r="F1151" s="120" t="s">
        <v>3280</v>
      </c>
    </row>
    <row r="1152" spans="1:6" x14ac:dyDescent="0.2">
      <c r="A1152" s="55">
        <v>48</v>
      </c>
      <c r="B1152" s="45" t="s">
        <v>1585</v>
      </c>
      <c r="C1152" s="48">
        <v>10</v>
      </c>
      <c r="E1152" s="121" t="s">
        <v>3518</v>
      </c>
      <c r="F1152" s="120" t="s">
        <v>3297</v>
      </c>
    </row>
    <row r="1153" spans="1:6" x14ac:dyDescent="0.2">
      <c r="A1153" s="55">
        <v>48</v>
      </c>
      <c r="B1153" s="45" t="s">
        <v>2633</v>
      </c>
      <c r="C1153" s="48">
        <v>5</v>
      </c>
      <c r="E1153" s="121" t="s">
        <v>2881</v>
      </c>
      <c r="F1153" s="120" t="s">
        <v>3250</v>
      </c>
    </row>
    <row r="1154" spans="1:6" x14ac:dyDescent="0.2">
      <c r="A1154" s="55">
        <v>48</v>
      </c>
      <c r="B1154" s="45" t="s">
        <v>329</v>
      </c>
      <c r="C1154" s="48">
        <v>3</v>
      </c>
      <c r="E1154" s="121" t="s">
        <v>2867</v>
      </c>
      <c r="F1154" s="120" t="s">
        <v>3238</v>
      </c>
    </row>
    <row r="1155" spans="1:6" x14ac:dyDescent="0.2">
      <c r="A1155" s="55">
        <v>48</v>
      </c>
      <c r="B1155" s="45" t="s">
        <v>598</v>
      </c>
      <c r="C1155" s="48">
        <v>2</v>
      </c>
      <c r="E1155" s="121" t="s">
        <v>3478</v>
      </c>
      <c r="F1155" s="120" t="s">
        <v>3229</v>
      </c>
    </row>
    <row r="1156" spans="1:6" x14ac:dyDescent="0.2">
      <c r="A1156" s="55">
        <v>48</v>
      </c>
      <c r="B1156" s="45" t="s">
        <v>2590</v>
      </c>
      <c r="C1156" s="48">
        <v>1</v>
      </c>
      <c r="E1156" s="121" t="s">
        <v>1534</v>
      </c>
      <c r="F1156" s="120" t="s">
        <v>3241</v>
      </c>
    </row>
    <row r="1157" spans="1:6" x14ac:dyDescent="0.2">
      <c r="A1157" s="55">
        <v>48</v>
      </c>
      <c r="B1157" s="45" t="s">
        <v>599</v>
      </c>
      <c r="C1157" s="48">
        <v>1</v>
      </c>
      <c r="E1157" s="121" t="s">
        <v>3431</v>
      </c>
      <c r="F1157" s="120" t="s">
        <v>3285</v>
      </c>
    </row>
    <row r="1158" spans="1:6" x14ac:dyDescent="0.2">
      <c r="A1158" s="55">
        <v>48</v>
      </c>
      <c r="B1158" s="45" t="s">
        <v>330</v>
      </c>
      <c r="C1158" s="48">
        <v>1</v>
      </c>
      <c r="E1158" s="121" t="s">
        <v>3438</v>
      </c>
      <c r="F1158" s="120" t="s">
        <v>3286</v>
      </c>
    </row>
    <row r="1159" spans="1:6" x14ac:dyDescent="0.2">
      <c r="A1159" s="55">
        <v>48</v>
      </c>
      <c r="B1159" s="45" t="s">
        <v>434</v>
      </c>
      <c r="C1159" s="48">
        <v>0.5</v>
      </c>
      <c r="E1159" s="121" t="s">
        <v>3476</v>
      </c>
      <c r="F1159" s="120" t="s">
        <v>3245</v>
      </c>
    </row>
    <row r="1160" spans="1:6" x14ac:dyDescent="0.2">
      <c r="A1160" s="55">
        <v>49</v>
      </c>
      <c r="B1160" s="45" t="s">
        <v>2660</v>
      </c>
      <c r="C1160" s="48">
        <v>25</v>
      </c>
      <c r="E1160" s="121" t="s">
        <v>3493</v>
      </c>
      <c r="F1160" s="120" t="s">
        <v>3310</v>
      </c>
    </row>
    <row r="1161" spans="1:6" x14ac:dyDescent="0.2">
      <c r="A1161" s="55">
        <v>49</v>
      </c>
      <c r="B1161" s="45" t="s">
        <v>3388</v>
      </c>
      <c r="C1161" s="48">
        <v>10</v>
      </c>
      <c r="E1161" s="121" t="s">
        <v>538</v>
      </c>
      <c r="F1161" s="120" t="s">
        <v>3284</v>
      </c>
    </row>
    <row r="1162" spans="1:6" x14ac:dyDescent="0.2">
      <c r="A1162" s="55">
        <v>49</v>
      </c>
      <c r="B1162" s="45" t="s">
        <v>432</v>
      </c>
      <c r="C1162" s="48">
        <v>8</v>
      </c>
      <c r="E1162" s="121" t="s">
        <v>3186</v>
      </c>
      <c r="F1162" s="120" t="s">
        <v>3284</v>
      </c>
    </row>
    <row r="1163" spans="1:6" x14ac:dyDescent="0.2">
      <c r="A1163" s="55">
        <v>49</v>
      </c>
      <c r="B1163" s="45" t="s">
        <v>341</v>
      </c>
      <c r="C1163" s="48">
        <v>6</v>
      </c>
      <c r="E1163" s="121" t="s">
        <v>3062</v>
      </c>
      <c r="F1163" s="120" t="s">
        <v>3266</v>
      </c>
    </row>
    <row r="1164" spans="1:6" x14ac:dyDescent="0.2">
      <c r="A1164" s="55">
        <v>49</v>
      </c>
      <c r="B1164" s="45" t="s">
        <v>2673</v>
      </c>
      <c r="C1164" s="48">
        <v>5</v>
      </c>
      <c r="E1164" s="121" t="s">
        <v>2909</v>
      </c>
      <c r="F1164" s="120" t="s">
        <v>3260</v>
      </c>
    </row>
    <row r="1165" spans="1:6" x14ac:dyDescent="0.2">
      <c r="A1165" s="55">
        <v>49</v>
      </c>
      <c r="B1165" s="45" t="s">
        <v>381</v>
      </c>
      <c r="C1165" s="48">
        <v>3</v>
      </c>
      <c r="E1165" s="121" t="s">
        <v>1197</v>
      </c>
      <c r="F1165" s="120" t="s">
        <v>3245</v>
      </c>
    </row>
    <row r="1166" spans="1:6" x14ac:dyDescent="0.2">
      <c r="A1166" s="55">
        <v>49</v>
      </c>
      <c r="B1166" s="45" t="s">
        <v>597</v>
      </c>
      <c r="C1166" s="48">
        <v>3</v>
      </c>
      <c r="E1166" s="121" t="s">
        <v>3060</v>
      </c>
      <c r="F1166" s="120" t="s">
        <v>3248</v>
      </c>
    </row>
    <row r="1167" spans="1:6" x14ac:dyDescent="0.2">
      <c r="A1167" s="55">
        <v>49</v>
      </c>
      <c r="B1167" s="45" t="s">
        <v>350</v>
      </c>
      <c r="C1167" s="48">
        <v>2</v>
      </c>
      <c r="E1167" s="121" t="s">
        <v>1415</v>
      </c>
      <c r="F1167" s="120" t="s">
        <v>3249</v>
      </c>
    </row>
    <row r="1168" spans="1:6" x14ac:dyDescent="0.2">
      <c r="A1168" s="55">
        <v>49</v>
      </c>
      <c r="B1168" s="45" t="s">
        <v>609</v>
      </c>
      <c r="C1168" s="48">
        <v>2</v>
      </c>
      <c r="E1168" s="121" t="s">
        <v>3168</v>
      </c>
      <c r="F1168" s="120" t="s">
        <v>3284</v>
      </c>
    </row>
    <row r="1169" spans="1:6" x14ac:dyDescent="0.2">
      <c r="A1169" s="55">
        <v>49</v>
      </c>
      <c r="B1169" s="45" t="s">
        <v>567</v>
      </c>
      <c r="C1169" s="48">
        <v>2</v>
      </c>
      <c r="E1169" s="121" t="s">
        <v>568</v>
      </c>
      <c r="F1169" s="120" t="s">
        <v>3256</v>
      </c>
    </row>
    <row r="1170" spans="1:6" x14ac:dyDescent="0.2">
      <c r="A1170" s="55">
        <v>49</v>
      </c>
      <c r="B1170" s="45" t="s">
        <v>345</v>
      </c>
      <c r="C1170" s="48">
        <v>2</v>
      </c>
      <c r="E1170" s="121" t="s">
        <v>3520</v>
      </c>
      <c r="F1170" s="120" t="s">
        <v>3227</v>
      </c>
    </row>
    <row r="1171" spans="1:6" x14ac:dyDescent="0.2">
      <c r="A1171" s="55">
        <v>49</v>
      </c>
      <c r="B1171" s="45" t="s">
        <v>2610</v>
      </c>
      <c r="C1171" s="48">
        <v>2</v>
      </c>
      <c r="E1171" s="121" t="s">
        <v>543</v>
      </c>
      <c r="F1171" s="120" t="s">
        <v>3284</v>
      </c>
    </row>
    <row r="1172" spans="1:6" x14ac:dyDescent="0.2">
      <c r="A1172" s="55">
        <v>49</v>
      </c>
      <c r="B1172" s="45" t="s">
        <v>601</v>
      </c>
      <c r="C1172" s="48">
        <v>1</v>
      </c>
      <c r="E1172" s="121" t="s">
        <v>1157</v>
      </c>
      <c r="F1172" s="120" t="s">
        <v>3249</v>
      </c>
    </row>
    <row r="1173" spans="1:6" x14ac:dyDescent="0.2">
      <c r="A1173" s="55">
        <v>49</v>
      </c>
      <c r="B1173" s="45" t="s">
        <v>3151</v>
      </c>
      <c r="C1173" s="48">
        <v>1</v>
      </c>
      <c r="E1173" s="121" t="s">
        <v>3194</v>
      </c>
      <c r="F1173" s="120" t="s">
        <v>3258</v>
      </c>
    </row>
    <row r="1174" spans="1:6" x14ac:dyDescent="0.2">
      <c r="A1174" s="55">
        <v>49</v>
      </c>
      <c r="B1174" s="45" t="s">
        <v>2713</v>
      </c>
      <c r="C1174" s="48">
        <v>1</v>
      </c>
      <c r="E1174" s="121" t="s">
        <v>3108</v>
      </c>
      <c r="F1174" s="120" t="s">
        <v>3252</v>
      </c>
    </row>
    <row r="1175" spans="1:6" x14ac:dyDescent="0.2">
      <c r="A1175" s="55">
        <v>49</v>
      </c>
      <c r="B1175" s="45" t="s">
        <v>2672</v>
      </c>
      <c r="C1175" s="48">
        <v>1</v>
      </c>
      <c r="E1175" s="121" t="s">
        <v>1514</v>
      </c>
      <c r="F1175" s="120" t="s">
        <v>3246</v>
      </c>
    </row>
    <row r="1176" spans="1:6" x14ac:dyDescent="0.2">
      <c r="A1176" s="55">
        <v>49</v>
      </c>
      <c r="B1176" s="45" t="s">
        <v>2716</v>
      </c>
      <c r="C1176" s="48">
        <v>0.5</v>
      </c>
      <c r="E1176" s="121" t="s">
        <v>3477</v>
      </c>
      <c r="F1176" s="120" t="s">
        <v>3245</v>
      </c>
    </row>
    <row r="1177" spans="1:6" x14ac:dyDescent="0.2">
      <c r="A1177" s="55">
        <v>49</v>
      </c>
      <c r="B1177" s="45" t="s">
        <v>983</v>
      </c>
      <c r="C1177" s="48">
        <v>0.5</v>
      </c>
      <c r="E1177" s="121" t="s">
        <v>3164</v>
      </c>
      <c r="F1177" s="120" t="s">
        <v>3261</v>
      </c>
    </row>
    <row r="1178" spans="1:6" x14ac:dyDescent="0.2">
      <c r="A1178" s="55">
        <v>49</v>
      </c>
      <c r="B1178" s="45" t="s">
        <v>452</v>
      </c>
      <c r="C1178" s="48">
        <v>0.5</v>
      </c>
      <c r="E1178" s="121" t="s">
        <v>1494</v>
      </c>
      <c r="F1178" s="120" t="s">
        <v>3259</v>
      </c>
    </row>
    <row r="1179" spans="1:6" x14ac:dyDescent="0.2">
      <c r="A1179" s="55">
        <v>49</v>
      </c>
      <c r="B1179" s="45" t="s">
        <v>454</v>
      </c>
      <c r="C1179" s="48">
        <v>0.5</v>
      </c>
      <c r="E1179" s="121" t="s">
        <v>534</v>
      </c>
      <c r="F1179" s="120" t="s">
        <v>3249</v>
      </c>
    </row>
    <row r="1180" spans="1:6" x14ac:dyDescent="0.2">
      <c r="A1180" s="55">
        <v>49</v>
      </c>
      <c r="B1180" s="45" t="s">
        <v>2659</v>
      </c>
      <c r="C1180" s="48">
        <v>0.5</v>
      </c>
      <c r="E1180" s="121" t="s">
        <v>3039</v>
      </c>
      <c r="F1180" s="120" t="s">
        <v>3256</v>
      </c>
    </row>
    <row r="1181" spans="1:6" x14ac:dyDescent="0.2">
      <c r="A1181" s="55">
        <v>49</v>
      </c>
      <c r="B1181" s="45" t="s">
        <v>2622</v>
      </c>
      <c r="C1181" s="48">
        <v>0.5</v>
      </c>
      <c r="E1181" s="121" t="s">
        <v>3043</v>
      </c>
      <c r="F1181" s="120" t="s">
        <v>3241</v>
      </c>
    </row>
    <row r="1182" spans="1:6" x14ac:dyDescent="0.2">
      <c r="A1182" s="55">
        <v>49</v>
      </c>
      <c r="B1182" s="45" t="s">
        <v>342</v>
      </c>
      <c r="C1182" s="48">
        <v>0.5</v>
      </c>
      <c r="E1182" s="121" t="s">
        <v>1169</v>
      </c>
      <c r="F1182" s="120" t="s">
        <v>3249</v>
      </c>
    </row>
    <row r="1183" spans="1:6" x14ac:dyDescent="0.2">
      <c r="A1183" s="55">
        <v>49</v>
      </c>
      <c r="B1183" s="45" t="s">
        <v>357</v>
      </c>
      <c r="C1183" s="48">
        <v>0.5</v>
      </c>
      <c r="E1183" s="121" t="s">
        <v>3063</v>
      </c>
      <c r="F1183" s="120" t="s">
        <v>3262</v>
      </c>
    </row>
    <row r="1184" spans="1:6" x14ac:dyDescent="0.2">
      <c r="A1184" s="55">
        <v>49</v>
      </c>
      <c r="B1184" s="45" t="s">
        <v>340</v>
      </c>
      <c r="C1184" s="48">
        <v>0.5</v>
      </c>
      <c r="E1184" s="121" t="s">
        <v>1529</v>
      </c>
      <c r="F1184" s="120" t="s">
        <v>3249</v>
      </c>
    </row>
    <row r="1185" spans="1:6" x14ac:dyDescent="0.2">
      <c r="A1185" s="55">
        <v>49</v>
      </c>
      <c r="B1185" s="45" t="s">
        <v>349</v>
      </c>
      <c r="C1185" s="48">
        <v>0.5</v>
      </c>
      <c r="E1185" s="121" t="s">
        <v>1200</v>
      </c>
      <c r="F1185" s="120" t="s">
        <v>3292</v>
      </c>
    </row>
    <row r="1186" spans="1:6" x14ac:dyDescent="0.2">
      <c r="A1186" s="55">
        <v>49</v>
      </c>
      <c r="B1186" s="45" t="s">
        <v>598</v>
      </c>
      <c r="C1186" s="48">
        <v>0.5</v>
      </c>
      <c r="E1186" s="121" t="s">
        <v>3478</v>
      </c>
      <c r="F1186" s="120" t="s">
        <v>3229</v>
      </c>
    </row>
    <row r="1187" spans="1:6" x14ac:dyDescent="0.2">
      <c r="A1187" s="55">
        <v>49</v>
      </c>
      <c r="B1187" s="45" t="s">
        <v>447</v>
      </c>
      <c r="C1187" s="48">
        <v>0.5</v>
      </c>
      <c r="E1187" s="121" t="s">
        <v>1531</v>
      </c>
      <c r="F1187" s="120" t="s">
        <v>3248</v>
      </c>
    </row>
    <row r="1188" spans="1:6" x14ac:dyDescent="0.2">
      <c r="A1188" s="55">
        <v>49</v>
      </c>
      <c r="B1188" s="45" t="s">
        <v>531</v>
      </c>
      <c r="C1188" s="48">
        <v>0.5</v>
      </c>
      <c r="E1188" s="121" t="s">
        <v>564</v>
      </c>
      <c r="F1188" s="120" t="s">
        <v>3260</v>
      </c>
    </row>
    <row r="1189" spans="1:6" x14ac:dyDescent="0.2">
      <c r="A1189" s="55">
        <v>50</v>
      </c>
      <c r="B1189" s="45" t="s">
        <v>3150</v>
      </c>
      <c r="C1189" s="48">
        <v>55</v>
      </c>
      <c r="E1189" s="121" t="s">
        <v>3194</v>
      </c>
      <c r="F1189" s="120" t="s">
        <v>3280</v>
      </c>
    </row>
    <row r="1190" spans="1:6" x14ac:dyDescent="0.2">
      <c r="A1190" s="55">
        <v>50</v>
      </c>
      <c r="B1190" s="45" t="s">
        <v>2590</v>
      </c>
      <c r="C1190" s="48">
        <v>40</v>
      </c>
      <c r="E1190" s="121" t="s">
        <v>1534</v>
      </c>
      <c r="F1190" s="120" t="s">
        <v>3241</v>
      </c>
    </row>
    <row r="1191" spans="1:6" x14ac:dyDescent="0.2">
      <c r="A1191" s="55">
        <v>50</v>
      </c>
      <c r="B1191" s="45" t="s">
        <v>326</v>
      </c>
      <c r="C1191" s="48">
        <v>35</v>
      </c>
      <c r="E1191" s="121" t="s">
        <v>1492</v>
      </c>
      <c r="F1191" s="120" t="s">
        <v>3280</v>
      </c>
    </row>
    <row r="1192" spans="1:6" x14ac:dyDescent="0.2">
      <c r="A1192" s="55">
        <v>50</v>
      </c>
      <c r="B1192" s="45" t="s">
        <v>327</v>
      </c>
      <c r="C1192" s="48">
        <v>10</v>
      </c>
      <c r="E1192" s="121" t="s">
        <v>3517</v>
      </c>
      <c r="F1192" s="120" t="s">
        <v>3226</v>
      </c>
    </row>
    <row r="1193" spans="1:6" x14ac:dyDescent="0.2">
      <c r="A1193" s="55">
        <v>50</v>
      </c>
      <c r="B1193" s="45" t="s">
        <v>332</v>
      </c>
      <c r="C1193" s="48">
        <v>8</v>
      </c>
      <c r="E1193" s="121" t="s">
        <v>3519</v>
      </c>
      <c r="F1193" s="120" t="s">
        <v>3280</v>
      </c>
    </row>
    <row r="1194" spans="1:6" x14ac:dyDescent="0.2">
      <c r="A1194" s="55">
        <v>50</v>
      </c>
      <c r="B1194" s="45" t="s">
        <v>2591</v>
      </c>
      <c r="C1194" s="48">
        <v>6</v>
      </c>
      <c r="E1194" s="121" t="s">
        <v>2877</v>
      </c>
      <c r="F1194" s="120" t="s">
        <v>3247</v>
      </c>
    </row>
    <row r="1195" spans="1:6" x14ac:dyDescent="0.2">
      <c r="A1195" s="55">
        <v>50</v>
      </c>
      <c r="B1195" s="45" t="s">
        <v>334</v>
      </c>
      <c r="C1195" s="48">
        <v>3</v>
      </c>
      <c r="E1195" s="121" t="s">
        <v>3387</v>
      </c>
      <c r="F1195" s="120" t="s">
        <v>3285</v>
      </c>
    </row>
    <row r="1196" spans="1:6" x14ac:dyDescent="0.2">
      <c r="A1196" s="55">
        <v>50</v>
      </c>
      <c r="B1196" s="45" t="s">
        <v>329</v>
      </c>
      <c r="C1196" s="48">
        <v>2</v>
      </c>
      <c r="E1196" s="121" t="s">
        <v>2867</v>
      </c>
      <c r="F1196" s="120" t="s">
        <v>3238</v>
      </c>
    </row>
    <row r="1197" spans="1:6" x14ac:dyDescent="0.2">
      <c r="A1197" s="55">
        <v>50</v>
      </c>
      <c r="B1197" s="45" t="s">
        <v>2632</v>
      </c>
      <c r="C1197" s="48">
        <v>0.5</v>
      </c>
      <c r="E1197" s="121" t="s">
        <v>3136</v>
      </c>
      <c r="F1197" s="120" t="s">
        <v>3227</v>
      </c>
    </row>
    <row r="1198" spans="1:6" x14ac:dyDescent="0.2">
      <c r="A1198" s="55">
        <v>50</v>
      </c>
      <c r="B1198" s="45" t="s">
        <v>599</v>
      </c>
      <c r="C1198" s="48">
        <v>0.5</v>
      </c>
      <c r="E1198" s="121" t="s">
        <v>3431</v>
      </c>
      <c r="F1198" s="120" t="s">
        <v>3285</v>
      </c>
    </row>
    <row r="1199" spans="1:6" x14ac:dyDescent="0.2">
      <c r="A1199" s="55">
        <v>50</v>
      </c>
      <c r="B1199" s="45" t="s">
        <v>2613</v>
      </c>
      <c r="C1199" s="48">
        <v>0.5</v>
      </c>
      <c r="E1199" s="121" t="s">
        <v>1518</v>
      </c>
      <c r="F1199" s="120" t="s">
        <v>3239</v>
      </c>
    </row>
    <row r="1200" spans="1:6" x14ac:dyDescent="0.2">
      <c r="A1200" s="56">
        <v>50</v>
      </c>
      <c r="B1200" s="45" t="s">
        <v>2568</v>
      </c>
      <c r="C1200" s="50">
        <v>0.5</v>
      </c>
      <c r="E1200" s="121" t="s">
        <v>3437</v>
      </c>
      <c r="F1200" s="120" t="s">
        <v>3284</v>
      </c>
    </row>
    <row r="1201" spans="1:6" x14ac:dyDescent="0.2">
      <c r="A1201" s="55">
        <v>51</v>
      </c>
      <c r="B1201" s="45" t="s">
        <v>326</v>
      </c>
      <c r="C1201" s="48">
        <v>100</v>
      </c>
      <c r="E1201" s="121" t="s">
        <v>1492</v>
      </c>
      <c r="F1201" s="120" t="s">
        <v>3280</v>
      </c>
    </row>
    <row r="1202" spans="1:6" x14ac:dyDescent="0.2">
      <c r="A1202" s="55">
        <v>51</v>
      </c>
      <c r="B1202" s="45" t="s">
        <v>334</v>
      </c>
      <c r="C1202" s="48">
        <v>20</v>
      </c>
      <c r="E1202" s="121" t="s">
        <v>3387</v>
      </c>
      <c r="F1202" s="120" t="s">
        <v>3285</v>
      </c>
    </row>
    <row r="1203" spans="1:6" x14ac:dyDescent="0.2">
      <c r="A1203" s="55">
        <v>51</v>
      </c>
      <c r="B1203" s="45" t="s">
        <v>332</v>
      </c>
      <c r="C1203" s="48">
        <v>10</v>
      </c>
      <c r="E1203" s="121" t="s">
        <v>3519</v>
      </c>
      <c r="F1203" s="120" t="s">
        <v>3280</v>
      </c>
    </row>
    <row r="1204" spans="1:6" x14ac:dyDescent="0.2">
      <c r="A1204" s="55">
        <v>51</v>
      </c>
      <c r="B1204" s="45" t="s">
        <v>2590</v>
      </c>
      <c r="C1204" s="48">
        <v>7</v>
      </c>
      <c r="E1204" s="121" t="s">
        <v>1534</v>
      </c>
      <c r="F1204" s="120" t="s">
        <v>3241</v>
      </c>
    </row>
    <row r="1205" spans="1:6" x14ac:dyDescent="0.2">
      <c r="A1205" s="55">
        <v>51</v>
      </c>
      <c r="B1205" s="45" t="s">
        <v>329</v>
      </c>
      <c r="C1205" s="48">
        <v>2</v>
      </c>
      <c r="E1205" s="121" t="s">
        <v>2867</v>
      </c>
      <c r="F1205" s="120" t="s">
        <v>3238</v>
      </c>
    </row>
    <row r="1206" spans="1:6" x14ac:dyDescent="0.2">
      <c r="A1206" s="55">
        <v>51</v>
      </c>
      <c r="B1206" s="45" t="s">
        <v>327</v>
      </c>
      <c r="C1206" s="48">
        <v>2</v>
      </c>
      <c r="E1206" s="121" t="s">
        <v>3517</v>
      </c>
      <c r="F1206" s="120" t="s">
        <v>3226</v>
      </c>
    </row>
    <row r="1207" spans="1:6" x14ac:dyDescent="0.2">
      <c r="A1207" s="55">
        <v>51</v>
      </c>
      <c r="B1207" s="45" t="s">
        <v>2591</v>
      </c>
      <c r="C1207" s="48">
        <v>0.5</v>
      </c>
      <c r="E1207" s="121" t="s">
        <v>2877</v>
      </c>
      <c r="F1207" s="120" t="s">
        <v>3247</v>
      </c>
    </row>
    <row r="1208" spans="1:6" x14ac:dyDescent="0.2">
      <c r="A1208" s="55">
        <v>52</v>
      </c>
      <c r="B1208" s="45" t="s">
        <v>361</v>
      </c>
      <c r="C1208" s="48">
        <v>40</v>
      </c>
      <c r="E1208" s="121" t="s">
        <v>3201</v>
      </c>
      <c r="F1208" s="120" t="s">
        <v>3249</v>
      </c>
    </row>
    <row r="1209" spans="1:6" x14ac:dyDescent="0.2">
      <c r="A1209" s="55">
        <v>52</v>
      </c>
      <c r="B1209" s="45" t="s">
        <v>341</v>
      </c>
      <c r="C1209" s="48">
        <v>20</v>
      </c>
      <c r="E1209" s="121" t="s">
        <v>3062</v>
      </c>
      <c r="F1209" s="120" t="s">
        <v>3266</v>
      </c>
    </row>
    <row r="1210" spans="1:6" x14ac:dyDescent="0.2">
      <c r="A1210" s="55">
        <v>52</v>
      </c>
      <c r="B1210" s="45" t="s">
        <v>2583</v>
      </c>
      <c r="C1210" s="48">
        <v>19</v>
      </c>
      <c r="E1210" s="121" t="s">
        <v>1177</v>
      </c>
      <c r="F1210" s="120" t="s">
        <v>3288</v>
      </c>
    </row>
    <row r="1211" spans="1:6" x14ac:dyDescent="0.2">
      <c r="A1211" s="55">
        <v>52</v>
      </c>
      <c r="B1211" s="45" t="s">
        <v>402</v>
      </c>
      <c r="C1211" s="48">
        <v>18</v>
      </c>
      <c r="E1211" s="121" t="s">
        <v>3171</v>
      </c>
      <c r="F1211" s="120" t="s">
        <v>3284</v>
      </c>
    </row>
    <row r="1212" spans="1:6" x14ac:dyDescent="0.2">
      <c r="A1212" s="55">
        <v>52</v>
      </c>
      <c r="B1212" s="45" t="s">
        <v>342</v>
      </c>
      <c r="C1212" s="48">
        <v>14</v>
      </c>
      <c r="E1212" s="121" t="s">
        <v>1169</v>
      </c>
      <c r="F1212" s="120" t="s">
        <v>3249</v>
      </c>
    </row>
    <row r="1213" spans="1:6" x14ac:dyDescent="0.2">
      <c r="A1213" s="55">
        <v>52</v>
      </c>
      <c r="B1213" s="45" t="s">
        <v>2581</v>
      </c>
      <c r="C1213" s="48">
        <v>10</v>
      </c>
      <c r="E1213" s="121" t="s">
        <v>3506</v>
      </c>
      <c r="F1213" s="120" t="s">
        <v>3215</v>
      </c>
    </row>
    <row r="1214" spans="1:6" x14ac:dyDescent="0.2">
      <c r="A1214" s="55">
        <v>52</v>
      </c>
      <c r="B1214" s="45" t="s">
        <v>358</v>
      </c>
      <c r="C1214" s="48">
        <v>9</v>
      </c>
      <c r="E1214" s="121" t="s">
        <v>1404</v>
      </c>
      <c r="F1214" s="120" t="s">
        <v>3248</v>
      </c>
    </row>
    <row r="1215" spans="1:6" x14ac:dyDescent="0.2">
      <c r="A1215" s="55">
        <v>52</v>
      </c>
      <c r="B1215" s="45" t="s">
        <v>364</v>
      </c>
      <c r="C1215" s="48">
        <v>8</v>
      </c>
      <c r="E1215" s="121" t="s">
        <v>3495</v>
      </c>
      <c r="F1215" s="120" t="s">
        <v>3313</v>
      </c>
    </row>
    <row r="1216" spans="1:6" x14ac:dyDescent="0.2">
      <c r="A1216" s="55">
        <v>52</v>
      </c>
      <c r="B1216" s="45" t="s">
        <v>340</v>
      </c>
      <c r="C1216" s="48">
        <v>6</v>
      </c>
      <c r="E1216" s="121" t="s">
        <v>1529</v>
      </c>
      <c r="F1216" s="120" t="s">
        <v>3249</v>
      </c>
    </row>
    <row r="1217" spans="1:6" x14ac:dyDescent="0.2">
      <c r="A1217" s="55">
        <v>52</v>
      </c>
      <c r="B1217" s="45" t="s">
        <v>350</v>
      </c>
      <c r="C1217" s="48">
        <v>5</v>
      </c>
      <c r="E1217" s="121" t="s">
        <v>1415</v>
      </c>
      <c r="F1217" s="120" t="s">
        <v>3249</v>
      </c>
    </row>
    <row r="1218" spans="1:6" x14ac:dyDescent="0.2">
      <c r="A1218" s="55">
        <v>52</v>
      </c>
      <c r="B1218" s="45" t="s">
        <v>369</v>
      </c>
      <c r="C1218" s="48">
        <v>3</v>
      </c>
      <c r="E1218" s="121" t="s">
        <v>2829</v>
      </c>
      <c r="F1218" s="120" t="s">
        <v>1289</v>
      </c>
    </row>
    <row r="1219" spans="1:6" x14ac:dyDescent="0.2">
      <c r="A1219" s="55">
        <v>52</v>
      </c>
      <c r="B1219" s="45" t="s">
        <v>2582</v>
      </c>
      <c r="C1219" s="48">
        <v>3</v>
      </c>
      <c r="E1219" s="121" t="s">
        <v>3447</v>
      </c>
      <c r="F1219" s="120" t="s">
        <v>3248</v>
      </c>
    </row>
    <row r="1220" spans="1:6" x14ac:dyDescent="0.2">
      <c r="A1220" s="55">
        <v>52</v>
      </c>
      <c r="B1220" s="45" t="s">
        <v>366</v>
      </c>
      <c r="C1220" s="48">
        <v>0.5</v>
      </c>
      <c r="E1220" s="121" t="s">
        <v>1187</v>
      </c>
      <c r="F1220" s="120" t="s">
        <v>3263</v>
      </c>
    </row>
    <row r="1221" spans="1:6" x14ac:dyDescent="0.2">
      <c r="A1221" s="55">
        <v>52</v>
      </c>
      <c r="B1221" s="45" t="s">
        <v>356</v>
      </c>
      <c r="C1221" s="48">
        <v>0.5</v>
      </c>
      <c r="E1221" s="121" t="s">
        <v>2902</v>
      </c>
      <c r="F1221" s="120" t="s">
        <v>3258</v>
      </c>
    </row>
    <row r="1222" spans="1:6" x14ac:dyDescent="0.2">
      <c r="A1222" s="55">
        <v>52</v>
      </c>
      <c r="B1222" s="45" t="s">
        <v>353</v>
      </c>
      <c r="C1222" s="48">
        <v>0.5</v>
      </c>
      <c r="E1222" s="121" t="s">
        <v>2866</v>
      </c>
      <c r="F1222" s="120" t="s">
        <v>3237</v>
      </c>
    </row>
    <row r="1223" spans="1:6" x14ac:dyDescent="0.2">
      <c r="A1223" s="55">
        <v>52</v>
      </c>
      <c r="B1223" s="45" t="s">
        <v>3151</v>
      </c>
      <c r="C1223" s="48">
        <v>0.5</v>
      </c>
      <c r="E1223" s="121" t="s">
        <v>3194</v>
      </c>
      <c r="F1223" s="120" t="s">
        <v>3258</v>
      </c>
    </row>
    <row r="1224" spans="1:6" x14ac:dyDescent="0.2">
      <c r="A1224" s="55">
        <v>52</v>
      </c>
      <c r="B1224" s="45" t="s">
        <v>349</v>
      </c>
      <c r="C1224" s="48">
        <v>0.5</v>
      </c>
      <c r="E1224" s="121" t="s">
        <v>1200</v>
      </c>
      <c r="F1224" s="120" t="s">
        <v>3292</v>
      </c>
    </row>
    <row r="1225" spans="1:6" x14ac:dyDescent="0.2">
      <c r="A1225" s="55">
        <v>52</v>
      </c>
      <c r="B1225" s="45" t="s">
        <v>2666</v>
      </c>
      <c r="C1225" s="48">
        <v>0.5</v>
      </c>
      <c r="E1225" s="121" t="s">
        <v>1208</v>
      </c>
      <c r="F1225" s="120" t="s">
        <v>3274</v>
      </c>
    </row>
    <row r="1226" spans="1:6" x14ac:dyDescent="0.2">
      <c r="A1226" s="55">
        <v>52</v>
      </c>
      <c r="B1226" s="45" t="s">
        <v>2589</v>
      </c>
      <c r="C1226" s="48">
        <v>0.5</v>
      </c>
      <c r="E1226" s="121" t="s">
        <v>1194</v>
      </c>
      <c r="F1226" s="120" t="s">
        <v>3261</v>
      </c>
    </row>
    <row r="1227" spans="1:6" x14ac:dyDescent="0.2">
      <c r="A1227" s="55">
        <v>53</v>
      </c>
      <c r="B1227" s="45" t="s">
        <v>601</v>
      </c>
      <c r="C1227" s="48">
        <v>40</v>
      </c>
      <c r="E1227" s="121" t="s">
        <v>1157</v>
      </c>
      <c r="F1227" s="120" t="s">
        <v>3249</v>
      </c>
    </row>
    <row r="1228" spans="1:6" x14ac:dyDescent="0.2">
      <c r="A1228" s="55">
        <v>53</v>
      </c>
      <c r="B1228" s="45" t="s">
        <v>2328</v>
      </c>
      <c r="C1228" s="48">
        <v>20</v>
      </c>
      <c r="E1228" s="121" t="s">
        <v>1412</v>
      </c>
      <c r="F1228" s="120" t="s">
        <v>3249</v>
      </c>
    </row>
    <row r="1229" spans="1:6" x14ac:dyDescent="0.2">
      <c r="A1229" s="55">
        <v>53</v>
      </c>
      <c r="B1229" s="45" t="s">
        <v>342</v>
      </c>
      <c r="C1229" s="48">
        <v>14</v>
      </c>
      <c r="E1229" s="121" t="s">
        <v>1169</v>
      </c>
      <c r="F1229" s="120" t="s">
        <v>3249</v>
      </c>
    </row>
    <row r="1230" spans="1:6" x14ac:dyDescent="0.2">
      <c r="A1230" s="55">
        <v>53</v>
      </c>
      <c r="B1230" s="45" t="s">
        <v>447</v>
      </c>
      <c r="C1230" s="48">
        <v>11</v>
      </c>
      <c r="E1230" s="121" t="s">
        <v>1531</v>
      </c>
      <c r="F1230" s="120" t="s">
        <v>3248</v>
      </c>
    </row>
    <row r="1231" spans="1:6" x14ac:dyDescent="0.2">
      <c r="A1231" s="55">
        <v>53</v>
      </c>
      <c r="B1231" s="45" t="s">
        <v>364</v>
      </c>
      <c r="C1231" s="48">
        <v>11</v>
      </c>
      <c r="E1231" s="121" t="s">
        <v>3495</v>
      </c>
      <c r="F1231" s="120" t="s">
        <v>3313</v>
      </c>
    </row>
    <row r="1232" spans="1:6" x14ac:dyDescent="0.2">
      <c r="A1232" s="55">
        <v>53</v>
      </c>
      <c r="B1232" s="45" t="s">
        <v>362</v>
      </c>
      <c r="C1232" s="48">
        <v>8</v>
      </c>
      <c r="E1232" s="121" t="s">
        <v>3135</v>
      </c>
      <c r="F1232" s="120" t="s">
        <v>3227</v>
      </c>
    </row>
    <row r="1233" spans="1:6" x14ac:dyDescent="0.2">
      <c r="A1233" s="55">
        <v>53</v>
      </c>
      <c r="B1233" s="45" t="s">
        <v>350</v>
      </c>
      <c r="C1233" s="48">
        <v>7</v>
      </c>
      <c r="E1233" s="121" t="s">
        <v>1415</v>
      </c>
      <c r="F1233" s="120" t="s">
        <v>3249</v>
      </c>
    </row>
    <row r="1234" spans="1:6" x14ac:dyDescent="0.2">
      <c r="A1234" s="55">
        <v>53</v>
      </c>
      <c r="B1234" s="45" t="s">
        <v>3388</v>
      </c>
      <c r="C1234" s="48">
        <v>6</v>
      </c>
      <c r="E1234" s="121" t="s">
        <v>538</v>
      </c>
      <c r="F1234" s="120" t="s">
        <v>3284</v>
      </c>
    </row>
    <row r="1235" spans="1:6" x14ac:dyDescent="0.2">
      <c r="A1235" s="55">
        <v>53</v>
      </c>
      <c r="B1235" s="45" t="s">
        <v>2588</v>
      </c>
      <c r="C1235" s="48">
        <v>6</v>
      </c>
      <c r="E1235" s="121" t="s">
        <v>549</v>
      </c>
      <c r="F1235" s="120" t="s">
        <v>3284</v>
      </c>
    </row>
    <row r="1236" spans="1:6" x14ac:dyDescent="0.2">
      <c r="A1236" s="55">
        <v>53</v>
      </c>
      <c r="B1236" s="45" t="s">
        <v>2660</v>
      </c>
      <c r="C1236" s="48">
        <v>6</v>
      </c>
      <c r="E1236" s="121" t="s">
        <v>3493</v>
      </c>
      <c r="F1236" s="120" t="s">
        <v>3310</v>
      </c>
    </row>
    <row r="1237" spans="1:6" x14ac:dyDescent="0.2">
      <c r="A1237" s="55">
        <v>53</v>
      </c>
      <c r="B1237" s="45" t="s">
        <v>360</v>
      </c>
      <c r="C1237" s="48">
        <v>6</v>
      </c>
      <c r="E1237" s="121" t="s">
        <v>3522</v>
      </c>
      <c r="F1237" s="120" t="s">
        <v>3258</v>
      </c>
    </row>
    <row r="1238" spans="1:6" x14ac:dyDescent="0.2">
      <c r="A1238" s="55">
        <v>53</v>
      </c>
      <c r="B1238" s="45" t="s">
        <v>361</v>
      </c>
      <c r="C1238" s="48">
        <v>4</v>
      </c>
      <c r="E1238" s="121" t="s">
        <v>3201</v>
      </c>
      <c r="F1238" s="120" t="s">
        <v>3249</v>
      </c>
    </row>
    <row r="1239" spans="1:6" x14ac:dyDescent="0.2">
      <c r="A1239" s="55">
        <v>53</v>
      </c>
      <c r="B1239" s="45" t="s">
        <v>600</v>
      </c>
      <c r="C1239" s="48">
        <v>3</v>
      </c>
      <c r="E1239" s="121" t="s">
        <v>1423</v>
      </c>
      <c r="F1239" s="120" t="s">
        <v>3249</v>
      </c>
    </row>
    <row r="1240" spans="1:6" x14ac:dyDescent="0.2">
      <c r="A1240" s="55">
        <v>53</v>
      </c>
      <c r="B1240" s="45" t="s">
        <v>349</v>
      </c>
      <c r="C1240" s="48">
        <v>3</v>
      </c>
      <c r="E1240" s="121" t="s">
        <v>1200</v>
      </c>
      <c r="F1240" s="120" t="s">
        <v>3292</v>
      </c>
    </row>
    <row r="1241" spans="1:6" x14ac:dyDescent="0.2">
      <c r="A1241" s="55">
        <v>53</v>
      </c>
      <c r="B1241" s="45" t="s">
        <v>358</v>
      </c>
      <c r="C1241" s="48">
        <v>3</v>
      </c>
      <c r="E1241" s="121" t="s">
        <v>1404</v>
      </c>
      <c r="F1241" s="120" t="s">
        <v>3248</v>
      </c>
    </row>
    <row r="1242" spans="1:6" x14ac:dyDescent="0.2">
      <c r="A1242" s="55">
        <v>53</v>
      </c>
      <c r="B1242" s="45" t="s">
        <v>2641</v>
      </c>
      <c r="C1242" s="48">
        <v>2</v>
      </c>
      <c r="E1242" s="121" t="s">
        <v>1418</v>
      </c>
      <c r="F1242" s="120" t="s">
        <v>3249</v>
      </c>
    </row>
    <row r="1243" spans="1:6" x14ac:dyDescent="0.2">
      <c r="A1243" s="55">
        <v>53</v>
      </c>
      <c r="B1243" s="45" t="s">
        <v>2634</v>
      </c>
      <c r="C1243" s="48">
        <v>2</v>
      </c>
      <c r="E1243" s="121" t="s">
        <v>2893</v>
      </c>
      <c r="F1243" s="120" t="s">
        <v>3244</v>
      </c>
    </row>
    <row r="1244" spans="1:6" x14ac:dyDescent="0.2">
      <c r="A1244" s="55">
        <v>53</v>
      </c>
      <c r="B1244" s="45" t="s">
        <v>2713</v>
      </c>
      <c r="C1244" s="48">
        <v>2</v>
      </c>
      <c r="E1244" s="121" t="s">
        <v>3108</v>
      </c>
      <c r="F1244" s="120" t="s">
        <v>3252</v>
      </c>
    </row>
    <row r="1245" spans="1:6" x14ac:dyDescent="0.2">
      <c r="A1245" s="55">
        <v>53</v>
      </c>
      <c r="B1245" s="45" t="s">
        <v>567</v>
      </c>
      <c r="C1245" s="48">
        <v>2</v>
      </c>
      <c r="E1245" s="121" t="s">
        <v>568</v>
      </c>
      <c r="F1245" s="120" t="s">
        <v>3256</v>
      </c>
    </row>
    <row r="1246" spans="1:6" x14ac:dyDescent="0.2">
      <c r="A1246" s="55">
        <v>53</v>
      </c>
      <c r="B1246" s="45" t="s">
        <v>2642</v>
      </c>
      <c r="C1246" s="48">
        <v>1</v>
      </c>
      <c r="E1246" s="121" t="s">
        <v>1148</v>
      </c>
      <c r="F1246" s="120" t="s">
        <v>3215</v>
      </c>
    </row>
    <row r="1247" spans="1:6" x14ac:dyDescent="0.2">
      <c r="A1247" s="55">
        <v>53</v>
      </c>
      <c r="B1247" s="45" t="s">
        <v>454</v>
      </c>
      <c r="C1247" s="48">
        <v>1</v>
      </c>
      <c r="E1247" s="121" t="s">
        <v>534</v>
      </c>
      <c r="F1247" s="120" t="s">
        <v>3249</v>
      </c>
    </row>
    <row r="1248" spans="1:6" x14ac:dyDescent="0.2">
      <c r="A1248" s="55">
        <v>53</v>
      </c>
      <c r="B1248" s="45" t="s">
        <v>2575</v>
      </c>
      <c r="C1248" s="48">
        <v>1</v>
      </c>
      <c r="E1248" s="121" t="s">
        <v>1400</v>
      </c>
      <c r="F1248" s="120" t="s">
        <v>3310</v>
      </c>
    </row>
    <row r="1249" spans="1:6" x14ac:dyDescent="0.2">
      <c r="A1249" s="55">
        <v>53</v>
      </c>
      <c r="B1249" s="45" t="s">
        <v>983</v>
      </c>
      <c r="C1249" s="48">
        <v>0.5</v>
      </c>
      <c r="E1249" s="121" t="s">
        <v>3164</v>
      </c>
      <c r="F1249" s="120" t="s">
        <v>3261</v>
      </c>
    </row>
    <row r="1250" spans="1:6" x14ac:dyDescent="0.2">
      <c r="A1250" s="55">
        <v>53</v>
      </c>
      <c r="B1250" s="45" t="s">
        <v>2638</v>
      </c>
      <c r="C1250" s="48">
        <v>0.5</v>
      </c>
      <c r="E1250" s="121" t="s">
        <v>3165</v>
      </c>
      <c r="F1250" s="120" t="s">
        <v>3248</v>
      </c>
    </row>
    <row r="1251" spans="1:6" x14ac:dyDescent="0.2">
      <c r="A1251" s="55">
        <v>53</v>
      </c>
      <c r="B1251" s="45" t="s">
        <v>452</v>
      </c>
      <c r="C1251" s="48">
        <v>0.5</v>
      </c>
      <c r="E1251" s="121" t="s">
        <v>1494</v>
      </c>
      <c r="F1251" s="120" t="s">
        <v>3259</v>
      </c>
    </row>
    <row r="1252" spans="1:6" x14ac:dyDescent="0.2">
      <c r="A1252" s="55">
        <v>53</v>
      </c>
      <c r="B1252" s="45" t="s">
        <v>3151</v>
      </c>
      <c r="C1252" s="48">
        <v>0.5</v>
      </c>
      <c r="E1252" s="121" t="s">
        <v>3194</v>
      </c>
      <c r="F1252" s="120" t="s">
        <v>3258</v>
      </c>
    </row>
    <row r="1253" spans="1:6" x14ac:dyDescent="0.2">
      <c r="A1253" s="55">
        <v>53</v>
      </c>
      <c r="B1253" s="45" t="s">
        <v>613</v>
      </c>
      <c r="C1253" s="48">
        <v>0.5</v>
      </c>
      <c r="E1253" s="121" t="s">
        <v>3479</v>
      </c>
      <c r="F1253" s="120" t="s">
        <v>3309</v>
      </c>
    </row>
    <row r="1254" spans="1:6" x14ac:dyDescent="0.2">
      <c r="A1254" s="55">
        <v>53</v>
      </c>
      <c r="B1254" s="45" t="s">
        <v>327</v>
      </c>
      <c r="C1254" s="48">
        <v>0.5</v>
      </c>
      <c r="E1254" s="121" t="s">
        <v>3517</v>
      </c>
      <c r="F1254" s="120" t="s">
        <v>3226</v>
      </c>
    </row>
    <row r="1255" spans="1:6" x14ac:dyDescent="0.2">
      <c r="A1255" s="55">
        <v>53</v>
      </c>
      <c r="B1255" s="45" t="s">
        <v>345</v>
      </c>
      <c r="C1255" s="48">
        <v>0.5</v>
      </c>
      <c r="E1255" s="121" t="s">
        <v>3520</v>
      </c>
      <c r="F1255" s="120" t="s">
        <v>3227</v>
      </c>
    </row>
    <row r="1256" spans="1:6" x14ac:dyDescent="0.2">
      <c r="A1256" s="55">
        <v>53</v>
      </c>
      <c r="B1256" s="45" t="s">
        <v>432</v>
      </c>
      <c r="C1256" s="48">
        <v>0.5</v>
      </c>
      <c r="E1256" s="121" t="s">
        <v>3186</v>
      </c>
      <c r="F1256" s="120" t="s">
        <v>3284</v>
      </c>
    </row>
    <row r="1257" spans="1:6" x14ac:dyDescent="0.2">
      <c r="A1257" s="55">
        <v>54</v>
      </c>
      <c r="B1257" s="45" t="s">
        <v>454</v>
      </c>
      <c r="C1257" s="48">
        <v>55</v>
      </c>
      <c r="E1257" s="121" t="s">
        <v>534</v>
      </c>
      <c r="F1257" s="120" t="s">
        <v>3249</v>
      </c>
    </row>
    <row r="1258" spans="1:6" x14ac:dyDescent="0.2">
      <c r="A1258" s="55">
        <v>54</v>
      </c>
      <c r="B1258" s="45" t="s">
        <v>432</v>
      </c>
      <c r="C1258" s="48">
        <v>30</v>
      </c>
      <c r="E1258" s="121" t="s">
        <v>3186</v>
      </c>
      <c r="F1258" s="120" t="s">
        <v>3284</v>
      </c>
    </row>
    <row r="1259" spans="1:6" x14ac:dyDescent="0.2">
      <c r="A1259" s="55">
        <v>54</v>
      </c>
      <c r="B1259" s="45" t="s">
        <v>567</v>
      </c>
      <c r="C1259" s="48">
        <v>10</v>
      </c>
      <c r="E1259" s="121" t="s">
        <v>568</v>
      </c>
      <c r="F1259" s="120" t="s">
        <v>3256</v>
      </c>
    </row>
    <row r="1260" spans="1:6" x14ac:dyDescent="0.2">
      <c r="A1260" s="55">
        <v>54</v>
      </c>
      <c r="B1260" s="45" t="s">
        <v>447</v>
      </c>
      <c r="C1260" s="48">
        <v>10</v>
      </c>
      <c r="E1260" s="121" t="s">
        <v>1531</v>
      </c>
      <c r="F1260" s="120" t="s">
        <v>3248</v>
      </c>
    </row>
    <row r="1261" spans="1:6" x14ac:dyDescent="0.2">
      <c r="A1261" s="55">
        <v>54</v>
      </c>
      <c r="B1261" s="45" t="s">
        <v>342</v>
      </c>
      <c r="C1261" s="48">
        <v>8</v>
      </c>
      <c r="E1261" s="121" t="s">
        <v>1169</v>
      </c>
      <c r="F1261" s="120" t="s">
        <v>3249</v>
      </c>
    </row>
    <row r="1262" spans="1:6" x14ac:dyDescent="0.2">
      <c r="A1262" s="55">
        <v>54</v>
      </c>
      <c r="B1262" s="45" t="s">
        <v>386</v>
      </c>
      <c r="C1262" s="48">
        <v>6</v>
      </c>
      <c r="E1262" s="121" t="s">
        <v>3498</v>
      </c>
      <c r="F1262" s="120" t="s">
        <v>3215</v>
      </c>
    </row>
    <row r="1263" spans="1:6" x14ac:dyDescent="0.2">
      <c r="A1263" s="55">
        <v>54</v>
      </c>
      <c r="B1263" s="45" t="s">
        <v>2579</v>
      </c>
      <c r="C1263" s="48">
        <v>6</v>
      </c>
      <c r="E1263" s="121" t="s">
        <v>3516</v>
      </c>
      <c r="F1263" s="120" t="s">
        <v>3232</v>
      </c>
    </row>
    <row r="1264" spans="1:6" x14ac:dyDescent="0.2">
      <c r="A1264" s="55">
        <v>54</v>
      </c>
      <c r="B1264" s="45" t="s">
        <v>355</v>
      </c>
      <c r="C1264" s="48">
        <v>4</v>
      </c>
      <c r="E1264" s="121" t="s">
        <v>1150</v>
      </c>
      <c r="F1264" s="120" t="s">
        <v>3287</v>
      </c>
    </row>
    <row r="1265" spans="1:6" x14ac:dyDescent="0.2">
      <c r="A1265" s="55">
        <v>54</v>
      </c>
      <c r="B1265" s="45" t="s">
        <v>347</v>
      </c>
      <c r="C1265" s="48">
        <v>3</v>
      </c>
      <c r="E1265" s="121" t="s">
        <v>3492</v>
      </c>
      <c r="F1265" s="120" t="s">
        <v>3312</v>
      </c>
    </row>
    <row r="1266" spans="1:6" x14ac:dyDescent="0.2">
      <c r="A1266" s="55">
        <v>54</v>
      </c>
      <c r="B1266" s="45" t="s">
        <v>349</v>
      </c>
      <c r="C1266" s="48">
        <v>3</v>
      </c>
      <c r="E1266" s="121" t="s">
        <v>1200</v>
      </c>
      <c r="F1266" s="120" t="s">
        <v>3292</v>
      </c>
    </row>
    <row r="1267" spans="1:6" x14ac:dyDescent="0.2">
      <c r="A1267" s="55">
        <v>54</v>
      </c>
      <c r="B1267" s="45" t="s">
        <v>593</v>
      </c>
      <c r="C1267" s="48">
        <v>3</v>
      </c>
      <c r="E1267" s="121" t="s">
        <v>2852</v>
      </c>
      <c r="F1267" s="120" t="s">
        <v>3227</v>
      </c>
    </row>
    <row r="1268" spans="1:6" x14ac:dyDescent="0.2">
      <c r="A1268" s="55">
        <v>54</v>
      </c>
      <c r="B1268" s="45" t="s">
        <v>345</v>
      </c>
      <c r="C1268" s="48">
        <v>2</v>
      </c>
      <c r="E1268" s="121" t="s">
        <v>3520</v>
      </c>
      <c r="F1268" s="120" t="s">
        <v>3227</v>
      </c>
    </row>
    <row r="1269" spans="1:6" x14ac:dyDescent="0.2">
      <c r="A1269" s="55">
        <v>54</v>
      </c>
      <c r="B1269" s="45" t="s">
        <v>600</v>
      </c>
      <c r="C1269" s="48">
        <v>1</v>
      </c>
      <c r="E1269" s="121" t="s">
        <v>1423</v>
      </c>
      <c r="F1269" s="120" t="s">
        <v>3249</v>
      </c>
    </row>
    <row r="1270" spans="1:6" x14ac:dyDescent="0.2">
      <c r="A1270" s="55">
        <v>54</v>
      </c>
      <c r="B1270" s="45" t="s">
        <v>350</v>
      </c>
      <c r="C1270" s="48">
        <v>1</v>
      </c>
      <c r="E1270" s="121" t="s">
        <v>1415</v>
      </c>
      <c r="F1270" s="120" t="s">
        <v>3249</v>
      </c>
    </row>
    <row r="1271" spans="1:6" x14ac:dyDescent="0.2">
      <c r="A1271" s="55">
        <v>54</v>
      </c>
      <c r="B1271" s="45" t="s">
        <v>2577</v>
      </c>
      <c r="C1271" s="48">
        <v>1</v>
      </c>
      <c r="E1271" s="121" t="s">
        <v>2900</v>
      </c>
      <c r="F1271" s="120" t="s">
        <v>3249</v>
      </c>
    </row>
    <row r="1272" spans="1:6" x14ac:dyDescent="0.2">
      <c r="A1272" s="55">
        <v>54</v>
      </c>
      <c r="B1272" s="45" t="s">
        <v>381</v>
      </c>
      <c r="C1272" s="48">
        <v>1</v>
      </c>
      <c r="E1272" s="121" t="s">
        <v>1197</v>
      </c>
      <c r="F1272" s="120" t="s">
        <v>3245</v>
      </c>
    </row>
    <row r="1273" spans="1:6" x14ac:dyDescent="0.2">
      <c r="A1273" s="55">
        <v>54</v>
      </c>
      <c r="B1273" s="45" t="s">
        <v>2634</v>
      </c>
      <c r="C1273" s="48">
        <v>0.5</v>
      </c>
      <c r="E1273" s="121" t="s">
        <v>2893</v>
      </c>
      <c r="F1273" s="120" t="s">
        <v>3244</v>
      </c>
    </row>
    <row r="1274" spans="1:6" x14ac:dyDescent="0.2">
      <c r="A1274" s="55">
        <v>54</v>
      </c>
      <c r="B1274" s="45" t="s">
        <v>403</v>
      </c>
      <c r="C1274" s="48">
        <v>0.5</v>
      </c>
      <c r="E1274" s="121" t="s">
        <v>1408</v>
      </c>
      <c r="F1274" s="120" t="s">
        <v>3248</v>
      </c>
    </row>
    <row r="1275" spans="1:6" x14ac:dyDescent="0.2">
      <c r="A1275" s="55">
        <v>54</v>
      </c>
      <c r="B1275" s="45" t="s">
        <v>421</v>
      </c>
      <c r="C1275" s="48">
        <v>0.5</v>
      </c>
      <c r="E1275" s="121" t="s">
        <v>3057</v>
      </c>
      <c r="F1275" s="120" t="s">
        <v>3257</v>
      </c>
    </row>
    <row r="1276" spans="1:6" x14ac:dyDescent="0.2">
      <c r="A1276" s="55">
        <v>54</v>
      </c>
      <c r="B1276" s="45" t="s">
        <v>613</v>
      </c>
      <c r="C1276" s="48">
        <v>0.5</v>
      </c>
      <c r="E1276" s="121" t="s">
        <v>3479</v>
      </c>
      <c r="F1276" s="120" t="s">
        <v>3309</v>
      </c>
    </row>
    <row r="1277" spans="1:6" x14ac:dyDescent="0.2">
      <c r="A1277" s="55">
        <v>54</v>
      </c>
      <c r="B1277" s="45" t="s">
        <v>984</v>
      </c>
      <c r="C1277" s="48">
        <v>0.5</v>
      </c>
      <c r="E1277" s="121" t="s">
        <v>1184</v>
      </c>
      <c r="F1277" s="120" t="s">
        <v>3262</v>
      </c>
    </row>
    <row r="1278" spans="1:6" x14ac:dyDescent="0.2">
      <c r="A1278" s="56">
        <v>55</v>
      </c>
      <c r="B1278" s="45" t="s">
        <v>395</v>
      </c>
      <c r="C1278" s="50">
        <v>55</v>
      </c>
      <c r="E1278" s="121" t="s">
        <v>3202</v>
      </c>
      <c r="F1278" s="120" t="s">
        <v>3248</v>
      </c>
    </row>
    <row r="1279" spans="1:6" x14ac:dyDescent="0.2">
      <c r="A1279" s="55">
        <v>55</v>
      </c>
      <c r="B1279" s="45" t="s">
        <v>376</v>
      </c>
      <c r="C1279" s="48">
        <v>30</v>
      </c>
      <c r="E1279" s="121" t="s">
        <v>3462</v>
      </c>
      <c r="F1279" s="120" t="s">
        <v>3227</v>
      </c>
    </row>
    <row r="1280" spans="1:6" x14ac:dyDescent="0.2">
      <c r="A1280" s="56">
        <v>55</v>
      </c>
      <c r="B1280" s="45" t="s">
        <v>2575</v>
      </c>
      <c r="C1280" s="50">
        <v>10</v>
      </c>
      <c r="E1280" s="121" t="s">
        <v>1400</v>
      </c>
      <c r="F1280" s="120" t="s">
        <v>3310</v>
      </c>
    </row>
    <row r="1281" spans="1:6" x14ac:dyDescent="0.2">
      <c r="A1281" s="56">
        <v>55</v>
      </c>
      <c r="B1281" s="45" t="s">
        <v>2667</v>
      </c>
      <c r="C1281" s="50">
        <v>6</v>
      </c>
      <c r="E1281" s="121" t="s">
        <v>1413</v>
      </c>
      <c r="F1281" s="120" t="s">
        <v>3215</v>
      </c>
    </row>
    <row r="1282" spans="1:6" x14ac:dyDescent="0.2">
      <c r="A1282" s="55">
        <v>55</v>
      </c>
      <c r="B1282" s="45" t="s">
        <v>364</v>
      </c>
      <c r="C1282" s="48">
        <v>4</v>
      </c>
      <c r="E1282" s="121" t="s">
        <v>3495</v>
      </c>
      <c r="F1282" s="120" t="s">
        <v>3313</v>
      </c>
    </row>
    <row r="1283" spans="1:6" x14ac:dyDescent="0.2">
      <c r="A1283" s="56">
        <v>55</v>
      </c>
      <c r="B1283" s="45" t="s">
        <v>597</v>
      </c>
      <c r="C1283" s="50">
        <v>3</v>
      </c>
      <c r="E1283" s="121" t="s">
        <v>3060</v>
      </c>
      <c r="F1283" s="120" t="s">
        <v>3248</v>
      </c>
    </row>
    <row r="1284" spans="1:6" x14ac:dyDescent="0.2">
      <c r="A1284" s="55">
        <v>55</v>
      </c>
      <c r="B1284" s="45" t="s">
        <v>340</v>
      </c>
      <c r="C1284" s="48">
        <v>3</v>
      </c>
      <c r="E1284" s="121" t="s">
        <v>1529</v>
      </c>
      <c r="F1284" s="120" t="s">
        <v>3249</v>
      </c>
    </row>
    <row r="1285" spans="1:6" x14ac:dyDescent="0.2">
      <c r="A1285" s="55">
        <v>55</v>
      </c>
      <c r="B1285" s="45" t="s">
        <v>369</v>
      </c>
      <c r="C1285" s="48">
        <v>2</v>
      </c>
      <c r="E1285" s="121" t="s">
        <v>2829</v>
      </c>
      <c r="F1285" s="120" t="s">
        <v>1289</v>
      </c>
    </row>
    <row r="1286" spans="1:6" x14ac:dyDescent="0.2">
      <c r="A1286" s="55">
        <v>55</v>
      </c>
      <c r="B1286" s="45" t="s">
        <v>341</v>
      </c>
      <c r="C1286" s="48">
        <v>2</v>
      </c>
      <c r="E1286" s="121" t="s">
        <v>3062</v>
      </c>
      <c r="F1286" s="120" t="s">
        <v>3266</v>
      </c>
    </row>
    <row r="1287" spans="1:6" x14ac:dyDescent="0.2">
      <c r="A1287" s="55">
        <v>55</v>
      </c>
      <c r="B1287" s="45" t="s">
        <v>357</v>
      </c>
      <c r="C1287" s="48">
        <v>2</v>
      </c>
      <c r="E1287" s="121" t="s">
        <v>3063</v>
      </c>
      <c r="F1287" s="120" t="s">
        <v>3262</v>
      </c>
    </row>
    <row r="1288" spans="1:6" x14ac:dyDescent="0.2">
      <c r="A1288" s="56">
        <v>55</v>
      </c>
      <c r="B1288" s="45" t="s">
        <v>347</v>
      </c>
      <c r="C1288" s="50">
        <v>1</v>
      </c>
      <c r="E1288" s="121" t="s">
        <v>3492</v>
      </c>
      <c r="F1288" s="120" t="s">
        <v>3312</v>
      </c>
    </row>
    <row r="1289" spans="1:6" x14ac:dyDescent="0.2">
      <c r="A1289" s="55">
        <v>55</v>
      </c>
      <c r="B1289" s="45" t="s">
        <v>2582</v>
      </c>
      <c r="C1289" s="48">
        <v>1</v>
      </c>
      <c r="E1289" s="121" t="s">
        <v>3447</v>
      </c>
      <c r="F1289" s="120" t="s">
        <v>3248</v>
      </c>
    </row>
    <row r="1290" spans="1:6" x14ac:dyDescent="0.2">
      <c r="A1290" s="56">
        <v>55</v>
      </c>
      <c r="B1290" s="45" t="s">
        <v>2610</v>
      </c>
      <c r="C1290" s="50">
        <v>1</v>
      </c>
      <c r="E1290" s="121" t="s">
        <v>543</v>
      </c>
      <c r="F1290" s="120" t="s">
        <v>3284</v>
      </c>
    </row>
    <row r="1291" spans="1:6" x14ac:dyDescent="0.2">
      <c r="A1291" s="56">
        <v>55</v>
      </c>
      <c r="B1291" s="45" t="s">
        <v>2631</v>
      </c>
      <c r="C1291" s="50">
        <v>0.5</v>
      </c>
      <c r="E1291" s="121" t="s">
        <v>539</v>
      </c>
      <c r="F1291" s="120" t="s">
        <v>3215</v>
      </c>
    </row>
    <row r="1292" spans="1:6" x14ac:dyDescent="0.2">
      <c r="A1292" s="55">
        <v>55</v>
      </c>
      <c r="B1292" s="45" t="s">
        <v>2573</v>
      </c>
      <c r="C1292" s="48">
        <v>0.5</v>
      </c>
      <c r="E1292" s="121" t="s">
        <v>2880</v>
      </c>
      <c r="F1292" s="120" t="s">
        <v>3249</v>
      </c>
    </row>
    <row r="1293" spans="1:6" x14ac:dyDescent="0.2">
      <c r="A1293" s="55">
        <v>55</v>
      </c>
      <c r="B1293" s="45" t="s">
        <v>403</v>
      </c>
      <c r="C1293" s="48">
        <v>0.5</v>
      </c>
      <c r="E1293" s="121" t="s">
        <v>1408</v>
      </c>
      <c r="F1293" s="120" t="s">
        <v>3248</v>
      </c>
    </row>
    <row r="1294" spans="1:6" x14ac:dyDescent="0.2">
      <c r="A1294" s="56">
        <v>55</v>
      </c>
      <c r="B1294" s="45" t="s">
        <v>609</v>
      </c>
      <c r="C1294" s="50">
        <v>0.5</v>
      </c>
      <c r="E1294" s="121" t="s">
        <v>3168</v>
      </c>
      <c r="F1294" s="120" t="s">
        <v>3284</v>
      </c>
    </row>
    <row r="1295" spans="1:6" x14ac:dyDescent="0.2">
      <c r="A1295" s="56">
        <v>55</v>
      </c>
      <c r="B1295" s="45" t="s">
        <v>2623</v>
      </c>
      <c r="C1295" s="50">
        <v>0.5</v>
      </c>
      <c r="E1295" s="121" t="s">
        <v>1516</v>
      </c>
      <c r="F1295" s="120" t="s">
        <v>3266</v>
      </c>
    </row>
    <row r="1296" spans="1:6" x14ac:dyDescent="0.2">
      <c r="A1296" s="55">
        <v>55</v>
      </c>
      <c r="B1296" s="45" t="s">
        <v>349</v>
      </c>
      <c r="C1296" s="48">
        <v>0.5</v>
      </c>
      <c r="E1296" s="121" t="s">
        <v>1200</v>
      </c>
      <c r="F1296" s="120" t="s">
        <v>3292</v>
      </c>
    </row>
    <row r="1297" spans="1:6" x14ac:dyDescent="0.2">
      <c r="A1297" s="55">
        <v>55</v>
      </c>
      <c r="B1297" s="45" t="s">
        <v>2666</v>
      </c>
      <c r="C1297" s="48">
        <v>0.5</v>
      </c>
      <c r="E1297" s="121" t="s">
        <v>1208</v>
      </c>
      <c r="F1297" s="120" t="s">
        <v>3274</v>
      </c>
    </row>
    <row r="1298" spans="1:6" x14ac:dyDescent="0.2">
      <c r="A1298" s="56">
        <v>55</v>
      </c>
      <c r="B1298" s="45" t="s">
        <v>593</v>
      </c>
      <c r="C1298" s="50">
        <v>0.5</v>
      </c>
      <c r="E1298" s="121" t="s">
        <v>2852</v>
      </c>
      <c r="F1298" s="120" t="s">
        <v>3227</v>
      </c>
    </row>
    <row r="1299" spans="1:6" x14ac:dyDescent="0.2">
      <c r="A1299" s="55">
        <v>56</v>
      </c>
      <c r="B1299" s="45" t="s">
        <v>445</v>
      </c>
      <c r="C1299" s="48">
        <v>45</v>
      </c>
      <c r="E1299" s="121" t="s">
        <v>3474</v>
      </c>
      <c r="F1299" s="120" t="s">
        <v>3227</v>
      </c>
    </row>
    <row r="1300" spans="1:6" x14ac:dyDescent="0.2">
      <c r="A1300" s="55">
        <v>56</v>
      </c>
      <c r="B1300" s="45" t="s">
        <v>343</v>
      </c>
      <c r="C1300" s="48">
        <v>18</v>
      </c>
      <c r="E1300" s="121" t="s">
        <v>3334</v>
      </c>
      <c r="F1300" s="120" t="s">
        <v>3303</v>
      </c>
    </row>
    <row r="1301" spans="1:6" x14ac:dyDescent="0.2">
      <c r="A1301" s="55">
        <v>56</v>
      </c>
      <c r="B1301" s="45" t="s">
        <v>400</v>
      </c>
      <c r="C1301" s="48">
        <v>17</v>
      </c>
      <c r="E1301" s="121" t="s">
        <v>1411</v>
      </c>
      <c r="F1301" s="120" t="s">
        <v>3249</v>
      </c>
    </row>
    <row r="1302" spans="1:6" x14ac:dyDescent="0.2">
      <c r="A1302" s="55">
        <v>56</v>
      </c>
      <c r="B1302" s="45" t="s">
        <v>340</v>
      </c>
      <c r="C1302" s="48">
        <v>16</v>
      </c>
      <c r="E1302" s="121" t="s">
        <v>1529</v>
      </c>
      <c r="F1302" s="120" t="s">
        <v>3249</v>
      </c>
    </row>
    <row r="1303" spans="1:6" x14ac:dyDescent="0.2">
      <c r="A1303" s="55">
        <v>56</v>
      </c>
      <c r="B1303" s="45" t="s">
        <v>1583</v>
      </c>
      <c r="C1303" s="48">
        <v>12</v>
      </c>
      <c r="E1303" s="121" t="s">
        <v>1402</v>
      </c>
      <c r="F1303" s="120" t="s">
        <v>3248</v>
      </c>
    </row>
    <row r="1304" spans="1:6" x14ac:dyDescent="0.2">
      <c r="A1304" s="55">
        <v>56</v>
      </c>
      <c r="B1304" s="45" t="s">
        <v>398</v>
      </c>
      <c r="C1304" s="48">
        <v>11</v>
      </c>
      <c r="E1304" s="121" t="s">
        <v>1165</v>
      </c>
      <c r="F1304" s="120" t="s">
        <v>3215</v>
      </c>
    </row>
    <row r="1305" spans="1:6" x14ac:dyDescent="0.2">
      <c r="A1305" s="55">
        <v>56</v>
      </c>
      <c r="B1305" s="45" t="s">
        <v>2639</v>
      </c>
      <c r="C1305" s="48">
        <v>10</v>
      </c>
      <c r="E1305" s="121" t="s">
        <v>1430</v>
      </c>
      <c r="F1305" s="120" t="s">
        <v>3288</v>
      </c>
    </row>
    <row r="1306" spans="1:6" x14ac:dyDescent="0.2">
      <c r="A1306" s="55">
        <v>56</v>
      </c>
      <c r="B1306" s="45" t="s">
        <v>376</v>
      </c>
      <c r="C1306" s="48">
        <v>8</v>
      </c>
      <c r="E1306" s="121" t="s">
        <v>3462</v>
      </c>
      <c r="F1306" s="120" t="s">
        <v>3227</v>
      </c>
    </row>
    <row r="1307" spans="1:6" x14ac:dyDescent="0.2">
      <c r="A1307" s="55">
        <v>56</v>
      </c>
      <c r="B1307" s="45" t="s">
        <v>447</v>
      </c>
      <c r="C1307" s="48">
        <v>8</v>
      </c>
      <c r="E1307" s="121" t="s">
        <v>1531</v>
      </c>
      <c r="F1307" s="120" t="s">
        <v>3248</v>
      </c>
    </row>
    <row r="1308" spans="1:6" x14ac:dyDescent="0.2">
      <c r="A1308" s="55">
        <v>56</v>
      </c>
      <c r="B1308" s="45" t="s">
        <v>364</v>
      </c>
      <c r="C1308" s="48">
        <v>8</v>
      </c>
      <c r="E1308" s="121" t="s">
        <v>3495</v>
      </c>
      <c r="F1308" s="120" t="s">
        <v>3313</v>
      </c>
    </row>
    <row r="1309" spans="1:6" x14ac:dyDescent="0.2">
      <c r="A1309" s="55">
        <v>56</v>
      </c>
      <c r="B1309" s="45" t="s">
        <v>448</v>
      </c>
      <c r="C1309" s="48">
        <v>4</v>
      </c>
      <c r="E1309" s="121" t="s">
        <v>3173</v>
      </c>
      <c r="F1309" s="120" t="s">
        <v>3285</v>
      </c>
    </row>
    <row r="1310" spans="1:6" x14ac:dyDescent="0.2">
      <c r="A1310" s="55">
        <v>56</v>
      </c>
      <c r="B1310" s="45" t="s">
        <v>2575</v>
      </c>
      <c r="C1310" s="48">
        <v>3</v>
      </c>
      <c r="E1310" s="121" t="s">
        <v>1400</v>
      </c>
      <c r="F1310" s="120" t="s">
        <v>3310</v>
      </c>
    </row>
    <row r="1311" spans="1:6" x14ac:dyDescent="0.2">
      <c r="A1311" s="55">
        <v>56</v>
      </c>
      <c r="B1311" s="45" t="s">
        <v>593</v>
      </c>
      <c r="C1311" s="48">
        <v>1</v>
      </c>
      <c r="E1311" s="121" t="s">
        <v>2852</v>
      </c>
      <c r="F1311" s="120" t="s">
        <v>3227</v>
      </c>
    </row>
    <row r="1312" spans="1:6" x14ac:dyDescent="0.2">
      <c r="A1312" s="55">
        <v>56</v>
      </c>
      <c r="B1312" s="45" t="s">
        <v>350</v>
      </c>
      <c r="C1312" s="48">
        <v>0.5</v>
      </c>
      <c r="E1312" s="121" t="s">
        <v>1415</v>
      </c>
      <c r="F1312" s="120" t="s">
        <v>3249</v>
      </c>
    </row>
    <row r="1313" spans="1:6" x14ac:dyDescent="0.2">
      <c r="A1313" s="55">
        <v>56</v>
      </c>
      <c r="B1313" s="45" t="s">
        <v>369</v>
      </c>
      <c r="C1313" s="48">
        <v>0.5</v>
      </c>
      <c r="E1313" s="121" t="s">
        <v>2829</v>
      </c>
      <c r="F1313" s="120" t="s">
        <v>1289</v>
      </c>
    </row>
    <row r="1314" spans="1:6" x14ac:dyDescent="0.2">
      <c r="A1314" s="55">
        <v>56</v>
      </c>
      <c r="B1314" s="45" t="s">
        <v>482</v>
      </c>
      <c r="C1314" s="48">
        <v>0.5</v>
      </c>
      <c r="E1314" s="121" t="s">
        <v>3508</v>
      </c>
      <c r="F1314" s="120" t="s">
        <v>197</v>
      </c>
    </row>
    <row r="1315" spans="1:6" x14ac:dyDescent="0.2">
      <c r="A1315" s="55">
        <v>56</v>
      </c>
      <c r="B1315" s="45" t="s">
        <v>2612</v>
      </c>
      <c r="C1315" s="48">
        <v>0.5</v>
      </c>
      <c r="E1315" s="121" t="s">
        <v>553</v>
      </c>
      <c r="F1315" s="120" t="s">
        <v>3308</v>
      </c>
    </row>
    <row r="1316" spans="1:6" x14ac:dyDescent="0.2">
      <c r="A1316" s="55">
        <v>56</v>
      </c>
      <c r="B1316" s="45" t="s">
        <v>349</v>
      </c>
      <c r="C1316" s="48">
        <v>0.5</v>
      </c>
      <c r="E1316" s="121" t="s">
        <v>1200</v>
      </c>
      <c r="F1316" s="120" t="s">
        <v>3292</v>
      </c>
    </row>
    <row r="1317" spans="1:6" x14ac:dyDescent="0.2">
      <c r="A1317" s="55">
        <v>56</v>
      </c>
      <c r="B1317" s="45" t="s">
        <v>2640</v>
      </c>
      <c r="C1317" s="48">
        <v>0.5</v>
      </c>
      <c r="E1317" s="121" t="s">
        <v>1539</v>
      </c>
      <c r="F1317" s="120" t="s">
        <v>3221</v>
      </c>
    </row>
    <row r="1318" spans="1:6" x14ac:dyDescent="0.2">
      <c r="A1318" s="55">
        <v>57</v>
      </c>
      <c r="B1318" s="45" t="s">
        <v>347</v>
      </c>
      <c r="C1318" s="48">
        <v>10</v>
      </c>
      <c r="E1318" s="121" t="s">
        <v>3492</v>
      </c>
      <c r="F1318" s="120" t="s">
        <v>3312</v>
      </c>
    </row>
    <row r="1319" spans="1:6" x14ac:dyDescent="0.2">
      <c r="A1319" s="55">
        <v>57</v>
      </c>
      <c r="B1319" s="45" t="s">
        <v>447</v>
      </c>
      <c r="C1319" s="48">
        <v>9</v>
      </c>
      <c r="E1319" s="121" t="s">
        <v>1531</v>
      </c>
      <c r="F1319" s="120" t="s">
        <v>3248</v>
      </c>
    </row>
    <row r="1320" spans="1:6" x14ac:dyDescent="0.2">
      <c r="A1320" s="56">
        <v>57</v>
      </c>
      <c r="B1320" s="45" t="s">
        <v>2717</v>
      </c>
      <c r="C1320" s="50">
        <v>7</v>
      </c>
      <c r="E1320" s="121" t="s">
        <v>1156</v>
      </c>
      <c r="F1320" s="120" t="s">
        <v>3215</v>
      </c>
    </row>
    <row r="1321" spans="1:6" x14ac:dyDescent="0.2">
      <c r="A1321" s="56">
        <v>57</v>
      </c>
      <c r="B1321" s="45" t="s">
        <v>2715</v>
      </c>
      <c r="C1321" s="50">
        <v>7</v>
      </c>
      <c r="E1321" s="121" t="s">
        <v>3123</v>
      </c>
      <c r="F1321" s="120" t="s">
        <v>3215</v>
      </c>
    </row>
    <row r="1322" spans="1:6" x14ac:dyDescent="0.2">
      <c r="A1322" s="55">
        <v>57</v>
      </c>
      <c r="B1322" s="45" t="s">
        <v>342</v>
      </c>
      <c r="C1322" s="48">
        <v>6</v>
      </c>
      <c r="E1322" s="121" t="s">
        <v>1169</v>
      </c>
      <c r="F1322" s="120" t="s">
        <v>3249</v>
      </c>
    </row>
    <row r="1323" spans="1:6" x14ac:dyDescent="0.2">
      <c r="A1323" s="56">
        <v>57</v>
      </c>
      <c r="B1323" s="45" t="s">
        <v>371</v>
      </c>
      <c r="C1323" s="50">
        <v>4</v>
      </c>
      <c r="E1323" s="121" t="s">
        <v>1425</v>
      </c>
      <c r="F1323" s="120" t="s">
        <v>3248</v>
      </c>
    </row>
    <row r="1324" spans="1:6" x14ac:dyDescent="0.2">
      <c r="A1324" s="56">
        <v>57</v>
      </c>
      <c r="B1324" s="45" t="s">
        <v>432</v>
      </c>
      <c r="C1324" s="50">
        <v>4</v>
      </c>
      <c r="E1324" s="121" t="s">
        <v>3186</v>
      </c>
      <c r="F1324" s="120" t="s">
        <v>3284</v>
      </c>
    </row>
    <row r="1325" spans="1:6" x14ac:dyDescent="0.2">
      <c r="A1325" s="56">
        <v>57</v>
      </c>
      <c r="B1325" s="45" t="s">
        <v>448</v>
      </c>
      <c r="C1325" s="50">
        <v>3</v>
      </c>
      <c r="E1325" s="121" t="s">
        <v>3173</v>
      </c>
      <c r="F1325" s="120" t="s">
        <v>3285</v>
      </c>
    </row>
    <row r="1326" spans="1:6" x14ac:dyDescent="0.2">
      <c r="A1326" s="55">
        <v>57</v>
      </c>
      <c r="B1326" s="45" t="s">
        <v>340</v>
      </c>
      <c r="C1326" s="48">
        <v>3</v>
      </c>
      <c r="E1326" s="121" t="s">
        <v>1529</v>
      </c>
      <c r="F1326" s="120" t="s">
        <v>3249</v>
      </c>
    </row>
    <row r="1327" spans="1:6" x14ac:dyDescent="0.2">
      <c r="A1327" s="55">
        <v>57</v>
      </c>
      <c r="B1327" s="45" t="s">
        <v>2581</v>
      </c>
      <c r="C1327" s="48">
        <v>2</v>
      </c>
      <c r="E1327" s="121" t="s">
        <v>3506</v>
      </c>
      <c r="F1327" s="120" t="s">
        <v>3215</v>
      </c>
    </row>
    <row r="1328" spans="1:6" x14ac:dyDescent="0.2">
      <c r="A1328" s="55">
        <v>57</v>
      </c>
      <c r="B1328" s="45" t="s">
        <v>2582</v>
      </c>
      <c r="C1328" s="48">
        <v>2</v>
      </c>
      <c r="E1328" s="121" t="s">
        <v>3447</v>
      </c>
      <c r="F1328" s="120" t="s">
        <v>3248</v>
      </c>
    </row>
    <row r="1329" spans="1:6" x14ac:dyDescent="0.2">
      <c r="A1329" s="55">
        <v>57</v>
      </c>
      <c r="B1329" s="45" t="s">
        <v>357</v>
      </c>
      <c r="C1329" s="48">
        <v>2</v>
      </c>
      <c r="E1329" s="121" t="s">
        <v>3063</v>
      </c>
      <c r="F1329" s="120" t="s">
        <v>3262</v>
      </c>
    </row>
    <row r="1330" spans="1:6" x14ac:dyDescent="0.2">
      <c r="A1330" s="55">
        <v>57</v>
      </c>
      <c r="B1330" s="45" t="s">
        <v>2583</v>
      </c>
      <c r="C1330" s="48">
        <v>2</v>
      </c>
      <c r="E1330" s="121" t="s">
        <v>1177</v>
      </c>
      <c r="F1330" s="120" t="s">
        <v>3288</v>
      </c>
    </row>
    <row r="1331" spans="1:6" x14ac:dyDescent="0.2">
      <c r="A1331" s="55">
        <v>57</v>
      </c>
      <c r="B1331" s="45" t="s">
        <v>395</v>
      </c>
      <c r="C1331" s="48">
        <v>1</v>
      </c>
      <c r="E1331" s="121" t="s">
        <v>3202</v>
      </c>
      <c r="F1331" s="120" t="s">
        <v>3248</v>
      </c>
    </row>
    <row r="1332" spans="1:6" x14ac:dyDescent="0.2">
      <c r="A1332" s="56">
        <v>57</v>
      </c>
      <c r="B1332" s="45" t="s">
        <v>2574</v>
      </c>
      <c r="C1332" s="50">
        <v>1</v>
      </c>
      <c r="E1332" s="121" t="s">
        <v>1226</v>
      </c>
      <c r="F1332" s="120" t="s">
        <v>1287</v>
      </c>
    </row>
    <row r="1333" spans="1:6" x14ac:dyDescent="0.2">
      <c r="A1333" s="56">
        <v>57</v>
      </c>
      <c r="B1333" s="45" t="s">
        <v>424</v>
      </c>
      <c r="C1333" s="50">
        <v>1</v>
      </c>
      <c r="E1333" s="121" t="s">
        <v>1405</v>
      </c>
      <c r="F1333" s="120" t="s">
        <v>3215</v>
      </c>
    </row>
    <row r="1334" spans="1:6" x14ac:dyDescent="0.2">
      <c r="A1334" s="56">
        <v>57</v>
      </c>
      <c r="B1334" s="45" t="s">
        <v>2627</v>
      </c>
      <c r="C1334" s="50">
        <v>1</v>
      </c>
      <c r="E1334" s="121" t="s">
        <v>3189</v>
      </c>
      <c r="F1334" s="120" t="s">
        <v>3269</v>
      </c>
    </row>
    <row r="1335" spans="1:6" x14ac:dyDescent="0.2">
      <c r="A1335" s="55">
        <v>57</v>
      </c>
      <c r="B1335" s="45" t="s">
        <v>2569</v>
      </c>
      <c r="C1335" s="48">
        <v>1</v>
      </c>
      <c r="E1335" s="121" t="s">
        <v>3496</v>
      </c>
      <c r="F1335" s="120" t="s">
        <v>3310</v>
      </c>
    </row>
    <row r="1336" spans="1:6" x14ac:dyDescent="0.2">
      <c r="A1336" s="55">
        <v>57</v>
      </c>
      <c r="B1336" s="45" t="s">
        <v>350</v>
      </c>
      <c r="C1336" s="48">
        <v>0.5</v>
      </c>
      <c r="E1336" s="121" t="s">
        <v>1415</v>
      </c>
      <c r="F1336" s="120" t="s">
        <v>3249</v>
      </c>
    </row>
    <row r="1337" spans="1:6" x14ac:dyDescent="0.2">
      <c r="A1337" s="56">
        <v>57</v>
      </c>
      <c r="B1337" s="45" t="s">
        <v>2625</v>
      </c>
      <c r="C1337" s="50">
        <v>0.5</v>
      </c>
      <c r="E1337" s="121" t="s">
        <v>2878</v>
      </c>
      <c r="F1337" s="120" t="s">
        <v>3248</v>
      </c>
    </row>
    <row r="1338" spans="1:6" x14ac:dyDescent="0.2">
      <c r="A1338" s="55">
        <v>57</v>
      </c>
      <c r="B1338" s="45" t="s">
        <v>403</v>
      </c>
      <c r="C1338" s="48">
        <v>0.5</v>
      </c>
      <c r="E1338" s="121" t="s">
        <v>1408</v>
      </c>
      <c r="F1338" s="120" t="s">
        <v>3248</v>
      </c>
    </row>
    <row r="1339" spans="1:6" x14ac:dyDescent="0.2">
      <c r="A1339" s="55">
        <v>57</v>
      </c>
      <c r="B1339" s="45" t="s">
        <v>454</v>
      </c>
      <c r="C1339" s="48">
        <v>0.5</v>
      </c>
      <c r="E1339" s="121" t="s">
        <v>534</v>
      </c>
      <c r="F1339" s="120" t="s">
        <v>3249</v>
      </c>
    </row>
    <row r="1340" spans="1:6" x14ac:dyDescent="0.2">
      <c r="A1340" s="56">
        <v>57</v>
      </c>
      <c r="B1340" s="45" t="s">
        <v>609</v>
      </c>
      <c r="C1340" s="50">
        <v>0.5</v>
      </c>
      <c r="E1340" s="121" t="s">
        <v>3168</v>
      </c>
      <c r="F1340" s="120" t="s">
        <v>3284</v>
      </c>
    </row>
    <row r="1341" spans="1:6" x14ac:dyDescent="0.2">
      <c r="A1341" s="56">
        <v>57</v>
      </c>
      <c r="B1341" s="45" t="s">
        <v>589</v>
      </c>
      <c r="C1341" s="50">
        <v>0.5</v>
      </c>
      <c r="E1341" s="121" t="s">
        <v>3041</v>
      </c>
      <c r="F1341" s="120" t="s">
        <v>3235</v>
      </c>
    </row>
    <row r="1342" spans="1:6" x14ac:dyDescent="0.2">
      <c r="A1342" s="55">
        <v>57</v>
      </c>
      <c r="B1342" s="45" t="s">
        <v>341</v>
      </c>
      <c r="C1342" s="48">
        <v>0.5</v>
      </c>
      <c r="E1342" s="121" t="s">
        <v>3062</v>
      </c>
      <c r="F1342" s="120" t="s">
        <v>3266</v>
      </c>
    </row>
    <row r="1343" spans="1:6" x14ac:dyDescent="0.2">
      <c r="A1343" s="55">
        <v>57</v>
      </c>
      <c r="B1343" s="45" t="s">
        <v>349</v>
      </c>
      <c r="C1343" s="48">
        <v>0.5</v>
      </c>
      <c r="E1343" s="121" t="s">
        <v>1200</v>
      </c>
      <c r="F1343" s="120" t="s">
        <v>3292</v>
      </c>
    </row>
    <row r="1344" spans="1:6" x14ac:dyDescent="0.2">
      <c r="A1344" s="55">
        <v>57</v>
      </c>
      <c r="B1344" s="45" t="s">
        <v>2666</v>
      </c>
      <c r="C1344" s="48">
        <v>0.5</v>
      </c>
      <c r="E1344" s="121" t="s">
        <v>1208</v>
      </c>
      <c r="F1344" s="120" t="s">
        <v>3274</v>
      </c>
    </row>
    <row r="1345" spans="1:6" x14ac:dyDescent="0.2">
      <c r="A1345" s="56">
        <v>57</v>
      </c>
      <c r="B1345" s="45" t="s">
        <v>2610</v>
      </c>
      <c r="C1345" s="50">
        <v>0.5</v>
      </c>
      <c r="E1345" s="121" t="s">
        <v>543</v>
      </c>
      <c r="F1345" s="120" t="s">
        <v>3284</v>
      </c>
    </row>
    <row r="1346" spans="1:6" x14ac:dyDescent="0.2">
      <c r="A1346" s="56">
        <v>57</v>
      </c>
      <c r="B1346" s="45" t="s">
        <v>593</v>
      </c>
      <c r="C1346" s="50">
        <v>0.5</v>
      </c>
      <c r="E1346" s="121" t="s">
        <v>2852</v>
      </c>
      <c r="F1346" s="120" t="s">
        <v>3227</v>
      </c>
    </row>
    <row r="1347" spans="1:6" x14ac:dyDescent="0.2">
      <c r="A1347" s="56">
        <v>57</v>
      </c>
      <c r="B1347" s="45" t="s">
        <v>2626</v>
      </c>
      <c r="C1347" s="50">
        <v>0.5</v>
      </c>
      <c r="E1347" s="121" t="s">
        <v>3101</v>
      </c>
      <c r="F1347" s="120" t="s">
        <v>3256</v>
      </c>
    </row>
    <row r="1348" spans="1:6" x14ac:dyDescent="0.2">
      <c r="A1348" s="55">
        <v>58</v>
      </c>
      <c r="B1348" s="45" t="s">
        <v>598</v>
      </c>
      <c r="C1348" s="48">
        <v>95</v>
      </c>
      <c r="E1348" s="121" t="s">
        <v>3478</v>
      </c>
      <c r="F1348" s="120" t="s">
        <v>3229</v>
      </c>
    </row>
    <row r="1349" spans="1:6" x14ac:dyDescent="0.2">
      <c r="A1349" s="55">
        <v>58</v>
      </c>
      <c r="B1349" s="45" t="s">
        <v>336</v>
      </c>
      <c r="C1349" s="48">
        <v>11</v>
      </c>
      <c r="E1349" s="121" t="s">
        <v>3327</v>
      </c>
      <c r="F1349" s="120" t="s">
        <v>3281</v>
      </c>
    </row>
    <row r="1350" spans="1:6" x14ac:dyDescent="0.2">
      <c r="A1350" s="55">
        <v>58</v>
      </c>
      <c r="B1350" s="45" t="s">
        <v>328</v>
      </c>
      <c r="C1350" s="48">
        <v>4</v>
      </c>
      <c r="E1350" s="121" t="s">
        <v>2873</v>
      </c>
      <c r="F1350" s="120" t="s">
        <v>3243</v>
      </c>
    </row>
    <row r="1351" spans="1:6" x14ac:dyDescent="0.2">
      <c r="A1351" s="55">
        <v>58</v>
      </c>
      <c r="B1351" s="45" t="s">
        <v>418</v>
      </c>
      <c r="C1351" s="48">
        <v>2</v>
      </c>
      <c r="E1351" s="121" t="s">
        <v>3180</v>
      </c>
      <c r="F1351" s="120" t="s">
        <v>3286</v>
      </c>
    </row>
    <row r="1352" spans="1:6" x14ac:dyDescent="0.2">
      <c r="A1352" s="55">
        <v>58</v>
      </c>
      <c r="B1352" s="45" t="s">
        <v>337</v>
      </c>
      <c r="C1352" s="48">
        <v>0.5</v>
      </c>
      <c r="E1352" s="121" t="s">
        <v>3193</v>
      </c>
      <c r="F1352" s="120" t="s">
        <v>3227</v>
      </c>
    </row>
    <row r="1353" spans="1:6" x14ac:dyDescent="0.2">
      <c r="A1353" s="55">
        <v>58</v>
      </c>
      <c r="B1353" s="45" t="s">
        <v>1589</v>
      </c>
      <c r="C1353" s="48">
        <v>0.5</v>
      </c>
      <c r="E1353" s="121" t="s">
        <v>3328</v>
      </c>
      <c r="F1353" s="120" t="s">
        <v>3301</v>
      </c>
    </row>
    <row r="1354" spans="1:6" x14ac:dyDescent="0.2">
      <c r="A1354" s="55">
        <v>59</v>
      </c>
      <c r="B1354" s="45" t="s">
        <v>416</v>
      </c>
      <c r="C1354" s="48">
        <v>80</v>
      </c>
      <c r="E1354" s="121" t="s">
        <v>1409</v>
      </c>
      <c r="F1354" s="120" t="s">
        <v>3292</v>
      </c>
    </row>
    <row r="1355" spans="1:6" x14ac:dyDescent="0.2">
      <c r="A1355" s="55">
        <v>59</v>
      </c>
      <c r="B1355" s="45" t="s">
        <v>981</v>
      </c>
      <c r="C1355" s="48">
        <v>19</v>
      </c>
      <c r="E1355" s="121" t="s">
        <v>3386</v>
      </c>
      <c r="F1355" s="120" t="s">
        <v>3285</v>
      </c>
    </row>
    <row r="1356" spans="1:6" x14ac:dyDescent="0.2">
      <c r="A1356" s="55">
        <v>59</v>
      </c>
      <c r="B1356" s="45" t="s">
        <v>1589</v>
      </c>
      <c r="C1356" s="48">
        <v>8</v>
      </c>
      <c r="E1356" s="121" t="s">
        <v>3328</v>
      </c>
      <c r="F1356" s="120" t="s">
        <v>3301</v>
      </c>
    </row>
    <row r="1357" spans="1:6" x14ac:dyDescent="0.2">
      <c r="A1357" s="55">
        <v>59</v>
      </c>
      <c r="B1357" s="45" t="s">
        <v>2580</v>
      </c>
      <c r="C1357" s="48">
        <v>7</v>
      </c>
      <c r="E1357" s="121" t="s">
        <v>2897</v>
      </c>
      <c r="F1357" s="120" t="s">
        <v>3257</v>
      </c>
    </row>
    <row r="1358" spans="1:6" x14ac:dyDescent="0.2">
      <c r="A1358" s="55">
        <v>59</v>
      </c>
      <c r="B1358" s="45" t="s">
        <v>417</v>
      </c>
      <c r="C1358" s="48">
        <v>2</v>
      </c>
      <c r="E1358" s="121" t="s">
        <v>3055</v>
      </c>
      <c r="F1358" s="120" t="s">
        <v>3263</v>
      </c>
    </row>
    <row r="1359" spans="1:6" x14ac:dyDescent="0.2">
      <c r="A1359" s="55">
        <v>59</v>
      </c>
      <c r="B1359" s="45" t="s">
        <v>2631</v>
      </c>
      <c r="C1359" s="48">
        <v>0.5</v>
      </c>
      <c r="E1359" s="121" t="s">
        <v>539</v>
      </c>
      <c r="F1359" s="120" t="s">
        <v>3215</v>
      </c>
    </row>
    <row r="1360" spans="1:6" x14ac:dyDescent="0.2">
      <c r="A1360" s="55">
        <v>59</v>
      </c>
      <c r="B1360" s="45" t="s">
        <v>343</v>
      </c>
      <c r="C1360" s="48">
        <v>0.5</v>
      </c>
      <c r="E1360" s="121" t="s">
        <v>3334</v>
      </c>
      <c r="F1360" s="120" t="s">
        <v>3303</v>
      </c>
    </row>
    <row r="1361" spans="1:6" x14ac:dyDescent="0.2">
      <c r="A1361" s="55">
        <v>59</v>
      </c>
      <c r="B1361" s="45" t="s">
        <v>421</v>
      </c>
      <c r="C1361" s="48">
        <v>0.5</v>
      </c>
      <c r="E1361" s="121" t="s">
        <v>3057</v>
      </c>
      <c r="F1361" s="120" t="s">
        <v>3257</v>
      </c>
    </row>
    <row r="1362" spans="1:6" x14ac:dyDescent="0.2">
      <c r="A1362" s="55">
        <v>59</v>
      </c>
      <c r="B1362" s="45" t="s">
        <v>418</v>
      </c>
      <c r="C1362" s="48">
        <v>0.5</v>
      </c>
      <c r="E1362" s="121" t="s">
        <v>3180</v>
      </c>
      <c r="F1362" s="120" t="s">
        <v>3286</v>
      </c>
    </row>
    <row r="1363" spans="1:6" x14ac:dyDescent="0.2">
      <c r="A1363" s="55">
        <v>59</v>
      </c>
      <c r="B1363" s="45" t="s">
        <v>982</v>
      </c>
      <c r="C1363" s="48">
        <v>0.5</v>
      </c>
      <c r="E1363" s="121" t="s">
        <v>1180</v>
      </c>
      <c r="F1363" s="120" t="s">
        <v>3228</v>
      </c>
    </row>
    <row r="1364" spans="1:6" x14ac:dyDescent="0.2">
      <c r="A1364" s="55">
        <v>59</v>
      </c>
      <c r="B1364" s="45" t="s">
        <v>593</v>
      </c>
      <c r="C1364" s="48">
        <v>0.5</v>
      </c>
      <c r="E1364" s="121" t="s">
        <v>2852</v>
      </c>
      <c r="F1364" s="120" t="s">
        <v>3227</v>
      </c>
    </row>
    <row r="1365" spans="1:6" x14ac:dyDescent="0.2">
      <c r="A1365" s="55">
        <v>59</v>
      </c>
      <c r="B1365" s="45" t="s">
        <v>2576</v>
      </c>
      <c r="C1365" s="48">
        <v>0.5</v>
      </c>
      <c r="E1365" s="121" t="s">
        <v>3090</v>
      </c>
      <c r="F1365" s="120" t="s">
        <v>3248</v>
      </c>
    </row>
    <row r="1366" spans="1:6" x14ac:dyDescent="0.2">
      <c r="A1366" s="55">
        <v>59</v>
      </c>
      <c r="B1366" s="45" t="s">
        <v>328</v>
      </c>
      <c r="C1366" s="48">
        <v>0.5</v>
      </c>
      <c r="E1366" s="121" t="s">
        <v>2873</v>
      </c>
      <c r="F1366" s="120" t="s">
        <v>3243</v>
      </c>
    </row>
    <row r="1367" spans="1:6" x14ac:dyDescent="0.2">
      <c r="A1367" s="55">
        <v>60</v>
      </c>
      <c r="B1367" s="45" t="s">
        <v>326</v>
      </c>
      <c r="C1367" s="48">
        <v>95</v>
      </c>
      <c r="E1367" s="121" t="s">
        <v>1492</v>
      </c>
      <c r="F1367" s="120" t="s">
        <v>3280</v>
      </c>
    </row>
    <row r="1368" spans="1:6" x14ac:dyDescent="0.2">
      <c r="A1368" s="55">
        <v>60</v>
      </c>
      <c r="B1368" s="45" t="s">
        <v>332</v>
      </c>
      <c r="C1368" s="48">
        <v>35</v>
      </c>
      <c r="E1368" s="121" t="s">
        <v>3519</v>
      </c>
      <c r="F1368" s="120" t="s">
        <v>3280</v>
      </c>
    </row>
    <row r="1369" spans="1:6" x14ac:dyDescent="0.2">
      <c r="A1369" s="55">
        <v>60</v>
      </c>
      <c r="B1369" s="45" t="s">
        <v>599</v>
      </c>
      <c r="C1369" s="48">
        <v>25</v>
      </c>
      <c r="E1369" s="121" t="s">
        <v>3431</v>
      </c>
      <c r="F1369" s="120" t="s">
        <v>3285</v>
      </c>
    </row>
    <row r="1370" spans="1:6" x14ac:dyDescent="0.2">
      <c r="A1370" s="55">
        <v>60</v>
      </c>
      <c r="B1370" s="45" t="s">
        <v>327</v>
      </c>
      <c r="C1370" s="48">
        <v>19</v>
      </c>
      <c r="E1370" s="121" t="s">
        <v>3517</v>
      </c>
      <c r="F1370" s="120" t="s">
        <v>3226</v>
      </c>
    </row>
    <row r="1371" spans="1:6" x14ac:dyDescent="0.2">
      <c r="A1371" s="55">
        <v>60</v>
      </c>
      <c r="B1371" s="45" t="s">
        <v>2590</v>
      </c>
      <c r="C1371" s="48">
        <v>13</v>
      </c>
      <c r="E1371" s="121" t="s">
        <v>1534</v>
      </c>
      <c r="F1371" s="120" t="s">
        <v>3241</v>
      </c>
    </row>
    <row r="1372" spans="1:6" x14ac:dyDescent="0.2">
      <c r="A1372" s="55">
        <v>60</v>
      </c>
      <c r="B1372" s="45" t="s">
        <v>2632</v>
      </c>
      <c r="C1372" s="48">
        <v>10</v>
      </c>
      <c r="E1372" s="121" t="s">
        <v>3136</v>
      </c>
      <c r="F1372" s="120" t="s">
        <v>3227</v>
      </c>
    </row>
    <row r="1373" spans="1:6" x14ac:dyDescent="0.2">
      <c r="A1373" s="55">
        <v>60</v>
      </c>
      <c r="B1373" s="45" t="s">
        <v>329</v>
      </c>
      <c r="C1373" s="48">
        <v>8</v>
      </c>
      <c r="E1373" s="121" t="s">
        <v>2867</v>
      </c>
      <c r="F1373" s="120" t="s">
        <v>3238</v>
      </c>
    </row>
    <row r="1374" spans="1:6" x14ac:dyDescent="0.2">
      <c r="A1374" s="55">
        <v>60</v>
      </c>
      <c r="B1374" s="45" t="s">
        <v>2591</v>
      </c>
      <c r="C1374" s="48">
        <v>7</v>
      </c>
      <c r="E1374" s="121" t="s">
        <v>2877</v>
      </c>
      <c r="F1374" s="120" t="s">
        <v>3247</v>
      </c>
    </row>
    <row r="1375" spans="1:6" x14ac:dyDescent="0.2">
      <c r="A1375" s="55">
        <v>60</v>
      </c>
      <c r="B1375" s="45" t="s">
        <v>2592</v>
      </c>
      <c r="C1375" s="48">
        <v>3</v>
      </c>
      <c r="E1375" s="121" t="s">
        <v>1167</v>
      </c>
      <c r="F1375" s="120" t="s">
        <v>3242</v>
      </c>
    </row>
    <row r="1376" spans="1:6" x14ac:dyDescent="0.2">
      <c r="A1376" s="55">
        <v>60</v>
      </c>
      <c r="B1376" s="45" t="s">
        <v>334</v>
      </c>
      <c r="C1376" s="48">
        <v>2</v>
      </c>
      <c r="E1376" s="121" t="s">
        <v>3387</v>
      </c>
      <c r="F1376" s="120" t="s">
        <v>3285</v>
      </c>
    </row>
    <row r="1377" spans="1:6" x14ac:dyDescent="0.2">
      <c r="A1377" s="55">
        <v>61</v>
      </c>
      <c r="B1377" s="45" t="s">
        <v>326</v>
      </c>
      <c r="C1377" s="48">
        <v>80</v>
      </c>
      <c r="E1377" s="121" t="s">
        <v>1492</v>
      </c>
      <c r="F1377" s="120" t="s">
        <v>3280</v>
      </c>
    </row>
    <row r="1378" spans="1:6" x14ac:dyDescent="0.2">
      <c r="A1378" s="55">
        <v>61</v>
      </c>
      <c r="B1378" s="45" t="s">
        <v>2590</v>
      </c>
      <c r="C1378" s="48">
        <v>45</v>
      </c>
      <c r="E1378" s="121" t="s">
        <v>1534</v>
      </c>
      <c r="F1378" s="120" t="s">
        <v>3241</v>
      </c>
    </row>
    <row r="1379" spans="1:6" x14ac:dyDescent="0.2">
      <c r="A1379" s="55">
        <v>61</v>
      </c>
      <c r="B1379" s="45" t="s">
        <v>3150</v>
      </c>
      <c r="C1379" s="48">
        <v>19</v>
      </c>
      <c r="E1379" s="121" t="s">
        <v>3194</v>
      </c>
      <c r="F1379" s="120" t="s">
        <v>3280</v>
      </c>
    </row>
    <row r="1380" spans="1:6" x14ac:dyDescent="0.2">
      <c r="A1380" s="55">
        <v>61</v>
      </c>
      <c r="B1380" s="45" t="s">
        <v>334</v>
      </c>
      <c r="C1380" s="48">
        <v>12</v>
      </c>
      <c r="E1380" s="121" t="s">
        <v>3387</v>
      </c>
      <c r="F1380" s="120" t="s">
        <v>3285</v>
      </c>
    </row>
    <row r="1381" spans="1:6" x14ac:dyDescent="0.2">
      <c r="A1381" s="55">
        <v>61</v>
      </c>
      <c r="B1381" s="45" t="s">
        <v>332</v>
      </c>
      <c r="C1381" s="48">
        <v>5</v>
      </c>
      <c r="E1381" s="121" t="s">
        <v>3519</v>
      </c>
      <c r="F1381" s="120" t="s">
        <v>3280</v>
      </c>
    </row>
    <row r="1382" spans="1:6" x14ac:dyDescent="0.2">
      <c r="A1382" s="55">
        <v>61</v>
      </c>
      <c r="B1382" s="45" t="s">
        <v>327</v>
      </c>
      <c r="C1382" s="48">
        <v>4</v>
      </c>
      <c r="E1382" s="121" t="s">
        <v>3517</v>
      </c>
      <c r="F1382" s="120" t="s">
        <v>3226</v>
      </c>
    </row>
    <row r="1383" spans="1:6" x14ac:dyDescent="0.2">
      <c r="A1383" s="55">
        <v>61</v>
      </c>
      <c r="B1383" s="45" t="s">
        <v>329</v>
      </c>
      <c r="C1383" s="48">
        <v>2</v>
      </c>
      <c r="E1383" s="121" t="s">
        <v>2867</v>
      </c>
      <c r="F1383" s="120" t="s">
        <v>3238</v>
      </c>
    </row>
    <row r="1384" spans="1:6" x14ac:dyDescent="0.2">
      <c r="A1384" s="55">
        <v>61</v>
      </c>
      <c r="B1384" s="45" t="s">
        <v>2591</v>
      </c>
      <c r="C1384" s="48">
        <v>1</v>
      </c>
      <c r="E1384" s="121" t="s">
        <v>2877</v>
      </c>
      <c r="F1384" s="120" t="s">
        <v>3247</v>
      </c>
    </row>
    <row r="1385" spans="1:6" x14ac:dyDescent="0.2">
      <c r="A1385" s="55">
        <v>61</v>
      </c>
      <c r="B1385" s="45" t="s">
        <v>2609</v>
      </c>
      <c r="C1385" s="48">
        <v>0.5</v>
      </c>
      <c r="E1385" s="121" t="s">
        <v>1146</v>
      </c>
      <c r="F1385" s="120" t="s">
        <v>3242</v>
      </c>
    </row>
    <row r="1386" spans="1:6" x14ac:dyDescent="0.2">
      <c r="A1386" s="55">
        <v>62</v>
      </c>
      <c r="B1386" s="45" t="s">
        <v>445</v>
      </c>
      <c r="C1386" s="48">
        <v>30</v>
      </c>
      <c r="E1386" s="121" t="s">
        <v>3474</v>
      </c>
      <c r="F1386" s="120" t="s">
        <v>3227</v>
      </c>
    </row>
    <row r="1387" spans="1:6" x14ac:dyDescent="0.2">
      <c r="A1387" s="55">
        <v>62</v>
      </c>
      <c r="B1387" s="45" t="s">
        <v>340</v>
      </c>
      <c r="C1387" s="48">
        <v>19</v>
      </c>
      <c r="E1387" s="121" t="s">
        <v>1529</v>
      </c>
      <c r="F1387" s="120" t="s">
        <v>3249</v>
      </c>
    </row>
    <row r="1388" spans="1:6" x14ac:dyDescent="0.2">
      <c r="A1388" s="55">
        <v>62</v>
      </c>
      <c r="B1388" s="45" t="s">
        <v>400</v>
      </c>
      <c r="C1388" s="48">
        <v>18</v>
      </c>
      <c r="E1388" s="121" t="s">
        <v>1411</v>
      </c>
      <c r="F1388" s="120" t="s">
        <v>3249</v>
      </c>
    </row>
    <row r="1389" spans="1:6" x14ac:dyDescent="0.2">
      <c r="A1389" s="55">
        <v>62</v>
      </c>
      <c r="B1389" s="45" t="s">
        <v>1583</v>
      </c>
      <c r="C1389" s="48">
        <v>16</v>
      </c>
      <c r="E1389" s="121" t="s">
        <v>1402</v>
      </c>
      <c r="F1389" s="120" t="s">
        <v>3248</v>
      </c>
    </row>
    <row r="1390" spans="1:6" x14ac:dyDescent="0.2">
      <c r="A1390" s="55">
        <v>62</v>
      </c>
      <c r="B1390" s="45" t="s">
        <v>376</v>
      </c>
      <c r="C1390" s="48">
        <v>15</v>
      </c>
      <c r="E1390" s="121" t="s">
        <v>3462</v>
      </c>
      <c r="F1390" s="120" t="s">
        <v>3227</v>
      </c>
    </row>
    <row r="1391" spans="1:6" x14ac:dyDescent="0.2">
      <c r="A1391" s="55">
        <v>62</v>
      </c>
      <c r="B1391" s="45" t="s">
        <v>423</v>
      </c>
      <c r="C1391" s="48">
        <v>12</v>
      </c>
      <c r="E1391" s="121" t="s">
        <v>3494</v>
      </c>
      <c r="F1391" s="120" t="s">
        <v>3310</v>
      </c>
    </row>
    <row r="1392" spans="1:6" x14ac:dyDescent="0.2">
      <c r="A1392" s="55">
        <v>62</v>
      </c>
      <c r="B1392" s="45" t="s">
        <v>364</v>
      </c>
      <c r="C1392" s="48">
        <v>6</v>
      </c>
      <c r="E1392" s="121" t="s">
        <v>3495</v>
      </c>
      <c r="F1392" s="120" t="s">
        <v>3313</v>
      </c>
    </row>
    <row r="1393" spans="1:6" x14ac:dyDescent="0.2">
      <c r="A1393" s="55">
        <v>62</v>
      </c>
      <c r="B1393" s="45" t="s">
        <v>448</v>
      </c>
      <c r="C1393" s="48">
        <v>5</v>
      </c>
      <c r="E1393" s="121" t="s">
        <v>3173</v>
      </c>
      <c r="F1393" s="120" t="s">
        <v>3285</v>
      </c>
    </row>
    <row r="1394" spans="1:6" x14ac:dyDescent="0.2">
      <c r="A1394" s="55">
        <v>62</v>
      </c>
      <c r="B1394" s="45" t="s">
        <v>2642</v>
      </c>
      <c r="C1394" s="48">
        <v>4</v>
      </c>
      <c r="E1394" s="121" t="s">
        <v>1148</v>
      </c>
      <c r="F1394" s="120" t="s">
        <v>3215</v>
      </c>
    </row>
    <row r="1395" spans="1:6" x14ac:dyDescent="0.2">
      <c r="A1395" s="55">
        <v>62</v>
      </c>
      <c r="B1395" s="45" t="s">
        <v>1584</v>
      </c>
      <c r="C1395" s="48">
        <v>3</v>
      </c>
      <c r="E1395" s="121" t="s">
        <v>554</v>
      </c>
      <c r="F1395" s="120" t="s">
        <v>3264</v>
      </c>
    </row>
    <row r="1396" spans="1:6" x14ac:dyDescent="0.2">
      <c r="A1396" s="55">
        <v>62</v>
      </c>
      <c r="B1396" s="45" t="s">
        <v>2575</v>
      </c>
      <c r="C1396" s="48">
        <v>3</v>
      </c>
      <c r="E1396" s="121" t="s">
        <v>1400</v>
      </c>
      <c r="F1396" s="120" t="s">
        <v>3310</v>
      </c>
    </row>
    <row r="1397" spans="1:6" x14ac:dyDescent="0.2">
      <c r="A1397" s="55">
        <v>62</v>
      </c>
      <c r="B1397" s="45" t="s">
        <v>395</v>
      </c>
      <c r="C1397" s="48">
        <v>2</v>
      </c>
      <c r="E1397" s="121" t="s">
        <v>3202</v>
      </c>
      <c r="F1397" s="120" t="s">
        <v>3248</v>
      </c>
    </row>
    <row r="1398" spans="1:6" x14ac:dyDescent="0.2">
      <c r="A1398" s="55">
        <v>62</v>
      </c>
      <c r="B1398" s="45" t="s">
        <v>349</v>
      </c>
      <c r="C1398" s="48">
        <v>2</v>
      </c>
      <c r="E1398" s="121" t="s">
        <v>1200</v>
      </c>
      <c r="F1398" s="120" t="s">
        <v>3292</v>
      </c>
    </row>
    <row r="1399" spans="1:6" x14ac:dyDescent="0.2">
      <c r="A1399" s="55">
        <v>62</v>
      </c>
      <c r="B1399" s="45" t="s">
        <v>583</v>
      </c>
      <c r="C1399" s="48">
        <v>2</v>
      </c>
      <c r="E1399" s="121" t="s">
        <v>1207</v>
      </c>
      <c r="F1399" s="120" t="s">
        <v>3274</v>
      </c>
    </row>
    <row r="1400" spans="1:6" x14ac:dyDescent="0.2">
      <c r="A1400" s="55">
        <v>62</v>
      </c>
      <c r="B1400" s="45" t="s">
        <v>350</v>
      </c>
      <c r="C1400" s="48">
        <v>1</v>
      </c>
      <c r="E1400" s="121" t="s">
        <v>1415</v>
      </c>
      <c r="F1400" s="120" t="s">
        <v>3249</v>
      </c>
    </row>
    <row r="1401" spans="1:6" x14ac:dyDescent="0.2">
      <c r="A1401" s="55">
        <v>62</v>
      </c>
      <c r="B1401" s="45" t="s">
        <v>343</v>
      </c>
      <c r="C1401" s="48">
        <v>1</v>
      </c>
      <c r="E1401" s="121" t="s">
        <v>3334</v>
      </c>
      <c r="F1401" s="120" t="s">
        <v>3303</v>
      </c>
    </row>
    <row r="1402" spans="1:6" x14ac:dyDescent="0.2">
      <c r="A1402" s="55">
        <v>62</v>
      </c>
      <c r="B1402" s="45" t="s">
        <v>447</v>
      </c>
      <c r="C1402" s="48">
        <v>1</v>
      </c>
      <c r="E1402" s="121" t="s">
        <v>1531</v>
      </c>
      <c r="F1402" s="120" t="s">
        <v>3248</v>
      </c>
    </row>
    <row r="1403" spans="1:6" x14ac:dyDescent="0.2">
      <c r="A1403" s="55">
        <v>62</v>
      </c>
      <c r="B1403" s="45" t="s">
        <v>604</v>
      </c>
      <c r="C1403" s="48">
        <v>0.5</v>
      </c>
      <c r="E1403" s="121" t="s">
        <v>1419</v>
      </c>
      <c r="F1403" s="120" t="s">
        <v>3215</v>
      </c>
    </row>
    <row r="1404" spans="1:6" x14ac:dyDescent="0.2">
      <c r="A1404" s="55">
        <v>62</v>
      </c>
      <c r="B1404" s="45" t="s">
        <v>394</v>
      </c>
      <c r="C1404" s="48">
        <v>0.5</v>
      </c>
      <c r="E1404" s="121" t="s">
        <v>3467</v>
      </c>
      <c r="F1404" s="120" t="s">
        <v>3258</v>
      </c>
    </row>
    <row r="1405" spans="1:6" x14ac:dyDescent="0.2">
      <c r="A1405" s="55">
        <v>63</v>
      </c>
      <c r="B1405" s="45" t="s">
        <v>347</v>
      </c>
      <c r="C1405" s="48">
        <v>35</v>
      </c>
      <c r="E1405" s="121" t="s">
        <v>3492</v>
      </c>
      <c r="F1405" s="120" t="s">
        <v>3312</v>
      </c>
    </row>
    <row r="1406" spans="1:6" x14ac:dyDescent="0.2">
      <c r="A1406" s="55">
        <v>63</v>
      </c>
      <c r="B1406" s="45" t="s">
        <v>409</v>
      </c>
      <c r="C1406" s="48">
        <v>20</v>
      </c>
      <c r="E1406" s="121" t="s">
        <v>3206</v>
      </c>
      <c r="F1406" s="120" t="s">
        <v>3215</v>
      </c>
    </row>
    <row r="1407" spans="1:6" x14ac:dyDescent="0.2">
      <c r="A1407" s="55">
        <v>63</v>
      </c>
      <c r="B1407" s="45" t="s">
        <v>2582</v>
      </c>
      <c r="C1407" s="48">
        <v>19</v>
      </c>
      <c r="E1407" s="121" t="s">
        <v>3447</v>
      </c>
      <c r="F1407" s="120" t="s">
        <v>3248</v>
      </c>
    </row>
    <row r="1408" spans="1:6" x14ac:dyDescent="0.2">
      <c r="A1408" s="56">
        <v>63</v>
      </c>
      <c r="B1408" s="45" t="s">
        <v>609</v>
      </c>
      <c r="C1408" s="50">
        <v>7</v>
      </c>
      <c r="E1408" s="121" t="s">
        <v>3168</v>
      </c>
      <c r="F1408" s="120" t="s">
        <v>3284</v>
      </c>
    </row>
    <row r="1409" spans="1:6" x14ac:dyDescent="0.2">
      <c r="A1409" s="55">
        <v>63</v>
      </c>
      <c r="B1409" s="45" t="s">
        <v>2581</v>
      </c>
      <c r="C1409" s="48">
        <v>3</v>
      </c>
      <c r="E1409" s="121" t="s">
        <v>3506</v>
      </c>
      <c r="F1409" s="120" t="s">
        <v>3215</v>
      </c>
    </row>
    <row r="1410" spans="1:6" x14ac:dyDescent="0.2">
      <c r="A1410" s="55">
        <v>63</v>
      </c>
      <c r="B1410" s="45" t="s">
        <v>340</v>
      </c>
      <c r="C1410" s="48">
        <v>3</v>
      </c>
      <c r="E1410" s="121" t="s">
        <v>1529</v>
      </c>
      <c r="F1410" s="120" t="s">
        <v>3249</v>
      </c>
    </row>
    <row r="1411" spans="1:6" x14ac:dyDescent="0.2">
      <c r="A1411" s="55">
        <v>63</v>
      </c>
      <c r="B1411" s="45" t="s">
        <v>380</v>
      </c>
      <c r="C1411" s="48">
        <v>3</v>
      </c>
      <c r="E1411" s="121" t="s">
        <v>2853</v>
      </c>
      <c r="F1411" s="120" t="s">
        <v>3227</v>
      </c>
    </row>
    <row r="1412" spans="1:6" x14ac:dyDescent="0.2">
      <c r="A1412" s="55">
        <v>63</v>
      </c>
      <c r="B1412" s="45" t="s">
        <v>350</v>
      </c>
      <c r="C1412" s="48">
        <v>2</v>
      </c>
      <c r="E1412" s="121" t="s">
        <v>1415</v>
      </c>
      <c r="F1412" s="120" t="s">
        <v>3249</v>
      </c>
    </row>
    <row r="1413" spans="1:6" x14ac:dyDescent="0.2">
      <c r="A1413" s="55">
        <v>63</v>
      </c>
      <c r="B1413" s="45" t="s">
        <v>341</v>
      </c>
      <c r="C1413" s="48">
        <v>2</v>
      </c>
      <c r="E1413" s="121" t="s">
        <v>3062</v>
      </c>
      <c r="F1413" s="120" t="s">
        <v>3266</v>
      </c>
    </row>
    <row r="1414" spans="1:6" x14ac:dyDescent="0.2">
      <c r="A1414" s="55">
        <v>63</v>
      </c>
      <c r="B1414" s="45" t="s">
        <v>349</v>
      </c>
      <c r="C1414" s="48">
        <v>2</v>
      </c>
      <c r="E1414" s="121" t="s">
        <v>1200</v>
      </c>
      <c r="F1414" s="120" t="s">
        <v>3292</v>
      </c>
    </row>
    <row r="1415" spans="1:6" x14ac:dyDescent="0.2">
      <c r="A1415" s="55">
        <v>63</v>
      </c>
      <c r="B1415" s="45" t="s">
        <v>2666</v>
      </c>
      <c r="C1415" s="48">
        <v>2</v>
      </c>
      <c r="E1415" s="121" t="s">
        <v>1208</v>
      </c>
      <c r="F1415" s="120" t="s">
        <v>3274</v>
      </c>
    </row>
    <row r="1416" spans="1:6" x14ac:dyDescent="0.2">
      <c r="A1416" s="56">
        <v>63</v>
      </c>
      <c r="B1416" s="45" t="s">
        <v>432</v>
      </c>
      <c r="C1416" s="50">
        <v>2</v>
      </c>
      <c r="E1416" s="121" t="s">
        <v>3186</v>
      </c>
      <c r="F1416" s="120" t="s">
        <v>3284</v>
      </c>
    </row>
    <row r="1417" spans="1:6" x14ac:dyDescent="0.2">
      <c r="A1417" s="55">
        <v>63</v>
      </c>
      <c r="B1417" s="45" t="s">
        <v>364</v>
      </c>
      <c r="C1417" s="48">
        <v>2</v>
      </c>
      <c r="E1417" s="121" t="s">
        <v>3495</v>
      </c>
      <c r="F1417" s="120" t="s">
        <v>3313</v>
      </c>
    </row>
    <row r="1418" spans="1:6" x14ac:dyDescent="0.2">
      <c r="A1418" s="56">
        <v>63</v>
      </c>
      <c r="B1418" s="45" t="s">
        <v>2625</v>
      </c>
      <c r="C1418" s="50">
        <v>1</v>
      </c>
      <c r="E1418" s="121" t="s">
        <v>2878</v>
      </c>
      <c r="F1418" s="120" t="s">
        <v>3248</v>
      </c>
    </row>
    <row r="1419" spans="1:6" x14ac:dyDescent="0.2">
      <c r="A1419" s="55">
        <v>63</v>
      </c>
      <c r="B1419" s="45" t="s">
        <v>403</v>
      </c>
      <c r="C1419" s="48">
        <v>1</v>
      </c>
      <c r="E1419" s="121" t="s">
        <v>1408</v>
      </c>
      <c r="F1419" s="120" t="s">
        <v>3248</v>
      </c>
    </row>
    <row r="1420" spans="1:6" x14ac:dyDescent="0.2">
      <c r="A1420" s="55">
        <v>63</v>
      </c>
      <c r="B1420" s="45" t="s">
        <v>2593</v>
      </c>
      <c r="C1420" s="48">
        <v>1</v>
      </c>
      <c r="E1420" s="121" t="s">
        <v>3037</v>
      </c>
      <c r="F1420" s="120" t="s">
        <v>3249</v>
      </c>
    </row>
    <row r="1421" spans="1:6" x14ac:dyDescent="0.2">
      <c r="A1421" s="55">
        <v>63</v>
      </c>
      <c r="B1421" s="45" t="s">
        <v>597</v>
      </c>
      <c r="C1421" s="48">
        <v>1</v>
      </c>
      <c r="E1421" s="121" t="s">
        <v>3060</v>
      </c>
      <c r="F1421" s="120" t="s">
        <v>3248</v>
      </c>
    </row>
    <row r="1422" spans="1:6" x14ac:dyDescent="0.2">
      <c r="A1422" s="55">
        <v>63</v>
      </c>
      <c r="B1422" s="45" t="s">
        <v>360</v>
      </c>
      <c r="C1422" s="48">
        <v>1</v>
      </c>
      <c r="E1422" s="121" t="s">
        <v>3522</v>
      </c>
      <c r="F1422" s="120" t="s">
        <v>3258</v>
      </c>
    </row>
    <row r="1423" spans="1:6" x14ac:dyDescent="0.2">
      <c r="A1423" s="55">
        <v>63</v>
      </c>
      <c r="B1423" s="45" t="s">
        <v>2594</v>
      </c>
      <c r="C1423" s="48">
        <v>1</v>
      </c>
      <c r="E1423" s="121" t="s">
        <v>3359</v>
      </c>
      <c r="F1423" s="120" t="s">
        <v>3307</v>
      </c>
    </row>
    <row r="1424" spans="1:6" x14ac:dyDescent="0.2">
      <c r="A1424" s="55">
        <v>63</v>
      </c>
      <c r="B1424" s="45" t="s">
        <v>2577</v>
      </c>
      <c r="C1424" s="48">
        <v>0.5</v>
      </c>
      <c r="E1424" s="121" t="s">
        <v>2900</v>
      </c>
      <c r="F1424" s="120" t="s">
        <v>3249</v>
      </c>
    </row>
    <row r="1425" spans="1:6" x14ac:dyDescent="0.2">
      <c r="A1425" s="55">
        <v>63</v>
      </c>
      <c r="B1425" s="45" t="s">
        <v>3151</v>
      </c>
      <c r="C1425" s="48">
        <v>0.5</v>
      </c>
      <c r="E1425" s="121" t="s">
        <v>3194</v>
      </c>
      <c r="F1425" s="120" t="s">
        <v>3258</v>
      </c>
    </row>
    <row r="1426" spans="1:6" x14ac:dyDescent="0.2">
      <c r="A1426" s="55">
        <v>63</v>
      </c>
      <c r="B1426" s="45" t="s">
        <v>357</v>
      </c>
      <c r="C1426" s="48">
        <v>0.5</v>
      </c>
      <c r="E1426" s="121" t="s">
        <v>3063</v>
      </c>
      <c r="F1426" s="120" t="s">
        <v>3262</v>
      </c>
    </row>
    <row r="1427" spans="1:6" x14ac:dyDescent="0.2">
      <c r="A1427" s="55">
        <v>64</v>
      </c>
      <c r="B1427" s="45" t="s">
        <v>342</v>
      </c>
      <c r="C1427" s="48">
        <v>16</v>
      </c>
      <c r="E1427" s="121" t="s">
        <v>1169</v>
      </c>
      <c r="F1427" s="120" t="s">
        <v>3249</v>
      </c>
    </row>
    <row r="1428" spans="1:6" x14ac:dyDescent="0.2">
      <c r="A1428" s="55">
        <v>64</v>
      </c>
      <c r="B1428" s="45" t="s">
        <v>441</v>
      </c>
      <c r="C1428" s="48">
        <v>13</v>
      </c>
      <c r="E1428" s="121" t="s">
        <v>3469</v>
      </c>
      <c r="F1428" s="120" t="s">
        <v>3258</v>
      </c>
    </row>
    <row r="1429" spans="1:6" x14ac:dyDescent="0.2">
      <c r="A1429" s="55">
        <v>64</v>
      </c>
      <c r="B1429" s="45" t="s">
        <v>2579</v>
      </c>
      <c r="C1429" s="48">
        <v>9</v>
      </c>
      <c r="E1429" s="121" t="s">
        <v>3516</v>
      </c>
      <c r="F1429" s="120" t="s">
        <v>3232</v>
      </c>
    </row>
    <row r="1430" spans="1:6" x14ac:dyDescent="0.2">
      <c r="A1430" s="55">
        <v>64</v>
      </c>
      <c r="B1430" s="45" t="s">
        <v>443</v>
      </c>
      <c r="C1430" s="48">
        <v>8</v>
      </c>
      <c r="E1430" s="121" t="s">
        <v>3445</v>
      </c>
      <c r="F1430" s="120" t="s">
        <v>3215</v>
      </c>
    </row>
    <row r="1431" spans="1:6" x14ac:dyDescent="0.2">
      <c r="A1431" s="55">
        <v>64</v>
      </c>
      <c r="B1431" s="45" t="s">
        <v>2602</v>
      </c>
      <c r="C1431" s="48">
        <v>7</v>
      </c>
      <c r="E1431" s="121" t="s">
        <v>3382</v>
      </c>
      <c r="F1431" s="120" t="s">
        <v>3248</v>
      </c>
    </row>
    <row r="1432" spans="1:6" x14ac:dyDescent="0.2">
      <c r="A1432" s="55">
        <v>64</v>
      </c>
      <c r="B1432" s="45" t="s">
        <v>2621</v>
      </c>
      <c r="C1432" s="48">
        <v>6</v>
      </c>
      <c r="E1432" s="121" t="s">
        <v>1233</v>
      </c>
      <c r="F1432" s="120" t="s">
        <v>3230</v>
      </c>
    </row>
    <row r="1433" spans="1:6" x14ac:dyDescent="0.2">
      <c r="A1433" s="55">
        <v>64</v>
      </c>
      <c r="B1433" s="45" t="s">
        <v>404</v>
      </c>
      <c r="C1433" s="48">
        <v>5</v>
      </c>
      <c r="E1433" s="121" t="s">
        <v>3463</v>
      </c>
      <c r="F1433" s="120" t="s">
        <v>3258</v>
      </c>
    </row>
    <row r="1434" spans="1:6" x14ac:dyDescent="0.2">
      <c r="A1434" s="55">
        <v>64</v>
      </c>
      <c r="B1434" s="45" t="s">
        <v>2565</v>
      </c>
      <c r="C1434" s="48">
        <v>5</v>
      </c>
      <c r="E1434" s="121" t="s">
        <v>3435</v>
      </c>
      <c r="F1434" s="120" t="s">
        <v>3286</v>
      </c>
    </row>
    <row r="1435" spans="1:6" x14ac:dyDescent="0.2">
      <c r="A1435" s="55">
        <v>64</v>
      </c>
      <c r="B1435" s="45" t="s">
        <v>412</v>
      </c>
      <c r="C1435" s="48">
        <v>4</v>
      </c>
      <c r="E1435" s="121" t="s">
        <v>3487</v>
      </c>
      <c r="F1435" s="120" t="s">
        <v>3310</v>
      </c>
    </row>
    <row r="1436" spans="1:6" x14ac:dyDescent="0.2">
      <c r="A1436" s="56">
        <v>64</v>
      </c>
      <c r="B1436" s="45" t="s">
        <v>405</v>
      </c>
      <c r="C1436" s="50">
        <v>4</v>
      </c>
      <c r="E1436" s="121" t="s">
        <v>3199</v>
      </c>
      <c r="F1436" s="120" t="s">
        <v>3215</v>
      </c>
    </row>
    <row r="1437" spans="1:6" x14ac:dyDescent="0.2">
      <c r="A1437" s="56">
        <v>64</v>
      </c>
      <c r="B1437" s="45" t="s">
        <v>609</v>
      </c>
      <c r="C1437" s="50">
        <v>4</v>
      </c>
      <c r="E1437" s="121" t="s">
        <v>3168</v>
      </c>
      <c r="F1437" s="120" t="s">
        <v>3284</v>
      </c>
    </row>
    <row r="1438" spans="1:6" x14ac:dyDescent="0.2">
      <c r="A1438" s="56">
        <v>64</v>
      </c>
      <c r="B1438" s="45" t="s">
        <v>402</v>
      </c>
      <c r="C1438" s="50">
        <v>4</v>
      </c>
      <c r="E1438" s="121" t="s">
        <v>3171</v>
      </c>
      <c r="F1438" s="120" t="s">
        <v>3284</v>
      </c>
    </row>
    <row r="1439" spans="1:6" x14ac:dyDescent="0.2">
      <c r="A1439" s="55">
        <v>64</v>
      </c>
      <c r="B1439" s="45" t="s">
        <v>368</v>
      </c>
      <c r="C1439" s="48">
        <v>4</v>
      </c>
      <c r="E1439" s="121" t="s">
        <v>1203</v>
      </c>
      <c r="F1439" s="120" t="s">
        <v>3230</v>
      </c>
    </row>
    <row r="1440" spans="1:6" x14ac:dyDescent="0.2">
      <c r="A1440" s="56">
        <v>64</v>
      </c>
      <c r="B1440" s="45" t="s">
        <v>571</v>
      </c>
      <c r="C1440" s="50">
        <v>4</v>
      </c>
      <c r="E1440" s="121" t="s">
        <v>3183</v>
      </c>
      <c r="F1440" s="120" t="s">
        <v>3284</v>
      </c>
    </row>
    <row r="1441" spans="1:6" x14ac:dyDescent="0.2">
      <c r="A1441" s="55">
        <v>64</v>
      </c>
      <c r="B1441" s="45" t="s">
        <v>2601</v>
      </c>
      <c r="C1441" s="48">
        <v>4</v>
      </c>
      <c r="E1441" s="121" t="s">
        <v>1406</v>
      </c>
      <c r="F1441" s="120" t="s">
        <v>3248</v>
      </c>
    </row>
    <row r="1442" spans="1:6" x14ac:dyDescent="0.2">
      <c r="A1442" s="55">
        <v>64</v>
      </c>
      <c r="B1442" s="45" t="s">
        <v>424</v>
      </c>
      <c r="C1442" s="48">
        <v>3</v>
      </c>
      <c r="E1442" s="121" t="s">
        <v>1405</v>
      </c>
      <c r="F1442" s="120" t="s">
        <v>3215</v>
      </c>
    </row>
    <row r="1443" spans="1:6" x14ac:dyDescent="0.2">
      <c r="A1443" s="55">
        <v>64</v>
      </c>
      <c r="B1443" s="45" t="s">
        <v>364</v>
      </c>
      <c r="C1443" s="48">
        <v>3</v>
      </c>
      <c r="E1443" s="121" t="s">
        <v>3495</v>
      </c>
      <c r="F1443" s="120" t="s">
        <v>3313</v>
      </c>
    </row>
    <row r="1444" spans="1:6" x14ac:dyDescent="0.2">
      <c r="A1444" s="55">
        <v>64</v>
      </c>
      <c r="B1444" s="45" t="s">
        <v>572</v>
      </c>
      <c r="C1444" s="48">
        <v>2</v>
      </c>
      <c r="E1444" s="121" t="s">
        <v>1240</v>
      </c>
      <c r="F1444" s="120" t="s">
        <v>3298</v>
      </c>
    </row>
    <row r="1445" spans="1:6" x14ac:dyDescent="0.2">
      <c r="A1445" s="56">
        <v>64</v>
      </c>
      <c r="B1445" s="45" t="s">
        <v>2605</v>
      </c>
      <c r="C1445" s="50">
        <v>2</v>
      </c>
      <c r="E1445" s="121" t="s">
        <v>3197</v>
      </c>
      <c r="F1445" s="120" t="s">
        <v>3248</v>
      </c>
    </row>
    <row r="1446" spans="1:6" x14ac:dyDescent="0.2">
      <c r="A1446" s="56">
        <v>64</v>
      </c>
      <c r="B1446" s="45" t="s">
        <v>361</v>
      </c>
      <c r="C1446" s="50">
        <v>2</v>
      </c>
      <c r="E1446" s="121" t="s">
        <v>3201</v>
      </c>
      <c r="F1446" s="120" t="s">
        <v>3249</v>
      </c>
    </row>
    <row r="1447" spans="1:6" x14ac:dyDescent="0.2">
      <c r="A1447" s="55">
        <v>64</v>
      </c>
      <c r="B1447" s="45" t="s">
        <v>350</v>
      </c>
      <c r="C1447" s="48">
        <v>1</v>
      </c>
      <c r="E1447" s="121" t="s">
        <v>1415</v>
      </c>
      <c r="F1447" s="120" t="s">
        <v>3249</v>
      </c>
    </row>
    <row r="1448" spans="1:6" x14ac:dyDescent="0.2">
      <c r="A1448" s="55">
        <v>64</v>
      </c>
      <c r="B1448" s="45" t="s">
        <v>347</v>
      </c>
      <c r="C1448" s="48">
        <v>1</v>
      </c>
      <c r="E1448" s="121" t="s">
        <v>3492</v>
      </c>
      <c r="F1448" s="120" t="s">
        <v>3312</v>
      </c>
    </row>
    <row r="1449" spans="1:6" x14ac:dyDescent="0.2">
      <c r="A1449" s="55">
        <v>64</v>
      </c>
      <c r="B1449" s="45" t="s">
        <v>2725</v>
      </c>
      <c r="C1449" s="48">
        <v>0.5</v>
      </c>
      <c r="E1449" s="121" t="s">
        <v>3461</v>
      </c>
      <c r="F1449" s="120" t="s">
        <v>3227</v>
      </c>
    </row>
    <row r="1450" spans="1:6" x14ac:dyDescent="0.2">
      <c r="A1450" s="55">
        <v>64</v>
      </c>
      <c r="B1450" s="45" t="s">
        <v>369</v>
      </c>
      <c r="C1450" s="48">
        <v>0.5</v>
      </c>
      <c r="E1450" s="121" t="s">
        <v>2829</v>
      </c>
      <c r="F1450" s="120" t="s">
        <v>1289</v>
      </c>
    </row>
    <row r="1451" spans="1:6" x14ac:dyDescent="0.2">
      <c r="A1451" s="55">
        <v>64</v>
      </c>
      <c r="B1451" s="45" t="s">
        <v>403</v>
      </c>
      <c r="C1451" s="48">
        <v>0.5</v>
      </c>
      <c r="E1451" s="121" t="s">
        <v>1408</v>
      </c>
      <c r="F1451" s="120" t="s">
        <v>3248</v>
      </c>
    </row>
    <row r="1452" spans="1:6" x14ac:dyDescent="0.2">
      <c r="A1452" s="55">
        <v>64</v>
      </c>
      <c r="B1452" s="45" t="s">
        <v>2603</v>
      </c>
      <c r="C1452" s="48">
        <v>0.5</v>
      </c>
      <c r="E1452" s="121" t="s">
        <v>2905</v>
      </c>
      <c r="F1452" s="120" t="s">
        <v>3253</v>
      </c>
    </row>
    <row r="1453" spans="1:6" x14ac:dyDescent="0.2">
      <c r="A1453" s="55">
        <v>64</v>
      </c>
      <c r="B1453" s="45" t="s">
        <v>406</v>
      </c>
      <c r="C1453" s="48">
        <v>0.5</v>
      </c>
      <c r="E1453" s="121" t="s">
        <v>3035</v>
      </c>
      <c r="F1453" s="120" t="s">
        <v>3215</v>
      </c>
    </row>
    <row r="1454" spans="1:6" x14ac:dyDescent="0.2">
      <c r="A1454" s="55">
        <v>64</v>
      </c>
      <c r="B1454" s="45" t="s">
        <v>2606</v>
      </c>
      <c r="C1454" s="48">
        <v>0.5</v>
      </c>
      <c r="E1454" s="121" t="s">
        <v>1151</v>
      </c>
      <c r="F1454" s="120" t="s">
        <v>3230</v>
      </c>
    </row>
    <row r="1455" spans="1:6" x14ac:dyDescent="0.2">
      <c r="A1455" s="55">
        <v>64</v>
      </c>
      <c r="B1455" s="45" t="s">
        <v>607</v>
      </c>
      <c r="C1455" s="48">
        <v>0.5</v>
      </c>
      <c r="E1455" s="121" t="s">
        <v>3038</v>
      </c>
      <c r="F1455" s="120" t="s">
        <v>3248</v>
      </c>
    </row>
    <row r="1456" spans="1:6" x14ac:dyDescent="0.2">
      <c r="A1456" s="55">
        <v>64</v>
      </c>
      <c r="B1456" s="45" t="s">
        <v>2622</v>
      </c>
      <c r="C1456" s="48">
        <v>0.5</v>
      </c>
      <c r="E1456" s="121" t="s">
        <v>3043</v>
      </c>
      <c r="F1456" s="120" t="s">
        <v>3241</v>
      </c>
    </row>
    <row r="1457" spans="1:6" x14ac:dyDescent="0.2">
      <c r="A1457" s="55">
        <v>64</v>
      </c>
      <c r="B1457" s="45" t="s">
        <v>2607</v>
      </c>
      <c r="C1457" s="48">
        <v>0.5</v>
      </c>
      <c r="E1457" s="121" t="s">
        <v>2837</v>
      </c>
      <c r="F1457" s="120" t="s">
        <v>3215</v>
      </c>
    </row>
    <row r="1458" spans="1:6" x14ac:dyDescent="0.2">
      <c r="A1458" s="55">
        <v>64</v>
      </c>
      <c r="B1458" s="45" t="s">
        <v>376</v>
      </c>
      <c r="C1458" s="48">
        <v>0.5</v>
      </c>
      <c r="E1458" s="121" t="s">
        <v>3462</v>
      </c>
      <c r="F1458" s="120" t="s">
        <v>3227</v>
      </c>
    </row>
    <row r="1459" spans="1:6" x14ac:dyDescent="0.2">
      <c r="A1459" s="55">
        <v>64</v>
      </c>
      <c r="B1459" s="45" t="s">
        <v>401</v>
      </c>
      <c r="C1459" s="48">
        <v>0.5</v>
      </c>
      <c r="E1459" s="121" t="s">
        <v>3465</v>
      </c>
      <c r="F1459" s="120" t="s">
        <v>3258</v>
      </c>
    </row>
    <row r="1460" spans="1:6" x14ac:dyDescent="0.2">
      <c r="A1460" s="55">
        <v>64</v>
      </c>
      <c r="B1460" s="45" t="s">
        <v>597</v>
      </c>
      <c r="C1460" s="48">
        <v>0.5</v>
      </c>
      <c r="E1460" s="121" t="s">
        <v>3060</v>
      </c>
      <c r="F1460" s="120" t="s">
        <v>3248</v>
      </c>
    </row>
    <row r="1461" spans="1:6" x14ac:dyDescent="0.2">
      <c r="A1461" s="55">
        <v>64</v>
      </c>
      <c r="B1461" s="45" t="s">
        <v>615</v>
      </c>
      <c r="C1461" s="48">
        <v>0.5</v>
      </c>
      <c r="E1461" s="121" t="s">
        <v>3068</v>
      </c>
      <c r="F1461" s="120" t="s">
        <v>3232</v>
      </c>
    </row>
    <row r="1462" spans="1:6" x14ac:dyDescent="0.2">
      <c r="A1462" s="55">
        <v>64</v>
      </c>
      <c r="B1462" s="45" t="s">
        <v>590</v>
      </c>
      <c r="C1462" s="48">
        <v>0.5</v>
      </c>
      <c r="E1462" s="121" t="s">
        <v>3452</v>
      </c>
      <c r="F1462" s="120" t="s">
        <v>3215</v>
      </c>
    </row>
    <row r="1463" spans="1:6" x14ac:dyDescent="0.2">
      <c r="A1463" s="55">
        <v>64</v>
      </c>
      <c r="B1463" s="45" t="s">
        <v>2608</v>
      </c>
      <c r="C1463" s="48">
        <v>0.5</v>
      </c>
      <c r="E1463" s="121" t="s">
        <v>3475</v>
      </c>
      <c r="F1463" s="120" t="s">
        <v>3258</v>
      </c>
    </row>
    <row r="1464" spans="1:6" x14ac:dyDescent="0.2">
      <c r="A1464" s="55">
        <v>64</v>
      </c>
      <c r="B1464" s="45" t="s">
        <v>447</v>
      </c>
      <c r="C1464" s="48">
        <v>0.5</v>
      </c>
      <c r="E1464" s="121" t="s">
        <v>1531</v>
      </c>
      <c r="F1464" s="120" t="s">
        <v>3248</v>
      </c>
    </row>
    <row r="1465" spans="1:6" x14ac:dyDescent="0.2">
      <c r="A1465" s="56">
        <v>64</v>
      </c>
      <c r="B1465" s="45" t="s">
        <v>2721</v>
      </c>
      <c r="C1465" s="51">
        <v>0.5</v>
      </c>
      <c r="E1465" s="121" t="s">
        <v>3093</v>
      </c>
      <c r="F1465" s="120" t="s">
        <v>3267</v>
      </c>
    </row>
    <row r="1466" spans="1:6" x14ac:dyDescent="0.2">
      <c r="A1466" s="55">
        <v>64</v>
      </c>
      <c r="B1466" s="45" t="s">
        <v>451</v>
      </c>
      <c r="C1466" s="48">
        <v>0.5</v>
      </c>
      <c r="E1466" s="121" t="s">
        <v>1434</v>
      </c>
      <c r="F1466" s="120" t="s">
        <v>3215</v>
      </c>
    </row>
    <row r="1467" spans="1:6" x14ac:dyDescent="0.2">
      <c r="A1467" s="56">
        <v>65</v>
      </c>
      <c r="B1467" s="45" t="s">
        <v>448</v>
      </c>
      <c r="C1467" s="50">
        <v>18</v>
      </c>
      <c r="E1467" s="121" t="s">
        <v>3173</v>
      </c>
      <c r="F1467" s="120" t="s">
        <v>3285</v>
      </c>
    </row>
    <row r="1468" spans="1:6" x14ac:dyDescent="0.2">
      <c r="A1468" s="55">
        <v>65</v>
      </c>
      <c r="B1468" s="45" t="s">
        <v>3151</v>
      </c>
      <c r="C1468" s="48">
        <v>17</v>
      </c>
      <c r="E1468" s="121" t="s">
        <v>3194</v>
      </c>
      <c r="F1468" s="120" t="s">
        <v>3258</v>
      </c>
    </row>
    <row r="1469" spans="1:6" x14ac:dyDescent="0.2">
      <c r="A1469" s="55">
        <v>65</v>
      </c>
      <c r="B1469" s="45" t="s">
        <v>349</v>
      </c>
      <c r="C1469" s="48">
        <v>11</v>
      </c>
      <c r="E1469" s="121" t="s">
        <v>1200</v>
      </c>
      <c r="F1469" s="120" t="s">
        <v>3292</v>
      </c>
    </row>
    <row r="1470" spans="1:6" x14ac:dyDescent="0.2">
      <c r="A1470" s="55">
        <v>65</v>
      </c>
      <c r="B1470" s="45" t="s">
        <v>364</v>
      </c>
      <c r="C1470" s="48">
        <v>9</v>
      </c>
      <c r="E1470" s="121" t="s">
        <v>3495</v>
      </c>
      <c r="F1470" s="120" t="s">
        <v>3313</v>
      </c>
    </row>
    <row r="1471" spans="1:6" x14ac:dyDescent="0.2">
      <c r="A1471" s="55">
        <v>65</v>
      </c>
      <c r="B1471" s="45" t="s">
        <v>415</v>
      </c>
      <c r="C1471" s="48">
        <v>8</v>
      </c>
      <c r="E1471" s="121" t="s">
        <v>1144</v>
      </c>
      <c r="F1471" s="120" t="s">
        <v>3249</v>
      </c>
    </row>
    <row r="1472" spans="1:6" x14ac:dyDescent="0.2">
      <c r="A1472" s="55">
        <v>65</v>
      </c>
      <c r="B1472" s="45" t="s">
        <v>350</v>
      </c>
      <c r="C1472" s="48">
        <v>7</v>
      </c>
      <c r="E1472" s="121" t="s">
        <v>1415</v>
      </c>
      <c r="F1472" s="120" t="s">
        <v>3249</v>
      </c>
    </row>
    <row r="1473" spans="1:6" x14ac:dyDescent="0.2">
      <c r="A1473" s="55">
        <v>65</v>
      </c>
      <c r="B1473" s="45" t="s">
        <v>2573</v>
      </c>
      <c r="C1473" s="48">
        <v>7</v>
      </c>
      <c r="E1473" s="121" t="s">
        <v>2880</v>
      </c>
      <c r="F1473" s="120" t="s">
        <v>3249</v>
      </c>
    </row>
    <row r="1474" spans="1:6" x14ac:dyDescent="0.2">
      <c r="A1474" s="55">
        <v>65</v>
      </c>
      <c r="B1474" s="45" t="s">
        <v>360</v>
      </c>
      <c r="C1474" s="48">
        <v>6</v>
      </c>
      <c r="E1474" s="121" t="s">
        <v>3522</v>
      </c>
      <c r="F1474" s="120" t="s">
        <v>3258</v>
      </c>
    </row>
    <row r="1475" spans="1:6" x14ac:dyDescent="0.2">
      <c r="A1475" s="56">
        <v>65</v>
      </c>
      <c r="B1475" s="45" t="s">
        <v>3388</v>
      </c>
      <c r="C1475" s="50">
        <v>5</v>
      </c>
      <c r="E1475" s="121" t="s">
        <v>538</v>
      </c>
      <c r="F1475" s="120" t="s">
        <v>3284</v>
      </c>
    </row>
    <row r="1476" spans="1:6" x14ac:dyDescent="0.2">
      <c r="A1476" s="55">
        <v>65</v>
      </c>
      <c r="B1476" s="45" t="s">
        <v>2596</v>
      </c>
      <c r="C1476" s="48">
        <v>3</v>
      </c>
      <c r="E1476" s="121" t="s">
        <v>1201</v>
      </c>
      <c r="F1476" s="120" t="s">
        <v>3267</v>
      </c>
    </row>
    <row r="1477" spans="1:6" x14ac:dyDescent="0.2">
      <c r="A1477" s="56">
        <v>65</v>
      </c>
      <c r="B1477" s="45" t="s">
        <v>2630</v>
      </c>
      <c r="C1477" s="50">
        <v>2</v>
      </c>
      <c r="E1477" s="121" t="s">
        <v>555</v>
      </c>
      <c r="F1477" s="120" t="s">
        <v>3285</v>
      </c>
    </row>
    <row r="1478" spans="1:6" x14ac:dyDescent="0.2">
      <c r="A1478" s="55">
        <v>65</v>
      </c>
      <c r="B1478" s="45" t="s">
        <v>392</v>
      </c>
      <c r="C1478" s="48">
        <v>2</v>
      </c>
      <c r="E1478" s="121" t="s">
        <v>3473</v>
      </c>
      <c r="F1478" s="120" t="s">
        <v>3227</v>
      </c>
    </row>
    <row r="1479" spans="1:6" x14ac:dyDescent="0.2">
      <c r="A1479" s="55">
        <v>65</v>
      </c>
      <c r="B1479" s="45" t="s">
        <v>2660</v>
      </c>
      <c r="C1479" s="48">
        <v>1</v>
      </c>
      <c r="E1479" s="121" t="s">
        <v>3493</v>
      </c>
      <c r="F1479" s="120" t="s">
        <v>3310</v>
      </c>
    </row>
    <row r="1480" spans="1:6" x14ac:dyDescent="0.2">
      <c r="A1480" s="55">
        <v>65</v>
      </c>
      <c r="B1480" s="45" t="s">
        <v>367</v>
      </c>
      <c r="C1480" s="48">
        <v>1</v>
      </c>
      <c r="E1480" s="121" t="s">
        <v>2851</v>
      </c>
      <c r="F1480" s="120" t="s">
        <v>3226</v>
      </c>
    </row>
    <row r="1481" spans="1:6" x14ac:dyDescent="0.2">
      <c r="A1481" s="56">
        <v>65</v>
      </c>
      <c r="B1481" s="45" t="s">
        <v>2575</v>
      </c>
      <c r="C1481" s="50">
        <v>1</v>
      </c>
      <c r="E1481" s="121" t="s">
        <v>1400</v>
      </c>
      <c r="F1481" s="120" t="s">
        <v>3310</v>
      </c>
    </row>
    <row r="1482" spans="1:6" x14ac:dyDescent="0.2">
      <c r="A1482" s="55">
        <v>65</v>
      </c>
      <c r="B1482" s="45" t="s">
        <v>369</v>
      </c>
      <c r="C1482" s="48">
        <v>0.5</v>
      </c>
      <c r="E1482" s="121" t="s">
        <v>2829</v>
      </c>
      <c r="F1482" s="120" t="s">
        <v>1289</v>
      </c>
    </row>
    <row r="1483" spans="1:6" x14ac:dyDescent="0.2">
      <c r="A1483" s="55">
        <v>65</v>
      </c>
      <c r="B1483" s="45" t="s">
        <v>366</v>
      </c>
      <c r="C1483" s="48">
        <v>0.5</v>
      </c>
      <c r="E1483" s="121" t="s">
        <v>1187</v>
      </c>
      <c r="F1483" s="120" t="s">
        <v>3263</v>
      </c>
    </row>
    <row r="1484" spans="1:6" x14ac:dyDescent="0.2">
      <c r="A1484" s="55">
        <v>65</v>
      </c>
      <c r="B1484" s="45" t="s">
        <v>400</v>
      </c>
      <c r="C1484" s="48">
        <v>0.5</v>
      </c>
      <c r="E1484" s="121" t="s">
        <v>1411</v>
      </c>
      <c r="F1484" s="120" t="s">
        <v>3249</v>
      </c>
    </row>
    <row r="1485" spans="1:6" x14ac:dyDescent="0.2">
      <c r="A1485" s="55">
        <v>65</v>
      </c>
      <c r="B1485" s="45" t="s">
        <v>352</v>
      </c>
      <c r="C1485" s="48">
        <v>0.5</v>
      </c>
      <c r="E1485" s="121" t="s">
        <v>2908</v>
      </c>
      <c r="F1485" s="120" t="s">
        <v>3259</v>
      </c>
    </row>
    <row r="1486" spans="1:6" x14ac:dyDescent="0.2">
      <c r="A1486" s="55">
        <v>65</v>
      </c>
      <c r="B1486" s="45" t="s">
        <v>381</v>
      </c>
      <c r="C1486" s="48">
        <v>0.5</v>
      </c>
      <c r="E1486" s="121" t="s">
        <v>1197</v>
      </c>
      <c r="F1486" s="120" t="s">
        <v>3245</v>
      </c>
    </row>
    <row r="1487" spans="1:6" x14ac:dyDescent="0.2">
      <c r="A1487" s="55">
        <v>65</v>
      </c>
      <c r="B1487" s="45" t="s">
        <v>376</v>
      </c>
      <c r="C1487" s="48">
        <v>0.5</v>
      </c>
      <c r="E1487" s="121" t="s">
        <v>3462</v>
      </c>
      <c r="F1487" s="120" t="s">
        <v>3227</v>
      </c>
    </row>
    <row r="1488" spans="1:6" x14ac:dyDescent="0.2">
      <c r="A1488" s="55">
        <v>65</v>
      </c>
      <c r="B1488" s="45" t="s">
        <v>394</v>
      </c>
      <c r="C1488" s="48">
        <v>0.5</v>
      </c>
      <c r="E1488" s="121" t="s">
        <v>3467</v>
      </c>
      <c r="F1488" s="120" t="s">
        <v>3258</v>
      </c>
    </row>
    <row r="1489" spans="1:6" x14ac:dyDescent="0.2">
      <c r="A1489" s="55">
        <v>65</v>
      </c>
      <c r="B1489" s="45" t="s">
        <v>327</v>
      </c>
      <c r="C1489" s="48">
        <v>0.5</v>
      </c>
      <c r="E1489" s="121" t="s">
        <v>3517</v>
      </c>
      <c r="F1489" s="120" t="s">
        <v>3226</v>
      </c>
    </row>
    <row r="1490" spans="1:6" x14ac:dyDescent="0.2">
      <c r="A1490" s="56">
        <v>65</v>
      </c>
      <c r="B1490" s="45" t="s">
        <v>2612</v>
      </c>
      <c r="C1490" s="50">
        <v>0.5</v>
      </c>
      <c r="E1490" s="121" t="s">
        <v>553</v>
      </c>
      <c r="F1490" s="120" t="s">
        <v>3308</v>
      </c>
    </row>
    <row r="1491" spans="1:6" x14ac:dyDescent="0.2">
      <c r="A1491" s="55">
        <v>65</v>
      </c>
      <c r="B1491" s="45" t="s">
        <v>340</v>
      </c>
      <c r="C1491" s="48">
        <v>0.5</v>
      </c>
      <c r="E1491" s="121" t="s">
        <v>1529</v>
      </c>
      <c r="F1491" s="120" t="s">
        <v>3249</v>
      </c>
    </row>
    <row r="1492" spans="1:6" x14ac:dyDescent="0.2">
      <c r="A1492" s="55">
        <v>65</v>
      </c>
      <c r="B1492" s="45" t="s">
        <v>2666</v>
      </c>
      <c r="C1492" s="48">
        <v>0.5</v>
      </c>
      <c r="E1492" s="121" t="s">
        <v>1208</v>
      </c>
      <c r="F1492" s="120" t="s">
        <v>3274</v>
      </c>
    </row>
    <row r="1493" spans="1:6" x14ac:dyDescent="0.2">
      <c r="A1493" s="55">
        <v>65</v>
      </c>
      <c r="B1493" s="45" t="s">
        <v>344</v>
      </c>
      <c r="C1493" s="48">
        <v>0.5</v>
      </c>
      <c r="E1493" s="121" t="s">
        <v>1403</v>
      </c>
      <c r="F1493" s="120" t="s">
        <v>3215</v>
      </c>
    </row>
    <row r="1494" spans="1:6" x14ac:dyDescent="0.2">
      <c r="A1494" s="55">
        <v>66</v>
      </c>
      <c r="B1494" s="45" t="s">
        <v>376</v>
      </c>
      <c r="C1494" s="48">
        <v>25</v>
      </c>
      <c r="E1494" s="121" t="s">
        <v>3462</v>
      </c>
      <c r="F1494" s="120" t="s">
        <v>3227</v>
      </c>
    </row>
    <row r="1495" spans="1:6" x14ac:dyDescent="0.2">
      <c r="A1495" s="55">
        <v>66</v>
      </c>
      <c r="B1495" s="45" t="s">
        <v>361</v>
      </c>
      <c r="C1495" s="48">
        <v>20</v>
      </c>
      <c r="E1495" s="121" t="s">
        <v>3201</v>
      </c>
      <c r="F1495" s="120" t="s">
        <v>3249</v>
      </c>
    </row>
    <row r="1496" spans="1:6" x14ac:dyDescent="0.2">
      <c r="A1496" s="56">
        <v>66</v>
      </c>
      <c r="B1496" s="45" t="s">
        <v>3388</v>
      </c>
      <c r="C1496" s="50">
        <v>20</v>
      </c>
      <c r="E1496" s="121" t="s">
        <v>538</v>
      </c>
      <c r="F1496" s="120" t="s">
        <v>3284</v>
      </c>
    </row>
    <row r="1497" spans="1:6" x14ac:dyDescent="0.2">
      <c r="A1497" s="55">
        <v>66</v>
      </c>
      <c r="B1497" s="45" t="s">
        <v>600</v>
      </c>
      <c r="C1497" s="48">
        <v>15</v>
      </c>
      <c r="E1497" s="121" t="s">
        <v>1423</v>
      </c>
      <c r="F1497" s="120" t="s">
        <v>3249</v>
      </c>
    </row>
    <row r="1498" spans="1:6" x14ac:dyDescent="0.2">
      <c r="A1498" s="55">
        <v>66</v>
      </c>
      <c r="B1498" s="45" t="s">
        <v>343</v>
      </c>
      <c r="C1498" s="48">
        <v>14</v>
      </c>
      <c r="E1498" s="121" t="s">
        <v>3334</v>
      </c>
      <c r="F1498" s="120" t="s">
        <v>3303</v>
      </c>
    </row>
    <row r="1499" spans="1:6" x14ac:dyDescent="0.2">
      <c r="A1499" s="56">
        <v>66</v>
      </c>
      <c r="B1499" s="45" t="s">
        <v>2660</v>
      </c>
      <c r="C1499" s="50">
        <v>14</v>
      </c>
      <c r="E1499" s="121" t="s">
        <v>3493</v>
      </c>
      <c r="F1499" s="120" t="s">
        <v>3310</v>
      </c>
    </row>
    <row r="1500" spans="1:6" x14ac:dyDescent="0.2">
      <c r="A1500" s="55">
        <v>66</v>
      </c>
      <c r="B1500" s="45" t="s">
        <v>340</v>
      </c>
      <c r="C1500" s="48">
        <v>9</v>
      </c>
      <c r="E1500" s="121" t="s">
        <v>1529</v>
      </c>
      <c r="F1500" s="120" t="s">
        <v>3249</v>
      </c>
    </row>
    <row r="1501" spans="1:6" x14ac:dyDescent="0.2">
      <c r="A1501" s="55">
        <v>66</v>
      </c>
      <c r="B1501" s="45" t="s">
        <v>369</v>
      </c>
      <c r="C1501" s="48">
        <v>7</v>
      </c>
      <c r="E1501" s="121" t="s">
        <v>2829</v>
      </c>
      <c r="F1501" s="120" t="s">
        <v>1289</v>
      </c>
    </row>
    <row r="1502" spans="1:6" x14ac:dyDescent="0.2">
      <c r="A1502" s="55">
        <v>66</v>
      </c>
      <c r="B1502" s="45" t="s">
        <v>3151</v>
      </c>
      <c r="C1502" s="48">
        <v>7</v>
      </c>
      <c r="E1502" s="121" t="s">
        <v>3194</v>
      </c>
      <c r="F1502" s="120" t="s">
        <v>3258</v>
      </c>
    </row>
    <row r="1503" spans="1:6" x14ac:dyDescent="0.2">
      <c r="A1503" s="55">
        <v>66</v>
      </c>
      <c r="B1503" s="45" t="s">
        <v>344</v>
      </c>
      <c r="C1503" s="48">
        <v>7</v>
      </c>
      <c r="E1503" s="121" t="s">
        <v>1403</v>
      </c>
      <c r="F1503" s="120" t="s">
        <v>3215</v>
      </c>
    </row>
    <row r="1504" spans="1:6" x14ac:dyDescent="0.2">
      <c r="A1504" s="55">
        <v>66</v>
      </c>
      <c r="B1504" s="45" t="s">
        <v>358</v>
      </c>
      <c r="C1504" s="48">
        <v>7</v>
      </c>
      <c r="E1504" s="121" t="s">
        <v>1404</v>
      </c>
      <c r="F1504" s="120" t="s">
        <v>3248</v>
      </c>
    </row>
    <row r="1505" spans="1:6" x14ac:dyDescent="0.2">
      <c r="A1505" s="55">
        <v>66</v>
      </c>
      <c r="B1505" s="45" t="s">
        <v>400</v>
      </c>
      <c r="C1505" s="48">
        <v>4</v>
      </c>
      <c r="E1505" s="121" t="s">
        <v>1411</v>
      </c>
      <c r="F1505" s="120" t="s">
        <v>3249</v>
      </c>
    </row>
    <row r="1506" spans="1:6" x14ac:dyDescent="0.2">
      <c r="A1506" s="55">
        <v>66</v>
      </c>
      <c r="B1506" s="45" t="s">
        <v>392</v>
      </c>
      <c r="C1506" s="48">
        <v>4</v>
      </c>
      <c r="E1506" s="121" t="s">
        <v>3473</v>
      </c>
      <c r="F1506" s="120" t="s">
        <v>3227</v>
      </c>
    </row>
    <row r="1507" spans="1:6" x14ac:dyDescent="0.2">
      <c r="A1507" s="55">
        <v>66</v>
      </c>
      <c r="B1507" s="45" t="s">
        <v>364</v>
      </c>
      <c r="C1507" s="48">
        <v>4</v>
      </c>
      <c r="E1507" s="121" t="s">
        <v>3495</v>
      </c>
      <c r="F1507" s="120" t="s">
        <v>3313</v>
      </c>
    </row>
    <row r="1508" spans="1:6" x14ac:dyDescent="0.2">
      <c r="A1508" s="55">
        <v>66</v>
      </c>
      <c r="B1508" s="45" t="s">
        <v>2573</v>
      </c>
      <c r="C1508" s="48">
        <v>2</v>
      </c>
      <c r="E1508" s="121" t="s">
        <v>2880</v>
      </c>
      <c r="F1508" s="120" t="s">
        <v>3249</v>
      </c>
    </row>
    <row r="1509" spans="1:6" x14ac:dyDescent="0.2">
      <c r="A1509" s="55">
        <v>66</v>
      </c>
      <c r="B1509" s="45" t="s">
        <v>2594</v>
      </c>
      <c r="C1509" s="48">
        <v>2</v>
      </c>
      <c r="E1509" s="121" t="s">
        <v>3359</v>
      </c>
      <c r="F1509" s="120" t="s">
        <v>3307</v>
      </c>
    </row>
    <row r="1510" spans="1:6" x14ac:dyDescent="0.2">
      <c r="A1510" s="55">
        <v>66</v>
      </c>
      <c r="B1510" s="45" t="s">
        <v>350</v>
      </c>
      <c r="C1510" s="48">
        <v>1</v>
      </c>
      <c r="E1510" s="121" t="s">
        <v>1415</v>
      </c>
      <c r="F1510" s="120" t="s">
        <v>3249</v>
      </c>
    </row>
    <row r="1511" spans="1:6" x14ac:dyDescent="0.2">
      <c r="A1511" s="55">
        <v>66</v>
      </c>
      <c r="B1511" s="45" t="s">
        <v>327</v>
      </c>
      <c r="C1511" s="48">
        <v>1</v>
      </c>
      <c r="E1511" s="121" t="s">
        <v>3517</v>
      </c>
      <c r="F1511" s="120" t="s">
        <v>3226</v>
      </c>
    </row>
    <row r="1512" spans="1:6" x14ac:dyDescent="0.2">
      <c r="A1512" s="55">
        <v>66</v>
      </c>
      <c r="B1512" s="45" t="s">
        <v>357</v>
      </c>
      <c r="C1512" s="48">
        <v>1</v>
      </c>
      <c r="E1512" s="121" t="s">
        <v>3063</v>
      </c>
      <c r="F1512" s="120" t="s">
        <v>3262</v>
      </c>
    </row>
    <row r="1513" spans="1:6" x14ac:dyDescent="0.2">
      <c r="A1513" s="55">
        <v>66</v>
      </c>
      <c r="B1513" s="45" t="s">
        <v>345</v>
      </c>
      <c r="C1513" s="48">
        <v>1</v>
      </c>
      <c r="E1513" s="121" t="s">
        <v>3520</v>
      </c>
      <c r="F1513" s="120" t="s">
        <v>3227</v>
      </c>
    </row>
    <row r="1514" spans="1:6" x14ac:dyDescent="0.2">
      <c r="A1514" s="56">
        <v>66</v>
      </c>
      <c r="B1514" s="45" t="s">
        <v>609</v>
      </c>
      <c r="C1514" s="50">
        <v>0.5</v>
      </c>
      <c r="E1514" s="121" t="s">
        <v>3168</v>
      </c>
      <c r="F1514" s="120" t="s">
        <v>3284</v>
      </c>
    </row>
    <row r="1515" spans="1:6" x14ac:dyDescent="0.2">
      <c r="A1515" s="55">
        <v>66</v>
      </c>
      <c r="B1515" s="45" t="s">
        <v>349</v>
      </c>
      <c r="C1515" s="48">
        <v>0.5</v>
      </c>
      <c r="E1515" s="121" t="s">
        <v>1200</v>
      </c>
      <c r="F1515" s="120" t="s">
        <v>3292</v>
      </c>
    </row>
    <row r="1516" spans="1:6" x14ac:dyDescent="0.2">
      <c r="A1516" s="55">
        <v>66</v>
      </c>
      <c r="B1516" s="45" t="s">
        <v>2597</v>
      </c>
      <c r="C1516" s="48">
        <v>0.5</v>
      </c>
      <c r="E1516" s="121" t="s">
        <v>2850</v>
      </c>
      <c r="F1516" s="120" t="s">
        <v>3226</v>
      </c>
    </row>
    <row r="1517" spans="1:6" x14ac:dyDescent="0.2">
      <c r="A1517" s="55">
        <v>66</v>
      </c>
      <c r="B1517" s="45" t="s">
        <v>593</v>
      </c>
      <c r="C1517" s="48">
        <v>0.5</v>
      </c>
      <c r="E1517" s="121" t="s">
        <v>2852</v>
      </c>
      <c r="F1517" s="120" t="s">
        <v>3227</v>
      </c>
    </row>
    <row r="1518" spans="1:6" x14ac:dyDescent="0.2">
      <c r="A1518" s="55">
        <v>66</v>
      </c>
      <c r="B1518" s="45" t="s">
        <v>2566</v>
      </c>
      <c r="C1518" s="48">
        <v>0.5</v>
      </c>
      <c r="E1518" s="121" t="s">
        <v>3331</v>
      </c>
      <c r="F1518" s="120" t="s">
        <v>3249</v>
      </c>
    </row>
    <row r="1519" spans="1:6" x14ac:dyDescent="0.2">
      <c r="A1519" s="55">
        <v>67</v>
      </c>
      <c r="B1519" s="45" t="s">
        <v>2629</v>
      </c>
      <c r="C1519" s="48">
        <v>65</v>
      </c>
      <c r="E1519" s="121" t="s">
        <v>1162</v>
      </c>
      <c r="F1519" s="120" t="s">
        <v>3215</v>
      </c>
    </row>
    <row r="1520" spans="1:6" x14ac:dyDescent="0.2">
      <c r="A1520" s="56">
        <v>67</v>
      </c>
      <c r="B1520" s="45" t="s">
        <v>2628</v>
      </c>
      <c r="C1520" s="50">
        <v>35</v>
      </c>
      <c r="E1520" s="121" t="s">
        <v>1149</v>
      </c>
      <c r="F1520" s="120" t="s">
        <v>3248</v>
      </c>
    </row>
    <row r="1521" spans="1:6" x14ac:dyDescent="0.2">
      <c r="A1521" s="55">
        <v>67</v>
      </c>
      <c r="B1521" s="45" t="s">
        <v>349</v>
      </c>
      <c r="C1521" s="48">
        <v>16</v>
      </c>
      <c r="E1521" s="121" t="s">
        <v>1200</v>
      </c>
      <c r="F1521" s="120" t="s">
        <v>3292</v>
      </c>
    </row>
    <row r="1522" spans="1:6" x14ac:dyDescent="0.2">
      <c r="A1522" s="55">
        <v>67</v>
      </c>
      <c r="B1522" s="45" t="s">
        <v>369</v>
      </c>
      <c r="C1522" s="48">
        <v>11</v>
      </c>
      <c r="E1522" s="121" t="s">
        <v>2829</v>
      </c>
      <c r="F1522" s="120" t="s">
        <v>1289</v>
      </c>
    </row>
    <row r="1523" spans="1:6" x14ac:dyDescent="0.2">
      <c r="A1523" s="55">
        <v>67</v>
      </c>
      <c r="B1523" s="45" t="s">
        <v>350</v>
      </c>
      <c r="C1523" s="48">
        <v>7</v>
      </c>
      <c r="E1523" s="121" t="s">
        <v>1415</v>
      </c>
      <c r="F1523" s="120" t="s">
        <v>3249</v>
      </c>
    </row>
    <row r="1524" spans="1:6" x14ac:dyDescent="0.2">
      <c r="A1524" s="56">
        <v>67</v>
      </c>
      <c r="B1524" s="45" t="s">
        <v>448</v>
      </c>
      <c r="C1524" s="50">
        <v>7</v>
      </c>
      <c r="E1524" s="121" t="s">
        <v>3173</v>
      </c>
      <c r="F1524" s="120" t="s">
        <v>3285</v>
      </c>
    </row>
    <row r="1525" spans="1:6" x14ac:dyDescent="0.2">
      <c r="A1525" s="55">
        <v>67</v>
      </c>
      <c r="B1525" s="45" t="s">
        <v>2722</v>
      </c>
      <c r="C1525" s="48">
        <v>6</v>
      </c>
      <c r="E1525" s="121" t="s">
        <v>3489</v>
      </c>
      <c r="F1525" s="120" t="s">
        <v>3310</v>
      </c>
    </row>
    <row r="1526" spans="1:6" x14ac:dyDescent="0.2">
      <c r="A1526" s="55">
        <v>67</v>
      </c>
      <c r="B1526" s="45" t="s">
        <v>394</v>
      </c>
      <c r="C1526" s="48">
        <v>4</v>
      </c>
      <c r="E1526" s="121" t="s">
        <v>3467</v>
      </c>
      <c r="F1526" s="120" t="s">
        <v>3258</v>
      </c>
    </row>
    <row r="1527" spans="1:6" x14ac:dyDescent="0.2">
      <c r="A1527" s="55">
        <v>67</v>
      </c>
      <c r="B1527" s="45" t="s">
        <v>2597</v>
      </c>
      <c r="C1527" s="48">
        <v>3</v>
      </c>
      <c r="E1527" s="121" t="s">
        <v>2850</v>
      </c>
      <c r="F1527" s="120" t="s">
        <v>3226</v>
      </c>
    </row>
    <row r="1528" spans="1:6" x14ac:dyDescent="0.2">
      <c r="A1528" s="55">
        <v>67</v>
      </c>
      <c r="B1528" s="45" t="s">
        <v>400</v>
      </c>
      <c r="C1528" s="48">
        <v>1</v>
      </c>
      <c r="E1528" s="121" t="s">
        <v>1411</v>
      </c>
      <c r="F1528" s="120" t="s">
        <v>3249</v>
      </c>
    </row>
    <row r="1529" spans="1:6" x14ac:dyDescent="0.2">
      <c r="A1529" s="56">
        <v>67</v>
      </c>
      <c r="B1529" s="45" t="s">
        <v>423</v>
      </c>
      <c r="C1529" s="50">
        <v>1</v>
      </c>
      <c r="E1529" s="121" t="s">
        <v>3494</v>
      </c>
      <c r="F1529" s="120" t="s">
        <v>3310</v>
      </c>
    </row>
    <row r="1530" spans="1:6" x14ac:dyDescent="0.2">
      <c r="A1530" s="56">
        <v>67</v>
      </c>
      <c r="B1530" s="45" t="s">
        <v>2641</v>
      </c>
      <c r="C1530" s="50">
        <v>0.5</v>
      </c>
      <c r="E1530" s="121" t="s">
        <v>1418</v>
      </c>
      <c r="F1530" s="120" t="s">
        <v>3249</v>
      </c>
    </row>
    <row r="1531" spans="1:6" x14ac:dyDescent="0.2">
      <c r="A1531" s="56">
        <v>67</v>
      </c>
      <c r="B1531" s="45" t="s">
        <v>2638</v>
      </c>
      <c r="C1531" s="51">
        <v>0.5</v>
      </c>
      <c r="E1531" s="121" t="s">
        <v>3165</v>
      </c>
      <c r="F1531" s="120" t="s">
        <v>3248</v>
      </c>
    </row>
    <row r="1532" spans="1:6" x14ac:dyDescent="0.2">
      <c r="A1532" s="56">
        <v>67</v>
      </c>
      <c r="B1532" s="45" t="s">
        <v>2612</v>
      </c>
      <c r="C1532" s="50">
        <v>0.5</v>
      </c>
      <c r="E1532" s="121" t="s">
        <v>553</v>
      </c>
      <c r="F1532" s="120" t="s">
        <v>3308</v>
      </c>
    </row>
    <row r="1533" spans="1:6" x14ac:dyDescent="0.2">
      <c r="A1533" s="55">
        <v>67</v>
      </c>
      <c r="B1533" s="45" t="s">
        <v>340</v>
      </c>
      <c r="C1533" s="48">
        <v>0.5</v>
      </c>
      <c r="E1533" s="121" t="s">
        <v>1529</v>
      </c>
      <c r="F1533" s="120" t="s">
        <v>3249</v>
      </c>
    </row>
    <row r="1534" spans="1:6" x14ac:dyDescent="0.2">
      <c r="A1534" s="55">
        <v>67</v>
      </c>
      <c r="B1534" s="45" t="s">
        <v>2596</v>
      </c>
      <c r="C1534" s="48">
        <v>0.5</v>
      </c>
      <c r="E1534" s="121" t="s">
        <v>1201</v>
      </c>
      <c r="F1534" s="120" t="s">
        <v>3267</v>
      </c>
    </row>
    <row r="1535" spans="1:6" x14ac:dyDescent="0.2">
      <c r="A1535" s="55">
        <v>67</v>
      </c>
      <c r="B1535" s="45" t="s">
        <v>344</v>
      </c>
      <c r="C1535" s="48">
        <v>0.5</v>
      </c>
      <c r="E1535" s="121" t="s">
        <v>1403</v>
      </c>
      <c r="F1535" s="120" t="s">
        <v>3215</v>
      </c>
    </row>
    <row r="1536" spans="1:6" x14ac:dyDescent="0.2">
      <c r="A1536" s="55">
        <v>68</v>
      </c>
      <c r="B1536" s="45" t="s">
        <v>2565</v>
      </c>
      <c r="C1536" s="48">
        <v>17</v>
      </c>
      <c r="E1536" s="121" t="s">
        <v>3435</v>
      </c>
      <c r="F1536" s="120" t="s">
        <v>3286</v>
      </c>
    </row>
    <row r="1537" spans="1:6" x14ac:dyDescent="0.2">
      <c r="A1537" s="56">
        <v>68</v>
      </c>
      <c r="B1537" s="45" t="s">
        <v>385</v>
      </c>
      <c r="C1537" s="50">
        <v>11</v>
      </c>
      <c r="E1537" s="121" t="s">
        <v>3174</v>
      </c>
      <c r="F1537" s="120" t="s">
        <v>3284</v>
      </c>
    </row>
    <row r="1538" spans="1:6" x14ac:dyDescent="0.2">
      <c r="A1538" s="55">
        <v>68</v>
      </c>
      <c r="B1538" s="45" t="s">
        <v>2602</v>
      </c>
      <c r="C1538" s="48">
        <v>11</v>
      </c>
      <c r="E1538" s="121" t="s">
        <v>3382</v>
      </c>
      <c r="F1538" s="120" t="s">
        <v>3248</v>
      </c>
    </row>
    <row r="1539" spans="1:6" x14ac:dyDescent="0.2">
      <c r="A1539" s="55">
        <v>68</v>
      </c>
      <c r="B1539" s="45" t="s">
        <v>404</v>
      </c>
      <c r="C1539" s="48">
        <v>9</v>
      </c>
      <c r="E1539" s="121" t="s">
        <v>3463</v>
      </c>
      <c r="F1539" s="120" t="s">
        <v>3258</v>
      </c>
    </row>
    <row r="1540" spans="1:6" x14ac:dyDescent="0.2">
      <c r="A1540" s="55">
        <v>68</v>
      </c>
      <c r="B1540" s="45" t="s">
        <v>2579</v>
      </c>
      <c r="C1540" s="48">
        <v>9</v>
      </c>
      <c r="E1540" s="121" t="s">
        <v>3516</v>
      </c>
      <c r="F1540" s="120" t="s">
        <v>3232</v>
      </c>
    </row>
    <row r="1541" spans="1:6" x14ac:dyDescent="0.2">
      <c r="A1541" s="55">
        <v>68</v>
      </c>
      <c r="B1541" s="45" t="s">
        <v>1588</v>
      </c>
      <c r="C1541" s="48">
        <v>8</v>
      </c>
      <c r="E1541" s="121" t="s">
        <v>3196</v>
      </c>
      <c r="F1541" s="120" t="s">
        <v>3248</v>
      </c>
    </row>
    <row r="1542" spans="1:6" x14ac:dyDescent="0.2">
      <c r="A1542" s="55">
        <v>68</v>
      </c>
      <c r="B1542" s="45" t="s">
        <v>395</v>
      </c>
      <c r="C1542" s="48">
        <v>7</v>
      </c>
      <c r="E1542" s="121" t="s">
        <v>3202</v>
      </c>
      <c r="F1542" s="120" t="s">
        <v>3248</v>
      </c>
    </row>
    <row r="1543" spans="1:6" x14ac:dyDescent="0.2">
      <c r="A1543" s="55">
        <v>68</v>
      </c>
      <c r="B1543" s="45" t="s">
        <v>412</v>
      </c>
      <c r="C1543" s="48">
        <v>5</v>
      </c>
      <c r="E1543" s="121" t="s">
        <v>3487</v>
      </c>
      <c r="F1543" s="120" t="s">
        <v>3310</v>
      </c>
    </row>
    <row r="1544" spans="1:6" x14ac:dyDescent="0.2">
      <c r="A1544" s="55">
        <v>68</v>
      </c>
      <c r="B1544" s="45" t="s">
        <v>441</v>
      </c>
      <c r="C1544" s="48">
        <v>5</v>
      </c>
      <c r="E1544" s="121" t="s">
        <v>3469</v>
      </c>
      <c r="F1544" s="120" t="s">
        <v>3258</v>
      </c>
    </row>
    <row r="1545" spans="1:6" x14ac:dyDescent="0.2">
      <c r="A1545" s="55">
        <v>68</v>
      </c>
      <c r="B1545" s="45" t="s">
        <v>425</v>
      </c>
      <c r="C1545" s="48">
        <v>4</v>
      </c>
      <c r="E1545" s="121" t="s">
        <v>1168</v>
      </c>
      <c r="F1545" s="120" t="s">
        <v>3215</v>
      </c>
    </row>
    <row r="1546" spans="1:6" x14ac:dyDescent="0.2">
      <c r="A1546" s="55">
        <v>68</v>
      </c>
      <c r="B1546" s="45" t="s">
        <v>340</v>
      </c>
      <c r="C1546" s="48">
        <v>4</v>
      </c>
      <c r="E1546" s="121" t="s">
        <v>1529</v>
      </c>
      <c r="F1546" s="120" t="s">
        <v>3249</v>
      </c>
    </row>
    <row r="1547" spans="1:6" x14ac:dyDescent="0.2">
      <c r="A1547" s="55">
        <v>68</v>
      </c>
      <c r="B1547" s="45" t="s">
        <v>2603</v>
      </c>
      <c r="C1547" s="48">
        <v>3</v>
      </c>
      <c r="E1547" s="121" t="s">
        <v>2905</v>
      </c>
      <c r="F1547" s="120" t="s">
        <v>3253</v>
      </c>
    </row>
    <row r="1548" spans="1:6" x14ac:dyDescent="0.2">
      <c r="A1548" s="55">
        <v>68</v>
      </c>
      <c r="B1548" s="45" t="s">
        <v>597</v>
      </c>
      <c r="C1548" s="48">
        <v>3</v>
      </c>
      <c r="E1548" s="121" t="s">
        <v>3060</v>
      </c>
      <c r="F1548" s="120" t="s">
        <v>3248</v>
      </c>
    </row>
    <row r="1549" spans="1:6" x14ac:dyDescent="0.2">
      <c r="A1549" s="55">
        <v>68</v>
      </c>
      <c r="B1549" s="45" t="s">
        <v>424</v>
      </c>
      <c r="C1549" s="48">
        <v>3</v>
      </c>
      <c r="E1549" s="121" t="s">
        <v>1405</v>
      </c>
      <c r="F1549" s="120" t="s">
        <v>3215</v>
      </c>
    </row>
    <row r="1550" spans="1:6" x14ac:dyDescent="0.2">
      <c r="A1550" s="55">
        <v>68</v>
      </c>
      <c r="B1550" s="45" t="s">
        <v>364</v>
      </c>
      <c r="C1550" s="48">
        <v>3</v>
      </c>
      <c r="E1550" s="121" t="s">
        <v>3495</v>
      </c>
      <c r="F1550" s="120" t="s">
        <v>3313</v>
      </c>
    </row>
    <row r="1551" spans="1:6" x14ac:dyDescent="0.2">
      <c r="A1551" s="55">
        <v>68</v>
      </c>
      <c r="B1551" s="45" t="s">
        <v>350</v>
      </c>
      <c r="C1551" s="48">
        <v>2</v>
      </c>
      <c r="E1551" s="121" t="s">
        <v>1415</v>
      </c>
      <c r="F1551" s="120" t="s">
        <v>3249</v>
      </c>
    </row>
    <row r="1552" spans="1:6" x14ac:dyDescent="0.2">
      <c r="A1552" s="55">
        <v>68</v>
      </c>
      <c r="B1552" s="45" t="s">
        <v>444</v>
      </c>
      <c r="C1552" s="48">
        <v>2</v>
      </c>
      <c r="E1552" s="121" t="s">
        <v>3471</v>
      </c>
      <c r="F1552" s="120" t="s">
        <v>3227</v>
      </c>
    </row>
    <row r="1553" spans="1:6" x14ac:dyDescent="0.2">
      <c r="A1553" s="55">
        <v>68</v>
      </c>
      <c r="B1553" s="45" t="s">
        <v>2600</v>
      </c>
      <c r="C1553" s="48">
        <v>1</v>
      </c>
      <c r="E1553" s="121" t="s">
        <v>3163</v>
      </c>
      <c r="F1553" s="120" t="s">
        <v>3219</v>
      </c>
    </row>
    <row r="1554" spans="1:6" x14ac:dyDescent="0.2">
      <c r="A1554" s="55">
        <v>68</v>
      </c>
      <c r="B1554" s="45" t="s">
        <v>583</v>
      </c>
      <c r="C1554" s="48">
        <v>1</v>
      </c>
      <c r="E1554" s="121" t="s">
        <v>1207</v>
      </c>
      <c r="F1554" s="120" t="s">
        <v>3274</v>
      </c>
    </row>
    <row r="1555" spans="1:6" x14ac:dyDescent="0.2">
      <c r="A1555" s="55">
        <v>68</v>
      </c>
      <c r="B1555" s="45" t="s">
        <v>2601</v>
      </c>
      <c r="C1555" s="48">
        <v>1</v>
      </c>
      <c r="E1555" s="121" t="s">
        <v>1406</v>
      </c>
      <c r="F1555" s="120" t="s">
        <v>3248</v>
      </c>
    </row>
    <row r="1556" spans="1:6" x14ac:dyDescent="0.2">
      <c r="A1556" s="55">
        <v>68</v>
      </c>
      <c r="B1556" s="45" t="s">
        <v>457</v>
      </c>
      <c r="C1556" s="48">
        <v>1</v>
      </c>
      <c r="E1556" s="121" t="s">
        <v>1282</v>
      </c>
      <c r="F1556" s="120" t="s">
        <v>3243</v>
      </c>
    </row>
    <row r="1557" spans="1:6" x14ac:dyDescent="0.2">
      <c r="A1557" s="55">
        <v>68</v>
      </c>
      <c r="B1557" s="45" t="s">
        <v>371</v>
      </c>
      <c r="C1557" s="48">
        <v>0.5</v>
      </c>
      <c r="E1557" s="121" t="s">
        <v>1425</v>
      </c>
      <c r="F1557" s="120" t="s">
        <v>3248</v>
      </c>
    </row>
    <row r="1558" spans="1:6" x14ac:dyDescent="0.2">
      <c r="A1558" s="55">
        <v>68</v>
      </c>
      <c r="B1558" s="45" t="s">
        <v>2621</v>
      </c>
      <c r="C1558" s="48">
        <v>0.5</v>
      </c>
      <c r="E1558" s="121" t="s">
        <v>1233</v>
      </c>
      <c r="F1558" s="120" t="s">
        <v>3230</v>
      </c>
    </row>
    <row r="1559" spans="1:6" x14ac:dyDescent="0.2">
      <c r="A1559" s="56">
        <v>68</v>
      </c>
      <c r="B1559" s="45" t="s">
        <v>2631</v>
      </c>
      <c r="C1559" s="50">
        <v>0.5</v>
      </c>
      <c r="E1559" s="121" t="s">
        <v>539</v>
      </c>
      <c r="F1559" s="120" t="s">
        <v>3215</v>
      </c>
    </row>
    <row r="1560" spans="1:6" x14ac:dyDescent="0.2">
      <c r="A1560" s="56">
        <v>68</v>
      </c>
      <c r="B1560" s="45" t="s">
        <v>2573</v>
      </c>
      <c r="C1560" s="50">
        <v>0.5</v>
      </c>
      <c r="E1560" s="121" t="s">
        <v>2880</v>
      </c>
      <c r="F1560" s="120" t="s">
        <v>3249</v>
      </c>
    </row>
    <row r="1561" spans="1:6" x14ac:dyDescent="0.2">
      <c r="A1561" s="56">
        <v>68</v>
      </c>
      <c r="B1561" s="45" t="s">
        <v>2628</v>
      </c>
      <c r="C1561" s="50">
        <v>0.5</v>
      </c>
      <c r="E1561" s="121" t="s">
        <v>1149</v>
      </c>
      <c r="F1561" s="120" t="s">
        <v>3248</v>
      </c>
    </row>
    <row r="1562" spans="1:6" x14ac:dyDescent="0.2">
      <c r="A1562" s="55">
        <v>68</v>
      </c>
      <c r="B1562" s="45" t="s">
        <v>405</v>
      </c>
      <c r="C1562" s="48">
        <v>0.5</v>
      </c>
      <c r="E1562" s="121" t="s">
        <v>3199</v>
      </c>
      <c r="F1562" s="120" t="s">
        <v>3215</v>
      </c>
    </row>
    <row r="1563" spans="1:6" x14ac:dyDescent="0.2">
      <c r="A1563" s="55">
        <v>68</v>
      </c>
      <c r="B1563" s="45" t="s">
        <v>2622</v>
      </c>
      <c r="C1563" s="48">
        <v>0.5</v>
      </c>
      <c r="E1563" s="121" t="s">
        <v>3043</v>
      </c>
      <c r="F1563" s="120" t="s">
        <v>3241</v>
      </c>
    </row>
    <row r="1564" spans="1:6" x14ac:dyDescent="0.2">
      <c r="A1564" s="55">
        <v>68</v>
      </c>
      <c r="B1564" s="45" t="s">
        <v>2649</v>
      </c>
      <c r="C1564" s="48">
        <v>0.5</v>
      </c>
      <c r="E1564" s="121" t="s">
        <v>3052</v>
      </c>
      <c r="F1564" s="120" t="s">
        <v>3250</v>
      </c>
    </row>
    <row r="1565" spans="1:6" x14ac:dyDescent="0.2">
      <c r="A1565" s="55">
        <v>68</v>
      </c>
      <c r="B1565" s="45" t="s">
        <v>2604</v>
      </c>
      <c r="C1565" s="48">
        <v>0.5</v>
      </c>
      <c r="E1565" s="121" t="s">
        <v>3369</v>
      </c>
      <c r="F1565" s="120" t="s">
        <v>3233</v>
      </c>
    </row>
    <row r="1566" spans="1:6" x14ac:dyDescent="0.2">
      <c r="A1566" s="55">
        <v>68</v>
      </c>
      <c r="B1566" s="45" t="s">
        <v>342</v>
      </c>
      <c r="C1566" s="48">
        <v>0.5</v>
      </c>
      <c r="E1566" s="121" t="s">
        <v>1169</v>
      </c>
      <c r="F1566" s="120" t="s">
        <v>3249</v>
      </c>
    </row>
    <row r="1567" spans="1:6" x14ac:dyDescent="0.2">
      <c r="A1567" s="56">
        <v>68</v>
      </c>
      <c r="B1567" s="45" t="s">
        <v>347</v>
      </c>
      <c r="C1567" s="50">
        <v>0.5</v>
      </c>
      <c r="E1567" s="121" t="s">
        <v>3492</v>
      </c>
      <c r="F1567" s="120" t="s">
        <v>3312</v>
      </c>
    </row>
    <row r="1568" spans="1:6" x14ac:dyDescent="0.2">
      <c r="A1568" s="55">
        <v>68</v>
      </c>
      <c r="B1568" s="45" t="s">
        <v>613</v>
      </c>
      <c r="C1568" s="48">
        <v>0.5</v>
      </c>
      <c r="E1568" s="121" t="s">
        <v>3479</v>
      </c>
      <c r="F1568" s="120" t="s">
        <v>3309</v>
      </c>
    </row>
    <row r="1569" spans="1:6" x14ac:dyDescent="0.2">
      <c r="A1569" s="55">
        <v>68</v>
      </c>
      <c r="B1569" s="45" t="s">
        <v>394</v>
      </c>
      <c r="C1569" s="48">
        <v>0.5</v>
      </c>
      <c r="E1569" s="121" t="s">
        <v>3467</v>
      </c>
      <c r="F1569" s="120" t="s">
        <v>3258</v>
      </c>
    </row>
    <row r="1570" spans="1:6" x14ac:dyDescent="0.2">
      <c r="A1570" s="55">
        <v>68</v>
      </c>
      <c r="B1570" s="45" t="s">
        <v>408</v>
      </c>
      <c r="C1570" s="48">
        <v>0.5</v>
      </c>
      <c r="E1570" s="121" t="s">
        <v>3468</v>
      </c>
      <c r="F1570" s="120" t="s">
        <v>3292</v>
      </c>
    </row>
    <row r="1571" spans="1:6" x14ac:dyDescent="0.2">
      <c r="A1571" s="55">
        <v>68</v>
      </c>
      <c r="B1571" s="45" t="s">
        <v>368</v>
      </c>
      <c r="C1571" s="48">
        <v>0.5</v>
      </c>
      <c r="E1571" s="121" t="s">
        <v>1203</v>
      </c>
      <c r="F1571" s="120" t="s">
        <v>3230</v>
      </c>
    </row>
    <row r="1572" spans="1:6" x14ac:dyDescent="0.2">
      <c r="A1572" s="55">
        <v>68</v>
      </c>
      <c r="B1572" s="45" t="s">
        <v>367</v>
      </c>
      <c r="C1572" s="48">
        <v>0.5</v>
      </c>
      <c r="E1572" s="121" t="s">
        <v>2851</v>
      </c>
      <c r="F1572" s="120" t="s">
        <v>3226</v>
      </c>
    </row>
    <row r="1573" spans="1:6" x14ac:dyDescent="0.2">
      <c r="A1573" s="55">
        <v>69</v>
      </c>
      <c r="B1573" s="45" t="s">
        <v>340</v>
      </c>
      <c r="C1573" s="48">
        <v>23</v>
      </c>
      <c r="E1573" s="121" t="s">
        <v>1529</v>
      </c>
      <c r="F1573" s="120" t="s">
        <v>3249</v>
      </c>
    </row>
    <row r="1574" spans="1:6" x14ac:dyDescent="0.2">
      <c r="A1574" s="55">
        <v>69</v>
      </c>
      <c r="B1574" s="45" t="s">
        <v>405</v>
      </c>
      <c r="C1574" s="48">
        <v>20</v>
      </c>
      <c r="E1574" s="121" t="s">
        <v>3199</v>
      </c>
      <c r="F1574" s="120" t="s">
        <v>3215</v>
      </c>
    </row>
    <row r="1575" spans="1:6" x14ac:dyDescent="0.2">
      <c r="A1575" s="55">
        <v>69</v>
      </c>
      <c r="B1575" s="45" t="s">
        <v>415</v>
      </c>
      <c r="C1575" s="48">
        <v>20</v>
      </c>
      <c r="E1575" s="121" t="s">
        <v>1144</v>
      </c>
      <c r="F1575" s="120" t="s">
        <v>3249</v>
      </c>
    </row>
    <row r="1576" spans="1:6" x14ac:dyDescent="0.2">
      <c r="A1576" s="55">
        <v>69</v>
      </c>
      <c r="B1576" s="45" t="s">
        <v>1869</v>
      </c>
      <c r="C1576" s="48">
        <v>19</v>
      </c>
      <c r="E1576" s="121" t="s">
        <v>1870</v>
      </c>
      <c r="F1576" s="120" t="s">
        <v>3248</v>
      </c>
    </row>
    <row r="1577" spans="1:6" x14ac:dyDescent="0.2">
      <c r="A1577" s="55">
        <v>69</v>
      </c>
      <c r="B1577" s="45" t="s">
        <v>376</v>
      </c>
      <c r="C1577" s="48">
        <v>16</v>
      </c>
      <c r="E1577" s="121" t="s">
        <v>3462</v>
      </c>
      <c r="F1577" s="120" t="s">
        <v>3227</v>
      </c>
    </row>
    <row r="1578" spans="1:6" x14ac:dyDescent="0.2">
      <c r="A1578" s="55">
        <v>69</v>
      </c>
      <c r="B1578" s="45" t="s">
        <v>416</v>
      </c>
      <c r="C1578" s="48">
        <v>13</v>
      </c>
      <c r="E1578" s="121" t="s">
        <v>1409</v>
      </c>
      <c r="F1578" s="120" t="s">
        <v>3292</v>
      </c>
    </row>
    <row r="1579" spans="1:6" x14ac:dyDescent="0.2">
      <c r="A1579" s="55">
        <v>69</v>
      </c>
      <c r="B1579" s="45" t="s">
        <v>441</v>
      </c>
      <c r="C1579" s="48">
        <v>8</v>
      </c>
      <c r="E1579" s="121" t="s">
        <v>3469</v>
      </c>
      <c r="F1579" s="120" t="s">
        <v>3258</v>
      </c>
    </row>
    <row r="1580" spans="1:6" x14ac:dyDescent="0.2">
      <c r="A1580" s="55">
        <v>69</v>
      </c>
      <c r="B1580" s="45" t="s">
        <v>394</v>
      </c>
      <c r="C1580" s="48">
        <v>6</v>
      </c>
      <c r="E1580" s="121" t="s">
        <v>3467</v>
      </c>
      <c r="F1580" s="120" t="s">
        <v>3258</v>
      </c>
    </row>
    <row r="1581" spans="1:6" x14ac:dyDescent="0.2">
      <c r="A1581" s="55">
        <v>69</v>
      </c>
      <c r="B1581" s="45" t="s">
        <v>392</v>
      </c>
      <c r="C1581" s="48">
        <v>6</v>
      </c>
      <c r="E1581" s="121" t="s">
        <v>3473</v>
      </c>
      <c r="F1581" s="120" t="s">
        <v>3227</v>
      </c>
    </row>
    <row r="1582" spans="1:6" x14ac:dyDescent="0.2">
      <c r="A1582" s="56">
        <v>69</v>
      </c>
      <c r="B1582" s="45" t="s">
        <v>2575</v>
      </c>
      <c r="C1582" s="51">
        <v>5</v>
      </c>
      <c r="E1582" s="121" t="s">
        <v>1400</v>
      </c>
      <c r="F1582" s="120" t="s">
        <v>3310</v>
      </c>
    </row>
    <row r="1583" spans="1:6" x14ac:dyDescent="0.2">
      <c r="A1583" s="55">
        <v>69</v>
      </c>
      <c r="B1583" s="45" t="s">
        <v>364</v>
      </c>
      <c r="C1583" s="48">
        <v>3</v>
      </c>
      <c r="E1583" s="121" t="s">
        <v>3495</v>
      </c>
      <c r="F1583" s="120" t="s">
        <v>3313</v>
      </c>
    </row>
    <row r="1584" spans="1:6" x14ac:dyDescent="0.2">
      <c r="A1584" s="55">
        <v>69</v>
      </c>
      <c r="B1584" s="45" t="s">
        <v>343</v>
      </c>
      <c r="C1584" s="48">
        <v>1</v>
      </c>
      <c r="E1584" s="121" t="s">
        <v>3334</v>
      </c>
      <c r="F1584" s="120" t="s">
        <v>3303</v>
      </c>
    </row>
    <row r="1585" spans="1:6" x14ac:dyDescent="0.2">
      <c r="A1585" s="56">
        <v>69</v>
      </c>
      <c r="B1585" s="45" t="s">
        <v>2636</v>
      </c>
      <c r="C1585" s="50">
        <v>1</v>
      </c>
      <c r="E1585" s="121" t="s">
        <v>3504</v>
      </c>
      <c r="F1585" s="120" t="s">
        <v>3248</v>
      </c>
    </row>
    <row r="1586" spans="1:6" x14ac:dyDescent="0.2">
      <c r="A1586" s="55">
        <v>69</v>
      </c>
      <c r="B1586" s="45" t="s">
        <v>2598</v>
      </c>
      <c r="C1586" s="48">
        <v>0.5</v>
      </c>
      <c r="E1586" s="121" t="s">
        <v>2857</v>
      </c>
      <c r="F1586" s="120" t="s">
        <v>3230</v>
      </c>
    </row>
    <row r="1587" spans="1:6" x14ac:dyDescent="0.2">
      <c r="A1587" s="55">
        <v>69</v>
      </c>
      <c r="B1587" s="45" t="s">
        <v>2573</v>
      </c>
      <c r="C1587" s="48">
        <v>0.5</v>
      </c>
      <c r="E1587" s="121" t="s">
        <v>2880</v>
      </c>
      <c r="F1587" s="120" t="s">
        <v>3249</v>
      </c>
    </row>
    <row r="1588" spans="1:6" x14ac:dyDescent="0.2">
      <c r="A1588" s="55">
        <v>69</v>
      </c>
      <c r="B1588" s="45" t="s">
        <v>2599</v>
      </c>
      <c r="C1588" s="48">
        <v>0.5</v>
      </c>
      <c r="E1588" s="121" t="s">
        <v>2849</v>
      </c>
      <c r="F1588" s="120" t="s">
        <v>3224</v>
      </c>
    </row>
    <row r="1589" spans="1:6" x14ac:dyDescent="0.2">
      <c r="A1589" s="56">
        <v>69</v>
      </c>
      <c r="B1589" s="45" t="s">
        <v>2574</v>
      </c>
      <c r="C1589" s="50">
        <v>0.5</v>
      </c>
      <c r="E1589" s="121" t="s">
        <v>1226</v>
      </c>
      <c r="F1589" s="120" t="s">
        <v>1287</v>
      </c>
    </row>
    <row r="1590" spans="1:6" x14ac:dyDescent="0.2">
      <c r="A1590" s="55">
        <v>69</v>
      </c>
      <c r="B1590" s="45" t="s">
        <v>2579</v>
      </c>
      <c r="C1590" s="48">
        <v>0.5</v>
      </c>
      <c r="E1590" s="121" t="s">
        <v>3516</v>
      </c>
      <c r="F1590" s="120" t="s">
        <v>3232</v>
      </c>
    </row>
    <row r="1591" spans="1:6" x14ac:dyDescent="0.2">
      <c r="A1591" s="55">
        <v>69</v>
      </c>
      <c r="B1591" s="45" t="s">
        <v>349</v>
      </c>
      <c r="C1591" s="48">
        <v>0.5</v>
      </c>
      <c r="E1591" s="121" t="s">
        <v>1200</v>
      </c>
      <c r="F1591" s="120" t="s">
        <v>3292</v>
      </c>
    </row>
    <row r="1592" spans="1:6" x14ac:dyDescent="0.2">
      <c r="A1592" s="56">
        <v>69</v>
      </c>
      <c r="B1592" s="45" t="s">
        <v>358</v>
      </c>
      <c r="C1592" s="50">
        <v>0.5</v>
      </c>
      <c r="E1592" s="121" t="s">
        <v>1404</v>
      </c>
      <c r="F1592" s="120" t="s">
        <v>3248</v>
      </c>
    </row>
    <row r="1593" spans="1:6" x14ac:dyDescent="0.2">
      <c r="A1593" s="56">
        <v>69</v>
      </c>
      <c r="B1593" s="45" t="s">
        <v>984</v>
      </c>
      <c r="C1593" s="50">
        <v>0.5</v>
      </c>
      <c r="E1593" s="121" t="s">
        <v>1184</v>
      </c>
      <c r="F1593" s="120" t="s">
        <v>3262</v>
      </c>
    </row>
    <row r="1594" spans="1:6" x14ac:dyDescent="0.2">
      <c r="A1594" s="55">
        <v>69</v>
      </c>
      <c r="B1594" s="45" t="s">
        <v>447</v>
      </c>
      <c r="C1594" s="48">
        <v>0.5</v>
      </c>
      <c r="E1594" s="121" t="s">
        <v>1531</v>
      </c>
      <c r="F1594" s="120" t="s">
        <v>3248</v>
      </c>
    </row>
    <row r="1595" spans="1:6" x14ac:dyDescent="0.2">
      <c r="A1595" s="55">
        <v>70</v>
      </c>
      <c r="B1595" s="45" t="s">
        <v>364</v>
      </c>
      <c r="C1595" s="48">
        <v>21</v>
      </c>
      <c r="E1595" s="121" t="s">
        <v>3495</v>
      </c>
      <c r="F1595" s="120" t="s">
        <v>3313</v>
      </c>
    </row>
    <row r="1596" spans="1:6" x14ac:dyDescent="0.2">
      <c r="A1596" s="55">
        <v>70</v>
      </c>
      <c r="B1596" s="45" t="s">
        <v>361</v>
      </c>
      <c r="C1596" s="48">
        <v>20</v>
      </c>
      <c r="E1596" s="121" t="s">
        <v>3201</v>
      </c>
      <c r="F1596" s="120" t="s">
        <v>3249</v>
      </c>
    </row>
    <row r="1597" spans="1:6" x14ac:dyDescent="0.2">
      <c r="A1597" s="55">
        <v>70</v>
      </c>
      <c r="B1597" s="45" t="s">
        <v>341</v>
      </c>
      <c r="C1597" s="48">
        <v>16</v>
      </c>
      <c r="E1597" s="121" t="s">
        <v>3062</v>
      </c>
      <c r="F1597" s="120" t="s">
        <v>3266</v>
      </c>
    </row>
    <row r="1598" spans="1:6" x14ac:dyDescent="0.2">
      <c r="A1598" s="56">
        <v>70</v>
      </c>
      <c r="B1598" s="45" t="s">
        <v>432</v>
      </c>
      <c r="C1598" s="50">
        <v>15</v>
      </c>
      <c r="E1598" s="121" t="s">
        <v>3186</v>
      </c>
      <c r="F1598" s="120" t="s">
        <v>3284</v>
      </c>
    </row>
    <row r="1599" spans="1:6" x14ac:dyDescent="0.2">
      <c r="A1599" s="55">
        <v>70</v>
      </c>
      <c r="B1599" s="45" t="s">
        <v>2583</v>
      </c>
      <c r="C1599" s="48">
        <v>13</v>
      </c>
      <c r="E1599" s="121" t="s">
        <v>1177</v>
      </c>
      <c r="F1599" s="120" t="s">
        <v>3288</v>
      </c>
    </row>
    <row r="1600" spans="1:6" x14ac:dyDescent="0.2">
      <c r="A1600" s="55">
        <v>70</v>
      </c>
      <c r="B1600" s="45" t="s">
        <v>600</v>
      </c>
      <c r="C1600" s="48">
        <v>12</v>
      </c>
      <c r="E1600" s="121" t="s">
        <v>1423</v>
      </c>
      <c r="F1600" s="120" t="s">
        <v>3249</v>
      </c>
    </row>
    <row r="1601" spans="1:6" x14ac:dyDescent="0.2">
      <c r="A1601" s="55">
        <v>70</v>
      </c>
      <c r="B1601" s="45" t="s">
        <v>347</v>
      </c>
      <c r="C1601" s="48">
        <v>10</v>
      </c>
      <c r="E1601" s="121" t="s">
        <v>3492</v>
      </c>
      <c r="F1601" s="120" t="s">
        <v>3312</v>
      </c>
    </row>
    <row r="1602" spans="1:6" x14ac:dyDescent="0.2">
      <c r="A1602" s="55">
        <v>70</v>
      </c>
      <c r="B1602" s="45" t="s">
        <v>376</v>
      </c>
      <c r="C1602" s="48">
        <v>10</v>
      </c>
      <c r="E1602" s="121" t="s">
        <v>3462</v>
      </c>
      <c r="F1602" s="120" t="s">
        <v>3227</v>
      </c>
    </row>
    <row r="1603" spans="1:6" x14ac:dyDescent="0.2">
      <c r="A1603" s="56">
        <v>70</v>
      </c>
      <c r="B1603" s="45" t="s">
        <v>609</v>
      </c>
      <c r="C1603" s="50">
        <v>7</v>
      </c>
      <c r="E1603" s="121" t="s">
        <v>3168</v>
      </c>
      <c r="F1603" s="120" t="s">
        <v>3284</v>
      </c>
    </row>
    <row r="1604" spans="1:6" x14ac:dyDescent="0.2">
      <c r="A1604" s="55">
        <v>70</v>
      </c>
      <c r="B1604" s="45" t="s">
        <v>360</v>
      </c>
      <c r="C1604" s="48">
        <v>7</v>
      </c>
      <c r="E1604" s="121" t="s">
        <v>3522</v>
      </c>
      <c r="F1604" s="120" t="s">
        <v>3258</v>
      </c>
    </row>
    <row r="1605" spans="1:6" x14ac:dyDescent="0.2">
      <c r="A1605" s="55">
        <v>70</v>
      </c>
      <c r="B1605" s="45" t="s">
        <v>392</v>
      </c>
      <c r="C1605" s="48">
        <v>6</v>
      </c>
      <c r="E1605" s="121" t="s">
        <v>3473</v>
      </c>
      <c r="F1605" s="120" t="s">
        <v>3227</v>
      </c>
    </row>
    <row r="1606" spans="1:6" x14ac:dyDescent="0.2">
      <c r="A1606" s="55">
        <v>70</v>
      </c>
      <c r="B1606" s="45" t="s">
        <v>2582</v>
      </c>
      <c r="C1606" s="48">
        <v>5</v>
      </c>
      <c r="E1606" s="121" t="s">
        <v>3447</v>
      </c>
      <c r="F1606" s="120" t="s">
        <v>3248</v>
      </c>
    </row>
    <row r="1607" spans="1:6" x14ac:dyDescent="0.2">
      <c r="A1607" s="55">
        <v>70</v>
      </c>
      <c r="B1607" s="45" t="s">
        <v>340</v>
      </c>
      <c r="C1607" s="48">
        <v>5</v>
      </c>
      <c r="E1607" s="121" t="s">
        <v>1529</v>
      </c>
      <c r="F1607" s="120" t="s">
        <v>3249</v>
      </c>
    </row>
    <row r="1608" spans="1:6" x14ac:dyDescent="0.2">
      <c r="A1608" s="55">
        <v>70</v>
      </c>
      <c r="B1608" s="45" t="s">
        <v>343</v>
      </c>
      <c r="C1608" s="48">
        <v>4</v>
      </c>
      <c r="E1608" s="121" t="s">
        <v>3334</v>
      </c>
      <c r="F1608" s="120" t="s">
        <v>3303</v>
      </c>
    </row>
    <row r="1609" spans="1:6" x14ac:dyDescent="0.2">
      <c r="A1609" s="55">
        <v>70</v>
      </c>
      <c r="B1609" s="45" t="s">
        <v>3151</v>
      </c>
      <c r="C1609" s="48">
        <v>4</v>
      </c>
      <c r="E1609" s="121" t="s">
        <v>3194</v>
      </c>
      <c r="F1609" s="120" t="s">
        <v>3258</v>
      </c>
    </row>
    <row r="1610" spans="1:6" x14ac:dyDescent="0.2">
      <c r="A1610" s="55">
        <v>70</v>
      </c>
      <c r="B1610" s="45" t="s">
        <v>2581</v>
      </c>
      <c r="C1610" s="48">
        <v>4</v>
      </c>
      <c r="E1610" s="121" t="s">
        <v>3506</v>
      </c>
      <c r="F1610" s="120" t="s">
        <v>3215</v>
      </c>
    </row>
    <row r="1611" spans="1:6" x14ac:dyDescent="0.2">
      <c r="A1611" s="55">
        <v>70</v>
      </c>
      <c r="B1611" s="45" t="s">
        <v>614</v>
      </c>
      <c r="C1611" s="48">
        <v>2</v>
      </c>
      <c r="E1611" s="121" t="s">
        <v>2836</v>
      </c>
      <c r="F1611" s="120" t="s">
        <v>3217</v>
      </c>
    </row>
    <row r="1612" spans="1:6" x14ac:dyDescent="0.2">
      <c r="A1612" s="55">
        <v>70</v>
      </c>
      <c r="B1612" s="45" t="s">
        <v>357</v>
      </c>
      <c r="C1612" s="48">
        <v>2</v>
      </c>
      <c r="E1612" s="121" t="s">
        <v>3063</v>
      </c>
      <c r="F1612" s="120" t="s">
        <v>3262</v>
      </c>
    </row>
    <row r="1613" spans="1:6" x14ac:dyDescent="0.2">
      <c r="A1613" s="55">
        <v>70</v>
      </c>
      <c r="B1613" s="45" t="s">
        <v>345</v>
      </c>
      <c r="C1613" s="48">
        <v>2</v>
      </c>
      <c r="E1613" s="121" t="s">
        <v>3520</v>
      </c>
      <c r="F1613" s="120" t="s">
        <v>3227</v>
      </c>
    </row>
    <row r="1614" spans="1:6" x14ac:dyDescent="0.2">
      <c r="A1614" s="55">
        <v>70</v>
      </c>
      <c r="B1614" s="45" t="s">
        <v>447</v>
      </c>
      <c r="C1614" s="48">
        <v>2</v>
      </c>
      <c r="E1614" s="121" t="s">
        <v>1531</v>
      </c>
      <c r="F1614" s="120" t="s">
        <v>3248</v>
      </c>
    </row>
    <row r="1615" spans="1:6" x14ac:dyDescent="0.2">
      <c r="A1615" s="55">
        <v>70</v>
      </c>
      <c r="B1615" s="45" t="s">
        <v>369</v>
      </c>
      <c r="C1615" s="48">
        <v>1</v>
      </c>
      <c r="E1615" s="121" t="s">
        <v>2829</v>
      </c>
      <c r="F1615" s="120" t="s">
        <v>1289</v>
      </c>
    </row>
    <row r="1616" spans="1:6" x14ac:dyDescent="0.2">
      <c r="A1616" s="55">
        <v>70</v>
      </c>
      <c r="B1616" s="45" t="s">
        <v>349</v>
      </c>
      <c r="C1616" s="48">
        <v>1</v>
      </c>
      <c r="E1616" s="121" t="s">
        <v>1200</v>
      </c>
      <c r="F1616" s="120" t="s">
        <v>3292</v>
      </c>
    </row>
    <row r="1617" spans="1:6" x14ac:dyDescent="0.2">
      <c r="A1617" s="55">
        <v>70</v>
      </c>
      <c r="B1617" s="45" t="s">
        <v>2666</v>
      </c>
      <c r="C1617" s="48">
        <v>1</v>
      </c>
      <c r="E1617" s="121" t="s">
        <v>1208</v>
      </c>
      <c r="F1617" s="120" t="s">
        <v>3274</v>
      </c>
    </row>
    <row r="1618" spans="1:6" x14ac:dyDescent="0.2">
      <c r="A1618" s="55">
        <v>70</v>
      </c>
      <c r="B1618" s="45" t="s">
        <v>367</v>
      </c>
      <c r="C1618" s="48">
        <v>1</v>
      </c>
      <c r="E1618" s="121" t="s">
        <v>2851</v>
      </c>
      <c r="F1618" s="120" t="s">
        <v>3226</v>
      </c>
    </row>
    <row r="1619" spans="1:6" x14ac:dyDescent="0.2">
      <c r="A1619" s="55">
        <v>70</v>
      </c>
      <c r="B1619" s="45" t="s">
        <v>350</v>
      </c>
      <c r="C1619" s="48">
        <v>0.5</v>
      </c>
      <c r="E1619" s="121" t="s">
        <v>1415</v>
      </c>
      <c r="F1619" s="120" t="s">
        <v>3249</v>
      </c>
    </row>
    <row r="1620" spans="1:6" x14ac:dyDescent="0.2">
      <c r="A1620" s="56">
        <v>70</v>
      </c>
      <c r="B1620" s="45" t="s">
        <v>2625</v>
      </c>
      <c r="C1620" s="50">
        <v>0.5</v>
      </c>
      <c r="E1620" s="121" t="s">
        <v>2878</v>
      </c>
      <c r="F1620" s="120" t="s">
        <v>3248</v>
      </c>
    </row>
    <row r="1621" spans="1:6" x14ac:dyDescent="0.2">
      <c r="A1621" s="55">
        <v>70</v>
      </c>
      <c r="B1621" s="45" t="s">
        <v>403</v>
      </c>
      <c r="C1621" s="48">
        <v>0.5</v>
      </c>
      <c r="E1621" s="121" t="s">
        <v>1408</v>
      </c>
      <c r="F1621" s="120" t="s">
        <v>3248</v>
      </c>
    </row>
    <row r="1622" spans="1:6" x14ac:dyDescent="0.2">
      <c r="A1622" s="55">
        <v>70</v>
      </c>
      <c r="B1622" s="45" t="s">
        <v>2638</v>
      </c>
      <c r="C1622" s="48">
        <v>0.5</v>
      </c>
      <c r="E1622" s="121" t="s">
        <v>3165</v>
      </c>
      <c r="F1622" s="120" t="s">
        <v>3248</v>
      </c>
    </row>
    <row r="1623" spans="1:6" x14ac:dyDescent="0.2">
      <c r="A1623" s="56">
        <v>70</v>
      </c>
      <c r="B1623" s="45" t="s">
        <v>3388</v>
      </c>
      <c r="C1623" s="50">
        <v>0.5</v>
      </c>
      <c r="E1623" s="121" t="s">
        <v>538</v>
      </c>
      <c r="F1623" s="120" t="s">
        <v>3284</v>
      </c>
    </row>
    <row r="1624" spans="1:6" x14ac:dyDescent="0.2">
      <c r="A1624" s="55">
        <v>70</v>
      </c>
      <c r="B1624" s="45" t="s">
        <v>2599</v>
      </c>
      <c r="C1624" s="48">
        <v>0.5</v>
      </c>
      <c r="E1624" s="121" t="s">
        <v>2849</v>
      </c>
      <c r="F1624" s="120" t="s">
        <v>3224</v>
      </c>
    </row>
    <row r="1625" spans="1:6" x14ac:dyDescent="0.2">
      <c r="A1625" s="56">
        <v>70</v>
      </c>
      <c r="B1625" s="45" t="s">
        <v>2574</v>
      </c>
      <c r="C1625" s="50">
        <v>0.5</v>
      </c>
      <c r="E1625" s="121" t="s">
        <v>1226</v>
      </c>
      <c r="F1625" s="120" t="s">
        <v>1287</v>
      </c>
    </row>
    <row r="1626" spans="1:6" x14ac:dyDescent="0.2">
      <c r="A1626" s="55">
        <v>70</v>
      </c>
      <c r="B1626" s="45" t="s">
        <v>597</v>
      </c>
      <c r="C1626" s="48">
        <v>0.5</v>
      </c>
      <c r="E1626" s="121" t="s">
        <v>3060</v>
      </c>
      <c r="F1626" s="120" t="s">
        <v>3248</v>
      </c>
    </row>
    <row r="1627" spans="1:6" x14ac:dyDescent="0.2">
      <c r="A1627" s="56">
        <v>70</v>
      </c>
      <c r="B1627" s="45" t="s">
        <v>2610</v>
      </c>
      <c r="C1627" s="50">
        <v>0.5</v>
      </c>
      <c r="E1627" s="121" t="s">
        <v>543</v>
      </c>
      <c r="F1627" s="120" t="s">
        <v>3284</v>
      </c>
    </row>
    <row r="1628" spans="1:6" x14ac:dyDescent="0.2">
      <c r="A1628" s="55">
        <v>70</v>
      </c>
      <c r="B1628" s="45" t="s">
        <v>2594</v>
      </c>
      <c r="C1628" s="48">
        <v>0.5</v>
      </c>
      <c r="E1628" s="121" t="s">
        <v>3359</v>
      </c>
      <c r="F1628" s="120" t="s">
        <v>3307</v>
      </c>
    </row>
    <row r="1629" spans="1:6" x14ac:dyDescent="0.2">
      <c r="A1629" s="56">
        <v>70</v>
      </c>
      <c r="B1629" s="45" t="s">
        <v>2720</v>
      </c>
      <c r="C1629" s="51">
        <v>0.5</v>
      </c>
      <c r="E1629" s="121" t="s">
        <v>556</v>
      </c>
      <c r="F1629" s="120" t="s">
        <v>1287</v>
      </c>
    </row>
    <row r="1630" spans="1:6" x14ac:dyDescent="0.2">
      <c r="A1630" s="55">
        <v>71</v>
      </c>
      <c r="B1630" s="45" t="s">
        <v>2565</v>
      </c>
      <c r="C1630" s="48">
        <v>20</v>
      </c>
      <c r="E1630" s="121" t="s">
        <v>3435</v>
      </c>
      <c r="F1630" s="120" t="s">
        <v>3286</v>
      </c>
    </row>
    <row r="1631" spans="1:6" x14ac:dyDescent="0.2">
      <c r="A1631" s="55">
        <v>71</v>
      </c>
      <c r="B1631" s="45" t="s">
        <v>446</v>
      </c>
      <c r="C1631" s="48">
        <v>13</v>
      </c>
      <c r="E1631" s="121" t="s">
        <v>1491</v>
      </c>
      <c r="F1631" s="120" t="s">
        <v>3249</v>
      </c>
    </row>
    <row r="1632" spans="1:6" x14ac:dyDescent="0.2">
      <c r="A1632" s="55">
        <v>71</v>
      </c>
      <c r="B1632" s="45" t="s">
        <v>349</v>
      </c>
      <c r="C1632" s="48">
        <v>12</v>
      </c>
      <c r="E1632" s="121" t="s">
        <v>1200</v>
      </c>
      <c r="F1632" s="120" t="s">
        <v>3292</v>
      </c>
    </row>
    <row r="1633" spans="1:6" x14ac:dyDescent="0.2">
      <c r="A1633" s="55">
        <v>71</v>
      </c>
      <c r="B1633" s="45" t="s">
        <v>342</v>
      </c>
      <c r="C1633" s="48">
        <v>10</v>
      </c>
      <c r="E1633" s="121" t="s">
        <v>1169</v>
      </c>
      <c r="F1633" s="120" t="s">
        <v>3249</v>
      </c>
    </row>
    <row r="1634" spans="1:6" x14ac:dyDescent="0.2">
      <c r="A1634" s="55">
        <v>71</v>
      </c>
      <c r="B1634" s="45" t="s">
        <v>432</v>
      </c>
      <c r="C1634" s="48">
        <v>6</v>
      </c>
      <c r="E1634" s="121" t="s">
        <v>3186</v>
      </c>
      <c r="F1634" s="120" t="s">
        <v>3284</v>
      </c>
    </row>
    <row r="1635" spans="1:6" x14ac:dyDescent="0.2">
      <c r="A1635" s="55">
        <v>71</v>
      </c>
      <c r="B1635" s="45" t="s">
        <v>615</v>
      </c>
      <c r="C1635" s="48">
        <v>5</v>
      </c>
      <c r="E1635" s="121" t="s">
        <v>3068</v>
      </c>
      <c r="F1635" s="120" t="s">
        <v>3232</v>
      </c>
    </row>
    <row r="1636" spans="1:6" x14ac:dyDescent="0.2">
      <c r="A1636" s="55">
        <v>71</v>
      </c>
      <c r="B1636" s="45" t="s">
        <v>399</v>
      </c>
      <c r="C1636" s="48">
        <v>4</v>
      </c>
      <c r="E1636" s="121" t="s">
        <v>1155</v>
      </c>
      <c r="F1636" s="120" t="s">
        <v>3248</v>
      </c>
    </row>
    <row r="1637" spans="1:6" x14ac:dyDescent="0.2">
      <c r="A1637" s="55">
        <v>71</v>
      </c>
      <c r="B1637" s="45" t="s">
        <v>609</v>
      </c>
      <c r="C1637" s="48">
        <v>4</v>
      </c>
      <c r="E1637" s="121" t="s">
        <v>3168</v>
      </c>
      <c r="F1637" s="120" t="s">
        <v>3284</v>
      </c>
    </row>
    <row r="1638" spans="1:6" x14ac:dyDescent="0.2">
      <c r="A1638" s="55">
        <v>71</v>
      </c>
      <c r="B1638" s="45" t="s">
        <v>345</v>
      </c>
      <c r="C1638" s="48">
        <v>4</v>
      </c>
      <c r="E1638" s="121" t="s">
        <v>3520</v>
      </c>
      <c r="F1638" s="120" t="s">
        <v>3227</v>
      </c>
    </row>
    <row r="1639" spans="1:6" x14ac:dyDescent="0.2">
      <c r="A1639" s="55">
        <v>71</v>
      </c>
      <c r="B1639" s="45" t="s">
        <v>327</v>
      </c>
      <c r="C1639" s="48">
        <v>2</v>
      </c>
      <c r="E1639" s="121" t="s">
        <v>3517</v>
      </c>
      <c r="F1639" s="120" t="s">
        <v>3226</v>
      </c>
    </row>
    <row r="1640" spans="1:6" x14ac:dyDescent="0.2">
      <c r="A1640" s="55">
        <v>71</v>
      </c>
      <c r="B1640" s="45" t="s">
        <v>447</v>
      </c>
      <c r="C1640" s="48">
        <v>2</v>
      </c>
      <c r="E1640" s="121" t="s">
        <v>1531</v>
      </c>
      <c r="F1640" s="120" t="s">
        <v>3248</v>
      </c>
    </row>
    <row r="1641" spans="1:6" x14ac:dyDescent="0.2">
      <c r="A1641" s="55">
        <v>71</v>
      </c>
      <c r="B1641" s="45" t="s">
        <v>410</v>
      </c>
      <c r="C1641" s="48">
        <v>2</v>
      </c>
      <c r="E1641" s="121" t="s">
        <v>1489</v>
      </c>
      <c r="F1641" s="120" t="s">
        <v>3248</v>
      </c>
    </row>
    <row r="1642" spans="1:6" x14ac:dyDescent="0.2">
      <c r="A1642" s="55">
        <v>71</v>
      </c>
      <c r="B1642" s="45" t="s">
        <v>446</v>
      </c>
      <c r="C1642" s="48">
        <v>2</v>
      </c>
      <c r="E1642" s="121" t="s">
        <v>1491</v>
      </c>
      <c r="F1642" s="120" t="s">
        <v>3249</v>
      </c>
    </row>
    <row r="1643" spans="1:6" x14ac:dyDescent="0.2">
      <c r="A1643" s="55">
        <v>71</v>
      </c>
      <c r="B1643" s="45" t="s">
        <v>2625</v>
      </c>
      <c r="C1643" s="48">
        <v>1</v>
      </c>
      <c r="E1643" s="121" t="s">
        <v>2878</v>
      </c>
      <c r="F1643" s="120" t="s">
        <v>3248</v>
      </c>
    </row>
    <row r="1644" spans="1:6" x14ac:dyDescent="0.2">
      <c r="A1644" s="55">
        <v>71</v>
      </c>
      <c r="B1644" s="45" t="s">
        <v>597</v>
      </c>
      <c r="C1644" s="48">
        <v>1</v>
      </c>
      <c r="E1644" s="121" t="s">
        <v>3060</v>
      </c>
      <c r="F1644" s="120" t="s">
        <v>3248</v>
      </c>
    </row>
    <row r="1645" spans="1:6" x14ac:dyDescent="0.2">
      <c r="A1645" s="55">
        <v>71</v>
      </c>
      <c r="B1645" s="45" t="s">
        <v>2714</v>
      </c>
      <c r="C1645" s="48">
        <v>1</v>
      </c>
      <c r="E1645" s="121" t="s">
        <v>1432</v>
      </c>
      <c r="F1645" s="120" t="s">
        <v>3258</v>
      </c>
    </row>
    <row r="1646" spans="1:6" x14ac:dyDescent="0.2">
      <c r="A1646" s="55">
        <v>71</v>
      </c>
      <c r="B1646" s="45" t="s">
        <v>593</v>
      </c>
      <c r="C1646" s="48">
        <v>1</v>
      </c>
      <c r="E1646" s="121" t="s">
        <v>2852</v>
      </c>
      <c r="F1646" s="120" t="s">
        <v>3227</v>
      </c>
    </row>
    <row r="1647" spans="1:6" x14ac:dyDescent="0.2">
      <c r="A1647" s="55">
        <v>71</v>
      </c>
      <c r="B1647" s="45" t="s">
        <v>600</v>
      </c>
      <c r="C1647" s="48">
        <v>0.5</v>
      </c>
      <c r="E1647" s="121" t="s">
        <v>1423</v>
      </c>
      <c r="F1647" s="120" t="s">
        <v>3249</v>
      </c>
    </row>
    <row r="1648" spans="1:6" x14ac:dyDescent="0.2">
      <c r="A1648" s="55">
        <v>71</v>
      </c>
      <c r="B1648" s="45" t="s">
        <v>2641</v>
      </c>
      <c r="C1648" s="48">
        <v>0.5</v>
      </c>
      <c r="E1648" s="121" t="s">
        <v>1418</v>
      </c>
      <c r="F1648" s="120" t="s">
        <v>3249</v>
      </c>
    </row>
    <row r="1649" spans="1:6" x14ac:dyDescent="0.2">
      <c r="A1649" s="55">
        <v>71</v>
      </c>
      <c r="B1649" s="45" t="s">
        <v>601</v>
      </c>
      <c r="C1649" s="48">
        <v>0.5</v>
      </c>
      <c r="E1649" s="121" t="s">
        <v>1157</v>
      </c>
      <c r="F1649" s="120" t="s">
        <v>3249</v>
      </c>
    </row>
    <row r="1650" spans="1:6" x14ac:dyDescent="0.2">
      <c r="A1650" s="55">
        <v>71</v>
      </c>
      <c r="B1650" s="45" t="s">
        <v>369</v>
      </c>
      <c r="C1650" s="48">
        <v>0.5</v>
      </c>
      <c r="E1650" s="121" t="s">
        <v>2829</v>
      </c>
      <c r="F1650" s="120" t="s">
        <v>1289</v>
      </c>
    </row>
    <row r="1651" spans="1:6" x14ac:dyDescent="0.2">
      <c r="A1651" s="55">
        <v>71</v>
      </c>
      <c r="B1651" s="45" t="s">
        <v>400</v>
      </c>
      <c r="C1651" s="48">
        <v>0.5</v>
      </c>
      <c r="E1651" s="121" t="s">
        <v>1411</v>
      </c>
      <c r="F1651" s="120" t="s">
        <v>3249</v>
      </c>
    </row>
    <row r="1652" spans="1:6" x14ac:dyDescent="0.2">
      <c r="A1652" s="55">
        <v>71</v>
      </c>
      <c r="B1652" s="45" t="s">
        <v>454</v>
      </c>
      <c r="C1652" s="48">
        <v>0.5</v>
      </c>
      <c r="E1652" s="121" t="s">
        <v>534</v>
      </c>
      <c r="F1652" s="120" t="s">
        <v>3249</v>
      </c>
    </row>
    <row r="1653" spans="1:6" x14ac:dyDescent="0.2">
      <c r="A1653" s="55">
        <v>71</v>
      </c>
      <c r="B1653" s="45" t="s">
        <v>3151</v>
      </c>
      <c r="C1653" s="48">
        <v>0.5</v>
      </c>
      <c r="E1653" s="121" t="s">
        <v>3194</v>
      </c>
      <c r="F1653" s="120" t="s">
        <v>3258</v>
      </c>
    </row>
    <row r="1654" spans="1:6" x14ac:dyDescent="0.2">
      <c r="A1654" s="55">
        <v>71</v>
      </c>
      <c r="B1654" s="45" t="s">
        <v>2723</v>
      </c>
      <c r="C1654" s="48">
        <v>0.5</v>
      </c>
      <c r="E1654" s="121" t="s">
        <v>1524</v>
      </c>
      <c r="F1654" s="120" t="s">
        <v>3215</v>
      </c>
    </row>
    <row r="1655" spans="1:6" x14ac:dyDescent="0.2">
      <c r="A1655" s="55">
        <v>71</v>
      </c>
      <c r="B1655" s="45" t="s">
        <v>363</v>
      </c>
      <c r="C1655" s="48">
        <v>0.5</v>
      </c>
      <c r="E1655" s="121" t="s">
        <v>3048</v>
      </c>
      <c r="F1655" s="120" t="s">
        <v>3250</v>
      </c>
    </row>
    <row r="1656" spans="1:6" x14ac:dyDescent="0.2">
      <c r="A1656" s="55">
        <v>71</v>
      </c>
      <c r="B1656" s="45" t="s">
        <v>2649</v>
      </c>
      <c r="C1656" s="48">
        <v>0.5</v>
      </c>
      <c r="E1656" s="121" t="s">
        <v>3052</v>
      </c>
      <c r="F1656" s="120" t="s">
        <v>3250</v>
      </c>
    </row>
    <row r="1657" spans="1:6" x14ac:dyDescent="0.2">
      <c r="A1657" s="55">
        <v>71</v>
      </c>
      <c r="B1657" s="45" t="s">
        <v>613</v>
      </c>
      <c r="C1657" s="48">
        <v>0.5</v>
      </c>
      <c r="E1657" s="121" t="s">
        <v>3479</v>
      </c>
      <c r="F1657" s="120" t="s">
        <v>3309</v>
      </c>
    </row>
    <row r="1658" spans="1:6" x14ac:dyDescent="0.2">
      <c r="A1658" s="55">
        <v>71</v>
      </c>
      <c r="B1658" s="45" t="s">
        <v>394</v>
      </c>
      <c r="C1658" s="48">
        <v>0.5</v>
      </c>
      <c r="E1658" s="121" t="s">
        <v>3467</v>
      </c>
      <c r="F1658" s="120" t="s">
        <v>3258</v>
      </c>
    </row>
    <row r="1659" spans="1:6" x14ac:dyDescent="0.2">
      <c r="A1659" s="55">
        <v>71</v>
      </c>
      <c r="B1659" s="45" t="s">
        <v>2579</v>
      </c>
      <c r="C1659" s="48">
        <v>0.5</v>
      </c>
      <c r="E1659" s="121" t="s">
        <v>3516</v>
      </c>
      <c r="F1659" s="120" t="s">
        <v>3232</v>
      </c>
    </row>
    <row r="1660" spans="1:6" x14ac:dyDescent="0.2">
      <c r="A1660" s="55">
        <v>71</v>
      </c>
      <c r="B1660" s="45" t="s">
        <v>2718</v>
      </c>
      <c r="C1660" s="48">
        <v>0.5</v>
      </c>
      <c r="E1660" s="121" t="s">
        <v>3455</v>
      </c>
      <c r="F1660" s="120" t="s">
        <v>3215</v>
      </c>
    </row>
    <row r="1661" spans="1:6" x14ac:dyDescent="0.2">
      <c r="A1661" s="55">
        <v>71</v>
      </c>
      <c r="B1661" s="45" t="s">
        <v>411</v>
      </c>
      <c r="C1661" s="48">
        <v>0.5</v>
      </c>
      <c r="E1661" s="121" t="s">
        <v>3073</v>
      </c>
      <c r="F1661" s="120" t="s">
        <v>3267</v>
      </c>
    </row>
    <row r="1662" spans="1:6" x14ac:dyDescent="0.2">
      <c r="A1662" s="55">
        <v>71</v>
      </c>
      <c r="B1662" s="45" t="s">
        <v>432</v>
      </c>
      <c r="C1662" s="48">
        <v>0.5</v>
      </c>
      <c r="E1662" s="121" t="s">
        <v>3186</v>
      </c>
      <c r="F1662" s="120" t="s">
        <v>3284</v>
      </c>
    </row>
    <row r="1663" spans="1:6" x14ac:dyDescent="0.2">
      <c r="A1663" s="55">
        <v>72</v>
      </c>
      <c r="B1663" s="45" t="s">
        <v>416</v>
      </c>
      <c r="C1663" s="48">
        <v>100</v>
      </c>
      <c r="E1663" s="121" t="s">
        <v>1409</v>
      </c>
      <c r="F1663" s="120" t="s">
        <v>3292</v>
      </c>
    </row>
    <row r="1664" spans="1:6" x14ac:dyDescent="0.2">
      <c r="A1664" s="55">
        <v>72</v>
      </c>
      <c r="B1664" s="45" t="s">
        <v>982</v>
      </c>
      <c r="C1664" s="48">
        <v>40</v>
      </c>
      <c r="E1664" s="121" t="s">
        <v>1180</v>
      </c>
      <c r="F1664" s="120" t="s">
        <v>3228</v>
      </c>
    </row>
    <row r="1665" spans="1:6" x14ac:dyDescent="0.2">
      <c r="A1665" s="55">
        <v>72</v>
      </c>
      <c r="B1665" s="45" t="s">
        <v>340</v>
      </c>
      <c r="C1665" s="48">
        <v>18</v>
      </c>
      <c r="E1665" s="121" t="s">
        <v>1529</v>
      </c>
      <c r="F1665" s="120" t="s">
        <v>3249</v>
      </c>
    </row>
    <row r="1666" spans="1:6" x14ac:dyDescent="0.2">
      <c r="A1666" s="55">
        <v>72</v>
      </c>
      <c r="B1666" s="45" t="s">
        <v>2811</v>
      </c>
      <c r="C1666" s="48">
        <v>10</v>
      </c>
      <c r="E1666" s="121" t="s">
        <v>3485</v>
      </c>
      <c r="F1666" s="120" t="s">
        <v>3310</v>
      </c>
    </row>
    <row r="1667" spans="1:6" x14ac:dyDescent="0.2">
      <c r="A1667" s="55">
        <v>72</v>
      </c>
      <c r="B1667" s="45" t="s">
        <v>2812</v>
      </c>
      <c r="C1667" s="48">
        <v>3</v>
      </c>
      <c r="E1667" s="121" t="s">
        <v>1429</v>
      </c>
      <c r="F1667" s="120" t="s">
        <v>3215</v>
      </c>
    </row>
    <row r="1668" spans="1:6" x14ac:dyDescent="0.2">
      <c r="A1668" s="55">
        <v>72</v>
      </c>
      <c r="B1668" s="45" t="s">
        <v>405</v>
      </c>
      <c r="C1668" s="48">
        <v>3</v>
      </c>
      <c r="E1668" s="121" t="s">
        <v>3199</v>
      </c>
      <c r="F1668" s="120" t="s">
        <v>3215</v>
      </c>
    </row>
    <row r="1669" spans="1:6" x14ac:dyDescent="0.2">
      <c r="A1669" s="55">
        <v>73</v>
      </c>
      <c r="B1669" s="45" t="s">
        <v>376</v>
      </c>
      <c r="C1669" s="48">
        <v>25</v>
      </c>
      <c r="E1669" s="121" t="s">
        <v>3462</v>
      </c>
      <c r="F1669" s="120" t="s">
        <v>3227</v>
      </c>
    </row>
    <row r="1670" spans="1:6" x14ac:dyDescent="0.2">
      <c r="A1670" s="55">
        <v>73</v>
      </c>
      <c r="B1670" s="45" t="s">
        <v>342</v>
      </c>
      <c r="C1670" s="48">
        <v>12</v>
      </c>
      <c r="E1670" s="121" t="s">
        <v>1169</v>
      </c>
      <c r="F1670" s="120" t="s">
        <v>3249</v>
      </c>
    </row>
    <row r="1671" spans="1:6" x14ac:dyDescent="0.2">
      <c r="A1671" s="55">
        <v>73</v>
      </c>
      <c r="B1671" s="45" t="s">
        <v>394</v>
      </c>
      <c r="C1671" s="48">
        <v>8</v>
      </c>
      <c r="E1671" s="121" t="s">
        <v>3467</v>
      </c>
      <c r="F1671" s="120" t="s">
        <v>3258</v>
      </c>
    </row>
    <row r="1672" spans="1:6" x14ac:dyDescent="0.2">
      <c r="A1672" s="55">
        <v>73</v>
      </c>
      <c r="B1672" s="45" t="s">
        <v>392</v>
      </c>
      <c r="C1672" s="48">
        <v>8</v>
      </c>
      <c r="E1672" s="121" t="s">
        <v>3473</v>
      </c>
      <c r="F1672" s="120" t="s">
        <v>3227</v>
      </c>
    </row>
    <row r="1673" spans="1:6" x14ac:dyDescent="0.2">
      <c r="A1673" s="55">
        <v>73</v>
      </c>
      <c r="B1673" s="45" t="s">
        <v>405</v>
      </c>
      <c r="C1673" s="48">
        <v>6</v>
      </c>
      <c r="E1673" s="121" t="s">
        <v>3199</v>
      </c>
      <c r="F1673" s="120" t="s">
        <v>3215</v>
      </c>
    </row>
    <row r="1674" spans="1:6" x14ac:dyDescent="0.2">
      <c r="A1674" s="55">
        <v>73</v>
      </c>
      <c r="B1674" s="45" t="s">
        <v>395</v>
      </c>
      <c r="C1674" s="48">
        <v>6</v>
      </c>
      <c r="E1674" s="121" t="s">
        <v>3202</v>
      </c>
      <c r="F1674" s="120" t="s">
        <v>3248</v>
      </c>
    </row>
    <row r="1675" spans="1:6" x14ac:dyDescent="0.2">
      <c r="A1675" s="55">
        <v>73</v>
      </c>
      <c r="B1675" s="45" t="s">
        <v>404</v>
      </c>
      <c r="C1675" s="48">
        <v>5</v>
      </c>
      <c r="E1675" s="121" t="s">
        <v>3463</v>
      </c>
      <c r="F1675" s="120" t="s">
        <v>3258</v>
      </c>
    </row>
    <row r="1676" spans="1:6" x14ac:dyDescent="0.2">
      <c r="A1676" s="55">
        <v>74</v>
      </c>
      <c r="B1676" s="45" t="s">
        <v>421</v>
      </c>
      <c r="C1676" s="48">
        <v>12</v>
      </c>
      <c r="E1676" s="121" t="s">
        <v>3057</v>
      </c>
      <c r="F1676" s="120" t="s">
        <v>3257</v>
      </c>
    </row>
    <row r="1677" spans="1:6" x14ac:dyDescent="0.2">
      <c r="A1677" s="55">
        <v>74</v>
      </c>
      <c r="B1677" s="45" t="s">
        <v>598</v>
      </c>
      <c r="C1677" s="48">
        <v>12</v>
      </c>
      <c r="E1677" s="121" t="s">
        <v>3478</v>
      </c>
      <c r="F1677" s="120" t="s">
        <v>3229</v>
      </c>
    </row>
    <row r="1678" spans="1:6" x14ac:dyDescent="0.2">
      <c r="A1678" s="55">
        <v>74</v>
      </c>
      <c r="B1678" s="45" t="s">
        <v>350</v>
      </c>
      <c r="C1678" s="48">
        <v>8</v>
      </c>
      <c r="E1678" s="121" t="s">
        <v>1415</v>
      </c>
      <c r="F1678" s="120" t="s">
        <v>3249</v>
      </c>
    </row>
    <row r="1679" spans="1:6" x14ac:dyDescent="0.2">
      <c r="A1679" s="55">
        <v>74</v>
      </c>
      <c r="B1679" s="45" t="s">
        <v>363</v>
      </c>
      <c r="C1679" s="48">
        <v>5</v>
      </c>
      <c r="E1679" s="121" t="s">
        <v>3048</v>
      </c>
      <c r="F1679" s="120" t="s">
        <v>3250</v>
      </c>
    </row>
    <row r="1680" spans="1:6" x14ac:dyDescent="0.2">
      <c r="A1680" s="55">
        <v>74</v>
      </c>
      <c r="B1680" s="45" t="s">
        <v>2649</v>
      </c>
      <c r="C1680" s="48">
        <v>5</v>
      </c>
      <c r="E1680" s="121" t="s">
        <v>3052</v>
      </c>
      <c r="F1680" s="120" t="s">
        <v>3250</v>
      </c>
    </row>
    <row r="1681" spans="1:6" x14ac:dyDescent="0.2">
      <c r="A1681" s="55">
        <v>74</v>
      </c>
      <c r="B1681" s="45" t="s">
        <v>453</v>
      </c>
      <c r="C1681" s="48">
        <v>5</v>
      </c>
      <c r="E1681" s="121" t="s">
        <v>3520</v>
      </c>
      <c r="F1681" s="120" t="s">
        <v>3258</v>
      </c>
    </row>
    <row r="1682" spans="1:6" x14ac:dyDescent="0.2">
      <c r="A1682" s="55">
        <v>74</v>
      </c>
      <c r="B1682" s="45" t="s">
        <v>432</v>
      </c>
      <c r="C1682" s="48">
        <v>4</v>
      </c>
      <c r="E1682" s="121" t="s">
        <v>3186</v>
      </c>
      <c r="F1682" s="120" t="s">
        <v>3284</v>
      </c>
    </row>
    <row r="1683" spans="1:6" x14ac:dyDescent="0.2">
      <c r="A1683" s="55">
        <v>74</v>
      </c>
      <c r="B1683" s="45" t="s">
        <v>597</v>
      </c>
      <c r="C1683" s="48">
        <v>2</v>
      </c>
      <c r="E1683" s="121" t="s">
        <v>3060</v>
      </c>
      <c r="F1683" s="120" t="s">
        <v>3248</v>
      </c>
    </row>
    <row r="1684" spans="1:6" x14ac:dyDescent="0.2">
      <c r="A1684" s="55">
        <v>75</v>
      </c>
      <c r="B1684" s="45" t="s">
        <v>347</v>
      </c>
      <c r="C1684" s="48">
        <v>40</v>
      </c>
      <c r="E1684" s="121" t="s">
        <v>3492</v>
      </c>
      <c r="F1684" s="120" t="s">
        <v>3312</v>
      </c>
    </row>
    <row r="1685" spans="1:6" x14ac:dyDescent="0.2">
      <c r="A1685" s="55">
        <v>75</v>
      </c>
      <c r="B1685" s="45" t="s">
        <v>2667</v>
      </c>
      <c r="C1685" s="48">
        <v>20</v>
      </c>
      <c r="E1685" s="121" t="s">
        <v>1413</v>
      </c>
      <c r="F1685" s="120" t="s">
        <v>3215</v>
      </c>
    </row>
    <row r="1686" spans="1:6" x14ac:dyDescent="0.2">
      <c r="A1686" s="55">
        <v>75</v>
      </c>
      <c r="B1686" s="45" t="s">
        <v>350</v>
      </c>
      <c r="C1686" s="48">
        <v>15</v>
      </c>
      <c r="E1686" s="121" t="s">
        <v>1415</v>
      </c>
      <c r="F1686" s="120" t="s">
        <v>3249</v>
      </c>
    </row>
    <row r="1687" spans="1:6" x14ac:dyDescent="0.2">
      <c r="A1687" s="55">
        <v>75</v>
      </c>
      <c r="B1687" s="45" t="s">
        <v>597</v>
      </c>
      <c r="C1687" s="48">
        <v>15</v>
      </c>
      <c r="E1687" s="121" t="s">
        <v>3060</v>
      </c>
      <c r="F1687" s="120" t="s">
        <v>3248</v>
      </c>
    </row>
    <row r="1688" spans="1:6" x14ac:dyDescent="0.2">
      <c r="A1688" s="55">
        <v>75</v>
      </c>
      <c r="B1688" s="45" t="s">
        <v>349</v>
      </c>
      <c r="C1688" s="48">
        <v>10</v>
      </c>
      <c r="E1688" s="121" t="s">
        <v>1200</v>
      </c>
      <c r="F1688" s="120" t="s">
        <v>3292</v>
      </c>
    </row>
    <row r="1689" spans="1:6" x14ac:dyDescent="0.2">
      <c r="A1689" s="55">
        <v>75</v>
      </c>
      <c r="B1689" s="45" t="s">
        <v>593</v>
      </c>
      <c r="C1689" s="48">
        <v>10</v>
      </c>
      <c r="E1689" s="121" t="s">
        <v>2852</v>
      </c>
      <c r="F1689" s="120" t="s">
        <v>3227</v>
      </c>
    </row>
    <row r="1690" spans="1:6" x14ac:dyDescent="0.2">
      <c r="A1690" s="55">
        <v>75</v>
      </c>
      <c r="B1690" s="45" t="s">
        <v>454</v>
      </c>
      <c r="C1690" s="48">
        <v>8</v>
      </c>
      <c r="E1690" s="121" t="s">
        <v>534</v>
      </c>
      <c r="F1690" s="120" t="s">
        <v>3249</v>
      </c>
    </row>
    <row r="1691" spans="1:6" x14ac:dyDescent="0.2">
      <c r="A1691" s="55">
        <v>75</v>
      </c>
      <c r="B1691" s="45" t="s">
        <v>2577</v>
      </c>
      <c r="C1691" s="48">
        <v>5</v>
      </c>
      <c r="E1691" s="121" t="s">
        <v>2900</v>
      </c>
      <c r="F1691" s="120" t="s">
        <v>3249</v>
      </c>
    </row>
    <row r="1692" spans="1:6" x14ac:dyDescent="0.2">
      <c r="A1692" s="55">
        <v>75</v>
      </c>
      <c r="B1692" s="45" t="s">
        <v>363</v>
      </c>
      <c r="C1692" s="48">
        <v>5</v>
      </c>
      <c r="E1692" s="121" t="s">
        <v>3048</v>
      </c>
      <c r="F1692" s="120" t="s">
        <v>3250</v>
      </c>
    </row>
    <row r="1693" spans="1:6" x14ac:dyDescent="0.2">
      <c r="A1693" s="55">
        <v>75</v>
      </c>
      <c r="B1693" s="45" t="s">
        <v>341</v>
      </c>
      <c r="C1693" s="48">
        <v>5</v>
      </c>
      <c r="E1693" s="121" t="s">
        <v>3062</v>
      </c>
      <c r="F1693" s="120" t="s">
        <v>3266</v>
      </c>
    </row>
    <row r="1694" spans="1:6" x14ac:dyDescent="0.2">
      <c r="A1694" s="55">
        <v>75</v>
      </c>
      <c r="B1694" s="45" t="s">
        <v>342</v>
      </c>
      <c r="C1694" s="48">
        <v>3</v>
      </c>
      <c r="E1694" s="121" t="s">
        <v>1169</v>
      </c>
      <c r="F1694" s="120" t="s">
        <v>3249</v>
      </c>
    </row>
    <row r="1695" spans="1:6" x14ac:dyDescent="0.2">
      <c r="A1695" s="55">
        <v>75</v>
      </c>
      <c r="B1695" s="45" t="s">
        <v>2579</v>
      </c>
      <c r="C1695" s="48">
        <v>3</v>
      </c>
      <c r="E1695" s="121" t="s">
        <v>3516</v>
      </c>
      <c r="F1695" s="120" t="s">
        <v>3232</v>
      </c>
    </row>
    <row r="1696" spans="1:6" x14ac:dyDescent="0.2">
      <c r="A1696" s="55">
        <v>76</v>
      </c>
      <c r="B1696" s="45" t="s">
        <v>454</v>
      </c>
      <c r="C1696" s="48">
        <v>30</v>
      </c>
      <c r="E1696" s="121" t="s">
        <v>534</v>
      </c>
      <c r="F1696" s="120" t="s">
        <v>3249</v>
      </c>
    </row>
    <row r="1697" spans="1:6" x14ac:dyDescent="0.2">
      <c r="A1697" s="55">
        <v>76</v>
      </c>
      <c r="B1697" s="45" t="s">
        <v>342</v>
      </c>
      <c r="C1697" s="48">
        <v>15</v>
      </c>
      <c r="E1697" s="121" t="s">
        <v>1169</v>
      </c>
      <c r="F1697" s="120" t="s">
        <v>3249</v>
      </c>
    </row>
    <row r="1698" spans="1:6" x14ac:dyDescent="0.2">
      <c r="A1698" s="55">
        <v>76</v>
      </c>
      <c r="B1698" s="45" t="s">
        <v>597</v>
      </c>
      <c r="C1698" s="48">
        <v>15</v>
      </c>
      <c r="E1698" s="121" t="s">
        <v>3060</v>
      </c>
      <c r="F1698" s="120" t="s">
        <v>3248</v>
      </c>
    </row>
    <row r="1699" spans="1:6" x14ac:dyDescent="0.2">
      <c r="A1699" s="55">
        <v>76</v>
      </c>
      <c r="B1699" s="45" t="s">
        <v>2579</v>
      </c>
      <c r="C1699" s="48">
        <v>15</v>
      </c>
      <c r="E1699" s="121" t="s">
        <v>3516</v>
      </c>
      <c r="F1699" s="120" t="s">
        <v>3232</v>
      </c>
    </row>
    <row r="1700" spans="1:6" x14ac:dyDescent="0.2">
      <c r="A1700" s="55">
        <v>76</v>
      </c>
      <c r="B1700" s="45" t="s">
        <v>447</v>
      </c>
      <c r="C1700" s="48">
        <v>8</v>
      </c>
      <c r="E1700" s="121" t="s">
        <v>1531</v>
      </c>
      <c r="F1700" s="120" t="s">
        <v>3248</v>
      </c>
    </row>
    <row r="1701" spans="1:6" x14ac:dyDescent="0.2">
      <c r="A1701" s="55">
        <v>77</v>
      </c>
      <c r="B1701" s="45" t="s">
        <v>363</v>
      </c>
      <c r="C1701" s="48">
        <v>40</v>
      </c>
      <c r="E1701" s="121" t="s">
        <v>3048</v>
      </c>
      <c r="F1701" s="120" t="s">
        <v>3250</v>
      </c>
    </row>
    <row r="1702" spans="1:6" x14ac:dyDescent="0.2">
      <c r="A1702" s="55">
        <v>77</v>
      </c>
      <c r="B1702" s="45" t="s">
        <v>341</v>
      </c>
      <c r="C1702" s="48">
        <v>20</v>
      </c>
      <c r="E1702" s="121" t="s">
        <v>3062</v>
      </c>
      <c r="F1702" s="120" t="s">
        <v>3266</v>
      </c>
    </row>
    <row r="1703" spans="1:6" x14ac:dyDescent="0.2">
      <c r="A1703" s="55">
        <v>77</v>
      </c>
      <c r="B1703" s="45" t="s">
        <v>2654</v>
      </c>
      <c r="C1703" s="48">
        <v>6</v>
      </c>
      <c r="E1703" s="121" t="s">
        <v>540</v>
      </c>
      <c r="F1703" s="120" t="s">
        <v>3280</v>
      </c>
    </row>
    <row r="1704" spans="1:6" x14ac:dyDescent="0.2">
      <c r="A1704" s="55">
        <v>77</v>
      </c>
      <c r="B1704" s="45" t="s">
        <v>2653</v>
      </c>
      <c r="C1704" s="48">
        <v>2</v>
      </c>
      <c r="E1704" s="121" t="s">
        <v>563</v>
      </c>
      <c r="F1704" s="120" t="s">
        <v>3323</v>
      </c>
    </row>
    <row r="1705" spans="1:6" x14ac:dyDescent="0.2">
      <c r="A1705" s="55">
        <v>77</v>
      </c>
      <c r="B1705" s="45" t="s">
        <v>376</v>
      </c>
      <c r="C1705" s="48">
        <v>2</v>
      </c>
      <c r="E1705" s="121" t="s">
        <v>3462</v>
      </c>
      <c r="F1705" s="120" t="s">
        <v>3227</v>
      </c>
    </row>
    <row r="1706" spans="1:6" x14ac:dyDescent="0.2">
      <c r="A1706" s="55">
        <v>78</v>
      </c>
      <c r="B1706" s="45" t="s">
        <v>363</v>
      </c>
      <c r="C1706" s="48">
        <v>35</v>
      </c>
      <c r="E1706" s="121" t="s">
        <v>3048</v>
      </c>
      <c r="F1706" s="120" t="s">
        <v>3250</v>
      </c>
    </row>
    <row r="1707" spans="1:6" x14ac:dyDescent="0.2">
      <c r="A1707" s="55">
        <v>78</v>
      </c>
      <c r="B1707" s="45" t="s">
        <v>2654</v>
      </c>
      <c r="C1707" s="48">
        <v>25</v>
      </c>
      <c r="E1707" s="121" t="s">
        <v>540</v>
      </c>
      <c r="F1707" s="120" t="s">
        <v>3280</v>
      </c>
    </row>
    <row r="1708" spans="1:6" x14ac:dyDescent="0.2">
      <c r="A1708" s="55">
        <v>78</v>
      </c>
      <c r="B1708" s="45" t="s">
        <v>376</v>
      </c>
      <c r="C1708" s="48">
        <v>25</v>
      </c>
      <c r="E1708" s="121" t="s">
        <v>3462</v>
      </c>
      <c r="F1708" s="120" t="s">
        <v>3227</v>
      </c>
    </row>
    <row r="1709" spans="1:6" x14ac:dyDescent="0.2">
      <c r="A1709" s="55">
        <v>78</v>
      </c>
      <c r="B1709" s="45" t="s">
        <v>341</v>
      </c>
      <c r="C1709" s="48">
        <v>15</v>
      </c>
      <c r="E1709" s="121" t="s">
        <v>3062</v>
      </c>
      <c r="F1709" s="120" t="s">
        <v>3266</v>
      </c>
    </row>
    <row r="1710" spans="1:6" x14ac:dyDescent="0.2">
      <c r="A1710" s="55">
        <v>79</v>
      </c>
      <c r="B1710" s="45" t="s">
        <v>600</v>
      </c>
      <c r="C1710" s="48">
        <v>25</v>
      </c>
      <c r="E1710" s="121" t="s">
        <v>1423</v>
      </c>
      <c r="F1710" s="120" t="s">
        <v>3249</v>
      </c>
    </row>
    <row r="1711" spans="1:6" x14ac:dyDescent="0.2">
      <c r="A1711" s="55">
        <v>79</v>
      </c>
      <c r="B1711" s="45" t="s">
        <v>2328</v>
      </c>
      <c r="C1711" s="48">
        <v>25</v>
      </c>
      <c r="E1711" s="121" t="s">
        <v>1412</v>
      </c>
      <c r="F1711" s="120" t="s">
        <v>3249</v>
      </c>
    </row>
    <row r="1712" spans="1:6" x14ac:dyDescent="0.2">
      <c r="A1712" s="55">
        <v>79</v>
      </c>
      <c r="B1712" s="45" t="s">
        <v>3388</v>
      </c>
      <c r="C1712" s="48">
        <v>25</v>
      </c>
      <c r="E1712" s="121" t="s">
        <v>538</v>
      </c>
      <c r="F1712" s="120" t="s">
        <v>3284</v>
      </c>
    </row>
    <row r="1713" spans="1:6" x14ac:dyDescent="0.2">
      <c r="A1713" s="55">
        <v>79</v>
      </c>
      <c r="B1713" s="45" t="s">
        <v>347</v>
      </c>
      <c r="C1713" s="48">
        <v>25</v>
      </c>
      <c r="E1713" s="121" t="s">
        <v>3492</v>
      </c>
      <c r="F1713" s="120" t="s">
        <v>3312</v>
      </c>
    </row>
    <row r="1714" spans="1:6" x14ac:dyDescent="0.2">
      <c r="A1714" s="55">
        <v>79</v>
      </c>
      <c r="B1714" s="45" t="s">
        <v>350</v>
      </c>
      <c r="C1714" s="48">
        <v>15</v>
      </c>
      <c r="E1714" s="121" t="s">
        <v>1415</v>
      </c>
      <c r="F1714" s="120" t="s">
        <v>3249</v>
      </c>
    </row>
    <row r="1715" spans="1:6" x14ac:dyDescent="0.2">
      <c r="A1715" s="55">
        <v>79</v>
      </c>
      <c r="B1715" s="45" t="s">
        <v>364</v>
      </c>
      <c r="C1715" s="48">
        <v>10</v>
      </c>
      <c r="E1715" s="121" t="s">
        <v>3495</v>
      </c>
      <c r="F1715" s="120" t="s">
        <v>3313</v>
      </c>
    </row>
    <row r="1716" spans="1:6" x14ac:dyDescent="0.2">
      <c r="A1716" s="55">
        <v>79</v>
      </c>
      <c r="B1716" s="45" t="s">
        <v>369</v>
      </c>
      <c r="C1716" s="48">
        <v>3</v>
      </c>
      <c r="E1716" s="121" t="s">
        <v>2829</v>
      </c>
      <c r="F1716" s="120" t="s">
        <v>1289</v>
      </c>
    </row>
    <row r="1717" spans="1:6" x14ac:dyDescent="0.2">
      <c r="A1717" s="55">
        <v>79</v>
      </c>
      <c r="B1717" s="45" t="s">
        <v>395</v>
      </c>
      <c r="C1717" s="48">
        <v>3</v>
      </c>
      <c r="E1717" s="121" t="s">
        <v>3202</v>
      </c>
      <c r="F1717" s="120" t="s">
        <v>3248</v>
      </c>
    </row>
    <row r="1718" spans="1:6" x14ac:dyDescent="0.2">
      <c r="A1718" s="55">
        <v>79</v>
      </c>
      <c r="B1718" s="45" t="s">
        <v>453</v>
      </c>
      <c r="C1718" s="48">
        <v>3</v>
      </c>
      <c r="E1718" s="121" t="s">
        <v>3520</v>
      </c>
      <c r="F1718" s="120" t="s">
        <v>3258</v>
      </c>
    </row>
    <row r="1719" spans="1:6" x14ac:dyDescent="0.2">
      <c r="A1719" s="55">
        <v>79</v>
      </c>
      <c r="B1719" s="45" t="s">
        <v>2810</v>
      </c>
      <c r="C1719" s="48">
        <v>3</v>
      </c>
      <c r="E1719" s="121" t="s">
        <v>2810</v>
      </c>
      <c r="F1719" s="120" t="s">
        <v>3227</v>
      </c>
    </row>
    <row r="1720" spans="1:6" x14ac:dyDescent="0.2">
      <c r="A1720" s="55">
        <v>80</v>
      </c>
      <c r="B1720" s="45" t="s">
        <v>361</v>
      </c>
      <c r="C1720" s="48">
        <v>30</v>
      </c>
      <c r="E1720" s="121" t="s">
        <v>3201</v>
      </c>
      <c r="F1720" s="120" t="s">
        <v>3249</v>
      </c>
    </row>
    <row r="1721" spans="1:6" x14ac:dyDescent="0.2">
      <c r="A1721" s="55">
        <v>80</v>
      </c>
      <c r="B1721" s="45" t="s">
        <v>3388</v>
      </c>
      <c r="C1721" s="48">
        <v>25</v>
      </c>
      <c r="E1721" s="121" t="s">
        <v>538</v>
      </c>
      <c r="F1721" s="120" t="s">
        <v>3284</v>
      </c>
    </row>
    <row r="1722" spans="1:6" x14ac:dyDescent="0.2">
      <c r="A1722" s="55">
        <v>80</v>
      </c>
      <c r="B1722" s="45" t="s">
        <v>347</v>
      </c>
      <c r="C1722" s="48">
        <v>25</v>
      </c>
      <c r="E1722" s="121" t="s">
        <v>3492</v>
      </c>
      <c r="F1722" s="120" t="s">
        <v>3312</v>
      </c>
    </row>
    <row r="1723" spans="1:6" x14ac:dyDescent="0.2">
      <c r="A1723" s="55">
        <v>80</v>
      </c>
      <c r="B1723" s="45" t="s">
        <v>454</v>
      </c>
      <c r="C1723" s="48">
        <v>20</v>
      </c>
      <c r="E1723" s="121" t="s">
        <v>534</v>
      </c>
      <c r="F1723" s="120" t="s">
        <v>3249</v>
      </c>
    </row>
    <row r="1724" spans="1:6" x14ac:dyDescent="0.2">
      <c r="A1724" s="55">
        <v>80</v>
      </c>
      <c r="B1724" s="45" t="s">
        <v>453</v>
      </c>
      <c r="C1724" s="48">
        <v>5</v>
      </c>
      <c r="E1724" s="121" t="s">
        <v>3520</v>
      </c>
      <c r="F1724" s="120" t="s">
        <v>3258</v>
      </c>
    </row>
    <row r="1725" spans="1:6" x14ac:dyDescent="0.2">
      <c r="A1725" s="55">
        <v>81</v>
      </c>
      <c r="B1725" s="45" t="s">
        <v>597</v>
      </c>
      <c r="C1725" s="48">
        <v>35</v>
      </c>
      <c r="E1725" s="121" t="s">
        <v>3060</v>
      </c>
      <c r="F1725" s="120" t="s">
        <v>3248</v>
      </c>
    </row>
    <row r="1726" spans="1:6" x14ac:dyDescent="0.2">
      <c r="A1726" s="55">
        <v>81</v>
      </c>
      <c r="B1726" s="45" t="s">
        <v>347</v>
      </c>
      <c r="C1726" s="48">
        <v>15</v>
      </c>
      <c r="E1726" s="121" t="s">
        <v>3492</v>
      </c>
      <c r="F1726" s="120" t="s">
        <v>3312</v>
      </c>
    </row>
    <row r="1727" spans="1:6" x14ac:dyDescent="0.2">
      <c r="A1727" s="55">
        <v>81</v>
      </c>
      <c r="B1727" s="45" t="s">
        <v>432</v>
      </c>
      <c r="C1727" s="48">
        <v>15</v>
      </c>
      <c r="E1727" s="121" t="s">
        <v>3186</v>
      </c>
      <c r="F1727" s="120" t="s">
        <v>3284</v>
      </c>
    </row>
    <row r="1728" spans="1:6" x14ac:dyDescent="0.2">
      <c r="A1728" s="55">
        <v>81</v>
      </c>
      <c r="B1728" s="45" t="s">
        <v>3151</v>
      </c>
      <c r="C1728" s="48">
        <v>10</v>
      </c>
      <c r="E1728" s="121" t="s">
        <v>3194</v>
      </c>
      <c r="F1728" s="120" t="s">
        <v>3258</v>
      </c>
    </row>
    <row r="1729" spans="1:6" x14ac:dyDescent="0.2">
      <c r="A1729" s="55">
        <v>81</v>
      </c>
      <c r="B1729" s="45" t="s">
        <v>593</v>
      </c>
      <c r="C1729" s="48">
        <v>10</v>
      </c>
      <c r="E1729" s="121" t="s">
        <v>2852</v>
      </c>
      <c r="F1729" s="120" t="s">
        <v>3227</v>
      </c>
    </row>
    <row r="1730" spans="1:6" x14ac:dyDescent="0.2">
      <c r="A1730" s="55">
        <v>81</v>
      </c>
      <c r="B1730" s="45" t="s">
        <v>364</v>
      </c>
      <c r="C1730" s="48">
        <v>10</v>
      </c>
      <c r="E1730" s="121" t="s">
        <v>3495</v>
      </c>
      <c r="F1730" s="120" t="s">
        <v>3313</v>
      </c>
    </row>
    <row r="1731" spans="1:6" x14ac:dyDescent="0.2">
      <c r="A1731" s="55">
        <v>81</v>
      </c>
      <c r="B1731" s="45" t="s">
        <v>340</v>
      </c>
      <c r="C1731" s="48">
        <v>8</v>
      </c>
      <c r="E1731" s="121" t="s">
        <v>1529</v>
      </c>
      <c r="F1731" s="120" t="s">
        <v>3249</v>
      </c>
    </row>
    <row r="1732" spans="1:6" x14ac:dyDescent="0.2">
      <c r="A1732" s="55">
        <v>81</v>
      </c>
      <c r="B1732" s="45" t="s">
        <v>349</v>
      </c>
      <c r="C1732" s="48">
        <v>8</v>
      </c>
      <c r="E1732" s="121" t="s">
        <v>1200</v>
      </c>
      <c r="F1732" s="120" t="s">
        <v>3292</v>
      </c>
    </row>
    <row r="1733" spans="1:6" x14ac:dyDescent="0.2">
      <c r="A1733" s="55">
        <v>81</v>
      </c>
      <c r="B1733" s="45" t="s">
        <v>350</v>
      </c>
      <c r="C1733" s="48">
        <v>5</v>
      </c>
      <c r="E1733" s="121" t="s">
        <v>1415</v>
      </c>
      <c r="F1733" s="120" t="s">
        <v>3249</v>
      </c>
    </row>
    <row r="1734" spans="1:6" x14ac:dyDescent="0.2">
      <c r="A1734" s="55">
        <v>81</v>
      </c>
      <c r="B1734" s="45" t="s">
        <v>376</v>
      </c>
      <c r="C1734" s="48">
        <v>4</v>
      </c>
      <c r="E1734" s="121" t="s">
        <v>3462</v>
      </c>
      <c r="F1734" s="120" t="s">
        <v>3227</v>
      </c>
    </row>
    <row r="1735" spans="1:6" x14ac:dyDescent="0.2">
      <c r="A1735" s="55">
        <v>81</v>
      </c>
      <c r="B1735" s="45" t="s">
        <v>601</v>
      </c>
      <c r="C1735" s="48">
        <v>3</v>
      </c>
      <c r="E1735" s="121" t="s">
        <v>1157</v>
      </c>
      <c r="F1735" s="120" t="s">
        <v>3249</v>
      </c>
    </row>
    <row r="1736" spans="1:6" x14ac:dyDescent="0.2">
      <c r="A1736" s="55">
        <v>82</v>
      </c>
      <c r="B1736" s="45" t="s">
        <v>454</v>
      </c>
      <c r="C1736" s="48">
        <v>20</v>
      </c>
      <c r="E1736" s="121" t="s">
        <v>534</v>
      </c>
      <c r="F1736" s="120" t="s">
        <v>3249</v>
      </c>
    </row>
    <row r="1737" spans="1:6" x14ac:dyDescent="0.2">
      <c r="A1737" s="55">
        <v>82</v>
      </c>
      <c r="B1737" s="45" t="s">
        <v>2565</v>
      </c>
      <c r="C1737" s="48">
        <v>12</v>
      </c>
      <c r="E1737" s="121" t="s">
        <v>3435</v>
      </c>
      <c r="F1737" s="120" t="s">
        <v>3286</v>
      </c>
    </row>
    <row r="1738" spans="1:6" x14ac:dyDescent="0.2">
      <c r="A1738" s="55">
        <v>82</v>
      </c>
      <c r="B1738" s="45" t="s">
        <v>423</v>
      </c>
      <c r="C1738" s="48">
        <v>12</v>
      </c>
      <c r="E1738" s="121" t="s">
        <v>3494</v>
      </c>
      <c r="F1738" s="120" t="s">
        <v>3310</v>
      </c>
    </row>
    <row r="1739" spans="1:6" x14ac:dyDescent="0.2">
      <c r="A1739" s="55">
        <v>82</v>
      </c>
      <c r="B1739" s="45" t="s">
        <v>432</v>
      </c>
      <c r="C1739" s="48">
        <v>10</v>
      </c>
      <c r="E1739" s="121" t="s">
        <v>3186</v>
      </c>
      <c r="F1739" s="120" t="s">
        <v>3284</v>
      </c>
    </row>
    <row r="1740" spans="1:6" x14ac:dyDescent="0.2">
      <c r="A1740" s="55">
        <v>82</v>
      </c>
      <c r="B1740" s="45" t="s">
        <v>347</v>
      </c>
      <c r="C1740" s="48">
        <v>5</v>
      </c>
      <c r="E1740" s="121" t="s">
        <v>3492</v>
      </c>
      <c r="F1740" s="120" t="s">
        <v>3312</v>
      </c>
    </row>
    <row r="1741" spans="1:6" x14ac:dyDescent="0.2">
      <c r="A1741" s="55">
        <v>82</v>
      </c>
      <c r="B1741" s="45" t="s">
        <v>447</v>
      </c>
      <c r="C1741" s="48">
        <v>5</v>
      </c>
      <c r="E1741" s="121" t="s">
        <v>1531</v>
      </c>
      <c r="F1741" s="120" t="s">
        <v>3248</v>
      </c>
    </row>
    <row r="1742" spans="1:6" x14ac:dyDescent="0.2">
      <c r="A1742" s="55">
        <v>82</v>
      </c>
      <c r="B1742" s="45" t="s">
        <v>453</v>
      </c>
      <c r="C1742" s="48">
        <v>3</v>
      </c>
      <c r="E1742" s="121" t="s">
        <v>3520</v>
      </c>
      <c r="F1742" s="120" t="s">
        <v>3258</v>
      </c>
    </row>
    <row r="1743" spans="1:6" x14ac:dyDescent="0.2">
      <c r="A1743" s="55">
        <v>82</v>
      </c>
      <c r="B1743" s="45" t="s">
        <v>349</v>
      </c>
      <c r="C1743" s="48">
        <v>3</v>
      </c>
      <c r="E1743" s="121" t="s">
        <v>1200</v>
      </c>
      <c r="F1743" s="120" t="s">
        <v>3292</v>
      </c>
    </row>
    <row r="1744" spans="1:6" x14ac:dyDescent="0.2">
      <c r="A1744" s="55">
        <v>82</v>
      </c>
      <c r="B1744" s="45" t="s">
        <v>357</v>
      </c>
      <c r="C1744" s="48">
        <v>1</v>
      </c>
      <c r="E1744" s="121" t="s">
        <v>3063</v>
      </c>
      <c r="F1744" s="120" t="s">
        <v>3262</v>
      </c>
    </row>
    <row r="1745" spans="1:6" x14ac:dyDescent="0.2">
      <c r="A1745" s="55">
        <v>83</v>
      </c>
      <c r="B1745" s="45" t="s">
        <v>2569</v>
      </c>
      <c r="C1745" s="48">
        <v>30</v>
      </c>
      <c r="E1745" s="121" t="s">
        <v>3496</v>
      </c>
      <c r="F1745" s="120" t="s">
        <v>3310</v>
      </c>
    </row>
    <row r="1746" spans="1:6" x14ac:dyDescent="0.2">
      <c r="A1746" s="55">
        <v>83</v>
      </c>
      <c r="B1746" s="45" t="s">
        <v>593</v>
      </c>
      <c r="C1746" s="48">
        <v>15</v>
      </c>
      <c r="E1746" s="121" t="s">
        <v>2852</v>
      </c>
      <c r="F1746" s="120" t="s">
        <v>3227</v>
      </c>
    </row>
    <row r="1747" spans="1:6" x14ac:dyDescent="0.2">
      <c r="A1747" s="55">
        <v>83</v>
      </c>
      <c r="B1747" s="45" t="s">
        <v>601</v>
      </c>
      <c r="C1747" s="48">
        <v>10</v>
      </c>
      <c r="E1747" s="121" t="s">
        <v>1157</v>
      </c>
      <c r="F1747" s="120" t="s">
        <v>3249</v>
      </c>
    </row>
    <row r="1748" spans="1:6" x14ac:dyDescent="0.2">
      <c r="A1748" s="55">
        <v>83</v>
      </c>
      <c r="B1748" s="45" t="s">
        <v>432</v>
      </c>
      <c r="C1748" s="48">
        <v>10</v>
      </c>
      <c r="E1748" s="121" t="s">
        <v>3186</v>
      </c>
      <c r="F1748" s="120" t="s">
        <v>3284</v>
      </c>
    </row>
    <row r="1749" spans="1:6" x14ac:dyDescent="0.2">
      <c r="A1749" s="55">
        <v>83</v>
      </c>
      <c r="B1749" s="45" t="s">
        <v>369</v>
      </c>
      <c r="C1749" s="48">
        <v>8</v>
      </c>
      <c r="E1749" s="121" t="s">
        <v>2829</v>
      </c>
      <c r="F1749" s="120" t="s">
        <v>1289</v>
      </c>
    </row>
    <row r="1750" spans="1:6" x14ac:dyDescent="0.2">
      <c r="A1750" s="55">
        <v>83</v>
      </c>
      <c r="B1750" s="45" t="s">
        <v>2582</v>
      </c>
      <c r="C1750" s="48">
        <v>5</v>
      </c>
      <c r="E1750" s="121" t="s">
        <v>3447</v>
      </c>
      <c r="F1750" s="120" t="s">
        <v>3248</v>
      </c>
    </row>
    <row r="1751" spans="1:6" x14ac:dyDescent="0.2">
      <c r="A1751" s="55">
        <v>83</v>
      </c>
      <c r="B1751" s="45" t="s">
        <v>424</v>
      </c>
      <c r="C1751" s="48">
        <v>5</v>
      </c>
      <c r="E1751" s="121" t="s">
        <v>1405</v>
      </c>
      <c r="F1751" s="120" t="s">
        <v>3215</v>
      </c>
    </row>
    <row r="1752" spans="1:6" x14ac:dyDescent="0.2">
      <c r="A1752" s="55">
        <v>83</v>
      </c>
      <c r="B1752" s="45" t="s">
        <v>362</v>
      </c>
      <c r="C1752" s="48">
        <v>2</v>
      </c>
      <c r="E1752" s="121" t="s">
        <v>3135</v>
      </c>
      <c r="F1752" s="120" t="s">
        <v>3227</v>
      </c>
    </row>
    <row r="1753" spans="1:6" x14ac:dyDescent="0.2">
      <c r="A1753" s="55">
        <v>83</v>
      </c>
      <c r="B1753" s="45" t="s">
        <v>403</v>
      </c>
      <c r="C1753" s="48">
        <v>2</v>
      </c>
      <c r="E1753" s="121" t="s">
        <v>1408</v>
      </c>
      <c r="F1753" s="120" t="s">
        <v>3248</v>
      </c>
    </row>
    <row r="1754" spans="1:6" x14ac:dyDescent="0.2">
      <c r="A1754" s="55">
        <v>83</v>
      </c>
      <c r="B1754" s="45" t="s">
        <v>454</v>
      </c>
      <c r="C1754" s="48">
        <v>2</v>
      </c>
      <c r="E1754" s="121" t="s">
        <v>534</v>
      </c>
      <c r="F1754" s="120" t="s">
        <v>3249</v>
      </c>
    </row>
    <row r="1755" spans="1:6" x14ac:dyDescent="0.2">
      <c r="A1755" s="55">
        <v>83</v>
      </c>
      <c r="B1755" s="45" t="s">
        <v>3151</v>
      </c>
      <c r="C1755" s="48">
        <v>2</v>
      </c>
      <c r="E1755" s="121" t="s">
        <v>3194</v>
      </c>
      <c r="F1755" s="120" t="s">
        <v>3258</v>
      </c>
    </row>
    <row r="1756" spans="1:6" x14ac:dyDescent="0.2">
      <c r="A1756" s="55">
        <v>83</v>
      </c>
      <c r="B1756" s="45" t="s">
        <v>2565</v>
      </c>
      <c r="C1756" s="48">
        <v>2</v>
      </c>
      <c r="E1756" s="121" t="s">
        <v>3435</v>
      </c>
      <c r="F1756" s="120" t="s">
        <v>3286</v>
      </c>
    </row>
    <row r="1757" spans="1:6" x14ac:dyDescent="0.2">
      <c r="A1757" s="55">
        <v>84</v>
      </c>
      <c r="B1757" s="45" t="s">
        <v>361</v>
      </c>
      <c r="C1757" s="48">
        <v>20</v>
      </c>
      <c r="E1757" s="121" t="s">
        <v>3201</v>
      </c>
      <c r="F1757" s="120" t="s">
        <v>3249</v>
      </c>
    </row>
    <row r="1758" spans="1:6" x14ac:dyDescent="0.2">
      <c r="A1758" s="55">
        <v>84</v>
      </c>
      <c r="B1758" s="45" t="s">
        <v>341</v>
      </c>
      <c r="C1758" s="48">
        <v>18</v>
      </c>
      <c r="E1758" s="121" t="s">
        <v>3062</v>
      </c>
      <c r="F1758" s="120" t="s">
        <v>3266</v>
      </c>
    </row>
    <row r="1759" spans="1:6" x14ac:dyDescent="0.2">
      <c r="A1759" s="55">
        <v>84</v>
      </c>
      <c r="B1759" s="45" t="s">
        <v>340</v>
      </c>
      <c r="C1759" s="48">
        <v>15</v>
      </c>
      <c r="E1759" s="121" t="s">
        <v>1529</v>
      </c>
      <c r="F1759" s="120" t="s">
        <v>3249</v>
      </c>
    </row>
    <row r="1760" spans="1:6" x14ac:dyDescent="0.2">
      <c r="A1760" s="55">
        <v>84</v>
      </c>
      <c r="B1760" s="45" t="s">
        <v>364</v>
      </c>
      <c r="C1760" s="48">
        <v>12</v>
      </c>
      <c r="E1760" s="121" t="s">
        <v>3495</v>
      </c>
      <c r="F1760" s="120" t="s">
        <v>3313</v>
      </c>
    </row>
    <row r="1761" spans="1:6" x14ac:dyDescent="0.2">
      <c r="A1761" s="55">
        <v>84</v>
      </c>
      <c r="B1761" s="45" t="s">
        <v>2582</v>
      </c>
      <c r="C1761" s="48">
        <v>10</v>
      </c>
      <c r="E1761" s="121" t="s">
        <v>3447</v>
      </c>
      <c r="F1761" s="120" t="s">
        <v>3248</v>
      </c>
    </row>
    <row r="1762" spans="1:6" x14ac:dyDescent="0.2">
      <c r="A1762" s="55">
        <v>84</v>
      </c>
      <c r="B1762" s="45" t="s">
        <v>350</v>
      </c>
      <c r="C1762" s="48">
        <v>8</v>
      </c>
      <c r="E1762" s="121" t="s">
        <v>1415</v>
      </c>
      <c r="F1762" s="120" t="s">
        <v>3249</v>
      </c>
    </row>
    <row r="1763" spans="1:6" x14ac:dyDescent="0.2">
      <c r="A1763" s="55">
        <v>84</v>
      </c>
      <c r="B1763" s="45" t="s">
        <v>432</v>
      </c>
      <c r="C1763" s="48">
        <v>7</v>
      </c>
      <c r="E1763" s="121" t="s">
        <v>3186</v>
      </c>
      <c r="F1763" s="120" t="s">
        <v>3284</v>
      </c>
    </row>
    <row r="1764" spans="1:6" x14ac:dyDescent="0.2">
      <c r="A1764" s="55">
        <v>84</v>
      </c>
      <c r="B1764" s="45" t="s">
        <v>2575</v>
      </c>
      <c r="C1764" s="48">
        <v>4</v>
      </c>
      <c r="E1764" s="121" t="s">
        <v>1400</v>
      </c>
      <c r="F1764" s="120" t="s">
        <v>3310</v>
      </c>
    </row>
    <row r="1765" spans="1:6" x14ac:dyDescent="0.2">
      <c r="A1765" s="55">
        <v>84</v>
      </c>
      <c r="B1765" s="45" t="s">
        <v>357</v>
      </c>
      <c r="C1765" s="48">
        <v>1</v>
      </c>
      <c r="E1765" s="121" t="s">
        <v>3063</v>
      </c>
      <c r="F1765" s="120" t="s">
        <v>3262</v>
      </c>
    </row>
    <row r="1766" spans="1:6" x14ac:dyDescent="0.2">
      <c r="A1766" s="55">
        <v>85</v>
      </c>
      <c r="B1766" s="45" t="s">
        <v>341</v>
      </c>
      <c r="C1766" s="48">
        <v>25</v>
      </c>
      <c r="E1766" s="121" t="s">
        <v>3062</v>
      </c>
      <c r="F1766" s="120" t="s">
        <v>3266</v>
      </c>
    </row>
    <row r="1767" spans="1:6" x14ac:dyDescent="0.2">
      <c r="A1767" s="55">
        <v>85</v>
      </c>
      <c r="B1767" s="45" t="s">
        <v>376</v>
      </c>
      <c r="C1767" s="48">
        <v>20</v>
      </c>
      <c r="E1767" s="121" t="s">
        <v>3462</v>
      </c>
      <c r="F1767" s="120" t="s">
        <v>3227</v>
      </c>
    </row>
    <row r="1768" spans="1:6" x14ac:dyDescent="0.2">
      <c r="A1768" s="55">
        <v>85</v>
      </c>
      <c r="B1768" s="45" t="s">
        <v>600</v>
      </c>
      <c r="C1768" s="48">
        <v>15</v>
      </c>
      <c r="E1768" s="121" t="s">
        <v>1423</v>
      </c>
      <c r="F1768" s="120" t="s">
        <v>3249</v>
      </c>
    </row>
    <row r="1769" spans="1:6" x14ac:dyDescent="0.2">
      <c r="A1769" s="55">
        <v>85</v>
      </c>
      <c r="B1769" s="45" t="s">
        <v>355</v>
      </c>
      <c r="C1769" s="48">
        <v>10</v>
      </c>
      <c r="E1769" s="121" t="s">
        <v>1150</v>
      </c>
      <c r="F1769" s="120" t="s">
        <v>3287</v>
      </c>
    </row>
    <row r="1770" spans="1:6" x14ac:dyDescent="0.2">
      <c r="A1770" s="55">
        <v>85</v>
      </c>
      <c r="B1770" s="45" t="s">
        <v>454</v>
      </c>
      <c r="C1770" s="48">
        <v>7</v>
      </c>
      <c r="E1770" s="121" t="s">
        <v>534</v>
      </c>
      <c r="F1770" s="120" t="s">
        <v>3249</v>
      </c>
    </row>
    <row r="1771" spans="1:6" x14ac:dyDescent="0.2">
      <c r="A1771" s="55">
        <v>85</v>
      </c>
      <c r="B1771" s="45" t="s">
        <v>350</v>
      </c>
      <c r="C1771" s="48">
        <v>5</v>
      </c>
      <c r="E1771" s="121" t="s">
        <v>1415</v>
      </c>
      <c r="F1771" s="120" t="s">
        <v>3249</v>
      </c>
    </row>
    <row r="1772" spans="1:6" x14ac:dyDescent="0.2">
      <c r="A1772" s="55">
        <v>85</v>
      </c>
      <c r="B1772" s="45" t="s">
        <v>601</v>
      </c>
      <c r="C1772" s="48">
        <v>5</v>
      </c>
      <c r="E1772" s="121" t="s">
        <v>1157</v>
      </c>
      <c r="F1772" s="120" t="s">
        <v>3249</v>
      </c>
    </row>
    <row r="1773" spans="1:6" x14ac:dyDescent="0.2">
      <c r="A1773" s="55">
        <v>85</v>
      </c>
      <c r="B1773" s="45" t="s">
        <v>394</v>
      </c>
      <c r="C1773" s="48">
        <v>5</v>
      </c>
      <c r="E1773" s="121" t="s">
        <v>3467</v>
      </c>
      <c r="F1773" s="120" t="s">
        <v>3258</v>
      </c>
    </row>
    <row r="1774" spans="1:6" x14ac:dyDescent="0.2">
      <c r="A1774" s="55">
        <v>85</v>
      </c>
      <c r="B1774" s="45" t="s">
        <v>340</v>
      </c>
      <c r="C1774" s="48">
        <v>5</v>
      </c>
      <c r="E1774" s="121" t="s">
        <v>1529</v>
      </c>
      <c r="F1774" s="120" t="s">
        <v>3249</v>
      </c>
    </row>
    <row r="1775" spans="1:6" x14ac:dyDescent="0.2">
      <c r="A1775" s="55">
        <v>85</v>
      </c>
      <c r="B1775" s="45" t="s">
        <v>593</v>
      </c>
      <c r="C1775" s="48">
        <v>5</v>
      </c>
      <c r="E1775" s="121" t="s">
        <v>2852</v>
      </c>
      <c r="F1775" s="120" t="s">
        <v>3227</v>
      </c>
    </row>
    <row r="1776" spans="1:6" x14ac:dyDescent="0.2">
      <c r="A1776" s="55">
        <v>85</v>
      </c>
      <c r="B1776" s="45" t="s">
        <v>2566</v>
      </c>
      <c r="C1776" s="48">
        <v>5</v>
      </c>
      <c r="E1776" s="121" t="s">
        <v>3331</v>
      </c>
      <c r="F1776" s="120" t="s">
        <v>3249</v>
      </c>
    </row>
    <row r="1777" spans="1:6" x14ac:dyDescent="0.2">
      <c r="A1777" s="55">
        <v>86</v>
      </c>
      <c r="B1777" s="45" t="s">
        <v>2722</v>
      </c>
      <c r="C1777" s="48">
        <v>70</v>
      </c>
      <c r="E1777" s="121" t="s">
        <v>3489</v>
      </c>
      <c r="F1777" s="120" t="s">
        <v>3310</v>
      </c>
    </row>
    <row r="1778" spans="1:6" x14ac:dyDescent="0.2">
      <c r="A1778" s="55">
        <v>86</v>
      </c>
      <c r="B1778" s="45" t="s">
        <v>347</v>
      </c>
      <c r="C1778" s="48">
        <v>25</v>
      </c>
      <c r="E1778" s="121" t="s">
        <v>3492</v>
      </c>
      <c r="F1778" s="120" t="s">
        <v>3312</v>
      </c>
    </row>
    <row r="1779" spans="1:6" x14ac:dyDescent="0.2">
      <c r="A1779" s="55">
        <v>86</v>
      </c>
      <c r="B1779" s="45" t="s">
        <v>2579</v>
      </c>
      <c r="C1779" s="48">
        <v>20</v>
      </c>
      <c r="E1779" s="121" t="s">
        <v>3516</v>
      </c>
      <c r="F1779" s="120" t="s">
        <v>3232</v>
      </c>
    </row>
    <row r="1780" spans="1:6" x14ac:dyDescent="0.2">
      <c r="A1780" s="55">
        <v>86</v>
      </c>
      <c r="B1780" s="45" t="s">
        <v>415</v>
      </c>
      <c r="C1780" s="48">
        <v>12</v>
      </c>
      <c r="E1780" s="121" t="s">
        <v>1144</v>
      </c>
      <c r="F1780" s="120" t="s">
        <v>3249</v>
      </c>
    </row>
    <row r="1781" spans="1:6" x14ac:dyDescent="0.2">
      <c r="A1781" s="55">
        <v>86</v>
      </c>
      <c r="B1781" s="45" t="s">
        <v>341</v>
      </c>
      <c r="C1781" s="48">
        <v>12</v>
      </c>
      <c r="E1781" s="121" t="s">
        <v>3062</v>
      </c>
      <c r="F1781" s="120" t="s">
        <v>3266</v>
      </c>
    </row>
    <row r="1782" spans="1:6" x14ac:dyDescent="0.2">
      <c r="A1782" s="55">
        <v>86</v>
      </c>
      <c r="B1782" s="45" t="s">
        <v>394</v>
      </c>
      <c r="C1782" s="48">
        <v>10</v>
      </c>
      <c r="E1782" s="121" t="s">
        <v>3467</v>
      </c>
      <c r="F1782" s="120" t="s">
        <v>3258</v>
      </c>
    </row>
    <row r="1783" spans="1:6" x14ac:dyDescent="0.2">
      <c r="A1783" s="55">
        <v>86</v>
      </c>
      <c r="B1783" s="45" t="s">
        <v>340</v>
      </c>
      <c r="C1783" s="48">
        <v>4</v>
      </c>
      <c r="E1783" s="121" t="s">
        <v>1529</v>
      </c>
      <c r="F1783" s="120" t="s">
        <v>3249</v>
      </c>
    </row>
    <row r="1784" spans="1:6" x14ac:dyDescent="0.2">
      <c r="A1784" s="55">
        <v>87</v>
      </c>
      <c r="B1784" s="45" t="s">
        <v>598</v>
      </c>
      <c r="C1784" s="48">
        <v>80</v>
      </c>
      <c r="E1784" s="121" t="s">
        <v>3478</v>
      </c>
      <c r="F1784" s="120" t="s">
        <v>3229</v>
      </c>
    </row>
    <row r="1785" spans="1:6" x14ac:dyDescent="0.2">
      <c r="A1785" s="55">
        <v>87</v>
      </c>
      <c r="B1785" s="45" t="s">
        <v>376</v>
      </c>
      <c r="C1785" s="48">
        <v>10</v>
      </c>
      <c r="E1785" s="121" t="s">
        <v>3462</v>
      </c>
      <c r="F1785" s="120" t="s">
        <v>3227</v>
      </c>
    </row>
    <row r="1786" spans="1:6" x14ac:dyDescent="0.2">
      <c r="A1786" s="55">
        <v>87</v>
      </c>
      <c r="B1786" s="45" t="s">
        <v>2632</v>
      </c>
      <c r="C1786" s="48">
        <v>8</v>
      </c>
      <c r="E1786" s="121" t="s">
        <v>3136</v>
      </c>
      <c r="F1786" s="120" t="s">
        <v>3227</v>
      </c>
    </row>
    <row r="1787" spans="1:6" x14ac:dyDescent="0.2">
      <c r="A1787" s="55">
        <v>87</v>
      </c>
      <c r="B1787" s="45" t="s">
        <v>418</v>
      </c>
      <c r="C1787" s="48">
        <v>8</v>
      </c>
      <c r="E1787" s="121" t="s">
        <v>3180</v>
      </c>
      <c r="F1787" s="120" t="s">
        <v>3286</v>
      </c>
    </row>
    <row r="1788" spans="1:6" x14ac:dyDescent="0.2">
      <c r="A1788" s="55">
        <v>87</v>
      </c>
      <c r="B1788" s="45" t="s">
        <v>453</v>
      </c>
      <c r="C1788" s="48">
        <v>8</v>
      </c>
      <c r="E1788" s="121" t="s">
        <v>3520</v>
      </c>
      <c r="F1788" s="120" t="s">
        <v>3258</v>
      </c>
    </row>
    <row r="1789" spans="1:6" x14ac:dyDescent="0.2">
      <c r="A1789" s="55">
        <v>87</v>
      </c>
      <c r="B1789" s="45" t="s">
        <v>327</v>
      </c>
      <c r="C1789" s="48">
        <v>6</v>
      </c>
      <c r="E1789" s="121" t="s">
        <v>3517</v>
      </c>
      <c r="F1789" s="120" t="s">
        <v>3226</v>
      </c>
    </row>
    <row r="1790" spans="1:6" x14ac:dyDescent="0.2">
      <c r="A1790" s="55">
        <v>87</v>
      </c>
      <c r="B1790" s="45" t="s">
        <v>526</v>
      </c>
      <c r="C1790" s="48">
        <v>4</v>
      </c>
      <c r="E1790" s="121" t="s">
        <v>3047</v>
      </c>
      <c r="F1790" s="120" t="s">
        <v>3263</v>
      </c>
    </row>
    <row r="1791" spans="1:6" x14ac:dyDescent="0.2">
      <c r="A1791" s="55">
        <v>88</v>
      </c>
      <c r="B1791" s="45" t="s">
        <v>530</v>
      </c>
      <c r="C1791" s="48">
        <v>50</v>
      </c>
      <c r="E1791" s="121" t="s">
        <v>561</v>
      </c>
      <c r="F1791" s="120" t="s">
        <v>3324</v>
      </c>
    </row>
    <row r="1792" spans="1:6" x14ac:dyDescent="0.2">
      <c r="A1792" s="55">
        <v>88</v>
      </c>
      <c r="B1792" s="45" t="s">
        <v>598</v>
      </c>
      <c r="C1792" s="48">
        <v>50</v>
      </c>
      <c r="E1792" s="121" t="s">
        <v>3478</v>
      </c>
      <c r="F1792" s="120" t="s">
        <v>3229</v>
      </c>
    </row>
    <row r="1793" spans="1:6" x14ac:dyDescent="0.2">
      <c r="A1793" s="55">
        <v>88</v>
      </c>
      <c r="B1793" s="45" t="s">
        <v>2567</v>
      </c>
      <c r="C1793" s="48">
        <v>50</v>
      </c>
      <c r="E1793" s="121" t="s">
        <v>3076</v>
      </c>
      <c r="F1793" s="120" t="s">
        <v>3258</v>
      </c>
    </row>
    <row r="1794" spans="1:6" x14ac:dyDescent="0.2">
      <c r="A1794" s="55">
        <v>88</v>
      </c>
      <c r="B1794" s="45" t="s">
        <v>418</v>
      </c>
      <c r="C1794" s="48">
        <v>10</v>
      </c>
      <c r="E1794" s="121" t="s">
        <v>3180</v>
      </c>
      <c r="F1794" s="120" t="s">
        <v>3286</v>
      </c>
    </row>
    <row r="1795" spans="1:6" x14ac:dyDescent="0.2">
      <c r="A1795" s="55">
        <v>88</v>
      </c>
      <c r="B1795" s="45" t="s">
        <v>982</v>
      </c>
      <c r="C1795" s="48">
        <v>5</v>
      </c>
      <c r="E1795" s="121" t="s">
        <v>1180</v>
      </c>
      <c r="F1795" s="120" t="s">
        <v>3228</v>
      </c>
    </row>
    <row r="1796" spans="1:6" x14ac:dyDescent="0.2">
      <c r="A1796" s="55">
        <v>88</v>
      </c>
      <c r="B1796" s="45" t="s">
        <v>421</v>
      </c>
      <c r="C1796" s="48">
        <v>3</v>
      </c>
      <c r="E1796" s="121" t="s">
        <v>3057</v>
      </c>
      <c r="F1796" s="120" t="s">
        <v>3257</v>
      </c>
    </row>
    <row r="1797" spans="1:6" x14ac:dyDescent="0.2">
      <c r="A1797" s="55">
        <v>88</v>
      </c>
      <c r="B1797" s="45" t="s">
        <v>526</v>
      </c>
      <c r="C1797" s="48">
        <v>2</v>
      </c>
      <c r="E1797" s="121" t="s">
        <v>3047</v>
      </c>
      <c r="F1797" s="120" t="s">
        <v>3263</v>
      </c>
    </row>
    <row r="1798" spans="1:6" x14ac:dyDescent="0.2">
      <c r="A1798" s="55">
        <v>88</v>
      </c>
      <c r="B1798" s="45" t="s">
        <v>528</v>
      </c>
      <c r="C1798" s="48">
        <v>2</v>
      </c>
      <c r="E1798" s="121" t="s">
        <v>559</v>
      </c>
      <c r="F1798" s="120" t="s">
        <v>3261</v>
      </c>
    </row>
    <row r="1799" spans="1:6" x14ac:dyDescent="0.2">
      <c r="A1799" s="55">
        <v>88</v>
      </c>
      <c r="B1799" s="45" t="s">
        <v>2809</v>
      </c>
      <c r="C1799" s="48">
        <v>1</v>
      </c>
      <c r="E1799" s="121" t="s">
        <v>1196</v>
      </c>
      <c r="F1799" s="120" t="s">
        <v>199</v>
      </c>
    </row>
    <row r="1800" spans="1:6" x14ac:dyDescent="0.2">
      <c r="A1800" s="55">
        <v>89</v>
      </c>
      <c r="B1800" s="45" t="s">
        <v>2649</v>
      </c>
      <c r="C1800" s="48">
        <v>30</v>
      </c>
      <c r="E1800" s="121" t="s">
        <v>3052</v>
      </c>
      <c r="F1800" s="120" t="s">
        <v>3250</v>
      </c>
    </row>
    <row r="1801" spans="1:6" x14ac:dyDescent="0.2">
      <c r="A1801" s="55">
        <v>89</v>
      </c>
      <c r="B1801" s="45" t="s">
        <v>341</v>
      </c>
      <c r="C1801" s="48">
        <v>25</v>
      </c>
      <c r="E1801" s="121" t="s">
        <v>3062</v>
      </c>
      <c r="F1801" s="120" t="s">
        <v>3266</v>
      </c>
    </row>
    <row r="1802" spans="1:6" x14ac:dyDescent="0.2">
      <c r="A1802" s="55">
        <v>89</v>
      </c>
      <c r="B1802" s="45" t="s">
        <v>2808</v>
      </c>
      <c r="C1802" s="48">
        <v>20</v>
      </c>
      <c r="E1802" s="121" t="s">
        <v>2830</v>
      </c>
      <c r="F1802" s="120" t="s">
        <v>1289</v>
      </c>
    </row>
    <row r="1803" spans="1:6" x14ac:dyDescent="0.2">
      <c r="A1803" s="55">
        <v>89</v>
      </c>
      <c r="B1803" s="45" t="s">
        <v>2566</v>
      </c>
      <c r="C1803" s="48">
        <v>15</v>
      </c>
      <c r="E1803" s="121" t="s">
        <v>3331</v>
      </c>
      <c r="F1803" s="120" t="s">
        <v>3249</v>
      </c>
    </row>
    <row r="1804" spans="1:6" x14ac:dyDescent="0.2">
      <c r="A1804" s="55">
        <v>89</v>
      </c>
      <c r="B1804" s="45" t="s">
        <v>327</v>
      </c>
      <c r="C1804" s="48">
        <v>10</v>
      </c>
      <c r="E1804" s="121" t="s">
        <v>3517</v>
      </c>
      <c r="F1804" s="120" t="s">
        <v>3226</v>
      </c>
    </row>
    <row r="1805" spans="1:6" x14ac:dyDescent="0.2">
      <c r="A1805" s="55">
        <v>89</v>
      </c>
      <c r="B1805" s="45" t="s">
        <v>2576</v>
      </c>
      <c r="C1805" s="48">
        <v>10</v>
      </c>
      <c r="E1805" s="121" t="s">
        <v>3090</v>
      </c>
      <c r="F1805" s="120" t="s">
        <v>3248</v>
      </c>
    </row>
    <row r="1806" spans="1:6" x14ac:dyDescent="0.2">
      <c r="A1806" s="55">
        <v>89</v>
      </c>
      <c r="B1806" s="45" t="s">
        <v>593</v>
      </c>
      <c r="C1806" s="48">
        <v>8</v>
      </c>
      <c r="E1806" s="121" t="s">
        <v>2852</v>
      </c>
      <c r="F1806" s="120" t="s">
        <v>3227</v>
      </c>
    </row>
    <row r="1807" spans="1:6" x14ac:dyDescent="0.2">
      <c r="A1807" s="55">
        <v>89</v>
      </c>
      <c r="B1807" s="45" t="s">
        <v>2666</v>
      </c>
      <c r="C1807" s="48">
        <v>7</v>
      </c>
      <c r="E1807" s="121" t="s">
        <v>1208</v>
      </c>
      <c r="F1807" s="120" t="s">
        <v>3274</v>
      </c>
    </row>
    <row r="1808" spans="1:6" x14ac:dyDescent="0.2">
      <c r="A1808" s="55">
        <v>89</v>
      </c>
      <c r="B1808" s="45" t="s">
        <v>350</v>
      </c>
      <c r="C1808" s="48">
        <v>5</v>
      </c>
      <c r="E1808" s="121" t="s">
        <v>1415</v>
      </c>
      <c r="F1808" s="120" t="s">
        <v>3249</v>
      </c>
    </row>
    <row r="1809" spans="1:6" x14ac:dyDescent="0.2">
      <c r="A1809" s="55">
        <v>89</v>
      </c>
      <c r="B1809" s="45" t="s">
        <v>2573</v>
      </c>
      <c r="C1809" s="48">
        <v>5</v>
      </c>
      <c r="E1809" s="121" t="s">
        <v>2880</v>
      </c>
      <c r="F1809" s="120" t="s">
        <v>3249</v>
      </c>
    </row>
    <row r="1810" spans="1:6" x14ac:dyDescent="0.2">
      <c r="A1810" s="55">
        <v>90</v>
      </c>
      <c r="B1810" s="45" t="s">
        <v>2580</v>
      </c>
      <c r="C1810" s="48">
        <v>45</v>
      </c>
      <c r="E1810" s="121" t="s">
        <v>2897</v>
      </c>
      <c r="F1810" s="120" t="s">
        <v>3257</v>
      </c>
    </row>
    <row r="1811" spans="1:6" x14ac:dyDescent="0.2">
      <c r="A1811" s="55">
        <v>90</v>
      </c>
      <c r="B1811" s="45" t="s">
        <v>2567</v>
      </c>
      <c r="C1811" s="48">
        <v>45</v>
      </c>
      <c r="E1811" s="121" t="s">
        <v>3076</v>
      </c>
      <c r="F1811" s="120" t="s">
        <v>3258</v>
      </c>
    </row>
    <row r="1812" spans="1:6" x14ac:dyDescent="0.2">
      <c r="A1812" s="55">
        <v>90</v>
      </c>
      <c r="B1812" s="45" t="s">
        <v>421</v>
      </c>
      <c r="C1812" s="48">
        <v>40</v>
      </c>
      <c r="E1812" s="121" t="s">
        <v>3057</v>
      </c>
      <c r="F1812" s="120" t="s">
        <v>3257</v>
      </c>
    </row>
    <row r="1813" spans="1:6" x14ac:dyDescent="0.2">
      <c r="A1813" s="55">
        <v>90</v>
      </c>
      <c r="B1813" s="45" t="s">
        <v>2632</v>
      </c>
      <c r="C1813" s="48">
        <v>15</v>
      </c>
      <c r="E1813" s="121" t="s">
        <v>3136</v>
      </c>
      <c r="F1813" s="120" t="s">
        <v>3227</v>
      </c>
    </row>
    <row r="1814" spans="1:6" x14ac:dyDescent="0.2">
      <c r="A1814" s="55">
        <v>90</v>
      </c>
      <c r="B1814" s="45" t="s">
        <v>343</v>
      </c>
      <c r="C1814" s="48">
        <v>10</v>
      </c>
      <c r="E1814" s="121" t="s">
        <v>3334</v>
      </c>
      <c r="F1814" s="120" t="s">
        <v>3303</v>
      </c>
    </row>
    <row r="1815" spans="1:6" x14ac:dyDescent="0.2">
      <c r="A1815" s="55">
        <v>90</v>
      </c>
      <c r="B1815" s="45" t="s">
        <v>1589</v>
      </c>
      <c r="C1815" s="48">
        <v>10</v>
      </c>
      <c r="E1815" s="121" t="s">
        <v>3328</v>
      </c>
      <c r="F1815" s="120" t="s">
        <v>3301</v>
      </c>
    </row>
    <row r="1816" spans="1:6" x14ac:dyDescent="0.2">
      <c r="A1816" s="55">
        <v>90</v>
      </c>
      <c r="B1816" s="45" t="s">
        <v>418</v>
      </c>
      <c r="C1816" s="48">
        <v>10</v>
      </c>
      <c r="E1816" s="121" t="s">
        <v>3180</v>
      </c>
      <c r="F1816" s="120" t="s">
        <v>3286</v>
      </c>
    </row>
    <row r="1817" spans="1:6" x14ac:dyDescent="0.2">
      <c r="A1817" s="55">
        <v>90</v>
      </c>
      <c r="B1817" s="45" t="s">
        <v>1585</v>
      </c>
      <c r="C1817" s="48">
        <v>7</v>
      </c>
      <c r="E1817" s="121" t="s">
        <v>3518</v>
      </c>
      <c r="F1817" s="120" t="s">
        <v>3297</v>
      </c>
    </row>
    <row r="1818" spans="1:6" x14ac:dyDescent="0.2">
      <c r="A1818" s="55">
        <v>90</v>
      </c>
      <c r="B1818" s="45" t="s">
        <v>2576</v>
      </c>
      <c r="C1818" s="48">
        <v>6</v>
      </c>
      <c r="E1818" s="121" t="s">
        <v>3090</v>
      </c>
      <c r="F1818" s="120" t="s">
        <v>3248</v>
      </c>
    </row>
    <row r="1819" spans="1:6" x14ac:dyDescent="0.2">
      <c r="A1819" s="55">
        <v>90</v>
      </c>
      <c r="B1819" s="45" t="s">
        <v>982</v>
      </c>
      <c r="C1819" s="48">
        <v>5</v>
      </c>
      <c r="E1819" s="121" t="s">
        <v>1180</v>
      </c>
      <c r="F1819" s="120" t="s">
        <v>3228</v>
      </c>
    </row>
    <row r="1820" spans="1:6" x14ac:dyDescent="0.2">
      <c r="A1820" s="55">
        <v>90</v>
      </c>
      <c r="B1820" s="45" t="s">
        <v>593</v>
      </c>
      <c r="C1820" s="48">
        <v>4</v>
      </c>
      <c r="E1820" s="121" t="s">
        <v>2852</v>
      </c>
      <c r="F1820" s="120" t="s">
        <v>3227</v>
      </c>
    </row>
    <row r="1821" spans="1:6" x14ac:dyDescent="0.2">
      <c r="A1821" s="55">
        <v>91</v>
      </c>
      <c r="B1821" s="45" t="s">
        <v>2565</v>
      </c>
      <c r="C1821" s="48">
        <v>90</v>
      </c>
      <c r="E1821" s="121" t="s">
        <v>3435</v>
      </c>
      <c r="F1821" s="120" t="s">
        <v>3286</v>
      </c>
    </row>
    <row r="1822" spans="1:6" x14ac:dyDescent="0.2">
      <c r="A1822" s="55">
        <v>91</v>
      </c>
      <c r="B1822" s="45" t="s">
        <v>432</v>
      </c>
      <c r="C1822" s="48">
        <v>25</v>
      </c>
      <c r="E1822" s="121" t="s">
        <v>3186</v>
      </c>
      <c r="F1822" s="120" t="s">
        <v>3284</v>
      </c>
    </row>
    <row r="1823" spans="1:6" x14ac:dyDescent="0.2">
      <c r="A1823" s="55">
        <v>91</v>
      </c>
      <c r="B1823" s="45" t="s">
        <v>404</v>
      </c>
      <c r="C1823" s="48">
        <v>10</v>
      </c>
      <c r="E1823" s="121" t="s">
        <v>3463</v>
      </c>
      <c r="F1823" s="120" t="s">
        <v>3258</v>
      </c>
    </row>
    <row r="1824" spans="1:6" x14ac:dyDescent="0.2">
      <c r="A1824" s="55">
        <v>91</v>
      </c>
      <c r="B1824" s="45" t="s">
        <v>341</v>
      </c>
      <c r="C1824" s="48">
        <v>8</v>
      </c>
      <c r="E1824" s="121" t="s">
        <v>3062</v>
      </c>
      <c r="F1824" s="120" t="s">
        <v>3266</v>
      </c>
    </row>
    <row r="1825" spans="1:6" x14ac:dyDescent="0.2">
      <c r="A1825" s="55">
        <v>91</v>
      </c>
      <c r="B1825" s="45" t="s">
        <v>2579</v>
      </c>
      <c r="C1825" s="48">
        <v>8</v>
      </c>
      <c r="E1825" s="121" t="s">
        <v>3516</v>
      </c>
      <c r="F1825" s="120" t="s">
        <v>3232</v>
      </c>
    </row>
    <row r="1826" spans="1:6" x14ac:dyDescent="0.2">
      <c r="A1826" s="55">
        <v>91</v>
      </c>
      <c r="B1826" s="45" t="s">
        <v>350</v>
      </c>
      <c r="C1826" s="48">
        <v>6</v>
      </c>
      <c r="E1826" s="121" t="s">
        <v>1415</v>
      </c>
      <c r="F1826" s="120" t="s">
        <v>3249</v>
      </c>
    </row>
    <row r="1827" spans="1:6" x14ac:dyDescent="0.2">
      <c r="A1827" s="55">
        <v>91</v>
      </c>
      <c r="B1827" s="45" t="s">
        <v>2576</v>
      </c>
      <c r="C1827" s="48">
        <v>6</v>
      </c>
      <c r="E1827" s="121" t="s">
        <v>3090</v>
      </c>
      <c r="F1827" s="120" t="s">
        <v>3248</v>
      </c>
    </row>
    <row r="1828" spans="1:6" x14ac:dyDescent="0.2">
      <c r="A1828" s="55">
        <v>91</v>
      </c>
      <c r="B1828" s="45" t="s">
        <v>2649</v>
      </c>
      <c r="C1828" s="48">
        <v>5</v>
      </c>
      <c r="E1828" s="121" t="s">
        <v>3052</v>
      </c>
      <c r="F1828" s="120" t="s">
        <v>3250</v>
      </c>
    </row>
    <row r="1829" spans="1:6" x14ac:dyDescent="0.2">
      <c r="A1829" s="55">
        <v>91</v>
      </c>
      <c r="B1829" s="45" t="s">
        <v>394</v>
      </c>
      <c r="C1829" s="48">
        <v>3</v>
      </c>
      <c r="E1829" s="121" t="s">
        <v>3467</v>
      </c>
      <c r="F1829" s="120" t="s">
        <v>3258</v>
      </c>
    </row>
    <row r="1830" spans="1:6" x14ac:dyDescent="0.2">
      <c r="A1830" s="55">
        <v>92</v>
      </c>
      <c r="B1830" s="45" t="s">
        <v>601</v>
      </c>
      <c r="C1830" s="48">
        <v>40</v>
      </c>
      <c r="E1830" s="121" t="s">
        <v>1157</v>
      </c>
      <c r="F1830" s="120" t="s">
        <v>3249</v>
      </c>
    </row>
    <row r="1831" spans="1:6" x14ac:dyDescent="0.2">
      <c r="A1831" s="55">
        <v>92</v>
      </c>
      <c r="B1831" s="45" t="s">
        <v>360</v>
      </c>
      <c r="C1831" s="48">
        <v>20</v>
      </c>
      <c r="E1831" s="121" t="s">
        <v>3522</v>
      </c>
      <c r="F1831" s="120" t="s">
        <v>3258</v>
      </c>
    </row>
    <row r="1832" spans="1:6" x14ac:dyDescent="0.2">
      <c r="A1832" s="55">
        <v>92</v>
      </c>
      <c r="B1832" s="45" t="s">
        <v>356</v>
      </c>
      <c r="C1832" s="48">
        <v>15</v>
      </c>
      <c r="E1832" s="121" t="s">
        <v>2902</v>
      </c>
      <c r="F1832" s="120" t="s">
        <v>3258</v>
      </c>
    </row>
    <row r="1833" spans="1:6" x14ac:dyDescent="0.2">
      <c r="A1833" s="55">
        <v>92</v>
      </c>
      <c r="B1833" s="45" t="s">
        <v>340</v>
      </c>
      <c r="C1833" s="48">
        <v>15</v>
      </c>
      <c r="E1833" s="121" t="s">
        <v>1529</v>
      </c>
      <c r="F1833" s="120" t="s">
        <v>3249</v>
      </c>
    </row>
    <row r="1834" spans="1:6" x14ac:dyDescent="0.2">
      <c r="A1834" s="55">
        <v>92</v>
      </c>
      <c r="B1834" s="45" t="s">
        <v>364</v>
      </c>
      <c r="C1834" s="48">
        <v>15</v>
      </c>
      <c r="E1834" s="121" t="s">
        <v>3495</v>
      </c>
      <c r="F1834" s="120" t="s">
        <v>3313</v>
      </c>
    </row>
    <row r="1835" spans="1:6" x14ac:dyDescent="0.2">
      <c r="A1835" s="55">
        <v>92</v>
      </c>
      <c r="B1835" s="45" t="s">
        <v>352</v>
      </c>
      <c r="C1835" s="48">
        <v>12</v>
      </c>
      <c r="E1835" s="121" t="s">
        <v>2908</v>
      </c>
      <c r="F1835" s="120" t="s">
        <v>3259</v>
      </c>
    </row>
    <row r="1836" spans="1:6" x14ac:dyDescent="0.2">
      <c r="A1836" s="55">
        <v>92</v>
      </c>
      <c r="B1836" s="45" t="s">
        <v>342</v>
      </c>
      <c r="C1836" s="48">
        <v>10</v>
      </c>
      <c r="E1836" s="121" t="s">
        <v>1169</v>
      </c>
      <c r="F1836" s="120" t="s">
        <v>3249</v>
      </c>
    </row>
    <row r="1837" spans="1:6" x14ac:dyDescent="0.2">
      <c r="A1837" s="55">
        <v>92</v>
      </c>
      <c r="B1837" s="45" t="s">
        <v>2583</v>
      </c>
      <c r="C1837" s="48">
        <v>10</v>
      </c>
      <c r="E1837" s="121" t="s">
        <v>1177</v>
      </c>
      <c r="F1837" s="120" t="s">
        <v>3288</v>
      </c>
    </row>
    <row r="1838" spans="1:6" x14ac:dyDescent="0.2">
      <c r="A1838" s="55">
        <v>92</v>
      </c>
      <c r="B1838" s="45" t="s">
        <v>3151</v>
      </c>
      <c r="C1838" s="48">
        <v>5</v>
      </c>
      <c r="E1838" s="121" t="s">
        <v>3194</v>
      </c>
      <c r="F1838" s="120" t="s">
        <v>3258</v>
      </c>
    </row>
    <row r="1839" spans="1:6" x14ac:dyDescent="0.2">
      <c r="A1839" s="55">
        <v>92</v>
      </c>
      <c r="B1839" s="45" t="s">
        <v>2639</v>
      </c>
      <c r="C1839" s="48">
        <v>3</v>
      </c>
      <c r="E1839" s="121" t="s">
        <v>1430</v>
      </c>
      <c r="F1839" s="120" t="s">
        <v>3288</v>
      </c>
    </row>
    <row r="1840" spans="1:6" x14ac:dyDescent="0.2">
      <c r="A1840" s="55">
        <v>92</v>
      </c>
      <c r="B1840" s="45" t="s">
        <v>344</v>
      </c>
      <c r="C1840" s="48">
        <v>3</v>
      </c>
      <c r="E1840" s="121" t="s">
        <v>1403</v>
      </c>
      <c r="F1840" s="120" t="s">
        <v>3215</v>
      </c>
    </row>
    <row r="1841" spans="1:6" x14ac:dyDescent="0.2">
      <c r="A1841" s="55">
        <v>93</v>
      </c>
      <c r="B1841" s="45" t="s">
        <v>360</v>
      </c>
      <c r="C1841" s="48">
        <v>20</v>
      </c>
      <c r="E1841" s="121" t="s">
        <v>3522</v>
      </c>
      <c r="F1841" s="120" t="s">
        <v>3258</v>
      </c>
    </row>
    <row r="1842" spans="1:6" x14ac:dyDescent="0.2">
      <c r="A1842" s="55">
        <v>93</v>
      </c>
      <c r="B1842" s="45" t="s">
        <v>340</v>
      </c>
      <c r="C1842" s="48">
        <v>15</v>
      </c>
      <c r="E1842" s="121" t="s">
        <v>1529</v>
      </c>
      <c r="F1842" s="120" t="s">
        <v>3249</v>
      </c>
    </row>
    <row r="1843" spans="1:6" x14ac:dyDescent="0.2">
      <c r="A1843" s="55">
        <v>93</v>
      </c>
      <c r="B1843" s="45" t="s">
        <v>364</v>
      </c>
      <c r="C1843" s="48">
        <v>15</v>
      </c>
      <c r="E1843" s="121" t="s">
        <v>3495</v>
      </c>
      <c r="F1843" s="120" t="s">
        <v>3313</v>
      </c>
    </row>
    <row r="1844" spans="1:6" x14ac:dyDescent="0.2">
      <c r="A1844" s="55">
        <v>93</v>
      </c>
      <c r="B1844" s="45" t="s">
        <v>352</v>
      </c>
      <c r="C1844" s="48">
        <v>12</v>
      </c>
      <c r="E1844" s="121" t="s">
        <v>2908</v>
      </c>
      <c r="F1844" s="120" t="s">
        <v>3259</v>
      </c>
    </row>
    <row r="1845" spans="1:6" x14ac:dyDescent="0.2">
      <c r="A1845" s="55">
        <v>93</v>
      </c>
      <c r="B1845" s="45" t="s">
        <v>342</v>
      </c>
      <c r="C1845" s="48">
        <v>10</v>
      </c>
      <c r="E1845" s="121" t="s">
        <v>1169</v>
      </c>
      <c r="F1845" s="120" t="s">
        <v>3249</v>
      </c>
    </row>
    <row r="1846" spans="1:6" x14ac:dyDescent="0.2">
      <c r="A1846" s="55">
        <v>93</v>
      </c>
      <c r="B1846" s="45" t="s">
        <v>350</v>
      </c>
      <c r="C1846" s="48">
        <v>5</v>
      </c>
      <c r="E1846" s="121" t="s">
        <v>1415</v>
      </c>
      <c r="F1846" s="120" t="s">
        <v>3249</v>
      </c>
    </row>
    <row r="1847" spans="1:6" x14ac:dyDescent="0.2">
      <c r="A1847" s="55">
        <v>93</v>
      </c>
      <c r="B1847" s="45" t="s">
        <v>3151</v>
      </c>
      <c r="C1847" s="48">
        <v>5</v>
      </c>
      <c r="E1847" s="121" t="s">
        <v>3194</v>
      </c>
      <c r="F1847" s="120" t="s">
        <v>3258</v>
      </c>
    </row>
    <row r="1848" spans="1:6" x14ac:dyDescent="0.2">
      <c r="A1848" s="55">
        <v>93</v>
      </c>
      <c r="B1848" s="45" t="s">
        <v>453</v>
      </c>
      <c r="C1848" s="48">
        <v>5</v>
      </c>
      <c r="E1848" s="121" t="s">
        <v>3520</v>
      </c>
      <c r="F1848" s="120" t="s">
        <v>3258</v>
      </c>
    </row>
    <row r="1849" spans="1:6" x14ac:dyDescent="0.2">
      <c r="A1849" s="55">
        <v>93</v>
      </c>
      <c r="B1849" s="45" t="s">
        <v>2639</v>
      </c>
      <c r="C1849" s="48">
        <v>3</v>
      </c>
      <c r="E1849" s="121" t="s">
        <v>1430</v>
      </c>
      <c r="F1849" s="120" t="s">
        <v>3288</v>
      </c>
    </row>
    <row r="1850" spans="1:6" x14ac:dyDescent="0.2">
      <c r="A1850" s="55">
        <v>93</v>
      </c>
      <c r="B1850" s="45" t="s">
        <v>341</v>
      </c>
      <c r="C1850" s="48">
        <v>3</v>
      </c>
      <c r="E1850" s="121" t="s">
        <v>3062</v>
      </c>
      <c r="F1850" s="120" t="s">
        <v>3266</v>
      </c>
    </row>
    <row r="1851" spans="1:6" x14ac:dyDescent="0.2">
      <c r="A1851" s="55">
        <v>93</v>
      </c>
      <c r="B1851" s="45" t="s">
        <v>344</v>
      </c>
      <c r="C1851" s="48">
        <v>3</v>
      </c>
      <c r="E1851" s="121" t="s">
        <v>1403</v>
      </c>
      <c r="F1851" s="120" t="s">
        <v>3215</v>
      </c>
    </row>
    <row r="1852" spans="1:6" x14ac:dyDescent="0.2">
      <c r="A1852" s="55">
        <v>93</v>
      </c>
      <c r="B1852" s="45" t="s">
        <v>392</v>
      </c>
      <c r="C1852" s="48">
        <v>0.5</v>
      </c>
      <c r="E1852" s="121" t="s">
        <v>3473</v>
      </c>
      <c r="F1852" s="120" t="s">
        <v>3227</v>
      </c>
    </row>
    <row r="1853" spans="1:6" x14ac:dyDescent="0.2">
      <c r="A1853" s="55">
        <v>94</v>
      </c>
      <c r="B1853" s="45" t="s">
        <v>355</v>
      </c>
      <c r="C1853" s="48">
        <v>50</v>
      </c>
      <c r="E1853" s="121" t="s">
        <v>1150</v>
      </c>
      <c r="F1853" s="120" t="s">
        <v>3287</v>
      </c>
    </row>
    <row r="1854" spans="1:6" x14ac:dyDescent="0.2">
      <c r="A1854" s="55">
        <v>94</v>
      </c>
      <c r="B1854" s="45" t="s">
        <v>400</v>
      </c>
      <c r="C1854" s="48">
        <v>15</v>
      </c>
      <c r="E1854" s="121" t="s">
        <v>1411</v>
      </c>
      <c r="F1854" s="120" t="s">
        <v>3249</v>
      </c>
    </row>
    <row r="1855" spans="1:6" x14ac:dyDescent="0.2">
      <c r="A1855" s="55">
        <v>94</v>
      </c>
      <c r="B1855" s="45" t="s">
        <v>356</v>
      </c>
      <c r="C1855" s="48">
        <v>10</v>
      </c>
      <c r="E1855" s="121" t="s">
        <v>2902</v>
      </c>
      <c r="F1855" s="120" t="s">
        <v>3258</v>
      </c>
    </row>
    <row r="1856" spans="1:6" x14ac:dyDescent="0.2">
      <c r="A1856" s="55">
        <v>94</v>
      </c>
      <c r="B1856" s="45" t="s">
        <v>2649</v>
      </c>
      <c r="C1856" s="48">
        <v>10</v>
      </c>
      <c r="E1856" s="121" t="s">
        <v>3052</v>
      </c>
      <c r="F1856" s="120" t="s">
        <v>3250</v>
      </c>
    </row>
    <row r="1857" spans="1:6" x14ac:dyDescent="0.2">
      <c r="A1857" s="55">
        <v>94</v>
      </c>
      <c r="B1857" s="45" t="s">
        <v>394</v>
      </c>
      <c r="C1857" s="48">
        <v>10</v>
      </c>
      <c r="E1857" s="121" t="s">
        <v>3467</v>
      </c>
      <c r="F1857" s="120" t="s">
        <v>3258</v>
      </c>
    </row>
    <row r="1858" spans="1:6" x14ac:dyDescent="0.2">
      <c r="A1858" s="55">
        <v>94</v>
      </c>
      <c r="B1858" s="45" t="s">
        <v>2579</v>
      </c>
      <c r="C1858" s="48">
        <v>10</v>
      </c>
      <c r="E1858" s="121" t="s">
        <v>3516</v>
      </c>
      <c r="F1858" s="120" t="s">
        <v>3232</v>
      </c>
    </row>
    <row r="1859" spans="1:6" x14ac:dyDescent="0.2">
      <c r="A1859" s="55">
        <v>94</v>
      </c>
      <c r="B1859" s="45" t="s">
        <v>593</v>
      </c>
      <c r="C1859" s="48">
        <v>10</v>
      </c>
      <c r="E1859" s="121" t="s">
        <v>2852</v>
      </c>
      <c r="F1859" s="120" t="s">
        <v>3227</v>
      </c>
    </row>
    <row r="1860" spans="1:6" x14ac:dyDescent="0.2">
      <c r="A1860" s="55">
        <v>94</v>
      </c>
      <c r="B1860" s="45" t="s">
        <v>364</v>
      </c>
      <c r="C1860" s="48">
        <v>5</v>
      </c>
      <c r="E1860" s="121" t="s">
        <v>3495</v>
      </c>
      <c r="F1860" s="120" t="s">
        <v>3313</v>
      </c>
    </row>
    <row r="1861" spans="1:6" x14ac:dyDescent="0.2">
      <c r="A1861" s="55">
        <v>95</v>
      </c>
      <c r="B1861" s="45" t="s">
        <v>376</v>
      </c>
      <c r="C1861" s="48">
        <v>20</v>
      </c>
      <c r="E1861" s="121" t="s">
        <v>3462</v>
      </c>
      <c r="F1861" s="120" t="s">
        <v>3227</v>
      </c>
    </row>
    <row r="1862" spans="1:6" x14ac:dyDescent="0.2">
      <c r="A1862" s="55">
        <v>95</v>
      </c>
      <c r="B1862" s="45" t="s">
        <v>400</v>
      </c>
      <c r="C1862" s="48">
        <v>15</v>
      </c>
      <c r="E1862" s="121" t="s">
        <v>1411</v>
      </c>
      <c r="F1862" s="120" t="s">
        <v>3249</v>
      </c>
    </row>
    <row r="1863" spans="1:6" x14ac:dyDescent="0.2">
      <c r="A1863" s="55">
        <v>95</v>
      </c>
      <c r="B1863" s="45" t="s">
        <v>445</v>
      </c>
      <c r="C1863" s="48">
        <v>15</v>
      </c>
      <c r="E1863" s="121" t="s">
        <v>3474</v>
      </c>
      <c r="F1863" s="120" t="s">
        <v>3227</v>
      </c>
    </row>
    <row r="1864" spans="1:6" x14ac:dyDescent="0.2">
      <c r="A1864" s="55">
        <v>95</v>
      </c>
      <c r="B1864" s="45" t="s">
        <v>356</v>
      </c>
      <c r="C1864" s="48">
        <v>10</v>
      </c>
      <c r="E1864" s="121" t="s">
        <v>2902</v>
      </c>
      <c r="F1864" s="120" t="s">
        <v>3258</v>
      </c>
    </row>
    <row r="1865" spans="1:6" x14ac:dyDescent="0.2">
      <c r="A1865" s="55">
        <v>95</v>
      </c>
      <c r="B1865" s="45" t="s">
        <v>2722</v>
      </c>
      <c r="C1865" s="48">
        <v>10</v>
      </c>
      <c r="E1865" s="121" t="s">
        <v>3489</v>
      </c>
      <c r="F1865" s="120" t="s">
        <v>3310</v>
      </c>
    </row>
    <row r="1866" spans="1:6" x14ac:dyDescent="0.2">
      <c r="A1866" s="55">
        <v>95</v>
      </c>
      <c r="B1866" s="45" t="s">
        <v>415</v>
      </c>
      <c r="C1866" s="48">
        <v>10</v>
      </c>
      <c r="E1866" s="121" t="s">
        <v>1144</v>
      </c>
      <c r="F1866" s="120" t="s">
        <v>3249</v>
      </c>
    </row>
    <row r="1867" spans="1:6" x14ac:dyDescent="0.2">
      <c r="A1867" s="55">
        <v>95</v>
      </c>
      <c r="B1867" s="45" t="s">
        <v>394</v>
      </c>
      <c r="C1867" s="48">
        <v>10</v>
      </c>
      <c r="E1867" s="121" t="s">
        <v>3467</v>
      </c>
      <c r="F1867" s="120" t="s">
        <v>3258</v>
      </c>
    </row>
    <row r="1868" spans="1:6" x14ac:dyDescent="0.2">
      <c r="A1868" s="55">
        <v>95</v>
      </c>
      <c r="B1868" s="45" t="s">
        <v>2579</v>
      </c>
      <c r="C1868" s="48">
        <v>10</v>
      </c>
      <c r="E1868" s="121" t="s">
        <v>3516</v>
      </c>
      <c r="F1868" s="120" t="s">
        <v>3232</v>
      </c>
    </row>
    <row r="1869" spans="1:6" x14ac:dyDescent="0.2">
      <c r="A1869" s="55">
        <v>95</v>
      </c>
      <c r="B1869" s="45" t="s">
        <v>453</v>
      </c>
      <c r="C1869" s="48">
        <v>5</v>
      </c>
      <c r="E1869" s="121" t="s">
        <v>3520</v>
      </c>
      <c r="F1869" s="120" t="s">
        <v>3258</v>
      </c>
    </row>
    <row r="1870" spans="1:6" x14ac:dyDescent="0.2">
      <c r="A1870" s="55">
        <v>95</v>
      </c>
      <c r="B1870" s="45" t="s">
        <v>364</v>
      </c>
      <c r="C1870" s="48">
        <v>5</v>
      </c>
      <c r="E1870" s="121" t="s">
        <v>3495</v>
      </c>
      <c r="F1870" s="120" t="s">
        <v>3313</v>
      </c>
    </row>
    <row r="1871" spans="1:6" x14ac:dyDescent="0.2">
      <c r="A1871" s="55">
        <v>96</v>
      </c>
      <c r="B1871" s="45" t="s">
        <v>415</v>
      </c>
      <c r="C1871" s="48">
        <v>50</v>
      </c>
      <c r="E1871" s="121" t="s">
        <v>1144</v>
      </c>
      <c r="F1871" s="120" t="s">
        <v>3249</v>
      </c>
    </row>
    <row r="1872" spans="1:6" x14ac:dyDescent="0.2">
      <c r="A1872" s="55">
        <v>96</v>
      </c>
      <c r="B1872" s="45" t="s">
        <v>2649</v>
      </c>
      <c r="C1872" s="48">
        <v>30</v>
      </c>
      <c r="E1872" s="121" t="s">
        <v>3052</v>
      </c>
      <c r="F1872" s="120" t="s">
        <v>3250</v>
      </c>
    </row>
    <row r="1873" spans="1:6" x14ac:dyDescent="0.2">
      <c r="A1873" s="55">
        <v>96</v>
      </c>
      <c r="B1873" s="45" t="s">
        <v>2579</v>
      </c>
      <c r="C1873" s="48">
        <v>25</v>
      </c>
      <c r="E1873" s="121" t="s">
        <v>3516</v>
      </c>
      <c r="F1873" s="120" t="s">
        <v>3232</v>
      </c>
    </row>
    <row r="1874" spans="1:6" x14ac:dyDescent="0.2">
      <c r="A1874" s="55">
        <v>96</v>
      </c>
      <c r="B1874" s="45" t="s">
        <v>2722</v>
      </c>
      <c r="C1874" s="48">
        <v>15</v>
      </c>
      <c r="E1874" s="121" t="s">
        <v>3489</v>
      </c>
      <c r="F1874" s="120" t="s">
        <v>3310</v>
      </c>
    </row>
    <row r="1875" spans="1:6" x14ac:dyDescent="0.2">
      <c r="A1875" s="55">
        <v>96</v>
      </c>
      <c r="B1875" s="45" t="s">
        <v>441</v>
      </c>
      <c r="C1875" s="48">
        <v>10</v>
      </c>
      <c r="E1875" s="121" t="s">
        <v>3469</v>
      </c>
      <c r="F1875" s="120" t="s">
        <v>3258</v>
      </c>
    </row>
    <row r="1876" spans="1:6" x14ac:dyDescent="0.2">
      <c r="A1876" s="55">
        <v>96</v>
      </c>
      <c r="B1876" s="45" t="s">
        <v>340</v>
      </c>
      <c r="C1876" s="48">
        <v>7</v>
      </c>
      <c r="E1876" s="121" t="s">
        <v>1529</v>
      </c>
      <c r="F1876" s="120" t="s">
        <v>3249</v>
      </c>
    </row>
    <row r="1877" spans="1:6" x14ac:dyDescent="0.2">
      <c r="A1877" s="55">
        <v>96</v>
      </c>
      <c r="B1877" s="45" t="s">
        <v>394</v>
      </c>
      <c r="C1877" s="48">
        <v>4</v>
      </c>
      <c r="E1877" s="121" t="s">
        <v>3467</v>
      </c>
      <c r="F1877" s="120" t="s">
        <v>3258</v>
      </c>
    </row>
    <row r="1878" spans="1:6" x14ac:dyDescent="0.2">
      <c r="A1878" s="55">
        <v>97</v>
      </c>
      <c r="B1878" s="45" t="s">
        <v>415</v>
      </c>
      <c r="C1878" s="48">
        <v>95</v>
      </c>
      <c r="E1878" s="121" t="s">
        <v>1144</v>
      </c>
      <c r="F1878" s="120" t="s">
        <v>3249</v>
      </c>
    </row>
    <row r="1879" spans="1:6" x14ac:dyDescent="0.2">
      <c r="A1879" s="55">
        <v>97</v>
      </c>
      <c r="B1879" s="45" t="s">
        <v>2722</v>
      </c>
      <c r="C1879" s="48">
        <v>15</v>
      </c>
      <c r="E1879" s="121" t="s">
        <v>3489</v>
      </c>
      <c r="F1879" s="120" t="s">
        <v>3310</v>
      </c>
    </row>
    <row r="1880" spans="1:6" x14ac:dyDescent="0.2">
      <c r="A1880" s="55">
        <v>97</v>
      </c>
      <c r="B1880" s="45" t="s">
        <v>400</v>
      </c>
      <c r="C1880" s="48">
        <v>7</v>
      </c>
      <c r="E1880" s="121" t="s">
        <v>1411</v>
      </c>
      <c r="F1880" s="120" t="s">
        <v>3249</v>
      </c>
    </row>
    <row r="1881" spans="1:6" x14ac:dyDescent="0.2">
      <c r="A1881" s="55">
        <v>97</v>
      </c>
      <c r="B1881" s="45" t="s">
        <v>394</v>
      </c>
      <c r="C1881" s="48">
        <v>3</v>
      </c>
      <c r="E1881" s="121" t="s">
        <v>3467</v>
      </c>
      <c r="F1881" s="120" t="s">
        <v>3258</v>
      </c>
    </row>
    <row r="1882" spans="1:6" x14ac:dyDescent="0.2">
      <c r="A1882" s="55">
        <v>98</v>
      </c>
      <c r="B1882" s="46" t="s">
        <v>340</v>
      </c>
      <c r="C1882" s="52">
        <v>50</v>
      </c>
      <c r="E1882" s="121" t="s">
        <v>1529</v>
      </c>
      <c r="F1882" s="120" t="s">
        <v>3249</v>
      </c>
    </row>
    <row r="1883" spans="1:6" x14ac:dyDescent="0.2">
      <c r="A1883" s="55">
        <v>98</v>
      </c>
      <c r="B1883" s="46" t="s">
        <v>347</v>
      </c>
      <c r="C1883" s="52">
        <v>35</v>
      </c>
      <c r="E1883" s="121" t="s">
        <v>3492</v>
      </c>
      <c r="F1883" s="120" t="s">
        <v>3312</v>
      </c>
    </row>
    <row r="1884" spans="1:6" x14ac:dyDescent="0.2">
      <c r="A1884" s="55">
        <v>98</v>
      </c>
      <c r="B1884" s="46" t="s">
        <v>341</v>
      </c>
      <c r="C1884" s="52">
        <v>15</v>
      </c>
      <c r="E1884" s="121" t="s">
        <v>3062</v>
      </c>
      <c r="F1884" s="120" t="s">
        <v>3266</v>
      </c>
    </row>
    <row r="1885" spans="1:6" x14ac:dyDescent="0.2">
      <c r="A1885" s="55">
        <v>98</v>
      </c>
      <c r="B1885" s="46" t="s">
        <v>453</v>
      </c>
      <c r="C1885" s="52">
        <v>15</v>
      </c>
      <c r="E1885" s="121" t="s">
        <v>3520</v>
      </c>
      <c r="F1885" s="120" t="s">
        <v>3258</v>
      </c>
    </row>
    <row r="1886" spans="1:6" x14ac:dyDescent="0.2">
      <c r="A1886" s="55">
        <v>98</v>
      </c>
      <c r="B1886" s="46" t="s">
        <v>376</v>
      </c>
      <c r="C1886" s="52">
        <v>8</v>
      </c>
      <c r="E1886" s="121" t="s">
        <v>3462</v>
      </c>
      <c r="F1886" s="120" t="s">
        <v>3227</v>
      </c>
    </row>
    <row r="1887" spans="1:6" x14ac:dyDescent="0.2">
      <c r="A1887" s="55">
        <v>98</v>
      </c>
      <c r="B1887" s="46" t="s">
        <v>386</v>
      </c>
      <c r="C1887" s="52">
        <v>8</v>
      </c>
      <c r="E1887" s="121" t="s">
        <v>3498</v>
      </c>
      <c r="F1887" s="120" t="s">
        <v>3215</v>
      </c>
    </row>
    <row r="1888" spans="1:6" x14ac:dyDescent="0.2">
      <c r="A1888" s="55">
        <v>98</v>
      </c>
      <c r="B1888" s="46" t="s">
        <v>432</v>
      </c>
      <c r="C1888" s="52">
        <v>8</v>
      </c>
      <c r="E1888" s="121" t="s">
        <v>3186</v>
      </c>
      <c r="F1888" s="120" t="s">
        <v>3284</v>
      </c>
    </row>
    <row r="1889" spans="1:6" x14ac:dyDescent="0.2">
      <c r="A1889" s="55">
        <v>98</v>
      </c>
      <c r="B1889" s="46" t="s">
        <v>2581</v>
      </c>
      <c r="C1889" s="52">
        <v>7</v>
      </c>
      <c r="E1889" s="121" t="s">
        <v>3506</v>
      </c>
      <c r="F1889" s="120" t="s">
        <v>3215</v>
      </c>
    </row>
    <row r="1890" spans="1:6" x14ac:dyDescent="0.2">
      <c r="A1890" s="55">
        <v>98</v>
      </c>
      <c r="B1890" s="46" t="s">
        <v>363</v>
      </c>
      <c r="C1890" s="52">
        <v>6</v>
      </c>
      <c r="E1890" s="121" t="s">
        <v>3048</v>
      </c>
      <c r="F1890" s="120" t="s">
        <v>3250</v>
      </c>
    </row>
    <row r="1891" spans="1:6" x14ac:dyDescent="0.2">
      <c r="A1891" s="55">
        <v>99</v>
      </c>
      <c r="B1891" s="46" t="s">
        <v>448</v>
      </c>
      <c r="C1891" s="52">
        <v>40</v>
      </c>
      <c r="E1891" s="121" t="s">
        <v>3173</v>
      </c>
      <c r="F1891" s="120" t="s">
        <v>3285</v>
      </c>
    </row>
    <row r="1892" spans="1:6" x14ac:dyDescent="0.2">
      <c r="A1892" s="55">
        <v>99</v>
      </c>
      <c r="B1892" s="46" t="s">
        <v>340</v>
      </c>
      <c r="C1892" s="52">
        <v>18</v>
      </c>
      <c r="E1892" s="121" t="s">
        <v>1529</v>
      </c>
      <c r="F1892" s="120" t="s">
        <v>3249</v>
      </c>
    </row>
    <row r="1893" spans="1:6" x14ac:dyDescent="0.2">
      <c r="A1893" s="55">
        <v>99</v>
      </c>
      <c r="B1893" s="46" t="s">
        <v>342</v>
      </c>
      <c r="C1893" s="52">
        <v>15</v>
      </c>
      <c r="E1893" s="121" t="s">
        <v>1169</v>
      </c>
      <c r="F1893" s="120" t="s">
        <v>3249</v>
      </c>
    </row>
    <row r="1894" spans="1:6" x14ac:dyDescent="0.2">
      <c r="A1894" s="55">
        <v>99</v>
      </c>
      <c r="B1894" s="46" t="s">
        <v>376</v>
      </c>
      <c r="C1894" s="52">
        <v>15</v>
      </c>
      <c r="E1894" s="121" t="s">
        <v>3462</v>
      </c>
      <c r="F1894" s="120" t="s">
        <v>3227</v>
      </c>
    </row>
    <row r="1895" spans="1:6" x14ac:dyDescent="0.2">
      <c r="A1895" s="55">
        <v>99</v>
      </c>
      <c r="B1895" s="46" t="s">
        <v>350</v>
      </c>
      <c r="C1895" s="52">
        <v>9</v>
      </c>
      <c r="E1895" s="121" t="s">
        <v>1415</v>
      </c>
      <c r="F1895" s="120" t="s">
        <v>3249</v>
      </c>
    </row>
    <row r="1896" spans="1:6" x14ac:dyDescent="0.2">
      <c r="A1896" s="55">
        <v>99</v>
      </c>
      <c r="B1896" s="46" t="s">
        <v>2581</v>
      </c>
      <c r="C1896" s="52">
        <v>7</v>
      </c>
      <c r="E1896" s="121" t="s">
        <v>3506</v>
      </c>
      <c r="F1896" s="120" t="s">
        <v>3215</v>
      </c>
    </row>
    <row r="1897" spans="1:6" x14ac:dyDescent="0.2">
      <c r="A1897" s="55">
        <v>99</v>
      </c>
      <c r="B1897" s="46" t="s">
        <v>386</v>
      </c>
      <c r="C1897" s="52">
        <v>6</v>
      </c>
      <c r="E1897" s="121" t="s">
        <v>3498</v>
      </c>
      <c r="F1897" s="120" t="s">
        <v>3215</v>
      </c>
    </row>
    <row r="1898" spans="1:6" x14ac:dyDescent="0.2">
      <c r="A1898" s="55">
        <v>99</v>
      </c>
      <c r="B1898" s="46" t="s">
        <v>2583</v>
      </c>
      <c r="C1898" s="52">
        <v>6</v>
      </c>
      <c r="E1898" s="121" t="s">
        <v>1177</v>
      </c>
      <c r="F1898" s="120" t="s">
        <v>3288</v>
      </c>
    </row>
    <row r="1899" spans="1:6" x14ac:dyDescent="0.2">
      <c r="A1899" s="55">
        <v>99</v>
      </c>
      <c r="B1899" s="46" t="s">
        <v>363</v>
      </c>
      <c r="C1899" s="52">
        <v>4</v>
      </c>
      <c r="E1899" s="121" t="s">
        <v>3048</v>
      </c>
      <c r="F1899" s="120" t="s">
        <v>3250</v>
      </c>
    </row>
    <row r="1900" spans="1:6" x14ac:dyDescent="0.2">
      <c r="A1900" s="55">
        <v>100</v>
      </c>
      <c r="B1900" s="46" t="s">
        <v>376</v>
      </c>
      <c r="C1900" s="52">
        <v>25</v>
      </c>
      <c r="E1900" s="121" t="s">
        <v>3462</v>
      </c>
      <c r="F1900" s="120" t="s">
        <v>3227</v>
      </c>
    </row>
    <row r="1901" spans="1:6" x14ac:dyDescent="0.2">
      <c r="A1901" s="55">
        <v>100</v>
      </c>
      <c r="B1901" s="46" t="s">
        <v>327</v>
      </c>
      <c r="C1901" s="52">
        <v>25</v>
      </c>
      <c r="E1901" s="121" t="s">
        <v>3517</v>
      </c>
      <c r="F1901" s="120" t="s">
        <v>3226</v>
      </c>
    </row>
    <row r="1902" spans="1:6" x14ac:dyDescent="0.2">
      <c r="A1902" s="55">
        <v>100</v>
      </c>
      <c r="B1902" s="46" t="s">
        <v>2634</v>
      </c>
      <c r="C1902" s="52">
        <v>7</v>
      </c>
      <c r="E1902" s="121" t="s">
        <v>2893</v>
      </c>
      <c r="F1902" s="120" t="s">
        <v>3244</v>
      </c>
    </row>
    <row r="1903" spans="1:6" x14ac:dyDescent="0.2">
      <c r="A1903" s="55">
        <v>100</v>
      </c>
      <c r="B1903" s="46" t="s">
        <v>329</v>
      </c>
      <c r="C1903" s="52">
        <v>6</v>
      </c>
      <c r="E1903" s="121" t="s">
        <v>2867</v>
      </c>
      <c r="F1903" s="120" t="s">
        <v>3238</v>
      </c>
    </row>
    <row r="1904" spans="1:6" x14ac:dyDescent="0.2">
      <c r="A1904" s="55">
        <v>100</v>
      </c>
      <c r="B1904" s="46" t="s">
        <v>599</v>
      </c>
      <c r="C1904" s="52">
        <v>6</v>
      </c>
      <c r="E1904" s="121" t="s">
        <v>3431</v>
      </c>
      <c r="F1904" s="120" t="s">
        <v>3285</v>
      </c>
    </row>
    <row r="1905" spans="1:6" x14ac:dyDescent="0.2">
      <c r="A1905" s="55">
        <v>100</v>
      </c>
      <c r="B1905" s="46" t="s">
        <v>2566</v>
      </c>
      <c r="C1905" s="52">
        <v>6</v>
      </c>
      <c r="E1905" s="121" t="s">
        <v>3331</v>
      </c>
      <c r="F1905" s="120" t="s">
        <v>3249</v>
      </c>
    </row>
    <row r="1906" spans="1:6" x14ac:dyDescent="0.2">
      <c r="A1906" s="55">
        <v>100</v>
      </c>
      <c r="B1906" s="46" t="s">
        <v>2590</v>
      </c>
      <c r="C1906" s="52">
        <v>5</v>
      </c>
      <c r="E1906" s="121" t="s">
        <v>1534</v>
      </c>
      <c r="F1906" s="120" t="s">
        <v>3241</v>
      </c>
    </row>
    <row r="1907" spans="1:6" x14ac:dyDescent="0.2">
      <c r="A1907" s="55">
        <v>100</v>
      </c>
      <c r="B1907" s="46" t="s">
        <v>394</v>
      </c>
      <c r="C1907" s="52">
        <v>5</v>
      </c>
      <c r="E1907" s="121" t="s">
        <v>3467</v>
      </c>
      <c r="F1907" s="120" t="s">
        <v>3258</v>
      </c>
    </row>
    <row r="1908" spans="1:6" x14ac:dyDescent="0.2">
      <c r="A1908" s="55">
        <v>100</v>
      </c>
      <c r="B1908" s="46" t="s">
        <v>983</v>
      </c>
      <c r="C1908" s="52">
        <v>4</v>
      </c>
      <c r="E1908" s="121" t="s">
        <v>3164</v>
      </c>
      <c r="F1908" s="120" t="s">
        <v>3261</v>
      </c>
    </row>
    <row r="1909" spans="1:6" x14ac:dyDescent="0.2">
      <c r="A1909" s="55">
        <v>100</v>
      </c>
      <c r="B1909" s="46" t="s">
        <v>2713</v>
      </c>
      <c r="C1909" s="52">
        <v>4</v>
      </c>
      <c r="E1909" s="121" t="s">
        <v>3108</v>
      </c>
      <c r="F1909" s="120" t="s">
        <v>3252</v>
      </c>
    </row>
    <row r="1910" spans="1:6" x14ac:dyDescent="0.2">
      <c r="A1910" s="55">
        <v>100</v>
      </c>
      <c r="B1910" s="46" t="s">
        <v>1893</v>
      </c>
      <c r="C1910" s="52">
        <v>4</v>
      </c>
      <c r="E1910" s="121" t="s">
        <v>3520</v>
      </c>
      <c r="F1910" s="120" t="s">
        <v>3280</v>
      </c>
    </row>
    <row r="1911" spans="1:6" x14ac:dyDescent="0.2">
      <c r="A1911" s="55">
        <v>100</v>
      </c>
      <c r="B1911" s="46" t="s">
        <v>333</v>
      </c>
      <c r="C1911" s="52">
        <v>4</v>
      </c>
      <c r="E1911" s="121" t="s">
        <v>3167</v>
      </c>
      <c r="F1911" s="120" t="s">
        <v>3242</v>
      </c>
    </row>
    <row r="1912" spans="1:6" x14ac:dyDescent="0.2">
      <c r="A1912" s="55">
        <v>100</v>
      </c>
      <c r="B1912" s="46" t="s">
        <v>3150</v>
      </c>
      <c r="C1912" s="52">
        <v>3</v>
      </c>
      <c r="E1912" s="121" t="s">
        <v>3194</v>
      </c>
      <c r="F1912" s="120" t="s">
        <v>3280</v>
      </c>
    </row>
    <row r="1913" spans="1:6" x14ac:dyDescent="0.2">
      <c r="A1913" s="55">
        <v>100</v>
      </c>
      <c r="B1913" s="46" t="s">
        <v>598</v>
      </c>
      <c r="C1913" s="52">
        <v>3</v>
      </c>
      <c r="E1913" s="121" t="s">
        <v>3478</v>
      </c>
      <c r="F1913" s="120" t="s">
        <v>3229</v>
      </c>
    </row>
    <row r="1914" spans="1:6" x14ac:dyDescent="0.2">
      <c r="A1914" s="55">
        <v>100</v>
      </c>
      <c r="B1914" s="46" t="s">
        <v>2632</v>
      </c>
      <c r="C1914" s="52">
        <v>2</v>
      </c>
      <c r="E1914" s="121" t="s">
        <v>3136</v>
      </c>
      <c r="F1914" s="120" t="s">
        <v>3227</v>
      </c>
    </row>
    <row r="1915" spans="1:6" x14ac:dyDescent="0.2">
      <c r="A1915" s="55">
        <v>100</v>
      </c>
      <c r="B1915" s="46" t="s">
        <v>1585</v>
      </c>
      <c r="C1915" s="52">
        <v>2</v>
      </c>
      <c r="E1915" s="121" t="s">
        <v>3518</v>
      </c>
      <c r="F1915" s="120" t="s">
        <v>3297</v>
      </c>
    </row>
    <row r="1916" spans="1:6" x14ac:dyDescent="0.2">
      <c r="A1916" s="55">
        <v>100</v>
      </c>
      <c r="B1916" s="46" t="s">
        <v>593</v>
      </c>
      <c r="C1916" s="52">
        <v>2</v>
      </c>
      <c r="E1916" s="121" t="s">
        <v>2852</v>
      </c>
      <c r="F1916" s="120" t="s">
        <v>3227</v>
      </c>
    </row>
    <row r="1917" spans="1:6" x14ac:dyDescent="0.2">
      <c r="A1917" s="55">
        <v>100</v>
      </c>
      <c r="B1917" s="46" t="s">
        <v>326</v>
      </c>
      <c r="C1917" s="52">
        <v>2</v>
      </c>
      <c r="E1917" s="121" t="s">
        <v>1492</v>
      </c>
      <c r="F1917" s="120" t="s">
        <v>3280</v>
      </c>
    </row>
    <row r="1918" spans="1:6" x14ac:dyDescent="0.2">
      <c r="A1918" s="55">
        <v>101</v>
      </c>
      <c r="B1918" s="46" t="s">
        <v>376</v>
      </c>
      <c r="C1918" s="52">
        <v>70</v>
      </c>
      <c r="E1918" s="121" t="s">
        <v>3462</v>
      </c>
      <c r="F1918" s="120" t="s">
        <v>3227</v>
      </c>
    </row>
    <row r="1919" spans="1:6" x14ac:dyDescent="0.2">
      <c r="A1919" s="55">
        <v>101</v>
      </c>
      <c r="B1919" s="46" t="s">
        <v>2634</v>
      </c>
      <c r="C1919" s="52">
        <v>20</v>
      </c>
      <c r="E1919" s="121" t="s">
        <v>2893</v>
      </c>
      <c r="F1919" s="120" t="s">
        <v>3244</v>
      </c>
    </row>
    <row r="1920" spans="1:6" x14ac:dyDescent="0.2">
      <c r="A1920" s="55">
        <v>101</v>
      </c>
      <c r="B1920" s="46" t="s">
        <v>340</v>
      </c>
      <c r="C1920" s="52">
        <v>7</v>
      </c>
      <c r="E1920" s="121" t="s">
        <v>1529</v>
      </c>
      <c r="F1920" s="120" t="s">
        <v>3249</v>
      </c>
    </row>
    <row r="1921" spans="1:6" x14ac:dyDescent="0.2">
      <c r="A1921" s="55">
        <v>101</v>
      </c>
      <c r="B1921" s="46" t="s">
        <v>350</v>
      </c>
      <c r="C1921" s="52">
        <v>6</v>
      </c>
      <c r="E1921" s="121" t="s">
        <v>1415</v>
      </c>
      <c r="F1921" s="120" t="s">
        <v>3249</v>
      </c>
    </row>
    <row r="1922" spans="1:6" x14ac:dyDescent="0.2">
      <c r="A1922" s="55">
        <v>101</v>
      </c>
      <c r="B1922" s="46" t="s">
        <v>447</v>
      </c>
      <c r="C1922" s="52">
        <v>6</v>
      </c>
      <c r="E1922" s="121" t="s">
        <v>1531</v>
      </c>
      <c r="F1922" s="120" t="s">
        <v>3248</v>
      </c>
    </row>
    <row r="1923" spans="1:6" x14ac:dyDescent="0.2">
      <c r="A1923" s="55">
        <v>101</v>
      </c>
      <c r="B1923" s="46" t="s">
        <v>394</v>
      </c>
      <c r="C1923" s="52">
        <v>4</v>
      </c>
      <c r="E1923" s="121" t="s">
        <v>3467</v>
      </c>
      <c r="F1923" s="120" t="s">
        <v>3258</v>
      </c>
    </row>
    <row r="1924" spans="1:6" x14ac:dyDescent="0.2">
      <c r="A1924" s="55">
        <v>101</v>
      </c>
      <c r="B1924" s="46" t="s">
        <v>432</v>
      </c>
      <c r="C1924" s="52">
        <v>4</v>
      </c>
      <c r="E1924" s="121" t="s">
        <v>3186</v>
      </c>
      <c r="F1924" s="120" t="s">
        <v>3284</v>
      </c>
    </row>
    <row r="1925" spans="1:6" x14ac:dyDescent="0.2">
      <c r="A1925" s="55">
        <v>101</v>
      </c>
      <c r="B1925" s="46" t="s">
        <v>2641</v>
      </c>
      <c r="C1925" s="52">
        <v>3</v>
      </c>
      <c r="E1925" s="121" t="s">
        <v>1418</v>
      </c>
      <c r="F1925" s="120" t="s">
        <v>3249</v>
      </c>
    </row>
    <row r="1926" spans="1:6" x14ac:dyDescent="0.2">
      <c r="A1926" s="55">
        <v>102</v>
      </c>
      <c r="B1926" s="46" t="s">
        <v>357</v>
      </c>
      <c r="C1926" s="52">
        <v>18</v>
      </c>
      <c r="E1926" s="121" t="s">
        <v>3063</v>
      </c>
      <c r="F1926" s="120" t="s">
        <v>3262</v>
      </c>
    </row>
    <row r="1927" spans="1:6" x14ac:dyDescent="0.2">
      <c r="A1927" s="55">
        <v>102</v>
      </c>
      <c r="B1927" s="46" t="s">
        <v>2565</v>
      </c>
      <c r="C1927" s="52">
        <v>15</v>
      </c>
      <c r="E1927" s="121" t="s">
        <v>3435</v>
      </c>
      <c r="F1927" s="120" t="s">
        <v>3286</v>
      </c>
    </row>
    <row r="1928" spans="1:6" x14ac:dyDescent="0.2">
      <c r="A1928" s="55">
        <v>102</v>
      </c>
      <c r="B1928" s="46" t="s">
        <v>597</v>
      </c>
      <c r="C1928" s="52">
        <v>12</v>
      </c>
      <c r="E1928" s="121" t="s">
        <v>3060</v>
      </c>
      <c r="F1928" s="120" t="s">
        <v>3248</v>
      </c>
    </row>
    <row r="1929" spans="1:6" x14ac:dyDescent="0.2">
      <c r="A1929" s="55">
        <v>102</v>
      </c>
      <c r="B1929" s="46" t="s">
        <v>394</v>
      </c>
      <c r="C1929" s="52">
        <v>11</v>
      </c>
      <c r="E1929" s="121" t="s">
        <v>3467</v>
      </c>
      <c r="F1929" s="120" t="s">
        <v>3258</v>
      </c>
    </row>
    <row r="1930" spans="1:6" x14ac:dyDescent="0.2">
      <c r="A1930" s="55">
        <v>102</v>
      </c>
      <c r="B1930" s="46" t="s">
        <v>350</v>
      </c>
      <c r="C1930" s="52">
        <v>9</v>
      </c>
      <c r="E1930" s="121" t="s">
        <v>1415</v>
      </c>
      <c r="F1930" s="120" t="s">
        <v>3249</v>
      </c>
    </row>
    <row r="1931" spans="1:6" x14ac:dyDescent="0.2">
      <c r="A1931" s="55">
        <v>102</v>
      </c>
      <c r="B1931" s="46" t="s">
        <v>347</v>
      </c>
      <c r="C1931" s="52">
        <v>9</v>
      </c>
      <c r="E1931" s="121" t="s">
        <v>3492</v>
      </c>
      <c r="F1931" s="120" t="s">
        <v>3312</v>
      </c>
    </row>
    <row r="1932" spans="1:6" x14ac:dyDescent="0.2">
      <c r="A1932" s="55">
        <v>102</v>
      </c>
      <c r="B1932" s="46" t="s">
        <v>376</v>
      </c>
      <c r="C1932" s="52">
        <v>5</v>
      </c>
      <c r="E1932" s="121" t="s">
        <v>3462</v>
      </c>
      <c r="F1932" s="120" t="s">
        <v>3227</v>
      </c>
    </row>
    <row r="1933" spans="1:6" x14ac:dyDescent="0.2">
      <c r="A1933" s="55">
        <v>102</v>
      </c>
      <c r="B1933" s="46" t="s">
        <v>2600</v>
      </c>
      <c r="C1933" s="52">
        <v>4</v>
      </c>
      <c r="E1933" s="121" t="s">
        <v>3163</v>
      </c>
      <c r="F1933" s="120" t="s">
        <v>3219</v>
      </c>
    </row>
    <row r="1934" spans="1:6" x14ac:dyDescent="0.2">
      <c r="A1934" s="55">
        <v>102</v>
      </c>
      <c r="B1934" s="46" t="s">
        <v>2649</v>
      </c>
      <c r="C1934" s="52">
        <v>3</v>
      </c>
      <c r="E1934" s="121" t="s">
        <v>3052</v>
      </c>
      <c r="F1934" s="120" t="s">
        <v>3250</v>
      </c>
    </row>
    <row r="1935" spans="1:6" x14ac:dyDescent="0.2">
      <c r="A1935" s="55">
        <v>102</v>
      </c>
      <c r="B1935" s="46" t="s">
        <v>341</v>
      </c>
      <c r="C1935" s="52">
        <v>3</v>
      </c>
      <c r="E1935" s="121" t="s">
        <v>3062</v>
      </c>
      <c r="F1935" s="120" t="s">
        <v>3266</v>
      </c>
    </row>
    <row r="1936" spans="1:6" x14ac:dyDescent="0.2">
      <c r="A1936" s="55">
        <v>102</v>
      </c>
      <c r="B1936" s="46" t="s">
        <v>589</v>
      </c>
      <c r="C1936" s="52">
        <v>1</v>
      </c>
      <c r="E1936" s="121" t="s">
        <v>3041</v>
      </c>
      <c r="F1936" s="120" t="s">
        <v>3235</v>
      </c>
    </row>
    <row r="1937" spans="1:6" x14ac:dyDescent="0.2">
      <c r="A1937" s="55">
        <v>102</v>
      </c>
      <c r="B1937" s="46" t="s">
        <v>404</v>
      </c>
      <c r="C1937" s="52">
        <v>1</v>
      </c>
      <c r="E1937" s="121" t="s">
        <v>3463</v>
      </c>
      <c r="F1937" s="120" t="s">
        <v>3258</v>
      </c>
    </row>
    <row r="1938" spans="1:6" x14ac:dyDescent="0.2">
      <c r="A1938" s="55">
        <v>102</v>
      </c>
      <c r="B1938" s="46" t="s">
        <v>408</v>
      </c>
      <c r="C1938" s="52">
        <v>1</v>
      </c>
      <c r="E1938" s="121" t="s">
        <v>3468</v>
      </c>
      <c r="F1938" s="120" t="s">
        <v>3292</v>
      </c>
    </row>
    <row r="1939" spans="1:6" x14ac:dyDescent="0.2">
      <c r="A1939" s="55">
        <v>102</v>
      </c>
      <c r="B1939" s="46" t="s">
        <v>1897</v>
      </c>
      <c r="C1939" s="52">
        <v>1</v>
      </c>
      <c r="E1939" s="121" t="s">
        <v>560</v>
      </c>
      <c r="F1939" s="120" t="s">
        <v>3269</v>
      </c>
    </row>
    <row r="1940" spans="1:6" x14ac:dyDescent="0.2">
      <c r="A1940" s="55">
        <v>103</v>
      </c>
      <c r="B1940" s="46" t="s">
        <v>376</v>
      </c>
      <c r="C1940" s="52">
        <v>70</v>
      </c>
      <c r="E1940" s="121" t="s">
        <v>3462</v>
      </c>
      <c r="F1940" s="120" t="s">
        <v>3227</v>
      </c>
    </row>
    <row r="1941" spans="1:6" x14ac:dyDescent="0.2">
      <c r="A1941" s="55">
        <v>103</v>
      </c>
      <c r="B1941" s="46" t="s">
        <v>1893</v>
      </c>
      <c r="C1941" s="52">
        <v>30</v>
      </c>
      <c r="E1941" s="121" t="s">
        <v>3520</v>
      </c>
      <c r="F1941" s="120" t="s">
        <v>3280</v>
      </c>
    </row>
    <row r="1942" spans="1:6" x14ac:dyDescent="0.2">
      <c r="A1942" s="55">
        <v>104</v>
      </c>
      <c r="B1942" s="46" t="s">
        <v>376</v>
      </c>
      <c r="C1942" s="52">
        <v>40</v>
      </c>
      <c r="E1942" s="121" t="s">
        <v>3462</v>
      </c>
      <c r="F1942" s="120" t="s">
        <v>3227</v>
      </c>
    </row>
    <row r="1943" spans="1:6" x14ac:dyDescent="0.2">
      <c r="A1943" s="55">
        <v>104</v>
      </c>
      <c r="B1943" s="46" t="s">
        <v>332</v>
      </c>
      <c r="C1943" s="52">
        <v>35</v>
      </c>
      <c r="E1943" s="121" t="s">
        <v>3519</v>
      </c>
      <c r="F1943" s="120" t="s">
        <v>3280</v>
      </c>
    </row>
    <row r="1944" spans="1:6" x14ac:dyDescent="0.2">
      <c r="A1944" s="55">
        <v>104</v>
      </c>
      <c r="B1944" s="46" t="s">
        <v>1893</v>
      </c>
      <c r="C1944" s="52">
        <v>15</v>
      </c>
      <c r="E1944" s="121" t="s">
        <v>3520</v>
      </c>
      <c r="F1944" s="120" t="s">
        <v>3280</v>
      </c>
    </row>
    <row r="1945" spans="1:6" x14ac:dyDescent="0.2">
      <c r="A1945" s="55">
        <v>104</v>
      </c>
      <c r="B1945" s="46" t="s">
        <v>453</v>
      </c>
      <c r="C1945" s="52">
        <v>5</v>
      </c>
      <c r="E1945" s="121" t="s">
        <v>3520</v>
      </c>
      <c r="F1945" s="120" t="s">
        <v>3258</v>
      </c>
    </row>
    <row r="1946" spans="1:6" x14ac:dyDescent="0.2">
      <c r="A1946" s="55">
        <v>104</v>
      </c>
      <c r="B1946" s="46" t="s">
        <v>982</v>
      </c>
      <c r="C1946" s="52">
        <v>4</v>
      </c>
      <c r="E1946" s="121" t="s">
        <v>1180</v>
      </c>
      <c r="F1946" s="120" t="s">
        <v>3228</v>
      </c>
    </row>
    <row r="1947" spans="1:6" x14ac:dyDescent="0.2">
      <c r="A1947" s="55">
        <v>105</v>
      </c>
      <c r="B1947" s="46" t="s">
        <v>2722</v>
      </c>
      <c r="C1947" s="52">
        <v>60</v>
      </c>
      <c r="E1947" s="121" t="s">
        <v>3489</v>
      </c>
      <c r="F1947" s="120" t="s">
        <v>3310</v>
      </c>
    </row>
    <row r="1948" spans="1:6" x14ac:dyDescent="0.2">
      <c r="A1948" s="55">
        <v>105</v>
      </c>
      <c r="B1948" s="46" t="s">
        <v>2579</v>
      </c>
      <c r="C1948" s="52">
        <v>40</v>
      </c>
      <c r="E1948" s="121" t="s">
        <v>3516</v>
      </c>
      <c r="F1948" s="120" t="s">
        <v>3232</v>
      </c>
    </row>
    <row r="1949" spans="1:6" x14ac:dyDescent="0.2">
      <c r="A1949" s="55">
        <v>105</v>
      </c>
      <c r="B1949" s="46" t="s">
        <v>341</v>
      </c>
      <c r="C1949" s="52">
        <v>30</v>
      </c>
      <c r="E1949" s="121" t="s">
        <v>3062</v>
      </c>
      <c r="F1949" s="120" t="s">
        <v>3266</v>
      </c>
    </row>
    <row r="1950" spans="1:6" x14ac:dyDescent="0.2">
      <c r="A1950" s="55">
        <v>105</v>
      </c>
      <c r="B1950" s="46" t="s">
        <v>2565</v>
      </c>
      <c r="C1950" s="52">
        <v>30</v>
      </c>
      <c r="E1950" s="121" t="s">
        <v>3435</v>
      </c>
      <c r="F1950" s="120" t="s">
        <v>3286</v>
      </c>
    </row>
    <row r="1951" spans="1:6" x14ac:dyDescent="0.2">
      <c r="A1951" s="55">
        <v>105</v>
      </c>
      <c r="B1951" s="46" t="s">
        <v>376</v>
      </c>
      <c r="C1951" s="52">
        <v>11</v>
      </c>
      <c r="E1951" s="121" t="s">
        <v>3462</v>
      </c>
      <c r="F1951" s="120" t="s">
        <v>3227</v>
      </c>
    </row>
    <row r="1952" spans="1:6" x14ac:dyDescent="0.2">
      <c r="A1952" s="55">
        <v>105</v>
      </c>
      <c r="B1952" s="46" t="s">
        <v>394</v>
      </c>
      <c r="C1952" s="52">
        <v>8</v>
      </c>
      <c r="E1952" s="121" t="s">
        <v>3467</v>
      </c>
      <c r="F1952" s="120" t="s">
        <v>3258</v>
      </c>
    </row>
    <row r="1953" spans="1:6" x14ac:dyDescent="0.2">
      <c r="A1953" s="55">
        <v>106</v>
      </c>
      <c r="B1953" s="46" t="s">
        <v>367</v>
      </c>
      <c r="C1953" s="52">
        <v>40</v>
      </c>
      <c r="E1953" s="121" t="s">
        <v>2851</v>
      </c>
      <c r="F1953" s="120" t="s">
        <v>3226</v>
      </c>
    </row>
    <row r="1954" spans="1:6" x14ac:dyDescent="0.2">
      <c r="A1954" s="55">
        <v>106</v>
      </c>
      <c r="B1954" s="46" t="s">
        <v>593</v>
      </c>
      <c r="C1954" s="52">
        <v>20</v>
      </c>
      <c r="E1954" s="121" t="s">
        <v>2852</v>
      </c>
      <c r="F1954" s="120" t="s">
        <v>3227</v>
      </c>
    </row>
    <row r="1955" spans="1:6" x14ac:dyDescent="0.2">
      <c r="A1955" s="55">
        <v>106</v>
      </c>
      <c r="B1955" s="46" t="s">
        <v>327</v>
      </c>
      <c r="C1955" s="52">
        <v>15</v>
      </c>
      <c r="E1955" s="121" t="s">
        <v>3517</v>
      </c>
      <c r="F1955" s="120" t="s">
        <v>3226</v>
      </c>
    </row>
    <row r="1956" spans="1:6" x14ac:dyDescent="0.2">
      <c r="A1956" s="55">
        <v>106</v>
      </c>
      <c r="B1956" s="46" t="s">
        <v>2634</v>
      </c>
      <c r="C1956" s="52">
        <v>12</v>
      </c>
      <c r="E1956" s="121" t="s">
        <v>2893</v>
      </c>
      <c r="F1956" s="120" t="s">
        <v>3244</v>
      </c>
    </row>
    <row r="1957" spans="1:6" x14ac:dyDescent="0.2">
      <c r="A1957" s="55">
        <v>106</v>
      </c>
      <c r="B1957" s="46" t="s">
        <v>421</v>
      </c>
      <c r="C1957" s="52">
        <v>10</v>
      </c>
      <c r="E1957" s="121" t="s">
        <v>3057</v>
      </c>
      <c r="F1957" s="120" t="s">
        <v>3257</v>
      </c>
    </row>
    <row r="1958" spans="1:6" x14ac:dyDescent="0.2">
      <c r="A1958" s="55">
        <v>106</v>
      </c>
      <c r="B1958" s="46" t="s">
        <v>599</v>
      </c>
      <c r="C1958" s="52">
        <v>10</v>
      </c>
      <c r="E1958" s="121" t="s">
        <v>3431</v>
      </c>
      <c r="F1958" s="120" t="s">
        <v>3285</v>
      </c>
    </row>
    <row r="1959" spans="1:6" x14ac:dyDescent="0.2">
      <c r="A1959" s="55">
        <v>106</v>
      </c>
      <c r="B1959" s="46" t="s">
        <v>333</v>
      </c>
      <c r="C1959" s="52">
        <v>10</v>
      </c>
      <c r="E1959" s="121" t="s">
        <v>3167</v>
      </c>
      <c r="F1959" s="120" t="s">
        <v>3242</v>
      </c>
    </row>
    <row r="1960" spans="1:6" x14ac:dyDescent="0.2">
      <c r="A1960" s="55">
        <v>106</v>
      </c>
      <c r="B1960" s="46" t="s">
        <v>332</v>
      </c>
      <c r="C1960" s="52">
        <v>8</v>
      </c>
      <c r="E1960" s="121" t="s">
        <v>3519</v>
      </c>
      <c r="F1960" s="120" t="s">
        <v>3280</v>
      </c>
    </row>
    <row r="1961" spans="1:6" x14ac:dyDescent="0.2">
      <c r="A1961" s="55">
        <v>106</v>
      </c>
      <c r="B1961" s="46" t="s">
        <v>326</v>
      </c>
      <c r="C1961" s="52">
        <v>4</v>
      </c>
      <c r="E1961" s="121" t="s">
        <v>1492</v>
      </c>
      <c r="F1961" s="120" t="s">
        <v>3280</v>
      </c>
    </row>
    <row r="1962" spans="1:6" x14ac:dyDescent="0.2">
      <c r="A1962" s="55">
        <v>107</v>
      </c>
      <c r="B1962" s="46" t="s">
        <v>376</v>
      </c>
      <c r="C1962" s="52">
        <v>90</v>
      </c>
      <c r="E1962" s="121" t="s">
        <v>3462</v>
      </c>
      <c r="F1962" s="120" t="s">
        <v>3227</v>
      </c>
    </row>
    <row r="1963" spans="1:6" x14ac:dyDescent="0.2">
      <c r="A1963" s="55">
        <v>107</v>
      </c>
      <c r="B1963" s="46" t="s">
        <v>327</v>
      </c>
      <c r="C1963" s="52">
        <v>20</v>
      </c>
      <c r="E1963" s="121" t="s">
        <v>3517</v>
      </c>
      <c r="F1963" s="120" t="s">
        <v>3226</v>
      </c>
    </row>
    <row r="1964" spans="1:6" x14ac:dyDescent="0.2">
      <c r="A1964" s="55">
        <v>107</v>
      </c>
      <c r="B1964" s="46" t="s">
        <v>2632</v>
      </c>
      <c r="C1964" s="52">
        <v>15</v>
      </c>
      <c r="E1964" s="121" t="s">
        <v>3136</v>
      </c>
      <c r="F1964" s="120" t="s">
        <v>3227</v>
      </c>
    </row>
    <row r="1965" spans="1:6" x14ac:dyDescent="0.2">
      <c r="A1965" s="55">
        <v>107</v>
      </c>
      <c r="B1965" s="46" t="s">
        <v>333</v>
      </c>
      <c r="C1965" s="52">
        <v>10</v>
      </c>
      <c r="E1965" s="121" t="s">
        <v>3167</v>
      </c>
      <c r="F1965" s="120" t="s">
        <v>3242</v>
      </c>
    </row>
    <row r="1966" spans="1:6" x14ac:dyDescent="0.2">
      <c r="A1966" s="55">
        <v>107</v>
      </c>
      <c r="B1966" s="46" t="s">
        <v>2573</v>
      </c>
      <c r="C1966" s="52">
        <v>3</v>
      </c>
      <c r="E1966" s="121" t="s">
        <v>2880</v>
      </c>
      <c r="F1966" s="120" t="s">
        <v>3249</v>
      </c>
    </row>
    <row r="1967" spans="1:6" x14ac:dyDescent="0.2">
      <c r="A1967" s="55">
        <v>107</v>
      </c>
      <c r="B1967" s="46" t="s">
        <v>2634</v>
      </c>
      <c r="C1967" s="52">
        <v>2</v>
      </c>
      <c r="E1967" s="121" t="s">
        <v>2893</v>
      </c>
      <c r="F1967" s="120" t="s">
        <v>3244</v>
      </c>
    </row>
    <row r="1968" spans="1:6" x14ac:dyDescent="0.2">
      <c r="A1968" s="55">
        <v>107</v>
      </c>
      <c r="B1968" s="46" t="s">
        <v>326</v>
      </c>
      <c r="C1968" s="52">
        <v>2</v>
      </c>
      <c r="E1968" s="121" t="s">
        <v>1492</v>
      </c>
      <c r="F1968" s="120" t="s">
        <v>3280</v>
      </c>
    </row>
    <row r="1969" spans="1:6" x14ac:dyDescent="0.2">
      <c r="A1969" s="55">
        <v>107</v>
      </c>
      <c r="B1969" s="46" t="s">
        <v>328</v>
      </c>
      <c r="C1969" s="52">
        <v>2</v>
      </c>
      <c r="E1969" s="121" t="s">
        <v>2873</v>
      </c>
      <c r="F1969" s="120" t="s">
        <v>3243</v>
      </c>
    </row>
    <row r="1970" spans="1:6" x14ac:dyDescent="0.2">
      <c r="A1970" s="55">
        <v>108</v>
      </c>
      <c r="B1970" s="46" t="s">
        <v>2567</v>
      </c>
      <c r="C1970" s="52">
        <v>95</v>
      </c>
      <c r="E1970" s="121" t="s">
        <v>3076</v>
      </c>
      <c r="F1970" s="120" t="s">
        <v>3258</v>
      </c>
    </row>
    <row r="1971" spans="1:6" x14ac:dyDescent="0.2">
      <c r="A1971" s="55">
        <v>108</v>
      </c>
      <c r="B1971" s="46" t="s">
        <v>530</v>
      </c>
      <c r="C1971" s="52">
        <v>15</v>
      </c>
      <c r="E1971" s="121" t="s">
        <v>561</v>
      </c>
      <c r="F1971" s="120" t="s">
        <v>3324</v>
      </c>
    </row>
    <row r="1972" spans="1:6" x14ac:dyDescent="0.2">
      <c r="A1972" s="55">
        <v>108</v>
      </c>
      <c r="B1972" s="46" t="s">
        <v>418</v>
      </c>
      <c r="C1972" s="52">
        <v>5</v>
      </c>
      <c r="E1972" s="121" t="s">
        <v>3180</v>
      </c>
      <c r="F1972" s="120" t="s">
        <v>3286</v>
      </c>
    </row>
    <row r="1973" spans="1:6" x14ac:dyDescent="0.2">
      <c r="A1973" s="55">
        <v>108</v>
      </c>
      <c r="B1973" s="46" t="s">
        <v>982</v>
      </c>
      <c r="C1973" s="52">
        <v>5</v>
      </c>
      <c r="E1973" s="121" t="s">
        <v>1180</v>
      </c>
      <c r="F1973" s="120" t="s">
        <v>3228</v>
      </c>
    </row>
    <row r="1974" spans="1:6" x14ac:dyDescent="0.2">
      <c r="A1974" s="55">
        <v>108</v>
      </c>
      <c r="B1974" s="46" t="s">
        <v>526</v>
      </c>
      <c r="C1974" s="52">
        <v>3</v>
      </c>
      <c r="E1974" s="121" t="s">
        <v>3047</v>
      </c>
      <c r="F1974" s="120" t="s">
        <v>3263</v>
      </c>
    </row>
    <row r="1975" spans="1:6" x14ac:dyDescent="0.2">
      <c r="A1975" s="55">
        <v>108</v>
      </c>
      <c r="B1975" s="46" t="s">
        <v>421</v>
      </c>
      <c r="C1975" s="52">
        <v>3</v>
      </c>
      <c r="E1975" s="121" t="s">
        <v>3057</v>
      </c>
      <c r="F1975" s="120" t="s">
        <v>3257</v>
      </c>
    </row>
    <row r="1976" spans="1:6" x14ac:dyDescent="0.2">
      <c r="A1976" s="55">
        <v>109</v>
      </c>
      <c r="B1976" s="46" t="s">
        <v>416</v>
      </c>
      <c r="C1976" s="52">
        <v>80</v>
      </c>
      <c r="E1976" s="121" t="s">
        <v>1409</v>
      </c>
      <c r="F1976" s="120" t="s">
        <v>3292</v>
      </c>
    </row>
    <row r="1977" spans="1:6" x14ac:dyDescent="0.2">
      <c r="A1977" s="55">
        <v>109</v>
      </c>
      <c r="B1977" s="46" t="s">
        <v>343</v>
      </c>
      <c r="C1977" s="52">
        <v>25</v>
      </c>
      <c r="E1977" s="121" t="s">
        <v>3334</v>
      </c>
      <c r="F1977" s="120" t="s">
        <v>3303</v>
      </c>
    </row>
    <row r="1978" spans="1:6" x14ac:dyDescent="0.2">
      <c r="A1978" s="55">
        <v>109</v>
      </c>
      <c r="B1978" s="46" t="s">
        <v>526</v>
      </c>
      <c r="C1978" s="52">
        <v>20</v>
      </c>
      <c r="E1978" s="121" t="s">
        <v>3047</v>
      </c>
      <c r="F1978" s="120" t="s">
        <v>3263</v>
      </c>
    </row>
    <row r="1979" spans="1:6" x14ac:dyDescent="0.2">
      <c r="A1979" s="55">
        <v>109</v>
      </c>
      <c r="B1979" s="46" t="s">
        <v>2580</v>
      </c>
      <c r="C1979" s="52">
        <v>15</v>
      </c>
      <c r="E1979" s="121" t="s">
        <v>2897</v>
      </c>
      <c r="F1979" s="120" t="s">
        <v>3257</v>
      </c>
    </row>
    <row r="1980" spans="1:6" x14ac:dyDescent="0.2">
      <c r="A1980" s="55">
        <v>109</v>
      </c>
      <c r="B1980" s="46" t="s">
        <v>341</v>
      </c>
      <c r="C1980" s="52">
        <v>15</v>
      </c>
      <c r="E1980" s="121" t="s">
        <v>3062</v>
      </c>
      <c r="F1980" s="120" t="s">
        <v>3266</v>
      </c>
    </row>
    <row r="1981" spans="1:6" x14ac:dyDescent="0.2">
      <c r="A1981" s="55">
        <v>109</v>
      </c>
      <c r="B1981" s="46" t="s">
        <v>593</v>
      </c>
      <c r="C1981" s="52">
        <v>15</v>
      </c>
      <c r="E1981" s="121" t="s">
        <v>2852</v>
      </c>
      <c r="F1981" s="120" t="s">
        <v>3227</v>
      </c>
    </row>
    <row r="1982" spans="1:6" x14ac:dyDescent="0.2">
      <c r="A1982" s="55">
        <v>109</v>
      </c>
      <c r="B1982" s="46" t="s">
        <v>2576</v>
      </c>
      <c r="C1982" s="52">
        <v>15</v>
      </c>
      <c r="E1982" s="121" t="s">
        <v>3090</v>
      </c>
      <c r="F1982" s="120" t="s">
        <v>3248</v>
      </c>
    </row>
    <row r="1983" spans="1:6" x14ac:dyDescent="0.2">
      <c r="A1983" s="55">
        <v>109</v>
      </c>
      <c r="B1983" s="46" t="s">
        <v>1928</v>
      </c>
      <c r="C1983" s="52">
        <v>7</v>
      </c>
      <c r="E1983" s="121" t="s">
        <v>2855</v>
      </c>
      <c r="F1983" s="120" t="s">
        <v>3227</v>
      </c>
    </row>
    <row r="1984" spans="1:6" x14ac:dyDescent="0.2">
      <c r="A1984" s="55">
        <v>110</v>
      </c>
      <c r="B1984" s="46" t="s">
        <v>400</v>
      </c>
      <c r="C1984" s="52">
        <v>30</v>
      </c>
      <c r="E1984" s="121" t="s">
        <v>1411</v>
      </c>
      <c r="F1984" s="120" t="s">
        <v>3249</v>
      </c>
    </row>
    <row r="1985" spans="1:6" x14ac:dyDescent="0.2">
      <c r="A1985" s="55">
        <v>110</v>
      </c>
      <c r="B1985" s="46" t="s">
        <v>415</v>
      </c>
      <c r="C1985" s="52">
        <v>20</v>
      </c>
      <c r="E1985" s="121" t="s">
        <v>1144</v>
      </c>
      <c r="F1985" s="120" t="s">
        <v>3249</v>
      </c>
    </row>
    <row r="1986" spans="1:6" x14ac:dyDescent="0.2">
      <c r="A1986" s="55">
        <v>110</v>
      </c>
      <c r="B1986" s="46" t="s">
        <v>340</v>
      </c>
      <c r="C1986" s="52">
        <v>20</v>
      </c>
      <c r="E1986" s="121" t="s">
        <v>1529</v>
      </c>
      <c r="F1986" s="120" t="s">
        <v>3249</v>
      </c>
    </row>
    <row r="1987" spans="1:6" x14ac:dyDescent="0.2">
      <c r="A1987" s="55">
        <v>110</v>
      </c>
      <c r="B1987" s="46" t="s">
        <v>1583</v>
      </c>
      <c r="C1987" s="52">
        <v>20</v>
      </c>
      <c r="E1987" s="121" t="s">
        <v>1402</v>
      </c>
      <c r="F1987" s="120" t="s">
        <v>3248</v>
      </c>
    </row>
    <row r="1988" spans="1:6" x14ac:dyDescent="0.2">
      <c r="A1988" s="55">
        <v>110</v>
      </c>
      <c r="B1988" s="46" t="s">
        <v>376</v>
      </c>
      <c r="C1988" s="52">
        <v>15</v>
      </c>
      <c r="E1988" s="121" t="s">
        <v>3462</v>
      </c>
      <c r="F1988" s="120" t="s">
        <v>3227</v>
      </c>
    </row>
    <row r="1989" spans="1:6" x14ac:dyDescent="0.2">
      <c r="A1989" s="55">
        <v>110</v>
      </c>
      <c r="B1989" s="46" t="s">
        <v>364</v>
      </c>
      <c r="C1989" s="52">
        <v>15</v>
      </c>
      <c r="E1989" s="121" t="s">
        <v>3495</v>
      </c>
      <c r="F1989" s="120" t="s">
        <v>3313</v>
      </c>
    </row>
    <row r="1990" spans="1:6" x14ac:dyDescent="0.2">
      <c r="A1990" s="55">
        <v>110</v>
      </c>
      <c r="B1990" s="46" t="s">
        <v>453</v>
      </c>
      <c r="C1990" s="52">
        <v>10</v>
      </c>
      <c r="E1990" s="121" t="s">
        <v>3520</v>
      </c>
      <c r="F1990" s="120" t="s">
        <v>3258</v>
      </c>
    </row>
    <row r="1991" spans="1:6" x14ac:dyDescent="0.2">
      <c r="A1991" s="55">
        <v>111</v>
      </c>
      <c r="B1991" s="46" t="s">
        <v>340</v>
      </c>
      <c r="C1991" s="52">
        <v>50</v>
      </c>
      <c r="E1991" s="121" t="s">
        <v>1529</v>
      </c>
      <c r="F1991" s="120" t="s">
        <v>3249</v>
      </c>
    </row>
    <row r="1992" spans="1:6" x14ac:dyDescent="0.2">
      <c r="A1992" s="55">
        <v>111</v>
      </c>
      <c r="B1992" s="46" t="s">
        <v>400</v>
      </c>
      <c r="C1992" s="52">
        <v>18</v>
      </c>
      <c r="E1992" s="121" t="s">
        <v>1411</v>
      </c>
      <c r="F1992" s="120" t="s">
        <v>3249</v>
      </c>
    </row>
    <row r="1993" spans="1:6" x14ac:dyDescent="0.2">
      <c r="A1993" s="55">
        <v>111</v>
      </c>
      <c r="B1993" s="46" t="s">
        <v>1583</v>
      </c>
      <c r="C1993" s="52">
        <v>15</v>
      </c>
      <c r="E1993" s="121" t="s">
        <v>1402</v>
      </c>
      <c r="F1993" s="120" t="s">
        <v>3248</v>
      </c>
    </row>
    <row r="1994" spans="1:6" x14ac:dyDescent="0.2">
      <c r="A1994" s="55">
        <v>111</v>
      </c>
      <c r="B1994" s="46" t="s">
        <v>445</v>
      </c>
      <c r="C1994" s="52">
        <v>15</v>
      </c>
      <c r="E1994" s="121" t="s">
        <v>3474</v>
      </c>
      <c r="F1994" s="120" t="s">
        <v>3227</v>
      </c>
    </row>
    <row r="1995" spans="1:6" x14ac:dyDescent="0.2">
      <c r="A1995" s="55">
        <v>111</v>
      </c>
      <c r="B1995" s="46" t="s">
        <v>364</v>
      </c>
      <c r="C1995" s="52">
        <v>15</v>
      </c>
      <c r="E1995" s="121" t="s">
        <v>3495</v>
      </c>
      <c r="F1995" s="120" t="s">
        <v>3313</v>
      </c>
    </row>
    <row r="1996" spans="1:6" x14ac:dyDescent="0.2">
      <c r="A1996" s="55">
        <v>111</v>
      </c>
      <c r="B1996" s="46" t="s">
        <v>376</v>
      </c>
      <c r="C1996" s="52">
        <v>9</v>
      </c>
      <c r="E1996" s="121" t="s">
        <v>3462</v>
      </c>
      <c r="F1996" s="120" t="s">
        <v>3227</v>
      </c>
    </row>
    <row r="1997" spans="1:6" x14ac:dyDescent="0.2">
      <c r="A1997" s="55">
        <v>111</v>
      </c>
      <c r="B1997" s="46" t="s">
        <v>355</v>
      </c>
      <c r="C1997" s="52">
        <v>4</v>
      </c>
      <c r="E1997" s="121" t="s">
        <v>1150</v>
      </c>
      <c r="F1997" s="120" t="s">
        <v>3287</v>
      </c>
    </row>
    <row r="1998" spans="1:6" x14ac:dyDescent="0.2">
      <c r="A1998" s="55">
        <v>111</v>
      </c>
      <c r="B1998" s="46" t="s">
        <v>343</v>
      </c>
      <c r="C1998" s="52">
        <v>3</v>
      </c>
      <c r="E1998" s="121" t="s">
        <v>3334</v>
      </c>
      <c r="F1998" s="120" t="s">
        <v>3303</v>
      </c>
    </row>
    <row r="1999" spans="1:6" x14ac:dyDescent="0.2">
      <c r="A1999" s="55">
        <v>111</v>
      </c>
      <c r="B1999" s="46" t="s">
        <v>447</v>
      </c>
      <c r="C1999" s="52">
        <v>3</v>
      </c>
      <c r="E1999" s="121" t="s">
        <v>1531</v>
      </c>
      <c r="F1999" s="120" t="s">
        <v>3248</v>
      </c>
    </row>
    <row r="2000" spans="1:6" x14ac:dyDescent="0.2">
      <c r="A2000" s="55">
        <v>112</v>
      </c>
      <c r="B2000" s="46" t="s">
        <v>352</v>
      </c>
      <c r="C2000" s="52">
        <v>75</v>
      </c>
      <c r="E2000" s="121" t="s">
        <v>2908</v>
      </c>
      <c r="F2000" s="120" t="s">
        <v>3259</v>
      </c>
    </row>
    <row r="2001" spans="1:6" x14ac:dyDescent="0.2">
      <c r="A2001" s="55">
        <v>112</v>
      </c>
      <c r="B2001" s="46" t="s">
        <v>454</v>
      </c>
      <c r="C2001" s="52">
        <v>20</v>
      </c>
      <c r="E2001" s="121" t="s">
        <v>534</v>
      </c>
      <c r="F2001" s="120" t="s">
        <v>3249</v>
      </c>
    </row>
    <row r="2002" spans="1:6" x14ac:dyDescent="0.2">
      <c r="A2002" s="55">
        <v>112</v>
      </c>
      <c r="B2002" s="46" t="s">
        <v>342</v>
      </c>
      <c r="C2002" s="52">
        <v>20</v>
      </c>
      <c r="E2002" s="121" t="s">
        <v>1169</v>
      </c>
      <c r="F2002" s="120" t="s">
        <v>3249</v>
      </c>
    </row>
    <row r="2003" spans="1:6" x14ac:dyDescent="0.2">
      <c r="A2003" s="55">
        <v>112</v>
      </c>
      <c r="B2003" s="46" t="s">
        <v>601</v>
      </c>
      <c r="C2003" s="52">
        <v>15</v>
      </c>
      <c r="E2003" s="121" t="s">
        <v>1157</v>
      </c>
      <c r="F2003" s="120" t="s">
        <v>3249</v>
      </c>
    </row>
    <row r="2004" spans="1:6" x14ac:dyDescent="0.2">
      <c r="A2004" s="55">
        <v>112</v>
      </c>
      <c r="B2004" s="46" t="s">
        <v>340</v>
      </c>
      <c r="C2004" s="52">
        <v>9</v>
      </c>
      <c r="E2004" s="121" t="s">
        <v>1529</v>
      </c>
      <c r="F2004" s="120" t="s">
        <v>3249</v>
      </c>
    </row>
    <row r="2005" spans="1:6" x14ac:dyDescent="0.2">
      <c r="A2005" s="55">
        <v>112</v>
      </c>
      <c r="B2005" s="46" t="s">
        <v>361</v>
      </c>
      <c r="C2005" s="52">
        <v>5</v>
      </c>
      <c r="E2005" s="121" t="s">
        <v>3201</v>
      </c>
      <c r="F2005" s="120" t="s">
        <v>3249</v>
      </c>
    </row>
    <row r="2006" spans="1:6" x14ac:dyDescent="0.2">
      <c r="A2006" s="55">
        <v>113</v>
      </c>
      <c r="B2006" s="46" t="s">
        <v>361</v>
      </c>
      <c r="C2006" s="52">
        <v>70</v>
      </c>
      <c r="E2006" s="121" t="s">
        <v>3201</v>
      </c>
      <c r="F2006" s="120" t="s">
        <v>3249</v>
      </c>
    </row>
    <row r="2007" spans="1:6" x14ac:dyDescent="0.2">
      <c r="A2007" s="55">
        <v>113</v>
      </c>
      <c r="B2007" s="46" t="s">
        <v>342</v>
      </c>
      <c r="C2007" s="52">
        <v>30</v>
      </c>
      <c r="E2007" s="121" t="s">
        <v>1169</v>
      </c>
      <c r="F2007" s="120" t="s">
        <v>3249</v>
      </c>
    </row>
    <row r="2008" spans="1:6" x14ac:dyDescent="0.2">
      <c r="A2008" s="55">
        <v>113</v>
      </c>
      <c r="B2008" s="46" t="s">
        <v>340</v>
      </c>
      <c r="C2008" s="52">
        <v>9</v>
      </c>
      <c r="E2008" s="121" t="s">
        <v>1529</v>
      </c>
      <c r="F2008" s="120" t="s">
        <v>3249</v>
      </c>
    </row>
    <row r="2009" spans="1:6" x14ac:dyDescent="0.2">
      <c r="A2009" s="55">
        <v>113</v>
      </c>
      <c r="B2009" s="46" t="s">
        <v>350</v>
      </c>
      <c r="C2009" s="52">
        <v>5</v>
      </c>
      <c r="E2009" s="121" t="s">
        <v>1415</v>
      </c>
      <c r="F2009" s="120" t="s">
        <v>3249</v>
      </c>
    </row>
    <row r="2010" spans="1:6" x14ac:dyDescent="0.2">
      <c r="A2010" s="55">
        <v>113</v>
      </c>
      <c r="B2010" s="46" t="s">
        <v>1936</v>
      </c>
      <c r="C2010" s="52">
        <v>3</v>
      </c>
      <c r="E2010" s="121" t="s">
        <v>562</v>
      </c>
      <c r="F2010" s="120" t="s">
        <v>1289</v>
      </c>
    </row>
    <row r="2011" spans="1:6" x14ac:dyDescent="0.2">
      <c r="A2011" s="55">
        <v>113</v>
      </c>
      <c r="B2011" s="46" t="s">
        <v>356</v>
      </c>
      <c r="C2011" s="52">
        <v>3</v>
      </c>
      <c r="E2011" s="121" t="s">
        <v>2902</v>
      </c>
      <c r="F2011" s="120" t="s">
        <v>3258</v>
      </c>
    </row>
    <row r="2012" spans="1:6" x14ac:dyDescent="0.2">
      <c r="A2012" s="55">
        <v>113</v>
      </c>
      <c r="B2012" s="46" t="s">
        <v>3151</v>
      </c>
      <c r="C2012" s="52">
        <v>3</v>
      </c>
      <c r="E2012" s="121" t="s">
        <v>3194</v>
      </c>
      <c r="F2012" s="120" t="s">
        <v>3258</v>
      </c>
    </row>
    <row r="2013" spans="1:6" x14ac:dyDescent="0.2">
      <c r="A2013" s="55">
        <v>113</v>
      </c>
      <c r="B2013" s="46" t="s">
        <v>453</v>
      </c>
      <c r="C2013" s="52">
        <v>3</v>
      </c>
      <c r="E2013" s="121" t="s">
        <v>3520</v>
      </c>
      <c r="F2013" s="120" t="s">
        <v>3258</v>
      </c>
    </row>
    <row r="2014" spans="1:6" x14ac:dyDescent="0.2">
      <c r="A2014" s="55">
        <v>113</v>
      </c>
      <c r="B2014" s="46" t="s">
        <v>593</v>
      </c>
      <c r="C2014" s="52">
        <v>1</v>
      </c>
      <c r="E2014" s="121" t="s">
        <v>2852</v>
      </c>
      <c r="F2014" s="120" t="s">
        <v>3227</v>
      </c>
    </row>
    <row r="2015" spans="1:6" x14ac:dyDescent="0.2">
      <c r="A2015" s="55">
        <v>114</v>
      </c>
      <c r="B2015" s="46" t="s">
        <v>376</v>
      </c>
      <c r="C2015" s="52">
        <v>30</v>
      </c>
      <c r="E2015" s="121" t="s">
        <v>3462</v>
      </c>
      <c r="F2015" s="120" t="s">
        <v>3227</v>
      </c>
    </row>
    <row r="2016" spans="1:6" x14ac:dyDescent="0.2">
      <c r="A2016" s="55">
        <v>114</v>
      </c>
      <c r="B2016" s="46" t="s">
        <v>1583</v>
      </c>
      <c r="C2016" s="52">
        <v>25</v>
      </c>
      <c r="E2016" s="121" t="s">
        <v>1402</v>
      </c>
      <c r="F2016" s="120" t="s">
        <v>3248</v>
      </c>
    </row>
    <row r="2017" spans="1:6" x14ac:dyDescent="0.2">
      <c r="A2017" s="55">
        <v>114</v>
      </c>
      <c r="B2017" s="46" t="s">
        <v>400</v>
      </c>
      <c r="C2017" s="52">
        <v>20</v>
      </c>
      <c r="E2017" s="121" t="s">
        <v>1411</v>
      </c>
      <c r="F2017" s="120" t="s">
        <v>3249</v>
      </c>
    </row>
    <row r="2018" spans="1:6" x14ac:dyDescent="0.2">
      <c r="A2018" s="55">
        <v>114</v>
      </c>
      <c r="B2018" s="46" t="s">
        <v>340</v>
      </c>
      <c r="C2018" s="52">
        <v>20</v>
      </c>
      <c r="E2018" s="121" t="s">
        <v>1529</v>
      </c>
      <c r="F2018" s="120" t="s">
        <v>3249</v>
      </c>
    </row>
    <row r="2019" spans="1:6" x14ac:dyDescent="0.2">
      <c r="A2019" s="55">
        <v>114</v>
      </c>
      <c r="B2019" s="46" t="s">
        <v>394</v>
      </c>
      <c r="C2019" s="52">
        <v>4</v>
      </c>
      <c r="E2019" s="121" t="s">
        <v>3467</v>
      </c>
      <c r="F2019" s="120" t="s">
        <v>3258</v>
      </c>
    </row>
    <row r="2020" spans="1:6" x14ac:dyDescent="0.2">
      <c r="A2020" s="55">
        <v>115</v>
      </c>
      <c r="B2020" s="46" t="s">
        <v>376</v>
      </c>
      <c r="C2020" s="52">
        <v>12</v>
      </c>
      <c r="E2020" s="121" t="s">
        <v>3462</v>
      </c>
      <c r="F2020" s="120" t="s">
        <v>3227</v>
      </c>
    </row>
    <row r="2021" spans="1:6" x14ac:dyDescent="0.2">
      <c r="A2021" s="55">
        <v>115</v>
      </c>
      <c r="B2021" s="46" t="s">
        <v>363</v>
      </c>
      <c r="C2021" s="52">
        <v>7</v>
      </c>
      <c r="E2021" s="121" t="s">
        <v>3048</v>
      </c>
      <c r="F2021" s="120" t="s">
        <v>3250</v>
      </c>
    </row>
    <row r="2022" spans="1:6" x14ac:dyDescent="0.2">
      <c r="A2022" s="55">
        <v>115</v>
      </c>
      <c r="B2022" s="46" t="s">
        <v>2649</v>
      </c>
      <c r="C2022" s="52">
        <v>7</v>
      </c>
      <c r="E2022" s="121" t="s">
        <v>3052</v>
      </c>
      <c r="F2022" s="120" t="s">
        <v>3250</v>
      </c>
    </row>
    <row r="2023" spans="1:6" x14ac:dyDescent="0.2">
      <c r="A2023" s="55">
        <v>115</v>
      </c>
      <c r="B2023" s="46" t="s">
        <v>394</v>
      </c>
      <c r="C2023" s="52">
        <v>6</v>
      </c>
      <c r="E2023" s="121" t="s">
        <v>3467</v>
      </c>
      <c r="F2023" s="120" t="s">
        <v>3258</v>
      </c>
    </row>
    <row r="2024" spans="1:6" x14ac:dyDescent="0.2">
      <c r="A2024" s="55">
        <v>115</v>
      </c>
      <c r="B2024" s="46" t="s">
        <v>593</v>
      </c>
      <c r="C2024" s="52">
        <v>5</v>
      </c>
      <c r="E2024" s="121" t="s">
        <v>2852</v>
      </c>
      <c r="F2024" s="120" t="s">
        <v>3227</v>
      </c>
    </row>
    <row r="2025" spans="1:6" x14ac:dyDescent="0.2">
      <c r="A2025" s="55">
        <v>115</v>
      </c>
      <c r="B2025" s="46" t="s">
        <v>453</v>
      </c>
      <c r="C2025" s="52">
        <v>3</v>
      </c>
      <c r="E2025" s="121" t="s">
        <v>3520</v>
      </c>
      <c r="F2025" s="120" t="s">
        <v>3258</v>
      </c>
    </row>
    <row r="2026" spans="1:6" x14ac:dyDescent="0.2">
      <c r="A2026" s="55">
        <v>115</v>
      </c>
      <c r="B2026" s="46" t="s">
        <v>341</v>
      </c>
      <c r="C2026" s="52">
        <v>1</v>
      </c>
      <c r="E2026" s="121" t="s">
        <v>3062</v>
      </c>
      <c r="F2026" s="120" t="s">
        <v>3266</v>
      </c>
    </row>
    <row r="2027" spans="1:6" x14ac:dyDescent="0.2">
      <c r="A2027" s="55">
        <v>116</v>
      </c>
      <c r="B2027" s="46" t="s">
        <v>445</v>
      </c>
      <c r="C2027" s="52">
        <v>50</v>
      </c>
      <c r="E2027" s="121" t="s">
        <v>3474</v>
      </c>
      <c r="F2027" s="120" t="s">
        <v>3227</v>
      </c>
    </row>
    <row r="2028" spans="1:6" x14ac:dyDescent="0.2">
      <c r="A2028" s="55">
        <v>116</v>
      </c>
      <c r="B2028" s="46" t="s">
        <v>340</v>
      </c>
      <c r="C2028" s="52">
        <v>15</v>
      </c>
      <c r="E2028" s="121" t="s">
        <v>1529</v>
      </c>
      <c r="F2028" s="120" t="s">
        <v>3249</v>
      </c>
    </row>
    <row r="2029" spans="1:6" x14ac:dyDescent="0.2">
      <c r="A2029" s="55">
        <v>116</v>
      </c>
      <c r="B2029" s="46" t="s">
        <v>400</v>
      </c>
      <c r="C2029" s="52">
        <v>12</v>
      </c>
      <c r="E2029" s="121" t="s">
        <v>1411</v>
      </c>
      <c r="F2029" s="120" t="s">
        <v>3249</v>
      </c>
    </row>
    <row r="2030" spans="1:6" x14ac:dyDescent="0.2">
      <c r="A2030" s="55">
        <v>116</v>
      </c>
      <c r="B2030" s="46" t="s">
        <v>376</v>
      </c>
      <c r="C2030" s="52">
        <v>12</v>
      </c>
      <c r="E2030" s="121" t="s">
        <v>3462</v>
      </c>
      <c r="F2030" s="120" t="s">
        <v>3227</v>
      </c>
    </row>
    <row r="2031" spans="1:6" x14ac:dyDescent="0.2">
      <c r="A2031" s="55">
        <v>116</v>
      </c>
      <c r="B2031" s="46" t="s">
        <v>360</v>
      </c>
      <c r="C2031" s="52">
        <v>9</v>
      </c>
      <c r="E2031" s="121" t="s">
        <v>3522</v>
      </c>
      <c r="F2031" s="120" t="s">
        <v>3258</v>
      </c>
    </row>
    <row r="2032" spans="1:6" x14ac:dyDescent="0.2">
      <c r="A2032" s="55">
        <v>116</v>
      </c>
      <c r="B2032" s="46" t="s">
        <v>392</v>
      </c>
      <c r="C2032" s="52">
        <v>9</v>
      </c>
      <c r="E2032" s="121" t="s">
        <v>3473</v>
      </c>
      <c r="F2032" s="120" t="s">
        <v>3227</v>
      </c>
    </row>
    <row r="2033" spans="1:6" x14ac:dyDescent="0.2">
      <c r="A2033" s="55">
        <v>116</v>
      </c>
      <c r="B2033" s="46" t="s">
        <v>364</v>
      </c>
      <c r="C2033" s="52">
        <v>8</v>
      </c>
      <c r="E2033" s="121" t="s">
        <v>3495</v>
      </c>
      <c r="F2033" s="120" t="s">
        <v>3313</v>
      </c>
    </row>
    <row r="2034" spans="1:6" x14ac:dyDescent="0.2">
      <c r="A2034" s="55">
        <v>116</v>
      </c>
      <c r="B2034" s="46" t="s">
        <v>447</v>
      </c>
      <c r="C2034" s="52">
        <v>6</v>
      </c>
      <c r="E2034" s="121" t="s">
        <v>1531</v>
      </c>
      <c r="F2034" s="120" t="s">
        <v>3248</v>
      </c>
    </row>
    <row r="2035" spans="1:6" x14ac:dyDescent="0.2">
      <c r="A2035" s="55">
        <v>116</v>
      </c>
      <c r="B2035" s="46" t="s">
        <v>2575</v>
      </c>
      <c r="C2035" s="52">
        <v>6</v>
      </c>
      <c r="E2035" s="121" t="s">
        <v>1400</v>
      </c>
      <c r="F2035" s="120" t="s">
        <v>3310</v>
      </c>
    </row>
    <row r="2036" spans="1:6" x14ac:dyDescent="0.2">
      <c r="A2036" s="55">
        <v>116</v>
      </c>
      <c r="B2036" s="46" t="s">
        <v>2592</v>
      </c>
      <c r="C2036" s="52">
        <v>4</v>
      </c>
      <c r="E2036" s="121" t="s">
        <v>1167</v>
      </c>
      <c r="F2036" s="120" t="s">
        <v>3242</v>
      </c>
    </row>
    <row r="2037" spans="1:6" x14ac:dyDescent="0.2">
      <c r="A2037" s="55">
        <v>117</v>
      </c>
      <c r="B2037" s="46" t="s">
        <v>376</v>
      </c>
      <c r="C2037" s="52">
        <v>15</v>
      </c>
      <c r="E2037" s="121" t="s">
        <v>3462</v>
      </c>
      <c r="F2037" s="120" t="s">
        <v>3227</v>
      </c>
    </row>
    <row r="2038" spans="1:6" x14ac:dyDescent="0.2">
      <c r="A2038" s="55">
        <v>117</v>
      </c>
      <c r="B2038" s="46" t="s">
        <v>340</v>
      </c>
      <c r="C2038" s="52">
        <v>15</v>
      </c>
      <c r="E2038" s="121" t="s">
        <v>1529</v>
      </c>
      <c r="F2038" s="120" t="s">
        <v>3249</v>
      </c>
    </row>
    <row r="2039" spans="1:6" x14ac:dyDescent="0.2">
      <c r="A2039" s="55">
        <v>117</v>
      </c>
      <c r="B2039" s="46" t="s">
        <v>1936</v>
      </c>
      <c r="C2039" s="52">
        <v>12</v>
      </c>
      <c r="E2039" s="121" t="s">
        <v>562</v>
      </c>
      <c r="F2039" s="120" t="s">
        <v>1289</v>
      </c>
    </row>
    <row r="2040" spans="1:6" x14ac:dyDescent="0.2">
      <c r="A2040" s="55">
        <v>117</v>
      </c>
      <c r="B2040" s="46" t="s">
        <v>2566</v>
      </c>
      <c r="C2040" s="52">
        <v>10</v>
      </c>
      <c r="E2040" s="121" t="s">
        <v>3331</v>
      </c>
      <c r="F2040" s="120" t="s">
        <v>3249</v>
      </c>
    </row>
    <row r="2041" spans="1:6" x14ac:dyDescent="0.2">
      <c r="A2041" s="55">
        <v>117</v>
      </c>
      <c r="B2041" s="46" t="s">
        <v>2665</v>
      </c>
      <c r="C2041" s="52">
        <v>9</v>
      </c>
      <c r="E2041" s="121" t="s">
        <v>3046</v>
      </c>
      <c r="F2041" s="120" t="s">
        <v>3262</v>
      </c>
    </row>
    <row r="2042" spans="1:6" x14ac:dyDescent="0.2">
      <c r="A2042" s="55">
        <v>117</v>
      </c>
      <c r="B2042" s="46" t="s">
        <v>459</v>
      </c>
      <c r="C2042" s="52">
        <v>9</v>
      </c>
      <c r="E2042" s="121" t="s">
        <v>3449</v>
      </c>
      <c r="F2042" s="120" t="s">
        <v>3248</v>
      </c>
    </row>
    <row r="2043" spans="1:6" x14ac:dyDescent="0.2">
      <c r="A2043" s="55">
        <v>117</v>
      </c>
      <c r="B2043" s="46" t="s">
        <v>364</v>
      </c>
      <c r="C2043" s="52">
        <v>9</v>
      </c>
      <c r="E2043" s="121" t="s">
        <v>3495</v>
      </c>
      <c r="F2043" s="120" t="s">
        <v>3313</v>
      </c>
    </row>
    <row r="2044" spans="1:6" x14ac:dyDescent="0.2">
      <c r="A2044" s="55">
        <v>117</v>
      </c>
      <c r="B2044" s="46" t="s">
        <v>1589</v>
      </c>
      <c r="C2044" s="52">
        <v>8</v>
      </c>
      <c r="E2044" s="121" t="s">
        <v>3328</v>
      </c>
      <c r="F2044" s="120" t="s">
        <v>3301</v>
      </c>
    </row>
    <row r="2045" spans="1:6" x14ac:dyDescent="0.2">
      <c r="A2045" s="55">
        <v>117</v>
      </c>
      <c r="B2045" s="46" t="s">
        <v>392</v>
      </c>
      <c r="C2045" s="52">
        <v>6</v>
      </c>
      <c r="E2045" s="121" t="s">
        <v>3473</v>
      </c>
      <c r="F2045" s="120" t="s">
        <v>3227</v>
      </c>
    </row>
    <row r="2046" spans="1:6" x14ac:dyDescent="0.2">
      <c r="A2046" s="55">
        <v>117</v>
      </c>
      <c r="B2046" s="46" t="s">
        <v>350</v>
      </c>
      <c r="C2046" s="52">
        <v>5</v>
      </c>
      <c r="E2046" s="121" t="s">
        <v>1415</v>
      </c>
      <c r="F2046" s="120" t="s">
        <v>3249</v>
      </c>
    </row>
    <row r="2047" spans="1:6" x14ac:dyDescent="0.2">
      <c r="A2047" s="55">
        <v>117</v>
      </c>
      <c r="B2047" s="46" t="s">
        <v>3151</v>
      </c>
      <c r="C2047" s="52">
        <v>5</v>
      </c>
      <c r="E2047" s="121" t="s">
        <v>3194</v>
      </c>
      <c r="F2047" s="120" t="s">
        <v>3258</v>
      </c>
    </row>
    <row r="2048" spans="1:6" x14ac:dyDescent="0.2">
      <c r="A2048" s="55">
        <v>117</v>
      </c>
      <c r="B2048" s="46" t="s">
        <v>529</v>
      </c>
      <c r="C2048" s="52">
        <v>5</v>
      </c>
      <c r="E2048" s="121" t="s">
        <v>3453</v>
      </c>
      <c r="F2048" s="120" t="s">
        <v>3239</v>
      </c>
    </row>
    <row r="2049" spans="1:6" x14ac:dyDescent="0.2">
      <c r="A2049" s="55">
        <v>117</v>
      </c>
      <c r="B2049" s="46" t="s">
        <v>326</v>
      </c>
      <c r="C2049" s="52">
        <v>5</v>
      </c>
      <c r="E2049" s="121" t="s">
        <v>1492</v>
      </c>
      <c r="F2049" s="120" t="s">
        <v>3280</v>
      </c>
    </row>
    <row r="2050" spans="1:6" x14ac:dyDescent="0.2">
      <c r="A2050" s="55">
        <v>117</v>
      </c>
      <c r="B2050" s="46" t="s">
        <v>327</v>
      </c>
      <c r="C2050" s="52">
        <v>4</v>
      </c>
      <c r="E2050" s="121" t="s">
        <v>3517</v>
      </c>
      <c r="F2050" s="120" t="s">
        <v>3226</v>
      </c>
    </row>
    <row r="2051" spans="1:6" x14ac:dyDescent="0.2">
      <c r="A2051" s="55">
        <v>117</v>
      </c>
      <c r="B2051" s="46" t="s">
        <v>360</v>
      </c>
      <c r="C2051" s="52">
        <v>4</v>
      </c>
      <c r="E2051" s="121" t="s">
        <v>3522</v>
      </c>
      <c r="F2051" s="120" t="s">
        <v>3258</v>
      </c>
    </row>
    <row r="2052" spans="1:6" x14ac:dyDescent="0.2">
      <c r="A2052" s="55">
        <v>117</v>
      </c>
      <c r="B2052" s="46" t="s">
        <v>367</v>
      </c>
      <c r="C2052" s="52">
        <v>4</v>
      </c>
      <c r="E2052" s="121" t="s">
        <v>2851</v>
      </c>
      <c r="F2052" s="120" t="s">
        <v>3226</v>
      </c>
    </row>
    <row r="2053" spans="1:6" x14ac:dyDescent="0.2">
      <c r="A2053" s="55">
        <v>117</v>
      </c>
      <c r="B2053" s="46" t="s">
        <v>593</v>
      </c>
      <c r="C2053" s="52">
        <v>4</v>
      </c>
      <c r="E2053" s="121" t="s">
        <v>2852</v>
      </c>
      <c r="F2053" s="120" t="s">
        <v>3227</v>
      </c>
    </row>
    <row r="2054" spans="1:6" x14ac:dyDescent="0.2">
      <c r="A2054" s="55">
        <v>118</v>
      </c>
      <c r="B2054" s="46" t="s">
        <v>350</v>
      </c>
      <c r="C2054" s="52">
        <v>25</v>
      </c>
      <c r="E2054" s="121" t="s">
        <v>1415</v>
      </c>
      <c r="F2054" s="120" t="s">
        <v>3249</v>
      </c>
    </row>
    <row r="2055" spans="1:6" x14ac:dyDescent="0.2">
      <c r="A2055" s="55">
        <v>118</v>
      </c>
      <c r="B2055" s="46" t="s">
        <v>364</v>
      </c>
      <c r="C2055" s="52">
        <v>25</v>
      </c>
      <c r="E2055" s="121" t="s">
        <v>3495</v>
      </c>
      <c r="F2055" s="120" t="s">
        <v>3313</v>
      </c>
    </row>
    <row r="2056" spans="1:6" x14ac:dyDescent="0.2">
      <c r="A2056" s="55">
        <v>118</v>
      </c>
      <c r="B2056" s="46" t="s">
        <v>340</v>
      </c>
      <c r="C2056" s="52">
        <v>15</v>
      </c>
      <c r="E2056" s="121" t="s">
        <v>1529</v>
      </c>
      <c r="F2056" s="120" t="s">
        <v>3249</v>
      </c>
    </row>
    <row r="2057" spans="1:6" x14ac:dyDescent="0.2">
      <c r="A2057" s="55">
        <v>118</v>
      </c>
      <c r="B2057" s="46" t="s">
        <v>593</v>
      </c>
      <c r="C2057" s="52">
        <v>10</v>
      </c>
      <c r="E2057" s="121" t="s">
        <v>2852</v>
      </c>
      <c r="F2057" s="120" t="s">
        <v>3227</v>
      </c>
    </row>
    <row r="2058" spans="1:6" x14ac:dyDescent="0.2">
      <c r="A2058" s="55">
        <v>118</v>
      </c>
      <c r="B2058" s="46" t="s">
        <v>3151</v>
      </c>
      <c r="C2058" s="52">
        <v>7</v>
      </c>
      <c r="E2058" s="121" t="s">
        <v>3194</v>
      </c>
      <c r="F2058" s="120" t="s">
        <v>3258</v>
      </c>
    </row>
    <row r="2059" spans="1:6" x14ac:dyDescent="0.2">
      <c r="A2059" s="55">
        <v>118</v>
      </c>
      <c r="B2059" s="46" t="s">
        <v>2566</v>
      </c>
      <c r="C2059" s="52">
        <v>7</v>
      </c>
      <c r="E2059" s="121" t="s">
        <v>3331</v>
      </c>
      <c r="F2059" s="120" t="s">
        <v>3249</v>
      </c>
    </row>
    <row r="2060" spans="1:6" x14ac:dyDescent="0.2">
      <c r="A2060" s="55">
        <v>118</v>
      </c>
      <c r="B2060" s="46" t="s">
        <v>447</v>
      </c>
      <c r="C2060" s="52">
        <v>7</v>
      </c>
      <c r="E2060" s="121" t="s">
        <v>1531</v>
      </c>
      <c r="F2060" s="120" t="s">
        <v>3248</v>
      </c>
    </row>
    <row r="2061" spans="1:6" x14ac:dyDescent="0.2">
      <c r="A2061" s="55">
        <v>118</v>
      </c>
      <c r="B2061" s="46" t="s">
        <v>376</v>
      </c>
      <c r="C2061" s="52">
        <v>4</v>
      </c>
      <c r="E2061" s="121" t="s">
        <v>3462</v>
      </c>
      <c r="F2061" s="120" t="s">
        <v>3227</v>
      </c>
    </row>
    <row r="2062" spans="1:6" x14ac:dyDescent="0.2">
      <c r="A2062" s="55">
        <v>118</v>
      </c>
      <c r="B2062" s="46" t="s">
        <v>356</v>
      </c>
      <c r="C2062" s="52">
        <v>3</v>
      </c>
      <c r="E2062" s="121" t="s">
        <v>2902</v>
      </c>
      <c r="F2062" s="120" t="s">
        <v>3258</v>
      </c>
    </row>
    <row r="2063" spans="1:6" x14ac:dyDescent="0.2">
      <c r="A2063" s="55">
        <v>118</v>
      </c>
      <c r="B2063" s="46" t="s">
        <v>2592</v>
      </c>
      <c r="C2063" s="52">
        <v>3</v>
      </c>
      <c r="E2063" s="121" t="s">
        <v>1167</v>
      </c>
      <c r="F2063" s="120" t="s">
        <v>3242</v>
      </c>
    </row>
    <row r="2064" spans="1:6" x14ac:dyDescent="0.2">
      <c r="A2064" s="55">
        <v>118</v>
      </c>
      <c r="B2064" s="46" t="s">
        <v>453</v>
      </c>
      <c r="C2064" s="52">
        <v>3</v>
      </c>
      <c r="E2064" s="121" t="s">
        <v>3520</v>
      </c>
      <c r="F2064" s="120" t="s">
        <v>3258</v>
      </c>
    </row>
    <row r="2065" spans="1:6" x14ac:dyDescent="0.2">
      <c r="A2065" s="55">
        <v>119</v>
      </c>
      <c r="B2065" s="46" t="s">
        <v>350</v>
      </c>
      <c r="C2065" s="52">
        <v>30</v>
      </c>
      <c r="E2065" s="121" t="s">
        <v>1415</v>
      </c>
      <c r="F2065" s="120" t="s">
        <v>3249</v>
      </c>
    </row>
    <row r="2066" spans="1:6" x14ac:dyDescent="0.2">
      <c r="A2066" s="55">
        <v>119</v>
      </c>
      <c r="B2066" s="46" t="s">
        <v>3388</v>
      </c>
      <c r="C2066" s="52">
        <v>15</v>
      </c>
      <c r="E2066" s="121" t="s">
        <v>538</v>
      </c>
      <c r="F2066" s="120" t="s">
        <v>3284</v>
      </c>
    </row>
    <row r="2067" spans="1:6" x14ac:dyDescent="0.2">
      <c r="A2067" s="55">
        <v>119</v>
      </c>
      <c r="B2067" s="46" t="s">
        <v>597</v>
      </c>
      <c r="C2067" s="52">
        <v>15</v>
      </c>
      <c r="E2067" s="121" t="s">
        <v>3060</v>
      </c>
      <c r="F2067" s="120" t="s">
        <v>3248</v>
      </c>
    </row>
    <row r="2068" spans="1:6" x14ac:dyDescent="0.2">
      <c r="A2068" s="55">
        <v>119</v>
      </c>
      <c r="B2068" s="46" t="s">
        <v>2588</v>
      </c>
      <c r="C2068" s="52">
        <v>12</v>
      </c>
      <c r="E2068" s="121" t="s">
        <v>549</v>
      </c>
      <c r="F2068" s="120" t="s">
        <v>3284</v>
      </c>
    </row>
    <row r="2069" spans="1:6" x14ac:dyDescent="0.2">
      <c r="A2069" s="55">
        <v>119</v>
      </c>
      <c r="B2069" s="46" t="s">
        <v>364</v>
      </c>
      <c r="C2069" s="52">
        <v>10</v>
      </c>
      <c r="E2069" s="121" t="s">
        <v>3495</v>
      </c>
      <c r="F2069" s="120" t="s">
        <v>3313</v>
      </c>
    </row>
    <row r="2070" spans="1:6" x14ac:dyDescent="0.2">
      <c r="A2070" s="55">
        <v>119</v>
      </c>
      <c r="B2070" s="46" t="s">
        <v>360</v>
      </c>
      <c r="C2070" s="52">
        <v>9</v>
      </c>
      <c r="E2070" s="121" t="s">
        <v>3522</v>
      </c>
      <c r="F2070" s="120" t="s">
        <v>3258</v>
      </c>
    </row>
    <row r="2071" spans="1:6" x14ac:dyDescent="0.2">
      <c r="A2071" s="55">
        <v>119</v>
      </c>
      <c r="B2071" s="46" t="s">
        <v>340</v>
      </c>
      <c r="C2071" s="52">
        <v>6</v>
      </c>
      <c r="E2071" s="121" t="s">
        <v>1529</v>
      </c>
      <c r="F2071" s="120" t="s">
        <v>3249</v>
      </c>
    </row>
    <row r="2072" spans="1:6" x14ac:dyDescent="0.2">
      <c r="A2072" s="55">
        <v>119</v>
      </c>
      <c r="B2072" s="46" t="s">
        <v>362</v>
      </c>
      <c r="C2072" s="52">
        <v>4</v>
      </c>
      <c r="E2072" s="121" t="s">
        <v>3135</v>
      </c>
      <c r="F2072" s="120" t="s">
        <v>3227</v>
      </c>
    </row>
    <row r="2073" spans="1:6" x14ac:dyDescent="0.2">
      <c r="A2073" s="55">
        <v>119</v>
      </c>
      <c r="B2073" s="46" t="s">
        <v>3151</v>
      </c>
      <c r="C2073" s="52">
        <v>4</v>
      </c>
      <c r="E2073" s="121" t="s">
        <v>3194</v>
      </c>
      <c r="F2073" s="120" t="s">
        <v>3258</v>
      </c>
    </row>
    <row r="2074" spans="1:6" x14ac:dyDescent="0.2">
      <c r="A2074" s="55">
        <v>119</v>
      </c>
      <c r="B2074" s="46" t="s">
        <v>593</v>
      </c>
      <c r="C2074" s="52">
        <v>3</v>
      </c>
      <c r="E2074" s="121" t="s">
        <v>2852</v>
      </c>
      <c r="F2074" s="120" t="s">
        <v>3227</v>
      </c>
    </row>
    <row r="2075" spans="1:6" x14ac:dyDescent="0.2">
      <c r="A2075" s="55">
        <v>120</v>
      </c>
      <c r="B2075" s="46" t="s">
        <v>386</v>
      </c>
      <c r="C2075" s="52">
        <v>30</v>
      </c>
      <c r="E2075" s="121" t="s">
        <v>3498</v>
      </c>
      <c r="F2075" s="120" t="s">
        <v>3215</v>
      </c>
    </row>
    <row r="2076" spans="1:6" x14ac:dyDescent="0.2">
      <c r="A2076" s="55">
        <v>120</v>
      </c>
      <c r="B2076" s="46" t="s">
        <v>349</v>
      </c>
      <c r="C2076" s="52">
        <v>30</v>
      </c>
      <c r="E2076" s="121" t="s">
        <v>1200</v>
      </c>
      <c r="F2076" s="120" t="s">
        <v>3292</v>
      </c>
    </row>
    <row r="2077" spans="1:6" x14ac:dyDescent="0.2">
      <c r="A2077" s="55">
        <v>120</v>
      </c>
      <c r="B2077" s="46" t="s">
        <v>432</v>
      </c>
      <c r="C2077" s="52">
        <v>25</v>
      </c>
      <c r="E2077" s="121" t="s">
        <v>3186</v>
      </c>
      <c r="F2077" s="120" t="s">
        <v>3284</v>
      </c>
    </row>
    <row r="2078" spans="1:6" x14ac:dyDescent="0.2">
      <c r="A2078" s="55">
        <v>120</v>
      </c>
      <c r="B2078" s="46" t="s">
        <v>342</v>
      </c>
      <c r="C2078" s="52">
        <v>20</v>
      </c>
      <c r="E2078" s="121" t="s">
        <v>1169</v>
      </c>
      <c r="F2078" s="120" t="s">
        <v>3249</v>
      </c>
    </row>
    <row r="2079" spans="1:6" x14ac:dyDescent="0.2">
      <c r="A2079" s="55">
        <v>120</v>
      </c>
      <c r="B2079" s="46" t="s">
        <v>403</v>
      </c>
      <c r="C2079" s="52">
        <v>7</v>
      </c>
      <c r="E2079" s="121" t="s">
        <v>1408</v>
      </c>
      <c r="F2079" s="120" t="s">
        <v>3248</v>
      </c>
    </row>
    <row r="2080" spans="1:6" x14ac:dyDescent="0.2">
      <c r="A2080" s="55">
        <v>120</v>
      </c>
      <c r="B2080" s="46" t="s">
        <v>2642</v>
      </c>
      <c r="C2080" s="52">
        <v>7</v>
      </c>
      <c r="E2080" s="121" t="s">
        <v>1148</v>
      </c>
      <c r="F2080" s="120" t="s">
        <v>3215</v>
      </c>
    </row>
    <row r="2081" spans="1:6" x14ac:dyDescent="0.2">
      <c r="A2081" s="55">
        <v>120</v>
      </c>
      <c r="B2081" s="46" t="s">
        <v>344</v>
      </c>
      <c r="C2081" s="52">
        <v>7</v>
      </c>
      <c r="E2081" s="121" t="s">
        <v>1403</v>
      </c>
      <c r="F2081" s="120" t="s">
        <v>3215</v>
      </c>
    </row>
    <row r="2082" spans="1:6" x14ac:dyDescent="0.2">
      <c r="A2082" s="55">
        <v>120</v>
      </c>
      <c r="B2082" s="46" t="s">
        <v>2631</v>
      </c>
      <c r="C2082" s="52">
        <v>6</v>
      </c>
      <c r="E2082" s="121" t="s">
        <v>539</v>
      </c>
      <c r="F2082" s="120" t="s">
        <v>3215</v>
      </c>
    </row>
    <row r="2083" spans="1:6" x14ac:dyDescent="0.2">
      <c r="A2083" s="55">
        <v>120</v>
      </c>
      <c r="B2083" s="46" t="s">
        <v>2641</v>
      </c>
      <c r="C2083" s="52">
        <v>5</v>
      </c>
      <c r="E2083" s="121" t="s">
        <v>1418</v>
      </c>
      <c r="F2083" s="120" t="s">
        <v>3249</v>
      </c>
    </row>
    <row r="2084" spans="1:6" x14ac:dyDescent="0.2">
      <c r="A2084" s="55">
        <v>120</v>
      </c>
      <c r="B2084" s="46" t="s">
        <v>347</v>
      </c>
      <c r="C2084" s="52">
        <v>5</v>
      </c>
      <c r="E2084" s="121" t="s">
        <v>3492</v>
      </c>
      <c r="F2084" s="120" t="s">
        <v>3312</v>
      </c>
    </row>
    <row r="2085" spans="1:6" x14ac:dyDescent="0.2">
      <c r="A2085" s="55">
        <v>120</v>
      </c>
      <c r="B2085" s="46" t="s">
        <v>3151</v>
      </c>
      <c r="C2085" s="52">
        <v>3</v>
      </c>
      <c r="E2085" s="121" t="s">
        <v>3194</v>
      </c>
      <c r="F2085" s="120" t="s">
        <v>3258</v>
      </c>
    </row>
    <row r="2086" spans="1:6" x14ac:dyDescent="0.2">
      <c r="A2086" s="55">
        <v>120</v>
      </c>
      <c r="B2086" s="46" t="s">
        <v>2583</v>
      </c>
      <c r="C2086" s="52">
        <v>3</v>
      </c>
      <c r="E2086" s="121" t="s">
        <v>1177</v>
      </c>
      <c r="F2086" s="120" t="s">
        <v>3288</v>
      </c>
    </row>
    <row r="2087" spans="1:6" x14ac:dyDescent="0.2">
      <c r="A2087" s="55">
        <v>120</v>
      </c>
      <c r="B2087" s="46" t="s">
        <v>593</v>
      </c>
      <c r="C2087" s="52">
        <v>2</v>
      </c>
      <c r="E2087" s="121" t="s">
        <v>2852</v>
      </c>
      <c r="F2087" s="120" t="s">
        <v>3227</v>
      </c>
    </row>
    <row r="2088" spans="1:6" x14ac:dyDescent="0.2">
      <c r="A2088" s="55">
        <v>120</v>
      </c>
      <c r="B2088" s="46" t="s">
        <v>2594</v>
      </c>
      <c r="C2088" s="52">
        <v>2</v>
      </c>
      <c r="E2088" s="121" t="s">
        <v>3359</v>
      </c>
      <c r="F2088" s="120" t="s">
        <v>3307</v>
      </c>
    </row>
    <row r="2089" spans="1:6" x14ac:dyDescent="0.2">
      <c r="A2089" s="55">
        <v>121</v>
      </c>
      <c r="B2089" s="46" t="s">
        <v>349</v>
      </c>
      <c r="C2089" s="52">
        <v>70</v>
      </c>
      <c r="E2089" s="121" t="s">
        <v>1200</v>
      </c>
      <c r="F2089" s="120" t="s">
        <v>3292</v>
      </c>
    </row>
    <row r="2090" spans="1:6" x14ac:dyDescent="0.2">
      <c r="A2090" s="55">
        <v>121</v>
      </c>
      <c r="B2090" s="46" t="s">
        <v>342</v>
      </c>
      <c r="C2090" s="52">
        <v>30</v>
      </c>
      <c r="E2090" s="121" t="s">
        <v>1169</v>
      </c>
      <c r="F2090" s="120" t="s">
        <v>3249</v>
      </c>
    </row>
    <row r="2091" spans="1:6" x14ac:dyDescent="0.2">
      <c r="A2091" s="55">
        <v>121</v>
      </c>
      <c r="B2091" s="46" t="s">
        <v>454</v>
      </c>
      <c r="C2091" s="52">
        <v>10</v>
      </c>
      <c r="E2091" s="121" t="s">
        <v>534</v>
      </c>
      <c r="F2091" s="120" t="s">
        <v>3249</v>
      </c>
    </row>
    <row r="2092" spans="1:6" x14ac:dyDescent="0.2">
      <c r="A2092" s="55">
        <v>121</v>
      </c>
      <c r="B2092" s="46" t="s">
        <v>352</v>
      </c>
      <c r="C2092" s="52">
        <v>8</v>
      </c>
      <c r="E2092" s="121" t="s">
        <v>2908</v>
      </c>
      <c r="F2092" s="120" t="s">
        <v>3259</v>
      </c>
    </row>
    <row r="2093" spans="1:6" x14ac:dyDescent="0.2">
      <c r="A2093" s="55">
        <v>121</v>
      </c>
      <c r="B2093" s="46" t="s">
        <v>432</v>
      </c>
      <c r="C2093" s="52">
        <v>8</v>
      </c>
      <c r="E2093" s="121" t="s">
        <v>3186</v>
      </c>
      <c r="F2093" s="120" t="s">
        <v>3284</v>
      </c>
    </row>
    <row r="2094" spans="1:6" x14ac:dyDescent="0.2">
      <c r="A2094" s="55">
        <v>121</v>
      </c>
      <c r="B2094" s="46" t="s">
        <v>2579</v>
      </c>
      <c r="C2094" s="52">
        <v>7</v>
      </c>
      <c r="E2094" s="121" t="s">
        <v>3516</v>
      </c>
      <c r="F2094" s="120" t="s">
        <v>3232</v>
      </c>
    </row>
    <row r="2095" spans="1:6" x14ac:dyDescent="0.2">
      <c r="A2095" s="55">
        <v>121</v>
      </c>
      <c r="B2095" s="46" t="s">
        <v>369</v>
      </c>
      <c r="C2095" s="52">
        <v>4</v>
      </c>
      <c r="E2095" s="121" t="s">
        <v>2829</v>
      </c>
      <c r="F2095" s="120" t="s">
        <v>1289</v>
      </c>
    </row>
    <row r="2096" spans="1:6" x14ac:dyDescent="0.2">
      <c r="A2096" s="55">
        <v>121</v>
      </c>
      <c r="B2096" s="46" t="s">
        <v>347</v>
      </c>
      <c r="C2096" s="52">
        <v>3</v>
      </c>
      <c r="E2096" s="121" t="s">
        <v>3492</v>
      </c>
      <c r="F2096" s="120" t="s">
        <v>3312</v>
      </c>
    </row>
    <row r="2097" spans="1:6" x14ac:dyDescent="0.2">
      <c r="A2097" s="55">
        <v>121</v>
      </c>
      <c r="B2097" s="46" t="s">
        <v>376</v>
      </c>
      <c r="C2097" s="52">
        <v>3</v>
      </c>
      <c r="E2097" s="121" t="s">
        <v>3462</v>
      </c>
      <c r="F2097" s="120" t="s">
        <v>3227</v>
      </c>
    </row>
    <row r="2098" spans="1:6" x14ac:dyDescent="0.2">
      <c r="A2098" s="55">
        <v>121</v>
      </c>
      <c r="B2098" s="46" t="s">
        <v>394</v>
      </c>
      <c r="C2098" s="52">
        <v>2</v>
      </c>
      <c r="E2098" s="121" t="s">
        <v>3467</v>
      </c>
      <c r="F2098" s="120" t="s">
        <v>3258</v>
      </c>
    </row>
    <row r="2099" spans="1:6" x14ac:dyDescent="0.2">
      <c r="A2099" s="55">
        <v>121</v>
      </c>
      <c r="B2099" s="46" t="s">
        <v>392</v>
      </c>
      <c r="C2099" s="52">
        <v>2</v>
      </c>
      <c r="E2099" s="121" t="s">
        <v>3473</v>
      </c>
      <c r="F2099" s="120" t="s">
        <v>3227</v>
      </c>
    </row>
    <row r="2100" spans="1:6" x14ac:dyDescent="0.2">
      <c r="A2100" s="55">
        <v>122</v>
      </c>
      <c r="B2100" s="46" t="s">
        <v>446</v>
      </c>
      <c r="C2100" s="52">
        <v>25</v>
      </c>
      <c r="E2100" s="121" t="s">
        <v>1491</v>
      </c>
      <c r="F2100" s="120" t="s">
        <v>3249</v>
      </c>
    </row>
    <row r="2101" spans="1:6" x14ac:dyDescent="0.2">
      <c r="A2101" s="55">
        <v>122</v>
      </c>
      <c r="B2101" s="46" t="s">
        <v>395</v>
      </c>
      <c r="C2101" s="52">
        <v>20</v>
      </c>
      <c r="E2101" s="121" t="s">
        <v>3202</v>
      </c>
      <c r="F2101" s="120" t="s">
        <v>3248</v>
      </c>
    </row>
    <row r="2102" spans="1:6" x14ac:dyDescent="0.2">
      <c r="A2102" s="55">
        <v>122</v>
      </c>
      <c r="B2102" s="46" t="s">
        <v>342</v>
      </c>
      <c r="C2102" s="52">
        <v>20</v>
      </c>
      <c r="E2102" s="121" t="s">
        <v>1169</v>
      </c>
      <c r="F2102" s="120" t="s">
        <v>3249</v>
      </c>
    </row>
    <row r="2103" spans="1:6" x14ac:dyDescent="0.2">
      <c r="A2103" s="55">
        <v>122</v>
      </c>
      <c r="B2103" s="46" t="s">
        <v>615</v>
      </c>
      <c r="C2103" s="52">
        <v>15</v>
      </c>
      <c r="E2103" s="121" t="s">
        <v>3068</v>
      </c>
      <c r="F2103" s="120" t="s">
        <v>3232</v>
      </c>
    </row>
    <row r="2104" spans="1:6" x14ac:dyDescent="0.2">
      <c r="A2104" s="55">
        <v>122</v>
      </c>
      <c r="B2104" s="46" t="s">
        <v>349</v>
      </c>
      <c r="C2104" s="52">
        <v>9</v>
      </c>
      <c r="E2104" s="121" t="s">
        <v>1200</v>
      </c>
      <c r="F2104" s="120" t="s">
        <v>3292</v>
      </c>
    </row>
    <row r="2105" spans="1:6" x14ac:dyDescent="0.2">
      <c r="A2105" s="55">
        <v>122</v>
      </c>
      <c r="B2105" s="46" t="s">
        <v>368</v>
      </c>
      <c r="C2105" s="52">
        <v>9</v>
      </c>
      <c r="E2105" s="121" t="s">
        <v>1203</v>
      </c>
      <c r="F2105" s="120" t="s">
        <v>3230</v>
      </c>
    </row>
    <row r="2106" spans="1:6" x14ac:dyDescent="0.2">
      <c r="A2106" s="55">
        <v>122</v>
      </c>
      <c r="B2106" s="46" t="s">
        <v>394</v>
      </c>
      <c r="C2106" s="52">
        <v>7</v>
      </c>
      <c r="E2106" s="121" t="s">
        <v>3467</v>
      </c>
      <c r="F2106" s="120" t="s">
        <v>3258</v>
      </c>
    </row>
    <row r="2107" spans="1:6" x14ac:dyDescent="0.2">
      <c r="A2107" s="55">
        <v>122</v>
      </c>
      <c r="B2107" s="46" t="s">
        <v>453</v>
      </c>
      <c r="C2107" s="52">
        <v>6</v>
      </c>
      <c r="E2107" s="121" t="s">
        <v>3520</v>
      </c>
      <c r="F2107" s="120" t="s">
        <v>3258</v>
      </c>
    </row>
    <row r="2108" spans="1:6" x14ac:dyDescent="0.2">
      <c r="A2108" s="55">
        <v>122</v>
      </c>
      <c r="B2108" s="46" t="s">
        <v>2579</v>
      </c>
      <c r="C2108" s="52">
        <v>5</v>
      </c>
      <c r="E2108" s="121" t="s">
        <v>3516</v>
      </c>
      <c r="F2108" s="120" t="s">
        <v>3232</v>
      </c>
    </row>
    <row r="2109" spans="1:6" x14ac:dyDescent="0.2">
      <c r="A2109" s="55">
        <v>122</v>
      </c>
      <c r="B2109" s="46" t="s">
        <v>597</v>
      </c>
      <c r="C2109" s="52">
        <v>3</v>
      </c>
      <c r="E2109" s="121" t="s">
        <v>3060</v>
      </c>
      <c r="F2109" s="120" t="s">
        <v>3248</v>
      </c>
    </row>
    <row r="2110" spans="1:6" x14ac:dyDescent="0.2">
      <c r="A2110" s="55">
        <v>123</v>
      </c>
      <c r="B2110" s="46" t="s">
        <v>347</v>
      </c>
      <c r="C2110" s="52">
        <v>11</v>
      </c>
      <c r="E2110" s="121" t="s">
        <v>3492</v>
      </c>
      <c r="F2110" s="120" t="s">
        <v>3312</v>
      </c>
    </row>
    <row r="2111" spans="1:6" x14ac:dyDescent="0.2">
      <c r="A2111" s="55">
        <v>123</v>
      </c>
      <c r="B2111" s="46" t="s">
        <v>394</v>
      </c>
      <c r="C2111" s="52">
        <v>8</v>
      </c>
      <c r="E2111" s="121" t="s">
        <v>3467</v>
      </c>
      <c r="F2111" s="120" t="s">
        <v>3258</v>
      </c>
    </row>
    <row r="2112" spans="1:6" x14ac:dyDescent="0.2">
      <c r="A2112" s="55">
        <v>123</v>
      </c>
      <c r="B2112" s="46" t="s">
        <v>349</v>
      </c>
      <c r="C2112" s="52">
        <v>8</v>
      </c>
      <c r="E2112" s="121" t="s">
        <v>1200</v>
      </c>
      <c r="F2112" s="120" t="s">
        <v>3292</v>
      </c>
    </row>
    <row r="2113" spans="1:6" x14ac:dyDescent="0.2">
      <c r="A2113" s="55">
        <v>123</v>
      </c>
      <c r="B2113" s="46" t="s">
        <v>2565</v>
      </c>
      <c r="C2113" s="52">
        <v>8</v>
      </c>
      <c r="E2113" s="121" t="s">
        <v>3435</v>
      </c>
      <c r="F2113" s="120" t="s">
        <v>3286</v>
      </c>
    </row>
    <row r="2114" spans="1:6" x14ac:dyDescent="0.2">
      <c r="A2114" s="55">
        <v>123</v>
      </c>
      <c r="B2114" s="46" t="s">
        <v>342</v>
      </c>
      <c r="C2114" s="52">
        <v>7</v>
      </c>
      <c r="E2114" s="121" t="s">
        <v>1169</v>
      </c>
      <c r="F2114" s="120" t="s">
        <v>3249</v>
      </c>
    </row>
    <row r="2115" spans="1:6" x14ac:dyDescent="0.2">
      <c r="A2115" s="55">
        <v>123</v>
      </c>
      <c r="B2115" s="46" t="s">
        <v>386</v>
      </c>
      <c r="C2115" s="52">
        <v>5</v>
      </c>
      <c r="E2115" s="121" t="s">
        <v>3498</v>
      </c>
      <c r="F2115" s="120" t="s">
        <v>3215</v>
      </c>
    </row>
    <row r="2116" spans="1:6" x14ac:dyDescent="0.2">
      <c r="A2116" s="55">
        <v>123</v>
      </c>
      <c r="B2116" s="46" t="s">
        <v>395</v>
      </c>
      <c r="C2116" s="52">
        <v>4</v>
      </c>
      <c r="E2116" s="121" t="s">
        <v>3202</v>
      </c>
      <c r="F2116" s="120" t="s">
        <v>3248</v>
      </c>
    </row>
    <row r="2117" spans="1:6" x14ac:dyDescent="0.2">
      <c r="A2117" s="55">
        <v>123</v>
      </c>
      <c r="B2117" s="46" t="s">
        <v>615</v>
      </c>
      <c r="C2117" s="52">
        <v>4</v>
      </c>
      <c r="E2117" s="121" t="s">
        <v>3068</v>
      </c>
      <c r="F2117" s="120" t="s">
        <v>3232</v>
      </c>
    </row>
    <row r="2118" spans="1:6" x14ac:dyDescent="0.2">
      <c r="A2118" s="55">
        <v>123</v>
      </c>
      <c r="B2118" s="46" t="s">
        <v>399</v>
      </c>
      <c r="C2118" s="52">
        <v>3</v>
      </c>
      <c r="E2118" s="121" t="s">
        <v>1155</v>
      </c>
      <c r="F2118" s="120" t="s">
        <v>3248</v>
      </c>
    </row>
    <row r="2119" spans="1:6" x14ac:dyDescent="0.2">
      <c r="A2119" s="55">
        <v>123</v>
      </c>
      <c r="B2119" s="46" t="s">
        <v>404</v>
      </c>
      <c r="C2119" s="52">
        <v>3</v>
      </c>
      <c r="E2119" s="121" t="s">
        <v>3463</v>
      </c>
      <c r="F2119" s="120" t="s">
        <v>3258</v>
      </c>
    </row>
    <row r="2120" spans="1:6" x14ac:dyDescent="0.2">
      <c r="A2120" s="55">
        <v>123</v>
      </c>
      <c r="B2120" s="46" t="s">
        <v>453</v>
      </c>
      <c r="C2120" s="52">
        <v>3</v>
      </c>
      <c r="E2120" s="121" t="s">
        <v>3520</v>
      </c>
      <c r="F2120" s="120" t="s">
        <v>3258</v>
      </c>
    </row>
    <row r="2121" spans="1:6" x14ac:dyDescent="0.2">
      <c r="A2121" s="55">
        <v>123</v>
      </c>
      <c r="B2121" s="46" t="s">
        <v>457</v>
      </c>
      <c r="C2121" s="52">
        <v>3</v>
      </c>
      <c r="E2121" s="121" t="s">
        <v>1282</v>
      </c>
      <c r="F2121" s="120" t="s">
        <v>3243</v>
      </c>
    </row>
    <row r="2122" spans="1:6" x14ac:dyDescent="0.2">
      <c r="A2122" s="55">
        <v>123</v>
      </c>
      <c r="B2122" s="46" t="s">
        <v>527</v>
      </c>
      <c r="C2122" s="52">
        <v>2</v>
      </c>
      <c r="E2122" s="121" t="s">
        <v>558</v>
      </c>
      <c r="F2122" s="120" t="s">
        <v>3260</v>
      </c>
    </row>
    <row r="2123" spans="1:6" x14ac:dyDescent="0.2">
      <c r="A2123" s="55">
        <v>123</v>
      </c>
      <c r="B2123" s="46" t="s">
        <v>597</v>
      </c>
      <c r="C2123" s="52">
        <v>2</v>
      </c>
      <c r="E2123" s="121" t="s">
        <v>3060</v>
      </c>
      <c r="F2123" s="120" t="s">
        <v>3248</v>
      </c>
    </row>
    <row r="2124" spans="1:6" x14ac:dyDescent="0.2">
      <c r="A2124" s="55">
        <v>123</v>
      </c>
      <c r="B2124" s="46" t="s">
        <v>444</v>
      </c>
      <c r="C2124" s="52">
        <v>2</v>
      </c>
      <c r="E2124" s="121" t="s">
        <v>3471</v>
      </c>
      <c r="F2124" s="120" t="s">
        <v>3227</v>
      </c>
    </row>
    <row r="2125" spans="1:6" x14ac:dyDescent="0.2">
      <c r="A2125" s="55">
        <v>123</v>
      </c>
      <c r="B2125" s="46" t="s">
        <v>410</v>
      </c>
      <c r="C2125" s="52">
        <v>1</v>
      </c>
      <c r="E2125" s="121" t="s">
        <v>1489</v>
      </c>
      <c r="F2125" s="120" t="s">
        <v>3248</v>
      </c>
    </row>
    <row r="2126" spans="1:6" x14ac:dyDescent="0.2">
      <c r="A2126" s="55">
        <v>123</v>
      </c>
      <c r="B2126" s="46" t="s">
        <v>446</v>
      </c>
      <c r="C2126" s="52">
        <v>1</v>
      </c>
      <c r="E2126" s="121" t="s">
        <v>1491</v>
      </c>
      <c r="F2126" s="120" t="s">
        <v>3249</v>
      </c>
    </row>
    <row r="2127" spans="1:6" x14ac:dyDescent="0.2">
      <c r="A2127" s="55">
        <v>124</v>
      </c>
      <c r="B2127" s="46" t="s">
        <v>350</v>
      </c>
      <c r="C2127" s="52">
        <v>18</v>
      </c>
      <c r="E2127" s="121" t="s">
        <v>1415</v>
      </c>
      <c r="F2127" s="120" t="s">
        <v>3249</v>
      </c>
    </row>
    <row r="2128" spans="1:6" x14ac:dyDescent="0.2">
      <c r="A2128" s="55">
        <v>124</v>
      </c>
      <c r="B2128" s="46" t="s">
        <v>2722</v>
      </c>
      <c r="C2128" s="52">
        <v>15</v>
      </c>
      <c r="E2128" s="121" t="s">
        <v>3489</v>
      </c>
      <c r="F2128" s="120" t="s">
        <v>3310</v>
      </c>
    </row>
    <row r="2129" spans="1:6" x14ac:dyDescent="0.2">
      <c r="A2129" s="55">
        <v>124</v>
      </c>
      <c r="B2129" s="46" t="s">
        <v>394</v>
      </c>
      <c r="C2129" s="52">
        <v>15</v>
      </c>
      <c r="E2129" s="121" t="s">
        <v>3467</v>
      </c>
      <c r="F2129" s="120" t="s">
        <v>3258</v>
      </c>
    </row>
    <row r="2130" spans="1:6" x14ac:dyDescent="0.2">
      <c r="A2130" s="55">
        <v>124</v>
      </c>
      <c r="B2130" s="46" t="s">
        <v>2649</v>
      </c>
      <c r="C2130" s="52">
        <v>8</v>
      </c>
      <c r="E2130" s="121" t="s">
        <v>3052</v>
      </c>
      <c r="F2130" s="120" t="s">
        <v>3250</v>
      </c>
    </row>
    <row r="2131" spans="1:6" x14ac:dyDescent="0.2">
      <c r="A2131" s="55">
        <v>124</v>
      </c>
      <c r="B2131" s="46" t="s">
        <v>2565</v>
      </c>
      <c r="C2131" s="52">
        <v>3</v>
      </c>
      <c r="E2131" s="121" t="s">
        <v>3435</v>
      </c>
      <c r="F2131" s="120" t="s">
        <v>3286</v>
      </c>
    </row>
    <row r="2132" spans="1:6" x14ac:dyDescent="0.2">
      <c r="A2132" s="55">
        <v>125</v>
      </c>
      <c r="B2132" s="46" t="s">
        <v>2654</v>
      </c>
      <c r="C2132" s="52">
        <v>25</v>
      </c>
      <c r="E2132" s="121" t="s">
        <v>540</v>
      </c>
      <c r="F2132" s="120" t="s">
        <v>3280</v>
      </c>
    </row>
    <row r="2133" spans="1:6" x14ac:dyDescent="0.2">
      <c r="A2133" s="55">
        <v>125</v>
      </c>
      <c r="B2133" s="46" t="s">
        <v>2649</v>
      </c>
      <c r="C2133" s="52">
        <v>15</v>
      </c>
      <c r="E2133" s="121" t="s">
        <v>3052</v>
      </c>
      <c r="F2133" s="120" t="s">
        <v>3250</v>
      </c>
    </row>
    <row r="2134" spans="1:6" x14ac:dyDescent="0.2">
      <c r="A2134" s="55">
        <v>125</v>
      </c>
      <c r="B2134" s="46" t="s">
        <v>349</v>
      </c>
      <c r="C2134" s="52">
        <v>12</v>
      </c>
      <c r="E2134" s="121" t="s">
        <v>1200</v>
      </c>
      <c r="F2134" s="120" t="s">
        <v>3292</v>
      </c>
    </row>
    <row r="2135" spans="1:6" x14ac:dyDescent="0.2">
      <c r="A2135" s="55">
        <v>125</v>
      </c>
      <c r="B2135" s="46" t="s">
        <v>2566</v>
      </c>
      <c r="C2135" s="52">
        <v>7</v>
      </c>
      <c r="E2135" s="121" t="s">
        <v>3331</v>
      </c>
      <c r="F2135" s="120" t="s">
        <v>3249</v>
      </c>
    </row>
    <row r="2136" spans="1:6" x14ac:dyDescent="0.2">
      <c r="A2136" s="55">
        <v>125</v>
      </c>
      <c r="B2136" s="46" t="s">
        <v>363</v>
      </c>
      <c r="C2136" s="52">
        <v>6</v>
      </c>
      <c r="E2136" s="121" t="s">
        <v>3048</v>
      </c>
      <c r="F2136" s="120" t="s">
        <v>3250</v>
      </c>
    </row>
    <row r="2137" spans="1:6" x14ac:dyDescent="0.2">
      <c r="A2137" s="55">
        <v>125</v>
      </c>
      <c r="B2137" s="46" t="s">
        <v>453</v>
      </c>
      <c r="C2137" s="52">
        <v>4</v>
      </c>
      <c r="E2137" s="121" t="s">
        <v>3520</v>
      </c>
      <c r="F2137" s="120" t="s">
        <v>3258</v>
      </c>
    </row>
    <row r="2138" spans="1:6" x14ac:dyDescent="0.2">
      <c r="A2138" s="55">
        <v>125</v>
      </c>
      <c r="B2138" s="46" t="s">
        <v>593</v>
      </c>
      <c r="C2138" s="52">
        <v>4</v>
      </c>
      <c r="E2138" s="121" t="s">
        <v>2852</v>
      </c>
      <c r="F2138" s="120" t="s">
        <v>3227</v>
      </c>
    </row>
    <row r="2139" spans="1:6" x14ac:dyDescent="0.2">
      <c r="A2139" s="55">
        <v>125</v>
      </c>
      <c r="B2139" s="46" t="s">
        <v>327</v>
      </c>
      <c r="C2139" s="52">
        <v>3</v>
      </c>
      <c r="E2139" s="121" t="s">
        <v>3517</v>
      </c>
      <c r="F2139" s="120" t="s">
        <v>3226</v>
      </c>
    </row>
    <row r="2140" spans="1:6" x14ac:dyDescent="0.2">
      <c r="A2140" s="55">
        <v>126</v>
      </c>
      <c r="B2140" s="46" t="s">
        <v>399</v>
      </c>
      <c r="C2140" s="52">
        <v>18</v>
      </c>
      <c r="E2140" s="121" t="s">
        <v>1155</v>
      </c>
      <c r="F2140" s="120" t="s">
        <v>3248</v>
      </c>
    </row>
    <row r="2141" spans="1:6" x14ac:dyDescent="0.2">
      <c r="A2141" s="55">
        <v>126</v>
      </c>
      <c r="B2141" s="46" t="s">
        <v>349</v>
      </c>
      <c r="C2141" s="52">
        <v>15</v>
      </c>
      <c r="E2141" s="121" t="s">
        <v>1200</v>
      </c>
      <c r="F2141" s="120" t="s">
        <v>3292</v>
      </c>
    </row>
    <row r="2142" spans="1:6" x14ac:dyDescent="0.2">
      <c r="A2142" s="55">
        <v>126</v>
      </c>
      <c r="B2142" s="46" t="s">
        <v>454</v>
      </c>
      <c r="C2142" s="52">
        <v>12</v>
      </c>
      <c r="E2142" s="121" t="s">
        <v>534</v>
      </c>
      <c r="F2142" s="120" t="s">
        <v>3249</v>
      </c>
    </row>
    <row r="2143" spans="1:6" x14ac:dyDescent="0.2">
      <c r="A2143" s="55">
        <v>126</v>
      </c>
      <c r="B2143" s="46" t="s">
        <v>342</v>
      </c>
      <c r="C2143" s="52">
        <v>10</v>
      </c>
      <c r="E2143" s="121" t="s">
        <v>1169</v>
      </c>
      <c r="F2143" s="120" t="s">
        <v>3249</v>
      </c>
    </row>
    <row r="2144" spans="1:6" x14ac:dyDescent="0.2">
      <c r="A2144" s="55">
        <v>126</v>
      </c>
      <c r="B2144" s="46" t="s">
        <v>446</v>
      </c>
      <c r="C2144" s="52">
        <v>9</v>
      </c>
      <c r="E2144" s="121" t="s">
        <v>1491</v>
      </c>
      <c r="F2144" s="120" t="s">
        <v>3249</v>
      </c>
    </row>
    <row r="2145" spans="1:6" x14ac:dyDescent="0.2">
      <c r="A2145" s="55">
        <v>126</v>
      </c>
      <c r="B2145" s="46" t="s">
        <v>2579</v>
      </c>
      <c r="C2145" s="52">
        <v>7</v>
      </c>
      <c r="E2145" s="121" t="s">
        <v>3516</v>
      </c>
      <c r="F2145" s="120" t="s">
        <v>3232</v>
      </c>
    </row>
    <row r="2146" spans="1:6" x14ac:dyDescent="0.2">
      <c r="A2146" s="55">
        <v>126</v>
      </c>
      <c r="B2146" s="46" t="s">
        <v>394</v>
      </c>
      <c r="C2146" s="52">
        <v>6</v>
      </c>
      <c r="E2146" s="121" t="s">
        <v>3467</v>
      </c>
      <c r="F2146" s="120" t="s">
        <v>3258</v>
      </c>
    </row>
    <row r="2147" spans="1:6" x14ac:dyDescent="0.2">
      <c r="A2147" s="55">
        <v>126</v>
      </c>
      <c r="B2147" s="46" t="s">
        <v>2581</v>
      </c>
      <c r="C2147" s="52">
        <v>4</v>
      </c>
      <c r="E2147" s="121" t="s">
        <v>3506</v>
      </c>
      <c r="F2147" s="120" t="s">
        <v>3215</v>
      </c>
    </row>
    <row r="2148" spans="1:6" x14ac:dyDescent="0.2">
      <c r="A2148" s="55">
        <v>126</v>
      </c>
      <c r="B2148" s="46" t="s">
        <v>2594</v>
      </c>
      <c r="C2148" s="52">
        <v>4</v>
      </c>
      <c r="E2148" s="121" t="s">
        <v>3359</v>
      </c>
      <c r="F2148" s="120" t="s">
        <v>3307</v>
      </c>
    </row>
    <row r="2149" spans="1:6" x14ac:dyDescent="0.2">
      <c r="A2149" s="55">
        <v>126</v>
      </c>
      <c r="B2149" s="46" t="s">
        <v>2625</v>
      </c>
      <c r="C2149" s="52">
        <v>3</v>
      </c>
      <c r="E2149" s="121" t="s">
        <v>2878</v>
      </c>
      <c r="F2149" s="120" t="s">
        <v>3248</v>
      </c>
    </row>
    <row r="2150" spans="1:6" x14ac:dyDescent="0.2">
      <c r="A2150" s="55">
        <v>126</v>
      </c>
      <c r="B2150" s="46" t="s">
        <v>2642</v>
      </c>
      <c r="C2150" s="52">
        <v>3</v>
      </c>
      <c r="E2150" s="121" t="s">
        <v>1148</v>
      </c>
      <c r="F2150" s="120" t="s">
        <v>3215</v>
      </c>
    </row>
    <row r="2151" spans="1:6" x14ac:dyDescent="0.2">
      <c r="A2151" s="55">
        <v>126</v>
      </c>
      <c r="B2151" s="46" t="s">
        <v>527</v>
      </c>
      <c r="C2151" s="52">
        <v>2</v>
      </c>
      <c r="E2151" s="121" t="s">
        <v>558</v>
      </c>
      <c r="F2151" s="120" t="s">
        <v>3260</v>
      </c>
    </row>
    <row r="2152" spans="1:6" x14ac:dyDescent="0.2">
      <c r="A2152" s="55">
        <v>127</v>
      </c>
      <c r="B2152" s="46" t="s">
        <v>445</v>
      </c>
      <c r="C2152" s="52">
        <v>50</v>
      </c>
      <c r="E2152" s="121" t="s">
        <v>3474</v>
      </c>
      <c r="F2152" s="120" t="s">
        <v>3227</v>
      </c>
    </row>
    <row r="2153" spans="1:6" x14ac:dyDescent="0.2">
      <c r="A2153" s="55">
        <v>127</v>
      </c>
      <c r="B2153" s="46" t="s">
        <v>376</v>
      </c>
      <c r="C2153" s="52">
        <v>45</v>
      </c>
      <c r="E2153" s="121" t="s">
        <v>3462</v>
      </c>
      <c r="F2153" s="120" t="s">
        <v>3227</v>
      </c>
    </row>
    <row r="2154" spans="1:6" x14ac:dyDescent="0.2">
      <c r="A2154" s="55">
        <v>127</v>
      </c>
      <c r="B2154" s="46" t="s">
        <v>400</v>
      </c>
      <c r="C2154" s="52">
        <v>35</v>
      </c>
      <c r="E2154" s="121" t="s">
        <v>1411</v>
      </c>
      <c r="F2154" s="120" t="s">
        <v>3249</v>
      </c>
    </row>
    <row r="2155" spans="1:6" x14ac:dyDescent="0.2">
      <c r="A2155" s="55">
        <v>127</v>
      </c>
      <c r="B2155" s="46" t="s">
        <v>340</v>
      </c>
      <c r="C2155" s="52">
        <v>25</v>
      </c>
      <c r="E2155" s="121" t="s">
        <v>1529</v>
      </c>
      <c r="F2155" s="120" t="s">
        <v>3249</v>
      </c>
    </row>
    <row r="2156" spans="1:6" x14ac:dyDescent="0.2">
      <c r="A2156" s="55">
        <v>127</v>
      </c>
      <c r="B2156" s="46" t="s">
        <v>364</v>
      </c>
      <c r="C2156" s="52">
        <v>8</v>
      </c>
      <c r="E2156" s="121" t="s">
        <v>3495</v>
      </c>
      <c r="F2156" s="120" t="s">
        <v>3313</v>
      </c>
    </row>
    <row r="2157" spans="1:6" x14ac:dyDescent="0.2">
      <c r="A2157" s="55">
        <v>127</v>
      </c>
      <c r="B2157" s="46" t="s">
        <v>1583</v>
      </c>
      <c r="C2157" s="52">
        <v>7</v>
      </c>
      <c r="E2157" s="121" t="s">
        <v>1402</v>
      </c>
      <c r="F2157" s="120" t="s">
        <v>3248</v>
      </c>
    </row>
    <row r="2158" spans="1:6" x14ac:dyDescent="0.2">
      <c r="A2158" s="55">
        <v>127</v>
      </c>
      <c r="B2158" s="46" t="s">
        <v>2575</v>
      </c>
      <c r="C2158" s="52">
        <v>7</v>
      </c>
      <c r="E2158" s="121" t="s">
        <v>1400</v>
      </c>
      <c r="F2158" s="120" t="s">
        <v>3310</v>
      </c>
    </row>
    <row r="2159" spans="1:6" x14ac:dyDescent="0.2">
      <c r="A2159" s="55">
        <v>127</v>
      </c>
      <c r="B2159" s="46" t="s">
        <v>415</v>
      </c>
      <c r="C2159" s="52">
        <v>3</v>
      </c>
      <c r="E2159" s="121" t="s">
        <v>1144</v>
      </c>
      <c r="F2159" s="120" t="s">
        <v>3249</v>
      </c>
    </row>
    <row r="2160" spans="1:6" x14ac:dyDescent="0.2">
      <c r="A2160" s="55">
        <v>128</v>
      </c>
      <c r="B2160" s="46" t="s">
        <v>364</v>
      </c>
      <c r="C2160" s="52">
        <v>45</v>
      </c>
      <c r="E2160" s="121" t="s">
        <v>3495</v>
      </c>
      <c r="F2160" s="120" t="s">
        <v>3313</v>
      </c>
    </row>
    <row r="2161" spans="1:6" x14ac:dyDescent="0.2">
      <c r="A2161" s="55">
        <v>128</v>
      </c>
      <c r="B2161" s="46" t="s">
        <v>2575</v>
      </c>
      <c r="C2161" s="52">
        <v>20</v>
      </c>
      <c r="E2161" s="121" t="s">
        <v>1400</v>
      </c>
      <c r="F2161" s="120" t="s">
        <v>3310</v>
      </c>
    </row>
    <row r="2162" spans="1:6" x14ac:dyDescent="0.2">
      <c r="A2162" s="55">
        <v>128</v>
      </c>
      <c r="B2162" s="46" t="s">
        <v>2666</v>
      </c>
      <c r="C2162" s="52">
        <v>11</v>
      </c>
      <c r="E2162" s="121" t="s">
        <v>1208</v>
      </c>
      <c r="F2162" s="120" t="s">
        <v>3274</v>
      </c>
    </row>
    <row r="2163" spans="1:6" x14ac:dyDescent="0.2">
      <c r="A2163" s="55">
        <v>128</v>
      </c>
      <c r="B2163" s="46" t="s">
        <v>3151</v>
      </c>
      <c r="C2163" s="52">
        <v>10</v>
      </c>
      <c r="E2163" s="121" t="s">
        <v>3194</v>
      </c>
      <c r="F2163" s="120" t="s">
        <v>3258</v>
      </c>
    </row>
    <row r="2164" spans="1:6" x14ac:dyDescent="0.2">
      <c r="A2164" s="55">
        <v>128</v>
      </c>
      <c r="B2164" s="46" t="s">
        <v>350</v>
      </c>
      <c r="C2164" s="52">
        <v>8</v>
      </c>
      <c r="E2164" s="121" t="s">
        <v>1415</v>
      </c>
      <c r="F2164" s="120" t="s">
        <v>3249</v>
      </c>
    </row>
    <row r="2165" spans="1:6" x14ac:dyDescent="0.2">
      <c r="A2165" s="55">
        <v>128</v>
      </c>
      <c r="B2165" s="46" t="s">
        <v>445</v>
      </c>
      <c r="C2165" s="52">
        <v>7</v>
      </c>
      <c r="E2165" s="121" t="s">
        <v>3474</v>
      </c>
      <c r="F2165" s="120" t="s">
        <v>3227</v>
      </c>
    </row>
    <row r="2166" spans="1:6" x14ac:dyDescent="0.2">
      <c r="A2166" s="55">
        <v>128</v>
      </c>
      <c r="B2166" s="46" t="s">
        <v>2654</v>
      </c>
      <c r="C2166" s="52">
        <v>4</v>
      </c>
      <c r="E2166" s="121" t="s">
        <v>540</v>
      </c>
      <c r="F2166" s="120" t="s">
        <v>3280</v>
      </c>
    </row>
    <row r="2167" spans="1:6" x14ac:dyDescent="0.2">
      <c r="A2167" s="55">
        <v>128</v>
      </c>
      <c r="B2167" s="46" t="s">
        <v>2626</v>
      </c>
      <c r="C2167" s="52">
        <v>4</v>
      </c>
      <c r="E2167" s="121" t="s">
        <v>3101</v>
      </c>
      <c r="F2167" s="120" t="s">
        <v>3256</v>
      </c>
    </row>
    <row r="2168" spans="1:6" x14ac:dyDescent="0.2">
      <c r="A2168" s="55">
        <v>128</v>
      </c>
      <c r="B2168" s="46" t="s">
        <v>2573</v>
      </c>
      <c r="C2168" s="52">
        <v>3</v>
      </c>
      <c r="E2168" s="121" t="s">
        <v>2880</v>
      </c>
      <c r="F2168" s="120" t="s">
        <v>3249</v>
      </c>
    </row>
    <row r="2169" spans="1:6" x14ac:dyDescent="0.2">
      <c r="A2169" s="55">
        <v>128</v>
      </c>
      <c r="B2169" s="46" t="s">
        <v>2642</v>
      </c>
      <c r="C2169" s="52">
        <v>3</v>
      </c>
      <c r="E2169" s="121" t="s">
        <v>1148</v>
      </c>
      <c r="F2169" s="120" t="s">
        <v>3215</v>
      </c>
    </row>
    <row r="2170" spans="1:6" x14ac:dyDescent="0.2">
      <c r="A2170" s="55">
        <v>128</v>
      </c>
      <c r="B2170" s="46" t="s">
        <v>415</v>
      </c>
      <c r="C2170" s="52">
        <v>3</v>
      </c>
      <c r="E2170" s="121" t="s">
        <v>1144</v>
      </c>
      <c r="F2170" s="120" t="s">
        <v>3249</v>
      </c>
    </row>
    <row r="2171" spans="1:6" x14ac:dyDescent="0.2">
      <c r="A2171" s="55">
        <v>128</v>
      </c>
      <c r="B2171" s="46" t="s">
        <v>593</v>
      </c>
      <c r="C2171" s="52">
        <v>3</v>
      </c>
      <c r="E2171" s="121" t="s">
        <v>2852</v>
      </c>
      <c r="F2171" s="120" t="s">
        <v>3227</v>
      </c>
    </row>
    <row r="2172" spans="1:6" x14ac:dyDescent="0.2">
      <c r="A2172" s="55">
        <v>128</v>
      </c>
      <c r="B2172" s="46" t="s">
        <v>400</v>
      </c>
      <c r="C2172" s="52">
        <v>2</v>
      </c>
      <c r="E2172" s="121" t="s">
        <v>1411</v>
      </c>
      <c r="F2172" s="120" t="s">
        <v>3249</v>
      </c>
    </row>
    <row r="2173" spans="1:6" x14ac:dyDescent="0.2">
      <c r="A2173" s="55">
        <v>129</v>
      </c>
      <c r="B2173" s="46" t="s">
        <v>2629</v>
      </c>
      <c r="C2173" s="52">
        <v>75</v>
      </c>
      <c r="E2173" s="121" t="s">
        <v>1162</v>
      </c>
      <c r="F2173" s="120" t="s">
        <v>3215</v>
      </c>
    </row>
    <row r="2174" spans="1:6" x14ac:dyDescent="0.2">
      <c r="A2174" s="55">
        <v>129</v>
      </c>
      <c r="B2174" s="46" t="s">
        <v>394</v>
      </c>
      <c r="C2174" s="52">
        <v>12</v>
      </c>
      <c r="E2174" s="121" t="s">
        <v>3467</v>
      </c>
      <c r="F2174" s="120" t="s">
        <v>3258</v>
      </c>
    </row>
    <row r="2175" spans="1:6" x14ac:dyDescent="0.2">
      <c r="A2175" s="55">
        <v>129</v>
      </c>
      <c r="B2175" s="46" t="s">
        <v>350</v>
      </c>
      <c r="C2175" s="52">
        <v>9</v>
      </c>
      <c r="E2175" s="121" t="s">
        <v>1415</v>
      </c>
      <c r="F2175" s="120" t="s">
        <v>3249</v>
      </c>
    </row>
    <row r="2176" spans="1:6" x14ac:dyDescent="0.2">
      <c r="A2176" s="55">
        <v>129</v>
      </c>
      <c r="B2176" s="46" t="s">
        <v>349</v>
      </c>
      <c r="C2176" s="52">
        <v>9</v>
      </c>
      <c r="E2176" s="121" t="s">
        <v>1200</v>
      </c>
      <c r="F2176" s="120" t="s">
        <v>3292</v>
      </c>
    </row>
    <row r="2177" spans="1:6" x14ac:dyDescent="0.2">
      <c r="A2177" s="55">
        <v>129</v>
      </c>
      <c r="B2177" s="46" t="s">
        <v>364</v>
      </c>
      <c r="C2177" s="52">
        <v>8</v>
      </c>
      <c r="E2177" s="121" t="s">
        <v>3495</v>
      </c>
      <c r="F2177" s="120" t="s">
        <v>3313</v>
      </c>
    </row>
    <row r="2178" spans="1:6" x14ac:dyDescent="0.2">
      <c r="A2178" s="55">
        <v>129</v>
      </c>
      <c r="B2178" s="46" t="s">
        <v>2575</v>
      </c>
      <c r="C2178" s="52">
        <v>7</v>
      </c>
      <c r="E2178" s="121" t="s">
        <v>1400</v>
      </c>
      <c r="F2178" s="120" t="s">
        <v>3310</v>
      </c>
    </row>
    <row r="2179" spans="1:6" x14ac:dyDescent="0.2">
      <c r="A2179" s="55">
        <v>129</v>
      </c>
      <c r="B2179" s="46" t="s">
        <v>400</v>
      </c>
      <c r="C2179" s="52">
        <v>6</v>
      </c>
      <c r="E2179" s="121" t="s">
        <v>1411</v>
      </c>
      <c r="F2179" s="120" t="s">
        <v>3249</v>
      </c>
    </row>
    <row r="2180" spans="1:6" x14ac:dyDescent="0.2">
      <c r="A2180" s="55">
        <v>129</v>
      </c>
      <c r="B2180" s="46" t="s">
        <v>3388</v>
      </c>
      <c r="C2180" s="52">
        <v>5</v>
      </c>
      <c r="E2180" s="121" t="s">
        <v>538</v>
      </c>
      <c r="F2180" s="120" t="s">
        <v>3284</v>
      </c>
    </row>
    <row r="2181" spans="1:6" x14ac:dyDescent="0.2">
      <c r="A2181" s="55">
        <v>129</v>
      </c>
      <c r="B2181" s="46" t="s">
        <v>2566</v>
      </c>
      <c r="C2181" s="52">
        <v>2</v>
      </c>
      <c r="E2181" s="121" t="s">
        <v>3331</v>
      </c>
      <c r="F2181" s="120" t="s">
        <v>3249</v>
      </c>
    </row>
    <row r="2182" spans="1:6" x14ac:dyDescent="0.2">
      <c r="A2182" s="55">
        <v>129</v>
      </c>
      <c r="B2182" s="46" t="s">
        <v>593</v>
      </c>
      <c r="C2182" s="52">
        <v>1</v>
      </c>
      <c r="E2182" s="121" t="s">
        <v>2852</v>
      </c>
      <c r="F2182" s="120" t="s">
        <v>3227</v>
      </c>
    </row>
    <row r="2183" spans="1:6" x14ac:dyDescent="0.2">
      <c r="A2183" s="55">
        <v>130</v>
      </c>
      <c r="B2183" s="46" t="s">
        <v>446</v>
      </c>
      <c r="C2183" s="52">
        <v>50</v>
      </c>
      <c r="E2183" s="121" t="s">
        <v>1491</v>
      </c>
      <c r="F2183" s="120" t="s">
        <v>3249</v>
      </c>
    </row>
    <row r="2184" spans="1:6" x14ac:dyDescent="0.2">
      <c r="A2184" s="55">
        <v>130</v>
      </c>
      <c r="B2184" s="46" t="s">
        <v>399</v>
      </c>
      <c r="C2184" s="52">
        <v>20</v>
      </c>
      <c r="E2184" s="121" t="s">
        <v>1155</v>
      </c>
      <c r="F2184" s="120" t="s">
        <v>3248</v>
      </c>
    </row>
    <row r="2185" spans="1:6" x14ac:dyDescent="0.2">
      <c r="A2185" s="55">
        <v>130</v>
      </c>
      <c r="B2185" s="46" t="s">
        <v>2649</v>
      </c>
      <c r="C2185" s="52">
        <v>10</v>
      </c>
      <c r="E2185" s="121" t="s">
        <v>3052</v>
      </c>
      <c r="F2185" s="120" t="s">
        <v>3250</v>
      </c>
    </row>
    <row r="2186" spans="1:6" x14ac:dyDescent="0.2">
      <c r="A2186" s="55">
        <v>130</v>
      </c>
      <c r="B2186" s="46" t="s">
        <v>615</v>
      </c>
      <c r="C2186" s="52">
        <v>9</v>
      </c>
      <c r="E2186" s="121" t="s">
        <v>3068</v>
      </c>
      <c r="F2186" s="120" t="s">
        <v>3232</v>
      </c>
    </row>
    <row r="2187" spans="1:6" x14ac:dyDescent="0.2">
      <c r="A2187" s="55">
        <v>130</v>
      </c>
      <c r="B2187" s="46" t="s">
        <v>349</v>
      </c>
      <c r="C2187" s="52">
        <v>8</v>
      </c>
      <c r="E2187" s="121" t="s">
        <v>1200</v>
      </c>
      <c r="F2187" s="120" t="s">
        <v>3292</v>
      </c>
    </row>
    <row r="2188" spans="1:6" x14ac:dyDescent="0.2">
      <c r="A2188" s="55">
        <v>130</v>
      </c>
      <c r="B2188" s="46" t="s">
        <v>2565</v>
      </c>
      <c r="C2188" s="52">
        <v>8</v>
      </c>
      <c r="E2188" s="121" t="s">
        <v>3435</v>
      </c>
      <c r="F2188" s="120" t="s">
        <v>3286</v>
      </c>
    </row>
    <row r="2189" spans="1:6" x14ac:dyDescent="0.2">
      <c r="A2189" s="55">
        <v>130</v>
      </c>
      <c r="B2189" s="46" t="s">
        <v>395</v>
      </c>
      <c r="C2189" s="52">
        <v>7</v>
      </c>
      <c r="E2189" s="121" t="s">
        <v>3202</v>
      </c>
      <c r="F2189" s="120" t="s">
        <v>3248</v>
      </c>
    </row>
    <row r="2190" spans="1:6" x14ac:dyDescent="0.2">
      <c r="A2190" s="55">
        <v>130</v>
      </c>
      <c r="B2190" s="46" t="s">
        <v>432</v>
      </c>
      <c r="C2190" s="52">
        <v>6</v>
      </c>
      <c r="E2190" s="121" t="s">
        <v>3186</v>
      </c>
      <c r="F2190" s="120" t="s">
        <v>3284</v>
      </c>
    </row>
    <row r="2191" spans="1:6" x14ac:dyDescent="0.2">
      <c r="A2191" s="55">
        <v>130</v>
      </c>
      <c r="B2191" s="46" t="s">
        <v>394</v>
      </c>
      <c r="C2191" s="52">
        <v>5</v>
      </c>
      <c r="E2191" s="121" t="s">
        <v>3467</v>
      </c>
      <c r="F2191" s="120" t="s">
        <v>3258</v>
      </c>
    </row>
    <row r="2192" spans="1:6" x14ac:dyDescent="0.2">
      <c r="A2192" s="55">
        <v>130</v>
      </c>
      <c r="B2192" s="46" t="s">
        <v>350</v>
      </c>
      <c r="C2192" s="52">
        <v>4</v>
      </c>
      <c r="E2192" s="121" t="s">
        <v>1415</v>
      </c>
      <c r="F2192" s="120" t="s">
        <v>3249</v>
      </c>
    </row>
    <row r="2193" spans="1:6" x14ac:dyDescent="0.2">
      <c r="A2193" s="55">
        <v>130</v>
      </c>
      <c r="B2193" s="46" t="s">
        <v>400</v>
      </c>
      <c r="C2193" s="52">
        <v>4</v>
      </c>
      <c r="E2193" s="121" t="s">
        <v>1411</v>
      </c>
      <c r="F2193" s="120" t="s">
        <v>3249</v>
      </c>
    </row>
    <row r="2194" spans="1:6" x14ac:dyDescent="0.2">
      <c r="A2194" s="55">
        <v>130</v>
      </c>
      <c r="B2194" s="46" t="s">
        <v>2599</v>
      </c>
      <c r="C2194" s="52">
        <v>4</v>
      </c>
      <c r="E2194" s="121" t="s">
        <v>2849</v>
      </c>
      <c r="F2194" s="120" t="s">
        <v>3224</v>
      </c>
    </row>
    <row r="2195" spans="1:6" x14ac:dyDescent="0.2">
      <c r="A2195" s="55">
        <v>130</v>
      </c>
      <c r="B2195" s="46" t="s">
        <v>2603</v>
      </c>
      <c r="C2195" s="52">
        <v>2</v>
      </c>
      <c r="E2195" s="121" t="s">
        <v>2905</v>
      </c>
      <c r="F2195" s="120" t="s">
        <v>3253</v>
      </c>
    </row>
    <row r="2196" spans="1:6" x14ac:dyDescent="0.2">
      <c r="A2196" s="55">
        <v>130</v>
      </c>
      <c r="B2196" s="46" t="s">
        <v>2600</v>
      </c>
      <c r="C2196" s="52">
        <v>2</v>
      </c>
      <c r="E2196" s="121" t="s">
        <v>3163</v>
      </c>
      <c r="F2196" s="120" t="s">
        <v>3219</v>
      </c>
    </row>
    <row r="2197" spans="1:6" x14ac:dyDescent="0.2">
      <c r="A2197" s="55">
        <v>130</v>
      </c>
      <c r="B2197" s="46" t="s">
        <v>415</v>
      </c>
      <c r="C2197" s="52">
        <v>2</v>
      </c>
      <c r="E2197" s="121" t="s">
        <v>1144</v>
      </c>
      <c r="F2197" s="120" t="s">
        <v>3249</v>
      </c>
    </row>
    <row r="2198" spans="1:6" x14ac:dyDescent="0.2">
      <c r="A2198" s="55">
        <v>131</v>
      </c>
      <c r="B2198" s="46" t="s">
        <v>399</v>
      </c>
      <c r="C2198" s="52">
        <v>40</v>
      </c>
      <c r="E2198" s="121" t="s">
        <v>1155</v>
      </c>
      <c r="F2198" s="120" t="s">
        <v>3248</v>
      </c>
    </row>
    <row r="2199" spans="1:6" x14ac:dyDescent="0.2">
      <c r="A2199" s="55">
        <v>131</v>
      </c>
      <c r="B2199" s="46" t="s">
        <v>400</v>
      </c>
      <c r="C2199" s="52">
        <v>18</v>
      </c>
      <c r="E2199" s="121" t="s">
        <v>1411</v>
      </c>
      <c r="F2199" s="120" t="s">
        <v>3249</v>
      </c>
    </row>
    <row r="2200" spans="1:6" x14ac:dyDescent="0.2">
      <c r="A2200" s="55">
        <v>131</v>
      </c>
      <c r="B2200" s="46" t="s">
        <v>2649</v>
      </c>
      <c r="C2200" s="52">
        <v>10</v>
      </c>
      <c r="E2200" s="121" t="s">
        <v>3052</v>
      </c>
      <c r="F2200" s="120" t="s">
        <v>3250</v>
      </c>
    </row>
    <row r="2201" spans="1:6" x14ac:dyDescent="0.2">
      <c r="A2201" s="55">
        <v>131</v>
      </c>
      <c r="B2201" s="46" t="s">
        <v>432</v>
      </c>
      <c r="C2201" s="52">
        <v>9</v>
      </c>
      <c r="E2201" s="121" t="s">
        <v>3186</v>
      </c>
      <c r="F2201" s="120" t="s">
        <v>3284</v>
      </c>
    </row>
    <row r="2202" spans="1:6" x14ac:dyDescent="0.2">
      <c r="A2202" s="55">
        <v>131</v>
      </c>
      <c r="B2202" s="46" t="s">
        <v>349</v>
      </c>
      <c r="C2202" s="52">
        <v>6</v>
      </c>
      <c r="E2202" s="121" t="s">
        <v>1200</v>
      </c>
      <c r="F2202" s="120" t="s">
        <v>3292</v>
      </c>
    </row>
    <row r="2203" spans="1:6" x14ac:dyDescent="0.2">
      <c r="A2203" s="55">
        <v>131</v>
      </c>
      <c r="B2203" s="46" t="s">
        <v>441</v>
      </c>
      <c r="C2203" s="52">
        <v>5</v>
      </c>
      <c r="E2203" s="121" t="s">
        <v>3469</v>
      </c>
      <c r="F2203" s="120" t="s">
        <v>3258</v>
      </c>
    </row>
    <row r="2204" spans="1:6" x14ac:dyDescent="0.2">
      <c r="A2204" s="55">
        <v>131</v>
      </c>
      <c r="B2204" s="46" t="s">
        <v>355</v>
      </c>
      <c r="C2204" s="52">
        <v>3</v>
      </c>
      <c r="E2204" s="121" t="s">
        <v>1150</v>
      </c>
      <c r="F2204" s="120" t="s">
        <v>3287</v>
      </c>
    </row>
    <row r="2205" spans="1:6" x14ac:dyDescent="0.2">
      <c r="A2205" s="55">
        <v>131</v>
      </c>
      <c r="B2205" s="46" t="s">
        <v>415</v>
      </c>
      <c r="C2205" s="52">
        <v>3</v>
      </c>
      <c r="E2205" s="121" t="s">
        <v>1144</v>
      </c>
      <c r="F2205" s="120" t="s">
        <v>3249</v>
      </c>
    </row>
    <row r="2206" spans="1:6" x14ac:dyDescent="0.2">
      <c r="A2206" s="55">
        <v>131</v>
      </c>
      <c r="B2206" s="46" t="s">
        <v>394</v>
      </c>
      <c r="C2206" s="52">
        <v>2</v>
      </c>
      <c r="E2206" s="121" t="s">
        <v>3467</v>
      </c>
      <c r="F2206" s="120" t="s">
        <v>3258</v>
      </c>
    </row>
    <row r="2207" spans="1:6" x14ac:dyDescent="0.2">
      <c r="A2207" s="55">
        <v>131</v>
      </c>
      <c r="B2207" s="46" t="s">
        <v>615</v>
      </c>
      <c r="C2207" s="52">
        <v>2</v>
      </c>
      <c r="E2207" s="121" t="s">
        <v>3068</v>
      </c>
      <c r="F2207" s="120" t="s">
        <v>3232</v>
      </c>
    </row>
    <row r="2208" spans="1:6" x14ac:dyDescent="0.2">
      <c r="A2208" s="55">
        <v>132</v>
      </c>
      <c r="B2208" s="46" t="s">
        <v>2811</v>
      </c>
      <c r="C2208" s="52">
        <v>15</v>
      </c>
      <c r="E2208" s="121" t="s">
        <v>3485</v>
      </c>
      <c r="F2208" s="120" t="s">
        <v>3310</v>
      </c>
    </row>
    <row r="2209" spans="1:6" x14ac:dyDescent="0.2">
      <c r="A2209" s="55">
        <v>132</v>
      </c>
      <c r="B2209" s="46" t="s">
        <v>416</v>
      </c>
      <c r="C2209" s="52">
        <v>15</v>
      </c>
      <c r="E2209" s="121" t="s">
        <v>1409</v>
      </c>
      <c r="F2209" s="120" t="s">
        <v>3292</v>
      </c>
    </row>
    <row r="2210" spans="1:6" x14ac:dyDescent="0.2">
      <c r="A2210" s="55">
        <v>132</v>
      </c>
      <c r="B2210" s="46" t="s">
        <v>526</v>
      </c>
      <c r="C2210" s="52">
        <v>15</v>
      </c>
      <c r="E2210" s="121" t="s">
        <v>3047</v>
      </c>
      <c r="F2210" s="120" t="s">
        <v>3263</v>
      </c>
    </row>
    <row r="2211" spans="1:6" x14ac:dyDescent="0.2">
      <c r="A2211" s="55">
        <v>132</v>
      </c>
      <c r="B2211" s="46" t="s">
        <v>421</v>
      </c>
      <c r="C2211" s="52">
        <v>12</v>
      </c>
      <c r="E2211" s="121" t="s">
        <v>3057</v>
      </c>
      <c r="F2211" s="120" t="s">
        <v>3257</v>
      </c>
    </row>
    <row r="2212" spans="1:6" x14ac:dyDescent="0.2">
      <c r="A2212" s="55">
        <v>132</v>
      </c>
      <c r="B2212" s="46" t="s">
        <v>2649</v>
      </c>
      <c r="C2212" s="52">
        <v>8</v>
      </c>
      <c r="E2212" s="121" t="s">
        <v>3052</v>
      </c>
      <c r="F2212" s="120" t="s">
        <v>3250</v>
      </c>
    </row>
    <row r="2213" spans="1:6" x14ac:dyDescent="0.2">
      <c r="A2213" s="55">
        <v>132</v>
      </c>
      <c r="B2213" s="46" t="s">
        <v>2576</v>
      </c>
      <c r="C2213" s="52">
        <v>6</v>
      </c>
      <c r="E2213" s="121" t="s">
        <v>3090</v>
      </c>
      <c r="F2213" s="120" t="s">
        <v>3248</v>
      </c>
    </row>
    <row r="2214" spans="1:6" x14ac:dyDescent="0.2">
      <c r="A2214" s="55">
        <v>132</v>
      </c>
      <c r="B2214" s="46" t="s">
        <v>350</v>
      </c>
      <c r="C2214" s="52">
        <v>4</v>
      </c>
      <c r="E2214" s="121" t="s">
        <v>1415</v>
      </c>
      <c r="F2214" s="120" t="s">
        <v>3249</v>
      </c>
    </row>
    <row r="2215" spans="1:6" x14ac:dyDescent="0.2">
      <c r="A2215" s="55">
        <v>132</v>
      </c>
      <c r="B2215" s="46" t="s">
        <v>2629</v>
      </c>
      <c r="C2215" s="52">
        <v>4</v>
      </c>
      <c r="E2215" s="121" t="s">
        <v>1162</v>
      </c>
      <c r="F2215" s="120" t="s">
        <v>3215</v>
      </c>
    </row>
    <row r="2216" spans="1:6" x14ac:dyDescent="0.2">
      <c r="A2216" s="55">
        <v>132</v>
      </c>
      <c r="B2216" s="46" t="s">
        <v>394</v>
      </c>
      <c r="C2216" s="52">
        <v>3</v>
      </c>
      <c r="E2216" s="121" t="s">
        <v>3467</v>
      </c>
      <c r="F2216" s="120" t="s">
        <v>3258</v>
      </c>
    </row>
    <row r="2217" spans="1:6" x14ac:dyDescent="0.2">
      <c r="A2217" s="55">
        <v>132</v>
      </c>
      <c r="B2217" s="46" t="s">
        <v>1928</v>
      </c>
      <c r="C2217" s="52">
        <v>2</v>
      </c>
      <c r="E2217" s="121" t="s">
        <v>2855</v>
      </c>
      <c r="F2217" s="120" t="s">
        <v>3227</v>
      </c>
    </row>
    <row r="2218" spans="1:6" x14ac:dyDescent="0.2">
      <c r="A2218" s="55">
        <v>132</v>
      </c>
      <c r="B2218" s="46" t="s">
        <v>418</v>
      </c>
      <c r="C2218" s="52">
        <v>1</v>
      </c>
      <c r="E2218" s="121" t="s">
        <v>3180</v>
      </c>
      <c r="F2218" s="120" t="s">
        <v>3286</v>
      </c>
    </row>
    <row r="2219" spans="1:6" x14ac:dyDescent="0.2">
      <c r="A2219" s="55">
        <v>133</v>
      </c>
      <c r="B2219" s="46" t="s">
        <v>392</v>
      </c>
      <c r="C2219" s="52">
        <v>60</v>
      </c>
      <c r="E2219" s="121" t="s">
        <v>3473</v>
      </c>
      <c r="F2219" s="120" t="s">
        <v>3227</v>
      </c>
    </row>
    <row r="2220" spans="1:6" x14ac:dyDescent="0.2">
      <c r="A2220" s="55">
        <v>133</v>
      </c>
      <c r="B2220" s="46" t="s">
        <v>424</v>
      </c>
      <c r="C2220" s="52">
        <v>9</v>
      </c>
      <c r="E2220" s="121" t="s">
        <v>1405</v>
      </c>
      <c r="F2220" s="120" t="s">
        <v>3215</v>
      </c>
    </row>
    <row r="2221" spans="1:6" x14ac:dyDescent="0.2">
      <c r="A2221" s="55">
        <v>133</v>
      </c>
      <c r="B2221" s="46" t="s">
        <v>404</v>
      </c>
      <c r="C2221" s="52">
        <v>7</v>
      </c>
      <c r="E2221" s="121" t="s">
        <v>3463</v>
      </c>
      <c r="F2221" s="120" t="s">
        <v>3258</v>
      </c>
    </row>
    <row r="2222" spans="1:6" x14ac:dyDescent="0.2">
      <c r="A2222" s="55">
        <v>133</v>
      </c>
      <c r="B2222" s="46" t="s">
        <v>401</v>
      </c>
      <c r="C2222" s="52">
        <v>7</v>
      </c>
      <c r="E2222" s="121" t="s">
        <v>3465</v>
      </c>
      <c r="F2222" s="120" t="s">
        <v>3258</v>
      </c>
    </row>
    <row r="2223" spans="1:6" x14ac:dyDescent="0.2">
      <c r="A2223" s="55">
        <v>133</v>
      </c>
      <c r="B2223" s="46" t="s">
        <v>351</v>
      </c>
      <c r="C2223" s="52">
        <v>6</v>
      </c>
      <c r="E2223" s="121" t="s">
        <v>3051</v>
      </c>
      <c r="F2223" s="120" t="s">
        <v>3215</v>
      </c>
    </row>
    <row r="2224" spans="1:6" x14ac:dyDescent="0.2">
      <c r="A2224" s="55">
        <v>133</v>
      </c>
      <c r="B2224" s="46" t="s">
        <v>2725</v>
      </c>
      <c r="C2224" s="52">
        <v>3</v>
      </c>
      <c r="E2224" s="121" t="s">
        <v>3461</v>
      </c>
      <c r="F2224" s="120" t="s">
        <v>3227</v>
      </c>
    </row>
    <row r="2225" spans="1:6" x14ac:dyDescent="0.2">
      <c r="A2225" s="55">
        <v>133</v>
      </c>
      <c r="B2225" s="46" t="s">
        <v>2648</v>
      </c>
      <c r="C2225" s="52">
        <v>2</v>
      </c>
      <c r="E2225" s="121" t="s">
        <v>3162</v>
      </c>
      <c r="F2225" s="120" t="s">
        <v>3268</v>
      </c>
    </row>
    <row r="2226" spans="1:6" x14ac:dyDescent="0.2">
      <c r="A2226" s="55">
        <v>133</v>
      </c>
      <c r="B2226" s="46" t="s">
        <v>2600</v>
      </c>
      <c r="C2226" s="52">
        <v>2</v>
      </c>
      <c r="E2226" s="121" t="s">
        <v>3163</v>
      </c>
      <c r="F2226" s="120" t="s">
        <v>3219</v>
      </c>
    </row>
    <row r="2227" spans="1:6" x14ac:dyDescent="0.2">
      <c r="A2227" s="55">
        <v>133</v>
      </c>
      <c r="B2227" s="46" t="s">
        <v>457</v>
      </c>
      <c r="C2227" s="52">
        <v>1</v>
      </c>
      <c r="E2227" s="121" t="s">
        <v>1282</v>
      </c>
      <c r="F2227" s="120" t="s">
        <v>3243</v>
      </c>
    </row>
    <row r="2228" spans="1:6" x14ac:dyDescent="0.2">
      <c r="A2228" s="55">
        <v>134</v>
      </c>
      <c r="B2228" s="46" t="s">
        <v>392</v>
      </c>
      <c r="C2228" s="52">
        <v>50</v>
      </c>
      <c r="E2228" s="121" t="s">
        <v>3473</v>
      </c>
      <c r="F2228" s="120" t="s">
        <v>3227</v>
      </c>
    </row>
    <row r="2229" spans="1:6" x14ac:dyDescent="0.2">
      <c r="A2229" s="55">
        <v>134</v>
      </c>
      <c r="B2229" s="46" t="s">
        <v>2725</v>
      </c>
      <c r="C2229" s="52">
        <v>30</v>
      </c>
      <c r="E2229" s="121" t="s">
        <v>3461</v>
      </c>
      <c r="F2229" s="120" t="s">
        <v>3227</v>
      </c>
    </row>
    <row r="2230" spans="1:6" x14ac:dyDescent="0.2">
      <c r="A2230" s="55">
        <v>134</v>
      </c>
      <c r="B2230" s="46" t="s">
        <v>405</v>
      </c>
      <c r="C2230" s="52">
        <v>20</v>
      </c>
      <c r="E2230" s="121" t="s">
        <v>3199</v>
      </c>
      <c r="F2230" s="120" t="s">
        <v>3215</v>
      </c>
    </row>
    <row r="2231" spans="1:6" x14ac:dyDescent="0.2">
      <c r="A2231" s="55">
        <v>134</v>
      </c>
      <c r="B2231" s="46" t="s">
        <v>395</v>
      </c>
      <c r="C2231" s="52">
        <v>15</v>
      </c>
      <c r="E2231" s="121" t="s">
        <v>3202</v>
      </c>
      <c r="F2231" s="120" t="s">
        <v>3248</v>
      </c>
    </row>
    <row r="2232" spans="1:6" x14ac:dyDescent="0.2">
      <c r="A2232" s="55">
        <v>134</v>
      </c>
      <c r="B2232" s="46" t="s">
        <v>394</v>
      </c>
      <c r="C2232" s="52">
        <v>9</v>
      </c>
      <c r="E2232" s="121" t="s">
        <v>3467</v>
      </c>
      <c r="F2232" s="120" t="s">
        <v>3258</v>
      </c>
    </row>
    <row r="2233" spans="1:6" x14ac:dyDescent="0.2">
      <c r="A2233" s="55">
        <v>134</v>
      </c>
      <c r="B2233" s="46" t="s">
        <v>342</v>
      </c>
      <c r="C2233" s="52">
        <v>8</v>
      </c>
      <c r="E2233" s="121" t="s">
        <v>1169</v>
      </c>
      <c r="F2233" s="120" t="s">
        <v>3249</v>
      </c>
    </row>
    <row r="2234" spans="1:6" x14ac:dyDescent="0.2">
      <c r="A2234" s="55">
        <v>134</v>
      </c>
      <c r="B2234" s="46" t="s">
        <v>404</v>
      </c>
      <c r="C2234" s="52">
        <v>7</v>
      </c>
      <c r="E2234" s="121" t="s">
        <v>3463</v>
      </c>
      <c r="F2234" s="120" t="s">
        <v>3258</v>
      </c>
    </row>
    <row r="2235" spans="1:6" x14ac:dyDescent="0.2">
      <c r="A2235" s="55">
        <v>134</v>
      </c>
      <c r="B2235" s="46" t="s">
        <v>368</v>
      </c>
      <c r="C2235" s="52">
        <v>4</v>
      </c>
      <c r="E2235" s="121" t="s">
        <v>1203</v>
      </c>
      <c r="F2235" s="120" t="s">
        <v>3230</v>
      </c>
    </row>
    <row r="2236" spans="1:6" x14ac:dyDescent="0.2">
      <c r="A2236" s="55">
        <v>134</v>
      </c>
      <c r="B2236" s="46" t="s">
        <v>444</v>
      </c>
      <c r="C2236" s="52">
        <v>2</v>
      </c>
      <c r="E2236" s="121" t="s">
        <v>3471</v>
      </c>
      <c r="F2236" s="120" t="s">
        <v>3227</v>
      </c>
    </row>
    <row r="2237" spans="1:6" x14ac:dyDescent="0.2">
      <c r="A2237" s="55">
        <v>135</v>
      </c>
      <c r="B2237" s="46" t="s">
        <v>405</v>
      </c>
      <c r="C2237" s="52">
        <v>25</v>
      </c>
      <c r="E2237" s="121" t="s">
        <v>3199</v>
      </c>
      <c r="F2237" s="120" t="s">
        <v>3215</v>
      </c>
    </row>
    <row r="2238" spans="1:6" x14ac:dyDescent="0.2">
      <c r="A2238" s="55">
        <v>135</v>
      </c>
      <c r="B2238" s="46" t="s">
        <v>394</v>
      </c>
      <c r="C2238" s="52">
        <v>18</v>
      </c>
      <c r="E2238" s="121" t="s">
        <v>3467</v>
      </c>
      <c r="F2238" s="120" t="s">
        <v>3258</v>
      </c>
    </row>
    <row r="2239" spans="1:6" x14ac:dyDescent="0.2">
      <c r="A2239" s="55">
        <v>135</v>
      </c>
      <c r="B2239" s="46" t="s">
        <v>376</v>
      </c>
      <c r="C2239" s="52">
        <v>12</v>
      </c>
      <c r="E2239" s="121" t="s">
        <v>3462</v>
      </c>
      <c r="F2239" s="120" t="s">
        <v>3227</v>
      </c>
    </row>
    <row r="2240" spans="1:6" x14ac:dyDescent="0.2">
      <c r="A2240" s="55">
        <v>135</v>
      </c>
      <c r="B2240" s="46" t="s">
        <v>395</v>
      </c>
      <c r="C2240" s="52">
        <v>11</v>
      </c>
      <c r="E2240" s="121" t="s">
        <v>3202</v>
      </c>
      <c r="F2240" s="120" t="s">
        <v>3248</v>
      </c>
    </row>
    <row r="2241" spans="1:6" x14ac:dyDescent="0.2">
      <c r="A2241" s="55">
        <v>135</v>
      </c>
      <c r="B2241" s="46" t="s">
        <v>401</v>
      </c>
      <c r="C2241" s="52">
        <v>7</v>
      </c>
      <c r="E2241" s="121" t="s">
        <v>3465</v>
      </c>
      <c r="F2241" s="120" t="s">
        <v>3258</v>
      </c>
    </row>
    <row r="2242" spans="1:6" x14ac:dyDescent="0.2">
      <c r="A2242" s="55">
        <v>135</v>
      </c>
      <c r="B2242" s="46" t="s">
        <v>2725</v>
      </c>
      <c r="C2242" s="52">
        <v>6</v>
      </c>
      <c r="E2242" s="121" t="s">
        <v>3461</v>
      </c>
      <c r="F2242" s="120" t="s">
        <v>3227</v>
      </c>
    </row>
    <row r="2243" spans="1:6" x14ac:dyDescent="0.2">
      <c r="A2243" s="55">
        <v>135</v>
      </c>
      <c r="B2243" s="46" t="s">
        <v>404</v>
      </c>
      <c r="C2243" s="52">
        <v>4</v>
      </c>
      <c r="E2243" s="121" t="s">
        <v>3463</v>
      </c>
      <c r="F2243" s="120" t="s">
        <v>3258</v>
      </c>
    </row>
    <row r="2244" spans="1:6" x14ac:dyDescent="0.2">
      <c r="A2244" s="55">
        <v>135</v>
      </c>
      <c r="B2244" s="46" t="s">
        <v>392</v>
      </c>
      <c r="C2244" s="52">
        <v>2</v>
      </c>
      <c r="E2244" s="121" t="s">
        <v>3473</v>
      </c>
      <c r="F2244" s="120" t="s">
        <v>3227</v>
      </c>
    </row>
    <row r="2245" spans="1:6" x14ac:dyDescent="0.2">
      <c r="A2245" s="55">
        <v>136</v>
      </c>
      <c r="B2245" s="46" t="s">
        <v>2725</v>
      </c>
      <c r="C2245" s="52">
        <v>75</v>
      </c>
      <c r="E2245" s="121" t="s">
        <v>3461</v>
      </c>
      <c r="F2245" s="120" t="s">
        <v>3227</v>
      </c>
    </row>
    <row r="2246" spans="1:6" x14ac:dyDescent="0.2">
      <c r="A2246" s="55">
        <v>136</v>
      </c>
      <c r="B2246" s="46" t="s">
        <v>395</v>
      </c>
      <c r="C2246" s="52">
        <v>20</v>
      </c>
      <c r="E2246" s="121" t="s">
        <v>3202</v>
      </c>
      <c r="F2246" s="120" t="s">
        <v>3248</v>
      </c>
    </row>
    <row r="2247" spans="1:6" x14ac:dyDescent="0.2">
      <c r="A2247" s="55">
        <v>136</v>
      </c>
      <c r="B2247" s="46" t="s">
        <v>405</v>
      </c>
      <c r="C2247" s="52">
        <v>10</v>
      </c>
      <c r="E2247" s="121" t="s">
        <v>3199</v>
      </c>
      <c r="F2247" s="120" t="s">
        <v>3215</v>
      </c>
    </row>
    <row r="2248" spans="1:6" x14ac:dyDescent="0.2">
      <c r="A2248" s="55">
        <v>136</v>
      </c>
      <c r="B2248" s="46" t="s">
        <v>415</v>
      </c>
      <c r="C2248" s="52">
        <v>10</v>
      </c>
      <c r="E2248" s="121" t="s">
        <v>1144</v>
      </c>
      <c r="F2248" s="120" t="s">
        <v>3249</v>
      </c>
    </row>
    <row r="2249" spans="1:6" x14ac:dyDescent="0.2">
      <c r="A2249" s="55">
        <v>136</v>
      </c>
      <c r="B2249" s="46" t="s">
        <v>342</v>
      </c>
      <c r="C2249" s="52">
        <v>10</v>
      </c>
      <c r="E2249" s="121" t="s">
        <v>1169</v>
      </c>
      <c r="F2249" s="120" t="s">
        <v>3249</v>
      </c>
    </row>
    <row r="2250" spans="1:6" x14ac:dyDescent="0.2">
      <c r="A2250" s="55">
        <v>136</v>
      </c>
      <c r="B2250" s="46" t="s">
        <v>404</v>
      </c>
      <c r="C2250" s="52">
        <v>8</v>
      </c>
      <c r="E2250" s="121" t="s">
        <v>3463</v>
      </c>
      <c r="F2250" s="120" t="s">
        <v>3258</v>
      </c>
    </row>
    <row r="2251" spans="1:6" x14ac:dyDescent="0.2">
      <c r="A2251" s="55">
        <v>136</v>
      </c>
      <c r="B2251" s="46" t="s">
        <v>2579</v>
      </c>
      <c r="C2251" s="52">
        <v>3</v>
      </c>
      <c r="E2251" s="121" t="s">
        <v>3516</v>
      </c>
      <c r="F2251" s="120" t="s">
        <v>3232</v>
      </c>
    </row>
    <row r="2252" spans="1:6" x14ac:dyDescent="0.2">
      <c r="A2252" s="55">
        <v>136</v>
      </c>
      <c r="B2252" s="46" t="s">
        <v>2602</v>
      </c>
      <c r="C2252" s="52">
        <v>3</v>
      </c>
      <c r="E2252" s="121" t="s">
        <v>3382</v>
      </c>
      <c r="F2252" s="120" t="s">
        <v>3248</v>
      </c>
    </row>
    <row r="2253" spans="1:6" x14ac:dyDescent="0.2">
      <c r="A2253" s="55">
        <v>136</v>
      </c>
      <c r="B2253" s="46" t="s">
        <v>444</v>
      </c>
      <c r="C2253" s="52">
        <v>2</v>
      </c>
      <c r="E2253" s="121" t="s">
        <v>3471</v>
      </c>
      <c r="F2253" s="120" t="s">
        <v>3227</v>
      </c>
    </row>
    <row r="2254" spans="1:6" x14ac:dyDescent="0.2">
      <c r="A2254" s="55">
        <v>136</v>
      </c>
      <c r="B2254" s="46" t="s">
        <v>394</v>
      </c>
      <c r="C2254" s="52">
        <v>1</v>
      </c>
      <c r="E2254" s="121" t="s">
        <v>3467</v>
      </c>
      <c r="F2254" s="120" t="s">
        <v>3258</v>
      </c>
    </row>
    <row r="2255" spans="1:6" x14ac:dyDescent="0.2">
      <c r="A2255" s="55">
        <v>136</v>
      </c>
      <c r="B2255" s="46" t="s">
        <v>441</v>
      </c>
      <c r="C2255" s="52">
        <v>1</v>
      </c>
      <c r="E2255" s="121" t="s">
        <v>3469</v>
      </c>
      <c r="F2255" s="120" t="s">
        <v>3258</v>
      </c>
    </row>
    <row r="2256" spans="1:6" x14ac:dyDescent="0.2">
      <c r="A2256" s="55">
        <v>137</v>
      </c>
      <c r="B2256" s="46" t="s">
        <v>415</v>
      </c>
      <c r="C2256" s="52">
        <v>50</v>
      </c>
      <c r="E2256" s="121" t="s">
        <v>1144</v>
      </c>
      <c r="F2256" s="120" t="s">
        <v>3249</v>
      </c>
    </row>
    <row r="2257" spans="1:6" x14ac:dyDescent="0.2">
      <c r="A2257" s="55">
        <v>137</v>
      </c>
      <c r="B2257" s="46" t="s">
        <v>376</v>
      </c>
      <c r="C2257" s="52">
        <v>30</v>
      </c>
      <c r="E2257" s="121" t="s">
        <v>3462</v>
      </c>
      <c r="F2257" s="120" t="s">
        <v>3227</v>
      </c>
    </row>
    <row r="2258" spans="1:6" x14ac:dyDescent="0.2">
      <c r="A2258" s="55">
        <v>137</v>
      </c>
      <c r="B2258" s="46" t="s">
        <v>401</v>
      </c>
      <c r="C2258" s="52">
        <v>18</v>
      </c>
      <c r="E2258" s="121" t="s">
        <v>3465</v>
      </c>
      <c r="F2258" s="120" t="s">
        <v>3258</v>
      </c>
    </row>
    <row r="2259" spans="1:6" x14ac:dyDescent="0.2">
      <c r="A2259" s="55">
        <v>137</v>
      </c>
      <c r="B2259" s="46" t="s">
        <v>454</v>
      </c>
      <c r="C2259" s="52">
        <v>15</v>
      </c>
      <c r="E2259" s="121" t="s">
        <v>534</v>
      </c>
      <c r="F2259" s="120" t="s">
        <v>3249</v>
      </c>
    </row>
    <row r="2260" spans="1:6" x14ac:dyDescent="0.2">
      <c r="A2260" s="55">
        <v>137</v>
      </c>
      <c r="B2260" s="46" t="s">
        <v>416</v>
      </c>
      <c r="C2260" s="52">
        <v>10</v>
      </c>
      <c r="E2260" s="121" t="s">
        <v>1409</v>
      </c>
      <c r="F2260" s="120" t="s">
        <v>3292</v>
      </c>
    </row>
    <row r="2261" spans="1:6" x14ac:dyDescent="0.2">
      <c r="A2261" s="55">
        <v>137</v>
      </c>
      <c r="B2261" s="46" t="s">
        <v>441</v>
      </c>
      <c r="C2261" s="52">
        <v>8</v>
      </c>
      <c r="E2261" s="121" t="s">
        <v>3469</v>
      </c>
      <c r="F2261" s="120" t="s">
        <v>3258</v>
      </c>
    </row>
    <row r="2262" spans="1:6" x14ac:dyDescent="0.2">
      <c r="A2262" s="55">
        <v>137</v>
      </c>
      <c r="B2262" s="46" t="s">
        <v>405</v>
      </c>
      <c r="C2262" s="52">
        <v>5</v>
      </c>
      <c r="E2262" s="121" t="s">
        <v>3199</v>
      </c>
      <c r="F2262" s="120" t="s">
        <v>3215</v>
      </c>
    </row>
    <row r="2263" spans="1:6" x14ac:dyDescent="0.2">
      <c r="A2263" s="55">
        <v>137</v>
      </c>
      <c r="B2263" s="46" t="s">
        <v>2642</v>
      </c>
      <c r="C2263" s="52">
        <v>4</v>
      </c>
      <c r="E2263" s="121" t="s">
        <v>1148</v>
      </c>
      <c r="F2263" s="120" t="s">
        <v>3215</v>
      </c>
    </row>
    <row r="2264" spans="1:6" x14ac:dyDescent="0.2">
      <c r="A2264" s="55">
        <v>137</v>
      </c>
      <c r="B2264" s="46" t="s">
        <v>2579</v>
      </c>
      <c r="C2264" s="52">
        <v>3</v>
      </c>
      <c r="E2264" s="121" t="s">
        <v>3516</v>
      </c>
      <c r="F2264" s="120" t="s">
        <v>3232</v>
      </c>
    </row>
    <row r="2265" spans="1:6" x14ac:dyDescent="0.2">
      <c r="A2265" s="55">
        <v>137</v>
      </c>
      <c r="B2265" s="46" t="s">
        <v>572</v>
      </c>
      <c r="C2265" s="52">
        <v>2</v>
      </c>
      <c r="E2265" s="121" t="s">
        <v>1240</v>
      </c>
      <c r="F2265" s="120" t="s">
        <v>3298</v>
      </c>
    </row>
    <row r="2266" spans="1:6" x14ac:dyDescent="0.2">
      <c r="A2266" s="55">
        <v>137</v>
      </c>
      <c r="B2266" s="46" t="s">
        <v>456</v>
      </c>
      <c r="C2266" s="52">
        <v>2</v>
      </c>
      <c r="E2266" s="121" t="s">
        <v>3190</v>
      </c>
      <c r="F2266" s="120" t="s">
        <v>3241</v>
      </c>
    </row>
    <row r="2267" spans="1:6" x14ac:dyDescent="0.2">
      <c r="A2267" s="55">
        <v>137</v>
      </c>
      <c r="B2267" s="46" t="s">
        <v>392</v>
      </c>
      <c r="C2267" s="52">
        <v>2</v>
      </c>
      <c r="E2267" s="121" t="s">
        <v>3473</v>
      </c>
      <c r="F2267" s="120" t="s">
        <v>3227</v>
      </c>
    </row>
    <row r="2268" spans="1:6" x14ac:dyDescent="0.2">
      <c r="A2268" s="55">
        <v>138</v>
      </c>
      <c r="B2268" s="46" t="s">
        <v>572</v>
      </c>
      <c r="C2268" s="52">
        <v>70</v>
      </c>
      <c r="E2268" s="121" t="s">
        <v>1240</v>
      </c>
      <c r="F2268" s="120" t="s">
        <v>3298</v>
      </c>
    </row>
    <row r="2269" spans="1:6" x14ac:dyDescent="0.2">
      <c r="A2269" s="55">
        <v>138</v>
      </c>
      <c r="B2269" s="46" t="s">
        <v>399</v>
      </c>
      <c r="C2269" s="52">
        <v>25</v>
      </c>
      <c r="E2269" s="121" t="s">
        <v>1155</v>
      </c>
      <c r="F2269" s="120" t="s">
        <v>3248</v>
      </c>
    </row>
    <row r="2270" spans="1:6" x14ac:dyDescent="0.2">
      <c r="A2270" s="55">
        <v>138</v>
      </c>
      <c r="B2270" s="46" t="s">
        <v>2602</v>
      </c>
      <c r="C2270" s="52">
        <v>15</v>
      </c>
      <c r="E2270" s="121" t="s">
        <v>3382</v>
      </c>
      <c r="F2270" s="120" t="s">
        <v>3248</v>
      </c>
    </row>
    <row r="2271" spans="1:6" x14ac:dyDescent="0.2">
      <c r="A2271" s="55">
        <v>138</v>
      </c>
      <c r="B2271" s="46" t="s">
        <v>347</v>
      </c>
      <c r="C2271" s="52">
        <v>12</v>
      </c>
      <c r="E2271" s="121" t="s">
        <v>3492</v>
      </c>
      <c r="F2271" s="120" t="s">
        <v>3312</v>
      </c>
    </row>
    <row r="2272" spans="1:6" x14ac:dyDescent="0.2">
      <c r="A2272" s="55">
        <v>138</v>
      </c>
      <c r="B2272" s="46" t="s">
        <v>342</v>
      </c>
      <c r="C2272" s="52">
        <v>10</v>
      </c>
      <c r="E2272" s="121" t="s">
        <v>1169</v>
      </c>
      <c r="F2272" s="120" t="s">
        <v>3249</v>
      </c>
    </row>
    <row r="2273" spans="1:6" x14ac:dyDescent="0.2">
      <c r="A2273" s="55">
        <v>138</v>
      </c>
      <c r="B2273" s="46" t="s">
        <v>441</v>
      </c>
      <c r="C2273" s="52">
        <v>9</v>
      </c>
      <c r="E2273" s="121" t="s">
        <v>3469</v>
      </c>
      <c r="F2273" s="120" t="s">
        <v>3258</v>
      </c>
    </row>
    <row r="2274" spans="1:6" x14ac:dyDescent="0.2">
      <c r="A2274" s="55">
        <v>138</v>
      </c>
      <c r="B2274" s="46" t="s">
        <v>2579</v>
      </c>
      <c r="C2274" s="52">
        <v>8</v>
      </c>
      <c r="E2274" s="121" t="s">
        <v>3516</v>
      </c>
      <c r="F2274" s="120" t="s">
        <v>3232</v>
      </c>
    </row>
    <row r="2275" spans="1:6" x14ac:dyDescent="0.2">
      <c r="A2275" s="55">
        <v>138</v>
      </c>
      <c r="B2275" s="46" t="s">
        <v>425</v>
      </c>
      <c r="C2275" s="52">
        <v>7</v>
      </c>
      <c r="E2275" s="121" t="s">
        <v>1168</v>
      </c>
      <c r="F2275" s="120" t="s">
        <v>3215</v>
      </c>
    </row>
    <row r="2276" spans="1:6" x14ac:dyDescent="0.2">
      <c r="A2276" s="55">
        <v>138</v>
      </c>
      <c r="B2276" s="46" t="s">
        <v>455</v>
      </c>
      <c r="C2276" s="52">
        <v>7</v>
      </c>
      <c r="E2276" s="121" t="s">
        <v>1490</v>
      </c>
      <c r="F2276" s="120" t="s">
        <v>3318</v>
      </c>
    </row>
    <row r="2277" spans="1:6" x14ac:dyDescent="0.2">
      <c r="A2277" s="55">
        <v>138</v>
      </c>
      <c r="B2277" s="46" t="s">
        <v>424</v>
      </c>
      <c r="C2277" s="52">
        <v>6</v>
      </c>
      <c r="E2277" s="121" t="s">
        <v>1405</v>
      </c>
      <c r="F2277" s="120" t="s">
        <v>3215</v>
      </c>
    </row>
    <row r="2278" spans="1:6" x14ac:dyDescent="0.2">
      <c r="A2278" s="55">
        <v>138</v>
      </c>
      <c r="B2278" s="46" t="s">
        <v>350</v>
      </c>
      <c r="C2278" s="52">
        <v>5</v>
      </c>
      <c r="E2278" s="121" t="s">
        <v>1415</v>
      </c>
      <c r="F2278" s="120" t="s">
        <v>3249</v>
      </c>
    </row>
    <row r="2279" spans="1:6" x14ac:dyDescent="0.2">
      <c r="A2279" s="55">
        <v>138</v>
      </c>
      <c r="B2279" s="46" t="s">
        <v>349</v>
      </c>
      <c r="C2279" s="52">
        <v>5</v>
      </c>
      <c r="E2279" s="121" t="s">
        <v>1200</v>
      </c>
      <c r="F2279" s="120" t="s">
        <v>3292</v>
      </c>
    </row>
    <row r="2280" spans="1:6" x14ac:dyDescent="0.2">
      <c r="A2280" s="55">
        <v>138</v>
      </c>
      <c r="B2280" s="46" t="s">
        <v>401</v>
      </c>
      <c r="C2280" s="52">
        <v>4</v>
      </c>
      <c r="E2280" s="121" t="s">
        <v>3465</v>
      </c>
      <c r="F2280" s="120" t="s">
        <v>3258</v>
      </c>
    </row>
    <row r="2281" spans="1:6" x14ac:dyDescent="0.2">
      <c r="A2281" s="55">
        <v>138</v>
      </c>
      <c r="B2281" s="46" t="s">
        <v>456</v>
      </c>
      <c r="C2281" s="52">
        <v>3</v>
      </c>
      <c r="E2281" s="121" t="s">
        <v>3190</v>
      </c>
      <c r="F2281" s="120" t="s">
        <v>3241</v>
      </c>
    </row>
    <row r="2282" spans="1:6" x14ac:dyDescent="0.2">
      <c r="A2282" s="55">
        <v>138</v>
      </c>
      <c r="B2282" s="46" t="s">
        <v>410</v>
      </c>
      <c r="C2282" s="52">
        <v>3</v>
      </c>
      <c r="E2282" s="121" t="s">
        <v>1489</v>
      </c>
      <c r="F2282" s="120" t="s">
        <v>3248</v>
      </c>
    </row>
    <row r="2283" spans="1:6" x14ac:dyDescent="0.2">
      <c r="A2283" s="55">
        <v>138</v>
      </c>
      <c r="B2283" s="46" t="s">
        <v>2608</v>
      </c>
      <c r="C2283" s="52">
        <v>2</v>
      </c>
      <c r="E2283" s="121" t="s">
        <v>3475</v>
      </c>
      <c r="F2283" s="120" t="s">
        <v>3258</v>
      </c>
    </row>
    <row r="2284" spans="1:6" x14ac:dyDescent="0.2">
      <c r="A2284" s="55">
        <v>139</v>
      </c>
      <c r="B2284" s="46" t="s">
        <v>376</v>
      </c>
      <c r="C2284" s="52">
        <v>35</v>
      </c>
      <c r="E2284" s="121" t="s">
        <v>3462</v>
      </c>
      <c r="F2284" s="120" t="s">
        <v>3227</v>
      </c>
    </row>
    <row r="2285" spans="1:6" x14ac:dyDescent="0.2">
      <c r="A2285" s="55">
        <v>139</v>
      </c>
      <c r="B2285" s="46" t="s">
        <v>405</v>
      </c>
      <c r="C2285" s="52">
        <v>30</v>
      </c>
      <c r="E2285" s="121" t="s">
        <v>3199</v>
      </c>
      <c r="F2285" s="120" t="s">
        <v>3215</v>
      </c>
    </row>
    <row r="2286" spans="1:6" x14ac:dyDescent="0.2">
      <c r="A2286" s="55">
        <v>139</v>
      </c>
      <c r="B2286" s="46" t="s">
        <v>416</v>
      </c>
      <c r="C2286" s="52">
        <v>18</v>
      </c>
      <c r="E2286" s="121" t="s">
        <v>1409</v>
      </c>
      <c r="F2286" s="120" t="s">
        <v>3292</v>
      </c>
    </row>
    <row r="2287" spans="1:6" x14ac:dyDescent="0.2">
      <c r="A2287" s="55">
        <v>139</v>
      </c>
      <c r="B2287" s="46" t="s">
        <v>2811</v>
      </c>
      <c r="C2287" s="52">
        <v>12</v>
      </c>
      <c r="E2287" s="121" t="s">
        <v>3485</v>
      </c>
      <c r="F2287" s="120" t="s">
        <v>3310</v>
      </c>
    </row>
    <row r="2288" spans="1:6" x14ac:dyDescent="0.2">
      <c r="A2288" s="55">
        <v>139</v>
      </c>
      <c r="B2288" s="46" t="s">
        <v>441</v>
      </c>
      <c r="C2288" s="52">
        <v>12</v>
      </c>
      <c r="E2288" s="121" t="s">
        <v>3469</v>
      </c>
      <c r="F2288" s="120" t="s">
        <v>3258</v>
      </c>
    </row>
    <row r="2289" spans="1:6" x14ac:dyDescent="0.2">
      <c r="A2289" s="55">
        <v>139</v>
      </c>
      <c r="B2289" s="46" t="s">
        <v>340</v>
      </c>
      <c r="C2289" s="52">
        <v>12</v>
      </c>
      <c r="E2289" s="121" t="s">
        <v>1529</v>
      </c>
      <c r="F2289" s="120" t="s">
        <v>3249</v>
      </c>
    </row>
    <row r="2290" spans="1:6" x14ac:dyDescent="0.2">
      <c r="A2290" s="55">
        <v>139</v>
      </c>
      <c r="B2290" s="46" t="s">
        <v>982</v>
      </c>
      <c r="C2290" s="52">
        <v>9</v>
      </c>
      <c r="E2290" s="121" t="s">
        <v>1180</v>
      </c>
      <c r="F2290" s="120" t="s">
        <v>3228</v>
      </c>
    </row>
    <row r="2291" spans="1:6" x14ac:dyDescent="0.2">
      <c r="A2291" s="55">
        <v>140</v>
      </c>
      <c r="B2291" s="46" t="s">
        <v>2725</v>
      </c>
      <c r="C2291" s="52">
        <v>45</v>
      </c>
      <c r="E2291" s="121" t="s">
        <v>3461</v>
      </c>
      <c r="F2291" s="120" t="s">
        <v>3227</v>
      </c>
    </row>
    <row r="2292" spans="1:6" x14ac:dyDescent="0.2">
      <c r="A2292" s="55">
        <v>140</v>
      </c>
      <c r="B2292" s="46" t="s">
        <v>405</v>
      </c>
      <c r="C2292" s="52">
        <v>25</v>
      </c>
      <c r="E2292" s="121" t="s">
        <v>3199</v>
      </c>
      <c r="F2292" s="120" t="s">
        <v>3215</v>
      </c>
    </row>
    <row r="2293" spans="1:6" x14ac:dyDescent="0.2">
      <c r="A2293" s="55">
        <v>140</v>
      </c>
      <c r="B2293" s="46" t="s">
        <v>394</v>
      </c>
      <c r="C2293" s="52">
        <v>20</v>
      </c>
      <c r="E2293" s="121" t="s">
        <v>3467</v>
      </c>
      <c r="F2293" s="120" t="s">
        <v>3258</v>
      </c>
    </row>
    <row r="2294" spans="1:6" x14ac:dyDescent="0.2">
      <c r="A2294" s="55">
        <v>140</v>
      </c>
      <c r="B2294" s="46" t="s">
        <v>395</v>
      </c>
      <c r="C2294" s="52">
        <v>12</v>
      </c>
      <c r="E2294" s="121" t="s">
        <v>3202</v>
      </c>
      <c r="F2294" s="120" t="s">
        <v>3248</v>
      </c>
    </row>
    <row r="2295" spans="1:6" x14ac:dyDescent="0.2">
      <c r="A2295" s="55">
        <v>140</v>
      </c>
      <c r="B2295" s="46" t="s">
        <v>376</v>
      </c>
      <c r="C2295" s="52">
        <v>6</v>
      </c>
      <c r="E2295" s="121" t="s">
        <v>3462</v>
      </c>
      <c r="F2295" s="120" t="s">
        <v>3227</v>
      </c>
    </row>
    <row r="2296" spans="1:6" x14ac:dyDescent="0.2">
      <c r="A2296" s="55">
        <v>140</v>
      </c>
      <c r="B2296" s="46" t="s">
        <v>408</v>
      </c>
      <c r="C2296" s="52">
        <v>4</v>
      </c>
      <c r="E2296" s="121" t="s">
        <v>3468</v>
      </c>
      <c r="F2296" s="120" t="s">
        <v>3292</v>
      </c>
    </row>
    <row r="2297" spans="1:6" x14ac:dyDescent="0.2">
      <c r="A2297" s="55">
        <v>140</v>
      </c>
      <c r="B2297" s="46" t="s">
        <v>444</v>
      </c>
      <c r="C2297" s="52">
        <v>2</v>
      </c>
      <c r="E2297" s="121" t="s">
        <v>3471</v>
      </c>
      <c r="F2297" s="120" t="s">
        <v>3227</v>
      </c>
    </row>
    <row r="2298" spans="1:6" x14ac:dyDescent="0.2">
      <c r="A2298" s="55">
        <v>141</v>
      </c>
      <c r="B2298" s="46" t="s">
        <v>376</v>
      </c>
      <c r="C2298" s="52">
        <v>20</v>
      </c>
      <c r="E2298" s="121" t="s">
        <v>3462</v>
      </c>
      <c r="F2298" s="120" t="s">
        <v>3227</v>
      </c>
    </row>
    <row r="2299" spans="1:6" x14ac:dyDescent="0.2">
      <c r="A2299" s="55">
        <v>141</v>
      </c>
      <c r="B2299" s="46" t="s">
        <v>405</v>
      </c>
      <c r="C2299" s="52">
        <v>12</v>
      </c>
      <c r="E2299" s="121" t="s">
        <v>3199</v>
      </c>
      <c r="F2299" s="120" t="s">
        <v>3215</v>
      </c>
    </row>
    <row r="2300" spans="1:6" x14ac:dyDescent="0.2">
      <c r="A2300" s="55">
        <v>141</v>
      </c>
      <c r="B2300" s="46" t="s">
        <v>394</v>
      </c>
      <c r="C2300" s="52">
        <v>12</v>
      </c>
      <c r="E2300" s="121" t="s">
        <v>3467</v>
      </c>
      <c r="F2300" s="120" t="s">
        <v>3258</v>
      </c>
    </row>
    <row r="2301" spans="1:6" x14ac:dyDescent="0.2">
      <c r="A2301" s="55">
        <v>141</v>
      </c>
      <c r="B2301" s="46" t="s">
        <v>340</v>
      </c>
      <c r="C2301" s="52">
        <v>12</v>
      </c>
      <c r="E2301" s="121" t="s">
        <v>1529</v>
      </c>
      <c r="F2301" s="120" t="s">
        <v>3249</v>
      </c>
    </row>
    <row r="2302" spans="1:6" x14ac:dyDescent="0.2">
      <c r="A2302" s="55">
        <v>141</v>
      </c>
      <c r="B2302" s="46" t="s">
        <v>2722</v>
      </c>
      <c r="C2302" s="52">
        <v>8</v>
      </c>
      <c r="E2302" s="121" t="s">
        <v>3489</v>
      </c>
      <c r="F2302" s="120" t="s">
        <v>3310</v>
      </c>
    </row>
    <row r="2303" spans="1:6" x14ac:dyDescent="0.2">
      <c r="A2303" s="55">
        <v>141</v>
      </c>
      <c r="B2303" s="46" t="s">
        <v>395</v>
      </c>
      <c r="C2303" s="52">
        <v>8</v>
      </c>
      <c r="E2303" s="121" t="s">
        <v>3202</v>
      </c>
      <c r="F2303" s="120" t="s">
        <v>3248</v>
      </c>
    </row>
    <row r="2304" spans="1:6" x14ac:dyDescent="0.2">
      <c r="A2304" s="55">
        <v>141</v>
      </c>
      <c r="B2304" s="46" t="s">
        <v>593</v>
      </c>
      <c r="C2304" s="52">
        <v>2</v>
      </c>
      <c r="E2304" s="121" t="s">
        <v>2852</v>
      </c>
      <c r="F2304" s="120" t="s">
        <v>3227</v>
      </c>
    </row>
    <row r="2305" spans="1:6" x14ac:dyDescent="0.2">
      <c r="A2305" s="55">
        <v>141</v>
      </c>
      <c r="B2305" s="46" t="s">
        <v>2569</v>
      </c>
      <c r="C2305" s="52">
        <v>1</v>
      </c>
      <c r="E2305" s="121" t="s">
        <v>3496</v>
      </c>
      <c r="F2305" s="120" t="s">
        <v>3310</v>
      </c>
    </row>
    <row r="2306" spans="1:6" x14ac:dyDescent="0.2">
      <c r="A2306" s="55">
        <v>142</v>
      </c>
      <c r="B2306" s="46" t="s">
        <v>454</v>
      </c>
      <c r="C2306" s="52">
        <v>70</v>
      </c>
      <c r="E2306" s="121" t="s">
        <v>534</v>
      </c>
      <c r="F2306" s="120" t="s">
        <v>3249</v>
      </c>
    </row>
    <row r="2307" spans="1:6" x14ac:dyDescent="0.2">
      <c r="A2307" s="55">
        <v>142</v>
      </c>
      <c r="B2307" s="46" t="s">
        <v>342</v>
      </c>
      <c r="C2307" s="52">
        <v>20</v>
      </c>
      <c r="E2307" s="121" t="s">
        <v>1169</v>
      </c>
      <c r="F2307" s="120" t="s">
        <v>3249</v>
      </c>
    </row>
    <row r="2308" spans="1:6" x14ac:dyDescent="0.2">
      <c r="A2308" s="55">
        <v>142</v>
      </c>
      <c r="B2308" s="46" t="s">
        <v>2579</v>
      </c>
      <c r="C2308" s="52">
        <v>20</v>
      </c>
      <c r="E2308" s="121" t="s">
        <v>3516</v>
      </c>
      <c r="F2308" s="120" t="s">
        <v>3232</v>
      </c>
    </row>
    <row r="2309" spans="1:6" x14ac:dyDescent="0.2">
      <c r="A2309" s="55">
        <v>142</v>
      </c>
      <c r="B2309" s="46" t="s">
        <v>376</v>
      </c>
      <c r="C2309" s="52">
        <v>18</v>
      </c>
      <c r="E2309" s="121" t="s">
        <v>3462</v>
      </c>
      <c r="F2309" s="120" t="s">
        <v>3227</v>
      </c>
    </row>
    <row r="2310" spans="1:6" x14ac:dyDescent="0.2">
      <c r="A2310" s="55">
        <v>142</v>
      </c>
      <c r="B2310" s="46" t="s">
        <v>343</v>
      </c>
      <c r="C2310" s="52">
        <v>12</v>
      </c>
      <c r="E2310" s="121" t="s">
        <v>3334</v>
      </c>
      <c r="F2310" s="120" t="s">
        <v>3303</v>
      </c>
    </row>
    <row r="2311" spans="1:6" x14ac:dyDescent="0.2">
      <c r="A2311" s="55">
        <v>142</v>
      </c>
      <c r="B2311" s="46" t="s">
        <v>350</v>
      </c>
      <c r="C2311" s="52">
        <v>8</v>
      </c>
      <c r="E2311" s="121" t="s">
        <v>1415</v>
      </c>
      <c r="F2311" s="120" t="s">
        <v>3249</v>
      </c>
    </row>
    <row r="2312" spans="1:6" x14ac:dyDescent="0.2">
      <c r="A2312" s="55">
        <v>142</v>
      </c>
      <c r="B2312" s="46" t="s">
        <v>349</v>
      </c>
      <c r="C2312" s="52">
        <v>8</v>
      </c>
      <c r="E2312" s="121" t="s">
        <v>1200</v>
      </c>
      <c r="F2312" s="120" t="s">
        <v>3292</v>
      </c>
    </row>
    <row r="2313" spans="1:6" x14ac:dyDescent="0.2">
      <c r="A2313" s="55">
        <v>142</v>
      </c>
      <c r="B2313" s="46" t="s">
        <v>362</v>
      </c>
      <c r="C2313" s="52">
        <v>6</v>
      </c>
      <c r="E2313" s="121" t="s">
        <v>3135</v>
      </c>
      <c r="F2313" s="120" t="s">
        <v>3227</v>
      </c>
    </row>
    <row r="2314" spans="1:6" x14ac:dyDescent="0.2">
      <c r="A2314" s="55">
        <v>142</v>
      </c>
      <c r="B2314" s="46" t="s">
        <v>400</v>
      </c>
      <c r="C2314" s="52">
        <v>3</v>
      </c>
      <c r="E2314" s="121" t="s">
        <v>1411</v>
      </c>
      <c r="F2314" s="120" t="s">
        <v>3249</v>
      </c>
    </row>
    <row r="2315" spans="1:6" x14ac:dyDescent="0.2">
      <c r="A2315" s="55">
        <v>143</v>
      </c>
      <c r="B2315" s="46" t="s">
        <v>340</v>
      </c>
      <c r="C2315" s="52">
        <v>20</v>
      </c>
      <c r="E2315" s="121" t="s">
        <v>1529</v>
      </c>
      <c r="F2315" s="120" t="s">
        <v>3249</v>
      </c>
    </row>
    <row r="2316" spans="1:6" x14ac:dyDescent="0.2">
      <c r="A2316" s="55">
        <v>143</v>
      </c>
      <c r="B2316" s="46" t="s">
        <v>394</v>
      </c>
      <c r="C2316" s="52">
        <v>18</v>
      </c>
      <c r="E2316" s="121" t="s">
        <v>3467</v>
      </c>
      <c r="F2316" s="120" t="s">
        <v>3258</v>
      </c>
    </row>
    <row r="2317" spans="1:6" x14ac:dyDescent="0.2">
      <c r="A2317" s="55">
        <v>143</v>
      </c>
      <c r="B2317" s="46" t="s">
        <v>376</v>
      </c>
      <c r="C2317" s="52">
        <v>6</v>
      </c>
      <c r="E2317" s="121" t="s">
        <v>3462</v>
      </c>
      <c r="F2317" s="120" t="s">
        <v>3227</v>
      </c>
    </row>
    <row r="2318" spans="1:6" x14ac:dyDescent="0.2">
      <c r="A2318" s="55">
        <v>144</v>
      </c>
      <c r="B2318" s="46" t="s">
        <v>445</v>
      </c>
      <c r="C2318" s="52">
        <v>25</v>
      </c>
      <c r="E2318" s="121" t="s">
        <v>3474</v>
      </c>
      <c r="F2318" s="120" t="s">
        <v>3227</v>
      </c>
    </row>
    <row r="2319" spans="1:6" x14ac:dyDescent="0.2">
      <c r="A2319" s="55">
        <v>144</v>
      </c>
      <c r="B2319" s="46" t="s">
        <v>340</v>
      </c>
      <c r="C2319" s="52">
        <v>15</v>
      </c>
      <c r="E2319" s="121" t="s">
        <v>1529</v>
      </c>
      <c r="F2319" s="120" t="s">
        <v>3249</v>
      </c>
    </row>
    <row r="2320" spans="1:6" x14ac:dyDescent="0.2">
      <c r="A2320" s="55">
        <v>144</v>
      </c>
      <c r="B2320" s="46" t="s">
        <v>2639</v>
      </c>
      <c r="C2320" s="52">
        <v>12</v>
      </c>
      <c r="E2320" s="121" t="s">
        <v>1430</v>
      </c>
      <c r="F2320" s="120" t="s">
        <v>3288</v>
      </c>
    </row>
    <row r="2321" spans="1:6" x14ac:dyDescent="0.2">
      <c r="A2321" s="55">
        <v>144</v>
      </c>
      <c r="B2321" s="46" t="s">
        <v>1583</v>
      </c>
      <c r="C2321" s="52">
        <v>12</v>
      </c>
      <c r="E2321" s="121" t="s">
        <v>1402</v>
      </c>
      <c r="F2321" s="120" t="s">
        <v>3248</v>
      </c>
    </row>
    <row r="2322" spans="1:6" x14ac:dyDescent="0.2">
      <c r="A2322" s="55">
        <v>144</v>
      </c>
      <c r="B2322" s="46" t="s">
        <v>364</v>
      </c>
      <c r="C2322" s="52">
        <v>10</v>
      </c>
      <c r="E2322" s="121" t="s">
        <v>3495</v>
      </c>
      <c r="F2322" s="120" t="s">
        <v>3313</v>
      </c>
    </row>
    <row r="2323" spans="1:6" x14ac:dyDescent="0.2">
      <c r="A2323" s="55">
        <v>144</v>
      </c>
      <c r="B2323" s="46" t="s">
        <v>2575</v>
      </c>
      <c r="C2323" s="52">
        <v>10</v>
      </c>
      <c r="E2323" s="121" t="s">
        <v>1400</v>
      </c>
      <c r="F2323" s="120" t="s">
        <v>3310</v>
      </c>
    </row>
    <row r="2324" spans="1:6" x14ac:dyDescent="0.2">
      <c r="A2324" s="55">
        <v>144</v>
      </c>
      <c r="B2324" s="46" t="s">
        <v>3151</v>
      </c>
      <c r="C2324" s="52">
        <v>8</v>
      </c>
      <c r="E2324" s="121" t="s">
        <v>3194</v>
      </c>
      <c r="F2324" s="120" t="s">
        <v>3258</v>
      </c>
    </row>
    <row r="2325" spans="1:6" x14ac:dyDescent="0.2">
      <c r="A2325" s="55">
        <v>144</v>
      </c>
      <c r="B2325" s="46" t="s">
        <v>360</v>
      </c>
      <c r="C2325" s="52">
        <v>7</v>
      </c>
      <c r="E2325" s="121" t="s">
        <v>3522</v>
      </c>
      <c r="F2325" s="120" t="s">
        <v>3258</v>
      </c>
    </row>
    <row r="2326" spans="1:6" x14ac:dyDescent="0.2">
      <c r="A2326" s="55">
        <v>144</v>
      </c>
      <c r="B2326" s="46" t="s">
        <v>400</v>
      </c>
      <c r="C2326" s="52">
        <v>5</v>
      </c>
      <c r="E2326" s="121" t="s">
        <v>1411</v>
      </c>
      <c r="F2326" s="120" t="s">
        <v>3249</v>
      </c>
    </row>
    <row r="2327" spans="1:6" x14ac:dyDescent="0.2">
      <c r="A2327" s="55">
        <v>144</v>
      </c>
      <c r="B2327" s="46" t="s">
        <v>2592</v>
      </c>
      <c r="C2327" s="52">
        <v>4</v>
      </c>
      <c r="E2327" s="121" t="s">
        <v>1167</v>
      </c>
      <c r="F2327" s="120" t="s">
        <v>3242</v>
      </c>
    </row>
    <row r="2328" spans="1:6" x14ac:dyDescent="0.2">
      <c r="A2328" s="55">
        <v>144</v>
      </c>
      <c r="B2328" s="46" t="s">
        <v>376</v>
      </c>
      <c r="C2328" s="52">
        <v>3</v>
      </c>
      <c r="E2328" s="121" t="s">
        <v>3462</v>
      </c>
      <c r="F2328" s="120" t="s">
        <v>3227</v>
      </c>
    </row>
    <row r="2329" spans="1:6" x14ac:dyDescent="0.2">
      <c r="A2329" s="55">
        <v>145</v>
      </c>
      <c r="B2329" s="46" t="s">
        <v>415</v>
      </c>
      <c r="C2329" s="52">
        <v>65</v>
      </c>
      <c r="E2329" s="121" t="s">
        <v>1144</v>
      </c>
      <c r="F2329" s="120" t="s">
        <v>3249</v>
      </c>
    </row>
    <row r="2330" spans="1:6" x14ac:dyDescent="0.2">
      <c r="A2330" s="55">
        <v>145</v>
      </c>
      <c r="B2330" s="46" t="s">
        <v>445</v>
      </c>
      <c r="C2330" s="52">
        <v>25</v>
      </c>
      <c r="E2330" s="121" t="s">
        <v>3474</v>
      </c>
      <c r="F2330" s="120" t="s">
        <v>3227</v>
      </c>
    </row>
    <row r="2331" spans="1:6" x14ac:dyDescent="0.2">
      <c r="A2331" s="55">
        <v>145</v>
      </c>
      <c r="B2331" s="46" t="s">
        <v>376</v>
      </c>
      <c r="C2331" s="52">
        <v>20</v>
      </c>
      <c r="E2331" s="121" t="s">
        <v>3462</v>
      </c>
      <c r="F2331" s="120" t="s">
        <v>3227</v>
      </c>
    </row>
    <row r="2332" spans="1:6" x14ac:dyDescent="0.2">
      <c r="A2332" s="55">
        <v>145</v>
      </c>
      <c r="B2332" s="46" t="s">
        <v>2642</v>
      </c>
      <c r="C2332" s="52">
        <v>8</v>
      </c>
      <c r="E2332" s="121" t="s">
        <v>1148</v>
      </c>
      <c r="F2332" s="120" t="s">
        <v>3215</v>
      </c>
    </row>
    <row r="2333" spans="1:6" x14ac:dyDescent="0.2">
      <c r="A2333" s="55">
        <v>145</v>
      </c>
      <c r="B2333" s="46" t="s">
        <v>2592</v>
      </c>
      <c r="C2333" s="52">
        <v>7</v>
      </c>
      <c r="E2333" s="121" t="s">
        <v>1167</v>
      </c>
      <c r="F2333" s="120" t="s">
        <v>3242</v>
      </c>
    </row>
    <row r="2334" spans="1:6" x14ac:dyDescent="0.2">
      <c r="A2334" s="55">
        <v>145</v>
      </c>
      <c r="B2334" s="46" t="s">
        <v>394</v>
      </c>
      <c r="C2334" s="52">
        <v>7</v>
      </c>
      <c r="E2334" s="121" t="s">
        <v>3467</v>
      </c>
      <c r="F2334" s="120" t="s">
        <v>3258</v>
      </c>
    </row>
    <row r="2335" spans="1:6" x14ac:dyDescent="0.2">
      <c r="A2335" s="55">
        <v>145</v>
      </c>
      <c r="B2335" s="46" t="s">
        <v>400</v>
      </c>
      <c r="C2335" s="52">
        <v>6</v>
      </c>
      <c r="E2335" s="121" t="s">
        <v>1411</v>
      </c>
      <c r="F2335" s="120" t="s">
        <v>3249</v>
      </c>
    </row>
    <row r="2336" spans="1:6" x14ac:dyDescent="0.2">
      <c r="A2336" s="55">
        <v>145</v>
      </c>
      <c r="B2336" s="46" t="s">
        <v>343</v>
      </c>
      <c r="C2336" s="52">
        <v>4</v>
      </c>
      <c r="E2336" s="121" t="s">
        <v>3334</v>
      </c>
      <c r="F2336" s="120" t="s">
        <v>3303</v>
      </c>
    </row>
    <row r="2337" spans="1:6" x14ac:dyDescent="0.2">
      <c r="A2337" s="55">
        <v>145</v>
      </c>
      <c r="B2337" s="46" t="s">
        <v>369</v>
      </c>
      <c r="C2337" s="52">
        <v>3</v>
      </c>
      <c r="E2337" s="121" t="s">
        <v>2829</v>
      </c>
      <c r="F2337" s="120" t="s">
        <v>1289</v>
      </c>
    </row>
    <row r="2338" spans="1:6" x14ac:dyDescent="0.2">
      <c r="A2338" s="55">
        <v>145</v>
      </c>
      <c r="B2338" s="46" t="s">
        <v>2575</v>
      </c>
      <c r="C2338" s="52">
        <v>3</v>
      </c>
      <c r="E2338" s="121" t="s">
        <v>1400</v>
      </c>
      <c r="F2338" s="120" t="s">
        <v>3310</v>
      </c>
    </row>
    <row r="2339" spans="1:6" x14ac:dyDescent="0.2">
      <c r="A2339" s="55">
        <v>146</v>
      </c>
      <c r="B2339" s="46" t="s">
        <v>2569</v>
      </c>
      <c r="C2339" s="52">
        <v>20</v>
      </c>
      <c r="E2339" s="121" t="s">
        <v>3496</v>
      </c>
      <c r="F2339" s="120" t="s">
        <v>3310</v>
      </c>
    </row>
    <row r="2340" spans="1:6" x14ac:dyDescent="0.2">
      <c r="A2340" s="55">
        <v>146</v>
      </c>
      <c r="B2340" s="46" t="s">
        <v>342</v>
      </c>
      <c r="C2340" s="52">
        <v>18</v>
      </c>
      <c r="E2340" s="121" t="s">
        <v>1169</v>
      </c>
      <c r="F2340" s="120" t="s">
        <v>3249</v>
      </c>
    </row>
    <row r="2341" spans="1:6" x14ac:dyDescent="0.2">
      <c r="A2341" s="55">
        <v>146</v>
      </c>
      <c r="B2341" s="46" t="s">
        <v>2579</v>
      </c>
      <c r="C2341" s="52">
        <v>18</v>
      </c>
      <c r="E2341" s="121" t="s">
        <v>3516</v>
      </c>
      <c r="F2341" s="120" t="s">
        <v>3232</v>
      </c>
    </row>
    <row r="2342" spans="1:6" x14ac:dyDescent="0.2">
      <c r="A2342" s="55">
        <v>146</v>
      </c>
      <c r="B2342" s="46" t="s">
        <v>424</v>
      </c>
      <c r="C2342" s="52">
        <v>9</v>
      </c>
      <c r="E2342" s="121" t="s">
        <v>1405</v>
      </c>
      <c r="F2342" s="120" t="s">
        <v>3215</v>
      </c>
    </row>
    <row r="2343" spans="1:6" x14ac:dyDescent="0.2">
      <c r="A2343" s="55">
        <v>146</v>
      </c>
      <c r="B2343" s="46" t="s">
        <v>352</v>
      </c>
      <c r="C2343" s="52">
        <v>7</v>
      </c>
      <c r="E2343" s="121" t="s">
        <v>2908</v>
      </c>
      <c r="F2343" s="120" t="s">
        <v>3259</v>
      </c>
    </row>
    <row r="2344" spans="1:6" x14ac:dyDescent="0.2">
      <c r="A2344" s="55">
        <v>146</v>
      </c>
      <c r="B2344" s="46" t="s">
        <v>340</v>
      </c>
      <c r="C2344" s="52">
        <v>6</v>
      </c>
      <c r="E2344" s="121" t="s">
        <v>1529</v>
      </c>
      <c r="F2344" s="120" t="s">
        <v>3249</v>
      </c>
    </row>
    <row r="2345" spans="1:6" x14ac:dyDescent="0.2">
      <c r="A2345" s="55">
        <v>146</v>
      </c>
      <c r="B2345" s="46" t="s">
        <v>341</v>
      </c>
      <c r="C2345" s="52">
        <v>4</v>
      </c>
      <c r="E2345" s="121" t="s">
        <v>3062</v>
      </c>
      <c r="F2345" s="120" t="s">
        <v>3266</v>
      </c>
    </row>
    <row r="2346" spans="1:6" x14ac:dyDescent="0.2">
      <c r="A2346" s="55">
        <v>146</v>
      </c>
      <c r="B2346" s="46" t="s">
        <v>350</v>
      </c>
      <c r="C2346" s="52">
        <v>3</v>
      </c>
      <c r="E2346" s="121" t="s">
        <v>1415</v>
      </c>
      <c r="F2346" s="120" t="s">
        <v>3249</v>
      </c>
    </row>
    <row r="2347" spans="1:6" x14ac:dyDescent="0.2">
      <c r="A2347" s="55">
        <v>146</v>
      </c>
      <c r="B2347" s="46" t="s">
        <v>376</v>
      </c>
      <c r="C2347" s="52">
        <v>3</v>
      </c>
      <c r="E2347" s="121" t="s">
        <v>3462</v>
      </c>
      <c r="F2347" s="120" t="s">
        <v>3227</v>
      </c>
    </row>
    <row r="2348" spans="1:6" x14ac:dyDescent="0.2">
      <c r="A2348" s="55">
        <v>146</v>
      </c>
      <c r="B2348" s="46" t="s">
        <v>2583</v>
      </c>
      <c r="C2348" s="52">
        <v>3</v>
      </c>
      <c r="E2348" s="121" t="s">
        <v>1177</v>
      </c>
      <c r="F2348" s="120" t="s">
        <v>3288</v>
      </c>
    </row>
    <row r="2349" spans="1:6" x14ac:dyDescent="0.2">
      <c r="A2349" s="55">
        <v>146</v>
      </c>
      <c r="B2349" s="46" t="s">
        <v>349</v>
      </c>
      <c r="C2349" s="52">
        <v>3</v>
      </c>
      <c r="E2349" s="121" t="s">
        <v>1200</v>
      </c>
      <c r="F2349" s="120" t="s">
        <v>3292</v>
      </c>
    </row>
    <row r="2350" spans="1:6" x14ac:dyDescent="0.2">
      <c r="A2350" s="55">
        <v>146</v>
      </c>
      <c r="B2350" s="46" t="s">
        <v>369</v>
      </c>
      <c r="C2350" s="52">
        <v>2</v>
      </c>
      <c r="E2350" s="121" t="s">
        <v>2829</v>
      </c>
      <c r="F2350" s="120" t="s">
        <v>1289</v>
      </c>
    </row>
    <row r="2351" spans="1:6" x14ac:dyDescent="0.2">
      <c r="A2351" s="55">
        <v>146</v>
      </c>
      <c r="B2351" s="46" t="s">
        <v>3151</v>
      </c>
      <c r="C2351" s="52">
        <v>1</v>
      </c>
      <c r="E2351" s="121" t="s">
        <v>3194</v>
      </c>
      <c r="F2351" s="120" t="s">
        <v>3258</v>
      </c>
    </row>
    <row r="2352" spans="1:6" x14ac:dyDescent="0.2">
      <c r="A2352" s="55">
        <v>146</v>
      </c>
      <c r="B2352" s="46" t="s">
        <v>357</v>
      </c>
      <c r="C2352" s="52">
        <v>1</v>
      </c>
      <c r="E2352" s="121" t="s">
        <v>3063</v>
      </c>
      <c r="F2352" s="120" t="s">
        <v>3262</v>
      </c>
    </row>
    <row r="2353" spans="1:6" x14ac:dyDescent="0.2">
      <c r="A2353" s="55">
        <v>147</v>
      </c>
      <c r="B2353" s="46" t="s">
        <v>450</v>
      </c>
      <c r="C2353" s="52">
        <v>30</v>
      </c>
      <c r="E2353" s="121" t="s">
        <v>3089</v>
      </c>
      <c r="F2353" s="120" t="s">
        <v>3248</v>
      </c>
    </row>
    <row r="2354" spans="1:6" x14ac:dyDescent="0.2">
      <c r="A2354" s="55">
        <v>147</v>
      </c>
      <c r="B2354" s="46" t="s">
        <v>2569</v>
      </c>
      <c r="C2354" s="52">
        <v>30</v>
      </c>
      <c r="E2354" s="121" t="s">
        <v>3496</v>
      </c>
      <c r="F2354" s="120" t="s">
        <v>3310</v>
      </c>
    </row>
    <row r="2355" spans="1:6" x14ac:dyDescent="0.2">
      <c r="A2355" s="55">
        <v>147</v>
      </c>
      <c r="B2355" s="46" t="s">
        <v>2579</v>
      </c>
      <c r="C2355" s="52">
        <v>7</v>
      </c>
      <c r="E2355" s="121" t="s">
        <v>3516</v>
      </c>
      <c r="F2355" s="120" t="s">
        <v>3232</v>
      </c>
    </row>
    <row r="2356" spans="1:6" x14ac:dyDescent="0.2">
      <c r="A2356" s="55">
        <v>147</v>
      </c>
      <c r="B2356" s="46" t="s">
        <v>424</v>
      </c>
      <c r="C2356" s="52">
        <v>6</v>
      </c>
      <c r="E2356" s="121" t="s">
        <v>1405</v>
      </c>
      <c r="F2356" s="120" t="s">
        <v>3215</v>
      </c>
    </row>
    <row r="2357" spans="1:6" x14ac:dyDescent="0.2">
      <c r="A2357" s="55">
        <v>147</v>
      </c>
      <c r="B2357" s="46" t="s">
        <v>2641</v>
      </c>
      <c r="C2357" s="52">
        <v>3</v>
      </c>
      <c r="E2357" s="121" t="s">
        <v>1418</v>
      </c>
      <c r="F2357" s="120" t="s">
        <v>3249</v>
      </c>
    </row>
    <row r="2358" spans="1:6" x14ac:dyDescent="0.2">
      <c r="A2358" s="55">
        <v>147</v>
      </c>
      <c r="B2358" s="46" t="s">
        <v>2582</v>
      </c>
      <c r="C2358" s="52">
        <v>3</v>
      </c>
      <c r="E2358" s="121" t="s">
        <v>3447</v>
      </c>
      <c r="F2358" s="120" t="s">
        <v>3248</v>
      </c>
    </row>
    <row r="2359" spans="1:6" x14ac:dyDescent="0.2">
      <c r="A2359" s="55">
        <v>147</v>
      </c>
      <c r="B2359" s="46" t="s">
        <v>357</v>
      </c>
      <c r="C2359" s="52">
        <v>2</v>
      </c>
      <c r="E2359" s="121" t="s">
        <v>3063</v>
      </c>
      <c r="F2359" s="120" t="s">
        <v>3262</v>
      </c>
    </row>
    <row r="2360" spans="1:6" x14ac:dyDescent="0.2">
      <c r="A2360" s="55">
        <v>148</v>
      </c>
      <c r="B2360" s="46" t="s">
        <v>340</v>
      </c>
      <c r="C2360" s="52">
        <v>50</v>
      </c>
      <c r="E2360" s="121" t="s">
        <v>1529</v>
      </c>
      <c r="F2360" s="120" t="s">
        <v>3249</v>
      </c>
    </row>
    <row r="2361" spans="1:6" x14ac:dyDescent="0.2">
      <c r="A2361" s="55">
        <v>148</v>
      </c>
      <c r="B2361" s="46" t="s">
        <v>600</v>
      </c>
      <c r="C2361" s="52">
        <v>15</v>
      </c>
      <c r="E2361" s="121" t="s">
        <v>1423</v>
      </c>
      <c r="F2361" s="120" t="s">
        <v>3249</v>
      </c>
    </row>
    <row r="2362" spans="1:6" x14ac:dyDescent="0.2">
      <c r="A2362" s="55">
        <v>148</v>
      </c>
      <c r="B2362" s="46" t="s">
        <v>342</v>
      </c>
      <c r="C2362" s="52">
        <v>15</v>
      </c>
      <c r="E2362" s="121" t="s">
        <v>1169</v>
      </c>
      <c r="F2362" s="120" t="s">
        <v>3249</v>
      </c>
    </row>
    <row r="2363" spans="1:6" x14ac:dyDescent="0.2">
      <c r="A2363" s="55">
        <v>148</v>
      </c>
      <c r="B2363" s="46" t="s">
        <v>350</v>
      </c>
      <c r="C2363" s="52">
        <v>12</v>
      </c>
      <c r="E2363" s="121" t="s">
        <v>1415</v>
      </c>
      <c r="F2363" s="120" t="s">
        <v>3249</v>
      </c>
    </row>
    <row r="2364" spans="1:6" x14ac:dyDescent="0.2">
      <c r="A2364" s="55">
        <v>148</v>
      </c>
      <c r="B2364" s="46" t="s">
        <v>2582</v>
      </c>
      <c r="C2364" s="52">
        <v>12</v>
      </c>
      <c r="E2364" s="121" t="s">
        <v>3447</v>
      </c>
      <c r="F2364" s="120" t="s">
        <v>3248</v>
      </c>
    </row>
    <row r="2365" spans="1:6" x14ac:dyDescent="0.2">
      <c r="A2365" s="55">
        <v>148</v>
      </c>
      <c r="B2365" s="46" t="s">
        <v>2583</v>
      </c>
      <c r="C2365" s="52">
        <v>12</v>
      </c>
      <c r="E2365" s="121" t="s">
        <v>1177</v>
      </c>
      <c r="F2365" s="120" t="s">
        <v>3288</v>
      </c>
    </row>
    <row r="2366" spans="1:6" x14ac:dyDescent="0.2">
      <c r="A2366" s="55">
        <v>148</v>
      </c>
      <c r="B2366" s="46" t="s">
        <v>597</v>
      </c>
      <c r="C2366" s="52">
        <v>6</v>
      </c>
      <c r="E2366" s="121" t="s">
        <v>3060</v>
      </c>
      <c r="F2366" s="120" t="s">
        <v>3248</v>
      </c>
    </row>
    <row r="2367" spans="1:6" x14ac:dyDescent="0.2">
      <c r="A2367" s="55">
        <v>149</v>
      </c>
      <c r="B2367" s="46" t="s">
        <v>2569</v>
      </c>
      <c r="C2367" s="52">
        <v>55</v>
      </c>
      <c r="E2367" s="121" t="s">
        <v>3496</v>
      </c>
      <c r="F2367" s="120" t="s">
        <v>3310</v>
      </c>
    </row>
    <row r="2368" spans="1:6" x14ac:dyDescent="0.2">
      <c r="A2368" s="55">
        <v>149</v>
      </c>
      <c r="B2368" s="46" t="s">
        <v>600</v>
      </c>
      <c r="C2368" s="52">
        <v>15</v>
      </c>
      <c r="E2368" s="121" t="s">
        <v>1423</v>
      </c>
      <c r="F2368" s="120" t="s">
        <v>3249</v>
      </c>
    </row>
    <row r="2369" spans="1:6" x14ac:dyDescent="0.2">
      <c r="A2369" s="55">
        <v>149</v>
      </c>
      <c r="B2369" s="46" t="s">
        <v>2579</v>
      </c>
      <c r="C2369" s="52">
        <v>10</v>
      </c>
      <c r="E2369" s="121" t="s">
        <v>3516</v>
      </c>
      <c r="F2369" s="120" t="s">
        <v>3232</v>
      </c>
    </row>
    <row r="2370" spans="1:6" x14ac:dyDescent="0.2">
      <c r="A2370" s="55">
        <v>149</v>
      </c>
      <c r="B2370" s="46" t="s">
        <v>2583</v>
      </c>
      <c r="C2370" s="52">
        <v>8</v>
      </c>
      <c r="E2370" s="121" t="s">
        <v>1177</v>
      </c>
      <c r="F2370" s="120" t="s">
        <v>3288</v>
      </c>
    </row>
    <row r="2371" spans="1:6" x14ac:dyDescent="0.2">
      <c r="A2371" s="55">
        <v>149</v>
      </c>
      <c r="B2371" s="46" t="s">
        <v>450</v>
      </c>
      <c r="C2371" s="52">
        <v>6</v>
      </c>
      <c r="E2371" s="121" t="s">
        <v>3089</v>
      </c>
      <c r="F2371" s="120" t="s">
        <v>3248</v>
      </c>
    </row>
    <row r="2372" spans="1:6" x14ac:dyDescent="0.2">
      <c r="A2372" s="55">
        <v>149</v>
      </c>
      <c r="B2372" s="46" t="s">
        <v>2641</v>
      </c>
      <c r="C2372" s="52">
        <v>4</v>
      </c>
      <c r="E2372" s="121" t="s">
        <v>1418</v>
      </c>
      <c r="F2372" s="120" t="s">
        <v>3249</v>
      </c>
    </row>
    <row r="2373" spans="1:6" x14ac:dyDescent="0.2">
      <c r="A2373" s="55">
        <v>149</v>
      </c>
      <c r="B2373" s="46" t="s">
        <v>376</v>
      </c>
      <c r="C2373" s="52">
        <v>4</v>
      </c>
      <c r="E2373" s="121" t="s">
        <v>3462</v>
      </c>
      <c r="F2373" s="120" t="s">
        <v>3227</v>
      </c>
    </row>
    <row r="2374" spans="1:6" x14ac:dyDescent="0.2">
      <c r="A2374" s="55">
        <v>149</v>
      </c>
      <c r="B2374" s="46" t="s">
        <v>2577</v>
      </c>
      <c r="C2374" s="52">
        <v>3</v>
      </c>
      <c r="E2374" s="121" t="s">
        <v>2900</v>
      </c>
      <c r="F2374" s="120" t="s">
        <v>3249</v>
      </c>
    </row>
    <row r="2375" spans="1:6" x14ac:dyDescent="0.2">
      <c r="A2375" s="55">
        <v>149</v>
      </c>
      <c r="B2375" s="46" t="s">
        <v>340</v>
      </c>
      <c r="C2375" s="52">
        <v>3</v>
      </c>
      <c r="E2375" s="121" t="s">
        <v>1529</v>
      </c>
      <c r="F2375" s="120" t="s">
        <v>3249</v>
      </c>
    </row>
    <row r="2376" spans="1:6" x14ac:dyDescent="0.2">
      <c r="A2376" s="55">
        <v>149</v>
      </c>
      <c r="B2376" s="46" t="s">
        <v>1936</v>
      </c>
      <c r="C2376" s="52">
        <v>2</v>
      </c>
      <c r="E2376" s="121" t="s">
        <v>562</v>
      </c>
      <c r="F2376" s="120" t="s">
        <v>1289</v>
      </c>
    </row>
    <row r="2377" spans="1:6" x14ac:dyDescent="0.2">
      <c r="A2377" s="55">
        <v>149</v>
      </c>
      <c r="B2377" s="46" t="s">
        <v>2648</v>
      </c>
      <c r="C2377" s="52">
        <v>1</v>
      </c>
      <c r="E2377" s="121" t="s">
        <v>3162</v>
      </c>
      <c r="F2377" s="120" t="s">
        <v>3268</v>
      </c>
    </row>
    <row r="2378" spans="1:6" x14ac:dyDescent="0.2">
      <c r="A2378" s="55">
        <v>150</v>
      </c>
      <c r="B2378" s="46" t="s">
        <v>2579</v>
      </c>
      <c r="C2378" s="52">
        <v>40</v>
      </c>
      <c r="E2378" s="121" t="s">
        <v>3516</v>
      </c>
      <c r="F2378" s="120" t="s">
        <v>3232</v>
      </c>
    </row>
    <row r="2379" spans="1:6" x14ac:dyDescent="0.2">
      <c r="A2379" s="55">
        <v>150</v>
      </c>
      <c r="B2379" s="46" t="s">
        <v>415</v>
      </c>
      <c r="C2379" s="52">
        <v>25</v>
      </c>
      <c r="E2379" s="121" t="s">
        <v>1144</v>
      </c>
      <c r="F2379" s="120" t="s">
        <v>3249</v>
      </c>
    </row>
    <row r="2380" spans="1:6" x14ac:dyDescent="0.2">
      <c r="A2380" s="55">
        <v>150</v>
      </c>
      <c r="B2380" s="46" t="s">
        <v>364</v>
      </c>
      <c r="C2380" s="52">
        <v>25</v>
      </c>
      <c r="E2380" s="121" t="s">
        <v>3495</v>
      </c>
      <c r="F2380" s="120" t="s">
        <v>3313</v>
      </c>
    </row>
    <row r="2381" spans="1:6" x14ac:dyDescent="0.2">
      <c r="A2381" s="55">
        <v>150</v>
      </c>
      <c r="B2381" s="46" t="s">
        <v>350</v>
      </c>
      <c r="C2381" s="52">
        <v>10</v>
      </c>
      <c r="E2381" s="121" t="s">
        <v>1415</v>
      </c>
      <c r="F2381" s="120" t="s">
        <v>3249</v>
      </c>
    </row>
    <row r="2382" spans="1:6" x14ac:dyDescent="0.2">
      <c r="A2382" s="55">
        <v>150</v>
      </c>
      <c r="B2382" s="46" t="s">
        <v>345</v>
      </c>
      <c r="C2382" s="52">
        <v>4</v>
      </c>
      <c r="E2382" s="121" t="s">
        <v>3520</v>
      </c>
      <c r="F2382" s="120" t="s">
        <v>3227</v>
      </c>
    </row>
    <row r="2383" spans="1:6" x14ac:dyDescent="0.2">
      <c r="A2383" s="55">
        <v>150</v>
      </c>
      <c r="B2383" s="46" t="s">
        <v>2649</v>
      </c>
      <c r="C2383" s="52">
        <v>3</v>
      </c>
      <c r="E2383" s="121" t="s">
        <v>3052</v>
      </c>
      <c r="F2383" s="120" t="s">
        <v>3250</v>
      </c>
    </row>
    <row r="2384" spans="1:6" x14ac:dyDescent="0.2">
      <c r="A2384" s="55">
        <v>150</v>
      </c>
      <c r="B2384" s="46" t="s">
        <v>376</v>
      </c>
      <c r="C2384" s="52">
        <v>3</v>
      </c>
      <c r="E2384" s="121" t="s">
        <v>3462</v>
      </c>
      <c r="F2384" s="120" t="s">
        <v>3227</v>
      </c>
    </row>
    <row r="2385" spans="1:6" x14ac:dyDescent="0.2">
      <c r="A2385" s="55">
        <v>150</v>
      </c>
      <c r="B2385" s="46" t="s">
        <v>597</v>
      </c>
      <c r="C2385" s="52">
        <v>2</v>
      </c>
      <c r="E2385" s="121" t="s">
        <v>3060</v>
      </c>
      <c r="F2385" s="120" t="s">
        <v>3248</v>
      </c>
    </row>
    <row r="2386" spans="1:6" x14ac:dyDescent="0.2">
      <c r="A2386" s="55">
        <v>150</v>
      </c>
      <c r="B2386" s="46" t="s">
        <v>2576</v>
      </c>
      <c r="C2386" s="52">
        <v>2</v>
      </c>
      <c r="E2386" s="121" t="s">
        <v>3090</v>
      </c>
      <c r="F2386" s="120" t="s">
        <v>3248</v>
      </c>
    </row>
    <row r="2387" spans="1:6" x14ac:dyDescent="0.2">
      <c r="A2387" s="55">
        <v>151</v>
      </c>
      <c r="B2387" s="46" t="s">
        <v>2579</v>
      </c>
      <c r="C2387" s="52">
        <v>30</v>
      </c>
      <c r="E2387" s="121" t="s">
        <v>3516</v>
      </c>
      <c r="F2387" s="120" t="s">
        <v>3232</v>
      </c>
    </row>
    <row r="2388" spans="1:6" x14ac:dyDescent="0.2">
      <c r="A2388" s="55">
        <v>151</v>
      </c>
      <c r="B2388" s="46" t="s">
        <v>364</v>
      </c>
      <c r="C2388" s="52">
        <v>25</v>
      </c>
      <c r="E2388" s="121" t="s">
        <v>3495</v>
      </c>
      <c r="F2388" s="120" t="s">
        <v>3313</v>
      </c>
    </row>
    <row r="2389" spans="1:6" x14ac:dyDescent="0.2">
      <c r="A2389" s="55">
        <v>151</v>
      </c>
      <c r="B2389" s="46" t="s">
        <v>350</v>
      </c>
      <c r="C2389" s="52">
        <v>9</v>
      </c>
      <c r="E2389" s="121" t="s">
        <v>1415</v>
      </c>
      <c r="F2389" s="120" t="s">
        <v>3249</v>
      </c>
    </row>
    <row r="2390" spans="1:6" x14ac:dyDescent="0.2">
      <c r="A2390" s="55">
        <v>151</v>
      </c>
      <c r="B2390" s="46" t="s">
        <v>2573</v>
      </c>
      <c r="C2390" s="52">
        <v>9</v>
      </c>
      <c r="E2390" s="121" t="s">
        <v>2880</v>
      </c>
      <c r="F2390" s="120" t="s">
        <v>3249</v>
      </c>
    </row>
    <row r="2391" spans="1:6" x14ac:dyDescent="0.2">
      <c r="A2391" s="55">
        <v>151</v>
      </c>
      <c r="B2391" s="46" t="s">
        <v>2666</v>
      </c>
      <c r="C2391" s="52">
        <v>7</v>
      </c>
      <c r="E2391" s="121" t="s">
        <v>1208</v>
      </c>
      <c r="F2391" s="120" t="s">
        <v>3274</v>
      </c>
    </row>
    <row r="2392" spans="1:6" x14ac:dyDescent="0.2">
      <c r="A2392" s="55">
        <v>151</v>
      </c>
      <c r="B2392" s="46" t="s">
        <v>340</v>
      </c>
      <c r="C2392" s="52">
        <v>6</v>
      </c>
      <c r="E2392" s="121" t="s">
        <v>1529</v>
      </c>
      <c r="F2392" s="120" t="s">
        <v>3249</v>
      </c>
    </row>
    <row r="2393" spans="1:6" x14ac:dyDescent="0.2">
      <c r="A2393" s="55">
        <v>151</v>
      </c>
      <c r="B2393" s="46" t="s">
        <v>1583</v>
      </c>
      <c r="C2393" s="52">
        <v>4</v>
      </c>
      <c r="E2393" s="121" t="s">
        <v>1402</v>
      </c>
      <c r="F2393" s="120" t="s">
        <v>3248</v>
      </c>
    </row>
    <row r="2394" spans="1:6" x14ac:dyDescent="0.2">
      <c r="A2394" s="55">
        <v>151</v>
      </c>
      <c r="B2394" s="46" t="s">
        <v>376</v>
      </c>
      <c r="C2394" s="52">
        <v>3</v>
      </c>
      <c r="E2394" s="121" t="s">
        <v>3462</v>
      </c>
      <c r="F2394" s="120" t="s">
        <v>3227</v>
      </c>
    </row>
    <row r="2395" spans="1:6" x14ac:dyDescent="0.2">
      <c r="A2395" s="55">
        <v>151</v>
      </c>
      <c r="B2395" s="46" t="s">
        <v>593</v>
      </c>
      <c r="C2395" s="52">
        <v>3</v>
      </c>
      <c r="E2395" s="121" t="s">
        <v>2852</v>
      </c>
      <c r="F2395" s="120" t="s">
        <v>3227</v>
      </c>
    </row>
    <row r="2396" spans="1:6" x14ac:dyDescent="0.2">
      <c r="A2396" s="55">
        <v>151</v>
      </c>
      <c r="B2396" s="46" t="s">
        <v>982</v>
      </c>
      <c r="C2396" s="52">
        <v>2</v>
      </c>
      <c r="E2396" s="121" t="s">
        <v>1180</v>
      </c>
      <c r="F2396" s="120" t="s">
        <v>3228</v>
      </c>
    </row>
    <row r="2397" spans="1:6" x14ac:dyDescent="0.2">
      <c r="A2397" s="55">
        <v>151</v>
      </c>
      <c r="B2397" s="46" t="s">
        <v>2566</v>
      </c>
      <c r="C2397" s="52">
        <v>2</v>
      </c>
      <c r="E2397" s="121" t="s">
        <v>3331</v>
      </c>
      <c r="F2397" s="120" t="s">
        <v>3249</v>
      </c>
    </row>
    <row r="2398" spans="1:6" x14ac:dyDescent="0.2">
      <c r="A2398" s="55">
        <v>152</v>
      </c>
      <c r="B2398" s="46" t="s">
        <v>2583</v>
      </c>
      <c r="C2398" s="52">
        <v>25</v>
      </c>
      <c r="E2398" s="121" t="s">
        <v>1177</v>
      </c>
      <c r="F2398" s="120" t="s">
        <v>3288</v>
      </c>
    </row>
    <row r="2399" spans="1:6" x14ac:dyDescent="0.2">
      <c r="A2399" s="55">
        <v>152</v>
      </c>
      <c r="B2399" s="46" t="s">
        <v>350</v>
      </c>
      <c r="C2399" s="52">
        <v>12</v>
      </c>
      <c r="E2399" s="121" t="s">
        <v>1415</v>
      </c>
      <c r="F2399" s="120" t="s">
        <v>3249</v>
      </c>
    </row>
    <row r="2400" spans="1:6" x14ac:dyDescent="0.2">
      <c r="A2400" s="55">
        <v>152</v>
      </c>
      <c r="B2400" s="46" t="s">
        <v>347</v>
      </c>
      <c r="C2400" s="52">
        <v>12</v>
      </c>
      <c r="E2400" s="121" t="s">
        <v>3492</v>
      </c>
      <c r="F2400" s="120" t="s">
        <v>3312</v>
      </c>
    </row>
    <row r="2401" spans="1:6" x14ac:dyDescent="0.2">
      <c r="A2401" s="55">
        <v>152</v>
      </c>
      <c r="B2401" s="46" t="s">
        <v>2566</v>
      </c>
      <c r="C2401" s="52">
        <v>10</v>
      </c>
      <c r="E2401" s="121" t="s">
        <v>3331</v>
      </c>
      <c r="F2401" s="120" t="s">
        <v>3249</v>
      </c>
    </row>
    <row r="2402" spans="1:6" x14ac:dyDescent="0.2">
      <c r="A2402" s="55">
        <v>152</v>
      </c>
      <c r="B2402" s="46" t="s">
        <v>340</v>
      </c>
      <c r="C2402" s="52">
        <v>8</v>
      </c>
      <c r="E2402" s="121" t="s">
        <v>1529</v>
      </c>
      <c r="F2402" s="120" t="s">
        <v>3249</v>
      </c>
    </row>
    <row r="2403" spans="1:6" x14ac:dyDescent="0.2">
      <c r="A2403" s="55">
        <v>152</v>
      </c>
      <c r="B2403" s="46" t="s">
        <v>600</v>
      </c>
      <c r="C2403" s="52">
        <v>7</v>
      </c>
      <c r="E2403" s="121" t="s">
        <v>1423</v>
      </c>
      <c r="F2403" s="120" t="s">
        <v>3249</v>
      </c>
    </row>
    <row r="2404" spans="1:6" x14ac:dyDescent="0.2">
      <c r="A2404" s="55">
        <v>152</v>
      </c>
      <c r="B2404" s="46" t="s">
        <v>369</v>
      </c>
      <c r="C2404" s="52">
        <v>7</v>
      </c>
      <c r="E2404" s="121" t="s">
        <v>2829</v>
      </c>
      <c r="F2404" s="120" t="s">
        <v>1289</v>
      </c>
    </row>
    <row r="2405" spans="1:6" x14ac:dyDescent="0.2">
      <c r="A2405" s="55">
        <v>152</v>
      </c>
      <c r="B2405" s="46" t="s">
        <v>593</v>
      </c>
      <c r="C2405" s="52">
        <v>7</v>
      </c>
      <c r="E2405" s="121" t="s">
        <v>2852</v>
      </c>
      <c r="F2405" s="120" t="s">
        <v>3227</v>
      </c>
    </row>
    <row r="2406" spans="1:6" x14ac:dyDescent="0.2">
      <c r="A2406" s="55">
        <v>152</v>
      </c>
      <c r="B2406" s="46" t="s">
        <v>2581</v>
      </c>
      <c r="C2406" s="52">
        <v>6</v>
      </c>
      <c r="E2406" s="121" t="s">
        <v>3506</v>
      </c>
      <c r="F2406" s="120" t="s">
        <v>3215</v>
      </c>
    </row>
    <row r="2407" spans="1:6" x14ac:dyDescent="0.2">
      <c r="A2407" s="55">
        <v>152</v>
      </c>
      <c r="B2407" s="46" t="s">
        <v>2579</v>
      </c>
      <c r="C2407" s="52">
        <v>6</v>
      </c>
      <c r="E2407" s="121" t="s">
        <v>3516</v>
      </c>
      <c r="F2407" s="120" t="s">
        <v>3232</v>
      </c>
    </row>
    <row r="2408" spans="1:6" x14ac:dyDescent="0.2">
      <c r="A2408" s="55">
        <v>152</v>
      </c>
      <c r="B2408" s="46" t="s">
        <v>349</v>
      </c>
      <c r="C2408" s="52">
        <v>4</v>
      </c>
      <c r="E2408" s="121" t="s">
        <v>1200</v>
      </c>
      <c r="F2408" s="120" t="s">
        <v>3292</v>
      </c>
    </row>
    <row r="2409" spans="1:6" x14ac:dyDescent="0.2">
      <c r="A2409" s="55">
        <v>152</v>
      </c>
      <c r="B2409" s="46" t="s">
        <v>344</v>
      </c>
      <c r="C2409" s="52">
        <v>4</v>
      </c>
      <c r="E2409" s="121" t="s">
        <v>1403</v>
      </c>
      <c r="F2409" s="120" t="s">
        <v>3215</v>
      </c>
    </row>
    <row r="2410" spans="1:6" x14ac:dyDescent="0.2">
      <c r="A2410" s="55">
        <v>152</v>
      </c>
      <c r="B2410" s="46" t="s">
        <v>376</v>
      </c>
      <c r="C2410" s="52">
        <v>2</v>
      </c>
      <c r="E2410" s="121" t="s">
        <v>3462</v>
      </c>
      <c r="F2410" s="120" t="s">
        <v>3227</v>
      </c>
    </row>
    <row r="2411" spans="1:6" x14ac:dyDescent="0.2">
      <c r="A2411" s="55">
        <v>153</v>
      </c>
      <c r="B2411" s="46" t="s">
        <v>2722</v>
      </c>
      <c r="C2411" s="52">
        <v>60</v>
      </c>
      <c r="E2411" s="121" t="s">
        <v>3489</v>
      </c>
      <c r="F2411" s="120" t="s">
        <v>3310</v>
      </c>
    </row>
    <row r="2412" spans="1:6" x14ac:dyDescent="0.2">
      <c r="A2412" s="55">
        <v>153</v>
      </c>
      <c r="B2412" s="46" t="s">
        <v>399</v>
      </c>
      <c r="C2412" s="52">
        <v>35</v>
      </c>
      <c r="E2412" s="121" t="s">
        <v>1155</v>
      </c>
      <c r="F2412" s="120" t="s">
        <v>3248</v>
      </c>
    </row>
    <row r="2413" spans="1:6" x14ac:dyDescent="0.2">
      <c r="A2413" s="55">
        <v>153</v>
      </c>
      <c r="B2413" s="46" t="s">
        <v>341</v>
      </c>
      <c r="C2413" s="52">
        <v>15</v>
      </c>
      <c r="E2413" s="121" t="s">
        <v>3062</v>
      </c>
      <c r="F2413" s="120" t="s">
        <v>3266</v>
      </c>
    </row>
    <row r="2414" spans="1:6" x14ac:dyDescent="0.2">
      <c r="A2414" s="55">
        <v>153</v>
      </c>
      <c r="B2414" s="46" t="s">
        <v>2579</v>
      </c>
      <c r="C2414" s="52">
        <v>8</v>
      </c>
      <c r="E2414" s="121" t="s">
        <v>3516</v>
      </c>
      <c r="F2414" s="120" t="s">
        <v>3232</v>
      </c>
    </row>
    <row r="2415" spans="1:6" x14ac:dyDescent="0.2">
      <c r="A2415" s="55">
        <v>153</v>
      </c>
      <c r="B2415" s="46" t="s">
        <v>2641</v>
      </c>
      <c r="C2415" s="52">
        <v>7</v>
      </c>
      <c r="E2415" s="121" t="s">
        <v>1418</v>
      </c>
      <c r="F2415" s="120" t="s">
        <v>3249</v>
      </c>
    </row>
    <row r="2416" spans="1:6" x14ac:dyDescent="0.2">
      <c r="A2416" s="55">
        <v>153</v>
      </c>
      <c r="B2416" s="46" t="s">
        <v>394</v>
      </c>
      <c r="C2416" s="52">
        <v>7</v>
      </c>
      <c r="E2416" s="121" t="s">
        <v>3467</v>
      </c>
      <c r="F2416" s="120" t="s">
        <v>3258</v>
      </c>
    </row>
    <row r="2417" spans="1:6" x14ac:dyDescent="0.2">
      <c r="A2417" s="55">
        <v>153</v>
      </c>
      <c r="B2417" s="46" t="s">
        <v>347</v>
      </c>
      <c r="C2417" s="52">
        <v>4</v>
      </c>
      <c r="E2417" s="121" t="s">
        <v>3492</v>
      </c>
      <c r="F2417" s="120" t="s">
        <v>3312</v>
      </c>
    </row>
    <row r="2418" spans="1:6" x14ac:dyDescent="0.2">
      <c r="A2418" s="55">
        <v>153</v>
      </c>
      <c r="B2418" s="46" t="s">
        <v>2649</v>
      </c>
      <c r="C2418" s="52">
        <v>3</v>
      </c>
      <c r="E2418" s="121" t="s">
        <v>3052</v>
      </c>
      <c r="F2418" s="120" t="s">
        <v>3250</v>
      </c>
    </row>
    <row r="2419" spans="1:6" x14ac:dyDescent="0.2">
      <c r="A2419" s="55">
        <v>153</v>
      </c>
      <c r="B2419" s="46" t="s">
        <v>403</v>
      </c>
      <c r="C2419" s="52">
        <v>2</v>
      </c>
      <c r="E2419" s="121" t="s">
        <v>1408</v>
      </c>
      <c r="F2419" s="120" t="s">
        <v>3248</v>
      </c>
    </row>
    <row r="2420" spans="1:6" x14ac:dyDescent="0.2">
      <c r="A2420" s="55">
        <v>153</v>
      </c>
      <c r="B2420" s="46" t="s">
        <v>340</v>
      </c>
      <c r="C2420" s="52">
        <v>2</v>
      </c>
      <c r="E2420" s="121" t="s">
        <v>1529</v>
      </c>
      <c r="F2420" s="120" t="s">
        <v>3249</v>
      </c>
    </row>
    <row r="2421" spans="1:6" x14ac:dyDescent="0.2">
      <c r="A2421" s="55">
        <v>153</v>
      </c>
      <c r="B2421" s="46" t="s">
        <v>2565</v>
      </c>
      <c r="C2421" s="52">
        <v>2</v>
      </c>
      <c r="E2421" s="121" t="s">
        <v>3435</v>
      </c>
      <c r="F2421" s="120" t="s">
        <v>3286</v>
      </c>
    </row>
    <row r="2422" spans="1:6" x14ac:dyDescent="0.2">
      <c r="A2422" s="55">
        <v>154</v>
      </c>
      <c r="B2422" s="46" t="s">
        <v>361</v>
      </c>
      <c r="C2422" s="52">
        <v>45</v>
      </c>
      <c r="E2422" s="121" t="s">
        <v>3201</v>
      </c>
      <c r="F2422" s="120" t="s">
        <v>3249</v>
      </c>
    </row>
    <row r="2423" spans="1:6" x14ac:dyDescent="0.2">
      <c r="A2423" s="55">
        <v>154</v>
      </c>
      <c r="B2423" s="46" t="s">
        <v>341</v>
      </c>
      <c r="C2423" s="52">
        <v>25</v>
      </c>
      <c r="E2423" s="121" t="s">
        <v>3062</v>
      </c>
      <c r="F2423" s="120" t="s">
        <v>3266</v>
      </c>
    </row>
    <row r="2424" spans="1:6" x14ac:dyDescent="0.2">
      <c r="A2424" s="55">
        <v>154</v>
      </c>
      <c r="B2424" s="46" t="s">
        <v>2583</v>
      </c>
      <c r="C2424" s="52">
        <v>15</v>
      </c>
      <c r="E2424" s="121" t="s">
        <v>1177</v>
      </c>
      <c r="F2424" s="120" t="s">
        <v>3288</v>
      </c>
    </row>
    <row r="2425" spans="1:6" x14ac:dyDescent="0.2">
      <c r="A2425" s="55">
        <v>154</v>
      </c>
      <c r="B2425" s="46" t="s">
        <v>340</v>
      </c>
      <c r="C2425" s="52">
        <v>12</v>
      </c>
      <c r="E2425" s="121" t="s">
        <v>1529</v>
      </c>
      <c r="F2425" s="120" t="s">
        <v>3249</v>
      </c>
    </row>
    <row r="2426" spans="1:6" x14ac:dyDescent="0.2">
      <c r="A2426" s="55">
        <v>154</v>
      </c>
      <c r="B2426" s="46" t="s">
        <v>364</v>
      </c>
      <c r="C2426" s="52">
        <v>10</v>
      </c>
      <c r="E2426" s="121" t="s">
        <v>3495</v>
      </c>
      <c r="F2426" s="120" t="s">
        <v>3313</v>
      </c>
    </row>
    <row r="2427" spans="1:6" x14ac:dyDescent="0.2">
      <c r="A2427" s="55">
        <v>154</v>
      </c>
      <c r="B2427" s="46" t="s">
        <v>347</v>
      </c>
      <c r="C2427" s="52">
        <v>7</v>
      </c>
      <c r="E2427" s="121" t="s">
        <v>3492</v>
      </c>
      <c r="F2427" s="120" t="s">
        <v>3312</v>
      </c>
    </row>
    <row r="2428" spans="1:6" x14ac:dyDescent="0.2">
      <c r="A2428" s="55">
        <v>154</v>
      </c>
      <c r="B2428" s="46" t="s">
        <v>403</v>
      </c>
      <c r="C2428" s="52">
        <v>6</v>
      </c>
      <c r="E2428" s="121" t="s">
        <v>1408</v>
      </c>
      <c r="F2428" s="120" t="s">
        <v>3248</v>
      </c>
    </row>
    <row r="2429" spans="1:6" x14ac:dyDescent="0.2">
      <c r="A2429" s="55">
        <v>154</v>
      </c>
      <c r="B2429" s="46" t="s">
        <v>2642</v>
      </c>
      <c r="C2429" s="52">
        <v>6</v>
      </c>
      <c r="E2429" s="121" t="s">
        <v>1148</v>
      </c>
      <c r="F2429" s="120" t="s">
        <v>3215</v>
      </c>
    </row>
    <row r="2430" spans="1:6" x14ac:dyDescent="0.2">
      <c r="A2430" s="55">
        <v>154</v>
      </c>
      <c r="B2430" s="46" t="s">
        <v>344</v>
      </c>
      <c r="C2430" s="52">
        <v>3</v>
      </c>
      <c r="E2430" s="121" t="s">
        <v>1403</v>
      </c>
      <c r="F2430" s="120" t="s">
        <v>3215</v>
      </c>
    </row>
    <row r="2431" spans="1:6" x14ac:dyDescent="0.2">
      <c r="A2431" s="55">
        <v>154</v>
      </c>
      <c r="B2431" s="46" t="s">
        <v>2582</v>
      </c>
      <c r="C2431" s="52">
        <v>2</v>
      </c>
      <c r="E2431" s="121" t="s">
        <v>3447</v>
      </c>
      <c r="F2431" s="120" t="s">
        <v>3248</v>
      </c>
    </row>
    <row r="2432" spans="1:6" x14ac:dyDescent="0.2">
      <c r="A2432" s="55">
        <v>154</v>
      </c>
      <c r="B2432" s="46" t="s">
        <v>2638</v>
      </c>
      <c r="C2432" s="52">
        <v>1</v>
      </c>
      <c r="E2432" s="121" t="s">
        <v>3165</v>
      </c>
      <c r="F2432" s="120" t="s">
        <v>3248</v>
      </c>
    </row>
    <row r="2433" spans="1:6" x14ac:dyDescent="0.2">
      <c r="A2433" s="55">
        <v>154</v>
      </c>
      <c r="B2433" s="46" t="s">
        <v>2293</v>
      </c>
      <c r="C2433" s="52">
        <v>1</v>
      </c>
      <c r="E2433" s="121" t="s">
        <v>3176</v>
      </c>
      <c r="F2433" s="120" t="s">
        <v>3285</v>
      </c>
    </row>
    <row r="2434" spans="1:6" x14ac:dyDescent="0.2">
      <c r="A2434" s="55">
        <v>154</v>
      </c>
      <c r="B2434" s="46" t="s">
        <v>590</v>
      </c>
      <c r="C2434" s="52">
        <v>1</v>
      </c>
      <c r="E2434" s="121" t="s">
        <v>3452</v>
      </c>
      <c r="F2434" s="120" t="s">
        <v>3215</v>
      </c>
    </row>
    <row r="2435" spans="1:6" x14ac:dyDescent="0.2">
      <c r="A2435" s="55">
        <v>155</v>
      </c>
      <c r="B2435" s="46" t="s">
        <v>454</v>
      </c>
      <c r="C2435" s="52">
        <v>85</v>
      </c>
      <c r="E2435" s="121" t="s">
        <v>534</v>
      </c>
      <c r="F2435" s="120" t="s">
        <v>3249</v>
      </c>
    </row>
    <row r="2436" spans="1:6" x14ac:dyDescent="0.2">
      <c r="A2436" s="55">
        <v>155</v>
      </c>
      <c r="B2436" s="46" t="s">
        <v>416</v>
      </c>
      <c r="C2436" s="52">
        <v>20</v>
      </c>
      <c r="E2436" s="121" t="s">
        <v>1409</v>
      </c>
      <c r="F2436" s="120" t="s">
        <v>3292</v>
      </c>
    </row>
    <row r="2437" spans="1:6" x14ac:dyDescent="0.2">
      <c r="A2437" s="55">
        <v>155</v>
      </c>
      <c r="B2437" s="46" t="s">
        <v>600</v>
      </c>
      <c r="C2437" s="52">
        <v>12</v>
      </c>
      <c r="E2437" s="121" t="s">
        <v>1423</v>
      </c>
      <c r="F2437" s="120" t="s">
        <v>3249</v>
      </c>
    </row>
    <row r="2438" spans="1:6" x14ac:dyDescent="0.2">
      <c r="A2438" s="55">
        <v>155</v>
      </c>
      <c r="B2438" s="46" t="s">
        <v>347</v>
      </c>
      <c r="C2438" s="52">
        <v>12</v>
      </c>
      <c r="E2438" s="121" t="s">
        <v>3492</v>
      </c>
      <c r="F2438" s="120" t="s">
        <v>3312</v>
      </c>
    </row>
    <row r="2439" spans="1:6" x14ac:dyDescent="0.2">
      <c r="A2439" s="55">
        <v>155</v>
      </c>
      <c r="B2439" s="46" t="s">
        <v>376</v>
      </c>
      <c r="C2439" s="52">
        <v>4</v>
      </c>
      <c r="E2439" s="121" t="s">
        <v>3462</v>
      </c>
      <c r="F2439" s="120" t="s">
        <v>3227</v>
      </c>
    </row>
    <row r="2440" spans="1:6" x14ac:dyDescent="0.2">
      <c r="A2440" s="55">
        <v>155</v>
      </c>
      <c r="B2440" s="46" t="s">
        <v>597</v>
      </c>
      <c r="C2440" s="52">
        <v>2</v>
      </c>
      <c r="E2440" s="121" t="s">
        <v>3060</v>
      </c>
      <c r="F2440" s="120" t="s">
        <v>3248</v>
      </c>
    </row>
    <row r="2441" spans="1:6" x14ac:dyDescent="0.2">
      <c r="A2441" s="55">
        <v>155</v>
      </c>
      <c r="B2441" s="46" t="s">
        <v>2583</v>
      </c>
      <c r="C2441" s="52">
        <v>2</v>
      </c>
      <c r="E2441" s="121" t="s">
        <v>1177</v>
      </c>
      <c r="F2441" s="120" t="s">
        <v>3288</v>
      </c>
    </row>
    <row r="2442" spans="1:6" x14ac:dyDescent="0.2">
      <c r="A2442" s="55">
        <v>155</v>
      </c>
      <c r="B2442" s="46" t="s">
        <v>2577</v>
      </c>
      <c r="C2442" s="52">
        <v>1</v>
      </c>
      <c r="E2442" s="121" t="s">
        <v>2900</v>
      </c>
      <c r="F2442" s="120" t="s">
        <v>3249</v>
      </c>
    </row>
    <row r="2443" spans="1:6" x14ac:dyDescent="0.2">
      <c r="A2443" s="55">
        <v>155</v>
      </c>
      <c r="B2443" s="46" t="s">
        <v>2576</v>
      </c>
      <c r="C2443" s="52">
        <v>1</v>
      </c>
      <c r="E2443" s="121" t="s">
        <v>3090</v>
      </c>
      <c r="F2443" s="120" t="s">
        <v>3248</v>
      </c>
    </row>
    <row r="2444" spans="1:6" x14ac:dyDescent="0.2">
      <c r="A2444" s="55">
        <v>156</v>
      </c>
      <c r="B2444" s="46" t="s">
        <v>2576</v>
      </c>
      <c r="C2444" s="52">
        <v>60</v>
      </c>
      <c r="E2444" s="121" t="s">
        <v>3090</v>
      </c>
      <c r="F2444" s="120" t="s">
        <v>3248</v>
      </c>
    </row>
    <row r="2445" spans="1:6" x14ac:dyDescent="0.2">
      <c r="A2445" s="55">
        <v>156</v>
      </c>
      <c r="B2445" s="46" t="s">
        <v>340</v>
      </c>
      <c r="C2445" s="52">
        <v>18</v>
      </c>
      <c r="E2445" s="121" t="s">
        <v>1529</v>
      </c>
      <c r="F2445" s="120" t="s">
        <v>3249</v>
      </c>
    </row>
    <row r="2446" spans="1:6" x14ac:dyDescent="0.2">
      <c r="A2446" s="55">
        <v>156</v>
      </c>
      <c r="B2446" s="46" t="s">
        <v>416</v>
      </c>
      <c r="C2446" s="52">
        <v>8</v>
      </c>
      <c r="E2446" s="121" t="s">
        <v>1409</v>
      </c>
      <c r="F2446" s="120" t="s">
        <v>3292</v>
      </c>
    </row>
    <row r="2447" spans="1:6" x14ac:dyDescent="0.2">
      <c r="A2447" s="55">
        <v>156</v>
      </c>
      <c r="B2447" s="46" t="s">
        <v>345</v>
      </c>
      <c r="C2447" s="52">
        <v>7</v>
      </c>
      <c r="E2447" s="121" t="s">
        <v>3520</v>
      </c>
      <c r="F2447" s="120" t="s">
        <v>3227</v>
      </c>
    </row>
    <row r="2448" spans="1:6" x14ac:dyDescent="0.2">
      <c r="A2448" s="55">
        <v>156</v>
      </c>
      <c r="B2448" s="46" t="s">
        <v>394</v>
      </c>
      <c r="C2448" s="52">
        <v>6</v>
      </c>
      <c r="E2448" s="121" t="s">
        <v>3467</v>
      </c>
      <c r="F2448" s="120" t="s">
        <v>3258</v>
      </c>
    </row>
    <row r="2449" spans="1:6" x14ac:dyDescent="0.2">
      <c r="A2449" s="55">
        <v>156</v>
      </c>
      <c r="B2449" s="46" t="s">
        <v>376</v>
      </c>
      <c r="C2449" s="52">
        <v>5</v>
      </c>
      <c r="E2449" s="121" t="s">
        <v>3462</v>
      </c>
      <c r="F2449" s="120" t="s">
        <v>3227</v>
      </c>
    </row>
    <row r="2450" spans="1:6" x14ac:dyDescent="0.2">
      <c r="A2450" s="55">
        <v>156</v>
      </c>
      <c r="B2450" s="46" t="s">
        <v>350</v>
      </c>
      <c r="C2450" s="52">
        <v>4</v>
      </c>
      <c r="E2450" s="121" t="s">
        <v>1415</v>
      </c>
      <c r="F2450" s="120" t="s">
        <v>3249</v>
      </c>
    </row>
    <row r="2451" spans="1:6" x14ac:dyDescent="0.2">
      <c r="A2451" s="55">
        <v>156</v>
      </c>
      <c r="B2451" s="46" t="s">
        <v>601</v>
      </c>
      <c r="C2451" s="52">
        <v>3</v>
      </c>
      <c r="E2451" s="121" t="s">
        <v>1157</v>
      </c>
      <c r="F2451" s="120" t="s">
        <v>3249</v>
      </c>
    </row>
    <row r="2452" spans="1:6" x14ac:dyDescent="0.2">
      <c r="A2452" s="55">
        <v>156</v>
      </c>
      <c r="B2452" s="46" t="s">
        <v>1589</v>
      </c>
      <c r="C2452" s="52">
        <v>3</v>
      </c>
      <c r="E2452" s="121" t="s">
        <v>3328</v>
      </c>
      <c r="F2452" s="120" t="s">
        <v>3301</v>
      </c>
    </row>
    <row r="2453" spans="1:6" x14ac:dyDescent="0.2">
      <c r="A2453" s="55">
        <v>156</v>
      </c>
      <c r="B2453" s="46" t="s">
        <v>478</v>
      </c>
      <c r="C2453" s="52">
        <v>2</v>
      </c>
      <c r="E2453" s="121" t="s">
        <v>1527</v>
      </c>
      <c r="F2453" s="120" t="s">
        <v>3249</v>
      </c>
    </row>
    <row r="2454" spans="1:6" x14ac:dyDescent="0.2">
      <c r="A2454" s="55">
        <v>156</v>
      </c>
      <c r="B2454" s="46" t="s">
        <v>2566</v>
      </c>
      <c r="C2454" s="52">
        <v>2</v>
      </c>
      <c r="E2454" s="121" t="s">
        <v>3331</v>
      </c>
      <c r="F2454" s="120" t="s">
        <v>3249</v>
      </c>
    </row>
    <row r="2455" spans="1:6" x14ac:dyDescent="0.2">
      <c r="A2455" s="55">
        <v>157</v>
      </c>
      <c r="B2455" s="46" t="s">
        <v>454</v>
      </c>
      <c r="C2455" s="52">
        <v>45</v>
      </c>
      <c r="E2455" s="121" t="s">
        <v>534</v>
      </c>
      <c r="F2455" s="120" t="s">
        <v>3249</v>
      </c>
    </row>
    <row r="2456" spans="1:6" x14ac:dyDescent="0.2">
      <c r="A2456" s="55">
        <v>157</v>
      </c>
      <c r="B2456" s="46" t="s">
        <v>597</v>
      </c>
      <c r="C2456" s="52">
        <v>20</v>
      </c>
      <c r="E2456" s="121" t="s">
        <v>3060</v>
      </c>
      <c r="F2456" s="120" t="s">
        <v>3248</v>
      </c>
    </row>
    <row r="2457" spans="1:6" x14ac:dyDescent="0.2">
      <c r="A2457" s="55">
        <v>157</v>
      </c>
      <c r="B2457" s="46" t="s">
        <v>347</v>
      </c>
      <c r="C2457" s="52">
        <v>15</v>
      </c>
      <c r="E2457" s="121" t="s">
        <v>3492</v>
      </c>
      <c r="F2457" s="120" t="s">
        <v>3312</v>
      </c>
    </row>
    <row r="2458" spans="1:6" x14ac:dyDescent="0.2">
      <c r="A2458" s="55">
        <v>157</v>
      </c>
      <c r="B2458" s="46" t="s">
        <v>2583</v>
      </c>
      <c r="C2458" s="52">
        <v>12</v>
      </c>
      <c r="E2458" s="121" t="s">
        <v>1177</v>
      </c>
      <c r="F2458" s="120" t="s">
        <v>3288</v>
      </c>
    </row>
    <row r="2459" spans="1:6" x14ac:dyDescent="0.2">
      <c r="A2459" s="55">
        <v>157</v>
      </c>
      <c r="B2459" s="46" t="s">
        <v>600</v>
      </c>
      <c r="C2459" s="52">
        <v>6</v>
      </c>
      <c r="E2459" s="121" t="s">
        <v>1423</v>
      </c>
      <c r="F2459" s="120" t="s">
        <v>3249</v>
      </c>
    </row>
    <row r="2460" spans="1:6" x14ac:dyDescent="0.2">
      <c r="A2460" s="55">
        <v>157</v>
      </c>
      <c r="B2460" s="46" t="s">
        <v>341</v>
      </c>
      <c r="C2460" s="52">
        <v>5</v>
      </c>
      <c r="E2460" s="121" t="s">
        <v>3062</v>
      </c>
      <c r="F2460" s="120" t="s">
        <v>3266</v>
      </c>
    </row>
    <row r="2461" spans="1:6" x14ac:dyDescent="0.2">
      <c r="A2461" s="55">
        <v>157</v>
      </c>
      <c r="B2461" s="46" t="s">
        <v>369</v>
      </c>
      <c r="C2461" s="52">
        <v>3</v>
      </c>
      <c r="E2461" s="121" t="s">
        <v>2829</v>
      </c>
      <c r="F2461" s="120" t="s">
        <v>1289</v>
      </c>
    </row>
    <row r="2462" spans="1:6" x14ac:dyDescent="0.2">
      <c r="A2462" s="55">
        <v>157</v>
      </c>
      <c r="B2462" s="46" t="s">
        <v>344</v>
      </c>
      <c r="C2462" s="52">
        <v>2</v>
      </c>
      <c r="E2462" s="121" t="s">
        <v>1403</v>
      </c>
      <c r="F2462" s="120" t="s">
        <v>3215</v>
      </c>
    </row>
    <row r="2463" spans="1:6" x14ac:dyDescent="0.2">
      <c r="A2463" s="55">
        <v>158</v>
      </c>
      <c r="B2463" s="46" t="s">
        <v>454</v>
      </c>
      <c r="C2463" s="52">
        <v>25</v>
      </c>
      <c r="E2463" s="121" t="s">
        <v>534</v>
      </c>
      <c r="F2463" s="120" t="s">
        <v>3249</v>
      </c>
    </row>
    <row r="2464" spans="1:6" x14ac:dyDescent="0.2">
      <c r="A2464" s="55">
        <v>158</v>
      </c>
      <c r="B2464" s="46" t="s">
        <v>347</v>
      </c>
      <c r="C2464" s="52">
        <v>20</v>
      </c>
      <c r="E2464" s="121" t="s">
        <v>3492</v>
      </c>
      <c r="F2464" s="120" t="s">
        <v>3312</v>
      </c>
    </row>
    <row r="2465" spans="1:6" x14ac:dyDescent="0.2">
      <c r="A2465" s="55">
        <v>158</v>
      </c>
      <c r="B2465" s="46" t="s">
        <v>361</v>
      </c>
      <c r="C2465" s="52">
        <v>12</v>
      </c>
      <c r="E2465" s="121" t="s">
        <v>3201</v>
      </c>
      <c r="F2465" s="120" t="s">
        <v>3249</v>
      </c>
    </row>
    <row r="2466" spans="1:6" x14ac:dyDescent="0.2">
      <c r="A2466" s="55">
        <v>158</v>
      </c>
      <c r="B2466" s="46" t="s">
        <v>340</v>
      </c>
      <c r="C2466" s="52">
        <v>8</v>
      </c>
      <c r="E2466" s="121" t="s">
        <v>1529</v>
      </c>
      <c r="F2466" s="120" t="s">
        <v>3249</v>
      </c>
    </row>
    <row r="2467" spans="1:6" x14ac:dyDescent="0.2">
      <c r="A2467" s="55">
        <v>158</v>
      </c>
      <c r="B2467" s="46" t="s">
        <v>341</v>
      </c>
      <c r="C2467" s="52">
        <v>7</v>
      </c>
      <c r="E2467" s="121" t="s">
        <v>3062</v>
      </c>
      <c r="F2467" s="120" t="s">
        <v>3266</v>
      </c>
    </row>
    <row r="2468" spans="1:6" x14ac:dyDescent="0.2">
      <c r="A2468" s="55">
        <v>158</v>
      </c>
      <c r="B2468" s="46" t="s">
        <v>364</v>
      </c>
      <c r="C2468" s="52">
        <v>7</v>
      </c>
      <c r="E2468" s="121" t="s">
        <v>3495</v>
      </c>
      <c r="F2468" s="120" t="s">
        <v>3313</v>
      </c>
    </row>
    <row r="2469" spans="1:6" x14ac:dyDescent="0.2">
      <c r="A2469" s="55">
        <v>158</v>
      </c>
      <c r="B2469" s="46" t="s">
        <v>2583</v>
      </c>
      <c r="C2469" s="52">
        <v>4</v>
      </c>
      <c r="E2469" s="121" t="s">
        <v>1177</v>
      </c>
      <c r="F2469" s="120" t="s">
        <v>3288</v>
      </c>
    </row>
    <row r="2470" spans="1:6" x14ac:dyDescent="0.2">
      <c r="A2470" s="55">
        <v>158</v>
      </c>
      <c r="B2470" s="46" t="s">
        <v>376</v>
      </c>
      <c r="C2470" s="52">
        <v>3</v>
      </c>
      <c r="E2470" s="121" t="s">
        <v>3462</v>
      </c>
      <c r="F2470" s="120" t="s">
        <v>3227</v>
      </c>
    </row>
    <row r="2471" spans="1:6" x14ac:dyDescent="0.2">
      <c r="A2471" s="55">
        <v>159</v>
      </c>
      <c r="B2471" s="46" t="s">
        <v>352</v>
      </c>
      <c r="C2471" s="52">
        <v>60</v>
      </c>
      <c r="E2471" s="121" t="s">
        <v>2908</v>
      </c>
      <c r="F2471" s="120" t="s">
        <v>3259</v>
      </c>
    </row>
    <row r="2472" spans="1:6" x14ac:dyDescent="0.2">
      <c r="A2472" s="55">
        <v>159</v>
      </c>
      <c r="B2472" s="46" t="s">
        <v>2579</v>
      </c>
      <c r="C2472" s="52">
        <v>40</v>
      </c>
      <c r="E2472" s="121" t="s">
        <v>3516</v>
      </c>
      <c r="F2472" s="120" t="s">
        <v>3232</v>
      </c>
    </row>
    <row r="2473" spans="1:6" x14ac:dyDescent="0.2">
      <c r="A2473" s="55">
        <v>159</v>
      </c>
      <c r="B2473" s="46" t="s">
        <v>454</v>
      </c>
      <c r="C2473" s="52">
        <v>20</v>
      </c>
      <c r="E2473" s="121" t="s">
        <v>534</v>
      </c>
      <c r="F2473" s="120" t="s">
        <v>3249</v>
      </c>
    </row>
    <row r="2474" spans="1:6" x14ac:dyDescent="0.2">
      <c r="A2474" s="55">
        <v>159</v>
      </c>
      <c r="B2474" s="46" t="s">
        <v>342</v>
      </c>
      <c r="C2474" s="52">
        <v>15</v>
      </c>
      <c r="E2474" s="121" t="s">
        <v>1169</v>
      </c>
      <c r="F2474" s="120" t="s">
        <v>3249</v>
      </c>
    </row>
    <row r="2475" spans="1:6" x14ac:dyDescent="0.2">
      <c r="A2475" s="55">
        <v>159</v>
      </c>
      <c r="B2475" s="46" t="s">
        <v>2569</v>
      </c>
      <c r="C2475" s="52">
        <v>15</v>
      </c>
      <c r="E2475" s="121" t="s">
        <v>3496</v>
      </c>
      <c r="F2475" s="120" t="s">
        <v>3310</v>
      </c>
    </row>
    <row r="2476" spans="1:6" x14ac:dyDescent="0.2">
      <c r="A2476" s="55">
        <v>159</v>
      </c>
      <c r="B2476" s="46" t="s">
        <v>447</v>
      </c>
      <c r="C2476" s="52">
        <v>7</v>
      </c>
      <c r="E2476" s="121" t="s">
        <v>1531</v>
      </c>
      <c r="F2476" s="120" t="s">
        <v>3248</v>
      </c>
    </row>
    <row r="2477" spans="1:6" x14ac:dyDescent="0.2">
      <c r="A2477" s="55">
        <v>159</v>
      </c>
      <c r="B2477" s="46" t="s">
        <v>432</v>
      </c>
      <c r="C2477" s="52">
        <v>6</v>
      </c>
      <c r="E2477" s="121" t="s">
        <v>3186</v>
      </c>
      <c r="F2477" s="120" t="s">
        <v>3284</v>
      </c>
    </row>
    <row r="2478" spans="1:6" x14ac:dyDescent="0.2">
      <c r="A2478" s="55">
        <v>160</v>
      </c>
      <c r="B2478" s="46" t="s">
        <v>2569</v>
      </c>
      <c r="C2478" s="52">
        <v>40</v>
      </c>
      <c r="E2478" s="121" t="s">
        <v>3496</v>
      </c>
      <c r="F2478" s="120" t="s">
        <v>3310</v>
      </c>
    </row>
    <row r="2479" spans="1:6" x14ac:dyDescent="0.2">
      <c r="A2479" s="55">
        <v>160</v>
      </c>
      <c r="B2479" s="46" t="s">
        <v>454</v>
      </c>
      <c r="C2479" s="52">
        <v>20</v>
      </c>
      <c r="E2479" s="121" t="s">
        <v>534</v>
      </c>
      <c r="F2479" s="120" t="s">
        <v>3249</v>
      </c>
    </row>
    <row r="2480" spans="1:6" x14ac:dyDescent="0.2">
      <c r="A2480" s="55">
        <v>160</v>
      </c>
      <c r="B2480" s="46" t="s">
        <v>357</v>
      </c>
      <c r="C2480" s="52">
        <v>7</v>
      </c>
      <c r="E2480" s="121" t="s">
        <v>3063</v>
      </c>
      <c r="F2480" s="120" t="s">
        <v>3262</v>
      </c>
    </row>
    <row r="2481" spans="1:6" x14ac:dyDescent="0.2">
      <c r="A2481" s="55">
        <v>160</v>
      </c>
      <c r="B2481" s="46" t="s">
        <v>450</v>
      </c>
      <c r="C2481" s="52">
        <v>7</v>
      </c>
      <c r="E2481" s="121" t="s">
        <v>3089</v>
      </c>
      <c r="F2481" s="120" t="s">
        <v>3248</v>
      </c>
    </row>
    <row r="2482" spans="1:6" x14ac:dyDescent="0.2">
      <c r="A2482" s="55">
        <v>160</v>
      </c>
      <c r="B2482" s="46" t="s">
        <v>2582</v>
      </c>
      <c r="C2482" s="52">
        <v>5</v>
      </c>
      <c r="E2482" s="121" t="s">
        <v>3447</v>
      </c>
      <c r="F2482" s="120" t="s">
        <v>3248</v>
      </c>
    </row>
    <row r="2483" spans="1:6" x14ac:dyDescent="0.2">
      <c r="A2483" s="55">
        <v>160</v>
      </c>
      <c r="B2483" s="46" t="s">
        <v>342</v>
      </c>
      <c r="C2483" s="52">
        <v>4</v>
      </c>
      <c r="E2483" s="121" t="s">
        <v>1169</v>
      </c>
      <c r="F2483" s="120" t="s">
        <v>3249</v>
      </c>
    </row>
    <row r="2484" spans="1:6" x14ac:dyDescent="0.2">
      <c r="A2484" s="55">
        <v>160</v>
      </c>
      <c r="B2484" s="46" t="s">
        <v>447</v>
      </c>
      <c r="C2484" s="52">
        <v>2</v>
      </c>
      <c r="E2484" s="121" t="s">
        <v>1531</v>
      </c>
      <c r="F2484" s="120" t="s">
        <v>3248</v>
      </c>
    </row>
    <row r="2485" spans="1:6" x14ac:dyDescent="0.2">
      <c r="A2485" s="55">
        <v>161</v>
      </c>
      <c r="B2485" s="46" t="s">
        <v>376</v>
      </c>
      <c r="C2485" s="52">
        <v>30</v>
      </c>
      <c r="E2485" s="121" t="s">
        <v>3462</v>
      </c>
      <c r="F2485" s="120" t="s">
        <v>3227</v>
      </c>
    </row>
    <row r="2486" spans="1:6" x14ac:dyDescent="0.2">
      <c r="A2486" s="55">
        <v>161</v>
      </c>
      <c r="B2486" s="46" t="s">
        <v>392</v>
      </c>
      <c r="C2486" s="52">
        <v>20</v>
      </c>
      <c r="E2486" s="121" t="s">
        <v>3473</v>
      </c>
      <c r="F2486" s="120" t="s">
        <v>3227</v>
      </c>
    </row>
    <row r="2487" spans="1:6" x14ac:dyDescent="0.2">
      <c r="A2487" s="55">
        <v>161</v>
      </c>
      <c r="B2487" s="46" t="s">
        <v>2592</v>
      </c>
      <c r="C2487" s="52">
        <v>18</v>
      </c>
      <c r="E2487" s="121" t="s">
        <v>1167</v>
      </c>
      <c r="F2487" s="120" t="s">
        <v>3242</v>
      </c>
    </row>
    <row r="2488" spans="1:6" x14ac:dyDescent="0.2">
      <c r="A2488" s="55">
        <v>161</v>
      </c>
      <c r="B2488" s="46" t="s">
        <v>341</v>
      </c>
      <c r="C2488" s="52">
        <v>15</v>
      </c>
      <c r="E2488" s="121" t="s">
        <v>3062</v>
      </c>
      <c r="F2488" s="120" t="s">
        <v>3266</v>
      </c>
    </row>
    <row r="2489" spans="1:6" x14ac:dyDescent="0.2">
      <c r="A2489" s="55">
        <v>161</v>
      </c>
      <c r="B2489" s="46" t="s">
        <v>340</v>
      </c>
      <c r="C2489" s="52">
        <v>15</v>
      </c>
      <c r="E2489" s="121" t="s">
        <v>1529</v>
      </c>
      <c r="F2489" s="120" t="s">
        <v>3249</v>
      </c>
    </row>
    <row r="2490" spans="1:6" x14ac:dyDescent="0.2">
      <c r="A2490" s="55">
        <v>161</v>
      </c>
      <c r="B2490" s="46" t="s">
        <v>358</v>
      </c>
      <c r="C2490" s="52">
        <v>15</v>
      </c>
      <c r="E2490" s="121" t="s">
        <v>1404</v>
      </c>
      <c r="F2490" s="120" t="s">
        <v>3248</v>
      </c>
    </row>
    <row r="2491" spans="1:6" x14ac:dyDescent="0.2">
      <c r="A2491" s="55">
        <v>161</v>
      </c>
      <c r="B2491" s="46" t="s">
        <v>364</v>
      </c>
      <c r="C2491" s="52">
        <v>10</v>
      </c>
      <c r="E2491" s="121" t="s">
        <v>3495</v>
      </c>
      <c r="F2491" s="120" t="s">
        <v>3313</v>
      </c>
    </row>
    <row r="2492" spans="1:6" x14ac:dyDescent="0.2">
      <c r="A2492" s="55">
        <v>161</v>
      </c>
      <c r="B2492" s="46" t="s">
        <v>343</v>
      </c>
      <c r="C2492" s="52">
        <v>8</v>
      </c>
      <c r="E2492" s="121" t="s">
        <v>3334</v>
      </c>
      <c r="F2492" s="120" t="s">
        <v>3303</v>
      </c>
    </row>
    <row r="2493" spans="1:6" x14ac:dyDescent="0.2">
      <c r="A2493" s="55">
        <v>161</v>
      </c>
      <c r="B2493" s="46" t="s">
        <v>349</v>
      </c>
      <c r="C2493" s="52">
        <v>7</v>
      </c>
      <c r="E2493" s="121" t="s">
        <v>1200</v>
      </c>
      <c r="F2493" s="120" t="s">
        <v>3292</v>
      </c>
    </row>
    <row r="2494" spans="1:6" x14ac:dyDescent="0.2">
      <c r="A2494" s="55">
        <v>161</v>
      </c>
      <c r="B2494" s="46" t="s">
        <v>400</v>
      </c>
      <c r="C2494" s="52">
        <v>5</v>
      </c>
      <c r="E2494" s="121" t="s">
        <v>1411</v>
      </c>
      <c r="F2494" s="120" t="s">
        <v>3249</v>
      </c>
    </row>
    <row r="2495" spans="1:6" x14ac:dyDescent="0.2">
      <c r="A2495" s="55">
        <v>161</v>
      </c>
      <c r="B2495" s="46" t="s">
        <v>355</v>
      </c>
      <c r="C2495" s="52">
        <v>2</v>
      </c>
      <c r="E2495" s="121" t="s">
        <v>1150</v>
      </c>
      <c r="F2495" s="120" t="s">
        <v>3287</v>
      </c>
    </row>
    <row r="2496" spans="1:6" x14ac:dyDescent="0.2">
      <c r="A2496" s="55">
        <v>161</v>
      </c>
      <c r="B2496" s="46" t="s">
        <v>353</v>
      </c>
      <c r="C2496" s="52">
        <v>2</v>
      </c>
      <c r="E2496" s="121" t="s">
        <v>2866</v>
      </c>
      <c r="F2496" s="120" t="s">
        <v>3237</v>
      </c>
    </row>
    <row r="2497" spans="1:6" x14ac:dyDescent="0.2">
      <c r="A2497" s="55">
        <v>161</v>
      </c>
      <c r="B2497" s="46" t="s">
        <v>478</v>
      </c>
      <c r="C2497" s="52">
        <v>2</v>
      </c>
      <c r="E2497" s="121" t="s">
        <v>1527</v>
      </c>
      <c r="F2497" s="120" t="s">
        <v>3249</v>
      </c>
    </row>
    <row r="2498" spans="1:6" x14ac:dyDescent="0.2">
      <c r="A2498" s="55">
        <v>161</v>
      </c>
      <c r="B2498" s="46" t="s">
        <v>369</v>
      </c>
      <c r="C2498" s="52">
        <v>1</v>
      </c>
      <c r="E2498" s="121" t="s">
        <v>2829</v>
      </c>
      <c r="F2498" s="120" t="s">
        <v>1289</v>
      </c>
    </row>
    <row r="2499" spans="1:6" x14ac:dyDescent="0.2">
      <c r="A2499" s="55">
        <v>161</v>
      </c>
      <c r="B2499" s="46" t="s">
        <v>342</v>
      </c>
      <c r="C2499" s="52">
        <v>1</v>
      </c>
      <c r="E2499" s="121" t="s">
        <v>1169</v>
      </c>
      <c r="F2499" s="120" t="s">
        <v>3249</v>
      </c>
    </row>
    <row r="2500" spans="1:6" x14ac:dyDescent="0.2">
      <c r="A2500" s="55">
        <v>161</v>
      </c>
      <c r="B2500" s="46" t="s">
        <v>1583</v>
      </c>
      <c r="C2500" s="52">
        <v>1</v>
      </c>
      <c r="E2500" s="121" t="s">
        <v>1402</v>
      </c>
      <c r="F2500" s="120" t="s">
        <v>3248</v>
      </c>
    </row>
    <row r="2501" spans="1:6" x14ac:dyDescent="0.2">
      <c r="A2501" s="55">
        <v>162</v>
      </c>
      <c r="B2501" s="46" t="s">
        <v>400</v>
      </c>
      <c r="C2501" s="52">
        <v>30</v>
      </c>
      <c r="E2501" s="121" t="s">
        <v>1411</v>
      </c>
      <c r="F2501" s="120" t="s">
        <v>3249</v>
      </c>
    </row>
    <row r="2502" spans="1:6" x14ac:dyDescent="0.2">
      <c r="A2502" s="55">
        <v>162</v>
      </c>
      <c r="B2502" s="46" t="s">
        <v>376</v>
      </c>
      <c r="C2502" s="52">
        <v>18</v>
      </c>
      <c r="E2502" s="121" t="s">
        <v>3462</v>
      </c>
      <c r="F2502" s="120" t="s">
        <v>3227</v>
      </c>
    </row>
    <row r="2503" spans="1:6" x14ac:dyDescent="0.2">
      <c r="A2503" s="55">
        <v>162</v>
      </c>
      <c r="B2503" s="46" t="s">
        <v>340</v>
      </c>
      <c r="C2503" s="52">
        <v>10</v>
      </c>
      <c r="E2503" s="121" t="s">
        <v>1529</v>
      </c>
      <c r="F2503" s="120" t="s">
        <v>3249</v>
      </c>
    </row>
    <row r="2504" spans="1:6" x14ac:dyDescent="0.2">
      <c r="A2504" s="55">
        <v>162</v>
      </c>
      <c r="B2504" s="46" t="s">
        <v>364</v>
      </c>
      <c r="C2504" s="52">
        <v>10</v>
      </c>
      <c r="E2504" s="121" t="s">
        <v>3495</v>
      </c>
      <c r="F2504" s="120" t="s">
        <v>3313</v>
      </c>
    </row>
    <row r="2505" spans="1:6" x14ac:dyDescent="0.2">
      <c r="A2505" s="55">
        <v>162</v>
      </c>
      <c r="B2505" s="46" t="s">
        <v>1583</v>
      </c>
      <c r="C2505" s="52">
        <v>7</v>
      </c>
      <c r="E2505" s="121" t="s">
        <v>1402</v>
      </c>
      <c r="F2505" s="120" t="s">
        <v>3248</v>
      </c>
    </row>
    <row r="2506" spans="1:6" x14ac:dyDescent="0.2">
      <c r="A2506" s="55">
        <v>162</v>
      </c>
      <c r="B2506" s="46" t="s">
        <v>1936</v>
      </c>
      <c r="C2506" s="52">
        <v>5</v>
      </c>
      <c r="E2506" s="121" t="s">
        <v>562</v>
      </c>
      <c r="F2506" s="120" t="s">
        <v>1289</v>
      </c>
    </row>
    <row r="2507" spans="1:6" x14ac:dyDescent="0.2">
      <c r="A2507" s="55">
        <v>162</v>
      </c>
      <c r="B2507" s="46" t="s">
        <v>343</v>
      </c>
      <c r="C2507" s="52">
        <v>3</v>
      </c>
      <c r="E2507" s="121" t="s">
        <v>3334</v>
      </c>
      <c r="F2507" s="120" t="s">
        <v>3303</v>
      </c>
    </row>
    <row r="2508" spans="1:6" x14ac:dyDescent="0.2">
      <c r="A2508" s="55">
        <v>162</v>
      </c>
      <c r="B2508" s="46" t="s">
        <v>2592</v>
      </c>
      <c r="C2508" s="52">
        <v>3</v>
      </c>
      <c r="E2508" s="121" t="s">
        <v>1167</v>
      </c>
      <c r="F2508" s="120" t="s">
        <v>3242</v>
      </c>
    </row>
    <row r="2509" spans="1:6" x14ac:dyDescent="0.2">
      <c r="A2509" s="55">
        <v>162</v>
      </c>
      <c r="B2509" s="46" t="s">
        <v>3151</v>
      </c>
      <c r="C2509" s="52">
        <v>2</v>
      </c>
      <c r="E2509" s="121" t="s">
        <v>3194</v>
      </c>
      <c r="F2509" s="120" t="s">
        <v>3258</v>
      </c>
    </row>
    <row r="2510" spans="1:6" x14ac:dyDescent="0.2">
      <c r="A2510" s="55">
        <v>163</v>
      </c>
      <c r="B2510" s="46" t="s">
        <v>982</v>
      </c>
      <c r="C2510" s="52">
        <v>25</v>
      </c>
      <c r="E2510" s="121" t="s">
        <v>1180</v>
      </c>
      <c r="F2510" s="120" t="s">
        <v>3228</v>
      </c>
    </row>
    <row r="2511" spans="1:6" x14ac:dyDescent="0.2">
      <c r="A2511" s="55">
        <v>163</v>
      </c>
      <c r="B2511" s="46" t="s">
        <v>394</v>
      </c>
      <c r="C2511" s="52">
        <v>12</v>
      </c>
      <c r="E2511" s="121" t="s">
        <v>3467</v>
      </c>
      <c r="F2511" s="120" t="s">
        <v>3258</v>
      </c>
    </row>
    <row r="2512" spans="1:6" x14ac:dyDescent="0.2">
      <c r="A2512" s="55">
        <v>163</v>
      </c>
      <c r="B2512" s="46" t="s">
        <v>392</v>
      </c>
      <c r="C2512" s="52">
        <v>12</v>
      </c>
      <c r="E2512" s="121" t="s">
        <v>3473</v>
      </c>
      <c r="F2512" s="120" t="s">
        <v>3227</v>
      </c>
    </row>
    <row r="2513" spans="1:6" x14ac:dyDescent="0.2">
      <c r="A2513" s="55">
        <v>163</v>
      </c>
      <c r="B2513" s="46" t="s">
        <v>2722</v>
      </c>
      <c r="C2513" s="52">
        <v>10</v>
      </c>
      <c r="E2513" s="121" t="s">
        <v>3489</v>
      </c>
      <c r="F2513" s="120" t="s">
        <v>3310</v>
      </c>
    </row>
    <row r="2514" spans="1:6" x14ac:dyDescent="0.2">
      <c r="A2514" s="55">
        <v>163</v>
      </c>
      <c r="B2514" s="46" t="s">
        <v>376</v>
      </c>
      <c r="C2514" s="52">
        <v>4</v>
      </c>
      <c r="E2514" s="121" t="s">
        <v>3462</v>
      </c>
      <c r="F2514" s="120" t="s">
        <v>3227</v>
      </c>
    </row>
    <row r="2515" spans="1:6" x14ac:dyDescent="0.2">
      <c r="A2515" s="55">
        <v>163</v>
      </c>
      <c r="B2515" s="46" t="s">
        <v>445</v>
      </c>
      <c r="C2515" s="52">
        <v>1</v>
      </c>
      <c r="E2515" s="121" t="s">
        <v>3474</v>
      </c>
      <c r="F2515" s="120" t="s">
        <v>3227</v>
      </c>
    </row>
    <row r="2516" spans="1:6" x14ac:dyDescent="0.2">
      <c r="A2516" s="55">
        <v>164</v>
      </c>
      <c r="B2516" s="46" t="s">
        <v>416</v>
      </c>
      <c r="C2516" s="52">
        <v>60</v>
      </c>
      <c r="E2516" s="121" t="s">
        <v>1409</v>
      </c>
      <c r="F2516" s="120" t="s">
        <v>3292</v>
      </c>
    </row>
    <row r="2517" spans="1:6" x14ac:dyDescent="0.2">
      <c r="A2517" s="55">
        <v>164</v>
      </c>
      <c r="B2517" s="46" t="s">
        <v>2567</v>
      </c>
      <c r="C2517" s="52">
        <v>25</v>
      </c>
      <c r="E2517" s="121" t="s">
        <v>3076</v>
      </c>
      <c r="F2517" s="120" t="s">
        <v>3258</v>
      </c>
    </row>
    <row r="2518" spans="1:6" x14ac:dyDescent="0.2">
      <c r="A2518" s="55">
        <v>164</v>
      </c>
      <c r="B2518" s="46" t="s">
        <v>421</v>
      </c>
      <c r="C2518" s="52">
        <v>15</v>
      </c>
      <c r="E2518" s="121" t="s">
        <v>3057</v>
      </c>
      <c r="F2518" s="120" t="s">
        <v>3257</v>
      </c>
    </row>
    <row r="2519" spans="1:6" x14ac:dyDescent="0.2">
      <c r="A2519" s="55">
        <v>164</v>
      </c>
      <c r="B2519" s="46" t="s">
        <v>418</v>
      </c>
      <c r="C2519" s="52">
        <v>15</v>
      </c>
      <c r="E2519" s="121" t="s">
        <v>3180</v>
      </c>
      <c r="F2519" s="120" t="s">
        <v>3286</v>
      </c>
    </row>
    <row r="2520" spans="1:6" x14ac:dyDescent="0.2">
      <c r="A2520" s="55">
        <v>165</v>
      </c>
      <c r="B2520" s="46" t="s">
        <v>415</v>
      </c>
      <c r="C2520" s="52">
        <v>70</v>
      </c>
      <c r="E2520" s="121" t="s">
        <v>1144</v>
      </c>
      <c r="F2520" s="120" t="s">
        <v>3249</v>
      </c>
    </row>
    <row r="2521" spans="1:6" x14ac:dyDescent="0.2">
      <c r="A2521" s="55">
        <v>165</v>
      </c>
      <c r="B2521" s="46" t="s">
        <v>1441</v>
      </c>
      <c r="C2521" s="52">
        <v>25</v>
      </c>
      <c r="E2521" s="121" t="s">
        <v>3111</v>
      </c>
      <c r="F2521" s="120" t="s">
        <v>3249</v>
      </c>
    </row>
    <row r="2522" spans="1:6" x14ac:dyDescent="0.2">
      <c r="A2522" s="55">
        <v>165</v>
      </c>
      <c r="B2522" s="46" t="s">
        <v>982</v>
      </c>
      <c r="C2522" s="52">
        <v>20</v>
      </c>
      <c r="E2522" s="121" t="s">
        <v>1180</v>
      </c>
      <c r="F2522" s="120" t="s">
        <v>3228</v>
      </c>
    </row>
    <row r="2523" spans="1:6" x14ac:dyDescent="0.2">
      <c r="A2523" s="55">
        <v>165</v>
      </c>
      <c r="B2523" s="46" t="s">
        <v>416</v>
      </c>
      <c r="C2523" s="52">
        <v>12</v>
      </c>
      <c r="E2523" s="121" t="s">
        <v>1409</v>
      </c>
      <c r="F2523" s="120" t="s">
        <v>3292</v>
      </c>
    </row>
    <row r="2524" spans="1:6" x14ac:dyDescent="0.2">
      <c r="A2524" s="55">
        <v>165</v>
      </c>
      <c r="B2524" s="46" t="s">
        <v>2722</v>
      </c>
      <c r="C2524" s="52">
        <v>12</v>
      </c>
      <c r="E2524" s="121" t="s">
        <v>3489</v>
      </c>
      <c r="F2524" s="120" t="s">
        <v>3310</v>
      </c>
    </row>
    <row r="2525" spans="1:6" x14ac:dyDescent="0.2">
      <c r="A2525" s="55">
        <v>165</v>
      </c>
      <c r="B2525" s="46" t="s">
        <v>441</v>
      </c>
      <c r="C2525" s="52">
        <v>12</v>
      </c>
      <c r="E2525" s="121" t="s">
        <v>3469</v>
      </c>
      <c r="F2525" s="120" t="s">
        <v>3258</v>
      </c>
    </row>
    <row r="2526" spans="1:6" x14ac:dyDescent="0.2">
      <c r="A2526" s="55">
        <v>165</v>
      </c>
      <c r="B2526" s="46" t="s">
        <v>2579</v>
      </c>
      <c r="C2526" s="52">
        <v>10</v>
      </c>
      <c r="E2526" s="121" t="s">
        <v>3516</v>
      </c>
      <c r="F2526" s="120" t="s">
        <v>3232</v>
      </c>
    </row>
    <row r="2527" spans="1:6" x14ac:dyDescent="0.2">
      <c r="A2527" s="55">
        <v>165</v>
      </c>
      <c r="B2527" s="46" t="s">
        <v>394</v>
      </c>
      <c r="C2527" s="52">
        <v>8</v>
      </c>
      <c r="E2527" s="121" t="s">
        <v>3467</v>
      </c>
      <c r="F2527" s="120" t="s">
        <v>3258</v>
      </c>
    </row>
    <row r="2528" spans="1:6" x14ac:dyDescent="0.2">
      <c r="A2528" s="55">
        <v>165</v>
      </c>
      <c r="B2528" s="46" t="s">
        <v>340</v>
      </c>
      <c r="C2528" s="52">
        <v>3</v>
      </c>
      <c r="E2528" s="121" t="s">
        <v>1529</v>
      </c>
      <c r="F2528" s="120" t="s">
        <v>3249</v>
      </c>
    </row>
    <row r="2529" spans="1:6" x14ac:dyDescent="0.2">
      <c r="A2529" s="55">
        <v>166</v>
      </c>
      <c r="B2529" s="46" t="s">
        <v>982</v>
      </c>
      <c r="C2529" s="52">
        <v>15</v>
      </c>
      <c r="E2529" s="121" t="s">
        <v>1180</v>
      </c>
      <c r="F2529" s="120" t="s">
        <v>3228</v>
      </c>
    </row>
    <row r="2530" spans="1:6" x14ac:dyDescent="0.2">
      <c r="A2530" s="55">
        <v>166</v>
      </c>
      <c r="B2530" s="46" t="s">
        <v>416</v>
      </c>
      <c r="C2530" s="52">
        <v>12</v>
      </c>
      <c r="E2530" s="121" t="s">
        <v>1409</v>
      </c>
      <c r="F2530" s="120" t="s">
        <v>3292</v>
      </c>
    </row>
    <row r="2531" spans="1:6" x14ac:dyDescent="0.2">
      <c r="A2531" s="55">
        <v>166</v>
      </c>
      <c r="B2531" s="46" t="s">
        <v>2649</v>
      </c>
      <c r="C2531" s="52">
        <v>12</v>
      </c>
      <c r="E2531" s="121" t="s">
        <v>3052</v>
      </c>
      <c r="F2531" s="120" t="s">
        <v>3250</v>
      </c>
    </row>
    <row r="2532" spans="1:6" x14ac:dyDescent="0.2">
      <c r="A2532" s="55">
        <v>166</v>
      </c>
      <c r="B2532" s="46" t="s">
        <v>350</v>
      </c>
      <c r="C2532" s="52">
        <v>10</v>
      </c>
      <c r="E2532" s="121" t="s">
        <v>1415</v>
      </c>
      <c r="F2532" s="120" t="s">
        <v>3249</v>
      </c>
    </row>
    <row r="2533" spans="1:6" x14ac:dyDescent="0.2">
      <c r="A2533" s="55">
        <v>166</v>
      </c>
      <c r="B2533" s="46" t="s">
        <v>2579</v>
      </c>
      <c r="C2533" s="52">
        <v>10</v>
      </c>
      <c r="E2533" s="121" t="s">
        <v>3516</v>
      </c>
      <c r="F2533" s="120" t="s">
        <v>3232</v>
      </c>
    </row>
    <row r="2534" spans="1:6" x14ac:dyDescent="0.2">
      <c r="A2534" s="55">
        <v>166</v>
      </c>
      <c r="B2534" s="46" t="s">
        <v>340</v>
      </c>
      <c r="C2534" s="52">
        <v>10</v>
      </c>
      <c r="E2534" s="121" t="s">
        <v>1529</v>
      </c>
      <c r="F2534" s="120" t="s">
        <v>3249</v>
      </c>
    </row>
    <row r="2535" spans="1:6" x14ac:dyDescent="0.2">
      <c r="A2535" s="55">
        <v>166</v>
      </c>
      <c r="B2535" s="46" t="s">
        <v>2654</v>
      </c>
      <c r="C2535" s="52">
        <v>9</v>
      </c>
      <c r="E2535" s="121" t="s">
        <v>540</v>
      </c>
      <c r="F2535" s="120" t="s">
        <v>3280</v>
      </c>
    </row>
    <row r="2536" spans="1:6" x14ac:dyDescent="0.2">
      <c r="A2536" s="55">
        <v>166</v>
      </c>
      <c r="B2536" s="46" t="s">
        <v>395</v>
      </c>
      <c r="C2536" s="52">
        <v>8</v>
      </c>
      <c r="E2536" s="121" t="s">
        <v>3202</v>
      </c>
      <c r="F2536" s="120" t="s">
        <v>3248</v>
      </c>
    </row>
    <row r="2537" spans="1:6" x14ac:dyDescent="0.2">
      <c r="A2537" s="55">
        <v>166</v>
      </c>
      <c r="B2537" s="46" t="s">
        <v>415</v>
      </c>
      <c r="C2537" s="52">
        <v>8</v>
      </c>
      <c r="E2537" s="121" t="s">
        <v>1144</v>
      </c>
      <c r="F2537" s="120" t="s">
        <v>3249</v>
      </c>
    </row>
    <row r="2538" spans="1:6" x14ac:dyDescent="0.2">
      <c r="A2538" s="55">
        <v>166</v>
      </c>
      <c r="B2538" s="46" t="s">
        <v>615</v>
      </c>
      <c r="C2538" s="52">
        <v>8</v>
      </c>
      <c r="E2538" s="121" t="s">
        <v>3068</v>
      </c>
      <c r="F2538" s="120" t="s">
        <v>3232</v>
      </c>
    </row>
    <row r="2539" spans="1:6" x14ac:dyDescent="0.2">
      <c r="A2539" s="55">
        <v>166</v>
      </c>
      <c r="B2539" s="46" t="s">
        <v>342</v>
      </c>
      <c r="C2539" s="52">
        <v>7</v>
      </c>
      <c r="E2539" s="121" t="s">
        <v>1169</v>
      </c>
      <c r="F2539" s="120" t="s">
        <v>3249</v>
      </c>
    </row>
    <row r="2540" spans="1:6" x14ac:dyDescent="0.2">
      <c r="A2540" s="55">
        <v>166</v>
      </c>
      <c r="B2540" s="46" t="s">
        <v>1445</v>
      </c>
      <c r="C2540" s="52">
        <v>7</v>
      </c>
      <c r="E2540" s="121" t="s">
        <v>3497</v>
      </c>
      <c r="F2540" s="120" t="s">
        <v>3310</v>
      </c>
    </row>
    <row r="2541" spans="1:6" x14ac:dyDescent="0.2">
      <c r="A2541" s="55">
        <v>166</v>
      </c>
      <c r="B2541" s="46" t="s">
        <v>593</v>
      </c>
      <c r="C2541" s="52">
        <v>5</v>
      </c>
      <c r="E2541" s="121" t="s">
        <v>2852</v>
      </c>
      <c r="F2541" s="120" t="s">
        <v>3227</v>
      </c>
    </row>
    <row r="2542" spans="1:6" x14ac:dyDescent="0.2">
      <c r="A2542" s="55">
        <v>166</v>
      </c>
      <c r="B2542" s="46" t="s">
        <v>356</v>
      </c>
      <c r="C2542" s="52">
        <v>3</v>
      </c>
      <c r="E2542" s="121" t="s">
        <v>2902</v>
      </c>
      <c r="F2542" s="120" t="s">
        <v>3258</v>
      </c>
    </row>
    <row r="2543" spans="1:6" x14ac:dyDescent="0.2">
      <c r="A2543" s="55">
        <v>166</v>
      </c>
      <c r="B2543" s="46" t="s">
        <v>394</v>
      </c>
      <c r="C2543" s="52">
        <v>3</v>
      </c>
      <c r="E2543" s="121" t="s">
        <v>3467</v>
      </c>
      <c r="F2543" s="120" t="s">
        <v>3258</v>
      </c>
    </row>
    <row r="2544" spans="1:6" x14ac:dyDescent="0.2">
      <c r="A2544" s="55">
        <v>166</v>
      </c>
      <c r="B2544" s="46" t="s">
        <v>2576</v>
      </c>
      <c r="C2544" s="52">
        <v>3</v>
      </c>
      <c r="E2544" s="121" t="s">
        <v>3090</v>
      </c>
      <c r="F2544" s="120" t="s">
        <v>3248</v>
      </c>
    </row>
    <row r="2545" spans="1:6" x14ac:dyDescent="0.2">
      <c r="A2545" s="55">
        <v>166</v>
      </c>
      <c r="B2545" s="46" t="s">
        <v>392</v>
      </c>
      <c r="C2545" s="52">
        <v>1</v>
      </c>
      <c r="E2545" s="121" t="s">
        <v>3473</v>
      </c>
      <c r="F2545" s="120" t="s">
        <v>3227</v>
      </c>
    </row>
    <row r="2546" spans="1:6" x14ac:dyDescent="0.2">
      <c r="A2546" s="55">
        <v>167</v>
      </c>
      <c r="B2546" s="46" t="s">
        <v>405</v>
      </c>
      <c r="C2546" s="52">
        <v>70</v>
      </c>
      <c r="E2546" s="121" t="s">
        <v>3199</v>
      </c>
      <c r="F2546" s="120" t="s">
        <v>3215</v>
      </c>
    </row>
    <row r="2547" spans="1:6" x14ac:dyDescent="0.2">
      <c r="A2547" s="55">
        <v>167</v>
      </c>
      <c r="B2547" s="46" t="s">
        <v>2722</v>
      </c>
      <c r="C2547" s="52">
        <v>12</v>
      </c>
      <c r="E2547" s="121" t="s">
        <v>3489</v>
      </c>
      <c r="F2547" s="120" t="s">
        <v>3310</v>
      </c>
    </row>
    <row r="2548" spans="1:6" x14ac:dyDescent="0.2">
      <c r="A2548" s="55">
        <v>167</v>
      </c>
      <c r="B2548" s="46" t="s">
        <v>376</v>
      </c>
      <c r="C2548" s="52">
        <v>10</v>
      </c>
      <c r="E2548" s="121" t="s">
        <v>3462</v>
      </c>
      <c r="F2548" s="120" t="s">
        <v>3227</v>
      </c>
    </row>
    <row r="2549" spans="1:6" x14ac:dyDescent="0.2">
      <c r="A2549" s="55">
        <v>167</v>
      </c>
      <c r="B2549" s="46" t="s">
        <v>404</v>
      </c>
      <c r="C2549" s="52">
        <v>9</v>
      </c>
      <c r="E2549" s="121" t="s">
        <v>3463</v>
      </c>
      <c r="F2549" s="120" t="s">
        <v>3258</v>
      </c>
    </row>
    <row r="2550" spans="1:6" x14ac:dyDescent="0.2">
      <c r="A2550" s="55">
        <v>167</v>
      </c>
      <c r="B2550" s="46" t="s">
        <v>394</v>
      </c>
      <c r="C2550" s="52">
        <v>4</v>
      </c>
      <c r="E2550" s="121" t="s">
        <v>3467</v>
      </c>
      <c r="F2550" s="120" t="s">
        <v>3258</v>
      </c>
    </row>
    <row r="2551" spans="1:6" x14ac:dyDescent="0.2">
      <c r="A2551" s="55">
        <v>167</v>
      </c>
      <c r="B2551" s="46" t="s">
        <v>441</v>
      </c>
      <c r="C2551" s="52">
        <v>4</v>
      </c>
      <c r="E2551" s="121" t="s">
        <v>3469</v>
      </c>
      <c r="F2551" s="120" t="s">
        <v>3258</v>
      </c>
    </row>
    <row r="2552" spans="1:6" x14ac:dyDescent="0.2">
      <c r="A2552" s="55">
        <v>167</v>
      </c>
      <c r="B2552" s="46" t="s">
        <v>2579</v>
      </c>
      <c r="C2552" s="52">
        <v>3</v>
      </c>
      <c r="E2552" s="121" t="s">
        <v>3516</v>
      </c>
      <c r="F2552" s="120" t="s">
        <v>3232</v>
      </c>
    </row>
    <row r="2553" spans="1:6" x14ac:dyDescent="0.2">
      <c r="A2553" s="55">
        <v>167</v>
      </c>
      <c r="B2553" s="46" t="s">
        <v>395</v>
      </c>
      <c r="C2553" s="52">
        <v>2</v>
      </c>
      <c r="E2553" s="121" t="s">
        <v>3202</v>
      </c>
      <c r="F2553" s="120" t="s">
        <v>3248</v>
      </c>
    </row>
    <row r="2554" spans="1:6" x14ac:dyDescent="0.2">
      <c r="A2554" s="55">
        <v>167</v>
      </c>
      <c r="B2554" s="46" t="s">
        <v>444</v>
      </c>
      <c r="C2554" s="52">
        <v>2</v>
      </c>
      <c r="E2554" s="121" t="s">
        <v>3471</v>
      </c>
      <c r="F2554" s="120" t="s">
        <v>3227</v>
      </c>
    </row>
    <row r="2555" spans="1:6" x14ac:dyDescent="0.2">
      <c r="A2555" s="55">
        <v>168</v>
      </c>
      <c r="B2555" s="46" t="s">
        <v>398</v>
      </c>
      <c r="C2555" s="52">
        <v>25</v>
      </c>
      <c r="E2555" s="121" t="s">
        <v>1165</v>
      </c>
      <c r="F2555" s="120" t="s">
        <v>3215</v>
      </c>
    </row>
    <row r="2556" spans="1:6" x14ac:dyDescent="0.2">
      <c r="A2556" s="55">
        <v>168</v>
      </c>
      <c r="B2556" s="46" t="s">
        <v>340</v>
      </c>
      <c r="C2556" s="52">
        <v>18</v>
      </c>
      <c r="E2556" s="121" t="s">
        <v>1529</v>
      </c>
      <c r="F2556" s="120" t="s">
        <v>3249</v>
      </c>
    </row>
    <row r="2557" spans="1:6" x14ac:dyDescent="0.2">
      <c r="A2557" s="55">
        <v>168</v>
      </c>
      <c r="B2557" s="46" t="s">
        <v>376</v>
      </c>
      <c r="C2557" s="52">
        <v>15</v>
      </c>
      <c r="E2557" s="121" t="s">
        <v>3462</v>
      </c>
      <c r="F2557" s="120" t="s">
        <v>3227</v>
      </c>
    </row>
    <row r="2558" spans="1:6" x14ac:dyDescent="0.2">
      <c r="A2558" s="55">
        <v>168</v>
      </c>
      <c r="B2558" s="46" t="s">
        <v>2579</v>
      </c>
      <c r="C2558" s="52">
        <v>12</v>
      </c>
      <c r="E2558" s="121" t="s">
        <v>3516</v>
      </c>
      <c r="F2558" s="120" t="s">
        <v>3232</v>
      </c>
    </row>
    <row r="2559" spans="1:6" x14ac:dyDescent="0.2">
      <c r="A2559" s="55">
        <v>168</v>
      </c>
      <c r="B2559" s="46" t="s">
        <v>404</v>
      </c>
      <c r="C2559" s="52">
        <v>9</v>
      </c>
      <c r="E2559" s="121" t="s">
        <v>3463</v>
      </c>
      <c r="F2559" s="120" t="s">
        <v>3258</v>
      </c>
    </row>
    <row r="2560" spans="1:6" x14ac:dyDescent="0.2">
      <c r="A2560" s="55">
        <v>168</v>
      </c>
      <c r="B2560" s="46" t="s">
        <v>394</v>
      </c>
      <c r="C2560" s="52">
        <v>9</v>
      </c>
      <c r="E2560" s="121" t="s">
        <v>3467</v>
      </c>
      <c r="F2560" s="120" t="s">
        <v>3258</v>
      </c>
    </row>
    <row r="2561" spans="1:6" x14ac:dyDescent="0.2">
      <c r="A2561" s="55">
        <v>168</v>
      </c>
      <c r="B2561" s="46" t="s">
        <v>416</v>
      </c>
      <c r="C2561" s="52">
        <v>8</v>
      </c>
      <c r="E2561" s="121" t="s">
        <v>1409</v>
      </c>
      <c r="F2561" s="120" t="s">
        <v>3292</v>
      </c>
    </row>
    <row r="2562" spans="1:6" x14ac:dyDescent="0.2">
      <c r="A2562" s="55">
        <v>168</v>
      </c>
      <c r="B2562" s="46" t="s">
        <v>395</v>
      </c>
      <c r="C2562" s="52">
        <v>8</v>
      </c>
      <c r="E2562" s="121" t="s">
        <v>3202</v>
      </c>
      <c r="F2562" s="120" t="s">
        <v>3248</v>
      </c>
    </row>
    <row r="2563" spans="1:6" x14ac:dyDescent="0.2">
      <c r="A2563" s="55">
        <v>168</v>
      </c>
      <c r="B2563" s="46" t="s">
        <v>441</v>
      </c>
      <c r="C2563" s="52">
        <v>3</v>
      </c>
      <c r="E2563" s="121" t="s">
        <v>3469</v>
      </c>
      <c r="F2563" s="120" t="s">
        <v>3258</v>
      </c>
    </row>
    <row r="2564" spans="1:6" x14ac:dyDescent="0.2">
      <c r="A2564" s="55">
        <v>168</v>
      </c>
      <c r="B2564" s="46" t="s">
        <v>401</v>
      </c>
      <c r="C2564" s="52">
        <v>2</v>
      </c>
      <c r="E2564" s="121" t="s">
        <v>3465</v>
      </c>
      <c r="F2564" s="120" t="s">
        <v>3258</v>
      </c>
    </row>
    <row r="2565" spans="1:6" x14ac:dyDescent="0.2">
      <c r="A2565" s="55">
        <v>169</v>
      </c>
      <c r="B2565" s="46" t="s">
        <v>2725</v>
      </c>
      <c r="C2565" s="52">
        <v>45</v>
      </c>
      <c r="E2565" s="121" t="s">
        <v>3461</v>
      </c>
      <c r="F2565" s="120" t="s">
        <v>3227</v>
      </c>
    </row>
    <row r="2566" spans="1:6" x14ac:dyDescent="0.2">
      <c r="A2566" s="55">
        <v>169</v>
      </c>
      <c r="B2566" s="46" t="s">
        <v>395</v>
      </c>
      <c r="C2566" s="52">
        <v>18</v>
      </c>
      <c r="E2566" s="121" t="s">
        <v>3202</v>
      </c>
      <c r="F2566" s="120" t="s">
        <v>3248</v>
      </c>
    </row>
    <row r="2567" spans="1:6" x14ac:dyDescent="0.2">
      <c r="A2567" s="55">
        <v>169</v>
      </c>
      <c r="B2567" s="46" t="s">
        <v>2602</v>
      </c>
      <c r="C2567" s="52">
        <v>15</v>
      </c>
      <c r="E2567" s="121" t="s">
        <v>3382</v>
      </c>
      <c r="F2567" s="120" t="s">
        <v>3248</v>
      </c>
    </row>
    <row r="2568" spans="1:6" x14ac:dyDescent="0.2">
      <c r="A2568" s="55">
        <v>169</v>
      </c>
      <c r="B2568" s="46" t="s">
        <v>412</v>
      </c>
      <c r="C2568" s="52">
        <v>12</v>
      </c>
      <c r="E2568" s="121" t="s">
        <v>3487</v>
      </c>
      <c r="F2568" s="120" t="s">
        <v>3310</v>
      </c>
    </row>
    <row r="2569" spans="1:6" x14ac:dyDescent="0.2">
      <c r="A2569" s="55">
        <v>169</v>
      </c>
      <c r="B2569" s="46" t="s">
        <v>401</v>
      </c>
      <c r="C2569" s="52">
        <v>10</v>
      </c>
      <c r="E2569" s="121" t="s">
        <v>3465</v>
      </c>
      <c r="F2569" s="120" t="s">
        <v>3258</v>
      </c>
    </row>
    <row r="2570" spans="1:6" x14ac:dyDescent="0.2">
      <c r="A2570" s="55">
        <v>169</v>
      </c>
      <c r="B2570" s="46" t="s">
        <v>342</v>
      </c>
      <c r="C2570" s="52">
        <v>8</v>
      </c>
      <c r="E2570" s="121" t="s">
        <v>1169</v>
      </c>
      <c r="F2570" s="120" t="s">
        <v>3249</v>
      </c>
    </row>
    <row r="2571" spans="1:6" x14ac:dyDescent="0.2">
      <c r="A2571" s="55">
        <v>169</v>
      </c>
      <c r="B2571" s="46" t="s">
        <v>404</v>
      </c>
      <c r="C2571" s="52">
        <v>8</v>
      </c>
      <c r="E2571" s="121" t="s">
        <v>3463</v>
      </c>
      <c r="F2571" s="120" t="s">
        <v>3258</v>
      </c>
    </row>
    <row r="2572" spans="1:6" x14ac:dyDescent="0.2">
      <c r="A2572" s="55">
        <v>169</v>
      </c>
      <c r="B2572" s="46" t="s">
        <v>398</v>
      </c>
      <c r="C2572" s="52">
        <v>7</v>
      </c>
      <c r="E2572" s="121" t="s">
        <v>1165</v>
      </c>
      <c r="F2572" s="120" t="s">
        <v>3215</v>
      </c>
    </row>
    <row r="2573" spans="1:6" x14ac:dyDescent="0.2">
      <c r="A2573" s="55">
        <v>169</v>
      </c>
      <c r="B2573" s="46" t="s">
        <v>2649</v>
      </c>
      <c r="C2573" s="52">
        <v>2</v>
      </c>
      <c r="E2573" s="121" t="s">
        <v>3052</v>
      </c>
      <c r="F2573" s="120" t="s">
        <v>3250</v>
      </c>
    </row>
    <row r="2574" spans="1:6" x14ac:dyDescent="0.2">
      <c r="A2574" s="55">
        <v>169</v>
      </c>
      <c r="B2574" s="46" t="s">
        <v>444</v>
      </c>
      <c r="C2574" s="52">
        <v>2</v>
      </c>
      <c r="E2574" s="121" t="s">
        <v>3471</v>
      </c>
      <c r="F2574" s="120" t="s">
        <v>3227</v>
      </c>
    </row>
    <row r="2575" spans="1:6" x14ac:dyDescent="0.2">
      <c r="A2575" s="55">
        <v>170</v>
      </c>
      <c r="B2575" s="46" t="s">
        <v>399</v>
      </c>
      <c r="C2575" s="52">
        <v>25</v>
      </c>
      <c r="E2575" s="121" t="s">
        <v>1155</v>
      </c>
      <c r="F2575" s="120" t="s">
        <v>3248</v>
      </c>
    </row>
    <row r="2576" spans="1:6" x14ac:dyDescent="0.2">
      <c r="A2576" s="55">
        <v>170</v>
      </c>
      <c r="B2576" s="46" t="s">
        <v>2649</v>
      </c>
      <c r="C2576" s="52">
        <v>15</v>
      </c>
      <c r="E2576" s="121" t="s">
        <v>3052</v>
      </c>
      <c r="F2576" s="120" t="s">
        <v>3250</v>
      </c>
    </row>
    <row r="2577" spans="1:6" x14ac:dyDescent="0.2">
      <c r="A2577" s="55">
        <v>170</v>
      </c>
      <c r="B2577" s="46" t="s">
        <v>2579</v>
      </c>
      <c r="C2577" s="52">
        <v>15</v>
      </c>
      <c r="E2577" s="121" t="s">
        <v>3516</v>
      </c>
      <c r="F2577" s="120" t="s">
        <v>3232</v>
      </c>
    </row>
    <row r="2578" spans="1:6" x14ac:dyDescent="0.2">
      <c r="A2578" s="55">
        <v>170</v>
      </c>
      <c r="B2578" s="46" t="s">
        <v>982</v>
      </c>
      <c r="C2578" s="52">
        <v>15</v>
      </c>
      <c r="E2578" s="121" t="s">
        <v>1180</v>
      </c>
      <c r="F2578" s="120" t="s">
        <v>3228</v>
      </c>
    </row>
    <row r="2579" spans="1:6" x14ac:dyDescent="0.2">
      <c r="A2579" s="55">
        <v>170</v>
      </c>
      <c r="B2579" s="46" t="s">
        <v>416</v>
      </c>
      <c r="C2579" s="52">
        <v>8</v>
      </c>
      <c r="E2579" s="121" t="s">
        <v>1409</v>
      </c>
      <c r="F2579" s="120" t="s">
        <v>3292</v>
      </c>
    </row>
    <row r="2580" spans="1:6" x14ac:dyDescent="0.2">
      <c r="A2580" s="55">
        <v>170</v>
      </c>
      <c r="B2580" s="46" t="s">
        <v>2642</v>
      </c>
      <c r="C2580" s="52">
        <v>7</v>
      </c>
      <c r="E2580" s="121" t="s">
        <v>1148</v>
      </c>
      <c r="F2580" s="120" t="s">
        <v>3215</v>
      </c>
    </row>
    <row r="2581" spans="1:6" x14ac:dyDescent="0.2">
      <c r="A2581" s="55">
        <v>170</v>
      </c>
      <c r="B2581" s="46" t="s">
        <v>432</v>
      </c>
      <c r="C2581" s="52">
        <v>5</v>
      </c>
      <c r="E2581" s="121" t="s">
        <v>3186</v>
      </c>
      <c r="F2581" s="120" t="s">
        <v>3284</v>
      </c>
    </row>
    <row r="2582" spans="1:6" x14ac:dyDescent="0.2">
      <c r="A2582" s="55">
        <v>170</v>
      </c>
      <c r="B2582" s="46" t="s">
        <v>350</v>
      </c>
      <c r="C2582" s="52">
        <v>3</v>
      </c>
      <c r="E2582" s="121" t="s">
        <v>1415</v>
      </c>
      <c r="F2582" s="120" t="s">
        <v>3249</v>
      </c>
    </row>
    <row r="2583" spans="1:6" x14ac:dyDescent="0.2">
      <c r="A2583" s="55">
        <v>170</v>
      </c>
      <c r="B2583" s="46" t="s">
        <v>394</v>
      </c>
      <c r="C2583" s="52">
        <v>3</v>
      </c>
      <c r="E2583" s="121" t="s">
        <v>3467</v>
      </c>
      <c r="F2583" s="120" t="s">
        <v>3258</v>
      </c>
    </row>
    <row r="2584" spans="1:6" x14ac:dyDescent="0.2">
      <c r="A2584" s="55">
        <v>170</v>
      </c>
      <c r="B2584" s="46" t="s">
        <v>441</v>
      </c>
      <c r="C2584" s="52">
        <v>3</v>
      </c>
      <c r="E2584" s="121" t="s">
        <v>3469</v>
      </c>
      <c r="F2584" s="120" t="s">
        <v>3258</v>
      </c>
    </row>
    <row r="2585" spans="1:6" x14ac:dyDescent="0.2">
      <c r="A2585" s="55">
        <v>170</v>
      </c>
      <c r="B2585" s="46" t="s">
        <v>425</v>
      </c>
      <c r="C2585" s="52">
        <v>1</v>
      </c>
      <c r="E2585" s="121" t="s">
        <v>1168</v>
      </c>
      <c r="F2585" s="120" t="s">
        <v>3215</v>
      </c>
    </row>
    <row r="2586" spans="1:6" x14ac:dyDescent="0.2">
      <c r="A2586" s="55">
        <v>170</v>
      </c>
      <c r="B2586" s="46" t="s">
        <v>410</v>
      </c>
      <c r="C2586" s="52">
        <v>1</v>
      </c>
      <c r="E2586" s="121" t="s">
        <v>1489</v>
      </c>
      <c r="F2586" s="120" t="s">
        <v>3248</v>
      </c>
    </row>
    <row r="2587" spans="1:6" x14ac:dyDescent="0.2">
      <c r="A2587" s="55">
        <v>171</v>
      </c>
      <c r="B2587" s="46" t="s">
        <v>2629</v>
      </c>
      <c r="C2587" s="52">
        <v>65</v>
      </c>
      <c r="E2587" s="121" t="s">
        <v>1162</v>
      </c>
      <c r="F2587" s="120" t="s">
        <v>3215</v>
      </c>
    </row>
    <row r="2588" spans="1:6" x14ac:dyDescent="0.2">
      <c r="A2588" s="55">
        <v>171</v>
      </c>
      <c r="B2588" s="46" t="s">
        <v>2649</v>
      </c>
      <c r="C2588" s="52">
        <v>8</v>
      </c>
      <c r="E2588" s="121" t="s">
        <v>3052</v>
      </c>
      <c r="F2588" s="120" t="s">
        <v>3250</v>
      </c>
    </row>
    <row r="2589" spans="1:6" x14ac:dyDescent="0.2">
      <c r="A2589" s="55">
        <v>171</v>
      </c>
      <c r="B2589" s="46" t="s">
        <v>2579</v>
      </c>
      <c r="C2589" s="52">
        <v>6</v>
      </c>
      <c r="E2589" s="121" t="s">
        <v>3516</v>
      </c>
      <c r="F2589" s="120" t="s">
        <v>3232</v>
      </c>
    </row>
    <row r="2590" spans="1:6" x14ac:dyDescent="0.2">
      <c r="A2590" s="55">
        <v>171</v>
      </c>
      <c r="B2590" s="46" t="s">
        <v>399</v>
      </c>
      <c r="C2590" s="52">
        <v>4</v>
      </c>
      <c r="E2590" s="121" t="s">
        <v>1155</v>
      </c>
      <c r="F2590" s="120" t="s">
        <v>3248</v>
      </c>
    </row>
    <row r="2591" spans="1:6" x14ac:dyDescent="0.2">
      <c r="A2591" s="55">
        <v>171</v>
      </c>
      <c r="B2591" s="46" t="s">
        <v>349</v>
      </c>
      <c r="C2591" s="52">
        <v>4</v>
      </c>
      <c r="E2591" s="121" t="s">
        <v>1200</v>
      </c>
      <c r="F2591" s="120" t="s">
        <v>3292</v>
      </c>
    </row>
    <row r="2592" spans="1:6" x14ac:dyDescent="0.2">
      <c r="A2592" s="55">
        <v>171</v>
      </c>
      <c r="B2592" s="46" t="s">
        <v>2642</v>
      </c>
      <c r="C2592" s="52">
        <v>3</v>
      </c>
      <c r="E2592" s="121" t="s">
        <v>1148</v>
      </c>
      <c r="F2592" s="120" t="s">
        <v>3215</v>
      </c>
    </row>
    <row r="2593" spans="1:6" x14ac:dyDescent="0.2">
      <c r="A2593" s="55">
        <v>171</v>
      </c>
      <c r="B2593" s="46" t="s">
        <v>593</v>
      </c>
      <c r="C2593" s="52">
        <v>3</v>
      </c>
      <c r="E2593" s="121" t="s">
        <v>2852</v>
      </c>
      <c r="F2593" s="120" t="s">
        <v>3227</v>
      </c>
    </row>
    <row r="2594" spans="1:6" x14ac:dyDescent="0.2">
      <c r="A2594" s="55">
        <v>171</v>
      </c>
      <c r="B2594" s="46" t="s">
        <v>432</v>
      </c>
      <c r="C2594" s="52">
        <v>3</v>
      </c>
      <c r="E2594" s="121" t="s">
        <v>3186</v>
      </c>
      <c r="F2594" s="120" t="s">
        <v>3284</v>
      </c>
    </row>
    <row r="2595" spans="1:6" x14ac:dyDescent="0.2">
      <c r="A2595" s="55">
        <v>171</v>
      </c>
      <c r="B2595" s="46" t="s">
        <v>394</v>
      </c>
      <c r="C2595" s="52">
        <v>2</v>
      </c>
      <c r="E2595" s="121" t="s">
        <v>3467</v>
      </c>
      <c r="F2595" s="120" t="s">
        <v>3258</v>
      </c>
    </row>
    <row r="2596" spans="1:6" x14ac:dyDescent="0.2">
      <c r="A2596" s="55">
        <v>171</v>
      </c>
      <c r="B2596" s="46" t="s">
        <v>2666</v>
      </c>
      <c r="C2596" s="52">
        <v>2</v>
      </c>
      <c r="E2596" s="121" t="s">
        <v>1208</v>
      </c>
      <c r="F2596" s="120" t="s">
        <v>3274</v>
      </c>
    </row>
    <row r="2597" spans="1:6" x14ac:dyDescent="0.2">
      <c r="A2597" s="55">
        <v>171</v>
      </c>
      <c r="B2597" s="46" t="s">
        <v>350</v>
      </c>
      <c r="C2597" s="52">
        <v>1</v>
      </c>
      <c r="E2597" s="121" t="s">
        <v>1415</v>
      </c>
      <c r="F2597" s="120" t="s">
        <v>3249</v>
      </c>
    </row>
    <row r="2598" spans="1:6" x14ac:dyDescent="0.2">
      <c r="A2598" s="55">
        <v>172</v>
      </c>
      <c r="B2598" s="46" t="s">
        <v>2565</v>
      </c>
      <c r="C2598" s="52">
        <v>20</v>
      </c>
      <c r="E2598" s="121" t="s">
        <v>3435</v>
      </c>
      <c r="F2598" s="120" t="s">
        <v>3286</v>
      </c>
    </row>
    <row r="2599" spans="1:6" x14ac:dyDescent="0.2">
      <c r="A2599" s="55">
        <v>172</v>
      </c>
      <c r="B2599" s="46" t="s">
        <v>399</v>
      </c>
      <c r="C2599" s="52">
        <v>15</v>
      </c>
      <c r="E2599" s="121" t="s">
        <v>1155</v>
      </c>
      <c r="F2599" s="120" t="s">
        <v>3248</v>
      </c>
    </row>
    <row r="2600" spans="1:6" x14ac:dyDescent="0.2">
      <c r="A2600" s="55">
        <v>172</v>
      </c>
      <c r="B2600" s="46" t="s">
        <v>349</v>
      </c>
      <c r="C2600" s="52">
        <v>8</v>
      </c>
      <c r="E2600" s="121" t="s">
        <v>1200</v>
      </c>
      <c r="F2600" s="120" t="s">
        <v>3292</v>
      </c>
    </row>
    <row r="2601" spans="1:6" x14ac:dyDescent="0.2">
      <c r="A2601" s="55">
        <v>172</v>
      </c>
      <c r="B2601" s="46" t="s">
        <v>2649</v>
      </c>
      <c r="C2601" s="52">
        <v>6</v>
      </c>
      <c r="E2601" s="121" t="s">
        <v>3052</v>
      </c>
      <c r="F2601" s="120" t="s">
        <v>3250</v>
      </c>
    </row>
    <row r="2602" spans="1:6" x14ac:dyDescent="0.2">
      <c r="A2602" s="55">
        <v>172</v>
      </c>
      <c r="B2602" s="46" t="s">
        <v>342</v>
      </c>
      <c r="C2602" s="52">
        <v>6</v>
      </c>
      <c r="E2602" s="121" t="s">
        <v>1169</v>
      </c>
      <c r="F2602" s="120" t="s">
        <v>3249</v>
      </c>
    </row>
    <row r="2603" spans="1:6" x14ac:dyDescent="0.2">
      <c r="A2603" s="55">
        <v>172</v>
      </c>
      <c r="B2603" s="46" t="s">
        <v>425</v>
      </c>
      <c r="C2603" s="52">
        <v>5</v>
      </c>
      <c r="E2603" s="121" t="s">
        <v>1168</v>
      </c>
      <c r="F2603" s="120" t="s">
        <v>3215</v>
      </c>
    </row>
    <row r="2604" spans="1:6" x14ac:dyDescent="0.2">
      <c r="A2604" s="55">
        <v>172</v>
      </c>
      <c r="B2604" s="46" t="s">
        <v>441</v>
      </c>
      <c r="C2604" s="52">
        <v>4</v>
      </c>
      <c r="E2604" s="121" t="s">
        <v>3469</v>
      </c>
      <c r="F2604" s="120" t="s">
        <v>3258</v>
      </c>
    </row>
    <row r="2605" spans="1:6" x14ac:dyDescent="0.2">
      <c r="A2605" s="55">
        <v>172</v>
      </c>
      <c r="B2605" s="46" t="s">
        <v>615</v>
      </c>
      <c r="C2605" s="52">
        <v>4</v>
      </c>
      <c r="E2605" s="121" t="s">
        <v>3068</v>
      </c>
      <c r="F2605" s="120" t="s">
        <v>3232</v>
      </c>
    </row>
    <row r="2606" spans="1:6" x14ac:dyDescent="0.2">
      <c r="A2606" s="55">
        <v>172</v>
      </c>
      <c r="B2606" s="46" t="s">
        <v>572</v>
      </c>
      <c r="C2606" s="52">
        <v>3</v>
      </c>
      <c r="E2606" s="121" t="s">
        <v>1240</v>
      </c>
      <c r="F2606" s="120" t="s">
        <v>3298</v>
      </c>
    </row>
    <row r="2607" spans="1:6" x14ac:dyDescent="0.2">
      <c r="A2607" s="55">
        <v>172</v>
      </c>
      <c r="B2607" s="46" t="s">
        <v>432</v>
      </c>
      <c r="C2607" s="52">
        <v>2</v>
      </c>
      <c r="E2607" s="121" t="s">
        <v>3186</v>
      </c>
      <c r="F2607" s="120" t="s">
        <v>3284</v>
      </c>
    </row>
    <row r="2608" spans="1:6" x14ac:dyDescent="0.2">
      <c r="A2608" s="55">
        <v>173</v>
      </c>
      <c r="B2608" s="46" t="s">
        <v>415</v>
      </c>
      <c r="C2608" s="52">
        <v>70</v>
      </c>
      <c r="E2608" s="121" t="s">
        <v>1144</v>
      </c>
      <c r="F2608" s="120" t="s">
        <v>3249</v>
      </c>
    </row>
    <row r="2609" spans="1:6" x14ac:dyDescent="0.2">
      <c r="A2609" s="55">
        <v>173</v>
      </c>
      <c r="B2609" s="46" t="s">
        <v>376</v>
      </c>
      <c r="C2609" s="52">
        <v>25</v>
      </c>
      <c r="E2609" s="121" t="s">
        <v>3462</v>
      </c>
      <c r="F2609" s="120" t="s">
        <v>3227</v>
      </c>
    </row>
    <row r="2610" spans="1:6" x14ac:dyDescent="0.2">
      <c r="A2610" s="55">
        <v>173</v>
      </c>
      <c r="B2610" s="46" t="s">
        <v>423</v>
      </c>
      <c r="C2610" s="52">
        <v>15</v>
      </c>
      <c r="E2610" s="121" t="s">
        <v>3494</v>
      </c>
      <c r="F2610" s="120" t="s">
        <v>3310</v>
      </c>
    </row>
    <row r="2611" spans="1:6" x14ac:dyDescent="0.2">
      <c r="A2611" s="55">
        <v>173</v>
      </c>
      <c r="B2611" s="46" t="s">
        <v>394</v>
      </c>
      <c r="C2611" s="52">
        <v>12</v>
      </c>
      <c r="E2611" s="121" t="s">
        <v>3467</v>
      </c>
      <c r="F2611" s="120" t="s">
        <v>3258</v>
      </c>
    </row>
    <row r="2612" spans="1:6" x14ac:dyDescent="0.2">
      <c r="A2612" s="55">
        <v>174</v>
      </c>
      <c r="B2612" s="46" t="s">
        <v>361</v>
      </c>
      <c r="C2612" s="52">
        <v>75</v>
      </c>
      <c r="E2612" s="121" t="s">
        <v>3201</v>
      </c>
      <c r="F2612" s="120" t="s">
        <v>3249</v>
      </c>
    </row>
    <row r="2613" spans="1:6" x14ac:dyDescent="0.2">
      <c r="A2613" s="55">
        <v>174</v>
      </c>
      <c r="B2613" s="46" t="s">
        <v>2660</v>
      </c>
      <c r="C2613" s="52">
        <v>20</v>
      </c>
      <c r="E2613" s="121" t="s">
        <v>3493</v>
      </c>
      <c r="F2613" s="120" t="s">
        <v>3310</v>
      </c>
    </row>
    <row r="2614" spans="1:6" x14ac:dyDescent="0.2">
      <c r="A2614" s="55">
        <v>174</v>
      </c>
      <c r="B2614" s="46" t="s">
        <v>432</v>
      </c>
      <c r="C2614" s="52">
        <v>7</v>
      </c>
      <c r="E2614" s="121" t="s">
        <v>3186</v>
      </c>
      <c r="F2614" s="120" t="s">
        <v>3284</v>
      </c>
    </row>
    <row r="2615" spans="1:6" x14ac:dyDescent="0.2">
      <c r="A2615" s="55">
        <v>174</v>
      </c>
      <c r="B2615" s="46" t="s">
        <v>601</v>
      </c>
      <c r="C2615" s="52">
        <v>5</v>
      </c>
      <c r="E2615" s="121" t="s">
        <v>1157</v>
      </c>
      <c r="F2615" s="120" t="s">
        <v>3249</v>
      </c>
    </row>
    <row r="2616" spans="1:6" x14ac:dyDescent="0.2">
      <c r="A2616" s="55">
        <v>174</v>
      </c>
      <c r="B2616" s="46" t="s">
        <v>342</v>
      </c>
      <c r="C2616" s="52">
        <v>5</v>
      </c>
      <c r="E2616" s="121" t="s">
        <v>1169</v>
      </c>
      <c r="F2616" s="120" t="s">
        <v>3249</v>
      </c>
    </row>
    <row r="2617" spans="1:6" x14ac:dyDescent="0.2">
      <c r="A2617" s="55">
        <v>174</v>
      </c>
      <c r="B2617" s="46" t="s">
        <v>350</v>
      </c>
      <c r="C2617" s="52">
        <v>4</v>
      </c>
      <c r="E2617" s="121" t="s">
        <v>1415</v>
      </c>
      <c r="F2617" s="120" t="s">
        <v>3249</v>
      </c>
    </row>
    <row r="2618" spans="1:6" x14ac:dyDescent="0.2">
      <c r="A2618" s="55">
        <v>174</v>
      </c>
      <c r="B2618" s="46" t="s">
        <v>369</v>
      </c>
      <c r="C2618" s="52">
        <v>4</v>
      </c>
      <c r="E2618" s="121" t="s">
        <v>2829</v>
      </c>
      <c r="F2618" s="120" t="s">
        <v>1289</v>
      </c>
    </row>
    <row r="2619" spans="1:6" x14ac:dyDescent="0.2">
      <c r="A2619" s="55">
        <v>174</v>
      </c>
      <c r="B2619" s="46" t="s">
        <v>2582</v>
      </c>
      <c r="C2619" s="52">
        <v>4</v>
      </c>
      <c r="E2619" s="121" t="s">
        <v>3447</v>
      </c>
      <c r="F2619" s="120" t="s">
        <v>3248</v>
      </c>
    </row>
    <row r="2620" spans="1:6" x14ac:dyDescent="0.2">
      <c r="A2620" s="55">
        <v>174</v>
      </c>
      <c r="B2620" s="46" t="s">
        <v>400</v>
      </c>
      <c r="C2620" s="52">
        <v>3</v>
      </c>
      <c r="E2620" s="121" t="s">
        <v>1411</v>
      </c>
      <c r="F2620" s="120" t="s">
        <v>3249</v>
      </c>
    </row>
    <row r="2621" spans="1:6" x14ac:dyDescent="0.2">
      <c r="A2621" s="55">
        <v>174</v>
      </c>
      <c r="B2621" s="46" t="s">
        <v>454</v>
      </c>
      <c r="C2621" s="52">
        <v>3</v>
      </c>
      <c r="E2621" s="121" t="s">
        <v>534</v>
      </c>
      <c r="F2621" s="120" t="s">
        <v>3249</v>
      </c>
    </row>
    <row r="2622" spans="1:6" x14ac:dyDescent="0.2">
      <c r="A2622" s="55">
        <v>174</v>
      </c>
      <c r="B2622" s="46" t="s">
        <v>376</v>
      </c>
      <c r="C2622" s="52">
        <v>3</v>
      </c>
      <c r="E2622" s="121" t="s">
        <v>3462</v>
      </c>
      <c r="F2622" s="120" t="s">
        <v>3227</v>
      </c>
    </row>
    <row r="2623" spans="1:6" x14ac:dyDescent="0.2">
      <c r="A2623" s="55">
        <v>174</v>
      </c>
      <c r="B2623" s="46" t="s">
        <v>392</v>
      </c>
      <c r="C2623" s="52">
        <v>1</v>
      </c>
      <c r="E2623" s="121" t="s">
        <v>3473</v>
      </c>
      <c r="F2623" s="120" t="s">
        <v>3227</v>
      </c>
    </row>
    <row r="2624" spans="1:6" x14ac:dyDescent="0.2">
      <c r="A2624" s="55">
        <v>175</v>
      </c>
      <c r="B2624" s="46" t="s">
        <v>448</v>
      </c>
      <c r="C2624" s="52">
        <v>40</v>
      </c>
      <c r="E2624" s="121" t="s">
        <v>3173</v>
      </c>
      <c r="F2624" s="120" t="s">
        <v>3285</v>
      </c>
    </row>
    <row r="2625" spans="1:6" x14ac:dyDescent="0.2">
      <c r="A2625" s="55">
        <v>175</v>
      </c>
      <c r="B2625" s="46" t="s">
        <v>342</v>
      </c>
      <c r="C2625" s="52">
        <v>18</v>
      </c>
      <c r="E2625" s="121" t="s">
        <v>1169</v>
      </c>
      <c r="F2625" s="120" t="s">
        <v>3249</v>
      </c>
    </row>
    <row r="2626" spans="1:6" x14ac:dyDescent="0.2">
      <c r="A2626" s="55">
        <v>175</v>
      </c>
      <c r="B2626" s="46" t="s">
        <v>349</v>
      </c>
      <c r="C2626" s="52">
        <v>15</v>
      </c>
      <c r="E2626" s="121" t="s">
        <v>1200</v>
      </c>
      <c r="F2626" s="120" t="s">
        <v>3292</v>
      </c>
    </row>
    <row r="2627" spans="1:6" x14ac:dyDescent="0.2">
      <c r="A2627" s="55">
        <v>175</v>
      </c>
      <c r="B2627" s="46" t="s">
        <v>364</v>
      </c>
      <c r="C2627" s="52">
        <v>15</v>
      </c>
      <c r="E2627" s="121" t="s">
        <v>3495</v>
      </c>
      <c r="F2627" s="120" t="s">
        <v>3313</v>
      </c>
    </row>
    <row r="2628" spans="1:6" x14ac:dyDescent="0.2">
      <c r="A2628" s="55">
        <v>175</v>
      </c>
      <c r="B2628" s="46" t="s">
        <v>350</v>
      </c>
      <c r="C2628" s="52">
        <v>5</v>
      </c>
      <c r="E2628" s="121" t="s">
        <v>1415</v>
      </c>
      <c r="F2628" s="120" t="s">
        <v>3249</v>
      </c>
    </row>
    <row r="2629" spans="1:6" x14ac:dyDescent="0.2">
      <c r="A2629" s="55">
        <v>175</v>
      </c>
      <c r="B2629" s="46" t="s">
        <v>2641</v>
      </c>
      <c r="C2629" s="52">
        <v>5</v>
      </c>
      <c r="E2629" s="121" t="s">
        <v>1418</v>
      </c>
      <c r="F2629" s="120" t="s">
        <v>3249</v>
      </c>
    </row>
    <row r="2630" spans="1:6" x14ac:dyDescent="0.2">
      <c r="A2630" s="55">
        <v>175</v>
      </c>
      <c r="B2630" s="46" t="s">
        <v>1457</v>
      </c>
      <c r="C2630" s="52">
        <v>4</v>
      </c>
      <c r="E2630" s="121" t="s">
        <v>1433</v>
      </c>
      <c r="F2630" s="120" t="s">
        <v>3317</v>
      </c>
    </row>
    <row r="2631" spans="1:6" x14ac:dyDescent="0.2">
      <c r="A2631" s="55">
        <v>175</v>
      </c>
      <c r="B2631" s="46" t="s">
        <v>2566</v>
      </c>
      <c r="C2631" s="52">
        <v>1</v>
      </c>
      <c r="E2631" s="121" t="s">
        <v>3331</v>
      </c>
      <c r="F2631" s="120" t="s">
        <v>3249</v>
      </c>
    </row>
    <row r="2632" spans="1:6" x14ac:dyDescent="0.2">
      <c r="A2632" s="55">
        <v>176</v>
      </c>
      <c r="B2632" s="46" t="s">
        <v>376</v>
      </c>
      <c r="C2632" s="52">
        <v>50</v>
      </c>
      <c r="E2632" s="121" t="s">
        <v>3462</v>
      </c>
      <c r="F2632" s="120" t="s">
        <v>3227</v>
      </c>
    </row>
    <row r="2633" spans="1:6" x14ac:dyDescent="0.2">
      <c r="A2633" s="55">
        <v>176</v>
      </c>
      <c r="B2633" s="46" t="s">
        <v>415</v>
      </c>
      <c r="C2633" s="52">
        <v>35</v>
      </c>
      <c r="E2633" s="121" t="s">
        <v>1144</v>
      </c>
      <c r="F2633" s="120" t="s">
        <v>3249</v>
      </c>
    </row>
    <row r="2634" spans="1:6" x14ac:dyDescent="0.2">
      <c r="A2634" s="55">
        <v>176</v>
      </c>
      <c r="B2634" s="46" t="s">
        <v>1583</v>
      </c>
      <c r="C2634" s="52">
        <v>30</v>
      </c>
      <c r="E2634" s="121" t="s">
        <v>1402</v>
      </c>
      <c r="F2634" s="120" t="s">
        <v>3248</v>
      </c>
    </row>
    <row r="2635" spans="1:6" x14ac:dyDescent="0.2">
      <c r="A2635" s="55">
        <v>176</v>
      </c>
      <c r="B2635" s="46" t="s">
        <v>340</v>
      </c>
      <c r="C2635" s="52">
        <v>12</v>
      </c>
      <c r="E2635" s="121" t="s">
        <v>1529</v>
      </c>
      <c r="F2635" s="120" t="s">
        <v>3249</v>
      </c>
    </row>
    <row r="2636" spans="1:6" x14ac:dyDescent="0.2">
      <c r="A2636" s="55">
        <v>176</v>
      </c>
      <c r="B2636" s="46" t="s">
        <v>364</v>
      </c>
      <c r="C2636" s="52">
        <v>10</v>
      </c>
      <c r="E2636" s="121" t="s">
        <v>3495</v>
      </c>
      <c r="F2636" s="120" t="s">
        <v>3313</v>
      </c>
    </row>
    <row r="2637" spans="1:6" x14ac:dyDescent="0.2">
      <c r="A2637" s="55">
        <v>176</v>
      </c>
      <c r="B2637" s="46" t="s">
        <v>395</v>
      </c>
      <c r="C2637" s="52">
        <v>6</v>
      </c>
      <c r="E2637" s="121" t="s">
        <v>3202</v>
      </c>
      <c r="F2637" s="120" t="s">
        <v>3248</v>
      </c>
    </row>
    <row r="2638" spans="1:6" x14ac:dyDescent="0.2">
      <c r="A2638" s="55">
        <v>176</v>
      </c>
      <c r="B2638" s="46" t="s">
        <v>400</v>
      </c>
      <c r="C2638" s="52">
        <v>5</v>
      </c>
      <c r="E2638" s="121" t="s">
        <v>1411</v>
      </c>
      <c r="F2638" s="120" t="s">
        <v>3249</v>
      </c>
    </row>
    <row r="2639" spans="1:6" x14ac:dyDescent="0.2">
      <c r="A2639" s="55">
        <v>177</v>
      </c>
      <c r="B2639" s="46" t="s">
        <v>376</v>
      </c>
      <c r="C2639" s="52">
        <v>20</v>
      </c>
      <c r="E2639" s="121" t="s">
        <v>3462</v>
      </c>
      <c r="F2639" s="120" t="s">
        <v>3227</v>
      </c>
    </row>
    <row r="2640" spans="1:6" x14ac:dyDescent="0.2">
      <c r="A2640" s="55">
        <v>177</v>
      </c>
      <c r="B2640" s="46" t="s">
        <v>352</v>
      </c>
      <c r="C2640" s="52">
        <v>18</v>
      </c>
      <c r="E2640" s="121" t="s">
        <v>2908</v>
      </c>
      <c r="F2640" s="120" t="s">
        <v>3259</v>
      </c>
    </row>
    <row r="2641" spans="1:6" x14ac:dyDescent="0.2">
      <c r="A2641" s="55">
        <v>177</v>
      </c>
      <c r="B2641" s="46" t="s">
        <v>343</v>
      </c>
      <c r="C2641" s="52">
        <v>12</v>
      </c>
      <c r="E2641" s="121" t="s">
        <v>3334</v>
      </c>
      <c r="F2641" s="120" t="s">
        <v>3303</v>
      </c>
    </row>
    <row r="2642" spans="1:6" x14ac:dyDescent="0.2">
      <c r="A2642" s="55">
        <v>177</v>
      </c>
      <c r="B2642" s="46" t="s">
        <v>400</v>
      </c>
      <c r="C2642" s="52">
        <v>10</v>
      </c>
      <c r="E2642" s="121" t="s">
        <v>1411</v>
      </c>
      <c r="F2642" s="120" t="s">
        <v>3249</v>
      </c>
    </row>
    <row r="2643" spans="1:6" x14ac:dyDescent="0.2">
      <c r="A2643" s="55">
        <v>177</v>
      </c>
      <c r="B2643" s="46" t="s">
        <v>340</v>
      </c>
      <c r="C2643" s="52">
        <v>10</v>
      </c>
      <c r="E2643" s="121" t="s">
        <v>1529</v>
      </c>
      <c r="F2643" s="120" t="s">
        <v>3249</v>
      </c>
    </row>
    <row r="2644" spans="1:6" x14ac:dyDescent="0.2">
      <c r="A2644" s="55">
        <v>177</v>
      </c>
      <c r="B2644" s="46" t="s">
        <v>364</v>
      </c>
      <c r="C2644" s="52">
        <v>9</v>
      </c>
      <c r="E2644" s="121" t="s">
        <v>3495</v>
      </c>
      <c r="F2644" s="120" t="s">
        <v>3313</v>
      </c>
    </row>
    <row r="2645" spans="1:6" x14ac:dyDescent="0.2">
      <c r="A2645" s="55">
        <v>177</v>
      </c>
      <c r="B2645" s="46" t="s">
        <v>360</v>
      </c>
      <c r="C2645" s="52">
        <v>7</v>
      </c>
      <c r="E2645" s="121" t="s">
        <v>3522</v>
      </c>
      <c r="F2645" s="120" t="s">
        <v>3258</v>
      </c>
    </row>
    <row r="2646" spans="1:6" x14ac:dyDescent="0.2">
      <c r="A2646" s="55">
        <v>177</v>
      </c>
      <c r="B2646" s="46" t="s">
        <v>392</v>
      </c>
      <c r="C2646" s="52">
        <v>7</v>
      </c>
      <c r="E2646" s="121" t="s">
        <v>3473</v>
      </c>
      <c r="F2646" s="120" t="s">
        <v>3227</v>
      </c>
    </row>
    <row r="2647" spans="1:6" x14ac:dyDescent="0.2">
      <c r="A2647" s="55">
        <v>177</v>
      </c>
      <c r="B2647" s="46" t="s">
        <v>2575</v>
      </c>
      <c r="C2647" s="52">
        <v>6</v>
      </c>
      <c r="E2647" s="121" t="s">
        <v>1400</v>
      </c>
      <c r="F2647" s="120" t="s">
        <v>3310</v>
      </c>
    </row>
    <row r="2648" spans="1:6" x14ac:dyDescent="0.2">
      <c r="A2648" s="55">
        <v>177</v>
      </c>
      <c r="B2648" s="46" t="s">
        <v>3151</v>
      </c>
      <c r="C2648" s="52">
        <v>4</v>
      </c>
      <c r="E2648" s="121" t="s">
        <v>3194</v>
      </c>
      <c r="F2648" s="120" t="s">
        <v>3258</v>
      </c>
    </row>
    <row r="2649" spans="1:6" x14ac:dyDescent="0.2">
      <c r="A2649" s="55">
        <v>177</v>
      </c>
      <c r="B2649" s="46" t="s">
        <v>394</v>
      </c>
      <c r="C2649" s="52">
        <v>4</v>
      </c>
      <c r="E2649" s="121" t="s">
        <v>3467</v>
      </c>
      <c r="F2649" s="120" t="s">
        <v>3258</v>
      </c>
    </row>
    <row r="2650" spans="1:6" x14ac:dyDescent="0.2">
      <c r="A2650" s="55">
        <v>177</v>
      </c>
      <c r="B2650" s="46" t="s">
        <v>349</v>
      </c>
      <c r="C2650" s="52">
        <v>2</v>
      </c>
      <c r="E2650" s="121" t="s">
        <v>1200</v>
      </c>
      <c r="F2650" s="120" t="s">
        <v>3292</v>
      </c>
    </row>
    <row r="2651" spans="1:6" x14ac:dyDescent="0.2">
      <c r="A2651" s="55">
        <v>178</v>
      </c>
      <c r="B2651" s="46" t="s">
        <v>376</v>
      </c>
      <c r="C2651" s="52">
        <v>35</v>
      </c>
      <c r="E2651" s="121" t="s">
        <v>3462</v>
      </c>
      <c r="F2651" s="120" t="s">
        <v>3227</v>
      </c>
    </row>
    <row r="2652" spans="1:6" x14ac:dyDescent="0.2">
      <c r="A2652" s="55">
        <v>178</v>
      </c>
      <c r="B2652" s="46" t="s">
        <v>400</v>
      </c>
      <c r="C2652" s="52">
        <v>25</v>
      </c>
      <c r="E2652" s="121" t="s">
        <v>1411</v>
      </c>
      <c r="F2652" s="120" t="s">
        <v>3249</v>
      </c>
    </row>
    <row r="2653" spans="1:6" x14ac:dyDescent="0.2">
      <c r="A2653" s="55">
        <v>178</v>
      </c>
      <c r="B2653" s="46" t="s">
        <v>340</v>
      </c>
      <c r="C2653" s="52">
        <v>20</v>
      </c>
      <c r="E2653" s="121" t="s">
        <v>1529</v>
      </c>
      <c r="F2653" s="120" t="s">
        <v>3249</v>
      </c>
    </row>
    <row r="2654" spans="1:6" x14ac:dyDescent="0.2">
      <c r="A2654" s="55">
        <v>178</v>
      </c>
      <c r="B2654" s="46" t="s">
        <v>445</v>
      </c>
      <c r="C2654" s="52">
        <v>15</v>
      </c>
      <c r="E2654" s="121" t="s">
        <v>3474</v>
      </c>
      <c r="F2654" s="120" t="s">
        <v>3227</v>
      </c>
    </row>
    <row r="2655" spans="1:6" x14ac:dyDescent="0.2">
      <c r="A2655" s="55">
        <v>178</v>
      </c>
      <c r="B2655" s="46" t="s">
        <v>2575</v>
      </c>
      <c r="C2655" s="52">
        <v>12</v>
      </c>
      <c r="E2655" s="121" t="s">
        <v>1400</v>
      </c>
      <c r="F2655" s="120" t="s">
        <v>3310</v>
      </c>
    </row>
    <row r="2656" spans="1:6" x14ac:dyDescent="0.2">
      <c r="A2656" s="55">
        <v>178</v>
      </c>
      <c r="B2656" s="46" t="s">
        <v>356</v>
      </c>
      <c r="C2656" s="52">
        <v>9</v>
      </c>
      <c r="E2656" s="121" t="s">
        <v>2902</v>
      </c>
      <c r="F2656" s="120" t="s">
        <v>3258</v>
      </c>
    </row>
    <row r="2657" spans="1:6" x14ac:dyDescent="0.2">
      <c r="A2657" s="55">
        <v>178</v>
      </c>
      <c r="B2657" s="46" t="s">
        <v>363</v>
      </c>
      <c r="C2657" s="52">
        <v>4</v>
      </c>
      <c r="E2657" s="121" t="s">
        <v>3048</v>
      </c>
      <c r="F2657" s="120" t="s">
        <v>3250</v>
      </c>
    </row>
    <row r="2658" spans="1:6" x14ac:dyDescent="0.2">
      <c r="A2658" s="55">
        <v>178</v>
      </c>
      <c r="B2658" s="46" t="s">
        <v>350</v>
      </c>
      <c r="C2658" s="52">
        <v>3</v>
      </c>
      <c r="E2658" s="121" t="s">
        <v>1415</v>
      </c>
      <c r="F2658" s="120" t="s">
        <v>3249</v>
      </c>
    </row>
    <row r="2659" spans="1:6" x14ac:dyDescent="0.2">
      <c r="A2659" s="55">
        <v>178</v>
      </c>
      <c r="B2659" s="46" t="s">
        <v>415</v>
      </c>
      <c r="C2659" s="52">
        <v>2</v>
      </c>
      <c r="E2659" s="121" t="s">
        <v>1144</v>
      </c>
      <c r="F2659" s="120" t="s">
        <v>3249</v>
      </c>
    </row>
    <row r="2660" spans="1:6" x14ac:dyDescent="0.2">
      <c r="A2660" s="55">
        <v>178</v>
      </c>
      <c r="B2660" s="46" t="s">
        <v>2649</v>
      </c>
      <c r="C2660" s="52">
        <v>2</v>
      </c>
      <c r="E2660" s="121" t="s">
        <v>3052</v>
      </c>
      <c r="F2660" s="120" t="s">
        <v>3250</v>
      </c>
    </row>
    <row r="2661" spans="1:6" x14ac:dyDescent="0.2">
      <c r="A2661" s="55">
        <v>178</v>
      </c>
      <c r="B2661" s="46" t="s">
        <v>615</v>
      </c>
      <c r="C2661" s="52">
        <v>2</v>
      </c>
      <c r="E2661" s="121" t="s">
        <v>3068</v>
      </c>
      <c r="F2661" s="120" t="s">
        <v>3232</v>
      </c>
    </row>
    <row r="2662" spans="1:6" x14ac:dyDescent="0.2">
      <c r="A2662" s="55">
        <v>178</v>
      </c>
      <c r="B2662" s="46" t="s">
        <v>593</v>
      </c>
      <c r="C2662" s="52">
        <v>2</v>
      </c>
      <c r="E2662" s="121" t="s">
        <v>2852</v>
      </c>
      <c r="F2662" s="120" t="s">
        <v>3227</v>
      </c>
    </row>
    <row r="2663" spans="1:6" x14ac:dyDescent="0.2">
      <c r="A2663" s="55">
        <v>178</v>
      </c>
      <c r="B2663" s="46" t="s">
        <v>392</v>
      </c>
      <c r="C2663" s="52">
        <v>1</v>
      </c>
      <c r="E2663" s="121" t="s">
        <v>3473</v>
      </c>
      <c r="F2663" s="120" t="s">
        <v>3227</v>
      </c>
    </row>
    <row r="2664" spans="1:6" x14ac:dyDescent="0.2">
      <c r="A2664" s="55">
        <v>179</v>
      </c>
      <c r="B2664" s="46" t="s">
        <v>2660</v>
      </c>
      <c r="C2664" s="52">
        <v>40</v>
      </c>
      <c r="E2664" s="121" t="s">
        <v>3493</v>
      </c>
      <c r="F2664" s="120" t="s">
        <v>3310</v>
      </c>
    </row>
    <row r="2665" spans="1:6" x14ac:dyDescent="0.2">
      <c r="A2665" s="55">
        <v>179</v>
      </c>
      <c r="B2665" s="46" t="s">
        <v>392</v>
      </c>
      <c r="C2665" s="52">
        <v>30</v>
      </c>
      <c r="E2665" s="121" t="s">
        <v>3473</v>
      </c>
      <c r="F2665" s="120" t="s">
        <v>3227</v>
      </c>
    </row>
    <row r="2666" spans="1:6" x14ac:dyDescent="0.2">
      <c r="A2666" s="55">
        <v>179</v>
      </c>
      <c r="B2666" s="46" t="s">
        <v>363</v>
      </c>
      <c r="C2666" s="52">
        <v>25</v>
      </c>
      <c r="E2666" s="121" t="s">
        <v>3048</v>
      </c>
      <c r="F2666" s="120" t="s">
        <v>3250</v>
      </c>
    </row>
    <row r="2667" spans="1:6" x14ac:dyDescent="0.2">
      <c r="A2667" s="55">
        <v>179</v>
      </c>
      <c r="B2667" s="46" t="s">
        <v>454</v>
      </c>
      <c r="C2667" s="52">
        <v>15</v>
      </c>
      <c r="E2667" s="121" t="s">
        <v>534</v>
      </c>
      <c r="F2667" s="120" t="s">
        <v>3249</v>
      </c>
    </row>
    <row r="2668" spans="1:6" x14ac:dyDescent="0.2">
      <c r="A2668" s="55">
        <v>179</v>
      </c>
      <c r="B2668" s="46" t="s">
        <v>340</v>
      </c>
      <c r="C2668" s="52">
        <v>10</v>
      </c>
      <c r="E2668" s="121" t="s">
        <v>1529</v>
      </c>
      <c r="F2668" s="120" t="s">
        <v>3249</v>
      </c>
    </row>
    <row r="2669" spans="1:6" x14ac:dyDescent="0.2">
      <c r="A2669" s="55">
        <v>179</v>
      </c>
      <c r="B2669" s="46" t="s">
        <v>593</v>
      </c>
      <c r="C2669" s="52">
        <v>6</v>
      </c>
      <c r="E2669" s="121" t="s">
        <v>2852</v>
      </c>
      <c r="F2669" s="120" t="s">
        <v>3227</v>
      </c>
    </row>
    <row r="2670" spans="1:6" x14ac:dyDescent="0.2">
      <c r="A2670" s="55">
        <v>179</v>
      </c>
      <c r="B2670" s="46" t="s">
        <v>356</v>
      </c>
      <c r="C2670" s="52">
        <v>5</v>
      </c>
      <c r="E2670" s="121" t="s">
        <v>2902</v>
      </c>
      <c r="F2670" s="120" t="s">
        <v>3258</v>
      </c>
    </row>
    <row r="2671" spans="1:6" x14ac:dyDescent="0.2">
      <c r="A2671" s="55">
        <v>179</v>
      </c>
      <c r="B2671" s="46" t="s">
        <v>400</v>
      </c>
      <c r="C2671" s="52">
        <v>5</v>
      </c>
      <c r="E2671" s="121" t="s">
        <v>1411</v>
      </c>
      <c r="F2671" s="120" t="s">
        <v>3249</v>
      </c>
    </row>
    <row r="2672" spans="1:6" x14ac:dyDescent="0.2">
      <c r="A2672" s="55">
        <v>180</v>
      </c>
      <c r="B2672" s="46" t="s">
        <v>342</v>
      </c>
      <c r="C2672" s="52">
        <v>50</v>
      </c>
      <c r="E2672" s="121" t="s">
        <v>1169</v>
      </c>
      <c r="F2672" s="120" t="s">
        <v>3249</v>
      </c>
    </row>
    <row r="2673" spans="1:6" x14ac:dyDescent="0.2">
      <c r="A2673" s="55">
        <v>180</v>
      </c>
      <c r="B2673" s="46" t="s">
        <v>454</v>
      </c>
      <c r="C2673" s="52">
        <v>35</v>
      </c>
      <c r="E2673" s="121" t="s">
        <v>534</v>
      </c>
      <c r="F2673" s="120" t="s">
        <v>3249</v>
      </c>
    </row>
    <row r="2674" spans="1:6" x14ac:dyDescent="0.2">
      <c r="A2674" s="55">
        <v>180</v>
      </c>
      <c r="B2674" s="46" t="s">
        <v>361</v>
      </c>
      <c r="C2674" s="52">
        <v>35</v>
      </c>
      <c r="E2674" s="121" t="s">
        <v>3201</v>
      </c>
      <c r="F2674" s="120" t="s">
        <v>3249</v>
      </c>
    </row>
    <row r="2675" spans="1:6" x14ac:dyDescent="0.2">
      <c r="A2675" s="55">
        <v>180</v>
      </c>
      <c r="B2675" s="46" t="s">
        <v>2660</v>
      </c>
      <c r="C2675" s="52">
        <v>30</v>
      </c>
      <c r="E2675" s="121" t="s">
        <v>3493</v>
      </c>
      <c r="F2675" s="120" t="s">
        <v>3310</v>
      </c>
    </row>
    <row r="2676" spans="1:6" x14ac:dyDescent="0.2">
      <c r="A2676" s="55">
        <v>180</v>
      </c>
      <c r="B2676" s="46" t="s">
        <v>601</v>
      </c>
      <c r="C2676" s="52">
        <v>10</v>
      </c>
      <c r="E2676" s="121" t="s">
        <v>1157</v>
      </c>
      <c r="F2676" s="120" t="s">
        <v>3249</v>
      </c>
    </row>
    <row r="2677" spans="1:6" x14ac:dyDescent="0.2">
      <c r="A2677" s="55">
        <v>180</v>
      </c>
      <c r="B2677" s="46" t="s">
        <v>392</v>
      </c>
      <c r="C2677" s="52">
        <v>9</v>
      </c>
      <c r="E2677" s="121" t="s">
        <v>3473</v>
      </c>
      <c r="F2677" s="120" t="s">
        <v>3227</v>
      </c>
    </row>
    <row r="2678" spans="1:6" x14ac:dyDescent="0.2">
      <c r="A2678" s="55">
        <v>180</v>
      </c>
      <c r="B2678" s="46" t="s">
        <v>345</v>
      </c>
      <c r="C2678" s="52">
        <v>8</v>
      </c>
      <c r="E2678" s="121" t="s">
        <v>3520</v>
      </c>
      <c r="F2678" s="120" t="s">
        <v>3227</v>
      </c>
    </row>
    <row r="2679" spans="1:6" x14ac:dyDescent="0.2">
      <c r="A2679" s="55">
        <v>180</v>
      </c>
      <c r="B2679" s="46" t="s">
        <v>593</v>
      </c>
      <c r="C2679" s="52">
        <v>8</v>
      </c>
      <c r="E2679" s="121" t="s">
        <v>2852</v>
      </c>
      <c r="F2679" s="120" t="s">
        <v>3227</v>
      </c>
    </row>
    <row r="2680" spans="1:6" x14ac:dyDescent="0.2">
      <c r="A2680" s="55">
        <v>180</v>
      </c>
      <c r="B2680" s="46" t="s">
        <v>376</v>
      </c>
      <c r="C2680" s="52">
        <v>3</v>
      </c>
      <c r="E2680" s="121" t="s">
        <v>3462</v>
      </c>
      <c r="F2680" s="120" t="s">
        <v>3227</v>
      </c>
    </row>
    <row r="2681" spans="1:6" x14ac:dyDescent="0.2">
      <c r="A2681" s="55">
        <v>181</v>
      </c>
      <c r="B2681" s="46" t="s">
        <v>347</v>
      </c>
      <c r="C2681" s="52">
        <v>50</v>
      </c>
      <c r="E2681" s="121" t="s">
        <v>3492</v>
      </c>
      <c r="F2681" s="120" t="s">
        <v>3312</v>
      </c>
    </row>
    <row r="2682" spans="1:6" x14ac:dyDescent="0.2">
      <c r="A2682" s="55">
        <v>181</v>
      </c>
      <c r="B2682" s="46" t="s">
        <v>2583</v>
      </c>
      <c r="C2682" s="52">
        <v>20</v>
      </c>
      <c r="E2682" s="121" t="s">
        <v>1177</v>
      </c>
      <c r="F2682" s="120" t="s">
        <v>3288</v>
      </c>
    </row>
    <row r="2683" spans="1:6" x14ac:dyDescent="0.2">
      <c r="A2683" s="55">
        <v>181</v>
      </c>
      <c r="B2683" s="46" t="s">
        <v>340</v>
      </c>
      <c r="C2683" s="52">
        <v>15</v>
      </c>
      <c r="E2683" s="121" t="s">
        <v>1529</v>
      </c>
      <c r="F2683" s="120" t="s">
        <v>3249</v>
      </c>
    </row>
    <row r="2684" spans="1:6" x14ac:dyDescent="0.2">
      <c r="A2684" s="55">
        <v>181</v>
      </c>
      <c r="B2684" s="46" t="s">
        <v>392</v>
      </c>
      <c r="C2684" s="52">
        <v>15</v>
      </c>
      <c r="E2684" s="121" t="s">
        <v>3473</v>
      </c>
      <c r="F2684" s="120" t="s">
        <v>3227</v>
      </c>
    </row>
    <row r="2685" spans="1:6" x14ac:dyDescent="0.2">
      <c r="A2685" s="55">
        <v>181</v>
      </c>
      <c r="B2685" s="46" t="s">
        <v>361</v>
      </c>
      <c r="C2685" s="52">
        <v>12</v>
      </c>
      <c r="E2685" s="121" t="s">
        <v>3201</v>
      </c>
      <c r="F2685" s="120" t="s">
        <v>3249</v>
      </c>
    </row>
    <row r="2686" spans="1:6" x14ac:dyDescent="0.2">
      <c r="A2686" s="55">
        <v>181</v>
      </c>
      <c r="B2686" s="46" t="s">
        <v>343</v>
      </c>
      <c r="C2686" s="52">
        <v>10</v>
      </c>
      <c r="E2686" s="121" t="s">
        <v>3334</v>
      </c>
      <c r="F2686" s="120" t="s">
        <v>3303</v>
      </c>
    </row>
    <row r="2687" spans="1:6" x14ac:dyDescent="0.2">
      <c r="A2687" s="55">
        <v>181</v>
      </c>
      <c r="B2687" s="46" t="s">
        <v>376</v>
      </c>
      <c r="C2687" s="52">
        <v>10</v>
      </c>
      <c r="E2687" s="121" t="s">
        <v>3462</v>
      </c>
      <c r="F2687" s="120" t="s">
        <v>3227</v>
      </c>
    </row>
    <row r="2688" spans="1:6" x14ac:dyDescent="0.2">
      <c r="A2688" s="55">
        <v>181</v>
      </c>
      <c r="B2688" s="46" t="s">
        <v>345</v>
      </c>
      <c r="C2688" s="52">
        <v>9</v>
      </c>
      <c r="E2688" s="121" t="s">
        <v>3520</v>
      </c>
      <c r="F2688" s="120" t="s">
        <v>3227</v>
      </c>
    </row>
    <row r="2689" spans="1:6" x14ac:dyDescent="0.2">
      <c r="A2689" s="55">
        <v>181</v>
      </c>
      <c r="B2689" s="46" t="s">
        <v>445</v>
      </c>
      <c r="C2689" s="52">
        <v>7</v>
      </c>
      <c r="E2689" s="121" t="s">
        <v>3474</v>
      </c>
      <c r="F2689" s="120" t="s">
        <v>3227</v>
      </c>
    </row>
    <row r="2690" spans="1:6" x14ac:dyDescent="0.2">
      <c r="A2690" s="55">
        <v>181</v>
      </c>
      <c r="B2690" s="46" t="s">
        <v>2638</v>
      </c>
      <c r="C2690" s="52">
        <v>1</v>
      </c>
      <c r="E2690" s="121" t="s">
        <v>3165</v>
      </c>
      <c r="F2690" s="120" t="s">
        <v>3248</v>
      </c>
    </row>
    <row r="2691" spans="1:6" x14ac:dyDescent="0.2">
      <c r="A2691" s="55">
        <v>182</v>
      </c>
      <c r="B2691" s="46" t="s">
        <v>340</v>
      </c>
      <c r="C2691" s="52">
        <v>40</v>
      </c>
      <c r="E2691" s="121" t="s">
        <v>1529</v>
      </c>
      <c r="F2691" s="120" t="s">
        <v>3249</v>
      </c>
    </row>
    <row r="2692" spans="1:6" x14ac:dyDescent="0.2">
      <c r="A2692" s="55">
        <v>182</v>
      </c>
      <c r="B2692" s="46" t="s">
        <v>432</v>
      </c>
      <c r="C2692" s="52">
        <v>12</v>
      </c>
      <c r="E2692" s="121" t="s">
        <v>3186</v>
      </c>
      <c r="F2692" s="120" t="s">
        <v>3284</v>
      </c>
    </row>
    <row r="2693" spans="1:6" x14ac:dyDescent="0.2">
      <c r="A2693" s="55">
        <v>182</v>
      </c>
      <c r="B2693" s="46" t="s">
        <v>361</v>
      </c>
      <c r="C2693" s="52">
        <v>9</v>
      </c>
      <c r="E2693" s="121" t="s">
        <v>3201</v>
      </c>
      <c r="F2693" s="120" t="s">
        <v>3249</v>
      </c>
    </row>
    <row r="2694" spans="1:6" x14ac:dyDescent="0.2">
      <c r="A2694" s="55">
        <v>182</v>
      </c>
      <c r="B2694" s="46" t="s">
        <v>601</v>
      </c>
      <c r="C2694" s="52">
        <v>7</v>
      </c>
      <c r="E2694" s="121" t="s">
        <v>1157</v>
      </c>
      <c r="F2694" s="120" t="s">
        <v>3249</v>
      </c>
    </row>
    <row r="2695" spans="1:6" x14ac:dyDescent="0.2">
      <c r="A2695" s="55">
        <v>182</v>
      </c>
      <c r="B2695" s="46" t="s">
        <v>341</v>
      </c>
      <c r="C2695" s="52">
        <v>7</v>
      </c>
      <c r="E2695" s="121" t="s">
        <v>3062</v>
      </c>
      <c r="F2695" s="120" t="s">
        <v>3266</v>
      </c>
    </row>
    <row r="2696" spans="1:6" x14ac:dyDescent="0.2">
      <c r="A2696" s="55">
        <v>182</v>
      </c>
      <c r="B2696" s="46" t="s">
        <v>364</v>
      </c>
      <c r="C2696" s="52">
        <v>7</v>
      </c>
      <c r="E2696" s="121" t="s">
        <v>3495</v>
      </c>
      <c r="F2696" s="120" t="s">
        <v>3313</v>
      </c>
    </row>
    <row r="2697" spans="1:6" x14ac:dyDescent="0.2">
      <c r="A2697" s="55">
        <v>182</v>
      </c>
      <c r="B2697" s="46" t="s">
        <v>2575</v>
      </c>
      <c r="C2697" s="52">
        <v>6</v>
      </c>
      <c r="E2697" s="121" t="s">
        <v>1400</v>
      </c>
      <c r="F2697" s="120" t="s">
        <v>3310</v>
      </c>
    </row>
    <row r="2698" spans="1:6" x14ac:dyDescent="0.2">
      <c r="A2698" s="55">
        <v>182</v>
      </c>
      <c r="B2698" s="46" t="s">
        <v>403</v>
      </c>
      <c r="C2698" s="52">
        <v>5</v>
      </c>
      <c r="E2698" s="121" t="s">
        <v>1408</v>
      </c>
      <c r="F2698" s="120" t="s">
        <v>3248</v>
      </c>
    </row>
    <row r="2699" spans="1:6" x14ac:dyDescent="0.2">
      <c r="A2699" s="55">
        <v>182</v>
      </c>
      <c r="B2699" s="46" t="s">
        <v>342</v>
      </c>
      <c r="C2699" s="52">
        <v>3</v>
      </c>
      <c r="E2699" s="121" t="s">
        <v>1169</v>
      </c>
      <c r="F2699" s="120" t="s">
        <v>3249</v>
      </c>
    </row>
    <row r="2700" spans="1:6" x14ac:dyDescent="0.2">
      <c r="A2700" s="55">
        <v>182</v>
      </c>
      <c r="B2700" s="46" t="s">
        <v>350</v>
      </c>
      <c r="C2700" s="52">
        <v>2</v>
      </c>
      <c r="E2700" s="121" t="s">
        <v>1415</v>
      </c>
      <c r="F2700" s="120" t="s">
        <v>3249</v>
      </c>
    </row>
    <row r="2701" spans="1:6" x14ac:dyDescent="0.2">
      <c r="A2701" s="55">
        <v>183</v>
      </c>
      <c r="B2701" s="46" t="s">
        <v>405</v>
      </c>
      <c r="C2701" s="52">
        <v>50</v>
      </c>
      <c r="E2701" s="121" t="s">
        <v>3199</v>
      </c>
      <c r="F2701" s="120" t="s">
        <v>3215</v>
      </c>
    </row>
    <row r="2702" spans="1:6" x14ac:dyDescent="0.2">
      <c r="A2702" s="55">
        <v>183</v>
      </c>
      <c r="B2702" s="46" t="s">
        <v>364</v>
      </c>
      <c r="C2702" s="52">
        <v>20</v>
      </c>
      <c r="E2702" s="121" t="s">
        <v>3495</v>
      </c>
      <c r="F2702" s="120" t="s">
        <v>3313</v>
      </c>
    </row>
    <row r="2703" spans="1:6" x14ac:dyDescent="0.2">
      <c r="A2703" s="55">
        <v>183</v>
      </c>
      <c r="B2703" s="46" t="s">
        <v>2808</v>
      </c>
      <c r="C2703" s="52">
        <v>12</v>
      </c>
      <c r="E2703" s="121" t="s">
        <v>2830</v>
      </c>
      <c r="F2703" s="120" t="s">
        <v>1289</v>
      </c>
    </row>
    <row r="2704" spans="1:6" x14ac:dyDescent="0.2">
      <c r="A2704" s="55">
        <v>183</v>
      </c>
      <c r="B2704" s="46" t="s">
        <v>1866</v>
      </c>
      <c r="C2704" s="52">
        <v>12</v>
      </c>
      <c r="E2704" s="121" t="s">
        <v>3084</v>
      </c>
      <c r="F2704" s="120" t="s">
        <v>3239</v>
      </c>
    </row>
    <row r="2705" spans="1:6" x14ac:dyDescent="0.2">
      <c r="A2705" s="55">
        <v>183</v>
      </c>
      <c r="B2705" s="46" t="s">
        <v>398</v>
      </c>
      <c r="C2705" s="52">
        <v>8</v>
      </c>
      <c r="E2705" s="121" t="s">
        <v>1165</v>
      </c>
      <c r="F2705" s="120" t="s">
        <v>3215</v>
      </c>
    </row>
    <row r="2706" spans="1:6" x14ac:dyDescent="0.2">
      <c r="A2706" s="55">
        <v>183</v>
      </c>
      <c r="B2706" s="46" t="s">
        <v>2722</v>
      </c>
      <c r="C2706" s="52">
        <v>8</v>
      </c>
      <c r="E2706" s="121" t="s">
        <v>3489</v>
      </c>
      <c r="F2706" s="120" t="s">
        <v>3310</v>
      </c>
    </row>
    <row r="2707" spans="1:6" x14ac:dyDescent="0.2">
      <c r="A2707" s="55">
        <v>183</v>
      </c>
      <c r="B2707" s="46" t="s">
        <v>2579</v>
      </c>
      <c r="C2707" s="52">
        <v>6</v>
      </c>
      <c r="E2707" s="121" t="s">
        <v>3516</v>
      </c>
      <c r="F2707" s="120" t="s">
        <v>3232</v>
      </c>
    </row>
    <row r="2708" spans="1:6" x14ac:dyDescent="0.2">
      <c r="A2708" s="55">
        <v>183</v>
      </c>
      <c r="B2708" s="46" t="s">
        <v>341</v>
      </c>
      <c r="C2708" s="52">
        <v>5</v>
      </c>
      <c r="E2708" s="121" t="s">
        <v>3062</v>
      </c>
      <c r="F2708" s="120" t="s">
        <v>3266</v>
      </c>
    </row>
    <row r="2709" spans="1:6" x14ac:dyDescent="0.2">
      <c r="A2709" s="55">
        <v>183</v>
      </c>
      <c r="B2709" s="46" t="s">
        <v>344</v>
      </c>
      <c r="C2709" s="52">
        <v>5</v>
      </c>
      <c r="E2709" s="121" t="s">
        <v>1403</v>
      </c>
      <c r="F2709" s="120" t="s">
        <v>3215</v>
      </c>
    </row>
    <row r="2710" spans="1:6" x14ac:dyDescent="0.2">
      <c r="A2710" s="55">
        <v>183</v>
      </c>
      <c r="B2710" s="46" t="s">
        <v>2573</v>
      </c>
      <c r="C2710" s="52">
        <v>4</v>
      </c>
      <c r="E2710" s="121" t="s">
        <v>2880</v>
      </c>
      <c r="F2710" s="120" t="s">
        <v>3249</v>
      </c>
    </row>
    <row r="2711" spans="1:6" x14ac:dyDescent="0.2">
      <c r="A2711" s="55">
        <v>183</v>
      </c>
      <c r="B2711" s="46" t="s">
        <v>408</v>
      </c>
      <c r="C2711" s="52">
        <v>4</v>
      </c>
      <c r="E2711" s="121" t="s">
        <v>3468</v>
      </c>
      <c r="F2711" s="120" t="s">
        <v>3292</v>
      </c>
    </row>
    <row r="2712" spans="1:6" x14ac:dyDescent="0.2">
      <c r="A2712" s="55">
        <v>183</v>
      </c>
      <c r="B2712" s="46" t="s">
        <v>349</v>
      </c>
      <c r="C2712" s="52">
        <v>4</v>
      </c>
      <c r="E2712" s="121" t="s">
        <v>1200</v>
      </c>
      <c r="F2712" s="120" t="s">
        <v>3292</v>
      </c>
    </row>
    <row r="2713" spans="1:6" x14ac:dyDescent="0.2">
      <c r="A2713" s="55">
        <v>183</v>
      </c>
      <c r="B2713" s="46" t="s">
        <v>441</v>
      </c>
      <c r="C2713" s="52">
        <v>3</v>
      </c>
      <c r="E2713" s="121" t="s">
        <v>3469</v>
      </c>
      <c r="F2713" s="120" t="s">
        <v>3258</v>
      </c>
    </row>
    <row r="2714" spans="1:6" x14ac:dyDescent="0.2">
      <c r="A2714" s="55">
        <v>183</v>
      </c>
      <c r="B2714" s="46" t="s">
        <v>2576</v>
      </c>
      <c r="C2714" s="52">
        <v>3</v>
      </c>
      <c r="E2714" s="121" t="s">
        <v>3090</v>
      </c>
      <c r="F2714" s="120" t="s">
        <v>3248</v>
      </c>
    </row>
    <row r="2715" spans="1:6" x14ac:dyDescent="0.2">
      <c r="A2715" s="55">
        <v>183</v>
      </c>
      <c r="B2715" s="46" t="s">
        <v>2649</v>
      </c>
      <c r="C2715" s="52">
        <v>2</v>
      </c>
      <c r="E2715" s="121" t="s">
        <v>3052</v>
      </c>
      <c r="F2715" s="120" t="s">
        <v>3250</v>
      </c>
    </row>
    <row r="2716" spans="1:6" x14ac:dyDescent="0.2">
      <c r="A2716" s="55">
        <v>183</v>
      </c>
      <c r="B2716" s="46" t="s">
        <v>404</v>
      </c>
      <c r="C2716" s="52">
        <v>2</v>
      </c>
      <c r="E2716" s="121" t="s">
        <v>3463</v>
      </c>
      <c r="F2716" s="120" t="s">
        <v>3258</v>
      </c>
    </row>
    <row r="2717" spans="1:6" x14ac:dyDescent="0.2">
      <c r="A2717" s="55">
        <v>183</v>
      </c>
      <c r="B2717" s="46" t="s">
        <v>1441</v>
      </c>
      <c r="C2717" s="52">
        <v>1</v>
      </c>
      <c r="E2717" s="121" t="s">
        <v>3111</v>
      </c>
      <c r="F2717" s="120" t="s">
        <v>3249</v>
      </c>
    </row>
    <row r="2718" spans="1:6" x14ac:dyDescent="0.2">
      <c r="A2718" s="55">
        <v>183</v>
      </c>
      <c r="B2718" s="46" t="s">
        <v>526</v>
      </c>
      <c r="C2718" s="52">
        <v>1</v>
      </c>
      <c r="E2718" s="121" t="s">
        <v>3047</v>
      </c>
      <c r="F2718" s="120" t="s">
        <v>3263</v>
      </c>
    </row>
    <row r="2719" spans="1:6" x14ac:dyDescent="0.2">
      <c r="A2719" s="55">
        <v>183</v>
      </c>
      <c r="B2719" s="46" t="s">
        <v>394</v>
      </c>
      <c r="C2719" s="52">
        <v>1</v>
      </c>
      <c r="E2719" s="121" t="s">
        <v>3467</v>
      </c>
      <c r="F2719" s="120" t="s">
        <v>3258</v>
      </c>
    </row>
    <row r="2720" spans="1:6" x14ac:dyDescent="0.2">
      <c r="A2720" s="55">
        <v>184</v>
      </c>
      <c r="B2720" s="46" t="s">
        <v>405</v>
      </c>
      <c r="C2720" s="52">
        <v>50</v>
      </c>
      <c r="E2720" s="121" t="s">
        <v>3199</v>
      </c>
      <c r="F2720" s="120" t="s">
        <v>3215</v>
      </c>
    </row>
    <row r="2721" spans="1:6" x14ac:dyDescent="0.2">
      <c r="A2721" s="55">
        <v>184</v>
      </c>
      <c r="B2721" s="46" t="s">
        <v>2725</v>
      </c>
      <c r="C2721" s="52">
        <v>45</v>
      </c>
      <c r="E2721" s="121" t="s">
        <v>3461</v>
      </c>
      <c r="F2721" s="120" t="s">
        <v>3227</v>
      </c>
    </row>
    <row r="2722" spans="1:6" x14ac:dyDescent="0.2">
      <c r="A2722" s="55">
        <v>184</v>
      </c>
      <c r="B2722" s="46" t="s">
        <v>2579</v>
      </c>
      <c r="C2722" s="52">
        <v>15</v>
      </c>
      <c r="E2722" s="121" t="s">
        <v>3516</v>
      </c>
      <c r="F2722" s="120" t="s">
        <v>3232</v>
      </c>
    </row>
    <row r="2723" spans="1:6" x14ac:dyDescent="0.2">
      <c r="A2723" s="55">
        <v>184</v>
      </c>
      <c r="B2723" s="46" t="s">
        <v>376</v>
      </c>
      <c r="C2723" s="52">
        <v>12</v>
      </c>
      <c r="E2723" s="121" t="s">
        <v>3462</v>
      </c>
      <c r="F2723" s="120" t="s">
        <v>3227</v>
      </c>
    </row>
    <row r="2724" spans="1:6" x14ac:dyDescent="0.2">
      <c r="A2724" s="55">
        <v>184</v>
      </c>
      <c r="B2724" s="46" t="s">
        <v>398</v>
      </c>
      <c r="C2724" s="52">
        <v>10</v>
      </c>
      <c r="E2724" s="121" t="s">
        <v>1165</v>
      </c>
      <c r="F2724" s="120" t="s">
        <v>3215</v>
      </c>
    </row>
    <row r="2725" spans="1:6" x14ac:dyDescent="0.2">
      <c r="A2725" s="55">
        <v>184</v>
      </c>
      <c r="B2725" s="46" t="s">
        <v>414</v>
      </c>
      <c r="C2725" s="52">
        <v>10</v>
      </c>
      <c r="E2725" s="121" t="s">
        <v>3472</v>
      </c>
      <c r="F2725" s="120" t="s">
        <v>3258</v>
      </c>
    </row>
    <row r="2726" spans="1:6" x14ac:dyDescent="0.2">
      <c r="A2726" s="55">
        <v>184</v>
      </c>
      <c r="B2726" s="46" t="s">
        <v>404</v>
      </c>
      <c r="C2726" s="52">
        <v>8</v>
      </c>
      <c r="E2726" s="121" t="s">
        <v>3463</v>
      </c>
      <c r="F2726" s="120" t="s">
        <v>3258</v>
      </c>
    </row>
    <row r="2727" spans="1:6" x14ac:dyDescent="0.2">
      <c r="A2727" s="55">
        <v>184</v>
      </c>
      <c r="B2727" s="46" t="s">
        <v>350</v>
      </c>
      <c r="C2727" s="52">
        <v>6</v>
      </c>
      <c r="E2727" s="121" t="s">
        <v>1415</v>
      </c>
      <c r="F2727" s="120" t="s">
        <v>3249</v>
      </c>
    </row>
    <row r="2728" spans="1:6" x14ac:dyDescent="0.2">
      <c r="A2728" s="55">
        <v>184</v>
      </c>
      <c r="B2728" s="46" t="s">
        <v>441</v>
      </c>
      <c r="C2728" s="52">
        <v>6</v>
      </c>
      <c r="E2728" s="121" t="s">
        <v>3469</v>
      </c>
      <c r="F2728" s="120" t="s">
        <v>3258</v>
      </c>
    </row>
    <row r="2729" spans="1:6" x14ac:dyDescent="0.2">
      <c r="A2729" s="55">
        <v>184</v>
      </c>
      <c r="B2729" s="46" t="s">
        <v>423</v>
      </c>
      <c r="C2729" s="52">
        <v>5</v>
      </c>
      <c r="E2729" s="121" t="s">
        <v>3494</v>
      </c>
      <c r="F2729" s="120" t="s">
        <v>3310</v>
      </c>
    </row>
    <row r="2730" spans="1:6" x14ac:dyDescent="0.2">
      <c r="A2730" s="55">
        <v>184</v>
      </c>
      <c r="B2730" s="46" t="s">
        <v>444</v>
      </c>
      <c r="C2730" s="52">
        <v>2</v>
      </c>
      <c r="E2730" s="121" t="s">
        <v>3471</v>
      </c>
      <c r="F2730" s="120" t="s">
        <v>3227</v>
      </c>
    </row>
    <row r="2731" spans="1:6" x14ac:dyDescent="0.2">
      <c r="A2731" s="55">
        <v>185</v>
      </c>
      <c r="B2731" s="46" t="s">
        <v>376</v>
      </c>
      <c r="C2731" s="52">
        <v>50</v>
      </c>
      <c r="E2731" s="121" t="s">
        <v>3462</v>
      </c>
      <c r="F2731" s="120" t="s">
        <v>3227</v>
      </c>
    </row>
    <row r="2732" spans="1:6" x14ac:dyDescent="0.2">
      <c r="A2732" s="55">
        <v>185</v>
      </c>
      <c r="B2732" s="46" t="s">
        <v>398</v>
      </c>
      <c r="C2732" s="52">
        <v>25</v>
      </c>
      <c r="E2732" s="121" t="s">
        <v>1165</v>
      </c>
      <c r="F2732" s="120" t="s">
        <v>3215</v>
      </c>
    </row>
    <row r="2733" spans="1:6" x14ac:dyDescent="0.2">
      <c r="A2733" s="55">
        <v>185</v>
      </c>
      <c r="B2733" s="46" t="s">
        <v>405</v>
      </c>
      <c r="C2733" s="52">
        <v>25</v>
      </c>
      <c r="E2733" s="121" t="s">
        <v>3199</v>
      </c>
      <c r="F2733" s="120" t="s">
        <v>3215</v>
      </c>
    </row>
    <row r="2734" spans="1:6" x14ac:dyDescent="0.2">
      <c r="A2734" s="55">
        <v>185</v>
      </c>
      <c r="B2734" s="46" t="s">
        <v>2579</v>
      </c>
      <c r="C2734" s="52">
        <v>6</v>
      </c>
      <c r="E2734" s="121" t="s">
        <v>3516</v>
      </c>
      <c r="F2734" s="120" t="s">
        <v>3232</v>
      </c>
    </row>
    <row r="2735" spans="1:6" x14ac:dyDescent="0.2">
      <c r="A2735" s="55">
        <v>185</v>
      </c>
      <c r="B2735" s="46" t="s">
        <v>404</v>
      </c>
      <c r="C2735" s="52">
        <v>3</v>
      </c>
      <c r="E2735" s="121" t="s">
        <v>3463</v>
      </c>
      <c r="F2735" s="120" t="s">
        <v>3258</v>
      </c>
    </row>
    <row r="2736" spans="1:6" x14ac:dyDescent="0.2">
      <c r="A2736" s="55">
        <v>185</v>
      </c>
      <c r="B2736" s="46" t="s">
        <v>408</v>
      </c>
      <c r="C2736" s="52">
        <v>3</v>
      </c>
      <c r="E2736" s="121" t="s">
        <v>3468</v>
      </c>
      <c r="F2736" s="120" t="s">
        <v>3292</v>
      </c>
    </row>
    <row r="2737" spans="1:6" x14ac:dyDescent="0.2">
      <c r="A2737" s="55">
        <v>185</v>
      </c>
      <c r="B2737" s="46" t="s">
        <v>441</v>
      </c>
      <c r="C2737" s="52">
        <v>2</v>
      </c>
      <c r="E2737" s="121" t="s">
        <v>3469</v>
      </c>
      <c r="F2737" s="120" t="s">
        <v>3258</v>
      </c>
    </row>
    <row r="2738" spans="1:6" x14ac:dyDescent="0.2">
      <c r="A2738" s="55">
        <v>185</v>
      </c>
      <c r="B2738" s="46" t="s">
        <v>2576</v>
      </c>
      <c r="C2738" s="52">
        <v>2</v>
      </c>
      <c r="E2738" s="121" t="s">
        <v>3090</v>
      </c>
      <c r="F2738" s="120" t="s">
        <v>3248</v>
      </c>
    </row>
    <row r="2739" spans="1:6" x14ac:dyDescent="0.2">
      <c r="A2739" s="55">
        <v>185</v>
      </c>
      <c r="B2739" s="46" t="s">
        <v>447</v>
      </c>
      <c r="C2739" s="52">
        <v>2</v>
      </c>
      <c r="E2739" s="121" t="s">
        <v>1531</v>
      </c>
      <c r="F2739" s="120" t="s">
        <v>3248</v>
      </c>
    </row>
    <row r="2740" spans="1:6" x14ac:dyDescent="0.2">
      <c r="A2740" s="55">
        <v>185</v>
      </c>
      <c r="B2740" s="46" t="s">
        <v>425</v>
      </c>
      <c r="C2740" s="52">
        <v>1</v>
      </c>
      <c r="E2740" s="121" t="s">
        <v>1168</v>
      </c>
      <c r="F2740" s="120" t="s">
        <v>3215</v>
      </c>
    </row>
    <row r="2741" spans="1:6" x14ac:dyDescent="0.2">
      <c r="A2741" s="55">
        <v>185</v>
      </c>
      <c r="B2741" s="46" t="s">
        <v>414</v>
      </c>
      <c r="C2741" s="52">
        <v>1</v>
      </c>
      <c r="E2741" s="121" t="s">
        <v>3472</v>
      </c>
      <c r="F2741" s="120" t="s">
        <v>3258</v>
      </c>
    </row>
    <row r="2742" spans="1:6" x14ac:dyDescent="0.2">
      <c r="A2742" s="55">
        <v>186</v>
      </c>
      <c r="B2742" s="46" t="s">
        <v>405</v>
      </c>
      <c r="C2742" s="52">
        <v>35</v>
      </c>
      <c r="E2742" s="121" t="s">
        <v>3199</v>
      </c>
      <c r="F2742" s="120" t="s">
        <v>3215</v>
      </c>
    </row>
    <row r="2743" spans="1:6" x14ac:dyDescent="0.2">
      <c r="A2743" s="55">
        <v>186</v>
      </c>
      <c r="B2743" s="46" t="s">
        <v>404</v>
      </c>
      <c r="C2743" s="52">
        <v>15</v>
      </c>
      <c r="E2743" s="121" t="s">
        <v>3463</v>
      </c>
      <c r="F2743" s="120" t="s">
        <v>3258</v>
      </c>
    </row>
    <row r="2744" spans="1:6" x14ac:dyDescent="0.2">
      <c r="A2744" s="55">
        <v>186</v>
      </c>
      <c r="B2744" s="46" t="s">
        <v>423</v>
      </c>
      <c r="C2744" s="52">
        <v>12</v>
      </c>
      <c r="E2744" s="121" t="s">
        <v>3494</v>
      </c>
      <c r="F2744" s="120" t="s">
        <v>3310</v>
      </c>
    </row>
    <row r="2745" spans="1:6" x14ac:dyDescent="0.2">
      <c r="A2745" s="55">
        <v>186</v>
      </c>
      <c r="B2745" s="46" t="s">
        <v>398</v>
      </c>
      <c r="C2745" s="52">
        <v>10</v>
      </c>
      <c r="E2745" s="121" t="s">
        <v>1165</v>
      </c>
      <c r="F2745" s="120" t="s">
        <v>3215</v>
      </c>
    </row>
    <row r="2746" spans="1:6" x14ac:dyDescent="0.2">
      <c r="A2746" s="55">
        <v>186</v>
      </c>
      <c r="B2746" s="46" t="s">
        <v>401</v>
      </c>
      <c r="C2746" s="52">
        <v>10</v>
      </c>
      <c r="E2746" s="121" t="s">
        <v>3465</v>
      </c>
      <c r="F2746" s="120" t="s">
        <v>3258</v>
      </c>
    </row>
    <row r="2747" spans="1:6" x14ac:dyDescent="0.2">
      <c r="A2747" s="55">
        <v>186</v>
      </c>
      <c r="B2747" s="46" t="s">
        <v>441</v>
      </c>
      <c r="C2747" s="52">
        <v>10</v>
      </c>
      <c r="E2747" s="121" t="s">
        <v>3469</v>
      </c>
      <c r="F2747" s="120" t="s">
        <v>3258</v>
      </c>
    </row>
    <row r="2748" spans="1:6" x14ac:dyDescent="0.2">
      <c r="A2748" s="55">
        <v>186</v>
      </c>
      <c r="B2748" s="46" t="s">
        <v>2579</v>
      </c>
      <c r="C2748" s="52">
        <v>8</v>
      </c>
      <c r="E2748" s="121" t="s">
        <v>3516</v>
      </c>
      <c r="F2748" s="120" t="s">
        <v>3232</v>
      </c>
    </row>
    <row r="2749" spans="1:6" x14ac:dyDescent="0.2">
      <c r="A2749" s="55">
        <v>186</v>
      </c>
      <c r="B2749" s="46" t="s">
        <v>432</v>
      </c>
      <c r="C2749" s="52">
        <v>8</v>
      </c>
      <c r="E2749" s="121" t="s">
        <v>3186</v>
      </c>
      <c r="F2749" s="120" t="s">
        <v>3284</v>
      </c>
    </row>
    <row r="2750" spans="1:6" x14ac:dyDescent="0.2">
      <c r="A2750" s="55">
        <v>186</v>
      </c>
      <c r="B2750" s="46" t="s">
        <v>394</v>
      </c>
      <c r="C2750" s="52">
        <v>6</v>
      </c>
      <c r="E2750" s="121" t="s">
        <v>3467</v>
      </c>
      <c r="F2750" s="120" t="s">
        <v>3258</v>
      </c>
    </row>
    <row r="2751" spans="1:6" x14ac:dyDescent="0.2">
      <c r="A2751" s="55">
        <v>186</v>
      </c>
      <c r="B2751" s="46" t="s">
        <v>350</v>
      </c>
      <c r="C2751" s="52">
        <v>5</v>
      </c>
      <c r="E2751" s="121" t="s">
        <v>1415</v>
      </c>
      <c r="F2751" s="120" t="s">
        <v>3249</v>
      </c>
    </row>
    <row r="2752" spans="1:6" x14ac:dyDescent="0.2">
      <c r="A2752" s="55">
        <v>186</v>
      </c>
      <c r="B2752" s="46" t="s">
        <v>395</v>
      </c>
      <c r="C2752" s="52">
        <v>1</v>
      </c>
      <c r="E2752" s="121" t="s">
        <v>3202</v>
      </c>
      <c r="F2752" s="120" t="s">
        <v>3248</v>
      </c>
    </row>
    <row r="2753" spans="1:6" x14ac:dyDescent="0.2">
      <c r="A2753" s="55">
        <v>187</v>
      </c>
      <c r="B2753" s="46" t="s">
        <v>371</v>
      </c>
      <c r="C2753" s="52">
        <v>25</v>
      </c>
      <c r="E2753" s="121" t="s">
        <v>1425</v>
      </c>
      <c r="F2753" s="120" t="s">
        <v>3248</v>
      </c>
    </row>
    <row r="2754" spans="1:6" x14ac:dyDescent="0.2">
      <c r="A2754" s="55">
        <v>187</v>
      </c>
      <c r="B2754" s="46" t="s">
        <v>441</v>
      </c>
      <c r="C2754" s="52">
        <v>20</v>
      </c>
      <c r="E2754" s="121" t="s">
        <v>3469</v>
      </c>
      <c r="F2754" s="120" t="s">
        <v>3258</v>
      </c>
    </row>
    <row r="2755" spans="1:6" x14ac:dyDescent="0.2">
      <c r="A2755" s="55">
        <v>187</v>
      </c>
      <c r="B2755" s="46" t="s">
        <v>572</v>
      </c>
      <c r="C2755" s="52">
        <v>15</v>
      </c>
      <c r="E2755" s="121" t="s">
        <v>1240</v>
      </c>
      <c r="F2755" s="120" t="s">
        <v>3298</v>
      </c>
    </row>
    <row r="2756" spans="1:6" x14ac:dyDescent="0.2">
      <c r="A2756" s="55">
        <v>187</v>
      </c>
      <c r="B2756" s="46" t="s">
        <v>607</v>
      </c>
      <c r="C2756" s="52">
        <v>12</v>
      </c>
      <c r="E2756" s="121" t="s">
        <v>3038</v>
      </c>
      <c r="F2756" s="120" t="s">
        <v>3248</v>
      </c>
    </row>
    <row r="2757" spans="1:6" x14ac:dyDescent="0.2">
      <c r="A2757" s="55">
        <v>187</v>
      </c>
      <c r="B2757" s="46" t="s">
        <v>404</v>
      </c>
      <c r="C2757" s="52">
        <v>12</v>
      </c>
      <c r="E2757" s="121" t="s">
        <v>3463</v>
      </c>
      <c r="F2757" s="120" t="s">
        <v>3258</v>
      </c>
    </row>
    <row r="2758" spans="1:6" x14ac:dyDescent="0.2">
      <c r="A2758" s="55">
        <v>187</v>
      </c>
      <c r="B2758" s="46" t="s">
        <v>398</v>
      </c>
      <c r="C2758" s="52">
        <v>8</v>
      </c>
      <c r="E2758" s="121" t="s">
        <v>1165</v>
      </c>
      <c r="F2758" s="120" t="s">
        <v>3215</v>
      </c>
    </row>
    <row r="2759" spans="1:6" x14ac:dyDescent="0.2">
      <c r="A2759" s="55">
        <v>187</v>
      </c>
      <c r="B2759" s="46" t="s">
        <v>400</v>
      </c>
      <c r="C2759" s="52">
        <v>7</v>
      </c>
      <c r="E2759" s="121" t="s">
        <v>1411</v>
      </c>
      <c r="F2759" s="120" t="s">
        <v>3249</v>
      </c>
    </row>
    <row r="2760" spans="1:6" x14ac:dyDescent="0.2">
      <c r="A2760" s="55">
        <v>187</v>
      </c>
      <c r="B2760" s="46" t="s">
        <v>2649</v>
      </c>
      <c r="C2760" s="52">
        <v>6</v>
      </c>
      <c r="E2760" s="121" t="s">
        <v>3052</v>
      </c>
      <c r="F2760" s="120" t="s">
        <v>3250</v>
      </c>
    </row>
    <row r="2761" spans="1:6" x14ac:dyDescent="0.2">
      <c r="A2761" s="55">
        <v>187</v>
      </c>
      <c r="B2761" s="46" t="s">
        <v>401</v>
      </c>
      <c r="C2761" s="52">
        <v>6</v>
      </c>
      <c r="E2761" s="121" t="s">
        <v>3465</v>
      </c>
      <c r="F2761" s="120" t="s">
        <v>3258</v>
      </c>
    </row>
    <row r="2762" spans="1:6" x14ac:dyDescent="0.2">
      <c r="A2762" s="55">
        <v>187</v>
      </c>
      <c r="B2762" s="46" t="s">
        <v>408</v>
      </c>
      <c r="C2762" s="52">
        <v>5</v>
      </c>
      <c r="E2762" s="121" t="s">
        <v>3468</v>
      </c>
      <c r="F2762" s="120" t="s">
        <v>3292</v>
      </c>
    </row>
    <row r="2763" spans="1:6" x14ac:dyDescent="0.2">
      <c r="A2763" s="55">
        <v>187</v>
      </c>
      <c r="B2763" s="46" t="s">
        <v>395</v>
      </c>
      <c r="C2763" s="52">
        <v>4</v>
      </c>
      <c r="E2763" s="121" t="s">
        <v>3202</v>
      </c>
      <c r="F2763" s="120" t="s">
        <v>3248</v>
      </c>
    </row>
    <row r="2764" spans="1:6" x14ac:dyDescent="0.2">
      <c r="A2764" s="55">
        <v>187</v>
      </c>
      <c r="B2764" s="46" t="s">
        <v>423</v>
      </c>
      <c r="C2764" s="52">
        <v>3</v>
      </c>
      <c r="E2764" s="121" t="s">
        <v>3494</v>
      </c>
      <c r="F2764" s="120" t="s">
        <v>3310</v>
      </c>
    </row>
    <row r="2765" spans="1:6" x14ac:dyDescent="0.2">
      <c r="A2765" s="55">
        <v>187</v>
      </c>
      <c r="B2765" s="46" t="s">
        <v>415</v>
      </c>
      <c r="C2765" s="52">
        <v>1</v>
      </c>
      <c r="E2765" s="121" t="s">
        <v>1144</v>
      </c>
      <c r="F2765" s="120" t="s">
        <v>3249</v>
      </c>
    </row>
    <row r="2766" spans="1:6" x14ac:dyDescent="0.2">
      <c r="A2766" s="55">
        <v>187</v>
      </c>
      <c r="B2766" s="46" t="s">
        <v>444</v>
      </c>
      <c r="C2766" s="52">
        <v>1</v>
      </c>
      <c r="E2766" s="121" t="s">
        <v>3471</v>
      </c>
      <c r="F2766" s="120" t="s">
        <v>3227</v>
      </c>
    </row>
    <row r="2767" spans="1:6" x14ac:dyDescent="0.2">
      <c r="A2767" s="55">
        <v>187</v>
      </c>
      <c r="B2767" s="46" t="s">
        <v>593</v>
      </c>
      <c r="C2767" s="52">
        <v>1</v>
      </c>
      <c r="E2767" s="121" t="s">
        <v>2852</v>
      </c>
      <c r="F2767" s="120" t="s">
        <v>3227</v>
      </c>
    </row>
    <row r="2768" spans="1:6" x14ac:dyDescent="0.2">
      <c r="A2768" s="55">
        <v>188</v>
      </c>
      <c r="B2768" s="46" t="s">
        <v>453</v>
      </c>
      <c r="C2768" s="52">
        <v>75</v>
      </c>
      <c r="E2768" s="121" t="s">
        <v>3520</v>
      </c>
      <c r="F2768" s="120" t="s">
        <v>3258</v>
      </c>
    </row>
    <row r="2769" spans="1:6" x14ac:dyDescent="0.2">
      <c r="A2769" s="55">
        <v>188</v>
      </c>
      <c r="B2769" s="46" t="s">
        <v>355</v>
      </c>
      <c r="C2769" s="52">
        <v>15</v>
      </c>
      <c r="E2769" s="121" t="s">
        <v>1150</v>
      </c>
      <c r="F2769" s="120" t="s">
        <v>3287</v>
      </c>
    </row>
    <row r="2770" spans="1:6" x14ac:dyDescent="0.2">
      <c r="A2770" s="55">
        <v>188</v>
      </c>
      <c r="B2770" s="46" t="s">
        <v>376</v>
      </c>
      <c r="C2770" s="52">
        <v>15</v>
      </c>
      <c r="E2770" s="121" t="s">
        <v>3462</v>
      </c>
      <c r="F2770" s="120" t="s">
        <v>3227</v>
      </c>
    </row>
    <row r="2771" spans="1:6" x14ac:dyDescent="0.2">
      <c r="A2771" s="55">
        <v>188</v>
      </c>
      <c r="B2771" s="46" t="s">
        <v>441</v>
      </c>
      <c r="C2771" s="52">
        <v>6</v>
      </c>
      <c r="E2771" s="121" t="s">
        <v>3469</v>
      </c>
      <c r="F2771" s="120" t="s">
        <v>3258</v>
      </c>
    </row>
    <row r="2772" spans="1:6" x14ac:dyDescent="0.2">
      <c r="A2772" s="55">
        <v>188</v>
      </c>
      <c r="B2772" s="46" t="s">
        <v>350</v>
      </c>
      <c r="C2772" s="52">
        <v>5</v>
      </c>
      <c r="E2772" s="121" t="s">
        <v>1415</v>
      </c>
      <c r="F2772" s="120" t="s">
        <v>3249</v>
      </c>
    </row>
    <row r="2773" spans="1:6" x14ac:dyDescent="0.2">
      <c r="A2773" s="55">
        <v>188</v>
      </c>
      <c r="B2773" s="46" t="s">
        <v>421</v>
      </c>
      <c r="C2773" s="52">
        <v>5</v>
      </c>
      <c r="E2773" s="121" t="s">
        <v>3057</v>
      </c>
      <c r="F2773" s="120" t="s">
        <v>3257</v>
      </c>
    </row>
    <row r="2774" spans="1:6" x14ac:dyDescent="0.2">
      <c r="A2774" s="55">
        <v>189</v>
      </c>
      <c r="B2774" s="46" t="s">
        <v>2565</v>
      </c>
      <c r="C2774" s="52">
        <v>30</v>
      </c>
      <c r="E2774" s="121" t="s">
        <v>3435</v>
      </c>
      <c r="F2774" s="120" t="s">
        <v>3286</v>
      </c>
    </row>
    <row r="2775" spans="1:6" x14ac:dyDescent="0.2">
      <c r="A2775" s="55">
        <v>189</v>
      </c>
      <c r="B2775" s="46" t="s">
        <v>398</v>
      </c>
      <c r="C2775" s="52">
        <v>12</v>
      </c>
      <c r="E2775" s="121" t="s">
        <v>1165</v>
      </c>
      <c r="F2775" s="120" t="s">
        <v>3215</v>
      </c>
    </row>
    <row r="2776" spans="1:6" x14ac:dyDescent="0.2">
      <c r="A2776" s="55">
        <v>189</v>
      </c>
      <c r="B2776" s="46" t="s">
        <v>376</v>
      </c>
      <c r="C2776" s="52">
        <v>10</v>
      </c>
      <c r="E2776" s="121" t="s">
        <v>3462</v>
      </c>
      <c r="F2776" s="120" t="s">
        <v>3227</v>
      </c>
    </row>
    <row r="2777" spans="1:6" x14ac:dyDescent="0.2">
      <c r="A2777" s="55">
        <v>189</v>
      </c>
      <c r="B2777" s="46" t="s">
        <v>414</v>
      </c>
      <c r="C2777" s="52">
        <v>10</v>
      </c>
      <c r="E2777" s="121" t="s">
        <v>3472</v>
      </c>
      <c r="F2777" s="120" t="s">
        <v>3258</v>
      </c>
    </row>
    <row r="2778" spans="1:6" x14ac:dyDescent="0.2">
      <c r="A2778" s="55">
        <v>189</v>
      </c>
      <c r="B2778" s="46" t="s">
        <v>412</v>
      </c>
      <c r="C2778" s="52">
        <v>9</v>
      </c>
      <c r="E2778" s="121" t="s">
        <v>3487</v>
      </c>
      <c r="F2778" s="120" t="s">
        <v>3310</v>
      </c>
    </row>
    <row r="2779" spans="1:6" x14ac:dyDescent="0.2">
      <c r="A2779" s="55">
        <v>189</v>
      </c>
      <c r="B2779" s="46" t="s">
        <v>404</v>
      </c>
      <c r="C2779" s="52">
        <v>9</v>
      </c>
      <c r="E2779" s="121" t="s">
        <v>3463</v>
      </c>
      <c r="F2779" s="120" t="s">
        <v>3258</v>
      </c>
    </row>
    <row r="2780" spans="1:6" x14ac:dyDescent="0.2">
      <c r="A2780" s="55">
        <v>189</v>
      </c>
      <c r="B2780" s="46" t="s">
        <v>342</v>
      </c>
      <c r="C2780" s="52">
        <v>8</v>
      </c>
      <c r="E2780" s="121" t="s">
        <v>1169</v>
      </c>
      <c r="F2780" s="120" t="s">
        <v>3249</v>
      </c>
    </row>
    <row r="2781" spans="1:6" x14ac:dyDescent="0.2">
      <c r="A2781" s="55">
        <v>189</v>
      </c>
      <c r="B2781" s="46" t="s">
        <v>395</v>
      </c>
      <c r="C2781" s="52">
        <v>6</v>
      </c>
      <c r="E2781" s="121" t="s">
        <v>3202</v>
      </c>
      <c r="F2781" s="120" t="s">
        <v>3248</v>
      </c>
    </row>
    <row r="2782" spans="1:6" x14ac:dyDescent="0.2">
      <c r="A2782" s="55">
        <v>189</v>
      </c>
      <c r="B2782" s="46" t="s">
        <v>441</v>
      </c>
      <c r="C2782" s="52">
        <v>6</v>
      </c>
      <c r="E2782" s="121" t="s">
        <v>3469</v>
      </c>
      <c r="F2782" s="120" t="s">
        <v>3258</v>
      </c>
    </row>
    <row r="2783" spans="1:6" x14ac:dyDescent="0.2">
      <c r="A2783" s="55">
        <v>189</v>
      </c>
      <c r="B2783" s="46" t="s">
        <v>2649</v>
      </c>
      <c r="C2783" s="52">
        <v>5</v>
      </c>
      <c r="E2783" s="121" t="s">
        <v>3052</v>
      </c>
      <c r="F2783" s="120" t="s">
        <v>3250</v>
      </c>
    </row>
    <row r="2784" spans="1:6" x14ac:dyDescent="0.2">
      <c r="A2784" s="55">
        <v>189</v>
      </c>
      <c r="B2784" s="46" t="s">
        <v>432</v>
      </c>
      <c r="C2784" s="52">
        <v>5</v>
      </c>
      <c r="E2784" s="121" t="s">
        <v>3186</v>
      </c>
      <c r="F2784" s="120" t="s">
        <v>3284</v>
      </c>
    </row>
    <row r="2785" spans="1:6" x14ac:dyDescent="0.2">
      <c r="A2785" s="55">
        <v>189</v>
      </c>
      <c r="B2785" s="46" t="s">
        <v>2722</v>
      </c>
      <c r="C2785" s="52">
        <v>4</v>
      </c>
      <c r="E2785" s="121" t="s">
        <v>3489</v>
      </c>
      <c r="F2785" s="120" t="s">
        <v>3310</v>
      </c>
    </row>
    <row r="2786" spans="1:6" x14ac:dyDescent="0.2">
      <c r="A2786" s="55">
        <v>189</v>
      </c>
      <c r="B2786" s="46" t="s">
        <v>2579</v>
      </c>
      <c r="C2786" s="52">
        <v>4</v>
      </c>
      <c r="E2786" s="121" t="s">
        <v>3516</v>
      </c>
      <c r="F2786" s="120" t="s">
        <v>3232</v>
      </c>
    </row>
    <row r="2787" spans="1:6" x14ac:dyDescent="0.2">
      <c r="A2787" s="55">
        <v>189</v>
      </c>
      <c r="B2787" s="46" t="s">
        <v>572</v>
      </c>
      <c r="C2787" s="52">
        <v>3</v>
      </c>
      <c r="E2787" s="121" t="s">
        <v>1240</v>
      </c>
      <c r="F2787" s="120" t="s">
        <v>3298</v>
      </c>
    </row>
    <row r="2788" spans="1:6" x14ac:dyDescent="0.2">
      <c r="A2788" s="55">
        <v>189</v>
      </c>
      <c r="B2788" s="46" t="s">
        <v>444</v>
      </c>
      <c r="C2788" s="52">
        <v>3</v>
      </c>
      <c r="E2788" s="121" t="s">
        <v>3471</v>
      </c>
      <c r="F2788" s="120" t="s">
        <v>3227</v>
      </c>
    </row>
    <row r="2789" spans="1:6" x14ac:dyDescent="0.2">
      <c r="A2789" s="55">
        <v>189</v>
      </c>
      <c r="B2789" s="46" t="s">
        <v>593</v>
      </c>
      <c r="C2789" s="52">
        <v>1</v>
      </c>
      <c r="E2789" s="121" t="s">
        <v>2852</v>
      </c>
      <c r="F2789" s="120" t="s">
        <v>3227</v>
      </c>
    </row>
    <row r="2790" spans="1:6" x14ac:dyDescent="0.2">
      <c r="A2790" s="55">
        <v>189</v>
      </c>
      <c r="B2790" s="46" t="s">
        <v>2576</v>
      </c>
      <c r="C2790" s="52">
        <v>1</v>
      </c>
      <c r="E2790" s="121" t="s">
        <v>3090</v>
      </c>
      <c r="F2790" s="120" t="s">
        <v>3248</v>
      </c>
    </row>
    <row r="2791" spans="1:6" x14ac:dyDescent="0.2">
      <c r="A2791" s="55">
        <v>190</v>
      </c>
      <c r="B2791" s="46" t="s">
        <v>423</v>
      </c>
      <c r="C2791" s="52">
        <v>40</v>
      </c>
      <c r="E2791" s="121" t="s">
        <v>3494</v>
      </c>
      <c r="F2791" s="120" t="s">
        <v>3310</v>
      </c>
    </row>
    <row r="2792" spans="1:6" x14ac:dyDescent="0.2">
      <c r="A2792" s="55">
        <v>190</v>
      </c>
      <c r="B2792" s="46" t="s">
        <v>376</v>
      </c>
      <c r="C2792" s="52">
        <v>30</v>
      </c>
      <c r="E2792" s="121" t="s">
        <v>3462</v>
      </c>
      <c r="F2792" s="120" t="s">
        <v>3227</v>
      </c>
    </row>
    <row r="2793" spans="1:6" x14ac:dyDescent="0.2">
      <c r="A2793" s="55">
        <v>190</v>
      </c>
      <c r="B2793" s="46" t="s">
        <v>398</v>
      </c>
      <c r="C2793" s="52">
        <v>15</v>
      </c>
      <c r="E2793" s="121" t="s">
        <v>1165</v>
      </c>
      <c r="F2793" s="120" t="s">
        <v>3215</v>
      </c>
    </row>
    <row r="2794" spans="1:6" x14ac:dyDescent="0.2">
      <c r="A2794" s="55">
        <v>190</v>
      </c>
      <c r="B2794" s="46" t="s">
        <v>394</v>
      </c>
      <c r="C2794" s="52">
        <v>15</v>
      </c>
      <c r="E2794" s="121" t="s">
        <v>3467</v>
      </c>
      <c r="F2794" s="120" t="s">
        <v>3258</v>
      </c>
    </row>
    <row r="2795" spans="1:6" x14ac:dyDescent="0.2">
      <c r="A2795" s="55">
        <v>190</v>
      </c>
      <c r="B2795" s="46" t="s">
        <v>2579</v>
      </c>
      <c r="C2795" s="52">
        <v>7</v>
      </c>
      <c r="E2795" s="121" t="s">
        <v>3516</v>
      </c>
      <c r="F2795" s="120" t="s">
        <v>3232</v>
      </c>
    </row>
    <row r="2796" spans="1:6" x14ac:dyDescent="0.2">
      <c r="A2796" s="55">
        <v>190</v>
      </c>
      <c r="B2796" s="46" t="s">
        <v>441</v>
      </c>
      <c r="C2796" s="52">
        <v>5</v>
      </c>
      <c r="E2796" s="121" t="s">
        <v>3469</v>
      </c>
      <c r="F2796" s="120" t="s">
        <v>3258</v>
      </c>
    </row>
    <row r="2797" spans="1:6" x14ac:dyDescent="0.2">
      <c r="A2797" s="55">
        <v>190</v>
      </c>
      <c r="B2797" s="46" t="s">
        <v>424</v>
      </c>
      <c r="C2797" s="52">
        <v>4</v>
      </c>
      <c r="E2797" s="121" t="s">
        <v>1405</v>
      </c>
      <c r="F2797" s="120" t="s">
        <v>3215</v>
      </c>
    </row>
    <row r="2798" spans="1:6" x14ac:dyDescent="0.2">
      <c r="A2798" s="55">
        <v>190</v>
      </c>
      <c r="B2798" s="46" t="s">
        <v>572</v>
      </c>
      <c r="C2798" s="52">
        <v>3</v>
      </c>
      <c r="E2798" s="121" t="s">
        <v>1240</v>
      </c>
      <c r="F2798" s="120" t="s">
        <v>3298</v>
      </c>
    </row>
    <row r="2799" spans="1:6" x14ac:dyDescent="0.2">
      <c r="A2799" s="55">
        <v>190</v>
      </c>
      <c r="B2799" s="46" t="s">
        <v>342</v>
      </c>
      <c r="C2799" s="52">
        <v>3</v>
      </c>
      <c r="E2799" s="121" t="s">
        <v>1169</v>
      </c>
      <c r="F2799" s="120" t="s">
        <v>3249</v>
      </c>
    </row>
    <row r="2800" spans="1:6" x14ac:dyDescent="0.2">
      <c r="A2800" s="55">
        <v>190</v>
      </c>
      <c r="B2800" s="46" t="s">
        <v>404</v>
      </c>
      <c r="C2800" s="52">
        <v>3</v>
      </c>
      <c r="E2800" s="121" t="s">
        <v>3463</v>
      </c>
      <c r="F2800" s="120" t="s">
        <v>3258</v>
      </c>
    </row>
    <row r="2801" spans="1:6" x14ac:dyDescent="0.2">
      <c r="A2801" s="55">
        <v>190</v>
      </c>
      <c r="B2801" s="46" t="s">
        <v>2565</v>
      </c>
      <c r="C2801" s="52">
        <v>3</v>
      </c>
      <c r="E2801" s="121" t="s">
        <v>3435</v>
      </c>
      <c r="F2801" s="120" t="s">
        <v>3286</v>
      </c>
    </row>
    <row r="2802" spans="1:6" x14ac:dyDescent="0.2">
      <c r="A2802" s="55">
        <v>190</v>
      </c>
      <c r="B2802" s="46" t="s">
        <v>2722</v>
      </c>
      <c r="C2802" s="52">
        <v>2</v>
      </c>
      <c r="E2802" s="121" t="s">
        <v>3489</v>
      </c>
      <c r="F2802" s="120" t="s">
        <v>3310</v>
      </c>
    </row>
    <row r="2803" spans="1:6" x14ac:dyDescent="0.2">
      <c r="A2803" s="55">
        <v>190</v>
      </c>
      <c r="B2803" s="46" t="s">
        <v>395</v>
      </c>
      <c r="C2803" s="52">
        <v>2</v>
      </c>
      <c r="E2803" s="121" t="s">
        <v>3202</v>
      </c>
      <c r="F2803" s="120" t="s">
        <v>3248</v>
      </c>
    </row>
    <row r="2804" spans="1:6" x14ac:dyDescent="0.2">
      <c r="A2804" s="55">
        <v>191</v>
      </c>
      <c r="B2804" s="46" t="s">
        <v>415</v>
      </c>
      <c r="C2804" s="52">
        <v>75</v>
      </c>
      <c r="E2804" s="121" t="s">
        <v>1144</v>
      </c>
      <c r="F2804" s="120" t="s">
        <v>3249</v>
      </c>
    </row>
    <row r="2805" spans="1:6" x14ac:dyDescent="0.2">
      <c r="A2805" s="55">
        <v>191</v>
      </c>
      <c r="B2805" s="46" t="s">
        <v>394</v>
      </c>
      <c r="C2805" s="52">
        <v>25</v>
      </c>
      <c r="E2805" s="121" t="s">
        <v>3467</v>
      </c>
      <c r="F2805" s="120" t="s">
        <v>3258</v>
      </c>
    </row>
    <row r="2806" spans="1:6" x14ac:dyDescent="0.2">
      <c r="A2806" s="55">
        <v>191</v>
      </c>
      <c r="B2806" s="46" t="s">
        <v>1583</v>
      </c>
      <c r="C2806" s="52">
        <v>7</v>
      </c>
      <c r="E2806" s="121" t="s">
        <v>1402</v>
      </c>
      <c r="F2806" s="120" t="s">
        <v>3248</v>
      </c>
    </row>
    <row r="2807" spans="1:6" x14ac:dyDescent="0.2">
      <c r="A2807" s="55">
        <v>191</v>
      </c>
      <c r="B2807" s="46" t="s">
        <v>376</v>
      </c>
      <c r="C2807" s="52">
        <v>6</v>
      </c>
      <c r="E2807" s="121" t="s">
        <v>3462</v>
      </c>
      <c r="F2807" s="120" t="s">
        <v>3227</v>
      </c>
    </row>
    <row r="2808" spans="1:6" x14ac:dyDescent="0.2">
      <c r="A2808" s="55">
        <v>191</v>
      </c>
      <c r="B2808" s="46" t="s">
        <v>2812</v>
      </c>
      <c r="C2808" s="52">
        <v>3</v>
      </c>
      <c r="E2808" s="121" t="s">
        <v>1429</v>
      </c>
      <c r="F2808" s="120" t="s">
        <v>3215</v>
      </c>
    </row>
    <row r="2809" spans="1:6" x14ac:dyDescent="0.2">
      <c r="A2809" s="55">
        <v>191</v>
      </c>
      <c r="B2809" s="46" t="s">
        <v>364</v>
      </c>
      <c r="C2809" s="52">
        <v>3</v>
      </c>
      <c r="E2809" s="121" t="s">
        <v>3495</v>
      </c>
      <c r="F2809" s="120" t="s">
        <v>3313</v>
      </c>
    </row>
    <row r="2810" spans="1:6" x14ac:dyDescent="0.2">
      <c r="A2810" s="55">
        <v>191</v>
      </c>
      <c r="B2810" s="46" t="s">
        <v>2649</v>
      </c>
      <c r="C2810" s="52">
        <v>2</v>
      </c>
      <c r="E2810" s="121" t="s">
        <v>3052</v>
      </c>
      <c r="F2810" s="120" t="s">
        <v>3250</v>
      </c>
    </row>
    <row r="2811" spans="1:6" x14ac:dyDescent="0.2">
      <c r="A2811" s="55">
        <v>191</v>
      </c>
      <c r="B2811" s="46" t="s">
        <v>593</v>
      </c>
      <c r="C2811" s="52">
        <v>2</v>
      </c>
      <c r="E2811" s="121" t="s">
        <v>2852</v>
      </c>
      <c r="F2811" s="120" t="s">
        <v>3227</v>
      </c>
    </row>
    <row r="2812" spans="1:6" x14ac:dyDescent="0.2">
      <c r="A2812" s="55">
        <v>191</v>
      </c>
      <c r="B2812" s="46" t="s">
        <v>343</v>
      </c>
      <c r="C2812" s="52">
        <v>1</v>
      </c>
      <c r="E2812" s="121" t="s">
        <v>3334</v>
      </c>
      <c r="F2812" s="120" t="s">
        <v>3303</v>
      </c>
    </row>
    <row r="2813" spans="1:6" x14ac:dyDescent="0.2">
      <c r="A2813" s="55">
        <v>191</v>
      </c>
      <c r="B2813" s="46" t="s">
        <v>345</v>
      </c>
      <c r="C2813" s="52">
        <v>1</v>
      </c>
      <c r="E2813" s="121" t="s">
        <v>3520</v>
      </c>
      <c r="F2813" s="120" t="s">
        <v>3227</v>
      </c>
    </row>
    <row r="2814" spans="1:6" x14ac:dyDescent="0.2">
      <c r="A2814" s="55">
        <v>192</v>
      </c>
      <c r="B2814" s="46" t="s">
        <v>405</v>
      </c>
      <c r="C2814" s="52">
        <v>60</v>
      </c>
      <c r="E2814" s="121" t="s">
        <v>3199</v>
      </c>
      <c r="F2814" s="120" t="s">
        <v>3215</v>
      </c>
    </row>
    <row r="2815" spans="1:6" x14ac:dyDescent="0.2">
      <c r="A2815" s="55">
        <v>192</v>
      </c>
      <c r="B2815" s="46" t="s">
        <v>400</v>
      </c>
      <c r="C2815" s="52">
        <v>15</v>
      </c>
      <c r="E2815" s="121" t="s">
        <v>1411</v>
      </c>
      <c r="F2815" s="120" t="s">
        <v>3249</v>
      </c>
    </row>
    <row r="2816" spans="1:6" x14ac:dyDescent="0.2">
      <c r="A2816" s="55">
        <v>192</v>
      </c>
      <c r="B2816" s="46" t="s">
        <v>412</v>
      </c>
      <c r="C2816" s="52">
        <v>12</v>
      </c>
      <c r="E2816" s="121" t="s">
        <v>3487</v>
      </c>
      <c r="F2816" s="120" t="s">
        <v>3310</v>
      </c>
    </row>
    <row r="2817" spans="1:6" x14ac:dyDescent="0.2">
      <c r="A2817" s="55">
        <v>192</v>
      </c>
      <c r="B2817" s="46" t="s">
        <v>441</v>
      </c>
      <c r="C2817" s="52">
        <v>12</v>
      </c>
      <c r="E2817" s="121" t="s">
        <v>3469</v>
      </c>
      <c r="F2817" s="120" t="s">
        <v>3258</v>
      </c>
    </row>
    <row r="2818" spans="1:6" x14ac:dyDescent="0.2">
      <c r="A2818" s="55">
        <v>192</v>
      </c>
      <c r="B2818" s="46" t="s">
        <v>395</v>
      </c>
      <c r="C2818" s="52">
        <v>10</v>
      </c>
      <c r="E2818" s="121" t="s">
        <v>3202</v>
      </c>
      <c r="F2818" s="120" t="s">
        <v>3248</v>
      </c>
    </row>
    <row r="2819" spans="1:6" x14ac:dyDescent="0.2">
      <c r="A2819" s="55">
        <v>192</v>
      </c>
      <c r="B2819" s="46" t="s">
        <v>572</v>
      </c>
      <c r="C2819" s="52">
        <v>9</v>
      </c>
      <c r="E2819" s="121" t="s">
        <v>1240</v>
      </c>
      <c r="F2819" s="120" t="s">
        <v>3298</v>
      </c>
    </row>
    <row r="2820" spans="1:6" x14ac:dyDescent="0.2">
      <c r="A2820" s="55">
        <v>192</v>
      </c>
      <c r="B2820" s="46" t="s">
        <v>404</v>
      </c>
      <c r="C2820" s="52">
        <v>8</v>
      </c>
      <c r="E2820" s="121" t="s">
        <v>3463</v>
      </c>
      <c r="F2820" s="120" t="s">
        <v>3258</v>
      </c>
    </row>
    <row r="2821" spans="1:6" x14ac:dyDescent="0.2">
      <c r="A2821" s="55">
        <v>192</v>
      </c>
      <c r="B2821" s="46" t="s">
        <v>2602</v>
      </c>
      <c r="C2821" s="52">
        <v>5</v>
      </c>
      <c r="E2821" s="121" t="s">
        <v>3382</v>
      </c>
      <c r="F2821" s="120" t="s">
        <v>3248</v>
      </c>
    </row>
    <row r="2822" spans="1:6" x14ac:dyDescent="0.2">
      <c r="A2822" s="55">
        <v>192</v>
      </c>
      <c r="B2822" s="46" t="s">
        <v>401</v>
      </c>
      <c r="C2822" s="52">
        <v>3</v>
      </c>
      <c r="E2822" s="121" t="s">
        <v>3465</v>
      </c>
      <c r="F2822" s="120" t="s">
        <v>3258</v>
      </c>
    </row>
    <row r="2823" spans="1:6" x14ac:dyDescent="0.2">
      <c r="A2823" s="55">
        <v>192</v>
      </c>
      <c r="B2823" s="46" t="s">
        <v>342</v>
      </c>
      <c r="C2823" s="52">
        <v>2</v>
      </c>
      <c r="E2823" s="121" t="s">
        <v>1169</v>
      </c>
      <c r="F2823" s="120" t="s">
        <v>3249</v>
      </c>
    </row>
    <row r="2824" spans="1:6" x14ac:dyDescent="0.2">
      <c r="A2824" s="55">
        <v>192</v>
      </c>
      <c r="B2824" s="46" t="s">
        <v>2579</v>
      </c>
      <c r="C2824" s="52">
        <v>2</v>
      </c>
      <c r="E2824" s="121" t="s">
        <v>3516</v>
      </c>
      <c r="F2824" s="120" t="s">
        <v>3232</v>
      </c>
    </row>
    <row r="2825" spans="1:6" x14ac:dyDescent="0.2">
      <c r="A2825" s="55">
        <v>193</v>
      </c>
      <c r="B2825" s="46" t="s">
        <v>2565</v>
      </c>
      <c r="C2825" s="52">
        <v>50</v>
      </c>
      <c r="E2825" s="121" t="s">
        <v>3435</v>
      </c>
      <c r="F2825" s="120" t="s">
        <v>3286</v>
      </c>
    </row>
    <row r="2826" spans="1:6" x14ac:dyDescent="0.2">
      <c r="A2826" s="55">
        <v>193</v>
      </c>
      <c r="B2826" s="46" t="s">
        <v>423</v>
      </c>
      <c r="C2826" s="52">
        <v>30</v>
      </c>
      <c r="E2826" s="121" t="s">
        <v>3494</v>
      </c>
      <c r="F2826" s="120" t="s">
        <v>3310</v>
      </c>
    </row>
    <row r="2827" spans="1:6" x14ac:dyDescent="0.2">
      <c r="A2827" s="55">
        <v>193</v>
      </c>
      <c r="B2827" s="46" t="s">
        <v>2649</v>
      </c>
      <c r="C2827" s="52">
        <v>25</v>
      </c>
      <c r="E2827" s="121" t="s">
        <v>3052</v>
      </c>
      <c r="F2827" s="120" t="s">
        <v>3250</v>
      </c>
    </row>
    <row r="2828" spans="1:6" x14ac:dyDescent="0.2">
      <c r="A2828" s="55">
        <v>193</v>
      </c>
      <c r="B2828" s="46" t="s">
        <v>607</v>
      </c>
      <c r="C2828" s="52">
        <v>15</v>
      </c>
      <c r="E2828" s="121" t="s">
        <v>3038</v>
      </c>
      <c r="F2828" s="120" t="s">
        <v>3248</v>
      </c>
    </row>
    <row r="2829" spans="1:6" x14ac:dyDescent="0.2">
      <c r="A2829" s="55">
        <v>193</v>
      </c>
      <c r="B2829" s="46" t="s">
        <v>2579</v>
      </c>
      <c r="C2829" s="52">
        <v>6</v>
      </c>
      <c r="E2829" s="121" t="s">
        <v>3516</v>
      </c>
      <c r="F2829" s="120" t="s">
        <v>3232</v>
      </c>
    </row>
    <row r="2830" spans="1:6" x14ac:dyDescent="0.2">
      <c r="A2830" s="55">
        <v>193</v>
      </c>
      <c r="B2830" s="46" t="s">
        <v>441</v>
      </c>
      <c r="C2830" s="52">
        <v>5</v>
      </c>
      <c r="E2830" s="121" t="s">
        <v>3469</v>
      </c>
      <c r="F2830" s="120" t="s">
        <v>3258</v>
      </c>
    </row>
    <row r="2831" spans="1:6" x14ac:dyDescent="0.2">
      <c r="A2831" s="55">
        <v>193</v>
      </c>
      <c r="B2831" s="46" t="s">
        <v>1445</v>
      </c>
      <c r="C2831" s="52">
        <v>5</v>
      </c>
      <c r="E2831" s="121" t="s">
        <v>3497</v>
      </c>
      <c r="F2831" s="120" t="s">
        <v>3310</v>
      </c>
    </row>
    <row r="2832" spans="1:6" x14ac:dyDescent="0.2">
      <c r="A2832" s="55">
        <v>193</v>
      </c>
      <c r="B2832" s="46" t="s">
        <v>350</v>
      </c>
      <c r="C2832" s="52">
        <v>4</v>
      </c>
      <c r="E2832" s="121" t="s">
        <v>1415</v>
      </c>
      <c r="F2832" s="120" t="s">
        <v>3249</v>
      </c>
    </row>
    <row r="2833" spans="1:6" x14ac:dyDescent="0.2">
      <c r="A2833" s="55">
        <v>193</v>
      </c>
      <c r="B2833" s="46" t="s">
        <v>404</v>
      </c>
      <c r="C2833" s="52">
        <v>3</v>
      </c>
      <c r="E2833" s="121" t="s">
        <v>3463</v>
      </c>
      <c r="F2833" s="120" t="s">
        <v>3258</v>
      </c>
    </row>
    <row r="2834" spans="1:6" x14ac:dyDescent="0.2">
      <c r="A2834" s="55">
        <v>193</v>
      </c>
      <c r="B2834" s="46" t="s">
        <v>399</v>
      </c>
      <c r="C2834" s="52">
        <v>2</v>
      </c>
      <c r="E2834" s="121" t="s">
        <v>1155</v>
      </c>
      <c r="F2834" s="120" t="s">
        <v>3248</v>
      </c>
    </row>
    <row r="2835" spans="1:6" x14ac:dyDescent="0.2">
      <c r="A2835" s="55">
        <v>193</v>
      </c>
      <c r="B2835" s="46" t="s">
        <v>401</v>
      </c>
      <c r="C2835" s="52">
        <v>2</v>
      </c>
      <c r="E2835" s="121" t="s">
        <v>3465</v>
      </c>
      <c r="F2835" s="120" t="s">
        <v>3258</v>
      </c>
    </row>
    <row r="2836" spans="1:6" x14ac:dyDescent="0.2">
      <c r="A2836" s="55">
        <v>194</v>
      </c>
      <c r="B2836" s="46" t="s">
        <v>405</v>
      </c>
      <c r="C2836" s="52">
        <v>25</v>
      </c>
      <c r="E2836" s="121" t="s">
        <v>3199</v>
      </c>
      <c r="F2836" s="120" t="s">
        <v>3215</v>
      </c>
    </row>
    <row r="2837" spans="1:6" x14ac:dyDescent="0.2">
      <c r="A2837" s="55">
        <v>194</v>
      </c>
      <c r="B2837" s="46" t="s">
        <v>2725</v>
      </c>
      <c r="C2837" s="52">
        <v>20</v>
      </c>
      <c r="E2837" s="121" t="s">
        <v>3461</v>
      </c>
      <c r="F2837" s="120" t="s">
        <v>3227</v>
      </c>
    </row>
    <row r="2838" spans="1:6" x14ac:dyDescent="0.2">
      <c r="A2838" s="55">
        <v>194</v>
      </c>
      <c r="B2838" s="46" t="s">
        <v>1441</v>
      </c>
      <c r="C2838" s="52">
        <v>20</v>
      </c>
      <c r="E2838" s="121" t="s">
        <v>3111</v>
      </c>
      <c r="F2838" s="120" t="s">
        <v>3249</v>
      </c>
    </row>
    <row r="2839" spans="1:6" x14ac:dyDescent="0.2">
      <c r="A2839" s="55">
        <v>194</v>
      </c>
      <c r="B2839" s="46" t="s">
        <v>376</v>
      </c>
      <c r="C2839" s="52">
        <v>20</v>
      </c>
      <c r="E2839" s="121" t="s">
        <v>3462</v>
      </c>
      <c r="F2839" s="120" t="s">
        <v>3227</v>
      </c>
    </row>
    <row r="2840" spans="1:6" x14ac:dyDescent="0.2">
      <c r="A2840" s="55">
        <v>194</v>
      </c>
      <c r="B2840" s="46" t="s">
        <v>2722</v>
      </c>
      <c r="C2840" s="52">
        <v>8</v>
      </c>
      <c r="E2840" s="121" t="s">
        <v>3489</v>
      </c>
      <c r="F2840" s="120" t="s">
        <v>3310</v>
      </c>
    </row>
    <row r="2841" spans="1:6" x14ac:dyDescent="0.2">
      <c r="A2841" s="55">
        <v>194</v>
      </c>
      <c r="B2841" s="46" t="s">
        <v>441</v>
      </c>
      <c r="C2841" s="52">
        <v>6</v>
      </c>
      <c r="E2841" s="121" t="s">
        <v>3469</v>
      </c>
      <c r="F2841" s="120" t="s">
        <v>3258</v>
      </c>
    </row>
    <row r="2842" spans="1:6" x14ac:dyDescent="0.2">
      <c r="A2842" s="55">
        <v>194</v>
      </c>
      <c r="B2842" s="46" t="s">
        <v>404</v>
      </c>
      <c r="C2842" s="52">
        <v>4</v>
      </c>
      <c r="E2842" s="121" t="s">
        <v>3463</v>
      </c>
      <c r="F2842" s="120" t="s">
        <v>3258</v>
      </c>
    </row>
    <row r="2843" spans="1:6" x14ac:dyDescent="0.2">
      <c r="A2843" s="55">
        <v>194</v>
      </c>
      <c r="B2843" s="46" t="s">
        <v>2579</v>
      </c>
      <c r="C2843" s="52">
        <v>4</v>
      </c>
      <c r="E2843" s="121" t="s">
        <v>3516</v>
      </c>
      <c r="F2843" s="120" t="s">
        <v>3232</v>
      </c>
    </row>
    <row r="2844" spans="1:6" x14ac:dyDescent="0.2">
      <c r="A2844" s="55">
        <v>195</v>
      </c>
      <c r="B2844" s="46" t="s">
        <v>415</v>
      </c>
      <c r="C2844" s="52">
        <v>80</v>
      </c>
      <c r="E2844" s="121" t="s">
        <v>1144</v>
      </c>
      <c r="F2844" s="120" t="s">
        <v>3249</v>
      </c>
    </row>
    <row r="2845" spans="1:6" x14ac:dyDescent="0.2">
      <c r="A2845" s="55">
        <v>195</v>
      </c>
      <c r="B2845" s="46" t="s">
        <v>405</v>
      </c>
      <c r="C2845" s="52">
        <v>30</v>
      </c>
      <c r="E2845" s="121" t="s">
        <v>3199</v>
      </c>
      <c r="F2845" s="120" t="s">
        <v>3215</v>
      </c>
    </row>
    <row r="2846" spans="1:6" x14ac:dyDescent="0.2">
      <c r="A2846" s="55">
        <v>195</v>
      </c>
      <c r="B2846" s="46" t="s">
        <v>863</v>
      </c>
      <c r="C2846" s="52">
        <v>20</v>
      </c>
      <c r="E2846" s="121" t="s">
        <v>3466</v>
      </c>
      <c r="F2846" s="120" t="s">
        <v>3258</v>
      </c>
    </row>
    <row r="2847" spans="1:6" x14ac:dyDescent="0.2">
      <c r="A2847" s="55">
        <v>195</v>
      </c>
      <c r="B2847" s="46" t="s">
        <v>441</v>
      </c>
      <c r="C2847" s="52">
        <v>15</v>
      </c>
      <c r="E2847" s="121" t="s">
        <v>3469</v>
      </c>
      <c r="F2847" s="120" t="s">
        <v>3258</v>
      </c>
    </row>
    <row r="2848" spans="1:6" x14ac:dyDescent="0.2">
      <c r="A2848" s="55">
        <v>195</v>
      </c>
      <c r="B2848" s="46" t="s">
        <v>408</v>
      </c>
      <c r="C2848" s="52">
        <v>4</v>
      </c>
      <c r="E2848" s="121" t="s">
        <v>3468</v>
      </c>
      <c r="F2848" s="120" t="s">
        <v>3292</v>
      </c>
    </row>
    <row r="2849" spans="1:6" x14ac:dyDescent="0.2">
      <c r="A2849" s="55">
        <v>196</v>
      </c>
      <c r="B2849" s="46" t="s">
        <v>412</v>
      </c>
      <c r="C2849" s="52">
        <v>25</v>
      </c>
      <c r="E2849" s="121" t="s">
        <v>3487</v>
      </c>
      <c r="F2849" s="120" t="s">
        <v>3310</v>
      </c>
    </row>
    <row r="2850" spans="1:6" x14ac:dyDescent="0.2">
      <c r="A2850" s="55">
        <v>196</v>
      </c>
      <c r="B2850" s="46" t="s">
        <v>863</v>
      </c>
      <c r="C2850" s="52">
        <v>25</v>
      </c>
      <c r="E2850" s="121" t="s">
        <v>3466</v>
      </c>
      <c r="F2850" s="120" t="s">
        <v>3258</v>
      </c>
    </row>
    <row r="2851" spans="1:6" x14ac:dyDescent="0.2">
      <c r="A2851" s="55">
        <v>196</v>
      </c>
      <c r="B2851" s="46" t="s">
        <v>2602</v>
      </c>
      <c r="C2851" s="52">
        <v>20</v>
      </c>
      <c r="E2851" s="121" t="s">
        <v>3382</v>
      </c>
      <c r="F2851" s="120" t="s">
        <v>3248</v>
      </c>
    </row>
    <row r="2852" spans="1:6" x14ac:dyDescent="0.2">
      <c r="A2852" s="55">
        <v>196</v>
      </c>
      <c r="B2852" s="46" t="s">
        <v>398</v>
      </c>
      <c r="C2852" s="52">
        <v>8</v>
      </c>
      <c r="E2852" s="121" t="s">
        <v>1165</v>
      </c>
      <c r="F2852" s="120" t="s">
        <v>3215</v>
      </c>
    </row>
    <row r="2853" spans="1:6" x14ac:dyDescent="0.2">
      <c r="A2853" s="55">
        <v>196</v>
      </c>
      <c r="B2853" s="46" t="s">
        <v>441</v>
      </c>
      <c r="C2853" s="52">
        <v>7</v>
      </c>
      <c r="E2853" s="121" t="s">
        <v>3469</v>
      </c>
      <c r="F2853" s="120" t="s">
        <v>3258</v>
      </c>
    </row>
    <row r="2854" spans="1:6" x14ac:dyDescent="0.2">
      <c r="A2854" s="55">
        <v>196</v>
      </c>
      <c r="B2854" s="46" t="s">
        <v>408</v>
      </c>
      <c r="C2854" s="52">
        <v>6</v>
      </c>
      <c r="E2854" s="121" t="s">
        <v>3468</v>
      </c>
      <c r="F2854" s="120" t="s">
        <v>3292</v>
      </c>
    </row>
    <row r="2855" spans="1:6" x14ac:dyDescent="0.2">
      <c r="A2855" s="55">
        <v>196</v>
      </c>
      <c r="B2855" s="46" t="s">
        <v>429</v>
      </c>
      <c r="C2855" s="52">
        <v>5</v>
      </c>
      <c r="E2855" s="121" t="s">
        <v>1175</v>
      </c>
      <c r="F2855" s="120" t="s">
        <v>3232</v>
      </c>
    </row>
    <row r="2856" spans="1:6" x14ac:dyDescent="0.2">
      <c r="A2856" s="55">
        <v>196</v>
      </c>
      <c r="B2856" s="46" t="s">
        <v>406</v>
      </c>
      <c r="C2856" s="52">
        <v>4</v>
      </c>
      <c r="E2856" s="121" t="s">
        <v>3035</v>
      </c>
      <c r="F2856" s="120" t="s">
        <v>3215</v>
      </c>
    </row>
    <row r="2857" spans="1:6" x14ac:dyDescent="0.2">
      <c r="A2857" s="55">
        <v>196</v>
      </c>
      <c r="B2857" s="46" t="s">
        <v>2608</v>
      </c>
      <c r="C2857" s="52">
        <v>4</v>
      </c>
      <c r="E2857" s="121" t="s">
        <v>3475</v>
      </c>
      <c r="F2857" s="120" t="s">
        <v>3258</v>
      </c>
    </row>
    <row r="2858" spans="1:6" x14ac:dyDescent="0.2">
      <c r="A2858" s="55">
        <v>196</v>
      </c>
      <c r="B2858" s="46" t="s">
        <v>395</v>
      </c>
      <c r="C2858" s="52">
        <v>2</v>
      </c>
      <c r="E2858" s="121" t="s">
        <v>3202</v>
      </c>
      <c r="F2858" s="120" t="s">
        <v>3248</v>
      </c>
    </row>
    <row r="2859" spans="1:6" x14ac:dyDescent="0.2">
      <c r="A2859" s="55">
        <v>196</v>
      </c>
      <c r="B2859" s="46" t="s">
        <v>444</v>
      </c>
      <c r="C2859" s="52">
        <v>2</v>
      </c>
      <c r="E2859" s="121" t="s">
        <v>3471</v>
      </c>
      <c r="F2859" s="120" t="s">
        <v>3227</v>
      </c>
    </row>
    <row r="2860" spans="1:6" x14ac:dyDescent="0.2">
      <c r="A2860" s="55">
        <v>197</v>
      </c>
      <c r="B2860" s="46" t="s">
        <v>398</v>
      </c>
      <c r="C2860" s="52">
        <v>70</v>
      </c>
      <c r="E2860" s="121" t="s">
        <v>1165</v>
      </c>
      <c r="F2860" s="120" t="s">
        <v>3215</v>
      </c>
    </row>
    <row r="2861" spans="1:6" x14ac:dyDescent="0.2">
      <c r="A2861" s="55">
        <v>197</v>
      </c>
      <c r="B2861" s="46" t="s">
        <v>376</v>
      </c>
      <c r="C2861" s="52">
        <v>40</v>
      </c>
      <c r="E2861" s="121" t="s">
        <v>3462</v>
      </c>
      <c r="F2861" s="120" t="s">
        <v>3227</v>
      </c>
    </row>
    <row r="2862" spans="1:6" x14ac:dyDescent="0.2">
      <c r="A2862" s="55">
        <v>197</v>
      </c>
      <c r="B2862" s="46" t="s">
        <v>423</v>
      </c>
      <c r="C2862" s="52">
        <v>18</v>
      </c>
      <c r="E2862" s="121" t="s">
        <v>3494</v>
      </c>
      <c r="F2862" s="120" t="s">
        <v>3310</v>
      </c>
    </row>
    <row r="2863" spans="1:6" x14ac:dyDescent="0.2">
      <c r="A2863" s="55">
        <v>197</v>
      </c>
      <c r="B2863" s="46" t="s">
        <v>404</v>
      </c>
      <c r="C2863" s="52">
        <v>12</v>
      </c>
      <c r="E2863" s="121" t="s">
        <v>3463</v>
      </c>
      <c r="F2863" s="120" t="s">
        <v>3258</v>
      </c>
    </row>
    <row r="2864" spans="1:6" x14ac:dyDescent="0.2">
      <c r="A2864" s="55">
        <v>197</v>
      </c>
      <c r="B2864" s="46" t="s">
        <v>364</v>
      </c>
      <c r="C2864" s="52">
        <v>8</v>
      </c>
      <c r="E2864" s="121" t="s">
        <v>3495</v>
      </c>
      <c r="F2864" s="120" t="s">
        <v>3313</v>
      </c>
    </row>
    <row r="2865" spans="1:6" x14ac:dyDescent="0.2">
      <c r="A2865" s="55">
        <v>197</v>
      </c>
      <c r="B2865" s="46" t="s">
        <v>424</v>
      </c>
      <c r="C2865" s="52">
        <v>5</v>
      </c>
      <c r="E2865" s="121" t="s">
        <v>1405</v>
      </c>
      <c r="F2865" s="120" t="s">
        <v>3215</v>
      </c>
    </row>
    <row r="2866" spans="1:6" x14ac:dyDescent="0.2">
      <c r="A2866" s="55">
        <v>197</v>
      </c>
      <c r="B2866" s="46" t="s">
        <v>2722</v>
      </c>
      <c r="C2866" s="52">
        <v>4</v>
      </c>
      <c r="E2866" s="121" t="s">
        <v>3489</v>
      </c>
      <c r="F2866" s="120" t="s">
        <v>3310</v>
      </c>
    </row>
    <row r="2867" spans="1:6" x14ac:dyDescent="0.2">
      <c r="A2867" s="55">
        <v>197</v>
      </c>
      <c r="B2867" s="46" t="s">
        <v>408</v>
      </c>
      <c r="C2867" s="52">
        <v>3</v>
      </c>
      <c r="E2867" s="121" t="s">
        <v>3468</v>
      </c>
      <c r="F2867" s="120" t="s">
        <v>3292</v>
      </c>
    </row>
    <row r="2868" spans="1:6" x14ac:dyDescent="0.2">
      <c r="A2868" s="55">
        <v>197</v>
      </c>
      <c r="B2868" s="46" t="s">
        <v>441</v>
      </c>
      <c r="C2868" s="52">
        <v>2</v>
      </c>
      <c r="E2868" s="121" t="s">
        <v>3469</v>
      </c>
      <c r="F2868" s="120" t="s">
        <v>3258</v>
      </c>
    </row>
    <row r="2869" spans="1:6" x14ac:dyDescent="0.2">
      <c r="A2869" s="55">
        <v>197</v>
      </c>
      <c r="B2869" s="46" t="s">
        <v>401</v>
      </c>
      <c r="C2869" s="52">
        <v>1</v>
      </c>
      <c r="E2869" s="121" t="s">
        <v>3465</v>
      </c>
      <c r="F2869" s="120" t="s">
        <v>3258</v>
      </c>
    </row>
    <row r="2870" spans="1:6" x14ac:dyDescent="0.2">
      <c r="A2870" s="55">
        <v>198</v>
      </c>
      <c r="B2870" s="46" t="s">
        <v>405</v>
      </c>
      <c r="C2870" s="52">
        <v>45</v>
      </c>
      <c r="E2870" s="121" t="s">
        <v>3199</v>
      </c>
      <c r="F2870" s="120" t="s">
        <v>3215</v>
      </c>
    </row>
    <row r="2871" spans="1:6" x14ac:dyDescent="0.2">
      <c r="A2871" s="55">
        <v>198</v>
      </c>
      <c r="B2871" s="46" t="s">
        <v>376</v>
      </c>
      <c r="C2871" s="52">
        <v>25</v>
      </c>
      <c r="E2871" s="121" t="s">
        <v>3462</v>
      </c>
      <c r="F2871" s="120" t="s">
        <v>3227</v>
      </c>
    </row>
    <row r="2872" spans="1:6" x14ac:dyDescent="0.2">
      <c r="A2872" s="55">
        <v>198</v>
      </c>
      <c r="B2872" s="46" t="s">
        <v>412</v>
      </c>
      <c r="C2872" s="52">
        <v>10</v>
      </c>
      <c r="E2872" s="121" t="s">
        <v>3487</v>
      </c>
      <c r="F2872" s="120" t="s">
        <v>3310</v>
      </c>
    </row>
    <row r="2873" spans="1:6" x14ac:dyDescent="0.2">
      <c r="A2873" s="55">
        <v>198</v>
      </c>
      <c r="B2873" s="46" t="s">
        <v>401</v>
      </c>
      <c r="C2873" s="52">
        <v>9</v>
      </c>
      <c r="E2873" s="121" t="s">
        <v>3465</v>
      </c>
      <c r="F2873" s="120" t="s">
        <v>3258</v>
      </c>
    </row>
    <row r="2874" spans="1:6" x14ac:dyDescent="0.2">
      <c r="A2874" s="55">
        <v>198</v>
      </c>
      <c r="B2874" s="46" t="s">
        <v>395</v>
      </c>
      <c r="C2874" s="52">
        <v>8</v>
      </c>
      <c r="E2874" s="121" t="s">
        <v>3202</v>
      </c>
      <c r="F2874" s="120" t="s">
        <v>3248</v>
      </c>
    </row>
    <row r="2875" spans="1:6" x14ac:dyDescent="0.2">
      <c r="A2875" s="55">
        <v>198</v>
      </c>
      <c r="B2875" s="46" t="s">
        <v>342</v>
      </c>
      <c r="C2875" s="52">
        <v>5</v>
      </c>
      <c r="E2875" s="121" t="s">
        <v>1169</v>
      </c>
      <c r="F2875" s="120" t="s">
        <v>3249</v>
      </c>
    </row>
    <row r="2876" spans="1:6" x14ac:dyDescent="0.2">
      <c r="A2876" s="55">
        <v>198</v>
      </c>
      <c r="B2876" s="46" t="s">
        <v>444</v>
      </c>
      <c r="C2876" s="52">
        <v>4</v>
      </c>
      <c r="E2876" s="121" t="s">
        <v>3471</v>
      </c>
      <c r="F2876" s="120" t="s">
        <v>3227</v>
      </c>
    </row>
    <row r="2877" spans="1:6" x14ac:dyDescent="0.2">
      <c r="A2877" s="55">
        <v>198</v>
      </c>
      <c r="B2877" s="46" t="s">
        <v>572</v>
      </c>
      <c r="C2877" s="52">
        <v>2</v>
      </c>
      <c r="E2877" s="121" t="s">
        <v>1240</v>
      </c>
      <c r="F2877" s="120" t="s">
        <v>3298</v>
      </c>
    </row>
    <row r="2878" spans="1:6" x14ac:dyDescent="0.2">
      <c r="A2878" s="55">
        <v>198</v>
      </c>
      <c r="B2878" s="46" t="s">
        <v>2649</v>
      </c>
      <c r="C2878" s="52">
        <v>2</v>
      </c>
      <c r="E2878" s="121" t="s">
        <v>3052</v>
      </c>
      <c r="F2878" s="120" t="s">
        <v>3250</v>
      </c>
    </row>
  </sheetData>
  <phoneticPr fontId="0" type="noConversion"/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003C-5FCD-49C6-8C9A-F4382D24ACA7}">
  <sheetPr codeName="Tabelle7"/>
  <dimension ref="A1:GB2780"/>
  <sheetViews>
    <sheetView workbookViewId="0">
      <pane xSplit="2" ySplit="1" topLeftCell="C2" activePane="bottomRight" state="frozen"/>
      <selection pane="topRight" activeCell="E1" sqref="E1"/>
      <selection pane="bottomLeft" activeCell="A2" sqref="A2"/>
      <selection pane="bottomRight" activeCell="R17" sqref="R17"/>
    </sheetView>
  </sheetViews>
  <sheetFormatPr defaultColWidth="3.85546875" defaultRowHeight="12.75" x14ac:dyDescent="0.2"/>
  <cols>
    <col min="1" max="1" width="5" style="58" customWidth="1"/>
    <col min="2" max="2" width="10.140625" style="128" customWidth="1"/>
    <col min="3" max="200" width="3.85546875" style="60" customWidth="1"/>
    <col min="201" max="201" width="5.42578125" style="60" customWidth="1"/>
    <col min="202" max="16384" width="3.85546875" style="60"/>
  </cols>
  <sheetData>
    <row r="1" spans="1:73" s="57" customFormat="1" ht="19.7" customHeight="1" x14ac:dyDescent="0.2">
      <c r="A1" s="119"/>
      <c r="B1" s="129"/>
      <c r="C1" s="57">
        <v>1</v>
      </c>
      <c r="D1" s="57">
        <v>2</v>
      </c>
      <c r="E1" s="57">
        <v>3</v>
      </c>
      <c r="F1" s="57">
        <v>4</v>
      </c>
      <c r="G1" s="57">
        <v>5</v>
      </c>
      <c r="H1" s="57">
        <v>6</v>
      </c>
      <c r="I1" s="57">
        <v>7</v>
      </c>
      <c r="J1" s="57">
        <v>8</v>
      </c>
      <c r="K1" s="57">
        <v>9</v>
      </c>
      <c r="L1" s="57">
        <v>10</v>
      </c>
      <c r="M1" s="57">
        <v>11</v>
      </c>
      <c r="N1" s="57">
        <v>12</v>
      </c>
      <c r="O1" s="57">
        <v>13</v>
      </c>
      <c r="P1" s="57">
        <v>14</v>
      </c>
      <c r="Q1" s="57">
        <v>15</v>
      </c>
      <c r="R1" s="57">
        <v>16</v>
      </c>
      <c r="S1" s="57">
        <v>17</v>
      </c>
      <c r="T1" s="57">
        <v>18</v>
      </c>
      <c r="U1" s="57">
        <v>19</v>
      </c>
      <c r="V1" s="57">
        <v>20</v>
      </c>
      <c r="W1" s="57">
        <v>21</v>
      </c>
      <c r="X1" s="57">
        <v>22</v>
      </c>
      <c r="Y1" s="57">
        <v>23</v>
      </c>
      <c r="Z1" s="57">
        <v>24</v>
      </c>
      <c r="AA1" s="57">
        <v>25</v>
      </c>
      <c r="AB1" s="57">
        <v>26</v>
      </c>
      <c r="AC1" s="57">
        <v>27</v>
      </c>
      <c r="AD1" s="57">
        <v>28</v>
      </c>
      <c r="AE1" s="57">
        <v>29</v>
      </c>
      <c r="AF1" s="57">
        <v>30</v>
      </c>
      <c r="AG1" s="57">
        <v>31</v>
      </c>
      <c r="AH1" s="57">
        <v>32</v>
      </c>
      <c r="AI1" s="57">
        <v>33</v>
      </c>
      <c r="AJ1" s="57">
        <v>34</v>
      </c>
      <c r="AK1" s="57">
        <v>35</v>
      </c>
      <c r="AL1" s="57">
        <v>36</v>
      </c>
      <c r="AM1" s="57">
        <v>37</v>
      </c>
      <c r="AN1" s="57">
        <v>38</v>
      </c>
      <c r="AO1" s="57">
        <v>39</v>
      </c>
      <c r="AP1" s="57">
        <v>40</v>
      </c>
      <c r="AQ1" s="57">
        <v>41</v>
      </c>
      <c r="AR1" s="57">
        <v>42</v>
      </c>
      <c r="AS1" s="57">
        <v>43</v>
      </c>
      <c r="AT1" s="57">
        <v>44</v>
      </c>
      <c r="AU1" s="57">
        <v>45</v>
      </c>
      <c r="AV1" s="57">
        <v>46</v>
      </c>
      <c r="AW1" s="57">
        <v>47</v>
      </c>
      <c r="AX1" s="57">
        <v>48</v>
      </c>
      <c r="AY1" s="57">
        <v>49</v>
      </c>
      <c r="AZ1" s="57">
        <v>50</v>
      </c>
      <c r="BA1" s="57">
        <v>51</v>
      </c>
      <c r="BB1" s="57">
        <v>52</v>
      </c>
      <c r="BC1" s="57">
        <v>53</v>
      </c>
      <c r="BD1" s="57">
        <v>54</v>
      </c>
      <c r="BE1" s="57">
        <v>55</v>
      </c>
      <c r="BF1" s="57">
        <v>56</v>
      </c>
      <c r="BG1" s="57">
        <v>57</v>
      </c>
      <c r="BH1" s="57">
        <v>58</v>
      </c>
      <c r="BI1" s="57">
        <v>59</v>
      </c>
      <c r="BJ1" s="57">
        <v>60</v>
      </c>
      <c r="BK1" s="57">
        <v>61</v>
      </c>
      <c r="BL1" s="57">
        <v>62</v>
      </c>
      <c r="BM1" s="57">
        <v>63</v>
      </c>
      <c r="BN1" s="57">
        <v>64</v>
      </c>
      <c r="BO1" s="57">
        <v>65</v>
      </c>
      <c r="BP1" s="57">
        <v>66</v>
      </c>
      <c r="BQ1" s="57">
        <v>67</v>
      </c>
      <c r="BR1" s="57">
        <v>68</v>
      </c>
      <c r="BS1" s="57">
        <v>69</v>
      </c>
      <c r="BT1" s="57">
        <v>70</v>
      </c>
      <c r="BU1" s="57">
        <v>71</v>
      </c>
    </row>
    <row r="2" spans="1:73" s="59" customFormat="1" x14ac:dyDescent="0.2">
      <c r="A2" s="58">
        <v>1</v>
      </c>
      <c r="B2" s="139" t="s">
        <v>1492</v>
      </c>
      <c r="C2" s="127">
        <v>85</v>
      </c>
      <c r="D2" s="127">
        <v>95</v>
      </c>
      <c r="E2" s="127">
        <v>35</v>
      </c>
      <c r="F2" s="127">
        <v>13</v>
      </c>
      <c r="G2" s="127">
        <v>10</v>
      </c>
      <c r="AU2" s="127">
        <v>65</v>
      </c>
      <c r="AZ2" s="127">
        <v>35</v>
      </c>
      <c r="BA2" s="127">
        <v>100</v>
      </c>
      <c r="BJ2" s="127">
        <v>95</v>
      </c>
      <c r="BK2" s="127">
        <v>80</v>
      </c>
    </row>
    <row r="3" spans="1:73" s="59" customFormat="1" x14ac:dyDescent="0.2">
      <c r="A3" s="58">
        <v>2</v>
      </c>
      <c r="B3" s="139" t="s">
        <v>1534</v>
      </c>
      <c r="C3" s="127">
        <v>21</v>
      </c>
      <c r="D3" s="127">
        <v>40</v>
      </c>
      <c r="E3" s="127">
        <v>12</v>
      </c>
      <c r="F3" s="127">
        <v>20</v>
      </c>
      <c r="G3" s="127">
        <v>10</v>
      </c>
      <c r="H3" s="127">
        <v>4</v>
      </c>
      <c r="J3" s="127">
        <v>4</v>
      </c>
      <c r="AU3" s="127">
        <v>8</v>
      </c>
      <c r="AX3" s="127">
        <v>1</v>
      </c>
      <c r="AZ3" s="127">
        <v>40</v>
      </c>
      <c r="BA3" s="127">
        <v>7</v>
      </c>
      <c r="BJ3" s="127">
        <v>13</v>
      </c>
      <c r="BK3" s="127">
        <v>45</v>
      </c>
    </row>
    <row r="4" spans="1:73" s="59" customFormat="1" x14ac:dyDescent="0.2">
      <c r="A4" s="58">
        <v>3</v>
      </c>
      <c r="B4" s="139" t="s">
        <v>3519</v>
      </c>
      <c r="C4" s="127">
        <v>7</v>
      </c>
      <c r="D4" s="127">
        <v>2</v>
      </c>
      <c r="E4" s="127">
        <v>8</v>
      </c>
      <c r="F4" s="127">
        <v>30</v>
      </c>
      <c r="G4" s="127">
        <v>15</v>
      </c>
      <c r="H4" s="127">
        <v>10</v>
      </c>
      <c r="I4" s="127">
        <v>15</v>
      </c>
      <c r="J4" s="127">
        <v>6</v>
      </c>
      <c r="AU4" s="127">
        <v>5</v>
      </c>
      <c r="AX4" s="127">
        <v>10</v>
      </c>
      <c r="AZ4" s="127">
        <v>8</v>
      </c>
      <c r="BA4" s="127">
        <v>10</v>
      </c>
      <c r="BJ4" s="127">
        <v>35</v>
      </c>
      <c r="BK4" s="127">
        <v>5</v>
      </c>
    </row>
    <row r="5" spans="1:73" s="59" customFormat="1" x14ac:dyDescent="0.2">
      <c r="A5" s="58">
        <v>4</v>
      </c>
      <c r="B5" s="139" t="s">
        <v>3517</v>
      </c>
      <c r="C5" s="127">
        <v>4</v>
      </c>
      <c r="D5" s="127">
        <v>20</v>
      </c>
      <c r="E5" s="127">
        <v>5</v>
      </c>
      <c r="L5" s="127">
        <v>1</v>
      </c>
      <c r="AL5" s="127">
        <v>3</v>
      </c>
      <c r="AU5" s="127">
        <v>4</v>
      </c>
      <c r="AZ5" s="127">
        <v>10</v>
      </c>
      <c r="BA5" s="127">
        <v>2</v>
      </c>
      <c r="BC5" s="127">
        <v>0.5</v>
      </c>
      <c r="BJ5" s="127">
        <v>19</v>
      </c>
      <c r="BK5" s="127">
        <v>4</v>
      </c>
      <c r="BO5" s="127">
        <v>0.5</v>
      </c>
      <c r="BP5" s="127">
        <v>1</v>
      </c>
      <c r="BU5" s="127">
        <v>2</v>
      </c>
    </row>
    <row r="6" spans="1:73" s="59" customFormat="1" x14ac:dyDescent="0.2">
      <c r="A6" s="58">
        <v>5</v>
      </c>
      <c r="B6" s="139" t="s">
        <v>3438</v>
      </c>
      <c r="C6" s="127">
        <v>4</v>
      </c>
      <c r="D6" s="127">
        <v>30</v>
      </c>
      <c r="E6" s="127">
        <v>6</v>
      </c>
      <c r="F6" s="127">
        <v>1</v>
      </c>
      <c r="G6" s="127">
        <v>2</v>
      </c>
      <c r="H6" s="127">
        <v>6</v>
      </c>
      <c r="AX6" s="127">
        <v>1</v>
      </c>
    </row>
    <row r="7" spans="1:73" s="59" customFormat="1" x14ac:dyDescent="0.2">
      <c r="A7" s="58">
        <v>6</v>
      </c>
      <c r="B7" s="139" t="s">
        <v>2867</v>
      </c>
      <c r="C7" s="127">
        <v>2</v>
      </c>
      <c r="D7" s="127">
        <v>0.5</v>
      </c>
      <c r="E7" s="127">
        <v>8</v>
      </c>
      <c r="F7" s="127">
        <v>3</v>
      </c>
      <c r="G7" s="127">
        <v>6</v>
      </c>
      <c r="H7" s="127">
        <v>6</v>
      </c>
      <c r="I7" s="127">
        <v>4</v>
      </c>
      <c r="J7" s="127">
        <v>3</v>
      </c>
      <c r="AA7" s="127">
        <v>0.5</v>
      </c>
      <c r="AU7" s="127">
        <v>3</v>
      </c>
      <c r="AX7" s="127">
        <v>3</v>
      </c>
      <c r="AZ7" s="127">
        <v>2</v>
      </c>
      <c r="BA7" s="127">
        <v>2</v>
      </c>
      <c r="BJ7" s="127">
        <v>8</v>
      </c>
      <c r="BK7" s="127">
        <v>2</v>
      </c>
    </row>
    <row r="8" spans="1:73" s="59" customFormat="1" x14ac:dyDescent="0.2">
      <c r="A8" s="58">
        <v>7</v>
      </c>
      <c r="B8" s="139" t="s">
        <v>2873</v>
      </c>
      <c r="C8" s="127">
        <v>2</v>
      </c>
      <c r="D8" s="127">
        <v>2</v>
      </c>
      <c r="E8" s="127">
        <v>2</v>
      </c>
      <c r="J8" s="127">
        <v>1</v>
      </c>
      <c r="AH8" s="127">
        <v>2</v>
      </c>
      <c r="BH8" s="127">
        <v>4</v>
      </c>
      <c r="BI8" s="127">
        <v>0.5</v>
      </c>
    </row>
    <row r="9" spans="1:73" s="59" customFormat="1" x14ac:dyDescent="0.2">
      <c r="A9" s="58">
        <v>8</v>
      </c>
      <c r="B9" s="139" t="s">
        <v>2877</v>
      </c>
      <c r="C9" s="127">
        <v>1</v>
      </c>
      <c r="D9" s="127">
        <v>4</v>
      </c>
      <c r="E9" s="127">
        <v>6</v>
      </c>
      <c r="F9" s="127">
        <v>0.5</v>
      </c>
      <c r="AU9" s="127">
        <v>4</v>
      </c>
      <c r="AZ9" s="127">
        <v>6</v>
      </c>
      <c r="BA9" s="127">
        <v>0.5</v>
      </c>
      <c r="BJ9" s="127">
        <v>7</v>
      </c>
      <c r="BK9" s="127">
        <v>1</v>
      </c>
    </row>
    <row r="10" spans="1:73" s="59" customFormat="1" x14ac:dyDescent="0.2">
      <c r="A10" s="58">
        <v>9</v>
      </c>
      <c r="B10" s="139" t="s">
        <v>1241</v>
      </c>
      <c r="C10" s="127">
        <v>1</v>
      </c>
    </row>
    <row r="11" spans="1:73" s="59" customFormat="1" x14ac:dyDescent="0.2">
      <c r="A11" s="58">
        <v>10</v>
      </c>
      <c r="B11" s="139" t="s">
        <v>3387</v>
      </c>
      <c r="C11" s="127">
        <v>0.5</v>
      </c>
      <c r="D11" s="127">
        <v>0.5</v>
      </c>
      <c r="E11" s="127">
        <v>2</v>
      </c>
      <c r="F11" s="127">
        <v>1</v>
      </c>
      <c r="G11" s="127">
        <v>0.5</v>
      </c>
      <c r="J11" s="127">
        <v>0.5</v>
      </c>
      <c r="AU11" s="127">
        <v>3</v>
      </c>
      <c r="AZ11" s="127">
        <v>3</v>
      </c>
      <c r="BA11" s="127">
        <v>20</v>
      </c>
      <c r="BJ11" s="127">
        <v>2</v>
      </c>
      <c r="BK11" s="127">
        <v>12</v>
      </c>
    </row>
    <row r="12" spans="1:73" s="59" customFormat="1" x14ac:dyDescent="0.2">
      <c r="A12" s="58">
        <v>11</v>
      </c>
      <c r="B12" s="139" t="s">
        <v>3166</v>
      </c>
      <c r="C12" s="127">
        <v>0.5</v>
      </c>
      <c r="E12" s="127">
        <v>3</v>
      </c>
    </row>
    <row r="13" spans="1:73" s="59" customFormat="1" x14ac:dyDescent="0.2">
      <c r="A13" s="58">
        <v>12</v>
      </c>
      <c r="B13" s="139" t="s">
        <v>3479</v>
      </c>
      <c r="C13" s="127">
        <v>0.5</v>
      </c>
      <c r="M13" s="127">
        <v>0.5</v>
      </c>
      <c r="N13" s="127">
        <v>0.5</v>
      </c>
      <c r="O13" s="127">
        <v>1</v>
      </c>
      <c r="P13" s="127">
        <v>1</v>
      </c>
      <c r="Z13" s="127">
        <v>0.5</v>
      </c>
      <c r="AA13" s="127">
        <v>1</v>
      </c>
      <c r="AI13" s="127">
        <v>1</v>
      </c>
      <c r="AL13" s="127">
        <v>1</v>
      </c>
      <c r="AW13" s="127">
        <v>1</v>
      </c>
      <c r="BC13" s="127">
        <v>0.5</v>
      </c>
      <c r="BD13" s="127">
        <v>0.5</v>
      </c>
      <c r="BR13" s="127">
        <v>0.5</v>
      </c>
      <c r="BU13" s="127">
        <v>0.5</v>
      </c>
    </row>
    <row r="14" spans="1:73" s="59" customFormat="1" x14ac:dyDescent="0.2">
      <c r="A14" s="58">
        <v>13</v>
      </c>
      <c r="B14" s="139" t="s">
        <v>3136</v>
      </c>
      <c r="D14" s="127">
        <v>12</v>
      </c>
      <c r="E14" s="127">
        <v>4</v>
      </c>
      <c r="F14" s="127">
        <v>0.5</v>
      </c>
      <c r="G14" s="127">
        <v>0.5</v>
      </c>
      <c r="H14" s="127">
        <v>10</v>
      </c>
      <c r="AU14" s="127">
        <v>8</v>
      </c>
      <c r="AZ14" s="127">
        <v>0.5</v>
      </c>
      <c r="BJ14" s="127">
        <v>10</v>
      </c>
    </row>
    <row r="15" spans="1:73" s="59" customFormat="1" x14ac:dyDescent="0.2">
      <c r="A15" s="58">
        <v>14</v>
      </c>
      <c r="B15" s="139" t="s">
        <v>3194</v>
      </c>
      <c r="D15" s="127">
        <v>10</v>
      </c>
      <c r="E15" s="127">
        <v>12</v>
      </c>
      <c r="K15" s="127">
        <v>2</v>
      </c>
      <c r="L15" s="127">
        <v>15</v>
      </c>
      <c r="M15" s="127">
        <v>2</v>
      </c>
      <c r="N15" s="127">
        <v>15</v>
      </c>
      <c r="R15" s="127">
        <v>1</v>
      </c>
      <c r="S15" s="127">
        <v>5</v>
      </c>
      <c r="T15" s="127">
        <v>12</v>
      </c>
      <c r="AA15" s="127">
        <v>2</v>
      </c>
      <c r="AY15" s="127">
        <v>1</v>
      </c>
      <c r="AZ15" s="127">
        <v>55</v>
      </c>
      <c r="BB15" s="127">
        <v>0.5</v>
      </c>
      <c r="BC15" s="127">
        <v>0.5</v>
      </c>
      <c r="BK15" s="127">
        <v>19</v>
      </c>
      <c r="BM15" s="127">
        <v>0.5</v>
      </c>
      <c r="BO15" s="127">
        <v>17</v>
      </c>
      <c r="BP15" s="127">
        <v>7</v>
      </c>
      <c r="BT15" s="127">
        <v>4</v>
      </c>
      <c r="BU15" s="127">
        <v>0.5</v>
      </c>
    </row>
    <row r="16" spans="1:73" s="59" customFormat="1" x14ac:dyDescent="0.2">
      <c r="A16" s="58">
        <v>15</v>
      </c>
      <c r="B16" s="139" t="s">
        <v>1517</v>
      </c>
      <c r="D16" s="127">
        <v>0.5</v>
      </c>
      <c r="R16" s="127">
        <v>0.5</v>
      </c>
      <c r="AU16" s="127">
        <v>3</v>
      </c>
    </row>
    <row r="17" spans="1:72" s="59" customFormat="1" x14ac:dyDescent="0.2">
      <c r="A17" s="58">
        <v>16</v>
      </c>
      <c r="B17" s="139" t="s">
        <v>3431</v>
      </c>
      <c r="E17" s="127">
        <v>6</v>
      </c>
      <c r="AX17" s="127">
        <v>1</v>
      </c>
      <c r="AZ17" s="127">
        <v>0.5</v>
      </c>
      <c r="BJ17" s="127">
        <v>25</v>
      </c>
    </row>
    <row r="18" spans="1:72" s="59" customFormat="1" x14ac:dyDescent="0.2">
      <c r="A18" s="58">
        <v>17</v>
      </c>
      <c r="B18" s="139" t="s">
        <v>3518</v>
      </c>
      <c r="F18" s="127">
        <v>30</v>
      </c>
      <c r="G18" s="127">
        <v>30</v>
      </c>
      <c r="H18" s="127">
        <v>20</v>
      </c>
      <c r="I18" s="127">
        <v>30</v>
      </c>
      <c r="J18" s="127">
        <v>40</v>
      </c>
      <c r="AX18" s="127">
        <v>10</v>
      </c>
    </row>
    <row r="19" spans="1:72" s="59" customFormat="1" x14ac:dyDescent="0.2">
      <c r="A19" s="58">
        <v>18</v>
      </c>
      <c r="B19" s="139" t="s">
        <v>3140</v>
      </c>
      <c r="F19" s="127">
        <v>10</v>
      </c>
      <c r="G19" s="127">
        <v>15</v>
      </c>
      <c r="J19" s="127">
        <v>20</v>
      </c>
    </row>
    <row r="20" spans="1:72" s="59" customFormat="1" x14ac:dyDescent="0.2">
      <c r="A20" s="58">
        <v>19</v>
      </c>
      <c r="B20" s="139" t="s">
        <v>3193</v>
      </c>
      <c r="F20" s="127">
        <v>8</v>
      </c>
      <c r="G20" s="127">
        <v>25</v>
      </c>
      <c r="H20" s="127">
        <v>15</v>
      </c>
      <c r="I20" s="127">
        <v>15</v>
      </c>
      <c r="J20" s="127">
        <v>10</v>
      </c>
      <c r="AX20" s="127">
        <v>15</v>
      </c>
      <c r="BH20" s="127">
        <v>0.5</v>
      </c>
    </row>
    <row r="21" spans="1:72" s="59" customFormat="1" x14ac:dyDescent="0.2">
      <c r="A21" s="58">
        <v>20</v>
      </c>
      <c r="B21" s="139" t="s">
        <v>541</v>
      </c>
      <c r="F21" s="127">
        <v>7</v>
      </c>
      <c r="G21" s="127">
        <v>0.5</v>
      </c>
      <c r="J21" s="127">
        <v>0.5</v>
      </c>
      <c r="AU21" s="127">
        <v>0.5</v>
      </c>
    </row>
    <row r="22" spans="1:72" s="59" customFormat="1" x14ac:dyDescent="0.2">
      <c r="A22" s="58">
        <v>21</v>
      </c>
      <c r="B22" s="139" t="s">
        <v>3327</v>
      </c>
      <c r="F22" s="127">
        <v>6</v>
      </c>
      <c r="G22" s="127">
        <v>1</v>
      </c>
      <c r="H22" s="127">
        <v>40</v>
      </c>
      <c r="I22" s="127">
        <v>30</v>
      </c>
      <c r="AX22" s="127">
        <v>40</v>
      </c>
      <c r="BH22" s="127">
        <v>11</v>
      </c>
    </row>
    <row r="23" spans="1:72" s="59" customFormat="1" x14ac:dyDescent="0.2">
      <c r="A23" s="58">
        <v>22</v>
      </c>
      <c r="B23" s="139" t="s">
        <v>2881</v>
      </c>
      <c r="F23" s="127">
        <v>4</v>
      </c>
      <c r="G23" s="127">
        <v>10</v>
      </c>
      <c r="H23" s="127">
        <v>2</v>
      </c>
      <c r="J23" s="127">
        <v>2</v>
      </c>
      <c r="AX23" s="127">
        <v>5</v>
      </c>
    </row>
    <row r="24" spans="1:72" s="59" customFormat="1" x14ac:dyDescent="0.2">
      <c r="A24" s="58">
        <v>23</v>
      </c>
      <c r="B24" s="139" t="s">
        <v>2893</v>
      </c>
      <c r="F24" s="127">
        <v>0.5</v>
      </c>
      <c r="G24" s="127">
        <v>0.5</v>
      </c>
      <c r="I24" s="127">
        <v>0.5</v>
      </c>
      <c r="BC24" s="127">
        <v>2</v>
      </c>
      <c r="BD24" s="127">
        <v>0.5</v>
      </c>
    </row>
    <row r="25" spans="1:72" s="59" customFormat="1" x14ac:dyDescent="0.2">
      <c r="A25" s="58">
        <v>24</v>
      </c>
      <c r="B25" s="139" t="s">
        <v>3167</v>
      </c>
      <c r="F25" s="127">
        <v>1</v>
      </c>
      <c r="G25" s="127">
        <v>2</v>
      </c>
      <c r="H25" s="127">
        <v>1</v>
      </c>
      <c r="I25" s="127">
        <v>4</v>
      </c>
      <c r="J25" s="127">
        <v>0.5</v>
      </c>
      <c r="AU25" s="127">
        <v>4</v>
      </c>
    </row>
    <row r="26" spans="1:72" s="59" customFormat="1" x14ac:dyDescent="0.2">
      <c r="A26" s="58">
        <v>25</v>
      </c>
      <c r="B26" s="139" t="s">
        <v>2848</v>
      </c>
      <c r="F26" s="127">
        <v>0.5</v>
      </c>
      <c r="J26" s="127">
        <v>0.5</v>
      </c>
    </row>
    <row r="27" spans="1:72" s="59" customFormat="1" x14ac:dyDescent="0.2">
      <c r="A27" s="58">
        <v>26</v>
      </c>
      <c r="B27" s="139" t="s">
        <v>2872</v>
      </c>
      <c r="G27" s="127">
        <v>0.5</v>
      </c>
      <c r="H27" s="127">
        <v>1</v>
      </c>
      <c r="J27" s="127">
        <v>8</v>
      </c>
    </row>
    <row r="28" spans="1:72" s="59" customFormat="1" x14ac:dyDescent="0.2">
      <c r="A28" s="58">
        <v>27</v>
      </c>
      <c r="B28" s="139" t="s">
        <v>3478</v>
      </c>
      <c r="H28" s="127">
        <v>6</v>
      </c>
      <c r="AX28" s="127">
        <v>2</v>
      </c>
      <c r="AY28" s="127">
        <v>0.5</v>
      </c>
      <c r="BH28" s="127">
        <v>95</v>
      </c>
    </row>
    <row r="29" spans="1:72" s="59" customFormat="1" x14ac:dyDescent="0.2">
      <c r="A29" s="58">
        <v>28</v>
      </c>
      <c r="B29" s="139" t="s">
        <v>545</v>
      </c>
      <c r="I29" s="127">
        <v>10</v>
      </c>
      <c r="J29" s="127">
        <v>30</v>
      </c>
    </row>
    <row r="30" spans="1:72" s="59" customFormat="1" x14ac:dyDescent="0.2">
      <c r="A30" s="58">
        <v>29</v>
      </c>
      <c r="B30" s="139" t="s">
        <v>3492</v>
      </c>
      <c r="K30" s="127">
        <v>40</v>
      </c>
      <c r="L30" s="127">
        <v>7</v>
      </c>
      <c r="M30" s="127">
        <v>30</v>
      </c>
      <c r="N30" s="127">
        <v>30</v>
      </c>
      <c r="O30" s="127">
        <v>1</v>
      </c>
      <c r="P30" s="127">
        <v>11</v>
      </c>
      <c r="R30" s="127">
        <v>12</v>
      </c>
      <c r="S30" s="127">
        <v>20</v>
      </c>
      <c r="T30" s="127">
        <v>15</v>
      </c>
      <c r="U30" s="127">
        <v>12</v>
      </c>
      <c r="V30" s="127">
        <v>0.5</v>
      </c>
      <c r="W30" s="127">
        <v>3</v>
      </c>
      <c r="X30" s="127">
        <v>4</v>
      </c>
      <c r="Y30" s="127">
        <v>2</v>
      </c>
      <c r="Z30" s="127">
        <v>2</v>
      </c>
      <c r="AA30" s="127">
        <v>2</v>
      </c>
      <c r="AB30" s="127">
        <v>8</v>
      </c>
      <c r="AC30" s="127">
        <v>8</v>
      </c>
      <c r="AE30" s="127">
        <v>0.5</v>
      </c>
      <c r="AI30" s="127">
        <v>2</v>
      </c>
      <c r="AJ30" s="127">
        <v>2</v>
      </c>
      <c r="AK30" s="127">
        <v>10</v>
      </c>
      <c r="AM30" s="127">
        <v>13</v>
      </c>
      <c r="AR30" s="127">
        <v>3</v>
      </c>
      <c r="AS30" s="127">
        <v>0.5</v>
      </c>
      <c r="AT30" s="127">
        <v>2</v>
      </c>
      <c r="AV30" s="127">
        <v>3</v>
      </c>
      <c r="AW30" s="127">
        <v>12</v>
      </c>
      <c r="BD30" s="127">
        <v>3</v>
      </c>
      <c r="BE30" s="127">
        <v>1</v>
      </c>
      <c r="BG30" s="127">
        <v>10</v>
      </c>
      <c r="BM30" s="127">
        <v>35</v>
      </c>
      <c r="BN30" s="127">
        <v>1</v>
      </c>
      <c r="BR30" s="127">
        <v>0.5</v>
      </c>
      <c r="BT30" s="127">
        <v>10</v>
      </c>
    </row>
    <row r="31" spans="1:72" s="59" customFormat="1" x14ac:dyDescent="0.2">
      <c r="A31" s="58">
        <v>30</v>
      </c>
      <c r="B31" s="139" t="s">
        <v>1529</v>
      </c>
      <c r="K31" s="127">
        <v>25</v>
      </c>
      <c r="L31" s="127">
        <v>12</v>
      </c>
      <c r="M31" s="127">
        <v>15</v>
      </c>
      <c r="N31" s="127">
        <v>8</v>
      </c>
      <c r="O31" s="127">
        <v>3</v>
      </c>
      <c r="P31" s="127">
        <v>10</v>
      </c>
      <c r="Q31" s="127">
        <v>12</v>
      </c>
      <c r="S31" s="127">
        <v>20</v>
      </c>
      <c r="T31" s="127">
        <v>2</v>
      </c>
      <c r="AA31" s="127">
        <v>0.5</v>
      </c>
      <c r="AC31" s="127">
        <v>5</v>
      </c>
      <c r="AD31" s="127">
        <v>3</v>
      </c>
      <c r="AW31" s="127">
        <v>8</v>
      </c>
      <c r="AY31" s="127">
        <v>0.5</v>
      </c>
      <c r="BB31" s="127">
        <v>6</v>
      </c>
      <c r="BE31" s="127">
        <v>3</v>
      </c>
      <c r="BF31" s="127">
        <v>16</v>
      </c>
      <c r="BG31" s="127">
        <v>3</v>
      </c>
      <c r="BL31" s="127">
        <v>19</v>
      </c>
      <c r="BM31" s="127">
        <v>3</v>
      </c>
      <c r="BO31" s="127">
        <v>0.5</v>
      </c>
      <c r="BP31" s="127">
        <v>9</v>
      </c>
      <c r="BQ31" s="127">
        <v>0.5</v>
      </c>
      <c r="BR31" s="127">
        <v>4</v>
      </c>
      <c r="BS31" s="127">
        <v>23</v>
      </c>
      <c r="BT31" s="127">
        <v>5</v>
      </c>
    </row>
    <row r="32" spans="1:72" s="59" customFormat="1" x14ac:dyDescent="0.2">
      <c r="A32" s="58">
        <v>31</v>
      </c>
      <c r="B32" s="139" t="s">
        <v>3433</v>
      </c>
      <c r="K32" s="127">
        <v>25</v>
      </c>
      <c r="L32" s="127">
        <v>8</v>
      </c>
      <c r="M32" s="127">
        <v>2</v>
      </c>
      <c r="O32" s="127">
        <v>12</v>
      </c>
      <c r="P32" s="127">
        <v>2</v>
      </c>
      <c r="R32" s="127">
        <v>6</v>
      </c>
      <c r="S32" s="127">
        <v>0.5</v>
      </c>
      <c r="U32" s="127">
        <v>1</v>
      </c>
      <c r="V32" s="127">
        <v>3</v>
      </c>
      <c r="AA32" s="127">
        <v>1</v>
      </c>
      <c r="AD32" s="127">
        <v>2</v>
      </c>
      <c r="AI32" s="127">
        <v>2</v>
      </c>
      <c r="AP32" s="127">
        <v>1</v>
      </c>
      <c r="AQ32" s="127">
        <v>1</v>
      </c>
      <c r="AT32" s="127">
        <v>2</v>
      </c>
    </row>
    <row r="33" spans="1:73" s="59" customFormat="1" x14ac:dyDescent="0.2">
      <c r="A33" s="58">
        <v>32</v>
      </c>
      <c r="B33" s="139" t="s">
        <v>3186</v>
      </c>
      <c r="K33" s="127">
        <v>20</v>
      </c>
      <c r="M33" s="127">
        <v>0.5</v>
      </c>
      <c r="S33" s="127">
        <v>0.5</v>
      </c>
      <c r="U33" s="127">
        <v>0.5</v>
      </c>
      <c r="V33" s="127">
        <v>3</v>
      </c>
      <c r="W33" s="127">
        <v>6</v>
      </c>
      <c r="Y33" s="127">
        <v>2</v>
      </c>
      <c r="AA33" s="127">
        <v>4</v>
      </c>
      <c r="AC33" s="127">
        <v>4</v>
      </c>
      <c r="AD33" s="127">
        <v>6</v>
      </c>
      <c r="AE33" s="127">
        <v>2</v>
      </c>
      <c r="AG33" s="127">
        <v>4</v>
      </c>
      <c r="AJ33" s="127">
        <v>2</v>
      </c>
      <c r="AK33" s="127">
        <v>6</v>
      </c>
      <c r="AL33" s="127">
        <v>3</v>
      </c>
      <c r="AM33" s="127">
        <v>2</v>
      </c>
      <c r="AN33" s="127">
        <v>0.5</v>
      </c>
      <c r="AR33" s="127">
        <v>2</v>
      </c>
      <c r="AW33" s="127">
        <v>7</v>
      </c>
      <c r="AY33" s="127">
        <v>8</v>
      </c>
      <c r="BC33" s="127">
        <v>0.5</v>
      </c>
      <c r="BD33" s="127">
        <v>30</v>
      </c>
      <c r="BG33" s="127">
        <v>4</v>
      </c>
      <c r="BM33" s="127">
        <v>2</v>
      </c>
      <c r="BT33" s="127">
        <v>15</v>
      </c>
      <c r="BU33" s="127">
        <v>0.5</v>
      </c>
    </row>
    <row r="34" spans="1:73" s="59" customFormat="1" x14ac:dyDescent="0.2">
      <c r="A34" s="58">
        <v>33</v>
      </c>
      <c r="B34" s="139" t="s">
        <v>3334</v>
      </c>
      <c r="K34" s="127">
        <v>10</v>
      </c>
      <c r="M34" s="127">
        <v>1</v>
      </c>
      <c r="N34" s="127">
        <v>10</v>
      </c>
      <c r="T34" s="127">
        <v>2</v>
      </c>
      <c r="U34" s="127">
        <v>1</v>
      </c>
      <c r="AD34" s="127">
        <v>2</v>
      </c>
      <c r="AL34" s="127">
        <v>3</v>
      </c>
      <c r="AW34" s="127">
        <v>6</v>
      </c>
      <c r="BF34" s="127">
        <v>18</v>
      </c>
      <c r="BI34" s="127">
        <v>0.5</v>
      </c>
      <c r="BL34" s="127">
        <v>1</v>
      </c>
      <c r="BP34" s="127">
        <v>14</v>
      </c>
      <c r="BS34" s="127">
        <v>1</v>
      </c>
      <c r="BT34" s="127">
        <v>4</v>
      </c>
    </row>
    <row r="35" spans="1:73" s="59" customFormat="1" x14ac:dyDescent="0.2">
      <c r="A35" s="58">
        <v>34</v>
      </c>
      <c r="B35" s="139" t="s">
        <v>3062</v>
      </c>
      <c r="K35" s="127">
        <v>8</v>
      </c>
      <c r="L35" s="127">
        <v>1</v>
      </c>
      <c r="M35" s="127">
        <v>10</v>
      </c>
      <c r="N35" s="127">
        <v>15</v>
      </c>
      <c r="O35" s="127">
        <v>1</v>
      </c>
      <c r="P35" s="127">
        <v>7</v>
      </c>
      <c r="R35" s="127">
        <v>0.5</v>
      </c>
      <c r="S35" s="127">
        <v>20</v>
      </c>
      <c r="T35" s="127">
        <v>20</v>
      </c>
      <c r="V35" s="127">
        <v>2</v>
      </c>
      <c r="W35" s="127">
        <v>6</v>
      </c>
      <c r="Y35" s="127">
        <v>4</v>
      </c>
      <c r="AA35" s="127">
        <v>2</v>
      </c>
      <c r="AB35" s="127">
        <v>25</v>
      </c>
      <c r="AC35" s="127">
        <v>20</v>
      </c>
      <c r="AD35" s="127">
        <v>6</v>
      </c>
      <c r="AG35" s="127">
        <v>0.5</v>
      </c>
      <c r="AK35" s="127">
        <v>8</v>
      </c>
      <c r="AL35" s="127">
        <v>4</v>
      </c>
      <c r="AN35" s="127">
        <v>8</v>
      </c>
      <c r="AT35" s="127">
        <v>1</v>
      </c>
      <c r="AV35" s="127">
        <v>3</v>
      </c>
      <c r="AW35" s="127">
        <v>20</v>
      </c>
      <c r="AY35" s="127">
        <v>6</v>
      </c>
      <c r="BB35" s="127">
        <v>20</v>
      </c>
      <c r="BE35" s="127">
        <v>2</v>
      </c>
      <c r="BG35" s="127">
        <v>0.5</v>
      </c>
      <c r="BM35" s="127">
        <v>2</v>
      </c>
      <c r="BT35" s="127">
        <v>16</v>
      </c>
    </row>
    <row r="36" spans="1:73" s="59" customFormat="1" x14ac:dyDescent="0.2">
      <c r="A36" s="58">
        <v>35</v>
      </c>
      <c r="B36" s="139" t="s">
        <v>2926</v>
      </c>
      <c r="K36" s="127">
        <v>8</v>
      </c>
      <c r="L36" s="127">
        <v>0.5</v>
      </c>
      <c r="M36" s="127">
        <v>2</v>
      </c>
      <c r="O36" s="127">
        <v>6</v>
      </c>
      <c r="P36" s="127">
        <v>1</v>
      </c>
      <c r="Q36" s="127">
        <v>1</v>
      </c>
      <c r="R36" s="127">
        <v>0.5</v>
      </c>
      <c r="S36" s="127">
        <v>14</v>
      </c>
      <c r="AD36" s="127">
        <v>2</v>
      </c>
      <c r="AF36" s="127">
        <v>2</v>
      </c>
      <c r="AT36" s="127">
        <v>2</v>
      </c>
      <c r="AV36" s="127">
        <v>3</v>
      </c>
    </row>
    <row r="37" spans="1:73" s="59" customFormat="1" x14ac:dyDescent="0.2">
      <c r="A37" s="58">
        <v>36</v>
      </c>
      <c r="B37" s="139" t="s">
        <v>1150</v>
      </c>
      <c r="K37" s="127">
        <v>7</v>
      </c>
      <c r="AD37" s="127">
        <v>1</v>
      </c>
      <c r="AL37" s="127">
        <v>2</v>
      </c>
      <c r="AO37" s="127">
        <v>2</v>
      </c>
      <c r="AP37" s="127">
        <v>3</v>
      </c>
      <c r="AQ37" s="127">
        <v>2</v>
      </c>
      <c r="AR37" s="127">
        <v>1</v>
      </c>
      <c r="AS37" s="127">
        <v>1</v>
      </c>
      <c r="BD37" s="127">
        <v>4</v>
      </c>
    </row>
    <row r="38" spans="1:73" s="59" customFormat="1" x14ac:dyDescent="0.2">
      <c r="A38" s="58">
        <v>37</v>
      </c>
      <c r="B38" s="139" t="s">
        <v>3504</v>
      </c>
      <c r="K38" s="127">
        <v>6</v>
      </c>
      <c r="L38" s="127">
        <v>5</v>
      </c>
      <c r="M38" s="127">
        <v>0.5</v>
      </c>
      <c r="N38" s="127">
        <v>2</v>
      </c>
      <c r="O38" s="127">
        <v>0.5</v>
      </c>
      <c r="P38" s="127">
        <v>1</v>
      </c>
      <c r="R38" s="127">
        <v>4</v>
      </c>
      <c r="S38" s="127">
        <v>1</v>
      </c>
      <c r="T38" s="127">
        <v>0.5</v>
      </c>
      <c r="U38" s="127">
        <v>1</v>
      </c>
      <c r="W38" s="127">
        <v>0.5</v>
      </c>
      <c r="Z38" s="127">
        <v>0.5</v>
      </c>
      <c r="AA38" s="127">
        <v>4</v>
      </c>
      <c r="AB38" s="127">
        <v>0.5</v>
      </c>
      <c r="AK38" s="127">
        <v>4</v>
      </c>
      <c r="AM38" s="127">
        <v>2</v>
      </c>
      <c r="AO38" s="127">
        <v>0.5</v>
      </c>
      <c r="AV38" s="127">
        <v>1</v>
      </c>
      <c r="AW38" s="127">
        <v>4</v>
      </c>
      <c r="BS38" s="127">
        <v>1</v>
      </c>
    </row>
    <row r="39" spans="1:73" s="59" customFormat="1" x14ac:dyDescent="0.2">
      <c r="A39" s="58">
        <v>38</v>
      </c>
      <c r="B39" s="139" t="s">
        <v>1169</v>
      </c>
      <c r="K39" s="127">
        <v>5</v>
      </c>
      <c r="L39" s="127">
        <v>5</v>
      </c>
      <c r="M39" s="127">
        <v>8</v>
      </c>
      <c r="N39" s="127">
        <v>12</v>
      </c>
      <c r="O39" s="127">
        <v>6</v>
      </c>
      <c r="Q39" s="127">
        <v>2</v>
      </c>
      <c r="R39" s="127">
        <v>1</v>
      </c>
      <c r="S39" s="127">
        <v>2</v>
      </c>
      <c r="T39" s="127">
        <v>7</v>
      </c>
      <c r="U39" s="127">
        <v>12</v>
      </c>
      <c r="V39" s="127">
        <v>15</v>
      </c>
      <c r="W39" s="127">
        <v>25</v>
      </c>
      <c r="X39" s="127">
        <v>8</v>
      </c>
      <c r="AA39" s="127">
        <v>3</v>
      </c>
      <c r="AD39" s="127">
        <v>10</v>
      </c>
      <c r="AE39" s="127">
        <v>3</v>
      </c>
      <c r="AK39" s="127">
        <v>2</v>
      </c>
      <c r="AL39" s="127">
        <v>3</v>
      </c>
      <c r="AM39" s="127">
        <v>2</v>
      </c>
      <c r="AN39" s="127">
        <v>15</v>
      </c>
      <c r="AR39" s="127">
        <v>1</v>
      </c>
      <c r="AS39" s="127">
        <v>3</v>
      </c>
      <c r="AT39" s="127">
        <v>1</v>
      </c>
      <c r="AY39" s="127">
        <v>0.5</v>
      </c>
      <c r="BB39" s="127">
        <v>14</v>
      </c>
      <c r="BC39" s="127">
        <v>14</v>
      </c>
      <c r="BD39" s="127">
        <v>8</v>
      </c>
      <c r="BG39" s="127">
        <v>6</v>
      </c>
      <c r="BN39" s="127">
        <v>16</v>
      </c>
      <c r="BR39" s="127">
        <v>0.5</v>
      </c>
      <c r="BU39" s="127">
        <v>10</v>
      </c>
    </row>
    <row r="40" spans="1:73" s="59" customFormat="1" x14ac:dyDescent="0.2">
      <c r="A40" s="58">
        <v>39</v>
      </c>
      <c r="B40" s="139" t="s">
        <v>3060</v>
      </c>
      <c r="K40" s="127">
        <v>5</v>
      </c>
      <c r="M40" s="127">
        <v>5</v>
      </c>
      <c r="R40" s="127">
        <v>1</v>
      </c>
      <c r="S40" s="127">
        <v>8</v>
      </c>
      <c r="T40" s="127">
        <v>10</v>
      </c>
      <c r="W40" s="127">
        <v>2</v>
      </c>
      <c r="Y40" s="127">
        <v>2</v>
      </c>
      <c r="AC40" s="127">
        <v>5</v>
      </c>
      <c r="AD40" s="127">
        <v>3</v>
      </c>
      <c r="AE40" s="127">
        <v>0.5</v>
      </c>
      <c r="AI40" s="127">
        <v>8</v>
      </c>
      <c r="AJ40" s="127">
        <v>8</v>
      </c>
      <c r="AK40" s="127">
        <v>3</v>
      </c>
      <c r="AS40" s="127">
        <v>0.5</v>
      </c>
      <c r="AW40" s="127">
        <v>8</v>
      </c>
      <c r="AY40" s="127">
        <v>3</v>
      </c>
      <c r="BE40" s="127">
        <v>3</v>
      </c>
      <c r="BM40" s="127">
        <v>1</v>
      </c>
      <c r="BN40" s="127">
        <v>0.5</v>
      </c>
      <c r="BR40" s="127">
        <v>3</v>
      </c>
      <c r="BT40" s="127">
        <v>0.5</v>
      </c>
      <c r="BU40" s="127">
        <v>1</v>
      </c>
    </row>
    <row r="41" spans="1:73" s="59" customFormat="1" x14ac:dyDescent="0.2">
      <c r="A41" s="58">
        <v>40</v>
      </c>
      <c r="B41" s="139" t="s">
        <v>1415</v>
      </c>
      <c r="K41" s="127">
        <v>4</v>
      </c>
      <c r="L41" s="127">
        <v>0.5</v>
      </c>
      <c r="M41" s="127">
        <v>4</v>
      </c>
      <c r="N41" s="127">
        <v>0.5</v>
      </c>
      <c r="O41" s="127">
        <v>2</v>
      </c>
      <c r="P41" s="127">
        <v>1</v>
      </c>
      <c r="Q41" s="127">
        <v>1</v>
      </c>
      <c r="R41" s="127">
        <v>6</v>
      </c>
      <c r="S41" s="127">
        <v>4</v>
      </c>
      <c r="T41" s="127">
        <v>4</v>
      </c>
      <c r="W41" s="127">
        <v>8</v>
      </c>
      <c r="AA41" s="127">
        <v>0.5</v>
      </c>
      <c r="AB41" s="127">
        <v>2</v>
      </c>
      <c r="AD41" s="127">
        <v>0.5</v>
      </c>
      <c r="AF41" s="127">
        <v>3</v>
      </c>
      <c r="AG41" s="127">
        <v>2</v>
      </c>
      <c r="AJ41" s="127">
        <v>0.5</v>
      </c>
      <c r="AK41" s="127">
        <v>1</v>
      </c>
      <c r="AL41" s="127">
        <v>1</v>
      </c>
      <c r="AM41" s="127">
        <v>4</v>
      </c>
      <c r="AO41" s="127">
        <v>0.5</v>
      </c>
      <c r="AQ41" s="127">
        <v>1</v>
      </c>
      <c r="AR41" s="127">
        <v>2</v>
      </c>
      <c r="AS41" s="127">
        <v>0.5</v>
      </c>
      <c r="AT41" s="127">
        <v>2</v>
      </c>
      <c r="AY41" s="127">
        <v>2</v>
      </c>
      <c r="BB41" s="127">
        <v>5</v>
      </c>
      <c r="BC41" s="127">
        <v>7</v>
      </c>
      <c r="BD41" s="127">
        <v>1</v>
      </c>
      <c r="BF41" s="127">
        <v>0.5</v>
      </c>
      <c r="BG41" s="127">
        <v>0.5</v>
      </c>
      <c r="BL41" s="127">
        <v>1</v>
      </c>
      <c r="BM41" s="127">
        <v>2</v>
      </c>
      <c r="BN41" s="127">
        <v>1</v>
      </c>
      <c r="BO41" s="127">
        <v>7</v>
      </c>
      <c r="BP41" s="127">
        <v>1</v>
      </c>
      <c r="BQ41" s="127">
        <v>7</v>
      </c>
      <c r="BR41" s="127">
        <v>2</v>
      </c>
      <c r="BT41" s="127">
        <v>0.5</v>
      </c>
    </row>
    <row r="42" spans="1:73" s="59" customFormat="1" x14ac:dyDescent="0.2">
      <c r="A42" s="58">
        <v>41</v>
      </c>
      <c r="B42" s="139" t="s">
        <v>3490</v>
      </c>
      <c r="K42" s="127">
        <v>4</v>
      </c>
      <c r="Q42" s="127">
        <v>25</v>
      </c>
      <c r="AD42" s="127">
        <v>3</v>
      </c>
      <c r="AM42" s="127">
        <v>3</v>
      </c>
    </row>
    <row r="43" spans="1:73" s="59" customFormat="1" x14ac:dyDescent="0.2">
      <c r="A43" s="58">
        <v>42</v>
      </c>
      <c r="B43" s="139" t="s">
        <v>3520</v>
      </c>
      <c r="K43" s="127">
        <v>4</v>
      </c>
      <c r="AA43" s="127">
        <v>4</v>
      </c>
      <c r="AL43" s="127">
        <v>5</v>
      </c>
      <c r="AO43" s="127">
        <v>2</v>
      </c>
      <c r="AQ43" s="127">
        <v>1</v>
      </c>
      <c r="AW43" s="127">
        <v>6</v>
      </c>
      <c r="AY43" s="127">
        <v>2</v>
      </c>
      <c r="BC43" s="127">
        <v>0.5</v>
      </c>
      <c r="BD43" s="127">
        <v>2</v>
      </c>
      <c r="BP43" s="127">
        <v>1</v>
      </c>
      <c r="BT43" s="127">
        <v>2</v>
      </c>
      <c r="BU43" s="127">
        <v>4</v>
      </c>
    </row>
    <row r="44" spans="1:73" s="59" customFormat="1" x14ac:dyDescent="0.2">
      <c r="A44" s="58">
        <v>43</v>
      </c>
      <c r="B44" s="139" t="s">
        <v>2866</v>
      </c>
      <c r="K44" s="127">
        <v>3</v>
      </c>
      <c r="S44" s="127">
        <v>1</v>
      </c>
      <c r="T44" s="127">
        <v>0.5</v>
      </c>
      <c r="AJ44" s="127">
        <v>0.5</v>
      </c>
      <c r="BB44" s="127">
        <v>0.5</v>
      </c>
    </row>
    <row r="45" spans="1:73" s="59" customFormat="1" x14ac:dyDescent="0.2">
      <c r="A45" s="58">
        <v>44</v>
      </c>
      <c r="B45" s="139" t="s">
        <v>2908</v>
      </c>
      <c r="K45" s="127">
        <v>2</v>
      </c>
      <c r="N45" s="127">
        <v>0.5</v>
      </c>
      <c r="R45" s="127">
        <v>0.5</v>
      </c>
      <c r="BO45" s="127">
        <v>0.5</v>
      </c>
    </row>
    <row r="46" spans="1:73" s="59" customFormat="1" x14ac:dyDescent="0.2">
      <c r="A46" s="58">
        <v>45</v>
      </c>
      <c r="B46" s="139" t="s">
        <v>1226</v>
      </c>
      <c r="K46" s="127">
        <v>2</v>
      </c>
      <c r="L46" s="127">
        <v>0.5</v>
      </c>
      <c r="M46" s="127">
        <v>0.5</v>
      </c>
      <c r="N46" s="127">
        <v>0.5</v>
      </c>
      <c r="O46" s="127">
        <v>1</v>
      </c>
      <c r="P46" s="127">
        <v>6</v>
      </c>
      <c r="R46" s="127">
        <v>0.5</v>
      </c>
      <c r="T46" s="127">
        <v>0.5</v>
      </c>
      <c r="V46" s="127">
        <v>0.5</v>
      </c>
      <c r="Z46" s="127">
        <v>2</v>
      </c>
      <c r="AF46" s="127">
        <v>1</v>
      </c>
      <c r="BG46" s="127">
        <v>1</v>
      </c>
      <c r="BS46" s="127">
        <v>0.5</v>
      </c>
      <c r="BT46" s="127">
        <v>0.5</v>
      </c>
    </row>
    <row r="47" spans="1:73" s="59" customFormat="1" x14ac:dyDescent="0.2">
      <c r="A47" s="58">
        <v>46</v>
      </c>
      <c r="B47" s="139" t="s">
        <v>3063</v>
      </c>
      <c r="K47" s="127">
        <v>2</v>
      </c>
      <c r="M47" s="127">
        <v>3</v>
      </c>
      <c r="N47" s="127">
        <v>4</v>
      </c>
      <c r="O47" s="127">
        <v>2</v>
      </c>
      <c r="P47" s="127">
        <v>2</v>
      </c>
      <c r="R47" s="127">
        <v>1</v>
      </c>
      <c r="S47" s="127">
        <v>2</v>
      </c>
      <c r="T47" s="127">
        <v>2</v>
      </c>
      <c r="U47" s="127">
        <v>1</v>
      </c>
      <c r="W47" s="127">
        <v>2</v>
      </c>
      <c r="X47" s="127">
        <v>0.5</v>
      </c>
      <c r="Y47" s="127">
        <v>4</v>
      </c>
      <c r="AA47" s="127">
        <v>35</v>
      </c>
      <c r="AD47" s="127">
        <v>1</v>
      </c>
      <c r="AI47" s="127">
        <v>2</v>
      </c>
      <c r="AJ47" s="127">
        <v>1</v>
      </c>
      <c r="AK47" s="127">
        <v>4</v>
      </c>
      <c r="AV47" s="127">
        <v>1</v>
      </c>
      <c r="AY47" s="127">
        <v>0.5</v>
      </c>
      <c r="BE47" s="127">
        <v>2</v>
      </c>
      <c r="BG47" s="127">
        <v>2</v>
      </c>
      <c r="BM47" s="127">
        <v>0.5</v>
      </c>
      <c r="BP47" s="127">
        <v>1</v>
      </c>
      <c r="BT47" s="127">
        <v>2</v>
      </c>
    </row>
    <row r="48" spans="1:73" s="59" customFormat="1" x14ac:dyDescent="0.2">
      <c r="A48" s="58">
        <v>47</v>
      </c>
      <c r="B48" s="139" t="s">
        <v>1403</v>
      </c>
      <c r="K48" s="127">
        <v>2</v>
      </c>
      <c r="L48" s="127">
        <v>1</v>
      </c>
      <c r="S48" s="127">
        <v>0.5</v>
      </c>
      <c r="T48" s="127">
        <v>0.5</v>
      </c>
      <c r="AB48" s="127">
        <v>1</v>
      </c>
      <c r="AM48" s="127">
        <v>4</v>
      </c>
      <c r="BO48" s="127">
        <v>0.5</v>
      </c>
      <c r="BP48" s="127">
        <v>7</v>
      </c>
      <c r="BQ48" s="127">
        <v>0.5</v>
      </c>
    </row>
    <row r="49" spans="1:73" s="59" customFormat="1" x14ac:dyDescent="0.2">
      <c r="A49" s="58">
        <v>48</v>
      </c>
      <c r="B49" s="139" t="s">
        <v>3188</v>
      </c>
      <c r="K49" s="127">
        <v>2</v>
      </c>
      <c r="O49" s="127">
        <v>1</v>
      </c>
      <c r="P49" s="127">
        <v>1</v>
      </c>
      <c r="R49" s="127">
        <v>2</v>
      </c>
      <c r="S49" s="127">
        <v>2</v>
      </c>
      <c r="T49" s="127">
        <v>1</v>
      </c>
      <c r="AF49" s="127">
        <v>2</v>
      </c>
      <c r="AG49" s="127">
        <v>4</v>
      </c>
      <c r="AI49" s="127">
        <v>4</v>
      </c>
      <c r="AJ49" s="127">
        <v>0.5</v>
      </c>
      <c r="AL49" s="127">
        <v>2</v>
      </c>
      <c r="AN49" s="127">
        <v>0.5</v>
      </c>
    </row>
    <row r="50" spans="1:73" s="59" customFormat="1" x14ac:dyDescent="0.2">
      <c r="A50" s="58">
        <v>49</v>
      </c>
      <c r="B50" s="139" t="s">
        <v>1499</v>
      </c>
      <c r="K50" s="127">
        <v>1</v>
      </c>
      <c r="R50" s="127">
        <v>0.5</v>
      </c>
      <c r="S50" s="127">
        <v>0.5</v>
      </c>
      <c r="T50" s="127">
        <v>1</v>
      </c>
      <c r="U50" s="127">
        <v>2</v>
      </c>
      <c r="X50" s="127">
        <v>0.5</v>
      </c>
      <c r="AA50" s="127">
        <v>0.5</v>
      </c>
      <c r="AC50" s="127">
        <v>1</v>
      </c>
    </row>
    <row r="51" spans="1:73" s="59" customFormat="1" x14ac:dyDescent="0.2">
      <c r="A51" s="58">
        <v>50</v>
      </c>
      <c r="B51" s="139" t="s">
        <v>1875</v>
      </c>
      <c r="K51" s="127">
        <v>1</v>
      </c>
      <c r="O51" s="127">
        <v>3</v>
      </c>
      <c r="R51" s="127">
        <v>8</v>
      </c>
      <c r="T51" s="127">
        <v>2</v>
      </c>
      <c r="AD51" s="127">
        <v>3</v>
      </c>
      <c r="AK51" s="127">
        <v>0.5</v>
      </c>
      <c r="AL51" s="127">
        <v>2</v>
      </c>
      <c r="AQ51" s="127">
        <v>2</v>
      </c>
      <c r="AR51" s="127">
        <v>0.5</v>
      </c>
      <c r="AT51" s="127">
        <v>2</v>
      </c>
    </row>
    <row r="52" spans="1:73" s="59" customFormat="1" x14ac:dyDescent="0.2">
      <c r="A52" s="58">
        <v>51</v>
      </c>
      <c r="B52" s="139" t="s">
        <v>3086</v>
      </c>
      <c r="K52" s="127">
        <v>1</v>
      </c>
      <c r="L52" s="127">
        <v>1</v>
      </c>
      <c r="O52" s="127">
        <v>1</v>
      </c>
    </row>
    <row r="53" spans="1:73" s="59" customFormat="1" x14ac:dyDescent="0.2">
      <c r="A53" s="58">
        <v>52</v>
      </c>
      <c r="B53" s="139" t="s">
        <v>1515</v>
      </c>
      <c r="K53" s="127">
        <v>1</v>
      </c>
      <c r="P53" s="127">
        <v>4</v>
      </c>
      <c r="AR53" s="127">
        <v>0.5</v>
      </c>
    </row>
    <row r="54" spans="1:73" s="59" customFormat="1" x14ac:dyDescent="0.2">
      <c r="A54" s="58">
        <v>53</v>
      </c>
      <c r="B54" s="139" t="s">
        <v>2829</v>
      </c>
      <c r="K54" s="127">
        <v>0.5</v>
      </c>
      <c r="O54" s="127">
        <v>0.5</v>
      </c>
      <c r="P54" s="127">
        <v>2</v>
      </c>
      <c r="W54" s="127">
        <v>0.5</v>
      </c>
      <c r="AA54" s="127">
        <v>0.5</v>
      </c>
      <c r="AB54" s="127">
        <v>1</v>
      </c>
      <c r="AD54" s="127">
        <v>0.5</v>
      </c>
      <c r="AK54" s="127">
        <v>2</v>
      </c>
      <c r="AO54" s="127">
        <v>0.5</v>
      </c>
      <c r="AQ54" s="127">
        <v>0.5</v>
      </c>
      <c r="AT54" s="127">
        <v>0.5</v>
      </c>
      <c r="BB54" s="127">
        <v>3</v>
      </c>
      <c r="BE54" s="127">
        <v>2</v>
      </c>
      <c r="BF54" s="127">
        <v>0.5</v>
      </c>
      <c r="BN54" s="127">
        <v>0.5</v>
      </c>
      <c r="BO54" s="127">
        <v>0.5</v>
      </c>
      <c r="BP54" s="127">
        <v>7</v>
      </c>
      <c r="BQ54" s="127">
        <v>11</v>
      </c>
      <c r="BT54" s="127">
        <v>1</v>
      </c>
      <c r="BU54" s="127">
        <v>0.5</v>
      </c>
    </row>
    <row r="55" spans="1:73" s="59" customFormat="1" x14ac:dyDescent="0.2">
      <c r="A55" s="58">
        <v>54</v>
      </c>
      <c r="B55" s="139" t="s">
        <v>2902</v>
      </c>
      <c r="K55" s="127">
        <v>0.5</v>
      </c>
      <c r="N55" s="127">
        <v>2</v>
      </c>
      <c r="O55" s="127">
        <v>1</v>
      </c>
      <c r="P55" s="127">
        <v>0.5</v>
      </c>
      <c r="T55" s="127">
        <v>3</v>
      </c>
      <c r="AD55" s="127">
        <v>0.5</v>
      </c>
      <c r="BB55" s="127">
        <v>0.5</v>
      </c>
    </row>
    <row r="56" spans="1:73" s="59" customFormat="1" x14ac:dyDescent="0.2">
      <c r="A56" s="58">
        <v>55</v>
      </c>
      <c r="B56" s="139" t="s">
        <v>3171</v>
      </c>
      <c r="K56" s="127">
        <v>0.5</v>
      </c>
      <c r="L56" s="127">
        <v>2</v>
      </c>
      <c r="O56" s="127">
        <v>1</v>
      </c>
      <c r="Q56" s="127">
        <v>7</v>
      </c>
      <c r="S56" s="127">
        <v>2</v>
      </c>
      <c r="V56" s="127">
        <v>15</v>
      </c>
      <c r="AB56" s="127">
        <v>1</v>
      </c>
      <c r="AD56" s="127">
        <v>1</v>
      </c>
      <c r="AI56" s="127">
        <v>0.5</v>
      </c>
      <c r="AM56" s="127">
        <v>8</v>
      </c>
      <c r="AN56" s="127">
        <v>0.5</v>
      </c>
      <c r="AP56" s="127">
        <v>6</v>
      </c>
      <c r="AQ56" s="127">
        <v>1</v>
      </c>
      <c r="AR56" s="127">
        <v>0.5</v>
      </c>
      <c r="AS56" s="127">
        <v>3</v>
      </c>
      <c r="AT56" s="127">
        <v>3</v>
      </c>
      <c r="AV56" s="127">
        <v>2</v>
      </c>
      <c r="BB56" s="127">
        <v>18</v>
      </c>
      <c r="BN56" s="127">
        <v>4</v>
      </c>
    </row>
    <row r="57" spans="1:73" s="59" customFormat="1" x14ac:dyDescent="0.2">
      <c r="A57" s="58">
        <v>56</v>
      </c>
      <c r="B57" s="139" t="s">
        <v>535</v>
      </c>
      <c r="K57" s="127">
        <v>0.5</v>
      </c>
      <c r="N57" s="127">
        <v>0.5</v>
      </c>
      <c r="O57" s="127">
        <v>2</v>
      </c>
      <c r="P57" s="127">
        <v>0.5</v>
      </c>
      <c r="Q57" s="127">
        <v>1</v>
      </c>
      <c r="R57" s="127">
        <v>8</v>
      </c>
      <c r="U57" s="127">
        <v>1</v>
      </c>
      <c r="W57" s="127">
        <v>5</v>
      </c>
      <c r="X57" s="127">
        <v>0.5</v>
      </c>
      <c r="Y57" s="127">
        <v>4</v>
      </c>
      <c r="Z57" s="127">
        <v>3</v>
      </c>
      <c r="AD57" s="127">
        <v>4</v>
      </c>
      <c r="AG57" s="127">
        <v>2</v>
      </c>
      <c r="AI57" s="127">
        <v>0.5</v>
      </c>
      <c r="AL57" s="127">
        <v>1</v>
      </c>
      <c r="AM57" s="127">
        <v>6</v>
      </c>
      <c r="AR57" s="127">
        <v>1</v>
      </c>
      <c r="AS57" s="127">
        <v>1</v>
      </c>
      <c r="AT57" s="127">
        <v>2</v>
      </c>
    </row>
    <row r="58" spans="1:73" s="59" customFormat="1" x14ac:dyDescent="0.2">
      <c r="A58" s="58">
        <v>57</v>
      </c>
      <c r="B58" s="139" t="s">
        <v>3051</v>
      </c>
      <c r="K58" s="127">
        <v>0.5</v>
      </c>
      <c r="O58" s="127">
        <v>5</v>
      </c>
      <c r="R58" s="127">
        <v>4</v>
      </c>
    </row>
    <row r="59" spans="1:73" s="59" customFormat="1" x14ac:dyDescent="0.2">
      <c r="A59" s="58">
        <v>58</v>
      </c>
      <c r="B59" s="139" t="s">
        <v>2836</v>
      </c>
      <c r="K59" s="127">
        <v>0.5</v>
      </c>
      <c r="P59" s="127">
        <v>1</v>
      </c>
      <c r="AA59" s="127">
        <v>0.5</v>
      </c>
      <c r="AK59" s="127">
        <v>2</v>
      </c>
      <c r="BT59" s="127">
        <v>2</v>
      </c>
    </row>
    <row r="60" spans="1:73" s="59" customFormat="1" x14ac:dyDescent="0.2">
      <c r="A60" s="58">
        <v>59</v>
      </c>
      <c r="B60" s="139" t="s">
        <v>1200</v>
      </c>
      <c r="K60" s="127">
        <v>0.5</v>
      </c>
      <c r="L60" s="127">
        <v>1</v>
      </c>
      <c r="M60" s="127">
        <v>1</v>
      </c>
      <c r="N60" s="127">
        <v>2</v>
      </c>
      <c r="O60" s="127">
        <v>3</v>
      </c>
      <c r="R60" s="127">
        <v>4</v>
      </c>
      <c r="S60" s="127">
        <v>1</v>
      </c>
      <c r="T60" s="127">
        <v>0.5</v>
      </c>
      <c r="U60" s="127">
        <v>1</v>
      </c>
      <c r="V60" s="127">
        <v>5</v>
      </c>
      <c r="W60" s="127">
        <v>2</v>
      </c>
      <c r="X60" s="127">
        <v>3</v>
      </c>
      <c r="Y60" s="127">
        <v>0.5</v>
      </c>
      <c r="Z60" s="127">
        <v>0.5</v>
      </c>
      <c r="AA60" s="127">
        <v>2</v>
      </c>
      <c r="AC60" s="127">
        <v>2</v>
      </c>
      <c r="AD60" s="127">
        <v>4</v>
      </c>
      <c r="AE60" s="127">
        <v>0.5</v>
      </c>
      <c r="AG60" s="127">
        <v>1</v>
      </c>
      <c r="AJ60" s="127">
        <v>1</v>
      </c>
      <c r="AK60" s="127">
        <v>4</v>
      </c>
      <c r="AL60" s="127">
        <v>0.5</v>
      </c>
      <c r="AM60" s="127">
        <v>2</v>
      </c>
      <c r="AN60" s="127">
        <v>4</v>
      </c>
      <c r="AO60" s="127">
        <v>0.5</v>
      </c>
      <c r="AP60" s="127">
        <v>1</v>
      </c>
      <c r="AQ60" s="127">
        <v>0.5</v>
      </c>
      <c r="AS60" s="127">
        <v>2</v>
      </c>
      <c r="AW60" s="127">
        <v>3</v>
      </c>
      <c r="AY60" s="127">
        <v>0.5</v>
      </c>
      <c r="BB60" s="127">
        <v>0.5</v>
      </c>
      <c r="BC60" s="127">
        <v>3</v>
      </c>
      <c r="BD60" s="127">
        <v>3</v>
      </c>
      <c r="BE60" s="127">
        <v>0.5</v>
      </c>
      <c r="BF60" s="127">
        <v>0.5</v>
      </c>
      <c r="BG60" s="127">
        <v>0.5</v>
      </c>
      <c r="BL60" s="127">
        <v>2</v>
      </c>
      <c r="BM60" s="127">
        <v>2</v>
      </c>
      <c r="BO60" s="127">
        <v>11</v>
      </c>
      <c r="BP60" s="127">
        <v>0.5</v>
      </c>
      <c r="BQ60" s="127">
        <v>16</v>
      </c>
      <c r="BS60" s="127">
        <v>0.5</v>
      </c>
      <c r="BT60" s="127">
        <v>1</v>
      </c>
      <c r="BU60" s="127">
        <v>12</v>
      </c>
    </row>
    <row r="61" spans="1:73" s="59" customFormat="1" x14ac:dyDescent="0.2">
      <c r="A61" s="58">
        <v>60</v>
      </c>
      <c r="B61" s="139" t="s">
        <v>1207</v>
      </c>
      <c r="K61" s="127">
        <v>0.5</v>
      </c>
      <c r="O61" s="127">
        <v>0.5</v>
      </c>
      <c r="S61" s="127">
        <v>3</v>
      </c>
      <c r="AA61" s="127">
        <v>1</v>
      </c>
      <c r="AB61" s="127">
        <v>1</v>
      </c>
      <c r="AM61" s="127">
        <v>3</v>
      </c>
      <c r="AN61" s="127">
        <v>0.5</v>
      </c>
      <c r="AR61" s="127">
        <v>2</v>
      </c>
      <c r="AS61" s="127">
        <v>0.5</v>
      </c>
      <c r="AT61" s="127">
        <v>2</v>
      </c>
      <c r="AW61" s="127">
        <v>2</v>
      </c>
      <c r="BL61" s="127">
        <v>2</v>
      </c>
      <c r="BR61" s="127">
        <v>1</v>
      </c>
    </row>
    <row r="62" spans="1:73" s="59" customFormat="1" x14ac:dyDescent="0.2">
      <c r="A62" s="58">
        <v>61</v>
      </c>
      <c r="B62" s="139" t="s">
        <v>1404</v>
      </c>
      <c r="K62" s="127">
        <v>0.5</v>
      </c>
      <c r="L62" s="127">
        <v>12</v>
      </c>
      <c r="N62" s="127">
        <v>0.5</v>
      </c>
      <c r="O62" s="127">
        <v>4</v>
      </c>
      <c r="P62" s="127">
        <v>1</v>
      </c>
      <c r="Q62" s="127">
        <v>0.5</v>
      </c>
      <c r="T62" s="127">
        <v>0.5</v>
      </c>
      <c r="U62" s="127">
        <v>0.5</v>
      </c>
      <c r="V62" s="127">
        <v>0.5</v>
      </c>
      <c r="Z62" s="127">
        <v>0.5</v>
      </c>
      <c r="AD62" s="127">
        <v>0.5</v>
      </c>
      <c r="AO62" s="127">
        <v>2</v>
      </c>
      <c r="AV62" s="127">
        <v>0.5</v>
      </c>
      <c r="BB62" s="127">
        <v>9</v>
      </c>
      <c r="BC62" s="127">
        <v>3</v>
      </c>
      <c r="BP62" s="127">
        <v>7</v>
      </c>
      <c r="BS62" s="127">
        <v>0.5</v>
      </c>
    </row>
    <row r="63" spans="1:73" s="59" customFormat="1" x14ac:dyDescent="0.2">
      <c r="A63" s="58">
        <v>62</v>
      </c>
      <c r="B63" s="139" t="s">
        <v>3522</v>
      </c>
      <c r="L63" s="127">
        <v>25</v>
      </c>
      <c r="N63" s="127">
        <v>4</v>
      </c>
      <c r="AO63" s="127">
        <v>6</v>
      </c>
      <c r="AQ63" s="127">
        <v>2</v>
      </c>
      <c r="BC63" s="127">
        <v>6</v>
      </c>
      <c r="BM63" s="127">
        <v>1</v>
      </c>
      <c r="BO63" s="127">
        <v>6</v>
      </c>
      <c r="BT63" s="127">
        <v>7</v>
      </c>
    </row>
    <row r="64" spans="1:73" s="59" customFormat="1" x14ac:dyDescent="0.2">
      <c r="A64" s="58">
        <v>63</v>
      </c>
      <c r="B64" s="139" t="s">
        <v>3201</v>
      </c>
      <c r="L64" s="127">
        <v>10</v>
      </c>
      <c r="M64" s="127">
        <v>10</v>
      </c>
      <c r="N64" s="127">
        <v>40</v>
      </c>
      <c r="O64" s="127">
        <v>0.5</v>
      </c>
      <c r="S64" s="127">
        <v>0.5</v>
      </c>
      <c r="T64" s="127">
        <v>30</v>
      </c>
      <c r="AD64" s="127">
        <v>12</v>
      </c>
      <c r="AL64" s="127">
        <v>0.5</v>
      </c>
      <c r="AV64" s="127">
        <v>6</v>
      </c>
      <c r="AW64" s="127">
        <v>8</v>
      </c>
      <c r="BB64" s="127">
        <v>40</v>
      </c>
      <c r="BC64" s="127">
        <v>4</v>
      </c>
      <c r="BN64" s="127">
        <v>2</v>
      </c>
      <c r="BP64" s="127">
        <v>20</v>
      </c>
      <c r="BT64" s="127">
        <v>20</v>
      </c>
    </row>
    <row r="65" spans="1:73" s="59" customFormat="1" x14ac:dyDescent="0.2">
      <c r="A65" s="58">
        <v>64</v>
      </c>
      <c r="B65" s="139" t="s">
        <v>3495</v>
      </c>
      <c r="L65" s="127">
        <v>8</v>
      </c>
      <c r="M65" s="127">
        <v>2</v>
      </c>
      <c r="AB65" s="127">
        <v>3</v>
      </c>
      <c r="AD65" s="127">
        <v>2</v>
      </c>
      <c r="AM65" s="127">
        <v>2</v>
      </c>
      <c r="AN65" s="127">
        <v>15</v>
      </c>
      <c r="AO65" s="127">
        <v>2</v>
      </c>
      <c r="AP65" s="127">
        <v>1</v>
      </c>
      <c r="AQ65" s="127">
        <v>10</v>
      </c>
      <c r="AS65" s="127">
        <v>0.5</v>
      </c>
      <c r="BB65" s="127">
        <v>8</v>
      </c>
      <c r="BC65" s="127">
        <v>11</v>
      </c>
      <c r="BE65" s="127">
        <v>4</v>
      </c>
      <c r="BF65" s="127">
        <v>8</v>
      </c>
      <c r="BL65" s="127">
        <v>6</v>
      </c>
      <c r="BM65" s="127">
        <v>2</v>
      </c>
      <c r="BN65" s="127">
        <v>3</v>
      </c>
      <c r="BO65" s="127">
        <v>9</v>
      </c>
      <c r="BP65" s="127">
        <v>4</v>
      </c>
      <c r="BR65" s="127">
        <v>3</v>
      </c>
      <c r="BS65" s="127">
        <v>3</v>
      </c>
      <c r="BT65" s="127">
        <v>21</v>
      </c>
    </row>
    <row r="66" spans="1:73" s="59" customFormat="1" x14ac:dyDescent="0.2">
      <c r="A66" s="58">
        <v>65</v>
      </c>
      <c r="B66" s="139" t="s">
        <v>3135</v>
      </c>
      <c r="L66" s="127">
        <v>6</v>
      </c>
      <c r="M66" s="127">
        <v>3</v>
      </c>
      <c r="R66" s="127">
        <v>2</v>
      </c>
      <c r="BC66" s="127">
        <v>8</v>
      </c>
    </row>
    <row r="67" spans="1:73" s="59" customFormat="1" x14ac:dyDescent="0.2">
      <c r="A67" s="58">
        <v>66</v>
      </c>
      <c r="B67" s="139" t="s">
        <v>1430</v>
      </c>
      <c r="L67" s="127">
        <v>4</v>
      </c>
      <c r="AO67" s="127">
        <v>2</v>
      </c>
      <c r="BF67" s="127">
        <v>10</v>
      </c>
    </row>
    <row r="68" spans="1:73" s="59" customFormat="1" x14ac:dyDescent="0.2">
      <c r="A68" s="58">
        <v>67</v>
      </c>
      <c r="B68" s="139" t="s">
        <v>2841</v>
      </c>
      <c r="L68" s="127">
        <v>3</v>
      </c>
      <c r="P68" s="127">
        <v>1</v>
      </c>
      <c r="AM68" s="127">
        <v>5</v>
      </c>
      <c r="AR68" s="127">
        <v>2</v>
      </c>
      <c r="AT68" s="127">
        <v>3</v>
      </c>
    </row>
    <row r="69" spans="1:73" s="59" customFormat="1" x14ac:dyDescent="0.2">
      <c r="A69" s="58">
        <v>68</v>
      </c>
      <c r="B69" s="139" t="s">
        <v>2880</v>
      </c>
      <c r="L69" s="127">
        <v>2</v>
      </c>
      <c r="AA69" s="127">
        <v>1</v>
      </c>
      <c r="AB69" s="127">
        <v>1</v>
      </c>
      <c r="AF69" s="127">
        <v>4</v>
      </c>
      <c r="AG69" s="127">
        <v>0.5</v>
      </c>
      <c r="AO69" s="127">
        <v>2</v>
      </c>
      <c r="AQ69" s="127">
        <v>3</v>
      </c>
      <c r="AR69" s="127">
        <v>1</v>
      </c>
      <c r="AT69" s="127">
        <v>2</v>
      </c>
      <c r="BE69" s="127">
        <v>0.5</v>
      </c>
      <c r="BO69" s="127">
        <v>7</v>
      </c>
      <c r="BP69" s="127">
        <v>2</v>
      </c>
      <c r="BR69" s="127">
        <v>0.5</v>
      </c>
      <c r="BS69" s="127">
        <v>0.5</v>
      </c>
    </row>
    <row r="70" spans="1:73" s="59" customFormat="1" x14ac:dyDescent="0.2">
      <c r="A70" s="58">
        <v>69</v>
      </c>
      <c r="B70" s="139" t="s">
        <v>3175</v>
      </c>
      <c r="L70" s="127">
        <v>2</v>
      </c>
      <c r="Q70" s="127">
        <v>0.5</v>
      </c>
      <c r="T70" s="127">
        <v>1</v>
      </c>
      <c r="AA70" s="127">
        <v>2</v>
      </c>
    </row>
    <row r="71" spans="1:73" s="59" customFormat="1" x14ac:dyDescent="0.2">
      <c r="A71" s="58">
        <v>70</v>
      </c>
      <c r="B71" s="139" t="s">
        <v>3430</v>
      </c>
      <c r="L71" s="127">
        <v>2</v>
      </c>
    </row>
    <row r="72" spans="1:73" s="59" customFormat="1" x14ac:dyDescent="0.2">
      <c r="A72" s="58">
        <v>71</v>
      </c>
      <c r="B72" s="139" t="s">
        <v>2851</v>
      </c>
      <c r="L72" s="127">
        <v>2</v>
      </c>
      <c r="BO72" s="127">
        <v>1</v>
      </c>
      <c r="BR72" s="127">
        <v>0.5</v>
      </c>
      <c r="BT72" s="127">
        <v>1</v>
      </c>
    </row>
    <row r="73" spans="1:73" s="59" customFormat="1" x14ac:dyDescent="0.2">
      <c r="A73" s="58">
        <v>72</v>
      </c>
      <c r="B73" s="139" t="s">
        <v>1187</v>
      </c>
      <c r="L73" s="127">
        <v>1</v>
      </c>
      <c r="M73" s="127">
        <v>1</v>
      </c>
      <c r="O73" s="127">
        <v>0.5</v>
      </c>
      <c r="T73" s="127">
        <v>0.5</v>
      </c>
      <c r="AL73" s="127">
        <v>2</v>
      </c>
      <c r="AM73" s="127">
        <v>0.5</v>
      </c>
      <c r="AP73" s="127">
        <v>1</v>
      </c>
      <c r="BB73" s="127">
        <v>0.5</v>
      </c>
      <c r="BO73" s="127">
        <v>0.5</v>
      </c>
    </row>
    <row r="74" spans="1:73" s="59" customFormat="1" x14ac:dyDescent="0.2">
      <c r="A74" s="58">
        <v>73</v>
      </c>
      <c r="B74" s="139" t="s">
        <v>3048</v>
      </c>
      <c r="L74" s="127">
        <v>1</v>
      </c>
      <c r="BU74" s="127">
        <v>0.5</v>
      </c>
    </row>
    <row r="75" spans="1:73" s="59" customFormat="1" x14ac:dyDescent="0.2">
      <c r="A75" s="58">
        <v>74</v>
      </c>
      <c r="B75" s="139" t="s">
        <v>3165</v>
      </c>
      <c r="L75" s="127">
        <v>0.5</v>
      </c>
      <c r="M75" s="127">
        <v>2</v>
      </c>
      <c r="O75" s="127">
        <v>2</v>
      </c>
      <c r="P75" s="127">
        <v>2</v>
      </c>
      <c r="T75" s="127">
        <v>1</v>
      </c>
      <c r="BC75" s="127">
        <v>0.5</v>
      </c>
      <c r="BQ75" s="127">
        <v>0.5</v>
      </c>
      <c r="BT75" s="127">
        <v>0.5</v>
      </c>
    </row>
    <row r="76" spans="1:73" s="59" customFormat="1" x14ac:dyDescent="0.2">
      <c r="A76" s="58">
        <v>75</v>
      </c>
      <c r="B76" s="139" t="s">
        <v>3380</v>
      </c>
      <c r="L76" s="127">
        <v>0.5</v>
      </c>
    </row>
    <row r="77" spans="1:73" s="59" customFormat="1" x14ac:dyDescent="0.2">
      <c r="A77" s="58">
        <v>76</v>
      </c>
      <c r="B77" s="139" t="s">
        <v>1539</v>
      </c>
      <c r="L77" s="127">
        <v>0.5</v>
      </c>
      <c r="BF77" s="127">
        <v>0.5</v>
      </c>
    </row>
    <row r="78" spans="1:73" s="59" customFormat="1" x14ac:dyDescent="0.2">
      <c r="A78" s="58">
        <v>77</v>
      </c>
      <c r="B78" s="139" t="s">
        <v>2898</v>
      </c>
      <c r="M78" s="127">
        <v>2</v>
      </c>
      <c r="N78" s="127">
        <v>0.5</v>
      </c>
      <c r="P78" s="127">
        <v>4</v>
      </c>
      <c r="AG78" s="127">
        <v>2</v>
      </c>
      <c r="AI78" s="127">
        <v>2</v>
      </c>
    </row>
    <row r="79" spans="1:73" s="59" customFormat="1" x14ac:dyDescent="0.2">
      <c r="A79" s="58">
        <v>78</v>
      </c>
      <c r="B79" s="139" t="s">
        <v>1177</v>
      </c>
      <c r="M79" s="127">
        <v>2</v>
      </c>
      <c r="N79" s="127">
        <v>0.5</v>
      </c>
      <c r="O79" s="127">
        <v>2</v>
      </c>
      <c r="P79" s="127">
        <v>3</v>
      </c>
      <c r="R79" s="127">
        <v>4</v>
      </c>
      <c r="AO79" s="127">
        <v>0.5</v>
      </c>
      <c r="AT79" s="127">
        <v>1</v>
      </c>
      <c r="AV79" s="127">
        <v>1</v>
      </c>
      <c r="AW79" s="127">
        <v>3</v>
      </c>
      <c r="BB79" s="127">
        <v>19</v>
      </c>
      <c r="BG79" s="127">
        <v>2</v>
      </c>
      <c r="BT79" s="127">
        <v>13</v>
      </c>
    </row>
    <row r="80" spans="1:73" s="59" customFormat="1" x14ac:dyDescent="0.2">
      <c r="A80" s="58">
        <v>79</v>
      </c>
      <c r="B80" s="139" t="s">
        <v>1418</v>
      </c>
      <c r="M80" s="127">
        <v>1</v>
      </c>
      <c r="N80" s="127">
        <v>2</v>
      </c>
      <c r="W80" s="127">
        <v>0.5</v>
      </c>
      <c r="AP80" s="127">
        <v>1</v>
      </c>
      <c r="AQ80" s="127">
        <v>3</v>
      </c>
      <c r="AV80" s="127">
        <v>0.5</v>
      </c>
      <c r="BC80" s="127">
        <v>2</v>
      </c>
      <c r="BQ80" s="127">
        <v>0.5</v>
      </c>
      <c r="BU80" s="127">
        <v>0.5</v>
      </c>
    </row>
    <row r="81" spans="1:70" s="59" customFormat="1" x14ac:dyDescent="0.2">
      <c r="A81" s="58">
        <v>80</v>
      </c>
      <c r="B81" s="139" t="s">
        <v>3494</v>
      </c>
      <c r="M81" s="127">
        <v>1</v>
      </c>
      <c r="S81" s="127">
        <v>0.5</v>
      </c>
      <c r="Y81" s="127">
        <v>4</v>
      </c>
      <c r="AB81" s="127">
        <v>10</v>
      </c>
      <c r="AC81" s="127">
        <v>12</v>
      </c>
      <c r="AD81" s="127">
        <v>20</v>
      </c>
      <c r="AE81" s="127">
        <v>4</v>
      </c>
      <c r="AG81" s="127">
        <v>12</v>
      </c>
      <c r="AI81" s="127">
        <v>2</v>
      </c>
      <c r="AJ81" s="127">
        <v>3</v>
      </c>
      <c r="AK81" s="127">
        <v>1</v>
      </c>
      <c r="AN81" s="127">
        <v>0.5</v>
      </c>
      <c r="BL81" s="127">
        <v>12</v>
      </c>
      <c r="BQ81" s="127">
        <v>1</v>
      </c>
    </row>
    <row r="82" spans="1:70" s="59" customFormat="1" x14ac:dyDescent="0.2">
      <c r="A82" s="58">
        <v>81</v>
      </c>
      <c r="B82" s="139" t="s">
        <v>1148</v>
      </c>
      <c r="M82" s="127">
        <v>0.5</v>
      </c>
      <c r="O82" s="127">
        <v>2</v>
      </c>
      <c r="P82" s="127">
        <v>1</v>
      </c>
      <c r="R82" s="127">
        <v>0.5</v>
      </c>
      <c r="T82" s="127">
        <v>2</v>
      </c>
      <c r="AA82" s="127">
        <v>0.5</v>
      </c>
      <c r="AB82" s="127">
        <v>4</v>
      </c>
      <c r="AJ82" s="127">
        <v>1</v>
      </c>
      <c r="AL82" s="127">
        <v>1</v>
      </c>
      <c r="AM82" s="127">
        <v>7</v>
      </c>
      <c r="AP82" s="127">
        <v>2</v>
      </c>
      <c r="AQ82" s="127">
        <v>3</v>
      </c>
      <c r="AR82" s="127">
        <v>1</v>
      </c>
      <c r="AS82" s="127">
        <v>1</v>
      </c>
      <c r="AT82" s="127">
        <v>1</v>
      </c>
      <c r="BC82" s="127">
        <v>1</v>
      </c>
      <c r="BL82" s="127">
        <v>4</v>
      </c>
    </row>
    <row r="83" spans="1:70" s="59" customFormat="1" x14ac:dyDescent="0.2">
      <c r="A83" s="58">
        <v>82</v>
      </c>
      <c r="B83" s="139" t="s">
        <v>1504</v>
      </c>
      <c r="M83" s="127">
        <v>0.5</v>
      </c>
      <c r="S83" s="127">
        <v>0.5</v>
      </c>
      <c r="T83" s="127">
        <v>1</v>
      </c>
      <c r="AG83" s="127">
        <v>4</v>
      </c>
      <c r="AJ83" s="127">
        <v>1</v>
      </c>
    </row>
    <row r="84" spans="1:70" s="59" customFormat="1" x14ac:dyDescent="0.2">
      <c r="A84" s="58">
        <v>83</v>
      </c>
      <c r="B84" s="139" t="s">
        <v>547</v>
      </c>
      <c r="N84" s="127">
        <v>6</v>
      </c>
      <c r="S84" s="127">
        <v>0.5</v>
      </c>
    </row>
    <row r="85" spans="1:70" s="59" customFormat="1" x14ac:dyDescent="0.2">
      <c r="A85" s="58">
        <v>84</v>
      </c>
      <c r="B85" s="139" t="s">
        <v>1165</v>
      </c>
      <c r="O85" s="127">
        <v>15</v>
      </c>
      <c r="R85" s="127">
        <v>0.5</v>
      </c>
      <c r="U85" s="127">
        <v>20</v>
      </c>
      <c r="V85" s="127">
        <v>0.5</v>
      </c>
      <c r="X85" s="127">
        <v>2</v>
      </c>
      <c r="Y85" s="127">
        <v>2</v>
      </c>
      <c r="Z85" s="127">
        <v>2</v>
      </c>
      <c r="AA85" s="127">
        <v>4</v>
      </c>
      <c r="AC85" s="127">
        <v>0.5</v>
      </c>
      <c r="AD85" s="127">
        <v>2</v>
      </c>
      <c r="AF85" s="127">
        <v>25</v>
      </c>
      <c r="AI85" s="127">
        <v>6</v>
      </c>
      <c r="AK85" s="127">
        <v>2</v>
      </c>
      <c r="AL85" s="127">
        <v>5</v>
      </c>
      <c r="AP85" s="127">
        <v>45</v>
      </c>
      <c r="AQ85" s="127">
        <v>40</v>
      </c>
      <c r="AR85" s="127">
        <v>2</v>
      </c>
      <c r="AT85" s="127">
        <v>12</v>
      </c>
      <c r="AV85" s="127">
        <v>10</v>
      </c>
      <c r="AW85" s="127">
        <v>6</v>
      </c>
      <c r="BF85" s="127">
        <v>11</v>
      </c>
    </row>
    <row r="86" spans="1:70" s="59" customFormat="1" x14ac:dyDescent="0.2">
      <c r="A86" s="58">
        <v>85</v>
      </c>
      <c r="B86" s="139" t="s">
        <v>3484</v>
      </c>
      <c r="O86" s="127">
        <v>10</v>
      </c>
      <c r="W86" s="127">
        <v>8</v>
      </c>
      <c r="AD86" s="127">
        <v>3</v>
      </c>
      <c r="AK86" s="127">
        <v>10</v>
      </c>
      <c r="AV86" s="127">
        <v>3</v>
      </c>
    </row>
    <row r="87" spans="1:70" s="59" customFormat="1" x14ac:dyDescent="0.2">
      <c r="A87" s="58">
        <v>86</v>
      </c>
      <c r="B87" s="139" t="s">
        <v>3033</v>
      </c>
      <c r="O87" s="127">
        <v>7</v>
      </c>
      <c r="P87" s="127">
        <v>5</v>
      </c>
      <c r="U87" s="127">
        <v>20</v>
      </c>
      <c r="V87" s="127">
        <v>8</v>
      </c>
      <c r="W87" s="127">
        <v>0.5</v>
      </c>
      <c r="X87" s="127">
        <v>2</v>
      </c>
      <c r="Z87" s="127">
        <v>2</v>
      </c>
      <c r="AA87" s="127">
        <v>1</v>
      </c>
      <c r="AV87" s="127">
        <v>3</v>
      </c>
    </row>
    <row r="88" spans="1:70" s="59" customFormat="1" x14ac:dyDescent="0.2">
      <c r="A88" s="58">
        <v>87</v>
      </c>
      <c r="B88" s="139" t="s">
        <v>3515</v>
      </c>
      <c r="O88" s="127">
        <v>4</v>
      </c>
    </row>
    <row r="89" spans="1:70" s="59" customFormat="1" x14ac:dyDescent="0.2">
      <c r="A89" s="58">
        <v>88</v>
      </c>
      <c r="B89" s="139" t="s">
        <v>1416</v>
      </c>
      <c r="O89" s="127">
        <v>3</v>
      </c>
      <c r="U89" s="127">
        <v>0.5</v>
      </c>
      <c r="X89" s="127">
        <v>0.5</v>
      </c>
      <c r="Y89" s="127">
        <v>3</v>
      </c>
      <c r="Z89" s="127">
        <v>1</v>
      </c>
      <c r="AA89" s="127">
        <v>2</v>
      </c>
      <c r="AV89" s="127">
        <v>3</v>
      </c>
    </row>
    <row r="90" spans="1:70" s="59" customFormat="1" x14ac:dyDescent="0.2">
      <c r="A90" s="58">
        <v>89</v>
      </c>
      <c r="B90" s="139" t="s">
        <v>1425</v>
      </c>
      <c r="O90" s="127">
        <v>2</v>
      </c>
      <c r="P90" s="127">
        <v>8</v>
      </c>
      <c r="Z90" s="127">
        <v>1</v>
      </c>
      <c r="AD90" s="127">
        <v>2</v>
      </c>
      <c r="AJ90" s="127">
        <v>2</v>
      </c>
      <c r="AR90" s="127">
        <v>1</v>
      </c>
      <c r="AS90" s="127">
        <v>1</v>
      </c>
      <c r="AT90" s="127">
        <v>0.5</v>
      </c>
      <c r="BG90" s="127">
        <v>4</v>
      </c>
      <c r="BR90" s="127">
        <v>0.5</v>
      </c>
    </row>
    <row r="91" spans="1:70" s="59" customFormat="1" x14ac:dyDescent="0.2">
      <c r="A91" s="58">
        <v>90</v>
      </c>
      <c r="B91" s="139" t="s">
        <v>1530</v>
      </c>
      <c r="O91" s="127">
        <v>2</v>
      </c>
      <c r="P91" s="127">
        <v>3</v>
      </c>
      <c r="R91" s="127">
        <v>0.5</v>
      </c>
      <c r="U91" s="127">
        <v>0.5</v>
      </c>
      <c r="V91" s="127">
        <v>7</v>
      </c>
      <c r="W91" s="127">
        <v>4</v>
      </c>
      <c r="X91" s="127">
        <v>4</v>
      </c>
      <c r="AA91" s="127">
        <v>0.5</v>
      </c>
      <c r="AB91" s="127">
        <v>1</v>
      </c>
      <c r="AF91" s="127">
        <v>18</v>
      </c>
      <c r="AG91" s="127">
        <v>0.5</v>
      </c>
      <c r="AI91" s="127">
        <v>4</v>
      </c>
      <c r="AL91" s="127">
        <v>0.5</v>
      </c>
      <c r="AN91" s="127">
        <v>4</v>
      </c>
      <c r="AV91" s="127">
        <v>1</v>
      </c>
      <c r="AW91" s="127">
        <v>6</v>
      </c>
    </row>
    <row r="92" spans="1:70" s="59" customFormat="1" x14ac:dyDescent="0.2">
      <c r="A92" s="58">
        <v>91</v>
      </c>
      <c r="B92" s="139" t="s">
        <v>3107</v>
      </c>
      <c r="O92" s="127">
        <v>1</v>
      </c>
      <c r="AT92" s="127">
        <v>1</v>
      </c>
    </row>
    <row r="93" spans="1:70" s="59" customFormat="1" x14ac:dyDescent="0.2">
      <c r="A93" s="58">
        <v>92</v>
      </c>
      <c r="B93" s="139" t="s">
        <v>1436</v>
      </c>
      <c r="O93" s="127">
        <v>1</v>
      </c>
      <c r="R93" s="127">
        <v>2</v>
      </c>
      <c r="AJ93" s="127">
        <v>2</v>
      </c>
      <c r="AM93" s="127">
        <v>2</v>
      </c>
      <c r="AR93" s="127">
        <v>1</v>
      </c>
      <c r="AS93" s="127">
        <v>2</v>
      </c>
      <c r="AT93" s="127">
        <v>2</v>
      </c>
    </row>
    <row r="94" spans="1:70" s="59" customFormat="1" x14ac:dyDescent="0.2">
      <c r="A94" s="58">
        <v>93</v>
      </c>
      <c r="B94" s="139" t="s">
        <v>1203</v>
      </c>
      <c r="O94" s="127">
        <v>0.5</v>
      </c>
      <c r="AJ94" s="127">
        <v>0.5</v>
      </c>
      <c r="AM94" s="127">
        <v>6</v>
      </c>
      <c r="AT94" s="127">
        <v>7</v>
      </c>
      <c r="BN94" s="127">
        <v>4</v>
      </c>
      <c r="BR94" s="127">
        <v>0.5</v>
      </c>
    </row>
    <row r="95" spans="1:70" s="59" customFormat="1" x14ac:dyDescent="0.2">
      <c r="A95" s="58">
        <v>94</v>
      </c>
      <c r="B95" s="139" t="s">
        <v>3129</v>
      </c>
      <c r="O95" s="127">
        <v>0.5</v>
      </c>
      <c r="R95" s="127">
        <v>0.5</v>
      </c>
      <c r="U95" s="127">
        <v>0.5</v>
      </c>
      <c r="Y95" s="127">
        <v>2</v>
      </c>
      <c r="AM95" s="127">
        <v>0.5</v>
      </c>
      <c r="AT95" s="127">
        <v>1</v>
      </c>
      <c r="AV95" s="127">
        <v>0.5</v>
      </c>
    </row>
    <row r="96" spans="1:70" s="59" customFormat="1" x14ac:dyDescent="0.2">
      <c r="A96" s="58">
        <v>95</v>
      </c>
      <c r="B96" s="139" t="s">
        <v>1283</v>
      </c>
      <c r="O96" s="127">
        <v>0.5</v>
      </c>
      <c r="P96" s="127">
        <v>1</v>
      </c>
      <c r="AA96" s="127">
        <v>1</v>
      </c>
      <c r="AB96" s="127">
        <v>2</v>
      </c>
    </row>
    <row r="97" spans="1:73" s="59" customFormat="1" x14ac:dyDescent="0.2">
      <c r="A97" s="58">
        <v>96</v>
      </c>
      <c r="B97" s="139" t="s">
        <v>3462</v>
      </c>
      <c r="P97" s="127">
        <v>7</v>
      </c>
      <c r="X97" s="127">
        <v>4</v>
      </c>
      <c r="Y97" s="127">
        <v>3</v>
      </c>
      <c r="Z97" s="127">
        <v>15</v>
      </c>
      <c r="AB97" s="127">
        <v>8</v>
      </c>
      <c r="AC97" s="127">
        <v>1</v>
      </c>
      <c r="AD97" s="127">
        <v>7</v>
      </c>
      <c r="AG97" s="127">
        <v>12</v>
      </c>
      <c r="AL97" s="127">
        <v>2</v>
      </c>
      <c r="AM97" s="127">
        <v>4</v>
      </c>
      <c r="AN97" s="127">
        <v>25</v>
      </c>
      <c r="AP97" s="127">
        <v>1</v>
      </c>
      <c r="AS97" s="127">
        <v>0.5</v>
      </c>
      <c r="AT97" s="127">
        <v>1</v>
      </c>
      <c r="AV97" s="127">
        <v>5</v>
      </c>
      <c r="BE97" s="127">
        <v>30</v>
      </c>
      <c r="BF97" s="127">
        <v>8</v>
      </c>
      <c r="BL97" s="127">
        <v>15</v>
      </c>
      <c r="BN97" s="127">
        <v>0.5</v>
      </c>
      <c r="BO97" s="127">
        <v>0.5</v>
      </c>
      <c r="BP97" s="127">
        <v>25</v>
      </c>
      <c r="BS97" s="127">
        <v>16</v>
      </c>
      <c r="BT97" s="127">
        <v>10</v>
      </c>
    </row>
    <row r="98" spans="1:73" s="59" customFormat="1" x14ac:dyDescent="0.2">
      <c r="A98" s="58">
        <v>97</v>
      </c>
      <c r="B98" s="139" t="s">
        <v>550</v>
      </c>
      <c r="P98" s="127">
        <v>5</v>
      </c>
    </row>
    <row r="99" spans="1:73" s="59" customFormat="1" x14ac:dyDescent="0.2">
      <c r="A99" s="58">
        <v>98</v>
      </c>
      <c r="B99" s="139" t="s">
        <v>1488</v>
      </c>
      <c r="P99" s="127">
        <v>5</v>
      </c>
    </row>
    <row r="100" spans="1:73" s="59" customFormat="1" x14ac:dyDescent="0.2">
      <c r="A100" s="58">
        <v>99</v>
      </c>
      <c r="B100" s="139" t="s">
        <v>3168</v>
      </c>
      <c r="P100" s="127">
        <v>3</v>
      </c>
      <c r="AY100" s="127">
        <v>2</v>
      </c>
      <c r="BE100" s="127">
        <v>0.5</v>
      </c>
      <c r="BG100" s="127">
        <v>0.5</v>
      </c>
      <c r="BM100" s="127">
        <v>7</v>
      </c>
      <c r="BN100" s="127">
        <v>4</v>
      </c>
      <c r="BP100" s="127">
        <v>0.5</v>
      </c>
      <c r="BT100" s="127">
        <v>7</v>
      </c>
      <c r="BU100" s="127">
        <v>4</v>
      </c>
    </row>
    <row r="101" spans="1:73" s="59" customFormat="1" x14ac:dyDescent="0.2">
      <c r="A101" s="58">
        <v>100</v>
      </c>
      <c r="B101" s="139" t="s">
        <v>3516</v>
      </c>
      <c r="P101" s="127">
        <v>3</v>
      </c>
      <c r="V101" s="127">
        <v>20</v>
      </c>
      <c r="W101" s="127">
        <v>25</v>
      </c>
      <c r="Z101" s="127">
        <v>1</v>
      </c>
      <c r="AA101" s="127">
        <v>6</v>
      </c>
      <c r="AB101" s="127">
        <v>20</v>
      </c>
      <c r="AC101" s="127">
        <v>12</v>
      </c>
      <c r="AE101" s="127">
        <v>3</v>
      </c>
      <c r="AG101" s="127">
        <v>15</v>
      </c>
      <c r="AI101" s="127">
        <v>6</v>
      </c>
      <c r="AK101" s="127">
        <v>10</v>
      </c>
      <c r="AL101" s="127">
        <v>3</v>
      </c>
      <c r="AM101" s="127">
        <v>1</v>
      </c>
      <c r="AN101" s="127">
        <v>2</v>
      </c>
      <c r="AR101" s="127">
        <v>6</v>
      </c>
      <c r="AS101" s="127">
        <v>10</v>
      </c>
      <c r="BD101" s="127">
        <v>6</v>
      </c>
      <c r="BN101" s="127">
        <v>9</v>
      </c>
      <c r="BR101" s="127">
        <v>9</v>
      </c>
      <c r="BS101" s="127">
        <v>0.5</v>
      </c>
      <c r="BU101" s="127">
        <v>0.5</v>
      </c>
    </row>
    <row r="102" spans="1:73" s="59" customFormat="1" x14ac:dyDescent="0.2">
      <c r="A102" s="58">
        <v>101</v>
      </c>
      <c r="B102" s="139" t="s">
        <v>1535</v>
      </c>
      <c r="P102" s="127">
        <v>2</v>
      </c>
      <c r="V102" s="127">
        <v>3</v>
      </c>
      <c r="W102" s="127">
        <v>2</v>
      </c>
      <c r="AV102" s="127">
        <v>0.5</v>
      </c>
    </row>
    <row r="103" spans="1:73" s="59" customFormat="1" x14ac:dyDescent="0.2">
      <c r="A103" s="58">
        <v>102</v>
      </c>
      <c r="B103" s="139" t="s">
        <v>3045</v>
      </c>
      <c r="P103" s="127">
        <v>2</v>
      </c>
      <c r="R103" s="127">
        <v>0.5</v>
      </c>
    </row>
    <row r="104" spans="1:73" s="59" customFormat="1" x14ac:dyDescent="0.2">
      <c r="A104" s="58">
        <v>103</v>
      </c>
      <c r="B104" s="139" t="s">
        <v>2853</v>
      </c>
      <c r="P104" s="127">
        <v>2</v>
      </c>
      <c r="T104" s="127">
        <v>3</v>
      </c>
      <c r="W104" s="127">
        <v>7</v>
      </c>
      <c r="AA104" s="127">
        <v>2</v>
      </c>
      <c r="AB104" s="127">
        <v>0.5</v>
      </c>
      <c r="AK104" s="127">
        <v>1</v>
      </c>
      <c r="AL104" s="127">
        <v>20</v>
      </c>
      <c r="AQ104" s="127">
        <v>0.5</v>
      </c>
      <c r="AW104" s="127">
        <v>3</v>
      </c>
      <c r="BM104" s="127">
        <v>3</v>
      </c>
    </row>
    <row r="105" spans="1:73" s="59" customFormat="1" x14ac:dyDescent="0.2">
      <c r="A105" s="58">
        <v>104</v>
      </c>
      <c r="B105" s="139" t="s">
        <v>3331</v>
      </c>
      <c r="P105" s="127">
        <v>2</v>
      </c>
      <c r="Q105" s="127">
        <v>0.5</v>
      </c>
      <c r="S105" s="127">
        <v>5</v>
      </c>
      <c r="AQ105" s="127">
        <v>8</v>
      </c>
      <c r="BP105" s="127">
        <v>0.5</v>
      </c>
    </row>
    <row r="106" spans="1:73" s="59" customFormat="1" x14ac:dyDescent="0.2">
      <c r="A106" s="58">
        <v>105</v>
      </c>
      <c r="B106" s="139" t="s">
        <v>1540</v>
      </c>
      <c r="P106" s="127">
        <v>1</v>
      </c>
      <c r="R106" s="127">
        <v>2</v>
      </c>
      <c r="AD106" s="127">
        <v>1</v>
      </c>
    </row>
    <row r="107" spans="1:73" s="59" customFormat="1" x14ac:dyDescent="0.2">
      <c r="A107" s="58">
        <v>106</v>
      </c>
      <c r="B107" s="139" t="s">
        <v>3427</v>
      </c>
      <c r="Q107" s="127">
        <v>55</v>
      </c>
      <c r="S107" s="127">
        <v>0.5</v>
      </c>
    </row>
    <row r="108" spans="1:73" s="59" customFormat="1" x14ac:dyDescent="0.2">
      <c r="A108" s="58">
        <v>107</v>
      </c>
      <c r="B108" s="139" t="s">
        <v>1197</v>
      </c>
      <c r="Q108" s="127">
        <v>14</v>
      </c>
      <c r="AY108" s="127">
        <v>3</v>
      </c>
      <c r="BD108" s="127">
        <v>1</v>
      </c>
      <c r="BO108" s="127">
        <v>0.5</v>
      </c>
    </row>
    <row r="109" spans="1:73" s="59" customFormat="1" x14ac:dyDescent="0.2">
      <c r="A109" s="58">
        <v>108</v>
      </c>
      <c r="B109" s="139" t="s">
        <v>1157</v>
      </c>
      <c r="Q109" s="127">
        <v>8</v>
      </c>
      <c r="AY109" s="127">
        <v>1</v>
      </c>
      <c r="BC109" s="127">
        <v>40</v>
      </c>
      <c r="BU109" s="127">
        <v>0.5</v>
      </c>
    </row>
    <row r="110" spans="1:73" s="59" customFormat="1" x14ac:dyDescent="0.2">
      <c r="A110" s="58">
        <v>109</v>
      </c>
      <c r="B110" s="139" t="s">
        <v>546</v>
      </c>
      <c r="Q110" s="127">
        <v>0.5</v>
      </c>
    </row>
    <row r="111" spans="1:73" s="59" customFormat="1" x14ac:dyDescent="0.2">
      <c r="A111" s="58">
        <v>110</v>
      </c>
      <c r="B111" s="139" t="s">
        <v>3133</v>
      </c>
      <c r="Q111" s="127">
        <v>0.5</v>
      </c>
    </row>
    <row r="112" spans="1:73" s="59" customFormat="1" x14ac:dyDescent="0.2">
      <c r="A112" s="58">
        <v>111</v>
      </c>
      <c r="B112" s="139" t="s">
        <v>557</v>
      </c>
      <c r="Q112" s="127">
        <v>0.5</v>
      </c>
    </row>
    <row r="113" spans="1:73" s="59" customFormat="1" x14ac:dyDescent="0.2">
      <c r="A113" s="58">
        <v>112</v>
      </c>
      <c r="B113" s="139" t="s">
        <v>3074</v>
      </c>
      <c r="Q113" s="127">
        <v>0.5</v>
      </c>
    </row>
    <row r="114" spans="1:73" s="59" customFormat="1" x14ac:dyDescent="0.2">
      <c r="A114" s="58">
        <v>113</v>
      </c>
      <c r="B114" s="139" t="s">
        <v>3183</v>
      </c>
      <c r="Q114" s="127">
        <v>0.5</v>
      </c>
      <c r="AR114" s="127">
        <v>0.5</v>
      </c>
      <c r="AS114" s="127">
        <v>0.5</v>
      </c>
      <c r="BN114" s="127">
        <v>4</v>
      </c>
    </row>
    <row r="115" spans="1:73" s="59" customFormat="1" x14ac:dyDescent="0.2">
      <c r="A115" s="58">
        <v>114</v>
      </c>
      <c r="B115" s="139" t="s">
        <v>3385</v>
      </c>
      <c r="R115" s="127">
        <v>30</v>
      </c>
      <c r="U115" s="127">
        <v>0.5</v>
      </c>
      <c r="V115" s="127">
        <v>1</v>
      </c>
      <c r="AA115" s="127">
        <v>4</v>
      </c>
      <c r="AC115" s="127">
        <v>2</v>
      </c>
      <c r="AI115" s="127">
        <v>12</v>
      </c>
      <c r="AJ115" s="127">
        <v>10</v>
      </c>
      <c r="AK115" s="127">
        <v>15</v>
      </c>
      <c r="AL115" s="127">
        <v>5</v>
      </c>
      <c r="AM115" s="127">
        <v>15</v>
      </c>
      <c r="AN115" s="127">
        <v>2</v>
      </c>
      <c r="AV115" s="127">
        <v>0.5</v>
      </c>
    </row>
    <row r="116" spans="1:73" s="59" customFormat="1" x14ac:dyDescent="0.2">
      <c r="A116" s="58">
        <v>115</v>
      </c>
      <c r="B116" s="139" t="s">
        <v>1434</v>
      </c>
      <c r="R116" s="127">
        <v>3</v>
      </c>
      <c r="AM116" s="127">
        <v>3</v>
      </c>
      <c r="AP116" s="127">
        <v>1</v>
      </c>
      <c r="AQ116" s="127">
        <v>2</v>
      </c>
      <c r="AR116" s="127">
        <v>3</v>
      </c>
      <c r="AS116" s="127">
        <v>1</v>
      </c>
      <c r="AT116" s="127">
        <v>3</v>
      </c>
      <c r="BN116" s="127">
        <v>0.5</v>
      </c>
    </row>
    <row r="117" spans="1:73" s="59" customFormat="1" x14ac:dyDescent="0.2">
      <c r="A117" s="58">
        <v>116</v>
      </c>
      <c r="B117" s="139" t="s">
        <v>3174</v>
      </c>
      <c r="R117" s="127">
        <v>2</v>
      </c>
      <c r="AS117" s="127">
        <v>0.5</v>
      </c>
      <c r="BR117" s="127">
        <v>11</v>
      </c>
    </row>
    <row r="118" spans="1:73" s="59" customFormat="1" x14ac:dyDescent="0.2">
      <c r="A118" s="58">
        <v>117</v>
      </c>
      <c r="B118" s="139" t="s">
        <v>3498</v>
      </c>
      <c r="R118" s="127">
        <v>2</v>
      </c>
      <c r="W118" s="127">
        <v>0.5</v>
      </c>
      <c r="AA118" s="127">
        <v>1</v>
      </c>
      <c r="AI118" s="127">
        <v>1</v>
      </c>
      <c r="AL118" s="127">
        <v>2</v>
      </c>
      <c r="AM118" s="127">
        <v>2</v>
      </c>
      <c r="AR118" s="127">
        <v>0.5</v>
      </c>
      <c r="AS118" s="127">
        <v>1</v>
      </c>
      <c r="BD118" s="127">
        <v>6</v>
      </c>
    </row>
    <row r="119" spans="1:73" s="59" customFormat="1" x14ac:dyDescent="0.2">
      <c r="A119" s="58">
        <v>118</v>
      </c>
      <c r="B119" s="139" t="s">
        <v>1210</v>
      </c>
      <c r="R119" s="127">
        <v>2</v>
      </c>
      <c r="AI119" s="127">
        <v>3</v>
      </c>
      <c r="AJ119" s="127">
        <v>3</v>
      </c>
      <c r="AR119" s="127">
        <v>1</v>
      </c>
      <c r="AS119" s="127">
        <v>1</v>
      </c>
    </row>
    <row r="120" spans="1:73" s="59" customFormat="1" x14ac:dyDescent="0.2">
      <c r="A120" s="58">
        <v>119</v>
      </c>
      <c r="B120" s="139" t="s">
        <v>1423</v>
      </c>
      <c r="S120" s="127">
        <v>1</v>
      </c>
      <c r="V120" s="127">
        <v>1</v>
      </c>
      <c r="W120" s="127">
        <v>0.5</v>
      </c>
      <c r="BC120" s="127">
        <v>3</v>
      </c>
      <c r="BD120" s="127">
        <v>1</v>
      </c>
      <c r="BP120" s="127">
        <v>15</v>
      </c>
      <c r="BT120" s="127">
        <v>12</v>
      </c>
      <c r="BU120" s="127">
        <v>0.5</v>
      </c>
    </row>
    <row r="121" spans="1:73" s="59" customFormat="1" x14ac:dyDescent="0.2">
      <c r="A121" s="58">
        <v>120</v>
      </c>
      <c r="B121" s="139" t="s">
        <v>1435</v>
      </c>
      <c r="T121" s="127">
        <v>2</v>
      </c>
      <c r="AQ121" s="127">
        <v>0.5</v>
      </c>
      <c r="AS121" s="127">
        <v>0.5</v>
      </c>
    </row>
    <row r="122" spans="1:73" s="59" customFormat="1" x14ac:dyDescent="0.2">
      <c r="A122" s="58">
        <v>121</v>
      </c>
      <c r="B122" s="139" t="s">
        <v>1419</v>
      </c>
      <c r="T122" s="127">
        <v>1</v>
      </c>
      <c r="AS122" s="127">
        <v>0.5</v>
      </c>
      <c r="BL122" s="127">
        <v>0.5</v>
      </c>
    </row>
    <row r="123" spans="1:73" s="59" customFormat="1" x14ac:dyDescent="0.2">
      <c r="A123" s="58">
        <v>122</v>
      </c>
      <c r="B123" s="139" t="s">
        <v>3096</v>
      </c>
      <c r="T123" s="127">
        <v>1</v>
      </c>
      <c r="AA123" s="127">
        <v>0.5</v>
      </c>
      <c r="AD123" s="127">
        <v>0.5</v>
      </c>
      <c r="AJ123" s="127">
        <v>0.5</v>
      </c>
      <c r="AR123" s="127">
        <v>1</v>
      </c>
      <c r="AS123" s="127">
        <v>0.5</v>
      </c>
    </row>
    <row r="124" spans="1:73" s="59" customFormat="1" x14ac:dyDescent="0.2">
      <c r="A124" s="58">
        <v>123</v>
      </c>
      <c r="B124" s="139" t="s">
        <v>3496</v>
      </c>
      <c r="U124" s="127">
        <v>55</v>
      </c>
      <c r="V124" s="127">
        <v>10</v>
      </c>
      <c r="W124" s="127">
        <v>5</v>
      </c>
      <c r="X124" s="127">
        <v>25</v>
      </c>
      <c r="Y124" s="127">
        <v>35</v>
      </c>
      <c r="Z124" s="127">
        <v>30</v>
      </c>
      <c r="AV124" s="127">
        <v>25</v>
      </c>
      <c r="BG124" s="127">
        <v>1</v>
      </c>
    </row>
    <row r="125" spans="1:73" s="59" customFormat="1" x14ac:dyDescent="0.2">
      <c r="A125" s="58">
        <v>124</v>
      </c>
      <c r="B125" s="139" t="s">
        <v>534</v>
      </c>
      <c r="V125" s="127">
        <v>12</v>
      </c>
      <c r="W125" s="127">
        <v>0.5</v>
      </c>
      <c r="Z125" s="127">
        <v>0.5</v>
      </c>
      <c r="AY125" s="127">
        <v>0.5</v>
      </c>
      <c r="BC125" s="127">
        <v>1</v>
      </c>
      <c r="BD125" s="127">
        <v>55</v>
      </c>
      <c r="BG125" s="127">
        <v>0.5</v>
      </c>
      <c r="BU125" s="127">
        <v>0.5</v>
      </c>
    </row>
    <row r="126" spans="1:73" s="59" customFormat="1" x14ac:dyDescent="0.2">
      <c r="A126" s="58">
        <v>125</v>
      </c>
      <c r="B126" s="139" t="s">
        <v>3091</v>
      </c>
      <c r="V126" s="127">
        <v>5</v>
      </c>
    </row>
    <row r="127" spans="1:73" s="59" customFormat="1" x14ac:dyDescent="0.2">
      <c r="A127" s="58">
        <v>126</v>
      </c>
      <c r="B127" s="139" t="s">
        <v>2905</v>
      </c>
      <c r="V127" s="127">
        <v>1</v>
      </c>
      <c r="AA127" s="127">
        <v>0.5</v>
      </c>
      <c r="AR127" s="127">
        <v>2</v>
      </c>
      <c r="AT127" s="127">
        <v>1</v>
      </c>
      <c r="BN127" s="127">
        <v>0.5</v>
      </c>
      <c r="BR127" s="127">
        <v>3</v>
      </c>
    </row>
    <row r="128" spans="1:73" s="59" customFormat="1" x14ac:dyDescent="0.2">
      <c r="A128" s="58">
        <v>127</v>
      </c>
      <c r="B128" s="139" t="s">
        <v>1431</v>
      </c>
      <c r="V128" s="127">
        <v>0.5</v>
      </c>
    </row>
    <row r="129" spans="1:73" s="59" customFormat="1" x14ac:dyDescent="0.2">
      <c r="A129" s="58">
        <v>128</v>
      </c>
      <c r="B129" s="139" t="s">
        <v>3473</v>
      </c>
      <c r="V129" s="127">
        <v>0.5</v>
      </c>
      <c r="X129" s="127">
        <v>25</v>
      </c>
      <c r="Y129" s="127">
        <v>30</v>
      </c>
      <c r="Z129" s="127">
        <v>40</v>
      </c>
      <c r="BO129" s="127">
        <v>2</v>
      </c>
      <c r="BP129" s="127">
        <v>4</v>
      </c>
      <c r="BS129" s="127">
        <v>6</v>
      </c>
      <c r="BT129" s="127">
        <v>6</v>
      </c>
    </row>
    <row r="130" spans="1:73" s="59" customFormat="1" x14ac:dyDescent="0.2">
      <c r="A130" s="58">
        <v>129</v>
      </c>
      <c r="B130" s="139" t="s">
        <v>1191</v>
      </c>
      <c r="W130" s="127">
        <v>2</v>
      </c>
      <c r="AJ130" s="127">
        <v>2</v>
      </c>
    </row>
    <row r="131" spans="1:73" s="59" customFormat="1" x14ac:dyDescent="0.2">
      <c r="A131" s="58">
        <v>130</v>
      </c>
      <c r="B131" s="139" t="s">
        <v>3435</v>
      </c>
      <c r="W131" s="127">
        <v>2</v>
      </c>
      <c r="X131" s="127">
        <v>8</v>
      </c>
      <c r="Y131" s="127">
        <v>7</v>
      </c>
      <c r="AA131" s="127">
        <v>10</v>
      </c>
      <c r="AJ131" s="127">
        <v>2</v>
      </c>
      <c r="AK131" s="127">
        <v>5</v>
      </c>
      <c r="AR131" s="127">
        <v>10</v>
      </c>
      <c r="AS131" s="127">
        <v>10</v>
      </c>
      <c r="AT131" s="127">
        <v>25</v>
      </c>
      <c r="BN131" s="127">
        <v>5</v>
      </c>
      <c r="BR131" s="127">
        <v>17</v>
      </c>
      <c r="BU131" s="127">
        <v>20</v>
      </c>
    </row>
    <row r="132" spans="1:73" s="59" customFormat="1" x14ac:dyDescent="0.2">
      <c r="A132" s="58">
        <v>131</v>
      </c>
      <c r="B132" s="139" t="s">
        <v>3162</v>
      </c>
      <c r="W132" s="127">
        <v>0.5</v>
      </c>
      <c r="Z132" s="127">
        <v>1</v>
      </c>
      <c r="AA132" s="127">
        <v>0.5</v>
      </c>
    </row>
    <row r="133" spans="1:73" s="59" customFormat="1" x14ac:dyDescent="0.2">
      <c r="A133" s="58">
        <v>132</v>
      </c>
      <c r="B133" s="139" t="s">
        <v>3073</v>
      </c>
      <c r="X133" s="127">
        <v>0.5</v>
      </c>
      <c r="AA133" s="127">
        <v>2</v>
      </c>
      <c r="AD133" s="127">
        <v>2</v>
      </c>
      <c r="AF133" s="127">
        <v>2</v>
      </c>
      <c r="BU133" s="127">
        <v>0.5</v>
      </c>
    </row>
    <row r="134" spans="1:73" s="59" customFormat="1" x14ac:dyDescent="0.2">
      <c r="A134" s="58">
        <v>133</v>
      </c>
      <c r="B134" s="139" t="s">
        <v>3467</v>
      </c>
      <c r="Y134" s="127">
        <v>8</v>
      </c>
      <c r="AA134" s="127">
        <v>1</v>
      </c>
      <c r="AC134" s="127">
        <v>10</v>
      </c>
      <c r="AD134" s="127">
        <v>4</v>
      </c>
      <c r="AL134" s="127">
        <v>8</v>
      </c>
      <c r="AN134" s="127">
        <v>14</v>
      </c>
      <c r="AO134" s="127">
        <v>5</v>
      </c>
      <c r="AT134" s="127">
        <v>2</v>
      </c>
      <c r="BL134" s="127">
        <v>0.5</v>
      </c>
      <c r="BO134" s="127">
        <v>0.5</v>
      </c>
      <c r="BQ134" s="127">
        <v>4</v>
      </c>
      <c r="BR134" s="127">
        <v>0.5</v>
      </c>
      <c r="BS134" s="127">
        <v>6</v>
      </c>
      <c r="BU134" s="127">
        <v>0.5</v>
      </c>
    </row>
    <row r="135" spans="1:73" s="59" customFormat="1" x14ac:dyDescent="0.2">
      <c r="A135" s="58">
        <v>134</v>
      </c>
      <c r="B135" s="139" t="s">
        <v>3346</v>
      </c>
      <c r="Y135" s="127">
        <v>1</v>
      </c>
      <c r="AB135" s="127">
        <v>1</v>
      </c>
      <c r="AC135" s="127">
        <v>0.5</v>
      </c>
    </row>
    <row r="136" spans="1:73" s="59" customFormat="1" x14ac:dyDescent="0.2">
      <c r="A136" s="58">
        <v>135</v>
      </c>
      <c r="B136" s="139" t="s">
        <v>3202</v>
      </c>
      <c r="Y136" s="127">
        <v>0.5</v>
      </c>
      <c r="AB136" s="127">
        <v>12</v>
      </c>
      <c r="AC136" s="127">
        <v>4</v>
      </c>
      <c r="AG136" s="127">
        <v>3</v>
      </c>
      <c r="AL136" s="127">
        <v>0.5</v>
      </c>
      <c r="AN136" s="127">
        <v>6</v>
      </c>
      <c r="AO136" s="127">
        <v>5</v>
      </c>
      <c r="BE136" s="127">
        <v>55</v>
      </c>
      <c r="BG136" s="127">
        <v>1</v>
      </c>
      <c r="BL136" s="127">
        <v>2</v>
      </c>
      <c r="BR136" s="127">
        <v>7</v>
      </c>
    </row>
    <row r="137" spans="1:73" s="59" customFormat="1" x14ac:dyDescent="0.2">
      <c r="A137" s="58">
        <v>136</v>
      </c>
      <c r="B137" s="139" t="s">
        <v>3105</v>
      </c>
      <c r="Y137" s="127">
        <v>0.5</v>
      </c>
      <c r="AP137" s="127">
        <v>0.5</v>
      </c>
    </row>
    <row r="138" spans="1:73" s="59" customFormat="1" x14ac:dyDescent="0.2">
      <c r="A138" s="58">
        <v>137</v>
      </c>
      <c r="B138" s="139" t="s">
        <v>1158</v>
      </c>
      <c r="AA138" s="127">
        <v>12</v>
      </c>
      <c r="AT138" s="127">
        <v>2</v>
      </c>
    </row>
    <row r="139" spans="1:73" s="59" customFormat="1" x14ac:dyDescent="0.2">
      <c r="A139" s="58">
        <v>138</v>
      </c>
      <c r="B139" s="139" t="s">
        <v>3052</v>
      </c>
      <c r="AA139" s="127">
        <v>4</v>
      </c>
      <c r="AF139" s="127">
        <v>1</v>
      </c>
      <c r="AI139" s="127">
        <v>0.5</v>
      </c>
      <c r="AJ139" s="127">
        <v>3</v>
      </c>
      <c r="AM139" s="127">
        <v>0.5</v>
      </c>
      <c r="AQ139" s="127">
        <v>4</v>
      </c>
      <c r="AR139" s="127">
        <v>0.5</v>
      </c>
      <c r="BR139" s="127">
        <v>0.5</v>
      </c>
      <c r="BU139" s="127">
        <v>0.5</v>
      </c>
    </row>
    <row r="140" spans="1:73" s="59" customFormat="1" x14ac:dyDescent="0.2">
      <c r="A140" s="58">
        <v>139</v>
      </c>
      <c r="B140" s="139" t="s">
        <v>1222</v>
      </c>
      <c r="AA140" s="127">
        <v>1</v>
      </c>
    </row>
    <row r="141" spans="1:73" s="59" customFormat="1" x14ac:dyDescent="0.2">
      <c r="A141" s="58">
        <v>140</v>
      </c>
      <c r="B141" s="139" t="s">
        <v>1194</v>
      </c>
      <c r="AA141" s="127">
        <v>1</v>
      </c>
      <c r="BB141" s="127">
        <v>0.5</v>
      </c>
    </row>
    <row r="142" spans="1:73" s="59" customFormat="1" x14ac:dyDescent="0.2">
      <c r="A142" s="58">
        <v>141</v>
      </c>
      <c r="B142" s="139" t="s">
        <v>1155</v>
      </c>
      <c r="AB142" s="127">
        <v>6</v>
      </c>
      <c r="AJ142" s="127">
        <v>6</v>
      </c>
      <c r="AM142" s="127">
        <v>5</v>
      </c>
      <c r="AQ142" s="127">
        <v>2</v>
      </c>
      <c r="AR142" s="127">
        <v>2</v>
      </c>
      <c r="AS142" s="127">
        <v>20</v>
      </c>
      <c r="BU142" s="127">
        <v>4</v>
      </c>
    </row>
    <row r="143" spans="1:73" s="59" customFormat="1" x14ac:dyDescent="0.2">
      <c r="A143" s="58">
        <v>142</v>
      </c>
      <c r="B143" s="139" t="s">
        <v>1411</v>
      </c>
      <c r="AC143" s="127">
        <v>12</v>
      </c>
      <c r="AD143" s="127">
        <v>3</v>
      </c>
      <c r="AM143" s="127">
        <v>2</v>
      </c>
      <c r="AP143" s="127">
        <v>15</v>
      </c>
      <c r="AQ143" s="127">
        <v>10</v>
      </c>
      <c r="BF143" s="127">
        <v>17</v>
      </c>
      <c r="BL143" s="127">
        <v>18</v>
      </c>
      <c r="BO143" s="127">
        <v>0.5</v>
      </c>
      <c r="BP143" s="127">
        <v>4</v>
      </c>
      <c r="BQ143" s="127">
        <v>1</v>
      </c>
      <c r="BU143" s="127">
        <v>0.5</v>
      </c>
    </row>
    <row r="144" spans="1:73" s="59" customFormat="1" x14ac:dyDescent="0.2">
      <c r="A144" s="58">
        <v>143</v>
      </c>
      <c r="B144" s="139" t="s">
        <v>3465</v>
      </c>
      <c r="AC144" s="127">
        <v>6</v>
      </c>
      <c r="AE144" s="127">
        <v>15</v>
      </c>
      <c r="BN144" s="127">
        <v>0.5</v>
      </c>
    </row>
    <row r="145" spans="1:73" s="59" customFormat="1" x14ac:dyDescent="0.2">
      <c r="A145" s="58">
        <v>144</v>
      </c>
      <c r="B145" s="139" t="s">
        <v>1406</v>
      </c>
      <c r="AC145" s="127">
        <v>3</v>
      </c>
      <c r="AE145" s="127">
        <v>2</v>
      </c>
      <c r="AF145" s="127">
        <v>1</v>
      </c>
      <c r="AI145" s="127">
        <v>4</v>
      </c>
      <c r="AM145" s="127">
        <v>6</v>
      </c>
      <c r="AS145" s="127">
        <v>2</v>
      </c>
      <c r="AT145" s="127">
        <v>3</v>
      </c>
      <c r="BN145" s="127">
        <v>4</v>
      </c>
      <c r="BR145" s="127">
        <v>1</v>
      </c>
    </row>
    <row r="146" spans="1:73" s="59" customFormat="1" x14ac:dyDescent="0.2">
      <c r="A146" s="58">
        <v>145</v>
      </c>
      <c r="B146" s="139" t="s">
        <v>3089</v>
      </c>
      <c r="AC146" s="127">
        <v>1</v>
      </c>
      <c r="AG146" s="127">
        <v>1</v>
      </c>
      <c r="AM146" s="127">
        <v>0.5</v>
      </c>
      <c r="AP146" s="127">
        <v>0.5</v>
      </c>
    </row>
    <row r="147" spans="1:73" s="59" customFormat="1" x14ac:dyDescent="0.2">
      <c r="A147" s="58">
        <v>146</v>
      </c>
      <c r="B147" s="139" t="s">
        <v>1408</v>
      </c>
      <c r="AD147" s="127">
        <v>2</v>
      </c>
      <c r="AE147" s="127">
        <v>2</v>
      </c>
      <c r="AF147" s="127">
        <v>2</v>
      </c>
      <c r="AM147" s="127">
        <v>2</v>
      </c>
      <c r="AO147" s="127">
        <v>2</v>
      </c>
      <c r="AP147" s="127">
        <v>2</v>
      </c>
      <c r="BD147" s="127">
        <v>0.5</v>
      </c>
      <c r="BE147" s="127">
        <v>0.5</v>
      </c>
      <c r="BG147" s="127">
        <v>0.5</v>
      </c>
      <c r="BM147" s="127">
        <v>1</v>
      </c>
      <c r="BN147" s="127">
        <v>0.5</v>
      </c>
      <c r="BT147" s="127">
        <v>0.5</v>
      </c>
    </row>
    <row r="148" spans="1:73" s="59" customFormat="1" x14ac:dyDescent="0.2">
      <c r="A148" s="58">
        <v>147</v>
      </c>
      <c r="B148" s="139" t="s">
        <v>1527</v>
      </c>
      <c r="AD148" s="127">
        <v>1</v>
      </c>
    </row>
    <row r="149" spans="1:73" s="59" customFormat="1" x14ac:dyDescent="0.2">
      <c r="A149" s="58">
        <v>148</v>
      </c>
      <c r="B149" s="139" t="s">
        <v>551</v>
      </c>
      <c r="AD149" s="127">
        <v>0.5</v>
      </c>
    </row>
    <row r="150" spans="1:73" s="59" customFormat="1" x14ac:dyDescent="0.2">
      <c r="A150" s="58">
        <v>149</v>
      </c>
      <c r="B150" s="139" t="s">
        <v>3199</v>
      </c>
      <c r="AE150" s="127">
        <v>45</v>
      </c>
      <c r="AF150" s="127">
        <v>25</v>
      </c>
      <c r="AG150" s="127">
        <v>6</v>
      </c>
      <c r="BN150" s="127">
        <v>4</v>
      </c>
      <c r="BR150" s="127">
        <v>0.5</v>
      </c>
      <c r="BS150" s="127">
        <v>20</v>
      </c>
    </row>
    <row r="151" spans="1:73" s="59" customFormat="1" x14ac:dyDescent="0.2">
      <c r="A151" s="58">
        <v>150</v>
      </c>
      <c r="B151" s="139" t="s">
        <v>3463</v>
      </c>
      <c r="AE151" s="127">
        <v>12</v>
      </c>
      <c r="AF151" s="127">
        <v>2</v>
      </c>
      <c r="AI151" s="127">
        <v>8</v>
      </c>
      <c r="AJ151" s="127">
        <v>8</v>
      </c>
      <c r="AK151" s="127">
        <v>1</v>
      </c>
      <c r="AM151" s="127">
        <v>2</v>
      </c>
      <c r="AR151" s="127">
        <v>1</v>
      </c>
      <c r="AT151" s="127">
        <v>2</v>
      </c>
      <c r="BN151" s="127">
        <v>5</v>
      </c>
      <c r="BR151" s="127">
        <v>9</v>
      </c>
    </row>
    <row r="152" spans="1:73" s="59" customFormat="1" x14ac:dyDescent="0.2">
      <c r="A152" s="58">
        <v>151</v>
      </c>
      <c r="B152" s="139" t="s">
        <v>3203</v>
      </c>
      <c r="AE152" s="127">
        <v>8</v>
      </c>
      <c r="AF152" s="127">
        <v>15</v>
      </c>
      <c r="AG152" s="127">
        <v>4</v>
      </c>
      <c r="AI152" s="127">
        <v>15</v>
      </c>
      <c r="AL152" s="127">
        <v>15</v>
      </c>
    </row>
    <row r="153" spans="1:73" s="59" customFormat="1" x14ac:dyDescent="0.2">
      <c r="A153" s="58">
        <v>152</v>
      </c>
      <c r="B153" s="139" t="s">
        <v>3469</v>
      </c>
      <c r="AE153" s="127">
        <v>6</v>
      </c>
      <c r="AI153" s="127">
        <v>5</v>
      </c>
      <c r="AJ153" s="127">
        <v>2</v>
      </c>
      <c r="AM153" s="127">
        <v>4</v>
      </c>
      <c r="AR153" s="127">
        <v>8</v>
      </c>
      <c r="AS153" s="127">
        <v>2</v>
      </c>
      <c r="AT153" s="127">
        <v>2</v>
      </c>
      <c r="BN153" s="127">
        <v>13</v>
      </c>
      <c r="BR153" s="127">
        <v>5</v>
      </c>
      <c r="BS153" s="127">
        <v>8</v>
      </c>
    </row>
    <row r="154" spans="1:73" s="59" customFormat="1" x14ac:dyDescent="0.2">
      <c r="A154" s="58">
        <v>153</v>
      </c>
      <c r="B154" s="139" t="s">
        <v>3206</v>
      </c>
      <c r="AE154" s="127">
        <v>2</v>
      </c>
      <c r="AG154" s="127">
        <v>2</v>
      </c>
      <c r="AJ154" s="127">
        <v>2</v>
      </c>
      <c r="BM154" s="127">
        <v>20</v>
      </c>
    </row>
    <row r="155" spans="1:73" s="59" customFormat="1" x14ac:dyDescent="0.2">
      <c r="A155" s="58">
        <v>154</v>
      </c>
      <c r="B155" s="139" t="s">
        <v>3468</v>
      </c>
      <c r="AE155" s="127">
        <v>2</v>
      </c>
      <c r="AF155" s="127">
        <v>3</v>
      </c>
      <c r="AI155" s="127">
        <v>2</v>
      </c>
      <c r="AJ155" s="127">
        <v>3</v>
      </c>
      <c r="AR155" s="127">
        <v>3</v>
      </c>
      <c r="AS155" s="127">
        <v>2</v>
      </c>
      <c r="BR155" s="127">
        <v>0.5</v>
      </c>
    </row>
    <row r="156" spans="1:73" s="59" customFormat="1" x14ac:dyDescent="0.2">
      <c r="A156" s="58">
        <v>155</v>
      </c>
      <c r="B156" s="139" t="s">
        <v>1489</v>
      </c>
      <c r="AE156" s="127">
        <v>1</v>
      </c>
      <c r="AJ156" s="127">
        <v>1</v>
      </c>
      <c r="AM156" s="127">
        <v>2</v>
      </c>
      <c r="BU156" s="127">
        <v>2</v>
      </c>
    </row>
    <row r="157" spans="1:73" s="59" customFormat="1" x14ac:dyDescent="0.2">
      <c r="A157" s="58">
        <v>156</v>
      </c>
      <c r="B157" s="139" t="s">
        <v>3035</v>
      </c>
      <c r="AE157" s="127">
        <v>0.5</v>
      </c>
      <c r="BN157" s="127">
        <v>0.5</v>
      </c>
    </row>
    <row r="158" spans="1:73" s="59" customFormat="1" x14ac:dyDescent="0.2">
      <c r="A158" s="58">
        <v>157</v>
      </c>
      <c r="B158" s="139" t="s">
        <v>1145</v>
      </c>
      <c r="AE158" s="127">
        <v>0.5</v>
      </c>
      <c r="AJ158" s="127">
        <v>6</v>
      </c>
    </row>
    <row r="159" spans="1:73" s="59" customFormat="1" x14ac:dyDescent="0.2">
      <c r="A159" s="58">
        <v>158</v>
      </c>
      <c r="B159" s="139" t="s">
        <v>3445</v>
      </c>
      <c r="AE159" s="127">
        <v>0.5</v>
      </c>
      <c r="AJ159" s="127">
        <v>2</v>
      </c>
      <c r="AM159" s="127">
        <v>2</v>
      </c>
      <c r="AT159" s="127">
        <v>1</v>
      </c>
      <c r="BN159" s="127">
        <v>8</v>
      </c>
    </row>
    <row r="160" spans="1:73" s="59" customFormat="1" x14ac:dyDescent="0.2">
      <c r="A160" s="58">
        <v>159</v>
      </c>
      <c r="B160" s="139" t="s">
        <v>1202</v>
      </c>
      <c r="AF160" s="127">
        <v>0.5</v>
      </c>
    </row>
    <row r="161" spans="1:71" s="59" customFormat="1" x14ac:dyDescent="0.2">
      <c r="A161" s="58">
        <v>160</v>
      </c>
      <c r="B161" s="139" t="s">
        <v>548</v>
      </c>
      <c r="AF161" s="127">
        <v>0.5</v>
      </c>
      <c r="AI161" s="127">
        <v>3</v>
      </c>
      <c r="AJ161" s="127">
        <v>1</v>
      </c>
      <c r="AM161" s="127">
        <v>1</v>
      </c>
      <c r="AR161" s="127">
        <v>1</v>
      </c>
      <c r="AS161" s="127">
        <v>6</v>
      </c>
      <c r="AT161" s="127">
        <v>1</v>
      </c>
    </row>
    <row r="162" spans="1:71" s="59" customFormat="1" x14ac:dyDescent="0.2">
      <c r="A162" s="58">
        <v>161</v>
      </c>
      <c r="B162" s="139" t="s">
        <v>3204</v>
      </c>
      <c r="AG162" s="127">
        <v>20</v>
      </c>
      <c r="AJ162" s="127">
        <v>14</v>
      </c>
    </row>
    <row r="163" spans="1:71" s="59" customFormat="1" x14ac:dyDescent="0.2">
      <c r="A163" s="58">
        <v>162</v>
      </c>
      <c r="B163" s="139" t="s">
        <v>1409</v>
      </c>
      <c r="AG163" s="127">
        <v>10</v>
      </c>
      <c r="BI163" s="127">
        <v>80</v>
      </c>
      <c r="BS163" s="127">
        <v>13</v>
      </c>
    </row>
    <row r="164" spans="1:71" s="59" customFormat="1" x14ac:dyDescent="0.2">
      <c r="A164" s="58">
        <v>163</v>
      </c>
      <c r="B164" s="139" t="s">
        <v>3487</v>
      </c>
      <c r="AG164" s="127">
        <v>8</v>
      </c>
      <c r="AI164" s="127">
        <v>14</v>
      </c>
      <c r="AJ164" s="127">
        <v>15</v>
      </c>
      <c r="AR164" s="127">
        <v>2</v>
      </c>
      <c r="AT164" s="127">
        <v>4</v>
      </c>
      <c r="BN164" s="127">
        <v>4</v>
      </c>
      <c r="BR164" s="127">
        <v>5</v>
      </c>
    </row>
    <row r="165" spans="1:71" s="59" customFormat="1" x14ac:dyDescent="0.2">
      <c r="A165" s="58">
        <v>164</v>
      </c>
      <c r="B165" s="139" t="s">
        <v>3472</v>
      </c>
      <c r="AG165" s="127">
        <v>8</v>
      </c>
    </row>
    <row r="166" spans="1:71" s="59" customFormat="1" x14ac:dyDescent="0.2">
      <c r="A166" s="58">
        <v>165</v>
      </c>
      <c r="B166" s="139" t="s">
        <v>1144</v>
      </c>
      <c r="AG166" s="127">
        <v>2</v>
      </c>
      <c r="BO166" s="127">
        <v>8</v>
      </c>
      <c r="BS166" s="127">
        <v>20</v>
      </c>
    </row>
    <row r="167" spans="1:71" s="59" customFormat="1" x14ac:dyDescent="0.2">
      <c r="A167" s="58">
        <v>166</v>
      </c>
      <c r="B167" s="139" t="s">
        <v>1239</v>
      </c>
      <c r="AG167" s="127">
        <v>0.5</v>
      </c>
      <c r="AJ167" s="127">
        <v>1</v>
      </c>
      <c r="AP167" s="127">
        <v>0.5</v>
      </c>
    </row>
    <row r="168" spans="1:71" s="59" customFormat="1" x14ac:dyDescent="0.2">
      <c r="A168" s="58">
        <v>167</v>
      </c>
      <c r="B168" s="139" t="s">
        <v>3191</v>
      </c>
      <c r="AG168" s="127">
        <v>0.5</v>
      </c>
      <c r="AJ168" s="127">
        <v>1</v>
      </c>
    </row>
    <row r="169" spans="1:71" s="59" customFormat="1" x14ac:dyDescent="0.2">
      <c r="A169" s="58">
        <v>168</v>
      </c>
      <c r="B169" s="139" t="s">
        <v>3076</v>
      </c>
      <c r="AH169" s="127">
        <v>60</v>
      </c>
    </row>
    <row r="170" spans="1:71" s="59" customFormat="1" x14ac:dyDescent="0.2">
      <c r="A170" s="58">
        <v>169</v>
      </c>
      <c r="B170" s="139" t="s">
        <v>3055</v>
      </c>
      <c r="AH170" s="127">
        <v>15</v>
      </c>
      <c r="BI170" s="127">
        <v>2</v>
      </c>
    </row>
    <row r="171" spans="1:71" s="59" customFormat="1" x14ac:dyDescent="0.2">
      <c r="A171" s="58">
        <v>170</v>
      </c>
      <c r="B171" s="139" t="s">
        <v>3180</v>
      </c>
      <c r="AH171" s="127">
        <v>5</v>
      </c>
      <c r="BH171" s="127">
        <v>2</v>
      </c>
      <c r="BI171" s="127">
        <v>0.5</v>
      </c>
    </row>
    <row r="172" spans="1:71" s="59" customFormat="1" x14ac:dyDescent="0.2">
      <c r="A172" s="58">
        <v>171</v>
      </c>
      <c r="B172" s="139" t="s">
        <v>2897</v>
      </c>
      <c r="AH172" s="127">
        <v>4</v>
      </c>
      <c r="BI172" s="127">
        <v>7</v>
      </c>
    </row>
    <row r="173" spans="1:71" s="59" customFormat="1" x14ac:dyDescent="0.2">
      <c r="A173" s="58">
        <v>172</v>
      </c>
      <c r="B173" s="139" t="s">
        <v>3057</v>
      </c>
      <c r="AH173" s="127">
        <v>4</v>
      </c>
      <c r="BD173" s="127">
        <v>0.5</v>
      </c>
      <c r="BI173" s="127">
        <v>0.5</v>
      </c>
    </row>
    <row r="174" spans="1:71" s="59" customFormat="1" x14ac:dyDescent="0.2">
      <c r="A174" s="58">
        <v>173</v>
      </c>
      <c r="B174" s="139" t="s">
        <v>552</v>
      </c>
      <c r="AH174" s="127">
        <v>2</v>
      </c>
    </row>
    <row r="175" spans="1:71" s="59" customFormat="1" x14ac:dyDescent="0.2">
      <c r="A175" s="58">
        <v>174</v>
      </c>
      <c r="B175" s="139" t="s">
        <v>542</v>
      </c>
      <c r="AH175" s="127">
        <v>2</v>
      </c>
    </row>
    <row r="176" spans="1:71" s="59" customFormat="1" x14ac:dyDescent="0.2">
      <c r="A176" s="58">
        <v>175</v>
      </c>
      <c r="B176" s="139" t="s">
        <v>1198</v>
      </c>
      <c r="AH176" s="127">
        <v>0.5</v>
      </c>
    </row>
    <row r="177" spans="1:70" s="59" customFormat="1" x14ac:dyDescent="0.2">
      <c r="A177" s="58">
        <v>176</v>
      </c>
      <c r="B177" s="139" t="s">
        <v>1152</v>
      </c>
      <c r="AI177" s="127">
        <v>10</v>
      </c>
      <c r="AS177" s="127">
        <v>1</v>
      </c>
      <c r="AT177" s="127">
        <v>2</v>
      </c>
    </row>
    <row r="178" spans="1:70" s="59" customFormat="1" x14ac:dyDescent="0.2">
      <c r="A178" s="58">
        <v>177</v>
      </c>
      <c r="B178" s="139" t="s">
        <v>3382</v>
      </c>
      <c r="AI178" s="127">
        <v>6</v>
      </c>
      <c r="AR178" s="127">
        <v>3</v>
      </c>
      <c r="AS178" s="127">
        <v>1</v>
      </c>
      <c r="BN178" s="127">
        <v>7</v>
      </c>
      <c r="BR178" s="127">
        <v>11</v>
      </c>
    </row>
    <row r="179" spans="1:70" s="59" customFormat="1" x14ac:dyDescent="0.2">
      <c r="A179" s="58">
        <v>178</v>
      </c>
      <c r="B179" s="139" t="s">
        <v>3195</v>
      </c>
      <c r="AI179" s="127">
        <v>4</v>
      </c>
    </row>
    <row r="180" spans="1:70" s="59" customFormat="1" x14ac:dyDescent="0.2">
      <c r="A180" s="58">
        <v>179</v>
      </c>
      <c r="B180" s="139" t="s">
        <v>1405</v>
      </c>
      <c r="AI180" s="127">
        <v>4</v>
      </c>
      <c r="AJ180" s="127">
        <v>2</v>
      </c>
      <c r="AR180" s="127">
        <v>2</v>
      </c>
      <c r="AS180" s="127">
        <v>1</v>
      </c>
      <c r="AT180" s="127">
        <v>2</v>
      </c>
      <c r="BG180" s="127">
        <v>1</v>
      </c>
      <c r="BN180" s="127">
        <v>3</v>
      </c>
      <c r="BR180" s="127">
        <v>3</v>
      </c>
    </row>
    <row r="181" spans="1:70" s="59" customFormat="1" x14ac:dyDescent="0.2">
      <c r="A181" s="58">
        <v>180</v>
      </c>
      <c r="B181" s="139" t="s">
        <v>3464</v>
      </c>
      <c r="AI181" s="127">
        <v>2</v>
      </c>
      <c r="AJ181" s="127">
        <v>8</v>
      </c>
    </row>
    <row r="182" spans="1:70" s="59" customFormat="1" x14ac:dyDescent="0.2">
      <c r="A182" s="58">
        <v>181</v>
      </c>
      <c r="B182" s="139" t="s">
        <v>3185</v>
      </c>
      <c r="AI182" s="127">
        <v>2</v>
      </c>
      <c r="AJ182" s="127">
        <v>2</v>
      </c>
    </row>
    <row r="183" spans="1:70" s="59" customFormat="1" x14ac:dyDescent="0.2">
      <c r="A183" s="58">
        <v>182</v>
      </c>
      <c r="B183" s="139" t="s">
        <v>544</v>
      </c>
      <c r="AI183" s="127">
        <v>0.5</v>
      </c>
      <c r="AT183" s="127">
        <v>0.5</v>
      </c>
    </row>
    <row r="184" spans="1:70" s="59" customFormat="1" x14ac:dyDescent="0.2">
      <c r="A184" s="58">
        <v>183</v>
      </c>
      <c r="B184" s="139" t="s">
        <v>3163</v>
      </c>
      <c r="AI184" s="127">
        <v>0.5</v>
      </c>
      <c r="AT184" s="127">
        <v>0.5</v>
      </c>
      <c r="BR184" s="127">
        <v>1</v>
      </c>
    </row>
    <row r="185" spans="1:70" s="59" customFormat="1" x14ac:dyDescent="0.2">
      <c r="A185" s="58">
        <v>184</v>
      </c>
      <c r="B185" s="139" t="s">
        <v>3486</v>
      </c>
      <c r="AI185" s="127">
        <v>0.5</v>
      </c>
      <c r="AM185" s="127">
        <v>3</v>
      </c>
      <c r="AR185" s="127">
        <v>10</v>
      </c>
      <c r="AS185" s="127">
        <v>2</v>
      </c>
      <c r="AT185" s="127">
        <v>4</v>
      </c>
    </row>
    <row r="186" spans="1:70" s="59" customFormat="1" x14ac:dyDescent="0.2">
      <c r="A186" s="58">
        <v>185</v>
      </c>
      <c r="B186" s="139" t="s">
        <v>2859</v>
      </c>
      <c r="AI186" s="127">
        <v>0.5</v>
      </c>
      <c r="AJ186" s="127">
        <v>2</v>
      </c>
    </row>
    <row r="187" spans="1:70" s="59" customFormat="1" x14ac:dyDescent="0.2">
      <c r="A187" s="58">
        <v>186</v>
      </c>
      <c r="B187" s="139" t="s">
        <v>1168</v>
      </c>
      <c r="AI187" s="127">
        <v>0.5</v>
      </c>
      <c r="AJ187" s="127">
        <v>2</v>
      </c>
      <c r="AL187" s="127">
        <v>2</v>
      </c>
      <c r="AR187" s="127">
        <v>2</v>
      </c>
      <c r="AS187" s="127">
        <v>4</v>
      </c>
      <c r="AT187" s="127">
        <v>1</v>
      </c>
      <c r="AV187" s="127">
        <v>18</v>
      </c>
      <c r="BR187" s="127">
        <v>4</v>
      </c>
    </row>
    <row r="188" spans="1:70" s="59" customFormat="1" x14ac:dyDescent="0.2">
      <c r="A188" s="58">
        <v>187</v>
      </c>
      <c r="B188" s="139" t="s">
        <v>1175</v>
      </c>
      <c r="AI188" s="127">
        <v>0.5</v>
      </c>
      <c r="AR188" s="127">
        <v>1</v>
      </c>
    </row>
    <row r="189" spans="1:70" s="59" customFormat="1" x14ac:dyDescent="0.2">
      <c r="A189" s="58">
        <v>188</v>
      </c>
      <c r="B189" s="139" t="s">
        <v>3470</v>
      </c>
      <c r="AI189" s="127">
        <v>0.5</v>
      </c>
    </row>
    <row r="190" spans="1:70" s="59" customFormat="1" x14ac:dyDescent="0.2">
      <c r="A190" s="58">
        <v>189</v>
      </c>
      <c r="B190" s="139" t="s">
        <v>3437</v>
      </c>
      <c r="AI190" s="127">
        <v>0.5</v>
      </c>
      <c r="AZ190" s="127">
        <v>0.5</v>
      </c>
    </row>
    <row r="191" spans="1:70" s="59" customFormat="1" x14ac:dyDescent="0.2">
      <c r="A191" s="58">
        <v>190</v>
      </c>
      <c r="B191" s="139" t="s">
        <v>1237</v>
      </c>
      <c r="AJ191" s="127">
        <v>1</v>
      </c>
      <c r="AR191" s="127">
        <v>2</v>
      </c>
      <c r="AT191" s="127">
        <v>2</v>
      </c>
    </row>
    <row r="192" spans="1:70" s="59" customFormat="1" x14ac:dyDescent="0.2">
      <c r="A192" s="58">
        <v>191</v>
      </c>
      <c r="B192" s="139" t="s">
        <v>3368</v>
      </c>
      <c r="AJ192" s="127">
        <v>1</v>
      </c>
    </row>
    <row r="193" spans="1:73" s="59" customFormat="1" x14ac:dyDescent="0.2">
      <c r="A193" s="58">
        <v>192</v>
      </c>
      <c r="B193" s="139" t="s">
        <v>1536</v>
      </c>
      <c r="AJ193" s="127">
        <v>1</v>
      </c>
      <c r="AR193" s="127">
        <v>0.5</v>
      </c>
    </row>
    <row r="194" spans="1:73" s="59" customFormat="1" x14ac:dyDescent="0.2">
      <c r="A194" s="58">
        <v>193</v>
      </c>
      <c r="B194" s="139" t="s">
        <v>1176</v>
      </c>
      <c r="AJ194" s="127">
        <v>0.5</v>
      </c>
    </row>
    <row r="195" spans="1:73" s="59" customFormat="1" x14ac:dyDescent="0.2">
      <c r="A195" s="58">
        <v>194</v>
      </c>
      <c r="B195" s="139" t="s">
        <v>3450</v>
      </c>
      <c r="AJ195" s="127">
        <v>0.5</v>
      </c>
    </row>
    <row r="196" spans="1:73" s="59" customFormat="1" x14ac:dyDescent="0.2">
      <c r="A196" s="58">
        <v>195</v>
      </c>
      <c r="B196" s="139" t="s">
        <v>1164</v>
      </c>
      <c r="AK196" s="127">
        <v>3</v>
      </c>
      <c r="AM196" s="127">
        <v>25</v>
      </c>
      <c r="AT196" s="127">
        <v>12</v>
      </c>
    </row>
    <row r="197" spans="1:73" s="59" customFormat="1" x14ac:dyDescent="0.2">
      <c r="A197" s="58">
        <v>196</v>
      </c>
      <c r="B197" s="139" t="s">
        <v>3493</v>
      </c>
      <c r="AL197" s="127">
        <v>20</v>
      </c>
      <c r="AO197" s="127">
        <v>0.5</v>
      </c>
      <c r="AY197" s="127">
        <v>25</v>
      </c>
      <c r="BC197" s="127">
        <v>6</v>
      </c>
      <c r="BO197" s="127">
        <v>1</v>
      </c>
      <c r="BP197" s="127">
        <v>14</v>
      </c>
    </row>
    <row r="198" spans="1:73" s="59" customFormat="1" x14ac:dyDescent="0.2">
      <c r="A198" s="58">
        <v>197</v>
      </c>
      <c r="B198" s="139" t="s">
        <v>1513</v>
      </c>
      <c r="AL198" s="127">
        <v>2</v>
      </c>
    </row>
    <row r="199" spans="1:73" s="59" customFormat="1" x14ac:dyDescent="0.2">
      <c r="A199" s="58">
        <v>198</v>
      </c>
      <c r="B199" s="139" t="s">
        <v>3039</v>
      </c>
      <c r="AL199" s="127">
        <v>1</v>
      </c>
      <c r="AY199" s="127">
        <v>0.5</v>
      </c>
    </row>
    <row r="200" spans="1:73" s="59" customFormat="1" x14ac:dyDescent="0.2">
      <c r="A200" s="58">
        <v>199</v>
      </c>
      <c r="B200" s="139" t="s">
        <v>1211</v>
      </c>
      <c r="AL200" s="127">
        <v>0.5</v>
      </c>
    </row>
    <row r="201" spans="1:73" s="59" customFormat="1" x14ac:dyDescent="0.2">
      <c r="A201" s="58">
        <v>200</v>
      </c>
      <c r="B201" s="139" t="s">
        <v>3476</v>
      </c>
      <c r="AL201" s="127">
        <v>0.5</v>
      </c>
      <c r="AU201" s="127">
        <v>2</v>
      </c>
      <c r="AX201" s="127">
        <v>0.5</v>
      </c>
    </row>
    <row r="202" spans="1:73" s="59" customFormat="1" x14ac:dyDescent="0.2">
      <c r="A202" s="58">
        <v>201</v>
      </c>
      <c r="B202" s="139" t="s">
        <v>1508</v>
      </c>
      <c r="AM202" s="127">
        <v>15</v>
      </c>
      <c r="AP202" s="127">
        <v>4</v>
      </c>
      <c r="AQ202" s="127">
        <v>4</v>
      </c>
    </row>
    <row r="203" spans="1:73" s="59" customFormat="1" x14ac:dyDescent="0.2">
      <c r="A203" s="58">
        <v>202</v>
      </c>
      <c r="B203" s="139" t="s">
        <v>3114</v>
      </c>
      <c r="AM203" s="127">
        <v>2</v>
      </c>
      <c r="AP203" s="127">
        <v>0.5</v>
      </c>
      <c r="AQ203" s="127">
        <v>1</v>
      </c>
      <c r="AT203" s="127">
        <v>1</v>
      </c>
    </row>
    <row r="204" spans="1:73" s="59" customFormat="1" x14ac:dyDescent="0.2">
      <c r="A204" s="58">
        <v>203</v>
      </c>
      <c r="B204" s="139" t="s">
        <v>3456</v>
      </c>
      <c r="AM204" s="127">
        <v>0.5</v>
      </c>
      <c r="AR204" s="127">
        <v>1</v>
      </c>
    </row>
    <row r="205" spans="1:73" s="59" customFormat="1" x14ac:dyDescent="0.2">
      <c r="A205" s="58">
        <v>204</v>
      </c>
      <c r="B205" s="139" t="s">
        <v>1276</v>
      </c>
      <c r="AM205" s="127">
        <v>0.5</v>
      </c>
    </row>
    <row r="206" spans="1:73" s="59" customFormat="1" x14ac:dyDescent="0.2">
      <c r="A206" s="58">
        <v>205</v>
      </c>
      <c r="B206" s="139" t="s">
        <v>3471</v>
      </c>
      <c r="AN206" s="127">
        <v>5</v>
      </c>
      <c r="AR206" s="127">
        <v>2</v>
      </c>
      <c r="BR206" s="127">
        <v>2</v>
      </c>
    </row>
    <row r="207" spans="1:73" s="59" customFormat="1" x14ac:dyDescent="0.2">
      <c r="A207" s="58">
        <v>206</v>
      </c>
      <c r="B207" s="139" t="s">
        <v>3474</v>
      </c>
      <c r="AN207" s="127">
        <v>1</v>
      </c>
      <c r="AO207" s="127">
        <v>65</v>
      </c>
      <c r="AP207" s="127">
        <v>1</v>
      </c>
      <c r="AS207" s="127">
        <v>2</v>
      </c>
      <c r="BF207" s="127">
        <v>45</v>
      </c>
      <c r="BL207" s="127">
        <v>30</v>
      </c>
    </row>
    <row r="208" spans="1:73" s="59" customFormat="1" x14ac:dyDescent="0.2">
      <c r="A208" s="58">
        <v>207</v>
      </c>
      <c r="B208" s="139" t="s">
        <v>1491</v>
      </c>
      <c r="AO208" s="127">
        <v>2</v>
      </c>
      <c r="BU208" s="127">
        <v>2</v>
      </c>
    </row>
    <row r="209" spans="1:73" s="59" customFormat="1" x14ac:dyDescent="0.2">
      <c r="A209" s="58">
        <v>208</v>
      </c>
      <c r="B209" s="139" t="s">
        <v>1531</v>
      </c>
      <c r="AO209" s="127">
        <v>0.5</v>
      </c>
      <c r="AY209" s="127">
        <v>0.5</v>
      </c>
      <c r="BC209" s="127">
        <v>11</v>
      </c>
      <c r="BD209" s="127">
        <v>10</v>
      </c>
      <c r="BF209" s="127">
        <v>8</v>
      </c>
      <c r="BG209" s="127">
        <v>9</v>
      </c>
      <c r="BL209" s="127">
        <v>1</v>
      </c>
      <c r="BN209" s="127">
        <v>0.5</v>
      </c>
      <c r="BS209" s="127">
        <v>0.5</v>
      </c>
      <c r="BT209" s="127">
        <v>2</v>
      </c>
      <c r="BU209" s="127">
        <v>2</v>
      </c>
    </row>
    <row r="210" spans="1:73" s="59" customFormat="1" x14ac:dyDescent="0.2">
      <c r="A210" s="58">
        <v>209</v>
      </c>
      <c r="B210" s="139" t="s">
        <v>3172</v>
      </c>
      <c r="AP210" s="127">
        <v>3</v>
      </c>
    </row>
    <row r="211" spans="1:73" s="59" customFormat="1" x14ac:dyDescent="0.2">
      <c r="A211" s="58">
        <v>210</v>
      </c>
      <c r="B211" s="139" t="s">
        <v>3040</v>
      </c>
      <c r="AP211" s="127">
        <v>2</v>
      </c>
    </row>
    <row r="212" spans="1:73" s="59" customFormat="1" x14ac:dyDescent="0.2">
      <c r="A212" s="58">
        <v>211</v>
      </c>
      <c r="B212" s="139" t="s">
        <v>3173</v>
      </c>
      <c r="AP212" s="127">
        <v>2</v>
      </c>
      <c r="BF212" s="127">
        <v>4</v>
      </c>
      <c r="BG212" s="127">
        <v>3</v>
      </c>
      <c r="BL212" s="127">
        <v>5</v>
      </c>
      <c r="BO212" s="127">
        <v>18</v>
      </c>
      <c r="BQ212" s="127">
        <v>7</v>
      </c>
    </row>
    <row r="213" spans="1:73" s="59" customFormat="1" x14ac:dyDescent="0.2">
      <c r="A213" s="58">
        <v>212</v>
      </c>
      <c r="B213" s="139" t="s">
        <v>1494</v>
      </c>
      <c r="AQ213" s="127">
        <v>0.5</v>
      </c>
      <c r="AY213" s="127">
        <v>0.5</v>
      </c>
      <c r="BC213" s="127">
        <v>0.5</v>
      </c>
    </row>
    <row r="214" spans="1:73" s="59" customFormat="1" x14ac:dyDescent="0.2">
      <c r="A214" s="58">
        <v>213</v>
      </c>
      <c r="B214" s="139" t="s">
        <v>3491</v>
      </c>
      <c r="AR214" s="127">
        <v>4</v>
      </c>
      <c r="AS214" s="127">
        <v>0.5</v>
      </c>
      <c r="AT214" s="127">
        <v>3</v>
      </c>
    </row>
    <row r="215" spans="1:73" s="59" customFormat="1" x14ac:dyDescent="0.2">
      <c r="A215" s="58">
        <v>214</v>
      </c>
      <c r="B215" s="139" t="s">
        <v>3059</v>
      </c>
      <c r="AR215" s="127">
        <v>2</v>
      </c>
    </row>
    <row r="216" spans="1:73" s="59" customFormat="1" x14ac:dyDescent="0.2">
      <c r="A216" s="58">
        <v>215</v>
      </c>
      <c r="B216" s="139" t="s">
        <v>3068</v>
      </c>
      <c r="AR216" s="127">
        <v>2</v>
      </c>
      <c r="BN216" s="127">
        <v>0.5</v>
      </c>
      <c r="BU216" s="127">
        <v>5</v>
      </c>
    </row>
    <row r="217" spans="1:73" s="59" customFormat="1" x14ac:dyDescent="0.2">
      <c r="A217" s="58">
        <v>216</v>
      </c>
      <c r="B217" s="139" t="s">
        <v>1487</v>
      </c>
      <c r="AR217" s="127">
        <v>2</v>
      </c>
    </row>
    <row r="218" spans="1:73" s="59" customFormat="1" x14ac:dyDescent="0.2">
      <c r="A218" s="58">
        <v>217</v>
      </c>
      <c r="B218" s="139" t="s">
        <v>1240</v>
      </c>
      <c r="AR218" s="127">
        <v>1</v>
      </c>
      <c r="AS218" s="127">
        <v>2</v>
      </c>
      <c r="BN218" s="127">
        <v>2</v>
      </c>
    </row>
    <row r="219" spans="1:73" s="59" customFormat="1" x14ac:dyDescent="0.2">
      <c r="A219" s="58">
        <v>218</v>
      </c>
      <c r="B219" s="139" t="s">
        <v>3038</v>
      </c>
      <c r="AR219" s="127">
        <v>1</v>
      </c>
      <c r="AS219" s="127">
        <v>2</v>
      </c>
      <c r="BN219" s="127">
        <v>0.5</v>
      </c>
    </row>
    <row r="220" spans="1:73" s="59" customFormat="1" x14ac:dyDescent="0.2">
      <c r="A220" s="58">
        <v>219</v>
      </c>
      <c r="B220" s="139" t="s">
        <v>3452</v>
      </c>
      <c r="AS220" s="127">
        <v>1</v>
      </c>
      <c r="AT220" s="127">
        <v>2</v>
      </c>
      <c r="BN220" s="127">
        <v>0.5</v>
      </c>
    </row>
    <row r="221" spans="1:73" s="59" customFormat="1" x14ac:dyDescent="0.2">
      <c r="A221" s="58">
        <v>220</v>
      </c>
      <c r="B221" s="139" t="s">
        <v>3169</v>
      </c>
      <c r="AS221" s="127">
        <v>0.5</v>
      </c>
    </row>
    <row r="222" spans="1:73" s="59" customFormat="1" x14ac:dyDescent="0.2">
      <c r="A222" s="58">
        <v>221</v>
      </c>
      <c r="B222" s="139" t="s">
        <v>1523</v>
      </c>
      <c r="AS222" s="127">
        <v>0.5</v>
      </c>
    </row>
    <row r="223" spans="1:73" s="59" customFormat="1" x14ac:dyDescent="0.2">
      <c r="A223" s="58">
        <v>222</v>
      </c>
      <c r="B223" s="139" t="s">
        <v>3499</v>
      </c>
      <c r="AS223" s="127">
        <v>0.5</v>
      </c>
      <c r="AT223" s="127">
        <v>0.5</v>
      </c>
    </row>
    <row r="224" spans="1:73" s="59" customFormat="1" x14ac:dyDescent="0.2">
      <c r="A224" s="58">
        <v>223</v>
      </c>
      <c r="B224" s="139" t="s">
        <v>3041</v>
      </c>
      <c r="AT224" s="127">
        <v>1</v>
      </c>
      <c r="BG224" s="127">
        <v>0.5</v>
      </c>
    </row>
    <row r="225" spans="1:73" s="59" customFormat="1" x14ac:dyDescent="0.2">
      <c r="A225" s="58">
        <v>224</v>
      </c>
      <c r="B225" s="139" t="s">
        <v>3087</v>
      </c>
      <c r="AT225" s="127">
        <v>1</v>
      </c>
    </row>
    <row r="226" spans="1:73" s="59" customFormat="1" x14ac:dyDescent="0.2">
      <c r="A226" s="58">
        <v>225</v>
      </c>
      <c r="B226" s="139" t="s">
        <v>3083</v>
      </c>
      <c r="AT226" s="127">
        <v>0.5</v>
      </c>
    </row>
    <row r="227" spans="1:73" s="59" customFormat="1" x14ac:dyDescent="0.2">
      <c r="A227" s="58">
        <v>226</v>
      </c>
      <c r="B227" s="139" t="s">
        <v>2852</v>
      </c>
      <c r="AU227" s="127">
        <v>3</v>
      </c>
      <c r="BD227" s="127">
        <v>3</v>
      </c>
      <c r="BE227" s="127">
        <v>0.5</v>
      </c>
      <c r="BF227" s="127">
        <v>1</v>
      </c>
      <c r="BG227" s="127">
        <v>0.5</v>
      </c>
      <c r="BI227" s="127">
        <v>0.5</v>
      </c>
      <c r="BP227" s="127">
        <v>0.5</v>
      </c>
      <c r="BU227" s="127">
        <v>1</v>
      </c>
    </row>
    <row r="228" spans="1:73" s="59" customFormat="1" x14ac:dyDescent="0.2">
      <c r="A228" s="58">
        <v>227</v>
      </c>
      <c r="B228" s="139" t="s">
        <v>1246</v>
      </c>
      <c r="AV228" s="127">
        <v>1</v>
      </c>
    </row>
    <row r="229" spans="1:73" s="59" customFormat="1" x14ac:dyDescent="0.2">
      <c r="A229" s="58">
        <v>228</v>
      </c>
      <c r="B229" s="139" t="s">
        <v>2854</v>
      </c>
      <c r="AV229" s="127">
        <v>1</v>
      </c>
    </row>
    <row r="230" spans="1:73" s="59" customFormat="1" x14ac:dyDescent="0.2">
      <c r="A230" s="58">
        <v>229</v>
      </c>
      <c r="B230" s="139" t="s">
        <v>538</v>
      </c>
      <c r="AY230" s="127">
        <v>10</v>
      </c>
      <c r="BC230" s="127">
        <v>6</v>
      </c>
      <c r="BO230" s="127">
        <v>5</v>
      </c>
      <c r="BP230" s="127">
        <v>20</v>
      </c>
      <c r="BT230" s="127">
        <v>0.5</v>
      </c>
    </row>
    <row r="231" spans="1:73" s="59" customFormat="1" x14ac:dyDescent="0.2">
      <c r="A231" s="58">
        <v>230</v>
      </c>
      <c r="B231" s="139" t="s">
        <v>2909</v>
      </c>
      <c r="AY231" s="127">
        <v>5</v>
      </c>
    </row>
    <row r="232" spans="1:73" s="59" customFormat="1" x14ac:dyDescent="0.2">
      <c r="A232" s="58">
        <v>231</v>
      </c>
      <c r="B232" s="139" t="s">
        <v>568</v>
      </c>
      <c r="AY232" s="127">
        <v>2</v>
      </c>
      <c r="BC232" s="127">
        <v>2</v>
      </c>
      <c r="BD232" s="127">
        <v>10</v>
      </c>
    </row>
    <row r="233" spans="1:73" s="59" customFormat="1" x14ac:dyDescent="0.2">
      <c r="A233" s="58">
        <v>232</v>
      </c>
      <c r="B233" s="139" t="s">
        <v>543</v>
      </c>
      <c r="AY233" s="127">
        <v>2</v>
      </c>
      <c r="BE233" s="127">
        <v>1</v>
      </c>
      <c r="BG233" s="127">
        <v>0.5</v>
      </c>
      <c r="BT233" s="127">
        <v>0.5</v>
      </c>
    </row>
    <row r="234" spans="1:73" s="59" customFormat="1" x14ac:dyDescent="0.2">
      <c r="A234" s="58">
        <v>233</v>
      </c>
      <c r="B234" s="139" t="s">
        <v>3108</v>
      </c>
      <c r="AY234" s="127">
        <v>1</v>
      </c>
      <c r="BC234" s="127">
        <v>2</v>
      </c>
    </row>
    <row r="235" spans="1:73" s="59" customFormat="1" x14ac:dyDescent="0.2">
      <c r="A235" s="58">
        <v>234</v>
      </c>
      <c r="B235" s="139" t="s">
        <v>1514</v>
      </c>
      <c r="AY235" s="127">
        <v>1</v>
      </c>
    </row>
    <row r="236" spans="1:73" s="59" customFormat="1" x14ac:dyDescent="0.2">
      <c r="A236" s="58">
        <v>235</v>
      </c>
      <c r="B236" s="139" t="s">
        <v>3477</v>
      </c>
      <c r="AY236" s="127">
        <v>0.5</v>
      </c>
    </row>
    <row r="237" spans="1:73" s="59" customFormat="1" x14ac:dyDescent="0.2">
      <c r="A237" s="58">
        <v>236</v>
      </c>
      <c r="B237" s="139" t="s">
        <v>3164</v>
      </c>
      <c r="AY237" s="127">
        <v>0.5</v>
      </c>
      <c r="BC237" s="127">
        <v>0.5</v>
      </c>
    </row>
    <row r="238" spans="1:73" s="59" customFormat="1" x14ac:dyDescent="0.2">
      <c r="A238" s="58">
        <v>237</v>
      </c>
      <c r="B238" s="139" t="s">
        <v>3043</v>
      </c>
      <c r="AY238" s="127">
        <v>0.5</v>
      </c>
      <c r="BN238" s="127">
        <v>0.5</v>
      </c>
      <c r="BR238" s="127">
        <v>0.5</v>
      </c>
    </row>
    <row r="239" spans="1:73" s="59" customFormat="1" x14ac:dyDescent="0.2">
      <c r="A239" s="58">
        <v>238</v>
      </c>
      <c r="B239" s="139" t="s">
        <v>564</v>
      </c>
      <c r="AY239" s="127">
        <v>0.5</v>
      </c>
    </row>
    <row r="240" spans="1:73" s="59" customFormat="1" x14ac:dyDescent="0.2">
      <c r="A240" s="58">
        <v>239</v>
      </c>
      <c r="B240" s="139" t="s">
        <v>1518</v>
      </c>
      <c r="AZ240" s="127">
        <v>0.5</v>
      </c>
    </row>
    <row r="241" spans="1:72" s="59" customFormat="1" x14ac:dyDescent="0.2">
      <c r="A241" s="58">
        <v>240</v>
      </c>
      <c r="B241" s="139" t="s">
        <v>3506</v>
      </c>
      <c r="BB241" s="127">
        <v>10</v>
      </c>
      <c r="BG241" s="127">
        <v>2</v>
      </c>
      <c r="BM241" s="127">
        <v>3</v>
      </c>
      <c r="BT241" s="127">
        <v>4</v>
      </c>
    </row>
    <row r="242" spans="1:72" s="59" customFormat="1" x14ac:dyDescent="0.2">
      <c r="A242" s="58">
        <v>241</v>
      </c>
      <c r="B242" s="139" t="s">
        <v>3447</v>
      </c>
      <c r="BB242" s="127">
        <v>3</v>
      </c>
      <c r="BE242" s="127">
        <v>1</v>
      </c>
      <c r="BG242" s="127">
        <v>2</v>
      </c>
      <c r="BM242" s="127">
        <v>19</v>
      </c>
      <c r="BT242" s="127">
        <v>5</v>
      </c>
    </row>
    <row r="243" spans="1:72" s="59" customFormat="1" x14ac:dyDescent="0.2">
      <c r="A243" s="58">
        <v>242</v>
      </c>
      <c r="B243" s="139" t="s">
        <v>1208</v>
      </c>
      <c r="BB243" s="127">
        <v>0.5</v>
      </c>
      <c r="BE243" s="127">
        <v>0.5</v>
      </c>
      <c r="BG243" s="127">
        <v>0.5</v>
      </c>
      <c r="BM243" s="127">
        <v>2</v>
      </c>
      <c r="BO243" s="127">
        <v>0.5</v>
      </c>
      <c r="BT243" s="127">
        <v>1</v>
      </c>
    </row>
    <row r="244" spans="1:72" s="59" customFormat="1" x14ac:dyDescent="0.2">
      <c r="A244" s="58">
        <v>243</v>
      </c>
      <c r="B244" s="139" t="s">
        <v>1412</v>
      </c>
      <c r="BC244" s="127">
        <v>20</v>
      </c>
    </row>
    <row r="245" spans="1:72" s="59" customFormat="1" x14ac:dyDescent="0.2">
      <c r="A245" s="58">
        <v>244</v>
      </c>
      <c r="B245" s="139" t="s">
        <v>549</v>
      </c>
      <c r="BC245" s="127">
        <v>6</v>
      </c>
    </row>
    <row r="246" spans="1:72" s="59" customFormat="1" x14ac:dyDescent="0.2">
      <c r="A246" s="58">
        <v>245</v>
      </c>
      <c r="B246" s="139" t="s">
        <v>1400</v>
      </c>
      <c r="BC246" s="127">
        <v>1</v>
      </c>
      <c r="BE246" s="127">
        <v>10</v>
      </c>
      <c r="BF246" s="127">
        <v>3</v>
      </c>
      <c r="BL246" s="127">
        <v>3</v>
      </c>
      <c r="BO246" s="127">
        <v>1</v>
      </c>
      <c r="BS246" s="127">
        <v>5</v>
      </c>
    </row>
    <row r="247" spans="1:72" s="59" customFormat="1" x14ac:dyDescent="0.2">
      <c r="A247" s="58">
        <v>246</v>
      </c>
      <c r="B247" s="139" t="s">
        <v>2900</v>
      </c>
      <c r="BD247" s="127">
        <v>1</v>
      </c>
      <c r="BM247" s="127">
        <v>0.5</v>
      </c>
    </row>
    <row r="248" spans="1:72" s="59" customFormat="1" x14ac:dyDescent="0.2">
      <c r="A248" s="58">
        <v>247</v>
      </c>
      <c r="B248" s="139" t="s">
        <v>1184</v>
      </c>
      <c r="BD248" s="127">
        <v>0.5</v>
      </c>
      <c r="BS248" s="127">
        <v>0.5</v>
      </c>
    </row>
    <row r="249" spans="1:72" s="59" customFormat="1" x14ac:dyDescent="0.2">
      <c r="A249" s="58">
        <v>248</v>
      </c>
      <c r="B249" s="139" t="s">
        <v>1413</v>
      </c>
      <c r="BE249" s="127">
        <v>6</v>
      </c>
    </row>
    <row r="250" spans="1:72" s="59" customFormat="1" x14ac:dyDescent="0.2">
      <c r="A250" s="58">
        <v>249</v>
      </c>
      <c r="B250" s="139" t="s">
        <v>539</v>
      </c>
      <c r="BE250" s="127">
        <v>0.5</v>
      </c>
      <c r="BI250" s="127">
        <v>0.5</v>
      </c>
      <c r="BR250" s="127">
        <v>0.5</v>
      </c>
    </row>
    <row r="251" spans="1:72" s="59" customFormat="1" x14ac:dyDescent="0.2">
      <c r="A251" s="58">
        <v>250</v>
      </c>
      <c r="B251" s="139" t="s">
        <v>1516</v>
      </c>
      <c r="BE251" s="127">
        <v>0.5</v>
      </c>
    </row>
    <row r="252" spans="1:72" s="59" customFormat="1" x14ac:dyDescent="0.2">
      <c r="A252" s="58">
        <v>251</v>
      </c>
      <c r="B252" s="139" t="s">
        <v>1402</v>
      </c>
      <c r="BF252" s="127">
        <v>12</v>
      </c>
      <c r="BL252" s="127">
        <v>16</v>
      </c>
    </row>
    <row r="253" spans="1:72" s="59" customFormat="1" x14ac:dyDescent="0.2">
      <c r="A253" s="58">
        <v>252</v>
      </c>
      <c r="B253" s="139" t="s">
        <v>3508</v>
      </c>
      <c r="BF253" s="127">
        <v>0.5</v>
      </c>
    </row>
    <row r="254" spans="1:72" s="59" customFormat="1" x14ac:dyDescent="0.2">
      <c r="A254" s="58">
        <v>253</v>
      </c>
      <c r="B254" s="139" t="s">
        <v>553</v>
      </c>
      <c r="BF254" s="127">
        <v>0.5</v>
      </c>
      <c r="BO254" s="127">
        <v>0.5</v>
      </c>
      <c r="BQ254" s="127">
        <v>0.5</v>
      </c>
    </row>
    <row r="255" spans="1:72" s="59" customFormat="1" x14ac:dyDescent="0.2">
      <c r="A255" s="58">
        <v>254</v>
      </c>
      <c r="B255" s="139" t="s">
        <v>1156</v>
      </c>
      <c r="BG255" s="127">
        <v>7</v>
      </c>
    </row>
    <row r="256" spans="1:72" s="59" customFormat="1" x14ac:dyDescent="0.2">
      <c r="A256" s="58">
        <v>255</v>
      </c>
      <c r="B256" s="139" t="s">
        <v>3123</v>
      </c>
      <c r="BG256" s="127">
        <v>7</v>
      </c>
    </row>
    <row r="257" spans="1:73" s="59" customFormat="1" x14ac:dyDescent="0.2">
      <c r="A257" s="58">
        <v>256</v>
      </c>
      <c r="B257" s="139" t="s">
        <v>3189</v>
      </c>
      <c r="BG257" s="127">
        <v>1</v>
      </c>
    </row>
    <row r="258" spans="1:73" s="59" customFormat="1" x14ac:dyDescent="0.2">
      <c r="A258" s="58">
        <v>257</v>
      </c>
      <c r="B258" s="139" t="s">
        <v>2878</v>
      </c>
      <c r="BG258" s="127">
        <v>0.5</v>
      </c>
      <c r="BM258" s="127">
        <v>1</v>
      </c>
      <c r="BT258" s="127">
        <v>0.5</v>
      </c>
      <c r="BU258" s="127">
        <v>1</v>
      </c>
    </row>
    <row r="259" spans="1:73" s="59" customFormat="1" x14ac:dyDescent="0.2">
      <c r="A259" s="58">
        <v>258</v>
      </c>
      <c r="B259" s="139" t="s">
        <v>3101</v>
      </c>
      <c r="BG259" s="127">
        <v>0.5</v>
      </c>
    </row>
    <row r="260" spans="1:73" s="59" customFormat="1" x14ac:dyDescent="0.2">
      <c r="A260" s="58">
        <v>259</v>
      </c>
      <c r="B260" s="139" t="s">
        <v>3328</v>
      </c>
      <c r="BH260" s="127">
        <v>0.5</v>
      </c>
      <c r="BI260" s="127">
        <v>8</v>
      </c>
    </row>
    <row r="261" spans="1:73" s="59" customFormat="1" x14ac:dyDescent="0.2">
      <c r="A261" s="58">
        <v>260</v>
      </c>
      <c r="B261" s="139" t="s">
        <v>3386</v>
      </c>
      <c r="BI261" s="127">
        <v>19</v>
      </c>
    </row>
    <row r="262" spans="1:73" s="59" customFormat="1" x14ac:dyDescent="0.2">
      <c r="A262" s="58">
        <v>261</v>
      </c>
      <c r="B262" s="139" t="s">
        <v>1180</v>
      </c>
      <c r="BI262" s="127">
        <v>0.5</v>
      </c>
    </row>
    <row r="263" spans="1:73" s="59" customFormat="1" x14ac:dyDescent="0.2">
      <c r="A263" s="58">
        <v>262</v>
      </c>
      <c r="B263" s="139" t="s">
        <v>3090</v>
      </c>
      <c r="BI263" s="127">
        <v>0.5</v>
      </c>
    </row>
    <row r="264" spans="1:73" s="59" customFormat="1" x14ac:dyDescent="0.2">
      <c r="A264" s="58">
        <v>263</v>
      </c>
      <c r="B264" s="139" t="s">
        <v>1167</v>
      </c>
      <c r="BJ264" s="127">
        <v>3</v>
      </c>
    </row>
    <row r="265" spans="1:73" s="59" customFormat="1" x14ac:dyDescent="0.2">
      <c r="A265" s="58">
        <v>264</v>
      </c>
      <c r="B265" s="139" t="s">
        <v>1146</v>
      </c>
      <c r="BK265" s="127">
        <v>0.5</v>
      </c>
    </row>
    <row r="266" spans="1:73" s="59" customFormat="1" x14ac:dyDescent="0.2">
      <c r="A266" s="58">
        <v>265</v>
      </c>
      <c r="B266" s="139" t="s">
        <v>554</v>
      </c>
      <c r="BL266" s="127">
        <v>3</v>
      </c>
    </row>
    <row r="267" spans="1:73" s="59" customFormat="1" x14ac:dyDescent="0.2">
      <c r="A267" s="58">
        <v>266</v>
      </c>
      <c r="B267" s="139" t="s">
        <v>3037</v>
      </c>
      <c r="BM267" s="127">
        <v>1</v>
      </c>
    </row>
    <row r="268" spans="1:73" s="59" customFormat="1" x14ac:dyDescent="0.2">
      <c r="A268" s="58">
        <v>267</v>
      </c>
      <c r="B268" s="139" t="s">
        <v>3359</v>
      </c>
      <c r="BM268" s="127">
        <v>1</v>
      </c>
      <c r="BP268" s="127">
        <v>2</v>
      </c>
      <c r="BT268" s="127">
        <v>0.5</v>
      </c>
    </row>
    <row r="269" spans="1:73" s="59" customFormat="1" x14ac:dyDescent="0.2">
      <c r="A269" s="58">
        <v>268</v>
      </c>
      <c r="B269" s="139" t="s">
        <v>1233</v>
      </c>
      <c r="BN269" s="127">
        <v>6</v>
      </c>
      <c r="BR269" s="127">
        <v>0.5</v>
      </c>
    </row>
    <row r="270" spans="1:73" s="59" customFormat="1" x14ac:dyDescent="0.2">
      <c r="A270" s="58">
        <v>269</v>
      </c>
      <c r="B270" s="139" t="s">
        <v>3197</v>
      </c>
      <c r="BN270" s="127">
        <v>2</v>
      </c>
    </row>
    <row r="271" spans="1:73" s="59" customFormat="1" x14ac:dyDescent="0.2">
      <c r="A271" s="58">
        <v>270</v>
      </c>
      <c r="B271" s="139" t="s">
        <v>3461</v>
      </c>
      <c r="BN271" s="127">
        <v>0.5</v>
      </c>
    </row>
    <row r="272" spans="1:73" s="59" customFormat="1" x14ac:dyDescent="0.2">
      <c r="A272" s="58">
        <v>271</v>
      </c>
      <c r="B272" s="139" t="s">
        <v>1151</v>
      </c>
      <c r="BN272" s="127">
        <v>0.5</v>
      </c>
    </row>
    <row r="273" spans="1:72" s="59" customFormat="1" x14ac:dyDescent="0.2">
      <c r="A273" s="58">
        <v>272</v>
      </c>
      <c r="B273" s="139" t="s">
        <v>2837</v>
      </c>
      <c r="BN273" s="127">
        <v>0.5</v>
      </c>
    </row>
    <row r="274" spans="1:72" s="59" customFormat="1" x14ac:dyDescent="0.2">
      <c r="A274" s="58">
        <v>273</v>
      </c>
      <c r="B274" s="139" t="s">
        <v>3475</v>
      </c>
      <c r="BN274" s="127">
        <v>0.5</v>
      </c>
    </row>
    <row r="275" spans="1:72" s="59" customFormat="1" x14ac:dyDescent="0.2">
      <c r="A275" s="58">
        <v>274</v>
      </c>
      <c r="B275" s="139" t="s">
        <v>3093</v>
      </c>
      <c r="BN275" s="127">
        <v>0.5</v>
      </c>
    </row>
    <row r="276" spans="1:72" s="59" customFormat="1" x14ac:dyDescent="0.2">
      <c r="A276" s="58">
        <v>275</v>
      </c>
      <c r="B276" s="139" t="s">
        <v>1201</v>
      </c>
      <c r="BO276" s="127">
        <v>3</v>
      </c>
      <c r="BQ276" s="127">
        <v>0.5</v>
      </c>
    </row>
    <row r="277" spans="1:72" s="59" customFormat="1" x14ac:dyDescent="0.2">
      <c r="A277" s="58">
        <v>276</v>
      </c>
      <c r="B277" s="139" t="s">
        <v>555</v>
      </c>
      <c r="BO277" s="127">
        <v>2</v>
      </c>
    </row>
    <row r="278" spans="1:72" s="59" customFormat="1" x14ac:dyDescent="0.2">
      <c r="A278" s="58">
        <v>277</v>
      </c>
      <c r="B278" s="139" t="s">
        <v>2850</v>
      </c>
      <c r="BP278" s="127">
        <v>0.5</v>
      </c>
      <c r="BQ278" s="127">
        <v>3</v>
      </c>
    </row>
    <row r="279" spans="1:72" s="59" customFormat="1" x14ac:dyDescent="0.2">
      <c r="A279" s="58">
        <v>278</v>
      </c>
      <c r="B279" s="139" t="s">
        <v>1162</v>
      </c>
      <c r="BQ279" s="127">
        <v>65</v>
      </c>
    </row>
    <row r="280" spans="1:72" s="59" customFormat="1" x14ac:dyDescent="0.2">
      <c r="A280" s="58">
        <v>279</v>
      </c>
      <c r="B280" s="139" t="s">
        <v>1149</v>
      </c>
      <c r="BQ280" s="127">
        <v>35</v>
      </c>
      <c r="BR280" s="127">
        <v>0.5</v>
      </c>
    </row>
    <row r="281" spans="1:72" s="59" customFormat="1" x14ac:dyDescent="0.2">
      <c r="A281" s="58">
        <v>280</v>
      </c>
      <c r="B281" s="139" t="s">
        <v>3489</v>
      </c>
      <c r="BQ281" s="127">
        <v>6</v>
      </c>
    </row>
    <row r="282" spans="1:72" s="59" customFormat="1" x14ac:dyDescent="0.2">
      <c r="A282" s="58">
        <v>281</v>
      </c>
      <c r="B282" s="139" t="s">
        <v>3196</v>
      </c>
      <c r="BR282" s="127">
        <v>8</v>
      </c>
    </row>
    <row r="283" spans="1:72" s="59" customFormat="1" x14ac:dyDescent="0.2">
      <c r="A283" s="58">
        <v>282</v>
      </c>
      <c r="B283" s="139" t="s">
        <v>1282</v>
      </c>
      <c r="BR283" s="127">
        <v>1</v>
      </c>
    </row>
    <row r="284" spans="1:72" s="59" customFormat="1" x14ac:dyDescent="0.2">
      <c r="A284" s="58">
        <v>283</v>
      </c>
      <c r="B284" s="139" t="s">
        <v>3369</v>
      </c>
      <c r="BR284" s="127">
        <v>0.5</v>
      </c>
    </row>
    <row r="285" spans="1:72" s="59" customFormat="1" x14ac:dyDescent="0.2">
      <c r="A285" s="58">
        <v>284</v>
      </c>
      <c r="B285" s="139" t="s">
        <v>1870</v>
      </c>
      <c r="BS285" s="127">
        <v>19</v>
      </c>
    </row>
    <row r="286" spans="1:72" s="59" customFormat="1" x14ac:dyDescent="0.2">
      <c r="A286" s="58">
        <v>285</v>
      </c>
      <c r="B286" s="139" t="s">
        <v>2857</v>
      </c>
      <c r="BS286" s="127">
        <v>0.5</v>
      </c>
    </row>
    <row r="287" spans="1:72" s="59" customFormat="1" x14ac:dyDescent="0.2">
      <c r="A287" s="58">
        <v>286</v>
      </c>
      <c r="B287" s="139" t="s">
        <v>2849</v>
      </c>
      <c r="BS287" s="127">
        <v>0.5</v>
      </c>
      <c r="BT287" s="127">
        <v>0.5</v>
      </c>
    </row>
    <row r="288" spans="1:72" s="59" customFormat="1" x14ac:dyDescent="0.2">
      <c r="A288" s="58">
        <v>287</v>
      </c>
      <c r="B288" s="139" t="s">
        <v>556</v>
      </c>
      <c r="BT288" s="127">
        <v>0.5</v>
      </c>
    </row>
    <row r="289" spans="1:73" s="59" customFormat="1" x14ac:dyDescent="0.2">
      <c r="A289" s="58">
        <v>288</v>
      </c>
      <c r="B289" s="139" t="s">
        <v>1432</v>
      </c>
      <c r="BU289" s="127">
        <v>1</v>
      </c>
    </row>
    <row r="290" spans="1:73" s="59" customFormat="1" x14ac:dyDescent="0.2">
      <c r="A290" s="58">
        <v>289</v>
      </c>
      <c r="B290" s="139" t="s">
        <v>1524</v>
      </c>
      <c r="BU290" s="127">
        <v>0.5</v>
      </c>
    </row>
    <row r="291" spans="1:73" s="59" customFormat="1" x14ac:dyDescent="0.2">
      <c r="A291" s="58">
        <v>290</v>
      </c>
      <c r="B291" s="139" t="s">
        <v>3455</v>
      </c>
      <c r="BU291" s="127">
        <v>0.5</v>
      </c>
    </row>
    <row r="292" spans="1:73" s="59" customFormat="1" x14ac:dyDescent="0.2">
      <c r="A292" s="58"/>
      <c r="B292" s="139"/>
    </row>
    <row r="293" spans="1:73" s="59" customFormat="1" x14ac:dyDescent="0.2">
      <c r="A293" s="58"/>
      <c r="B293" s="139"/>
    </row>
    <row r="294" spans="1:73" s="59" customFormat="1" x14ac:dyDescent="0.2">
      <c r="A294" s="58"/>
      <c r="B294" s="139"/>
    </row>
    <row r="295" spans="1:73" s="59" customFormat="1" x14ac:dyDescent="0.2">
      <c r="A295" s="58"/>
      <c r="B295" s="139"/>
    </row>
    <row r="296" spans="1:73" s="59" customFormat="1" x14ac:dyDescent="0.2">
      <c r="A296" s="58"/>
      <c r="B296" s="139"/>
    </row>
    <row r="297" spans="1:73" s="59" customFormat="1" x14ac:dyDescent="0.2">
      <c r="A297" s="58"/>
      <c r="B297" s="139"/>
    </row>
    <row r="298" spans="1:73" s="59" customFormat="1" x14ac:dyDescent="0.2">
      <c r="A298" s="58"/>
      <c r="B298" s="139"/>
    </row>
    <row r="299" spans="1:73" s="59" customFormat="1" x14ac:dyDescent="0.2">
      <c r="A299" s="58"/>
      <c r="B299" s="139"/>
    </row>
    <row r="300" spans="1:73" s="59" customFormat="1" x14ac:dyDescent="0.2">
      <c r="A300" s="58"/>
      <c r="B300" s="139"/>
    </row>
    <row r="301" spans="1:73" s="59" customFormat="1" x14ac:dyDescent="0.2">
      <c r="A301" s="58"/>
      <c r="B301" s="139"/>
    </row>
    <row r="302" spans="1:73" s="59" customFormat="1" x14ac:dyDescent="0.2">
      <c r="A302" s="58"/>
      <c r="B302" s="139"/>
    </row>
    <row r="303" spans="1:73" s="59" customFormat="1" x14ac:dyDescent="0.2">
      <c r="A303" s="58"/>
      <c r="B303" s="139"/>
    </row>
    <row r="304" spans="1:73" s="59" customFormat="1" x14ac:dyDescent="0.2">
      <c r="A304" s="58"/>
      <c r="B304" s="139"/>
    </row>
    <row r="305" spans="1:2" s="59" customFormat="1" x14ac:dyDescent="0.2">
      <c r="A305" s="58"/>
      <c r="B305" s="139"/>
    </row>
    <row r="306" spans="1:2" s="59" customFormat="1" x14ac:dyDescent="0.2">
      <c r="A306" s="58"/>
      <c r="B306" s="139"/>
    </row>
    <row r="307" spans="1:2" s="59" customFormat="1" x14ac:dyDescent="0.2">
      <c r="A307" s="58"/>
      <c r="B307" s="139"/>
    </row>
    <row r="308" spans="1:2" s="59" customFormat="1" x14ac:dyDescent="0.2">
      <c r="A308" s="58"/>
      <c r="B308" s="139"/>
    </row>
    <row r="309" spans="1:2" s="59" customFormat="1" x14ac:dyDescent="0.2">
      <c r="A309" s="58"/>
      <c r="B309" s="139"/>
    </row>
    <row r="310" spans="1:2" s="59" customFormat="1" x14ac:dyDescent="0.2">
      <c r="A310" s="58"/>
      <c r="B310" s="139"/>
    </row>
    <row r="311" spans="1:2" s="59" customFormat="1" x14ac:dyDescent="0.2">
      <c r="A311" s="58"/>
      <c r="B311" s="139"/>
    </row>
    <row r="312" spans="1:2" s="59" customFormat="1" x14ac:dyDescent="0.2">
      <c r="A312" s="58"/>
      <c r="B312" s="139"/>
    </row>
    <row r="313" spans="1:2" s="59" customFormat="1" x14ac:dyDescent="0.2">
      <c r="A313" s="58"/>
      <c r="B313" s="139"/>
    </row>
    <row r="314" spans="1:2" s="59" customFormat="1" x14ac:dyDescent="0.2">
      <c r="A314" s="58"/>
      <c r="B314" s="139"/>
    </row>
    <row r="315" spans="1:2" s="59" customFormat="1" x14ac:dyDescent="0.2">
      <c r="A315" s="58"/>
      <c r="B315" s="139"/>
    </row>
    <row r="316" spans="1:2" s="59" customFormat="1" x14ac:dyDescent="0.2">
      <c r="A316" s="58"/>
      <c r="B316" s="139"/>
    </row>
    <row r="317" spans="1:2" s="59" customFormat="1" x14ac:dyDescent="0.2">
      <c r="A317" s="58"/>
      <c r="B317" s="139"/>
    </row>
    <row r="318" spans="1:2" s="59" customFormat="1" x14ac:dyDescent="0.2">
      <c r="A318" s="58"/>
      <c r="B318" s="139"/>
    </row>
    <row r="319" spans="1:2" s="59" customFormat="1" x14ac:dyDescent="0.2">
      <c r="A319" s="58"/>
      <c r="B319" s="139"/>
    </row>
    <row r="320" spans="1:2" s="59" customFormat="1" x14ac:dyDescent="0.2">
      <c r="A320" s="58"/>
      <c r="B320" s="139"/>
    </row>
    <row r="321" spans="1:2" s="59" customFormat="1" x14ac:dyDescent="0.2">
      <c r="A321" s="58"/>
      <c r="B321" s="139"/>
    </row>
    <row r="322" spans="1:2" s="59" customFormat="1" x14ac:dyDescent="0.2">
      <c r="A322" s="58"/>
      <c r="B322" s="139"/>
    </row>
    <row r="323" spans="1:2" s="59" customFormat="1" x14ac:dyDescent="0.2">
      <c r="A323" s="58"/>
      <c r="B323" s="139"/>
    </row>
    <row r="324" spans="1:2" s="59" customFormat="1" x14ac:dyDescent="0.2">
      <c r="A324" s="58"/>
      <c r="B324" s="139"/>
    </row>
    <row r="325" spans="1:2" s="59" customFormat="1" x14ac:dyDescent="0.2">
      <c r="A325" s="58"/>
      <c r="B325" s="139"/>
    </row>
    <row r="326" spans="1:2" s="59" customFormat="1" x14ac:dyDescent="0.2">
      <c r="A326" s="58"/>
      <c r="B326" s="139"/>
    </row>
    <row r="327" spans="1:2" s="59" customFormat="1" x14ac:dyDescent="0.2">
      <c r="A327" s="58"/>
      <c r="B327" s="139"/>
    </row>
    <row r="328" spans="1:2" s="59" customFormat="1" x14ac:dyDescent="0.2">
      <c r="A328" s="58"/>
      <c r="B328" s="139"/>
    </row>
    <row r="329" spans="1:2" s="59" customFormat="1" x14ac:dyDescent="0.2">
      <c r="A329" s="58"/>
      <c r="B329" s="139"/>
    </row>
    <row r="330" spans="1:2" s="59" customFormat="1" x14ac:dyDescent="0.2">
      <c r="A330" s="58"/>
      <c r="B330" s="139"/>
    </row>
    <row r="331" spans="1:2" s="59" customFormat="1" x14ac:dyDescent="0.2">
      <c r="A331" s="58"/>
      <c r="B331" s="139"/>
    </row>
    <row r="332" spans="1:2" s="59" customFormat="1" x14ac:dyDescent="0.2">
      <c r="A332" s="58"/>
      <c r="B332" s="139"/>
    </row>
    <row r="333" spans="1:2" s="59" customFormat="1" x14ac:dyDescent="0.2">
      <c r="A333" s="58"/>
      <c r="B333" s="139"/>
    </row>
    <row r="334" spans="1:2" s="59" customFormat="1" x14ac:dyDescent="0.2">
      <c r="A334" s="58"/>
      <c r="B334" s="139"/>
    </row>
    <row r="335" spans="1:2" s="59" customFormat="1" x14ac:dyDescent="0.2">
      <c r="A335" s="58"/>
      <c r="B335" s="139"/>
    </row>
    <row r="336" spans="1:2" s="59" customFormat="1" x14ac:dyDescent="0.2">
      <c r="A336" s="58"/>
      <c r="B336" s="139"/>
    </row>
    <row r="337" spans="1:2" s="59" customFormat="1" x14ac:dyDescent="0.2">
      <c r="A337" s="58"/>
      <c r="B337" s="139"/>
    </row>
    <row r="338" spans="1:2" s="59" customFormat="1" x14ac:dyDescent="0.2">
      <c r="A338" s="58"/>
      <c r="B338" s="139"/>
    </row>
    <row r="339" spans="1:2" s="59" customFormat="1" x14ac:dyDescent="0.2">
      <c r="A339" s="58"/>
      <c r="B339" s="139"/>
    </row>
    <row r="340" spans="1:2" s="59" customFormat="1" x14ac:dyDescent="0.2">
      <c r="A340" s="58"/>
      <c r="B340" s="139"/>
    </row>
    <row r="341" spans="1:2" s="59" customFormat="1" x14ac:dyDescent="0.2">
      <c r="A341" s="58"/>
      <c r="B341" s="139"/>
    </row>
    <row r="342" spans="1:2" s="59" customFormat="1" x14ac:dyDescent="0.2">
      <c r="A342" s="58"/>
      <c r="B342" s="139"/>
    </row>
    <row r="343" spans="1:2" s="59" customFormat="1" x14ac:dyDescent="0.2">
      <c r="A343" s="58"/>
      <c r="B343" s="139"/>
    </row>
    <row r="344" spans="1:2" s="59" customFormat="1" x14ac:dyDescent="0.2">
      <c r="A344" s="58"/>
      <c r="B344" s="139"/>
    </row>
    <row r="345" spans="1:2" s="59" customFormat="1" x14ac:dyDescent="0.2">
      <c r="A345" s="58"/>
      <c r="B345" s="139"/>
    </row>
    <row r="346" spans="1:2" s="59" customFormat="1" x14ac:dyDescent="0.2">
      <c r="A346" s="58"/>
      <c r="B346" s="139"/>
    </row>
    <row r="347" spans="1:2" s="59" customFormat="1" x14ac:dyDescent="0.2">
      <c r="A347" s="58"/>
      <c r="B347" s="139"/>
    </row>
    <row r="348" spans="1:2" s="59" customFormat="1" x14ac:dyDescent="0.2">
      <c r="A348" s="58"/>
      <c r="B348" s="139"/>
    </row>
    <row r="349" spans="1:2" s="59" customFormat="1" x14ac:dyDescent="0.2">
      <c r="A349" s="58"/>
      <c r="B349" s="139"/>
    </row>
    <row r="350" spans="1:2" s="59" customFormat="1" x14ac:dyDescent="0.2">
      <c r="A350" s="58"/>
      <c r="B350" s="139"/>
    </row>
    <row r="351" spans="1:2" s="59" customFormat="1" x14ac:dyDescent="0.2">
      <c r="A351" s="58"/>
      <c r="B351" s="139"/>
    </row>
    <row r="352" spans="1:2" s="59" customFormat="1" x14ac:dyDescent="0.2">
      <c r="A352" s="58"/>
      <c r="B352" s="139"/>
    </row>
    <row r="353" spans="1:2" s="59" customFormat="1" x14ac:dyDescent="0.2">
      <c r="A353" s="58"/>
      <c r="B353" s="139"/>
    </row>
    <row r="354" spans="1:2" s="59" customFormat="1" x14ac:dyDescent="0.2">
      <c r="A354" s="58"/>
      <c r="B354" s="139"/>
    </row>
    <row r="355" spans="1:2" s="59" customFormat="1" x14ac:dyDescent="0.2">
      <c r="A355" s="58"/>
      <c r="B355" s="139"/>
    </row>
    <row r="356" spans="1:2" s="59" customFormat="1" x14ac:dyDescent="0.2">
      <c r="A356" s="58"/>
      <c r="B356" s="139"/>
    </row>
    <row r="357" spans="1:2" s="59" customFormat="1" x14ac:dyDescent="0.2">
      <c r="A357" s="58"/>
      <c r="B357" s="139"/>
    </row>
    <row r="358" spans="1:2" s="59" customFormat="1" x14ac:dyDescent="0.2">
      <c r="A358" s="58"/>
      <c r="B358" s="139"/>
    </row>
    <row r="359" spans="1:2" s="59" customFormat="1" x14ac:dyDescent="0.2">
      <c r="A359" s="58"/>
      <c r="B359" s="139"/>
    </row>
    <row r="360" spans="1:2" s="59" customFormat="1" x14ac:dyDescent="0.2">
      <c r="A360" s="58"/>
      <c r="B360" s="139"/>
    </row>
    <row r="361" spans="1:2" s="59" customFormat="1" x14ac:dyDescent="0.2">
      <c r="A361" s="58"/>
      <c r="B361" s="139"/>
    </row>
    <row r="362" spans="1:2" s="59" customFormat="1" x14ac:dyDescent="0.2">
      <c r="A362" s="58"/>
      <c r="B362" s="139"/>
    </row>
    <row r="363" spans="1:2" s="59" customFormat="1" x14ac:dyDescent="0.2">
      <c r="A363" s="58"/>
      <c r="B363" s="139"/>
    </row>
    <row r="364" spans="1:2" s="59" customFormat="1" x14ac:dyDescent="0.2">
      <c r="A364" s="58"/>
      <c r="B364" s="139"/>
    </row>
    <row r="365" spans="1:2" s="59" customFormat="1" x14ac:dyDescent="0.2">
      <c r="A365" s="58"/>
      <c r="B365" s="139"/>
    </row>
    <row r="366" spans="1:2" s="59" customFormat="1" x14ac:dyDescent="0.2">
      <c r="A366" s="58"/>
      <c r="B366" s="139"/>
    </row>
    <row r="367" spans="1:2" s="59" customFormat="1" x14ac:dyDescent="0.2">
      <c r="A367" s="58"/>
      <c r="B367" s="139"/>
    </row>
    <row r="368" spans="1:2" s="59" customFormat="1" x14ac:dyDescent="0.2">
      <c r="A368" s="58"/>
      <c r="B368" s="139"/>
    </row>
    <row r="369" spans="1:2" s="59" customFormat="1" x14ac:dyDescent="0.2">
      <c r="A369" s="58"/>
      <c r="B369" s="139"/>
    </row>
    <row r="370" spans="1:2" s="59" customFormat="1" x14ac:dyDescent="0.2">
      <c r="A370" s="58"/>
      <c r="B370" s="139"/>
    </row>
    <row r="371" spans="1:2" s="59" customFormat="1" x14ac:dyDescent="0.2">
      <c r="A371" s="58"/>
      <c r="B371" s="139"/>
    </row>
    <row r="372" spans="1:2" s="59" customFormat="1" x14ac:dyDescent="0.2">
      <c r="A372" s="58"/>
      <c r="B372" s="139"/>
    </row>
    <row r="373" spans="1:2" s="59" customFormat="1" x14ac:dyDescent="0.2">
      <c r="A373" s="58"/>
      <c r="B373" s="139"/>
    </row>
    <row r="374" spans="1:2" s="59" customFormat="1" x14ac:dyDescent="0.2">
      <c r="A374" s="58"/>
      <c r="B374" s="139"/>
    </row>
    <row r="375" spans="1:2" s="59" customFormat="1" x14ac:dyDescent="0.2">
      <c r="A375" s="58"/>
      <c r="B375" s="139"/>
    </row>
    <row r="376" spans="1:2" s="59" customFormat="1" x14ac:dyDescent="0.2">
      <c r="A376" s="58"/>
      <c r="B376" s="139"/>
    </row>
    <row r="377" spans="1:2" s="59" customFormat="1" x14ac:dyDescent="0.2">
      <c r="A377" s="58"/>
      <c r="B377" s="139"/>
    </row>
    <row r="378" spans="1:2" s="59" customFormat="1" x14ac:dyDescent="0.2">
      <c r="A378" s="58"/>
      <c r="B378" s="139"/>
    </row>
    <row r="379" spans="1:2" s="59" customFormat="1" x14ac:dyDescent="0.2">
      <c r="A379" s="58"/>
      <c r="B379" s="139"/>
    </row>
    <row r="380" spans="1:2" s="59" customFormat="1" x14ac:dyDescent="0.2">
      <c r="A380" s="58"/>
      <c r="B380" s="139"/>
    </row>
    <row r="381" spans="1:2" s="59" customFormat="1" x14ac:dyDescent="0.2">
      <c r="A381" s="58"/>
      <c r="B381" s="139"/>
    </row>
    <row r="382" spans="1:2" s="59" customFormat="1" x14ac:dyDescent="0.2">
      <c r="A382" s="58"/>
      <c r="B382" s="139"/>
    </row>
    <row r="383" spans="1:2" s="59" customFormat="1" x14ac:dyDescent="0.2">
      <c r="A383" s="58"/>
      <c r="B383" s="139"/>
    </row>
    <row r="384" spans="1:2" s="59" customFormat="1" x14ac:dyDescent="0.2">
      <c r="A384" s="58"/>
      <c r="B384" s="139"/>
    </row>
    <row r="385" spans="1:2" s="59" customFormat="1" x14ac:dyDescent="0.2">
      <c r="A385" s="58"/>
      <c r="B385" s="139"/>
    </row>
    <row r="386" spans="1:2" s="59" customFormat="1" x14ac:dyDescent="0.2">
      <c r="A386" s="58"/>
      <c r="B386" s="139"/>
    </row>
    <row r="387" spans="1:2" s="59" customFormat="1" x14ac:dyDescent="0.2">
      <c r="A387" s="58"/>
      <c r="B387" s="139"/>
    </row>
    <row r="388" spans="1:2" s="59" customFormat="1" x14ac:dyDescent="0.2">
      <c r="A388" s="58"/>
      <c r="B388" s="139"/>
    </row>
    <row r="389" spans="1:2" s="59" customFormat="1" x14ac:dyDescent="0.2">
      <c r="A389" s="58"/>
      <c r="B389" s="139"/>
    </row>
    <row r="390" spans="1:2" s="59" customFormat="1" x14ac:dyDescent="0.2">
      <c r="A390" s="58"/>
      <c r="B390" s="139"/>
    </row>
    <row r="391" spans="1:2" s="59" customFormat="1" x14ac:dyDescent="0.2">
      <c r="A391" s="58"/>
      <c r="B391" s="139"/>
    </row>
    <row r="392" spans="1:2" s="59" customFormat="1" x14ac:dyDescent="0.2">
      <c r="A392" s="58"/>
      <c r="B392" s="139"/>
    </row>
    <row r="393" spans="1:2" s="59" customFormat="1" x14ac:dyDescent="0.2">
      <c r="A393" s="58"/>
      <c r="B393" s="139"/>
    </row>
    <row r="394" spans="1:2" s="59" customFormat="1" x14ac:dyDescent="0.2">
      <c r="A394" s="58"/>
      <c r="B394" s="139"/>
    </row>
    <row r="395" spans="1:2" s="59" customFormat="1" x14ac:dyDescent="0.2">
      <c r="A395" s="58"/>
      <c r="B395" s="139"/>
    </row>
    <row r="396" spans="1:2" s="59" customFormat="1" x14ac:dyDescent="0.2">
      <c r="A396" s="58"/>
      <c r="B396" s="139"/>
    </row>
    <row r="397" spans="1:2" s="59" customFormat="1" x14ac:dyDescent="0.2">
      <c r="A397" s="58"/>
      <c r="B397" s="139"/>
    </row>
    <row r="398" spans="1:2" s="59" customFormat="1" x14ac:dyDescent="0.2">
      <c r="A398" s="58"/>
      <c r="B398" s="139"/>
    </row>
    <row r="399" spans="1:2" s="59" customFormat="1" x14ac:dyDescent="0.2">
      <c r="A399" s="58"/>
      <c r="B399" s="139"/>
    </row>
    <row r="400" spans="1:2" s="59" customFormat="1" x14ac:dyDescent="0.2">
      <c r="A400" s="58"/>
      <c r="B400" s="139"/>
    </row>
    <row r="401" spans="1:2" s="59" customFormat="1" x14ac:dyDescent="0.2">
      <c r="A401" s="58"/>
      <c r="B401" s="139"/>
    </row>
    <row r="402" spans="1:2" s="59" customFormat="1" x14ac:dyDescent="0.2">
      <c r="A402" s="58"/>
      <c r="B402" s="139"/>
    </row>
    <row r="403" spans="1:2" s="59" customFormat="1" x14ac:dyDescent="0.2">
      <c r="A403" s="58"/>
      <c r="B403" s="139"/>
    </row>
    <row r="404" spans="1:2" s="59" customFormat="1" x14ac:dyDescent="0.2">
      <c r="A404" s="58"/>
      <c r="B404" s="139"/>
    </row>
    <row r="405" spans="1:2" s="59" customFormat="1" x14ac:dyDescent="0.2">
      <c r="A405" s="58"/>
      <c r="B405" s="139"/>
    </row>
    <row r="406" spans="1:2" s="59" customFormat="1" x14ac:dyDescent="0.2">
      <c r="A406" s="58"/>
      <c r="B406" s="139"/>
    </row>
    <row r="407" spans="1:2" s="59" customFormat="1" x14ac:dyDescent="0.2">
      <c r="A407" s="58"/>
      <c r="B407" s="139"/>
    </row>
    <row r="408" spans="1:2" s="59" customFormat="1" x14ac:dyDescent="0.2">
      <c r="A408" s="58"/>
      <c r="B408" s="139"/>
    </row>
    <row r="409" spans="1:2" s="59" customFormat="1" x14ac:dyDescent="0.2">
      <c r="A409" s="58"/>
      <c r="B409" s="139"/>
    </row>
    <row r="410" spans="1:2" s="59" customFormat="1" x14ac:dyDescent="0.2">
      <c r="A410" s="58"/>
      <c r="B410" s="139"/>
    </row>
    <row r="411" spans="1:2" s="59" customFormat="1" x14ac:dyDescent="0.2">
      <c r="A411" s="58"/>
      <c r="B411" s="139"/>
    </row>
    <row r="412" spans="1:2" s="59" customFormat="1" x14ac:dyDescent="0.2">
      <c r="A412" s="58"/>
      <c r="B412" s="139"/>
    </row>
    <row r="413" spans="1:2" s="59" customFormat="1" x14ac:dyDescent="0.2">
      <c r="A413" s="58"/>
      <c r="B413" s="139"/>
    </row>
    <row r="414" spans="1:2" s="59" customFormat="1" x14ac:dyDescent="0.2">
      <c r="A414" s="58"/>
      <c r="B414" s="139"/>
    </row>
    <row r="415" spans="1:2" s="59" customFormat="1" x14ac:dyDescent="0.2">
      <c r="A415" s="58"/>
      <c r="B415" s="139"/>
    </row>
    <row r="416" spans="1:2" s="59" customFormat="1" x14ac:dyDescent="0.2">
      <c r="A416" s="58"/>
      <c r="B416" s="139"/>
    </row>
    <row r="417" spans="1:2" s="59" customFormat="1" x14ac:dyDescent="0.2">
      <c r="A417" s="58"/>
      <c r="B417" s="139"/>
    </row>
    <row r="418" spans="1:2" s="59" customFormat="1" x14ac:dyDescent="0.2">
      <c r="A418" s="58"/>
      <c r="B418" s="139"/>
    </row>
    <row r="419" spans="1:2" s="59" customFormat="1" x14ac:dyDescent="0.2">
      <c r="A419" s="58"/>
      <c r="B419" s="139"/>
    </row>
    <row r="420" spans="1:2" s="59" customFormat="1" x14ac:dyDescent="0.2">
      <c r="A420" s="58"/>
      <c r="B420" s="139"/>
    </row>
    <row r="421" spans="1:2" s="59" customFormat="1" x14ac:dyDescent="0.2">
      <c r="A421" s="58"/>
      <c r="B421" s="139"/>
    </row>
    <row r="422" spans="1:2" s="59" customFormat="1" x14ac:dyDescent="0.2">
      <c r="A422" s="58"/>
      <c r="B422" s="139"/>
    </row>
    <row r="423" spans="1:2" s="59" customFormat="1" x14ac:dyDescent="0.2">
      <c r="A423" s="58"/>
      <c r="B423" s="139"/>
    </row>
    <row r="424" spans="1:2" s="59" customFormat="1" x14ac:dyDescent="0.2">
      <c r="A424" s="58"/>
      <c r="B424" s="139"/>
    </row>
    <row r="425" spans="1:2" s="59" customFormat="1" x14ac:dyDescent="0.2">
      <c r="A425" s="58"/>
      <c r="B425" s="139"/>
    </row>
    <row r="426" spans="1:2" s="59" customFormat="1" x14ac:dyDescent="0.2">
      <c r="A426" s="58"/>
      <c r="B426" s="139"/>
    </row>
    <row r="427" spans="1:2" s="59" customFormat="1" x14ac:dyDescent="0.2">
      <c r="A427" s="58"/>
      <c r="B427" s="139"/>
    </row>
    <row r="428" spans="1:2" s="59" customFormat="1" x14ac:dyDescent="0.2">
      <c r="A428" s="58"/>
      <c r="B428" s="139"/>
    </row>
    <row r="429" spans="1:2" s="59" customFormat="1" x14ac:dyDescent="0.2">
      <c r="A429" s="58"/>
      <c r="B429" s="139"/>
    </row>
    <row r="430" spans="1:2" s="59" customFormat="1" x14ac:dyDescent="0.2">
      <c r="A430" s="58"/>
      <c r="B430" s="139"/>
    </row>
    <row r="431" spans="1:2" s="59" customFormat="1" x14ac:dyDescent="0.2">
      <c r="A431" s="58"/>
      <c r="B431" s="139"/>
    </row>
    <row r="432" spans="1:2" s="59" customFormat="1" x14ac:dyDescent="0.2">
      <c r="A432" s="58"/>
      <c r="B432" s="139"/>
    </row>
    <row r="433" spans="1:2" s="59" customFormat="1" x14ac:dyDescent="0.2">
      <c r="A433" s="58"/>
      <c r="B433" s="139"/>
    </row>
    <row r="434" spans="1:2" s="59" customFormat="1" x14ac:dyDescent="0.2">
      <c r="A434" s="58"/>
      <c r="B434" s="139"/>
    </row>
    <row r="435" spans="1:2" s="59" customFormat="1" x14ac:dyDescent="0.2">
      <c r="A435" s="58"/>
      <c r="B435" s="139"/>
    </row>
    <row r="436" spans="1:2" s="59" customFormat="1" x14ac:dyDescent="0.2">
      <c r="A436" s="58"/>
      <c r="B436" s="139"/>
    </row>
    <row r="437" spans="1:2" s="59" customFormat="1" x14ac:dyDescent="0.2">
      <c r="A437" s="58"/>
      <c r="B437" s="139"/>
    </row>
    <row r="438" spans="1:2" s="59" customFormat="1" x14ac:dyDescent="0.2">
      <c r="A438" s="58"/>
      <c r="B438" s="139"/>
    </row>
    <row r="439" spans="1:2" s="59" customFormat="1" x14ac:dyDescent="0.2">
      <c r="A439" s="58"/>
      <c r="B439" s="139"/>
    </row>
    <row r="440" spans="1:2" s="59" customFormat="1" x14ac:dyDescent="0.2">
      <c r="A440" s="58"/>
      <c r="B440" s="139"/>
    </row>
    <row r="441" spans="1:2" s="59" customFormat="1" x14ac:dyDescent="0.2">
      <c r="A441" s="58"/>
      <c r="B441" s="139"/>
    </row>
    <row r="442" spans="1:2" s="59" customFormat="1" x14ac:dyDescent="0.2">
      <c r="A442" s="58"/>
      <c r="B442" s="139"/>
    </row>
    <row r="443" spans="1:2" s="59" customFormat="1" x14ac:dyDescent="0.2">
      <c r="A443" s="58"/>
      <c r="B443" s="139"/>
    </row>
    <row r="444" spans="1:2" s="59" customFormat="1" x14ac:dyDescent="0.2">
      <c r="A444" s="58"/>
      <c r="B444" s="139"/>
    </row>
    <row r="445" spans="1:2" s="59" customFormat="1" x14ac:dyDescent="0.2">
      <c r="A445" s="58"/>
      <c r="B445" s="139"/>
    </row>
    <row r="446" spans="1:2" s="59" customFormat="1" x14ac:dyDescent="0.2">
      <c r="A446" s="58"/>
      <c r="B446" s="139"/>
    </row>
    <row r="447" spans="1:2" s="59" customFormat="1" x14ac:dyDescent="0.2">
      <c r="A447" s="58"/>
      <c r="B447" s="139"/>
    </row>
    <row r="448" spans="1:2" s="59" customFormat="1" x14ac:dyDescent="0.2">
      <c r="A448" s="58"/>
      <c r="B448" s="139"/>
    </row>
    <row r="449" spans="1:2" s="59" customFormat="1" x14ac:dyDescent="0.2">
      <c r="A449" s="58"/>
      <c r="B449" s="139"/>
    </row>
    <row r="450" spans="1:2" s="59" customFormat="1" x14ac:dyDescent="0.2">
      <c r="A450" s="58"/>
      <c r="B450" s="139"/>
    </row>
    <row r="451" spans="1:2" s="59" customFormat="1" x14ac:dyDescent="0.2">
      <c r="A451" s="58"/>
      <c r="B451" s="139"/>
    </row>
    <row r="452" spans="1:2" s="59" customFormat="1" x14ac:dyDescent="0.2">
      <c r="A452" s="58"/>
      <c r="B452" s="139"/>
    </row>
    <row r="453" spans="1:2" s="59" customFormat="1" x14ac:dyDescent="0.2">
      <c r="A453" s="58"/>
      <c r="B453" s="139"/>
    </row>
    <row r="454" spans="1:2" s="59" customFormat="1" x14ac:dyDescent="0.2">
      <c r="A454" s="58"/>
      <c r="B454" s="139"/>
    </row>
    <row r="455" spans="1:2" s="59" customFormat="1" x14ac:dyDescent="0.2">
      <c r="A455" s="58"/>
      <c r="B455" s="139"/>
    </row>
    <row r="456" spans="1:2" s="59" customFormat="1" x14ac:dyDescent="0.2">
      <c r="A456" s="58"/>
      <c r="B456" s="139"/>
    </row>
    <row r="457" spans="1:2" s="59" customFormat="1" x14ac:dyDescent="0.2">
      <c r="A457" s="58"/>
      <c r="B457" s="139"/>
    </row>
    <row r="458" spans="1:2" s="59" customFormat="1" x14ac:dyDescent="0.2">
      <c r="A458" s="58"/>
      <c r="B458" s="139"/>
    </row>
    <row r="459" spans="1:2" s="59" customFormat="1" x14ac:dyDescent="0.2">
      <c r="A459" s="58"/>
      <c r="B459" s="139"/>
    </row>
    <row r="460" spans="1:2" s="59" customFormat="1" x14ac:dyDescent="0.2">
      <c r="A460" s="58"/>
      <c r="B460" s="139"/>
    </row>
    <row r="461" spans="1:2" s="59" customFormat="1" x14ac:dyDescent="0.2">
      <c r="A461" s="58"/>
      <c r="B461" s="139"/>
    </row>
    <row r="462" spans="1:2" s="59" customFormat="1" x14ac:dyDescent="0.2">
      <c r="A462" s="58"/>
      <c r="B462" s="139"/>
    </row>
    <row r="463" spans="1:2" s="59" customFormat="1" x14ac:dyDescent="0.2">
      <c r="A463" s="58"/>
      <c r="B463" s="139"/>
    </row>
    <row r="464" spans="1:2" s="59" customFormat="1" x14ac:dyDescent="0.2">
      <c r="A464" s="58"/>
      <c r="B464" s="139"/>
    </row>
    <row r="465" spans="1:2" s="59" customFormat="1" x14ac:dyDescent="0.2">
      <c r="A465" s="58"/>
      <c r="B465" s="139"/>
    </row>
    <row r="466" spans="1:2" s="59" customFormat="1" x14ac:dyDescent="0.2">
      <c r="A466" s="58"/>
      <c r="B466" s="139"/>
    </row>
    <row r="467" spans="1:2" s="59" customFormat="1" x14ac:dyDescent="0.2">
      <c r="A467" s="58"/>
      <c r="B467" s="139"/>
    </row>
    <row r="468" spans="1:2" s="59" customFormat="1" x14ac:dyDescent="0.2">
      <c r="A468" s="58"/>
      <c r="B468" s="139"/>
    </row>
    <row r="469" spans="1:2" s="59" customFormat="1" x14ac:dyDescent="0.2">
      <c r="A469" s="58"/>
      <c r="B469" s="139"/>
    </row>
    <row r="470" spans="1:2" s="59" customFormat="1" x14ac:dyDescent="0.2">
      <c r="A470" s="58"/>
      <c r="B470" s="139"/>
    </row>
    <row r="471" spans="1:2" s="59" customFormat="1" x14ac:dyDescent="0.2">
      <c r="A471" s="58"/>
      <c r="B471" s="139"/>
    </row>
    <row r="472" spans="1:2" s="59" customFormat="1" x14ac:dyDescent="0.2">
      <c r="A472" s="58"/>
      <c r="B472" s="139"/>
    </row>
    <row r="473" spans="1:2" s="59" customFormat="1" x14ac:dyDescent="0.2">
      <c r="A473" s="58"/>
      <c r="B473" s="139"/>
    </row>
    <row r="474" spans="1:2" s="59" customFormat="1" x14ac:dyDescent="0.2">
      <c r="A474" s="58"/>
      <c r="B474" s="139"/>
    </row>
    <row r="475" spans="1:2" s="59" customFormat="1" x14ac:dyDescent="0.2">
      <c r="A475" s="58"/>
      <c r="B475" s="139"/>
    </row>
    <row r="476" spans="1:2" s="59" customFormat="1" x14ac:dyDescent="0.2">
      <c r="A476" s="58"/>
      <c r="B476" s="139"/>
    </row>
    <row r="477" spans="1:2" s="59" customFormat="1" x14ac:dyDescent="0.2">
      <c r="A477" s="58"/>
      <c r="B477" s="139"/>
    </row>
    <row r="478" spans="1:2" s="59" customFormat="1" x14ac:dyDescent="0.2">
      <c r="A478" s="58"/>
      <c r="B478" s="139"/>
    </row>
    <row r="479" spans="1:2" s="59" customFormat="1" x14ac:dyDescent="0.2">
      <c r="A479" s="58"/>
      <c r="B479" s="139"/>
    </row>
    <row r="480" spans="1:2" s="59" customFormat="1" x14ac:dyDescent="0.2">
      <c r="A480" s="58"/>
      <c r="B480" s="139"/>
    </row>
    <row r="481" spans="1:2" s="59" customFormat="1" x14ac:dyDescent="0.2">
      <c r="A481" s="58"/>
      <c r="B481" s="139"/>
    </row>
    <row r="482" spans="1:2" s="59" customFormat="1" x14ac:dyDescent="0.2">
      <c r="A482" s="58"/>
      <c r="B482" s="139"/>
    </row>
    <row r="483" spans="1:2" s="59" customFormat="1" x14ac:dyDescent="0.2">
      <c r="A483" s="58"/>
      <c r="B483" s="139"/>
    </row>
    <row r="484" spans="1:2" s="59" customFormat="1" x14ac:dyDescent="0.2">
      <c r="A484" s="58"/>
      <c r="B484" s="139"/>
    </row>
    <row r="485" spans="1:2" s="59" customFormat="1" x14ac:dyDescent="0.2">
      <c r="A485" s="58"/>
      <c r="B485" s="139"/>
    </row>
    <row r="486" spans="1:2" s="59" customFormat="1" x14ac:dyDescent="0.2">
      <c r="A486" s="58"/>
      <c r="B486" s="139"/>
    </row>
    <row r="487" spans="1:2" s="59" customFormat="1" x14ac:dyDescent="0.2">
      <c r="A487" s="58"/>
      <c r="B487" s="139"/>
    </row>
    <row r="488" spans="1:2" s="59" customFormat="1" x14ac:dyDescent="0.2">
      <c r="A488" s="58"/>
      <c r="B488" s="139"/>
    </row>
    <row r="489" spans="1:2" s="59" customFormat="1" x14ac:dyDescent="0.2">
      <c r="A489" s="58"/>
      <c r="B489" s="139"/>
    </row>
    <row r="490" spans="1:2" s="59" customFormat="1" x14ac:dyDescent="0.2">
      <c r="A490" s="58"/>
      <c r="B490" s="139"/>
    </row>
    <row r="491" spans="1:2" s="59" customFormat="1" x14ac:dyDescent="0.2">
      <c r="A491" s="58"/>
      <c r="B491" s="139"/>
    </row>
    <row r="492" spans="1:2" s="59" customFormat="1" x14ac:dyDescent="0.2">
      <c r="A492" s="58"/>
      <c r="B492" s="139"/>
    </row>
    <row r="493" spans="1:2" s="59" customFormat="1" x14ac:dyDescent="0.2">
      <c r="A493" s="58"/>
      <c r="B493" s="139"/>
    </row>
    <row r="494" spans="1:2" s="59" customFormat="1" x14ac:dyDescent="0.2">
      <c r="A494" s="58"/>
      <c r="B494" s="139"/>
    </row>
    <row r="495" spans="1:2" s="59" customFormat="1" x14ac:dyDescent="0.2">
      <c r="A495" s="58"/>
      <c r="B495" s="139"/>
    </row>
    <row r="496" spans="1:2" s="59" customFormat="1" x14ac:dyDescent="0.2">
      <c r="A496" s="58"/>
      <c r="B496" s="139"/>
    </row>
    <row r="497" spans="1:2" s="59" customFormat="1" x14ac:dyDescent="0.2">
      <c r="A497" s="58"/>
      <c r="B497" s="139"/>
    </row>
    <row r="498" spans="1:2" s="59" customFormat="1" x14ac:dyDescent="0.2">
      <c r="A498" s="58"/>
      <c r="B498" s="139"/>
    </row>
    <row r="499" spans="1:2" s="59" customFormat="1" x14ac:dyDescent="0.2">
      <c r="A499" s="58"/>
      <c r="B499" s="139"/>
    </row>
    <row r="500" spans="1:2" s="59" customFormat="1" x14ac:dyDescent="0.2">
      <c r="A500" s="58"/>
      <c r="B500" s="139"/>
    </row>
    <row r="501" spans="1:2" s="59" customFormat="1" x14ac:dyDescent="0.2">
      <c r="A501" s="58"/>
      <c r="B501" s="139"/>
    </row>
    <row r="502" spans="1:2" s="59" customFormat="1" x14ac:dyDescent="0.2">
      <c r="A502" s="58"/>
      <c r="B502" s="139"/>
    </row>
    <row r="503" spans="1:2" s="59" customFormat="1" x14ac:dyDescent="0.2">
      <c r="A503" s="58"/>
      <c r="B503" s="139"/>
    </row>
    <row r="504" spans="1:2" s="59" customFormat="1" x14ac:dyDescent="0.2">
      <c r="A504" s="58"/>
      <c r="B504" s="139"/>
    </row>
    <row r="505" spans="1:2" s="59" customFormat="1" x14ac:dyDescent="0.2">
      <c r="A505" s="58"/>
      <c r="B505" s="139"/>
    </row>
    <row r="506" spans="1:2" s="59" customFormat="1" x14ac:dyDescent="0.2">
      <c r="A506" s="58"/>
      <c r="B506" s="139"/>
    </row>
    <row r="507" spans="1:2" s="59" customFormat="1" x14ac:dyDescent="0.2">
      <c r="A507" s="58"/>
      <c r="B507" s="139"/>
    </row>
    <row r="508" spans="1:2" s="59" customFormat="1" x14ac:dyDescent="0.2">
      <c r="A508" s="58"/>
      <c r="B508" s="139"/>
    </row>
    <row r="509" spans="1:2" s="59" customFormat="1" x14ac:dyDescent="0.2">
      <c r="A509" s="58"/>
      <c r="B509" s="139"/>
    </row>
    <row r="510" spans="1:2" s="59" customFormat="1" x14ac:dyDescent="0.2">
      <c r="A510" s="58"/>
      <c r="B510" s="139"/>
    </row>
    <row r="511" spans="1:2" s="59" customFormat="1" x14ac:dyDescent="0.2">
      <c r="A511" s="58"/>
      <c r="B511" s="139"/>
    </row>
    <row r="512" spans="1:2" s="59" customFormat="1" x14ac:dyDescent="0.2">
      <c r="A512" s="58"/>
      <c r="B512" s="139"/>
    </row>
    <row r="513" spans="1:2" s="59" customFormat="1" x14ac:dyDescent="0.2">
      <c r="A513" s="58"/>
      <c r="B513" s="139"/>
    </row>
    <row r="514" spans="1:2" s="59" customFormat="1" x14ac:dyDescent="0.2">
      <c r="A514" s="58"/>
      <c r="B514" s="139"/>
    </row>
    <row r="515" spans="1:2" s="59" customFormat="1" x14ac:dyDescent="0.2">
      <c r="A515" s="58"/>
      <c r="B515" s="139"/>
    </row>
    <row r="516" spans="1:2" s="59" customFormat="1" x14ac:dyDescent="0.2">
      <c r="A516" s="58"/>
      <c r="B516" s="139"/>
    </row>
    <row r="517" spans="1:2" s="59" customFormat="1" x14ac:dyDescent="0.2">
      <c r="A517" s="58"/>
      <c r="B517" s="139"/>
    </row>
    <row r="518" spans="1:2" s="59" customFormat="1" x14ac:dyDescent="0.2">
      <c r="A518" s="58"/>
      <c r="B518" s="139"/>
    </row>
    <row r="519" spans="1:2" s="59" customFormat="1" x14ac:dyDescent="0.2">
      <c r="A519" s="58"/>
      <c r="B519" s="139"/>
    </row>
    <row r="520" spans="1:2" s="59" customFormat="1" x14ac:dyDescent="0.2">
      <c r="A520" s="58"/>
      <c r="B520" s="139"/>
    </row>
    <row r="521" spans="1:2" s="59" customFormat="1" x14ac:dyDescent="0.2">
      <c r="A521" s="58"/>
      <c r="B521" s="139"/>
    </row>
    <row r="522" spans="1:2" s="59" customFormat="1" x14ac:dyDescent="0.2">
      <c r="A522" s="58"/>
      <c r="B522" s="139"/>
    </row>
    <row r="523" spans="1:2" s="59" customFormat="1" x14ac:dyDescent="0.2">
      <c r="A523" s="58"/>
      <c r="B523" s="139"/>
    </row>
    <row r="524" spans="1:2" s="59" customFormat="1" x14ac:dyDescent="0.2">
      <c r="A524" s="58"/>
      <c r="B524" s="139"/>
    </row>
    <row r="525" spans="1:2" s="59" customFormat="1" x14ac:dyDescent="0.2">
      <c r="A525" s="58"/>
      <c r="B525" s="139"/>
    </row>
    <row r="526" spans="1:2" s="59" customFormat="1" x14ac:dyDescent="0.2">
      <c r="A526" s="58"/>
      <c r="B526" s="139"/>
    </row>
    <row r="527" spans="1:2" s="59" customFormat="1" x14ac:dyDescent="0.2">
      <c r="A527" s="58"/>
      <c r="B527" s="139"/>
    </row>
    <row r="528" spans="1:2" s="59" customFormat="1" x14ac:dyDescent="0.2">
      <c r="A528" s="58"/>
      <c r="B528" s="139"/>
    </row>
    <row r="529" spans="1:2" s="59" customFormat="1" x14ac:dyDescent="0.2">
      <c r="A529" s="58"/>
      <c r="B529" s="139"/>
    </row>
    <row r="530" spans="1:2" s="59" customFormat="1" x14ac:dyDescent="0.2">
      <c r="A530" s="58"/>
      <c r="B530" s="139"/>
    </row>
    <row r="531" spans="1:2" s="59" customFormat="1" x14ac:dyDescent="0.2">
      <c r="A531" s="58"/>
      <c r="B531" s="139"/>
    </row>
    <row r="532" spans="1:2" s="59" customFormat="1" x14ac:dyDescent="0.2">
      <c r="A532" s="58"/>
      <c r="B532" s="139"/>
    </row>
    <row r="533" spans="1:2" s="59" customFormat="1" x14ac:dyDescent="0.2">
      <c r="A533" s="58"/>
      <c r="B533" s="139"/>
    </row>
    <row r="534" spans="1:2" s="59" customFormat="1" x14ac:dyDescent="0.2">
      <c r="A534" s="58"/>
      <c r="B534" s="139"/>
    </row>
    <row r="535" spans="1:2" s="59" customFormat="1" x14ac:dyDescent="0.2">
      <c r="A535" s="58"/>
      <c r="B535" s="139"/>
    </row>
    <row r="536" spans="1:2" s="59" customFormat="1" x14ac:dyDescent="0.2">
      <c r="A536" s="58"/>
      <c r="B536" s="139"/>
    </row>
    <row r="537" spans="1:2" s="59" customFormat="1" x14ac:dyDescent="0.2">
      <c r="A537" s="58"/>
      <c r="B537" s="139"/>
    </row>
    <row r="538" spans="1:2" s="59" customFormat="1" x14ac:dyDescent="0.2">
      <c r="A538" s="58"/>
      <c r="B538" s="139"/>
    </row>
    <row r="539" spans="1:2" s="59" customFormat="1" x14ac:dyDescent="0.2">
      <c r="A539" s="58"/>
      <c r="B539" s="139"/>
    </row>
    <row r="540" spans="1:2" s="59" customFormat="1" x14ac:dyDescent="0.2">
      <c r="A540" s="58"/>
      <c r="B540" s="139"/>
    </row>
    <row r="541" spans="1:2" s="59" customFormat="1" x14ac:dyDescent="0.2">
      <c r="A541" s="58"/>
      <c r="B541" s="139"/>
    </row>
    <row r="542" spans="1:2" s="59" customFormat="1" x14ac:dyDescent="0.2">
      <c r="A542" s="58"/>
      <c r="B542" s="139"/>
    </row>
    <row r="543" spans="1:2" s="59" customFormat="1" x14ac:dyDescent="0.2">
      <c r="A543" s="58"/>
      <c r="B543" s="139"/>
    </row>
    <row r="544" spans="1:2" s="59" customFormat="1" x14ac:dyDescent="0.2">
      <c r="A544" s="58"/>
      <c r="B544" s="139"/>
    </row>
    <row r="545" spans="1:2" s="59" customFormat="1" x14ac:dyDescent="0.2">
      <c r="A545" s="58"/>
      <c r="B545" s="139"/>
    </row>
    <row r="546" spans="1:2" s="59" customFormat="1" x14ac:dyDescent="0.2">
      <c r="A546" s="58"/>
      <c r="B546" s="139"/>
    </row>
    <row r="547" spans="1:2" s="59" customFormat="1" x14ac:dyDescent="0.2">
      <c r="A547" s="58"/>
      <c r="B547" s="139"/>
    </row>
    <row r="548" spans="1:2" s="59" customFormat="1" x14ac:dyDescent="0.2">
      <c r="A548" s="58"/>
      <c r="B548" s="139"/>
    </row>
    <row r="549" spans="1:2" s="59" customFormat="1" x14ac:dyDescent="0.2">
      <c r="A549" s="58"/>
      <c r="B549" s="139"/>
    </row>
    <row r="550" spans="1:2" s="59" customFormat="1" x14ac:dyDescent="0.2">
      <c r="A550" s="58"/>
      <c r="B550" s="139"/>
    </row>
    <row r="551" spans="1:2" s="59" customFormat="1" x14ac:dyDescent="0.2">
      <c r="A551" s="58"/>
      <c r="B551" s="139"/>
    </row>
    <row r="552" spans="1:2" s="59" customFormat="1" x14ac:dyDescent="0.2">
      <c r="A552" s="58"/>
      <c r="B552" s="139"/>
    </row>
    <row r="553" spans="1:2" s="59" customFormat="1" x14ac:dyDescent="0.2">
      <c r="A553" s="58"/>
      <c r="B553" s="139"/>
    </row>
    <row r="554" spans="1:2" s="59" customFormat="1" x14ac:dyDescent="0.2">
      <c r="A554" s="58"/>
      <c r="B554" s="139"/>
    </row>
    <row r="555" spans="1:2" s="59" customFormat="1" x14ac:dyDescent="0.2">
      <c r="A555" s="58"/>
      <c r="B555" s="139"/>
    </row>
    <row r="556" spans="1:2" s="59" customFormat="1" x14ac:dyDescent="0.2">
      <c r="A556" s="58"/>
      <c r="B556" s="139"/>
    </row>
    <row r="557" spans="1:2" s="59" customFormat="1" x14ac:dyDescent="0.2">
      <c r="A557" s="58"/>
      <c r="B557" s="139"/>
    </row>
    <row r="558" spans="1:2" s="59" customFormat="1" x14ac:dyDescent="0.2">
      <c r="A558" s="58"/>
      <c r="B558" s="139"/>
    </row>
    <row r="559" spans="1:2" s="59" customFormat="1" x14ac:dyDescent="0.2">
      <c r="A559" s="58"/>
      <c r="B559" s="139"/>
    </row>
    <row r="560" spans="1:2" s="59" customFormat="1" x14ac:dyDescent="0.2">
      <c r="A560" s="58"/>
      <c r="B560" s="139"/>
    </row>
    <row r="561" spans="1:2" s="59" customFormat="1" x14ac:dyDescent="0.2">
      <c r="A561" s="58"/>
      <c r="B561" s="139"/>
    </row>
    <row r="562" spans="1:2" s="59" customFormat="1" x14ac:dyDescent="0.2">
      <c r="A562" s="58"/>
      <c r="B562" s="139"/>
    </row>
    <row r="563" spans="1:2" s="59" customFormat="1" x14ac:dyDescent="0.2">
      <c r="A563" s="58"/>
      <c r="B563" s="139"/>
    </row>
    <row r="564" spans="1:2" s="59" customFormat="1" x14ac:dyDescent="0.2">
      <c r="A564" s="58"/>
      <c r="B564" s="139"/>
    </row>
    <row r="565" spans="1:2" s="59" customFormat="1" x14ac:dyDescent="0.2">
      <c r="A565" s="58"/>
      <c r="B565" s="139"/>
    </row>
    <row r="566" spans="1:2" s="59" customFormat="1" x14ac:dyDescent="0.2">
      <c r="A566" s="58"/>
      <c r="B566" s="139"/>
    </row>
    <row r="567" spans="1:2" s="59" customFormat="1" x14ac:dyDescent="0.2">
      <c r="A567" s="58"/>
      <c r="B567" s="139"/>
    </row>
    <row r="568" spans="1:2" s="59" customFormat="1" x14ac:dyDescent="0.2">
      <c r="A568" s="58"/>
      <c r="B568" s="139"/>
    </row>
    <row r="569" spans="1:2" s="59" customFormat="1" x14ac:dyDescent="0.2">
      <c r="A569" s="58"/>
      <c r="B569" s="139"/>
    </row>
    <row r="570" spans="1:2" s="59" customFormat="1" x14ac:dyDescent="0.2">
      <c r="A570" s="58"/>
      <c r="B570" s="139"/>
    </row>
    <row r="571" spans="1:2" s="59" customFormat="1" x14ac:dyDescent="0.2">
      <c r="A571" s="58"/>
      <c r="B571" s="139"/>
    </row>
    <row r="572" spans="1:2" s="59" customFormat="1" x14ac:dyDescent="0.2">
      <c r="A572" s="58"/>
      <c r="B572" s="139"/>
    </row>
    <row r="573" spans="1:2" s="59" customFormat="1" x14ac:dyDescent="0.2">
      <c r="A573" s="58"/>
      <c r="B573" s="139"/>
    </row>
    <row r="574" spans="1:2" s="59" customFormat="1" x14ac:dyDescent="0.2">
      <c r="A574" s="58"/>
      <c r="B574" s="139"/>
    </row>
    <row r="575" spans="1:2" s="59" customFormat="1" x14ac:dyDescent="0.2">
      <c r="A575" s="58"/>
      <c r="B575" s="139"/>
    </row>
    <row r="576" spans="1:2" s="59" customFormat="1" x14ac:dyDescent="0.2">
      <c r="A576" s="58"/>
      <c r="B576" s="139"/>
    </row>
    <row r="577" spans="1:2" s="59" customFormat="1" x14ac:dyDescent="0.2">
      <c r="A577" s="58"/>
      <c r="B577" s="139"/>
    </row>
    <row r="578" spans="1:2" s="59" customFormat="1" x14ac:dyDescent="0.2">
      <c r="A578" s="58"/>
      <c r="B578" s="139"/>
    </row>
    <row r="579" spans="1:2" s="59" customFormat="1" x14ac:dyDescent="0.2">
      <c r="A579" s="58"/>
      <c r="B579" s="139"/>
    </row>
    <row r="580" spans="1:2" s="59" customFormat="1" x14ac:dyDescent="0.2">
      <c r="A580" s="58"/>
      <c r="B580" s="139"/>
    </row>
    <row r="581" spans="1:2" s="59" customFormat="1" x14ac:dyDescent="0.2">
      <c r="A581" s="58"/>
      <c r="B581" s="139"/>
    </row>
    <row r="582" spans="1:2" s="59" customFormat="1" x14ac:dyDescent="0.2">
      <c r="A582" s="58"/>
      <c r="B582" s="139"/>
    </row>
    <row r="583" spans="1:2" s="59" customFormat="1" x14ac:dyDescent="0.2">
      <c r="A583" s="58"/>
      <c r="B583" s="139"/>
    </row>
    <row r="584" spans="1:2" s="59" customFormat="1" x14ac:dyDescent="0.2">
      <c r="A584" s="58"/>
      <c r="B584" s="139"/>
    </row>
    <row r="585" spans="1:2" s="59" customFormat="1" x14ac:dyDescent="0.2">
      <c r="A585" s="58"/>
      <c r="B585" s="139"/>
    </row>
    <row r="586" spans="1:2" s="59" customFormat="1" x14ac:dyDescent="0.2">
      <c r="A586" s="58"/>
      <c r="B586" s="139"/>
    </row>
    <row r="587" spans="1:2" s="59" customFormat="1" x14ac:dyDescent="0.2">
      <c r="A587" s="58"/>
      <c r="B587" s="139"/>
    </row>
    <row r="588" spans="1:2" s="59" customFormat="1" x14ac:dyDescent="0.2">
      <c r="A588" s="58"/>
      <c r="B588" s="139"/>
    </row>
    <row r="589" spans="1:2" s="59" customFormat="1" x14ac:dyDescent="0.2">
      <c r="A589" s="58"/>
      <c r="B589" s="139"/>
    </row>
    <row r="590" spans="1:2" s="59" customFormat="1" x14ac:dyDescent="0.2">
      <c r="A590" s="58"/>
      <c r="B590" s="139"/>
    </row>
    <row r="591" spans="1:2" s="59" customFormat="1" x14ac:dyDescent="0.2">
      <c r="A591" s="58"/>
      <c r="B591" s="139"/>
    </row>
    <row r="592" spans="1:2" s="59" customFormat="1" x14ac:dyDescent="0.2">
      <c r="A592" s="58"/>
      <c r="B592" s="139"/>
    </row>
    <row r="593" spans="1:2" s="59" customFormat="1" x14ac:dyDescent="0.2">
      <c r="A593" s="58"/>
      <c r="B593" s="139"/>
    </row>
    <row r="594" spans="1:2" s="59" customFormat="1" x14ac:dyDescent="0.2">
      <c r="A594" s="58"/>
      <c r="B594" s="139"/>
    </row>
    <row r="595" spans="1:2" s="59" customFormat="1" x14ac:dyDescent="0.2">
      <c r="A595" s="58"/>
      <c r="B595" s="139"/>
    </row>
    <row r="596" spans="1:2" s="59" customFormat="1" x14ac:dyDescent="0.2">
      <c r="A596" s="58"/>
      <c r="B596" s="139"/>
    </row>
    <row r="597" spans="1:2" s="59" customFormat="1" x14ac:dyDescent="0.2">
      <c r="A597" s="58"/>
      <c r="B597" s="139"/>
    </row>
    <row r="598" spans="1:2" s="59" customFormat="1" x14ac:dyDescent="0.2">
      <c r="A598" s="58"/>
      <c r="B598" s="139"/>
    </row>
    <row r="599" spans="1:2" s="59" customFormat="1" x14ac:dyDescent="0.2">
      <c r="A599" s="58"/>
      <c r="B599" s="139"/>
    </row>
    <row r="600" spans="1:2" s="59" customFormat="1" x14ac:dyDescent="0.2">
      <c r="A600" s="58"/>
      <c r="B600" s="139"/>
    </row>
    <row r="601" spans="1:2" s="59" customFormat="1" x14ac:dyDescent="0.2">
      <c r="A601" s="58"/>
      <c r="B601" s="139"/>
    </row>
    <row r="602" spans="1:2" s="59" customFormat="1" x14ac:dyDescent="0.2">
      <c r="A602" s="58"/>
      <c r="B602" s="139"/>
    </row>
    <row r="603" spans="1:2" s="59" customFormat="1" x14ac:dyDescent="0.2">
      <c r="A603" s="58"/>
      <c r="B603" s="139"/>
    </row>
    <row r="604" spans="1:2" s="59" customFormat="1" x14ac:dyDescent="0.2">
      <c r="A604" s="58"/>
      <c r="B604" s="139"/>
    </row>
    <row r="605" spans="1:2" s="59" customFormat="1" x14ac:dyDescent="0.2">
      <c r="A605" s="58"/>
      <c r="B605" s="139"/>
    </row>
    <row r="606" spans="1:2" s="59" customFormat="1" x14ac:dyDescent="0.2">
      <c r="A606" s="58"/>
      <c r="B606" s="139"/>
    </row>
    <row r="607" spans="1:2" s="59" customFormat="1" x14ac:dyDescent="0.2">
      <c r="A607" s="58"/>
      <c r="B607" s="139"/>
    </row>
    <row r="608" spans="1:2" s="59" customFormat="1" x14ac:dyDescent="0.2">
      <c r="A608" s="58"/>
      <c r="B608" s="139"/>
    </row>
    <row r="609" spans="1:2" s="59" customFormat="1" x14ac:dyDescent="0.2">
      <c r="A609" s="58"/>
      <c r="B609" s="139"/>
    </row>
    <row r="610" spans="1:2" s="59" customFormat="1" x14ac:dyDescent="0.2">
      <c r="A610" s="58"/>
      <c r="B610" s="139"/>
    </row>
    <row r="611" spans="1:2" s="59" customFormat="1" x14ac:dyDescent="0.2">
      <c r="A611" s="58"/>
      <c r="B611" s="139"/>
    </row>
    <row r="612" spans="1:2" s="59" customFormat="1" x14ac:dyDescent="0.2">
      <c r="A612" s="58"/>
      <c r="B612" s="139"/>
    </row>
    <row r="613" spans="1:2" s="59" customFormat="1" x14ac:dyDescent="0.2">
      <c r="A613" s="58"/>
      <c r="B613" s="139"/>
    </row>
    <row r="614" spans="1:2" s="59" customFormat="1" x14ac:dyDescent="0.2">
      <c r="A614" s="58"/>
      <c r="B614" s="139"/>
    </row>
    <row r="615" spans="1:2" s="59" customFormat="1" x14ac:dyDescent="0.2">
      <c r="A615" s="58"/>
      <c r="B615" s="139"/>
    </row>
    <row r="616" spans="1:2" s="59" customFormat="1" x14ac:dyDescent="0.2">
      <c r="A616" s="58"/>
      <c r="B616" s="139"/>
    </row>
    <row r="617" spans="1:2" s="59" customFormat="1" x14ac:dyDescent="0.2">
      <c r="A617" s="58"/>
      <c r="B617" s="139"/>
    </row>
    <row r="618" spans="1:2" s="59" customFormat="1" x14ac:dyDescent="0.2">
      <c r="A618" s="58"/>
      <c r="B618" s="139"/>
    </row>
    <row r="619" spans="1:2" s="59" customFormat="1" x14ac:dyDescent="0.2">
      <c r="A619" s="58"/>
      <c r="B619" s="139"/>
    </row>
    <row r="620" spans="1:2" s="59" customFormat="1" x14ac:dyDescent="0.2">
      <c r="A620" s="58"/>
      <c r="B620" s="139"/>
    </row>
    <row r="621" spans="1:2" s="59" customFormat="1" x14ac:dyDescent="0.2">
      <c r="A621" s="58"/>
      <c r="B621" s="139"/>
    </row>
    <row r="622" spans="1:2" s="59" customFormat="1" x14ac:dyDescent="0.2">
      <c r="A622" s="58"/>
      <c r="B622" s="139"/>
    </row>
    <row r="623" spans="1:2" s="59" customFormat="1" x14ac:dyDescent="0.2">
      <c r="A623" s="58"/>
      <c r="B623" s="139"/>
    </row>
    <row r="624" spans="1:2" s="59" customFormat="1" x14ac:dyDescent="0.2">
      <c r="A624" s="58"/>
      <c r="B624" s="139"/>
    </row>
    <row r="625" spans="1:2" s="59" customFormat="1" x14ac:dyDescent="0.2">
      <c r="A625" s="58"/>
      <c r="B625" s="139"/>
    </row>
    <row r="626" spans="1:2" s="59" customFormat="1" x14ac:dyDescent="0.2">
      <c r="A626" s="58"/>
      <c r="B626" s="139"/>
    </row>
    <row r="627" spans="1:2" s="59" customFormat="1" x14ac:dyDescent="0.2">
      <c r="A627" s="58"/>
      <c r="B627" s="139"/>
    </row>
    <row r="628" spans="1:2" s="59" customFormat="1" x14ac:dyDescent="0.2">
      <c r="A628" s="58"/>
      <c r="B628" s="139"/>
    </row>
    <row r="629" spans="1:2" s="59" customFormat="1" x14ac:dyDescent="0.2">
      <c r="A629" s="58"/>
      <c r="B629" s="139"/>
    </row>
    <row r="630" spans="1:2" s="59" customFormat="1" x14ac:dyDescent="0.2">
      <c r="A630" s="58"/>
      <c r="B630" s="139"/>
    </row>
    <row r="631" spans="1:2" s="59" customFormat="1" x14ac:dyDescent="0.2">
      <c r="A631" s="58"/>
      <c r="B631" s="139"/>
    </row>
    <row r="632" spans="1:2" s="59" customFormat="1" x14ac:dyDescent="0.2">
      <c r="A632" s="58"/>
      <c r="B632" s="139"/>
    </row>
    <row r="633" spans="1:2" s="59" customFormat="1" x14ac:dyDescent="0.2">
      <c r="A633" s="58"/>
      <c r="B633" s="139"/>
    </row>
    <row r="634" spans="1:2" s="59" customFormat="1" x14ac:dyDescent="0.2">
      <c r="A634" s="58"/>
      <c r="B634" s="139"/>
    </row>
    <row r="635" spans="1:2" s="59" customFormat="1" x14ac:dyDescent="0.2">
      <c r="A635" s="58"/>
      <c r="B635" s="139"/>
    </row>
    <row r="636" spans="1:2" s="59" customFormat="1" x14ac:dyDescent="0.2">
      <c r="A636" s="58"/>
      <c r="B636" s="139"/>
    </row>
    <row r="637" spans="1:2" s="59" customFormat="1" x14ac:dyDescent="0.2">
      <c r="A637" s="58"/>
      <c r="B637" s="139"/>
    </row>
    <row r="638" spans="1:2" s="59" customFormat="1" x14ac:dyDescent="0.2">
      <c r="A638" s="58"/>
      <c r="B638" s="139"/>
    </row>
    <row r="639" spans="1:2" s="59" customFormat="1" x14ac:dyDescent="0.2">
      <c r="A639" s="58"/>
      <c r="B639" s="139"/>
    </row>
    <row r="640" spans="1:2" s="59" customFormat="1" x14ac:dyDescent="0.2">
      <c r="A640" s="58"/>
      <c r="B640" s="139"/>
    </row>
    <row r="641" spans="1:2" s="59" customFormat="1" x14ac:dyDescent="0.2">
      <c r="A641" s="58"/>
      <c r="B641" s="139"/>
    </row>
    <row r="642" spans="1:2" s="59" customFormat="1" x14ac:dyDescent="0.2">
      <c r="A642" s="58"/>
      <c r="B642" s="139"/>
    </row>
    <row r="643" spans="1:2" s="59" customFormat="1" x14ac:dyDescent="0.2">
      <c r="A643" s="58"/>
      <c r="B643" s="139"/>
    </row>
    <row r="644" spans="1:2" s="59" customFormat="1" x14ac:dyDescent="0.2">
      <c r="A644" s="58"/>
      <c r="B644" s="139"/>
    </row>
    <row r="645" spans="1:2" s="59" customFormat="1" x14ac:dyDescent="0.2">
      <c r="A645" s="58"/>
      <c r="B645" s="139"/>
    </row>
    <row r="646" spans="1:2" s="59" customFormat="1" x14ac:dyDescent="0.2">
      <c r="A646" s="58"/>
      <c r="B646" s="139"/>
    </row>
    <row r="647" spans="1:2" s="59" customFormat="1" x14ac:dyDescent="0.2">
      <c r="A647" s="58"/>
      <c r="B647" s="139"/>
    </row>
    <row r="648" spans="1:2" s="59" customFormat="1" x14ac:dyDescent="0.2">
      <c r="A648" s="58"/>
      <c r="B648" s="139"/>
    </row>
    <row r="649" spans="1:2" s="59" customFormat="1" x14ac:dyDescent="0.2">
      <c r="A649" s="58"/>
      <c r="B649" s="139"/>
    </row>
    <row r="650" spans="1:2" s="59" customFormat="1" x14ac:dyDescent="0.2">
      <c r="A650" s="58"/>
      <c r="B650" s="139"/>
    </row>
    <row r="651" spans="1:2" s="59" customFormat="1" x14ac:dyDescent="0.2">
      <c r="A651" s="58"/>
      <c r="B651" s="139"/>
    </row>
    <row r="652" spans="1:2" s="59" customFormat="1" x14ac:dyDescent="0.2">
      <c r="A652" s="58"/>
      <c r="B652" s="139"/>
    </row>
    <row r="653" spans="1:2" s="59" customFormat="1" x14ac:dyDescent="0.2">
      <c r="A653" s="58"/>
      <c r="B653" s="139"/>
    </row>
    <row r="654" spans="1:2" s="59" customFormat="1" x14ac:dyDescent="0.2">
      <c r="A654" s="58"/>
      <c r="B654" s="139"/>
    </row>
    <row r="655" spans="1:2" s="59" customFormat="1" x14ac:dyDescent="0.2">
      <c r="A655" s="58"/>
      <c r="B655" s="139"/>
    </row>
    <row r="656" spans="1:2" s="59" customFormat="1" x14ac:dyDescent="0.2">
      <c r="A656" s="58"/>
      <c r="B656" s="139"/>
    </row>
    <row r="657" spans="1:2" s="59" customFormat="1" x14ac:dyDescent="0.2">
      <c r="A657" s="58"/>
      <c r="B657" s="139"/>
    </row>
    <row r="658" spans="1:2" s="59" customFormat="1" x14ac:dyDescent="0.2">
      <c r="A658" s="58"/>
      <c r="B658" s="139"/>
    </row>
    <row r="659" spans="1:2" s="59" customFormat="1" x14ac:dyDescent="0.2">
      <c r="A659" s="58"/>
      <c r="B659" s="139"/>
    </row>
    <row r="660" spans="1:2" s="59" customFormat="1" x14ac:dyDescent="0.2">
      <c r="A660" s="58"/>
      <c r="B660" s="139"/>
    </row>
    <row r="661" spans="1:2" s="59" customFormat="1" x14ac:dyDescent="0.2">
      <c r="A661" s="58"/>
      <c r="B661" s="139"/>
    </row>
    <row r="662" spans="1:2" s="59" customFormat="1" x14ac:dyDescent="0.2">
      <c r="A662" s="58"/>
      <c r="B662" s="139"/>
    </row>
    <row r="663" spans="1:2" s="59" customFormat="1" x14ac:dyDescent="0.2">
      <c r="A663" s="58"/>
      <c r="B663" s="139"/>
    </row>
    <row r="664" spans="1:2" s="59" customFormat="1" x14ac:dyDescent="0.2">
      <c r="A664" s="58"/>
      <c r="B664" s="139"/>
    </row>
    <row r="665" spans="1:2" s="59" customFormat="1" x14ac:dyDescent="0.2">
      <c r="A665" s="58"/>
      <c r="B665" s="139"/>
    </row>
    <row r="666" spans="1:2" s="59" customFormat="1" x14ac:dyDescent="0.2">
      <c r="A666" s="58"/>
      <c r="B666" s="139"/>
    </row>
    <row r="667" spans="1:2" s="59" customFormat="1" x14ac:dyDescent="0.2">
      <c r="A667" s="58"/>
      <c r="B667" s="139"/>
    </row>
    <row r="668" spans="1:2" s="59" customFormat="1" x14ac:dyDescent="0.2">
      <c r="A668" s="58"/>
      <c r="B668" s="139"/>
    </row>
    <row r="669" spans="1:2" s="59" customFormat="1" x14ac:dyDescent="0.2">
      <c r="A669" s="58"/>
      <c r="B669" s="139"/>
    </row>
    <row r="670" spans="1:2" s="59" customFormat="1" x14ac:dyDescent="0.2">
      <c r="A670" s="58"/>
      <c r="B670" s="139"/>
    </row>
    <row r="671" spans="1:2" s="59" customFormat="1" x14ac:dyDescent="0.2">
      <c r="A671" s="58"/>
      <c r="B671" s="139"/>
    </row>
    <row r="672" spans="1:2" s="59" customFormat="1" x14ac:dyDescent="0.2">
      <c r="A672" s="58"/>
      <c r="B672" s="139"/>
    </row>
    <row r="673" spans="1:2" s="59" customFormat="1" x14ac:dyDescent="0.2">
      <c r="A673" s="58"/>
      <c r="B673" s="139"/>
    </row>
    <row r="674" spans="1:2" s="59" customFormat="1" x14ac:dyDescent="0.2">
      <c r="A674" s="58"/>
      <c r="B674" s="139"/>
    </row>
    <row r="675" spans="1:2" s="59" customFormat="1" x14ac:dyDescent="0.2">
      <c r="A675" s="58"/>
      <c r="B675" s="139"/>
    </row>
    <row r="676" spans="1:2" s="59" customFormat="1" x14ac:dyDescent="0.2">
      <c r="A676" s="58"/>
      <c r="B676" s="139"/>
    </row>
    <row r="677" spans="1:2" s="59" customFormat="1" x14ac:dyDescent="0.2">
      <c r="A677" s="58"/>
      <c r="B677" s="139"/>
    </row>
    <row r="678" spans="1:2" s="59" customFormat="1" x14ac:dyDescent="0.2">
      <c r="A678" s="58"/>
      <c r="B678" s="139"/>
    </row>
    <row r="679" spans="1:2" s="59" customFormat="1" x14ac:dyDescent="0.2">
      <c r="A679" s="58"/>
      <c r="B679" s="139"/>
    </row>
    <row r="680" spans="1:2" s="59" customFormat="1" x14ac:dyDescent="0.2">
      <c r="A680" s="58"/>
      <c r="B680" s="139"/>
    </row>
    <row r="681" spans="1:2" s="59" customFormat="1" x14ac:dyDescent="0.2">
      <c r="A681" s="58"/>
      <c r="B681" s="139"/>
    </row>
    <row r="682" spans="1:2" s="59" customFormat="1" x14ac:dyDescent="0.2">
      <c r="A682" s="58"/>
      <c r="B682" s="139"/>
    </row>
    <row r="683" spans="1:2" s="59" customFormat="1" x14ac:dyDescent="0.2">
      <c r="A683" s="58"/>
      <c r="B683" s="139"/>
    </row>
    <row r="684" spans="1:2" s="59" customFormat="1" x14ac:dyDescent="0.2">
      <c r="A684" s="58"/>
      <c r="B684" s="139"/>
    </row>
    <row r="685" spans="1:2" s="59" customFormat="1" x14ac:dyDescent="0.2">
      <c r="A685" s="58"/>
      <c r="B685" s="139"/>
    </row>
    <row r="686" spans="1:2" s="59" customFormat="1" x14ac:dyDescent="0.2">
      <c r="A686" s="58"/>
      <c r="B686" s="139"/>
    </row>
    <row r="687" spans="1:2" s="59" customFormat="1" x14ac:dyDescent="0.2">
      <c r="A687" s="58"/>
      <c r="B687" s="139"/>
    </row>
    <row r="688" spans="1:2" s="59" customFormat="1" x14ac:dyDescent="0.2">
      <c r="A688" s="58"/>
      <c r="B688" s="139"/>
    </row>
    <row r="689" spans="1:2" s="59" customFormat="1" x14ac:dyDescent="0.2">
      <c r="A689" s="58"/>
      <c r="B689" s="139"/>
    </row>
    <row r="690" spans="1:2" s="59" customFormat="1" x14ac:dyDescent="0.2">
      <c r="A690" s="58"/>
      <c r="B690" s="139"/>
    </row>
    <row r="691" spans="1:2" s="59" customFormat="1" x14ac:dyDescent="0.2">
      <c r="A691" s="58"/>
      <c r="B691" s="139"/>
    </row>
    <row r="692" spans="1:2" s="59" customFormat="1" x14ac:dyDescent="0.2">
      <c r="A692" s="58"/>
      <c r="B692" s="139"/>
    </row>
    <row r="693" spans="1:2" s="59" customFormat="1" x14ac:dyDescent="0.2">
      <c r="A693" s="58"/>
      <c r="B693" s="139"/>
    </row>
    <row r="694" spans="1:2" s="59" customFormat="1" x14ac:dyDescent="0.2">
      <c r="A694" s="58"/>
      <c r="B694" s="139"/>
    </row>
    <row r="695" spans="1:2" s="59" customFormat="1" x14ac:dyDescent="0.2">
      <c r="A695" s="58"/>
      <c r="B695" s="139"/>
    </row>
    <row r="696" spans="1:2" s="59" customFormat="1" x14ac:dyDescent="0.2">
      <c r="A696" s="58"/>
      <c r="B696" s="139"/>
    </row>
    <row r="697" spans="1:2" s="59" customFormat="1" x14ac:dyDescent="0.2">
      <c r="A697" s="58"/>
      <c r="B697" s="139"/>
    </row>
    <row r="698" spans="1:2" s="59" customFormat="1" x14ac:dyDescent="0.2">
      <c r="A698" s="58"/>
      <c r="B698" s="139"/>
    </row>
    <row r="699" spans="1:2" s="59" customFormat="1" x14ac:dyDescent="0.2">
      <c r="A699" s="58"/>
      <c r="B699" s="139"/>
    </row>
    <row r="700" spans="1:2" s="59" customFormat="1" x14ac:dyDescent="0.2">
      <c r="A700" s="58"/>
      <c r="B700" s="139"/>
    </row>
    <row r="701" spans="1:2" s="59" customFormat="1" x14ac:dyDescent="0.2">
      <c r="A701" s="58"/>
      <c r="B701" s="139"/>
    </row>
    <row r="702" spans="1:2" s="59" customFormat="1" x14ac:dyDescent="0.2">
      <c r="A702" s="58"/>
      <c r="B702" s="139"/>
    </row>
    <row r="703" spans="1:2" s="59" customFormat="1" x14ac:dyDescent="0.2">
      <c r="A703" s="58"/>
      <c r="B703" s="139"/>
    </row>
    <row r="704" spans="1:2" s="59" customFormat="1" x14ac:dyDescent="0.2">
      <c r="A704" s="58"/>
      <c r="B704" s="139"/>
    </row>
    <row r="705" spans="1:2" s="59" customFormat="1" x14ac:dyDescent="0.2">
      <c r="A705" s="58"/>
      <c r="B705" s="139"/>
    </row>
    <row r="706" spans="1:2" s="59" customFormat="1" x14ac:dyDescent="0.2">
      <c r="A706" s="58"/>
      <c r="B706" s="139"/>
    </row>
    <row r="707" spans="1:2" s="59" customFormat="1" x14ac:dyDescent="0.2">
      <c r="A707" s="58"/>
      <c r="B707" s="139"/>
    </row>
    <row r="708" spans="1:2" s="59" customFormat="1" x14ac:dyDescent="0.2">
      <c r="A708" s="58"/>
      <c r="B708" s="139"/>
    </row>
    <row r="709" spans="1:2" s="59" customFormat="1" x14ac:dyDescent="0.2">
      <c r="A709" s="58"/>
      <c r="B709" s="139"/>
    </row>
    <row r="710" spans="1:2" s="59" customFormat="1" x14ac:dyDescent="0.2">
      <c r="A710" s="58"/>
      <c r="B710" s="139"/>
    </row>
    <row r="711" spans="1:2" s="59" customFormat="1" x14ac:dyDescent="0.2">
      <c r="A711" s="58"/>
      <c r="B711" s="139"/>
    </row>
    <row r="712" spans="1:2" s="59" customFormat="1" x14ac:dyDescent="0.2">
      <c r="A712" s="58"/>
      <c r="B712" s="139"/>
    </row>
    <row r="713" spans="1:2" s="59" customFormat="1" x14ac:dyDescent="0.2">
      <c r="A713" s="58"/>
      <c r="B713" s="139"/>
    </row>
    <row r="714" spans="1:2" s="59" customFormat="1" x14ac:dyDescent="0.2">
      <c r="A714" s="58"/>
      <c r="B714" s="139"/>
    </row>
    <row r="715" spans="1:2" s="59" customFormat="1" x14ac:dyDescent="0.2">
      <c r="A715" s="58"/>
      <c r="B715" s="139"/>
    </row>
    <row r="716" spans="1:2" s="59" customFormat="1" x14ac:dyDescent="0.2">
      <c r="A716" s="58"/>
      <c r="B716" s="139"/>
    </row>
    <row r="717" spans="1:2" s="59" customFormat="1" x14ac:dyDescent="0.2">
      <c r="A717" s="58"/>
      <c r="B717" s="139"/>
    </row>
    <row r="718" spans="1:2" s="59" customFormat="1" x14ac:dyDescent="0.2">
      <c r="A718" s="58"/>
      <c r="B718" s="139"/>
    </row>
    <row r="719" spans="1:2" s="59" customFormat="1" x14ac:dyDescent="0.2">
      <c r="A719" s="58"/>
      <c r="B719" s="139"/>
    </row>
    <row r="720" spans="1:2" s="59" customFormat="1" x14ac:dyDescent="0.2">
      <c r="A720" s="58"/>
      <c r="B720" s="139"/>
    </row>
    <row r="721" spans="1:2" s="59" customFormat="1" x14ac:dyDescent="0.2">
      <c r="A721" s="58"/>
      <c r="B721" s="139"/>
    </row>
    <row r="722" spans="1:2" s="59" customFormat="1" x14ac:dyDescent="0.2">
      <c r="A722" s="58"/>
      <c r="B722" s="139"/>
    </row>
    <row r="723" spans="1:2" s="59" customFormat="1" x14ac:dyDescent="0.2">
      <c r="A723" s="58"/>
      <c r="B723" s="139"/>
    </row>
    <row r="724" spans="1:2" s="59" customFormat="1" x14ac:dyDescent="0.2">
      <c r="A724" s="58"/>
      <c r="B724" s="139"/>
    </row>
    <row r="725" spans="1:2" s="59" customFormat="1" x14ac:dyDescent="0.2">
      <c r="A725" s="58"/>
      <c r="B725" s="139"/>
    </row>
    <row r="726" spans="1:2" s="59" customFormat="1" x14ac:dyDescent="0.2">
      <c r="A726" s="58"/>
      <c r="B726" s="139"/>
    </row>
    <row r="727" spans="1:2" s="59" customFormat="1" x14ac:dyDescent="0.2">
      <c r="A727" s="58"/>
      <c r="B727" s="139"/>
    </row>
    <row r="728" spans="1:2" s="59" customFormat="1" x14ac:dyDescent="0.2">
      <c r="A728" s="58"/>
      <c r="B728" s="139"/>
    </row>
    <row r="729" spans="1:2" s="59" customFormat="1" x14ac:dyDescent="0.2">
      <c r="A729" s="58"/>
      <c r="B729" s="139"/>
    </row>
    <row r="730" spans="1:2" s="59" customFormat="1" x14ac:dyDescent="0.2">
      <c r="A730" s="58"/>
      <c r="B730" s="139"/>
    </row>
    <row r="731" spans="1:2" s="59" customFormat="1" x14ac:dyDescent="0.2">
      <c r="A731" s="58"/>
      <c r="B731" s="139"/>
    </row>
    <row r="732" spans="1:2" s="59" customFormat="1" x14ac:dyDescent="0.2">
      <c r="A732" s="58"/>
      <c r="B732" s="139"/>
    </row>
    <row r="733" spans="1:2" s="59" customFormat="1" x14ac:dyDescent="0.2">
      <c r="A733" s="58"/>
      <c r="B733" s="139"/>
    </row>
    <row r="734" spans="1:2" s="59" customFormat="1" x14ac:dyDescent="0.2">
      <c r="A734" s="58"/>
      <c r="B734" s="139"/>
    </row>
    <row r="735" spans="1:2" s="59" customFormat="1" x14ac:dyDescent="0.2">
      <c r="A735" s="58"/>
      <c r="B735" s="139"/>
    </row>
    <row r="736" spans="1:2" s="59" customFormat="1" x14ac:dyDescent="0.2">
      <c r="A736" s="58"/>
      <c r="B736" s="139"/>
    </row>
    <row r="737" spans="1:2" s="59" customFormat="1" x14ac:dyDescent="0.2">
      <c r="A737" s="58"/>
      <c r="B737" s="139"/>
    </row>
    <row r="738" spans="1:2" s="59" customFormat="1" x14ac:dyDescent="0.2">
      <c r="A738" s="58"/>
      <c r="B738" s="139"/>
    </row>
    <row r="739" spans="1:2" s="59" customFormat="1" x14ac:dyDescent="0.2">
      <c r="A739" s="58"/>
      <c r="B739" s="139"/>
    </row>
    <row r="740" spans="1:2" s="59" customFormat="1" x14ac:dyDescent="0.2">
      <c r="A740" s="58"/>
      <c r="B740" s="139"/>
    </row>
    <row r="741" spans="1:2" s="59" customFormat="1" x14ac:dyDescent="0.2">
      <c r="A741" s="58"/>
      <c r="B741" s="139"/>
    </row>
    <row r="742" spans="1:2" s="59" customFormat="1" x14ac:dyDescent="0.2">
      <c r="A742" s="58"/>
      <c r="B742" s="139"/>
    </row>
    <row r="743" spans="1:2" s="59" customFormat="1" x14ac:dyDescent="0.2">
      <c r="A743" s="58"/>
      <c r="B743" s="139"/>
    </row>
    <row r="744" spans="1:2" s="59" customFormat="1" x14ac:dyDescent="0.2">
      <c r="A744" s="58"/>
      <c r="B744" s="139"/>
    </row>
    <row r="745" spans="1:2" s="59" customFormat="1" x14ac:dyDescent="0.2">
      <c r="A745" s="58"/>
      <c r="B745" s="139"/>
    </row>
    <row r="746" spans="1:2" s="59" customFormat="1" x14ac:dyDescent="0.2">
      <c r="A746" s="58"/>
      <c r="B746" s="139"/>
    </row>
    <row r="747" spans="1:2" s="59" customFormat="1" x14ac:dyDescent="0.2">
      <c r="A747" s="58"/>
      <c r="B747" s="139"/>
    </row>
    <row r="748" spans="1:2" s="59" customFormat="1" x14ac:dyDescent="0.2">
      <c r="A748" s="58"/>
      <c r="B748" s="139"/>
    </row>
    <row r="749" spans="1:2" s="59" customFormat="1" x14ac:dyDescent="0.2">
      <c r="A749" s="58"/>
      <c r="B749" s="139"/>
    </row>
    <row r="750" spans="1:2" s="59" customFormat="1" x14ac:dyDescent="0.2">
      <c r="A750" s="58"/>
      <c r="B750" s="139"/>
    </row>
    <row r="751" spans="1:2" s="59" customFormat="1" x14ac:dyDescent="0.2">
      <c r="A751" s="58"/>
      <c r="B751" s="139"/>
    </row>
    <row r="752" spans="1:2" s="59" customFormat="1" x14ac:dyDescent="0.2">
      <c r="A752" s="58"/>
      <c r="B752" s="139"/>
    </row>
    <row r="753" spans="1:2" s="59" customFormat="1" x14ac:dyDescent="0.2">
      <c r="A753" s="58"/>
      <c r="B753" s="139"/>
    </row>
    <row r="754" spans="1:2" s="59" customFormat="1" x14ac:dyDescent="0.2">
      <c r="A754" s="58"/>
      <c r="B754" s="139"/>
    </row>
    <row r="755" spans="1:2" s="59" customFormat="1" x14ac:dyDescent="0.2">
      <c r="A755" s="58"/>
      <c r="B755" s="139"/>
    </row>
    <row r="756" spans="1:2" s="59" customFormat="1" x14ac:dyDescent="0.2">
      <c r="A756" s="58"/>
      <c r="B756" s="139"/>
    </row>
    <row r="757" spans="1:2" s="59" customFormat="1" x14ac:dyDescent="0.2">
      <c r="A757" s="58"/>
      <c r="B757" s="139"/>
    </row>
    <row r="758" spans="1:2" s="59" customFormat="1" x14ac:dyDescent="0.2">
      <c r="A758" s="58"/>
      <c r="B758" s="139"/>
    </row>
    <row r="759" spans="1:2" s="59" customFormat="1" x14ac:dyDescent="0.2">
      <c r="A759" s="58"/>
      <c r="B759" s="139"/>
    </row>
    <row r="760" spans="1:2" s="59" customFormat="1" x14ac:dyDescent="0.2">
      <c r="A760" s="58"/>
      <c r="B760" s="139"/>
    </row>
    <row r="761" spans="1:2" s="59" customFormat="1" x14ac:dyDescent="0.2">
      <c r="A761" s="58"/>
      <c r="B761" s="139"/>
    </row>
    <row r="762" spans="1:2" s="59" customFormat="1" x14ac:dyDescent="0.2">
      <c r="A762" s="58"/>
      <c r="B762" s="139"/>
    </row>
    <row r="763" spans="1:2" s="59" customFormat="1" x14ac:dyDescent="0.2">
      <c r="A763" s="58"/>
      <c r="B763" s="139"/>
    </row>
    <row r="764" spans="1:2" s="59" customFormat="1" x14ac:dyDescent="0.2">
      <c r="A764" s="58"/>
      <c r="B764" s="139"/>
    </row>
    <row r="765" spans="1:2" s="59" customFormat="1" x14ac:dyDescent="0.2">
      <c r="A765" s="58"/>
      <c r="B765" s="139"/>
    </row>
    <row r="766" spans="1:2" s="59" customFormat="1" x14ac:dyDescent="0.2">
      <c r="A766" s="58"/>
      <c r="B766" s="139"/>
    </row>
    <row r="767" spans="1:2" s="59" customFormat="1" x14ac:dyDescent="0.2">
      <c r="A767" s="58"/>
      <c r="B767" s="139"/>
    </row>
    <row r="768" spans="1:2" s="59" customFormat="1" x14ac:dyDescent="0.2">
      <c r="A768" s="58"/>
      <c r="B768" s="139"/>
    </row>
    <row r="769" spans="1:2" s="59" customFormat="1" x14ac:dyDescent="0.2">
      <c r="A769" s="58"/>
      <c r="B769" s="139"/>
    </row>
    <row r="770" spans="1:2" s="59" customFormat="1" x14ac:dyDescent="0.2">
      <c r="A770" s="58"/>
      <c r="B770" s="139"/>
    </row>
    <row r="771" spans="1:2" s="59" customFormat="1" x14ac:dyDescent="0.2">
      <c r="A771" s="58"/>
      <c r="B771" s="139"/>
    </row>
    <row r="772" spans="1:2" s="59" customFormat="1" x14ac:dyDescent="0.2">
      <c r="A772" s="58"/>
      <c r="B772" s="139"/>
    </row>
    <row r="773" spans="1:2" s="59" customFormat="1" x14ac:dyDescent="0.2">
      <c r="A773" s="58"/>
      <c r="B773" s="139"/>
    </row>
    <row r="774" spans="1:2" s="59" customFormat="1" x14ac:dyDescent="0.2">
      <c r="A774" s="58"/>
      <c r="B774" s="139"/>
    </row>
    <row r="775" spans="1:2" s="59" customFormat="1" x14ac:dyDescent="0.2">
      <c r="A775" s="58"/>
      <c r="B775" s="139"/>
    </row>
    <row r="776" spans="1:2" s="59" customFormat="1" x14ac:dyDescent="0.2">
      <c r="A776" s="58"/>
      <c r="B776" s="139"/>
    </row>
    <row r="777" spans="1:2" s="59" customFormat="1" x14ac:dyDescent="0.2">
      <c r="A777" s="58"/>
      <c r="B777" s="139"/>
    </row>
    <row r="778" spans="1:2" s="59" customFormat="1" x14ac:dyDescent="0.2">
      <c r="A778" s="58"/>
      <c r="B778" s="139"/>
    </row>
    <row r="779" spans="1:2" s="59" customFormat="1" x14ac:dyDescent="0.2">
      <c r="A779" s="58"/>
      <c r="B779" s="139"/>
    </row>
    <row r="780" spans="1:2" s="59" customFormat="1" x14ac:dyDescent="0.2">
      <c r="A780" s="58"/>
      <c r="B780" s="139"/>
    </row>
    <row r="781" spans="1:2" s="59" customFormat="1" x14ac:dyDescent="0.2">
      <c r="A781" s="58"/>
      <c r="B781" s="139"/>
    </row>
    <row r="782" spans="1:2" s="59" customFormat="1" x14ac:dyDescent="0.2">
      <c r="A782" s="58"/>
      <c r="B782" s="139"/>
    </row>
    <row r="783" spans="1:2" s="59" customFormat="1" x14ac:dyDescent="0.2">
      <c r="A783" s="58"/>
      <c r="B783" s="139"/>
    </row>
    <row r="784" spans="1:2" s="59" customFormat="1" x14ac:dyDescent="0.2">
      <c r="A784" s="58"/>
      <c r="B784" s="139"/>
    </row>
    <row r="785" spans="1:2" s="59" customFormat="1" x14ac:dyDescent="0.2">
      <c r="A785" s="58"/>
      <c r="B785" s="139"/>
    </row>
    <row r="786" spans="1:2" s="59" customFormat="1" x14ac:dyDescent="0.2">
      <c r="A786" s="58"/>
      <c r="B786" s="139"/>
    </row>
    <row r="787" spans="1:2" s="59" customFormat="1" x14ac:dyDescent="0.2">
      <c r="A787" s="58"/>
      <c r="B787" s="139"/>
    </row>
    <row r="788" spans="1:2" s="59" customFormat="1" x14ac:dyDescent="0.2">
      <c r="A788" s="58"/>
      <c r="B788" s="139"/>
    </row>
    <row r="789" spans="1:2" s="59" customFormat="1" x14ac:dyDescent="0.2">
      <c r="A789" s="58"/>
      <c r="B789" s="139"/>
    </row>
    <row r="790" spans="1:2" s="59" customFormat="1" x14ac:dyDescent="0.2">
      <c r="A790" s="58"/>
      <c r="B790" s="139"/>
    </row>
    <row r="791" spans="1:2" s="59" customFormat="1" x14ac:dyDescent="0.2">
      <c r="A791" s="58"/>
      <c r="B791" s="139"/>
    </row>
    <row r="792" spans="1:2" s="59" customFormat="1" x14ac:dyDescent="0.2">
      <c r="A792" s="58"/>
      <c r="B792" s="139"/>
    </row>
    <row r="793" spans="1:2" s="59" customFormat="1" x14ac:dyDescent="0.2">
      <c r="A793" s="58"/>
      <c r="B793" s="139"/>
    </row>
    <row r="794" spans="1:2" s="59" customFormat="1" x14ac:dyDescent="0.2">
      <c r="A794" s="58"/>
      <c r="B794" s="139"/>
    </row>
    <row r="795" spans="1:2" s="59" customFormat="1" x14ac:dyDescent="0.2">
      <c r="A795" s="58"/>
      <c r="B795" s="139"/>
    </row>
    <row r="796" spans="1:2" s="59" customFormat="1" x14ac:dyDescent="0.2">
      <c r="A796" s="58"/>
      <c r="B796" s="139"/>
    </row>
    <row r="797" spans="1:2" s="59" customFormat="1" x14ac:dyDescent="0.2">
      <c r="A797" s="58"/>
      <c r="B797" s="139"/>
    </row>
    <row r="798" spans="1:2" s="59" customFormat="1" x14ac:dyDescent="0.2">
      <c r="A798" s="58"/>
      <c r="B798" s="139"/>
    </row>
    <row r="799" spans="1:2" s="59" customFormat="1" x14ac:dyDescent="0.2">
      <c r="A799" s="58"/>
      <c r="B799" s="139"/>
    </row>
    <row r="800" spans="1:2" s="59" customFormat="1" x14ac:dyDescent="0.2">
      <c r="A800" s="58"/>
      <c r="B800" s="139"/>
    </row>
    <row r="801" spans="1:2" s="59" customFormat="1" x14ac:dyDescent="0.2">
      <c r="A801" s="58"/>
      <c r="B801" s="139"/>
    </row>
    <row r="802" spans="1:2" s="59" customFormat="1" x14ac:dyDescent="0.2">
      <c r="A802" s="58"/>
      <c r="B802" s="139"/>
    </row>
    <row r="803" spans="1:2" s="59" customFormat="1" x14ac:dyDescent="0.2">
      <c r="A803" s="58"/>
      <c r="B803" s="139"/>
    </row>
    <row r="804" spans="1:2" s="59" customFormat="1" x14ac:dyDescent="0.2">
      <c r="A804" s="58"/>
      <c r="B804" s="139"/>
    </row>
    <row r="805" spans="1:2" s="59" customFormat="1" x14ac:dyDescent="0.2">
      <c r="A805" s="58"/>
      <c r="B805" s="139"/>
    </row>
    <row r="806" spans="1:2" s="59" customFormat="1" x14ac:dyDescent="0.2">
      <c r="A806" s="58"/>
      <c r="B806" s="139"/>
    </row>
    <row r="807" spans="1:2" s="59" customFormat="1" x14ac:dyDescent="0.2">
      <c r="A807" s="58"/>
      <c r="B807" s="139"/>
    </row>
    <row r="808" spans="1:2" s="59" customFormat="1" x14ac:dyDescent="0.2">
      <c r="A808" s="58"/>
      <c r="B808" s="139"/>
    </row>
    <row r="809" spans="1:2" s="59" customFormat="1" x14ac:dyDescent="0.2">
      <c r="A809" s="58"/>
      <c r="B809" s="139"/>
    </row>
    <row r="810" spans="1:2" s="59" customFormat="1" x14ac:dyDescent="0.2">
      <c r="A810" s="58"/>
      <c r="B810" s="139"/>
    </row>
    <row r="811" spans="1:2" s="59" customFormat="1" x14ac:dyDescent="0.2">
      <c r="A811" s="58"/>
      <c r="B811" s="139"/>
    </row>
    <row r="812" spans="1:2" s="59" customFormat="1" x14ac:dyDescent="0.2">
      <c r="A812" s="58"/>
      <c r="B812" s="139"/>
    </row>
    <row r="813" spans="1:2" s="59" customFormat="1" x14ac:dyDescent="0.2">
      <c r="A813" s="58"/>
      <c r="B813" s="139"/>
    </row>
    <row r="814" spans="1:2" s="59" customFormat="1" x14ac:dyDescent="0.2">
      <c r="A814" s="58"/>
      <c r="B814" s="139"/>
    </row>
    <row r="815" spans="1:2" s="59" customFormat="1" x14ac:dyDescent="0.2">
      <c r="A815" s="58"/>
      <c r="B815" s="139"/>
    </row>
    <row r="816" spans="1:2" s="59" customFormat="1" x14ac:dyDescent="0.2">
      <c r="A816" s="58"/>
      <c r="B816" s="139"/>
    </row>
    <row r="817" spans="1:2" s="59" customFormat="1" x14ac:dyDescent="0.2">
      <c r="A817" s="58"/>
      <c r="B817" s="139"/>
    </row>
    <row r="818" spans="1:2" s="59" customFormat="1" x14ac:dyDescent="0.2">
      <c r="A818" s="58"/>
      <c r="B818" s="139"/>
    </row>
    <row r="819" spans="1:2" s="59" customFormat="1" x14ac:dyDescent="0.2">
      <c r="A819" s="58"/>
      <c r="B819" s="139"/>
    </row>
    <row r="820" spans="1:2" s="59" customFormat="1" x14ac:dyDescent="0.2">
      <c r="A820" s="58"/>
      <c r="B820" s="139"/>
    </row>
    <row r="821" spans="1:2" s="59" customFormat="1" x14ac:dyDescent="0.2">
      <c r="A821" s="58"/>
      <c r="B821" s="139"/>
    </row>
    <row r="822" spans="1:2" s="59" customFormat="1" x14ac:dyDescent="0.2">
      <c r="A822" s="58"/>
      <c r="B822" s="139"/>
    </row>
    <row r="823" spans="1:2" s="59" customFormat="1" x14ac:dyDescent="0.2">
      <c r="A823" s="58"/>
      <c r="B823" s="139"/>
    </row>
    <row r="824" spans="1:2" s="59" customFormat="1" x14ac:dyDescent="0.2">
      <c r="A824" s="58"/>
      <c r="B824" s="139"/>
    </row>
    <row r="825" spans="1:2" s="59" customFormat="1" x14ac:dyDescent="0.2">
      <c r="A825" s="58"/>
      <c r="B825" s="139"/>
    </row>
    <row r="826" spans="1:2" s="59" customFormat="1" x14ac:dyDescent="0.2">
      <c r="A826" s="58"/>
      <c r="B826" s="139"/>
    </row>
    <row r="827" spans="1:2" s="59" customFormat="1" x14ac:dyDescent="0.2">
      <c r="A827" s="58"/>
      <c r="B827" s="139"/>
    </row>
    <row r="828" spans="1:2" s="59" customFormat="1" x14ac:dyDescent="0.2">
      <c r="A828" s="58"/>
      <c r="B828" s="139"/>
    </row>
    <row r="829" spans="1:2" s="59" customFormat="1" x14ac:dyDescent="0.2">
      <c r="A829" s="58"/>
      <c r="B829" s="139"/>
    </row>
    <row r="830" spans="1:2" s="59" customFormat="1" x14ac:dyDescent="0.2">
      <c r="A830" s="58"/>
      <c r="B830" s="139"/>
    </row>
    <row r="831" spans="1:2" s="59" customFormat="1" x14ac:dyDescent="0.2">
      <c r="A831" s="58"/>
      <c r="B831" s="139"/>
    </row>
    <row r="832" spans="1:2" s="59" customFormat="1" x14ac:dyDescent="0.2">
      <c r="A832" s="58"/>
      <c r="B832" s="139"/>
    </row>
    <row r="833" spans="1:2" s="59" customFormat="1" x14ac:dyDescent="0.2">
      <c r="A833" s="58"/>
      <c r="B833" s="139"/>
    </row>
    <row r="834" spans="1:2" s="59" customFormat="1" x14ac:dyDescent="0.2">
      <c r="A834" s="58"/>
      <c r="B834" s="139"/>
    </row>
    <row r="835" spans="1:2" s="59" customFormat="1" x14ac:dyDescent="0.2">
      <c r="A835" s="58"/>
      <c r="B835" s="139"/>
    </row>
    <row r="836" spans="1:2" s="59" customFormat="1" x14ac:dyDescent="0.2">
      <c r="A836" s="58"/>
      <c r="B836" s="139"/>
    </row>
    <row r="837" spans="1:2" s="59" customFormat="1" x14ac:dyDescent="0.2">
      <c r="A837" s="58"/>
      <c r="B837" s="139"/>
    </row>
    <row r="838" spans="1:2" s="59" customFormat="1" x14ac:dyDescent="0.2">
      <c r="A838" s="58"/>
      <c r="B838" s="139"/>
    </row>
    <row r="839" spans="1:2" s="59" customFormat="1" x14ac:dyDescent="0.2">
      <c r="A839" s="58"/>
      <c r="B839" s="139"/>
    </row>
    <row r="840" spans="1:2" s="59" customFormat="1" x14ac:dyDescent="0.2">
      <c r="A840" s="58"/>
      <c r="B840" s="139"/>
    </row>
    <row r="841" spans="1:2" s="59" customFormat="1" x14ac:dyDescent="0.2">
      <c r="A841" s="58"/>
      <c r="B841" s="139"/>
    </row>
    <row r="842" spans="1:2" s="59" customFormat="1" x14ac:dyDescent="0.2">
      <c r="A842" s="58"/>
      <c r="B842" s="139"/>
    </row>
    <row r="843" spans="1:2" s="59" customFormat="1" x14ac:dyDescent="0.2">
      <c r="A843" s="58"/>
      <c r="B843" s="139"/>
    </row>
    <row r="844" spans="1:2" s="59" customFormat="1" x14ac:dyDescent="0.2">
      <c r="A844" s="58"/>
      <c r="B844" s="139"/>
    </row>
    <row r="845" spans="1:2" s="59" customFormat="1" x14ac:dyDescent="0.2">
      <c r="A845" s="58"/>
      <c r="B845" s="139"/>
    </row>
    <row r="846" spans="1:2" s="59" customFormat="1" x14ac:dyDescent="0.2">
      <c r="A846" s="58"/>
      <c r="B846" s="139"/>
    </row>
    <row r="847" spans="1:2" s="59" customFormat="1" x14ac:dyDescent="0.2">
      <c r="A847" s="58"/>
      <c r="B847" s="139"/>
    </row>
    <row r="848" spans="1:2" s="59" customFormat="1" x14ac:dyDescent="0.2">
      <c r="A848" s="58"/>
      <c r="B848" s="139"/>
    </row>
    <row r="849" spans="1:2" s="59" customFormat="1" x14ac:dyDescent="0.2">
      <c r="A849" s="58"/>
      <c r="B849" s="139"/>
    </row>
    <row r="850" spans="1:2" s="59" customFormat="1" x14ac:dyDescent="0.2">
      <c r="A850" s="58"/>
      <c r="B850" s="139"/>
    </row>
    <row r="851" spans="1:2" s="59" customFormat="1" x14ac:dyDescent="0.2">
      <c r="A851" s="58"/>
      <c r="B851" s="139"/>
    </row>
    <row r="852" spans="1:2" s="59" customFormat="1" x14ac:dyDescent="0.2">
      <c r="A852" s="58"/>
      <c r="B852" s="139"/>
    </row>
    <row r="853" spans="1:2" s="59" customFormat="1" x14ac:dyDescent="0.2">
      <c r="A853" s="58"/>
      <c r="B853" s="139"/>
    </row>
    <row r="854" spans="1:2" s="59" customFormat="1" x14ac:dyDescent="0.2">
      <c r="A854" s="58"/>
      <c r="B854" s="139"/>
    </row>
    <row r="855" spans="1:2" s="59" customFormat="1" x14ac:dyDescent="0.2">
      <c r="A855" s="58"/>
      <c r="B855" s="139"/>
    </row>
    <row r="856" spans="1:2" s="59" customFormat="1" x14ac:dyDescent="0.2">
      <c r="A856" s="58"/>
      <c r="B856" s="139"/>
    </row>
    <row r="857" spans="1:2" s="59" customFormat="1" x14ac:dyDescent="0.2">
      <c r="A857" s="58"/>
      <c r="B857" s="139"/>
    </row>
    <row r="858" spans="1:2" s="59" customFormat="1" x14ac:dyDescent="0.2">
      <c r="A858" s="58"/>
      <c r="B858" s="139"/>
    </row>
    <row r="859" spans="1:2" s="59" customFormat="1" x14ac:dyDescent="0.2">
      <c r="A859" s="58"/>
      <c r="B859" s="139"/>
    </row>
    <row r="860" spans="1:2" s="59" customFormat="1" x14ac:dyDescent="0.2">
      <c r="A860" s="58"/>
      <c r="B860" s="139"/>
    </row>
    <row r="861" spans="1:2" s="59" customFormat="1" x14ac:dyDescent="0.2">
      <c r="A861" s="58"/>
      <c r="B861" s="139"/>
    </row>
    <row r="862" spans="1:2" s="59" customFormat="1" x14ac:dyDescent="0.2">
      <c r="A862" s="58"/>
      <c r="B862" s="139"/>
    </row>
    <row r="863" spans="1:2" s="59" customFormat="1" x14ac:dyDescent="0.2">
      <c r="A863" s="58"/>
      <c r="B863" s="139"/>
    </row>
    <row r="864" spans="1:2" s="59" customFormat="1" x14ac:dyDescent="0.2">
      <c r="A864" s="58"/>
      <c r="B864" s="139"/>
    </row>
    <row r="865" spans="1:2" s="59" customFormat="1" x14ac:dyDescent="0.2">
      <c r="A865" s="58"/>
      <c r="B865" s="139"/>
    </row>
    <row r="866" spans="1:2" s="59" customFormat="1" x14ac:dyDescent="0.2">
      <c r="A866" s="58"/>
      <c r="B866" s="139"/>
    </row>
    <row r="867" spans="1:2" s="59" customFormat="1" x14ac:dyDescent="0.2">
      <c r="A867" s="58"/>
      <c r="B867" s="139"/>
    </row>
    <row r="868" spans="1:2" s="59" customFormat="1" x14ac:dyDescent="0.2">
      <c r="A868" s="58"/>
      <c r="B868" s="139"/>
    </row>
    <row r="869" spans="1:2" s="59" customFormat="1" x14ac:dyDescent="0.2">
      <c r="A869" s="58"/>
      <c r="B869" s="139"/>
    </row>
    <row r="870" spans="1:2" s="59" customFormat="1" x14ac:dyDescent="0.2">
      <c r="A870" s="58"/>
      <c r="B870" s="139"/>
    </row>
    <row r="871" spans="1:2" s="59" customFormat="1" x14ac:dyDescent="0.2">
      <c r="A871" s="58"/>
      <c r="B871" s="139"/>
    </row>
    <row r="872" spans="1:2" s="59" customFormat="1" x14ac:dyDescent="0.2">
      <c r="A872" s="58"/>
      <c r="B872" s="139"/>
    </row>
    <row r="873" spans="1:2" s="59" customFormat="1" x14ac:dyDescent="0.2">
      <c r="A873" s="58"/>
      <c r="B873" s="139"/>
    </row>
    <row r="874" spans="1:2" s="59" customFormat="1" x14ac:dyDescent="0.2">
      <c r="A874" s="58"/>
      <c r="B874" s="139"/>
    </row>
    <row r="875" spans="1:2" s="59" customFormat="1" x14ac:dyDescent="0.2">
      <c r="A875" s="58"/>
      <c r="B875" s="139"/>
    </row>
    <row r="876" spans="1:2" s="59" customFormat="1" x14ac:dyDescent="0.2">
      <c r="A876" s="58"/>
      <c r="B876" s="139"/>
    </row>
    <row r="877" spans="1:2" s="59" customFormat="1" x14ac:dyDescent="0.2">
      <c r="A877" s="58"/>
      <c r="B877" s="139"/>
    </row>
    <row r="878" spans="1:2" s="59" customFormat="1" x14ac:dyDescent="0.2">
      <c r="A878" s="58"/>
      <c r="B878" s="139"/>
    </row>
    <row r="879" spans="1:2" s="59" customFormat="1" x14ac:dyDescent="0.2">
      <c r="A879" s="58"/>
      <c r="B879" s="139"/>
    </row>
    <row r="880" spans="1:2" s="59" customFormat="1" x14ac:dyDescent="0.2">
      <c r="A880" s="58"/>
      <c r="B880" s="139"/>
    </row>
    <row r="881" spans="1:2" s="59" customFormat="1" x14ac:dyDescent="0.2">
      <c r="A881" s="58"/>
      <c r="B881" s="139"/>
    </row>
    <row r="882" spans="1:2" s="59" customFormat="1" x14ac:dyDescent="0.2">
      <c r="A882" s="58"/>
      <c r="B882" s="139"/>
    </row>
    <row r="883" spans="1:2" s="59" customFormat="1" x14ac:dyDescent="0.2">
      <c r="A883" s="58"/>
      <c r="B883" s="139"/>
    </row>
    <row r="884" spans="1:2" s="59" customFormat="1" x14ac:dyDescent="0.2">
      <c r="A884" s="58"/>
      <c r="B884" s="139"/>
    </row>
    <row r="885" spans="1:2" s="59" customFormat="1" x14ac:dyDescent="0.2">
      <c r="A885" s="58"/>
      <c r="B885" s="139"/>
    </row>
    <row r="886" spans="1:2" s="59" customFormat="1" x14ac:dyDescent="0.2">
      <c r="A886" s="58"/>
      <c r="B886" s="139"/>
    </row>
    <row r="887" spans="1:2" s="59" customFormat="1" x14ac:dyDescent="0.2">
      <c r="A887" s="58"/>
      <c r="B887" s="139"/>
    </row>
    <row r="888" spans="1:2" s="59" customFormat="1" x14ac:dyDescent="0.2">
      <c r="A888" s="58"/>
      <c r="B888" s="139"/>
    </row>
    <row r="889" spans="1:2" s="59" customFormat="1" x14ac:dyDescent="0.2">
      <c r="A889" s="58"/>
      <c r="B889" s="139"/>
    </row>
    <row r="890" spans="1:2" s="59" customFormat="1" x14ac:dyDescent="0.2">
      <c r="A890" s="58"/>
      <c r="B890" s="139"/>
    </row>
    <row r="891" spans="1:2" s="59" customFormat="1" x14ac:dyDescent="0.2">
      <c r="A891" s="58"/>
      <c r="B891" s="139"/>
    </row>
    <row r="892" spans="1:2" s="59" customFormat="1" x14ac:dyDescent="0.2">
      <c r="A892" s="58"/>
      <c r="B892" s="139"/>
    </row>
    <row r="893" spans="1:2" s="59" customFormat="1" x14ac:dyDescent="0.2">
      <c r="A893" s="58"/>
      <c r="B893" s="139"/>
    </row>
    <row r="894" spans="1:2" s="59" customFormat="1" x14ac:dyDescent="0.2">
      <c r="A894" s="58"/>
      <c r="B894" s="139"/>
    </row>
    <row r="895" spans="1:2" s="59" customFormat="1" x14ac:dyDescent="0.2">
      <c r="A895" s="58"/>
      <c r="B895" s="139"/>
    </row>
    <row r="896" spans="1:2" s="59" customFormat="1" x14ac:dyDescent="0.2">
      <c r="A896" s="58"/>
      <c r="B896" s="139"/>
    </row>
    <row r="897" spans="1:2" s="59" customFormat="1" x14ac:dyDescent="0.2">
      <c r="A897" s="58"/>
      <c r="B897" s="139"/>
    </row>
    <row r="898" spans="1:2" s="59" customFormat="1" x14ac:dyDescent="0.2">
      <c r="A898" s="58"/>
      <c r="B898" s="139"/>
    </row>
    <row r="899" spans="1:2" s="59" customFormat="1" x14ac:dyDescent="0.2">
      <c r="A899" s="58"/>
      <c r="B899" s="139"/>
    </row>
    <row r="900" spans="1:2" s="59" customFormat="1" x14ac:dyDescent="0.2">
      <c r="A900" s="58"/>
      <c r="B900" s="139"/>
    </row>
    <row r="901" spans="1:2" s="59" customFormat="1" x14ac:dyDescent="0.2">
      <c r="A901" s="58"/>
      <c r="B901" s="139"/>
    </row>
    <row r="902" spans="1:2" s="59" customFormat="1" x14ac:dyDescent="0.2">
      <c r="A902" s="58"/>
      <c r="B902" s="128"/>
    </row>
    <row r="903" spans="1:2" s="59" customFormat="1" x14ac:dyDescent="0.2">
      <c r="A903" s="58"/>
      <c r="B903" s="128"/>
    </row>
    <row r="904" spans="1:2" s="59" customFormat="1" x14ac:dyDescent="0.2">
      <c r="A904" s="58"/>
      <c r="B904" s="128"/>
    </row>
    <row r="905" spans="1:2" s="59" customFormat="1" x14ac:dyDescent="0.2">
      <c r="A905" s="58"/>
      <c r="B905" s="128"/>
    </row>
    <row r="906" spans="1:2" s="59" customFormat="1" x14ac:dyDescent="0.2">
      <c r="A906" s="58"/>
      <c r="B906" s="128"/>
    </row>
    <row r="907" spans="1:2" s="59" customFormat="1" x14ac:dyDescent="0.2">
      <c r="A907" s="58"/>
      <c r="B907" s="128"/>
    </row>
    <row r="908" spans="1:2" s="59" customFormat="1" x14ac:dyDescent="0.2">
      <c r="A908" s="58"/>
      <c r="B908" s="128"/>
    </row>
    <row r="909" spans="1:2" s="59" customFormat="1" x14ac:dyDescent="0.2">
      <c r="A909" s="58"/>
      <c r="B909" s="128"/>
    </row>
    <row r="910" spans="1:2" s="59" customFormat="1" x14ac:dyDescent="0.2">
      <c r="A910" s="58"/>
      <c r="B910" s="128"/>
    </row>
    <row r="911" spans="1:2" s="59" customFormat="1" x14ac:dyDescent="0.2">
      <c r="A911" s="58"/>
      <c r="B911" s="128"/>
    </row>
    <row r="912" spans="1:2" s="59" customFormat="1" x14ac:dyDescent="0.2">
      <c r="A912" s="58"/>
      <c r="B912" s="128"/>
    </row>
    <row r="913" spans="1:2" s="59" customFormat="1" x14ac:dyDescent="0.2">
      <c r="A913" s="58"/>
      <c r="B913" s="128"/>
    </row>
    <row r="914" spans="1:2" s="59" customFormat="1" x14ac:dyDescent="0.2">
      <c r="A914" s="58"/>
      <c r="B914" s="128"/>
    </row>
    <row r="915" spans="1:2" s="59" customFormat="1" x14ac:dyDescent="0.2">
      <c r="A915" s="58"/>
      <c r="B915" s="128"/>
    </row>
    <row r="916" spans="1:2" s="59" customFormat="1" x14ac:dyDescent="0.2">
      <c r="A916" s="58"/>
      <c r="B916" s="128"/>
    </row>
    <row r="917" spans="1:2" s="59" customFormat="1" x14ac:dyDescent="0.2">
      <c r="A917" s="58"/>
      <c r="B917" s="128"/>
    </row>
    <row r="918" spans="1:2" s="59" customFormat="1" x14ac:dyDescent="0.2">
      <c r="A918" s="58"/>
      <c r="B918" s="128"/>
    </row>
    <row r="919" spans="1:2" s="59" customFormat="1" x14ac:dyDescent="0.2">
      <c r="A919" s="58"/>
      <c r="B919" s="128"/>
    </row>
    <row r="920" spans="1:2" s="59" customFormat="1" x14ac:dyDescent="0.2">
      <c r="A920" s="58"/>
      <c r="B920" s="128"/>
    </row>
    <row r="921" spans="1:2" s="59" customFormat="1" x14ac:dyDescent="0.2">
      <c r="A921" s="58"/>
      <c r="B921" s="128"/>
    </row>
    <row r="922" spans="1:2" s="59" customFormat="1" x14ac:dyDescent="0.2">
      <c r="A922" s="58"/>
      <c r="B922" s="128"/>
    </row>
    <row r="923" spans="1:2" s="59" customFormat="1" x14ac:dyDescent="0.2">
      <c r="A923" s="58"/>
      <c r="B923" s="128"/>
    </row>
    <row r="924" spans="1:2" s="59" customFormat="1" x14ac:dyDescent="0.2">
      <c r="A924" s="58"/>
      <c r="B924" s="128"/>
    </row>
    <row r="925" spans="1:2" s="59" customFormat="1" x14ac:dyDescent="0.2">
      <c r="A925" s="58"/>
      <c r="B925" s="128"/>
    </row>
    <row r="926" spans="1:2" s="59" customFormat="1" x14ac:dyDescent="0.2">
      <c r="A926" s="58"/>
      <c r="B926" s="128"/>
    </row>
    <row r="927" spans="1:2" s="59" customFormat="1" x14ac:dyDescent="0.2">
      <c r="A927" s="58"/>
      <c r="B927" s="128"/>
    </row>
    <row r="928" spans="1:2" s="59" customFormat="1" x14ac:dyDescent="0.2">
      <c r="A928" s="58"/>
      <c r="B928" s="128"/>
    </row>
    <row r="929" spans="1:2" s="59" customFormat="1" x14ac:dyDescent="0.2">
      <c r="A929" s="58"/>
      <c r="B929" s="128"/>
    </row>
    <row r="930" spans="1:2" s="59" customFormat="1" x14ac:dyDescent="0.2">
      <c r="A930" s="58"/>
      <c r="B930" s="128"/>
    </row>
    <row r="931" spans="1:2" s="59" customFormat="1" x14ac:dyDescent="0.2">
      <c r="A931" s="58"/>
      <c r="B931" s="128"/>
    </row>
    <row r="932" spans="1:2" s="59" customFormat="1" x14ac:dyDescent="0.2">
      <c r="A932" s="58"/>
      <c r="B932" s="128"/>
    </row>
    <row r="933" spans="1:2" s="59" customFormat="1" x14ac:dyDescent="0.2">
      <c r="A933" s="58"/>
      <c r="B933" s="128"/>
    </row>
    <row r="934" spans="1:2" s="59" customFormat="1" x14ac:dyDescent="0.2">
      <c r="A934" s="58"/>
      <c r="B934" s="128"/>
    </row>
    <row r="935" spans="1:2" s="59" customFormat="1" x14ac:dyDescent="0.2">
      <c r="A935" s="58"/>
      <c r="B935" s="128"/>
    </row>
    <row r="936" spans="1:2" s="59" customFormat="1" x14ac:dyDescent="0.2">
      <c r="A936" s="58"/>
      <c r="B936" s="128"/>
    </row>
    <row r="937" spans="1:2" s="59" customFormat="1" x14ac:dyDescent="0.2">
      <c r="A937" s="58"/>
      <c r="B937" s="128"/>
    </row>
    <row r="938" spans="1:2" s="59" customFormat="1" x14ac:dyDescent="0.2">
      <c r="A938" s="58"/>
      <c r="B938" s="128"/>
    </row>
    <row r="939" spans="1:2" s="59" customFormat="1" x14ac:dyDescent="0.2">
      <c r="A939" s="58"/>
      <c r="B939" s="128"/>
    </row>
    <row r="940" spans="1:2" s="59" customFormat="1" x14ac:dyDescent="0.2">
      <c r="A940" s="58"/>
      <c r="B940" s="128"/>
    </row>
    <row r="941" spans="1:2" s="59" customFormat="1" x14ac:dyDescent="0.2">
      <c r="A941" s="58"/>
      <c r="B941" s="128"/>
    </row>
    <row r="942" spans="1:2" s="59" customFormat="1" x14ac:dyDescent="0.2">
      <c r="A942" s="58"/>
      <c r="B942" s="128"/>
    </row>
    <row r="943" spans="1:2" s="59" customFormat="1" x14ac:dyDescent="0.2">
      <c r="A943" s="58"/>
      <c r="B943" s="128"/>
    </row>
    <row r="944" spans="1:2" s="59" customFormat="1" x14ac:dyDescent="0.2">
      <c r="A944" s="58"/>
      <c r="B944" s="128"/>
    </row>
    <row r="945" spans="1:2" s="59" customFormat="1" x14ac:dyDescent="0.2">
      <c r="A945" s="58"/>
      <c r="B945" s="128"/>
    </row>
    <row r="946" spans="1:2" s="59" customFormat="1" x14ac:dyDescent="0.2">
      <c r="A946" s="58"/>
      <c r="B946" s="128"/>
    </row>
    <row r="947" spans="1:2" s="59" customFormat="1" x14ac:dyDescent="0.2">
      <c r="A947" s="58"/>
      <c r="B947" s="128"/>
    </row>
    <row r="948" spans="1:2" s="59" customFormat="1" x14ac:dyDescent="0.2">
      <c r="A948" s="58"/>
      <c r="B948" s="128"/>
    </row>
    <row r="949" spans="1:2" s="59" customFormat="1" x14ac:dyDescent="0.2">
      <c r="A949" s="58"/>
      <c r="B949" s="128"/>
    </row>
    <row r="950" spans="1:2" s="59" customFormat="1" x14ac:dyDescent="0.2">
      <c r="A950" s="58"/>
      <c r="B950" s="128"/>
    </row>
    <row r="951" spans="1:2" s="59" customFormat="1" x14ac:dyDescent="0.2">
      <c r="A951" s="58"/>
      <c r="B951" s="128"/>
    </row>
    <row r="952" spans="1:2" s="59" customFormat="1" x14ac:dyDescent="0.2">
      <c r="A952" s="58"/>
      <c r="B952" s="128"/>
    </row>
    <row r="953" spans="1:2" s="59" customFormat="1" x14ac:dyDescent="0.2">
      <c r="A953" s="58"/>
      <c r="B953" s="128"/>
    </row>
    <row r="954" spans="1:2" s="59" customFormat="1" x14ac:dyDescent="0.2">
      <c r="A954" s="58"/>
      <c r="B954" s="128"/>
    </row>
    <row r="955" spans="1:2" s="59" customFormat="1" x14ac:dyDescent="0.2">
      <c r="A955" s="58"/>
      <c r="B955" s="128"/>
    </row>
    <row r="956" spans="1:2" s="59" customFormat="1" x14ac:dyDescent="0.2">
      <c r="A956" s="58"/>
      <c r="B956" s="128"/>
    </row>
    <row r="957" spans="1:2" s="59" customFormat="1" x14ac:dyDescent="0.2">
      <c r="A957" s="58"/>
      <c r="B957" s="128"/>
    </row>
    <row r="958" spans="1:2" s="59" customFormat="1" x14ac:dyDescent="0.2">
      <c r="A958" s="58"/>
      <c r="B958" s="128"/>
    </row>
    <row r="959" spans="1:2" s="59" customFormat="1" x14ac:dyDescent="0.2">
      <c r="A959" s="58"/>
      <c r="B959" s="128"/>
    </row>
    <row r="960" spans="1:2" s="59" customFormat="1" x14ac:dyDescent="0.2">
      <c r="A960" s="58"/>
      <c r="B960" s="128"/>
    </row>
    <row r="961" spans="1:2" s="59" customFormat="1" x14ac:dyDescent="0.2">
      <c r="A961" s="58"/>
      <c r="B961" s="128"/>
    </row>
    <row r="962" spans="1:2" s="59" customFormat="1" x14ac:dyDescent="0.2">
      <c r="A962" s="58"/>
      <c r="B962" s="128"/>
    </row>
    <row r="963" spans="1:2" s="59" customFormat="1" x14ac:dyDescent="0.2">
      <c r="A963" s="58"/>
      <c r="B963" s="128"/>
    </row>
    <row r="964" spans="1:2" s="59" customFormat="1" x14ac:dyDescent="0.2">
      <c r="A964" s="58"/>
      <c r="B964" s="128"/>
    </row>
    <row r="965" spans="1:2" s="59" customFormat="1" x14ac:dyDescent="0.2">
      <c r="A965" s="58"/>
      <c r="B965" s="128"/>
    </row>
    <row r="966" spans="1:2" s="59" customFormat="1" x14ac:dyDescent="0.2">
      <c r="A966" s="58"/>
      <c r="B966" s="128"/>
    </row>
    <row r="967" spans="1:2" s="59" customFormat="1" x14ac:dyDescent="0.2">
      <c r="A967" s="58"/>
      <c r="B967" s="128"/>
    </row>
    <row r="968" spans="1:2" s="59" customFormat="1" x14ac:dyDescent="0.2">
      <c r="A968" s="58"/>
      <c r="B968" s="128"/>
    </row>
    <row r="969" spans="1:2" s="59" customFormat="1" x14ac:dyDescent="0.2">
      <c r="A969" s="58"/>
      <c r="B969" s="128"/>
    </row>
    <row r="970" spans="1:2" s="59" customFormat="1" x14ac:dyDescent="0.2">
      <c r="A970" s="58"/>
      <c r="B970" s="128"/>
    </row>
    <row r="971" spans="1:2" s="59" customFormat="1" x14ac:dyDescent="0.2">
      <c r="A971" s="58"/>
      <c r="B971" s="128"/>
    </row>
    <row r="972" spans="1:2" s="59" customFormat="1" x14ac:dyDescent="0.2">
      <c r="A972" s="58"/>
      <c r="B972" s="128"/>
    </row>
    <row r="973" spans="1:2" s="59" customFormat="1" x14ac:dyDescent="0.2">
      <c r="A973" s="58"/>
      <c r="B973" s="128"/>
    </row>
    <row r="974" spans="1:2" s="59" customFormat="1" x14ac:dyDescent="0.2">
      <c r="A974" s="58"/>
      <c r="B974" s="128"/>
    </row>
    <row r="975" spans="1:2" s="59" customFormat="1" x14ac:dyDescent="0.2">
      <c r="A975" s="58"/>
      <c r="B975" s="128"/>
    </row>
    <row r="976" spans="1:2" s="59" customFormat="1" x14ac:dyDescent="0.2">
      <c r="A976" s="58"/>
      <c r="B976" s="128"/>
    </row>
    <row r="977" spans="1:2" s="59" customFormat="1" x14ac:dyDescent="0.2">
      <c r="A977" s="58"/>
      <c r="B977" s="128"/>
    </row>
    <row r="978" spans="1:2" s="59" customFormat="1" x14ac:dyDescent="0.2">
      <c r="A978" s="58"/>
      <c r="B978" s="128"/>
    </row>
    <row r="979" spans="1:2" s="59" customFormat="1" x14ac:dyDescent="0.2">
      <c r="A979" s="58"/>
      <c r="B979" s="128"/>
    </row>
    <row r="980" spans="1:2" s="59" customFormat="1" x14ac:dyDescent="0.2">
      <c r="A980" s="58"/>
      <c r="B980" s="128"/>
    </row>
    <row r="981" spans="1:2" s="59" customFormat="1" x14ac:dyDescent="0.2">
      <c r="A981" s="58"/>
      <c r="B981" s="128"/>
    </row>
    <row r="982" spans="1:2" s="59" customFormat="1" x14ac:dyDescent="0.2">
      <c r="A982" s="58"/>
      <c r="B982" s="128"/>
    </row>
    <row r="983" spans="1:2" s="59" customFormat="1" x14ac:dyDescent="0.2">
      <c r="A983" s="58"/>
      <c r="B983" s="128"/>
    </row>
    <row r="984" spans="1:2" s="59" customFormat="1" x14ac:dyDescent="0.2">
      <c r="A984" s="58"/>
      <c r="B984" s="128"/>
    </row>
    <row r="985" spans="1:2" s="59" customFormat="1" x14ac:dyDescent="0.2">
      <c r="A985" s="58"/>
      <c r="B985" s="128"/>
    </row>
    <row r="986" spans="1:2" s="59" customFormat="1" x14ac:dyDescent="0.2">
      <c r="A986" s="58"/>
      <c r="B986" s="128"/>
    </row>
    <row r="987" spans="1:2" s="59" customFormat="1" x14ac:dyDescent="0.2">
      <c r="A987" s="58"/>
      <c r="B987" s="128"/>
    </row>
    <row r="988" spans="1:2" s="59" customFormat="1" x14ac:dyDescent="0.2">
      <c r="A988" s="58"/>
      <c r="B988" s="128"/>
    </row>
    <row r="989" spans="1:2" s="59" customFormat="1" x14ac:dyDescent="0.2">
      <c r="A989" s="58"/>
      <c r="B989" s="128"/>
    </row>
    <row r="990" spans="1:2" s="59" customFormat="1" x14ac:dyDescent="0.2">
      <c r="A990" s="58"/>
      <c r="B990" s="128"/>
    </row>
    <row r="991" spans="1:2" s="59" customFormat="1" x14ac:dyDescent="0.2">
      <c r="A991" s="58"/>
      <c r="B991" s="128"/>
    </row>
    <row r="992" spans="1:2" s="59" customFormat="1" x14ac:dyDescent="0.2">
      <c r="A992" s="58"/>
      <c r="B992" s="128"/>
    </row>
    <row r="993" spans="1:182" s="59" customFormat="1" x14ac:dyDescent="0.2">
      <c r="A993" s="58"/>
      <c r="B993" s="128"/>
    </row>
    <row r="994" spans="1:182" s="59" customFormat="1" x14ac:dyDescent="0.2">
      <c r="A994" s="58"/>
      <c r="B994" s="128"/>
    </row>
    <row r="995" spans="1:182" s="59" customFormat="1" x14ac:dyDescent="0.2">
      <c r="A995" s="58"/>
      <c r="B995" s="128"/>
    </row>
    <row r="996" spans="1:182" s="59" customFormat="1" x14ac:dyDescent="0.2">
      <c r="A996" s="58"/>
      <c r="B996" s="128"/>
    </row>
    <row r="997" spans="1:182" s="59" customFormat="1" x14ac:dyDescent="0.2">
      <c r="A997" s="58"/>
      <c r="B997" s="128"/>
    </row>
    <row r="998" spans="1:182" s="59" customFormat="1" x14ac:dyDescent="0.2">
      <c r="A998" s="58"/>
      <c r="B998" s="128"/>
    </row>
    <row r="999" spans="1:182" s="59" customFormat="1" x14ac:dyDescent="0.2">
      <c r="A999" s="58"/>
      <c r="B999" s="128"/>
    </row>
    <row r="1000" spans="1:182" s="59" customFormat="1" x14ac:dyDescent="0.2">
      <c r="A1000" s="58"/>
      <c r="B1000" s="128"/>
    </row>
    <row r="1001" spans="1:182" x14ac:dyDescent="0.2">
      <c r="A1001" s="58">
        <v>1099</v>
      </c>
      <c r="B1001" s="128" t="s">
        <v>3519</v>
      </c>
    </row>
    <row r="1002" spans="1:182" x14ac:dyDescent="0.2">
      <c r="A1002" s="58">
        <v>1100</v>
      </c>
      <c r="B1002" s="128" t="s">
        <v>2877</v>
      </c>
    </row>
    <row r="1003" spans="1:182" x14ac:dyDescent="0.2">
      <c r="A1003" s="58">
        <v>1101</v>
      </c>
      <c r="B1003" s="128" t="s">
        <v>3517</v>
      </c>
    </row>
    <row r="1004" spans="1:182" x14ac:dyDescent="0.2">
      <c r="A1004" s="58">
        <v>1102</v>
      </c>
      <c r="B1004" s="128" t="s">
        <v>3167</v>
      </c>
    </row>
    <row r="1005" spans="1:182" x14ac:dyDescent="0.2">
      <c r="A1005" s="58">
        <v>1103</v>
      </c>
      <c r="B1005" s="128" t="s">
        <v>2867</v>
      </c>
    </row>
    <row r="1006" spans="1:182" x14ac:dyDescent="0.2">
      <c r="A1006" s="58">
        <v>1104</v>
      </c>
      <c r="B1006" s="128" t="s">
        <v>3387</v>
      </c>
    </row>
    <row r="1007" spans="1:182" x14ac:dyDescent="0.2">
      <c r="A1007" s="58">
        <v>1105</v>
      </c>
      <c r="B1007" s="128" t="s">
        <v>2852</v>
      </c>
      <c r="AU1007" s="127">
        <v>3</v>
      </c>
      <c r="BD1007" s="127">
        <v>3</v>
      </c>
      <c r="BE1007" s="127">
        <v>0.5</v>
      </c>
      <c r="BF1007" s="127">
        <v>1</v>
      </c>
      <c r="BG1007" s="127">
        <v>0.5</v>
      </c>
      <c r="BI1007" s="127">
        <v>0.5</v>
      </c>
      <c r="BP1007" s="127">
        <v>0.5</v>
      </c>
      <c r="BU1007" s="127">
        <v>1</v>
      </c>
      <c r="BY1007" s="127">
        <v>10</v>
      </c>
      <c r="CE1007" s="127">
        <v>10</v>
      </c>
      <c r="CG1007" s="127">
        <v>15</v>
      </c>
      <c r="CI1007" s="127">
        <v>5</v>
      </c>
      <c r="CM1007" s="127">
        <v>8</v>
      </c>
      <c r="CN1007" s="127">
        <v>4</v>
      </c>
      <c r="CR1007" s="127">
        <v>10</v>
      </c>
      <c r="CX1007" s="127">
        <v>2</v>
      </c>
      <c r="DD1007" s="127">
        <v>20</v>
      </c>
      <c r="DG1007" s="127">
        <v>15</v>
      </c>
      <c r="DK1007" s="127">
        <v>1</v>
      </c>
      <c r="DM1007" s="127">
        <v>5</v>
      </c>
      <c r="DO1007" s="127">
        <v>4</v>
      </c>
      <c r="DP1007" s="127">
        <v>10</v>
      </c>
      <c r="DQ1007" s="127">
        <v>3</v>
      </c>
      <c r="DR1007" s="127">
        <v>2</v>
      </c>
      <c r="DW1007" s="127">
        <v>4</v>
      </c>
      <c r="DZ1007" s="127">
        <v>3</v>
      </c>
      <c r="EA1007" s="127">
        <v>1</v>
      </c>
      <c r="EM1007" s="127">
        <v>2</v>
      </c>
      <c r="EW1007" s="127">
        <v>3</v>
      </c>
      <c r="EX1007" s="127">
        <v>7</v>
      </c>
      <c r="FL1007" s="127">
        <v>5</v>
      </c>
      <c r="FQ1007" s="127">
        <v>3</v>
      </c>
      <c r="FX1007" s="127">
        <v>2</v>
      </c>
      <c r="FY1007" s="127">
        <v>6</v>
      </c>
      <c r="FZ1007" s="127">
        <v>8</v>
      </c>
    </row>
    <row r="1008" spans="1:182" x14ac:dyDescent="0.2">
      <c r="A1008" s="58">
        <v>1106</v>
      </c>
      <c r="B1008" s="128" t="s">
        <v>1517</v>
      </c>
    </row>
    <row r="1009" spans="1:48" x14ac:dyDescent="0.2">
      <c r="A1009" s="58">
        <v>1107</v>
      </c>
      <c r="B1009" s="128" t="s">
        <v>3476</v>
      </c>
    </row>
    <row r="1010" spans="1:48" x14ac:dyDescent="0.2">
      <c r="A1010" s="58">
        <v>1108</v>
      </c>
      <c r="B1010" s="128" t="s">
        <v>541</v>
      </c>
    </row>
    <row r="1011" spans="1:48" x14ac:dyDescent="0.2">
      <c r="A1011" s="58">
        <v>1109</v>
      </c>
      <c r="B1011" s="128" t="s">
        <v>3496</v>
      </c>
    </row>
    <row r="1012" spans="1:48" x14ac:dyDescent="0.2">
      <c r="A1012" s="58">
        <v>1110</v>
      </c>
      <c r="B1012" s="128" t="s">
        <v>1168</v>
      </c>
    </row>
    <row r="1013" spans="1:48" x14ac:dyDescent="0.2">
      <c r="A1013" s="58">
        <v>1111</v>
      </c>
      <c r="B1013" s="128" t="s">
        <v>1165</v>
      </c>
    </row>
    <row r="1014" spans="1:48" x14ac:dyDescent="0.2">
      <c r="A1014" s="58">
        <v>1112</v>
      </c>
      <c r="B1014" s="128" t="s">
        <v>3201</v>
      </c>
    </row>
    <row r="1015" spans="1:48" x14ac:dyDescent="0.2">
      <c r="A1015" s="58">
        <v>1113</v>
      </c>
      <c r="B1015" s="128" t="s">
        <v>3462</v>
      </c>
    </row>
    <row r="1016" spans="1:48" x14ac:dyDescent="0.2">
      <c r="A1016" s="58">
        <v>1114</v>
      </c>
      <c r="B1016" s="128" t="s">
        <v>1416</v>
      </c>
    </row>
    <row r="1017" spans="1:48" x14ac:dyDescent="0.2">
      <c r="A1017" s="58">
        <v>1115</v>
      </c>
      <c r="B1017" s="128" t="s">
        <v>3484</v>
      </c>
    </row>
    <row r="1018" spans="1:48" x14ac:dyDescent="0.2">
      <c r="A1018" s="58">
        <v>1116</v>
      </c>
      <c r="B1018" s="128" t="s">
        <v>3033</v>
      </c>
    </row>
    <row r="1019" spans="1:48" x14ac:dyDescent="0.2">
      <c r="A1019" s="58">
        <v>1117</v>
      </c>
      <c r="B1019" s="128" t="s">
        <v>3492</v>
      </c>
    </row>
    <row r="1020" spans="1:48" x14ac:dyDescent="0.2">
      <c r="A1020" s="58">
        <v>1118</v>
      </c>
      <c r="B1020" s="128" t="s">
        <v>3062</v>
      </c>
    </row>
    <row r="1021" spans="1:48" x14ac:dyDescent="0.2">
      <c r="A1021" s="58">
        <v>1119</v>
      </c>
      <c r="B1021" s="128" t="s">
        <v>3443</v>
      </c>
    </row>
    <row r="1022" spans="1:48" x14ac:dyDescent="0.2">
      <c r="A1022" s="58">
        <v>1120</v>
      </c>
      <c r="B1022" s="128" t="s">
        <v>3171</v>
      </c>
    </row>
    <row r="1023" spans="1:48" x14ac:dyDescent="0.2">
      <c r="A1023" s="58">
        <v>1121</v>
      </c>
      <c r="B1023" s="128" t="s">
        <v>1246</v>
      </c>
      <c r="AV1023" s="127">
        <v>1</v>
      </c>
    </row>
    <row r="1024" spans="1:48" x14ac:dyDescent="0.2">
      <c r="A1024" s="58">
        <v>1122</v>
      </c>
      <c r="B1024" s="128" t="s">
        <v>3504</v>
      </c>
    </row>
    <row r="1025" spans="1:48" x14ac:dyDescent="0.2">
      <c r="A1025" s="58">
        <v>1123</v>
      </c>
      <c r="B1025" s="128" t="s">
        <v>3063</v>
      </c>
    </row>
    <row r="1026" spans="1:48" x14ac:dyDescent="0.2">
      <c r="A1026" s="58">
        <v>1124</v>
      </c>
      <c r="B1026" s="128" t="s">
        <v>1177</v>
      </c>
    </row>
    <row r="1027" spans="1:48" x14ac:dyDescent="0.2">
      <c r="A1027" s="58">
        <v>1125</v>
      </c>
      <c r="B1027" s="128" t="s">
        <v>2854</v>
      </c>
      <c r="AV1027" s="127">
        <v>1</v>
      </c>
    </row>
    <row r="1028" spans="1:48" x14ac:dyDescent="0.2">
      <c r="A1028" s="58">
        <v>1126</v>
      </c>
      <c r="B1028" s="128" t="s">
        <v>1530</v>
      </c>
    </row>
    <row r="1029" spans="1:48" x14ac:dyDescent="0.2">
      <c r="A1029" s="58">
        <v>1127</v>
      </c>
      <c r="B1029" s="128" t="s">
        <v>1418</v>
      </c>
    </row>
    <row r="1030" spans="1:48" x14ac:dyDescent="0.2">
      <c r="A1030" s="58">
        <v>1128</v>
      </c>
      <c r="B1030" s="128" t="s">
        <v>1535</v>
      </c>
    </row>
    <row r="1031" spans="1:48" x14ac:dyDescent="0.2">
      <c r="A1031" s="58">
        <v>1129</v>
      </c>
      <c r="B1031" s="128" t="s">
        <v>3385</v>
      </c>
    </row>
    <row r="1032" spans="1:48" x14ac:dyDescent="0.2">
      <c r="A1032" s="58">
        <v>1130</v>
      </c>
      <c r="B1032" s="128" t="s">
        <v>1404</v>
      </c>
    </row>
    <row r="1033" spans="1:48" x14ac:dyDescent="0.2">
      <c r="A1033" s="58">
        <v>1131</v>
      </c>
      <c r="B1033" s="128" t="s">
        <v>3129</v>
      </c>
    </row>
    <row r="1034" spans="1:48" x14ac:dyDescent="0.2">
      <c r="A1034" s="58">
        <v>1132</v>
      </c>
      <c r="B1034" s="128" t="s">
        <v>3062</v>
      </c>
    </row>
    <row r="1035" spans="1:48" x14ac:dyDescent="0.2">
      <c r="A1035" s="58">
        <v>1133</v>
      </c>
      <c r="B1035" s="128" t="s">
        <v>3492</v>
      </c>
    </row>
    <row r="1036" spans="1:48" x14ac:dyDescent="0.2">
      <c r="A1036" s="58">
        <v>1134</v>
      </c>
      <c r="B1036" s="128" t="s">
        <v>3201</v>
      </c>
    </row>
    <row r="1037" spans="1:48" x14ac:dyDescent="0.2">
      <c r="A1037" s="58">
        <v>1135</v>
      </c>
      <c r="B1037" s="128" t="s">
        <v>3060</v>
      </c>
    </row>
    <row r="1038" spans="1:48" x14ac:dyDescent="0.2">
      <c r="A1038" s="58">
        <v>1136</v>
      </c>
      <c r="B1038" s="128" t="s">
        <v>1529</v>
      </c>
    </row>
    <row r="1039" spans="1:48" x14ac:dyDescent="0.2">
      <c r="A1039" s="58">
        <v>1137</v>
      </c>
      <c r="B1039" s="128" t="s">
        <v>3186</v>
      </c>
    </row>
    <row r="1040" spans="1:48" x14ac:dyDescent="0.2">
      <c r="A1040" s="58">
        <v>1138</v>
      </c>
      <c r="B1040" s="128" t="s">
        <v>1165</v>
      </c>
    </row>
    <row r="1041" spans="1:2" x14ac:dyDescent="0.2">
      <c r="A1041" s="58">
        <v>1139</v>
      </c>
      <c r="B1041" s="128" t="s">
        <v>3334</v>
      </c>
    </row>
    <row r="1042" spans="1:2" x14ac:dyDescent="0.2">
      <c r="A1042" s="58">
        <v>1140</v>
      </c>
      <c r="B1042" s="128" t="s">
        <v>3520</v>
      </c>
    </row>
    <row r="1043" spans="1:2" x14ac:dyDescent="0.2">
      <c r="A1043" s="58">
        <v>1141</v>
      </c>
      <c r="B1043" s="128" t="s">
        <v>1530</v>
      </c>
    </row>
    <row r="1044" spans="1:2" x14ac:dyDescent="0.2">
      <c r="A1044" s="58">
        <v>1142</v>
      </c>
      <c r="B1044" s="128" t="s">
        <v>3504</v>
      </c>
    </row>
    <row r="1045" spans="1:2" x14ac:dyDescent="0.2">
      <c r="A1045" s="58">
        <v>1143</v>
      </c>
      <c r="B1045" s="128" t="s">
        <v>1177</v>
      </c>
    </row>
    <row r="1046" spans="1:2" x14ac:dyDescent="0.2">
      <c r="A1046" s="58">
        <v>1144</v>
      </c>
      <c r="B1046" s="128" t="s">
        <v>1200</v>
      </c>
    </row>
    <row r="1047" spans="1:2" x14ac:dyDescent="0.2">
      <c r="A1047" s="58">
        <v>1145</v>
      </c>
      <c r="B1047" s="128" t="s">
        <v>2853</v>
      </c>
    </row>
    <row r="1048" spans="1:2" x14ac:dyDescent="0.2">
      <c r="A1048" s="58">
        <v>1146</v>
      </c>
      <c r="B1048" s="128" t="s">
        <v>1207</v>
      </c>
    </row>
    <row r="1049" spans="1:2" x14ac:dyDescent="0.2">
      <c r="A1049" s="58">
        <v>1147</v>
      </c>
      <c r="B1049" s="128" t="s">
        <v>3479</v>
      </c>
    </row>
    <row r="1050" spans="1:2" x14ac:dyDescent="0.2">
      <c r="A1050" s="58">
        <v>1148</v>
      </c>
      <c r="B1050" s="128" t="s">
        <v>3327</v>
      </c>
    </row>
    <row r="1051" spans="1:2" x14ac:dyDescent="0.2">
      <c r="A1051" s="58">
        <v>1149</v>
      </c>
      <c r="B1051" s="128" t="s">
        <v>3193</v>
      </c>
    </row>
    <row r="1052" spans="1:2" x14ac:dyDescent="0.2">
      <c r="A1052" s="58">
        <v>1150</v>
      </c>
      <c r="B1052" s="128" t="s">
        <v>3519</v>
      </c>
    </row>
    <row r="1053" spans="1:2" x14ac:dyDescent="0.2">
      <c r="A1053" s="58">
        <v>1151</v>
      </c>
      <c r="B1053" s="128" t="s">
        <v>3518</v>
      </c>
    </row>
    <row r="1054" spans="1:2" x14ac:dyDescent="0.2">
      <c r="A1054" s="58">
        <v>1152</v>
      </c>
      <c r="B1054" s="128" t="s">
        <v>2881</v>
      </c>
    </row>
    <row r="1055" spans="1:2" x14ac:dyDescent="0.2">
      <c r="A1055" s="58">
        <v>1153</v>
      </c>
      <c r="B1055" s="128" t="s">
        <v>2867</v>
      </c>
    </row>
    <row r="1056" spans="1:2" x14ac:dyDescent="0.2">
      <c r="A1056" s="58">
        <v>1154</v>
      </c>
      <c r="B1056" s="128" t="s">
        <v>3478</v>
      </c>
    </row>
    <row r="1057" spans="1:131" x14ac:dyDescent="0.2">
      <c r="A1057" s="58">
        <v>1155</v>
      </c>
      <c r="B1057" s="128" t="s">
        <v>1534</v>
      </c>
    </row>
    <row r="1058" spans="1:131" x14ac:dyDescent="0.2">
      <c r="A1058" s="58">
        <v>1156</v>
      </c>
      <c r="B1058" s="128" t="s">
        <v>3431</v>
      </c>
    </row>
    <row r="1059" spans="1:131" x14ac:dyDescent="0.2">
      <c r="A1059" s="58">
        <v>1157</v>
      </c>
      <c r="B1059" s="128" t="s">
        <v>3438</v>
      </c>
    </row>
    <row r="1060" spans="1:131" x14ac:dyDescent="0.2">
      <c r="A1060" s="58">
        <v>1158</v>
      </c>
      <c r="B1060" s="128" t="s">
        <v>3476</v>
      </c>
    </row>
    <row r="1061" spans="1:131" x14ac:dyDescent="0.2">
      <c r="A1061" s="58">
        <v>1159</v>
      </c>
      <c r="B1061" s="128" t="s">
        <v>3493</v>
      </c>
    </row>
    <row r="1062" spans="1:131" x14ac:dyDescent="0.2">
      <c r="A1062" s="58">
        <v>1160</v>
      </c>
      <c r="B1062" s="128" t="s">
        <v>538</v>
      </c>
      <c r="AY1062" s="127">
        <v>10</v>
      </c>
      <c r="BC1062" s="127">
        <v>6</v>
      </c>
      <c r="BO1062" s="127">
        <v>5</v>
      </c>
      <c r="BP1062" s="127">
        <v>20</v>
      </c>
      <c r="BT1062" s="127">
        <v>0.5</v>
      </c>
      <c r="DQ1062" s="127">
        <v>15</v>
      </c>
      <c r="EA1062" s="127">
        <v>5</v>
      </c>
    </row>
    <row r="1063" spans="1:131" x14ac:dyDescent="0.2">
      <c r="A1063" s="58">
        <v>1161</v>
      </c>
      <c r="B1063" s="128" t="s">
        <v>3186</v>
      </c>
    </row>
    <row r="1064" spans="1:131" x14ac:dyDescent="0.2">
      <c r="A1064" s="58">
        <v>1162</v>
      </c>
      <c r="B1064" s="128" t="s">
        <v>3062</v>
      </c>
    </row>
    <row r="1065" spans="1:131" x14ac:dyDescent="0.2">
      <c r="A1065" s="58">
        <v>1163</v>
      </c>
      <c r="B1065" s="128" t="s">
        <v>2909</v>
      </c>
      <c r="AY1065" s="127">
        <v>5</v>
      </c>
    </row>
    <row r="1066" spans="1:131" x14ac:dyDescent="0.2">
      <c r="A1066" s="58">
        <v>1164</v>
      </c>
      <c r="B1066" s="128" t="s">
        <v>1197</v>
      </c>
    </row>
    <row r="1067" spans="1:131" x14ac:dyDescent="0.2">
      <c r="A1067" s="58">
        <v>1165</v>
      </c>
      <c r="B1067" s="128" t="s">
        <v>3060</v>
      </c>
    </row>
    <row r="1068" spans="1:131" x14ac:dyDescent="0.2">
      <c r="A1068" s="58">
        <v>1166</v>
      </c>
      <c r="B1068" s="128" t="s">
        <v>1415</v>
      </c>
    </row>
    <row r="1069" spans="1:131" x14ac:dyDescent="0.2">
      <c r="A1069" s="58">
        <v>1167</v>
      </c>
      <c r="B1069" s="128" t="s">
        <v>3168</v>
      </c>
    </row>
    <row r="1070" spans="1:131" x14ac:dyDescent="0.2">
      <c r="A1070" s="58">
        <v>1168</v>
      </c>
      <c r="B1070" s="128" t="s">
        <v>3520</v>
      </c>
    </row>
    <row r="1071" spans="1:131" x14ac:dyDescent="0.2">
      <c r="A1071" s="58">
        <v>1169</v>
      </c>
      <c r="B1071" s="128" t="s">
        <v>543</v>
      </c>
      <c r="AY1071" s="127">
        <v>2</v>
      </c>
      <c r="BE1071" s="127">
        <v>1</v>
      </c>
      <c r="BG1071" s="127">
        <v>0.5</v>
      </c>
      <c r="BT1071" s="127">
        <v>0.5</v>
      </c>
    </row>
    <row r="1072" spans="1:131" x14ac:dyDescent="0.2">
      <c r="A1072" s="58">
        <v>1170</v>
      </c>
      <c r="B1072" s="128" t="s">
        <v>568</v>
      </c>
      <c r="AY1072" s="127">
        <v>2</v>
      </c>
      <c r="BC1072" s="127">
        <v>2</v>
      </c>
      <c r="BD1072" s="127">
        <v>10</v>
      </c>
    </row>
    <row r="1073" spans="1:182" x14ac:dyDescent="0.2">
      <c r="A1073" s="58">
        <v>1171</v>
      </c>
      <c r="B1073" s="128" t="s">
        <v>1157</v>
      </c>
    </row>
    <row r="1074" spans="1:182" x14ac:dyDescent="0.2">
      <c r="A1074" s="58">
        <v>1172</v>
      </c>
      <c r="B1074" s="128" t="s">
        <v>3194</v>
      </c>
    </row>
    <row r="1075" spans="1:182" x14ac:dyDescent="0.2">
      <c r="A1075" s="58">
        <v>1173</v>
      </c>
      <c r="B1075" s="128" t="s">
        <v>3108</v>
      </c>
      <c r="AY1075" s="127">
        <v>1</v>
      </c>
      <c r="BC1075" s="127">
        <v>2</v>
      </c>
      <c r="CX1075" s="127">
        <v>4</v>
      </c>
    </row>
    <row r="1076" spans="1:182" x14ac:dyDescent="0.2">
      <c r="A1076" s="58">
        <v>1174</v>
      </c>
      <c r="B1076" s="128" t="s">
        <v>1514</v>
      </c>
      <c r="AY1076" s="127">
        <v>1</v>
      </c>
    </row>
    <row r="1077" spans="1:182" x14ac:dyDescent="0.2">
      <c r="A1077" s="58">
        <v>1175</v>
      </c>
      <c r="B1077" s="128" t="s">
        <v>3477</v>
      </c>
      <c r="AY1077" s="127">
        <v>0.5</v>
      </c>
    </row>
    <row r="1078" spans="1:182" x14ac:dyDescent="0.2">
      <c r="A1078" s="58">
        <v>1176</v>
      </c>
      <c r="B1078" s="128" t="s">
        <v>3164</v>
      </c>
      <c r="AY1078" s="127">
        <v>0.5</v>
      </c>
      <c r="BC1078" s="127">
        <v>0.5</v>
      </c>
      <c r="CX1078" s="127">
        <v>4</v>
      </c>
    </row>
    <row r="1079" spans="1:182" x14ac:dyDescent="0.2">
      <c r="A1079" s="58">
        <v>1177</v>
      </c>
      <c r="B1079" s="128" t="s">
        <v>1494</v>
      </c>
    </row>
    <row r="1080" spans="1:182" x14ac:dyDescent="0.2">
      <c r="A1080" s="58">
        <v>1178</v>
      </c>
      <c r="B1080" s="128" t="s">
        <v>534</v>
      </c>
      <c r="AY1080" s="127">
        <v>0.5</v>
      </c>
      <c r="BC1080" s="127">
        <v>1</v>
      </c>
      <c r="BD1080" s="127">
        <v>55</v>
      </c>
      <c r="BG1080" s="127">
        <v>0.5</v>
      </c>
      <c r="BU1080" s="127">
        <v>0.5</v>
      </c>
      <c r="BY1080" s="127">
        <v>8</v>
      </c>
      <c r="BZ1080" s="127">
        <v>30</v>
      </c>
      <c r="CD1080" s="127">
        <v>20</v>
      </c>
      <c r="CF1080" s="127">
        <v>20</v>
      </c>
      <c r="CG1080" s="127">
        <v>2</v>
      </c>
      <c r="CI1080" s="127">
        <v>7</v>
      </c>
      <c r="DJ1080" s="127">
        <v>20</v>
      </c>
      <c r="DS1080" s="127">
        <v>10</v>
      </c>
      <c r="DX1080" s="127">
        <v>12</v>
      </c>
      <c r="EI1080" s="127">
        <v>15</v>
      </c>
      <c r="EN1080" s="127">
        <v>70</v>
      </c>
      <c r="FA1080" s="127">
        <v>85</v>
      </c>
      <c r="FC1080" s="127">
        <v>45</v>
      </c>
      <c r="FD1080" s="127">
        <v>25</v>
      </c>
      <c r="FE1080" s="127">
        <v>20</v>
      </c>
      <c r="FF1080" s="127">
        <v>20</v>
      </c>
      <c r="FT1080" s="127">
        <v>3</v>
      </c>
      <c r="FY1080" s="127">
        <v>15</v>
      </c>
      <c r="FZ1080" s="127">
        <v>35</v>
      </c>
    </row>
    <row r="1081" spans="1:182" x14ac:dyDescent="0.2">
      <c r="A1081" s="58">
        <v>1179</v>
      </c>
      <c r="B1081" s="128" t="s">
        <v>3039</v>
      </c>
    </row>
    <row r="1082" spans="1:182" x14ac:dyDescent="0.2">
      <c r="A1082" s="58">
        <v>1180</v>
      </c>
      <c r="B1082" s="128" t="s">
        <v>3043</v>
      </c>
      <c r="AY1082" s="127">
        <v>0.5</v>
      </c>
      <c r="BN1082" s="127">
        <v>0.5</v>
      </c>
      <c r="BR1082" s="127">
        <v>0.5</v>
      </c>
    </row>
    <row r="1083" spans="1:182" x14ac:dyDescent="0.2">
      <c r="A1083" s="58">
        <v>1181</v>
      </c>
      <c r="B1083" s="128" t="s">
        <v>1169</v>
      </c>
    </row>
    <row r="1084" spans="1:182" x14ac:dyDescent="0.2">
      <c r="A1084" s="58">
        <v>1182</v>
      </c>
      <c r="B1084" s="128" t="s">
        <v>3063</v>
      </c>
    </row>
    <row r="1085" spans="1:182" x14ac:dyDescent="0.2">
      <c r="A1085" s="58">
        <v>1183</v>
      </c>
      <c r="B1085" s="128" t="s">
        <v>1529</v>
      </c>
    </row>
    <row r="1086" spans="1:182" x14ac:dyDescent="0.2">
      <c r="A1086" s="58">
        <v>1184</v>
      </c>
      <c r="B1086" s="128" t="s">
        <v>1200</v>
      </c>
    </row>
    <row r="1087" spans="1:182" x14ac:dyDescent="0.2">
      <c r="A1087" s="58">
        <v>1185</v>
      </c>
      <c r="B1087" s="128" t="s">
        <v>3478</v>
      </c>
    </row>
    <row r="1088" spans="1:182" x14ac:dyDescent="0.2">
      <c r="A1088" s="58">
        <v>1186</v>
      </c>
      <c r="B1088" s="128" t="s">
        <v>1531</v>
      </c>
    </row>
    <row r="1089" spans="1:52" x14ac:dyDescent="0.2">
      <c r="A1089" s="58">
        <v>1187</v>
      </c>
      <c r="B1089" s="128" t="s">
        <v>564</v>
      </c>
      <c r="AY1089" s="127">
        <v>0.5</v>
      </c>
    </row>
    <row r="1090" spans="1:52" x14ac:dyDescent="0.2">
      <c r="A1090" s="58">
        <v>1188</v>
      </c>
      <c r="B1090" s="128" t="s">
        <v>3194</v>
      </c>
    </row>
    <row r="1091" spans="1:52" x14ac:dyDescent="0.2">
      <c r="A1091" s="58">
        <v>1189</v>
      </c>
      <c r="B1091" s="128" t="s">
        <v>1534</v>
      </c>
    </row>
    <row r="1092" spans="1:52" x14ac:dyDescent="0.2">
      <c r="A1092" s="58">
        <v>1190</v>
      </c>
      <c r="B1092" s="128" t="s">
        <v>1492</v>
      </c>
    </row>
    <row r="1093" spans="1:52" x14ac:dyDescent="0.2">
      <c r="A1093" s="58">
        <v>1191</v>
      </c>
      <c r="B1093" s="128" t="s">
        <v>3517</v>
      </c>
    </row>
    <row r="1094" spans="1:52" x14ac:dyDescent="0.2">
      <c r="A1094" s="58">
        <v>1192</v>
      </c>
      <c r="B1094" s="128" t="s">
        <v>3519</v>
      </c>
    </row>
    <row r="1095" spans="1:52" x14ac:dyDescent="0.2">
      <c r="A1095" s="58">
        <v>1193</v>
      </c>
      <c r="B1095" s="128" t="s">
        <v>2877</v>
      </c>
    </row>
    <row r="1096" spans="1:52" x14ac:dyDescent="0.2">
      <c r="A1096" s="58">
        <v>1194</v>
      </c>
      <c r="B1096" s="128" t="s">
        <v>3387</v>
      </c>
    </row>
    <row r="1097" spans="1:52" x14ac:dyDescent="0.2">
      <c r="A1097" s="58">
        <v>1195</v>
      </c>
      <c r="B1097" s="128" t="s">
        <v>2867</v>
      </c>
    </row>
    <row r="1098" spans="1:52" x14ac:dyDescent="0.2">
      <c r="A1098" s="58">
        <v>1196</v>
      </c>
      <c r="B1098" s="128" t="s">
        <v>3136</v>
      </c>
    </row>
    <row r="1099" spans="1:52" x14ac:dyDescent="0.2">
      <c r="A1099" s="58">
        <v>1197</v>
      </c>
      <c r="B1099" s="128" t="s">
        <v>3431</v>
      </c>
    </row>
    <row r="1100" spans="1:52" x14ac:dyDescent="0.2">
      <c r="A1100" s="58">
        <v>1198</v>
      </c>
      <c r="B1100" s="128" t="s">
        <v>1518</v>
      </c>
      <c r="AZ1100" s="127">
        <v>0.5</v>
      </c>
    </row>
    <row r="1101" spans="1:52" x14ac:dyDescent="0.2">
      <c r="A1101" s="58">
        <v>1199</v>
      </c>
      <c r="B1101" s="128" t="s">
        <v>3437</v>
      </c>
    </row>
    <row r="1102" spans="1:52" x14ac:dyDescent="0.2">
      <c r="A1102" s="58">
        <v>1200</v>
      </c>
      <c r="B1102" s="128" t="s">
        <v>1492</v>
      </c>
    </row>
    <row r="1103" spans="1:52" x14ac:dyDescent="0.2">
      <c r="A1103" s="58">
        <v>1201</v>
      </c>
      <c r="B1103" s="128" t="s">
        <v>3387</v>
      </c>
    </row>
    <row r="1104" spans="1:52" x14ac:dyDescent="0.2">
      <c r="A1104" s="58">
        <v>1202</v>
      </c>
      <c r="B1104" s="128" t="s">
        <v>3519</v>
      </c>
    </row>
    <row r="1105" spans="1:154" x14ac:dyDescent="0.2">
      <c r="A1105" s="58">
        <v>1203</v>
      </c>
      <c r="B1105" s="128" t="s">
        <v>1534</v>
      </c>
    </row>
    <row r="1106" spans="1:154" x14ac:dyDescent="0.2">
      <c r="A1106" s="58">
        <v>1204</v>
      </c>
      <c r="B1106" s="128" t="s">
        <v>2867</v>
      </c>
    </row>
    <row r="1107" spans="1:154" x14ac:dyDescent="0.2">
      <c r="A1107" s="58">
        <v>1205</v>
      </c>
      <c r="B1107" s="128" t="s">
        <v>3517</v>
      </c>
    </row>
    <row r="1108" spans="1:154" x14ac:dyDescent="0.2">
      <c r="A1108" s="58">
        <v>1206</v>
      </c>
      <c r="B1108" s="128" t="s">
        <v>2877</v>
      </c>
    </row>
    <row r="1109" spans="1:154" x14ac:dyDescent="0.2">
      <c r="A1109" s="58">
        <v>1207</v>
      </c>
      <c r="B1109" s="128" t="s">
        <v>3201</v>
      </c>
    </row>
    <row r="1110" spans="1:154" x14ac:dyDescent="0.2">
      <c r="A1110" s="58">
        <v>1208</v>
      </c>
      <c r="B1110" s="128" t="s">
        <v>3062</v>
      </c>
    </row>
    <row r="1111" spans="1:154" x14ac:dyDescent="0.2">
      <c r="A1111" s="58">
        <v>1209</v>
      </c>
      <c r="B1111" s="128" t="s">
        <v>1177</v>
      </c>
    </row>
    <row r="1112" spans="1:154" x14ac:dyDescent="0.2">
      <c r="A1112" s="58">
        <v>1210</v>
      </c>
      <c r="B1112" s="128" t="s">
        <v>3171</v>
      </c>
    </row>
    <row r="1113" spans="1:154" x14ac:dyDescent="0.2">
      <c r="A1113" s="58">
        <v>1211</v>
      </c>
      <c r="B1113" s="128" t="s">
        <v>1169</v>
      </c>
    </row>
    <row r="1114" spans="1:154" x14ac:dyDescent="0.2">
      <c r="A1114" s="58">
        <v>1212</v>
      </c>
      <c r="B1114" s="128" t="s">
        <v>3506</v>
      </c>
      <c r="BB1114" s="127">
        <v>10</v>
      </c>
      <c r="BG1114" s="127">
        <v>2</v>
      </c>
      <c r="BM1114" s="127">
        <v>3</v>
      </c>
      <c r="BT1114" s="127">
        <v>4</v>
      </c>
      <c r="CV1114" s="127">
        <v>7</v>
      </c>
      <c r="CW1114" s="127">
        <v>7</v>
      </c>
      <c r="DX1114" s="127">
        <v>4</v>
      </c>
      <c r="EX1114" s="127">
        <v>6</v>
      </c>
    </row>
    <row r="1115" spans="1:154" x14ac:dyDescent="0.2">
      <c r="A1115" s="58">
        <v>1213</v>
      </c>
      <c r="B1115" s="128" t="s">
        <v>1404</v>
      </c>
    </row>
    <row r="1116" spans="1:154" x14ac:dyDescent="0.2">
      <c r="A1116" s="58">
        <v>1214</v>
      </c>
      <c r="B1116" s="128" t="s">
        <v>3495</v>
      </c>
    </row>
    <row r="1117" spans="1:154" x14ac:dyDescent="0.2">
      <c r="A1117" s="58">
        <v>1215</v>
      </c>
      <c r="B1117" s="128" t="s">
        <v>1529</v>
      </c>
    </row>
    <row r="1118" spans="1:154" x14ac:dyDescent="0.2">
      <c r="A1118" s="58">
        <v>1216</v>
      </c>
      <c r="B1118" s="128" t="s">
        <v>1415</v>
      </c>
    </row>
    <row r="1119" spans="1:154" x14ac:dyDescent="0.2">
      <c r="A1119" s="58">
        <v>1217</v>
      </c>
      <c r="B1119" s="128" t="s">
        <v>2829</v>
      </c>
    </row>
    <row r="1120" spans="1:154" x14ac:dyDescent="0.2">
      <c r="A1120" s="58">
        <v>1218</v>
      </c>
      <c r="B1120" s="128" t="s">
        <v>2866</v>
      </c>
    </row>
    <row r="1121" spans="1:176" x14ac:dyDescent="0.2">
      <c r="A1121" s="58">
        <v>1219</v>
      </c>
      <c r="B1121" s="128" t="s">
        <v>3447</v>
      </c>
      <c r="BB1121" s="127">
        <v>3</v>
      </c>
      <c r="BE1121" s="127">
        <v>1</v>
      </c>
      <c r="BG1121" s="127">
        <v>2</v>
      </c>
      <c r="BM1121" s="127">
        <v>19</v>
      </c>
      <c r="BT1121" s="127">
        <v>5</v>
      </c>
      <c r="CG1121" s="127">
        <v>5</v>
      </c>
      <c r="CH1121" s="127">
        <v>10</v>
      </c>
      <c r="ES1121" s="127">
        <v>3</v>
      </c>
      <c r="ET1121" s="127">
        <v>12</v>
      </c>
      <c r="EZ1121" s="127">
        <v>2</v>
      </c>
      <c r="FF1121" s="127">
        <v>5</v>
      </c>
      <c r="FT1121" s="127">
        <v>4</v>
      </c>
    </row>
    <row r="1122" spans="1:176" x14ac:dyDescent="0.2">
      <c r="A1122" s="58">
        <v>1220</v>
      </c>
      <c r="B1122" s="128" t="s">
        <v>2866</v>
      </c>
    </row>
    <row r="1123" spans="1:176" x14ac:dyDescent="0.2">
      <c r="A1123" s="58">
        <v>1221</v>
      </c>
      <c r="B1123" s="128" t="s">
        <v>1187</v>
      </c>
    </row>
    <row r="1124" spans="1:176" x14ac:dyDescent="0.2">
      <c r="A1124" s="58">
        <v>1222</v>
      </c>
      <c r="B1124" s="128" t="s">
        <v>2902</v>
      </c>
    </row>
    <row r="1125" spans="1:176" x14ac:dyDescent="0.2">
      <c r="A1125" s="58">
        <v>1223</v>
      </c>
      <c r="B1125" s="128" t="s">
        <v>3194</v>
      </c>
    </row>
    <row r="1126" spans="1:176" x14ac:dyDescent="0.2">
      <c r="A1126" s="58">
        <v>1224</v>
      </c>
      <c r="B1126" s="128" t="s">
        <v>1200</v>
      </c>
    </row>
    <row r="1127" spans="1:176" x14ac:dyDescent="0.2">
      <c r="A1127" s="58">
        <v>1225</v>
      </c>
      <c r="B1127" s="128" t="s">
        <v>1208</v>
      </c>
      <c r="BB1127" s="127">
        <v>0.5</v>
      </c>
      <c r="BE1127" s="127">
        <v>0.5</v>
      </c>
      <c r="BG1127" s="127">
        <v>0.5</v>
      </c>
      <c r="BM1127" s="127">
        <v>2</v>
      </c>
      <c r="BO1127" s="127">
        <v>0.5</v>
      </c>
      <c r="BT1127" s="127">
        <v>1</v>
      </c>
      <c r="CM1127" s="127">
        <v>7</v>
      </c>
      <c r="DZ1127" s="127">
        <v>11</v>
      </c>
      <c r="EW1127" s="127">
        <v>7</v>
      </c>
      <c r="FQ1127" s="127">
        <v>2</v>
      </c>
    </row>
    <row r="1128" spans="1:176" x14ac:dyDescent="0.2">
      <c r="A1128" s="58">
        <v>1226</v>
      </c>
      <c r="B1128" s="128" t="s">
        <v>1194</v>
      </c>
    </row>
    <row r="1129" spans="1:176" x14ac:dyDescent="0.2">
      <c r="A1129" s="58">
        <v>1227</v>
      </c>
      <c r="B1129" s="128" t="s">
        <v>1157</v>
      </c>
    </row>
    <row r="1130" spans="1:176" x14ac:dyDescent="0.2">
      <c r="A1130" s="58">
        <v>1228</v>
      </c>
      <c r="B1130" s="128" t="s">
        <v>1412</v>
      </c>
      <c r="BC1130" s="127">
        <v>20</v>
      </c>
      <c r="CC1130" s="127">
        <v>25</v>
      </c>
    </row>
    <row r="1131" spans="1:176" x14ac:dyDescent="0.2">
      <c r="A1131" s="58">
        <v>1229</v>
      </c>
      <c r="B1131" s="128" t="s">
        <v>1169</v>
      </c>
    </row>
    <row r="1132" spans="1:176" x14ac:dyDescent="0.2">
      <c r="A1132" s="58">
        <v>1230</v>
      </c>
      <c r="B1132" s="128" t="s">
        <v>1531</v>
      </c>
    </row>
    <row r="1133" spans="1:176" x14ac:dyDescent="0.2">
      <c r="A1133" s="58">
        <v>1231</v>
      </c>
      <c r="B1133" s="128" t="s">
        <v>3495</v>
      </c>
    </row>
    <row r="1134" spans="1:176" x14ac:dyDescent="0.2">
      <c r="A1134" s="58">
        <v>1232</v>
      </c>
      <c r="B1134" s="128" t="s">
        <v>3135</v>
      </c>
    </row>
    <row r="1135" spans="1:176" x14ac:dyDescent="0.2">
      <c r="A1135" s="58">
        <v>1233</v>
      </c>
      <c r="B1135" s="128" t="s">
        <v>1415</v>
      </c>
    </row>
    <row r="1136" spans="1:176" x14ac:dyDescent="0.2">
      <c r="A1136" s="58">
        <v>1234</v>
      </c>
      <c r="B1136" s="128" t="s">
        <v>538</v>
      </c>
    </row>
    <row r="1137" spans="1:184" x14ac:dyDescent="0.2">
      <c r="A1137" s="58">
        <v>1235</v>
      </c>
      <c r="B1137" s="128" t="s">
        <v>549</v>
      </c>
      <c r="BC1137" s="127">
        <v>6</v>
      </c>
      <c r="DQ1137" s="127">
        <v>12</v>
      </c>
    </row>
    <row r="1138" spans="1:184" x14ac:dyDescent="0.2">
      <c r="A1138" s="58">
        <v>1236</v>
      </c>
      <c r="B1138" s="128" t="s">
        <v>3493</v>
      </c>
    </row>
    <row r="1139" spans="1:184" x14ac:dyDescent="0.2">
      <c r="A1139" s="58">
        <v>1237</v>
      </c>
      <c r="B1139" s="128" t="s">
        <v>3522</v>
      </c>
    </row>
    <row r="1140" spans="1:184" x14ac:dyDescent="0.2">
      <c r="A1140" s="58">
        <v>1238</v>
      </c>
      <c r="B1140" s="128" t="s">
        <v>3201</v>
      </c>
    </row>
    <row r="1141" spans="1:184" x14ac:dyDescent="0.2">
      <c r="A1141" s="58">
        <v>1239</v>
      </c>
      <c r="B1141" s="128" t="s">
        <v>1423</v>
      </c>
    </row>
    <row r="1142" spans="1:184" x14ac:dyDescent="0.2">
      <c r="A1142" s="58">
        <v>1240</v>
      </c>
      <c r="B1142" s="128" t="s">
        <v>1200</v>
      </c>
    </row>
    <row r="1143" spans="1:184" x14ac:dyDescent="0.2">
      <c r="A1143" s="58">
        <v>1241</v>
      </c>
      <c r="B1143" s="128" t="s">
        <v>1404</v>
      </c>
    </row>
    <row r="1144" spans="1:184" x14ac:dyDescent="0.2">
      <c r="A1144" s="58">
        <v>1242</v>
      </c>
      <c r="B1144" s="128" t="s">
        <v>1418</v>
      </c>
    </row>
    <row r="1145" spans="1:184" x14ac:dyDescent="0.2">
      <c r="A1145" s="58">
        <v>1243</v>
      </c>
      <c r="B1145" s="128" t="s">
        <v>2893</v>
      </c>
    </row>
    <row r="1146" spans="1:184" x14ac:dyDescent="0.2">
      <c r="A1146" s="58">
        <v>1244</v>
      </c>
      <c r="B1146" s="128" t="s">
        <v>3108</v>
      </c>
    </row>
    <row r="1147" spans="1:184" x14ac:dyDescent="0.2">
      <c r="A1147" s="58">
        <v>1245</v>
      </c>
      <c r="B1147" s="128" t="s">
        <v>568</v>
      </c>
    </row>
    <row r="1148" spans="1:184" x14ac:dyDescent="0.2">
      <c r="A1148" s="58">
        <v>1246</v>
      </c>
      <c r="B1148" s="128" t="s">
        <v>1148</v>
      </c>
    </row>
    <row r="1149" spans="1:184" x14ac:dyDescent="0.2">
      <c r="A1149" s="58">
        <v>1247</v>
      </c>
      <c r="B1149" s="128" t="s">
        <v>534</v>
      </c>
    </row>
    <row r="1150" spans="1:184" x14ac:dyDescent="0.2">
      <c r="A1150" s="58">
        <v>1248</v>
      </c>
      <c r="B1150" s="128" t="s">
        <v>1400</v>
      </c>
      <c r="BC1150" s="127">
        <v>1</v>
      </c>
      <c r="BE1150" s="127">
        <v>10</v>
      </c>
      <c r="BF1150" s="127">
        <v>3</v>
      </c>
      <c r="BL1150" s="127">
        <v>3</v>
      </c>
      <c r="BO1150" s="127">
        <v>1</v>
      </c>
      <c r="BS1150" s="127">
        <v>5</v>
      </c>
      <c r="CH1150" s="127">
        <v>4</v>
      </c>
      <c r="DN1150" s="127">
        <v>6</v>
      </c>
      <c r="DY1150" s="127">
        <v>7</v>
      </c>
      <c r="DZ1150" s="127">
        <v>20</v>
      </c>
      <c r="EA1150" s="127">
        <v>7</v>
      </c>
      <c r="EP1150" s="127">
        <v>10</v>
      </c>
      <c r="EQ1150" s="127">
        <v>3</v>
      </c>
      <c r="FW1150" s="127">
        <v>6</v>
      </c>
      <c r="FX1150" s="127">
        <v>12</v>
      </c>
      <c r="GB1150" s="127">
        <v>6</v>
      </c>
    </row>
    <row r="1151" spans="1:184" x14ac:dyDescent="0.2">
      <c r="A1151" s="58">
        <v>1249</v>
      </c>
      <c r="B1151" s="128" t="s">
        <v>3164</v>
      </c>
    </row>
    <row r="1152" spans="1:184" x14ac:dyDescent="0.2">
      <c r="A1152" s="58">
        <v>1250</v>
      </c>
      <c r="B1152" s="128" t="s">
        <v>3165</v>
      </c>
    </row>
    <row r="1153" spans="1:2" x14ac:dyDescent="0.2">
      <c r="A1153" s="58">
        <v>1251</v>
      </c>
      <c r="B1153" s="128" t="s">
        <v>1494</v>
      </c>
    </row>
    <row r="1154" spans="1:2" x14ac:dyDescent="0.2">
      <c r="A1154" s="58">
        <v>1252</v>
      </c>
      <c r="B1154" s="128" t="s">
        <v>3194</v>
      </c>
    </row>
    <row r="1155" spans="1:2" x14ac:dyDescent="0.2">
      <c r="A1155" s="58">
        <v>1253</v>
      </c>
      <c r="B1155" s="128" t="s">
        <v>3479</v>
      </c>
    </row>
    <row r="1156" spans="1:2" x14ac:dyDescent="0.2">
      <c r="A1156" s="58">
        <v>1254</v>
      </c>
      <c r="B1156" s="128" t="s">
        <v>3517</v>
      </c>
    </row>
    <row r="1157" spans="1:2" x14ac:dyDescent="0.2">
      <c r="A1157" s="58">
        <v>1255</v>
      </c>
      <c r="B1157" s="128" t="s">
        <v>3520</v>
      </c>
    </row>
    <row r="1158" spans="1:2" x14ac:dyDescent="0.2">
      <c r="A1158" s="58">
        <v>1256</v>
      </c>
      <c r="B1158" s="128" t="s">
        <v>3186</v>
      </c>
    </row>
    <row r="1159" spans="1:2" x14ac:dyDescent="0.2">
      <c r="A1159" s="58">
        <v>1257</v>
      </c>
      <c r="B1159" s="128" t="s">
        <v>534</v>
      </c>
    </row>
    <row r="1160" spans="1:2" x14ac:dyDescent="0.2">
      <c r="A1160" s="58">
        <v>1258</v>
      </c>
      <c r="B1160" s="128" t="s">
        <v>3186</v>
      </c>
    </row>
    <row r="1161" spans="1:2" x14ac:dyDescent="0.2">
      <c r="A1161" s="58">
        <v>1259</v>
      </c>
      <c r="B1161" s="128" t="s">
        <v>568</v>
      </c>
    </row>
    <row r="1162" spans="1:2" x14ac:dyDescent="0.2">
      <c r="A1162" s="58">
        <v>1260</v>
      </c>
      <c r="B1162" s="128" t="s">
        <v>1531</v>
      </c>
    </row>
    <row r="1163" spans="1:2" x14ac:dyDescent="0.2">
      <c r="A1163" s="58">
        <v>1261</v>
      </c>
      <c r="B1163" s="128" t="s">
        <v>1169</v>
      </c>
    </row>
    <row r="1164" spans="1:2" x14ac:dyDescent="0.2">
      <c r="A1164" s="58">
        <v>1262</v>
      </c>
      <c r="B1164" s="128" t="s">
        <v>3498</v>
      </c>
    </row>
    <row r="1165" spans="1:2" x14ac:dyDescent="0.2">
      <c r="A1165" s="58">
        <v>1263</v>
      </c>
      <c r="B1165" s="128" t="s">
        <v>3516</v>
      </c>
    </row>
    <row r="1166" spans="1:2" x14ac:dyDescent="0.2">
      <c r="A1166" s="58">
        <v>1264</v>
      </c>
      <c r="B1166" s="128" t="s">
        <v>1150</v>
      </c>
    </row>
    <row r="1167" spans="1:2" x14ac:dyDescent="0.2">
      <c r="A1167" s="58">
        <v>1265</v>
      </c>
      <c r="B1167" s="128" t="s">
        <v>3492</v>
      </c>
    </row>
    <row r="1168" spans="1:2" x14ac:dyDescent="0.2">
      <c r="A1168" s="58">
        <v>1266</v>
      </c>
      <c r="B1168" s="128" t="s">
        <v>1200</v>
      </c>
    </row>
    <row r="1169" spans="1:157" x14ac:dyDescent="0.2">
      <c r="A1169" s="58">
        <v>1267</v>
      </c>
      <c r="B1169" s="128" t="s">
        <v>2852</v>
      </c>
    </row>
    <row r="1170" spans="1:157" x14ac:dyDescent="0.2">
      <c r="A1170" s="58">
        <v>1268</v>
      </c>
      <c r="B1170" s="128" t="s">
        <v>3520</v>
      </c>
    </row>
    <row r="1171" spans="1:157" x14ac:dyDescent="0.2">
      <c r="A1171" s="58">
        <v>1269</v>
      </c>
      <c r="B1171" s="128" t="s">
        <v>1423</v>
      </c>
    </row>
    <row r="1172" spans="1:157" x14ac:dyDescent="0.2">
      <c r="A1172" s="58">
        <v>1270</v>
      </c>
      <c r="B1172" s="128" t="s">
        <v>1415</v>
      </c>
    </row>
    <row r="1173" spans="1:157" x14ac:dyDescent="0.2">
      <c r="A1173" s="58">
        <v>1271</v>
      </c>
      <c r="B1173" s="128" t="s">
        <v>2900</v>
      </c>
      <c r="BD1173" s="127">
        <v>1</v>
      </c>
      <c r="BM1173" s="127">
        <v>0.5</v>
      </c>
      <c r="BY1173" s="127">
        <v>5</v>
      </c>
      <c r="EU1173" s="127">
        <v>3</v>
      </c>
      <c r="FA1173" s="127">
        <v>1</v>
      </c>
    </row>
    <row r="1174" spans="1:157" x14ac:dyDescent="0.2">
      <c r="A1174" s="58">
        <v>1272</v>
      </c>
      <c r="B1174" s="128" t="s">
        <v>1197</v>
      </c>
    </row>
    <row r="1175" spans="1:157" x14ac:dyDescent="0.2">
      <c r="A1175" s="58">
        <v>1273</v>
      </c>
      <c r="B1175" s="128" t="s">
        <v>2893</v>
      </c>
    </row>
    <row r="1176" spans="1:157" x14ac:dyDescent="0.2">
      <c r="A1176" s="58">
        <v>1274</v>
      </c>
      <c r="B1176" s="128" t="s">
        <v>1408</v>
      </c>
    </row>
    <row r="1177" spans="1:157" x14ac:dyDescent="0.2">
      <c r="A1177" s="58">
        <v>1275</v>
      </c>
      <c r="B1177" s="128" t="s">
        <v>3057</v>
      </c>
    </row>
    <row r="1178" spans="1:157" x14ac:dyDescent="0.2">
      <c r="A1178" s="58">
        <v>1276</v>
      </c>
      <c r="B1178" s="128" t="s">
        <v>3479</v>
      </c>
    </row>
    <row r="1179" spans="1:157" x14ac:dyDescent="0.2">
      <c r="A1179" s="58">
        <v>1277</v>
      </c>
      <c r="B1179" s="128" t="s">
        <v>1184</v>
      </c>
      <c r="BD1179" s="127">
        <v>0.5</v>
      </c>
      <c r="BS1179" s="127">
        <v>0.5</v>
      </c>
    </row>
    <row r="1180" spans="1:157" x14ac:dyDescent="0.2">
      <c r="A1180" s="58">
        <v>1278</v>
      </c>
      <c r="B1180" s="128" t="s">
        <v>3202</v>
      </c>
    </row>
    <row r="1181" spans="1:157" x14ac:dyDescent="0.2">
      <c r="A1181" s="58">
        <v>1279</v>
      </c>
      <c r="B1181" s="128" t="s">
        <v>3462</v>
      </c>
    </row>
    <row r="1182" spans="1:157" x14ac:dyDescent="0.2">
      <c r="A1182" s="58">
        <v>1280</v>
      </c>
      <c r="B1182" s="128" t="s">
        <v>1400</v>
      </c>
    </row>
    <row r="1183" spans="1:157" x14ac:dyDescent="0.2">
      <c r="A1183" s="58">
        <v>1281</v>
      </c>
      <c r="B1183" s="128" t="s">
        <v>1413</v>
      </c>
      <c r="BE1183" s="127">
        <v>6</v>
      </c>
      <c r="BY1183" s="127">
        <v>20</v>
      </c>
    </row>
    <row r="1184" spans="1:157" x14ac:dyDescent="0.2">
      <c r="A1184" s="58">
        <v>1282</v>
      </c>
      <c r="B1184" s="128" t="s">
        <v>3495</v>
      </c>
    </row>
    <row r="1185" spans="1:122" x14ac:dyDescent="0.2">
      <c r="A1185" s="58">
        <v>1283</v>
      </c>
      <c r="B1185" s="128" t="s">
        <v>3060</v>
      </c>
    </row>
    <row r="1186" spans="1:122" x14ac:dyDescent="0.2">
      <c r="A1186" s="58">
        <v>1284</v>
      </c>
      <c r="B1186" s="128" t="s">
        <v>1529</v>
      </c>
    </row>
    <row r="1187" spans="1:122" x14ac:dyDescent="0.2">
      <c r="A1187" s="58">
        <v>1285</v>
      </c>
      <c r="B1187" s="128" t="s">
        <v>2829</v>
      </c>
    </row>
    <row r="1188" spans="1:122" x14ac:dyDescent="0.2">
      <c r="A1188" s="58">
        <v>1286</v>
      </c>
      <c r="B1188" s="128" t="s">
        <v>3062</v>
      </c>
    </row>
    <row r="1189" spans="1:122" x14ac:dyDescent="0.2">
      <c r="A1189" s="58">
        <v>1287</v>
      </c>
      <c r="B1189" s="128" t="s">
        <v>3063</v>
      </c>
    </row>
    <row r="1190" spans="1:122" x14ac:dyDescent="0.2">
      <c r="A1190" s="58">
        <v>1288</v>
      </c>
      <c r="B1190" s="128" t="s">
        <v>3492</v>
      </c>
    </row>
    <row r="1191" spans="1:122" x14ac:dyDescent="0.2">
      <c r="A1191" s="58">
        <v>1289</v>
      </c>
      <c r="B1191" s="128" t="s">
        <v>3447</v>
      </c>
    </row>
    <row r="1192" spans="1:122" x14ac:dyDescent="0.2">
      <c r="A1192" s="58">
        <v>1290</v>
      </c>
      <c r="B1192" s="128" t="s">
        <v>543</v>
      </c>
    </row>
    <row r="1193" spans="1:122" x14ac:dyDescent="0.2">
      <c r="A1193" s="58">
        <v>1291</v>
      </c>
      <c r="B1193" s="128" t="s">
        <v>539</v>
      </c>
      <c r="BE1193" s="127">
        <v>0.5</v>
      </c>
      <c r="BI1193" s="127">
        <v>0.5</v>
      </c>
      <c r="BR1193" s="127">
        <v>0.5</v>
      </c>
      <c r="DR1193" s="127">
        <v>6</v>
      </c>
    </row>
    <row r="1194" spans="1:122" x14ac:dyDescent="0.2">
      <c r="A1194" s="58">
        <v>1292</v>
      </c>
      <c r="B1194" s="128" t="s">
        <v>2880</v>
      </c>
    </row>
    <row r="1195" spans="1:122" x14ac:dyDescent="0.2">
      <c r="A1195" s="58">
        <v>1293</v>
      </c>
      <c r="B1195" s="128" t="s">
        <v>1408</v>
      </c>
    </row>
    <row r="1196" spans="1:122" x14ac:dyDescent="0.2">
      <c r="A1196" s="58">
        <v>1294</v>
      </c>
      <c r="B1196" s="128" t="s">
        <v>3168</v>
      </c>
    </row>
    <row r="1197" spans="1:122" x14ac:dyDescent="0.2">
      <c r="A1197" s="58">
        <v>1295</v>
      </c>
      <c r="B1197" s="128" t="s">
        <v>1516</v>
      </c>
      <c r="BE1197" s="127">
        <v>0.5</v>
      </c>
    </row>
    <row r="1198" spans="1:122" x14ac:dyDescent="0.2">
      <c r="A1198" s="58">
        <v>1296</v>
      </c>
      <c r="B1198" s="128" t="s">
        <v>1200</v>
      </c>
    </row>
    <row r="1199" spans="1:122" x14ac:dyDescent="0.2">
      <c r="A1199" s="58">
        <v>1297</v>
      </c>
      <c r="B1199" s="128" t="s">
        <v>1208</v>
      </c>
    </row>
    <row r="1200" spans="1:122" x14ac:dyDescent="0.2">
      <c r="A1200" s="58">
        <v>1298</v>
      </c>
      <c r="B1200" s="128" t="s">
        <v>2852</v>
      </c>
    </row>
    <row r="1201" spans="1:178" x14ac:dyDescent="0.2">
      <c r="A1201" s="58">
        <v>1299</v>
      </c>
      <c r="B1201" s="128" t="s">
        <v>3474</v>
      </c>
    </row>
    <row r="1202" spans="1:178" x14ac:dyDescent="0.2">
      <c r="A1202" s="58">
        <v>1300</v>
      </c>
      <c r="B1202" s="128" t="s">
        <v>3334</v>
      </c>
    </row>
    <row r="1203" spans="1:178" x14ac:dyDescent="0.2">
      <c r="A1203" s="58">
        <v>1301</v>
      </c>
      <c r="B1203" s="128" t="s">
        <v>1411</v>
      </c>
    </row>
    <row r="1204" spans="1:178" x14ac:dyDescent="0.2">
      <c r="A1204" s="58">
        <v>1302</v>
      </c>
      <c r="B1204" s="128" t="s">
        <v>1529</v>
      </c>
    </row>
    <row r="1205" spans="1:178" x14ac:dyDescent="0.2">
      <c r="A1205" s="58">
        <v>1303</v>
      </c>
      <c r="B1205" s="128" t="s">
        <v>1402</v>
      </c>
      <c r="BF1205" s="127">
        <v>12</v>
      </c>
      <c r="BL1205" s="127">
        <v>16</v>
      </c>
      <c r="DH1205" s="127">
        <v>20</v>
      </c>
      <c r="DI1205" s="127">
        <v>15</v>
      </c>
      <c r="DL1205" s="127">
        <v>25</v>
      </c>
      <c r="DY1205" s="127">
        <v>7</v>
      </c>
      <c r="EP1205" s="127">
        <v>12</v>
      </c>
      <c r="EW1205" s="127">
        <v>4</v>
      </c>
      <c r="FG1205" s="127">
        <v>1</v>
      </c>
      <c r="FH1205" s="127">
        <v>7</v>
      </c>
      <c r="FV1205" s="127">
        <v>30</v>
      </c>
    </row>
    <row r="1206" spans="1:178" x14ac:dyDescent="0.2">
      <c r="A1206" s="58">
        <v>1304</v>
      </c>
      <c r="B1206" s="128" t="s">
        <v>1165</v>
      </c>
    </row>
    <row r="1207" spans="1:178" x14ac:dyDescent="0.2">
      <c r="A1207" s="58">
        <v>1305</v>
      </c>
      <c r="B1207" s="128" t="s">
        <v>1430</v>
      </c>
    </row>
    <row r="1208" spans="1:178" x14ac:dyDescent="0.2">
      <c r="A1208" s="58">
        <v>1306</v>
      </c>
      <c r="B1208" s="128" t="s">
        <v>3462</v>
      </c>
    </row>
    <row r="1209" spans="1:178" x14ac:dyDescent="0.2">
      <c r="A1209" s="58">
        <v>1307</v>
      </c>
      <c r="B1209" s="128" t="s">
        <v>1531</v>
      </c>
    </row>
    <row r="1210" spans="1:178" x14ac:dyDescent="0.2">
      <c r="A1210" s="58">
        <v>1308</v>
      </c>
      <c r="B1210" s="128" t="s">
        <v>3495</v>
      </c>
    </row>
    <row r="1211" spans="1:178" x14ac:dyDescent="0.2">
      <c r="A1211" s="58">
        <v>1309</v>
      </c>
      <c r="B1211" s="128" t="s">
        <v>3173</v>
      </c>
    </row>
    <row r="1212" spans="1:178" x14ac:dyDescent="0.2">
      <c r="A1212" s="58">
        <v>1310</v>
      </c>
      <c r="B1212" s="128" t="s">
        <v>1400</v>
      </c>
    </row>
    <row r="1213" spans="1:178" x14ac:dyDescent="0.2">
      <c r="A1213" s="58">
        <v>1311</v>
      </c>
      <c r="B1213" s="128" t="s">
        <v>2852</v>
      </c>
    </row>
    <row r="1214" spans="1:178" x14ac:dyDescent="0.2">
      <c r="A1214" s="58">
        <v>1312</v>
      </c>
      <c r="B1214" s="128" t="s">
        <v>1415</v>
      </c>
    </row>
    <row r="1215" spans="1:178" x14ac:dyDescent="0.2">
      <c r="A1215" s="58">
        <v>1313</v>
      </c>
      <c r="B1215" s="128" t="s">
        <v>2829</v>
      </c>
    </row>
    <row r="1216" spans="1:178" x14ac:dyDescent="0.2">
      <c r="A1216" s="58">
        <v>1314</v>
      </c>
      <c r="B1216" s="128" t="s">
        <v>1539</v>
      </c>
    </row>
    <row r="1217" spans="1:162" x14ac:dyDescent="0.2">
      <c r="A1217" s="58">
        <v>1315</v>
      </c>
      <c r="B1217" s="128" t="s">
        <v>553</v>
      </c>
      <c r="BF1217" s="127">
        <v>0.5</v>
      </c>
      <c r="BO1217" s="127">
        <v>0.5</v>
      </c>
      <c r="BQ1217" s="127">
        <v>0.5</v>
      </c>
    </row>
    <row r="1218" spans="1:162" x14ac:dyDescent="0.2">
      <c r="A1218" s="58">
        <v>1316</v>
      </c>
      <c r="B1218" s="128" t="s">
        <v>1200</v>
      </c>
    </row>
    <row r="1219" spans="1:162" x14ac:dyDescent="0.2">
      <c r="A1219" s="58">
        <v>1317</v>
      </c>
      <c r="B1219" s="128" t="s">
        <v>3492</v>
      </c>
    </row>
    <row r="1220" spans="1:162" x14ac:dyDescent="0.2">
      <c r="A1220" s="58">
        <v>1318</v>
      </c>
      <c r="B1220" s="128" t="s">
        <v>1531</v>
      </c>
    </row>
    <row r="1221" spans="1:162" x14ac:dyDescent="0.2">
      <c r="A1221" s="58">
        <v>1319</v>
      </c>
      <c r="B1221" s="128" t="s">
        <v>1156</v>
      </c>
      <c r="BG1221" s="127">
        <v>7</v>
      </c>
    </row>
    <row r="1222" spans="1:162" x14ac:dyDescent="0.2">
      <c r="A1222" s="58">
        <v>1320</v>
      </c>
      <c r="B1222" s="128" t="s">
        <v>3123</v>
      </c>
      <c r="BG1222" s="127">
        <v>7</v>
      </c>
      <c r="CG1222" s="127">
        <v>3</v>
      </c>
      <c r="ES1222" s="127">
        <v>30</v>
      </c>
      <c r="EU1222" s="127">
        <v>6</v>
      </c>
      <c r="FF1222" s="127">
        <v>7</v>
      </c>
    </row>
    <row r="1223" spans="1:162" x14ac:dyDescent="0.2">
      <c r="A1223" s="58">
        <v>1321</v>
      </c>
      <c r="B1223" s="128" t="s">
        <v>1169</v>
      </c>
    </row>
    <row r="1224" spans="1:162" x14ac:dyDescent="0.2">
      <c r="A1224" s="58">
        <v>1322</v>
      </c>
      <c r="B1224" s="128" t="s">
        <v>1425</v>
      </c>
    </row>
    <row r="1225" spans="1:162" x14ac:dyDescent="0.2">
      <c r="A1225" s="58">
        <v>1323</v>
      </c>
      <c r="B1225" s="128" t="s">
        <v>3186</v>
      </c>
    </row>
    <row r="1226" spans="1:162" x14ac:dyDescent="0.2">
      <c r="A1226" s="58">
        <v>1324</v>
      </c>
      <c r="B1226" s="128" t="s">
        <v>3173</v>
      </c>
    </row>
    <row r="1227" spans="1:162" x14ac:dyDescent="0.2">
      <c r="A1227" s="58">
        <v>1325</v>
      </c>
      <c r="B1227" s="128" t="s">
        <v>1529</v>
      </c>
    </row>
    <row r="1228" spans="1:162" x14ac:dyDescent="0.2">
      <c r="A1228" s="58">
        <v>1326</v>
      </c>
      <c r="B1228" s="128" t="s">
        <v>3506</v>
      </c>
    </row>
    <row r="1229" spans="1:162" x14ac:dyDescent="0.2">
      <c r="A1229" s="58">
        <v>1327</v>
      </c>
      <c r="B1229" s="128" t="s">
        <v>3447</v>
      </c>
    </row>
    <row r="1230" spans="1:162" x14ac:dyDescent="0.2">
      <c r="A1230" s="58">
        <v>1328</v>
      </c>
      <c r="B1230" s="128" t="s">
        <v>3063</v>
      </c>
    </row>
    <row r="1231" spans="1:162" x14ac:dyDescent="0.2">
      <c r="A1231" s="58">
        <v>1329</v>
      </c>
      <c r="B1231" s="128" t="s">
        <v>1177</v>
      </c>
    </row>
    <row r="1232" spans="1:162" x14ac:dyDescent="0.2">
      <c r="A1232" s="58">
        <v>1330</v>
      </c>
      <c r="B1232" s="128" t="s">
        <v>3202</v>
      </c>
    </row>
    <row r="1233" spans="1:130" x14ac:dyDescent="0.2">
      <c r="A1233" s="58">
        <v>1331</v>
      </c>
      <c r="B1233" s="128" t="s">
        <v>1226</v>
      </c>
    </row>
    <row r="1234" spans="1:130" x14ac:dyDescent="0.2">
      <c r="A1234" s="58">
        <v>1332</v>
      </c>
      <c r="B1234" s="128" t="s">
        <v>1405</v>
      </c>
    </row>
    <row r="1235" spans="1:130" x14ac:dyDescent="0.2">
      <c r="A1235" s="58">
        <v>1333</v>
      </c>
      <c r="B1235" s="128" t="s">
        <v>3189</v>
      </c>
      <c r="BG1235" s="127">
        <v>1</v>
      </c>
    </row>
    <row r="1236" spans="1:130" x14ac:dyDescent="0.2">
      <c r="A1236" s="58">
        <v>1334</v>
      </c>
      <c r="B1236" s="128" t="s">
        <v>3496</v>
      </c>
    </row>
    <row r="1237" spans="1:130" x14ac:dyDescent="0.2">
      <c r="A1237" s="58">
        <v>1335</v>
      </c>
      <c r="B1237" s="128" t="s">
        <v>1415</v>
      </c>
    </row>
    <row r="1238" spans="1:130" x14ac:dyDescent="0.2">
      <c r="A1238" s="58">
        <v>1336</v>
      </c>
      <c r="B1238" s="128" t="s">
        <v>2878</v>
      </c>
      <c r="BG1238" s="127">
        <v>0.5</v>
      </c>
      <c r="BM1238" s="127">
        <v>1</v>
      </c>
      <c r="BT1238" s="127">
        <v>0.5</v>
      </c>
      <c r="BU1238" s="127">
        <v>1</v>
      </c>
      <c r="DX1238" s="127">
        <v>3</v>
      </c>
    </row>
    <row r="1239" spans="1:130" x14ac:dyDescent="0.2">
      <c r="A1239" s="58">
        <v>1337</v>
      </c>
      <c r="B1239" s="128" t="s">
        <v>1408</v>
      </c>
    </row>
    <row r="1240" spans="1:130" x14ac:dyDescent="0.2">
      <c r="A1240" s="58">
        <v>1338</v>
      </c>
      <c r="B1240" s="128" t="s">
        <v>534</v>
      </c>
    </row>
    <row r="1241" spans="1:130" x14ac:dyDescent="0.2">
      <c r="A1241" s="58">
        <v>1339</v>
      </c>
      <c r="B1241" s="128" t="s">
        <v>3168</v>
      </c>
    </row>
    <row r="1242" spans="1:130" x14ac:dyDescent="0.2">
      <c r="A1242" s="58">
        <v>1340</v>
      </c>
      <c r="B1242" s="128" t="s">
        <v>3041</v>
      </c>
    </row>
    <row r="1243" spans="1:130" x14ac:dyDescent="0.2">
      <c r="A1243" s="58">
        <v>1341</v>
      </c>
      <c r="B1243" s="128" t="s">
        <v>3062</v>
      </c>
    </row>
    <row r="1244" spans="1:130" x14ac:dyDescent="0.2">
      <c r="A1244" s="58">
        <v>1342</v>
      </c>
      <c r="B1244" s="128" t="s">
        <v>1200</v>
      </c>
    </row>
    <row r="1245" spans="1:130" x14ac:dyDescent="0.2">
      <c r="A1245" s="58">
        <v>1343</v>
      </c>
      <c r="B1245" s="128" t="s">
        <v>1208</v>
      </c>
    </row>
    <row r="1246" spans="1:130" x14ac:dyDescent="0.2">
      <c r="A1246" s="58">
        <v>1344</v>
      </c>
      <c r="B1246" s="128" t="s">
        <v>543</v>
      </c>
    </row>
    <row r="1247" spans="1:130" x14ac:dyDescent="0.2">
      <c r="A1247" s="58">
        <v>1345</v>
      </c>
      <c r="B1247" s="128" t="s">
        <v>2852</v>
      </c>
    </row>
    <row r="1248" spans="1:130" x14ac:dyDescent="0.2">
      <c r="A1248" s="58">
        <v>1346</v>
      </c>
      <c r="B1248" s="128" t="s">
        <v>3101</v>
      </c>
      <c r="BG1248" s="127">
        <v>0.5</v>
      </c>
      <c r="DZ1248" s="127">
        <v>4</v>
      </c>
    </row>
    <row r="1249" spans="1:172" x14ac:dyDescent="0.2">
      <c r="A1249" s="58">
        <v>1347</v>
      </c>
      <c r="B1249" s="128" t="s">
        <v>3104</v>
      </c>
      <c r="BH1249" s="127">
        <v>95</v>
      </c>
    </row>
    <row r="1250" spans="1:172" x14ac:dyDescent="0.2">
      <c r="A1250" s="58">
        <v>1348</v>
      </c>
      <c r="B1250" s="128" t="s">
        <v>3327</v>
      </c>
    </row>
    <row r="1251" spans="1:172" x14ac:dyDescent="0.2">
      <c r="A1251" s="58">
        <v>1349</v>
      </c>
      <c r="B1251" s="128" t="s">
        <v>2873</v>
      </c>
    </row>
    <row r="1252" spans="1:172" x14ac:dyDescent="0.2">
      <c r="A1252" s="58">
        <v>1350</v>
      </c>
      <c r="B1252" s="128" t="s">
        <v>3180</v>
      </c>
    </row>
    <row r="1253" spans="1:172" x14ac:dyDescent="0.2">
      <c r="A1253" s="58">
        <v>1351</v>
      </c>
      <c r="B1253" s="128" t="s">
        <v>3193</v>
      </c>
    </row>
    <row r="1254" spans="1:172" x14ac:dyDescent="0.2">
      <c r="A1254" s="58">
        <v>1352</v>
      </c>
      <c r="B1254" s="128" t="s">
        <v>3328</v>
      </c>
      <c r="BH1254" s="127">
        <v>0.5</v>
      </c>
      <c r="BI1254" s="127">
        <v>8</v>
      </c>
      <c r="CN1254" s="127">
        <v>10</v>
      </c>
      <c r="DO1254" s="127">
        <v>8</v>
      </c>
      <c r="FB1254" s="127">
        <v>3</v>
      </c>
    </row>
    <row r="1255" spans="1:172" x14ac:dyDescent="0.2">
      <c r="A1255" s="58">
        <v>1353</v>
      </c>
      <c r="B1255" s="128" t="s">
        <v>1409</v>
      </c>
    </row>
    <row r="1256" spans="1:172" x14ac:dyDescent="0.2">
      <c r="A1256" s="58">
        <v>1354</v>
      </c>
      <c r="B1256" s="128" t="s">
        <v>3386</v>
      </c>
      <c r="BI1256" s="127">
        <v>19</v>
      </c>
    </row>
    <row r="1257" spans="1:172" x14ac:dyDescent="0.2">
      <c r="A1257" s="58">
        <v>1355</v>
      </c>
      <c r="B1257" s="128" t="s">
        <v>3328</v>
      </c>
    </row>
    <row r="1258" spans="1:172" x14ac:dyDescent="0.2">
      <c r="A1258" s="58">
        <v>1356</v>
      </c>
      <c r="B1258" s="128" t="s">
        <v>2897</v>
      </c>
    </row>
    <row r="1259" spans="1:172" x14ac:dyDescent="0.2">
      <c r="A1259" s="58">
        <v>1357</v>
      </c>
      <c r="B1259" s="128" t="s">
        <v>3055</v>
      </c>
    </row>
    <row r="1260" spans="1:172" x14ac:dyDescent="0.2">
      <c r="A1260" s="58">
        <v>1358</v>
      </c>
      <c r="B1260" s="128" t="s">
        <v>539</v>
      </c>
    </row>
    <row r="1261" spans="1:172" x14ac:dyDescent="0.2">
      <c r="A1261" s="58">
        <v>1359</v>
      </c>
      <c r="B1261" s="128" t="s">
        <v>3334</v>
      </c>
    </row>
    <row r="1262" spans="1:172" x14ac:dyDescent="0.2">
      <c r="A1262" s="58">
        <v>1360</v>
      </c>
      <c r="B1262" s="128" t="s">
        <v>3057</v>
      </c>
    </row>
    <row r="1263" spans="1:172" x14ac:dyDescent="0.2">
      <c r="A1263" s="58">
        <v>1361</v>
      </c>
      <c r="B1263" s="128" t="s">
        <v>3180</v>
      </c>
    </row>
    <row r="1264" spans="1:172" x14ac:dyDescent="0.2">
      <c r="A1264" s="58">
        <v>1362</v>
      </c>
      <c r="B1264" s="128" t="s">
        <v>1180</v>
      </c>
      <c r="BI1264" s="127">
        <v>0.5</v>
      </c>
      <c r="BV1264" s="127">
        <v>40</v>
      </c>
      <c r="CL1264" s="127">
        <v>5</v>
      </c>
      <c r="CN1264" s="127">
        <v>5</v>
      </c>
      <c r="DB1264" s="127">
        <v>4</v>
      </c>
      <c r="DF1264" s="127">
        <v>5</v>
      </c>
      <c r="EK1264" s="127">
        <v>9</v>
      </c>
      <c r="EW1264" s="127">
        <v>2</v>
      </c>
      <c r="FI1264" s="127">
        <v>25</v>
      </c>
      <c r="FK1264" s="127">
        <v>20</v>
      </c>
      <c r="FL1264" s="127">
        <v>15</v>
      </c>
      <c r="FP1264" s="127">
        <v>15</v>
      </c>
    </row>
    <row r="1265" spans="1:168" x14ac:dyDescent="0.2">
      <c r="A1265" s="58">
        <v>1363</v>
      </c>
      <c r="B1265" s="128" t="s">
        <v>2852</v>
      </c>
    </row>
    <row r="1266" spans="1:168" x14ac:dyDescent="0.2">
      <c r="A1266" s="58">
        <v>1364</v>
      </c>
      <c r="B1266" s="128" t="s">
        <v>3090</v>
      </c>
      <c r="BI1266" s="127">
        <v>0.5</v>
      </c>
      <c r="CM1266" s="127">
        <v>10</v>
      </c>
      <c r="CN1266" s="127">
        <v>6</v>
      </c>
      <c r="CO1266" s="127">
        <v>6</v>
      </c>
      <c r="DG1266" s="127">
        <v>15</v>
      </c>
      <c r="ED1266" s="127">
        <v>6</v>
      </c>
      <c r="EV1266" s="127">
        <v>2</v>
      </c>
      <c r="FA1266" s="127">
        <v>1</v>
      </c>
      <c r="FB1266" s="127">
        <v>60</v>
      </c>
      <c r="FL1266" s="127">
        <v>3</v>
      </c>
    </row>
    <row r="1267" spans="1:168" x14ac:dyDescent="0.2">
      <c r="A1267" s="58">
        <v>1365</v>
      </c>
      <c r="B1267" s="128" t="s">
        <v>2873</v>
      </c>
    </row>
    <row r="1268" spans="1:168" x14ac:dyDescent="0.2">
      <c r="A1268" s="58">
        <v>1366</v>
      </c>
      <c r="B1268" s="128" t="s">
        <v>1492</v>
      </c>
    </row>
    <row r="1269" spans="1:168" x14ac:dyDescent="0.2">
      <c r="A1269" s="58">
        <v>1367</v>
      </c>
      <c r="B1269" s="128" t="s">
        <v>3519</v>
      </c>
    </row>
    <row r="1270" spans="1:168" x14ac:dyDescent="0.2">
      <c r="A1270" s="58">
        <v>1368</v>
      </c>
      <c r="B1270" s="128" t="s">
        <v>3431</v>
      </c>
    </row>
    <row r="1271" spans="1:168" x14ac:dyDescent="0.2">
      <c r="A1271" s="58">
        <v>1369</v>
      </c>
      <c r="B1271" s="128" t="s">
        <v>3517</v>
      </c>
    </row>
    <row r="1272" spans="1:168" x14ac:dyDescent="0.2">
      <c r="A1272" s="58">
        <v>1370</v>
      </c>
      <c r="B1272" s="128" t="s">
        <v>1534</v>
      </c>
    </row>
    <row r="1273" spans="1:168" x14ac:dyDescent="0.2">
      <c r="A1273" s="58">
        <v>1371</v>
      </c>
      <c r="B1273" s="128" t="s">
        <v>3136</v>
      </c>
    </row>
    <row r="1274" spans="1:168" x14ac:dyDescent="0.2">
      <c r="A1274" s="58">
        <v>1372</v>
      </c>
      <c r="B1274" s="128" t="s">
        <v>2867</v>
      </c>
    </row>
    <row r="1275" spans="1:168" x14ac:dyDescent="0.2">
      <c r="A1275" s="58">
        <v>1373</v>
      </c>
      <c r="B1275" s="128" t="s">
        <v>2877</v>
      </c>
    </row>
    <row r="1276" spans="1:168" x14ac:dyDescent="0.2">
      <c r="A1276" s="58">
        <v>1374</v>
      </c>
      <c r="B1276" s="128" t="s">
        <v>1167</v>
      </c>
      <c r="BJ1276" s="127">
        <v>3</v>
      </c>
      <c r="DN1276" s="127">
        <v>4</v>
      </c>
      <c r="DP1276" s="127">
        <v>3</v>
      </c>
      <c r="EP1276" s="127">
        <v>4</v>
      </c>
      <c r="EQ1276" s="127">
        <v>7</v>
      </c>
      <c r="FG1276" s="127">
        <v>18</v>
      </c>
      <c r="FH1276" s="127">
        <v>3</v>
      </c>
    </row>
    <row r="1277" spans="1:168" x14ac:dyDescent="0.2">
      <c r="A1277" s="58">
        <v>1375</v>
      </c>
      <c r="B1277" s="128" t="s">
        <v>3387</v>
      </c>
    </row>
    <row r="1278" spans="1:168" x14ac:dyDescent="0.2">
      <c r="A1278" s="58">
        <v>1376</v>
      </c>
      <c r="B1278" s="128" t="s">
        <v>1492</v>
      </c>
    </row>
    <row r="1279" spans="1:168" x14ac:dyDescent="0.2">
      <c r="A1279" s="58">
        <v>1377</v>
      </c>
      <c r="B1279" s="128" t="s">
        <v>1534</v>
      </c>
    </row>
    <row r="1280" spans="1:168" x14ac:dyDescent="0.2">
      <c r="A1280" s="58">
        <v>1378</v>
      </c>
      <c r="B1280" s="128" t="s">
        <v>3194</v>
      </c>
    </row>
    <row r="1281" spans="1:64" x14ac:dyDescent="0.2">
      <c r="A1281" s="58">
        <v>1379</v>
      </c>
      <c r="B1281" s="128" t="s">
        <v>3387</v>
      </c>
    </row>
    <row r="1282" spans="1:64" x14ac:dyDescent="0.2">
      <c r="A1282" s="58">
        <v>1380</v>
      </c>
      <c r="B1282" s="128" t="s">
        <v>3519</v>
      </c>
    </row>
    <row r="1283" spans="1:64" x14ac:dyDescent="0.2">
      <c r="A1283" s="58">
        <v>1381</v>
      </c>
      <c r="B1283" s="128" t="s">
        <v>3517</v>
      </c>
    </row>
    <row r="1284" spans="1:64" x14ac:dyDescent="0.2">
      <c r="A1284" s="58">
        <v>1382</v>
      </c>
      <c r="B1284" s="128" t="s">
        <v>2867</v>
      </c>
    </row>
    <row r="1285" spans="1:64" x14ac:dyDescent="0.2">
      <c r="A1285" s="58">
        <v>1383</v>
      </c>
      <c r="B1285" s="128" t="s">
        <v>2877</v>
      </c>
    </row>
    <row r="1286" spans="1:64" x14ac:dyDescent="0.2">
      <c r="A1286" s="58">
        <v>1384</v>
      </c>
      <c r="B1286" s="128" t="s">
        <v>1146</v>
      </c>
      <c r="BK1286" s="127">
        <v>0.5</v>
      </c>
    </row>
    <row r="1287" spans="1:64" x14ac:dyDescent="0.2">
      <c r="A1287" s="58">
        <v>1385</v>
      </c>
      <c r="B1287" s="128" t="s">
        <v>3474</v>
      </c>
    </row>
    <row r="1288" spans="1:64" x14ac:dyDescent="0.2">
      <c r="A1288" s="58">
        <v>1386</v>
      </c>
      <c r="B1288" s="128" t="s">
        <v>1529</v>
      </c>
    </row>
    <row r="1289" spans="1:64" x14ac:dyDescent="0.2">
      <c r="A1289" s="58">
        <v>1387</v>
      </c>
      <c r="B1289" s="128" t="s">
        <v>1411</v>
      </c>
    </row>
    <row r="1290" spans="1:64" x14ac:dyDescent="0.2">
      <c r="A1290" s="58">
        <v>1388</v>
      </c>
      <c r="B1290" s="128" t="s">
        <v>1402</v>
      </c>
    </row>
    <row r="1291" spans="1:64" x14ac:dyDescent="0.2">
      <c r="A1291" s="58">
        <v>1389</v>
      </c>
      <c r="B1291" s="128" t="s">
        <v>3462</v>
      </c>
    </row>
    <row r="1292" spans="1:64" x14ac:dyDescent="0.2">
      <c r="A1292" s="58">
        <v>1390</v>
      </c>
      <c r="B1292" s="128" t="s">
        <v>3494</v>
      </c>
    </row>
    <row r="1293" spans="1:64" x14ac:dyDescent="0.2">
      <c r="A1293" s="58">
        <v>1391</v>
      </c>
      <c r="B1293" s="128" t="s">
        <v>3495</v>
      </c>
    </row>
    <row r="1294" spans="1:64" x14ac:dyDescent="0.2">
      <c r="A1294" s="58">
        <v>1392</v>
      </c>
      <c r="B1294" s="128" t="s">
        <v>3173</v>
      </c>
    </row>
    <row r="1295" spans="1:64" x14ac:dyDescent="0.2">
      <c r="A1295" s="58">
        <v>1393</v>
      </c>
      <c r="B1295" s="128" t="s">
        <v>1148</v>
      </c>
    </row>
    <row r="1296" spans="1:64" x14ac:dyDescent="0.2">
      <c r="A1296" s="58">
        <v>1394</v>
      </c>
      <c r="B1296" s="128" t="s">
        <v>554</v>
      </c>
      <c r="BL1296" s="127">
        <v>3</v>
      </c>
    </row>
    <row r="1297" spans="1:2" x14ac:dyDescent="0.2">
      <c r="A1297" s="58">
        <v>1395</v>
      </c>
      <c r="B1297" s="128" t="s">
        <v>1400</v>
      </c>
    </row>
    <row r="1298" spans="1:2" x14ac:dyDescent="0.2">
      <c r="A1298" s="58">
        <v>1396</v>
      </c>
      <c r="B1298" s="128" t="s">
        <v>1207</v>
      </c>
    </row>
    <row r="1299" spans="1:2" x14ac:dyDescent="0.2">
      <c r="A1299" s="58">
        <v>1397</v>
      </c>
      <c r="B1299" s="128" t="s">
        <v>3202</v>
      </c>
    </row>
    <row r="1300" spans="1:2" x14ac:dyDescent="0.2">
      <c r="A1300" s="58">
        <v>1398</v>
      </c>
      <c r="B1300" s="128" t="s">
        <v>1200</v>
      </c>
    </row>
    <row r="1301" spans="1:2" x14ac:dyDescent="0.2">
      <c r="A1301" s="58">
        <v>1399</v>
      </c>
      <c r="B1301" s="128" t="s">
        <v>1415</v>
      </c>
    </row>
    <row r="1302" spans="1:2" x14ac:dyDescent="0.2">
      <c r="A1302" s="58">
        <v>1400</v>
      </c>
      <c r="B1302" s="128" t="s">
        <v>3334</v>
      </c>
    </row>
    <row r="1303" spans="1:2" x14ac:dyDescent="0.2">
      <c r="A1303" s="58">
        <v>1401</v>
      </c>
      <c r="B1303" s="128" t="s">
        <v>1531</v>
      </c>
    </row>
    <row r="1304" spans="1:2" x14ac:dyDescent="0.2">
      <c r="A1304" s="58">
        <v>1402</v>
      </c>
      <c r="B1304" s="128" t="s">
        <v>1419</v>
      </c>
    </row>
    <row r="1305" spans="1:2" x14ac:dyDescent="0.2">
      <c r="A1305" s="58">
        <v>1403</v>
      </c>
      <c r="B1305" s="128" t="s">
        <v>3467</v>
      </c>
    </row>
    <row r="1306" spans="1:2" x14ac:dyDescent="0.2">
      <c r="A1306" s="58">
        <v>1404</v>
      </c>
      <c r="B1306" s="128" t="s">
        <v>3492</v>
      </c>
    </row>
    <row r="1307" spans="1:2" x14ac:dyDescent="0.2">
      <c r="A1307" s="58">
        <v>1405</v>
      </c>
      <c r="B1307" s="128" t="s">
        <v>3206</v>
      </c>
    </row>
    <row r="1308" spans="1:2" x14ac:dyDescent="0.2">
      <c r="A1308" s="58">
        <v>1406</v>
      </c>
      <c r="B1308" s="128" t="s">
        <v>3447</v>
      </c>
    </row>
    <row r="1309" spans="1:2" x14ac:dyDescent="0.2">
      <c r="A1309" s="58">
        <v>1407</v>
      </c>
      <c r="B1309" s="128" t="s">
        <v>3168</v>
      </c>
    </row>
    <row r="1310" spans="1:2" x14ac:dyDescent="0.2">
      <c r="A1310" s="58">
        <v>1408</v>
      </c>
      <c r="B1310" s="128" t="s">
        <v>3506</v>
      </c>
    </row>
    <row r="1311" spans="1:2" x14ac:dyDescent="0.2">
      <c r="A1311" s="58">
        <v>1409</v>
      </c>
      <c r="B1311" s="128" t="s">
        <v>1529</v>
      </c>
    </row>
    <row r="1312" spans="1:2" x14ac:dyDescent="0.2">
      <c r="A1312" s="58">
        <v>1410</v>
      </c>
      <c r="B1312" s="128" t="s">
        <v>2853</v>
      </c>
    </row>
    <row r="1313" spans="1:128" x14ac:dyDescent="0.2">
      <c r="A1313" s="58">
        <v>1411</v>
      </c>
      <c r="B1313" s="128" t="s">
        <v>1415</v>
      </c>
    </row>
    <row r="1314" spans="1:128" x14ac:dyDescent="0.2">
      <c r="A1314" s="58">
        <v>1412</v>
      </c>
      <c r="B1314" s="128" t="s">
        <v>3062</v>
      </c>
    </row>
    <row r="1315" spans="1:128" x14ac:dyDescent="0.2">
      <c r="A1315" s="58">
        <v>1413</v>
      </c>
      <c r="B1315" s="128" t="s">
        <v>1200</v>
      </c>
    </row>
    <row r="1316" spans="1:128" x14ac:dyDescent="0.2">
      <c r="A1316" s="58">
        <v>1414</v>
      </c>
      <c r="B1316" s="128" t="s">
        <v>1208</v>
      </c>
    </row>
    <row r="1317" spans="1:128" x14ac:dyDescent="0.2">
      <c r="A1317" s="58">
        <v>1415</v>
      </c>
      <c r="B1317" s="128" t="s">
        <v>3186</v>
      </c>
    </row>
    <row r="1318" spans="1:128" x14ac:dyDescent="0.2">
      <c r="A1318" s="58">
        <v>1416</v>
      </c>
      <c r="B1318" s="128" t="s">
        <v>3495</v>
      </c>
    </row>
    <row r="1319" spans="1:128" x14ac:dyDescent="0.2">
      <c r="A1319" s="58">
        <v>1417</v>
      </c>
      <c r="B1319" s="128" t="s">
        <v>2878</v>
      </c>
    </row>
    <row r="1320" spans="1:128" x14ac:dyDescent="0.2">
      <c r="A1320" s="58">
        <v>1418</v>
      </c>
      <c r="B1320" s="128" t="s">
        <v>1408</v>
      </c>
    </row>
    <row r="1321" spans="1:128" x14ac:dyDescent="0.2">
      <c r="A1321" s="58">
        <v>1419</v>
      </c>
      <c r="B1321" s="128" t="s">
        <v>3037</v>
      </c>
      <c r="BM1321" s="127">
        <v>1</v>
      </c>
    </row>
    <row r="1322" spans="1:128" x14ac:dyDescent="0.2">
      <c r="A1322" s="58">
        <v>1420</v>
      </c>
      <c r="B1322" s="128" t="s">
        <v>3060</v>
      </c>
    </row>
    <row r="1323" spans="1:128" x14ac:dyDescent="0.2">
      <c r="A1323" s="58">
        <v>1421</v>
      </c>
      <c r="B1323" s="128" t="s">
        <v>3522</v>
      </c>
    </row>
    <row r="1324" spans="1:128" x14ac:dyDescent="0.2">
      <c r="A1324" s="58">
        <v>1422</v>
      </c>
      <c r="B1324" s="128" t="s">
        <v>3359</v>
      </c>
      <c r="BM1324" s="127">
        <v>1</v>
      </c>
      <c r="BP1324" s="127">
        <v>2</v>
      </c>
      <c r="BT1324" s="127">
        <v>0.5</v>
      </c>
      <c r="DR1324" s="127">
        <v>2</v>
      </c>
      <c r="DX1324" s="127">
        <v>4</v>
      </c>
    </row>
    <row r="1325" spans="1:128" x14ac:dyDescent="0.2">
      <c r="A1325" s="58">
        <v>1423</v>
      </c>
      <c r="B1325" s="128" t="s">
        <v>2900</v>
      </c>
    </row>
    <row r="1326" spans="1:128" x14ac:dyDescent="0.2">
      <c r="A1326" s="58">
        <v>1424</v>
      </c>
      <c r="B1326" s="128" t="s">
        <v>3194</v>
      </c>
    </row>
    <row r="1327" spans="1:128" x14ac:dyDescent="0.2">
      <c r="A1327" s="58">
        <v>1425</v>
      </c>
      <c r="B1327" s="128" t="s">
        <v>3063</v>
      </c>
    </row>
    <row r="1328" spans="1:128" x14ac:dyDescent="0.2">
      <c r="A1328" s="58">
        <v>1426</v>
      </c>
      <c r="B1328" s="128" t="s">
        <v>1169</v>
      </c>
    </row>
    <row r="1329" spans="1:70" x14ac:dyDescent="0.2">
      <c r="A1329" s="58">
        <v>1427</v>
      </c>
      <c r="B1329" s="128" t="s">
        <v>3469</v>
      </c>
    </row>
    <row r="1330" spans="1:70" x14ac:dyDescent="0.2">
      <c r="A1330" s="58">
        <v>1428</v>
      </c>
      <c r="B1330" s="128" t="s">
        <v>3516</v>
      </c>
    </row>
    <row r="1331" spans="1:70" x14ac:dyDescent="0.2">
      <c r="A1331" s="58">
        <v>1429</v>
      </c>
      <c r="B1331" s="128" t="s">
        <v>3445</v>
      </c>
    </row>
    <row r="1332" spans="1:70" x14ac:dyDescent="0.2">
      <c r="A1332" s="58">
        <v>1430</v>
      </c>
      <c r="B1332" s="128" t="s">
        <v>3171</v>
      </c>
    </row>
    <row r="1333" spans="1:70" x14ac:dyDescent="0.2">
      <c r="A1333" s="58">
        <v>1431</v>
      </c>
      <c r="B1333" s="128" t="s">
        <v>3168</v>
      </c>
    </row>
    <row r="1334" spans="1:70" x14ac:dyDescent="0.2">
      <c r="A1334" s="58">
        <v>1432</v>
      </c>
      <c r="B1334" s="128" t="s">
        <v>3183</v>
      </c>
    </row>
    <row r="1335" spans="1:70" x14ac:dyDescent="0.2">
      <c r="A1335" s="58">
        <v>1433</v>
      </c>
      <c r="B1335" s="128" t="s">
        <v>3382</v>
      </c>
    </row>
    <row r="1336" spans="1:70" x14ac:dyDescent="0.2">
      <c r="A1336" s="58">
        <v>1434</v>
      </c>
      <c r="B1336" s="128" t="s">
        <v>1233</v>
      </c>
      <c r="BN1336" s="127">
        <v>6</v>
      </c>
      <c r="BR1336" s="127">
        <v>0.5</v>
      </c>
    </row>
    <row r="1337" spans="1:70" x14ac:dyDescent="0.2">
      <c r="A1337" s="58">
        <v>1435</v>
      </c>
      <c r="B1337" s="128" t="s">
        <v>3463</v>
      </c>
    </row>
    <row r="1338" spans="1:70" x14ac:dyDescent="0.2">
      <c r="A1338" s="58">
        <v>1436</v>
      </c>
      <c r="B1338" s="128" t="s">
        <v>3435</v>
      </c>
    </row>
    <row r="1339" spans="1:70" x14ac:dyDescent="0.2">
      <c r="A1339" s="58">
        <v>1437</v>
      </c>
      <c r="B1339" s="128" t="s">
        <v>3487</v>
      </c>
    </row>
    <row r="1340" spans="1:70" x14ac:dyDescent="0.2">
      <c r="A1340" s="58">
        <v>1438</v>
      </c>
      <c r="B1340" s="128" t="s">
        <v>3199</v>
      </c>
    </row>
    <row r="1341" spans="1:70" x14ac:dyDescent="0.2">
      <c r="A1341" s="58">
        <v>1439</v>
      </c>
      <c r="B1341" s="128" t="s">
        <v>1203</v>
      </c>
    </row>
    <row r="1342" spans="1:70" x14ac:dyDescent="0.2">
      <c r="A1342" s="58">
        <v>1440</v>
      </c>
      <c r="B1342" s="128" t="s">
        <v>1406</v>
      </c>
    </row>
    <row r="1343" spans="1:70" x14ac:dyDescent="0.2">
      <c r="A1343" s="58">
        <v>1441</v>
      </c>
      <c r="B1343" s="128" t="s">
        <v>1405</v>
      </c>
    </row>
    <row r="1344" spans="1:70" x14ac:dyDescent="0.2">
      <c r="A1344" s="58">
        <v>1442</v>
      </c>
      <c r="B1344" s="128" t="s">
        <v>3495</v>
      </c>
    </row>
    <row r="1345" spans="1:171" x14ac:dyDescent="0.2">
      <c r="A1345" s="58">
        <v>1443</v>
      </c>
      <c r="B1345" s="128" t="s">
        <v>1240</v>
      </c>
    </row>
    <row r="1346" spans="1:171" x14ac:dyDescent="0.2">
      <c r="A1346" s="58">
        <v>1444</v>
      </c>
      <c r="B1346" s="128" t="s">
        <v>3197</v>
      </c>
      <c r="BN1346" s="127">
        <v>2</v>
      </c>
    </row>
    <row r="1347" spans="1:171" x14ac:dyDescent="0.2">
      <c r="A1347" s="58">
        <v>1445</v>
      </c>
      <c r="B1347" s="128" t="s">
        <v>3201</v>
      </c>
    </row>
    <row r="1348" spans="1:171" x14ac:dyDescent="0.2">
      <c r="A1348" s="58">
        <v>1446</v>
      </c>
      <c r="B1348" s="128" t="s">
        <v>1415</v>
      </c>
    </row>
    <row r="1349" spans="1:171" x14ac:dyDescent="0.2">
      <c r="A1349" s="58">
        <v>1447</v>
      </c>
      <c r="B1349" s="128" t="s">
        <v>3492</v>
      </c>
    </row>
    <row r="1350" spans="1:171" x14ac:dyDescent="0.2">
      <c r="A1350" s="58">
        <v>1448</v>
      </c>
      <c r="B1350" s="128" t="s">
        <v>3461</v>
      </c>
      <c r="BN1350" s="127">
        <v>0.5</v>
      </c>
      <c r="EE1350" s="127">
        <v>3</v>
      </c>
      <c r="EF1350" s="127">
        <v>30</v>
      </c>
      <c r="EG1350" s="127">
        <v>6</v>
      </c>
      <c r="EH1350" s="127">
        <v>75</v>
      </c>
      <c r="EL1350" s="127">
        <v>45</v>
      </c>
      <c r="FO1350" s="127">
        <v>45</v>
      </c>
    </row>
    <row r="1351" spans="1:171" x14ac:dyDescent="0.2">
      <c r="A1351" s="58">
        <v>1449</v>
      </c>
      <c r="B1351" s="128" t="s">
        <v>2829</v>
      </c>
    </row>
    <row r="1352" spans="1:171" x14ac:dyDescent="0.2">
      <c r="A1352" s="58">
        <v>1450</v>
      </c>
      <c r="B1352" s="128" t="s">
        <v>1408</v>
      </c>
    </row>
    <row r="1353" spans="1:171" x14ac:dyDescent="0.2">
      <c r="A1353" s="58">
        <v>1451</v>
      </c>
      <c r="B1353" s="128" t="s">
        <v>2905</v>
      </c>
    </row>
    <row r="1354" spans="1:171" x14ac:dyDescent="0.2">
      <c r="A1354" s="58">
        <v>1452</v>
      </c>
      <c r="B1354" s="128" t="s">
        <v>3035</v>
      </c>
    </row>
    <row r="1355" spans="1:171" x14ac:dyDescent="0.2">
      <c r="A1355" s="58">
        <v>1453</v>
      </c>
      <c r="B1355" s="128" t="s">
        <v>1151</v>
      </c>
      <c r="BN1355" s="127">
        <v>0.5</v>
      </c>
    </row>
    <row r="1356" spans="1:171" x14ac:dyDescent="0.2">
      <c r="A1356" s="58">
        <v>1454</v>
      </c>
      <c r="B1356" s="128" t="s">
        <v>3038</v>
      </c>
    </row>
    <row r="1357" spans="1:171" x14ac:dyDescent="0.2">
      <c r="A1357" s="58">
        <v>1455</v>
      </c>
      <c r="B1357" s="128" t="s">
        <v>3043</v>
      </c>
    </row>
    <row r="1358" spans="1:171" x14ac:dyDescent="0.2">
      <c r="A1358" s="58">
        <v>1456</v>
      </c>
      <c r="B1358" s="128" t="s">
        <v>2837</v>
      </c>
      <c r="BN1358" s="127">
        <v>0.5</v>
      </c>
    </row>
    <row r="1359" spans="1:171" x14ac:dyDescent="0.2">
      <c r="A1359" s="58">
        <v>1457</v>
      </c>
      <c r="B1359" s="128" t="s">
        <v>3462</v>
      </c>
    </row>
    <row r="1360" spans="1:171" x14ac:dyDescent="0.2">
      <c r="A1360" s="58">
        <v>1458</v>
      </c>
      <c r="B1360" s="128" t="s">
        <v>3465</v>
      </c>
    </row>
    <row r="1361" spans="1:140" x14ac:dyDescent="0.2">
      <c r="A1361" s="58">
        <v>1459</v>
      </c>
      <c r="B1361" s="128" t="s">
        <v>3060</v>
      </c>
    </row>
    <row r="1362" spans="1:140" x14ac:dyDescent="0.2">
      <c r="A1362" s="58">
        <v>1460</v>
      </c>
      <c r="B1362" s="128" t="s">
        <v>3068</v>
      </c>
    </row>
    <row r="1363" spans="1:140" x14ac:dyDescent="0.2">
      <c r="A1363" s="58">
        <v>1461</v>
      </c>
      <c r="B1363" s="128" t="s">
        <v>3452</v>
      </c>
    </row>
    <row r="1364" spans="1:140" x14ac:dyDescent="0.2">
      <c r="A1364" s="58">
        <v>1462</v>
      </c>
      <c r="B1364" s="128" t="s">
        <v>3475</v>
      </c>
      <c r="BN1364" s="127">
        <v>0.5</v>
      </c>
      <c r="EJ1364" s="127">
        <v>2</v>
      </c>
    </row>
    <row r="1365" spans="1:140" x14ac:dyDescent="0.2">
      <c r="A1365" s="58">
        <v>1463</v>
      </c>
      <c r="B1365" s="128" t="s">
        <v>1531</v>
      </c>
    </row>
    <row r="1366" spans="1:140" x14ac:dyDescent="0.2">
      <c r="A1366" s="58">
        <v>1464</v>
      </c>
      <c r="B1366" s="128" t="s">
        <v>3093</v>
      </c>
      <c r="BN1366" s="127">
        <v>0.5</v>
      </c>
    </row>
    <row r="1367" spans="1:140" x14ac:dyDescent="0.2">
      <c r="A1367" s="58">
        <v>1465</v>
      </c>
      <c r="B1367" s="128" t="s">
        <v>1434</v>
      </c>
    </row>
    <row r="1368" spans="1:140" x14ac:dyDescent="0.2">
      <c r="A1368" s="58">
        <v>1466</v>
      </c>
      <c r="B1368" s="128" t="s">
        <v>3173</v>
      </c>
    </row>
    <row r="1369" spans="1:140" x14ac:dyDescent="0.2">
      <c r="A1369" s="58">
        <v>1467</v>
      </c>
      <c r="B1369" s="128" t="s">
        <v>3194</v>
      </c>
    </row>
    <row r="1370" spans="1:140" x14ac:dyDescent="0.2">
      <c r="A1370" s="58">
        <v>1468</v>
      </c>
      <c r="B1370" s="128" t="s">
        <v>1200</v>
      </c>
    </row>
    <row r="1371" spans="1:140" x14ac:dyDescent="0.2">
      <c r="A1371" s="58">
        <v>1469</v>
      </c>
      <c r="B1371" s="128" t="s">
        <v>3495</v>
      </c>
    </row>
    <row r="1372" spans="1:140" x14ac:dyDescent="0.2">
      <c r="A1372" s="58">
        <v>1470</v>
      </c>
      <c r="B1372" s="128" t="s">
        <v>1144</v>
      </c>
    </row>
    <row r="1373" spans="1:140" x14ac:dyDescent="0.2">
      <c r="A1373" s="58">
        <v>1471</v>
      </c>
      <c r="B1373" s="128" t="s">
        <v>1415</v>
      </c>
    </row>
    <row r="1374" spans="1:140" x14ac:dyDescent="0.2">
      <c r="A1374" s="58">
        <v>1472</v>
      </c>
      <c r="B1374" s="128" t="s">
        <v>2880</v>
      </c>
    </row>
    <row r="1375" spans="1:140" x14ac:dyDescent="0.2">
      <c r="A1375" s="58">
        <v>1473</v>
      </c>
      <c r="B1375" s="128" t="s">
        <v>3522</v>
      </c>
    </row>
    <row r="1376" spans="1:140" x14ac:dyDescent="0.2">
      <c r="A1376" s="58">
        <v>1474</v>
      </c>
      <c r="B1376" s="128" t="s">
        <v>538</v>
      </c>
    </row>
    <row r="1377" spans="1:69" x14ac:dyDescent="0.2">
      <c r="A1377" s="58">
        <v>1475</v>
      </c>
      <c r="B1377" s="128" t="s">
        <v>1201</v>
      </c>
      <c r="BO1377" s="127">
        <v>3</v>
      </c>
      <c r="BQ1377" s="127">
        <v>0.5</v>
      </c>
    </row>
    <row r="1378" spans="1:69" x14ac:dyDescent="0.2">
      <c r="A1378" s="58">
        <v>1476</v>
      </c>
      <c r="B1378" s="128" t="s">
        <v>555</v>
      </c>
      <c r="BO1378" s="127">
        <v>2</v>
      </c>
    </row>
    <row r="1379" spans="1:69" x14ac:dyDescent="0.2">
      <c r="A1379" s="58">
        <v>1477</v>
      </c>
      <c r="B1379" s="128" t="s">
        <v>3473</v>
      </c>
    </row>
    <row r="1380" spans="1:69" x14ac:dyDescent="0.2">
      <c r="A1380" s="58">
        <v>1478</v>
      </c>
      <c r="B1380" s="128" t="s">
        <v>3493</v>
      </c>
    </row>
    <row r="1381" spans="1:69" x14ac:dyDescent="0.2">
      <c r="A1381" s="58">
        <v>1479</v>
      </c>
      <c r="B1381" s="128" t="s">
        <v>2851</v>
      </c>
    </row>
    <row r="1382" spans="1:69" x14ac:dyDescent="0.2">
      <c r="A1382" s="58">
        <v>1480</v>
      </c>
      <c r="B1382" s="128" t="s">
        <v>1400</v>
      </c>
    </row>
    <row r="1383" spans="1:69" x14ac:dyDescent="0.2">
      <c r="A1383" s="58">
        <v>1481</v>
      </c>
      <c r="B1383" s="128" t="s">
        <v>2829</v>
      </c>
    </row>
    <row r="1384" spans="1:69" x14ac:dyDescent="0.2">
      <c r="A1384" s="58">
        <v>1482</v>
      </c>
      <c r="B1384" s="128" t="s">
        <v>1187</v>
      </c>
    </row>
    <row r="1385" spans="1:69" x14ac:dyDescent="0.2">
      <c r="A1385" s="58">
        <v>1483</v>
      </c>
      <c r="B1385" s="128" t="s">
        <v>1411</v>
      </c>
    </row>
    <row r="1386" spans="1:69" x14ac:dyDescent="0.2">
      <c r="A1386" s="58">
        <v>1484</v>
      </c>
      <c r="B1386" s="128" t="s">
        <v>2908</v>
      </c>
    </row>
    <row r="1387" spans="1:69" x14ac:dyDescent="0.2">
      <c r="A1387" s="58">
        <v>1485</v>
      </c>
      <c r="B1387" s="128" t="s">
        <v>1197</v>
      </c>
    </row>
    <row r="1388" spans="1:69" x14ac:dyDescent="0.2">
      <c r="A1388" s="58">
        <v>1486</v>
      </c>
      <c r="B1388" s="128" t="s">
        <v>3462</v>
      </c>
    </row>
    <row r="1389" spans="1:69" x14ac:dyDescent="0.2">
      <c r="A1389" s="58">
        <v>1487</v>
      </c>
      <c r="B1389" s="128" t="s">
        <v>3467</v>
      </c>
    </row>
    <row r="1390" spans="1:69" x14ac:dyDescent="0.2">
      <c r="A1390" s="58">
        <v>1488</v>
      </c>
      <c r="B1390" s="128" t="s">
        <v>3517</v>
      </c>
    </row>
    <row r="1391" spans="1:69" x14ac:dyDescent="0.2">
      <c r="A1391" s="58">
        <v>1489</v>
      </c>
      <c r="B1391" s="128" t="s">
        <v>553</v>
      </c>
    </row>
    <row r="1392" spans="1:69" x14ac:dyDescent="0.2">
      <c r="A1392" s="58">
        <v>1490</v>
      </c>
      <c r="B1392" s="128" t="s">
        <v>1529</v>
      </c>
    </row>
    <row r="1393" spans="1:2" x14ac:dyDescent="0.2">
      <c r="A1393" s="58">
        <v>1491</v>
      </c>
      <c r="B1393" s="128" t="s">
        <v>1208</v>
      </c>
    </row>
    <row r="1394" spans="1:2" x14ac:dyDescent="0.2">
      <c r="A1394" s="58">
        <v>1492</v>
      </c>
      <c r="B1394" s="128" t="s">
        <v>1403</v>
      </c>
    </row>
    <row r="1395" spans="1:2" x14ac:dyDescent="0.2">
      <c r="A1395" s="58">
        <v>1493</v>
      </c>
      <c r="B1395" s="128" t="s">
        <v>3462</v>
      </c>
    </row>
    <row r="1396" spans="1:2" x14ac:dyDescent="0.2">
      <c r="A1396" s="58">
        <v>1494</v>
      </c>
      <c r="B1396" s="128" t="s">
        <v>3201</v>
      </c>
    </row>
    <row r="1397" spans="1:2" x14ac:dyDescent="0.2">
      <c r="A1397" s="58">
        <v>1495</v>
      </c>
      <c r="B1397" s="128" t="s">
        <v>538</v>
      </c>
    </row>
    <row r="1398" spans="1:2" x14ac:dyDescent="0.2">
      <c r="A1398" s="58">
        <v>1496</v>
      </c>
      <c r="B1398" s="128" t="s">
        <v>1423</v>
      </c>
    </row>
    <row r="1399" spans="1:2" x14ac:dyDescent="0.2">
      <c r="A1399" s="58">
        <v>1497</v>
      </c>
      <c r="B1399" s="128" t="s">
        <v>3334</v>
      </c>
    </row>
    <row r="1400" spans="1:2" x14ac:dyDescent="0.2">
      <c r="A1400" s="58">
        <v>1498</v>
      </c>
      <c r="B1400" s="128" t="s">
        <v>3493</v>
      </c>
    </row>
    <row r="1401" spans="1:2" x14ac:dyDescent="0.2">
      <c r="A1401" s="58">
        <v>1499</v>
      </c>
      <c r="B1401" s="128" t="s">
        <v>1529</v>
      </c>
    </row>
    <row r="1402" spans="1:2" x14ac:dyDescent="0.2">
      <c r="A1402" s="58">
        <v>1500</v>
      </c>
      <c r="B1402" s="128" t="s">
        <v>2829</v>
      </c>
    </row>
    <row r="1403" spans="1:2" x14ac:dyDescent="0.2">
      <c r="A1403" s="58">
        <v>1501</v>
      </c>
      <c r="B1403" s="128" t="s">
        <v>3194</v>
      </c>
    </row>
    <row r="1404" spans="1:2" x14ac:dyDescent="0.2">
      <c r="A1404" s="58">
        <v>1502</v>
      </c>
      <c r="B1404" s="128" t="s">
        <v>1403</v>
      </c>
    </row>
    <row r="1405" spans="1:2" x14ac:dyDescent="0.2">
      <c r="A1405" s="58">
        <v>1503</v>
      </c>
      <c r="B1405" s="128" t="s">
        <v>1404</v>
      </c>
    </row>
    <row r="1406" spans="1:2" x14ac:dyDescent="0.2">
      <c r="A1406" s="58">
        <v>1504</v>
      </c>
      <c r="B1406" s="128" t="s">
        <v>1411</v>
      </c>
    </row>
    <row r="1407" spans="1:2" x14ac:dyDescent="0.2">
      <c r="A1407" s="58">
        <v>1505</v>
      </c>
      <c r="B1407" s="128" t="s">
        <v>3473</v>
      </c>
    </row>
    <row r="1408" spans="1:2" x14ac:dyDescent="0.2">
      <c r="A1408" s="58">
        <v>1506</v>
      </c>
      <c r="B1408" s="128" t="s">
        <v>3495</v>
      </c>
    </row>
    <row r="1409" spans="1:173" x14ac:dyDescent="0.2">
      <c r="A1409" s="58">
        <v>1507</v>
      </c>
      <c r="B1409" s="128" t="s">
        <v>2880</v>
      </c>
    </row>
    <row r="1410" spans="1:173" x14ac:dyDescent="0.2">
      <c r="A1410" s="58">
        <v>1508</v>
      </c>
      <c r="B1410" s="128" t="s">
        <v>3359</v>
      </c>
    </row>
    <row r="1411" spans="1:173" x14ac:dyDescent="0.2">
      <c r="A1411" s="58">
        <v>1509</v>
      </c>
      <c r="B1411" s="128" t="s">
        <v>1415</v>
      </c>
    </row>
    <row r="1412" spans="1:173" x14ac:dyDescent="0.2">
      <c r="A1412" s="58">
        <v>1510</v>
      </c>
      <c r="B1412" s="128" t="s">
        <v>3517</v>
      </c>
    </row>
    <row r="1413" spans="1:173" x14ac:dyDescent="0.2">
      <c r="A1413" s="58">
        <v>1511</v>
      </c>
      <c r="B1413" s="128" t="s">
        <v>3063</v>
      </c>
    </row>
    <row r="1414" spans="1:173" x14ac:dyDescent="0.2">
      <c r="A1414" s="58">
        <v>1512</v>
      </c>
      <c r="B1414" s="128" t="s">
        <v>3520</v>
      </c>
    </row>
    <row r="1415" spans="1:173" x14ac:dyDescent="0.2">
      <c r="A1415" s="58">
        <v>1513</v>
      </c>
      <c r="B1415" s="128" t="s">
        <v>3168</v>
      </c>
    </row>
    <row r="1416" spans="1:173" x14ac:dyDescent="0.2">
      <c r="A1416" s="58">
        <v>1514</v>
      </c>
      <c r="B1416" s="128" t="s">
        <v>1200</v>
      </c>
    </row>
    <row r="1417" spans="1:173" x14ac:dyDescent="0.2">
      <c r="A1417" s="58">
        <v>1515</v>
      </c>
      <c r="B1417" s="128" t="s">
        <v>2850</v>
      </c>
      <c r="BP1417" s="127">
        <v>0.5</v>
      </c>
      <c r="BQ1417" s="127">
        <v>3</v>
      </c>
    </row>
    <row r="1418" spans="1:173" x14ac:dyDescent="0.2">
      <c r="A1418" s="58">
        <v>1516</v>
      </c>
      <c r="B1418" s="128" t="s">
        <v>2852</v>
      </c>
    </row>
    <row r="1419" spans="1:173" x14ac:dyDescent="0.2">
      <c r="A1419" s="58">
        <v>1517</v>
      </c>
      <c r="B1419" s="128" t="s">
        <v>3331</v>
      </c>
    </row>
    <row r="1420" spans="1:173" x14ac:dyDescent="0.2">
      <c r="A1420" s="58">
        <v>1518</v>
      </c>
      <c r="B1420" s="128" t="s">
        <v>1162</v>
      </c>
      <c r="BQ1420" s="127">
        <v>65</v>
      </c>
      <c r="EA1420" s="127">
        <v>75</v>
      </c>
      <c r="ED1420" s="127">
        <v>4</v>
      </c>
      <c r="FQ1420" s="127">
        <v>65</v>
      </c>
    </row>
    <row r="1421" spans="1:173" x14ac:dyDescent="0.2">
      <c r="A1421" s="58">
        <v>1519</v>
      </c>
      <c r="B1421" s="128" t="s">
        <v>1149</v>
      </c>
      <c r="BQ1421" s="127">
        <v>35</v>
      </c>
      <c r="BR1421" s="127">
        <v>0.5</v>
      </c>
    </row>
    <row r="1422" spans="1:173" x14ac:dyDescent="0.2">
      <c r="A1422" s="58">
        <v>1520</v>
      </c>
      <c r="B1422" s="128" t="s">
        <v>1200</v>
      </c>
    </row>
    <row r="1423" spans="1:173" x14ac:dyDescent="0.2">
      <c r="A1423" s="58">
        <v>1521</v>
      </c>
      <c r="B1423" s="128" t="s">
        <v>2829</v>
      </c>
    </row>
    <row r="1424" spans="1:173" x14ac:dyDescent="0.2">
      <c r="A1424" s="58">
        <v>1522</v>
      </c>
      <c r="B1424" s="128" t="s">
        <v>1415</v>
      </c>
    </row>
    <row r="1425" spans="1:169" x14ac:dyDescent="0.2">
      <c r="A1425" s="58">
        <v>1523</v>
      </c>
      <c r="B1425" s="128" t="s">
        <v>3173</v>
      </c>
    </row>
    <row r="1426" spans="1:169" x14ac:dyDescent="0.2">
      <c r="A1426" s="58">
        <v>1524</v>
      </c>
      <c r="B1426" s="128" t="s">
        <v>3489</v>
      </c>
      <c r="BQ1426" s="127">
        <v>6</v>
      </c>
      <c r="CJ1426" s="127">
        <v>70</v>
      </c>
      <c r="CS1426" s="127">
        <v>10</v>
      </c>
      <c r="CT1426" s="127">
        <v>15</v>
      </c>
      <c r="CU1426" s="127">
        <v>15</v>
      </c>
      <c r="DC1426" s="127">
        <v>60</v>
      </c>
      <c r="DV1426" s="127">
        <v>15</v>
      </c>
      <c r="EM1426" s="127">
        <v>8</v>
      </c>
      <c r="EY1426" s="127">
        <v>60</v>
      </c>
      <c r="FI1426" s="127">
        <v>10</v>
      </c>
      <c r="FK1426" s="127">
        <v>12</v>
      </c>
      <c r="FM1426" s="127">
        <v>12</v>
      </c>
    </row>
    <row r="1427" spans="1:169" x14ac:dyDescent="0.2">
      <c r="A1427" s="58">
        <v>1525</v>
      </c>
      <c r="B1427" s="128" t="s">
        <v>3467</v>
      </c>
    </row>
    <row r="1428" spans="1:169" x14ac:dyDescent="0.2">
      <c r="A1428" s="58">
        <v>1526</v>
      </c>
      <c r="B1428" s="128" t="s">
        <v>2850</v>
      </c>
    </row>
    <row r="1429" spans="1:169" x14ac:dyDescent="0.2">
      <c r="A1429" s="58">
        <v>1527</v>
      </c>
      <c r="B1429" s="128" t="s">
        <v>1411</v>
      </c>
    </row>
    <row r="1430" spans="1:169" x14ac:dyDescent="0.2">
      <c r="A1430" s="58">
        <v>1528</v>
      </c>
      <c r="B1430" s="128" t="s">
        <v>3494</v>
      </c>
    </row>
    <row r="1431" spans="1:169" x14ac:dyDescent="0.2">
      <c r="A1431" s="58">
        <v>1529</v>
      </c>
      <c r="B1431" s="128" t="s">
        <v>1418</v>
      </c>
    </row>
    <row r="1432" spans="1:169" x14ac:dyDescent="0.2">
      <c r="A1432" s="58">
        <v>1530</v>
      </c>
      <c r="B1432" s="128" t="s">
        <v>3165</v>
      </c>
    </row>
    <row r="1433" spans="1:169" x14ac:dyDescent="0.2">
      <c r="A1433" s="58">
        <v>1531</v>
      </c>
      <c r="B1433" s="128" t="s">
        <v>553</v>
      </c>
    </row>
    <row r="1434" spans="1:169" x14ac:dyDescent="0.2">
      <c r="A1434" s="58">
        <v>1532</v>
      </c>
      <c r="B1434" s="128" t="s">
        <v>1529</v>
      </c>
    </row>
    <row r="1435" spans="1:169" x14ac:dyDescent="0.2">
      <c r="A1435" s="58">
        <v>1533</v>
      </c>
      <c r="B1435" s="128" t="s">
        <v>1201</v>
      </c>
    </row>
    <row r="1436" spans="1:169" x14ac:dyDescent="0.2">
      <c r="A1436" s="58">
        <v>1534</v>
      </c>
      <c r="B1436" s="128" t="s">
        <v>1403</v>
      </c>
    </row>
    <row r="1437" spans="1:169" x14ac:dyDescent="0.2">
      <c r="A1437" s="58">
        <v>1535</v>
      </c>
      <c r="B1437" s="128" t="s">
        <v>3435</v>
      </c>
    </row>
    <row r="1438" spans="1:169" x14ac:dyDescent="0.2">
      <c r="A1438" s="58">
        <v>1536</v>
      </c>
      <c r="B1438" s="128" t="s">
        <v>3382</v>
      </c>
    </row>
    <row r="1439" spans="1:169" x14ac:dyDescent="0.2">
      <c r="A1439" s="58">
        <v>1537</v>
      </c>
      <c r="B1439" s="128" t="s">
        <v>3174</v>
      </c>
    </row>
    <row r="1440" spans="1:169" x14ac:dyDescent="0.2">
      <c r="A1440" s="58">
        <v>1538</v>
      </c>
      <c r="B1440" s="128" t="s">
        <v>3463</v>
      </c>
    </row>
    <row r="1441" spans="1:135" x14ac:dyDescent="0.2">
      <c r="A1441" s="58">
        <v>1539</v>
      </c>
      <c r="B1441" s="128" t="s">
        <v>3516</v>
      </c>
    </row>
    <row r="1442" spans="1:135" x14ac:dyDescent="0.2">
      <c r="A1442" s="58">
        <v>1540</v>
      </c>
      <c r="B1442" s="128" t="s">
        <v>3196</v>
      </c>
      <c r="BR1442" s="127">
        <v>8</v>
      </c>
    </row>
    <row r="1443" spans="1:135" x14ac:dyDescent="0.2">
      <c r="A1443" s="58">
        <v>1541</v>
      </c>
      <c r="B1443" s="128" t="s">
        <v>3202</v>
      </c>
    </row>
    <row r="1444" spans="1:135" x14ac:dyDescent="0.2">
      <c r="A1444" s="58">
        <v>1542</v>
      </c>
      <c r="B1444" s="128" t="s">
        <v>3487</v>
      </c>
    </row>
    <row r="1445" spans="1:135" x14ac:dyDescent="0.2">
      <c r="A1445" s="58">
        <v>1543</v>
      </c>
      <c r="B1445" s="128" t="s">
        <v>3469</v>
      </c>
    </row>
    <row r="1446" spans="1:135" x14ac:dyDescent="0.2">
      <c r="A1446" s="58">
        <v>1544</v>
      </c>
      <c r="B1446" s="128" t="s">
        <v>1168</v>
      </c>
    </row>
    <row r="1447" spans="1:135" x14ac:dyDescent="0.2">
      <c r="A1447" s="58">
        <v>1545</v>
      </c>
      <c r="B1447" s="128" t="s">
        <v>1529</v>
      </c>
    </row>
    <row r="1448" spans="1:135" x14ac:dyDescent="0.2">
      <c r="A1448" s="58">
        <v>1546</v>
      </c>
      <c r="B1448" s="128" t="s">
        <v>2905</v>
      </c>
    </row>
    <row r="1449" spans="1:135" x14ac:dyDescent="0.2">
      <c r="A1449" s="58">
        <v>1547</v>
      </c>
      <c r="B1449" s="128" t="s">
        <v>3060</v>
      </c>
    </row>
    <row r="1450" spans="1:135" x14ac:dyDescent="0.2">
      <c r="A1450" s="58">
        <v>1548</v>
      </c>
      <c r="B1450" s="128" t="s">
        <v>1405</v>
      </c>
    </row>
    <row r="1451" spans="1:135" x14ac:dyDescent="0.2">
      <c r="A1451" s="58">
        <v>1549</v>
      </c>
      <c r="B1451" s="128" t="s">
        <v>3495</v>
      </c>
    </row>
    <row r="1452" spans="1:135" x14ac:dyDescent="0.2">
      <c r="A1452" s="58">
        <v>1550</v>
      </c>
      <c r="B1452" s="128" t="s">
        <v>1415</v>
      </c>
    </row>
    <row r="1453" spans="1:135" x14ac:dyDescent="0.2">
      <c r="A1453" s="58">
        <v>1551</v>
      </c>
      <c r="B1453" s="128" t="s">
        <v>3471</v>
      </c>
    </row>
    <row r="1454" spans="1:135" x14ac:dyDescent="0.2">
      <c r="A1454" s="58">
        <v>1552</v>
      </c>
      <c r="B1454" s="128" t="s">
        <v>3163</v>
      </c>
    </row>
    <row r="1455" spans="1:135" x14ac:dyDescent="0.2">
      <c r="A1455" s="58">
        <v>1553</v>
      </c>
      <c r="B1455" s="128" t="s">
        <v>1282</v>
      </c>
      <c r="BR1455" s="127">
        <v>1</v>
      </c>
      <c r="DU1455" s="127">
        <v>3</v>
      </c>
      <c r="EE1455" s="127">
        <v>1</v>
      </c>
    </row>
    <row r="1456" spans="1:135" x14ac:dyDescent="0.2">
      <c r="A1456" s="58">
        <v>1554</v>
      </c>
      <c r="B1456" s="128" t="s">
        <v>1207</v>
      </c>
    </row>
    <row r="1457" spans="1:70" x14ac:dyDescent="0.2">
      <c r="A1457" s="58">
        <v>1555</v>
      </c>
      <c r="B1457" s="128" t="s">
        <v>1406</v>
      </c>
    </row>
    <row r="1458" spans="1:70" x14ac:dyDescent="0.2">
      <c r="A1458" s="58">
        <v>1556</v>
      </c>
      <c r="B1458" s="128" t="s">
        <v>1425</v>
      </c>
    </row>
    <row r="1459" spans="1:70" x14ac:dyDescent="0.2">
      <c r="A1459" s="58">
        <v>1557</v>
      </c>
      <c r="B1459" s="128" t="s">
        <v>1233</v>
      </c>
    </row>
    <row r="1460" spans="1:70" x14ac:dyDescent="0.2">
      <c r="A1460" s="58">
        <v>1558</v>
      </c>
      <c r="B1460" s="128" t="s">
        <v>539</v>
      </c>
    </row>
    <row r="1461" spans="1:70" x14ac:dyDescent="0.2">
      <c r="A1461" s="58">
        <v>1559</v>
      </c>
      <c r="B1461" s="128" t="s">
        <v>2880</v>
      </c>
    </row>
    <row r="1462" spans="1:70" x14ac:dyDescent="0.2">
      <c r="A1462" s="58">
        <v>1560</v>
      </c>
      <c r="B1462" s="128" t="s">
        <v>1149</v>
      </c>
    </row>
    <row r="1463" spans="1:70" x14ac:dyDescent="0.2">
      <c r="A1463" s="58">
        <v>1561</v>
      </c>
      <c r="B1463" s="128" t="s">
        <v>3199</v>
      </c>
    </row>
    <row r="1464" spans="1:70" x14ac:dyDescent="0.2">
      <c r="A1464" s="58">
        <v>1562</v>
      </c>
      <c r="B1464" s="128" t="s">
        <v>3043</v>
      </c>
    </row>
    <row r="1465" spans="1:70" x14ac:dyDescent="0.2">
      <c r="A1465" s="58">
        <v>1563</v>
      </c>
      <c r="B1465" s="128" t="s">
        <v>3052</v>
      </c>
    </row>
    <row r="1466" spans="1:70" x14ac:dyDescent="0.2">
      <c r="A1466" s="58">
        <v>1564</v>
      </c>
      <c r="B1466" s="128" t="s">
        <v>3369</v>
      </c>
      <c r="BR1466" s="127">
        <v>0.5</v>
      </c>
    </row>
    <row r="1467" spans="1:70" x14ac:dyDescent="0.2">
      <c r="A1467" s="58">
        <v>1565</v>
      </c>
      <c r="B1467" s="128" t="s">
        <v>1169</v>
      </c>
    </row>
    <row r="1468" spans="1:70" x14ac:dyDescent="0.2">
      <c r="A1468" s="58">
        <v>1566</v>
      </c>
      <c r="B1468" s="128" t="s">
        <v>3492</v>
      </c>
    </row>
    <row r="1469" spans="1:70" x14ac:dyDescent="0.2">
      <c r="A1469" s="58">
        <v>1567</v>
      </c>
      <c r="B1469" s="128" t="s">
        <v>3479</v>
      </c>
    </row>
    <row r="1470" spans="1:70" x14ac:dyDescent="0.2">
      <c r="A1470" s="58">
        <v>1568</v>
      </c>
      <c r="B1470" s="128" t="s">
        <v>3467</v>
      </c>
    </row>
    <row r="1471" spans="1:70" x14ac:dyDescent="0.2">
      <c r="A1471" s="58">
        <v>1569</v>
      </c>
      <c r="B1471" s="128" t="s">
        <v>3468</v>
      </c>
    </row>
    <row r="1472" spans="1:70" x14ac:dyDescent="0.2">
      <c r="A1472" s="58">
        <v>1570</v>
      </c>
      <c r="B1472" s="128" t="s">
        <v>1203</v>
      </c>
    </row>
    <row r="1473" spans="1:71" x14ac:dyDescent="0.2">
      <c r="A1473" s="58">
        <v>1571</v>
      </c>
      <c r="B1473" s="128" t="s">
        <v>2851</v>
      </c>
    </row>
    <row r="1474" spans="1:71" x14ac:dyDescent="0.2">
      <c r="A1474" s="58">
        <v>1572</v>
      </c>
      <c r="B1474" s="128" t="s">
        <v>1529</v>
      </c>
    </row>
    <row r="1475" spans="1:71" x14ac:dyDescent="0.2">
      <c r="A1475" s="58">
        <v>1573</v>
      </c>
      <c r="B1475" s="128" t="s">
        <v>3199</v>
      </c>
    </row>
    <row r="1476" spans="1:71" x14ac:dyDescent="0.2">
      <c r="A1476" s="58">
        <v>1574</v>
      </c>
      <c r="B1476" s="128" t="s">
        <v>1144</v>
      </c>
    </row>
    <row r="1477" spans="1:71" x14ac:dyDescent="0.2">
      <c r="A1477" s="58">
        <v>1575</v>
      </c>
      <c r="B1477" s="128" t="s">
        <v>1870</v>
      </c>
      <c r="BS1477" s="127">
        <v>19</v>
      </c>
    </row>
    <row r="1478" spans="1:71" x14ac:dyDescent="0.2">
      <c r="A1478" s="58">
        <v>1576</v>
      </c>
      <c r="B1478" s="128" t="s">
        <v>3462</v>
      </c>
    </row>
    <row r="1479" spans="1:71" x14ac:dyDescent="0.2">
      <c r="A1479" s="58">
        <v>1577</v>
      </c>
      <c r="B1479" s="128" t="s">
        <v>1409</v>
      </c>
    </row>
    <row r="1480" spans="1:71" x14ac:dyDescent="0.2">
      <c r="A1480" s="58">
        <v>1578</v>
      </c>
      <c r="B1480" s="128" t="s">
        <v>3469</v>
      </c>
    </row>
    <row r="1481" spans="1:71" x14ac:dyDescent="0.2">
      <c r="A1481" s="58">
        <v>1579</v>
      </c>
      <c r="B1481" s="128" t="s">
        <v>3467</v>
      </c>
    </row>
    <row r="1482" spans="1:71" x14ac:dyDescent="0.2">
      <c r="A1482" s="58">
        <v>1580</v>
      </c>
      <c r="B1482" s="128" t="s">
        <v>3473</v>
      </c>
    </row>
    <row r="1483" spans="1:71" x14ac:dyDescent="0.2">
      <c r="A1483" s="58">
        <v>1581</v>
      </c>
      <c r="B1483" s="128" t="s">
        <v>1400</v>
      </c>
    </row>
    <row r="1484" spans="1:71" x14ac:dyDescent="0.2">
      <c r="A1484" s="58">
        <v>1582</v>
      </c>
      <c r="B1484" s="128" t="s">
        <v>3495</v>
      </c>
    </row>
    <row r="1485" spans="1:71" x14ac:dyDescent="0.2">
      <c r="A1485" s="58">
        <v>1583</v>
      </c>
      <c r="B1485" s="128" t="s">
        <v>3334</v>
      </c>
    </row>
    <row r="1486" spans="1:71" x14ac:dyDescent="0.2">
      <c r="A1486" s="58">
        <v>1584</v>
      </c>
      <c r="B1486" s="128" t="s">
        <v>3504</v>
      </c>
    </row>
    <row r="1487" spans="1:71" x14ac:dyDescent="0.2">
      <c r="A1487" s="58">
        <v>1585</v>
      </c>
      <c r="B1487" s="128" t="s">
        <v>2857</v>
      </c>
      <c r="BS1487" s="127">
        <v>0.5</v>
      </c>
    </row>
    <row r="1488" spans="1:71" x14ac:dyDescent="0.2">
      <c r="A1488" s="58">
        <v>1586</v>
      </c>
      <c r="B1488" s="128" t="s">
        <v>2880</v>
      </c>
    </row>
    <row r="1489" spans="1:132" x14ac:dyDescent="0.2">
      <c r="A1489" s="58">
        <v>1587</v>
      </c>
      <c r="B1489" s="128" t="s">
        <v>2849</v>
      </c>
      <c r="BS1489" s="127">
        <v>0.5</v>
      </c>
      <c r="BT1489" s="127">
        <v>0.5</v>
      </c>
      <c r="EB1489" s="127">
        <v>4</v>
      </c>
    </row>
    <row r="1490" spans="1:132" x14ac:dyDescent="0.2">
      <c r="A1490" s="58">
        <v>1588</v>
      </c>
      <c r="B1490" s="128" t="s">
        <v>1226</v>
      </c>
    </row>
    <row r="1491" spans="1:132" x14ac:dyDescent="0.2">
      <c r="A1491" s="58">
        <v>1589</v>
      </c>
      <c r="B1491" s="128" t="s">
        <v>3516</v>
      </c>
    </row>
    <row r="1492" spans="1:132" x14ac:dyDescent="0.2">
      <c r="A1492" s="58">
        <v>1590</v>
      </c>
      <c r="B1492" s="128" t="s">
        <v>1200</v>
      </c>
    </row>
    <row r="1493" spans="1:132" x14ac:dyDescent="0.2">
      <c r="A1493" s="58">
        <v>1591</v>
      </c>
      <c r="B1493" s="128" t="s">
        <v>1404</v>
      </c>
    </row>
    <row r="1494" spans="1:132" x14ac:dyDescent="0.2">
      <c r="A1494" s="58">
        <v>1592</v>
      </c>
      <c r="B1494" s="128" t="s">
        <v>1184</v>
      </c>
    </row>
    <row r="1495" spans="1:132" x14ac:dyDescent="0.2">
      <c r="A1495" s="58">
        <v>1593</v>
      </c>
      <c r="B1495" s="128" t="s">
        <v>1531</v>
      </c>
    </row>
    <row r="1496" spans="1:132" x14ac:dyDescent="0.2">
      <c r="A1496" s="58">
        <v>1594</v>
      </c>
      <c r="B1496" s="128" t="s">
        <v>3495</v>
      </c>
    </row>
    <row r="1497" spans="1:132" x14ac:dyDescent="0.2">
      <c r="A1497" s="58">
        <v>1595</v>
      </c>
      <c r="B1497" s="128" t="s">
        <v>3201</v>
      </c>
    </row>
    <row r="1498" spans="1:132" x14ac:dyDescent="0.2">
      <c r="A1498" s="58">
        <v>1596</v>
      </c>
      <c r="B1498" s="128" t="s">
        <v>3062</v>
      </c>
    </row>
    <row r="1499" spans="1:132" x14ac:dyDescent="0.2">
      <c r="A1499" s="58">
        <v>1597</v>
      </c>
      <c r="B1499" s="128" t="s">
        <v>3186</v>
      </c>
    </row>
    <row r="1500" spans="1:132" x14ac:dyDescent="0.2">
      <c r="A1500" s="58">
        <v>1598</v>
      </c>
      <c r="B1500" s="128" t="s">
        <v>1177</v>
      </c>
    </row>
    <row r="1501" spans="1:132" x14ac:dyDescent="0.2">
      <c r="A1501" s="58">
        <v>1599</v>
      </c>
      <c r="B1501" s="128" t="s">
        <v>1423</v>
      </c>
    </row>
    <row r="1502" spans="1:132" x14ac:dyDescent="0.2">
      <c r="A1502" s="58">
        <v>1600</v>
      </c>
      <c r="B1502" s="128" t="s">
        <v>3492</v>
      </c>
    </row>
    <row r="1503" spans="1:132" x14ac:dyDescent="0.2">
      <c r="A1503" s="58">
        <v>1601</v>
      </c>
      <c r="B1503" s="128" t="s">
        <v>3462</v>
      </c>
    </row>
    <row r="1504" spans="1:132" x14ac:dyDescent="0.2">
      <c r="A1504" s="58">
        <v>1602</v>
      </c>
      <c r="B1504" s="128" t="s">
        <v>3168</v>
      </c>
    </row>
    <row r="1505" spans="1:2" x14ac:dyDescent="0.2">
      <c r="A1505" s="58">
        <v>1603</v>
      </c>
      <c r="B1505" s="128" t="s">
        <v>3522</v>
      </c>
    </row>
    <row r="1506" spans="1:2" x14ac:dyDescent="0.2">
      <c r="A1506" s="58">
        <v>1604</v>
      </c>
      <c r="B1506" s="128" t="s">
        <v>3473</v>
      </c>
    </row>
    <row r="1507" spans="1:2" x14ac:dyDescent="0.2">
      <c r="A1507" s="58">
        <v>1605</v>
      </c>
      <c r="B1507" s="128" t="s">
        <v>3447</v>
      </c>
    </row>
    <row r="1508" spans="1:2" x14ac:dyDescent="0.2">
      <c r="A1508" s="58">
        <v>1606</v>
      </c>
      <c r="B1508" s="128" t="s">
        <v>1529</v>
      </c>
    </row>
    <row r="1509" spans="1:2" x14ac:dyDescent="0.2">
      <c r="A1509" s="58">
        <v>1607</v>
      </c>
      <c r="B1509" s="128" t="s">
        <v>3334</v>
      </c>
    </row>
    <row r="1510" spans="1:2" x14ac:dyDescent="0.2">
      <c r="A1510" s="58">
        <v>1608</v>
      </c>
      <c r="B1510" s="128" t="s">
        <v>3194</v>
      </c>
    </row>
    <row r="1511" spans="1:2" x14ac:dyDescent="0.2">
      <c r="A1511" s="58">
        <v>1609</v>
      </c>
      <c r="B1511" s="128" t="s">
        <v>3506</v>
      </c>
    </row>
    <row r="1512" spans="1:2" x14ac:dyDescent="0.2">
      <c r="A1512" s="58">
        <v>1610</v>
      </c>
      <c r="B1512" s="128" t="s">
        <v>2836</v>
      </c>
    </row>
    <row r="1513" spans="1:2" x14ac:dyDescent="0.2">
      <c r="A1513" s="58">
        <v>1611</v>
      </c>
      <c r="B1513" s="128" t="s">
        <v>3063</v>
      </c>
    </row>
    <row r="1514" spans="1:2" x14ac:dyDescent="0.2">
      <c r="A1514" s="58">
        <v>1612</v>
      </c>
      <c r="B1514" s="128" t="s">
        <v>3520</v>
      </c>
    </row>
    <row r="1515" spans="1:2" x14ac:dyDescent="0.2">
      <c r="A1515" s="58">
        <v>1613</v>
      </c>
      <c r="B1515" s="128" t="s">
        <v>1531</v>
      </c>
    </row>
    <row r="1516" spans="1:2" x14ac:dyDescent="0.2">
      <c r="A1516" s="58">
        <v>1614</v>
      </c>
      <c r="B1516" s="128" t="s">
        <v>2829</v>
      </c>
    </row>
    <row r="1517" spans="1:2" x14ac:dyDescent="0.2">
      <c r="A1517" s="58">
        <v>1615</v>
      </c>
      <c r="B1517" s="128" t="s">
        <v>1200</v>
      </c>
    </row>
    <row r="1518" spans="1:2" x14ac:dyDescent="0.2">
      <c r="A1518" s="58">
        <v>1616</v>
      </c>
      <c r="B1518" s="128" t="s">
        <v>1208</v>
      </c>
    </row>
    <row r="1519" spans="1:2" x14ac:dyDescent="0.2">
      <c r="A1519" s="58">
        <v>1617</v>
      </c>
      <c r="B1519" s="128" t="s">
        <v>2851</v>
      </c>
    </row>
    <row r="1520" spans="1:2" x14ac:dyDescent="0.2">
      <c r="A1520" s="58">
        <v>1618</v>
      </c>
      <c r="B1520" s="128" t="s">
        <v>1415</v>
      </c>
    </row>
    <row r="1521" spans="1:72" x14ac:dyDescent="0.2">
      <c r="A1521" s="58">
        <v>1619</v>
      </c>
      <c r="B1521" s="128" t="s">
        <v>2878</v>
      </c>
    </row>
    <row r="1522" spans="1:72" x14ac:dyDescent="0.2">
      <c r="A1522" s="58">
        <v>1620</v>
      </c>
      <c r="B1522" s="128" t="s">
        <v>1408</v>
      </c>
    </row>
    <row r="1523" spans="1:72" x14ac:dyDescent="0.2">
      <c r="A1523" s="58">
        <v>1621</v>
      </c>
      <c r="B1523" s="128" t="s">
        <v>3165</v>
      </c>
    </row>
    <row r="1524" spans="1:72" x14ac:dyDescent="0.2">
      <c r="A1524" s="58">
        <v>1622</v>
      </c>
      <c r="B1524" s="128" t="s">
        <v>538</v>
      </c>
    </row>
    <row r="1525" spans="1:72" x14ac:dyDescent="0.2">
      <c r="A1525" s="58">
        <v>1623</v>
      </c>
      <c r="B1525" s="128" t="s">
        <v>2849</v>
      </c>
    </row>
    <row r="1526" spans="1:72" x14ac:dyDescent="0.2">
      <c r="A1526" s="58">
        <v>1624</v>
      </c>
      <c r="B1526" s="128" t="s">
        <v>1226</v>
      </c>
    </row>
    <row r="1527" spans="1:72" x14ac:dyDescent="0.2">
      <c r="A1527" s="58">
        <v>1625</v>
      </c>
      <c r="B1527" s="128" t="s">
        <v>3060</v>
      </c>
    </row>
    <row r="1528" spans="1:72" x14ac:dyDescent="0.2">
      <c r="A1528" s="58">
        <v>1626</v>
      </c>
      <c r="B1528" s="128" t="s">
        <v>543</v>
      </c>
    </row>
    <row r="1529" spans="1:72" x14ac:dyDescent="0.2">
      <c r="A1529" s="58">
        <v>1627</v>
      </c>
      <c r="B1529" s="128" t="s">
        <v>3359</v>
      </c>
    </row>
    <row r="1530" spans="1:72" x14ac:dyDescent="0.2">
      <c r="A1530" s="58">
        <v>1628</v>
      </c>
      <c r="B1530" s="128" t="s">
        <v>556</v>
      </c>
      <c r="BT1530" s="127">
        <v>0.5</v>
      </c>
    </row>
    <row r="1531" spans="1:72" x14ac:dyDescent="0.2">
      <c r="A1531" s="58">
        <v>1629</v>
      </c>
      <c r="B1531" s="128" t="s">
        <v>3435</v>
      </c>
    </row>
    <row r="1532" spans="1:72" x14ac:dyDescent="0.2">
      <c r="A1532" s="58">
        <v>1630</v>
      </c>
      <c r="B1532" s="128" t="s">
        <v>1491</v>
      </c>
    </row>
    <row r="1533" spans="1:72" x14ac:dyDescent="0.2">
      <c r="A1533" s="58">
        <v>1631</v>
      </c>
      <c r="B1533" s="128" t="s">
        <v>1200</v>
      </c>
    </row>
    <row r="1534" spans="1:72" x14ac:dyDescent="0.2">
      <c r="A1534" s="58">
        <v>1632</v>
      </c>
      <c r="B1534" s="128" t="s">
        <v>1169</v>
      </c>
    </row>
    <row r="1535" spans="1:72" x14ac:dyDescent="0.2">
      <c r="A1535" s="58">
        <v>1633</v>
      </c>
      <c r="B1535" s="128" t="s">
        <v>3186</v>
      </c>
    </row>
    <row r="1536" spans="1:72" x14ac:dyDescent="0.2">
      <c r="A1536" s="58">
        <v>1634</v>
      </c>
      <c r="B1536" s="128" t="s">
        <v>3068</v>
      </c>
    </row>
    <row r="1537" spans="1:73" x14ac:dyDescent="0.2">
      <c r="A1537" s="58">
        <v>1635</v>
      </c>
      <c r="B1537" s="128" t="s">
        <v>1155</v>
      </c>
    </row>
    <row r="1538" spans="1:73" x14ac:dyDescent="0.2">
      <c r="A1538" s="58">
        <v>1636</v>
      </c>
      <c r="B1538" s="128" t="s">
        <v>3168</v>
      </c>
    </row>
    <row r="1539" spans="1:73" x14ac:dyDescent="0.2">
      <c r="A1539" s="58">
        <v>1637</v>
      </c>
      <c r="B1539" s="128" t="s">
        <v>3520</v>
      </c>
    </row>
    <row r="1540" spans="1:73" x14ac:dyDescent="0.2">
      <c r="A1540" s="58">
        <v>1638</v>
      </c>
      <c r="B1540" s="128" t="s">
        <v>3517</v>
      </c>
    </row>
    <row r="1541" spans="1:73" x14ac:dyDescent="0.2">
      <c r="A1541" s="58">
        <v>1639</v>
      </c>
      <c r="B1541" s="128" t="s">
        <v>1531</v>
      </c>
    </row>
    <row r="1542" spans="1:73" x14ac:dyDescent="0.2">
      <c r="A1542" s="58">
        <v>1640</v>
      </c>
      <c r="B1542" s="128" t="s">
        <v>1489</v>
      </c>
    </row>
    <row r="1543" spans="1:73" x14ac:dyDescent="0.2">
      <c r="A1543" s="58">
        <v>1641</v>
      </c>
      <c r="B1543" s="128" t="s">
        <v>1491</v>
      </c>
    </row>
    <row r="1544" spans="1:73" x14ac:dyDescent="0.2">
      <c r="A1544" s="58">
        <v>1642</v>
      </c>
      <c r="B1544" s="128" t="s">
        <v>2878</v>
      </c>
    </row>
    <row r="1545" spans="1:73" x14ac:dyDescent="0.2">
      <c r="A1545" s="58">
        <v>1643</v>
      </c>
      <c r="B1545" s="128" t="s">
        <v>3060</v>
      </c>
    </row>
    <row r="1546" spans="1:73" x14ac:dyDescent="0.2">
      <c r="A1546" s="58">
        <v>1644</v>
      </c>
      <c r="B1546" s="128" t="s">
        <v>1432</v>
      </c>
      <c r="BU1546" s="127">
        <v>1</v>
      </c>
    </row>
    <row r="1547" spans="1:73" x14ac:dyDescent="0.2">
      <c r="A1547" s="58">
        <v>1645</v>
      </c>
      <c r="B1547" s="128" t="s">
        <v>2852</v>
      </c>
    </row>
    <row r="1548" spans="1:73" x14ac:dyDescent="0.2">
      <c r="A1548" s="58">
        <v>1646</v>
      </c>
      <c r="B1548" s="128" t="s">
        <v>1423</v>
      </c>
    </row>
    <row r="1549" spans="1:73" x14ac:dyDescent="0.2">
      <c r="A1549" s="58">
        <v>1647</v>
      </c>
      <c r="B1549" s="128" t="s">
        <v>1418</v>
      </c>
    </row>
    <row r="1550" spans="1:73" x14ac:dyDescent="0.2">
      <c r="A1550" s="58">
        <v>1648</v>
      </c>
      <c r="B1550" s="128" t="s">
        <v>1157</v>
      </c>
    </row>
    <row r="1551" spans="1:73" x14ac:dyDescent="0.2">
      <c r="A1551" s="58">
        <v>1649</v>
      </c>
      <c r="B1551" s="128" t="s">
        <v>2829</v>
      </c>
    </row>
    <row r="1552" spans="1:73" x14ac:dyDescent="0.2">
      <c r="A1552" s="58">
        <v>1650</v>
      </c>
      <c r="B1552" s="128" t="s">
        <v>1411</v>
      </c>
    </row>
    <row r="1553" spans="1:141" x14ac:dyDescent="0.2">
      <c r="A1553" s="58">
        <v>1651</v>
      </c>
      <c r="B1553" s="128" t="s">
        <v>534</v>
      </c>
    </row>
    <row r="1554" spans="1:141" x14ac:dyDescent="0.2">
      <c r="A1554" s="58">
        <v>1652</v>
      </c>
      <c r="B1554" s="128" t="s">
        <v>3194</v>
      </c>
    </row>
    <row r="1555" spans="1:141" x14ac:dyDescent="0.2">
      <c r="A1555" s="58">
        <v>1653</v>
      </c>
      <c r="B1555" s="128" t="s">
        <v>1524</v>
      </c>
      <c r="BU1555" s="127">
        <v>0.5</v>
      </c>
    </row>
    <row r="1556" spans="1:141" x14ac:dyDescent="0.2">
      <c r="A1556" s="58">
        <v>1654</v>
      </c>
      <c r="B1556" s="128" t="s">
        <v>3048</v>
      </c>
    </row>
    <row r="1557" spans="1:141" x14ac:dyDescent="0.2">
      <c r="A1557" s="58">
        <v>1655</v>
      </c>
      <c r="B1557" s="128" t="s">
        <v>3052</v>
      </c>
    </row>
    <row r="1558" spans="1:141" x14ac:dyDescent="0.2">
      <c r="A1558" s="58">
        <v>1656</v>
      </c>
      <c r="B1558" s="128" t="s">
        <v>3479</v>
      </c>
    </row>
    <row r="1559" spans="1:141" x14ac:dyDescent="0.2">
      <c r="A1559" s="58">
        <v>1657</v>
      </c>
      <c r="B1559" s="128" t="s">
        <v>3467</v>
      </c>
    </row>
    <row r="1560" spans="1:141" x14ac:dyDescent="0.2">
      <c r="A1560" s="58">
        <v>1658</v>
      </c>
      <c r="B1560" s="128" t="s">
        <v>3516</v>
      </c>
    </row>
    <row r="1561" spans="1:141" x14ac:dyDescent="0.2">
      <c r="A1561" s="58">
        <v>1659</v>
      </c>
      <c r="B1561" s="128" t="s">
        <v>3455</v>
      </c>
      <c r="BU1561" s="127">
        <v>0.5</v>
      </c>
    </row>
    <row r="1562" spans="1:141" x14ac:dyDescent="0.2">
      <c r="A1562" s="58">
        <v>1660</v>
      </c>
      <c r="B1562" s="128" t="s">
        <v>3073</v>
      </c>
    </row>
    <row r="1563" spans="1:141" x14ac:dyDescent="0.2">
      <c r="A1563" s="58">
        <v>1661</v>
      </c>
      <c r="B1563" s="128" t="s">
        <v>3186</v>
      </c>
    </row>
    <row r="1564" spans="1:141" x14ac:dyDescent="0.2">
      <c r="A1564" s="58">
        <v>1662</v>
      </c>
      <c r="B1564" s="128" t="s">
        <v>1409</v>
      </c>
    </row>
    <row r="1565" spans="1:141" x14ac:dyDescent="0.2">
      <c r="A1565" s="58">
        <v>1663</v>
      </c>
      <c r="B1565" s="128" t="s">
        <v>1180</v>
      </c>
    </row>
    <row r="1566" spans="1:141" x14ac:dyDescent="0.2">
      <c r="A1566" s="58">
        <v>1664</v>
      </c>
      <c r="B1566" s="128" t="s">
        <v>1529</v>
      </c>
    </row>
    <row r="1567" spans="1:141" x14ac:dyDescent="0.2">
      <c r="A1567" s="58">
        <v>1665</v>
      </c>
      <c r="B1567" s="128" t="s">
        <v>3485</v>
      </c>
      <c r="BV1567" s="127">
        <v>10</v>
      </c>
      <c r="ED1567" s="127">
        <v>15</v>
      </c>
      <c r="EK1567" s="127">
        <v>12</v>
      </c>
    </row>
    <row r="1568" spans="1:141" x14ac:dyDescent="0.2">
      <c r="A1568" s="58">
        <v>1666</v>
      </c>
      <c r="B1568" s="128" t="s">
        <v>1429</v>
      </c>
      <c r="BV1568" s="127">
        <v>3</v>
      </c>
    </row>
    <row r="1569" spans="1:2" x14ac:dyDescent="0.2">
      <c r="A1569" s="58">
        <v>1667</v>
      </c>
      <c r="B1569" s="128" t="s">
        <v>3199</v>
      </c>
    </row>
    <row r="1570" spans="1:2" x14ac:dyDescent="0.2">
      <c r="A1570" s="58">
        <v>1668</v>
      </c>
      <c r="B1570" s="128" t="s">
        <v>3462</v>
      </c>
    </row>
    <row r="1571" spans="1:2" x14ac:dyDescent="0.2">
      <c r="A1571" s="58">
        <v>1669</v>
      </c>
      <c r="B1571" s="128" t="s">
        <v>1169</v>
      </c>
    </row>
    <row r="1572" spans="1:2" x14ac:dyDescent="0.2">
      <c r="A1572" s="58">
        <v>1670</v>
      </c>
      <c r="B1572" s="128" t="s">
        <v>3467</v>
      </c>
    </row>
    <row r="1573" spans="1:2" x14ac:dyDescent="0.2">
      <c r="A1573" s="58">
        <v>1671</v>
      </c>
      <c r="B1573" s="128" t="s">
        <v>3473</v>
      </c>
    </row>
    <row r="1574" spans="1:2" x14ac:dyDescent="0.2">
      <c r="A1574" s="58">
        <v>1672</v>
      </c>
      <c r="B1574" s="128" t="s">
        <v>3199</v>
      </c>
    </row>
    <row r="1575" spans="1:2" x14ac:dyDescent="0.2">
      <c r="A1575" s="58">
        <v>1673</v>
      </c>
      <c r="B1575" s="128" t="s">
        <v>3202</v>
      </c>
    </row>
    <row r="1576" spans="1:2" x14ac:dyDescent="0.2">
      <c r="A1576" s="58">
        <v>1674</v>
      </c>
      <c r="B1576" s="128" t="s">
        <v>3463</v>
      </c>
    </row>
    <row r="1577" spans="1:2" x14ac:dyDescent="0.2">
      <c r="A1577" s="58">
        <v>1675</v>
      </c>
      <c r="B1577" s="128" t="s">
        <v>3057</v>
      </c>
    </row>
    <row r="1578" spans="1:2" x14ac:dyDescent="0.2">
      <c r="A1578" s="58">
        <v>1676</v>
      </c>
      <c r="B1578" s="128" t="s">
        <v>3478</v>
      </c>
    </row>
    <row r="1579" spans="1:2" x14ac:dyDescent="0.2">
      <c r="A1579" s="58">
        <v>1677</v>
      </c>
      <c r="B1579" s="128" t="s">
        <v>1415</v>
      </c>
    </row>
    <row r="1580" spans="1:2" x14ac:dyDescent="0.2">
      <c r="A1580" s="58">
        <v>1678</v>
      </c>
      <c r="B1580" s="128" t="s">
        <v>3048</v>
      </c>
    </row>
    <row r="1581" spans="1:2" x14ac:dyDescent="0.2">
      <c r="A1581" s="58">
        <v>1679</v>
      </c>
      <c r="B1581" s="128" t="s">
        <v>3052</v>
      </c>
    </row>
    <row r="1582" spans="1:2" x14ac:dyDescent="0.2">
      <c r="A1582" s="58">
        <v>1680</v>
      </c>
      <c r="B1582" s="128" t="s">
        <v>3520</v>
      </c>
    </row>
    <row r="1583" spans="1:2" x14ac:dyDescent="0.2">
      <c r="A1583" s="58">
        <v>1681</v>
      </c>
      <c r="B1583" s="128" t="s">
        <v>3186</v>
      </c>
    </row>
    <row r="1584" spans="1:2" x14ac:dyDescent="0.2">
      <c r="A1584" s="58">
        <v>1682</v>
      </c>
      <c r="B1584" s="128" t="s">
        <v>3060</v>
      </c>
    </row>
    <row r="1585" spans="1:2" x14ac:dyDescent="0.2">
      <c r="A1585" s="58">
        <v>1683</v>
      </c>
      <c r="B1585" s="128" t="s">
        <v>3492</v>
      </c>
    </row>
    <row r="1586" spans="1:2" x14ac:dyDescent="0.2">
      <c r="A1586" s="58">
        <v>1684</v>
      </c>
      <c r="B1586" s="128" t="s">
        <v>1413</v>
      </c>
    </row>
    <row r="1587" spans="1:2" x14ac:dyDescent="0.2">
      <c r="A1587" s="58">
        <v>1685</v>
      </c>
      <c r="B1587" s="128" t="s">
        <v>1415</v>
      </c>
    </row>
    <row r="1588" spans="1:2" x14ac:dyDescent="0.2">
      <c r="A1588" s="58">
        <v>1686</v>
      </c>
      <c r="B1588" s="128" t="s">
        <v>3060</v>
      </c>
    </row>
    <row r="1589" spans="1:2" x14ac:dyDescent="0.2">
      <c r="A1589" s="58">
        <v>1687</v>
      </c>
      <c r="B1589" s="128" t="s">
        <v>1200</v>
      </c>
    </row>
    <row r="1590" spans="1:2" x14ac:dyDescent="0.2">
      <c r="A1590" s="58">
        <v>1688</v>
      </c>
      <c r="B1590" s="128" t="s">
        <v>2852</v>
      </c>
    </row>
    <row r="1591" spans="1:2" x14ac:dyDescent="0.2">
      <c r="A1591" s="58">
        <v>1689</v>
      </c>
      <c r="B1591" s="128" t="s">
        <v>534</v>
      </c>
    </row>
    <row r="1592" spans="1:2" x14ac:dyDescent="0.2">
      <c r="A1592" s="58">
        <v>1690</v>
      </c>
      <c r="B1592" s="128" t="s">
        <v>2900</v>
      </c>
    </row>
    <row r="1593" spans="1:2" x14ac:dyDescent="0.2">
      <c r="A1593" s="58">
        <v>1691</v>
      </c>
      <c r="B1593" s="128" t="s">
        <v>3048</v>
      </c>
    </row>
    <row r="1594" spans="1:2" x14ac:dyDescent="0.2">
      <c r="A1594" s="58">
        <v>1692</v>
      </c>
      <c r="B1594" s="128" t="s">
        <v>3062</v>
      </c>
    </row>
    <row r="1595" spans="1:2" x14ac:dyDescent="0.2">
      <c r="A1595" s="58">
        <v>1693</v>
      </c>
      <c r="B1595" s="128" t="s">
        <v>1169</v>
      </c>
    </row>
    <row r="1596" spans="1:2" x14ac:dyDescent="0.2">
      <c r="A1596" s="58">
        <v>1694</v>
      </c>
      <c r="B1596" s="128" t="s">
        <v>3516</v>
      </c>
    </row>
    <row r="1597" spans="1:2" x14ac:dyDescent="0.2">
      <c r="A1597" s="58">
        <v>1695</v>
      </c>
      <c r="B1597" s="128" t="s">
        <v>534</v>
      </c>
    </row>
    <row r="1598" spans="1:2" x14ac:dyDescent="0.2">
      <c r="A1598" s="58">
        <v>1696</v>
      </c>
      <c r="B1598" s="128" t="s">
        <v>1169</v>
      </c>
    </row>
    <row r="1599" spans="1:2" x14ac:dyDescent="0.2">
      <c r="A1599" s="58">
        <v>1697</v>
      </c>
      <c r="B1599" s="128" t="s">
        <v>3060</v>
      </c>
    </row>
    <row r="1600" spans="1:2" x14ac:dyDescent="0.2">
      <c r="A1600" s="58">
        <v>1698</v>
      </c>
      <c r="B1600" s="128" t="s">
        <v>3516</v>
      </c>
    </row>
    <row r="1601" spans="1:168" x14ac:dyDescent="0.2">
      <c r="A1601" s="58">
        <v>1699</v>
      </c>
      <c r="B1601" s="128" t="s">
        <v>1531</v>
      </c>
    </row>
    <row r="1602" spans="1:168" x14ac:dyDescent="0.2">
      <c r="A1602" s="58">
        <v>1700</v>
      </c>
      <c r="B1602" s="128" t="s">
        <v>3048</v>
      </c>
    </row>
    <row r="1603" spans="1:168" x14ac:dyDescent="0.2">
      <c r="A1603" s="58">
        <v>1701</v>
      </c>
      <c r="B1603" s="128" t="s">
        <v>3062</v>
      </c>
    </row>
    <row r="1604" spans="1:168" x14ac:dyDescent="0.2">
      <c r="A1604" s="58">
        <v>1702</v>
      </c>
      <c r="B1604" s="128" t="s">
        <v>540</v>
      </c>
      <c r="CA1604" s="127">
        <v>6</v>
      </c>
      <c r="CB1604" s="127">
        <v>25</v>
      </c>
      <c r="DW1604" s="127">
        <v>25</v>
      </c>
      <c r="DZ1604" s="127">
        <v>4</v>
      </c>
      <c r="FL1604" s="127">
        <v>9</v>
      </c>
    </row>
    <row r="1605" spans="1:168" x14ac:dyDescent="0.2">
      <c r="A1605" s="58">
        <v>1703</v>
      </c>
      <c r="B1605" s="128" t="s">
        <v>563</v>
      </c>
      <c r="CA1605" s="127">
        <v>2</v>
      </c>
    </row>
    <row r="1606" spans="1:168" x14ac:dyDescent="0.2">
      <c r="A1606" s="58">
        <v>1704</v>
      </c>
      <c r="B1606" s="128" t="s">
        <v>3462</v>
      </c>
    </row>
    <row r="1607" spans="1:168" x14ac:dyDescent="0.2">
      <c r="A1607" s="58">
        <v>1705</v>
      </c>
      <c r="B1607" s="128" t="s">
        <v>3048</v>
      </c>
    </row>
    <row r="1608" spans="1:168" x14ac:dyDescent="0.2">
      <c r="A1608" s="58">
        <v>1706</v>
      </c>
      <c r="B1608" s="128" t="s">
        <v>540</v>
      </c>
    </row>
    <row r="1609" spans="1:168" x14ac:dyDescent="0.2">
      <c r="A1609" s="58">
        <v>1707</v>
      </c>
      <c r="B1609" s="128" t="s">
        <v>3462</v>
      </c>
    </row>
    <row r="1610" spans="1:168" x14ac:dyDescent="0.2">
      <c r="A1610" s="58">
        <v>1708</v>
      </c>
      <c r="B1610" s="128" t="s">
        <v>3062</v>
      </c>
    </row>
    <row r="1611" spans="1:168" x14ac:dyDescent="0.2">
      <c r="A1611" s="58">
        <v>1709</v>
      </c>
      <c r="B1611" s="128" t="s">
        <v>1423</v>
      </c>
    </row>
    <row r="1612" spans="1:168" x14ac:dyDescent="0.2">
      <c r="A1612" s="58">
        <v>1710</v>
      </c>
      <c r="B1612" s="128" t="s">
        <v>1412</v>
      </c>
    </row>
    <row r="1613" spans="1:168" x14ac:dyDescent="0.2">
      <c r="A1613" s="58">
        <v>1711</v>
      </c>
      <c r="B1613" s="128" t="s">
        <v>3172</v>
      </c>
    </row>
    <row r="1614" spans="1:168" x14ac:dyDescent="0.2">
      <c r="A1614" s="58">
        <v>1712</v>
      </c>
      <c r="B1614" s="128" t="s">
        <v>3492</v>
      </c>
    </row>
    <row r="1615" spans="1:168" x14ac:dyDescent="0.2">
      <c r="A1615" s="58">
        <v>1713</v>
      </c>
      <c r="B1615" s="128" t="s">
        <v>1415</v>
      </c>
    </row>
    <row r="1616" spans="1:168" x14ac:dyDescent="0.2">
      <c r="A1616" s="58">
        <v>1714</v>
      </c>
      <c r="B1616" s="128" t="s">
        <v>3495</v>
      </c>
    </row>
    <row r="1617" spans="1:81" x14ac:dyDescent="0.2">
      <c r="A1617" s="58">
        <v>1715</v>
      </c>
      <c r="B1617" s="128" t="s">
        <v>2829</v>
      </c>
    </row>
    <row r="1618" spans="1:81" x14ac:dyDescent="0.2">
      <c r="A1618" s="58">
        <v>1716</v>
      </c>
      <c r="B1618" s="128" t="s">
        <v>3202</v>
      </c>
    </row>
    <row r="1619" spans="1:81" x14ac:dyDescent="0.2">
      <c r="A1619" s="58">
        <v>1717</v>
      </c>
      <c r="B1619" s="128" t="s">
        <v>3520</v>
      </c>
    </row>
    <row r="1620" spans="1:81" x14ac:dyDescent="0.2">
      <c r="A1620" s="58">
        <v>1718</v>
      </c>
      <c r="B1620" s="128" t="s">
        <v>2810</v>
      </c>
      <c r="CC1620" s="127">
        <v>3</v>
      </c>
    </row>
    <row r="1621" spans="1:81" x14ac:dyDescent="0.2">
      <c r="A1621" s="58">
        <v>1719</v>
      </c>
      <c r="B1621" s="128" t="s">
        <v>3201</v>
      </c>
    </row>
    <row r="1622" spans="1:81" x14ac:dyDescent="0.2">
      <c r="A1622" s="58">
        <v>1720</v>
      </c>
      <c r="B1622" s="128" t="s">
        <v>3172</v>
      </c>
    </row>
    <row r="1623" spans="1:81" x14ac:dyDescent="0.2">
      <c r="A1623" s="58">
        <v>1721</v>
      </c>
      <c r="B1623" s="128" t="s">
        <v>3492</v>
      </c>
    </row>
    <row r="1624" spans="1:81" x14ac:dyDescent="0.2">
      <c r="A1624" s="58">
        <v>1722</v>
      </c>
      <c r="B1624" s="128" t="s">
        <v>534</v>
      </c>
    </row>
    <row r="1625" spans="1:81" x14ac:dyDescent="0.2">
      <c r="A1625" s="58">
        <v>1723</v>
      </c>
      <c r="B1625" s="128" t="s">
        <v>3520</v>
      </c>
    </row>
    <row r="1626" spans="1:81" x14ac:dyDescent="0.2">
      <c r="A1626" s="58">
        <v>1724</v>
      </c>
      <c r="B1626" s="128" t="s">
        <v>3060</v>
      </c>
    </row>
    <row r="1627" spans="1:81" x14ac:dyDescent="0.2">
      <c r="A1627" s="58">
        <v>1725</v>
      </c>
      <c r="B1627" s="128" t="s">
        <v>3492</v>
      </c>
    </row>
    <row r="1628" spans="1:81" x14ac:dyDescent="0.2">
      <c r="A1628" s="58">
        <v>1726</v>
      </c>
      <c r="B1628" s="128" t="s">
        <v>3186</v>
      </c>
    </row>
    <row r="1629" spans="1:81" x14ac:dyDescent="0.2">
      <c r="A1629" s="58">
        <v>1727</v>
      </c>
      <c r="B1629" s="128" t="s">
        <v>3194</v>
      </c>
    </row>
    <row r="1630" spans="1:81" x14ac:dyDescent="0.2">
      <c r="A1630" s="58">
        <v>1728</v>
      </c>
      <c r="B1630" s="128" t="s">
        <v>2852</v>
      </c>
    </row>
    <row r="1631" spans="1:81" x14ac:dyDescent="0.2">
      <c r="A1631" s="58">
        <v>1729</v>
      </c>
      <c r="B1631" s="128" t="s">
        <v>3495</v>
      </c>
    </row>
    <row r="1632" spans="1:81" x14ac:dyDescent="0.2">
      <c r="A1632" s="58">
        <v>1730</v>
      </c>
      <c r="B1632" s="128" t="s">
        <v>1529</v>
      </c>
    </row>
    <row r="1633" spans="1:2" x14ac:dyDescent="0.2">
      <c r="A1633" s="58">
        <v>1731</v>
      </c>
      <c r="B1633" s="128" t="s">
        <v>1200</v>
      </c>
    </row>
    <row r="1634" spans="1:2" x14ac:dyDescent="0.2">
      <c r="A1634" s="58">
        <v>1732</v>
      </c>
      <c r="B1634" s="128" t="s">
        <v>1415</v>
      </c>
    </row>
    <row r="1635" spans="1:2" x14ac:dyDescent="0.2">
      <c r="A1635" s="58">
        <v>1733</v>
      </c>
      <c r="B1635" s="128" t="s">
        <v>3462</v>
      </c>
    </row>
    <row r="1636" spans="1:2" x14ac:dyDescent="0.2">
      <c r="A1636" s="58">
        <v>1734</v>
      </c>
      <c r="B1636" s="128" t="s">
        <v>1157</v>
      </c>
    </row>
    <row r="1637" spans="1:2" x14ac:dyDescent="0.2">
      <c r="A1637" s="58">
        <v>1735</v>
      </c>
      <c r="B1637" s="128" t="s">
        <v>534</v>
      </c>
    </row>
    <row r="1638" spans="1:2" x14ac:dyDescent="0.2">
      <c r="A1638" s="58">
        <v>1736</v>
      </c>
      <c r="B1638" s="128" t="s">
        <v>3435</v>
      </c>
    </row>
    <row r="1639" spans="1:2" x14ac:dyDescent="0.2">
      <c r="A1639" s="58">
        <v>1737</v>
      </c>
      <c r="B1639" s="128" t="s">
        <v>3494</v>
      </c>
    </row>
    <row r="1640" spans="1:2" x14ac:dyDescent="0.2">
      <c r="A1640" s="58">
        <v>1738</v>
      </c>
      <c r="B1640" s="128" t="s">
        <v>3186</v>
      </c>
    </row>
    <row r="1641" spans="1:2" x14ac:dyDescent="0.2">
      <c r="A1641" s="58">
        <v>1739</v>
      </c>
      <c r="B1641" s="128" t="s">
        <v>3492</v>
      </c>
    </row>
    <row r="1642" spans="1:2" x14ac:dyDescent="0.2">
      <c r="A1642" s="58">
        <v>1740</v>
      </c>
      <c r="B1642" s="128" t="s">
        <v>1531</v>
      </c>
    </row>
    <row r="1643" spans="1:2" x14ac:dyDescent="0.2">
      <c r="A1643" s="58">
        <v>1741</v>
      </c>
      <c r="B1643" s="128" t="s">
        <v>3520</v>
      </c>
    </row>
    <row r="1644" spans="1:2" x14ac:dyDescent="0.2">
      <c r="A1644" s="58">
        <v>1742</v>
      </c>
      <c r="B1644" s="128" t="s">
        <v>1200</v>
      </c>
    </row>
    <row r="1645" spans="1:2" x14ac:dyDescent="0.2">
      <c r="A1645" s="58">
        <v>1743</v>
      </c>
      <c r="B1645" s="128" t="s">
        <v>3063</v>
      </c>
    </row>
    <row r="1646" spans="1:2" x14ac:dyDescent="0.2">
      <c r="A1646" s="58">
        <v>1744</v>
      </c>
      <c r="B1646" s="128" t="s">
        <v>3496</v>
      </c>
    </row>
    <row r="1647" spans="1:2" x14ac:dyDescent="0.2">
      <c r="A1647" s="58">
        <v>1745</v>
      </c>
      <c r="B1647" s="128" t="s">
        <v>2852</v>
      </c>
    </row>
    <row r="1648" spans="1:2" x14ac:dyDescent="0.2">
      <c r="A1648" s="58">
        <v>1746</v>
      </c>
      <c r="B1648" s="128" t="s">
        <v>1157</v>
      </c>
    </row>
    <row r="1649" spans="1:2" x14ac:dyDescent="0.2">
      <c r="A1649" s="58">
        <v>1747</v>
      </c>
      <c r="B1649" s="128" t="s">
        <v>3186</v>
      </c>
    </row>
    <row r="1650" spans="1:2" x14ac:dyDescent="0.2">
      <c r="A1650" s="58">
        <v>1748</v>
      </c>
      <c r="B1650" s="128" t="s">
        <v>2829</v>
      </c>
    </row>
    <row r="1651" spans="1:2" x14ac:dyDescent="0.2">
      <c r="A1651" s="58">
        <v>1749</v>
      </c>
      <c r="B1651" s="128" t="s">
        <v>3447</v>
      </c>
    </row>
    <row r="1652" spans="1:2" x14ac:dyDescent="0.2">
      <c r="A1652" s="58">
        <v>1750</v>
      </c>
      <c r="B1652" s="128" t="s">
        <v>1405</v>
      </c>
    </row>
    <row r="1653" spans="1:2" x14ac:dyDescent="0.2">
      <c r="A1653" s="58">
        <v>1751</v>
      </c>
      <c r="B1653" s="128" t="s">
        <v>3123</v>
      </c>
    </row>
    <row r="1654" spans="1:2" x14ac:dyDescent="0.2">
      <c r="A1654" s="58">
        <v>1752</v>
      </c>
      <c r="B1654" s="128" t="s">
        <v>3135</v>
      </c>
    </row>
    <row r="1655" spans="1:2" x14ac:dyDescent="0.2">
      <c r="A1655" s="58">
        <v>1753</v>
      </c>
      <c r="B1655" s="128" t="s">
        <v>1408</v>
      </c>
    </row>
    <row r="1656" spans="1:2" x14ac:dyDescent="0.2">
      <c r="A1656" s="58">
        <v>1754</v>
      </c>
      <c r="B1656" s="128" t="s">
        <v>534</v>
      </c>
    </row>
    <row r="1657" spans="1:2" x14ac:dyDescent="0.2">
      <c r="A1657" s="58">
        <v>1755</v>
      </c>
      <c r="B1657" s="128" t="s">
        <v>3194</v>
      </c>
    </row>
    <row r="1658" spans="1:2" x14ac:dyDescent="0.2">
      <c r="A1658" s="58">
        <v>1756</v>
      </c>
      <c r="B1658" s="128" t="s">
        <v>3435</v>
      </c>
    </row>
    <row r="1659" spans="1:2" x14ac:dyDescent="0.2">
      <c r="A1659" s="58">
        <v>1757</v>
      </c>
      <c r="B1659" s="128" t="s">
        <v>3201</v>
      </c>
    </row>
    <row r="1660" spans="1:2" x14ac:dyDescent="0.2">
      <c r="A1660" s="58">
        <v>1758</v>
      </c>
      <c r="B1660" s="128" t="s">
        <v>3062</v>
      </c>
    </row>
    <row r="1661" spans="1:2" x14ac:dyDescent="0.2">
      <c r="A1661" s="58">
        <v>1759</v>
      </c>
      <c r="B1661" s="128" t="s">
        <v>1529</v>
      </c>
    </row>
    <row r="1662" spans="1:2" x14ac:dyDescent="0.2">
      <c r="A1662" s="58">
        <v>1760</v>
      </c>
      <c r="B1662" s="128" t="s">
        <v>3495</v>
      </c>
    </row>
    <row r="1663" spans="1:2" x14ac:dyDescent="0.2">
      <c r="A1663" s="58">
        <v>1761</v>
      </c>
      <c r="B1663" s="128" t="s">
        <v>3447</v>
      </c>
    </row>
    <row r="1664" spans="1:2" x14ac:dyDescent="0.2">
      <c r="A1664" s="58">
        <v>1762</v>
      </c>
      <c r="B1664" s="128" t="s">
        <v>1415</v>
      </c>
    </row>
    <row r="1665" spans="1:2" x14ac:dyDescent="0.2">
      <c r="A1665" s="58">
        <v>1763</v>
      </c>
      <c r="B1665" s="128" t="s">
        <v>3186</v>
      </c>
    </row>
    <row r="1666" spans="1:2" x14ac:dyDescent="0.2">
      <c r="A1666" s="58">
        <v>1764</v>
      </c>
      <c r="B1666" s="128" t="s">
        <v>1400</v>
      </c>
    </row>
    <row r="1667" spans="1:2" x14ac:dyDescent="0.2">
      <c r="A1667" s="58">
        <v>1765</v>
      </c>
      <c r="B1667" s="128" t="s">
        <v>3063</v>
      </c>
    </row>
    <row r="1668" spans="1:2" x14ac:dyDescent="0.2">
      <c r="A1668" s="58">
        <v>1766</v>
      </c>
      <c r="B1668" s="128" t="s">
        <v>3062</v>
      </c>
    </row>
    <row r="1669" spans="1:2" x14ac:dyDescent="0.2">
      <c r="A1669" s="58">
        <v>1767</v>
      </c>
      <c r="B1669" s="128" t="s">
        <v>3462</v>
      </c>
    </row>
    <row r="1670" spans="1:2" x14ac:dyDescent="0.2">
      <c r="A1670" s="58">
        <v>1768</v>
      </c>
      <c r="B1670" s="128" t="s">
        <v>1423</v>
      </c>
    </row>
    <row r="1671" spans="1:2" x14ac:dyDescent="0.2">
      <c r="A1671" s="58">
        <v>1769</v>
      </c>
      <c r="B1671" s="128" t="s">
        <v>1150</v>
      </c>
    </row>
    <row r="1672" spans="1:2" x14ac:dyDescent="0.2">
      <c r="A1672" s="58">
        <v>1770</v>
      </c>
      <c r="B1672" s="128" t="s">
        <v>534</v>
      </c>
    </row>
    <row r="1673" spans="1:2" x14ac:dyDescent="0.2">
      <c r="A1673" s="58">
        <v>1771</v>
      </c>
      <c r="B1673" s="128" t="s">
        <v>1415</v>
      </c>
    </row>
    <row r="1674" spans="1:2" x14ac:dyDescent="0.2">
      <c r="A1674" s="58">
        <v>1772</v>
      </c>
      <c r="B1674" s="128" t="s">
        <v>1157</v>
      </c>
    </row>
    <row r="1675" spans="1:2" x14ac:dyDescent="0.2">
      <c r="A1675" s="58">
        <v>1773</v>
      </c>
      <c r="B1675" s="128" t="s">
        <v>3467</v>
      </c>
    </row>
    <row r="1676" spans="1:2" x14ac:dyDescent="0.2">
      <c r="A1676" s="58">
        <v>1774</v>
      </c>
      <c r="B1676" s="128" t="s">
        <v>1529</v>
      </c>
    </row>
    <row r="1677" spans="1:2" x14ac:dyDescent="0.2">
      <c r="A1677" s="58">
        <v>1775</v>
      </c>
      <c r="B1677" s="128" t="s">
        <v>2852</v>
      </c>
    </row>
    <row r="1678" spans="1:2" x14ac:dyDescent="0.2">
      <c r="A1678" s="58">
        <v>1776</v>
      </c>
      <c r="B1678" s="128" t="s">
        <v>3331</v>
      </c>
    </row>
    <row r="1679" spans="1:2" x14ac:dyDescent="0.2">
      <c r="A1679" s="58">
        <v>1777</v>
      </c>
      <c r="B1679" s="128" t="s">
        <v>3489</v>
      </c>
    </row>
    <row r="1680" spans="1:2" x14ac:dyDescent="0.2">
      <c r="A1680" s="58">
        <v>1778</v>
      </c>
      <c r="B1680" s="128" t="s">
        <v>3492</v>
      </c>
    </row>
    <row r="1681" spans="1:134" x14ac:dyDescent="0.2">
      <c r="A1681" s="58">
        <v>1779</v>
      </c>
      <c r="B1681" s="128" t="s">
        <v>3516</v>
      </c>
    </row>
    <row r="1682" spans="1:134" x14ac:dyDescent="0.2">
      <c r="A1682" s="58">
        <v>1780</v>
      </c>
      <c r="B1682" s="128" t="s">
        <v>1144</v>
      </c>
    </row>
    <row r="1683" spans="1:134" x14ac:dyDescent="0.2">
      <c r="A1683" s="58">
        <v>1781</v>
      </c>
      <c r="B1683" s="128" t="s">
        <v>3062</v>
      </c>
    </row>
    <row r="1684" spans="1:134" x14ac:dyDescent="0.2">
      <c r="A1684" s="58">
        <v>1782</v>
      </c>
      <c r="B1684" s="128" t="s">
        <v>3467</v>
      </c>
    </row>
    <row r="1685" spans="1:134" x14ac:dyDescent="0.2">
      <c r="A1685" s="58">
        <v>1783</v>
      </c>
      <c r="B1685" s="128" t="s">
        <v>1529</v>
      </c>
    </row>
    <row r="1686" spans="1:134" x14ac:dyDescent="0.2">
      <c r="A1686" s="58">
        <v>1784</v>
      </c>
      <c r="B1686" s="128" t="s">
        <v>3478</v>
      </c>
    </row>
    <row r="1687" spans="1:134" x14ac:dyDescent="0.2">
      <c r="A1687" s="58">
        <v>1785</v>
      </c>
      <c r="B1687" s="128" t="s">
        <v>3462</v>
      </c>
    </row>
    <row r="1688" spans="1:134" x14ac:dyDescent="0.2">
      <c r="A1688" s="58">
        <v>1786</v>
      </c>
      <c r="B1688" s="128" t="s">
        <v>3136</v>
      </c>
    </row>
    <row r="1689" spans="1:134" x14ac:dyDescent="0.2">
      <c r="A1689" s="58">
        <v>1787</v>
      </c>
      <c r="B1689" s="128" t="s">
        <v>3180</v>
      </c>
    </row>
    <row r="1690" spans="1:134" x14ac:dyDescent="0.2">
      <c r="A1690" s="58">
        <v>1788</v>
      </c>
      <c r="B1690" s="128" t="s">
        <v>3520</v>
      </c>
    </row>
    <row r="1691" spans="1:134" x14ac:dyDescent="0.2">
      <c r="A1691" s="58">
        <v>1789</v>
      </c>
      <c r="B1691" s="128" t="s">
        <v>3517</v>
      </c>
    </row>
    <row r="1692" spans="1:134" x14ac:dyDescent="0.2">
      <c r="A1692" s="58">
        <v>1790</v>
      </c>
      <c r="B1692" s="128" t="s">
        <v>3047</v>
      </c>
      <c r="CK1692" s="127">
        <v>4</v>
      </c>
      <c r="CL1692" s="127">
        <v>2</v>
      </c>
      <c r="DF1692" s="127">
        <v>3</v>
      </c>
      <c r="DG1692" s="127">
        <v>20</v>
      </c>
      <c r="ED1692" s="127">
        <v>15</v>
      </c>
    </row>
    <row r="1693" spans="1:134" x14ac:dyDescent="0.2">
      <c r="A1693" s="58">
        <v>1791</v>
      </c>
      <c r="B1693" s="128" t="s">
        <v>561</v>
      </c>
      <c r="CL1693" s="127">
        <v>50</v>
      </c>
      <c r="DF1693" s="127">
        <v>15</v>
      </c>
    </row>
    <row r="1694" spans="1:134" x14ac:dyDescent="0.2">
      <c r="A1694" s="58">
        <v>1792</v>
      </c>
      <c r="B1694" s="128" t="s">
        <v>3478</v>
      </c>
    </row>
    <row r="1695" spans="1:134" x14ac:dyDescent="0.2">
      <c r="A1695" s="58">
        <v>1793</v>
      </c>
      <c r="B1695" s="128" t="s">
        <v>3076</v>
      </c>
    </row>
    <row r="1696" spans="1:134" x14ac:dyDescent="0.2">
      <c r="A1696" s="58">
        <v>1794</v>
      </c>
      <c r="B1696" s="128" t="s">
        <v>3180</v>
      </c>
    </row>
    <row r="1697" spans="1:91" x14ac:dyDescent="0.2">
      <c r="A1697" s="58">
        <v>1795</v>
      </c>
      <c r="B1697" s="128" t="s">
        <v>1180</v>
      </c>
    </row>
    <row r="1698" spans="1:91" x14ac:dyDescent="0.2">
      <c r="A1698" s="58">
        <v>1796</v>
      </c>
      <c r="B1698" s="128" t="s">
        <v>3057</v>
      </c>
    </row>
    <row r="1699" spans="1:91" x14ac:dyDescent="0.2">
      <c r="A1699" s="58">
        <v>1797</v>
      </c>
      <c r="B1699" s="128" t="s">
        <v>3047</v>
      </c>
    </row>
    <row r="1700" spans="1:91" x14ac:dyDescent="0.2">
      <c r="A1700" s="58">
        <v>1798</v>
      </c>
      <c r="B1700" s="128" t="s">
        <v>559</v>
      </c>
      <c r="CL1700" s="127">
        <v>2</v>
      </c>
    </row>
    <row r="1701" spans="1:91" x14ac:dyDescent="0.2">
      <c r="A1701" s="58">
        <v>1799</v>
      </c>
      <c r="B1701" s="128" t="s">
        <v>1196</v>
      </c>
      <c r="CL1701" s="127">
        <v>1</v>
      </c>
    </row>
    <row r="1702" spans="1:91" x14ac:dyDescent="0.2">
      <c r="A1702" s="58">
        <v>1800</v>
      </c>
      <c r="B1702" s="128" t="s">
        <v>3052</v>
      </c>
    </row>
    <row r="1703" spans="1:91" x14ac:dyDescent="0.2">
      <c r="A1703" s="58">
        <v>1801</v>
      </c>
      <c r="B1703" s="128" t="s">
        <v>3062</v>
      </c>
    </row>
    <row r="1704" spans="1:91" x14ac:dyDescent="0.2">
      <c r="A1704" s="58">
        <v>1802</v>
      </c>
      <c r="B1704" s="128" t="s">
        <v>2830</v>
      </c>
      <c r="CM1704" s="127">
        <v>20</v>
      </c>
    </row>
    <row r="1705" spans="1:91" x14ac:dyDescent="0.2">
      <c r="A1705" s="58">
        <v>1803</v>
      </c>
      <c r="B1705" s="128" t="s">
        <v>3331</v>
      </c>
    </row>
    <row r="1706" spans="1:91" x14ac:dyDescent="0.2">
      <c r="A1706" s="58">
        <v>1804</v>
      </c>
      <c r="B1706" s="128" t="s">
        <v>3517</v>
      </c>
    </row>
    <row r="1707" spans="1:91" x14ac:dyDescent="0.2">
      <c r="A1707" s="58">
        <v>1805</v>
      </c>
      <c r="B1707" s="128" t="s">
        <v>3090</v>
      </c>
    </row>
    <row r="1708" spans="1:91" x14ac:dyDescent="0.2">
      <c r="A1708" s="58">
        <v>1806</v>
      </c>
      <c r="B1708" s="128" t="s">
        <v>2852</v>
      </c>
    </row>
    <row r="1709" spans="1:91" x14ac:dyDescent="0.2">
      <c r="A1709" s="58">
        <v>1807</v>
      </c>
      <c r="B1709" s="128" t="s">
        <v>1208</v>
      </c>
    </row>
    <row r="1710" spans="1:91" x14ac:dyDescent="0.2">
      <c r="A1710" s="58">
        <v>1808</v>
      </c>
      <c r="B1710" s="128" t="s">
        <v>1415</v>
      </c>
    </row>
    <row r="1711" spans="1:91" x14ac:dyDescent="0.2">
      <c r="A1711" s="58">
        <v>1809</v>
      </c>
      <c r="B1711" s="128" t="s">
        <v>2880</v>
      </c>
    </row>
    <row r="1712" spans="1:91" x14ac:dyDescent="0.2">
      <c r="A1712" s="58">
        <v>1810</v>
      </c>
      <c r="B1712" s="128" t="s">
        <v>2897</v>
      </c>
    </row>
    <row r="1713" spans="1:2" x14ac:dyDescent="0.2">
      <c r="A1713" s="58">
        <v>1811</v>
      </c>
      <c r="B1713" s="128" t="s">
        <v>3076</v>
      </c>
    </row>
    <row r="1714" spans="1:2" x14ac:dyDescent="0.2">
      <c r="A1714" s="58">
        <v>1812</v>
      </c>
      <c r="B1714" s="128" t="s">
        <v>3057</v>
      </c>
    </row>
    <row r="1715" spans="1:2" x14ac:dyDescent="0.2">
      <c r="A1715" s="58">
        <v>1813</v>
      </c>
      <c r="B1715" s="128" t="s">
        <v>3136</v>
      </c>
    </row>
    <row r="1716" spans="1:2" x14ac:dyDescent="0.2">
      <c r="A1716" s="58">
        <v>1814</v>
      </c>
      <c r="B1716" s="128" t="s">
        <v>3334</v>
      </c>
    </row>
    <row r="1717" spans="1:2" x14ac:dyDescent="0.2">
      <c r="A1717" s="58">
        <v>1815</v>
      </c>
      <c r="B1717" s="128" t="s">
        <v>3328</v>
      </c>
    </row>
    <row r="1718" spans="1:2" x14ac:dyDescent="0.2">
      <c r="A1718" s="58">
        <v>1816</v>
      </c>
      <c r="B1718" s="128" t="s">
        <v>3180</v>
      </c>
    </row>
    <row r="1719" spans="1:2" x14ac:dyDescent="0.2">
      <c r="A1719" s="58">
        <v>1817</v>
      </c>
      <c r="B1719" s="128" t="s">
        <v>3518</v>
      </c>
    </row>
    <row r="1720" spans="1:2" x14ac:dyDescent="0.2">
      <c r="A1720" s="58">
        <v>1818</v>
      </c>
      <c r="B1720" s="128" t="s">
        <v>3090</v>
      </c>
    </row>
    <row r="1721" spans="1:2" x14ac:dyDescent="0.2">
      <c r="A1721" s="58">
        <v>1819</v>
      </c>
      <c r="B1721" s="128" t="s">
        <v>1180</v>
      </c>
    </row>
    <row r="1722" spans="1:2" x14ac:dyDescent="0.2">
      <c r="A1722" s="58">
        <v>1820</v>
      </c>
      <c r="B1722" s="128" t="s">
        <v>2852</v>
      </c>
    </row>
    <row r="1723" spans="1:2" x14ac:dyDescent="0.2">
      <c r="A1723" s="58">
        <v>1821</v>
      </c>
      <c r="B1723" s="128" t="s">
        <v>3435</v>
      </c>
    </row>
    <row r="1724" spans="1:2" x14ac:dyDescent="0.2">
      <c r="A1724" s="58">
        <v>1822</v>
      </c>
      <c r="B1724" s="128" t="s">
        <v>3186</v>
      </c>
    </row>
    <row r="1725" spans="1:2" x14ac:dyDescent="0.2">
      <c r="A1725" s="58">
        <v>1823</v>
      </c>
      <c r="B1725" s="128" t="s">
        <v>3463</v>
      </c>
    </row>
    <row r="1726" spans="1:2" x14ac:dyDescent="0.2">
      <c r="A1726" s="58">
        <v>1824</v>
      </c>
      <c r="B1726" s="128" t="s">
        <v>3062</v>
      </c>
    </row>
    <row r="1727" spans="1:2" x14ac:dyDescent="0.2">
      <c r="A1727" s="58">
        <v>1825</v>
      </c>
      <c r="B1727" s="128" t="s">
        <v>3516</v>
      </c>
    </row>
    <row r="1728" spans="1:2" x14ac:dyDescent="0.2">
      <c r="A1728" s="58">
        <v>1826</v>
      </c>
      <c r="B1728" s="128" t="s">
        <v>1415</v>
      </c>
    </row>
    <row r="1729" spans="1:2" x14ac:dyDescent="0.2">
      <c r="A1729" s="58">
        <v>1827</v>
      </c>
      <c r="B1729" s="128" t="s">
        <v>3090</v>
      </c>
    </row>
    <row r="1730" spans="1:2" x14ac:dyDescent="0.2">
      <c r="A1730" s="58">
        <v>1828</v>
      </c>
      <c r="B1730" s="128" t="s">
        <v>3052</v>
      </c>
    </row>
    <row r="1731" spans="1:2" x14ac:dyDescent="0.2">
      <c r="A1731" s="58">
        <v>1829</v>
      </c>
      <c r="B1731" s="128" t="s">
        <v>3467</v>
      </c>
    </row>
    <row r="1732" spans="1:2" x14ac:dyDescent="0.2">
      <c r="A1732" s="58">
        <v>1830</v>
      </c>
      <c r="B1732" s="128" t="s">
        <v>1157</v>
      </c>
    </row>
    <row r="1733" spans="1:2" x14ac:dyDescent="0.2">
      <c r="A1733" s="58">
        <v>1831</v>
      </c>
      <c r="B1733" s="128" t="s">
        <v>3522</v>
      </c>
    </row>
    <row r="1734" spans="1:2" x14ac:dyDescent="0.2">
      <c r="A1734" s="58">
        <v>1832</v>
      </c>
      <c r="B1734" s="128" t="s">
        <v>2902</v>
      </c>
    </row>
    <row r="1735" spans="1:2" x14ac:dyDescent="0.2">
      <c r="A1735" s="58">
        <v>1833</v>
      </c>
      <c r="B1735" s="128" t="s">
        <v>1529</v>
      </c>
    </row>
    <row r="1736" spans="1:2" x14ac:dyDescent="0.2">
      <c r="A1736" s="58">
        <v>1834</v>
      </c>
      <c r="B1736" s="128" t="s">
        <v>3495</v>
      </c>
    </row>
    <row r="1737" spans="1:2" x14ac:dyDescent="0.2">
      <c r="A1737" s="58">
        <v>1835</v>
      </c>
      <c r="B1737" s="128" t="s">
        <v>2908</v>
      </c>
    </row>
    <row r="1738" spans="1:2" x14ac:dyDescent="0.2">
      <c r="A1738" s="58">
        <v>1836</v>
      </c>
      <c r="B1738" s="128" t="s">
        <v>1169</v>
      </c>
    </row>
    <row r="1739" spans="1:2" x14ac:dyDescent="0.2">
      <c r="A1739" s="58">
        <v>1837</v>
      </c>
      <c r="B1739" s="128" t="s">
        <v>1177</v>
      </c>
    </row>
    <row r="1740" spans="1:2" x14ac:dyDescent="0.2">
      <c r="A1740" s="58">
        <v>1838</v>
      </c>
      <c r="B1740" s="128" t="s">
        <v>3194</v>
      </c>
    </row>
    <row r="1741" spans="1:2" x14ac:dyDescent="0.2">
      <c r="A1741" s="58">
        <v>1839</v>
      </c>
      <c r="B1741" s="128" t="s">
        <v>1430</v>
      </c>
    </row>
    <row r="1742" spans="1:2" x14ac:dyDescent="0.2">
      <c r="A1742" s="58">
        <v>1840</v>
      </c>
      <c r="B1742" s="128" t="s">
        <v>1403</v>
      </c>
    </row>
    <row r="1743" spans="1:2" x14ac:dyDescent="0.2">
      <c r="A1743" s="58">
        <v>1841</v>
      </c>
      <c r="B1743" s="128" t="s">
        <v>3522</v>
      </c>
    </row>
    <row r="1744" spans="1:2" x14ac:dyDescent="0.2">
      <c r="A1744" s="58">
        <v>1842</v>
      </c>
      <c r="B1744" s="128" t="s">
        <v>1529</v>
      </c>
    </row>
    <row r="1745" spans="1:2" x14ac:dyDescent="0.2">
      <c r="A1745" s="58">
        <v>1843</v>
      </c>
      <c r="B1745" s="128" t="s">
        <v>3495</v>
      </c>
    </row>
    <row r="1746" spans="1:2" x14ac:dyDescent="0.2">
      <c r="A1746" s="58">
        <v>1844</v>
      </c>
      <c r="B1746" s="128" t="s">
        <v>2908</v>
      </c>
    </row>
    <row r="1747" spans="1:2" x14ac:dyDescent="0.2">
      <c r="A1747" s="58">
        <v>1845</v>
      </c>
      <c r="B1747" s="128" t="s">
        <v>1169</v>
      </c>
    </row>
    <row r="1748" spans="1:2" x14ac:dyDescent="0.2">
      <c r="A1748" s="58">
        <v>1846</v>
      </c>
      <c r="B1748" s="128" t="s">
        <v>1415</v>
      </c>
    </row>
    <row r="1749" spans="1:2" x14ac:dyDescent="0.2">
      <c r="A1749" s="58">
        <v>1847</v>
      </c>
      <c r="B1749" s="128" t="s">
        <v>3194</v>
      </c>
    </row>
    <row r="1750" spans="1:2" x14ac:dyDescent="0.2">
      <c r="A1750" s="58">
        <v>1848</v>
      </c>
      <c r="B1750" s="128" t="s">
        <v>3520</v>
      </c>
    </row>
    <row r="1751" spans="1:2" x14ac:dyDescent="0.2">
      <c r="A1751" s="58">
        <v>1849</v>
      </c>
      <c r="B1751" s="128" t="s">
        <v>1430</v>
      </c>
    </row>
    <row r="1752" spans="1:2" x14ac:dyDescent="0.2">
      <c r="A1752" s="58">
        <v>1850</v>
      </c>
      <c r="B1752" s="128" t="s">
        <v>3062</v>
      </c>
    </row>
    <row r="1753" spans="1:2" x14ac:dyDescent="0.2">
      <c r="A1753" s="58">
        <v>1851</v>
      </c>
      <c r="B1753" s="128" t="s">
        <v>1403</v>
      </c>
    </row>
    <row r="1754" spans="1:2" x14ac:dyDescent="0.2">
      <c r="A1754" s="58">
        <v>1852</v>
      </c>
      <c r="B1754" s="128" t="s">
        <v>3473</v>
      </c>
    </row>
    <row r="1755" spans="1:2" x14ac:dyDescent="0.2">
      <c r="A1755" s="58">
        <v>1853</v>
      </c>
      <c r="B1755" s="128" t="s">
        <v>1150</v>
      </c>
    </row>
    <row r="1756" spans="1:2" x14ac:dyDescent="0.2">
      <c r="A1756" s="58">
        <v>1854</v>
      </c>
      <c r="B1756" s="128" t="s">
        <v>1411</v>
      </c>
    </row>
    <row r="1757" spans="1:2" x14ac:dyDescent="0.2">
      <c r="A1757" s="58">
        <v>1855</v>
      </c>
      <c r="B1757" s="128" t="s">
        <v>2902</v>
      </c>
    </row>
    <row r="1758" spans="1:2" x14ac:dyDescent="0.2">
      <c r="A1758" s="58">
        <v>1856</v>
      </c>
      <c r="B1758" s="128" t="s">
        <v>3052</v>
      </c>
    </row>
    <row r="1759" spans="1:2" x14ac:dyDescent="0.2">
      <c r="A1759" s="58">
        <v>1857</v>
      </c>
      <c r="B1759" s="128" t="s">
        <v>3467</v>
      </c>
    </row>
    <row r="1760" spans="1:2" x14ac:dyDescent="0.2">
      <c r="A1760" s="58">
        <v>1858</v>
      </c>
      <c r="B1760" s="128" t="s">
        <v>3516</v>
      </c>
    </row>
    <row r="1761" spans="1:2" x14ac:dyDescent="0.2">
      <c r="A1761" s="58">
        <v>1859</v>
      </c>
      <c r="B1761" s="128" t="s">
        <v>2852</v>
      </c>
    </row>
    <row r="1762" spans="1:2" x14ac:dyDescent="0.2">
      <c r="A1762" s="58">
        <v>1860</v>
      </c>
      <c r="B1762" s="128" t="s">
        <v>3495</v>
      </c>
    </row>
    <row r="1763" spans="1:2" x14ac:dyDescent="0.2">
      <c r="A1763" s="58">
        <v>1861</v>
      </c>
      <c r="B1763" s="128" t="s">
        <v>3462</v>
      </c>
    </row>
    <row r="1764" spans="1:2" x14ac:dyDescent="0.2">
      <c r="A1764" s="58">
        <v>1862</v>
      </c>
      <c r="B1764" s="128" t="s">
        <v>1411</v>
      </c>
    </row>
    <row r="1765" spans="1:2" x14ac:dyDescent="0.2">
      <c r="A1765" s="58">
        <v>1863</v>
      </c>
      <c r="B1765" s="128" t="s">
        <v>3474</v>
      </c>
    </row>
    <row r="1766" spans="1:2" x14ac:dyDescent="0.2">
      <c r="A1766" s="58">
        <v>1864</v>
      </c>
      <c r="B1766" s="128" t="s">
        <v>2902</v>
      </c>
    </row>
    <row r="1767" spans="1:2" x14ac:dyDescent="0.2">
      <c r="A1767" s="58">
        <v>1865</v>
      </c>
      <c r="B1767" s="128" t="s">
        <v>3489</v>
      </c>
    </row>
    <row r="1768" spans="1:2" x14ac:dyDescent="0.2">
      <c r="A1768" s="58">
        <v>1866</v>
      </c>
      <c r="B1768" s="128" t="s">
        <v>1144</v>
      </c>
    </row>
    <row r="1769" spans="1:2" x14ac:dyDescent="0.2">
      <c r="A1769" s="58">
        <v>1867</v>
      </c>
      <c r="B1769" s="128" t="s">
        <v>3467</v>
      </c>
    </row>
    <row r="1770" spans="1:2" x14ac:dyDescent="0.2">
      <c r="A1770" s="58">
        <v>1868</v>
      </c>
      <c r="B1770" s="128" t="s">
        <v>3516</v>
      </c>
    </row>
    <row r="1771" spans="1:2" x14ac:dyDescent="0.2">
      <c r="A1771" s="58">
        <v>1869</v>
      </c>
      <c r="B1771" s="128" t="s">
        <v>3520</v>
      </c>
    </row>
    <row r="1772" spans="1:2" x14ac:dyDescent="0.2">
      <c r="A1772" s="58">
        <v>1870</v>
      </c>
      <c r="B1772" s="128" t="s">
        <v>3495</v>
      </c>
    </row>
    <row r="1773" spans="1:2" x14ac:dyDescent="0.2">
      <c r="A1773" s="58">
        <v>1871</v>
      </c>
      <c r="B1773" s="128" t="s">
        <v>1144</v>
      </c>
    </row>
    <row r="1774" spans="1:2" x14ac:dyDescent="0.2">
      <c r="A1774" s="58">
        <v>1872</v>
      </c>
      <c r="B1774" s="128" t="s">
        <v>3052</v>
      </c>
    </row>
    <row r="1775" spans="1:2" x14ac:dyDescent="0.2">
      <c r="A1775" s="58">
        <v>1873</v>
      </c>
      <c r="B1775" s="128" t="s">
        <v>3516</v>
      </c>
    </row>
    <row r="1776" spans="1:2" x14ac:dyDescent="0.2">
      <c r="A1776" s="58">
        <v>1874</v>
      </c>
      <c r="B1776" s="128" t="s">
        <v>3489</v>
      </c>
    </row>
    <row r="1777" spans="1:2" x14ac:dyDescent="0.2">
      <c r="A1777" s="58">
        <v>1875</v>
      </c>
      <c r="B1777" s="128" t="s">
        <v>3469</v>
      </c>
    </row>
    <row r="1778" spans="1:2" x14ac:dyDescent="0.2">
      <c r="A1778" s="58">
        <v>1876</v>
      </c>
      <c r="B1778" s="128" t="s">
        <v>1529</v>
      </c>
    </row>
    <row r="1779" spans="1:2" x14ac:dyDescent="0.2">
      <c r="A1779" s="58">
        <v>1877</v>
      </c>
      <c r="B1779" s="128" t="s">
        <v>3467</v>
      </c>
    </row>
    <row r="1780" spans="1:2" x14ac:dyDescent="0.2">
      <c r="A1780" s="58">
        <v>1878</v>
      </c>
      <c r="B1780" s="128" t="s">
        <v>1144</v>
      </c>
    </row>
    <row r="1781" spans="1:2" x14ac:dyDescent="0.2">
      <c r="A1781" s="58">
        <v>1879</v>
      </c>
      <c r="B1781" s="128" t="s">
        <v>3489</v>
      </c>
    </row>
    <row r="1782" spans="1:2" x14ac:dyDescent="0.2">
      <c r="A1782" s="58">
        <v>1880</v>
      </c>
      <c r="B1782" s="128" t="s">
        <v>1411</v>
      </c>
    </row>
    <row r="1783" spans="1:2" x14ac:dyDescent="0.2">
      <c r="A1783" s="58">
        <v>1881</v>
      </c>
      <c r="B1783" s="128" t="s">
        <v>3467</v>
      </c>
    </row>
    <row r="1784" spans="1:2" x14ac:dyDescent="0.2">
      <c r="A1784" s="58">
        <v>1882</v>
      </c>
      <c r="B1784" s="128" t="s">
        <v>1529</v>
      </c>
    </row>
    <row r="1785" spans="1:2" x14ac:dyDescent="0.2">
      <c r="A1785" s="58">
        <v>1883</v>
      </c>
      <c r="B1785" s="128" t="s">
        <v>3492</v>
      </c>
    </row>
    <row r="1786" spans="1:2" x14ac:dyDescent="0.2">
      <c r="A1786" s="58">
        <v>1884</v>
      </c>
      <c r="B1786" s="128" t="s">
        <v>3062</v>
      </c>
    </row>
    <row r="1787" spans="1:2" x14ac:dyDescent="0.2">
      <c r="A1787" s="58">
        <v>1885</v>
      </c>
      <c r="B1787" s="128" t="s">
        <v>3520</v>
      </c>
    </row>
    <row r="1788" spans="1:2" x14ac:dyDescent="0.2">
      <c r="A1788" s="58">
        <v>1886</v>
      </c>
      <c r="B1788" s="128" t="s">
        <v>3462</v>
      </c>
    </row>
    <row r="1789" spans="1:2" x14ac:dyDescent="0.2">
      <c r="A1789" s="58">
        <v>1887</v>
      </c>
      <c r="B1789" s="128" t="s">
        <v>3498</v>
      </c>
    </row>
    <row r="1790" spans="1:2" x14ac:dyDescent="0.2">
      <c r="A1790" s="58">
        <v>1888</v>
      </c>
      <c r="B1790" s="128" t="s">
        <v>3186</v>
      </c>
    </row>
    <row r="1791" spans="1:2" x14ac:dyDescent="0.2">
      <c r="A1791" s="58">
        <v>1889</v>
      </c>
      <c r="B1791" s="128" t="s">
        <v>3506</v>
      </c>
    </row>
    <row r="1792" spans="1:2" x14ac:dyDescent="0.2">
      <c r="A1792" s="58">
        <v>1890</v>
      </c>
      <c r="B1792" s="128" t="s">
        <v>3048</v>
      </c>
    </row>
    <row r="1793" spans="1:2" x14ac:dyDescent="0.2">
      <c r="A1793" s="58">
        <v>1891</v>
      </c>
      <c r="B1793" s="128" t="s">
        <v>3173</v>
      </c>
    </row>
    <row r="1794" spans="1:2" x14ac:dyDescent="0.2">
      <c r="A1794" s="58">
        <v>1892</v>
      </c>
      <c r="B1794" s="128" t="s">
        <v>1529</v>
      </c>
    </row>
    <row r="1795" spans="1:2" x14ac:dyDescent="0.2">
      <c r="A1795" s="58">
        <v>1893</v>
      </c>
      <c r="B1795" s="128" t="s">
        <v>1169</v>
      </c>
    </row>
    <row r="1796" spans="1:2" x14ac:dyDescent="0.2">
      <c r="A1796" s="58">
        <v>1894</v>
      </c>
      <c r="B1796" s="128" t="s">
        <v>3462</v>
      </c>
    </row>
    <row r="1797" spans="1:2" x14ac:dyDescent="0.2">
      <c r="A1797" s="58">
        <v>1895</v>
      </c>
      <c r="B1797" s="128" t="s">
        <v>1415</v>
      </c>
    </row>
    <row r="1798" spans="1:2" x14ac:dyDescent="0.2">
      <c r="A1798" s="58">
        <v>1896</v>
      </c>
      <c r="B1798" s="128" t="s">
        <v>3506</v>
      </c>
    </row>
    <row r="1799" spans="1:2" x14ac:dyDescent="0.2">
      <c r="A1799" s="58">
        <v>1897</v>
      </c>
      <c r="B1799" s="128" t="s">
        <v>3498</v>
      </c>
    </row>
    <row r="1800" spans="1:2" x14ac:dyDescent="0.2">
      <c r="A1800" s="58">
        <v>1898</v>
      </c>
      <c r="B1800" s="128" t="s">
        <v>1177</v>
      </c>
    </row>
    <row r="1801" spans="1:2" x14ac:dyDescent="0.2">
      <c r="A1801" s="58">
        <v>1899</v>
      </c>
      <c r="B1801" s="128" t="s">
        <v>3048</v>
      </c>
    </row>
    <row r="1802" spans="1:2" x14ac:dyDescent="0.2">
      <c r="A1802" s="58">
        <v>1900</v>
      </c>
      <c r="B1802" s="128" t="s">
        <v>3462</v>
      </c>
    </row>
    <row r="1803" spans="1:2" x14ac:dyDescent="0.2">
      <c r="A1803" s="58">
        <v>1901</v>
      </c>
      <c r="B1803" s="128" t="s">
        <v>3517</v>
      </c>
    </row>
    <row r="1804" spans="1:2" x14ac:dyDescent="0.2">
      <c r="A1804" s="58">
        <v>1902</v>
      </c>
      <c r="B1804" s="128" t="s">
        <v>2893</v>
      </c>
    </row>
    <row r="1805" spans="1:2" x14ac:dyDescent="0.2">
      <c r="A1805" s="58">
        <v>1903</v>
      </c>
      <c r="B1805" s="128" t="s">
        <v>2867</v>
      </c>
    </row>
    <row r="1806" spans="1:2" x14ac:dyDescent="0.2">
      <c r="A1806" s="58">
        <v>1904</v>
      </c>
      <c r="B1806" s="128" t="s">
        <v>3431</v>
      </c>
    </row>
    <row r="1807" spans="1:2" x14ac:dyDescent="0.2">
      <c r="A1807" s="58">
        <v>1905</v>
      </c>
      <c r="B1807" s="128" t="s">
        <v>3331</v>
      </c>
    </row>
    <row r="1808" spans="1:2" x14ac:dyDescent="0.2">
      <c r="A1808" s="58">
        <v>1906</v>
      </c>
      <c r="B1808" s="128" t="s">
        <v>1534</v>
      </c>
    </row>
    <row r="1809" spans="1:2" x14ac:dyDescent="0.2">
      <c r="A1809" s="58">
        <v>1907</v>
      </c>
      <c r="B1809" s="128" t="s">
        <v>3467</v>
      </c>
    </row>
    <row r="1810" spans="1:2" x14ac:dyDescent="0.2">
      <c r="A1810" s="58">
        <v>1908</v>
      </c>
      <c r="B1810" s="128" t="s">
        <v>3164</v>
      </c>
    </row>
    <row r="1811" spans="1:2" x14ac:dyDescent="0.2">
      <c r="A1811" s="58">
        <v>1909</v>
      </c>
      <c r="B1811" s="128" t="s">
        <v>3108</v>
      </c>
    </row>
    <row r="1812" spans="1:2" x14ac:dyDescent="0.2">
      <c r="A1812" s="58">
        <v>1910</v>
      </c>
      <c r="B1812" s="128" t="s">
        <v>3520</v>
      </c>
    </row>
    <row r="1813" spans="1:2" x14ac:dyDescent="0.2">
      <c r="A1813" s="58">
        <v>1911</v>
      </c>
      <c r="B1813" s="128" t="s">
        <v>3167</v>
      </c>
    </row>
    <row r="1814" spans="1:2" x14ac:dyDescent="0.2">
      <c r="A1814" s="58">
        <v>1912</v>
      </c>
      <c r="B1814" s="128" t="s">
        <v>3194</v>
      </c>
    </row>
    <row r="1815" spans="1:2" x14ac:dyDescent="0.2">
      <c r="A1815" s="58">
        <v>1913</v>
      </c>
      <c r="B1815" s="128" t="s">
        <v>3478</v>
      </c>
    </row>
    <row r="1816" spans="1:2" x14ac:dyDescent="0.2">
      <c r="A1816" s="58">
        <v>1914</v>
      </c>
      <c r="B1816" s="128" t="s">
        <v>3136</v>
      </c>
    </row>
    <row r="1817" spans="1:2" x14ac:dyDescent="0.2">
      <c r="A1817" s="58">
        <v>1915</v>
      </c>
      <c r="B1817" s="128" t="s">
        <v>3518</v>
      </c>
    </row>
    <row r="1818" spans="1:2" x14ac:dyDescent="0.2">
      <c r="A1818" s="58">
        <v>1916</v>
      </c>
      <c r="B1818" s="128" t="s">
        <v>2852</v>
      </c>
    </row>
    <row r="1819" spans="1:2" x14ac:dyDescent="0.2">
      <c r="A1819" s="58">
        <v>1917</v>
      </c>
      <c r="B1819" s="128" t="s">
        <v>1492</v>
      </c>
    </row>
    <row r="1820" spans="1:2" x14ac:dyDescent="0.2">
      <c r="A1820" s="58">
        <v>1918</v>
      </c>
      <c r="B1820" s="128" t="s">
        <v>3462</v>
      </c>
    </row>
    <row r="1821" spans="1:2" x14ac:dyDescent="0.2">
      <c r="A1821" s="58">
        <v>1919</v>
      </c>
      <c r="B1821" s="128" t="s">
        <v>2893</v>
      </c>
    </row>
    <row r="1822" spans="1:2" x14ac:dyDescent="0.2">
      <c r="A1822" s="58">
        <v>1920</v>
      </c>
      <c r="B1822" s="128" t="s">
        <v>1529</v>
      </c>
    </row>
    <row r="1823" spans="1:2" x14ac:dyDescent="0.2">
      <c r="A1823" s="58">
        <v>1921</v>
      </c>
      <c r="B1823" s="128" t="s">
        <v>1415</v>
      </c>
    </row>
    <row r="1824" spans="1:2" x14ac:dyDescent="0.2">
      <c r="A1824" s="58">
        <v>1922</v>
      </c>
      <c r="B1824" s="128" t="s">
        <v>1531</v>
      </c>
    </row>
    <row r="1825" spans="1:2" x14ac:dyDescent="0.2">
      <c r="A1825" s="58">
        <v>1923</v>
      </c>
      <c r="B1825" s="128" t="s">
        <v>3467</v>
      </c>
    </row>
    <row r="1826" spans="1:2" x14ac:dyDescent="0.2">
      <c r="A1826" s="58">
        <v>1924</v>
      </c>
      <c r="B1826" s="128" t="s">
        <v>3186</v>
      </c>
    </row>
    <row r="1827" spans="1:2" x14ac:dyDescent="0.2">
      <c r="A1827" s="58">
        <v>1925</v>
      </c>
      <c r="B1827" s="128" t="s">
        <v>1418</v>
      </c>
    </row>
    <row r="1828" spans="1:2" x14ac:dyDescent="0.2">
      <c r="A1828" s="58">
        <v>1926</v>
      </c>
      <c r="B1828" s="128" t="s">
        <v>3063</v>
      </c>
    </row>
    <row r="1829" spans="1:2" x14ac:dyDescent="0.2">
      <c r="A1829" s="58">
        <v>1927</v>
      </c>
      <c r="B1829" s="128" t="s">
        <v>3435</v>
      </c>
    </row>
    <row r="1830" spans="1:2" x14ac:dyDescent="0.2">
      <c r="A1830" s="58">
        <v>1928</v>
      </c>
      <c r="B1830" s="128" t="s">
        <v>3060</v>
      </c>
    </row>
    <row r="1831" spans="1:2" x14ac:dyDescent="0.2">
      <c r="A1831" s="58">
        <v>1929</v>
      </c>
      <c r="B1831" s="128" t="s">
        <v>3467</v>
      </c>
    </row>
    <row r="1832" spans="1:2" x14ac:dyDescent="0.2">
      <c r="A1832" s="58">
        <v>1930</v>
      </c>
      <c r="B1832" s="128" t="s">
        <v>1415</v>
      </c>
    </row>
    <row r="1833" spans="1:2" x14ac:dyDescent="0.2">
      <c r="A1833" s="58">
        <v>1931</v>
      </c>
      <c r="B1833" s="128" t="s">
        <v>3492</v>
      </c>
    </row>
    <row r="1834" spans="1:2" x14ac:dyDescent="0.2">
      <c r="A1834" s="58">
        <v>1932</v>
      </c>
      <c r="B1834" s="128" t="s">
        <v>3462</v>
      </c>
    </row>
    <row r="1835" spans="1:2" x14ac:dyDescent="0.2">
      <c r="A1835" s="58">
        <v>1933</v>
      </c>
      <c r="B1835" s="128" t="s">
        <v>3163</v>
      </c>
    </row>
    <row r="1836" spans="1:2" x14ac:dyDescent="0.2">
      <c r="A1836" s="58">
        <v>1934</v>
      </c>
      <c r="B1836" s="128" t="s">
        <v>3052</v>
      </c>
    </row>
    <row r="1837" spans="1:2" x14ac:dyDescent="0.2">
      <c r="A1837" s="58">
        <v>1935</v>
      </c>
      <c r="B1837" s="128" t="s">
        <v>3062</v>
      </c>
    </row>
    <row r="1838" spans="1:2" x14ac:dyDescent="0.2">
      <c r="A1838" s="58">
        <v>1936</v>
      </c>
      <c r="B1838" s="128" t="s">
        <v>3041</v>
      </c>
    </row>
    <row r="1839" spans="1:2" x14ac:dyDescent="0.2">
      <c r="A1839" s="58">
        <v>1937</v>
      </c>
      <c r="B1839" s="128" t="s">
        <v>3463</v>
      </c>
    </row>
    <row r="1840" spans="1:2" x14ac:dyDescent="0.2">
      <c r="A1840" s="58">
        <v>1938</v>
      </c>
      <c r="B1840" s="128" t="s">
        <v>3468</v>
      </c>
    </row>
    <row r="1841" spans="1:104" x14ac:dyDescent="0.2">
      <c r="A1841" s="58">
        <v>1939</v>
      </c>
      <c r="B1841" s="128" t="s">
        <v>560</v>
      </c>
      <c r="CZ1841" s="127">
        <v>1</v>
      </c>
    </row>
    <row r="1842" spans="1:104" x14ac:dyDescent="0.2">
      <c r="A1842" s="58">
        <v>1940</v>
      </c>
      <c r="B1842" s="128" t="s">
        <v>3462</v>
      </c>
    </row>
    <row r="1843" spans="1:104" x14ac:dyDescent="0.2">
      <c r="A1843" s="58">
        <v>1941</v>
      </c>
      <c r="B1843" s="128" t="s">
        <v>3520</v>
      </c>
    </row>
    <row r="1844" spans="1:104" x14ac:dyDescent="0.2">
      <c r="A1844" s="58">
        <v>1942</v>
      </c>
      <c r="B1844" s="128" t="s">
        <v>3462</v>
      </c>
    </row>
    <row r="1845" spans="1:104" x14ac:dyDescent="0.2">
      <c r="A1845" s="58">
        <v>1943</v>
      </c>
      <c r="B1845" s="128" t="s">
        <v>3519</v>
      </c>
    </row>
    <row r="1846" spans="1:104" x14ac:dyDescent="0.2">
      <c r="A1846" s="58">
        <v>1944</v>
      </c>
      <c r="B1846" s="128" t="s">
        <v>3520</v>
      </c>
    </row>
    <row r="1847" spans="1:104" x14ac:dyDescent="0.2">
      <c r="A1847" s="58">
        <v>1945</v>
      </c>
      <c r="B1847" s="128" t="s">
        <v>3520</v>
      </c>
    </row>
    <row r="1848" spans="1:104" x14ac:dyDescent="0.2">
      <c r="A1848" s="58">
        <v>1946</v>
      </c>
      <c r="B1848" s="128" t="s">
        <v>1180</v>
      </c>
    </row>
    <row r="1849" spans="1:104" x14ac:dyDescent="0.2">
      <c r="A1849" s="58">
        <v>1947</v>
      </c>
      <c r="B1849" s="128" t="s">
        <v>3489</v>
      </c>
    </row>
    <row r="1850" spans="1:104" x14ac:dyDescent="0.2">
      <c r="A1850" s="58">
        <v>1948</v>
      </c>
      <c r="B1850" s="128" t="s">
        <v>3516</v>
      </c>
    </row>
    <row r="1851" spans="1:104" x14ac:dyDescent="0.2">
      <c r="A1851" s="58">
        <v>1949</v>
      </c>
      <c r="B1851" s="128" t="s">
        <v>3062</v>
      </c>
    </row>
    <row r="1852" spans="1:104" x14ac:dyDescent="0.2">
      <c r="A1852" s="58">
        <v>1950</v>
      </c>
      <c r="B1852" s="128" t="s">
        <v>3435</v>
      </c>
    </row>
    <row r="1853" spans="1:104" x14ac:dyDescent="0.2">
      <c r="A1853" s="58">
        <v>1951</v>
      </c>
      <c r="B1853" s="128" t="s">
        <v>3462</v>
      </c>
    </row>
    <row r="1854" spans="1:104" x14ac:dyDescent="0.2">
      <c r="A1854" s="58">
        <v>1952</v>
      </c>
      <c r="B1854" s="128" t="s">
        <v>3467</v>
      </c>
    </row>
    <row r="1855" spans="1:104" x14ac:dyDescent="0.2">
      <c r="A1855" s="58">
        <v>1953</v>
      </c>
      <c r="B1855" s="128" t="s">
        <v>2851</v>
      </c>
    </row>
    <row r="1856" spans="1:104" x14ac:dyDescent="0.2">
      <c r="A1856" s="58">
        <v>1954</v>
      </c>
      <c r="B1856" s="128" t="s">
        <v>2852</v>
      </c>
    </row>
    <row r="1857" spans="1:2" x14ac:dyDescent="0.2">
      <c r="A1857" s="58">
        <v>1955</v>
      </c>
      <c r="B1857" s="128" t="s">
        <v>3517</v>
      </c>
    </row>
    <row r="1858" spans="1:2" x14ac:dyDescent="0.2">
      <c r="A1858" s="58">
        <v>1956</v>
      </c>
      <c r="B1858" s="128" t="s">
        <v>2893</v>
      </c>
    </row>
    <row r="1859" spans="1:2" x14ac:dyDescent="0.2">
      <c r="A1859" s="58">
        <v>1957</v>
      </c>
      <c r="B1859" s="128" t="s">
        <v>3057</v>
      </c>
    </row>
    <row r="1860" spans="1:2" x14ac:dyDescent="0.2">
      <c r="A1860" s="58">
        <v>1958</v>
      </c>
      <c r="B1860" s="128" t="s">
        <v>3431</v>
      </c>
    </row>
    <row r="1861" spans="1:2" x14ac:dyDescent="0.2">
      <c r="A1861" s="58">
        <v>1959</v>
      </c>
      <c r="B1861" s="128" t="s">
        <v>3167</v>
      </c>
    </row>
    <row r="1862" spans="1:2" x14ac:dyDescent="0.2">
      <c r="A1862" s="58">
        <v>1960</v>
      </c>
      <c r="B1862" s="128" t="s">
        <v>3519</v>
      </c>
    </row>
    <row r="1863" spans="1:2" x14ac:dyDescent="0.2">
      <c r="A1863" s="58">
        <v>1961</v>
      </c>
      <c r="B1863" s="128" t="s">
        <v>1492</v>
      </c>
    </row>
    <row r="1864" spans="1:2" x14ac:dyDescent="0.2">
      <c r="A1864" s="58">
        <v>1962</v>
      </c>
      <c r="B1864" s="128" t="s">
        <v>3462</v>
      </c>
    </row>
    <row r="1865" spans="1:2" x14ac:dyDescent="0.2">
      <c r="A1865" s="58">
        <v>1963</v>
      </c>
      <c r="B1865" s="128" t="s">
        <v>3517</v>
      </c>
    </row>
    <row r="1866" spans="1:2" x14ac:dyDescent="0.2">
      <c r="A1866" s="58">
        <v>1964</v>
      </c>
      <c r="B1866" s="128" t="s">
        <v>3136</v>
      </c>
    </row>
    <row r="1867" spans="1:2" x14ac:dyDescent="0.2">
      <c r="A1867" s="58">
        <v>1965</v>
      </c>
      <c r="B1867" s="128" t="s">
        <v>3167</v>
      </c>
    </row>
    <row r="1868" spans="1:2" x14ac:dyDescent="0.2">
      <c r="A1868" s="58">
        <v>1966</v>
      </c>
      <c r="B1868" s="128" t="s">
        <v>2880</v>
      </c>
    </row>
    <row r="1869" spans="1:2" x14ac:dyDescent="0.2">
      <c r="A1869" s="58">
        <v>1967</v>
      </c>
      <c r="B1869" s="128" t="s">
        <v>2893</v>
      </c>
    </row>
    <row r="1870" spans="1:2" x14ac:dyDescent="0.2">
      <c r="A1870" s="58">
        <v>1968</v>
      </c>
      <c r="B1870" s="128" t="s">
        <v>1492</v>
      </c>
    </row>
    <row r="1871" spans="1:2" x14ac:dyDescent="0.2">
      <c r="A1871" s="58">
        <v>1969</v>
      </c>
      <c r="B1871" s="128" t="s">
        <v>2873</v>
      </c>
    </row>
    <row r="1872" spans="1:2" x14ac:dyDescent="0.2">
      <c r="A1872" s="58">
        <v>1970</v>
      </c>
      <c r="B1872" s="128" t="s">
        <v>3076</v>
      </c>
    </row>
    <row r="1873" spans="1:134" x14ac:dyDescent="0.2">
      <c r="A1873" s="58">
        <v>1971</v>
      </c>
      <c r="B1873" s="128" t="s">
        <v>561</v>
      </c>
    </row>
    <row r="1874" spans="1:134" x14ac:dyDescent="0.2">
      <c r="A1874" s="58">
        <v>1972</v>
      </c>
      <c r="B1874" s="128" t="s">
        <v>3180</v>
      </c>
    </row>
    <row r="1875" spans="1:134" x14ac:dyDescent="0.2">
      <c r="A1875" s="58">
        <v>1973</v>
      </c>
      <c r="B1875" s="128" t="s">
        <v>1180</v>
      </c>
    </row>
    <row r="1876" spans="1:134" x14ac:dyDescent="0.2">
      <c r="A1876" s="58">
        <v>1974</v>
      </c>
      <c r="B1876" s="128" t="s">
        <v>3047</v>
      </c>
    </row>
    <row r="1877" spans="1:134" x14ac:dyDescent="0.2">
      <c r="A1877" s="58">
        <v>1975</v>
      </c>
      <c r="B1877" s="128" t="s">
        <v>3057</v>
      </c>
    </row>
    <row r="1878" spans="1:134" x14ac:dyDescent="0.2">
      <c r="A1878" s="58">
        <v>1976</v>
      </c>
      <c r="B1878" s="128" t="s">
        <v>1409</v>
      </c>
    </row>
    <row r="1879" spans="1:134" x14ac:dyDescent="0.2">
      <c r="A1879" s="58">
        <v>1977</v>
      </c>
      <c r="B1879" s="128" t="s">
        <v>3334</v>
      </c>
    </row>
    <row r="1880" spans="1:134" x14ac:dyDescent="0.2">
      <c r="A1880" s="58">
        <v>1978</v>
      </c>
      <c r="B1880" s="128" t="s">
        <v>3047</v>
      </c>
    </row>
    <row r="1881" spans="1:134" x14ac:dyDescent="0.2">
      <c r="A1881" s="58">
        <v>1979</v>
      </c>
      <c r="B1881" s="128" t="s">
        <v>2897</v>
      </c>
    </row>
    <row r="1882" spans="1:134" x14ac:dyDescent="0.2">
      <c r="A1882" s="58">
        <v>1980</v>
      </c>
      <c r="B1882" s="128" t="s">
        <v>3062</v>
      </c>
    </row>
    <row r="1883" spans="1:134" x14ac:dyDescent="0.2">
      <c r="A1883" s="58">
        <v>1981</v>
      </c>
      <c r="B1883" s="128" t="s">
        <v>2852</v>
      </c>
    </row>
    <row r="1884" spans="1:134" x14ac:dyDescent="0.2">
      <c r="A1884" s="58">
        <v>1982</v>
      </c>
      <c r="B1884" s="128" t="s">
        <v>3090</v>
      </c>
    </row>
    <row r="1885" spans="1:134" x14ac:dyDescent="0.2">
      <c r="A1885" s="58">
        <v>1983</v>
      </c>
      <c r="B1885" s="128" t="s">
        <v>2855</v>
      </c>
      <c r="DG1885" s="127">
        <v>7</v>
      </c>
      <c r="ED1885" s="127">
        <v>2</v>
      </c>
    </row>
    <row r="1886" spans="1:134" x14ac:dyDescent="0.2">
      <c r="A1886" s="58">
        <v>1984</v>
      </c>
      <c r="B1886" s="128" t="s">
        <v>1411</v>
      </c>
    </row>
    <row r="1887" spans="1:134" x14ac:dyDescent="0.2">
      <c r="A1887" s="58">
        <v>1985</v>
      </c>
      <c r="B1887" s="128" t="s">
        <v>1144</v>
      </c>
    </row>
    <row r="1888" spans="1:134" x14ac:dyDescent="0.2">
      <c r="A1888" s="58">
        <v>1986</v>
      </c>
      <c r="B1888" s="128" t="s">
        <v>1529</v>
      </c>
    </row>
    <row r="1889" spans="1:2" x14ac:dyDescent="0.2">
      <c r="A1889" s="58">
        <v>1987</v>
      </c>
      <c r="B1889" s="128" t="s">
        <v>1402</v>
      </c>
    </row>
    <row r="1890" spans="1:2" x14ac:dyDescent="0.2">
      <c r="A1890" s="58">
        <v>1988</v>
      </c>
      <c r="B1890" s="128" t="s">
        <v>3462</v>
      </c>
    </row>
    <row r="1891" spans="1:2" x14ac:dyDescent="0.2">
      <c r="A1891" s="58">
        <v>1989</v>
      </c>
      <c r="B1891" s="128" t="s">
        <v>3495</v>
      </c>
    </row>
    <row r="1892" spans="1:2" x14ac:dyDescent="0.2">
      <c r="A1892" s="58">
        <v>1990</v>
      </c>
      <c r="B1892" s="128" t="s">
        <v>3520</v>
      </c>
    </row>
    <row r="1893" spans="1:2" x14ac:dyDescent="0.2">
      <c r="A1893" s="58">
        <v>1991</v>
      </c>
      <c r="B1893" s="128" t="s">
        <v>1529</v>
      </c>
    </row>
    <row r="1894" spans="1:2" x14ac:dyDescent="0.2">
      <c r="A1894" s="58">
        <v>1992</v>
      </c>
      <c r="B1894" s="128" t="s">
        <v>1411</v>
      </c>
    </row>
    <row r="1895" spans="1:2" x14ac:dyDescent="0.2">
      <c r="A1895" s="58">
        <v>1993</v>
      </c>
      <c r="B1895" s="128" t="s">
        <v>1402</v>
      </c>
    </row>
    <row r="1896" spans="1:2" x14ac:dyDescent="0.2">
      <c r="A1896" s="58">
        <v>1994</v>
      </c>
      <c r="B1896" s="128" t="s">
        <v>3474</v>
      </c>
    </row>
    <row r="1897" spans="1:2" x14ac:dyDescent="0.2">
      <c r="A1897" s="58">
        <v>1995</v>
      </c>
      <c r="B1897" s="128" t="s">
        <v>3495</v>
      </c>
    </row>
    <row r="1898" spans="1:2" x14ac:dyDescent="0.2">
      <c r="A1898" s="58">
        <v>1996</v>
      </c>
      <c r="B1898" s="128" t="s">
        <v>3462</v>
      </c>
    </row>
    <row r="1899" spans="1:2" x14ac:dyDescent="0.2">
      <c r="A1899" s="58">
        <v>1997</v>
      </c>
      <c r="B1899" s="128" t="s">
        <v>1150</v>
      </c>
    </row>
    <row r="1900" spans="1:2" x14ac:dyDescent="0.2">
      <c r="A1900" s="58">
        <v>1998</v>
      </c>
      <c r="B1900" s="128" t="s">
        <v>3334</v>
      </c>
    </row>
    <row r="1901" spans="1:2" x14ac:dyDescent="0.2">
      <c r="A1901" s="58">
        <v>1999</v>
      </c>
      <c r="B1901" s="128" t="s">
        <v>1531</v>
      </c>
    </row>
    <row r="1902" spans="1:2" x14ac:dyDescent="0.2">
      <c r="A1902" s="58">
        <v>2000</v>
      </c>
      <c r="B1902" s="128" t="s">
        <v>2908</v>
      </c>
    </row>
    <row r="1903" spans="1:2" x14ac:dyDescent="0.2">
      <c r="A1903" s="58">
        <v>2001</v>
      </c>
      <c r="B1903" s="128" t="s">
        <v>534</v>
      </c>
    </row>
    <row r="1904" spans="1:2" x14ac:dyDescent="0.2">
      <c r="A1904" s="58">
        <v>2002</v>
      </c>
      <c r="B1904" s="128" t="s">
        <v>1169</v>
      </c>
    </row>
    <row r="1905" spans="1:164" x14ac:dyDescent="0.2">
      <c r="A1905" s="58">
        <v>2003</v>
      </c>
      <c r="B1905" s="128" t="s">
        <v>1157</v>
      </c>
    </row>
    <row r="1906" spans="1:164" x14ac:dyDescent="0.2">
      <c r="A1906" s="58">
        <v>2004</v>
      </c>
      <c r="B1906" s="128" t="s">
        <v>1529</v>
      </c>
    </row>
    <row r="1907" spans="1:164" x14ac:dyDescent="0.2">
      <c r="A1907" s="58">
        <v>2005</v>
      </c>
      <c r="B1907" s="128" t="s">
        <v>3201</v>
      </c>
    </row>
    <row r="1908" spans="1:164" x14ac:dyDescent="0.2">
      <c r="A1908" s="58">
        <v>2006</v>
      </c>
      <c r="B1908" s="128" t="s">
        <v>3201</v>
      </c>
    </row>
    <row r="1909" spans="1:164" x14ac:dyDescent="0.2">
      <c r="A1909" s="58">
        <v>2007</v>
      </c>
      <c r="B1909" s="128" t="s">
        <v>1169</v>
      </c>
    </row>
    <row r="1910" spans="1:164" x14ac:dyDescent="0.2">
      <c r="A1910" s="58">
        <v>2008</v>
      </c>
      <c r="B1910" s="128" t="s">
        <v>1529</v>
      </c>
    </row>
    <row r="1911" spans="1:164" x14ac:dyDescent="0.2">
      <c r="A1911" s="58">
        <v>2009</v>
      </c>
      <c r="B1911" s="128" t="s">
        <v>1415</v>
      </c>
    </row>
    <row r="1912" spans="1:164" x14ac:dyDescent="0.2">
      <c r="A1912" s="58">
        <v>2010</v>
      </c>
      <c r="B1912" s="128" t="s">
        <v>562</v>
      </c>
      <c r="DK1912" s="127">
        <v>3</v>
      </c>
      <c r="DO1912" s="127">
        <v>12</v>
      </c>
      <c r="EU1912" s="127">
        <v>2</v>
      </c>
      <c r="FH1912" s="127">
        <v>5</v>
      </c>
    </row>
    <row r="1913" spans="1:164" x14ac:dyDescent="0.2">
      <c r="A1913" s="58">
        <v>2011</v>
      </c>
      <c r="B1913" s="128" t="s">
        <v>2902</v>
      </c>
    </row>
    <row r="1914" spans="1:164" x14ac:dyDescent="0.2">
      <c r="A1914" s="58">
        <v>2012</v>
      </c>
      <c r="B1914" s="128" t="s">
        <v>3194</v>
      </c>
    </row>
    <row r="1915" spans="1:164" x14ac:dyDescent="0.2">
      <c r="A1915" s="58">
        <v>2013</v>
      </c>
      <c r="B1915" s="128" t="s">
        <v>3520</v>
      </c>
    </row>
    <row r="1916" spans="1:164" x14ac:dyDescent="0.2">
      <c r="A1916" s="58">
        <v>2014</v>
      </c>
      <c r="B1916" s="128" t="s">
        <v>2852</v>
      </c>
    </row>
    <row r="1917" spans="1:164" x14ac:dyDescent="0.2">
      <c r="A1917" s="58">
        <v>2015</v>
      </c>
      <c r="B1917" s="128" t="s">
        <v>3462</v>
      </c>
    </row>
    <row r="1918" spans="1:164" x14ac:dyDescent="0.2">
      <c r="A1918" s="58">
        <v>2016</v>
      </c>
      <c r="B1918" s="128" t="s">
        <v>1402</v>
      </c>
    </row>
    <row r="1919" spans="1:164" x14ac:dyDescent="0.2">
      <c r="A1919" s="58">
        <v>2017</v>
      </c>
      <c r="B1919" s="128" t="s">
        <v>1411</v>
      </c>
    </row>
    <row r="1920" spans="1:164" x14ac:dyDescent="0.2">
      <c r="A1920" s="58">
        <v>2018</v>
      </c>
      <c r="B1920" s="128" t="s">
        <v>1529</v>
      </c>
    </row>
    <row r="1921" spans="1:2" x14ac:dyDescent="0.2">
      <c r="A1921" s="58">
        <v>2019</v>
      </c>
      <c r="B1921" s="128" t="s">
        <v>3467</v>
      </c>
    </row>
    <row r="1922" spans="1:2" x14ac:dyDescent="0.2">
      <c r="A1922" s="58">
        <v>2020</v>
      </c>
      <c r="B1922" s="128" t="s">
        <v>3462</v>
      </c>
    </row>
    <row r="1923" spans="1:2" x14ac:dyDescent="0.2">
      <c r="A1923" s="58">
        <v>2021</v>
      </c>
      <c r="B1923" s="128" t="s">
        <v>3048</v>
      </c>
    </row>
    <row r="1924" spans="1:2" x14ac:dyDescent="0.2">
      <c r="A1924" s="58">
        <v>2022</v>
      </c>
      <c r="B1924" s="128" t="s">
        <v>3052</v>
      </c>
    </row>
    <row r="1925" spans="1:2" x14ac:dyDescent="0.2">
      <c r="A1925" s="58">
        <v>2023</v>
      </c>
      <c r="B1925" s="128" t="s">
        <v>3467</v>
      </c>
    </row>
    <row r="1926" spans="1:2" x14ac:dyDescent="0.2">
      <c r="A1926" s="58">
        <v>2024</v>
      </c>
      <c r="B1926" s="128" t="s">
        <v>2852</v>
      </c>
    </row>
    <row r="1927" spans="1:2" x14ac:dyDescent="0.2">
      <c r="A1927" s="58">
        <v>2025</v>
      </c>
      <c r="B1927" s="128" t="s">
        <v>3520</v>
      </c>
    </row>
    <row r="1928" spans="1:2" x14ac:dyDescent="0.2">
      <c r="A1928" s="58">
        <v>2026</v>
      </c>
      <c r="B1928" s="128" t="s">
        <v>3062</v>
      </c>
    </row>
    <row r="1929" spans="1:2" x14ac:dyDescent="0.2">
      <c r="A1929" s="58">
        <v>2027</v>
      </c>
      <c r="B1929" s="128" t="s">
        <v>3474</v>
      </c>
    </row>
    <row r="1930" spans="1:2" x14ac:dyDescent="0.2">
      <c r="A1930" s="58">
        <v>2028</v>
      </c>
      <c r="B1930" s="128" t="s">
        <v>1529</v>
      </c>
    </row>
    <row r="1931" spans="1:2" x14ac:dyDescent="0.2">
      <c r="A1931" s="58">
        <v>2029</v>
      </c>
      <c r="B1931" s="128" t="s">
        <v>1411</v>
      </c>
    </row>
    <row r="1932" spans="1:2" x14ac:dyDescent="0.2">
      <c r="A1932" s="58">
        <v>2030</v>
      </c>
      <c r="B1932" s="128" t="s">
        <v>3462</v>
      </c>
    </row>
    <row r="1933" spans="1:2" x14ac:dyDescent="0.2">
      <c r="A1933" s="58">
        <v>2031</v>
      </c>
      <c r="B1933" s="128" t="s">
        <v>3522</v>
      </c>
    </row>
    <row r="1934" spans="1:2" x14ac:dyDescent="0.2">
      <c r="A1934" s="58">
        <v>2032</v>
      </c>
      <c r="B1934" s="128" t="s">
        <v>3473</v>
      </c>
    </row>
    <row r="1935" spans="1:2" x14ac:dyDescent="0.2">
      <c r="A1935" s="58">
        <v>2033</v>
      </c>
      <c r="B1935" s="128" t="s">
        <v>3495</v>
      </c>
    </row>
    <row r="1936" spans="1:2" x14ac:dyDescent="0.2">
      <c r="A1936" s="58">
        <v>2034</v>
      </c>
      <c r="B1936" s="128" t="s">
        <v>1531</v>
      </c>
    </row>
    <row r="1937" spans="1:119" x14ac:dyDescent="0.2">
      <c r="A1937" s="58">
        <v>2035</v>
      </c>
      <c r="B1937" s="128" t="s">
        <v>1400</v>
      </c>
    </row>
    <row r="1938" spans="1:119" x14ac:dyDescent="0.2">
      <c r="A1938" s="58">
        <v>2036</v>
      </c>
      <c r="B1938" s="128" t="s">
        <v>1167</v>
      </c>
    </row>
    <row r="1939" spans="1:119" x14ac:dyDescent="0.2">
      <c r="A1939" s="58">
        <v>2037</v>
      </c>
      <c r="B1939" s="128" t="s">
        <v>3462</v>
      </c>
    </row>
    <row r="1940" spans="1:119" x14ac:dyDescent="0.2">
      <c r="A1940" s="58">
        <v>2038</v>
      </c>
      <c r="B1940" s="128" t="s">
        <v>1529</v>
      </c>
    </row>
    <row r="1941" spans="1:119" x14ac:dyDescent="0.2">
      <c r="A1941" s="58">
        <v>2039</v>
      </c>
      <c r="B1941" s="128" t="s">
        <v>562</v>
      </c>
    </row>
    <row r="1942" spans="1:119" x14ac:dyDescent="0.2">
      <c r="A1942" s="58">
        <v>2040</v>
      </c>
      <c r="B1942" s="128" t="s">
        <v>3331</v>
      </c>
    </row>
    <row r="1943" spans="1:119" x14ac:dyDescent="0.2">
      <c r="A1943" s="58">
        <v>2041</v>
      </c>
      <c r="B1943" s="128" t="s">
        <v>3046</v>
      </c>
      <c r="DO1943" s="127">
        <v>9</v>
      </c>
    </row>
    <row r="1944" spans="1:119" x14ac:dyDescent="0.2">
      <c r="A1944" s="58">
        <v>2042</v>
      </c>
      <c r="B1944" s="128" t="s">
        <v>3449</v>
      </c>
      <c r="DO1944" s="127">
        <v>9</v>
      </c>
    </row>
    <row r="1945" spans="1:119" x14ac:dyDescent="0.2">
      <c r="A1945" s="58">
        <v>2043</v>
      </c>
      <c r="B1945" s="128" t="s">
        <v>3495</v>
      </c>
    </row>
    <row r="1946" spans="1:119" x14ac:dyDescent="0.2">
      <c r="A1946" s="58">
        <v>2044</v>
      </c>
      <c r="B1946" s="128" t="s">
        <v>3328</v>
      </c>
    </row>
    <row r="1947" spans="1:119" x14ac:dyDescent="0.2">
      <c r="A1947" s="58">
        <v>2045</v>
      </c>
      <c r="B1947" s="128" t="s">
        <v>3473</v>
      </c>
    </row>
    <row r="1948" spans="1:119" x14ac:dyDescent="0.2">
      <c r="A1948" s="58">
        <v>2046</v>
      </c>
      <c r="B1948" s="128" t="s">
        <v>1415</v>
      </c>
    </row>
    <row r="1949" spans="1:119" x14ac:dyDescent="0.2">
      <c r="A1949" s="58">
        <v>2047</v>
      </c>
      <c r="B1949" s="128" t="s">
        <v>3194</v>
      </c>
    </row>
    <row r="1950" spans="1:119" x14ac:dyDescent="0.2">
      <c r="A1950" s="58">
        <v>2048</v>
      </c>
      <c r="B1950" s="128" t="s">
        <v>3453</v>
      </c>
      <c r="DO1950" s="127">
        <v>5</v>
      </c>
    </row>
    <row r="1951" spans="1:119" x14ac:dyDescent="0.2">
      <c r="A1951" s="58">
        <v>2049</v>
      </c>
      <c r="B1951" s="128" t="s">
        <v>1492</v>
      </c>
    </row>
    <row r="1952" spans="1:119" x14ac:dyDescent="0.2">
      <c r="A1952" s="58">
        <v>2050</v>
      </c>
      <c r="B1952" s="128" t="s">
        <v>3517</v>
      </c>
    </row>
    <row r="1953" spans="1:2" x14ac:dyDescent="0.2">
      <c r="A1953" s="58">
        <v>2051</v>
      </c>
      <c r="B1953" s="128" t="s">
        <v>3522</v>
      </c>
    </row>
    <row r="1954" spans="1:2" x14ac:dyDescent="0.2">
      <c r="A1954" s="58">
        <v>2052</v>
      </c>
      <c r="B1954" s="128" t="s">
        <v>2851</v>
      </c>
    </row>
    <row r="1955" spans="1:2" x14ac:dyDescent="0.2">
      <c r="A1955" s="58">
        <v>2053</v>
      </c>
      <c r="B1955" s="128" t="s">
        <v>2852</v>
      </c>
    </row>
    <row r="1956" spans="1:2" x14ac:dyDescent="0.2">
      <c r="A1956" s="58">
        <v>2054</v>
      </c>
      <c r="B1956" s="128" t="s">
        <v>1415</v>
      </c>
    </row>
    <row r="1957" spans="1:2" x14ac:dyDescent="0.2">
      <c r="A1957" s="58">
        <v>2055</v>
      </c>
      <c r="B1957" s="128" t="s">
        <v>3495</v>
      </c>
    </row>
    <row r="1958" spans="1:2" x14ac:dyDescent="0.2">
      <c r="A1958" s="58">
        <v>2056</v>
      </c>
      <c r="B1958" s="128" t="s">
        <v>1529</v>
      </c>
    </row>
    <row r="1959" spans="1:2" x14ac:dyDescent="0.2">
      <c r="A1959" s="58">
        <v>2057</v>
      </c>
      <c r="B1959" s="128" t="s">
        <v>2852</v>
      </c>
    </row>
    <row r="1960" spans="1:2" x14ac:dyDescent="0.2">
      <c r="A1960" s="58">
        <v>2058</v>
      </c>
      <c r="B1960" s="128" t="s">
        <v>3194</v>
      </c>
    </row>
    <row r="1961" spans="1:2" x14ac:dyDescent="0.2">
      <c r="A1961" s="58">
        <v>2059</v>
      </c>
      <c r="B1961" s="128" t="s">
        <v>3331</v>
      </c>
    </row>
    <row r="1962" spans="1:2" x14ac:dyDescent="0.2">
      <c r="A1962" s="58">
        <v>2060</v>
      </c>
      <c r="B1962" s="128" t="s">
        <v>1531</v>
      </c>
    </row>
    <row r="1963" spans="1:2" x14ac:dyDescent="0.2">
      <c r="A1963" s="58">
        <v>2061</v>
      </c>
      <c r="B1963" s="128" t="s">
        <v>3462</v>
      </c>
    </row>
    <row r="1964" spans="1:2" x14ac:dyDescent="0.2">
      <c r="A1964" s="58">
        <v>2062</v>
      </c>
      <c r="B1964" s="128" t="s">
        <v>2902</v>
      </c>
    </row>
    <row r="1965" spans="1:2" x14ac:dyDescent="0.2">
      <c r="A1965" s="58">
        <v>2063</v>
      </c>
      <c r="B1965" s="128" t="s">
        <v>1167</v>
      </c>
    </row>
    <row r="1966" spans="1:2" x14ac:dyDescent="0.2">
      <c r="A1966" s="58">
        <v>2064</v>
      </c>
      <c r="B1966" s="128" t="s">
        <v>3520</v>
      </c>
    </row>
    <row r="1967" spans="1:2" x14ac:dyDescent="0.2">
      <c r="A1967" s="58">
        <v>2065</v>
      </c>
      <c r="B1967" s="128" t="s">
        <v>1415</v>
      </c>
    </row>
    <row r="1968" spans="1:2" x14ac:dyDescent="0.2">
      <c r="A1968" s="58">
        <v>2066</v>
      </c>
      <c r="B1968" s="128" t="s">
        <v>538</v>
      </c>
    </row>
    <row r="1969" spans="1:2" x14ac:dyDescent="0.2">
      <c r="A1969" s="58">
        <v>2067</v>
      </c>
      <c r="B1969" s="128" t="s">
        <v>3060</v>
      </c>
    </row>
    <row r="1970" spans="1:2" x14ac:dyDescent="0.2">
      <c r="A1970" s="58">
        <v>2068</v>
      </c>
      <c r="B1970" s="128" t="s">
        <v>549</v>
      </c>
    </row>
    <row r="1971" spans="1:2" x14ac:dyDescent="0.2">
      <c r="A1971" s="58">
        <v>2069</v>
      </c>
      <c r="B1971" s="128" t="s">
        <v>3495</v>
      </c>
    </row>
    <row r="1972" spans="1:2" x14ac:dyDescent="0.2">
      <c r="A1972" s="58">
        <v>2070</v>
      </c>
      <c r="B1972" s="128" t="s">
        <v>3522</v>
      </c>
    </row>
    <row r="1973" spans="1:2" x14ac:dyDescent="0.2">
      <c r="A1973" s="58">
        <v>2071</v>
      </c>
      <c r="B1973" s="128" t="s">
        <v>1529</v>
      </c>
    </row>
    <row r="1974" spans="1:2" x14ac:dyDescent="0.2">
      <c r="A1974" s="58">
        <v>2072</v>
      </c>
      <c r="B1974" s="128" t="s">
        <v>3135</v>
      </c>
    </row>
    <row r="1975" spans="1:2" x14ac:dyDescent="0.2">
      <c r="A1975" s="58">
        <v>2073</v>
      </c>
      <c r="B1975" s="128" t="s">
        <v>3194</v>
      </c>
    </row>
    <row r="1976" spans="1:2" x14ac:dyDescent="0.2">
      <c r="A1976" s="58">
        <v>2074</v>
      </c>
      <c r="B1976" s="128" t="s">
        <v>2852</v>
      </c>
    </row>
    <row r="1977" spans="1:2" x14ac:dyDescent="0.2">
      <c r="A1977" s="58">
        <v>2075</v>
      </c>
      <c r="B1977" s="128" t="s">
        <v>3498</v>
      </c>
    </row>
    <row r="1978" spans="1:2" x14ac:dyDescent="0.2">
      <c r="A1978" s="58">
        <v>2076</v>
      </c>
      <c r="B1978" s="128" t="s">
        <v>1200</v>
      </c>
    </row>
    <row r="1979" spans="1:2" x14ac:dyDescent="0.2">
      <c r="A1979" s="58">
        <v>2077</v>
      </c>
      <c r="B1979" s="128" t="s">
        <v>3186</v>
      </c>
    </row>
    <row r="1980" spans="1:2" x14ac:dyDescent="0.2">
      <c r="A1980" s="58">
        <v>2078</v>
      </c>
      <c r="B1980" s="128" t="s">
        <v>1169</v>
      </c>
    </row>
    <row r="1981" spans="1:2" x14ac:dyDescent="0.2">
      <c r="A1981" s="58">
        <v>2079</v>
      </c>
      <c r="B1981" s="128" t="s">
        <v>1408</v>
      </c>
    </row>
    <row r="1982" spans="1:2" x14ac:dyDescent="0.2">
      <c r="A1982" s="58">
        <v>2080</v>
      </c>
      <c r="B1982" s="128" t="s">
        <v>1148</v>
      </c>
    </row>
    <row r="1983" spans="1:2" x14ac:dyDescent="0.2">
      <c r="A1983" s="58">
        <v>2081</v>
      </c>
      <c r="B1983" s="128" t="s">
        <v>1403</v>
      </c>
    </row>
    <row r="1984" spans="1:2" x14ac:dyDescent="0.2">
      <c r="A1984" s="58">
        <v>2082</v>
      </c>
      <c r="B1984" s="128" t="s">
        <v>539</v>
      </c>
    </row>
    <row r="1985" spans="1:2" x14ac:dyDescent="0.2">
      <c r="A1985" s="58">
        <v>2083</v>
      </c>
      <c r="B1985" s="128" t="s">
        <v>1418</v>
      </c>
    </row>
    <row r="1986" spans="1:2" x14ac:dyDescent="0.2">
      <c r="A1986" s="58">
        <v>2084</v>
      </c>
      <c r="B1986" s="128" t="s">
        <v>3492</v>
      </c>
    </row>
    <row r="1987" spans="1:2" x14ac:dyDescent="0.2">
      <c r="A1987" s="58">
        <v>2085</v>
      </c>
      <c r="B1987" s="128" t="s">
        <v>3194</v>
      </c>
    </row>
    <row r="1988" spans="1:2" x14ac:dyDescent="0.2">
      <c r="A1988" s="58">
        <v>2086</v>
      </c>
      <c r="B1988" s="128" t="s">
        <v>1177</v>
      </c>
    </row>
    <row r="1989" spans="1:2" x14ac:dyDescent="0.2">
      <c r="A1989" s="58">
        <v>2087</v>
      </c>
      <c r="B1989" s="128" t="s">
        <v>2852</v>
      </c>
    </row>
    <row r="1990" spans="1:2" x14ac:dyDescent="0.2">
      <c r="A1990" s="58">
        <v>2088</v>
      </c>
      <c r="B1990" s="128" t="s">
        <v>3359</v>
      </c>
    </row>
    <row r="1991" spans="1:2" x14ac:dyDescent="0.2">
      <c r="A1991" s="58">
        <v>2089</v>
      </c>
      <c r="B1991" s="128" t="s">
        <v>1200</v>
      </c>
    </row>
    <row r="1992" spans="1:2" x14ac:dyDescent="0.2">
      <c r="A1992" s="58">
        <v>2090</v>
      </c>
      <c r="B1992" s="128" t="s">
        <v>1169</v>
      </c>
    </row>
    <row r="1993" spans="1:2" x14ac:dyDescent="0.2">
      <c r="A1993" s="58">
        <v>2091</v>
      </c>
      <c r="B1993" s="128" t="s">
        <v>534</v>
      </c>
    </row>
    <row r="1994" spans="1:2" x14ac:dyDescent="0.2">
      <c r="A1994" s="58">
        <v>2092</v>
      </c>
      <c r="B1994" s="128" t="s">
        <v>2908</v>
      </c>
    </row>
    <row r="1995" spans="1:2" x14ac:dyDescent="0.2">
      <c r="A1995" s="58">
        <v>2093</v>
      </c>
      <c r="B1995" s="128" t="s">
        <v>3186</v>
      </c>
    </row>
    <row r="1996" spans="1:2" x14ac:dyDescent="0.2">
      <c r="A1996" s="58">
        <v>2094</v>
      </c>
      <c r="B1996" s="128" t="s">
        <v>3516</v>
      </c>
    </row>
    <row r="1997" spans="1:2" x14ac:dyDescent="0.2">
      <c r="A1997" s="58">
        <v>2095</v>
      </c>
      <c r="B1997" s="128" t="s">
        <v>2829</v>
      </c>
    </row>
    <row r="1998" spans="1:2" x14ac:dyDescent="0.2">
      <c r="A1998" s="58">
        <v>2096</v>
      </c>
      <c r="B1998" s="128" t="s">
        <v>3492</v>
      </c>
    </row>
    <row r="1999" spans="1:2" x14ac:dyDescent="0.2">
      <c r="A1999" s="58">
        <v>2097</v>
      </c>
      <c r="B1999" s="128" t="s">
        <v>3462</v>
      </c>
    </row>
    <row r="2000" spans="1:2" x14ac:dyDescent="0.2">
      <c r="A2000" s="58">
        <v>2098</v>
      </c>
      <c r="B2000" s="128" t="s">
        <v>3467</v>
      </c>
    </row>
    <row r="2001" spans="1:2" x14ac:dyDescent="0.2">
      <c r="A2001" s="58">
        <v>2099</v>
      </c>
      <c r="B2001" s="128" t="s">
        <v>3473</v>
      </c>
    </row>
    <row r="2002" spans="1:2" x14ac:dyDescent="0.2">
      <c r="A2002" s="58">
        <v>2100</v>
      </c>
      <c r="B2002" s="128" t="s">
        <v>1491</v>
      </c>
    </row>
    <row r="2003" spans="1:2" x14ac:dyDescent="0.2">
      <c r="A2003" s="58">
        <v>2101</v>
      </c>
      <c r="B2003" s="128" t="s">
        <v>3202</v>
      </c>
    </row>
    <row r="2004" spans="1:2" x14ac:dyDescent="0.2">
      <c r="A2004" s="58">
        <v>2102</v>
      </c>
      <c r="B2004" s="128" t="s">
        <v>1169</v>
      </c>
    </row>
    <row r="2005" spans="1:2" x14ac:dyDescent="0.2">
      <c r="A2005" s="58">
        <v>2103</v>
      </c>
      <c r="B2005" s="128" t="s">
        <v>3068</v>
      </c>
    </row>
    <row r="2006" spans="1:2" x14ac:dyDescent="0.2">
      <c r="A2006" s="58">
        <v>2104</v>
      </c>
      <c r="B2006" s="128" t="s">
        <v>1200</v>
      </c>
    </row>
    <row r="2007" spans="1:2" x14ac:dyDescent="0.2">
      <c r="A2007" s="58">
        <v>2105</v>
      </c>
      <c r="B2007" s="128" t="s">
        <v>1203</v>
      </c>
    </row>
    <row r="2008" spans="1:2" x14ac:dyDescent="0.2">
      <c r="A2008" s="58">
        <v>2106</v>
      </c>
      <c r="B2008" s="128" t="s">
        <v>3467</v>
      </c>
    </row>
    <row r="2009" spans="1:2" x14ac:dyDescent="0.2">
      <c r="A2009" s="58">
        <v>2107</v>
      </c>
      <c r="B2009" s="128" t="s">
        <v>3520</v>
      </c>
    </row>
    <row r="2010" spans="1:2" x14ac:dyDescent="0.2">
      <c r="A2010" s="58">
        <v>2108</v>
      </c>
      <c r="B2010" s="128" t="s">
        <v>3516</v>
      </c>
    </row>
    <row r="2011" spans="1:2" x14ac:dyDescent="0.2">
      <c r="A2011" s="58">
        <v>2109</v>
      </c>
      <c r="B2011" s="128" t="s">
        <v>3060</v>
      </c>
    </row>
    <row r="2012" spans="1:2" x14ac:dyDescent="0.2">
      <c r="A2012" s="58">
        <v>2110</v>
      </c>
      <c r="B2012" s="128" t="s">
        <v>3492</v>
      </c>
    </row>
    <row r="2013" spans="1:2" x14ac:dyDescent="0.2">
      <c r="A2013" s="58">
        <v>2111</v>
      </c>
      <c r="B2013" s="128" t="s">
        <v>3467</v>
      </c>
    </row>
    <row r="2014" spans="1:2" x14ac:dyDescent="0.2">
      <c r="A2014" s="58">
        <v>2112</v>
      </c>
      <c r="B2014" s="128" t="s">
        <v>1200</v>
      </c>
    </row>
    <row r="2015" spans="1:2" x14ac:dyDescent="0.2">
      <c r="A2015" s="58">
        <v>2113</v>
      </c>
      <c r="B2015" s="128" t="s">
        <v>3435</v>
      </c>
    </row>
    <row r="2016" spans="1:2" x14ac:dyDescent="0.2">
      <c r="A2016" s="58">
        <v>2114</v>
      </c>
      <c r="B2016" s="128" t="s">
        <v>1169</v>
      </c>
    </row>
    <row r="2017" spans="1:128" x14ac:dyDescent="0.2">
      <c r="A2017" s="58">
        <v>2115</v>
      </c>
      <c r="B2017" s="128" t="s">
        <v>3498</v>
      </c>
    </row>
    <row r="2018" spans="1:128" x14ac:dyDescent="0.2">
      <c r="A2018" s="58">
        <v>2116</v>
      </c>
      <c r="B2018" s="128" t="s">
        <v>3202</v>
      </c>
    </row>
    <row r="2019" spans="1:128" x14ac:dyDescent="0.2">
      <c r="A2019" s="58">
        <v>2117</v>
      </c>
      <c r="B2019" s="128" t="s">
        <v>3068</v>
      </c>
    </row>
    <row r="2020" spans="1:128" x14ac:dyDescent="0.2">
      <c r="A2020" s="58">
        <v>2118</v>
      </c>
      <c r="B2020" s="128" t="s">
        <v>1155</v>
      </c>
    </row>
    <row r="2021" spans="1:128" x14ac:dyDescent="0.2">
      <c r="A2021" s="58">
        <v>2119</v>
      </c>
      <c r="B2021" s="128" t="s">
        <v>3463</v>
      </c>
    </row>
    <row r="2022" spans="1:128" x14ac:dyDescent="0.2">
      <c r="A2022" s="58">
        <v>2120</v>
      </c>
      <c r="B2022" s="128" t="s">
        <v>3520</v>
      </c>
    </row>
    <row r="2023" spans="1:128" x14ac:dyDescent="0.2">
      <c r="A2023" s="58">
        <v>2121</v>
      </c>
      <c r="B2023" s="128" t="s">
        <v>1282</v>
      </c>
    </row>
    <row r="2024" spans="1:128" x14ac:dyDescent="0.2">
      <c r="A2024" s="58">
        <v>2122</v>
      </c>
      <c r="B2024" s="128" t="s">
        <v>558</v>
      </c>
      <c r="DU2024" s="127">
        <v>2</v>
      </c>
      <c r="DX2024" s="127">
        <v>2</v>
      </c>
    </row>
    <row r="2025" spans="1:128" x14ac:dyDescent="0.2">
      <c r="A2025" s="58">
        <v>2123</v>
      </c>
      <c r="B2025" s="128" t="s">
        <v>3060</v>
      </c>
    </row>
    <row r="2026" spans="1:128" x14ac:dyDescent="0.2">
      <c r="A2026" s="58">
        <v>2124</v>
      </c>
      <c r="B2026" s="128" t="s">
        <v>3471</v>
      </c>
    </row>
    <row r="2027" spans="1:128" x14ac:dyDescent="0.2">
      <c r="A2027" s="58">
        <v>2125</v>
      </c>
      <c r="B2027" s="128" t="s">
        <v>1489</v>
      </c>
    </row>
    <row r="2028" spans="1:128" x14ac:dyDescent="0.2">
      <c r="A2028" s="58">
        <v>2126</v>
      </c>
      <c r="B2028" s="128" t="s">
        <v>1491</v>
      </c>
    </row>
    <row r="2029" spans="1:128" x14ac:dyDescent="0.2">
      <c r="A2029" s="58">
        <v>2127</v>
      </c>
      <c r="B2029" s="128" t="s">
        <v>1415</v>
      </c>
    </row>
    <row r="2030" spans="1:128" x14ac:dyDescent="0.2">
      <c r="A2030" s="58">
        <v>2128</v>
      </c>
      <c r="B2030" s="128" t="s">
        <v>3489</v>
      </c>
    </row>
    <row r="2031" spans="1:128" x14ac:dyDescent="0.2">
      <c r="A2031" s="58">
        <v>2129</v>
      </c>
      <c r="B2031" s="128" t="s">
        <v>3467</v>
      </c>
    </row>
    <row r="2032" spans="1:128" x14ac:dyDescent="0.2">
      <c r="A2032" s="58">
        <v>2130</v>
      </c>
      <c r="B2032" s="128" t="s">
        <v>3052</v>
      </c>
    </row>
    <row r="2033" spans="1:2" x14ac:dyDescent="0.2">
      <c r="A2033" s="58">
        <v>2131</v>
      </c>
      <c r="B2033" s="128" t="s">
        <v>3435</v>
      </c>
    </row>
    <row r="2034" spans="1:2" x14ac:dyDescent="0.2">
      <c r="A2034" s="58">
        <v>2132</v>
      </c>
      <c r="B2034" s="128" t="s">
        <v>540</v>
      </c>
    </row>
    <row r="2035" spans="1:2" x14ac:dyDescent="0.2">
      <c r="A2035" s="58">
        <v>2133</v>
      </c>
      <c r="B2035" s="128" t="s">
        <v>3052</v>
      </c>
    </row>
    <row r="2036" spans="1:2" x14ac:dyDescent="0.2">
      <c r="A2036" s="58">
        <v>2134</v>
      </c>
      <c r="B2036" s="128" t="s">
        <v>1200</v>
      </c>
    </row>
    <row r="2037" spans="1:2" x14ac:dyDescent="0.2">
      <c r="A2037" s="58">
        <v>2135</v>
      </c>
      <c r="B2037" s="128" t="s">
        <v>3331</v>
      </c>
    </row>
    <row r="2038" spans="1:2" x14ac:dyDescent="0.2">
      <c r="A2038" s="58">
        <v>2136</v>
      </c>
      <c r="B2038" s="128" t="s">
        <v>3048</v>
      </c>
    </row>
    <row r="2039" spans="1:2" x14ac:dyDescent="0.2">
      <c r="A2039" s="58">
        <v>2137</v>
      </c>
      <c r="B2039" s="128" t="s">
        <v>3520</v>
      </c>
    </row>
    <row r="2040" spans="1:2" x14ac:dyDescent="0.2">
      <c r="A2040" s="58">
        <v>2138</v>
      </c>
      <c r="B2040" s="128" t="s">
        <v>2852</v>
      </c>
    </row>
    <row r="2041" spans="1:2" x14ac:dyDescent="0.2">
      <c r="A2041" s="58">
        <v>2139</v>
      </c>
      <c r="B2041" s="128" t="s">
        <v>3517</v>
      </c>
    </row>
    <row r="2042" spans="1:2" x14ac:dyDescent="0.2">
      <c r="A2042" s="58">
        <v>2140</v>
      </c>
      <c r="B2042" s="128" t="s">
        <v>1155</v>
      </c>
    </row>
    <row r="2043" spans="1:2" x14ac:dyDescent="0.2">
      <c r="A2043" s="58">
        <v>2141</v>
      </c>
      <c r="B2043" s="128" t="s">
        <v>1200</v>
      </c>
    </row>
    <row r="2044" spans="1:2" x14ac:dyDescent="0.2">
      <c r="A2044" s="58">
        <v>2142</v>
      </c>
      <c r="B2044" s="128" t="s">
        <v>534</v>
      </c>
    </row>
    <row r="2045" spans="1:2" x14ac:dyDescent="0.2">
      <c r="A2045" s="58">
        <v>2143</v>
      </c>
      <c r="B2045" s="128" t="s">
        <v>1169</v>
      </c>
    </row>
    <row r="2046" spans="1:2" x14ac:dyDescent="0.2">
      <c r="A2046" s="58">
        <v>2144</v>
      </c>
      <c r="B2046" s="128" t="s">
        <v>1491</v>
      </c>
    </row>
    <row r="2047" spans="1:2" x14ac:dyDescent="0.2">
      <c r="A2047" s="58">
        <v>2145</v>
      </c>
      <c r="B2047" s="128" t="s">
        <v>3516</v>
      </c>
    </row>
    <row r="2048" spans="1:2" x14ac:dyDescent="0.2">
      <c r="A2048" s="58">
        <v>2146</v>
      </c>
      <c r="B2048" s="128" t="s">
        <v>3467</v>
      </c>
    </row>
    <row r="2049" spans="1:2" x14ac:dyDescent="0.2">
      <c r="A2049" s="58">
        <v>2147</v>
      </c>
      <c r="B2049" s="128" t="s">
        <v>3506</v>
      </c>
    </row>
    <row r="2050" spans="1:2" x14ac:dyDescent="0.2">
      <c r="A2050" s="58">
        <v>2148</v>
      </c>
      <c r="B2050" s="128" t="s">
        <v>3359</v>
      </c>
    </row>
    <row r="2051" spans="1:2" x14ac:dyDescent="0.2">
      <c r="A2051" s="58">
        <v>2149</v>
      </c>
      <c r="B2051" s="128" t="s">
        <v>2878</v>
      </c>
    </row>
    <row r="2052" spans="1:2" x14ac:dyDescent="0.2">
      <c r="A2052" s="58">
        <v>2150</v>
      </c>
      <c r="B2052" s="128" t="s">
        <v>1148</v>
      </c>
    </row>
    <row r="2053" spans="1:2" x14ac:dyDescent="0.2">
      <c r="A2053" s="58">
        <v>2151</v>
      </c>
      <c r="B2053" s="128" t="s">
        <v>558</v>
      </c>
    </row>
    <row r="2054" spans="1:2" x14ac:dyDescent="0.2">
      <c r="A2054" s="58">
        <v>2152</v>
      </c>
      <c r="B2054" s="128" t="s">
        <v>3474</v>
      </c>
    </row>
    <row r="2055" spans="1:2" x14ac:dyDescent="0.2">
      <c r="A2055" s="58">
        <v>2153</v>
      </c>
      <c r="B2055" s="128" t="s">
        <v>3462</v>
      </c>
    </row>
    <row r="2056" spans="1:2" x14ac:dyDescent="0.2">
      <c r="A2056" s="58">
        <v>2154</v>
      </c>
      <c r="B2056" s="128" t="s">
        <v>1411</v>
      </c>
    </row>
    <row r="2057" spans="1:2" x14ac:dyDescent="0.2">
      <c r="A2057" s="58">
        <v>2155</v>
      </c>
      <c r="B2057" s="128" t="s">
        <v>1529</v>
      </c>
    </row>
    <row r="2058" spans="1:2" x14ac:dyDescent="0.2">
      <c r="A2058" s="58">
        <v>2156</v>
      </c>
      <c r="B2058" s="128" t="s">
        <v>3495</v>
      </c>
    </row>
    <row r="2059" spans="1:2" x14ac:dyDescent="0.2">
      <c r="A2059" s="58">
        <v>2157</v>
      </c>
      <c r="B2059" s="128" t="s">
        <v>1402</v>
      </c>
    </row>
    <row r="2060" spans="1:2" x14ac:dyDescent="0.2">
      <c r="A2060" s="58">
        <v>2158</v>
      </c>
      <c r="B2060" s="128" t="s">
        <v>1400</v>
      </c>
    </row>
    <row r="2061" spans="1:2" x14ac:dyDescent="0.2">
      <c r="A2061" s="58">
        <v>2159</v>
      </c>
      <c r="B2061" s="128" t="s">
        <v>1144</v>
      </c>
    </row>
    <row r="2062" spans="1:2" x14ac:dyDescent="0.2">
      <c r="A2062" s="58">
        <v>2160</v>
      </c>
      <c r="B2062" s="128" t="s">
        <v>3495</v>
      </c>
    </row>
    <row r="2063" spans="1:2" x14ac:dyDescent="0.2">
      <c r="A2063" s="58">
        <v>2161</v>
      </c>
      <c r="B2063" s="128" t="s">
        <v>1400</v>
      </c>
    </row>
    <row r="2064" spans="1:2" x14ac:dyDescent="0.2">
      <c r="A2064" s="58">
        <v>2162</v>
      </c>
      <c r="B2064" s="128" t="s">
        <v>1208</v>
      </c>
    </row>
    <row r="2065" spans="1:2" x14ac:dyDescent="0.2">
      <c r="A2065" s="58">
        <v>2163</v>
      </c>
      <c r="B2065" s="128" t="s">
        <v>3194</v>
      </c>
    </row>
    <row r="2066" spans="1:2" x14ac:dyDescent="0.2">
      <c r="A2066" s="58">
        <v>2164</v>
      </c>
      <c r="B2066" s="128" t="s">
        <v>1415</v>
      </c>
    </row>
    <row r="2067" spans="1:2" x14ac:dyDescent="0.2">
      <c r="A2067" s="58">
        <v>2165</v>
      </c>
      <c r="B2067" s="128" t="s">
        <v>3474</v>
      </c>
    </row>
    <row r="2068" spans="1:2" x14ac:dyDescent="0.2">
      <c r="A2068" s="58">
        <v>2166</v>
      </c>
      <c r="B2068" s="128" t="s">
        <v>540</v>
      </c>
    </row>
    <row r="2069" spans="1:2" x14ac:dyDescent="0.2">
      <c r="A2069" s="58">
        <v>2167</v>
      </c>
      <c r="B2069" s="128" t="s">
        <v>3101</v>
      </c>
    </row>
    <row r="2070" spans="1:2" x14ac:dyDescent="0.2">
      <c r="A2070" s="58">
        <v>2168</v>
      </c>
      <c r="B2070" s="128" t="s">
        <v>2880</v>
      </c>
    </row>
    <row r="2071" spans="1:2" x14ac:dyDescent="0.2">
      <c r="A2071" s="58">
        <v>2169</v>
      </c>
      <c r="B2071" s="128" t="s">
        <v>1148</v>
      </c>
    </row>
    <row r="2072" spans="1:2" x14ac:dyDescent="0.2">
      <c r="A2072" s="58">
        <v>2170</v>
      </c>
      <c r="B2072" s="128" t="s">
        <v>1144</v>
      </c>
    </row>
    <row r="2073" spans="1:2" x14ac:dyDescent="0.2">
      <c r="A2073" s="58">
        <v>2171</v>
      </c>
      <c r="B2073" s="128" t="s">
        <v>2852</v>
      </c>
    </row>
    <row r="2074" spans="1:2" x14ac:dyDescent="0.2">
      <c r="A2074" s="58">
        <v>2172</v>
      </c>
      <c r="B2074" s="128" t="s">
        <v>1411</v>
      </c>
    </row>
    <row r="2075" spans="1:2" x14ac:dyDescent="0.2">
      <c r="A2075" s="58">
        <v>2173</v>
      </c>
      <c r="B2075" s="128" t="s">
        <v>1162</v>
      </c>
    </row>
    <row r="2076" spans="1:2" x14ac:dyDescent="0.2">
      <c r="A2076" s="58">
        <v>2174</v>
      </c>
      <c r="B2076" s="128" t="s">
        <v>3467</v>
      </c>
    </row>
    <row r="2077" spans="1:2" x14ac:dyDescent="0.2">
      <c r="A2077" s="58">
        <v>2175</v>
      </c>
      <c r="B2077" s="128" t="s">
        <v>1415</v>
      </c>
    </row>
    <row r="2078" spans="1:2" x14ac:dyDescent="0.2">
      <c r="A2078" s="58">
        <v>2176</v>
      </c>
      <c r="B2078" s="128" t="s">
        <v>1200</v>
      </c>
    </row>
    <row r="2079" spans="1:2" x14ac:dyDescent="0.2">
      <c r="A2079" s="58">
        <v>2177</v>
      </c>
      <c r="B2079" s="128" t="s">
        <v>3495</v>
      </c>
    </row>
    <row r="2080" spans="1:2" x14ac:dyDescent="0.2">
      <c r="A2080" s="58">
        <v>2178</v>
      </c>
      <c r="B2080" s="128" t="s">
        <v>1400</v>
      </c>
    </row>
    <row r="2081" spans="1:2" x14ac:dyDescent="0.2">
      <c r="A2081" s="58">
        <v>2179</v>
      </c>
      <c r="B2081" s="128" t="s">
        <v>1411</v>
      </c>
    </row>
    <row r="2082" spans="1:2" x14ac:dyDescent="0.2">
      <c r="A2082" s="58">
        <v>2180</v>
      </c>
      <c r="B2082" s="128" t="s">
        <v>538</v>
      </c>
    </row>
    <row r="2083" spans="1:2" x14ac:dyDescent="0.2">
      <c r="A2083" s="58">
        <v>2181</v>
      </c>
      <c r="B2083" s="128" t="s">
        <v>3331</v>
      </c>
    </row>
    <row r="2084" spans="1:2" x14ac:dyDescent="0.2">
      <c r="A2084" s="58">
        <v>2182</v>
      </c>
      <c r="B2084" s="128" t="s">
        <v>2852</v>
      </c>
    </row>
    <row r="2085" spans="1:2" x14ac:dyDescent="0.2">
      <c r="A2085" s="58">
        <v>2183</v>
      </c>
      <c r="B2085" s="128" t="s">
        <v>1491</v>
      </c>
    </row>
    <row r="2086" spans="1:2" x14ac:dyDescent="0.2">
      <c r="A2086" s="58">
        <v>2184</v>
      </c>
      <c r="B2086" s="128" t="s">
        <v>1155</v>
      </c>
    </row>
    <row r="2087" spans="1:2" x14ac:dyDescent="0.2">
      <c r="A2087" s="58">
        <v>2185</v>
      </c>
      <c r="B2087" s="128" t="s">
        <v>3052</v>
      </c>
    </row>
    <row r="2088" spans="1:2" x14ac:dyDescent="0.2">
      <c r="A2088" s="58">
        <v>2186</v>
      </c>
      <c r="B2088" s="128" t="s">
        <v>3068</v>
      </c>
    </row>
    <row r="2089" spans="1:2" x14ac:dyDescent="0.2">
      <c r="A2089" s="58">
        <v>2187</v>
      </c>
      <c r="B2089" s="128" t="s">
        <v>1200</v>
      </c>
    </row>
    <row r="2090" spans="1:2" x14ac:dyDescent="0.2">
      <c r="A2090" s="58">
        <v>2188</v>
      </c>
      <c r="B2090" s="128" t="s">
        <v>3435</v>
      </c>
    </row>
    <row r="2091" spans="1:2" x14ac:dyDescent="0.2">
      <c r="A2091" s="58">
        <v>2189</v>
      </c>
      <c r="B2091" s="128" t="s">
        <v>3202</v>
      </c>
    </row>
    <row r="2092" spans="1:2" x14ac:dyDescent="0.2">
      <c r="A2092" s="58">
        <v>2190</v>
      </c>
      <c r="B2092" s="128" t="s">
        <v>3186</v>
      </c>
    </row>
    <row r="2093" spans="1:2" x14ac:dyDescent="0.2">
      <c r="A2093" s="58">
        <v>2191</v>
      </c>
      <c r="B2093" s="128" t="s">
        <v>3467</v>
      </c>
    </row>
    <row r="2094" spans="1:2" x14ac:dyDescent="0.2">
      <c r="A2094" s="58">
        <v>2192</v>
      </c>
      <c r="B2094" s="128" t="s">
        <v>1415</v>
      </c>
    </row>
    <row r="2095" spans="1:2" x14ac:dyDescent="0.2">
      <c r="A2095" s="58">
        <v>2193</v>
      </c>
      <c r="B2095" s="128" t="s">
        <v>1411</v>
      </c>
    </row>
    <row r="2096" spans="1:2" x14ac:dyDescent="0.2">
      <c r="A2096" s="58">
        <v>2194</v>
      </c>
      <c r="B2096" s="128" t="s">
        <v>2849</v>
      </c>
    </row>
    <row r="2097" spans="1:2" x14ac:dyDescent="0.2">
      <c r="A2097" s="58">
        <v>2195</v>
      </c>
      <c r="B2097" s="128" t="s">
        <v>2905</v>
      </c>
    </row>
    <row r="2098" spans="1:2" x14ac:dyDescent="0.2">
      <c r="A2098" s="58">
        <v>2196</v>
      </c>
      <c r="B2098" s="128" t="s">
        <v>3163</v>
      </c>
    </row>
    <row r="2099" spans="1:2" x14ac:dyDescent="0.2">
      <c r="A2099" s="58">
        <v>2197</v>
      </c>
      <c r="B2099" s="128" t="s">
        <v>1144</v>
      </c>
    </row>
    <row r="2100" spans="1:2" x14ac:dyDescent="0.2">
      <c r="A2100" s="58">
        <v>2198</v>
      </c>
      <c r="B2100" s="128" t="s">
        <v>1155</v>
      </c>
    </row>
    <row r="2101" spans="1:2" x14ac:dyDescent="0.2">
      <c r="A2101" s="58">
        <v>2199</v>
      </c>
      <c r="B2101" s="128" t="s">
        <v>1411</v>
      </c>
    </row>
    <row r="2102" spans="1:2" x14ac:dyDescent="0.2">
      <c r="A2102" s="58">
        <v>2200</v>
      </c>
      <c r="B2102" s="128" t="s">
        <v>3052</v>
      </c>
    </row>
    <row r="2103" spans="1:2" x14ac:dyDescent="0.2">
      <c r="A2103" s="58">
        <v>2201</v>
      </c>
      <c r="B2103" s="128" t="s">
        <v>3186</v>
      </c>
    </row>
    <row r="2104" spans="1:2" x14ac:dyDescent="0.2">
      <c r="A2104" s="58">
        <v>2202</v>
      </c>
      <c r="B2104" s="128" t="s">
        <v>1200</v>
      </c>
    </row>
    <row r="2105" spans="1:2" x14ac:dyDescent="0.2">
      <c r="A2105" s="58">
        <v>2203</v>
      </c>
      <c r="B2105" s="128" t="s">
        <v>3469</v>
      </c>
    </row>
    <row r="2106" spans="1:2" x14ac:dyDescent="0.2">
      <c r="A2106" s="58">
        <v>2204</v>
      </c>
      <c r="B2106" s="128" t="s">
        <v>1150</v>
      </c>
    </row>
    <row r="2107" spans="1:2" x14ac:dyDescent="0.2">
      <c r="A2107" s="58">
        <v>2205</v>
      </c>
      <c r="B2107" s="128" t="s">
        <v>1144</v>
      </c>
    </row>
    <row r="2108" spans="1:2" x14ac:dyDescent="0.2">
      <c r="A2108" s="58">
        <v>2206</v>
      </c>
      <c r="B2108" s="128" t="s">
        <v>3467</v>
      </c>
    </row>
    <row r="2109" spans="1:2" x14ac:dyDescent="0.2">
      <c r="A2109" s="58">
        <v>2207</v>
      </c>
      <c r="B2109" s="128" t="s">
        <v>3068</v>
      </c>
    </row>
    <row r="2110" spans="1:2" x14ac:dyDescent="0.2">
      <c r="A2110" s="58">
        <v>2208</v>
      </c>
      <c r="B2110" s="128" t="s">
        <v>3485</v>
      </c>
    </row>
    <row r="2111" spans="1:2" x14ac:dyDescent="0.2">
      <c r="A2111" s="58">
        <v>2209</v>
      </c>
      <c r="B2111" s="128" t="s">
        <v>1409</v>
      </c>
    </row>
    <row r="2112" spans="1:2" x14ac:dyDescent="0.2">
      <c r="A2112" s="58">
        <v>2210</v>
      </c>
      <c r="B2112" s="128" t="s">
        <v>3047</v>
      </c>
    </row>
    <row r="2113" spans="1:2" x14ac:dyDescent="0.2">
      <c r="A2113" s="58">
        <v>2211</v>
      </c>
      <c r="B2113" s="128" t="s">
        <v>3057</v>
      </c>
    </row>
    <row r="2114" spans="1:2" x14ac:dyDescent="0.2">
      <c r="A2114" s="58">
        <v>2212</v>
      </c>
      <c r="B2114" s="128" t="s">
        <v>3052</v>
      </c>
    </row>
    <row r="2115" spans="1:2" x14ac:dyDescent="0.2">
      <c r="A2115" s="58">
        <v>2213</v>
      </c>
      <c r="B2115" s="128" t="s">
        <v>3090</v>
      </c>
    </row>
    <row r="2116" spans="1:2" x14ac:dyDescent="0.2">
      <c r="A2116" s="58">
        <v>2214</v>
      </c>
      <c r="B2116" s="128" t="s">
        <v>1415</v>
      </c>
    </row>
    <row r="2117" spans="1:2" x14ac:dyDescent="0.2">
      <c r="A2117" s="58">
        <v>2215</v>
      </c>
      <c r="B2117" s="128" t="s">
        <v>1162</v>
      </c>
    </row>
    <row r="2118" spans="1:2" x14ac:dyDescent="0.2">
      <c r="A2118" s="58">
        <v>2216</v>
      </c>
      <c r="B2118" s="128" t="s">
        <v>3467</v>
      </c>
    </row>
    <row r="2119" spans="1:2" x14ac:dyDescent="0.2">
      <c r="A2119" s="58">
        <v>2217</v>
      </c>
      <c r="B2119" s="128" t="s">
        <v>2855</v>
      </c>
    </row>
    <row r="2120" spans="1:2" x14ac:dyDescent="0.2">
      <c r="A2120" s="58">
        <v>2218</v>
      </c>
      <c r="B2120" s="128" t="s">
        <v>3180</v>
      </c>
    </row>
    <row r="2121" spans="1:2" x14ac:dyDescent="0.2">
      <c r="A2121" s="58">
        <v>2219</v>
      </c>
      <c r="B2121" s="128" t="s">
        <v>3473</v>
      </c>
    </row>
    <row r="2122" spans="1:2" x14ac:dyDescent="0.2">
      <c r="A2122" s="58">
        <v>2220</v>
      </c>
      <c r="B2122" s="128" t="s">
        <v>1405</v>
      </c>
    </row>
    <row r="2123" spans="1:2" x14ac:dyDescent="0.2">
      <c r="A2123" s="58">
        <v>2221</v>
      </c>
      <c r="B2123" s="128" t="s">
        <v>3463</v>
      </c>
    </row>
    <row r="2124" spans="1:2" x14ac:dyDescent="0.2">
      <c r="A2124" s="58">
        <v>2222</v>
      </c>
      <c r="B2124" s="128" t="s">
        <v>3465</v>
      </c>
    </row>
    <row r="2125" spans="1:2" x14ac:dyDescent="0.2">
      <c r="A2125" s="58">
        <v>2223</v>
      </c>
      <c r="B2125" s="128" t="s">
        <v>3051</v>
      </c>
    </row>
    <row r="2126" spans="1:2" x14ac:dyDescent="0.2">
      <c r="A2126" s="58">
        <v>2224</v>
      </c>
      <c r="B2126" s="128" t="s">
        <v>3461</v>
      </c>
    </row>
    <row r="2127" spans="1:2" x14ac:dyDescent="0.2">
      <c r="A2127" s="58">
        <v>2225</v>
      </c>
      <c r="B2127" s="128" t="s">
        <v>3162</v>
      </c>
    </row>
    <row r="2128" spans="1:2" x14ac:dyDescent="0.2">
      <c r="A2128" s="58">
        <v>2226</v>
      </c>
      <c r="B2128" s="128" t="s">
        <v>3163</v>
      </c>
    </row>
    <row r="2129" spans="1:2" x14ac:dyDescent="0.2">
      <c r="A2129" s="58">
        <v>2227</v>
      </c>
      <c r="B2129" s="128" t="s">
        <v>1282</v>
      </c>
    </row>
    <row r="2130" spans="1:2" x14ac:dyDescent="0.2">
      <c r="A2130" s="58">
        <v>2228</v>
      </c>
      <c r="B2130" s="128" t="s">
        <v>3473</v>
      </c>
    </row>
    <row r="2131" spans="1:2" x14ac:dyDescent="0.2">
      <c r="A2131" s="58">
        <v>2229</v>
      </c>
      <c r="B2131" s="128" t="s">
        <v>3461</v>
      </c>
    </row>
    <row r="2132" spans="1:2" x14ac:dyDescent="0.2">
      <c r="A2132" s="58">
        <v>2230</v>
      </c>
      <c r="B2132" s="128" t="s">
        <v>3199</v>
      </c>
    </row>
    <row r="2133" spans="1:2" x14ac:dyDescent="0.2">
      <c r="A2133" s="58">
        <v>2231</v>
      </c>
      <c r="B2133" s="128" t="s">
        <v>3202</v>
      </c>
    </row>
    <row r="2134" spans="1:2" x14ac:dyDescent="0.2">
      <c r="A2134" s="58">
        <v>2232</v>
      </c>
      <c r="B2134" s="128" t="s">
        <v>3467</v>
      </c>
    </row>
    <row r="2135" spans="1:2" x14ac:dyDescent="0.2">
      <c r="A2135" s="58">
        <v>2233</v>
      </c>
      <c r="B2135" s="128" t="s">
        <v>1169</v>
      </c>
    </row>
    <row r="2136" spans="1:2" x14ac:dyDescent="0.2">
      <c r="A2136" s="58">
        <v>2234</v>
      </c>
      <c r="B2136" s="128" t="s">
        <v>3463</v>
      </c>
    </row>
    <row r="2137" spans="1:2" x14ac:dyDescent="0.2">
      <c r="A2137" s="58">
        <v>2235</v>
      </c>
      <c r="B2137" s="128" t="s">
        <v>1203</v>
      </c>
    </row>
    <row r="2138" spans="1:2" x14ac:dyDescent="0.2">
      <c r="A2138" s="58">
        <v>2236</v>
      </c>
      <c r="B2138" s="128" t="s">
        <v>3471</v>
      </c>
    </row>
    <row r="2139" spans="1:2" x14ac:dyDescent="0.2">
      <c r="A2139" s="58">
        <v>2237</v>
      </c>
      <c r="B2139" s="128" t="s">
        <v>3199</v>
      </c>
    </row>
    <row r="2140" spans="1:2" x14ac:dyDescent="0.2">
      <c r="A2140" s="58">
        <v>2238</v>
      </c>
      <c r="B2140" s="128" t="s">
        <v>3467</v>
      </c>
    </row>
    <row r="2141" spans="1:2" x14ac:dyDescent="0.2">
      <c r="A2141" s="58">
        <v>2239</v>
      </c>
      <c r="B2141" s="128" t="s">
        <v>3462</v>
      </c>
    </row>
    <row r="2142" spans="1:2" x14ac:dyDescent="0.2">
      <c r="A2142" s="58">
        <v>2240</v>
      </c>
      <c r="B2142" s="128" t="s">
        <v>3202</v>
      </c>
    </row>
    <row r="2143" spans="1:2" x14ac:dyDescent="0.2">
      <c r="A2143" s="58">
        <v>2241</v>
      </c>
      <c r="B2143" s="128" t="s">
        <v>3465</v>
      </c>
    </row>
    <row r="2144" spans="1:2" x14ac:dyDescent="0.2">
      <c r="A2144" s="58">
        <v>2242</v>
      </c>
      <c r="B2144" s="128" t="s">
        <v>3461</v>
      </c>
    </row>
    <row r="2145" spans="1:2" x14ac:dyDescent="0.2">
      <c r="A2145" s="58">
        <v>2243</v>
      </c>
      <c r="B2145" s="128" t="s">
        <v>3463</v>
      </c>
    </row>
    <row r="2146" spans="1:2" x14ac:dyDescent="0.2">
      <c r="A2146" s="58">
        <v>2244</v>
      </c>
      <c r="B2146" s="128" t="s">
        <v>3473</v>
      </c>
    </row>
    <row r="2147" spans="1:2" x14ac:dyDescent="0.2">
      <c r="A2147" s="58">
        <v>2245</v>
      </c>
      <c r="B2147" s="128" t="s">
        <v>3461</v>
      </c>
    </row>
    <row r="2148" spans="1:2" x14ac:dyDescent="0.2">
      <c r="A2148" s="58">
        <v>2246</v>
      </c>
      <c r="B2148" s="128" t="s">
        <v>3202</v>
      </c>
    </row>
    <row r="2149" spans="1:2" x14ac:dyDescent="0.2">
      <c r="A2149" s="58">
        <v>2247</v>
      </c>
      <c r="B2149" s="128" t="s">
        <v>3199</v>
      </c>
    </row>
    <row r="2150" spans="1:2" x14ac:dyDescent="0.2">
      <c r="A2150" s="58">
        <v>2248</v>
      </c>
      <c r="B2150" s="128" t="s">
        <v>1144</v>
      </c>
    </row>
    <row r="2151" spans="1:2" x14ac:dyDescent="0.2">
      <c r="A2151" s="58">
        <v>2249</v>
      </c>
      <c r="B2151" s="128" t="s">
        <v>1169</v>
      </c>
    </row>
    <row r="2152" spans="1:2" x14ac:dyDescent="0.2">
      <c r="A2152" s="58">
        <v>2250</v>
      </c>
      <c r="B2152" s="128" t="s">
        <v>3463</v>
      </c>
    </row>
    <row r="2153" spans="1:2" x14ac:dyDescent="0.2">
      <c r="A2153" s="58">
        <v>2251</v>
      </c>
      <c r="B2153" s="128" t="s">
        <v>3516</v>
      </c>
    </row>
    <row r="2154" spans="1:2" x14ac:dyDescent="0.2">
      <c r="A2154" s="58">
        <v>2252</v>
      </c>
      <c r="B2154" s="128" t="s">
        <v>3382</v>
      </c>
    </row>
    <row r="2155" spans="1:2" x14ac:dyDescent="0.2">
      <c r="A2155" s="58">
        <v>2253</v>
      </c>
      <c r="B2155" s="128" t="s">
        <v>3471</v>
      </c>
    </row>
    <row r="2156" spans="1:2" x14ac:dyDescent="0.2">
      <c r="A2156" s="58">
        <v>2254</v>
      </c>
      <c r="B2156" s="128" t="s">
        <v>3467</v>
      </c>
    </row>
    <row r="2157" spans="1:2" x14ac:dyDescent="0.2">
      <c r="A2157" s="58">
        <v>2255</v>
      </c>
      <c r="B2157" s="128" t="s">
        <v>3469</v>
      </c>
    </row>
    <row r="2158" spans="1:2" x14ac:dyDescent="0.2">
      <c r="A2158" s="58">
        <v>2256</v>
      </c>
      <c r="B2158" s="128" t="s">
        <v>1144</v>
      </c>
    </row>
    <row r="2159" spans="1:2" x14ac:dyDescent="0.2">
      <c r="A2159" s="58">
        <v>2257</v>
      </c>
      <c r="B2159" s="128" t="s">
        <v>3462</v>
      </c>
    </row>
    <row r="2160" spans="1:2" x14ac:dyDescent="0.2">
      <c r="A2160" s="58">
        <v>2258</v>
      </c>
      <c r="B2160" s="128" t="s">
        <v>3465</v>
      </c>
    </row>
    <row r="2161" spans="1:140" x14ac:dyDescent="0.2">
      <c r="A2161" s="58">
        <v>2259</v>
      </c>
      <c r="B2161" s="128" t="s">
        <v>534</v>
      </c>
    </row>
    <row r="2162" spans="1:140" x14ac:dyDescent="0.2">
      <c r="A2162" s="58">
        <v>2260</v>
      </c>
      <c r="B2162" s="128" t="s">
        <v>1409</v>
      </c>
    </row>
    <row r="2163" spans="1:140" x14ac:dyDescent="0.2">
      <c r="A2163" s="58">
        <v>2261</v>
      </c>
      <c r="B2163" s="128" t="s">
        <v>3469</v>
      </c>
    </row>
    <row r="2164" spans="1:140" x14ac:dyDescent="0.2">
      <c r="A2164" s="58">
        <v>2262</v>
      </c>
      <c r="B2164" s="128" t="s">
        <v>3199</v>
      </c>
    </row>
    <row r="2165" spans="1:140" x14ac:dyDescent="0.2">
      <c r="A2165" s="58">
        <v>2263</v>
      </c>
      <c r="B2165" s="128" t="s">
        <v>1148</v>
      </c>
    </row>
    <row r="2166" spans="1:140" x14ac:dyDescent="0.2">
      <c r="A2166" s="58">
        <v>2264</v>
      </c>
      <c r="B2166" s="128" t="s">
        <v>3516</v>
      </c>
    </row>
    <row r="2167" spans="1:140" x14ac:dyDescent="0.2">
      <c r="A2167" s="58">
        <v>2265</v>
      </c>
      <c r="B2167" s="128" t="s">
        <v>1240</v>
      </c>
    </row>
    <row r="2168" spans="1:140" x14ac:dyDescent="0.2">
      <c r="A2168" s="58">
        <v>2266</v>
      </c>
      <c r="B2168" s="128" t="s">
        <v>3190</v>
      </c>
      <c r="EI2168" s="127">
        <v>2</v>
      </c>
      <c r="EJ2168" s="127">
        <v>3</v>
      </c>
    </row>
    <row r="2169" spans="1:140" x14ac:dyDescent="0.2">
      <c r="A2169" s="58">
        <v>2267</v>
      </c>
      <c r="B2169" s="128" t="s">
        <v>3473</v>
      </c>
    </row>
    <row r="2170" spans="1:140" x14ac:dyDescent="0.2">
      <c r="A2170" s="58">
        <v>2268</v>
      </c>
      <c r="B2170" s="128" t="s">
        <v>1240</v>
      </c>
    </row>
    <row r="2171" spans="1:140" x14ac:dyDescent="0.2">
      <c r="A2171" s="58">
        <v>2269</v>
      </c>
      <c r="B2171" s="128" t="s">
        <v>1155</v>
      </c>
    </row>
    <row r="2172" spans="1:140" x14ac:dyDescent="0.2">
      <c r="A2172" s="58">
        <v>2270</v>
      </c>
      <c r="B2172" s="128" t="s">
        <v>3382</v>
      </c>
    </row>
    <row r="2173" spans="1:140" x14ac:dyDescent="0.2">
      <c r="A2173" s="58">
        <v>2271</v>
      </c>
      <c r="B2173" s="128" t="s">
        <v>3492</v>
      </c>
    </row>
    <row r="2174" spans="1:140" x14ac:dyDescent="0.2">
      <c r="A2174" s="58">
        <v>2272</v>
      </c>
      <c r="B2174" s="128" t="s">
        <v>1169</v>
      </c>
    </row>
    <row r="2175" spans="1:140" x14ac:dyDescent="0.2">
      <c r="A2175" s="58">
        <v>2273</v>
      </c>
      <c r="B2175" s="128" t="s">
        <v>3469</v>
      </c>
    </row>
    <row r="2176" spans="1:140" x14ac:dyDescent="0.2">
      <c r="A2176" s="58">
        <v>2274</v>
      </c>
      <c r="B2176" s="128" t="s">
        <v>3516</v>
      </c>
    </row>
    <row r="2177" spans="1:140" x14ac:dyDescent="0.2">
      <c r="A2177" s="58">
        <v>2275</v>
      </c>
      <c r="B2177" s="128" t="s">
        <v>1168</v>
      </c>
    </row>
    <row r="2178" spans="1:140" x14ac:dyDescent="0.2">
      <c r="A2178" s="58">
        <v>2276</v>
      </c>
      <c r="B2178" s="128" t="s">
        <v>1490</v>
      </c>
      <c r="EJ2178" s="127">
        <v>7</v>
      </c>
    </row>
    <row r="2179" spans="1:140" x14ac:dyDescent="0.2">
      <c r="A2179" s="58">
        <v>2277</v>
      </c>
      <c r="B2179" s="128" t="s">
        <v>1405</v>
      </c>
    </row>
    <row r="2180" spans="1:140" x14ac:dyDescent="0.2">
      <c r="A2180" s="58">
        <v>2278</v>
      </c>
      <c r="B2180" s="128" t="s">
        <v>1415</v>
      </c>
    </row>
    <row r="2181" spans="1:140" x14ac:dyDescent="0.2">
      <c r="A2181" s="58">
        <v>2279</v>
      </c>
      <c r="B2181" s="128" t="s">
        <v>1200</v>
      </c>
    </row>
    <row r="2182" spans="1:140" x14ac:dyDescent="0.2">
      <c r="A2182" s="58">
        <v>2280</v>
      </c>
      <c r="B2182" s="128" t="s">
        <v>3465</v>
      </c>
    </row>
    <row r="2183" spans="1:140" x14ac:dyDescent="0.2">
      <c r="A2183" s="58">
        <v>2281</v>
      </c>
      <c r="B2183" s="128" t="s">
        <v>3190</v>
      </c>
    </row>
    <row r="2184" spans="1:140" x14ac:dyDescent="0.2">
      <c r="A2184" s="58">
        <v>2282</v>
      </c>
      <c r="B2184" s="128" t="s">
        <v>1489</v>
      </c>
    </row>
    <row r="2185" spans="1:140" x14ac:dyDescent="0.2">
      <c r="A2185" s="58">
        <v>2283</v>
      </c>
      <c r="B2185" s="128" t="s">
        <v>3475</v>
      </c>
    </row>
    <row r="2186" spans="1:140" x14ac:dyDescent="0.2">
      <c r="A2186" s="58">
        <v>2284</v>
      </c>
      <c r="B2186" s="128" t="s">
        <v>3462</v>
      </c>
    </row>
    <row r="2187" spans="1:140" x14ac:dyDescent="0.2">
      <c r="A2187" s="58">
        <v>2285</v>
      </c>
      <c r="B2187" s="128" t="s">
        <v>3199</v>
      </c>
    </row>
    <row r="2188" spans="1:140" x14ac:dyDescent="0.2">
      <c r="A2188" s="58">
        <v>2286</v>
      </c>
      <c r="B2188" s="128" t="s">
        <v>1409</v>
      </c>
    </row>
    <row r="2189" spans="1:140" x14ac:dyDescent="0.2">
      <c r="A2189" s="58">
        <v>2287</v>
      </c>
      <c r="B2189" s="128" t="s">
        <v>3485</v>
      </c>
    </row>
    <row r="2190" spans="1:140" x14ac:dyDescent="0.2">
      <c r="A2190" s="58">
        <v>2288</v>
      </c>
      <c r="B2190" s="128" t="s">
        <v>3469</v>
      </c>
    </row>
    <row r="2191" spans="1:140" x14ac:dyDescent="0.2">
      <c r="A2191" s="58">
        <v>2289</v>
      </c>
      <c r="B2191" s="128" t="s">
        <v>1529</v>
      </c>
    </row>
    <row r="2192" spans="1:140" x14ac:dyDescent="0.2">
      <c r="A2192" s="58">
        <v>2290</v>
      </c>
      <c r="B2192" s="128" t="s">
        <v>1180</v>
      </c>
    </row>
    <row r="2193" spans="1:2" x14ac:dyDescent="0.2">
      <c r="A2193" s="58">
        <v>2291</v>
      </c>
      <c r="B2193" s="128" t="s">
        <v>3461</v>
      </c>
    </row>
    <row r="2194" spans="1:2" x14ac:dyDescent="0.2">
      <c r="A2194" s="58">
        <v>2292</v>
      </c>
      <c r="B2194" s="128" t="s">
        <v>3199</v>
      </c>
    </row>
    <row r="2195" spans="1:2" x14ac:dyDescent="0.2">
      <c r="A2195" s="58">
        <v>2293</v>
      </c>
      <c r="B2195" s="128" t="s">
        <v>3467</v>
      </c>
    </row>
    <row r="2196" spans="1:2" x14ac:dyDescent="0.2">
      <c r="A2196" s="58">
        <v>2294</v>
      </c>
      <c r="B2196" s="128" t="s">
        <v>3202</v>
      </c>
    </row>
    <row r="2197" spans="1:2" x14ac:dyDescent="0.2">
      <c r="A2197" s="58">
        <v>2295</v>
      </c>
      <c r="B2197" s="128" t="s">
        <v>3462</v>
      </c>
    </row>
    <row r="2198" spans="1:2" x14ac:dyDescent="0.2">
      <c r="A2198" s="58">
        <v>2296</v>
      </c>
      <c r="B2198" s="128" t="s">
        <v>3468</v>
      </c>
    </row>
    <row r="2199" spans="1:2" x14ac:dyDescent="0.2">
      <c r="A2199" s="58">
        <v>2297</v>
      </c>
      <c r="B2199" s="128" t="s">
        <v>3471</v>
      </c>
    </row>
    <row r="2200" spans="1:2" x14ac:dyDescent="0.2">
      <c r="A2200" s="58">
        <v>2298</v>
      </c>
      <c r="B2200" s="128" t="s">
        <v>3462</v>
      </c>
    </row>
    <row r="2201" spans="1:2" x14ac:dyDescent="0.2">
      <c r="A2201" s="58">
        <v>2299</v>
      </c>
      <c r="B2201" s="128" t="s">
        <v>3199</v>
      </c>
    </row>
    <row r="2202" spans="1:2" x14ac:dyDescent="0.2">
      <c r="A2202" s="58">
        <v>2300</v>
      </c>
      <c r="B2202" s="128" t="s">
        <v>3467</v>
      </c>
    </row>
    <row r="2203" spans="1:2" x14ac:dyDescent="0.2">
      <c r="A2203" s="58">
        <v>2301</v>
      </c>
      <c r="B2203" s="128" t="s">
        <v>1529</v>
      </c>
    </row>
    <row r="2204" spans="1:2" x14ac:dyDescent="0.2">
      <c r="A2204" s="58">
        <v>2302</v>
      </c>
      <c r="B2204" s="128" t="s">
        <v>3489</v>
      </c>
    </row>
    <row r="2205" spans="1:2" x14ac:dyDescent="0.2">
      <c r="A2205" s="58">
        <v>2303</v>
      </c>
      <c r="B2205" s="128" t="s">
        <v>3202</v>
      </c>
    </row>
    <row r="2206" spans="1:2" x14ac:dyDescent="0.2">
      <c r="A2206" s="58">
        <v>2304</v>
      </c>
      <c r="B2206" s="128" t="s">
        <v>2852</v>
      </c>
    </row>
    <row r="2207" spans="1:2" x14ac:dyDescent="0.2">
      <c r="A2207" s="58">
        <v>2305</v>
      </c>
      <c r="B2207" s="128" t="s">
        <v>3496</v>
      </c>
    </row>
    <row r="2208" spans="1:2" x14ac:dyDescent="0.2">
      <c r="A2208" s="58">
        <v>2306</v>
      </c>
      <c r="B2208" s="128" t="s">
        <v>534</v>
      </c>
    </row>
    <row r="2209" spans="1:2" x14ac:dyDescent="0.2">
      <c r="A2209" s="58">
        <v>2307</v>
      </c>
      <c r="B2209" s="128" t="s">
        <v>1169</v>
      </c>
    </row>
    <row r="2210" spans="1:2" x14ac:dyDescent="0.2">
      <c r="A2210" s="58">
        <v>2308</v>
      </c>
      <c r="B2210" s="128" t="s">
        <v>3516</v>
      </c>
    </row>
    <row r="2211" spans="1:2" x14ac:dyDescent="0.2">
      <c r="A2211" s="58">
        <v>2309</v>
      </c>
      <c r="B2211" s="128" t="s">
        <v>3462</v>
      </c>
    </row>
    <row r="2212" spans="1:2" x14ac:dyDescent="0.2">
      <c r="A2212" s="58">
        <v>2310</v>
      </c>
      <c r="B2212" s="128" t="s">
        <v>3334</v>
      </c>
    </row>
    <row r="2213" spans="1:2" x14ac:dyDescent="0.2">
      <c r="A2213" s="58">
        <v>2311</v>
      </c>
      <c r="B2213" s="128" t="s">
        <v>1415</v>
      </c>
    </row>
    <row r="2214" spans="1:2" x14ac:dyDescent="0.2">
      <c r="A2214" s="58">
        <v>2312</v>
      </c>
      <c r="B2214" s="128" t="s">
        <v>1200</v>
      </c>
    </row>
    <row r="2215" spans="1:2" x14ac:dyDescent="0.2">
      <c r="A2215" s="58">
        <v>2313</v>
      </c>
      <c r="B2215" s="128" t="s">
        <v>3135</v>
      </c>
    </row>
    <row r="2216" spans="1:2" x14ac:dyDescent="0.2">
      <c r="A2216" s="58">
        <v>2314</v>
      </c>
      <c r="B2216" s="128" t="s">
        <v>1411</v>
      </c>
    </row>
    <row r="2217" spans="1:2" x14ac:dyDescent="0.2">
      <c r="A2217" s="58">
        <v>2315</v>
      </c>
      <c r="B2217" s="128" t="s">
        <v>1529</v>
      </c>
    </row>
    <row r="2218" spans="1:2" x14ac:dyDescent="0.2">
      <c r="A2218" s="58">
        <v>2316</v>
      </c>
      <c r="B2218" s="128" t="s">
        <v>3467</v>
      </c>
    </row>
    <row r="2219" spans="1:2" x14ac:dyDescent="0.2">
      <c r="A2219" s="58">
        <v>2317</v>
      </c>
      <c r="B2219" s="128" t="s">
        <v>3462</v>
      </c>
    </row>
    <row r="2220" spans="1:2" x14ac:dyDescent="0.2">
      <c r="A2220" s="58">
        <v>2318</v>
      </c>
      <c r="B2220" s="128" t="s">
        <v>3474</v>
      </c>
    </row>
    <row r="2221" spans="1:2" x14ac:dyDescent="0.2">
      <c r="A2221" s="58">
        <v>2319</v>
      </c>
      <c r="B2221" s="128" t="s">
        <v>1529</v>
      </c>
    </row>
    <row r="2222" spans="1:2" x14ac:dyDescent="0.2">
      <c r="A2222" s="58">
        <v>2320</v>
      </c>
      <c r="B2222" s="128" t="s">
        <v>1430</v>
      </c>
    </row>
    <row r="2223" spans="1:2" x14ac:dyDescent="0.2">
      <c r="A2223" s="58">
        <v>2321</v>
      </c>
      <c r="B2223" s="128" t="s">
        <v>1402</v>
      </c>
    </row>
    <row r="2224" spans="1:2" x14ac:dyDescent="0.2">
      <c r="A2224" s="58">
        <v>2322</v>
      </c>
      <c r="B2224" s="128" t="s">
        <v>3495</v>
      </c>
    </row>
    <row r="2225" spans="1:2" x14ac:dyDescent="0.2">
      <c r="A2225" s="58">
        <v>2323</v>
      </c>
      <c r="B2225" s="128" t="s">
        <v>1400</v>
      </c>
    </row>
    <row r="2226" spans="1:2" x14ac:dyDescent="0.2">
      <c r="A2226" s="58">
        <v>2324</v>
      </c>
      <c r="B2226" s="128" t="s">
        <v>3194</v>
      </c>
    </row>
    <row r="2227" spans="1:2" x14ac:dyDescent="0.2">
      <c r="A2227" s="58">
        <v>2325</v>
      </c>
      <c r="B2227" s="128" t="s">
        <v>3522</v>
      </c>
    </row>
    <row r="2228" spans="1:2" x14ac:dyDescent="0.2">
      <c r="A2228" s="58">
        <v>2326</v>
      </c>
      <c r="B2228" s="128" t="s">
        <v>1411</v>
      </c>
    </row>
    <row r="2229" spans="1:2" x14ac:dyDescent="0.2">
      <c r="A2229" s="58">
        <v>2327</v>
      </c>
      <c r="B2229" s="128" t="s">
        <v>1167</v>
      </c>
    </row>
    <row r="2230" spans="1:2" x14ac:dyDescent="0.2">
      <c r="A2230" s="58">
        <v>2328</v>
      </c>
      <c r="B2230" s="128" t="s">
        <v>3462</v>
      </c>
    </row>
    <row r="2231" spans="1:2" x14ac:dyDescent="0.2">
      <c r="A2231" s="58">
        <v>2329</v>
      </c>
      <c r="B2231" s="128" t="s">
        <v>1144</v>
      </c>
    </row>
    <row r="2232" spans="1:2" x14ac:dyDescent="0.2">
      <c r="A2232" s="58">
        <v>2330</v>
      </c>
      <c r="B2232" s="128" t="s">
        <v>3474</v>
      </c>
    </row>
    <row r="2233" spans="1:2" x14ac:dyDescent="0.2">
      <c r="A2233" s="58">
        <v>2331</v>
      </c>
      <c r="B2233" s="128" t="s">
        <v>3462</v>
      </c>
    </row>
    <row r="2234" spans="1:2" x14ac:dyDescent="0.2">
      <c r="A2234" s="58">
        <v>2332</v>
      </c>
      <c r="B2234" s="128" t="s">
        <v>1148</v>
      </c>
    </row>
    <row r="2235" spans="1:2" x14ac:dyDescent="0.2">
      <c r="A2235" s="58">
        <v>2333</v>
      </c>
      <c r="B2235" s="128" t="s">
        <v>1167</v>
      </c>
    </row>
    <row r="2236" spans="1:2" x14ac:dyDescent="0.2">
      <c r="A2236" s="58">
        <v>2334</v>
      </c>
      <c r="B2236" s="128" t="s">
        <v>3467</v>
      </c>
    </row>
    <row r="2237" spans="1:2" x14ac:dyDescent="0.2">
      <c r="A2237" s="58">
        <v>2335</v>
      </c>
      <c r="B2237" s="128" t="s">
        <v>1411</v>
      </c>
    </row>
    <row r="2238" spans="1:2" x14ac:dyDescent="0.2">
      <c r="A2238" s="58">
        <v>2336</v>
      </c>
      <c r="B2238" s="128" t="s">
        <v>3334</v>
      </c>
    </row>
    <row r="2239" spans="1:2" x14ac:dyDescent="0.2">
      <c r="A2239" s="58">
        <v>2337</v>
      </c>
      <c r="B2239" s="128" t="s">
        <v>2829</v>
      </c>
    </row>
    <row r="2240" spans="1:2" x14ac:dyDescent="0.2">
      <c r="A2240" s="58">
        <v>2338</v>
      </c>
      <c r="B2240" s="128" t="s">
        <v>1400</v>
      </c>
    </row>
    <row r="2241" spans="1:2" x14ac:dyDescent="0.2">
      <c r="A2241" s="58">
        <v>2339</v>
      </c>
      <c r="B2241" s="128" t="s">
        <v>3496</v>
      </c>
    </row>
    <row r="2242" spans="1:2" x14ac:dyDescent="0.2">
      <c r="A2242" s="58">
        <v>2340</v>
      </c>
      <c r="B2242" s="128" t="s">
        <v>1169</v>
      </c>
    </row>
    <row r="2243" spans="1:2" x14ac:dyDescent="0.2">
      <c r="A2243" s="58">
        <v>2341</v>
      </c>
      <c r="B2243" s="128" t="s">
        <v>3516</v>
      </c>
    </row>
    <row r="2244" spans="1:2" x14ac:dyDescent="0.2">
      <c r="A2244" s="58">
        <v>2342</v>
      </c>
      <c r="B2244" s="128" t="s">
        <v>1405</v>
      </c>
    </row>
    <row r="2245" spans="1:2" x14ac:dyDescent="0.2">
      <c r="A2245" s="58">
        <v>2343</v>
      </c>
      <c r="B2245" s="128" t="s">
        <v>2908</v>
      </c>
    </row>
    <row r="2246" spans="1:2" x14ac:dyDescent="0.2">
      <c r="A2246" s="58">
        <v>2344</v>
      </c>
      <c r="B2246" s="128" t="s">
        <v>1529</v>
      </c>
    </row>
    <row r="2247" spans="1:2" x14ac:dyDescent="0.2">
      <c r="A2247" s="58">
        <v>2345</v>
      </c>
      <c r="B2247" s="128" t="s">
        <v>3062</v>
      </c>
    </row>
    <row r="2248" spans="1:2" x14ac:dyDescent="0.2">
      <c r="A2248" s="58">
        <v>2346</v>
      </c>
      <c r="B2248" s="128" t="s">
        <v>1415</v>
      </c>
    </row>
    <row r="2249" spans="1:2" x14ac:dyDescent="0.2">
      <c r="A2249" s="58">
        <v>2347</v>
      </c>
      <c r="B2249" s="128" t="s">
        <v>3462</v>
      </c>
    </row>
    <row r="2250" spans="1:2" x14ac:dyDescent="0.2">
      <c r="A2250" s="58">
        <v>2348</v>
      </c>
      <c r="B2250" s="128" t="s">
        <v>1177</v>
      </c>
    </row>
    <row r="2251" spans="1:2" x14ac:dyDescent="0.2">
      <c r="A2251" s="58">
        <v>2349</v>
      </c>
      <c r="B2251" s="128" t="s">
        <v>1200</v>
      </c>
    </row>
    <row r="2252" spans="1:2" x14ac:dyDescent="0.2">
      <c r="A2252" s="58">
        <v>2350</v>
      </c>
      <c r="B2252" s="128" t="s">
        <v>2829</v>
      </c>
    </row>
    <row r="2253" spans="1:2" x14ac:dyDescent="0.2">
      <c r="A2253" s="58">
        <v>2351</v>
      </c>
      <c r="B2253" s="128" t="s">
        <v>3194</v>
      </c>
    </row>
    <row r="2254" spans="1:2" x14ac:dyDescent="0.2">
      <c r="A2254" s="58">
        <v>2352</v>
      </c>
      <c r="B2254" s="128" t="s">
        <v>3063</v>
      </c>
    </row>
    <row r="2255" spans="1:2" x14ac:dyDescent="0.2">
      <c r="A2255" s="58">
        <v>2353</v>
      </c>
      <c r="B2255" s="128" t="s">
        <v>3123</v>
      </c>
    </row>
    <row r="2256" spans="1:2" x14ac:dyDescent="0.2">
      <c r="A2256" s="58">
        <v>2354</v>
      </c>
      <c r="B2256" s="128" t="s">
        <v>3496</v>
      </c>
    </row>
    <row r="2257" spans="1:2" x14ac:dyDescent="0.2">
      <c r="A2257" s="58">
        <v>2355</v>
      </c>
      <c r="B2257" s="128" t="s">
        <v>3516</v>
      </c>
    </row>
    <row r="2258" spans="1:2" x14ac:dyDescent="0.2">
      <c r="A2258" s="58">
        <v>2356</v>
      </c>
      <c r="B2258" s="128" t="s">
        <v>1405</v>
      </c>
    </row>
    <row r="2259" spans="1:2" x14ac:dyDescent="0.2">
      <c r="A2259" s="58">
        <v>2357</v>
      </c>
      <c r="B2259" s="128" t="s">
        <v>1418</v>
      </c>
    </row>
    <row r="2260" spans="1:2" x14ac:dyDescent="0.2">
      <c r="A2260" s="58">
        <v>2358</v>
      </c>
      <c r="B2260" s="128" t="s">
        <v>3447</v>
      </c>
    </row>
    <row r="2261" spans="1:2" x14ac:dyDescent="0.2">
      <c r="A2261" s="58">
        <v>2359</v>
      </c>
      <c r="B2261" s="128" t="s">
        <v>3063</v>
      </c>
    </row>
    <row r="2262" spans="1:2" x14ac:dyDescent="0.2">
      <c r="A2262" s="58">
        <v>2360</v>
      </c>
      <c r="B2262" s="128" t="s">
        <v>1529</v>
      </c>
    </row>
    <row r="2263" spans="1:2" x14ac:dyDescent="0.2">
      <c r="A2263" s="58">
        <v>2361</v>
      </c>
      <c r="B2263" s="128" t="s">
        <v>1423</v>
      </c>
    </row>
    <row r="2264" spans="1:2" x14ac:dyDescent="0.2">
      <c r="A2264" s="58">
        <v>2362</v>
      </c>
      <c r="B2264" s="128" t="s">
        <v>1169</v>
      </c>
    </row>
    <row r="2265" spans="1:2" x14ac:dyDescent="0.2">
      <c r="A2265" s="58">
        <v>2363</v>
      </c>
      <c r="B2265" s="128" t="s">
        <v>1415</v>
      </c>
    </row>
    <row r="2266" spans="1:2" x14ac:dyDescent="0.2">
      <c r="A2266" s="58">
        <v>2364</v>
      </c>
      <c r="B2266" s="128" t="s">
        <v>3447</v>
      </c>
    </row>
    <row r="2267" spans="1:2" x14ac:dyDescent="0.2">
      <c r="A2267" s="58">
        <v>2365</v>
      </c>
      <c r="B2267" s="128" t="s">
        <v>1177</v>
      </c>
    </row>
    <row r="2268" spans="1:2" x14ac:dyDescent="0.2">
      <c r="A2268" s="58">
        <v>2366</v>
      </c>
      <c r="B2268" s="128" t="s">
        <v>3060</v>
      </c>
    </row>
    <row r="2269" spans="1:2" x14ac:dyDescent="0.2">
      <c r="A2269" s="58">
        <v>2367</v>
      </c>
      <c r="B2269" s="128" t="s">
        <v>3496</v>
      </c>
    </row>
    <row r="2270" spans="1:2" x14ac:dyDescent="0.2">
      <c r="A2270" s="58">
        <v>2368</v>
      </c>
      <c r="B2270" s="128" t="s">
        <v>1423</v>
      </c>
    </row>
    <row r="2271" spans="1:2" x14ac:dyDescent="0.2">
      <c r="A2271" s="58">
        <v>2369</v>
      </c>
      <c r="B2271" s="128" t="s">
        <v>3516</v>
      </c>
    </row>
    <row r="2272" spans="1:2" x14ac:dyDescent="0.2">
      <c r="A2272" s="58">
        <v>2370</v>
      </c>
      <c r="B2272" s="128" t="s">
        <v>1177</v>
      </c>
    </row>
    <row r="2273" spans="1:2" x14ac:dyDescent="0.2">
      <c r="A2273" s="58">
        <v>2371</v>
      </c>
      <c r="B2273" s="128" t="s">
        <v>3123</v>
      </c>
    </row>
    <row r="2274" spans="1:2" x14ac:dyDescent="0.2">
      <c r="A2274" s="58">
        <v>2372</v>
      </c>
      <c r="B2274" s="128" t="s">
        <v>1418</v>
      </c>
    </row>
    <row r="2275" spans="1:2" x14ac:dyDescent="0.2">
      <c r="A2275" s="58">
        <v>2373</v>
      </c>
      <c r="B2275" s="128" t="s">
        <v>3462</v>
      </c>
    </row>
    <row r="2276" spans="1:2" x14ac:dyDescent="0.2">
      <c r="A2276" s="58">
        <v>2374</v>
      </c>
      <c r="B2276" s="128" t="s">
        <v>2900</v>
      </c>
    </row>
    <row r="2277" spans="1:2" x14ac:dyDescent="0.2">
      <c r="A2277" s="58">
        <v>2375</v>
      </c>
      <c r="B2277" s="128" t="s">
        <v>1529</v>
      </c>
    </row>
    <row r="2278" spans="1:2" x14ac:dyDescent="0.2">
      <c r="A2278" s="58">
        <v>2376</v>
      </c>
      <c r="B2278" s="128" t="s">
        <v>562</v>
      </c>
    </row>
    <row r="2279" spans="1:2" x14ac:dyDescent="0.2">
      <c r="A2279" s="58">
        <v>2377</v>
      </c>
      <c r="B2279" s="128" t="s">
        <v>3162</v>
      </c>
    </row>
    <row r="2280" spans="1:2" x14ac:dyDescent="0.2">
      <c r="A2280" s="58">
        <v>2378</v>
      </c>
      <c r="B2280" s="128" t="s">
        <v>3516</v>
      </c>
    </row>
    <row r="2281" spans="1:2" x14ac:dyDescent="0.2">
      <c r="A2281" s="58">
        <v>2379</v>
      </c>
      <c r="B2281" s="128" t="s">
        <v>1144</v>
      </c>
    </row>
    <row r="2282" spans="1:2" x14ac:dyDescent="0.2">
      <c r="A2282" s="58">
        <v>2380</v>
      </c>
      <c r="B2282" s="128" t="s">
        <v>3495</v>
      </c>
    </row>
    <row r="2283" spans="1:2" x14ac:dyDescent="0.2">
      <c r="A2283" s="58">
        <v>2381</v>
      </c>
      <c r="B2283" s="128" t="s">
        <v>1415</v>
      </c>
    </row>
    <row r="2284" spans="1:2" x14ac:dyDescent="0.2">
      <c r="A2284" s="58">
        <v>2382</v>
      </c>
      <c r="B2284" s="128" t="s">
        <v>3520</v>
      </c>
    </row>
    <row r="2285" spans="1:2" x14ac:dyDescent="0.2">
      <c r="A2285" s="58">
        <v>2383</v>
      </c>
      <c r="B2285" s="128" t="s">
        <v>3052</v>
      </c>
    </row>
    <row r="2286" spans="1:2" x14ac:dyDescent="0.2">
      <c r="A2286" s="58">
        <v>2384</v>
      </c>
      <c r="B2286" s="128" t="s">
        <v>3462</v>
      </c>
    </row>
    <row r="2287" spans="1:2" x14ac:dyDescent="0.2">
      <c r="A2287" s="58">
        <v>2385</v>
      </c>
      <c r="B2287" s="128" t="s">
        <v>3060</v>
      </c>
    </row>
    <row r="2288" spans="1:2" x14ac:dyDescent="0.2">
      <c r="A2288" s="58">
        <v>2386</v>
      </c>
      <c r="B2288" s="128" t="s">
        <v>3090</v>
      </c>
    </row>
    <row r="2289" spans="1:2" x14ac:dyDescent="0.2">
      <c r="A2289" s="58">
        <v>2387</v>
      </c>
      <c r="B2289" s="128" t="s">
        <v>3516</v>
      </c>
    </row>
    <row r="2290" spans="1:2" x14ac:dyDescent="0.2">
      <c r="A2290" s="58">
        <v>2388</v>
      </c>
      <c r="B2290" s="128" t="s">
        <v>3495</v>
      </c>
    </row>
    <row r="2291" spans="1:2" x14ac:dyDescent="0.2">
      <c r="A2291" s="58">
        <v>2389</v>
      </c>
      <c r="B2291" s="128" t="s">
        <v>1415</v>
      </c>
    </row>
    <row r="2292" spans="1:2" x14ac:dyDescent="0.2">
      <c r="A2292" s="58">
        <v>2390</v>
      </c>
      <c r="B2292" s="128" t="s">
        <v>2880</v>
      </c>
    </row>
    <row r="2293" spans="1:2" x14ac:dyDescent="0.2">
      <c r="A2293" s="58">
        <v>2391</v>
      </c>
      <c r="B2293" s="128" t="s">
        <v>1208</v>
      </c>
    </row>
    <row r="2294" spans="1:2" x14ac:dyDescent="0.2">
      <c r="A2294" s="58">
        <v>2392</v>
      </c>
      <c r="B2294" s="128" t="s">
        <v>1529</v>
      </c>
    </row>
    <row r="2295" spans="1:2" x14ac:dyDescent="0.2">
      <c r="A2295" s="58">
        <v>2393</v>
      </c>
      <c r="B2295" s="128" t="s">
        <v>1402</v>
      </c>
    </row>
    <row r="2296" spans="1:2" x14ac:dyDescent="0.2">
      <c r="A2296" s="58">
        <v>2394</v>
      </c>
      <c r="B2296" s="128" t="s">
        <v>3462</v>
      </c>
    </row>
    <row r="2297" spans="1:2" x14ac:dyDescent="0.2">
      <c r="A2297" s="58">
        <v>2395</v>
      </c>
      <c r="B2297" s="128" t="s">
        <v>2852</v>
      </c>
    </row>
    <row r="2298" spans="1:2" x14ac:dyDescent="0.2">
      <c r="A2298" s="58">
        <v>2396</v>
      </c>
      <c r="B2298" s="128" t="s">
        <v>1180</v>
      </c>
    </row>
    <row r="2299" spans="1:2" x14ac:dyDescent="0.2">
      <c r="A2299" s="58">
        <v>2397</v>
      </c>
      <c r="B2299" s="128" t="s">
        <v>3331</v>
      </c>
    </row>
    <row r="2300" spans="1:2" x14ac:dyDescent="0.2">
      <c r="A2300" s="58">
        <v>2398</v>
      </c>
      <c r="B2300" s="128" t="s">
        <v>1177</v>
      </c>
    </row>
    <row r="2301" spans="1:2" x14ac:dyDescent="0.2">
      <c r="A2301" s="58">
        <v>2399</v>
      </c>
      <c r="B2301" s="128" t="s">
        <v>1415</v>
      </c>
    </row>
    <row r="2302" spans="1:2" x14ac:dyDescent="0.2">
      <c r="A2302" s="58">
        <v>2400</v>
      </c>
      <c r="B2302" s="128" t="s">
        <v>3492</v>
      </c>
    </row>
    <row r="2303" spans="1:2" x14ac:dyDescent="0.2">
      <c r="A2303" s="58">
        <v>2401</v>
      </c>
      <c r="B2303" s="128" t="s">
        <v>3331</v>
      </c>
    </row>
    <row r="2304" spans="1:2" x14ac:dyDescent="0.2">
      <c r="A2304" s="58">
        <v>2402</v>
      </c>
      <c r="B2304" s="128" t="s">
        <v>1529</v>
      </c>
    </row>
    <row r="2305" spans="1:2" x14ac:dyDescent="0.2">
      <c r="A2305" s="58">
        <v>2403</v>
      </c>
      <c r="B2305" s="128" t="s">
        <v>1423</v>
      </c>
    </row>
    <row r="2306" spans="1:2" x14ac:dyDescent="0.2">
      <c r="A2306" s="58">
        <v>2404</v>
      </c>
      <c r="B2306" s="128" t="s">
        <v>2829</v>
      </c>
    </row>
    <row r="2307" spans="1:2" x14ac:dyDescent="0.2">
      <c r="A2307" s="58">
        <v>2405</v>
      </c>
      <c r="B2307" s="128" t="s">
        <v>2852</v>
      </c>
    </row>
    <row r="2308" spans="1:2" x14ac:dyDescent="0.2">
      <c r="A2308" s="58">
        <v>2406</v>
      </c>
      <c r="B2308" s="128" t="s">
        <v>3506</v>
      </c>
    </row>
    <row r="2309" spans="1:2" x14ac:dyDescent="0.2">
      <c r="A2309" s="58">
        <v>2407</v>
      </c>
      <c r="B2309" s="128" t="s">
        <v>3516</v>
      </c>
    </row>
    <row r="2310" spans="1:2" x14ac:dyDescent="0.2">
      <c r="A2310" s="58">
        <v>2408</v>
      </c>
      <c r="B2310" s="128" t="s">
        <v>1200</v>
      </c>
    </row>
    <row r="2311" spans="1:2" x14ac:dyDescent="0.2">
      <c r="A2311" s="58">
        <v>2409</v>
      </c>
      <c r="B2311" s="128" t="s">
        <v>1403</v>
      </c>
    </row>
    <row r="2312" spans="1:2" x14ac:dyDescent="0.2">
      <c r="A2312" s="58">
        <v>2410</v>
      </c>
      <c r="B2312" s="128" t="s">
        <v>3462</v>
      </c>
    </row>
    <row r="2313" spans="1:2" x14ac:dyDescent="0.2">
      <c r="A2313" s="58">
        <v>2411</v>
      </c>
      <c r="B2313" s="128" t="s">
        <v>3489</v>
      </c>
    </row>
    <row r="2314" spans="1:2" x14ac:dyDescent="0.2">
      <c r="A2314" s="58">
        <v>2412</v>
      </c>
      <c r="B2314" s="128" t="s">
        <v>1155</v>
      </c>
    </row>
    <row r="2315" spans="1:2" x14ac:dyDescent="0.2">
      <c r="A2315" s="58">
        <v>2413</v>
      </c>
      <c r="B2315" s="128" t="s">
        <v>3062</v>
      </c>
    </row>
    <row r="2316" spans="1:2" x14ac:dyDescent="0.2">
      <c r="A2316" s="58">
        <v>2414</v>
      </c>
      <c r="B2316" s="128" t="s">
        <v>3516</v>
      </c>
    </row>
    <row r="2317" spans="1:2" x14ac:dyDescent="0.2">
      <c r="A2317" s="58">
        <v>2415</v>
      </c>
      <c r="B2317" s="128" t="s">
        <v>1418</v>
      </c>
    </row>
    <row r="2318" spans="1:2" x14ac:dyDescent="0.2">
      <c r="A2318" s="58">
        <v>2416</v>
      </c>
      <c r="B2318" s="128" t="s">
        <v>3467</v>
      </c>
    </row>
    <row r="2319" spans="1:2" x14ac:dyDescent="0.2">
      <c r="A2319" s="58">
        <v>2417</v>
      </c>
      <c r="B2319" s="128" t="s">
        <v>3492</v>
      </c>
    </row>
    <row r="2320" spans="1:2" x14ac:dyDescent="0.2">
      <c r="A2320" s="58">
        <v>2418</v>
      </c>
      <c r="B2320" s="128" t="s">
        <v>3052</v>
      </c>
    </row>
    <row r="2321" spans="1:156" x14ac:dyDescent="0.2">
      <c r="A2321" s="58">
        <v>2419</v>
      </c>
      <c r="B2321" s="128" t="s">
        <v>1408</v>
      </c>
    </row>
    <row r="2322" spans="1:156" x14ac:dyDescent="0.2">
      <c r="A2322" s="58">
        <v>2420</v>
      </c>
      <c r="B2322" s="128" t="s">
        <v>1529</v>
      </c>
    </row>
    <row r="2323" spans="1:156" x14ac:dyDescent="0.2">
      <c r="A2323" s="58">
        <v>2421</v>
      </c>
      <c r="B2323" s="128" t="s">
        <v>3435</v>
      </c>
    </row>
    <row r="2324" spans="1:156" x14ac:dyDescent="0.2">
      <c r="A2324" s="58">
        <v>2422</v>
      </c>
      <c r="B2324" s="128" t="s">
        <v>3201</v>
      </c>
    </row>
    <row r="2325" spans="1:156" x14ac:dyDescent="0.2">
      <c r="A2325" s="58">
        <v>2423</v>
      </c>
      <c r="B2325" s="128" t="s">
        <v>3062</v>
      </c>
    </row>
    <row r="2326" spans="1:156" x14ac:dyDescent="0.2">
      <c r="A2326" s="58">
        <v>2424</v>
      </c>
      <c r="B2326" s="128" t="s">
        <v>1177</v>
      </c>
    </row>
    <row r="2327" spans="1:156" x14ac:dyDescent="0.2">
      <c r="A2327" s="58">
        <v>2425</v>
      </c>
      <c r="B2327" s="128" t="s">
        <v>1529</v>
      </c>
    </row>
    <row r="2328" spans="1:156" x14ac:dyDescent="0.2">
      <c r="A2328" s="58">
        <v>2426</v>
      </c>
      <c r="B2328" s="128" t="s">
        <v>3495</v>
      </c>
    </row>
    <row r="2329" spans="1:156" x14ac:dyDescent="0.2">
      <c r="A2329" s="58">
        <v>2427</v>
      </c>
      <c r="B2329" s="128" t="s">
        <v>3492</v>
      </c>
    </row>
    <row r="2330" spans="1:156" x14ac:dyDescent="0.2">
      <c r="A2330" s="58">
        <v>2428</v>
      </c>
      <c r="B2330" s="128" t="s">
        <v>1408</v>
      </c>
    </row>
    <row r="2331" spans="1:156" x14ac:dyDescent="0.2">
      <c r="A2331" s="58">
        <v>2429</v>
      </c>
      <c r="B2331" s="128" t="s">
        <v>1148</v>
      </c>
    </row>
    <row r="2332" spans="1:156" x14ac:dyDescent="0.2">
      <c r="A2332" s="58">
        <v>2430</v>
      </c>
      <c r="B2332" s="128" t="s">
        <v>1403</v>
      </c>
    </row>
    <row r="2333" spans="1:156" x14ac:dyDescent="0.2">
      <c r="A2333" s="58">
        <v>2431</v>
      </c>
      <c r="B2333" s="128" t="s">
        <v>3447</v>
      </c>
    </row>
    <row r="2334" spans="1:156" x14ac:dyDescent="0.2">
      <c r="A2334" s="58">
        <v>2432</v>
      </c>
      <c r="B2334" s="128" t="s">
        <v>3165</v>
      </c>
    </row>
    <row r="2335" spans="1:156" x14ac:dyDescent="0.2">
      <c r="A2335" s="58">
        <v>2433</v>
      </c>
      <c r="B2335" s="128" t="s">
        <v>3176</v>
      </c>
      <c r="EZ2335" s="127">
        <v>1</v>
      </c>
    </row>
    <row r="2336" spans="1:156" x14ac:dyDescent="0.2">
      <c r="A2336" s="58">
        <v>2434</v>
      </c>
      <c r="B2336" s="128" t="s">
        <v>3452</v>
      </c>
    </row>
    <row r="2337" spans="1:2" x14ac:dyDescent="0.2">
      <c r="A2337" s="58">
        <v>2435</v>
      </c>
      <c r="B2337" s="128" t="s">
        <v>534</v>
      </c>
    </row>
    <row r="2338" spans="1:2" x14ac:dyDescent="0.2">
      <c r="A2338" s="58">
        <v>2436</v>
      </c>
      <c r="B2338" s="128" t="s">
        <v>1409</v>
      </c>
    </row>
    <row r="2339" spans="1:2" x14ac:dyDescent="0.2">
      <c r="A2339" s="58">
        <v>2437</v>
      </c>
      <c r="B2339" s="128" t="s">
        <v>1423</v>
      </c>
    </row>
    <row r="2340" spans="1:2" x14ac:dyDescent="0.2">
      <c r="A2340" s="58">
        <v>2438</v>
      </c>
      <c r="B2340" s="128" t="s">
        <v>3492</v>
      </c>
    </row>
    <row r="2341" spans="1:2" x14ac:dyDescent="0.2">
      <c r="A2341" s="58">
        <v>2439</v>
      </c>
      <c r="B2341" s="128" t="s">
        <v>3462</v>
      </c>
    </row>
    <row r="2342" spans="1:2" x14ac:dyDescent="0.2">
      <c r="A2342" s="58">
        <v>2440</v>
      </c>
      <c r="B2342" s="128" t="s">
        <v>3060</v>
      </c>
    </row>
    <row r="2343" spans="1:2" x14ac:dyDescent="0.2">
      <c r="A2343" s="58">
        <v>2441</v>
      </c>
      <c r="B2343" s="128" t="s">
        <v>1177</v>
      </c>
    </row>
    <row r="2344" spans="1:2" x14ac:dyDescent="0.2">
      <c r="A2344" s="58">
        <v>2442</v>
      </c>
      <c r="B2344" s="128" t="s">
        <v>2900</v>
      </c>
    </row>
    <row r="2345" spans="1:2" x14ac:dyDescent="0.2">
      <c r="A2345" s="58">
        <v>2443</v>
      </c>
      <c r="B2345" s="128" t="s">
        <v>3090</v>
      </c>
    </row>
    <row r="2346" spans="1:2" x14ac:dyDescent="0.2">
      <c r="A2346" s="58">
        <v>2444</v>
      </c>
      <c r="B2346" s="128" t="s">
        <v>3090</v>
      </c>
    </row>
    <row r="2347" spans="1:2" x14ac:dyDescent="0.2">
      <c r="A2347" s="58">
        <v>2445</v>
      </c>
      <c r="B2347" s="128" t="s">
        <v>1529</v>
      </c>
    </row>
    <row r="2348" spans="1:2" x14ac:dyDescent="0.2">
      <c r="A2348" s="58">
        <v>2446</v>
      </c>
      <c r="B2348" s="128" t="s">
        <v>1409</v>
      </c>
    </row>
    <row r="2349" spans="1:2" x14ac:dyDescent="0.2">
      <c r="A2349" s="58">
        <v>2447</v>
      </c>
      <c r="B2349" s="128" t="s">
        <v>3520</v>
      </c>
    </row>
    <row r="2350" spans="1:2" x14ac:dyDescent="0.2">
      <c r="A2350" s="58">
        <v>2448</v>
      </c>
      <c r="B2350" s="128" t="s">
        <v>3467</v>
      </c>
    </row>
    <row r="2351" spans="1:2" x14ac:dyDescent="0.2">
      <c r="A2351" s="58">
        <v>2449</v>
      </c>
      <c r="B2351" s="128" t="s">
        <v>3462</v>
      </c>
    </row>
    <row r="2352" spans="1:2" x14ac:dyDescent="0.2">
      <c r="A2352" s="58">
        <v>2450</v>
      </c>
      <c r="B2352" s="128" t="s">
        <v>1415</v>
      </c>
    </row>
    <row r="2353" spans="1:2" x14ac:dyDescent="0.2">
      <c r="A2353" s="58">
        <v>2451</v>
      </c>
      <c r="B2353" s="128" t="s">
        <v>1157</v>
      </c>
    </row>
    <row r="2354" spans="1:2" x14ac:dyDescent="0.2">
      <c r="A2354" s="58">
        <v>2452</v>
      </c>
      <c r="B2354" s="128" t="s">
        <v>3328</v>
      </c>
    </row>
    <row r="2355" spans="1:2" x14ac:dyDescent="0.2">
      <c r="A2355" s="58">
        <v>2453</v>
      </c>
      <c r="B2355" s="128" t="s">
        <v>1527</v>
      </c>
    </row>
    <row r="2356" spans="1:2" x14ac:dyDescent="0.2">
      <c r="A2356" s="58">
        <v>2454</v>
      </c>
      <c r="B2356" s="128" t="s">
        <v>3331</v>
      </c>
    </row>
    <row r="2357" spans="1:2" x14ac:dyDescent="0.2">
      <c r="A2357" s="58">
        <v>2455</v>
      </c>
      <c r="B2357" s="128" t="s">
        <v>534</v>
      </c>
    </row>
    <row r="2358" spans="1:2" x14ac:dyDescent="0.2">
      <c r="A2358" s="58">
        <v>2456</v>
      </c>
      <c r="B2358" s="128" t="s">
        <v>3060</v>
      </c>
    </row>
    <row r="2359" spans="1:2" x14ac:dyDescent="0.2">
      <c r="A2359" s="58">
        <v>2457</v>
      </c>
      <c r="B2359" s="128" t="s">
        <v>3492</v>
      </c>
    </row>
    <row r="2360" spans="1:2" x14ac:dyDescent="0.2">
      <c r="A2360" s="58">
        <v>2458</v>
      </c>
      <c r="B2360" s="128" t="s">
        <v>1177</v>
      </c>
    </row>
    <row r="2361" spans="1:2" x14ac:dyDescent="0.2">
      <c r="A2361" s="58">
        <v>2459</v>
      </c>
      <c r="B2361" s="128" t="s">
        <v>1423</v>
      </c>
    </row>
    <row r="2362" spans="1:2" x14ac:dyDescent="0.2">
      <c r="A2362" s="58">
        <v>2460</v>
      </c>
      <c r="B2362" s="128" t="s">
        <v>3062</v>
      </c>
    </row>
    <row r="2363" spans="1:2" x14ac:dyDescent="0.2">
      <c r="A2363" s="58">
        <v>2461</v>
      </c>
      <c r="B2363" s="128" t="s">
        <v>2829</v>
      </c>
    </row>
    <row r="2364" spans="1:2" x14ac:dyDescent="0.2">
      <c r="A2364" s="58">
        <v>2462</v>
      </c>
      <c r="B2364" s="128" t="s">
        <v>1403</v>
      </c>
    </row>
    <row r="2365" spans="1:2" x14ac:dyDescent="0.2">
      <c r="A2365" s="58">
        <v>2463</v>
      </c>
      <c r="B2365" s="128" t="s">
        <v>534</v>
      </c>
    </row>
    <row r="2366" spans="1:2" x14ac:dyDescent="0.2">
      <c r="A2366" s="58">
        <v>2464</v>
      </c>
      <c r="B2366" s="128" t="s">
        <v>3492</v>
      </c>
    </row>
    <row r="2367" spans="1:2" x14ac:dyDescent="0.2">
      <c r="A2367" s="58">
        <v>2465</v>
      </c>
      <c r="B2367" s="128" t="s">
        <v>3201</v>
      </c>
    </row>
    <row r="2368" spans="1:2" x14ac:dyDescent="0.2">
      <c r="A2368" s="58">
        <v>2466</v>
      </c>
      <c r="B2368" s="128" t="s">
        <v>1529</v>
      </c>
    </row>
    <row r="2369" spans="1:2" x14ac:dyDescent="0.2">
      <c r="A2369" s="58">
        <v>2467</v>
      </c>
      <c r="B2369" s="128" t="s">
        <v>3062</v>
      </c>
    </row>
    <row r="2370" spans="1:2" x14ac:dyDescent="0.2">
      <c r="A2370" s="58">
        <v>2468</v>
      </c>
      <c r="B2370" s="128" t="s">
        <v>3495</v>
      </c>
    </row>
    <row r="2371" spans="1:2" x14ac:dyDescent="0.2">
      <c r="A2371" s="58">
        <v>2469</v>
      </c>
      <c r="B2371" s="128" t="s">
        <v>1177</v>
      </c>
    </row>
    <row r="2372" spans="1:2" x14ac:dyDescent="0.2">
      <c r="A2372" s="58">
        <v>2470</v>
      </c>
      <c r="B2372" s="128" t="s">
        <v>3462</v>
      </c>
    </row>
    <row r="2373" spans="1:2" x14ac:dyDescent="0.2">
      <c r="A2373" s="58">
        <v>2471</v>
      </c>
      <c r="B2373" s="128" t="s">
        <v>2908</v>
      </c>
    </row>
    <row r="2374" spans="1:2" x14ac:dyDescent="0.2">
      <c r="A2374" s="58">
        <v>2472</v>
      </c>
      <c r="B2374" s="128" t="s">
        <v>3516</v>
      </c>
    </row>
    <row r="2375" spans="1:2" x14ac:dyDescent="0.2">
      <c r="A2375" s="58">
        <v>2473</v>
      </c>
      <c r="B2375" s="128" t="s">
        <v>534</v>
      </c>
    </row>
    <row r="2376" spans="1:2" x14ac:dyDescent="0.2">
      <c r="A2376" s="58">
        <v>2474</v>
      </c>
      <c r="B2376" s="128" t="s">
        <v>1169</v>
      </c>
    </row>
    <row r="2377" spans="1:2" x14ac:dyDescent="0.2">
      <c r="A2377" s="58">
        <v>2475</v>
      </c>
      <c r="B2377" s="128" t="s">
        <v>3496</v>
      </c>
    </row>
    <row r="2378" spans="1:2" x14ac:dyDescent="0.2">
      <c r="A2378" s="58">
        <v>2476</v>
      </c>
      <c r="B2378" s="128" t="s">
        <v>1531</v>
      </c>
    </row>
    <row r="2379" spans="1:2" x14ac:dyDescent="0.2">
      <c r="A2379" s="58">
        <v>2477</v>
      </c>
      <c r="B2379" s="128" t="s">
        <v>3186</v>
      </c>
    </row>
    <row r="2380" spans="1:2" x14ac:dyDescent="0.2">
      <c r="A2380" s="58">
        <v>2478</v>
      </c>
      <c r="B2380" s="128" t="s">
        <v>3496</v>
      </c>
    </row>
    <row r="2381" spans="1:2" x14ac:dyDescent="0.2">
      <c r="A2381" s="58">
        <v>2479</v>
      </c>
      <c r="B2381" s="128" t="s">
        <v>534</v>
      </c>
    </row>
    <row r="2382" spans="1:2" x14ac:dyDescent="0.2">
      <c r="A2382" s="58">
        <v>2480</v>
      </c>
      <c r="B2382" s="128" t="s">
        <v>3063</v>
      </c>
    </row>
    <row r="2383" spans="1:2" x14ac:dyDescent="0.2">
      <c r="A2383" s="58">
        <v>2481</v>
      </c>
      <c r="B2383" s="128" t="s">
        <v>3123</v>
      </c>
    </row>
    <row r="2384" spans="1:2" x14ac:dyDescent="0.2">
      <c r="A2384" s="58">
        <v>2482</v>
      </c>
      <c r="B2384" s="128" t="s">
        <v>3447</v>
      </c>
    </row>
    <row r="2385" spans="1:2" x14ac:dyDescent="0.2">
      <c r="A2385" s="58">
        <v>2483</v>
      </c>
      <c r="B2385" s="128" t="s">
        <v>1169</v>
      </c>
    </row>
    <row r="2386" spans="1:2" x14ac:dyDescent="0.2">
      <c r="A2386" s="58">
        <v>2484</v>
      </c>
      <c r="B2386" s="128" t="s">
        <v>1531</v>
      </c>
    </row>
    <row r="2387" spans="1:2" x14ac:dyDescent="0.2">
      <c r="A2387" s="58">
        <v>2485</v>
      </c>
      <c r="B2387" s="128" t="s">
        <v>3462</v>
      </c>
    </row>
    <row r="2388" spans="1:2" x14ac:dyDescent="0.2">
      <c r="A2388" s="58">
        <v>2486</v>
      </c>
      <c r="B2388" s="128" t="s">
        <v>3473</v>
      </c>
    </row>
    <row r="2389" spans="1:2" x14ac:dyDescent="0.2">
      <c r="A2389" s="58">
        <v>2487</v>
      </c>
      <c r="B2389" s="128" t="s">
        <v>1167</v>
      </c>
    </row>
    <row r="2390" spans="1:2" x14ac:dyDescent="0.2">
      <c r="A2390" s="58">
        <v>2488</v>
      </c>
      <c r="B2390" s="128" t="s">
        <v>3062</v>
      </c>
    </row>
    <row r="2391" spans="1:2" x14ac:dyDescent="0.2">
      <c r="A2391" s="58">
        <v>2489</v>
      </c>
      <c r="B2391" s="128" t="s">
        <v>1529</v>
      </c>
    </row>
    <row r="2392" spans="1:2" x14ac:dyDescent="0.2">
      <c r="A2392" s="58">
        <v>2490</v>
      </c>
      <c r="B2392" s="128" t="s">
        <v>1404</v>
      </c>
    </row>
    <row r="2393" spans="1:2" x14ac:dyDescent="0.2">
      <c r="A2393" s="58">
        <v>2491</v>
      </c>
      <c r="B2393" s="128" t="s">
        <v>3495</v>
      </c>
    </row>
    <row r="2394" spans="1:2" x14ac:dyDescent="0.2">
      <c r="A2394" s="58">
        <v>2492</v>
      </c>
      <c r="B2394" s="128" t="s">
        <v>3334</v>
      </c>
    </row>
    <row r="2395" spans="1:2" x14ac:dyDescent="0.2">
      <c r="A2395" s="58">
        <v>2493</v>
      </c>
      <c r="B2395" s="128" t="s">
        <v>1200</v>
      </c>
    </row>
    <row r="2396" spans="1:2" x14ac:dyDescent="0.2">
      <c r="A2396" s="58">
        <v>2494</v>
      </c>
      <c r="B2396" s="128" t="s">
        <v>1411</v>
      </c>
    </row>
    <row r="2397" spans="1:2" x14ac:dyDescent="0.2">
      <c r="A2397" s="58">
        <v>2495</v>
      </c>
      <c r="B2397" s="128" t="s">
        <v>1150</v>
      </c>
    </row>
    <row r="2398" spans="1:2" x14ac:dyDescent="0.2">
      <c r="A2398" s="58">
        <v>2496</v>
      </c>
      <c r="B2398" s="128" t="s">
        <v>2866</v>
      </c>
    </row>
    <row r="2399" spans="1:2" x14ac:dyDescent="0.2">
      <c r="A2399" s="58">
        <v>2497</v>
      </c>
      <c r="B2399" s="128" t="s">
        <v>1527</v>
      </c>
    </row>
    <row r="2400" spans="1:2" x14ac:dyDescent="0.2">
      <c r="A2400" s="58">
        <v>2498</v>
      </c>
      <c r="B2400" s="128" t="s">
        <v>2829</v>
      </c>
    </row>
    <row r="2401" spans="1:2" x14ac:dyDescent="0.2">
      <c r="A2401" s="58">
        <v>2499</v>
      </c>
      <c r="B2401" s="128" t="s">
        <v>1169</v>
      </c>
    </row>
    <row r="2402" spans="1:2" x14ac:dyDescent="0.2">
      <c r="A2402" s="58">
        <v>2500</v>
      </c>
      <c r="B2402" s="128" t="s">
        <v>1402</v>
      </c>
    </row>
    <row r="2403" spans="1:2" x14ac:dyDescent="0.2">
      <c r="A2403" s="58">
        <v>2501</v>
      </c>
      <c r="B2403" s="128" t="s">
        <v>1411</v>
      </c>
    </row>
    <row r="2404" spans="1:2" x14ac:dyDescent="0.2">
      <c r="A2404" s="58">
        <v>2502</v>
      </c>
      <c r="B2404" s="128" t="s">
        <v>3462</v>
      </c>
    </row>
    <row r="2405" spans="1:2" x14ac:dyDescent="0.2">
      <c r="A2405" s="58">
        <v>2503</v>
      </c>
      <c r="B2405" s="128" t="s">
        <v>1529</v>
      </c>
    </row>
    <row r="2406" spans="1:2" x14ac:dyDescent="0.2">
      <c r="A2406" s="58">
        <v>2504</v>
      </c>
      <c r="B2406" s="128" t="s">
        <v>3495</v>
      </c>
    </row>
    <row r="2407" spans="1:2" x14ac:dyDescent="0.2">
      <c r="A2407" s="58">
        <v>2505</v>
      </c>
      <c r="B2407" s="128" t="s">
        <v>1402</v>
      </c>
    </row>
    <row r="2408" spans="1:2" x14ac:dyDescent="0.2">
      <c r="A2408" s="58">
        <v>2506</v>
      </c>
      <c r="B2408" s="128" t="s">
        <v>562</v>
      </c>
    </row>
    <row r="2409" spans="1:2" x14ac:dyDescent="0.2">
      <c r="A2409" s="58">
        <v>2507</v>
      </c>
      <c r="B2409" s="128" t="s">
        <v>3334</v>
      </c>
    </row>
    <row r="2410" spans="1:2" x14ac:dyDescent="0.2">
      <c r="A2410" s="58">
        <v>2508</v>
      </c>
      <c r="B2410" s="128" t="s">
        <v>1167</v>
      </c>
    </row>
    <row r="2411" spans="1:2" x14ac:dyDescent="0.2">
      <c r="A2411" s="58">
        <v>2509</v>
      </c>
      <c r="B2411" s="128" t="s">
        <v>3194</v>
      </c>
    </row>
    <row r="2412" spans="1:2" x14ac:dyDescent="0.2">
      <c r="A2412" s="58">
        <v>2510</v>
      </c>
      <c r="B2412" s="128" t="s">
        <v>1180</v>
      </c>
    </row>
    <row r="2413" spans="1:2" x14ac:dyDescent="0.2">
      <c r="A2413" s="58">
        <v>2511</v>
      </c>
      <c r="B2413" s="128" t="s">
        <v>3467</v>
      </c>
    </row>
    <row r="2414" spans="1:2" x14ac:dyDescent="0.2">
      <c r="A2414" s="58">
        <v>2512</v>
      </c>
      <c r="B2414" s="128" t="s">
        <v>3473</v>
      </c>
    </row>
    <row r="2415" spans="1:2" x14ac:dyDescent="0.2">
      <c r="A2415" s="58">
        <v>2513</v>
      </c>
      <c r="B2415" s="128" t="s">
        <v>3489</v>
      </c>
    </row>
    <row r="2416" spans="1:2" x14ac:dyDescent="0.2">
      <c r="A2416" s="58">
        <v>2514</v>
      </c>
      <c r="B2416" s="128" t="s">
        <v>3462</v>
      </c>
    </row>
    <row r="2417" spans="1:167" x14ac:dyDescent="0.2">
      <c r="A2417" s="58">
        <v>2515</v>
      </c>
      <c r="B2417" s="128" t="s">
        <v>3474</v>
      </c>
    </row>
    <row r="2418" spans="1:167" x14ac:dyDescent="0.2">
      <c r="A2418" s="58">
        <v>2516</v>
      </c>
      <c r="B2418" s="128" t="s">
        <v>1409</v>
      </c>
    </row>
    <row r="2419" spans="1:167" x14ac:dyDescent="0.2">
      <c r="A2419" s="58">
        <v>2517</v>
      </c>
      <c r="B2419" s="128" t="s">
        <v>3076</v>
      </c>
    </row>
    <row r="2420" spans="1:167" x14ac:dyDescent="0.2">
      <c r="A2420" s="58">
        <v>2518</v>
      </c>
      <c r="B2420" s="128" t="s">
        <v>3057</v>
      </c>
    </row>
    <row r="2421" spans="1:167" x14ac:dyDescent="0.2">
      <c r="A2421" s="58">
        <v>2519</v>
      </c>
      <c r="B2421" s="128" t="s">
        <v>3180</v>
      </c>
    </row>
    <row r="2422" spans="1:167" x14ac:dyDescent="0.2">
      <c r="A2422" s="58">
        <v>2520</v>
      </c>
      <c r="B2422" s="128" t="s">
        <v>1144</v>
      </c>
    </row>
    <row r="2423" spans="1:167" x14ac:dyDescent="0.2">
      <c r="A2423" s="58">
        <v>2521</v>
      </c>
      <c r="B2423" s="128" t="s">
        <v>3111</v>
      </c>
      <c r="FK2423" s="127">
        <v>25</v>
      </c>
    </row>
    <row r="2424" spans="1:167" x14ac:dyDescent="0.2">
      <c r="A2424" s="58">
        <v>2522</v>
      </c>
      <c r="B2424" s="128" t="s">
        <v>1180</v>
      </c>
    </row>
    <row r="2425" spans="1:167" x14ac:dyDescent="0.2">
      <c r="A2425" s="58">
        <v>2523</v>
      </c>
      <c r="B2425" s="128" t="s">
        <v>1409</v>
      </c>
    </row>
    <row r="2426" spans="1:167" x14ac:dyDescent="0.2">
      <c r="A2426" s="58">
        <v>2524</v>
      </c>
      <c r="B2426" s="128" t="s">
        <v>3489</v>
      </c>
    </row>
    <row r="2427" spans="1:167" x14ac:dyDescent="0.2">
      <c r="A2427" s="58">
        <v>2525</v>
      </c>
      <c r="B2427" s="128" t="s">
        <v>3469</v>
      </c>
    </row>
    <row r="2428" spans="1:167" x14ac:dyDescent="0.2">
      <c r="A2428" s="58">
        <v>2526</v>
      </c>
      <c r="B2428" s="128" t="s">
        <v>3516</v>
      </c>
    </row>
    <row r="2429" spans="1:167" x14ac:dyDescent="0.2">
      <c r="A2429" s="58">
        <v>2527</v>
      </c>
      <c r="B2429" s="128" t="s">
        <v>3467</v>
      </c>
    </row>
    <row r="2430" spans="1:167" x14ac:dyDescent="0.2">
      <c r="A2430" s="58">
        <v>2528</v>
      </c>
      <c r="B2430" s="128" t="s">
        <v>1529</v>
      </c>
    </row>
    <row r="2431" spans="1:167" x14ac:dyDescent="0.2">
      <c r="A2431" s="58">
        <v>2529</v>
      </c>
      <c r="B2431" s="128" t="s">
        <v>1180</v>
      </c>
    </row>
    <row r="2432" spans="1:167" x14ac:dyDescent="0.2">
      <c r="A2432" s="58">
        <v>2530</v>
      </c>
      <c r="B2432" s="128" t="s">
        <v>1409</v>
      </c>
    </row>
    <row r="2433" spans="1:168" x14ac:dyDescent="0.2">
      <c r="A2433" s="58">
        <v>2531</v>
      </c>
      <c r="B2433" s="128" t="s">
        <v>3052</v>
      </c>
    </row>
    <row r="2434" spans="1:168" x14ac:dyDescent="0.2">
      <c r="A2434" s="58">
        <v>2532</v>
      </c>
      <c r="B2434" s="128" t="s">
        <v>1415</v>
      </c>
    </row>
    <row r="2435" spans="1:168" x14ac:dyDescent="0.2">
      <c r="A2435" s="58">
        <v>2533</v>
      </c>
      <c r="B2435" s="128" t="s">
        <v>3516</v>
      </c>
    </row>
    <row r="2436" spans="1:168" x14ac:dyDescent="0.2">
      <c r="A2436" s="58">
        <v>2534</v>
      </c>
      <c r="B2436" s="128" t="s">
        <v>1529</v>
      </c>
    </row>
    <row r="2437" spans="1:168" x14ac:dyDescent="0.2">
      <c r="A2437" s="58">
        <v>2535</v>
      </c>
      <c r="B2437" s="128" t="s">
        <v>540</v>
      </c>
    </row>
    <row r="2438" spans="1:168" x14ac:dyDescent="0.2">
      <c r="A2438" s="58">
        <v>2536</v>
      </c>
      <c r="B2438" s="128" t="s">
        <v>3202</v>
      </c>
    </row>
    <row r="2439" spans="1:168" x14ac:dyDescent="0.2">
      <c r="A2439" s="58">
        <v>2537</v>
      </c>
      <c r="B2439" s="128" t="s">
        <v>1144</v>
      </c>
    </row>
    <row r="2440" spans="1:168" x14ac:dyDescent="0.2">
      <c r="A2440" s="58">
        <v>2538</v>
      </c>
      <c r="B2440" s="128" t="s">
        <v>3068</v>
      </c>
    </row>
    <row r="2441" spans="1:168" x14ac:dyDescent="0.2">
      <c r="A2441" s="58">
        <v>2539</v>
      </c>
      <c r="B2441" s="128" t="s">
        <v>1169</v>
      </c>
    </row>
    <row r="2442" spans="1:168" x14ac:dyDescent="0.2">
      <c r="A2442" s="58">
        <v>2540</v>
      </c>
      <c r="B2442" s="128" t="s">
        <v>3497</v>
      </c>
      <c r="FL2442" s="127">
        <v>7</v>
      </c>
    </row>
    <row r="2443" spans="1:168" x14ac:dyDescent="0.2">
      <c r="A2443" s="58">
        <v>2541</v>
      </c>
      <c r="B2443" s="128" t="s">
        <v>2852</v>
      </c>
    </row>
    <row r="2444" spans="1:168" x14ac:dyDescent="0.2">
      <c r="A2444" s="58">
        <v>2542</v>
      </c>
      <c r="B2444" s="128" t="s">
        <v>2902</v>
      </c>
    </row>
    <row r="2445" spans="1:168" x14ac:dyDescent="0.2">
      <c r="A2445" s="58">
        <v>2543</v>
      </c>
      <c r="B2445" s="128" t="s">
        <v>3467</v>
      </c>
    </row>
    <row r="2446" spans="1:168" x14ac:dyDescent="0.2">
      <c r="A2446" s="58">
        <v>2544</v>
      </c>
      <c r="B2446" s="128" t="s">
        <v>3090</v>
      </c>
    </row>
    <row r="2447" spans="1:168" x14ac:dyDescent="0.2">
      <c r="A2447" s="58">
        <v>2545</v>
      </c>
      <c r="B2447" s="128" t="s">
        <v>3473</v>
      </c>
    </row>
    <row r="2448" spans="1:168" x14ac:dyDescent="0.2">
      <c r="A2448" s="58">
        <v>2546</v>
      </c>
      <c r="B2448" s="128" t="s">
        <v>3199</v>
      </c>
    </row>
    <row r="2449" spans="1:2" x14ac:dyDescent="0.2">
      <c r="A2449" s="58">
        <v>2547</v>
      </c>
      <c r="B2449" s="128" t="s">
        <v>3489</v>
      </c>
    </row>
    <row r="2450" spans="1:2" x14ac:dyDescent="0.2">
      <c r="A2450" s="58">
        <v>2548</v>
      </c>
      <c r="B2450" s="128" t="s">
        <v>3462</v>
      </c>
    </row>
    <row r="2451" spans="1:2" x14ac:dyDescent="0.2">
      <c r="A2451" s="58">
        <v>2549</v>
      </c>
      <c r="B2451" s="128" t="s">
        <v>3463</v>
      </c>
    </row>
    <row r="2452" spans="1:2" x14ac:dyDescent="0.2">
      <c r="A2452" s="58">
        <v>2550</v>
      </c>
      <c r="B2452" s="128" t="s">
        <v>3467</v>
      </c>
    </row>
    <row r="2453" spans="1:2" x14ac:dyDescent="0.2">
      <c r="A2453" s="58">
        <v>2551</v>
      </c>
      <c r="B2453" s="128" t="s">
        <v>3469</v>
      </c>
    </row>
    <row r="2454" spans="1:2" x14ac:dyDescent="0.2">
      <c r="A2454" s="58">
        <v>2552</v>
      </c>
      <c r="B2454" s="128" t="s">
        <v>3516</v>
      </c>
    </row>
    <row r="2455" spans="1:2" x14ac:dyDescent="0.2">
      <c r="A2455" s="58">
        <v>2553</v>
      </c>
      <c r="B2455" s="128" t="s">
        <v>3202</v>
      </c>
    </row>
    <row r="2456" spans="1:2" x14ac:dyDescent="0.2">
      <c r="A2456" s="58">
        <v>2554</v>
      </c>
      <c r="B2456" s="128" t="s">
        <v>3471</v>
      </c>
    </row>
    <row r="2457" spans="1:2" x14ac:dyDescent="0.2">
      <c r="A2457" s="58">
        <v>2555</v>
      </c>
      <c r="B2457" s="128" t="s">
        <v>3203</v>
      </c>
    </row>
    <row r="2458" spans="1:2" x14ac:dyDescent="0.2">
      <c r="A2458" s="58">
        <v>2556</v>
      </c>
      <c r="B2458" s="128" t="s">
        <v>1529</v>
      </c>
    </row>
    <row r="2459" spans="1:2" x14ac:dyDescent="0.2">
      <c r="A2459" s="58">
        <v>2557</v>
      </c>
      <c r="B2459" s="128" t="s">
        <v>3462</v>
      </c>
    </row>
    <row r="2460" spans="1:2" x14ac:dyDescent="0.2">
      <c r="A2460" s="58">
        <v>2558</v>
      </c>
      <c r="B2460" s="128" t="s">
        <v>3516</v>
      </c>
    </row>
    <row r="2461" spans="1:2" x14ac:dyDescent="0.2">
      <c r="A2461" s="58">
        <v>2559</v>
      </c>
      <c r="B2461" s="128" t="s">
        <v>3463</v>
      </c>
    </row>
    <row r="2462" spans="1:2" x14ac:dyDescent="0.2">
      <c r="A2462" s="58">
        <v>2560</v>
      </c>
      <c r="B2462" s="128" t="s">
        <v>3467</v>
      </c>
    </row>
    <row r="2463" spans="1:2" x14ac:dyDescent="0.2">
      <c r="A2463" s="58">
        <v>2561</v>
      </c>
      <c r="B2463" s="128" t="s">
        <v>1409</v>
      </c>
    </row>
    <row r="2464" spans="1:2" x14ac:dyDescent="0.2">
      <c r="A2464" s="58">
        <v>2562</v>
      </c>
      <c r="B2464" s="128" t="s">
        <v>3202</v>
      </c>
    </row>
    <row r="2465" spans="1:2" x14ac:dyDescent="0.2">
      <c r="A2465" s="58">
        <v>2563</v>
      </c>
      <c r="B2465" s="128" t="s">
        <v>3469</v>
      </c>
    </row>
    <row r="2466" spans="1:2" x14ac:dyDescent="0.2">
      <c r="A2466" s="58">
        <v>2564</v>
      </c>
      <c r="B2466" s="128" t="s">
        <v>3465</v>
      </c>
    </row>
    <row r="2467" spans="1:2" x14ac:dyDescent="0.2">
      <c r="A2467" s="58">
        <v>2565</v>
      </c>
      <c r="B2467" s="128" t="s">
        <v>3461</v>
      </c>
    </row>
    <row r="2468" spans="1:2" x14ac:dyDescent="0.2">
      <c r="A2468" s="58">
        <v>2566</v>
      </c>
      <c r="B2468" s="128" t="s">
        <v>3202</v>
      </c>
    </row>
    <row r="2469" spans="1:2" x14ac:dyDescent="0.2">
      <c r="A2469" s="58">
        <v>2567</v>
      </c>
      <c r="B2469" s="128" t="s">
        <v>3382</v>
      </c>
    </row>
    <row r="2470" spans="1:2" x14ac:dyDescent="0.2">
      <c r="A2470" s="58">
        <v>2568</v>
      </c>
      <c r="B2470" s="128" t="s">
        <v>3487</v>
      </c>
    </row>
    <row r="2471" spans="1:2" x14ac:dyDescent="0.2">
      <c r="A2471" s="58">
        <v>2569</v>
      </c>
      <c r="B2471" s="128" t="s">
        <v>3465</v>
      </c>
    </row>
    <row r="2472" spans="1:2" x14ac:dyDescent="0.2">
      <c r="A2472" s="58">
        <v>2570</v>
      </c>
      <c r="B2472" s="128" t="s">
        <v>1169</v>
      </c>
    </row>
    <row r="2473" spans="1:2" x14ac:dyDescent="0.2">
      <c r="A2473" s="58">
        <v>2571</v>
      </c>
      <c r="B2473" s="128" t="s">
        <v>3463</v>
      </c>
    </row>
    <row r="2474" spans="1:2" x14ac:dyDescent="0.2">
      <c r="A2474" s="58">
        <v>2572</v>
      </c>
      <c r="B2474" s="128" t="s">
        <v>3203</v>
      </c>
    </row>
    <row r="2475" spans="1:2" x14ac:dyDescent="0.2">
      <c r="A2475" s="58">
        <v>2573</v>
      </c>
      <c r="B2475" s="128" t="s">
        <v>3052</v>
      </c>
    </row>
    <row r="2476" spans="1:2" x14ac:dyDescent="0.2">
      <c r="A2476" s="58">
        <v>2574</v>
      </c>
      <c r="B2476" s="128" t="s">
        <v>3471</v>
      </c>
    </row>
    <row r="2477" spans="1:2" x14ac:dyDescent="0.2">
      <c r="A2477" s="58">
        <v>2575</v>
      </c>
      <c r="B2477" s="128" t="s">
        <v>1155</v>
      </c>
    </row>
    <row r="2478" spans="1:2" x14ac:dyDescent="0.2">
      <c r="A2478" s="58">
        <v>2576</v>
      </c>
      <c r="B2478" s="128" t="s">
        <v>3052</v>
      </c>
    </row>
    <row r="2479" spans="1:2" x14ac:dyDescent="0.2">
      <c r="A2479" s="58">
        <v>2577</v>
      </c>
      <c r="B2479" s="128" t="s">
        <v>3516</v>
      </c>
    </row>
    <row r="2480" spans="1:2" x14ac:dyDescent="0.2">
      <c r="A2480" s="58">
        <v>2578</v>
      </c>
      <c r="B2480" s="128" t="s">
        <v>1180</v>
      </c>
    </row>
    <row r="2481" spans="1:2" x14ac:dyDescent="0.2">
      <c r="A2481" s="58">
        <v>2579</v>
      </c>
      <c r="B2481" s="128" t="s">
        <v>1409</v>
      </c>
    </row>
    <row r="2482" spans="1:2" x14ac:dyDescent="0.2">
      <c r="A2482" s="58">
        <v>2580</v>
      </c>
      <c r="B2482" s="128" t="s">
        <v>1148</v>
      </c>
    </row>
    <row r="2483" spans="1:2" x14ac:dyDescent="0.2">
      <c r="A2483" s="58">
        <v>2581</v>
      </c>
      <c r="B2483" s="128" t="s">
        <v>3186</v>
      </c>
    </row>
    <row r="2484" spans="1:2" x14ac:dyDescent="0.2">
      <c r="A2484" s="58">
        <v>2582</v>
      </c>
      <c r="B2484" s="128" t="s">
        <v>1415</v>
      </c>
    </row>
    <row r="2485" spans="1:2" x14ac:dyDescent="0.2">
      <c r="A2485" s="58">
        <v>2583</v>
      </c>
      <c r="B2485" s="128" t="s">
        <v>3467</v>
      </c>
    </row>
    <row r="2486" spans="1:2" x14ac:dyDescent="0.2">
      <c r="A2486" s="58">
        <v>2584</v>
      </c>
      <c r="B2486" s="128" t="s">
        <v>3469</v>
      </c>
    </row>
    <row r="2487" spans="1:2" x14ac:dyDescent="0.2">
      <c r="A2487" s="58">
        <v>2585</v>
      </c>
      <c r="B2487" s="128" t="s">
        <v>1168</v>
      </c>
    </row>
    <row r="2488" spans="1:2" x14ac:dyDescent="0.2">
      <c r="A2488" s="58">
        <v>2586</v>
      </c>
      <c r="B2488" s="128" t="s">
        <v>1489</v>
      </c>
    </row>
    <row r="2489" spans="1:2" x14ac:dyDescent="0.2">
      <c r="A2489" s="58">
        <v>2587</v>
      </c>
      <c r="B2489" s="128" t="s">
        <v>1162</v>
      </c>
    </row>
    <row r="2490" spans="1:2" x14ac:dyDescent="0.2">
      <c r="A2490" s="58">
        <v>2588</v>
      </c>
      <c r="B2490" s="128" t="s">
        <v>3052</v>
      </c>
    </row>
    <row r="2491" spans="1:2" x14ac:dyDescent="0.2">
      <c r="A2491" s="58">
        <v>2589</v>
      </c>
      <c r="B2491" s="128" t="s">
        <v>3516</v>
      </c>
    </row>
    <row r="2492" spans="1:2" x14ac:dyDescent="0.2">
      <c r="A2492" s="58">
        <v>2590</v>
      </c>
      <c r="B2492" s="128" t="s">
        <v>1155</v>
      </c>
    </row>
    <row r="2493" spans="1:2" x14ac:dyDescent="0.2">
      <c r="A2493" s="58">
        <v>2591</v>
      </c>
      <c r="B2493" s="128" t="s">
        <v>1200</v>
      </c>
    </row>
    <row r="2494" spans="1:2" x14ac:dyDescent="0.2">
      <c r="A2494" s="58">
        <v>2592</v>
      </c>
      <c r="B2494" s="128" t="s">
        <v>1148</v>
      </c>
    </row>
    <row r="2495" spans="1:2" x14ac:dyDescent="0.2">
      <c r="A2495" s="58">
        <v>2593</v>
      </c>
      <c r="B2495" s="128" t="s">
        <v>2852</v>
      </c>
    </row>
    <row r="2496" spans="1:2" x14ac:dyDescent="0.2">
      <c r="A2496" s="58">
        <v>2594</v>
      </c>
      <c r="B2496" s="128" t="s">
        <v>3186</v>
      </c>
    </row>
    <row r="2497" spans="1:2" x14ac:dyDescent="0.2">
      <c r="A2497" s="58">
        <v>2595</v>
      </c>
      <c r="B2497" s="128" t="s">
        <v>3467</v>
      </c>
    </row>
    <row r="2498" spans="1:2" x14ac:dyDescent="0.2">
      <c r="A2498" s="58">
        <v>2596</v>
      </c>
      <c r="B2498" s="128" t="s">
        <v>1208</v>
      </c>
    </row>
    <row r="2499" spans="1:2" x14ac:dyDescent="0.2">
      <c r="A2499" s="58">
        <v>2597</v>
      </c>
      <c r="B2499" s="128" t="s">
        <v>1415</v>
      </c>
    </row>
    <row r="2500" spans="1:2" x14ac:dyDescent="0.2">
      <c r="A2500" s="58">
        <v>2598</v>
      </c>
      <c r="B2500" s="128" t="s">
        <v>3435</v>
      </c>
    </row>
    <row r="2501" spans="1:2" x14ac:dyDescent="0.2">
      <c r="A2501" s="58">
        <v>2599</v>
      </c>
      <c r="B2501" s="128" t="s">
        <v>1155</v>
      </c>
    </row>
    <row r="2502" spans="1:2" x14ac:dyDescent="0.2">
      <c r="A2502" s="58">
        <v>2600</v>
      </c>
      <c r="B2502" s="128" t="s">
        <v>1200</v>
      </c>
    </row>
    <row r="2503" spans="1:2" x14ac:dyDescent="0.2">
      <c r="A2503" s="58">
        <v>2601</v>
      </c>
      <c r="B2503" s="128" t="s">
        <v>3052</v>
      </c>
    </row>
    <row r="2504" spans="1:2" x14ac:dyDescent="0.2">
      <c r="A2504" s="58">
        <v>2602</v>
      </c>
      <c r="B2504" s="128" t="s">
        <v>1169</v>
      </c>
    </row>
    <row r="2505" spans="1:2" x14ac:dyDescent="0.2">
      <c r="A2505" s="58">
        <v>2603</v>
      </c>
      <c r="B2505" s="128" t="s">
        <v>1168</v>
      </c>
    </row>
    <row r="2506" spans="1:2" x14ac:dyDescent="0.2">
      <c r="A2506" s="58">
        <v>2604</v>
      </c>
      <c r="B2506" s="128" t="s">
        <v>3469</v>
      </c>
    </row>
    <row r="2507" spans="1:2" x14ac:dyDescent="0.2">
      <c r="A2507" s="58">
        <v>2605</v>
      </c>
      <c r="B2507" s="128" t="s">
        <v>3068</v>
      </c>
    </row>
    <row r="2508" spans="1:2" x14ac:dyDescent="0.2">
      <c r="A2508" s="58">
        <v>2606</v>
      </c>
      <c r="B2508" s="128" t="s">
        <v>1240</v>
      </c>
    </row>
    <row r="2509" spans="1:2" x14ac:dyDescent="0.2">
      <c r="A2509" s="58">
        <v>2607</v>
      </c>
      <c r="B2509" s="128" t="s">
        <v>3186</v>
      </c>
    </row>
    <row r="2510" spans="1:2" x14ac:dyDescent="0.2">
      <c r="A2510" s="58">
        <v>2608</v>
      </c>
      <c r="B2510" s="128" t="s">
        <v>1144</v>
      </c>
    </row>
    <row r="2511" spans="1:2" x14ac:dyDescent="0.2">
      <c r="A2511" s="58">
        <v>2609</v>
      </c>
      <c r="B2511" s="128" t="s">
        <v>3462</v>
      </c>
    </row>
    <row r="2512" spans="1:2" x14ac:dyDescent="0.2">
      <c r="A2512" s="58">
        <v>2610</v>
      </c>
      <c r="B2512" s="128" t="s">
        <v>3494</v>
      </c>
    </row>
    <row r="2513" spans="1:2" x14ac:dyDescent="0.2">
      <c r="A2513" s="58">
        <v>2611</v>
      </c>
      <c r="B2513" s="128" t="s">
        <v>3467</v>
      </c>
    </row>
    <row r="2514" spans="1:2" x14ac:dyDescent="0.2">
      <c r="A2514" s="58">
        <v>2612</v>
      </c>
      <c r="B2514" s="128" t="s">
        <v>3201</v>
      </c>
    </row>
    <row r="2515" spans="1:2" x14ac:dyDescent="0.2">
      <c r="A2515" s="58">
        <v>2613</v>
      </c>
      <c r="B2515" s="128" t="s">
        <v>3493</v>
      </c>
    </row>
    <row r="2516" spans="1:2" x14ac:dyDescent="0.2">
      <c r="A2516" s="58">
        <v>2614</v>
      </c>
      <c r="B2516" s="128" t="s">
        <v>3186</v>
      </c>
    </row>
    <row r="2517" spans="1:2" x14ac:dyDescent="0.2">
      <c r="A2517" s="58">
        <v>2615</v>
      </c>
      <c r="B2517" s="128" t="s">
        <v>1157</v>
      </c>
    </row>
    <row r="2518" spans="1:2" x14ac:dyDescent="0.2">
      <c r="A2518" s="58">
        <v>2616</v>
      </c>
      <c r="B2518" s="128" t="s">
        <v>1169</v>
      </c>
    </row>
    <row r="2519" spans="1:2" x14ac:dyDescent="0.2">
      <c r="A2519" s="58">
        <v>2617</v>
      </c>
      <c r="B2519" s="128" t="s">
        <v>1415</v>
      </c>
    </row>
    <row r="2520" spans="1:2" x14ac:dyDescent="0.2">
      <c r="A2520" s="58">
        <v>2618</v>
      </c>
      <c r="B2520" s="128" t="s">
        <v>2829</v>
      </c>
    </row>
    <row r="2521" spans="1:2" x14ac:dyDescent="0.2">
      <c r="A2521" s="58">
        <v>2619</v>
      </c>
      <c r="B2521" s="128" t="s">
        <v>3447</v>
      </c>
    </row>
    <row r="2522" spans="1:2" x14ac:dyDescent="0.2">
      <c r="A2522" s="58">
        <v>2620</v>
      </c>
      <c r="B2522" s="128" t="s">
        <v>1411</v>
      </c>
    </row>
    <row r="2523" spans="1:2" x14ac:dyDescent="0.2">
      <c r="A2523" s="58">
        <v>2621</v>
      </c>
      <c r="B2523" s="128" t="s">
        <v>534</v>
      </c>
    </row>
    <row r="2524" spans="1:2" x14ac:dyDescent="0.2">
      <c r="A2524" s="58">
        <v>2622</v>
      </c>
      <c r="B2524" s="128" t="s">
        <v>3462</v>
      </c>
    </row>
    <row r="2525" spans="1:2" x14ac:dyDescent="0.2">
      <c r="A2525" s="58">
        <v>2623</v>
      </c>
      <c r="B2525" s="128" t="s">
        <v>3473</v>
      </c>
    </row>
    <row r="2526" spans="1:2" x14ac:dyDescent="0.2">
      <c r="A2526" s="58">
        <v>2624</v>
      </c>
      <c r="B2526" s="128" t="s">
        <v>3173</v>
      </c>
    </row>
    <row r="2527" spans="1:2" x14ac:dyDescent="0.2">
      <c r="A2527" s="58">
        <v>2625</v>
      </c>
      <c r="B2527" s="128" t="s">
        <v>1169</v>
      </c>
    </row>
    <row r="2528" spans="1:2" x14ac:dyDescent="0.2">
      <c r="A2528" s="58">
        <v>2626</v>
      </c>
      <c r="B2528" s="128" t="s">
        <v>1200</v>
      </c>
    </row>
    <row r="2529" spans="1:177" x14ac:dyDescent="0.2">
      <c r="A2529" s="58">
        <v>2627</v>
      </c>
      <c r="B2529" s="128" t="s">
        <v>3495</v>
      </c>
    </row>
    <row r="2530" spans="1:177" x14ac:dyDescent="0.2">
      <c r="A2530" s="58">
        <v>2628</v>
      </c>
      <c r="B2530" s="128" t="s">
        <v>1415</v>
      </c>
    </row>
    <row r="2531" spans="1:177" x14ac:dyDescent="0.2">
      <c r="A2531" s="58">
        <v>2629</v>
      </c>
      <c r="B2531" s="128" t="s">
        <v>1418</v>
      </c>
    </row>
    <row r="2532" spans="1:177" x14ac:dyDescent="0.2">
      <c r="A2532" s="58">
        <v>2630</v>
      </c>
      <c r="B2532" s="128" t="s">
        <v>1433</v>
      </c>
      <c r="FU2532" s="127">
        <v>4</v>
      </c>
    </row>
    <row r="2533" spans="1:177" x14ac:dyDescent="0.2">
      <c r="A2533" s="58">
        <v>2631</v>
      </c>
      <c r="B2533" s="128" t="s">
        <v>3331</v>
      </c>
    </row>
    <row r="2534" spans="1:177" x14ac:dyDescent="0.2">
      <c r="A2534" s="58">
        <v>2632</v>
      </c>
      <c r="B2534" s="128" t="s">
        <v>3462</v>
      </c>
    </row>
    <row r="2535" spans="1:177" x14ac:dyDescent="0.2">
      <c r="A2535" s="58">
        <v>2633</v>
      </c>
      <c r="B2535" s="128" t="s">
        <v>1144</v>
      </c>
    </row>
    <row r="2536" spans="1:177" x14ac:dyDescent="0.2">
      <c r="A2536" s="58">
        <v>2634</v>
      </c>
      <c r="B2536" s="128" t="s">
        <v>1402</v>
      </c>
    </row>
    <row r="2537" spans="1:177" x14ac:dyDescent="0.2">
      <c r="A2537" s="58">
        <v>2635</v>
      </c>
      <c r="B2537" s="128" t="s">
        <v>1529</v>
      </c>
    </row>
    <row r="2538" spans="1:177" x14ac:dyDescent="0.2">
      <c r="A2538" s="58">
        <v>2636</v>
      </c>
      <c r="B2538" s="128" t="s">
        <v>3495</v>
      </c>
    </row>
    <row r="2539" spans="1:177" x14ac:dyDescent="0.2">
      <c r="A2539" s="58">
        <v>2637</v>
      </c>
      <c r="B2539" s="128" t="s">
        <v>3202</v>
      </c>
    </row>
    <row r="2540" spans="1:177" x14ac:dyDescent="0.2">
      <c r="A2540" s="58">
        <v>2638</v>
      </c>
      <c r="B2540" s="128" t="s">
        <v>1411</v>
      </c>
    </row>
    <row r="2541" spans="1:177" x14ac:dyDescent="0.2">
      <c r="A2541" s="58">
        <v>2639</v>
      </c>
      <c r="B2541" s="128" t="s">
        <v>3462</v>
      </c>
    </row>
    <row r="2542" spans="1:177" x14ac:dyDescent="0.2">
      <c r="A2542" s="58">
        <v>2640</v>
      </c>
      <c r="B2542" s="128" t="s">
        <v>2908</v>
      </c>
    </row>
    <row r="2543" spans="1:177" x14ac:dyDescent="0.2">
      <c r="A2543" s="58">
        <v>2641</v>
      </c>
      <c r="B2543" s="128" t="s">
        <v>3334</v>
      </c>
    </row>
    <row r="2544" spans="1:177" x14ac:dyDescent="0.2">
      <c r="A2544" s="58">
        <v>2642</v>
      </c>
      <c r="B2544" s="128" t="s">
        <v>1411</v>
      </c>
    </row>
    <row r="2545" spans="1:2" x14ac:dyDescent="0.2">
      <c r="A2545" s="58">
        <v>2643</v>
      </c>
      <c r="B2545" s="128" t="s">
        <v>1529</v>
      </c>
    </row>
    <row r="2546" spans="1:2" x14ac:dyDescent="0.2">
      <c r="A2546" s="58">
        <v>2644</v>
      </c>
      <c r="B2546" s="128" t="s">
        <v>3495</v>
      </c>
    </row>
    <row r="2547" spans="1:2" x14ac:dyDescent="0.2">
      <c r="A2547" s="58">
        <v>2645</v>
      </c>
      <c r="B2547" s="128" t="s">
        <v>3522</v>
      </c>
    </row>
    <row r="2548" spans="1:2" x14ac:dyDescent="0.2">
      <c r="A2548" s="58">
        <v>2646</v>
      </c>
      <c r="B2548" s="128" t="s">
        <v>3473</v>
      </c>
    </row>
    <row r="2549" spans="1:2" x14ac:dyDescent="0.2">
      <c r="A2549" s="58">
        <v>2647</v>
      </c>
      <c r="B2549" s="128" t="s">
        <v>1400</v>
      </c>
    </row>
    <row r="2550" spans="1:2" x14ac:dyDescent="0.2">
      <c r="A2550" s="58">
        <v>2648</v>
      </c>
      <c r="B2550" s="128" t="s">
        <v>3194</v>
      </c>
    </row>
    <row r="2551" spans="1:2" x14ac:dyDescent="0.2">
      <c r="A2551" s="58">
        <v>2649</v>
      </c>
      <c r="B2551" s="128" t="s">
        <v>3467</v>
      </c>
    </row>
    <row r="2552" spans="1:2" x14ac:dyDescent="0.2">
      <c r="A2552" s="58">
        <v>2650</v>
      </c>
      <c r="B2552" s="128" t="s">
        <v>1200</v>
      </c>
    </row>
    <row r="2553" spans="1:2" x14ac:dyDescent="0.2">
      <c r="A2553" s="58">
        <v>2651</v>
      </c>
      <c r="B2553" s="128" t="s">
        <v>3462</v>
      </c>
    </row>
    <row r="2554" spans="1:2" x14ac:dyDescent="0.2">
      <c r="A2554" s="58">
        <v>2652</v>
      </c>
      <c r="B2554" s="128" t="s">
        <v>1411</v>
      </c>
    </row>
    <row r="2555" spans="1:2" x14ac:dyDescent="0.2">
      <c r="A2555" s="58">
        <v>2653</v>
      </c>
      <c r="B2555" s="128" t="s">
        <v>1529</v>
      </c>
    </row>
    <row r="2556" spans="1:2" x14ac:dyDescent="0.2">
      <c r="A2556" s="58">
        <v>2654</v>
      </c>
      <c r="B2556" s="128" t="s">
        <v>3474</v>
      </c>
    </row>
    <row r="2557" spans="1:2" x14ac:dyDescent="0.2">
      <c r="A2557" s="58">
        <v>2655</v>
      </c>
      <c r="B2557" s="128" t="s">
        <v>1400</v>
      </c>
    </row>
    <row r="2558" spans="1:2" x14ac:dyDescent="0.2">
      <c r="A2558" s="58">
        <v>2656</v>
      </c>
      <c r="B2558" s="128" t="s">
        <v>2902</v>
      </c>
    </row>
    <row r="2559" spans="1:2" x14ac:dyDescent="0.2">
      <c r="A2559" s="58">
        <v>2657</v>
      </c>
      <c r="B2559" s="128" t="s">
        <v>3048</v>
      </c>
    </row>
    <row r="2560" spans="1:2" x14ac:dyDescent="0.2">
      <c r="A2560" s="58">
        <v>2658</v>
      </c>
      <c r="B2560" s="128" t="s">
        <v>1415</v>
      </c>
    </row>
    <row r="2561" spans="1:2" x14ac:dyDescent="0.2">
      <c r="A2561" s="58">
        <v>2659</v>
      </c>
      <c r="B2561" s="128" t="s">
        <v>1144</v>
      </c>
    </row>
    <row r="2562" spans="1:2" x14ac:dyDescent="0.2">
      <c r="A2562" s="58">
        <v>2660</v>
      </c>
      <c r="B2562" s="128" t="s">
        <v>3052</v>
      </c>
    </row>
    <row r="2563" spans="1:2" x14ac:dyDescent="0.2">
      <c r="A2563" s="58">
        <v>2661</v>
      </c>
      <c r="B2563" s="128" t="s">
        <v>3068</v>
      </c>
    </row>
    <row r="2564" spans="1:2" x14ac:dyDescent="0.2">
      <c r="A2564" s="58">
        <v>2662</v>
      </c>
      <c r="B2564" s="128" t="s">
        <v>2852</v>
      </c>
    </row>
    <row r="2565" spans="1:2" x14ac:dyDescent="0.2">
      <c r="A2565" s="58">
        <v>2663</v>
      </c>
      <c r="B2565" s="128" t="s">
        <v>3473</v>
      </c>
    </row>
    <row r="2566" spans="1:2" x14ac:dyDescent="0.2">
      <c r="A2566" s="58">
        <v>2664</v>
      </c>
      <c r="B2566" s="128" t="s">
        <v>3493</v>
      </c>
    </row>
    <row r="2567" spans="1:2" x14ac:dyDescent="0.2">
      <c r="A2567" s="58">
        <v>2665</v>
      </c>
      <c r="B2567" s="128" t="s">
        <v>3473</v>
      </c>
    </row>
    <row r="2568" spans="1:2" x14ac:dyDescent="0.2">
      <c r="A2568" s="58">
        <v>2666</v>
      </c>
      <c r="B2568" s="128" t="s">
        <v>3048</v>
      </c>
    </row>
    <row r="2569" spans="1:2" x14ac:dyDescent="0.2">
      <c r="A2569" s="58">
        <v>2667</v>
      </c>
      <c r="B2569" s="128" t="s">
        <v>534</v>
      </c>
    </row>
    <row r="2570" spans="1:2" x14ac:dyDescent="0.2">
      <c r="A2570" s="58">
        <v>2668</v>
      </c>
      <c r="B2570" s="128" t="s">
        <v>1529</v>
      </c>
    </row>
    <row r="2571" spans="1:2" x14ac:dyDescent="0.2">
      <c r="A2571" s="58">
        <v>2669</v>
      </c>
      <c r="B2571" s="128" t="s">
        <v>2852</v>
      </c>
    </row>
    <row r="2572" spans="1:2" x14ac:dyDescent="0.2">
      <c r="A2572" s="58">
        <v>2670</v>
      </c>
      <c r="B2572" s="128" t="s">
        <v>2902</v>
      </c>
    </row>
    <row r="2573" spans="1:2" x14ac:dyDescent="0.2">
      <c r="A2573" s="58">
        <v>2671</v>
      </c>
      <c r="B2573" s="128" t="s">
        <v>1411</v>
      </c>
    </row>
    <row r="2574" spans="1:2" x14ac:dyDescent="0.2">
      <c r="A2574" s="58">
        <v>2672</v>
      </c>
      <c r="B2574" s="128" t="s">
        <v>1169</v>
      </c>
    </row>
    <row r="2575" spans="1:2" x14ac:dyDescent="0.2">
      <c r="A2575" s="58">
        <v>2673</v>
      </c>
      <c r="B2575" s="128" t="s">
        <v>534</v>
      </c>
    </row>
    <row r="2576" spans="1:2" x14ac:dyDescent="0.2">
      <c r="A2576" s="58">
        <v>2674</v>
      </c>
      <c r="B2576" s="128" t="s">
        <v>3201</v>
      </c>
    </row>
    <row r="2577" spans="1:2" x14ac:dyDescent="0.2">
      <c r="A2577" s="58">
        <v>2675</v>
      </c>
      <c r="B2577" s="128" t="s">
        <v>3493</v>
      </c>
    </row>
    <row r="2578" spans="1:2" x14ac:dyDescent="0.2">
      <c r="A2578" s="58">
        <v>2676</v>
      </c>
      <c r="B2578" s="128" t="s">
        <v>1157</v>
      </c>
    </row>
    <row r="2579" spans="1:2" x14ac:dyDescent="0.2">
      <c r="A2579" s="58">
        <v>2677</v>
      </c>
      <c r="B2579" s="128" t="s">
        <v>3473</v>
      </c>
    </row>
    <row r="2580" spans="1:2" x14ac:dyDescent="0.2">
      <c r="A2580" s="58">
        <v>2678</v>
      </c>
      <c r="B2580" s="128" t="s">
        <v>3520</v>
      </c>
    </row>
    <row r="2581" spans="1:2" x14ac:dyDescent="0.2">
      <c r="A2581" s="58">
        <v>2679</v>
      </c>
      <c r="B2581" s="128" t="s">
        <v>2852</v>
      </c>
    </row>
    <row r="2582" spans="1:2" x14ac:dyDescent="0.2">
      <c r="A2582" s="58">
        <v>2680</v>
      </c>
      <c r="B2582" s="128" t="s">
        <v>3462</v>
      </c>
    </row>
    <row r="2583" spans="1:2" x14ac:dyDescent="0.2">
      <c r="A2583" s="58">
        <v>2681</v>
      </c>
      <c r="B2583" s="128" t="s">
        <v>3492</v>
      </c>
    </row>
    <row r="2584" spans="1:2" x14ac:dyDescent="0.2">
      <c r="A2584" s="58">
        <v>2682</v>
      </c>
      <c r="B2584" s="128" t="s">
        <v>1177</v>
      </c>
    </row>
    <row r="2585" spans="1:2" x14ac:dyDescent="0.2">
      <c r="A2585" s="58">
        <v>2683</v>
      </c>
      <c r="B2585" s="128" t="s">
        <v>1529</v>
      </c>
    </row>
    <row r="2586" spans="1:2" x14ac:dyDescent="0.2">
      <c r="A2586" s="58">
        <v>2684</v>
      </c>
      <c r="B2586" s="128" t="s">
        <v>3473</v>
      </c>
    </row>
    <row r="2587" spans="1:2" x14ac:dyDescent="0.2">
      <c r="A2587" s="58">
        <v>2685</v>
      </c>
      <c r="B2587" s="128" t="s">
        <v>3201</v>
      </c>
    </row>
    <row r="2588" spans="1:2" x14ac:dyDescent="0.2">
      <c r="A2588" s="58">
        <v>2686</v>
      </c>
      <c r="B2588" s="128" t="s">
        <v>3334</v>
      </c>
    </row>
    <row r="2589" spans="1:2" x14ac:dyDescent="0.2">
      <c r="A2589" s="58">
        <v>2687</v>
      </c>
      <c r="B2589" s="128" t="s">
        <v>3462</v>
      </c>
    </row>
    <row r="2590" spans="1:2" x14ac:dyDescent="0.2">
      <c r="A2590" s="58">
        <v>2688</v>
      </c>
      <c r="B2590" s="128" t="s">
        <v>3520</v>
      </c>
    </row>
    <row r="2591" spans="1:2" x14ac:dyDescent="0.2">
      <c r="A2591" s="58">
        <v>2689</v>
      </c>
      <c r="B2591" s="128" t="s">
        <v>3474</v>
      </c>
    </row>
    <row r="2592" spans="1:2" x14ac:dyDescent="0.2">
      <c r="A2592" s="58">
        <v>2690</v>
      </c>
      <c r="B2592" s="128" t="s">
        <v>3165</v>
      </c>
    </row>
    <row r="2593" spans="1:2" x14ac:dyDescent="0.2">
      <c r="A2593" s="58">
        <v>2691</v>
      </c>
      <c r="B2593" s="128" t="s">
        <v>1529</v>
      </c>
    </row>
    <row r="2594" spans="1:2" x14ac:dyDescent="0.2">
      <c r="A2594" s="58">
        <v>2692</v>
      </c>
      <c r="B2594" s="128" t="s">
        <v>3186</v>
      </c>
    </row>
    <row r="2595" spans="1:2" x14ac:dyDescent="0.2">
      <c r="A2595" s="58">
        <v>2693</v>
      </c>
      <c r="B2595" s="128" t="s">
        <v>3201</v>
      </c>
    </row>
    <row r="2596" spans="1:2" x14ac:dyDescent="0.2">
      <c r="A2596" s="58">
        <v>2694</v>
      </c>
      <c r="B2596" s="128" t="s">
        <v>1157</v>
      </c>
    </row>
    <row r="2597" spans="1:2" x14ac:dyDescent="0.2">
      <c r="A2597" s="58">
        <v>2695</v>
      </c>
      <c r="B2597" s="128" t="s">
        <v>3062</v>
      </c>
    </row>
    <row r="2598" spans="1:2" x14ac:dyDescent="0.2">
      <c r="A2598" s="58">
        <v>2696</v>
      </c>
      <c r="B2598" s="128" t="s">
        <v>3495</v>
      </c>
    </row>
    <row r="2599" spans="1:2" x14ac:dyDescent="0.2">
      <c r="A2599" s="58">
        <v>2697</v>
      </c>
      <c r="B2599" s="128" t="s">
        <v>1400</v>
      </c>
    </row>
    <row r="2600" spans="1:2" x14ac:dyDescent="0.2">
      <c r="A2600" s="58">
        <v>2698</v>
      </c>
      <c r="B2600" s="128" t="s">
        <v>1408</v>
      </c>
    </row>
    <row r="2601" spans="1:2" x14ac:dyDescent="0.2">
      <c r="A2601" s="58">
        <v>2699</v>
      </c>
      <c r="B2601" s="128" t="s">
        <v>1169</v>
      </c>
    </row>
    <row r="2602" spans="1:2" x14ac:dyDescent="0.2">
      <c r="A2602" s="58">
        <v>2700</v>
      </c>
      <c r="B2602" s="128" t="s">
        <v>1415</v>
      </c>
    </row>
    <row r="2603" spans="1:2" x14ac:dyDescent="0.2">
      <c r="A2603" s="58">
        <v>2701</v>
      </c>
      <c r="B2603" s="128" t="s">
        <v>3467</v>
      </c>
    </row>
    <row r="2604" spans="1:2" x14ac:dyDescent="0.2">
      <c r="A2604" s="58">
        <v>2702</v>
      </c>
      <c r="B2604" s="128" t="s">
        <v>3199</v>
      </c>
    </row>
    <row r="2605" spans="1:2" x14ac:dyDescent="0.2">
      <c r="A2605" s="58">
        <v>2703</v>
      </c>
      <c r="B2605" s="128" t="s">
        <v>3495</v>
      </c>
    </row>
    <row r="2606" spans="1:2" x14ac:dyDescent="0.2">
      <c r="A2606" s="58">
        <v>2704</v>
      </c>
      <c r="B2606" s="128" t="s">
        <v>2830</v>
      </c>
    </row>
    <row r="2607" spans="1:2" x14ac:dyDescent="0.2">
      <c r="A2607" s="58">
        <v>2705</v>
      </c>
      <c r="B2607" s="128" t="s">
        <v>3084</v>
      </c>
    </row>
    <row r="2608" spans="1:2" x14ac:dyDescent="0.2">
      <c r="A2608" s="58">
        <v>2706</v>
      </c>
      <c r="B2608" s="128" t="s">
        <v>3489</v>
      </c>
    </row>
    <row r="2609" spans="1:2" x14ac:dyDescent="0.2">
      <c r="A2609" s="58">
        <v>2707</v>
      </c>
      <c r="B2609" s="128" t="s">
        <v>3203</v>
      </c>
    </row>
    <row r="2610" spans="1:2" x14ac:dyDescent="0.2">
      <c r="A2610" s="58">
        <v>2708</v>
      </c>
      <c r="B2610" s="128" t="s">
        <v>3516</v>
      </c>
    </row>
    <row r="2611" spans="1:2" x14ac:dyDescent="0.2">
      <c r="A2611" s="58">
        <v>2709</v>
      </c>
      <c r="B2611" s="128" t="s">
        <v>3062</v>
      </c>
    </row>
    <row r="2612" spans="1:2" x14ac:dyDescent="0.2">
      <c r="A2612" s="58">
        <v>2710</v>
      </c>
      <c r="B2612" s="128" t="s">
        <v>1403</v>
      </c>
    </row>
    <row r="2613" spans="1:2" x14ac:dyDescent="0.2">
      <c r="A2613" s="58">
        <v>2711</v>
      </c>
      <c r="B2613" s="128" t="s">
        <v>2880</v>
      </c>
    </row>
    <row r="2614" spans="1:2" x14ac:dyDescent="0.2">
      <c r="A2614" s="58">
        <v>2712</v>
      </c>
      <c r="B2614" s="128" t="s">
        <v>3468</v>
      </c>
    </row>
    <row r="2615" spans="1:2" x14ac:dyDescent="0.2">
      <c r="A2615" s="58">
        <v>2713</v>
      </c>
      <c r="B2615" s="128" t="s">
        <v>1200</v>
      </c>
    </row>
    <row r="2616" spans="1:2" x14ac:dyDescent="0.2">
      <c r="A2616" s="58">
        <v>2714</v>
      </c>
      <c r="B2616" s="128" t="s">
        <v>3469</v>
      </c>
    </row>
    <row r="2617" spans="1:2" x14ac:dyDescent="0.2">
      <c r="A2617" s="58">
        <v>2715</v>
      </c>
      <c r="B2617" s="128" t="s">
        <v>3090</v>
      </c>
    </row>
    <row r="2618" spans="1:2" x14ac:dyDescent="0.2">
      <c r="A2618" s="58">
        <v>2716</v>
      </c>
      <c r="B2618" s="128" t="s">
        <v>3052</v>
      </c>
    </row>
    <row r="2619" spans="1:2" x14ac:dyDescent="0.2">
      <c r="A2619" s="58">
        <v>2717</v>
      </c>
      <c r="B2619" s="128" t="s">
        <v>3463</v>
      </c>
    </row>
    <row r="2620" spans="1:2" x14ac:dyDescent="0.2">
      <c r="A2620" s="58">
        <v>2718</v>
      </c>
      <c r="B2620" s="128" t="s">
        <v>3111</v>
      </c>
    </row>
    <row r="2621" spans="1:2" x14ac:dyDescent="0.2">
      <c r="A2621" s="58">
        <v>2719</v>
      </c>
      <c r="B2621" s="128" t="s">
        <v>3047</v>
      </c>
    </row>
    <row r="2622" spans="1:2" x14ac:dyDescent="0.2">
      <c r="A2622" s="58">
        <v>2720</v>
      </c>
      <c r="B2622" s="128" t="s">
        <v>3199</v>
      </c>
    </row>
    <row r="2623" spans="1:2" x14ac:dyDescent="0.2">
      <c r="A2623" s="58">
        <v>2721</v>
      </c>
      <c r="B2623" s="128" t="s">
        <v>3461</v>
      </c>
    </row>
    <row r="2624" spans="1:2" x14ac:dyDescent="0.2">
      <c r="A2624" s="58">
        <v>2722</v>
      </c>
      <c r="B2624" s="128" t="s">
        <v>3516</v>
      </c>
    </row>
    <row r="2625" spans="1:2" x14ac:dyDescent="0.2">
      <c r="A2625" s="58">
        <v>2723</v>
      </c>
      <c r="B2625" s="128" t="s">
        <v>3462</v>
      </c>
    </row>
    <row r="2626" spans="1:2" x14ac:dyDescent="0.2">
      <c r="A2626" s="58">
        <v>2724</v>
      </c>
      <c r="B2626" s="128" t="s">
        <v>3203</v>
      </c>
    </row>
    <row r="2627" spans="1:2" x14ac:dyDescent="0.2">
      <c r="A2627" s="58">
        <v>2725</v>
      </c>
      <c r="B2627" s="128" t="s">
        <v>3472</v>
      </c>
    </row>
    <row r="2628" spans="1:2" x14ac:dyDescent="0.2">
      <c r="A2628" s="58">
        <v>2726</v>
      </c>
      <c r="B2628" s="128" t="s">
        <v>3463</v>
      </c>
    </row>
    <row r="2629" spans="1:2" x14ac:dyDescent="0.2">
      <c r="A2629" s="58">
        <v>2727</v>
      </c>
      <c r="B2629" s="128" t="s">
        <v>1415</v>
      </c>
    </row>
    <row r="2630" spans="1:2" x14ac:dyDescent="0.2">
      <c r="A2630" s="58">
        <v>2728</v>
      </c>
      <c r="B2630" s="128" t="s">
        <v>3469</v>
      </c>
    </row>
    <row r="2631" spans="1:2" x14ac:dyDescent="0.2">
      <c r="A2631" s="58">
        <v>2729</v>
      </c>
      <c r="B2631" s="128" t="s">
        <v>3494</v>
      </c>
    </row>
    <row r="2632" spans="1:2" x14ac:dyDescent="0.2">
      <c r="A2632" s="58">
        <v>2730</v>
      </c>
      <c r="B2632" s="128" t="s">
        <v>3471</v>
      </c>
    </row>
    <row r="2633" spans="1:2" x14ac:dyDescent="0.2">
      <c r="A2633" s="58">
        <v>2731</v>
      </c>
      <c r="B2633" s="128" t="s">
        <v>3462</v>
      </c>
    </row>
    <row r="2634" spans="1:2" x14ac:dyDescent="0.2">
      <c r="A2634" s="58">
        <v>2732</v>
      </c>
      <c r="B2634" s="128" t="s">
        <v>3199</v>
      </c>
    </row>
    <row r="2635" spans="1:2" x14ac:dyDescent="0.2">
      <c r="A2635" s="58">
        <v>2733</v>
      </c>
      <c r="B2635" s="128" t="s">
        <v>3203</v>
      </c>
    </row>
    <row r="2636" spans="1:2" x14ac:dyDescent="0.2">
      <c r="A2636" s="58">
        <v>2734</v>
      </c>
      <c r="B2636" s="128" t="s">
        <v>3516</v>
      </c>
    </row>
    <row r="2637" spans="1:2" x14ac:dyDescent="0.2">
      <c r="A2637" s="58">
        <v>2735</v>
      </c>
      <c r="B2637" s="128" t="s">
        <v>3463</v>
      </c>
    </row>
    <row r="2638" spans="1:2" x14ac:dyDescent="0.2">
      <c r="A2638" s="58">
        <v>2736</v>
      </c>
      <c r="B2638" s="128" t="s">
        <v>3468</v>
      </c>
    </row>
    <row r="2639" spans="1:2" x14ac:dyDescent="0.2">
      <c r="A2639" s="58">
        <v>2737</v>
      </c>
      <c r="B2639" s="128" t="s">
        <v>3469</v>
      </c>
    </row>
    <row r="2640" spans="1:2" x14ac:dyDescent="0.2">
      <c r="A2640" s="58">
        <v>2738</v>
      </c>
      <c r="B2640" s="128" t="s">
        <v>3090</v>
      </c>
    </row>
    <row r="2641" spans="1:2" x14ac:dyDescent="0.2">
      <c r="A2641" s="58">
        <v>2739</v>
      </c>
      <c r="B2641" s="128" t="s">
        <v>1531</v>
      </c>
    </row>
    <row r="2642" spans="1:2" x14ac:dyDescent="0.2">
      <c r="A2642" s="58">
        <v>2740</v>
      </c>
      <c r="B2642" s="128" t="s">
        <v>1168</v>
      </c>
    </row>
    <row r="2643" spans="1:2" x14ac:dyDescent="0.2">
      <c r="A2643" s="58">
        <v>2741</v>
      </c>
      <c r="B2643" s="128" t="s">
        <v>3472</v>
      </c>
    </row>
    <row r="2644" spans="1:2" x14ac:dyDescent="0.2">
      <c r="A2644" s="58">
        <v>2742</v>
      </c>
      <c r="B2644" s="128" t="s">
        <v>3199</v>
      </c>
    </row>
    <row r="2645" spans="1:2" x14ac:dyDescent="0.2">
      <c r="A2645" s="58">
        <v>2743</v>
      </c>
      <c r="B2645" s="128" t="s">
        <v>3463</v>
      </c>
    </row>
    <row r="2646" spans="1:2" x14ac:dyDescent="0.2">
      <c r="A2646" s="58">
        <v>2744</v>
      </c>
      <c r="B2646" s="128" t="s">
        <v>3494</v>
      </c>
    </row>
    <row r="2647" spans="1:2" x14ac:dyDescent="0.2">
      <c r="A2647" s="58">
        <v>2745</v>
      </c>
      <c r="B2647" s="128" t="s">
        <v>3203</v>
      </c>
    </row>
    <row r="2648" spans="1:2" x14ac:dyDescent="0.2">
      <c r="A2648" s="58">
        <v>2746</v>
      </c>
      <c r="B2648" s="128" t="s">
        <v>3465</v>
      </c>
    </row>
    <row r="2649" spans="1:2" x14ac:dyDescent="0.2">
      <c r="A2649" s="58">
        <v>2747</v>
      </c>
      <c r="B2649" s="128" t="s">
        <v>3469</v>
      </c>
    </row>
    <row r="2650" spans="1:2" x14ac:dyDescent="0.2">
      <c r="A2650" s="58">
        <v>2748</v>
      </c>
      <c r="B2650" s="128" t="s">
        <v>3516</v>
      </c>
    </row>
    <row r="2651" spans="1:2" x14ac:dyDescent="0.2">
      <c r="A2651" s="58">
        <v>2749</v>
      </c>
      <c r="B2651" s="128" t="s">
        <v>3186</v>
      </c>
    </row>
    <row r="2652" spans="1:2" x14ac:dyDescent="0.2">
      <c r="A2652" s="58">
        <v>2750</v>
      </c>
      <c r="B2652" s="128" t="s">
        <v>3467</v>
      </c>
    </row>
    <row r="2653" spans="1:2" x14ac:dyDescent="0.2">
      <c r="A2653" s="58">
        <v>2751</v>
      </c>
      <c r="B2653" s="128" t="s">
        <v>1415</v>
      </c>
    </row>
    <row r="2654" spans="1:2" x14ac:dyDescent="0.2">
      <c r="A2654" s="58">
        <v>2752</v>
      </c>
      <c r="B2654" s="128" t="s">
        <v>3202</v>
      </c>
    </row>
    <row r="2655" spans="1:2" x14ac:dyDescent="0.2">
      <c r="A2655" s="58">
        <v>2753</v>
      </c>
      <c r="B2655" s="128" t="s">
        <v>1425</v>
      </c>
    </row>
    <row r="2656" spans="1:2" x14ac:dyDescent="0.2">
      <c r="A2656" s="58">
        <v>2754</v>
      </c>
      <c r="B2656" s="128" t="s">
        <v>3469</v>
      </c>
    </row>
    <row r="2657" spans="1:2" x14ac:dyDescent="0.2">
      <c r="A2657" s="58">
        <v>2755</v>
      </c>
      <c r="B2657" s="128" t="s">
        <v>1240</v>
      </c>
    </row>
    <row r="2658" spans="1:2" x14ac:dyDescent="0.2">
      <c r="A2658" s="58">
        <v>2756</v>
      </c>
      <c r="B2658" s="128" t="s">
        <v>3038</v>
      </c>
    </row>
    <row r="2659" spans="1:2" x14ac:dyDescent="0.2">
      <c r="A2659" s="58">
        <v>2757</v>
      </c>
      <c r="B2659" s="128" t="s">
        <v>3463</v>
      </c>
    </row>
    <row r="2660" spans="1:2" x14ac:dyDescent="0.2">
      <c r="A2660" s="58">
        <v>2758</v>
      </c>
      <c r="B2660" s="128" t="s">
        <v>3203</v>
      </c>
    </row>
    <row r="2661" spans="1:2" x14ac:dyDescent="0.2">
      <c r="A2661" s="58">
        <v>2759</v>
      </c>
      <c r="B2661" s="128" t="s">
        <v>1411</v>
      </c>
    </row>
    <row r="2662" spans="1:2" x14ac:dyDescent="0.2">
      <c r="A2662" s="58">
        <v>2760</v>
      </c>
      <c r="B2662" s="128" t="s">
        <v>3052</v>
      </c>
    </row>
    <row r="2663" spans="1:2" x14ac:dyDescent="0.2">
      <c r="A2663" s="58">
        <v>2761</v>
      </c>
      <c r="B2663" s="128" t="s">
        <v>3465</v>
      </c>
    </row>
    <row r="2664" spans="1:2" x14ac:dyDescent="0.2">
      <c r="A2664" s="58">
        <v>2762</v>
      </c>
      <c r="B2664" s="128" t="s">
        <v>3468</v>
      </c>
    </row>
    <row r="2665" spans="1:2" x14ac:dyDescent="0.2">
      <c r="A2665" s="58">
        <v>2763</v>
      </c>
      <c r="B2665" s="128" t="s">
        <v>3202</v>
      </c>
    </row>
    <row r="2666" spans="1:2" x14ac:dyDescent="0.2">
      <c r="A2666" s="58">
        <v>2764</v>
      </c>
      <c r="B2666" s="128" t="s">
        <v>3494</v>
      </c>
    </row>
    <row r="2667" spans="1:2" x14ac:dyDescent="0.2">
      <c r="A2667" s="58">
        <v>2765</v>
      </c>
      <c r="B2667" s="128" t="s">
        <v>1144</v>
      </c>
    </row>
    <row r="2668" spans="1:2" x14ac:dyDescent="0.2">
      <c r="A2668" s="58">
        <v>2766</v>
      </c>
      <c r="B2668" s="128" t="s">
        <v>3471</v>
      </c>
    </row>
    <row r="2669" spans="1:2" x14ac:dyDescent="0.2">
      <c r="A2669" s="58">
        <v>2767</v>
      </c>
      <c r="B2669" s="128" t="s">
        <v>2852</v>
      </c>
    </row>
    <row r="2670" spans="1:2" x14ac:dyDescent="0.2">
      <c r="A2670" s="58">
        <v>2768</v>
      </c>
      <c r="B2670" s="128" t="s">
        <v>3520</v>
      </c>
    </row>
    <row r="2671" spans="1:2" x14ac:dyDescent="0.2">
      <c r="A2671" s="58">
        <v>2769</v>
      </c>
      <c r="B2671" s="128" t="s">
        <v>1150</v>
      </c>
    </row>
    <row r="2672" spans="1:2" x14ac:dyDescent="0.2">
      <c r="A2672" s="58">
        <v>2770</v>
      </c>
      <c r="B2672" s="128" t="s">
        <v>3462</v>
      </c>
    </row>
    <row r="2673" spans="1:2" x14ac:dyDescent="0.2">
      <c r="A2673" s="58">
        <v>2771</v>
      </c>
      <c r="B2673" s="128" t="s">
        <v>3469</v>
      </c>
    </row>
    <row r="2674" spans="1:2" x14ac:dyDescent="0.2">
      <c r="A2674" s="58">
        <v>2772</v>
      </c>
      <c r="B2674" s="128" t="s">
        <v>1415</v>
      </c>
    </row>
    <row r="2675" spans="1:2" x14ac:dyDescent="0.2">
      <c r="A2675" s="58">
        <v>2773</v>
      </c>
      <c r="B2675" s="128" t="s">
        <v>3057</v>
      </c>
    </row>
    <row r="2676" spans="1:2" x14ac:dyDescent="0.2">
      <c r="A2676" s="58">
        <v>2774</v>
      </c>
      <c r="B2676" s="128" t="s">
        <v>3435</v>
      </c>
    </row>
    <row r="2677" spans="1:2" x14ac:dyDescent="0.2">
      <c r="A2677" s="58">
        <v>2775</v>
      </c>
      <c r="B2677" s="128" t="s">
        <v>3203</v>
      </c>
    </row>
    <row r="2678" spans="1:2" x14ac:dyDescent="0.2">
      <c r="A2678" s="58">
        <v>2776</v>
      </c>
      <c r="B2678" s="128" t="s">
        <v>3462</v>
      </c>
    </row>
    <row r="2679" spans="1:2" x14ac:dyDescent="0.2">
      <c r="A2679" s="58">
        <v>2777</v>
      </c>
      <c r="B2679" s="128" t="s">
        <v>3472</v>
      </c>
    </row>
    <row r="2680" spans="1:2" x14ac:dyDescent="0.2">
      <c r="A2680" s="58">
        <v>2778</v>
      </c>
      <c r="B2680" s="128" t="s">
        <v>3487</v>
      </c>
    </row>
    <row r="2681" spans="1:2" x14ac:dyDescent="0.2">
      <c r="A2681" s="58">
        <v>2779</v>
      </c>
      <c r="B2681" s="128" t="s">
        <v>3463</v>
      </c>
    </row>
    <row r="2682" spans="1:2" x14ac:dyDescent="0.2">
      <c r="A2682" s="58">
        <v>2780</v>
      </c>
      <c r="B2682" s="128" t="s">
        <v>1169</v>
      </c>
    </row>
    <row r="2683" spans="1:2" x14ac:dyDescent="0.2">
      <c r="A2683" s="58">
        <v>2781</v>
      </c>
      <c r="B2683" s="128" t="s">
        <v>3202</v>
      </c>
    </row>
    <row r="2684" spans="1:2" x14ac:dyDescent="0.2">
      <c r="A2684" s="58">
        <v>2782</v>
      </c>
      <c r="B2684" s="128" t="s">
        <v>3469</v>
      </c>
    </row>
    <row r="2685" spans="1:2" x14ac:dyDescent="0.2">
      <c r="A2685" s="58">
        <v>2783</v>
      </c>
      <c r="B2685" s="128" t="s">
        <v>3052</v>
      </c>
    </row>
    <row r="2686" spans="1:2" x14ac:dyDescent="0.2">
      <c r="A2686" s="58">
        <v>2784</v>
      </c>
      <c r="B2686" s="128" t="s">
        <v>3186</v>
      </c>
    </row>
    <row r="2687" spans="1:2" x14ac:dyDescent="0.2">
      <c r="A2687" s="58">
        <v>2785</v>
      </c>
      <c r="B2687" s="128" t="s">
        <v>3489</v>
      </c>
    </row>
    <row r="2688" spans="1:2" x14ac:dyDescent="0.2">
      <c r="A2688" s="58">
        <v>2786</v>
      </c>
      <c r="B2688" s="128" t="s">
        <v>3516</v>
      </c>
    </row>
    <row r="2689" spans="1:2" x14ac:dyDescent="0.2">
      <c r="A2689" s="58">
        <v>2787</v>
      </c>
      <c r="B2689" s="128" t="s">
        <v>1240</v>
      </c>
    </row>
    <row r="2690" spans="1:2" x14ac:dyDescent="0.2">
      <c r="A2690" s="58">
        <v>2788</v>
      </c>
      <c r="B2690" s="128" t="s">
        <v>3471</v>
      </c>
    </row>
    <row r="2691" spans="1:2" x14ac:dyDescent="0.2">
      <c r="A2691" s="58">
        <v>2789</v>
      </c>
      <c r="B2691" s="128" t="s">
        <v>2852</v>
      </c>
    </row>
    <row r="2692" spans="1:2" x14ac:dyDescent="0.2">
      <c r="A2692" s="58">
        <v>2790</v>
      </c>
      <c r="B2692" s="128" t="s">
        <v>3090</v>
      </c>
    </row>
    <row r="2693" spans="1:2" x14ac:dyDescent="0.2">
      <c r="A2693" s="58">
        <v>2791</v>
      </c>
      <c r="B2693" s="128" t="s">
        <v>3494</v>
      </c>
    </row>
    <row r="2694" spans="1:2" x14ac:dyDescent="0.2">
      <c r="A2694" s="58">
        <v>2792</v>
      </c>
      <c r="B2694" s="128" t="s">
        <v>3462</v>
      </c>
    </row>
    <row r="2695" spans="1:2" x14ac:dyDescent="0.2">
      <c r="A2695" s="58">
        <v>2793</v>
      </c>
      <c r="B2695" s="128" t="s">
        <v>3203</v>
      </c>
    </row>
    <row r="2696" spans="1:2" x14ac:dyDescent="0.2">
      <c r="A2696" s="58">
        <v>2794</v>
      </c>
      <c r="B2696" s="128" t="s">
        <v>3467</v>
      </c>
    </row>
    <row r="2697" spans="1:2" x14ac:dyDescent="0.2">
      <c r="A2697" s="58">
        <v>2795</v>
      </c>
      <c r="B2697" s="128" t="s">
        <v>3516</v>
      </c>
    </row>
    <row r="2698" spans="1:2" x14ac:dyDescent="0.2">
      <c r="A2698" s="58">
        <v>2796</v>
      </c>
      <c r="B2698" s="128" t="s">
        <v>3469</v>
      </c>
    </row>
    <row r="2699" spans="1:2" x14ac:dyDescent="0.2">
      <c r="A2699" s="58">
        <v>2797</v>
      </c>
      <c r="B2699" s="128" t="s">
        <v>1405</v>
      </c>
    </row>
    <row r="2700" spans="1:2" x14ac:dyDescent="0.2">
      <c r="A2700" s="58">
        <v>2798</v>
      </c>
      <c r="B2700" s="128" t="s">
        <v>1240</v>
      </c>
    </row>
    <row r="2701" spans="1:2" x14ac:dyDescent="0.2">
      <c r="A2701" s="58">
        <v>2799</v>
      </c>
      <c r="B2701" s="128" t="s">
        <v>1169</v>
      </c>
    </row>
    <row r="2702" spans="1:2" x14ac:dyDescent="0.2">
      <c r="A2702" s="58">
        <v>2800</v>
      </c>
      <c r="B2702" s="128" t="s">
        <v>3463</v>
      </c>
    </row>
    <row r="2703" spans="1:2" x14ac:dyDescent="0.2">
      <c r="A2703" s="58">
        <v>2801</v>
      </c>
      <c r="B2703" s="128" t="s">
        <v>3435</v>
      </c>
    </row>
    <row r="2704" spans="1:2" x14ac:dyDescent="0.2">
      <c r="A2704" s="58">
        <v>2802</v>
      </c>
      <c r="B2704" s="128" t="s">
        <v>3489</v>
      </c>
    </row>
    <row r="2705" spans="1:2" x14ac:dyDescent="0.2">
      <c r="A2705" s="58">
        <v>2803</v>
      </c>
      <c r="B2705" s="128" t="s">
        <v>3202</v>
      </c>
    </row>
    <row r="2706" spans="1:2" x14ac:dyDescent="0.2">
      <c r="A2706" s="58">
        <v>2804</v>
      </c>
      <c r="B2706" s="128" t="s">
        <v>1144</v>
      </c>
    </row>
    <row r="2707" spans="1:2" x14ac:dyDescent="0.2">
      <c r="A2707" s="58">
        <v>2805</v>
      </c>
      <c r="B2707" s="128" t="s">
        <v>3467</v>
      </c>
    </row>
    <row r="2708" spans="1:2" x14ac:dyDescent="0.2">
      <c r="A2708" s="58">
        <v>2806</v>
      </c>
      <c r="B2708" s="128" t="s">
        <v>1402</v>
      </c>
    </row>
    <row r="2709" spans="1:2" x14ac:dyDescent="0.2">
      <c r="A2709" s="58">
        <v>2807</v>
      </c>
      <c r="B2709" s="128" t="s">
        <v>3462</v>
      </c>
    </row>
    <row r="2710" spans="1:2" x14ac:dyDescent="0.2">
      <c r="A2710" s="58">
        <v>2808</v>
      </c>
      <c r="B2710" s="128" t="s">
        <v>1429</v>
      </c>
    </row>
    <row r="2711" spans="1:2" x14ac:dyDescent="0.2">
      <c r="A2711" s="58">
        <v>2809</v>
      </c>
      <c r="B2711" s="128" t="s">
        <v>3495</v>
      </c>
    </row>
    <row r="2712" spans="1:2" x14ac:dyDescent="0.2">
      <c r="A2712" s="58">
        <v>2810</v>
      </c>
      <c r="B2712" s="128" t="s">
        <v>3052</v>
      </c>
    </row>
    <row r="2713" spans="1:2" x14ac:dyDescent="0.2">
      <c r="A2713" s="58">
        <v>2811</v>
      </c>
      <c r="B2713" s="128" t="s">
        <v>2852</v>
      </c>
    </row>
    <row r="2714" spans="1:2" x14ac:dyDescent="0.2">
      <c r="A2714" s="58">
        <v>2812</v>
      </c>
      <c r="B2714" s="128" t="s">
        <v>3334</v>
      </c>
    </row>
    <row r="2715" spans="1:2" x14ac:dyDescent="0.2">
      <c r="A2715" s="58">
        <v>2813</v>
      </c>
      <c r="B2715" s="128" t="s">
        <v>3520</v>
      </c>
    </row>
    <row r="2716" spans="1:2" x14ac:dyDescent="0.2">
      <c r="A2716" s="58">
        <v>2814</v>
      </c>
      <c r="B2716" s="128" t="s">
        <v>3199</v>
      </c>
    </row>
    <row r="2717" spans="1:2" x14ac:dyDescent="0.2">
      <c r="A2717" s="58">
        <v>2815</v>
      </c>
      <c r="B2717" s="128" t="s">
        <v>1411</v>
      </c>
    </row>
    <row r="2718" spans="1:2" x14ac:dyDescent="0.2">
      <c r="A2718" s="58">
        <v>2816</v>
      </c>
      <c r="B2718" s="128" t="s">
        <v>3487</v>
      </c>
    </row>
    <row r="2719" spans="1:2" x14ac:dyDescent="0.2">
      <c r="A2719" s="58">
        <v>2817</v>
      </c>
      <c r="B2719" s="128" t="s">
        <v>3469</v>
      </c>
    </row>
    <row r="2720" spans="1:2" x14ac:dyDescent="0.2">
      <c r="A2720" s="58">
        <v>2818</v>
      </c>
      <c r="B2720" s="128" t="s">
        <v>3202</v>
      </c>
    </row>
    <row r="2721" spans="1:2" x14ac:dyDescent="0.2">
      <c r="A2721" s="58">
        <v>2819</v>
      </c>
      <c r="B2721" s="128" t="s">
        <v>1240</v>
      </c>
    </row>
    <row r="2722" spans="1:2" x14ac:dyDescent="0.2">
      <c r="A2722" s="58">
        <v>2820</v>
      </c>
      <c r="B2722" s="128" t="s">
        <v>3463</v>
      </c>
    </row>
    <row r="2723" spans="1:2" x14ac:dyDescent="0.2">
      <c r="A2723" s="58">
        <v>2821</v>
      </c>
      <c r="B2723" s="128" t="s">
        <v>3382</v>
      </c>
    </row>
    <row r="2724" spans="1:2" x14ac:dyDescent="0.2">
      <c r="A2724" s="58">
        <v>2822</v>
      </c>
      <c r="B2724" s="128" t="s">
        <v>3465</v>
      </c>
    </row>
    <row r="2725" spans="1:2" x14ac:dyDescent="0.2">
      <c r="A2725" s="58">
        <v>2823</v>
      </c>
      <c r="B2725" s="128" t="s">
        <v>1169</v>
      </c>
    </row>
    <row r="2726" spans="1:2" x14ac:dyDescent="0.2">
      <c r="A2726" s="58">
        <v>2824</v>
      </c>
      <c r="B2726" s="128" t="s">
        <v>3516</v>
      </c>
    </row>
    <row r="2727" spans="1:2" x14ac:dyDescent="0.2">
      <c r="A2727" s="58">
        <v>2825</v>
      </c>
      <c r="B2727" s="128" t="s">
        <v>3435</v>
      </c>
    </row>
    <row r="2728" spans="1:2" x14ac:dyDescent="0.2">
      <c r="A2728" s="58">
        <v>2826</v>
      </c>
      <c r="B2728" s="128" t="s">
        <v>3494</v>
      </c>
    </row>
    <row r="2729" spans="1:2" x14ac:dyDescent="0.2">
      <c r="A2729" s="58">
        <v>2827</v>
      </c>
      <c r="B2729" s="128" t="s">
        <v>3052</v>
      </c>
    </row>
    <row r="2730" spans="1:2" x14ac:dyDescent="0.2">
      <c r="A2730" s="58">
        <v>2828</v>
      </c>
      <c r="B2730" s="128" t="s">
        <v>3038</v>
      </c>
    </row>
    <row r="2731" spans="1:2" x14ac:dyDescent="0.2">
      <c r="A2731" s="58">
        <v>2829</v>
      </c>
      <c r="B2731" s="128" t="s">
        <v>3516</v>
      </c>
    </row>
    <row r="2732" spans="1:2" x14ac:dyDescent="0.2">
      <c r="A2732" s="58">
        <v>2830</v>
      </c>
      <c r="B2732" s="128" t="s">
        <v>3469</v>
      </c>
    </row>
    <row r="2733" spans="1:2" x14ac:dyDescent="0.2">
      <c r="A2733" s="58">
        <v>2831</v>
      </c>
      <c r="B2733" s="128" t="s">
        <v>3497</v>
      </c>
    </row>
    <row r="2734" spans="1:2" x14ac:dyDescent="0.2">
      <c r="A2734" s="58">
        <v>2832</v>
      </c>
      <c r="B2734" s="128" t="s">
        <v>1415</v>
      </c>
    </row>
    <row r="2735" spans="1:2" x14ac:dyDescent="0.2">
      <c r="A2735" s="58">
        <v>2833</v>
      </c>
      <c r="B2735" s="128" t="s">
        <v>3463</v>
      </c>
    </row>
    <row r="2736" spans="1:2" x14ac:dyDescent="0.2">
      <c r="A2736" s="58">
        <v>2834</v>
      </c>
      <c r="B2736" s="128" t="s">
        <v>1155</v>
      </c>
    </row>
    <row r="2737" spans="1:2" x14ac:dyDescent="0.2">
      <c r="A2737" s="58">
        <v>2835</v>
      </c>
      <c r="B2737" s="128" t="s">
        <v>3465</v>
      </c>
    </row>
    <row r="2738" spans="1:2" x14ac:dyDescent="0.2">
      <c r="A2738" s="58">
        <v>2836</v>
      </c>
      <c r="B2738" s="128" t="s">
        <v>3199</v>
      </c>
    </row>
    <row r="2739" spans="1:2" x14ac:dyDescent="0.2">
      <c r="A2739" s="58">
        <v>2837</v>
      </c>
      <c r="B2739" s="128" t="s">
        <v>3461</v>
      </c>
    </row>
    <row r="2740" spans="1:2" x14ac:dyDescent="0.2">
      <c r="A2740" s="58">
        <v>2838</v>
      </c>
      <c r="B2740" s="128" t="s">
        <v>3111</v>
      </c>
    </row>
    <row r="2741" spans="1:2" x14ac:dyDescent="0.2">
      <c r="A2741" s="58">
        <v>2839</v>
      </c>
      <c r="B2741" s="128" t="s">
        <v>3462</v>
      </c>
    </row>
    <row r="2742" spans="1:2" x14ac:dyDescent="0.2">
      <c r="A2742" s="58">
        <v>2840</v>
      </c>
      <c r="B2742" s="128" t="s">
        <v>3489</v>
      </c>
    </row>
    <row r="2743" spans="1:2" x14ac:dyDescent="0.2">
      <c r="A2743" s="58">
        <v>2841</v>
      </c>
      <c r="B2743" s="128" t="s">
        <v>3469</v>
      </c>
    </row>
    <row r="2744" spans="1:2" x14ac:dyDescent="0.2">
      <c r="A2744" s="58">
        <v>2842</v>
      </c>
      <c r="B2744" s="128" t="s">
        <v>3463</v>
      </c>
    </row>
    <row r="2745" spans="1:2" x14ac:dyDescent="0.2">
      <c r="A2745" s="58">
        <v>2843</v>
      </c>
      <c r="B2745" s="128" t="s">
        <v>3516</v>
      </c>
    </row>
    <row r="2746" spans="1:2" x14ac:dyDescent="0.2">
      <c r="A2746" s="58">
        <v>2844</v>
      </c>
      <c r="B2746" s="128" t="s">
        <v>1144</v>
      </c>
    </row>
    <row r="2747" spans="1:2" x14ac:dyDescent="0.2">
      <c r="A2747" s="58">
        <v>2845</v>
      </c>
      <c r="B2747" s="128" t="s">
        <v>3199</v>
      </c>
    </row>
    <row r="2748" spans="1:2" x14ac:dyDescent="0.2">
      <c r="A2748" s="58">
        <v>2846</v>
      </c>
      <c r="B2748" s="128" t="s">
        <v>3466</v>
      </c>
    </row>
    <row r="2749" spans="1:2" x14ac:dyDescent="0.2">
      <c r="A2749" s="58">
        <v>2847</v>
      </c>
      <c r="B2749" s="128" t="s">
        <v>3469</v>
      </c>
    </row>
    <row r="2750" spans="1:2" x14ac:dyDescent="0.2">
      <c r="A2750" s="58">
        <v>2848</v>
      </c>
      <c r="B2750" s="128" t="s">
        <v>3468</v>
      </c>
    </row>
    <row r="2751" spans="1:2" x14ac:dyDescent="0.2">
      <c r="A2751" s="58">
        <v>2849</v>
      </c>
      <c r="B2751" s="128" t="s">
        <v>3487</v>
      </c>
    </row>
    <row r="2752" spans="1:2" x14ac:dyDescent="0.2">
      <c r="A2752" s="58">
        <v>2850</v>
      </c>
      <c r="B2752" s="128" t="s">
        <v>3466</v>
      </c>
    </row>
    <row r="2753" spans="1:2" x14ac:dyDescent="0.2">
      <c r="A2753" s="58">
        <v>2851</v>
      </c>
      <c r="B2753" s="128" t="s">
        <v>3382</v>
      </c>
    </row>
    <row r="2754" spans="1:2" x14ac:dyDescent="0.2">
      <c r="A2754" s="58">
        <v>2852</v>
      </c>
      <c r="B2754" s="128" t="s">
        <v>3203</v>
      </c>
    </row>
    <row r="2755" spans="1:2" x14ac:dyDescent="0.2">
      <c r="A2755" s="58">
        <v>2853</v>
      </c>
      <c r="B2755" s="128" t="s">
        <v>3469</v>
      </c>
    </row>
    <row r="2756" spans="1:2" x14ac:dyDescent="0.2">
      <c r="A2756" s="58">
        <v>2854</v>
      </c>
      <c r="B2756" s="128" t="s">
        <v>3468</v>
      </c>
    </row>
    <row r="2757" spans="1:2" x14ac:dyDescent="0.2">
      <c r="A2757" s="58">
        <v>2855</v>
      </c>
      <c r="B2757" s="128" t="s">
        <v>1175</v>
      </c>
    </row>
    <row r="2758" spans="1:2" x14ac:dyDescent="0.2">
      <c r="A2758" s="58">
        <v>2856</v>
      </c>
      <c r="B2758" s="128" t="s">
        <v>3035</v>
      </c>
    </row>
    <row r="2759" spans="1:2" x14ac:dyDescent="0.2">
      <c r="A2759" s="58">
        <v>2857</v>
      </c>
      <c r="B2759" s="128" t="s">
        <v>3475</v>
      </c>
    </row>
    <row r="2760" spans="1:2" x14ac:dyDescent="0.2">
      <c r="A2760" s="58">
        <v>2858</v>
      </c>
      <c r="B2760" s="128" t="s">
        <v>3202</v>
      </c>
    </row>
    <row r="2761" spans="1:2" x14ac:dyDescent="0.2">
      <c r="A2761" s="58">
        <v>2859</v>
      </c>
      <c r="B2761" s="128" t="s">
        <v>3471</v>
      </c>
    </row>
    <row r="2762" spans="1:2" x14ac:dyDescent="0.2">
      <c r="A2762" s="58">
        <v>2860</v>
      </c>
      <c r="B2762" s="128" t="s">
        <v>3203</v>
      </c>
    </row>
    <row r="2763" spans="1:2" x14ac:dyDescent="0.2">
      <c r="A2763" s="58">
        <v>2861</v>
      </c>
      <c r="B2763" s="128" t="s">
        <v>3462</v>
      </c>
    </row>
    <row r="2764" spans="1:2" x14ac:dyDescent="0.2">
      <c r="A2764" s="58">
        <v>2862</v>
      </c>
      <c r="B2764" s="128" t="s">
        <v>3494</v>
      </c>
    </row>
    <row r="2765" spans="1:2" x14ac:dyDescent="0.2">
      <c r="A2765" s="58">
        <v>2863</v>
      </c>
      <c r="B2765" s="128" t="s">
        <v>3463</v>
      </c>
    </row>
    <row r="2766" spans="1:2" x14ac:dyDescent="0.2">
      <c r="A2766" s="58">
        <v>2864</v>
      </c>
      <c r="B2766" s="128" t="s">
        <v>3495</v>
      </c>
    </row>
    <row r="2767" spans="1:2" x14ac:dyDescent="0.2">
      <c r="A2767" s="58">
        <v>2865</v>
      </c>
      <c r="B2767" s="128" t="s">
        <v>1405</v>
      </c>
    </row>
    <row r="2768" spans="1:2" x14ac:dyDescent="0.2">
      <c r="A2768" s="58">
        <v>2866</v>
      </c>
      <c r="B2768" s="128" t="s">
        <v>3489</v>
      </c>
    </row>
    <row r="2769" spans="1:2" x14ac:dyDescent="0.2">
      <c r="A2769" s="58">
        <v>2867</v>
      </c>
      <c r="B2769" s="128" t="s">
        <v>3468</v>
      </c>
    </row>
    <row r="2770" spans="1:2" x14ac:dyDescent="0.2">
      <c r="A2770" s="58">
        <v>2868</v>
      </c>
      <c r="B2770" s="128" t="s">
        <v>3469</v>
      </c>
    </row>
    <row r="2771" spans="1:2" x14ac:dyDescent="0.2">
      <c r="A2771" s="58">
        <v>2869</v>
      </c>
      <c r="B2771" s="128" t="s">
        <v>3465</v>
      </c>
    </row>
    <row r="2772" spans="1:2" x14ac:dyDescent="0.2">
      <c r="A2772" s="58">
        <v>2870</v>
      </c>
      <c r="B2772" s="128" t="s">
        <v>3199</v>
      </c>
    </row>
    <row r="2773" spans="1:2" x14ac:dyDescent="0.2">
      <c r="A2773" s="58">
        <v>2871</v>
      </c>
      <c r="B2773" s="128" t="s">
        <v>3462</v>
      </c>
    </row>
    <row r="2774" spans="1:2" x14ac:dyDescent="0.2">
      <c r="A2774" s="58">
        <v>2872</v>
      </c>
      <c r="B2774" s="128" t="s">
        <v>3487</v>
      </c>
    </row>
    <row r="2775" spans="1:2" x14ac:dyDescent="0.2">
      <c r="A2775" s="58">
        <v>2873</v>
      </c>
      <c r="B2775" s="128" t="s">
        <v>3465</v>
      </c>
    </row>
    <row r="2776" spans="1:2" x14ac:dyDescent="0.2">
      <c r="A2776" s="58">
        <v>2874</v>
      </c>
      <c r="B2776" s="128" t="s">
        <v>3202</v>
      </c>
    </row>
    <row r="2777" spans="1:2" x14ac:dyDescent="0.2">
      <c r="A2777" s="58">
        <v>2875</v>
      </c>
      <c r="B2777" s="128" t="s">
        <v>1169</v>
      </c>
    </row>
    <row r="2778" spans="1:2" x14ac:dyDescent="0.2">
      <c r="A2778" s="58">
        <v>2876</v>
      </c>
      <c r="B2778" s="128" t="s">
        <v>3471</v>
      </c>
    </row>
    <row r="2779" spans="1:2" x14ac:dyDescent="0.2">
      <c r="A2779" s="58">
        <v>2877</v>
      </c>
      <c r="B2779" s="128" t="s">
        <v>1240</v>
      </c>
    </row>
    <row r="2780" spans="1:2" x14ac:dyDescent="0.2">
      <c r="A2780" s="58">
        <v>2878</v>
      </c>
      <c r="B2780" s="128" t="s">
        <v>3052</v>
      </c>
    </row>
  </sheetData>
  <phoneticPr fontId="3" type="noConversion"/>
  <pageMargins left="0.75" right="0.75" top="1" bottom="1" header="0.4921259845" footer="0.4921259845"/>
  <pageSetup paperSize="9" orientation="portrait" horizontalDpi="200" verticalDpi="2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B34F0-3BD2-415E-9617-5E368057E058}">
  <sheetPr codeName="Tabelle11"/>
  <dimension ref="A1:BU1000"/>
  <sheetViews>
    <sheetView workbookViewId="0">
      <pane xSplit="2" ySplit="1" topLeftCell="C2" activePane="bottomRight" state="frozen"/>
      <selection pane="topRight" activeCell="E1" sqref="E1"/>
      <selection pane="bottomLeft" activeCell="A2" sqref="A2"/>
      <selection pane="bottomRight" activeCell="G32" sqref="G32"/>
    </sheetView>
  </sheetViews>
  <sheetFormatPr defaultColWidth="3.85546875" defaultRowHeight="12.75" x14ac:dyDescent="0.2"/>
  <cols>
    <col min="1" max="1" width="5" style="58" customWidth="1"/>
    <col min="2" max="2" width="10.140625" style="128" customWidth="1"/>
    <col min="3" max="16384" width="3.85546875" style="60"/>
  </cols>
  <sheetData>
    <row r="1" spans="1:73" s="57" customFormat="1" ht="19.7" customHeight="1" x14ac:dyDescent="0.2">
      <c r="A1" s="119"/>
      <c r="B1" s="126"/>
      <c r="C1" s="57">
        <v>1</v>
      </c>
      <c r="D1" s="57">
        <v>2</v>
      </c>
      <c r="E1" s="57">
        <v>3</v>
      </c>
      <c r="F1" s="57">
        <v>4</v>
      </c>
      <c r="G1" s="57">
        <v>5</v>
      </c>
      <c r="H1" s="57">
        <v>6</v>
      </c>
      <c r="I1" s="57">
        <v>7</v>
      </c>
      <c r="J1" s="57">
        <v>8</v>
      </c>
      <c r="K1" s="57">
        <v>9</v>
      </c>
      <c r="L1" s="57">
        <v>10</v>
      </c>
      <c r="M1" s="57">
        <v>11</v>
      </c>
      <c r="N1" s="57">
        <v>12</v>
      </c>
      <c r="O1" s="57">
        <v>13</v>
      </c>
      <c r="P1" s="57">
        <v>14</v>
      </c>
      <c r="Q1" s="57">
        <v>15</v>
      </c>
      <c r="R1" s="57">
        <v>16</v>
      </c>
      <c r="S1" s="57">
        <v>17</v>
      </c>
      <c r="T1" s="57">
        <v>18</v>
      </c>
      <c r="U1" s="57">
        <v>19</v>
      </c>
      <c r="V1" s="57">
        <v>20</v>
      </c>
      <c r="W1" s="57">
        <v>21</v>
      </c>
      <c r="X1" s="57">
        <v>22</v>
      </c>
      <c r="Y1" s="57">
        <v>23</v>
      </c>
      <c r="Z1" s="57">
        <v>24</v>
      </c>
      <c r="AA1" s="57">
        <v>25</v>
      </c>
      <c r="AB1" s="57">
        <v>26</v>
      </c>
      <c r="AC1" s="57">
        <v>27</v>
      </c>
      <c r="AD1" s="57">
        <v>28</v>
      </c>
      <c r="AE1" s="57">
        <v>29</v>
      </c>
      <c r="AF1" s="57">
        <v>30</v>
      </c>
      <c r="AG1" s="57">
        <v>31</v>
      </c>
      <c r="AH1" s="57">
        <v>32</v>
      </c>
      <c r="AI1" s="57">
        <v>33</v>
      </c>
      <c r="AJ1" s="57">
        <v>34</v>
      </c>
      <c r="AK1" s="57">
        <v>35</v>
      </c>
      <c r="AL1" s="57">
        <v>36</v>
      </c>
      <c r="AM1" s="57">
        <v>37</v>
      </c>
      <c r="AN1" s="57">
        <v>38</v>
      </c>
      <c r="AO1" s="57">
        <v>39</v>
      </c>
      <c r="AP1" s="57">
        <v>40</v>
      </c>
      <c r="AQ1" s="57">
        <v>41</v>
      </c>
      <c r="AR1" s="57">
        <v>42</v>
      </c>
      <c r="AS1" s="57">
        <v>43</v>
      </c>
      <c r="AT1" s="57">
        <v>44</v>
      </c>
      <c r="AU1" s="57">
        <v>45</v>
      </c>
      <c r="AV1" s="57">
        <v>46</v>
      </c>
      <c r="AW1" s="57">
        <v>47</v>
      </c>
      <c r="AX1" s="57">
        <v>48</v>
      </c>
      <c r="AY1" s="57">
        <v>49</v>
      </c>
      <c r="AZ1" s="57">
        <v>50</v>
      </c>
      <c r="BA1" s="57">
        <v>51</v>
      </c>
      <c r="BB1" s="57">
        <v>52</v>
      </c>
      <c r="BC1" s="57">
        <v>53</v>
      </c>
      <c r="BD1" s="57">
        <v>54</v>
      </c>
      <c r="BE1" s="57">
        <v>55</v>
      </c>
      <c r="BF1" s="57">
        <v>56</v>
      </c>
      <c r="BG1" s="57">
        <v>57</v>
      </c>
      <c r="BH1" s="57">
        <v>58</v>
      </c>
      <c r="BI1" s="57">
        <v>59</v>
      </c>
      <c r="BJ1" s="57">
        <v>60</v>
      </c>
      <c r="BK1" s="57">
        <v>61</v>
      </c>
      <c r="BL1" s="57">
        <v>62</v>
      </c>
      <c r="BM1" s="57">
        <v>63</v>
      </c>
      <c r="BN1" s="57">
        <v>64</v>
      </c>
      <c r="BO1" s="57">
        <v>65</v>
      </c>
      <c r="BP1" s="57">
        <v>66</v>
      </c>
      <c r="BQ1" s="57">
        <v>67</v>
      </c>
      <c r="BR1" s="57">
        <v>68</v>
      </c>
      <c r="BS1" s="57">
        <v>69</v>
      </c>
      <c r="BT1" s="57">
        <v>70</v>
      </c>
      <c r="BU1" s="57">
        <v>71</v>
      </c>
    </row>
    <row r="2" spans="1:73" s="59" customFormat="1" x14ac:dyDescent="0.2">
      <c r="A2" s="58">
        <v>1</v>
      </c>
      <c r="B2" s="138" t="s">
        <v>3280</v>
      </c>
      <c r="C2" s="127">
        <v>92</v>
      </c>
      <c r="D2" s="127">
        <v>107</v>
      </c>
      <c r="E2" s="127">
        <v>55</v>
      </c>
      <c r="F2" s="127">
        <v>43</v>
      </c>
      <c r="G2" s="127">
        <v>25</v>
      </c>
      <c r="H2" s="127">
        <v>10</v>
      </c>
      <c r="I2" s="127">
        <v>15</v>
      </c>
      <c r="J2" s="127">
        <v>6</v>
      </c>
      <c r="AU2" s="127">
        <v>70</v>
      </c>
      <c r="AX2" s="127">
        <v>10</v>
      </c>
      <c r="AZ2" s="127">
        <v>98</v>
      </c>
      <c r="BA2" s="127">
        <v>110</v>
      </c>
      <c r="BJ2" s="127">
        <v>130</v>
      </c>
      <c r="BK2" s="127">
        <v>104</v>
      </c>
    </row>
    <row r="3" spans="1:73" s="59" customFormat="1" x14ac:dyDescent="0.2">
      <c r="A3" s="58">
        <v>2</v>
      </c>
      <c r="B3" s="138" t="s">
        <v>3241</v>
      </c>
      <c r="C3" s="127">
        <v>21</v>
      </c>
      <c r="D3" s="127">
        <v>40</v>
      </c>
      <c r="E3" s="127">
        <v>12</v>
      </c>
      <c r="F3" s="127">
        <v>20</v>
      </c>
      <c r="G3" s="127">
        <v>10</v>
      </c>
      <c r="H3" s="127">
        <v>4</v>
      </c>
      <c r="J3" s="127">
        <v>4</v>
      </c>
      <c r="AG3" s="127">
        <v>0.5</v>
      </c>
      <c r="AJ3" s="127">
        <v>1</v>
      </c>
      <c r="AU3" s="127">
        <v>8</v>
      </c>
      <c r="AX3" s="127">
        <v>1</v>
      </c>
      <c r="AY3" s="127">
        <v>0.5</v>
      </c>
      <c r="AZ3" s="127">
        <v>40</v>
      </c>
      <c r="BA3" s="127">
        <v>7</v>
      </c>
      <c r="BJ3" s="127">
        <v>13</v>
      </c>
      <c r="BK3" s="127">
        <v>45</v>
      </c>
      <c r="BN3" s="127">
        <v>0.5</v>
      </c>
      <c r="BR3" s="127">
        <v>0.5</v>
      </c>
    </row>
    <row r="4" spans="1:73" s="59" customFormat="1" x14ac:dyDescent="0.2">
      <c r="A4" s="58">
        <v>3</v>
      </c>
      <c r="B4" s="138" t="s">
        <v>3226</v>
      </c>
      <c r="C4" s="127">
        <v>4</v>
      </c>
      <c r="D4" s="127">
        <v>20</v>
      </c>
      <c r="E4" s="127">
        <v>5</v>
      </c>
      <c r="L4" s="127">
        <v>3</v>
      </c>
      <c r="O4" s="127">
        <v>4</v>
      </c>
      <c r="AL4" s="127">
        <v>3</v>
      </c>
      <c r="AU4" s="127">
        <v>4</v>
      </c>
      <c r="AZ4" s="127">
        <v>10</v>
      </c>
      <c r="BA4" s="127">
        <v>2</v>
      </c>
      <c r="BC4" s="127">
        <v>0.5</v>
      </c>
      <c r="BJ4" s="127">
        <v>19</v>
      </c>
      <c r="BK4" s="127">
        <v>4</v>
      </c>
      <c r="BO4" s="127">
        <v>1.5</v>
      </c>
      <c r="BP4" s="127">
        <v>1.5</v>
      </c>
      <c r="BQ4" s="127">
        <v>3</v>
      </c>
      <c r="BR4" s="127">
        <v>0.5</v>
      </c>
      <c r="BT4" s="127">
        <v>1</v>
      </c>
      <c r="BU4" s="127">
        <v>2</v>
      </c>
    </row>
    <row r="5" spans="1:73" s="59" customFormat="1" x14ac:dyDescent="0.2">
      <c r="A5" s="58">
        <v>4</v>
      </c>
      <c r="B5" s="138" t="s">
        <v>3286</v>
      </c>
      <c r="C5" s="127">
        <v>4</v>
      </c>
      <c r="D5" s="127">
        <v>30</v>
      </c>
      <c r="E5" s="127">
        <v>6</v>
      </c>
      <c r="F5" s="127">
        <v>1</v>
      </c>
      <c r="G5" s="127">
        <v>2</v>
      </c>
      <c r="H5" s="127">
        <v>6</v>
      </c>
      <c r="Q5" s="127">
        <v>55</v>
      </c>
      <c r="S5" s="127">
        <v>0.5</v>
      </c>
      <c r="W5" s="127">
        <v>2</v>
      </c>
      <c r="X5" s="127">
        <v>8</v>
      </c>
      <c r="Y5" s="127">
        <v>7</v>
      </c>
      <c r="AA5" s="127">
        <v>10</v>
      </c>
      <c r="AH5" s="127">
        <v>5</v>
      </c>
      <c r="AJ5" s="127">
        <v>2</v>
      </c>
      <c r="AK5" s="127">
        <v>5</v>
      </c>
      <c r="AR5" s="127">
        <v>10</v>
      </c>
      <c r="AS5" s="127">
        <v>10</v>
      </c>
      <c r="AT5" s="127">
        <v>25</v>
      </c>
      <c r="AX5" s="127">
        <v>1</v>
      </c>
      <c r="BH5" s="127">
        <v>2</v>
      </c>
      <c r="BI5" s="127">
        <v>0.5</v>
      </c>
      <c r="BN5" s="127">
        <v>5</v>
      </c>
      <c r="BR5" s="127">
        <v>17</v>
      </c>
      <c r="BU5" s="127">
        <v>20</v>
      </c>
    </row>
    <row r="6" spans="1:73" s="59" customFormat="1" x14ac:dyDescent="0.2">
      <c r="A6" s="58">
        <v>5</v>
      </c>
      <c r="B6" s="138" t="s">
        <v>3238</v>
      </c>
      <c r="C6" s="127">
        <v>2</v>
      </c>
      <c r="D6" s="127">
        <v>0.5</v>
      </c>
      <c r="E6" s="127">
        <v>8</v>
      </c>
      <c r="F6" s="127">
        <v>3</v>
      </c>
      <c r="G6" s="127">
        <v>6</v>
      </c>
      <c r="H6" s="127">
        <v>6</v>
      </c>
      <c r="I6" s="127">
        <v>14</v>
      </c>
      <c r="J6" s="127">
        <v>33</v>
      </c>
      <c r="AA6" s="127">
        <v>0.5</v>
      </c>
      <c r="AU6" s="127">
        <v>3</v>
      </c>
      <c r="AX6" s="127">
        <v>3</v>
      </c>
      <c r="AZ6" s="127">
        <v>2</v>
      </c>
      <c r="BA6" s="127">
        <v>2</v>
      </c>
      <c r="BJ6" s="127">
        <v>8</v>
      </c>
      <c r="BK6" s="127">
        <v>2</v>
      </c>
    </row>
    <row r="7" spans="1:73" s="59" customFormat="1" x14ac:dyDescent="0.2">
      <c r="A7" s="58">
        <v>6</v>
      </c>
      <c r="B7" s="138" t="s">
        <v>3243</v>
      </c>
      <c r="C7" s="127">
        <v>3</v>
      </c>
      <c r="D7" s="127">
        <v>2</v>
      </c>
      <c r="E7" s="127">
        <v>2</v>
      </c>
      <c r="J7" s="127">
        <v>1</v>
      </c>
      <c r="AH7" s="127">
        <v>2</v>
      </c>
      <c r="BH7" s="127">
        <v>4</v>
      </c>
      <c r="BI7" s="127">
        <v>0.5</v>
      </c>
      <c r="BR7" s="127">
        <v>1</v>
      </c>
    </row>
    <row r="8" spans="1:73" s="59" customFormat="1" x14ac:dyDescent="0.2">
      <c r="A8" s="58">
        <v>7</v>
      </c>
      <c r="B8" s="138" t="s">
        <v>3247</v>
      </c>
      <c r="C8" s="127">
        <v>1</v>
      </c>
      <c r="D8" s="127">
        <v>4</v>
      </c>
      <c r="E8" s="127">
        <v>6</v>
      </c>
      <c r="F8" s="127">
        <v>0.5</v>
      </c>
      <c r="AU8" s="127">
        <v>4</v>
      </c>
      <c r="AZ8" s="127">
        <v>6</v>
      </c>
      <c r="BA8" s="127">
        <v>0.5</v>
      </c>
      <c r="BJ8" s="127">
        <v>7</v>
      </c>
      <c r="BK8" s="127">
        <v>1</v>
      </c>
    </row>
    <row r="9" spans="1:73" s="59" customFormat="1" x14ac:dyDescent="0.2">
      <c r="A9" s="58">
        <v>8</v>
      </c>
      <c r="B9" s="138" t="s">
        <v>3285</v>
      </c>
      <c r="C9" s="127">
        <v>0.5</v>
      </c>
      <c r="D9" s="127">
        <v>0.5</v>
      </c>
      <c r="E9" s="127">
        <v>8</v>
      </c>
      <c r="F9" s="127">
        <v>1</v>
      </c>
      <c r="G9" s="127">
        <v>0.5</v>
      </c>
      <c r="J9" s="127">
        <v>0.5</v>
      </c>
      <c r="K9" s="127">
        <v>25</v>
      </c>
      <c r="L9" s="127">
        <v>10</v>
      </c>
      <c r="M9" s="127">
        <v>2</v>
      </c>
      <c r="O9" s="127">
        <v>12</v>
      </c>
      <c r="P9" s="127">
        <v>2</v>
      </c>
      <c r="R9" s="127">
        <v>36</v>
      </c>
      <c r="S9" s="127">
        <v>0.5</v>
      </c>
      <c r="U9" s="127">
        <v>1.5</v>
      </c>
      <c r="V9" s="127">
        <v>4</v>
      </c>
      <c r="AA9" s="127">
        <v>5</v>
      </c>
      <c r="AC9" s="127">
        <v>2</v>
      </c>
      <c r="AD9" s="127">
        <v>2</v>
      </c>
      <c r="AI9" s="127">
        <v>16</v>
      </c>
      <c r="AJ9" s="127">
        <v>12</v>
      </c>
      <c r="AK9" s="127">
        <v>15</v>
      </c>
      <c r="AL9" s="127">
        <v>5</v>
      </c>
      <c r="AM9" s="127">
        <v>15</v>
      </c>
      <c r="AN9" s="127">
        <v>2</v>
      </c>
      <c r="AP9" s="127">
        <v>3</v>
      </c>
      <c r="AQ9" s="127">
        <v>1</v>
      </c>
      <c r="AT9" s="127">
        <v>2</v>
      </c>
      <c r="AU9" s="127">
        <v>3</v>
      </c>
      <c r="AV9" s="127">
        <v>0.5</v>
      </c>
      <c r="AX9" s="127">
        <v>1</v>
      </c>
      <c r="AZ9" s="127">
        <v>3.5</v>
      </c>
      <c r="BA9" s="127">
        <v>20</v>
      </c>
      <c r="BF9" s="127">
        <v>4</v>
      </c>
      <c r="BG9" s="127">
        <v>3</v>
      </c>
      <c r="BI9" s="127">
        <v>19</v>
      </c>
      <c r="BJ9" s="127">
        <v>27</v>
      </c>
      <c r="BK9" s="127">
        <v>12</v>
      </c>
      <c r="BL9" s="127">
        <v>5</v>
      </c>
      <c r="BO9" s="127">
        <v>20</v>
      </c>
      <c r="BQ9" s="127">
        <v>7</v>
      </c>
    </row>
    <row r="10" spans="1:73" s="59" customFormat="1" x14ac:dyDescent="0.2">
      <c r="A10" s="58">
        <v>9</v>
      </c>
      <c r="B10" s="138" t="s">
        <v>3242</v>
      </c>
      <c r="C10" s="127">
        <v>0.5</v>
      </c>
      <c r="E10" s="127">
        <v>3</v>
      </c>
      <c r="F10" s="127">
        <v>1</v>
      </c>
      <c r="G10" s="127">
        <v>2.5</v>
      </c>
      <c r="H10" s="127">
        <v>2</v>
      </c>
      <c r="I10" s="127">
        <v>4</v>
      </c>
      <c r="J10" s="127">
        <v>8.5</v>
      </c>
      <c r="AU10" s="127">
        <v>4</v>
      </c>
      <c r="BJ10" s="127">
        <v>3</v>
      </c>
      <c r="BK10" s="127">
        <v>0.5</v>
      </c>
    </row>
    <row r="11" spans="1:73" s="59" customFormat="1" x14ac:dyDescent="0.2">
      <c r="A11" s="58">
        <v>10</v>
      </c>
      <c r="B11" s="138" t="s">
        <v>3309</v>
      </c>
      <c r="C11" s="127">
        <v>0.5</v>
      </c>
      <c r="M11" s="127">
        <v>0.5</v>
      </c>
      <c r="N11" s="127">
        <v>0.5</v>
      </c>
      <c r="O11" s="127">
        <v>1</v>
      </c>
      <c r="P11" s="127">
        <v>1</v>
      </c>
      <c r="Z11" s="127">
        <v>0.5</v>
      </c>
      <c r="AA11" s="127">
        <v>1</v>
      </c>
      <c r="AI11" s="127">
        <v>1</v>
      </c>
      <c r="AL11" s="127">
        <v>1</v>
      </c>
      <c r="AW11" s="127">
        <v>1</v>
      </c>
      <c r="BC11" s="127">
        <v>0.5</v>
      </c>
      <c r="BD11" s="127">
        <v>0.5</v>
      </c>
      <c r="BR11" s="127">
        <v>0.5</v>
      </c>
      <c r="BU11" s="127">
        <v>0.5</v>
      </c>
    </row>
    <row r="12" spans="1:73" s="59" customFormat="1" x14ac:dyDescent="0.2">
      <c r="A12" s="58">
        <v>11</v>
      </c>
      <c r="B12" s="138" t="s">
        <v>3227</v>
      </c>
      <c r="D12" s="127">
        <v>12</v>
      </c>
      <c r="E12" s="127">
        <v>4</v>
      </c>
      <c r="F12" s="127">
        <v>8.5</v>
      </c>
      <c r="G12" s="127">
        <v>25.5</v>
      </c>
      <c r="H12" s="127">
        <v>25</v>
      </c>
      <c r="I12" s="127">
        <v>15</v>
      </c>
      <c r="J12" s="127">
        <v>10</v>
      </c>
      <c r="K12" s="127">
        <v>4</v>
      </c>
      <c r="L12" s="127">
        <v>6</v>
      </c>
      <c r="M12" s="127">
        <v>3</v>
      </c>
      <c r="P12" s="127">
        <v>9</v>
      </c>
      <c r="R12" s="127">
        <v>2</v>
      </c>
      <c r="T12" s="127">
        <v>3</v>
      </c>
      <c r="V12" s="127">
        <v>1</v>
      </c>
      <c r="W12" s="127">
        <v>7</v>
      </c>
      <c r="X12" s="127">
        <v>29</v>
      </c>
      <c r="Y12" s="127">
        <v>33</v>
      </c>
      <c r="Z12" s="127">
        <v>55</v>
      </c>
      <c r="AA12" s="127">
        <v>6</v>
      </c>
      <c r="AB12" s="127">
        <v>8.5</v>
      </c>
      <c r="AC12" s="127">
        <v>1</v>
      </c>
      <c r="AD12" s="127">
        <v>7</v>
      </c>
      <c r="AG12" s="127">
        <v>12</v>
      </c>
      <c r="AK12" s="127">
        <v>1</v>
      </c>
      <c r="AL12" s="127">
        <v>27</v>
      </c>
      <c r="AM12" s="127">
        <v>4</v>
      </c>
      <c r="AN12" s="127">
        <v>31</v>
      </c>
      <c r="AO12" s="127">
        <v>67</v>
      </c>
      <c r="AP12" s="127">
        <v>2</v>
      </c>
      <c r="AQ12" s="127">
        <v>1.5</v>
      </c>
      <c r="AR12" s="127">
        <v>2</v>
      </c>
      <c r="AS12" s="127">
        <v>2.5</v>
      </c>
      <c r="AT12" s="127">
        <v>1</v>
      </c>
      <c r="AU12" s="127">
        <v>11</v>
      </c>
      <c r="AV12" s="127">
        <v>5</v>
      </c>
      <c r="AW12" s="127">
        <v>9</v>
      </c>
      <c r="AX12" s="127">
        <v>15</v>
      </c>
      <c r="AY12" s="127">
        <v>2</v>
      </c>
      <c r="AZ12" s="127">
        <v>0.5</v>
      </c>
      <c r="BC12" s="127">
        <v>8.5</v>
      </c>
      <c r="BD12" s="127">
        <v>5</v>
      </c>
      <c r="BE12" s="127">
        <v>30.5</v>
      </c>
      <c r="BF12" s="127">
        <v>54</v>
      </c>
      <c r="BG12" s="127">
        <v>0.5</v>
      </c>
      <c r="BH12" s="127">
        <v>0.5</v>
      </c>
      <c r="BI12" s="127">
        <v>0.5</v>
      </c>
      <c r="BJ12" s="127">
        <v>10</v>
      </c>
      <c r="BL12" s="127">
        <v>45</v>
      </c>
      <c r="BM12" s="127">
        <v>3</v>
      </c>
      <c r="BN12" s="127">
        <v>1</v>
      </c>
      <c r="BO12" s="127">
        <v>2.5</v>
      </c>
      <c r="BP12" s="127">
        <v>30.5</v>
      </c>
      <c r="BR12" s="127">
        <v>2</v>
      </c>
      <c r="BS12" s="127">
        <v>22</v>
      </c>
      <c r="BT12" s="127">
        <v>18</v>
      </c>
      <c r="BU12" s="127">
        <v>5</v>
      </c>
    </row>
    <row r="13" spans="1:73" s="59" customFormat="1" x14ac:dyDescent="0.2">
      <c r="A13" s="58">
        <v>12</v>
      </c>
      <c r="B13" s="138" t="s">
        <v>3301</v>
      </c>
      <c r="D13" s="127">
        <v>0.5</v>
      </c>
      <c r="R13" s="127">
        <v>0.5</v>
      </c>
      <c r="AU13" s="127">
        <v>3</v>
      </c>
      <c r="BH13" s="127">
        <v>0.5</v>
      </c>
      <c r="BI13" s="127">
        <v>8</v>
      </c>
    </row>
    <row r="14" spans="1:73" s="59" customFormat="1" x14ac:dyDescent="0.2">
      <c r="A14" s="58">
        <v>13</v>
      </c>
      <c r="B14" s="138" t="s">
        <v>3297</v>
      </c>
      <c r="F14" s="127">
        <v>30</v>
      </c>
      <c r="G14" s="127">
        <v>30</v>
      </c>
      <c r="H14" s="127">
        <v>20</v>
      </c>
      <c r="I14" s="127">
        <v>30</v>
      </c>
      <c r="J14" s="127">
        <v>40</v>
      </c>
      <c r="AX14" s="127">
        <v>10</v>
      </c>
    </row>
    <row r="15" spans="1:73" s="59" customFormat="1" x14ac:dyDescent="0.2">
      <c r="A15" s="58">
        <v>14</v>
      </c>
      <c r="B15" s="138" t="s">
        <v>3281</v>
      </c>
      <c r="F15" s="127">
        <v>16</v>
      </c>
      <c r="G15" s="127">
        <v>16</v>
      </c>
      <c r="H15" s="127">
        <v>40</v>
      </c>
      <c r="I15" s="127">
        <v>30</v>
      </c>
      <c r="J15" s="127">
        <v>20</v>
      </c>
      <c r="AX15" s="127">
        <v>40</v>
      </c>
      <c r="BH15" s="127">
        <v>11</v>
      </c>
    </row>
    <row r="16" spans="1:73" s="59" customFormat="1" x14ac:dyDescent="0.2">
      <c r="A16" s="58">
        <v>15</v>
      </c>
      <c r="B16" s="138" t="s">
        <v>199</v>
      </c>
      <c r="F16" s="127">
        <v>7</v>
      </c>
      <c r="G16" s="127">
        <v>0.5</v>
      </c>
      <c r="J16" s="127">
        <v>0.5</v>
      </c>
      <c r="N16" s="127">
        <v>6</v>
      </c>
      <c r="P16" s="127">
        <v>5</v>
      </c>
      <c r="Q16" s="127">
        <v>1</v>
      </c>
      <c r="S16" s="127">
        <v>0.5</v>
      </c>
      <c r="AD16" s="127">
        <v>0.5</v>
      </c>
      <c r="AF16" s="127">
        <v>0.5</v>
      </c>
      <c r="AH16" s="127">
        <v>4.5</v>
      </c>
      <c r="AI16" s="127">
        <v>3</v>
      </c>
      <c r="AJ16" s="127">
        <v>1</v>
      </c>
      <c r="AM16" s="127">
        <v>1</v>
      </c>
      <c r="AR16" s="127">
        <v>1</v>
      </c>
      <c r="AS16" s="127">
        <v>6</v>
      </c>
      <c r="AT16" s="127">
        <v>1</v>
      </c>
      <c r="AU16" s="127">
        <v>0.5</v>
      </c>
    </row>
    <row r="17" spans="1:73" s="59" customFormat="1" x14ac:dyDescent="0.2">
      <c r="A17" s="58">
        <v>16</v>
      </c>
      <c r="B17" s="138" t="s">
        <v>3250</v>
      </c>
      <c r="F17" s="127">
        <v>4</v>
      </c>
      <c r="G17" s="127">
        <v>10</v>
      </c>
      <c r="H17" s="127">
        <v>2</v>
      </c>
      <c r="J17" s="127">
        <v>2</v>
      </c>
      <c r="L17" s="127">
        <v>1</v>
      </c>
      <c r="AA17" s="127">
        <v>4</v>
      </c>
      <c r="AF17" s="127">
        <v>1</v>
      </c>
      <c r="AI17" s="127">
        <v>0.5</v>
      </c>
      <c r="AJ17" s="127">
        <v>3</v>
      </c>
      <c r="AM17" s="127">
        <v>0.5</v>
      </c>
      <c r="AQ17" s="127">
        <v>4</v>
      </c>
      <c r="AR17" s="127">
        <v>0.5</v>
      </c>
      <c r="AX17" s="127">
        <v>5</v>
      </c>
      <c r="BR17" s="127">
        <v>0.5</v>
      </c>
      <c r="BU17" s="127">
        <v>1</v>
      </c>
    </row>
    <row r="18" spans="1:73" s="59" customFormat="1" x14ac:dyDescent="0.2">
      <c r="A18" s="58">
        <v>17</v>
      </c>
      <c r="B18" s="138" t="s">
        <v>3244</v>
      </c>
      <c r="F18" s="127">
        <v>1.5</v>
      </c>
      <c r="G18" s="127">
        <v>0.5</v>
      </c>
      <c r="I18" s="127">
        <v>0.5</v>
      </c>
      <c r="P18" s="127">
        <v>2</v>
      </c>
      <c r="R18" s="127">
        <v>0.5</v>
      </c>
      <c r="BC18" s="127">
        <v>2</v>
      </c>
      <c r="BD18" s="127">
        <v>0.5</v>
      </c>
    </row>
    <row r="19" spans="1:73" s="59" customFormat="1" x14ac:dyDescent="0.2">
      <c r="A19" s="58">
        <v>18</v>
      </c>
      <c r="B19" s="138" t="s">
        <v>3224</v>
      </c>
      <c r="F19" s="127">
        <v>0.5</v>
      </c>
      <c r="J19" s="127">
        <v>0.5</v>
      </c>
      <c r="Y19" s="127">
        <v>1</v>
      </c>
      <c r="AB19" s="127">
        <v>1</v>
      </c>
      <c r="AC19" s="127">
        <v>0.5</v>
      </c>
      <c r="BS19" s="127">
        <v>0.5</v>
      </c>
      <c r="BT19" s="127">
        <v>0.5</v>
      </c>
    </row>
    <row r="20" spans="1:73" s="59" customFormat="1" x14ac:dyDescent="0.2">
      <c r="A20" s="58">
        <v>19</v>
      </c>
      <c r="B20" s="138" t="s">
        <v>3229</v>
      </c>
      <c r="H20" s="127">
        <v>6</v>
      </c>
      <c r="AX20" s="127">
        <v>2</v>
      </c>
      <c r="AY20" s="127">
        <v>0.5</v>
      </c>
      <c r="BH20" s="127">
        <v>95</v>
      </c>
    </row>
    <row r="21" spans="1:73" s="59" customFormat="1" x14ac:dyDescent="0.2">
      <c r="A21" s="58">
        <v>20</v>
      </c>
      <c r="B21" s="138" t="s">
        <v>3312</v>
      </c>
      <c r="K21" s="127">
        <v>40</v>
      </c>
      <c r="L21" s="127">
        <v>7</v>
      </c>
      <c r="M21" s="127">
        <v>30</v>
      </c>
      <c r="N21" s="127">
        <v>30</v>
      </c>
      <c r="O21" s="127">
        <v>1</v>
      </c>
      <c r="P21" s="127">
        <v>11</v>
      </c>
      <c r="R21" s="127">
        <v>12</v>
      </c>
      <c r="S21" s="127">
        <v>20</v>
      </c>
      <c r="T21" s="127">
        <v>15</v>
      </c>
      <c r="U21" s="127">
        <v>12</v>
      </c>
      <c r="V21" s="127">
        <v>0.5</v>
      </c>
      <c r="W21" s="127">
        <v>3</v>
      </c>
      <c r="X21" s="127">
        <v>4</v>
      </c>
      <c r="Y21" s="127">
        <v>2</v>
      </c>
      <c r="Z21" s="127">
        <v>2</v>
      </c>
      <c r="AA21" s="127">
        <v>2</v>
      </c>
      <c r="AB21" s="127">
        <v>8</v>
      </c>
      <c r="AC21" s="127">
        <v>8</v>
      </c>
      <c r="AE21" s="127">
        <v>0.5</v>
      </c>
      <c r="AI21" s="127">
        <v>2.5</v>
      </c>
      <c r="AJ21" s="127">
        <v>2</v>
      </c>
      <c r="AK21" s="127">
        <v>10</v>
      </c>
      <c r="AM21" s="127">
        <v>16</v>
      </c>
      <c r="AR21" s="127">
        <v>17</v>
      </c>
      <c r="AS21" s="127">
        <v>3</v>
      </c>
      <c r="AT21" s="127">
        <v>9</v>
      </c>
      <c r="AV21" s="127">
        <v>3</v>
      </c>
      <c r="AW21" s="127">
        <v>12</v>
      </c>
      <c r="BD21" s="127">
        <v>3</v>
      </c>
      <c r="BE21" s="127">
        <v>1</v>
      </c>
      <c r="BG21" s="127">
        <v>10</v>
      </c>
      <c r="BM21" s="127">
        <v>35</v>
      </c>
      <c r="BN21" s="127">
        <v>1</v>
      </c>
      <c r="BR21" s="127">
        <v>0.5</v>
      </c>
      <c r="BT21" s="127">
        <v>10</v>
      </c>
    </row>
    <row r="22" spans="1:73" s="59" customFormat="1" x14ac:dyDescent="0.2">
      <c r="A22" s="58">
        <v>21</v>
      </c>
      <c r="B22" s="138" t="s">
        <v>3249</v>
      </c>
      <c r="K22" s="127">
        <v>34</v>
      </c>
      <c r="L22" s="127">
        <v>29.5</v>
      </c>
      <c r="M22" s="127">
        <v>40</v>
      </c>
      <c r="N22" s="127">
        <v>63</v>
      </c>
      <c r="O22" s="127">
        <v>11.5</v>
      </c>
      <c r="P22" s="127">
        <v>17</v>
      </c>
      <c r="Q22" s="127">
        <v>23.5</v>
      </c>
      <c r="R22" s="127">
        <v>7</v>
      </c>
      <c r="S22" s="127">
        <v>32.5</v>
      </c>
      <c r="T22" s="127">
        <v>43</v>
      </c>
      <c r="U22" s="127">
        <v>12</v>
      </c>
      <c r="V22" s="127">
        <v>28</v>
      </c>
      <c r="W22" s="127">
        <v>34.5</v>
      </c>
      <c r="X22" s="127">
        <v>8</v>
      </c>
      <c r="Z22" s="127">
        <v>0.5</v>
      </c>
      <c r="AA22" s="127">
        <v>5</v>
      </c>
      <c r="AB22" s="127">
        <v>3</v>
      </c>
      <c r="AC22" s="127">
        <v>17</v>
      </c>
      <c r="AD22" s="127">
        <v>29.5</v>
      </c>
      <c r="AE22" s="127">
        <v>3</v>
      </c>
      <c r="AF22" s="127">
        <v>7</v>
      </c>
      <c r="AG22" s="127">
        <v>6.5</v>
      </c>
      <c r="AI22" s="127">
        <v>2</v>
      </c>
      <c r="AJ22" s="127">
        <v>0.5</v>
      </c>
      <c r="AK22" s="127">
        <v>3</v>
      </c>
      <c r="AL22" s="127">
        <v>4.5</v>
      </c>
      <c r="AM22" s="127">
        <v>8</v>
      </c>
      <c r="AN22" s="127">
        <v>15</v>
      </c>
      <c r="AO22" s="127">
        <v>4.5</v>
      </c>
      <c r="AP22" s="127">
        <v>16</v>
      </c>
      <c r="AQ22" s="127">
        <v>25</v>
      </c>
      <c r="AR22" s="127">
        <v>4</v>
      </c>
      <c r="AS22" s="127">
        <v>3.5</v>
      </c>
      <c r="AT22" s="127">
        <v>5</v>
      </c>
      <c r="AV22" s="127">
        <v>6.5</v>
      </c>
      <c r="AW22" s="127">
        <v>16</v>
      </c>
      <c r="AY22" s="127">
        <v>4.5</v>
      </c>
      <c r="BB22" s="127">
        <v>65</v>
      </c>
      <c r="BC22" s="127">
        <v>91</v>
      </c>
      <c r="BD22" s="127">
        <v>66</v>
      </c>
      <c r="BE22" s="127">
        <v>3.5</v>
      </c>
      <c r="BF22" s="127">
        <v>33.5</v>
      </c>
      <c r="BG22" s="127">
        <v>10</v>
      </c>
      <c r="BL22" s="127">
        <v>38</v>
      </c>
      <c r="BM22" s="127">
        <v>6.5</v>
      </c>
      <c r="BN22" s="127">
        <v>19</v>
      </c>
      <c r="BO22" s="127">
        <v>23</v>
      </c>
      <c r="BP22" s="127">
        <v>51.5</v>
      </c>
      <c r="BQ22" s="127">
        <v>9</v>
      </c>
      <c r="BR22" s="127">
        <v>7</v>
      </c>
      <c r="BS22" s="127">
        <v>43.5</v>
      </c>
      <c r="BT22" s="127">
        <v>37.5</v>
      </c>
      <c r="BU22" s="127">
        <v>27.5</v>
      </c>
    </row>
    <row r="23" spans="1:73" s="59" customFormat="1" x14ac:dyDescent="0.2">
      <c r="A23" s="58">
        <v>22</v>
      </c>
      <c r="B23" s="138" t="s">
        <v>3284</v>
      </c>
      <c r="K23" s="127">
        <v>21</v>
      </c>
      <c r="L23" s="127">
        <v>4</v>
      </c>
      <c r="M23" s="127">
        <v>0.5</v>
      </c>
      <c r="N23" s="127">
        <v>0.5</v>
      </c>
      <c r="O23" s="127">
        <v>3</v>
      </c>
      <c r="P23" s="127">
        <v>3.5</v>
      </c>
      <c r="Q23" s="127">
        <v>9</v>
      </c>
      <c r="R23" s="127">
        <v>10</v>
      </c>
      <c r="S23" s="127">
        <v>2.5</v>
      </c>
      <c r="T23" s="127">
        <v>1</v>
      </c>
      <c r="U23" s="127">
        <v>1.5</v>
      </c>
      <c r="V23" s="127">
        <v>18</v>
      </c>
      <c r="W23" s="127">
        <v>11</v>
      </c>
      <c r="X23" s="127">
        <v>0.5</v>
      </c>
      <c r="Y23" s="127">
        <v>6</v>
      </c>
      <c r="Z23" s="127">
        <v>3</v>
      </c>
      <c r="AA23" s="127">
        <v>6</v>
      </c>
      <c r="AB23" s="127">
        <v>1</v>
      </c>
      <c r="AC23" s="127">
        <v>4</v>
      </c>
      <c r="AD23" s="127">
        <v>11</v>
      </c>
      <c r="AE23" s="127">
        <v>2</v>
      </c>
      <c r="AG23" s="127">
        <v>6</v>
      </c>
      <c r="AI23" s="127">
        <v>1.5</v>
      </c>
      <c r="AJ23" s="127">
        <v>2</v>
      </c>
      <c r="AK23" s="127">
        <v>6</v>
      </c>
      <c r="AL23" s="127">
        <v>4</v>
      </c>
      <c r="AM23" s="127">
        <v>16</v>
      </c>
      <c r="AN23" s="127">
        <v>1</v>
      </c>
      <c r="AP23" s="127">
        <v>9</v>
      </c>
      <c r="AQ23" s="127">
        <v>1</v>
      </c>
      <c r="AR23" s="127">
        <v>4</v>
      </c>
      <c r="AS23" s="127">
        <v>5.5</v>
      </c>
      <c r="AT23" s="127">
        <v>5</v>
      </c>
      <c r="AV23" s="127">
        <v>2</v>
      </c>
      <c r="AW23" s="127">
        <v>7</v>
      </c>
      <c r="AY23" s="127">
        <v>22</v>
      </c>
      <c r="AZ23" s="127">
        <v>0.5</v>
      </c>
      <c r="BB23" s="127">
        <v>18</v>
      </c>
      <c r="BC23" s="127">
        <v>12.5</v>
      </c>
      <c r="BD23" s="127">
        <v>30</v>
      </c>
      <c r="BE23" s="127">
        <v>1.5</v>
      </c>
      <c r="BG23" s="127">
        <v>5</v>
      </c>
      <c r="BM23" s="127">
        <v>9</v>
      </c>
      <c r="BN23" s="127">
        <v>12</v>
      </c>
      <c r="BO23" s="127">
        <v>5</v>
      </c>
      <c r="BP23" s="127">
        <v>20.5</v>
      </c>
      <c r="BR23" s="127">
        <v>11</v>
      </c>
      <c r="BT23" s="127">
        <v>23</v>
      </c>
      <c r="BU23" s="127">
        <v>10.5</v>
      </c>
    </row>
    <row r="24" spans="1:73" s="59" customFormat="1" x14ac:dyDescent="0.2">
      <c r="A24" s="58">
        <v>23</v>
      </c>
      <c r="B24" s="138" t="s">
        <v>3303</v>
      </c>
      <c r="K24" s="127">
        <v>10</v>
      </c>
      <c r="M24" s="127">
        <v>1</v>
      </c>
      <c r="N24" s="127">
        <v>10</v>
      </c>
      <c r="T24" s="127">
        <v>2</v>
      </c>
      <c r="U24" s="127">
        <v>1</v>
      </c>
      <c r="AD24" s="127">
        <v>2</v>
      </c>
      <c r="AL24" s="127">
        <v>3</v>
      </c>
      <c r="AW24" s="127">
        <v>6</v>
      </c>
      <c r="BF24" s="127">
        <v>18</v>
      </c>
      <c r="BI24" s="127">
        <v>0.5</v>
      </c>
      <c r="BL24" s="127">
        <v>1</v>
      </c>
      <c r="BP24" s="127">
        <v>14</v>
      </c>
      <c r="BS24" s="127">
        <v>1</v>
      </c>
      <c r="BT24" s="127">
        <v>4</v>
      </c>
    </row>
    <row r="25" spans="1:73" s="59" customFormat="1" x14ac:dyDescent="0.2">
      <c r="A25" s="58">
        <v>24</v>
      </c>
      <c r="B25" s="138" t="s">
        <v>3266</v>
      </c>
      <c r="K25" s="127">
        <v>8</v>
      </c>
      <c r="L25" s="127">
        <v>1</v>
      </c>
      <c r="M25" s="127">
        <v>10</v>
      </c>
      <c r="N25" s="127">
        <v>15</v>
      </c>
      <c r="O25" s="127">
        <v>1</v>
      </c>
      <c r="P25" s="127">
        <v>7</v>
      </c>
      <c r="R25" s="127">
        <v>0.5</v>
      </c>
      <c r="S25" s="127">
        <v>20</v>
      </c>
      <c r="T25" s="127">
        <v>20</v>
      </c>
      <c r="V25" s="127">
        <v>2</v>
      </c>
      <c r="W25" s="127">
        <v>6</v>
      </c>
      <c r="Y25" s="127">
        <v>4</v>
      </c>
      <c r="AA25" s="127">
        <v>2</v>
      </c>
      <c r="AB25" s="127">
        <v>25</v>
      </c>
      <c r="AC25" s="127">
        <v>20</v>
      </c>
      <c r="AD25" s="127">
        <v>6</v>
      </c>
      <c r="AE25" s="127">
        <v>8</v>
      </c>
      <c r="AF25" s="127">
        <v>15</v>
      </c>
      <c r="AG25" s="127">
        <v>4.5</v>
      </c>
      <c r="AI25" s="127">
        <v>15</v>
      </c>
      <c r="AK25" s="127">
        <v>8</v>
      </c>
      <c r="AL25" s="127">
        <v>19</v>
      </c>
      <c r="AN25" s="127">
        <v>8</v>
      </c>
      <c r="AT25" s="127">
        <v>1</v>
      </c>
      <c r="AV25" s="127">
        <v>3</v>
      </c>
      <c r="AW25" s="127">
        <v>20</v>
      </c>
      <c r="AY25" s="127">
        <v>6</v>
      </c>
      <c r="BB25" s="127">
        <v>20</v>
      </c>
      <c r="BE25" s="127">
        <v>2.5</v>
      </c>
      <c r="BG25" s="127">
        <v>0.5</v>
      </c>
      <c r="BM25" s="127">
        <v>2</v>
      </c>
      <c r="BT25" s="127">
        <v>16</v>
      </c>
    </row>
    <row r="26" spans="1:73" s="59" customFormat="1" x14ac:dyDescent="0.2">
      <c r="A26" s="58">
        <v>25</v>
      </c>
      <c r="B26" s="138" t="s">
        <v>3215</v>
      </c>
      <c r="K26" s="127">
        <v>11.5</v>
      </c>
      <c r="L26" s="127">
        <v>1.5</v>
      </c>
      <c r="M26" s="127">
        <v>2.5</v>
      </c>
      <c r="O26" s="127">
        <v>29</v>
      </c>
      <c r="P26" s="127">
        <v>2</v>
      </c>
      <c r="Q26" s="127">
        <v>1</v>
      </c>
      <c r="R26" s="127">
        <v>13</v>
      </c>
      <c r="S26" s="127">
        <v>15</v>
      </c>
      <c r="T26" s="127">
        <v>6.5</v>
      </c>
      <c r="U26" s="127">
        <v>22</v>
      </c>
      <c r="V26" s="127">
        <v>0.5</v>
      </c>
      <c r="W26" s="127">
        <v>0.5</v>
      </c>
      <c r="X26" s="127">
        <v>2.5</v>
      </c>
      <c r="Y26" s="127">
        <v>2</v>
      </c>
      <c r="Z26" s="127">
        <v>2</v>
      </c>
      <c r="AA26" s="127">
        <v>6</v>
      </c>
      <c r="AB26" s="127">
        <v>5</v>
      </c>
      <c r="AC26" s="127">
        <v>1.5</v>
      </c>
      <c r="AD26" s="127">
        <v>4</v>
      </c>
      <c r="AE26" s="127">
        <v>48</v>
      </c>
      <c r="AF26" s="127">
        <v>52</v>
      </c>
      <c r="AG26" s="127">
        <v>28</v>
      </c>
      <c r="AI26" s="127">
        <v>11.5</v>
      </c>
      <c r="AJ26" s="127">
        <v>25</v>
      </c>
      <c r="AK26" s="127">
        <v>5</v>
      </c>
      <c r="AL26" s="127">
        <v>12</v>
      </c>
      <c r="AM26" s="127">
        <v>45.5</v>
      </c>
      <c r="AP26" s="127">
        <v>48</v>
      </c>
      <c r="AQ26" s="127">
        <v>45.5</v>
      </c>
      <c r="AR26" s="127">
        <v>14.5</v>
      </c>
      <c r="AS26" s="127">
        <v>12.5</v>
      </c>
      <c r="AT26" s="127">
        <v>39.5</v>
      </c>
      <c r="AV26" s="127">
        <v>31</v>
      </c>
      <c r="AW26" s="127">
        <v>6</v>
      </c>
      <c r="BB26" s="127">
        <v>10</v>
      </c>
      <c r="BC26" s="127">
        <v>1</v>
      </c>
      <c r="BD26" s="127">
        <v>6</v>
      </c>
      <c r="BE26" s="127">
        <v>6.5</v>
      </c>
      <c r="BF26" s="127">
        <v>11</v>
      </c>
      <c r="BG26" s="127">
        <v>17</v>
      </c>
      <c r="BI26" s="127">
        <v>0.5</v>
      </c>
      <c r="BL26" s="127">
        <v>4.5</v>
      </c>
      <c r="BM26" s="127">
        <v>23</v>
      </c>
      <c r="BN26" s="127">
        <v>17</v>
      </c>
      <c r="BO26" s="127">
        <v>0.5</v>
      </c>
      <c r="BP26" s="127">
        <v>7</v>
      </c>
      <c r="BQ26" s="127">
        <v>65.5</v>
      </c>
      <c r="BR26" s="127">
        <v>8</v>
      </c>
      <c r="BS26" s="127">
        <v>20</v>
      </c>
      <c r="BT26" s="127">
        <v>4</v>
      </c>
      <c r="BU26" s="127">
        <v>1</v>
      </c>
    </row>
    <row r="27" spans="1:73" s="59" customFormat="1" x14ac:dyDescent="0.2">
      <c r="A27" s="58">
        <v>26</v>
      </c>
      <c r="B27" s="138" t="s">
        <v>3287</v>
      </c>
      <c r="K27" s="127">
        <v>7</v>
      </c>
      <c r="AD27" s="127">
        <v>1</v>
      </c>
      <c r="AJ27" s="127">
        <v>0.5</v>
      </c>
      <c r="AL27" s="127">
        <v>2</v>
      </c>
      <c r="AO27" s="127">
        <v>2</v>
      </c>
      <c r="AP27" s="127">
        <v>3</v>
      </c>
      <c r="AQ27" s="127">
        <v>2</v>
      </c>
      <c r="AR27" s="127">
        <v>1</v>
      </c>
      <c r="AS27" s="127">
        <v>1</v>
      </c>
      <c r="BD27" s="127">
        <v>4</v>
      </c>
    </row>
    <row r="28" spans="1:73" s="59" customFormat="1" x14ac:dyDescent="0.2">
      <c r="A28" s="58">
        <v>27</v>
      </c>
      <c r="B28" s="138" t="s">
        <v>3248</v>
      </c>
      <c r="K28" s="127">
        <v>11.5</v>
      </c>
      <c r="L28" s="127">
        <v>17.5</v>
      </c>
      <c r="M28" s="127">
        <v>7.5</v>
      </c>
      <c r="N28" s="127">
        <v>2.5</v>
      </c>
      <c r="O28" s="127">
        <v>18</v>
      </c>
      <c r="P28" s="127">
        <v>20</v>
      </c>
      <c r="Q28" s="127">
        <v>0.5</v>
      </c>
      <c r="R28" s="127">
        <v>6</v>
      </c>
      <c r="S28" s="127">
        <v>9</v>
      </c>
      <c r="T28" s="127">
        <v>12</v>
      </c>
      <c r="U28" s="127">
        <v>22.5</v>
      </c>
      <c r="V28" s="127">
        <v>15.5</v>
      </c>
      <c r="W28" s="127">
        <v>7</v>
      </c>
      <c r="X28" s="127">
        <v>6</v>
      </c>
      <c r="Y28" s="127">
        <v>4.5</v>
      </c>
      <c r="Z28" s="127">
        <v>4</v>
      </c>
      <c r="AA28" s="127">
        <v>17.5</v>
      </c>
      <c r="AB28" s="127">
        <v>19.5</v>
      </c>
      <c r="AC28" s="127">
        <v>13</v>
      </c>
      <c r="AD28" s="127">
        <v>7.5</v>
      </c>
      <c r="AE28" s="127">
        <v>6</v>
      </c>
      <c r="AF28" s="127">
        <v>24</v>
      </c>
      <c r="AG28" s="127">
        <v>4.5</v>
      </c>
      <c r="AI28" s="127">
        <v>36</v>
      </c>
      <c r="AJ28" s="127">
        <v>23</v>
      </c>
      <c r="AK28" s="127">
        <v>7</v>
      </c>
      <c r="AL28" s="127">
        <v>1</v>
      </c>
      <c r="AM28" s="127">
        <v>18</v>
      </c>
      <c r="AN28" s="127">
        <v>10</v>
      </c>
      <c r="AO28" s="127">
        <v>10</v>
      </c>
      <c r="AP28" s="127">
        <v>2.5</v>
      </c>
      <c r="AQ28" s="127">
        <v>2</v>
      </c>
      <c r="AR28" s="127">
        <v>7</v>
      </c>
      <c r="AS28" s="127">
        <v>28</v>
      </c>
      <c r="AT28" s="127">
        <v>8.5</v>
      </c>
      <c r="AV28" s="127">
        <v>6</v>
      </c>
      <c r="AW28" s="127">
        <v>18</v>
      </c>
      <c r="AY28" s="127">
        <v>3.5</v>
      </c>
      <c r="BB28" s="127">
        <v>12</v>
      </c>
      <c r="BC28" s="127">
        <v>14.5</v>
      </c>
      <c r="BD28" s="127">
        <v>10.5</v>
      </c>
      <c r="BE28" s="127">
        <v>59.5</v>
      </c>
      <c r="BF28" s="127">
        <v>20</v>
      </c>
      <c r="BG28" s="127">
        <v>17</v>
      </c>
      <c r="BI28" s="127">
        <v>0.5</v>
      </c>
      <c r="BL28" s="127">
        <v>19</v>
      </c>
      <c r="BM28" s="127">
        <v>22</v>
      </c>
      <c r="BN28" s="127">
        <v>15</v>
      </c>
      <c r="BP28" s="127">
        <v>7</v>
      </c>
      <c r="BQ28" s="127">
        <v>35.5</v>
      </c>
      <c r="BR28" s="127">
        <v>31</v>
      </c>
      <c r="BS28" s="127">
        <v>21</v>
      </c>
      <c r="BT28" s="127">
        <v>9</v>
      </c>
      <c r="BU28" s="127">
        <v>10</v>
      </c>
    </row>
    <row r="29" spans="1:73" s="59" customFormat="1" x14ac:dyDescent="0.2">
      <c r="A29" s="58">
        <v>28</v>
      </c>
      <c r="B29" s="138" t="s">
        <v>3310</v>
      </c>
      <c r="K29" s="127">
        <v>4</v>
      </c>
      <c r="M29" s="127">
        <v>1</v>
      </c>
      <c r="Q29" s="127">
        <v>25</v>
      </c>
      <c r="S29" s="127">
        <v>0.5</v>
      </c>
      <c r="U29" s="127">
        <v>55</v>
      </c>
      <c r="V29" s="127">
        <v>10</v>
      </c>
      <c r="W29" s="127">
        <v>5</v>
      </c>
      <c r="X29" s="127">
        <v>25</v>
      </c>
      <c r="Y29" s="127">
        <v>39</v>
      </c>
      <c r="Z29" s="127">
        <v>30</v>
      </c>
      <c r="AB29" s="127">
        <v>10</v>
      </c>
      <c r="AC29" s="127">
        <v>12</v>
      </c>
      <c r="AD29" s="127">
        <v>23</v>
      </c>
      <c r="AE29" s="127">
        <v>4</v>
      </c>
      <c r="AG29" s="127">
        <v>20</v>
      </c>
      <c r="AI29" s="127">
        <v>16</v>
      </c>
      <c r="AJ29" s="127">
        <v>18</v>
      </c>
      <c r="AK29" s="127">
        <v>1</v>
      </c>
      <c r="AL29" s="127">
        <v>20</v>
      </c>
      <c r="AM29" s="127">
        <v>3</v>
      </c>
      <c r="AN29" s="127">
        <v>0.5</v>
      </c>
      <c r="AO29" s="127">
        <v>0.5</v>
      </c>
      <c r="AR29" s="127">
        <v>2</v>
      </c>
      <c r="AT29" s="127">
        <v>4</v>
      </c>
      <c r="AV29" s="127">
        <v>25</v>
      </c>
      <c r="AY29" s="127">
        <v>25</v>
      </c>
      <c r="BC29" s="127">
        <v>7</v>
      </c>
      <c r="BE29" s="127">
        <v>10</v>
      </c>
      <c r="BF29" s="127">
        <v>3</v>
      </c>
      <c r="BG29" s="127">
        <v>1</v>
      </c>
      <c r="BL29" s="127">
        <v>15</v>
      </c>
      <c r="BN29" s="127">
        <v>4</v>
      </c>
      <c r="BO29" s="127">
        <v>2</v>
      </c>
      <c r="BP29" s="127">
        <v>14</v>
      </c>
      <c r="BQ29" s="127">
        <v>7</v>
      </c>
      <c r="BR29" s="127">
        <v>5</v>
      </c>
      <c r="BS29" s="127">
        <v>5</v>
      </c>
    </row>
    <row r="30" spans="1:73" s="59" customFormat="1" x14ac:dyDescent="0.2">
      <c r="A30" s="58">
        <v>29</v>
      </c>
      <c r="B30" s="138" t="s">
        <v>3237</v>
      </c>
      <c r="K30" s="127">
        <v>3</v>
      </c>
      <c r="S30" s="127">
        <v>1</v>
      </c>
      <c r="T30" s="127">
        <v>0.5</v>
      </c>
      <c r="AJ30" s="127">
        <v>0.5</v>
      </c>
      <c r="BB30" s="127">
        <v>0.5</v>
      </c>
    </row>
    <row r="31" spans="1:73" s="59" customFormat="1" x14ac:dyDescent="0.2">
      <c r="A31" s="58">
        <v>30</v>
      </c>
      <c r="B31" s="138" t="s">
        <v>3259</v>
      </c>
      <c r="K31" s="127">
        <v>2</v>
      </c>
      <c r="N31" s="127">
        <v>0.5</v>
      </c>
      <c r="P31" s="127">
        <v>2</v>
      </c>
      <c r="R31" s="127">
        <v>0.5</v>
      </c>
      <c r="V31" s="127">
        <v>3</v>
      </c>
      <c r="W31" s="127">
        <v>2</v>
      </c>
      <c r="AQ31" s="127">
        <v>0.5</v>
      </c>
      <c r="AV31" s="127">
        <v>0.5</v>
      </c>
      <c r="AY31" s="127">
        <v>0.5</v>
      </c>
      <c r="BC31" s="127">
        <v>0.5</v>
      </c>
      <c r="BO31" s="127">
        <v>0.5</v>
      </c>
    </row>
    <row r="32" spans="1:73" s="59" customFormat="1" x14ac:dyDescent="0.2">
      <c r="A32" s="58">
        <v>31</v>
      </c>
      <c r="B32" s="138" t="s">
        <v>3258</v>
      </c>
      <c r="K32" s="127">
        <v>2.5</v>
      </c>
      <c r="L32" s="127">
        <v>40</v>
      </c>
      <c r="M32" s="127">
        <v>2</v>
      </c>
      <c r="N32" s="127">
        <v>21</v>
      </c>
      <c r="O32" s="127">
        <v>1</v>
      </c>
      <c r="P32" s="127">
        <v>0.5</v>
      </c>
      <c r="R32" s="127">
        <v>1</v>
      </c>
      <c r="S32" s="127">
        <v>5</v>
      </c>
      <c r="T32" s="127">
        <v>15</v>
      </c>
      <c r="Y32" s="127">
        <v>8</v>
      </c>
      <c r="AA32" s="127">
        <v>3</v>
      </c>
      <c r="AC32" s="127">
        <v>16</v>
      </c>
      <c r="AD32" s="127">
        <v>4.5</v>
      </c>
      <c r="AE32" s="127">
        <v>33</v>
      </c>
      <c r="AF32" s="127">
        <v>2.5</v>
      </c>
      <c r="AG32" s="127">
        <v>8</v>
      </c>
      <c r="AH32" s="127">
        <v>60</v>
      </c>
      <c r="AI32" s="127">
        <v>15</v>
      </c>
      <c r="AJ32" s="127">
        <v>18</v>
      </c>
      <c r="AK32" s="127">
        <v>1</v>
      </c>
      <c r="AL32" s="127">
        <v>8</v>
      </c>
      <c r="AM32" s="127">
        <v>6</v>
      </c>
      <c r="AN32" s="127">
        <v>14</v>
      </c>
      <c r="AO32" s="127">
        <v>11</v>
      </c>
      <c r="AQ32" s="127">
        <v>2</v>
      </c>
      <c r="AR32" s="127">
        <v>9</v>
      </c>
      <c r="AS32" s="127">
        <v>2</v>
      </c>
      <c r="AT32" s="127">
        <v>6</v>
      </c>
      <c r="AY32" s="127">
        <v>1</v>
      </c>
      <c r="BB32" s="127">
        <v>1</v>
      </c>
      <c r="BC32" s="127">
        <v>6.5</v>
      </c>
      <c r="BL32" s="127">
        <v>0.5</v>
      </c>
      <c r="BM32" s="127">
        <v>1.5</v>
      </c>
      <c r="BN32" s="127">
        <v>19</v>
      </c>
      <c r="BO32" s="127">
        <v>23.5</v>
      </c>
      <c r="BP32" s="127">
        <v>7</v>
      </c>
      <c r="BQ32" s="127">
        <v>4</v>
      </c>
      <c r="BR32" s="127">
        <v>14.5</v>
      </c>
      <c r="BS32" s="127">
        <v>14</v>
      </c>
      <c r="BT32" s="127">
        <v>11</v>
      </c>
      <c r="BU32" s="127">
        <v>2</v>
      </c>
    </row>
    <row r="33" spans="1:73" s="59" customFormat="1" x14ac:dyDescent="0.2">
      <c r="A33" s="58">
        <v>32</v>
      </c>
      <c r="B33" s="138" t="s">
        <v>1287</v>
      </c>
      <c r="K33" s="127">
        <v>2</v>
      </c>
      <c r="L33" s="127">
        <v>0.5</v>
      </c>
      <c r="M33" s="127">
        <v>0.5</v>
      </c>
      <c r="N33" s="127">
        <v>0.5</v>
      </c>
      <c r="O33" s="127">
        <v>1</v>
      </c>
      <c r="P33" s="127">
        <v>6</v>
      </c>
      <c r="R33" s="127">
        <v>2.5</v>
      </c>
      <c r="T33" s="127">
        <v>0.5</v>
      </c>
      <c r="V33" s="127">
        <v>0.5</v>
      </c>
      <c r="Z33" s="127">
        <v>2</v>
      </c>
      <c r="AA33" s="127">
        <v>1</v>
      </c>
      <c r="AF33" s="127">
        <v>1</v>
      </c>
      <c r="AI33" s="127">
        <v>3</v>
      </c>
      <c r="AJ33" s="127">
        <v>3</v>
      </c>
      <c r="AR33" s="127">
        <v>1</v>
      </c>
      <c r="AS33" s="127">
        <v>1</v>
      </c>
      <c r="BG33" s="127">
        <v>1</v>
      </c>
      <c r="BS33" s="127">
        <v>0.5</v>
      </c>
      <c r="BT33" s="127">
        <v>1</v>
      </c>
    </row>
    <row r="34" spans="1:73" s="59" customFormat="1" x14ac:dyDescent="0.2">
      <c r="A34" s="58">
        <v>33</v>
      </c>
      <c r="B34" s="138" t="s">
        <v>3262</v>
      </c>
      <c r="K34" s="127">
        <v>2</v>
      </c>
      <c r="M34" s="127">
        <v>3</v>
      </c>
      <c r="N34" s="127">
        <v>4</v>
      </c>
      <c r="O34" s="127">
        <v>2</v>
      </c>
      <c r="P34" s="127">
        <v>2</v>
      </c>
      <c r="R34" s="127">
        <v>1</v>
      </c>
      <c r="S34" s="127">
        <v>2</v>
      </c>
      <c r="T34" s="127">
        <v>2</v>
      </c>
      <c r="U34" s="127">
        <v>1</v>
      </c>
      <c r="W34" s="127">
        <v>2</v>
      </c>
      <c r="X34" s="127">
        <v>0.5</v>
      </c>
      <c r="Y34" s="127">
        <v>4</v>
      </c>
      <c r="AA34" s="127">
        <v>35</v>
      </c>
      <c r="AD34" s="127">
        <v>1</v>
      </c>
      <c r="AI34" s="127">
        <v>2</v>
      </c>
      <c r="AJ34" s="127">
        <v>1</v>
      </c>
      <c r="AK34" s="127">
        <v>4</v>
      </c>
      <c r="AV34" s="127">
        <v>1</v>
      </c>
      <c r="AY34" s="127">
        <v>0.5</v>
      </c>
      <c r="BD34" s="127">
        <v>0.5</v>
      </c>
      <c r="BE34" s="127">
        <v>2</v>
      </c>
      <c r="BG34" s="127">
        <v>2</v>
      </c>
      <c r="BM34" s="127">
        <v>0.5</v>
      </c>
      <c r="BP34" s="127">
        <v>1</v>
      </c>
      <c r="BS34" s="127">
        <v>0.5</v>
      </c>
      <c r="BT34" s="127">
        <v>2</v>
      </c>
    </row>
    <row r="35" spans="1:73" s="59" customFormat="1" x14ac:dyDescent="0.2">
      <c r="A35" s="58">
        <v>34</v>
      </c>
      <c r="B35" s="138" t="s">
        <v>3269</v>
      </c>
      <c r="K35" s="127">
        <v>2</v>
      </c>
      <c r="O35" s="127">
        <v>1</v>
      </c>
      <c r="P35" s="127">
        <v>1</v>
      </c>
      <c r="R35" s="127">
        <v>2</v>
      </c>
      <c r="S35" s="127">
        <v>2</v>
      </c>
      <c r="T35" s="127">
        <v>1</v>
      </c>
      <c r="AF35" s="127">
        <v>2</v>
      </c>
      <c r="AG35" s="127">
        <v>4</v>
      </c>
      <c r="AI35" s="127">
        <v>4</v>
      </c>
      <c r="AJ35" s="127">
        <v>0.5</v>
      </c>
      <c r="AL35" s="127">
        <v>2</v>
      </c>
      <c r="AN35" s="127">
        <v>0.5</v>
      </c>
      <c r="AT35" s="127">
        <v>0.5</v>
      </c>
      <c r="BG35" s="127">
        <v>1</v>
      </c>
    </row>
    <row r="36" spans="1:73" s="59" customFormat="1" x14ac:dyDescent="0.2">
      <c r="A36" s="58">
        <v>35</v>
      </c>
      <c r="B36" s="138" t="s">
        <v>3318</v>
      </c>
      <c r="K36" s="127">
        <v>1</v>
      </c>
      <c r="O36" s="127">
        <v>3</v>
      </c>
      <c r="P36" s="127">
        <v>5</v>
      </c>
      <c r="R36" s="127">
        <v>8</v>
      </c>
      <c r="T36" s="127">
        <v>2</v>
      </c>
      <c r="AD36" s="127">
        <v>3</v>
      </c>
      <c r="AK36" s="127">
        <v>0.5</v>
      </c>
      <c r="AL36" s="127">
        <v>2</v>
      </c>
      <c r="AQ36" s="127">
        <v>2</v>
      </c>
      <c r="AR36" s="127">
        <v>0.5</v>
      </c>
      <c r="AT36" s="127">
        <v>2</v>
      </c>
    </row>
    <row r="37" spans="1:73" s="59" customFormat="1" x14ac:dyDescent="0.2">
      <c r="A37" s="58">
        <v>36</v>
      </c>
      <c r="B37" s="138" t="s">
        <v>3272</v>
      </c>
      <c r="K37" s="127">
        <v>1</v>
      </c>
      <c r="L37" s="127">
        <v>1</v>
      </c>
      <c r="O37" s="127">
        <v>1</v>
      </c>
    </row>
    <row r="38" spans="1:73" s="59" customFormat="1" x14ac:dyDescent="0.2">
      <c r="A38" s="58">
        <v>37</v>
      </c>
      <c r="B38" s="138" t="s">
        <v>3246</v>
      </c>
      <c r="K38" s="127">
        <v>1</v>
      </c>
      <c r="P38" s="127">
        <v>4</v>
      </c>
      <c r="AR38" s="127">
        <v>0.5</v>
      </c>
      <c r="AY38" s="127">
        <v>1</v>
      </c>
    </row>
    <row r="39" spans="1:73" s="59" customFormat="1" x14ac:dyDescent="0.2">
      <c r="A39" s="58">
        <v>38</v>
      </c>
      <c r="B39" s="138" t="s">
        <v>1289</v>
      </c>
      <c r="K39" s="127">
        <v>0.5</v>
      </c>
      <c r="O39" s="127">
        <v>0.5</v>
      </c>
      <c r="P39" s="127">
        <v>2</v>
      </c>
      <c r="W39" s="127">
        <v>0.5</v>
      </c>
      <c r="AA39" s="127">
        <v>0.5</v>
      </c>
      <c r="AB39" s="127">
        <v>1</v>
      </c>
      <c r="AD39" s="127">
        <v>0.5</v>
      </c>
      <c r="AK39" s="127">
        <v>2</v>
      </c>
      <c r="AO39" s="127">
        <v>0.5</v>
      </c>
      <c r="AQ39" s="127">
        <v>0.5</v>
      </c>
      <c r="AT39" s="127">
        <v>0.5</v>
      </c>
      <c r="BB39" s="127">
        <v>3</v>
      </c>
      <c r="BE39" s="127">
        <v>2</v>
      </c>
      <c r="BF39" s="127">
        <v>0.5</v>
      </c>
      <c r="BN39" s="127">
        <v>0.5</v>
      </c>
      <c r="BO39" s="127">
        <v>0.5</v>
      </c>
      <c r="BP39" s="127">
        <v>7</v>
      </c>
      <c r="BQ39" s="127">
        <v>11</v>
      </c>
      <c r="BT39" s="127">
        <v>1</v>
      </c>
      <c r="BU39" s="127">
        <v>0.5</v>
      </c>
    </row>
    <row r="40" spans="1:73" s="59" customFormat="1" x14ac:dyDescent="0.2">
      <c r="A40" s="58">
        <v>39</v>
      </c>
      <c r="B40" s="138" t="s">
        <v>3217</v>
      </c>
      <c r="K40" s="127">
        <v>0.5</v>
      </c>
      <c r="P40" s="127">
        <v>1</v>
      </c>
      <c r="AA40" s="127">
        <v>0.5</v>
      </c>
      <c r="AK40" s="127">
        <v>2</v>
      </c>
      <c r="BT40" s="127">
        <v>2</v>
      </c>
    </row>
    <row r="41" spans="1:73" s="59" customFormat="1" x14ac:dyDescent="0.2">
      <c r="A41" s="58">
        <v>40</v>
      </c>
      <c r="B41" s="138" t="s">
        <v>3292</v>
      </c>
      <c r="K41" s="127">
        <v>0.5</v>
      </c>
      <c r="L41" s="127">
        <v>1</v>
      </c>
      <c r="M41" s="127">
        <v>1</v>
      </c>
      <c r="N41" s="127">
        <v>2</v>
      </c>
      <c r="O41" s="127">
        <v>3</v>
      </c>
      <c r="R41" s="127">
        <v>4</v>
      </c>
      <c r="S41" s="127">
        <v>1</v>
      </c>
      <c r="T41" s="127">
        <v>0.5</v>
      </c>
      <c r="U41" s="127">
        <v>1</v>
      </c>
      <c r="V41" s="127">
        <v>5</v>
      </c>
      <c r="W41" s="127">
        <v>2</v>
      </c>
      <c r="X41" s="127">
        <v>3</v>
      </c>
      <c r="Y41" s="127">
        <v>0.5</v>
      </c>
      <c r="Z41" s="127">
        <v>0.5</v>
      </c>
      <c r="AA41" s="127">
        <v>2</v>
      </c>
      <c r="AC41" s="127">
        <v>2</v>
      </c>
      <c r="AD41" s="127">
        <v>4</v>
      </c>
      <c r="AE41" s="127">
        <v>2.5</v>
      </c>
      <c r="AF41" s="127">
        <v>3</v>
      </c>
      <c r="AG41" s="127">
        <v>11</v>
      </c>
      <c r="AI41" s="127">
        <v>2.5</v>
      </c>
      <c r="AJ41" s="127">
        <v>4</v>
      </c>
      <c r="AK41" s="127">
        <v>4</v>
      </c>
      <c r="AL41" s="127">
        <v>0.5</v>
      </c>
      <c r="AM41" s="127">
        <v>2</v>
      </c>
      <c r="AN41" s="127">
        <v>4</v>
      </c>
      <c r="AO41" s="127">
        <v>0.5</v>
      </c>
      <c r="AP41" s="127">
        <v>1</v>
      </c>
      <c r="AQ41" s="127">
        <v>0.5</v>
      </c>
      <c r="AR41" s="127">
        <v>3</v>
      </c>
      <c r="AS41" s="127">
        <v>4</v>
      </c>
      <c r="AW41" s="127">
        <v>3</v>
      </c>
      <c r="AY41" s="127">
        <v>0.5</v>
      </c>
      <c r="BB41" s="127">
        <v>0.5</v>
      </c>
      <c r="BC41" s="127">
        <v>3</v>
      </c>
      <c r="BD41" s="127">
        <v>3</v>
      </c>
      <c r="BE41" s="127">
        <v>0.5</v>
      </c>
      <c r="BF41" s="127">
        <v>0.5</v>
      </c>
      <c r="BG41" s="127">
        <v>0.5</v>
      </c>
      <c r="BI41" s="127">
        <v>80</v>
      </c>
      <c r="BL41" s="127">
        <v>2</v>
      </c>
      <c r="BM41" s="127">
        <v>2</v>
      </c>
      <c r="BO41" s="127">
        <v>11</v>
      </c>
      <c r="BP41" s="127">
        <v>0.5</v>
      </c>
      <c r="BQ41" s="127">
        <v>16</v>
      </c>
      <c r="BR41" s="127">
        <v>0.5</v>
      </c>
      <c r="BS41" s="127">
        <v>13.5</v>
      </c>
      <c r="BT41" s="127">
        <v>1</v>
      </c>
      <c r="BU41" s="127">
        <v>12</v>
      </c>
    </row>
    <row r="42" spans="1:73" s="59" customFormat="1" x14ac:dyDescent="0.2">
      <c r="A42" s="58">
        <v>41</v>
      </c>
      <c r="B42" s="138" t="s">
        <v>3274</v>
      </c>
      <c r="K42" s="127">
        <v>0.5</v>
      </c>
      <c r="O42" s="127">
        <v>0.5</v>
      </c>
      <c r="S42" s="127">
        <v>3</v>
      </c>
      <c r="T42" s="127">
        <v>1</v>
      </c>
      <c r="AA42" s="127">
        <v>1.5</v>
      </c>
      <c r="AB42" s="127">
        <v>1</v>
      </c>
      <c r="AD42" s="127">
        <v>0.5</v>
      </c>
      <c r="AJ42" s="127">
        <v>0.5</v>
      </c>
      <c r="AM42" s="127">
        <v>3</v>
      </c>
      <c r="AN42" s="127">
        <v>0.5</v>
      </c>
      <c r="AR42" s="127">
        <v>3</v>
      </c>
      <c r="AS42" s="127">
        <v>1</v>
      </c>
      <c r="AT42" s="127">
        <v>2</v>
      </c>
      <c r="AW42" s="127">
        <v>2</v>
      </c>
      <c r="BB42" s="127">
        <v>0.5</v>
      </c>
      <c r="BE42" s="127">
        <v>0.5</v>
      </c>
      <c r="BG42" s="127">
        <v>0.5</v>
      </c>
      <c r="BL42" s="127">
        <v>2</v>
      </c>
      <c r="BM42" s="127">
        <v>2</v>
      </c>
      <c r="BO42" s="127">
        <v>0.5</v>
      </c>
      <c r="BR42" s="127">
        <v>1</v>
      </c>
      <c r="BT42" s="127">
        <v>1</v>
      </c>
    </row>
    <row r="43" spans="1:73" s="59" customFormat="1" x14ac:dyDescent="0.2">
      <c r="A43" s="58">
        <v>42</v>
      </c>
      <c r="B43" s="138" t="s">
        <v>3313</v>
      </c>
      <c r="L43" s="127">
        <v>8</v>
      </c>
      <c r="M43" s="127">
        <v>2</v>
      </c>
      <c r="AB43" s="127">
        <v>3</v>
      </c>
      <c r="AD43" s="127">
        <v>2</v>
      </c>
      <c r="AM43" s="127">
        <v>2</v>
      </c>
      <c r="AN43" s="127">
        <v>15</v>
      </c>
      <c r="AO43" s="127">
        <v>2</v>
      </c>
      <c r="AP43" s="127">
        <v>1</v>
      </c>
      <c r="AQ43" s="127">
        <v>10</v>
      </c>
      <c r="AS43" s="127">
        <v>0.5</v>
      </c>
      <c r="BB43" s="127">
        <v>8</v>
      </c>
      <c r="BC43" s="127">
        <v>11</v>
      </c>
      <c r="BE43" s="127">
        <v>4</v>
      </c>
      <c r="BF43" s="127">
        <v>8</v>
      </c>
      <c r="BL43" s="127">
        <v>6</v>
      </c>
      <c r="BM43" s="127">
        <v>2</v>
      </c>
      <c r="BN43" s="127">
        <v>3</v>
      </c>
      <c r="BO43" s="127">
        <v>9</v>
      </c>
      <c r="BP43" s="127">
        <v>4</v>
      </c>
      <c r="BR43" s="127">
        <v>3</v>
      </c>
      <c r="BS43" s="127">
        <v>3</v>
      </c>
      <c r="BT43" s="127">
        <v>21</v>
      </c>
    </row>
    <row r="44" spans="1:73" s="59" customFormat="1" x14ac:dyDescent="0.2">
      <c r="A44" s="58">
        <v>43</v>
      </c>
      <c r="B44" s="138" t="s">
        <v>3288</v>
      </c>
      <c r="L44" s="127">
        <v>4</v>
      </c>
      <c r="M44" s="127">
        <v>2</v>
      </c>
      <c r="N44" s="127">
        <v>0.5</v>
      </c>
      <c r="O44" s="127">
        <v>2</v>
      </c>
      <c r="P44" s="127">
        <v>3</v>
      </c>
      <c r="R44" s="127">
        <v>4</v>
      </c>
      <c r="AO44" s="127">
        <v>2.5</v>
      </c>
      <c r="AT44" s="127">
        <v>1</v>
      </c>
      <c r="AV44" s="127">
        <v>1</v>
      </c>
      <c r="AW44" s="127">
        <v>3</v>
      </c>
      <c r="BB44" s="127">
        <v>19</v>
      </c>
      <c r="BF44" s="127">
        <v>10</v>
      </c>
      <c r="BG44" s="127">
        <v>2</v>
      </c>
      <c r="BT44" s="127">
        <v>13</v>
      </c>
    </row>
    <row r="45" spans="1:73" s="59" customFormat="1" x14ac:dyDescent="0.2">
      <c r="A45" s="58">
        <v>44</v>
      </c>
      <c r="B45" s="138" t="s">
        <v>3219</v>
      </c>
      <c r="L45" s="127">
        <v>3</v>
      </c>
      <c r="P45" s="127">
        <v>1</v>
      </c>
      <c r="AI45" s="127">
        <v>0.5</v>
      </c>
      <c r="AM45" s="127">
        <v>5</v>
      </c>
      <c r="AR45" s="127">
        <v>2</v>
      </c>
      <c r="AT45" s="127">
        <v>3.5</v>
      </c>
      <c r="BR45" s="127">
        <v>1</v>
      </c>
    </row>
    <row r="46" spans="1:73" s="59" customFormat="1" x14ac:dyDescent="0.2">
      <c r="A46" s="58">
        <v>45</v>
      </c>
      <c r="B46" s="138" t="s">
        <v>3263</v>
      </c>
      <c r="L46" s="127">
        <v>1</v>
      </c>
      <c r="M46" s="127">
        <v>1</v>
      </c>
      <c r="O46" s="127">
        <v>0.5</v>
      </c>
      <c r="T46" s="127">
        <v>0.5</v>
      </c>
      <c r="AH46" s="127">
        <v>15</v>
      </c>
      <c r="AL46" s="127">
        <v>2</v>
      </c>
      <c r="AM46" s="127">
        <v>0.5</v>
      </c>
      <c r="AP46" s="127">
        <v>1</v>
      </c>
      <c r="BB46" s="127">
        <v>0.5</v>
      </c>
      <c r="BI46" s="127">
        <v>2</v>
      </c>
      <c r="BO46" s="127">
        <v>0.5</v>
      </c>
    </row>
    <row r="47" spans="1:73" s="59" customFormat="1" x14ac:dyDescent="0.2">
      <c r="A47" s="58">
        <v>46</v>
      </c>
      <c r="B47" s="138" t="s">
        <v>3308</v>
      </c>
      <c r="L47" s="127">
        <v>0.5</v>
      </c>
      <c r="BF47" s="127">
        <v>0.5</v>
      </c>
      <c r="BO47" s="127">
        <v>0.5</v>
      </c>
      <c r="BQ47" s="127">
        <v>0.5</v>
      </c>
    </row>
    <row r="48" spans="1:73" s="59" customFormat="1" x14ac:dyDescent="0.2">
      <c r="A48" s="58">
        <v>47</v>
      </c>
      <c r="B48" s="138" t="s">
        <v>3221</v>
      </c>
      <c r="L48" s="127">
        <v>0.5</v>
      </c>
      <c r="BF48" s="127">
        <v>0.5</v>
      </c>
    </row>
    <row r="49" spans="1:73" s="59" customFormat="1" x14ac:dyDescent="0.2">
      <c r="A49" s="58">
        <v>48</v>
      </c>
      <c r="B49" s="138" t="s">
        <v>198</v>
      </c>
      <c r="M49" s="127">
        <v>0.5</v>
      </c>
      <c r="S49" s="127">
        <v>0.5</v>
      </c>
      <c r="T49" s="127">
        <v>1</v>
      </c>
      <c r="AG49" s="127">
        <v>4</v>
      </c>
      <c r="AJ49" s="127">
        <v>1</v>
      </c>
    </row>
    <row r="50" spans="1:73" s="59" customFormat="1" x14ac:dyDescent="0.2">
      <c r="A50" s="58">
        <v>49</v>
      </c>
      <c r="B50" s="138" t="s">
        <v>3276</v>
      </c>
      <c r="O50" s="127">
        <v>10</v>
      </c>
      <c r="W50" s="127">
        <v>8</v>
      </c>
      <c r="AD50" s="127">
        <v>3</v>
      </c>
      <c r="AK50" s="127">
        <v>10</v>
      </c>
      <c r="AV50" s="127">
        <v>3</v>
      </c>
    </row>
    <row r="51" spans="1:73" s="59" customFormat="1" x14ac:dyDescent="0.2">
      <c r="A51" s="58">
        <v>50</v>
      </c>
      <c r="B51" s="138" t="s">
        <v>3273</v>
      </c>
      <c r="O51" s="127">
        <v>3</v>
      </c>
      <c r="U51" s="127">
        <v>0.5</v>
      </c>
      <c r="X51" s="127">
        <v>0.5</v>
      </c>
      <c r="Y51" s="127">
        <v>3</v>
      </c>
      <c r="Z51" s="127">
        <v>1</v>
      </c>
      <c r="AA51" s="127">
        <v>2</v>
      </c>
      <c r="AV51" s="127">
        <v>3</v>
      </c>
    </row>
    <row r="52" spans="1:73" s="59" customFormat="1" x14ac:dyDescent="0.2">
      <c r="A52" s="58">
        <v>51</v>
      </c>
      <c r="B52" s="138" t="s">
        <v>3277</v>
      </c>
      <c r="O52" s="127">
        <v>1</v>
      </c>
      <c r="AT52" s="127">
        <v>1</v>
      </c>
    </row>
    <row r="53" spans="1:73" s="59" customFormat="1" x14ac:dyDescent="0.2">
      <c r="A53" s="58">
        <v>52</v>
      </c>
      <c r="B53" s="138" t="s">
        <v>3230</v>
      </c>
      <c r="O53" s="127">
        <v>0.5</v>
      </c>
      <c r="AJ53" s="127">
        <v>4.5</v>
      </c>
      <c r="AM53" s="127">
        <v>6</v>
      </c>
      <c r="AR53" s="127">
        <v>4</v>
      </c>
      <c r="AT53" s="127">
        <v>9</v>
      </c>
      <c r="BN53" s="127">
        <v>10.5</v>
      </c>
      <c r="BR53" s="127">
        <v>1</v>
      </c>
      <c r="BS53" s="127">
        <v>0.5</v>
      </c>
    </row>
    <row r="54" spans="1:73" s="59" customFormat="1" x14ac:dyDescent="0.2">
      <c r="A54" s="58">
        <v>53</v>
      </c>
      <c r="B54" s="138" t="s">
        <v>3299</v>
      </c>
      <c r="O54" s="127">
        <v>0.5</v>
      </c>
      <c r="P54" s="127">
        <v>1</v>
      </c>
      <c r="AA54" s="127">
        <v>1</v>
      </c>
      <c r="AB54" s="127">
        <v>2</v>
      </c>
      <c r="AG54" s="127">
        <v>0.5</v>
      </c>
      <c r="AJ54" s="127">
        <v>1</v>
      </c>
      <c r="AM54" s="127">
        <v>0.5</v>
      </c>
      <c r="AP54" s="127">
        <v>0.5</v>
      </c>
      <c r="AV54" s="127">
        <v>1</v>
      </c>
    </row>
    <row r="55" spans="1:73" s="59" customFormat="1" x14ac:dyDescent="0.2">
      <c r="A55" s="58">
        <v>54</v>
      </c>
      <c r="B55" s="138" t="s">
        <v>3232</v>
      </c>
      <c r="P55" s="127">
        <v>3</v>
      </c>
      <c r="V55" s="127">
        <v>20</v>
      </c>
      <c r="W55" s="127">
        <v>25</v>
      </c>
      <c r="Z55" s="127">
        <v>1</v>
      </c>
      <c r="AA55" s="127">
        <v>6</v>
      </c>
      <c r="AB55" s="127">
        <v>20</v>
      </c>
      <c r="AC55" s="127">
        <v>12</v>
      </c>
      <c r="AE55" s="127">
        <v>3</v>
      </c>
      <c r="AG55" s="127">
        <v>15</v>
      </c>
      <c r="AI55" s="127">
        <v>7</v>
      </c>
      <c r="AJ55" s="127">
        <v>2</v>
      </c>
      <c r="AK55" s="127">
        <v>10</v>
      </c>
      <c r="AL55" s="127">
        <v>3</v>
      </c>
      <c r="AM55" s="127">
        <v>1</v>
      </c>
      <c r="AN55" s="127">
        <v>2</v>
      </c>
      <c r="AR55" s="127">
        <v>9</v>
      </c>
      <c r="AS55" s="127">
        <v>10</v>
      </c>
      <c r="BD55" s="127">
        <v>6</v>
      </c>
      <c r="BN55" s="127">
        <v>9.5</v>
      </c>
      <c r="BR55" s="127">
        <v>9</v>
      </c>
      <c r="BS55" s="127">
        <v>0.5</v>
      </c>
      <c r="BU55" s="127">
        <v>5.5</v>
      </c>
    </row>
    <row r="56" spans="1:73" s="59" customFormat="1" x14ac:dyDescent="0.2">
      <c r="A56" s="58">
        <v>55</v>
      </c>
      <c r="B56" s="138" t="s">
        <v>3216</v>
      </c>
      <c r="P56" s="127">
        <v>1</v>
      </c>
      <c r="R56" s="127">
        <v>2</v>
      </c>
      <c r="AD56" s="127">
        <v>1</v>
      </c>
    </row>
    <row r="57" spans="1:73" s="59" customFormat="1" x14ac:dyDescent="0.2">
      <c r="A57" s="58">
        <v>56</v>
      </c>
      <c r="B57" s="138" t="s">
        <v>3245</v>
      </c>
      <c r="Q57" s="127">
        <v>14</v>
      </c>
      <c r="AL57" s="127">
        <v>0.5</v>
      </c>
      <c r="AU57" s="127">
        <v>2</v>
      </c>
      <c r="AX57" s="127">
        <v>0.5</v>
      </c>
      <c r="AY57" s="127">
        <v>3.5</v>
      </c>
      <c r="BD57" s="127">
        <v>1</v>
      </c>
      <c r="BO57" s="127">
        <v>0.5</v>
      </c>
    </row>
    <row r="58" spans="1:73" s="59" customFormat="1" x14ac:dyDescent="0.2">
      <c r="A58" s="58">
        <v>57</v>
      </c>
      <c r="B58" s="138" t="s">
        <v>3268</v>
      </c>
      <c r="Q58" s="127">
        <v>0.5</v>
      </c>
      <c r="W58" s="127">
        <v>0.5</v>
      </c>
      <c r="Z58" s="127">
        <v>1</v>
      </c>
      <c r="AA58" s="127">
        <v>0.5</v>
      </c>
    </row>
    <row r="59" spans="1:73" s="59" customFormat="1" x14ac:dyDescent="0.2">
      <c r="A59" s="58">
        <v>58</v>
      </c>
      <c r="B59" s="138" t="s">
        <v>3267</v>
      </c>
      <c r="Q59" s="127">
        <v>0.5</v>
      </c>
      <c r="X59" s="127">
        <v>0.5</v>
      </c>
      <c r="AA59" s="127">
        <v>2</v>
      </c>
      <c r="AD59" s="127">
        <v>2</v>
      </c>
      <c r="AF59" s="127">
        <v>2</v>
      </c>
      <c r="AJ59" s="127">
        <v>1</v>
      </c>
      <c r="AR59" s="127">
        <v>0.5</v>
      </c>
      <c r="BN59" s="127">
        <v>0.5</v>
      </c>
      <c r="BO59" s="127">
        <v>3</v>
      </c>
      <c r="BQ59" s="127">
        <v>0.5</v>
      </c>
      <c r="BU59" s="127">
        <v>0.5</v>
      </c>
    </row>
    <row r="60" spans="1:73" s="59" customFormat="1" x14ac:dyDescent="0.2">
      <c r="A60" s="58">
        <v>59</v>
      </c>
      <c r="B60" s="138" t="s">
        <v>3223</v>
      </c>
      <c r="V60" s="127">
        <v>5</v>
      </c>
    </row>
    <row r="61" spans="1:73" s="59" customFormat="1" x14ac:dyDescent="0.2">
      <c r="A61" s="58">
        <v>60</v>
      </c>
      <c r="B61" s="138" t="s">
        <v>3253</v>
      </c>
      <c r="V61" s="127">
        <v>1</v>
      </c>
      <c r="AA61" s="127">
        <v>0.5</v>
      </c>
      <c r="AR61" s="127">
        <v>2</v>
      </c>
      <c r="AT61" s="127">
        <v>1</v>
      </c>
      <c r="BN61" s="127">
        <v>0.5</v>
      </c>
      <c r="BR61" s="127">
        <v>3</v>
      </c>
    </row>
    <row r="62" spans="1:73" s="59" customFormat="1" x14ac:dyDescent="0.2">
      <c r="A62" s="58">
        <v>61</v>
      </c>
      <c r="B62" s="138" t="s">
        <v>3231</v>
      </c>
      <c r="W62" s="127">
        <v>2</v>
      </c>
      <c r="AJ62" s="127">
        <v>2</v>
      </c>
    </row>
    <row r="63" spans="1:73" s="59" customFormat="1" x14ac:dyDescent="0.2">
      <c r="A63" s="58">
        <v>62</v>
      </c>
      <c r="B63" s="138" t="s">
        <v>3260</v>
      </c>
      <c r="Y63" s="127">
        <v>0.5</v>
      </c>
      <c r="AM63" s="127">
        <v>2</v>
      </c>
      <c r="AP63" s="127">
        <v>1</v>
      </c>
      <c r="AQ63" s="127">
        <v>1</v>
      </c>
      <c r="AT63" s="127">
        <v>1</v>
      </c>
      <c r="AY63" s="127">
        <v>5.5</v>
      </c>
    </row>
    <row r="64" spans="1:73" s="59" customFormat="1" x14ac:dyDescent="0.2">
      <c r="A64" s="58">
        <v>63</v>
      </c>
      <c r="B64" s="138" t="s">
        <v>3261</v>
      </c>
      <c r="AA64" s="127">
        <v>1</v>
      </c>
      <c r="AP64" s="127">
        <v>2</v>
      </c>
      <c r="AY64" s="127">
        <v>0.5</v>
      </c>
      <c r="BB64" s="127">
        <v>0.5</v>
      </c>
      <c r="BC64" s="127">
        <v>0.5</v>
      </c>
    </row>
    <row r="65" spans="1:72" s="59" customFormat="1" x14ac:dyDescent="0.2">
      <c r="A65" s="58">
        <v>64</v>
      </c>
      <c r="B65" s="138" t="s">
        <v>3257</v>
      </c>
      <c r="AH65" s="127">
        <v>8</v>
      </c>
      <c r="BD65" s="127">
        <v>0.5</v>
      </c>
      <c r="BI65" s="127">
        <v>7.5</v>
      </c>
    </row>
    <row r="66" spans="1:72" s="59" customFormat="1" x14ac:dyDescent="0.2">
      <c r="A66" s="58">
        <v>65</v>
      </c>
      <c r="B66" s="138" t="s">
        <v>1873</v>
      </c>
      <c r="AI66" s="127">
        <v>0.5</v>
      </c>
      <c r="AT66" s="127">
        <v>0.5</v>
      </c>
    </row>
    <row r="67" spans="1:72" s="59" customFormat="1" x14ac:dyDescent="0.2">
      <c r="A67" s="58">
        <v>66</v>
      </c>
      <c r="B67" s="138" t="s">
        <v>3279</v>
      </c>
      <c r="AJ67" s="127">
        <v>1</v>
      </c>
    </row>
    <row r="68" spans="1:72" s="59" customFormat="1" x14ac:dyDescent="0.2">
      <c r="A68" s="58">
        <v>67</v>
      </c>
      <c r="B68" s="138" t="s">
        <v>3265</v>
      </c>
      <c r="AJ68" s="127">
        <v>0.5</v>
      </c>
    </row>
    <row r="69" spans="1:72" s="59" customFormat="1" x14ac:dyDescent="0.2">
      <c r="A69" s="58">
        <v>68</v>
      </c>
      <c r="B69" s="138" t="s">
        <v>3256</v>
      </c>
      <c r="AL69" s="127">
        <v>1</v>
      </c>
      <c r="AY69" s="127">
        <v>2.5</v>
      </c>
      <c r="BC69" s="127">
        <v>2</v>
      </c>
      <c r="BD69" s="127">
        <v>10</v>
      </c>
      <c r="BG69" s="127">
        <v>0.5</v>
      </c>
    </row>
    <row r="70" spans="1:72" s="59" customFormat="1" x14ac:dyDescent="0.2">
      <c r="A70" s="58">
        <v>69</v>
      </c>
      <c r="B70" s="138" t="s">
        <v>3294</v>
      </c>
      <c r="AL70" s="127">
        <v>1.5</v>
      </c>
    </row>
    <row r="71" spans="1:72" s="59" customFormat="1" x14ac:dyDescent="0.2">
      <c r="A71" s="58">
        <v>70</v>
      </c>
      <c r="B71" s="138" t="s">
        <v>3320</v>
      </c>
      <c r="AM71" s="127">
        <v>15</v>
      </c>
      <c r="AP71" s="127">
        <v>4</v>
      </c>
      <c r="AQ71" s="127">
        <v>4</v>
      </c>
    </row>
    <row r="72" spans="1:72" s="59" customFormat="1" x14ac:dyDescent="0.2">
      <c r="A72" s="58">
        <v>71</v>
      </c>
      <c r="B72" s="138" t="s">
        <v>3298</v>
      </c>
      <c r="AR72" s="127">
        <v>1</v>
      </c>
      <c r="AS72" s="127">
        <v>2</v>
      </c>
      <c r="BN72" s="127">
        <v>2</v>
      </c>
    </row>
    <row r="73" spans="1:72" s="59" customFormat="1" x14ac:dyDescent="0.2">
      <c r="A73" s="58">
        <v>72</v>
      </c>
      <c r="B73" s="138" t="s">
        <v>3235</v>
      </c>
      <c r="AT73" s="127">
        <v>1</v>
      </c>
      <c r="BG73" s="127">
        <v>0.5</v>
      </c>
    </row>
    <row r="74" spans="1:72" s="59" customFormat="1" x14ac:dyDescent="0.2">
      <c r="A74" s="58">
        <v>73</v>
      </c>
      <c r="B74" s="138" t="s">
        <v>3228</v>
      </c>
      <c r="AV74" s="127">
        <v>1</v>
      </c>
      <c r="BI74" s="127">
        <v>0.5</v>
      </c>
    </row>
    <row r="75" spans="1:72" s="59" customFormat="1" x14ac:dyDescent="0.2">
      <c r="A75" s="58">
        <v>74</v>
      </c>
      <c r="B75" s="138" t="s">
        <v>3252</v>
      </c>
      <c r="AY75" s="127">
        <v>1</v>
      </c>
      <c r="BC75" s="127">
        <v>2</v>
      </c>
    </row>
    <row r="76" spans="1:72" s="59" customFormat="1" x14ac:dyDescent="0.2">
      <c r="A76" s="58">
        <v>75</v>
      </c>
      <c r="B76" s="138" t="s">
        <v>3239</v>
      </c>
      <c r="AZ76" s="127">
        <v>0.5</v>
      </c>
    </row>
    <row r="77" spans="1:72" s="59" customFormat="1" x14ac:dyDescent="0.2">
      <c r="A77" s="58">
        <v>76</v>
      </c>
      <c r="B77" s="138" t="s">
        <v>197</v>
      </c>
      <c r="BF77" s="127">
        <v>0.5</v>
      </c>
    </row>
    <row r="78" spans="1:72" s="59" customFormat="1" x14ac:dyDescent="0.2">
      <c r="A78" s="58">
        <v>77</v>
      </c>
      <c r="B78" s="138" t="s">
        <v>3264</v>
      </c>
      <c r="BL78" s="127">
        <v>3</v>
      </c>
    </row>
    <row r="79" spans="1:72" s="59" customFormat="1" x14ac:dyDescent="0.2">
      <c r="A79" s="58">
        <v>78</v>
      </c>
      <c r="B79" s="138" t="s">
        <v>3307</v>
      </c>
      <c r="BM79" s="127">
        <v>1</v>
      </c>
      <c r="BP79" s="127">
        <v>2</v>
      </c>
      <c r="BT79" s="127">
        <v>0.5</v>
      </c>
    </row>
    <row r="80" spans="1:72" s="59" customFormat="1" x14ac:dyDescent="0.2">
      <c r="A80" s="58">
        <v>79</v>
      </c>
      <c r="B80" s="138" t="s">
        <v>3233</v>
      </c>
      <c r="BR80" s="127">
        <v>0.5</v>
      </c>
    </row>
    <row r="81" spans="1:2" s="59" customFormat="1" x14ac:dyDescent="0.2">
      <c r="A81" s="58"/>
      <c r="B81" s="138"/>
    </row>
    <row r="82" spans="1:2" s="59" customFormat="1" x14ac:dyDescent="0.2">
      <c r="A82" s="58"/>
      <c r="B82" s="138"/>
    </row>
    <row r="83" spans="1:2" s="59" customFormat="1" x14ac:dyDescent="0.2">
      <c r="A83" s="58"/>
      <c r="B83" s="138"/>
    </row>
    <row r="84" spans="1:2" s="59" customFormat="1" x14ac:dyDescent="0.2">
      <c r="A84" s="58"/>
      <c r="B84" s="138"/>
    </row>
    <row r="85" spans="1:2" s="59" customFormat="1" x14ac:dyDescent="0.2">
      <c r="A85" s="58"/>
      <c r="B85" s="138"/>
    </row>
    <row r="86" spans="1:2" s="59" customFormat="1" x14ac:dyDescent="0.2">
      <c r="A86" s="58"/>
      <c r="B86" s="138"/>
    </row>
    <row r="87" spans="1:2" s="59" customFormat="1" x14ac:dyDescent="0.2">
      <c r="A87" s="58"/>
      <c r="B87" s="138"/>
    </row>
    <row r="88" spans="1:2" s="59" customFormat="1" x14ac:dyDescent="0.2">
      <c r="A88" s="58"/>
      <c r="B88" s="138"/>
    </row>
    <row r="89" spans="1:2" s="59" customFormat="1" x14ac:dyDescent="0.2">
      <c r="A89" s="58"/>
      <c r="B89" s="138"/>
    </row>
    <row r="90" spans="1:2" s="59" customFormat="1" x14ac:dyDescent="0.2">
      <c r="A90" s="58"/>
      <c r="B90" s="138"/>
    </row>
    <row r="91" spans="1:2" s="59" customFormat="1" x14ac:dyDescent="0.2">
      <c r="A91" s="58"/>
      <c r="B91" s="138"/>
    </row>
    <row r="92" spans="1:2" s="59" customFormat="1" x14ac:dyDescent="0.2">
      <c r="A92" s="58"/>
      <c r="B92" s="138"/>
    </row>
    <row r="93" spans="1:2" s="59" customFormat="1" x14ac:dyDescent="0.2">
      <c r="A93" s="58"/>
      <c r="B93" s="138"/>
    </row>
    <row r="94" spans="1:2" s="59" customFormat="1" x14ac:dyDescent="0.2">
      <c r="A94" s="58"/>
      <c r="B94" s="138"/>
    </row>
    <row r="95" spans="1:2" s="59" customFormat="1" x14ac:dyDescent="0.2">
      <c r="A95" s="58"/>
      <c r="B95" s="138"/>
    </row>
    <row r="96" spans="1:2" s="59" customFormat="1" x14ac:dyDescent="0.2">
      <c r="A96" s="58"/>
      <c r="B96" s="138"/>
    </row>
    <row r="97" spans="1:2" s="59" customFormat="1" x14ac:dyDescent="0.2">
      <c r="A97" s="58"/>
      <c r="B97" s="138"/>
    </row>
    <row r="98" spans="1:2" s="59" customFormat="1" x14ac:dyDescent="0.2">
      <c r="A98" s="58"/>
      <c r="B98" s="138"/>
    </row>
    <row r="99" spans="1:2" s="59" customFormat="1" x14ac:dyDescent="0.2">
      <c r="A99" s="58"/>
      <c r="B99" s="138"/>
    </row>
    <row r="100" spans="1:2" s="59" customFormat="1" x14ac:dyDescent="0.2">
      <c r="A100" s="58"/>
      <c r="B100" s="138"/>
    </row>
    <row r="101" spans="1:2" s="59" customFormat="1" x14ac:dyDescent="0.2">
      <c r="A101" s="58"/>
      <c r="B101" s="138"/>
    </row>
    <row r="102" spans="1:2" s="59" customFormat="1" x14ac:dyDescent="0.2">
      <c r="A102" s="58"/>
      <c r="B102" s="138"/>
    </row>
    <row r="103" spans="1:2" s="59" customFormat="1" x14ac:dyDescent="0.2">
      <c r="A103" s="58"/>
      <c r="B103" s="138"/>
    </row>
    <row r="104" spans="1:2" s="59" customFormat="1" x14ac:dyDescent="0.2">
      <c r="A104" s="58"/>
      <c r="B104" s="138"/>
    </row>
    <row r="105" spans="1:2" s="59" customFormat="1" x14ac:dyDescent="0.2">
      <c r="A105" s="58"/>
      <c r="B105" s="138"/>
    </row>
    <row r="106" spans="1:2" s="59" customFormat="1" x14ac:dyDescent="0.2">
      <c r="A106" s="58"/>
      <c r="B106" s="138"/>
    </row>
    <row r="107" spans="1:2" s="59" customFormat="1" x14ac:dyDescent="0.2">
      <c r="A107" s="58"/>
      <c r="B107" s="138"/>
    </row>
    <row r="108" spans="1:2" s="59" customFormat="1" x14ac:dyDescent="0.2">
      <c r="A108" s="58"/>
      <c r="B108" s="138"/>
    </row>
    <row r="109" spans="1:2" s="59" customFormat="1" x14ac:dyDescent="0.2">
      <c r="A109" s="58"/>
      <c r="B109" s="138"/>
    </row>
    <row r="110" spans="1:2" s="59" customFormat="1" x14ac:dyDescent="0.2">
      <c r="A110" s="58"/>
      <c r="B110" s="138"/>
    </row>
    <row r="111" spans="1:2" s="59" customFormat="1" x14ac:dyDescent="0.2">
      <c r="A111" s="58"/>
      <c r="B111" s="138"/>
    </row>
    <row r="112" spans="1:2" s="59" customFormat="1" x14ac:dyDescent="0.2">
      <c r="A112" s="58"/>
      <c r="B112" s="138"/>
    </row>
    <row r="113" spans="1:2" s="59" customFormat="1" x14ac:dyDescent="0.2">
      <c r="A113" s="58"/>
      <c r="B113" s="138"/>
    </row>
    <row r="114" spans="1:2" s="59" customFormat="1" x14ac:dyDescent="0.2">
      <c r="A114" s="58"/>
      <c r="B114" s="138"/>
    </row>
    <row r="115" spans="1:2" s="59" customFormat="1" x14ac:dyDescent="0.2">
      <c r="A115" s="58"/>
      <c r="B115" s="138"/>
    </row>
    <row r="116" spans="1:2" s="59" customFormat="1" x14ac:dyDescent="0.2">
      <c r="A116" s="58"/>
      <c r="B116" s="138"/>
    </row>
    <row r="117" spans="1:2" s="59" customFormat="1" x14ac:dyDescent="0.2">
      <c r="A117" s="58"/>
      <c r="B117" s="138"/>
    </row>
    <row r="118" spans="1:2" s="59" customFormat="1" x14ac:dyDescent="0.2">
      <c r="A118" s="58"/>
      <c r="B118" s="138"/>
    </row>
    <row r="119" spans="1:2" s="59" customFormat="1" x14ac:dyDescent="0.2">
      <c r="A119" s="58"/>
      <c r="B119" s="138"/>
    </row>
    <row r="120" spans="1:2" s="59" customFormat="1" x14ac:dyDescent="0.2">
      <c r="A120" s="58"/>
      <c r="B120" s="138"/>
    </row>
    <row r="121" spans="1:2" s="59" customFormat="1" x14ac:dyDescent="0.2">
      <c r="A121" s="58"/>
      <c r="B121" s="138"/>
    </row>
    <row r="122" spans="1:2" s="59" customFormat="1" x14ac:dyDescent="0.2">
      <c r="A122" s="58"/>
      <c r="B122" s="138"/>
    </row>
    <row r="123" spans="1:2" s="59" customFormat="1" x14ac:dyDescent="0.2">
      <c r="A123" s="58"/>
      <c r="B123" s="138"/>
    </row>
    <row r="124" spans="1:2" s="59" customFormat="1" x14ac:dyDescent="0.2">
      <c r="A124" s="58"/>
      <c r="B124" s="138"/>
    </row>
    <row r="125" spans="1:2" s="59" customFormat="1" x14ac:dyDescent="0.2">
      <c r="A125" s="58"/>
      <c r="B125" s="138"/>
    </row>
    <row r="126" spans="1:2" s="59" customFormat="1" x14ac:dyDescent="0.2">
      <c r="A126" s="58"/>
      <c r="B126" s="138"/>
    </row>
    <row r="127" spans="1:2" s="59" customFormat="1" x14ac:dyDescent="0.2">
      <c r="A127" s="58"/>
      <c r="B127" s="138"/>
    </row>
    <row r="128" spans="1:2" s="59" customFormat="1" x14ac:dyDescent="0.2">
      <c r="A128" s="58"/>
      <c r="B128" s="138"/>
    </row>
    <row r="129" spans="1:2" s="59" customFormat="1" x14ac:dyDescent="0.2">
      <c r="A129" s="58"/>
      <c r="B129" s="138"/>
    </row>
    <row r="130" spans="1:2" s="59" customFormat="1" x14ac:dyDescent="0.2">
      <c r="A130" s="58"/>
      <c r="B130" s="138"/>
    </row>
    <row r="131" spans="1:2" s="59" customFormat="1" x14ac:dyDescent="0.2">
      <c r="A131" s="58"/>
      <c r="B131" s="138"/>
    </row>
    <row r="132" spans="1:2" s="59" customFormat="1" x14ac:dyDescent="0.2">
      <c r="A132" s="58"/>
      <c r="B132" s="138"/>
    </row>
    <row r="133" spans="1:2" s="59" customFormat="1" x14ac:dyDescent="0.2">
      <c r="A133" s="58"/>
      <c r="B133" s="138"/>
    </row>
    <row r="134" spans="1:2" s="59" customFormat="1" x14ac:dyDescent="0.2">
      <c r="A134" s="58"/>
      <c r="B134" s="138"/>
    </row>
    <row r="135" spans="1:2" s="59" customFormat="1" x14ac:dyDescent="0.2">
      <c r="A135" s="58"/>
      <c r="B135" s="138"/>
    </row>
    <row r="136" spans="1:2" s="59" customFormat="1" x14ac:dyDescent="0.2">
      <c r="A136" s="58"/>
      <c r="B136" s="138"/>
    </row>
    <row r="137" spans="1:2" s="59" customFormat="1" x14ac:dyDescent="0.2">
      <c r="A137" s="58"/>
      <c r="B137" s="138"/>
    </row>
    <row r="138" spans="1:2" s="59" customFormat="1" x14ac:dyDescent="0.2">
      <c r="A138" s="58"/>
      <c r="B138" s="138"/>
    </row>
    <row r="139" spans="1:2" s="59" customFormat="1" x14ac:dyDescent="0.2">
      <c r="A139" s="58"/>
      <c r="B139" s="138"/>
    </row>
    <row r="140" spans="1:2" s="59" customFormat="1" x14ac:dyDescent="0.2">
      <c r="A140" s="58"/>
      <c r="B140" s="138"/>
    </row>
    <row r="141" spans="1:2" s="59" customFormat="1" x14ac:dyDescent="0.2">
      <c r="A141" s="58"/>
      <c r="B141" s="138"/>
    </row>
    <row r="142" spans="1:2" s="59" customFormat="1" x14ac:dyDescent="0.2">
      <c r="A142" s="58"/>
      <c r="B142" s="138"/>
    </row>
    <row r="143" spans="1:2" s="59" customFormat="1" x14ac:dyDescent="0.2">
      <c r="A143" s="58"/>
      <c r="B143" s="138"/>
    </row>
    <row r="144" spans="1:2" s="59" customFormat="1" x14ac:dyDescent="0.2">
      <c r="A144" s="58"/>
      <c r="B144" s="138"/>
    </row>
    <row r="145" spans="1:2" s="59" customFormat="1" x14ac:dyDescent="0.2">
      <c r="A145" s="58"/>
      <c r="B145" s="138"/>
    </row>
    <row r="146" spans="1:2" s="59" customFormat="1" x14ac:dyDescent="0.2">
      <c r="A146" s="58"/>
      <c r="B146" s="138"/>
    </row>
    <row r="147" spans="1:2" s="59" customFormat="1" x14ac:dyDescent="0.2">
      <c r="A147" s="58"/>
      <c r="B147" s="138"/>
    </row>
    <row r="148" spans="1:2" s="59" customFormat="1" x14ac:dyDescent="0.2">
      <c r="A148" s="58"/>
      <c r="B148" s="138"/>
    </row>
    <row r="149" spans="1:2" s="59" customFormat="1" x14ac:dyDescent="0.2">
      <c r="A149" s="58"/>
      <c r="B149" s="138"/>
    </row>
    <row r="150" spans="1:2" s="59" customFormat="1" x14ac:dyDescent="0.2">
      <c r="A150" s="58"/>
      <c r="B150" s="138"/>
    </row>
    <row r="151" spans="1:2" s="59" customFormat="1" x14ac:dyDescent="0.2">
      <c r="A151" s="58"/>
      <c r="B151" s="138"/>
    </row>
    <row r="152" spans="1:2" s="59" customFormat="1" x14ac:dyDescent="0.2">
      <c r="A152" s="58"/>
      <c r="B152" s="138"/>
    </row>
    <row r="153" spans="1:2" s="59" customFormat="1" x14ac:dyDescent="0.2">
      <c r="A153" s="58"/>
      <c r="B153" s="138"/>
    </row>
    <row r="154" spans="1:2" s="59" customFormat="1" x14ac:dyDescent="0.2">
      <c r="A154" s="58"/>
      <c r="B154" s="138"/>
    </row>
    <row r="155" spans="1:2" s="59" customFormat="1" x14ac:dyDescent="0.2">
      <c r="A155" s="58"/>
      <c r="B155" s="138"/>
    </row>
    <row r="156" spans="1:2" s="59" customFormat="1" x14ac:dyDescent="0.2">
      <c r="A156" s="58"/>
      <c r="B156" s="138"/>
    </row>
    <row r="157" spans="1:2" s="59" customFormat="1" x14ac:dyDescent="0.2">
      <c r="A157" s="58"/>
      <c r="B157" s="138"/>
    </row>
    <row r="158" spans="1:2" s="59" customFormat="1" x14ac:dyDescent="0.2">
      <c r="A158" s="58"/>
      <c r="B158" s="138"/>
    </row>
    <row r="159" spans="1:2" s="59" customFormat="1" x14ac:dyDescent="0.2">
      <c r="A159" s="58"/>
      <c r="B159" s="138"/>
    </row>
    <row r="160" spans="1:2" s="59" customFormat="1" x14ac:dyDescent="0.2">
      <c r="A160" s="58"/>
      <c r="B160" s="138"/>
    </row>
    <row r="161" spans="1:2" s="59" customFormat="1" x14ac:dyDescent="0.2">
      <c r="A161" s="58"/>
      <c r="B161" s="138"/>
    </row>
    <row r="162" spans="1:2" s="59" customFormat="1" x14ac:dyDescent="0.2">
      <c r="A162" s="58"/>
      <c r="B162" s="138"/>
    </row>
    <row r="163" spans="1:2" s="59" customFormat="1" x14ac:dyDescent="0.2">
      <c r="A163" s="58"/>
      <c r="B163" s="138"/>
    </row>
    <row r="164" spans="1:2" s="59" customFormat="1" x14ac:dyDescent="0.2">
      <c r="A164" s="58"/>
      <c r="B164" s="138"/>
    </row>
    <row r="165" spans="1:2" s="59" customFormat="1" x14ac:dyDescent="0.2">
      <c r="A165" s="58"/>
      <c r="B165" s="138"/>
    </row>
    <row r="166" spans="1:2" s="59" customFormat="1" x14ac:dyDescent="0.2">
      <c r="A166" s="58"/>
      <c r="B166" s="138"/>
    </row>
    <row r="167" spans="1:2" s="59" customFormat="1" x14ac:dyDescent="0.2">
      <c r="A167" s="58"/>
      <c r="B167" s="138"/>
    </row>
    <row r="168" spans="1:2" s="59" customFormat="1" x14ac:dyDescent="0.2">
      <c r="A168" s="58"/>
      <c r="B168" s="138"/>
    </row>
    <row r="169" spans="1:2" s="59" customFormat="1" x14ac:dyDescent="0.2">
      <c r="A169" s="58"/>
      <c r="B169" s="138"/>
    </row>
    <row r="170" spans="1:2" s="59" customFormat="1" x14ac:dyDescent="0.2">
      <c r="A170" s="58"/>
      <c r="B170" s="138"/>
    </row>
    <row r="171" spans="1:2" s="59" customFormat="1" x14ac:dyDescent="0.2">
      <c r="A171" s="58"/>
      <c r="B171" s="138"/>
    </row>
    <row r="172" spans="1:2" s="59" customFormat="1" x14ac:dyDescent="0.2">
      <c r="A172" s="58"/>
      <c r="B172" s="138"/>
    </row>
    <row r="173" spans="1:2" s="59" customFormat="1" x14ac:dyDescent="0.2">
      <c r="A173" s="58"/>
      <c r="B173" s="138"/>
    </row>
    <row r="174" spans="1:2" s="59" customFormat="1" x14ac:dyDescent="0.2">
      <c r="A174" s="58"/>
      <c r="B174" s="138"/>
    </row>
    <row r="175" spans="1:2" s="59" customFormat="1" x14ac:dyDescent="0.2">
      <c r="A175" s="58"/>
      <c r="B175" s="138"/>
    </row>
    <row r="176" spans="1:2" s="59" customFormat="1" x14ac:dyDescent="0.2">
      <c r="A176" s="58"/>
      <c r="B176" s="138"/>
    </row>
    <row r="177" spans="1:2" s="59" customFormat="1" x14ac:dyDescent="0.2">
      <c r="A177" s="58"/>
      <c r="B177" s="138"/>
    </row>
    <row r="178" spans="1:2" s="59" customFormat="1" x14ac:dyDescent="0.2">
      <c r="A178" s="58"/>
      <c r="B178" s="138"/>
    </row>
    <row r="179" spans="1:2" s="59" customFormat="1" x14ac:dyDescent="0.2">
      <c r="A179" s="58"/>
      <c r="B179" s="138"/>
    </row>
    <row r="180" spans="1:2" s="59" customFormat="1" x14ac:dyDescent="0.2">
      <c r="A180" s="58"/>
      <c r="B180" s="138"/>
    </row>
    <row r="181" spans="1:2" s="59" customFormat="1" x14ac:dyDescent="0.2">
      <c r="A181" s="58"/>
      <c r="B181" s="138"/>
    </row>
    <row r="182" spans="1:2" s="59" customFormat="1" x14ac:dyDescent="0.2">
      <c r="A182" s="58"/>
      <c r="B182" s="138"/>
    </row>
    <row r="183" spans="1:2" s="59" customFormat="1" x14ac:dyDescent="0.2">
      <c r="A183" s="58"/>
      <c r="B183" s="138"/>
    </row>
    <row r="184" spans="1:2" s="59" customFormat="1" x14ac:dyDescent="0.2">
      <c r="A184" s="58"/>
      <c r="B184" s="138"/>
    </row>
    <row r="185" spans="1:2" s="59" customFormat="1" x14ac:dyDescent="0.2">
      <c r="A185" s="58"/>
      <c r="B185" s="138"/>
    </row>
    <row r="186" spans="1:2" s="59" customFormat="1" x14ac:dyDescent="0.2">
      <c r="A186" s="58"/>
      <c r="B186" s="138"/>
    </row>
    <row r="187" spans="1:2" s="59" customFormat="1" x14ac:dyDescent="0.2">
      <c r="A187" s="58"/>
      <c r="B187" s="138"/>
    </row>
    <row r="188" spans="1:2" s="59" customFormat="1" x14ac:dyDescent="0.2">
      <c r="A188" s="58"/>
      <c r="B188" s="138"/>
    </row>
    <row r="189" spans="1:2" s="59" customFormat="1" x14ac:dyDescent="0.2">
      <c r="A189" s="58"/>
      <c r="B189" s="138"/>
    </row>
    <row r="190" spans="1:2" s="59" customFormat="1" x14ac:dyDescent="0.2">
      <c r="A190" s="58"/>
      <c r="B190" s="138"/>
    </row>
    <row r="191" spans="1:2" s="59" customFormat="1" x14ac:dyDescent="0.2">
      <c r="A191" s="58"/>
      <c r="B191" s="138"/>
    </row>
    <row r="192" spans="1:2" s="59" customFormat="1" x14ac:dyDescent="0.2">
      <c r="A192" s="58"/>
      <c r="B192" s="138"/>
    </row>
    <row r="193" spans="1:2" s="59" customFormat="1" x14ac:dyDescent="0.2">
      <c r="A193" s="58"/>
      <c r="B193" s="138"/>
    </row>
    <row r="194" spans="1:2" s="59" customFormat="1" x14ac:dyDescent="0.2">
      <c r="A194" s="58"/>
      <c r="B194" s="138"/>
    </row>
    <row r="195" spans="1:2" s="59" customFormat="1" x14ac:dyDescent="0.2">
      <c r="A195" s="58"/>
      <c r="B195" s="138"/>
    </row>
    <row r="196" spans="1:2" s="59" customFormat="1" x14ac:dyDescent="0.2">
      <c r="A196" s="58"/>
      <c r="B196" s="138"/>
    </row>
    <row r="197" spans="1:2" s="59" customFormat="1" x14ac:dyDescent="0.2">
      <c r="A197" s="58"/>
      <c r="B197" s="138"/>
    </row>
    <row r="198" spans="1:2" s="59" customFormat="1" x14ac:dyDescent="0.2">
      <c r="A198" s="58"/>
      <c r="B198" s="138"/>
    </row>
    <row r="199" spans="1:2" s="59" customFormat="1" x14ac:dyDescent="0.2">
      <c r="A199" s="58"/>
      <c r="B199" s="138"/>
    </row>
    <row r="200" spans="1:2" s="59" customFormat="1" x14ac:dyDescent="0.2">
      <c r="A200" s="58"/>
      <c r="B200" s="138"/>
    </row>
    <row r="201" spans="1:2" s="59" customFormat="1" x14ac:dyDescent="0.2">
      <c r="A201" s="58"/>
      <c r="B201" s="138"/>
    </row>
    <row r="202" spans="1:2" s="59" customFormat="1" x14ac:dyDescent="0.2">
      <c r="A202" s="58"/>
      <c r="B202" s="138"/>
    </row>
    <row r="203" spans="1:2" s="59" customFormat="1" x14ac:dyDescent="0.2">
      <c r="A203" s="58"/>
      <c r="B203" s="138"/>
    </row>
    <row r="204" spans="1:2" s="59" customFormat="1" x14ac:dyDescent="0.2">
      <c r="A204" s="58"/>
      <c r="B204" s="138"/>
    </row>
    <row r="205" spans="1:2" s="59" customFormat="1" x14ac:dyDescent="0.2">
      <c r="A205" s="58"/>
      <c r="B205" s="138"/>
    </row>
    <row r="206" spans="1:2" s="59" customFormat="1" x14ac:dyDescent="0.2">
      <c r="A206" s="58"/>
      <c r="B206" s="138"/>
    </row>
    <row r="207" spans="1:2" s="59" customFormat="1" x14ac:dyDescent="0.2">
      <c r="A207" s="58"/>
      <c r="B207" s="138"/>
    </row>
    <row r="208" spans="1:2" s="59" customFormat="1" x14ac:dyDescent="0.2">
      <c r="A208" s="58"/>
      <c r="B208" s="138"/>
    </row>
    <row r="209" spans="1:2" s="59" customFormat="1" x14ac:dyDescent="0.2">
      <c r="A209" s="58"/>
      <c r="B209" s="138"/>
    </row>
    <row r="210" spans="1:2" s="59" customFormat="1" x14ac:dyDescent="0.2">
      <c r="A210" s="58"/>
      <c r="B210" s="138"/>
    </row>
    <row r="211" spans="1:2" s="59" customFormat="1" x14ac:dyDescent="0.2">
      <c r="A211" s="58"/>
      <c r="B211" s="138"/>
    </row>
    <row r="212" spans="1:2" s="59" customFormat="1" x14ac:dyDescent="0.2">
      <c r="A212" s="58"/>
      <c r="B212" s="138"/>
    </row>
    <row r="213" spans="1:2" s="59" customFormat="1" x14ac:dyDescent="0.2">
      <c r="A213" s="58"/>
      <c r="B213" s="138"/>
    </row>
    <row r="214" spans="1:2" s="59" customFormat="1" x14ac:dyDescent="0.2">
      <c r="A214" s="58"/>
      <c r="B214" s="138"/>
    </row>
    <row r="215" spans="1:2" s="59" customFormat="1" x14ac:dyDescent="0.2">
      <c r="A215" s="58"/>
      <c r="B215" s="138"/>
    </row>
    <row r="216" spans="1:2" s="59" customFormat="1" x14ac:dyDescent="0.2">
      <c r="A216" s="58"/>
      <c r="B216" s="138"/>
    </row>
    <row r="217" spans="1:2" s="59" customFormat="1" x14ac:dyDescent="0.2">
      <c r="A217" s="58"/>
      <c r="B217" s="138"/>
    </row>
    <row r="218" spans="1:2" s="59" customFormat="1" x14ac:dyDescent="0.2">
      <c r="A218" s="58"/>
      <c r="B218" s="138"/>
    </row>
    <row r="219" spans="1:2" s="59" customFormat="1" x14ac:dyDescent="0.2">
      <c r="A219" s="58"/>
      <c r="B219" s="138"/>
    </row>
    <row r="220" spans="1:2" s="59" customFormat="1" x14ac:dyDescent="0.2">
      <c r="A220" s="58"/>
      <c r="B220" s="138"/>
    </row>
    <row r="221" spans="1:2" s="59" customFormat="1" x14ac:dyDescent="0.2">
      <c r="A221" s="58"/>
      <c r="B221" s="138"/>
    </row>
    <row r="222" spans="1:2" s="59" customFormat="1" x14ac:dyDescent="0.2">
      <c r="A222" s="58"/>
      <c r="B222" s="138"/>
    </row>
    <row r="223" spans="1:2" s="59" customFormat="1" x14ac:dyDescent="0.2">
      <c r="A223" s="58"/>
      <c r="B223" s="138"/>
    </row>
    <row r="224" spans="1:2" s="59" customFormat="1" x14ac:dyDescent="0.2">
      <c r="A224" s="58"/>
      <c r="B224" s="138"/>
    </row>
    <row r="225" spans="1:2" s="59" customFormat="1" x14ac:dyDescent="0.2">
      <c r="A225" s="58"/>
      <c r="B225" s="138"/>
    </row>
    <row r="226" spans="1:2" s="59" customFormat="1" x14ac:dyDescent="0.2">
      <c r="A226" s="58"/>
      <c r="B226" s="138"/>
    </row>
    <row r="227" spans="1:2" s="59" customFormat="1" x14ac:dyDescent="0.2">
      <c r="A227" s="58"/>
      <c r="B227" s="138"/>
    </row>
    <row r="228" spans="1:2" s="59" customFormat="1" x14ac:dyDescent="0.2">
      <c r="A228" s="58"/>
      <c r="B228" s="138"/>
    </row>
    <row r="229" spans="1:2" s="59" customFormat="1" x14ac:dyDescent="0.2">
      <c r="A229" s="58"/>
      <c r="B229" s="138"/>
    </row>
    <row r="230" spans="1:2" s="59" customFormat="1" x14ac:dyDescent="0.2">
      <c r="A230" s="58"/>
      <c r="B230" s="138"/>
    </row>
    <row r="231" spans="1:2" s="59" customFormat="1" x14ac:dyDescent="0.2">
      <c r="A231" s="58"/>
      <c r="B231" s="138"/>
    </row>
    <row r="232" spans="1:2" s="59" customFormat="1" x14ac:dyDescent="0.2">
      <c r="A232" s="58"/>
      <c r="B232" s="138"/>
    </row>
    <row r="233" spans="1:2" s="59" customFormat="1" x14ac:dyDescent="0.2">
      <c r="A233" s="58"/>
      <c r="B233" s="138"/>
    </row>
    <row r="234" spans="1:2" s="59" customFormat="1" x14ac:dyDescent="0.2">
      <c r="A234" s="58"/>
      <c r="B234" s="138"/>
    </row>
    <row r="235" spans="1:2" s="59" customFormat="1" x14ac:dyDescent="0.2">
      <c r="A235" s="58"/>
      <c r="B235" s="138"/>
    </row>
    <row r="236" spans="1:2" s="59" customFormat="1" x14ac:dyDescent="0.2">
      <c r="A236" s="58"/>
      <c r="B236" s="138"/>
    </row>
    <row r="237" spans="1:2" s="59" customFormat="1" x14ac:dyDescent="0.2">
      <c r="A237" s="58"/>
      <c r="B237" s="138"/>
    </row>
    <row r="238" spans="1:2" s="59" customFormat="1" x14ac:dyDescent="0.2">
      <c r="A238" s="58"/>
      <c r="B238" s="138"/>
    </row>
    <row r="239" spans="1:2" s="59" customFormat="1" x14ac:dyDescent="0.2">
      <c r="A239" s="58"/>
      <c r="B239" s="138"/>
    </row>
    <row r="240" spans="1:2" s="59" customFormat="1" x14ac:dyDescent="0.2">
      <c r="A240" s="58"/>
      <c r="B240" s="138"/>
    </row>
    <row r="241" spans="1:2" s="59" customFormat="1" x14ac:dyDescent="0.2">
      <c r="A241" s="58"/>
      <c r="B241" s="138"/>
    </row>
    <row r="242" spans="1:2" s="59" customFormat="1" x14ac:dyDescent="0.2">
      <c r="A242" s="58"/>
      <c r="B242" s="138"/>
    </row>
    <row r="243" spans="1:2" s="59" customFormat="1" x14ac:dyDescent="0.2">
      <c r="A243" s="58"/>
      <c r="B243" s="138"/>
    </row>
    <row r="244" spans="1:2" s="59" customFormat="1" x14ac:dyDescent="0.2">
      <c r="A244" s="58"/>
      <c r="B244" s="138"/>
    </row>
    <row r="245" spans="1:2" s="59" customFormat="1" x14ac:dyDescent="0.2">
      <c r="A245" s="58"/>
      <c r="B245" s="138"/>
    </row>
    <row r="246" spans="1:2" s="59" customFormat="1" x14ac:dyDescent="0.2">
      <c r="A246" s="58"/>
      <c r="B246" s="138"/>
    </row>
    <row r="247" spans="1:2" s="59" customFormat="1" x14ac:dyDescent="0.2">
      <c r="A247" s="58"/>
      <c r="B247" s="138"/>
    </row>
    <row r="248" spans="1:2" s="59" customFormat="1" x14ac:dyDescent="0.2">
      <c r="A248" s="58"/>
      <c r="B248" s="138"/>
    </row>
    <row r="249" spans="1:2" s="59" customFormat="1" x14ac:dyDescent="0.2">
      <c r="A249" s="58"/>
      <c r="B249" s="138"/>
    </row>
    <row r="250" spans="1:2" s="59" customFormat="1" x14ac:dyDescent="0.2">
      <c r="A250" s="58"/>
      <c r="B250" s="138"/>
    </row>
    <row r="251" spans="1:2" s="59" customFormat="1" x14ac:dyDescent="0.2">
      <c r="A251" s="58"/>
      <c r="B251" s="138"/>
    </row>
    <row r="252" spans="1:2" s="59" customFormat="1" x14ac:dyDescent="0.2">
      <c r="A252" s="58"/>
      <c r="B252" s="138"/>
    </row>
    <row r="253" spans="1:2" s="59" customFormat="1" x14ac:dyDescent="0.2">
      <c r="A253" s="58"/>
      <c r="B253" s="138"/>
    </row>
    <row r="254" spans="1:2" s="59" customFormat="1" x14ac:dyDescent="0.2">
      <c r="A254" s="58"/>
      <c r="B254" s="138"/>
    </row>
    <row r="255" spans="1:2" s="59" customFormat="1" x14ac:dyDescent="0.2">
      <c r="A255" s="58"/>
      <c r="B255" s="138"/>
    </row>
    <row r="256" spans="1:2" s="59" customFormat="1" x14ac:dyDescent="0.2">
      <c r="A256" s="58"/>
      <c r="B256" s="138"/>
    </row>
    <row r="257" spans="1:2" s="59" customFormat="1" x14ac:dyDescent="0.2">
      <c r="A257" s="58"/>
      <c r="B257" s="138"/>
    </row>
    <row r="258" spans="1:2" s="59" customFormat="1" x14ac:dyDescent="0.2">
      <c r="A258" s="58"/>
      <c r="B258" s="138"/>
    </row>
    <row r="259" spans="1:2" s="59" customFormat="1" x14ac:dyDescent="0.2">
      <c r="A259" s="58"/>
      <c r="B259" s="138"/>
    </row>
    <row r="260" spans="1:2" s="59" customFormat="1" x14ac:dyDescent="0.2">
      <c r="A260" s="58"/>
      <c r="B260" s="138"/>
    </row>
    <row r="261" spans="1:2" s="59" customFormat="1" x14ac:dyDescent="0.2">
      <c r="A261" s="58"/>
      <c r="B261" s="138"/>
    </row>
    <row r="262" spans="1:2" s="59" customFormat="1" x14ac:dyDescent="0.2">
      <c r="A262" s="58"/>
      <c r="B262" s="138"/>
    </row>
    <row r="263" spans="1:2" s="59" customFormat="1" x14ac:dyDescent="0.2">
      <c r="A263" s="58"/>
      <c r="B263" s="138"/>
    </row>
    <row r="264" spans="1:2" s="59" customFormat="1" x14ac:dyDescent="0.2">
      <c r="A264" s="58"/>
      <c r="B264" s="138"/>
    </row>
    <row r="265" spans="1:2" s="59" customFormat="1" x14ac:dyDescent="0.2">
      <c r="A265" s="58"/>
      <c r="B265" s="138"/>
    </row>
    <row r="266" spans="1:2" s="59" customFormat="1" x14ac:dyDescent="0.2">
      <c r="A266" s="58"/>
      <c r="B266" s="138"/>
    </row>
    <row r="267" spans="1:2" s="59" customFormat="1" x14ac:dyDescent="0.2">
      <c r="A267" s="58"/>
      <c r="B267" s="138"/>
    </row>
    <row r="268" spans="1:2" s="59" customFormat="1" x14ac:dyDescent="0.2">
      <c r="A268" s="58"/>
      <c r="B268" s="138"/>
    </row>
    <row r="269" spans="1:2" s="59" customFormat="1" x14ac:dyDescent="0.2">
      <c r="A269" s="58"/>
      <c r="B269" s="138"/>
    </row>
    <row r="270" spans="1:2" s="59" customFormat="1" x14ac:dyDescent="0.2">
      <c r="A270" s="58"/>
      <c r="B270" s="138"/>
    </row>
    <row r="271" spans="1:2" s="59" customFormat="1" x14ac:dyDescent="0.2">
      <c r="A271" s="58"/>
      <c r="B271" s="138"/>
    </row>
    <row r="272" spans="1:2" s="59" customFormat="1" x14ac:dyDescent="0.2">
      <c r="A272" s="58"/>
      <c r="B272" s="138"/>
    </row>
    <row r="273" spans="1:2" s="59" customFormat="1" x14ac:dyDescent="0.2">
      <c r="A273" s="58"/>
      <c r="B273" s="138"/>
    </row>
    <row r="274" spans="1:2" s="59" customFormat="1" x14ac:dyDescent="0.2">
      <c r="A274" s="58"/>
      <c r="B274" s="138"/>
    </row>
    <row r="275" spans="1:2" s="59" customFormat="1" x14ac:dyDescent="0.2">
      <c r="A275" s="58"/>
      <c r="B275" s="138"/>
    </row>
    <row r="276" spans="1:2" s="59" customFormat="1" x14ac:dyDescent="0.2">
      <c r="A276" s="58"/>
      <c r="B276" s="138"/>
    </row>
    <row r="277" spans="1:2" s="59" customFormat="1" x14ac:dyDescent="0.2">
      <c r="A277" s="58"/>
      <c r="B277" s="138"/>
    </row>
    <row r="278" spans="1:2" s="59" customFormat="1" x14ac:dyDescent="0.2">
      <c r="A278" s="58"/>
      <c r="B278" s="138"/>
    </row>
    <row r="279" spans="1:2" s="59" customFormat="1" x14ac:dyDescent="0.2">
      <c r="A279" s="58"/>
      <c r="B279" s="138"/>
    </row>
    <row r="280" spans="1:2" s="59" customFormat="1" x14ac:dyDescent="0.2">
      <c r="A280" s="58"/>
      <c r="B280" s="138"/>
    </row>
    <row r="281" spans="1:2" s="59" customFormat="1" x14ac:dyDescent="0.2">
      <c r="A281" s="58"/>
      <c r="B281" s="138"/>
    </row>
    <row r="282" spans="1:2" s="59" customFormat="1" x14ac:dyDescent="0.2">
      <c r="A282" s="58"/>
      <c r="B282" s="138"/>
    </row>
    <row r="283" spans="1:2" s="59" customFormat="1" x14ac:dyDescent="0.2">
      <c r="A283" s="58"/>
      <c r="B283" s="138"/>
    </row>
    <row r="284" spans="1:2" s="59" customFormat="1" x14ac:dyDescent="0.2">
      <c r="A284" s="58"/>
      <c r="B284" s="138"/>
    </row>
    <row r="285" spans="1:2" s="59" customFormat="1" x14ac:dyDescent="0.2">
      <c r="A285" s="58"/>
      <c r="B285" s="138"/>
    </row>
    <row r="286" spans="1:2" s="59" customFormat="1" x14ac:dyDescent="0.2">
      <c r="A286" s="58"/>
      <c r="B286" s="138"/>
    </row>
    <row r="287" spans="1:2" s="59" customFormat="1" x14ac:dyDescent="0.2">
      <c r="A287" s="58"/>
      <c r="B287" s="138"/>
    </row>
    <row r="288" spans="1:2" s="59" customFormat="1" x14ac:dyDescent="0.2">
      <c r="A288" s="58"/>
      <c r="B288" s="138"/>
    </row>
    <row r="289" spans="1:2" s="59" customFormat="1" x14ac:dyDescent="0.2">
      <c r="A289" s="58"/>
      <c r="B289" s="138"/>
    </row>
    <row r="290" spans="1:2" s="59" customFormat="1" x14ac:dyDescent="0.2">
      <c r="A290" s="58"/>
      <c r="B290" s="138"/>
    </row>
    <row r="291" spans="1:2" s="59" customFormat="1" x14ac:dyDescent="0.2">
      <c r="A291" s="58"/>
      <c r="B291" s="138"/>
    </row>
    <row r="292" spans="1:2" s="59" customFormat="1" x14ac:dyDescent="0.2">
      <c r="A292" s="58"/>
      <c r="B292" s="138"/>
    </row>
    <row r="293" spans="1:2" s="59" customFormat="1" x14ac:dyDescent="0.2">
      <c r="A293" s="58"/>
      <c r="B293" s="138"/>
    </row>
    <row r="294" spans="1:2" s="59" customFormat="1" x14ac:dyDescent="0.2">
      <c r="A294" s="58"/>
      <c r="B294" s="138"/>
    </row>
    <row r="295" spans="1:2" s="59" customFormat="1" x14ac:dyDescent="0.2">
      <c r="A295" s="58"/>
      <c r="B295" s="138"/>
    </row>
    <row r="296" spans="1:2" s="59" customFormat="1" x14ac:dyDescent="0.2">
      <c r="A296" s="58"/>
      <c r="B296" s="138"/>
    </row>
    <row r="297" spans="1:2" s="59" customFormat="1" x14ac:dyDescent="0.2">
      <c r="A297" s="58"/>
      <c r="B297" s="138"/>
    </row>
    <row r="298" spans="1:2" s="59" customFormat="1" x14ac:dyDescent="0.2">
      <c r="A298" s="58"/>
      <c r="B298" s="138"/>
    </row>
    <row r="299" spans="1:2" s="59" customFormat="1" x14ac:dyDescent="0.2">
      <c r="A299" s="58"/>
      <c r="B299" s="138"/>
    </row>
    <row r="300" spans="1:2" s="59" customFormat="1" x14ac:dyDescent="0.2">
      <c r="A300" s="58"/>
      <c r="B300" s="138"/>
    </row>
    <row r="301" spans="1:2" s="59" customFormat="1" x14ac:dyDescent="0.2">
      <c r="A301" s="58"/>
      <c r="B301" s="138"/>
    </row>
    <row r="302" spans="1:2" s="59" customFormat="1" x14ac:dyDescent="0.2">
      <c r="A302" s="58"/>
      <c r="B302" s="138"/>
    </row>
    <row r="303" spans="1:2" s="59" customFormat="1" x14ac:dyDescent="0.2">
      <c r="A303" s="58"/>
      <c r="B303" s="138"/>
    </row>
    <row r="304" spans="1:2" s="59" customFormat="1" x14ac:dyDescent="0.2">
      <c r="A304" s="58"/>
      <c r="B304" s="138"/>
    </row>
    <row r="305" spans="1:2" s="59" customFormat="1" x14ac:dyDescent="0.2">
      <c r="A305" s="58"/>
      <c r="B305" s="138"/>
    </row>
    <row r="306" spans="1:2" s="59" customFormat="1" x14ac:dyDescent="0.2">
      <c r="A306" s="58"/>
      <c r="B306" s="138"/>
    </row>
    <row r="307" spans="1:2" s="59" customFormat="1" x14ac:dyDescent="0.2">
      <c r="A307" s="58"/>
      <c r="B307" s="138"/>
    </row>
    <row r="308" spans="1:2" s="59" customFormat="1" x14ac:dyDescent="0.2">
      <c r="A308" s="58"/>
      <c r="B308" s="138"/>
    </row>
    <row r="309" spans="1:2" s="59" customFormat="1" x14ac:dyDescent="0.2">
      <c r="A309" s="58"/>
      <c r="B309" s="138"/>
    </row>
    <row r="310" spans="1:2" s="59" customFormat="1" x14ac:dyDescent="0.2">
      <c r="A310" s="58"/>
      <c r="B310" s="138"/>
    </row>
    <row r="311" spans="1:2" s="59" customFormat="1" x14ac:dyDescent="0.2">
      <c r="A311" s="58"/>
      <c r="B311" s="138"/>
    </row>
    <row r="312" spans="1:2" s="59" customFormat="1" x14ac:dyDescent="0.2">
      <c r="A312" s="58"/>
      <c r="B312" s="138"/>
    </row>
    <row r="313" spans="1:2" s="59" customFormat="1" x14ac:dyDescent="0.2">
      <c r="A313" s="58"/>
      <c r="B313" s="138"/>
    </row>
    <row r="314" spans="1:2" s="59" customFormat="1" x14ac:dyDescent="0.2">
      <c r="A314" s="58"/>
      <c r="B314" s="138"/>
    </row>
    <row r="315" spans="1:2" s="59" customFormat="1" x14ac:dyDescent="0.2">
      <c r="A315" s="58"/>
      <c r="B315" s="138"/>
    </row>
    <row r="316" spans="1:2" s="59" customFormat="1" x14ac:dyDescent="0.2">
      <c r="A316" s="58"/>
      <c r="B316" s="138"/>
    </row>
    <row r="317" spans="1:2" s="59" customFormat="1" x14ac:dyDescent="0.2">
      <c r="A317" s="58"/>
      <c r="B317" s="138"/>
    </row>
    <row r="318" spans="1:2" s="59" customFormat="1" x14ac:dyDescent="0.2">
      <c r="A318" s="58"/>
      <c r="B318" s="138"/>
    </row>
    <row r="319" spans="1:2" s="59" customFormat="1" x14ac:dyDescent="0.2">
      <c r="A319" s="58"/>
      <c r="B319" s="138"/>
    </row>
    <row r="320" spans="1:2" s="59" customFormat="1" x14ac:dyDescent="0.2">
      <c r="A320" s="58"/>
      <c r="B320" s="138"/>
    </row>
    <row r="321" spans="1:2" s="59" customFormat="1" x14ac:dyDescent="0.2">
      <c r="A321" s="58"/>
      <c r="B321" s="138"/>
    </row>
    <row r="322" spans="1:2" s="59" customFormat="1" x14ac:dyDescent="0.2">
      <c r="A322" s="58"/>
      <c r="B322" s="138"/>
    </row>
    <row r="323" spans="1:2" s="59" customFormat="1" x14ac:dyDescent="0.2">
      <c r="A323" s="58"/>
      <c r="B323" s="138"/>
    </row>
    <row r="324" spans="1:2" s="59" customFormat="1" x14ac:dyDescent="0.2">
      <c r="A324" s="58"/>
      <c r="B324" s="138"/>
    </row>
    <row r="325" spans="1:2" s="59" customFormat="1" x14ac:dyDescent="0.2">
      <c r="A325" s="58"/>
      <c r="B325" s="138"/>
    </row>
    <row r="326" spans="1:2" s="59" customFormat="1" x14ac:dyDescent="0.2">
      <c r="A326" s="58"/>
      <c r="B326" s="138"/>
    </row>
    <row r="327" spans="1:2" s="59" customFormat="1" x14ac:dyDescent="0.2">
      <c r="A327" s="58"/>
      <c r="B327" s="138"/>
    </row>
    <row r="328" spans="1:2" s="59" customFormat="1" x14ac:dyDescent="0.2">
      <c r="A328" s="58"/>
      <c r="B328" s="138"/>
    </row>
    <row r="329" spans="1:2" s="59" customFormat="1" x14ac:dyDescent="0.2">
      <c r="A329" s="58"/>
      <c r="B329" s="138"/>
    </row>
    <row r="330" spans="1:2" s="59" customFormat="1" x14ac:dyDescent="0.2">
      <c r="A330" s="58"/>
      <c r="B330" s="138"/>
    </row>
    <row r="331" spans="1:2" s="59" customFormat="1" x14ac:dyDescent="0.2">
      <c r="A331" s="58"/>
      <c r="B331" s="138"/>
    </row>
    <row r="332" spans="1:2" s="59" customFormat="1" x14ac:dyDescent="0.2">
      <c r="A332" s="58"/>
      <c r="B332" s="138"/>
    </row>
    <row r="333" spans="1:2" s="59" customFormat="1" x14ac:dyDescent="0.2">
      <c r="A333" s="58"/>
      <c r="B333" s="138"/>
    </row>
    <row r="334" spans="1:2" s="59" customFormat="1" x14ac:dyDescent="0.2">
      <c r="A334" s="58"/>
      <c r="B334" s="138"/>
    </row>
    <row r="335" spans="1:2" s="59" customFormat="1" x14ac:dyDescent="0.2">
      <c r="A335" s="58"/>
      <c r="B335" s="138"/>
    </row>
    <row r="336" spans="1:2" s="59" customFormat="1" x14ac:dyDescent="0.2">
      <c r="A336" s="58"/>
      <c r="B336" s="138"/>
    </row>
    <row r="337" spans="1:2" s="59" customFormat="1" x14ac:dyDescent="0.2">
      <c r="A337" s="58"/>
      <c r="B337" s="138"/>
    </row>
    <row r="338" spans="1:2" s="59" customFormat="1" x14ac:dyDescent="0.2">
      <c r="A338" s="58"/>
      <c r="B338" s="138"/>
    </row>
    <row r="339" spans="1:2" s="59" customFormat="1" x14ac:dyDescent="0.2">
      <c r="A339" s="58"/>
      <c r="B339" s="138"/>
    </row>
    <row r="340" spans="1:2" s="59" customFormat="1" x14ac:dyDescent="0.2">
      <c r="A340" s="58"/>
      <c r="B340" s="138"/>
    </row>
    <row r="341" spans="1:2" s="59" customFormat="1" x14ac:dyDescent="0.2">
      <c r="A341" s="58"/>
      <c r="B341" s="138"/>
    </row>
    <row r="342" spans="1:2" s="59" customFormat="1" x14ac:dyDescent="0.2">
      <c r="A342" s="58"/>
      <c r="B342" s="138"/>
    </row>
    <row r="343" spans="1:2" s="59" customFormat="1" x14ac:dyDescent="0.2">
      <c r="A343" s="58"/>
      <c r="B343" s="138"/>
    </row>
    <row r="344" spans="1:2" s="59" customFormat="1" x14ac:dyDescent="0.2">
      <c r="A344" s="58"/>
      <c r="B344" s="138"/>
    </row>
    <row r="345" spans="1:2" s="59" customFormat="1" x14ac:dyDescent="0.2">
      <c r="A345" s="58"/>
      <c r="B345" s="138"/>
    </row>
    <row r="346" spans="1:2" s="59" customFormat="1" x14ac:dyDescent="0.2">
      <c r="A346" s="58"/>
      <c r="B346" s="138"/>
    </row>
    <row r="347" spans="1:2" s="59" customFormat="1" x14ac:dyDescent="0.2">
      <c r="A347" s="58"/>
      <c r="B347" s="138"/>
    </row>
    <row r="348" spans="1:2" s="59" customFormat="1" x14ac:dyDescent="0.2">
      <c r="A348" s="58"/>
      <c r="B348" s="138"/>
    </row>
    <row r="349" spans="1:2" s="59" customFormat="1" x14ac:dyDescent="0.2">
      <c r="A349" s="58"/>
      <c r="B349" s="138"/>
    </row>
    <row r="350" spans="1:2" s="59" customFormat="1" x14ac:dyDescent="0.2">
      <c r="A350" s="58"/>
      <c r="B350" s="138"/>
    </row>
    <row r="351" spans="1:2" s="59" customFormat="1" x14ac:dyDescent="0.2">
      <c r="A351" s="58"/>
      <c r="B351" s="138"/>
    </row>
    <row r="352" spans="1:2" s="59" customFormat="1" x14ac:dyDescent="0.2">
      <c r="A352" s="58"/>
      <c r="B352" s="138"/>
    </row>
    <row r="353" spans="1:2" s="59" customFormat="1" x14ac:dyDescent="0.2">
      <c r="A353" s="58"/>
      <c r="B353" s="138"/>
    </row>
    <row r="354" spans="1:2" s="59" customFormat="1" x14ac:dyDescent="0.2">
      <c r="A354" s="58"/>
      <c r="B354" s="138"/>
    </row>
    <row r="355" spans="1:2" s="59" customFormat="1" x14ac:dyDescent="0.2">
      <c r="A355" s="58"/>
      <c r="B355" s="138"/>
    </row>
    <row r="356" spans="1:2" s="59" customFormat="1" x14ac:dyDescent="0.2">
      <c r="A356" s="58"/>
      <c r="B356" s="138"/>
    </row>
    <row r="357" spans="1:2" s="59" customFormat="1" x14ac:dyDescent="0.2">
      <c r="A357" s="58"/>
      <c r="B357" s="138"/>
    </row>
    <row r="358" spans="1:2" s="59" customFormat="1" x14ac:dyDescent="0.2">
      <c r="A358" s="58"/>
      <c r="B358" s="138"/>
    </row>
    <row r="359" spans="1:2" s="59" customFormat="1" x14ac:dyDescent="0.2">
      <c r="A359" s="58"/>
      <c r="B359" s="138"/>
    </row>
    <row r="360" spans="1:2" s="59" customFormat="1" x14ac:dyDescent="0.2">
      <c r="A360" s="58"/>
      <c r="B360" s="138"/>
    </row>
    <row r="361" spans="1:2" s="59" customFormat="1" x14ac:dyDescent="0.2">
      <c r="A361" s="58"/>
      <c r="B361" s="138"/>
    </row>
    <row r="362" spans="1:2" s="59" customFormat="1" x14ac:dyDescent="0.2">
      <c r="A362" s="58"/>
      <c r="B362" s="138"/>
    </row>
    <row r="363" spans="1:2" s="59" customFormat="1" x14ac:dyDescent="0.2">
      <c r="A363" s="58"/>
      <c r="B363" s="138"/>
    </row>
    <row r="364" spans="1:2" s="59" customFormat="1" x14ac:dyDescent="0.2">
      <c r="A364" s="58"/>
      <c r="B364" s="138"/>
    </row>
    <row r="365" spans="1:2" s="59" customFormat="1" x14ac:dyDescent="0.2">
      <c r="A365" s="58"/>
      <c r="B365" s="138"/>
    </row>
    <row r="366" spans="1:2" s="59" customFormat="1" x14ac:dyDescent="0.2">
      <c r="A366" s="58"/>
      <c r="B366" s="138"/>
    </row>
    <row r="367" spans="1:2" s="59" customFormat="1" x14ac:dyDescent="0.2">
      <c r="A367" s="58"/>
      <c r="B367" s="138"/>
    </row>
    <row r="368" spans="1:2" s="59" customFormat="1" x14ac:dyDescent="0.2">
      <c r="A368" s="58"/>
      <c r="B368" s="138"/>
    </row>
    <row r="369" spans="1:2" s="59" customFormat="1" x14ac:dyDescent="0.2">
      <c r="A369" s="58"/>
      <c r="B369" s="138"/>
    </row>
    <row r="370" spans="1:2" s="59" customFormat="1" x14ac:dyDescent="0.2">
      <c r="A370" s="58"/>
      <c r="B370" s="138"/>
    </row>
    <row r="371" spans="1:2" s="59" customFormat="1" x14ac:dyDescent="0.2">
      <c r="A371" s="58"/>
      <c r="B371" s="138"/>
    </row>
    <row r="372" spans="1:2" s="59" customFormat="1" x14ac:dyDescent="0.2">
      <c r="A372" s="58"/>
      <c r="B372" s="138"/>
    </row>
    <row r="373" spans="1:2" s="59" customFormat="1" x14ac:dyDescent="0.2">
      <c r="A373" s="58"/>
      <c r="B373" s="138"/>
    </row>
    <row r="374" spans="1:2" s="59" customFormat="1" x14ac:dyDescent="0.2">
      <c r="A374" s="58"/>
      <c r="B374" s="138"/>
    </row>
    <row r="375" spans="1:2" s="59" customFormat="1" x14ac:dyDescent="0.2">
      <c r="A375" s="58"/>
      <c r="B375" s="138"/>
    </row>
    <row r="376" spans="1:2" s="59" customFormat="1" x14ac:dyDescent="0.2">
      <c r="A376" s="58"/>
      <c r="B376" s="138"/>
    </row>
    <row r="377" spans="1:2" s="59" customFormat="1" x14ac:dyDescent="0.2">
      <c r="A377" s="58"/>
      <c r="B377" s="138"/>
    </row>
    <row r="378" spans="1:2" s="59" customFormat="1" x14ac:dyDescent="0.2">
      <c r="A378" s="58"/>
      <c r="B378" s="138"/>
    </row>
    <row r="379" spans="1:2" s="59" customFormat="1" x14ac:dyDescent="0.2">
      <c r="A379" s="58"/>
      <c r="B379" s="138"/>
    </row>
    <row r="380" spans="1:2" s="59" customFormat="1" x14ac:dyDescent="0.2">
      <c r="A380" s="58"/>
      <c r="B380" s="138"/>
    </row>
    <row r="381" spans="1:2" s="59" customFormat="1" x14ac:dyDescent="0.2">
      <c r="A381" s="58"/>
      <c r="B381" s="138"/>
    </row>
    <row r="382" spans="1:2" s="59" customFormat="1" x14ac:dyDescent="0.2">
      <c r="A382" s="58"/>
      <c r="B382" s="138"/>
    </row>
    <row r="383" spans="1:2" s="59" customFormat="1" x14ac:dyDescent="0.2">
      <c r="A383" s="58"/>
      <c r="B383" s="138"/>
    </row>
    <row r="384" spans="1:2" s="59" customFormat="1" x14ac:dyDescent="0.2">
      <c r="A384" s="58"/>
      <c r="B384" s="138"/>
    </row>
    <row r="385" spans="1:2" s="59" customFormat="1" x14ac:dyDescent="0.2">
      <c r="A385" s="58"/>
      <c r="B385" s="138"/>
    </row>
    <row r="386" spans="1:2" s="59" customFormat="1" x14ac:dyDescent="0.2">
      <c r="A386" s="58"/>
      <c r="B386" s="138"/>
    </row>
    <row r="387" spans="1:2" s="59" customFormat="1" x14ac:dyDescent="0.2">
      <c r="A387" s="58"/>
      <c r="B387" s="138"/>
    </row>
    <row r="388" spans="1:2" s="59" customFormat="1" x14ac:dyDescent="0.2">
      <c r="A388" s="58"/>
      <c r="B388" s="138"/>
    </row>
    <row r="389" spans="1:2" s="59" customFormat="1" x14ac:dyDescent="0.2">
      <c r="A389" s="58"/>
      <c r="B389" s="138"/>
    </row>
    <row r="390" spans="1:2" s="59" customFormat="1" x14ac:dyDescent="0.2">
      <c r="A390" s="58"/>
      <c r="B390" s="138"/>
    </row>
    <row r="391" spans="1:2" s="59" customFormat="1" x14ac:dyDescent="0.2">
      <c r="A391" s="58"/>
      <c r="B391" s="138"/>
    </row>
    <row r="392" spans="1:2" s="59" customFormat="1" x14ac:dyDescent="0.2">
      <c r="A392" s="58"/>
      <c r="B392" s="138"/>
    </row>
    <row r="393" spans="1:2" s="59" customFormat="1" x14ac:dyDescent="0.2">
      <c r="A393" s="58"/>
      <c r="B393" s="138"/>
    </row>
    <row r="394" spans="1:2" s="59" customFormat="1" x14ac:dyDescent="0.2">
      <c r="A394" s="58"/>
      <c r="B394" s="138"/>
    </row>
    <row r="395" spans="1:2" s="59" customFormat="1" x14ac:dyDescent="0.2">
      <c r="A395" s="58"/>
      <c r="B395" s="138"/>
    </row>
    <row r="396" spans="1:2" s="59" customFormat="1" x14ac:dyDescent="0.2">
      <c r="A396" s="58"/>
      <c r="B396" s="138"/>
    </row>
    <row r="397" spans="1:2" s="59" customFormat="1" x14ac:dyDescent="0.2">
      <c r="A397" s="58"/>
      <c r="B397" s="138"/>
    </row>
    <row r="398" spans="1:2" s="59" customFormat="1" x14ac:dyDescent="0.2">
      <c r="A398" s="58"/>
      <c r="B398" s="138"/>
    </row>
    <row r="399" spans="1:2" s="59" customFormat="1" x14ac:dyDescent="0.2">
      <c r="A399" s="58"/>
      <c r="B399" s="138"/>
    </row>
    <row r="400" spans="1:2" s="59" customFormat="1" x14ac:dyDescent="0.2">
      <c r="A400" s="58"/>
      <c r="B400" s="138"/>
    </row>
    <row r="401" spans="1:2" s="59" customFormat="1" x14ac:dyDescent="0.2">
      <c r="A401" s="58"/>
      <c r="B401" s="138"/>
    </row>
    <row r="402" spans="1:2" s="59" customFormat="1" x14ac:dyDescent="0.2">
      <c r="A402" s="58"/>
      <c r="B402" s="138"/>
    </row>
    <row r="403" spans="1:2" s="59" customFormat="1" x14ac:dyDescent="0.2">
      <c r="A403" s="58"/>
      <c r="B403" s="138"/>
    </row>
    <row r="404" spans="1:2" s="59" customFormat="1" x14ac:dyDescent="0.2">
      <c r="A404" s="58"/>
      <c r="B404" s="138"/>
    </row>
    <row r="405" spans="1:2" s="59" customFormat="1" x14ac:dyDescent="0.2">
      <c r="A405" s="58"/>
      <c r="B405" s="138"/>
    </row>
    <row r="406" spans="1:2" s="59" customFormat="1" x14ac:dyDescent="0.2">
      <c r="A406" s="58"/>
      <c r="B406" s="138"/>
    </row>
    <row r="407" spans="1:2" s="59" customFormat="1" x14ac:dyDescent="0.2">
      <c r="A407" s="58"/>
      <c r="B407" s="138"/>
    </row>
    <row r="408" spans="1:2" s="59" customFormat="1" x14ac:dyDescent="0.2">
      <c r="A408" s="58"/>
      <c r="B408" s="138"/>
    </row>
    <row r="409" spans="1:2" s="59" customFormat="1" x14ac:dyDescent="0.2">
      <c r="A409" s="58"/>
      <c r="B409" s="138"/>
    </row>
    <row r="410" spans="1:2" s="59" customFormat="1" x14ac:dyDescent="0.2">
      <c r="A410" s="58"/>
      <c r="B410" s="138"/>
    </row>
    <row r="411" spans="1:2" s="59" customFormat="1" x14ac:dyDescent="0.2">
      <c r="A411" s="58"/>
      <c r="B411" s="138"/>
    </row>
    <row r="412" spans="1:2" s="59" customFormat="1" x14ac:dyDescent="0.2">
      <c r="A412" s="58"/>
      <c r="B412" s="138"/>
    </row>
    <row r="413" spans="1:2" s="59" customFormat="1" x14ac:dyDescent="0.2">
      <c r="A413" s="58"/>
      <c r="B413" s="138"/>
    </row>
    <row r="414" spans="1:2" s="59" customFormat="1" x14ac:dyDescent="0.2">
      <c r="A414" s="58"/>
      <c r="B414" s="138"/>
    </row>
    <row r="415" spans="1:2" s="59" customFormat="1" x14ac:dyDescent="0.2">
      <c r="A415" s="58"/>
      <c r="B415" s="138"/>
    </row>
    <row r="416" spans="1:2" s="59" customFormat="1" x14ac:dyDescent="0.2">
      <c r="A416" s="58"/>
      <c r="B416" s="138"/>
    </row>
    <row r="417" spans="1:2" s="59" customFormat="1" x14ac:dyDescent="0.2">
      <c r="A417" s="58"/>
      <c r="B417" s="138"/>
    </row>
    <row r="418" spans="1:2" s="59" customFormat="1" x14ac:dyDescent="0.2">
      <c r="A418" s="58"/>
      <c r="B418" s="138"/>
    </row>
    <row r="419" spans="1:2" s="59" customFormat="1" x14ac:dyDescent="0.2">
      <c r="A419" s="58"/>
      <c r="B419" s="138"/>
    </row>
    <row r="420" spans="1:2" s="59" customFormat="1" x14ac:dyDescent="0.2">
      <c r="A420" s="58"/>
      <c r="B420" s="138"/>
    </row>
    <row r="421" spans="1:2" s="59" customFormat="1" x14ac:dyDescent="0.2">
      <c r="A421" s="58"/>
      <c r="B421" s="138"/>
    </row>
    <row r="422" spans="1:2" s="59" customFormat="1" x14ac:dyDescent="0.2">
      <c r="A422" s="58"/>
      <c r="B422" s="138"/>
    </row>
    <row r="423" spans="1:2" s="59" customFormat="1" x14ac:dyDescent="0.2">
      <c r="A423" s="58"/>
      <c r="B423" s="138"/>
    </row>
    <row r="424" spans="1:2" s="59" customFormat="1" x14ac:dyDescent="0.2">
      <c r="A424" s="58"/>
      <c r="B424" s="138"/>
    </row>
    <row r="425" spans="1:2" s="59" customFormat="1" x14ac:dyDescent="0.2">
      <c r="A425" s="58"/>
      <c r="B425" s="138"/>
    </row>
    <row r="426" spans="1:2" s="59" customFormat="1" x14ac:dyDescent="0.2">
      <c r="A426" s="58"/>
      <c r="B426" s="138"/>
    </row>
    <row r="427" spans="1:2" s="59" customFormat="1" x14ac:dyDescent="0.2">
      <c r="A427" s="58"/>
      <c r="B427" s="138"/>
    </row>
    <row r="428" spans="1:2" s="59" customFormat="1" x14ac:dyDescent="0.2">
      <c r="A428" s="58"/>
      <c r="B428" s="138"/>
    </row>
    <row r="429" spans="1:2" s="59" customFormat="1" x14ac:dyDescent="0.2">
      <c r="A429" s="58"/>
      <c r="B429" s="138"/>
    </row>
    <row r="430" spans="1:2" s="59" customFormat="1" x14ac:dyDescent="0.2">
      <c r="A430" s="58"/>
      <c r="B430" s="138"/>
    </row>
    <row r="431" spans="1:2" s="59" customFormat="1" x14ac:dyDescent="0.2">
      <c r="A431" s="58"/>
      <c r="B431" s="138"/>
    </row>
    <row r="432" spans="1:2" s="59" customFormat="1" x14ac:dyDescent="0.2">
      <c r="A432" s="58"/>
      <c r="B432" s="138"/>
    </row>
    <row r="433" spans="1:2" s="59" customFormat="1" x14ac:dyDescent="0.2">
      <c r="A433" s="58"/>
      <c r="B433" s="138"/>
    </row>
    <row r="434" spans="1:2" s="59" customFormat="1" x14ac:dyDescent="0.2">
      <c r="A434" s="58"/>
      <c r="B434" s="138"/>
    </row>
    <row r="435" spans="1:2" s="59" customFormat="1" x14ac:dyDescent="0.2">
      <c r="A435" s="58"/>
      <c r="B435" s="138"/>
    </row>
    <row r="436" spans="1:2" s="59" customFormat="1" x14ac:dyDescent="0.2">
      <c r="A436" s="58"/>
      <c r="B436" s="138"/>
    </row>
    <row r="437" spans="1:2" s="59" customFormat="1" x14ac:dyDescent="0.2">
      <c r="A437" s="58"/>
      <c r="B437" s="138"/>
    </row>
    <row r="438" spans="1:2" s="59" customFormat="1" x14ac:dyDescent="0.2">
      <c r="A438" s="58"/>
      <c r="B438" s="138"/>
    </row>
    <row r="439" spans="1:2" s="59" customFormat="1" x14ac:dyDescent="0.2">
      <c r="A439" s="58"/>
      <c r="B439" s="138"/>
    </row>
    <row r="440" spans="1:2" s="59" customFormat="1" x14ac:dyDescent="0.2">
      <c r="A440" s="58"/>
      <c r="B440" s="138"/>
    </row>
    <row r="441" spans="1:2" s="59" customFormat="1" x14ac:dyDescent="0.2">
      <c r="A441" s="58"/>
      <c r="B441" s="138"/>
    </row>
    <row r="442" spans="1:2" s="59" customFormat="1" x14ac:dyDescent="0.2">
      <c r="A442" s="58"/>
      <c r="B442" s="138"/>
    </row>
    <row r="443" spans="1:2" s="59" customFormat="1" x14ac:dyDescent="0.2">
      <c r="A443" s="58"/>
      <c r="B443" s="138"/>
    </row>
    <row r="444" spans="1:2" s="59" customFormat="1" x14ac:dyDescent="0.2">
      <c r="A444" s="58"/>
      <c r="B444" s="138"/>
    </row>
    <row r="445" spans="1:2" s="59" customFormat="1" x14ac:dyDescent="0.2">
      <c r="A445" s="58"/>
      <c r="B445" s="138"/>
    </row>
    <row r="446" spans="1:2" s="59" customFormat="1" x14ac:dyDescent="0.2">
      <c r="A446" s="58"/>
      <c r="B446" s="138"/>
    </row>
    <row r="447" spans="1:2" s="59" customFormat="1" x14ac:dyDescent="0.2">
      <c r="A447" s="58"/>
      <c r="B447" s="138"/>
    </row>
    <row r="448" spans="1:2" s="59" customFormat="1" x14ac:dyDescent="0.2">
      <c r="A448" s="58"/>
      <c r="B448" s="138"/>
    </row>
    <row r="449" spans="1:2" s="59" customFormat="1" x14ac:dyDescent="0.2">
      <c r="A449" s="58"/>
      <c r="B449" s="138"/>
    </row>
    <row r="450" spans="1:2" s="59" customFormat="1" x14ac:dyDescent="0.2">
      <c r="A450" s="58"/>
      <c r="B450" s="138"/>
    </row>
    <row r="451" spans="1:2" s="59" customFormat="1" x14ac:dyDescent="0.2">
      <c r="A451" s="58"/>
      <c r="B451" s="138"/>
    </row>
    <row r="452" spans="1:2" s="59" customFormat="1" x14ac:dyDescent="0.2">
      <c r="A452" s="58"/>
      <c r="B452" s="138"/>
    </row>
    <row r="453" spans="1:2" s="59" customFormat="1" x14ac:dyDescent="0.2">
      <c r="A453" s="58"/>
      <c r="B453" s="138"/>
    </row>
    <row r="454" spans="1:2" s="59" customFormat="1" x14ac:dyDescent="0.2">
      <c r="A454" s="58"/>
      <c r="B454" s="138"/>
    </row>
    <row r="455" spans="1:2" s="59" customFormat="1" x14ac:dyDescent="0.2">
      <c r="A455" s="58"/>
      <c r="B455" s="138"/>
    </row>
    <row r="456" spans="1:2" s="59" customFormat="1" x14ac:dyDescent="0.2">
      <c r="A456" s="58"/>
      <c r="B456" s="138"/>
    </row>
    <row r="457" spans="1:2" s="59" customFormat="1" x14ac:dyDescent="0.2">
      <c r="A457" s="58"/>
      <c r="B457" s="138"/>
    </row>
    <row r="458" spans="1:2" s="59" customFormat="1" x14ac:dyDescent="0.2">
      <c r="A458" s="58"/>
      <c r="B458" s="138"/>
    </row>
    <row r="459" spans="1:2" s="59" customFormat="1" x14ac:dyDescent="0.2">
      <c r="A459" s="58"/>
      <c r="B459" s="138"/>
    </row>
    <row r="460" spans="1:2" s="59" customFormat="1" x14ac:dyDescent="0.2">
      <c r="A460" s="58"/>
      <c r="B460" s="138"/>
    </row>
    <row r="461" spans="1:2" s="59" customFormat="1" x14ac:dyDescent="0.2">
      <c r="A461" s="58"/>
      <c r="B461" s="138"/>
    </row>
    <row r="462" spans="1:2" s="59" customFormat="1" x14ac:dyDescent="0.2">
      <c r="A462" s="58"/>
      <c r="B462" s="138"/>
    </row>
    <row r="463" spans="1:2" s="59" customFormat="1" x14ac:dyDescent="0.2">
      <c r="A463" s="58"/>
      <c r="B463" s="138"/>
    </row>
    <row r="464" spans="1:2" s="59" customFormat="1" x14ac:dyDescent="0.2">
      <c r="A464" s="58"/>
      <c r="B464" s="138"/>
    </row>
    <row r="465" spans="1:2" s="59" customFormat="1" x14ac:dyDescent="0.2">
      <c r="A465" s="58"/>
      <c r="B465" s="138"/>
    </row>
    <row r="466" spans="1:2" s="59" customFormat="1" x14ac:dyDescent="0.2">
      <c r="A466" s="58"/>
      <c r="B466" s="138"/>
    </row>
    <row r="467" spans="1:2" s="59" customFormat="1" x14ac:dyDescent="0.2">
      <c r="A467" s="58"/>
      <c r="B467" s="138"/>
    </row>
    <row r="468" spans="1:2" s="59" customFormat="1" x14ac:dyDescent="0.2">
      <c r="A468" s="58"/>
      <c r="B468" s="138"/>
    </row>
    <row r="469" spans="1:2" s="59" customFormat="1" x14ac:dyDescent="0.2">
      <c r="A469" s="58"/>
      <c r="B469" s="138"/>
    </row>
    <row r="470" spans="1:2" s="59" customFormat="1" x14ac:dyDescent="0.2">
      <c r="A470" s="58"/>
      <c r="B470" s="138"/>
    </row>
    <row r="471" spans="1:2" s="59" customFormat="1" x14ac:dyDescent="0.2">
      <c r="A471" s="58"/>
      <c r="B471" s="138"/>
    </row>
    <row r="472" spans="1:2" s="59" customFormat="1" x14ac:dyDescent="0.2">
      <c r="A472" s="58"/>
      <c r="B472" s="138"/>
    </row>
    <row r="473" spans="1:2" s="59" customFormat="1" x14ac:dyDescent="0.2">
      <c r="A473" s="58"/>
      <c r="B473" s="138"/>
    </row>
    <row r="474" spans="1:2" s="59" customFormat="1" x14ac:dyDescent="0.2">
      <c r="A474" s="58"/>
      <c r="B474" s="138"/>
    </row>
    <row r="475" spans="1:2" s="59" customFormat="1" x14ac:dyDescent="0.2">
      <c r="A475" s="58"/>
      <c r="B475" s="138"/>
    </row>
    <row r="476" spans="1:2" s="59" customFormat="1" x14ac:dyDescent="0.2">
      <c r="A476" s="58"/>
      <c r="B476" s="138"/>
    </row>
    <row r="477" spans="1:2" s="59" customFormat="1" x14ac:dyDescent="0.2">
      <c r="A477" s="58"/>
      <c r="B477" s="138"/>
    </row>
    <row r="478" spans="1:2" s="59" customFormat="1" x14ac:dyDescent="0.2">
      <c r="A478" s="58"/>
      <c r="B478" s="138"/>
    </row>
    <row r="479" spans="1:2" s="59" customFormat="1" x14ac:dyDescent="0.2">
      <c r="A479" s="58"/>
      <c r="B479" s="138"/>
    </row>
    <row r="480" spans="1:2" s="59" customFormat="1" x14ac:dyDescent="0.2">
      <c r="A480" s="58"/>
      <c r="B480" s="138"/>
    </row>
    <row r="481" spans="1:2" s="59" customFormat="1" x14ac:dyDescent="0.2">
      <c r="A481" s="58"/>
      <c r="B481" s="138"/>
    </row>
    <row r="482" spans="1:2" s="59" customFormat="1" x14ac:dyDescent="0.2">
      <c r="A482" s="58"/>
      <c r="B482" s="138"/>
    </row>
    <row r="483" spans="1:2" s="59" customFormat="1" x14ac:dyDescent="0.2">
      <c r="A483" s="58"/>
      <c r="B483" s="138"/>
    </row>
    <row r="484" spans="1:2" s="59" customFormat="1" x14ac:dyDescent="0.2">
      <c r="A484" s="58"/>
      <c r="B484" s="138"/>
    </row>
    <row r="485" spans="1:2" s="59" customFormat="1" x14ac:dyDescent="0.2">
      <c r="A485" s="58"/>
      <c r="B485" s="138"/>
    </row>
    <row r="486" spans="1:2" s="59" customFormat="1" x14ac:dyDescent="0.2">
      <c r="A486" s="58"/>
      <c r="B486" s="138"/>
    </row>
    <row r="487" spans="1:2" s="59" customFormat="1" x14ac:dyDescent="0.2">
      <c r="A487" s="58"/>
      <c r="B487" s="138"/>
    </row>
    <row r="488" spans="1:2" s="59" customFormat="1" x14ac:dyDescent="0.2">
      <c r="A488" s="58"/>
      <c r="B488" s="138"/>
    </row>
    <row r="489" spans="1:2" s="59" customFormat="1" x14ac:dyDescent="0.2">
      <c r="A489" s="58"/>
      <c r="B489" s="138"/>
    </row>
    <row r="490" spans="1:2" s="59" customFormat="1" x14ac:dyDescent="0.2">
      <c r="A490" s="58"/>
      <c r="B490" s="138"/>
    </row>
    <row r="491" spans="1:2" s="59" customFormat="1" x14ac:dyDescent="0.2">
      <c r="A491" s="58"/>
      <c r="B491" s="138"/>
    </row>
    <row r="492" spans="1:2" s="59" customFormat="1" x14ac:dyDescent="0.2">
      <c r="A492" s="58"/>
      <c r="B492" s="138"/>
    </row>
    <row r="493" spans="1:2" s="59" customFormat="1" x14ac:dyDescent="0.2">
      <c r="A493" s="58"/>
      <c r="B493" s="138"/>
    </row>
    <row r="494" spans="1:2" s="59" customFormat="1" x14ac:dyDescent="0.2">
      <c r="A494" s="58"/>
      <c r="B494" s="138"/>
    </row>
    <row r="495" spans="1:2" s="59" customFormat="1" x14ac:dyDescent="0.2">
      <c r="A495" s="58"/>
      <c r="B495" s="138"/>
    </row>
    <row r="496" spans="1:2" s="59" customFormat="1" x14ac:dyDescent="0.2">
      <c r="A496" s="58"/>
      <c r="B496" s="138"/>
    </row>
    <row r="497" spans="1:2" s="59" customFormat="1" x14ac:dyDescent="0.2">
      <c r="A497" s="58"/>
      <c r="B497" s="138"/>
    </row>
    <row r="498" spans="1:2" s="59" customFormat="1" x14ac:dyDescent="0.2">
      <c r="A498" s="58"/>
      <c r="B498" s="138"/>
    </row>
    <row r="499" spans="1:2" s="59" customFormat="1" x14ac:dyDescent="0.2">
      <c r="A499" s="58"/>
      <c r="B499" s="138"/>
    </row>
    <row r="500" spans="1:2" s="59" customFormat="1" x14ac:dyDescent="0.2">
      <c r="A500" s="58"/>
      <c r="B500" s="138"/>
    </row>
    <row r="501" spans="1:2" s="59" customFormat="1" x14ac:dyDescent="0.2">
      <c r="A501" s="58"/>
      <c r="B501" s="138"/>
    </row>
    <row r="502" spans="1:2" s="59" customFormat="1" x14ac:dyDescent="0.2">
      <c r="A502" s="58"/>
      <c r="B502" s="138"/>
    </row>
    <row r="503" spans="1:2" s="59" customFormat="1" x14ac:dyDescent="0.2">
      <c r="A503" s="58"/>
      <c r="B503" s="138"/>
    </row>
    <row r="504" spans="1:2" s="59" customFormat="1" x14ac:dyDescent="0.2">
      <c r="A504" s="58"/>
      <c r="B504" s="138"/>
    </row>
    <row r="505" spans="1:2" s="59" customFormat="1" x14ac:dyDescent="0.2">
      <c r="A505" s="58"/>
      <c r="B505" s="138"/>
    </row>
    <row r="506" spans="1:2" s="59" customFormat="1" x14ac:dyDescent="0.2">
      <c r="A506" s="58"/>
      <c r="B506" s="138"/>
    </row>
    <row r="507" spans="1:2" s="59" customFormat="1" x14ac:dyDescent="0.2">
      <c r="A507" s="58"/>
      <c r="B507" s="138"/>
    </row>
    <row r="508" spans="1:2" s="59" customFormat="1" x14ac:dyDescent="0.2">
      <c r="A508" s="58"/>
      <c r="B508" s="138"/>
    </row>
    <row r="509" spans="1:2" s="59" customFormat="1" x14ac:dyDescent="0.2">
      <c r="A509" s="58"/>
      <c r="B509" s="138"/>
    </row>
    <row r="510" spans="1:2" s="59" customFormat="1" x14ac:dyDescent="0.2">
      <c r="A510" s="58"/>
      <c r="B510" s="138"/>
    </row>
    <row r="511" spans="1:2" s="59" customFormat="1" x14ac:dyDescent="0.2">
      <c r="A511" s="58"/>
      <c r="B511" s="138"/>
    </row>
    <row r="512" spans="1:2" s="59" customFormat="1" x14ac:dyDescent="0.2">
      <c r="A512" s="58"/>
      <c r="B512" s="138"/>
    </row>
    <row r="513" spans="1:2" s="59" customFormat="1" x14ac:dyDescent="0.2">
      <c r="A513" s="58"/>
      <c r="B513" s="138"/>
    </row>
    <row r="514" spans="1:2" s="59" customFormat="1" x14ac:dyDescent="0.2">
      <c r="A514" s="58"/>
      <c r="B514" s="138"/>
    </row>
    <row r="515" spans="1:2" s="59" customFormat="1" x14ac:dyDescent="0.2">
      <c r="A515" s="58"/>
      <c r="B515" s="138"/>
    </row>
    <row r="516" spans="1:2" s="59" customFormat="1" x14ac:dyDescent="0.2">
      <c r="A516" s="58"/>
      <c r="B516" s="138"/>
    </row>
    <row r="517" spans="1:2" s="59" customFormat="1" x14ac:dyDescent="0.2">
      <c r="A517" s="58"/>
      <c r="B517" s="138"/>
    </row>
    <row r="518" spans="1:2" s="59" customFormat="1" x14ac:dyDescent="0.2">
      <c r="A518" s="58"/>
      <c r="B518" s="138"/>
    </row>
    <row r="519" spans="1:2" s="59" customFormat="1" x14ac:dyDescent="0.2">
      <c r="A519" s="58"/>
      <c r="B519" s="138"/>
    </row>
    <row r="520" spans="1:2" s="59" customFormat="1" x14ac:dyDescent="0.2">
      <c r="A520" s="58"/>
      <c r="B520" s="138"/>
    </row>
    <row r="521" spans="1:2" s="59" customFormat="1" x14ac:dyDescent="0.2">
      <c r="A521" s="58"/>
      <c r="B521" s="138"/>
    </row>
    <row r="522" spans="1:2" s="59" customFormat="1" x14ac:dyDescent="0.2">
      <c r="A522" s="58"/>
      <c r="B522" s="138"/>
    </row>
    <row r="523" spans="1:2" s="59" customFormat="1" x14ac:dyDescent="0.2">
      <c r="A523" s="58"/>
      <c r="B523" s="138"/>
    </row>
    <row r="524" spans="1:2" s="59" customFormat="1" x14ac:dyDescent="0.2">
      <c r="A524" s="58"/>
      <c r="B524" s="138"/>
    </row>
    <row r="525" spans="1:2" s="59" customFormat="1" x14ac:dyDescent="0.2">
      <c r="A525" s="58"/>
      <c r="B525" s="138"/>
    </row>
    <row r="526" spans="1:2" s="59" customFormat="1" x14ac:dyDescent="0.2">
      <c r="A526" s="58"/>
      <c r="B526" s="138"/>
    </row>
    <row r="527" spans="1:2" s="59" customFormat="1" x14ac:dyDescent="0.2">
      <c r="A527" s="58"/>
      <c r="B527" s="138"/>
    </row>
    <row r="528" spans="1:2" s="59" customFormat="1" x14ac:dyDescent="0.2">
      <c r="A528" s="58"/>
      <c r="B528" s="138"/>
    </row>
    <row r="529" spans="1:2" s="59" customFormat="1" x14ac:dyDescent="0.2">
      <c r="A529" s="58"/>
      <c r="B529" s="138"/>
    </row>
    <row r="530" spans="1:2" s="59" customFormat="1" x14ac:dyDescent="0.2">
      <c r="A530" s="58"/>
      <c r="B530" s="138"/>
    </row>
    <row r="531" spans="1:2" s="59" customFormat="1" x14ac:dyDescent="0.2">
      <c r="A531" s="58"/>
      <c r="B531" s="138"/>
    </row>
    <row r="532" spans="1:2" s="59" customFormat="1" x14ac:dyDescent="0.2">
      <c r="A532" s="58"/>
      <c r="B532" s="138"/>
    </row>
    <row r="533" spans="1:2" s="59" customFormat="1" x14ac:dyDescent="0.2">
      <c r="A533" s="58"/>
      <c r="B533" s="138"/>
    </row>
    <row r="534" spans="1:2" s="59" customFormat="1" x14ac:dyDescent="0.2">
      <c r="A534" s="58"/>
      <c r="B534" s="138"/>
    </row>
    <row r="535" spans="1:2" s="59" customFormat="1" x14ac:dyDescent="0.2">
      <c r="A535" s="58"/>
      <c r="B535" s="138"/>
    </row>
    <row r="536" spans="1:2" s="59" customFormat="1" x14ac:dyDescent="0.2">
      <c r="A536" s="58"/>
      <c r="B536" s="138"/>
    </row>
    <row r="537" spans="1:2" s="59" customFormat="1" x14ac:dyDescent="0.2">
      <c r="A537" s="58"/>
      <c r="B537" s="138"/>
    </row>
    <row r="538" spans="1:2" s="59" customFormat="1" x14ac:dyDescent="0.2">
      <c r="A538" s="58"/>
      <c r="B538" s="138"/>
    </row>
    <row r="539" spans="1:2" s="59" customFormat="1" x14ac:dyDescent="0.2">
      <c r="A539" s="58"/>
      <c r="B539" s="138"/>
    </row>
    <row r="540" spans="1:2" s="59" customFormat="1" x14ac:dyDescent="0.2">
      <c r="A540" s="58"/>
      <c r="B540" s="138"/>
    </row>
    <row r="541" spans="1:2" s="59" customFormat="1" x14ac:dyDescent="0.2">
      <c r="A541" s="58"/>
      <c r="B541" s="138"/>
    </row>
    <row r="542" spans="1:2" s="59" customFormat="1" x14ac:dyDescent="0.2">
      <c r="A542" s="58"/>
      <c r="B542" s="138"/>
    </row>
    <row r="543" spans="1:2" s="59" customFormat="1" x14ac:dyDescent="0.2">
      <c r="A543" s="58"/>
      <c r="B543" s="138"/>
    </row>
    <row r="544" spans="1:2" s="59" customFormat="1" x14ac:dyDescent="0.2">
      <c r="A544" s="58"/>
      <c r="B544" s="138"/>
    </row>
    <row r="545" spans="1:2" s="59" customFormat="1" x14ac:dyDescent="0.2">
      <c r="A545" s="58"/>
      <c r="B545" s="138"/>
    </row>
    <row r="546" spans="1:2" s="59" customFormat="1" x14ac:dyDescent="0.2">
      <c r="A546" s="58"/>
      <c r="B546" s="138"/>
    </row>
    <row r="547" spans="1:2" s="59" customFormat="1" x14ac:dyDescent="0.2">
      <c r="A547" s="58"/>
      <c r="B547" s="138"/>
    </row>
    <row r="548" spans="1:2" s="59" customFormat="1" x14ac:dyDescent="0.2">
      <c r="A548" s="58"/>
      <c r="B548" s="138"/>
    </row>
    <row r="549" spans="1:2" s="59" customFormat="1" x14ac:dyDescent="0.2">
      <c r="A549" s="58"/>
      <c r="B549" s="138"/>
    </row>
    <row r="550" spans="1:2" s="59" customFormat="1" x14ac:dyDescent="0.2">
      <c r="A550" s="58"/>
      <c r="B550" s="138"/>
    </row>
    <row r="551" spans="1:2" s="59" customFormat="1" x14ac:dyDescent="0.2">
      <c r="A551" s="58"/>
      <c r="B551" s="138"/>
    </row>
    <row r="552" spans="1:2" s="59" customFormat="1" x14ac:dyDescent="0.2">
      <c r="A552" s="58"/>
      <c r="B552" s="138"/>
    </row>
    <row r="553" spans="1:2" s="59" customFormat="1" x14ac:dyDescent="0.2">
      <c r="A553" s="58"/>
      <c r="B553" s="138"/>
    </row>
    <row r="554" spans="1:2" s="59" customFormat="1" x14ac:dyDescent="0.2">
      <c r="A554" s="58"/>
      <c r="B554" s="138"/>
    </row>
    <row r="555" spans="1:2" s="59" customFormat="1" x14ac:dyDescent="0.2">
      <c r="A555" s="58"/>
      <c r="B555" s="138"/>
    </row>
    <row r="556" spans="1:2" s="59" customFormat="1" x14ac:dyDescent="0.2">
      <c r="A556" s="58"/>
      <c r="B556" s="138"/>
    </row>
    <row r="557" spans="1:2" s="59" customFormat="1" x14ac:dyDescent="0.2">
      <c r="A557" s="58"/>
      <c r="B557" s="138"/>
    </row>
    <row r="558" spans="1:2" s="59" customFormat="1" x14ac:dyDescent="0.2">
      <c r="A558" s="58"/>
      <c r="B558" s="138"/>
    </row>
    <row r="559" spans="1:2" s="59" customFormat="1" x14ac:dyDescent="0.2">
      <c r="A559" s="58"/>
      <c r="B559" s="138"/>
    </row>
    <row r="560" spans="1:2" s="59" customFormat="1" x14ac:dyDescent="0.2">
      <c r="A560" s="58"/>
      <c r="B560" s="138"/>
    </row>
    <row r="561" spans="1:2" s="59" customFormat="1" x14ac:dyDescent="0.2">
      <c r="A561" s="58"/>
      <c r="B561" s="138"/>
    </row>
    <row r="562" spans="1:2" s="59" customFormat="1" x14ac:dyDescent="0.2">
      <c r="A562" s="58"/>
      <c r="B562" s="138"/>
    </row>
    <row r="563" spans="1:2" s="59" customFormat="1" x14ac:dyDescent="0.2">
      <c r="A563" s="58"/>
      <c r="B563" s="138"/>
    </row>
    <row r="564" spans="1:2" s="59" customFormat="1" x14ac:dyDescent="0.2">
      <c r="A564" s="58"/>
      <c r="B564" s="138"/>
    </row>
    <row r="565" spans="1:2" s="59" customFormat="1" x14ac:dyDescent="0.2">
      <c r="A565" s="58"/>
      <c r="B565" s="138"/>
    </row>
    <row r="566" spans="1:2" s="59" customFormat="1" x14ac:dyDescent="0.2">
      <c r="A566" s="58"/>
      <c r="B566" s="138"/>
    </row>
    <row r="567" spans="1:2" s="59" customFormat="1" x14ac:dyDescent="0.2">
      <c r="A567" s="58"/>
      <c r="B567" s="138"/>
    </row>
    <row r="568" spans="1:2" s="59" customFormat="1" x14ac:dyDescent="0.2">
      <c r="A568" s="58"/>
      <c r="B568" s="138"/>
    </row>
    <row r="569" spans="1:2" s="59" customFormat="1" x14ac:dyDescent="0.2">
      <c r="A569" s="58"/>
      <c r="B569" s="138"/>
    </row>
    <row r="570" spans="1:2" s="59" customFormat="1" x14ac:dyDescent="0.2">
      <c r="A570" s="58"/>
      <c r="B570" s="138"/>
    </row>
    <row r="571" spans="1:2" s="59" customFormat="1" x14ac:dyDescent="0.2">
      <c r="A571" s="58"/>
      <c r="B571" s="138"/>
    </row>
    <row r="572" spans="1:2" s="59" customFormat="1" x14ac:dyDescent="0.2">
      <c r="A572" s="58"/>
      <c r="B572" s="138"/>
    </row>
    <row r="573" spans="1:2" s="59" customFormat="1" x14ac:dyDescent="0.2">
      <c r="A573" s="58"/>
      <c r="B573" s="138"/>
    </row>
    <row r="574" spans="1:2" s="59" customFormat="1" x14ac:dyDescent="0.2">
      <c r="A574" s="58"/>
      <c r="B574" s="138"/>
    </row>
    <row r="575" spans="1:2" s="59" customFormat="1" x14ac:dyDescent="0.2">
      <c r="A575" s="58"/>
      <c r="B575" s="138"/>
    </row>
    <row r="576" spans="1:2" s="59" customFormat="1" x14ac:dyDescent="0.2">
      <c r="A576" s="58"/>
      <c r="B576" s="138"/>
    </row>
    <row r="577" spans="1:2" s="59" customFormat="1" x14ac:dyDescent="0.2">
      <c r="A577" s="58"/>
      <c r="B577" s="138"/>
    </row>
    <row r="578" spans="1:2" s="59" customFormat="1" x14ac:dyDescent="0.2">
      <c r="A578" s="58"/>
      <c r="B578" s="138"/>
    </row>
    <row r="579" spans="1:2" s="59" customFormat="1" x14ac:dyDescent="0.2">
      <c r="A579" s="58"/>
      <c r="B579" s="138"/>
    </row>
    <row r="580" spans="1:2" s="59" customFormat="1" x14ac:dyDescent="0.2">
      <c r="A580" s="58"/>
      <c r="B580" s="138"/>
    </row>
    <row r="581" spans="1:2" s="59" customFormat="1" x14ac:dyDescent="0.2">
      <c r="A581" s="58"/>
      <c r="B581" s="138"/>
    </row>
    <row r="582" spans="1:2" s="59" customFormat="1" x14ac:dyDescent="0.2">
      <c r="A582" s="58"/>
      <c r="B582" s="138"/>
    </row>
    <row r="583" spans="1:2" s="59" customFormat="1" x14ac:dyDescent="0.2">
      <c r="A583" s="58"/>
      <c r="B583" s="138"/>
    </row>
    <row r="584" spans="1:2" s="59" customFormat="1" x14ac:dyDescent="0.2">
      <c r="A584" s="58"/>
      <c r="B584" s="138"/>
    </row>
    <row r="585" spans="1:2" s="59" customFormat="1" x14ac:dyDescent="0.2">
      <c r="A585" s="58"/>
      <c r="B585" s="138"/>
    </row>
    <row r="586" spans="1:2" s="59" customFormat="1" x14ac:dyDescent="0.2">
      <c r="A586" s="58"/>
      <c r="B586" s="138"/>
    </row>
    <row r="587" spans="1:2" s="59" customFormat="1" x14ac:dyDescent="0.2">
      <c r="A587" s="58"/>
      <c r="B587" s="138"/>
    </row>
    <row r="588" spans="1:2" s="59" customFormat="1" x14ac:dyDescent="0.2">
      <c r="A588" s="58"/>
      <c r="B588" s="138"/>
    </row>
    <row r="589" spans="1:2" s="59" customFormat="1" x14ac:dyDescent="0.2">
      <c r="A589" s="58"/>
      <c r="B589" s="138"/>
    </row>
    <row r="590" spans="1:2" s="59" customFormat="1" x14ac:dyDescent="0.2">
      <c r="A590" s="58"/>
      <c r="B590" s="138"/>
    </row>
    <row r="591" spans="1:2" s="59" customFormat="1" x14ac:dyDescent="0.2">
      <c r="A591" s="58"/>
      <c r="B591" s="138"/>
    </row>
    <row r="592" spans="1:2" s="59" customFormat="1" x14ac:dyDescent="0.2">
      <c r="A592" s="58"/>
      <c r="B592" s="138"/>
    </row>
    <row r="593" spans="1:2" s="59" customFormat="1" x14ac:dyDescent="0.2">
      <c r="A593" s="58"/>
      <c r="B593" s="138"/>
    </row>
    <row r="594" spans="1:2" s="59" customFormat="1" x14ac:dyDescent="0.2">
      <c r="A594" s="58"/>
      <c r="B594" s="138"/>
    </row>
    <row r="595" spans="1:2" s="59" customFormat="1" x14ac:dyDescent="0.2">
      <c r="A595" s="58"/>
      <c r="B595" s="138"/>
    </row>
    <row r="596" spans="1:2" s="59" customFormat="1" x14ac:dyDescent="0.2">
      <c r="A596" s="58"/>
      <c r="B596" s="138"/>
    </row>
    <row r="597" spans="1:2" s="59" customFormat="1" x14ac:dyDescent="0.2">
      <c r="A597" s="58"/>
      <c r="B597" s="138"/>
    </row>
    <row r="598" spans="1:2" s="59" customFormat="1" x14ac:dyDescent="0.2">
      <c r="A598" s="58"/>
      <c r="B598" s="138"/>
    </row>
    <row r="599" spans="1:2" s="59" customFormat="1" x14ac:dyDescent="0.2">
      <c r="A599" s="58"/>
      <c r="B599" s="138"/>
    </row>
    <row r="600" spans="1:2" s="59" customFormat="1" x14ac:dyDescent="0.2">
      <c r="A600" s="58"/>
      <c r="B600" s="138"/>
    </row>
    <row r="601" spans="1:2" s="59" customFormat="1" x14ac:dyDescent="0.2">
      <c r="A601" s="58"/>
      <c r="B601" s="138"/>
    </row>
    <row r="602" spans="1:2" s="59" customFormat="1" x14ac:dyDescent="0.2">
      <c r="A602" s="58"/>
      <c r="B602" s="138"/>
    </row>
    <row r="603" spans="1:2" s="59" customFormat="1" x14ac:dyDescent="0.2">
      <c r="A603" s="58"/>
      <c r="B603" s="138"/>
    </row>
    <row r="604" spans="1:2" s="59" customFormat="1" x14ac:dyDescent="0.2">
      <c r="A604" s="58"/>
      <c r="B604" s="138"/>
    </row>
    <row r="605" spans="1:2" s="59" customFormat="1" x14ac:dyDescent="0.2">
      <c r="A605" s="58"/>
      <c r="B605" s="138"/>
    </row>
    <row r="606" spans="1:2" s="59" customFormat="1" x14ac:dyDescent="0.2">
      <c r="A606" s="58"/>
      <c r="B606" s="138"/>
    </row>
    <row r="607" spans="1:2" s="59" customFormat="1" x14ac:dyDescent="0.2">
      <c r="A607" s="58"/>
      <c r="B607" s="138"/>
    </row>
    <row r="608" spans="1:2" s="59" customFormat="1" x14ac:dyDescent="0.2">
      <c r="A608" s="58"/>
      <c r="B608" s="138"/>
    </row>
    <row r="609" spans="1:2" s="59" customFormat="1" x14ac:dyDescent="0.2">
      <c r="A609" s="58"/>
      <c r="B609" s="138"/>
    </row>
    <row r="610" spans="1:2" s="59" customFormat="1" x14ac:dyDescent="0.2">
      <c r="A610" s="58"/>
      <c r="B610" s="138"/>
    </row>
    <row r="611" spans="1:2" s="59" customFormat="1" x14ac:dyDescent="0.2">
      <c r="A611" s="58"/>
      <c r="B611" s="138"/>
    </row>
    <row r="612" spans="1:2" s="59" customFormat="1" x14ac:dyDescent="0.2">
      <c r="A612" s="58"/>
      <c r="B612" s="138"/>
    </row>
    <row r="613" spans="1:2" s="59" customFormat="1" x14ac:dyDescent="0.2">
      <c r="A613" s="58"/>
      <c r="B613" s="138"/>
    </row>
    <row r="614" spans="1:2" s="59" customFormat="1" x14ac:dyDescent="0.2">
      <c r="A614" s="58"/>
      <c r="B614" s="138"/>
    </row>
    <row r="615" spans="1:2" s="59" customFormat="1" x14ac:dyDescent="0.2">
      <c r="A615" s="58"/>
      <c r="B615" s="138"/>
    </row>
    <row r="616" spans="1:2" s="59" customFormat="1" x14ac:dyDescent="0.2">
      <c r="A616" s="58"/>
      <c r="B616" s="138"/>
    </row>
    <row r="617" spans="1:2" s="59" customFormat="1" x14ac:dyDescent="0.2">
      <c r="A617" s="58"/>
      <c r="B617" s="138"/>
    </row>
    <row r="618" spans="1:2" s="59" customFormat="1" x14ac:dyDescent="0.2">
      <c r="A618" s="58"/>
      <c r="B618" s="138"/>
    </row>
    <row r="619" spans="1:2" s="59" customFormat="1" x14ac:dyDescent="0.2">
      <c r="A619" s="58"/>
      <c r="B619" s="138"/>
    </row>
    <row r="620" spans="1:2" s="59" customFormat="1" x14ac:dyDescent="0.2">
      <c r="A620" s="58"/>
      <c r="B620" s="138"/>
    </row>
    <row r="621" spans="1:2" s="59" customFormat="1" x14ac:dyDescent="0.2">
      <c r="A621" s="58"/>
      <c r="B621" s="138"/>
    </row>
    <row r="622" spans="1:2" s="59" customFormat="1" x14ac:dyDescent="0.2">
      <c r="A622" s="58"/>
      <c r="B622" s="138"/>
    </row>
    <row r="623" spans="1:2" s="59" customFormat="1" x14ac:dyDescent="0.2">
      <c r="A623" s="58"/>
      <c r="B623" s="138"/>
    </row>
    <row r="624" spans="1:2" s="59" customFormat="1" x14ac:dyDescent="0.2">
      <c r="A624" s="58"/>
      <c r="B624" s="138"/>
    </row>
    <row r="625" spans="1:2" s="59" customFormat="1" x14ac:dyDescent="0.2">
      <c r="A625" s="58"/>
      <c r="B625" s="138"/>
    </row>
    <row r="626" spans="1:2" s="59" customFormat="1" x14ac:dyDescent="0.2">
      <c r="A626" s="58"/>
      <c r="B626" s="138"/>
    </row>
    <row r="627" spans="1:2" s="59" customFormat="1" x14ac:dyDescent="0.2">
      <c r="A627" s="58"/>
      <c r="B627" s="138"/>
    </row>
    <row r="628" spans="1:2" s="59" customFormat="1" x14ac:dyDescent="0.2">
      <c r="A628" s="58"/>
      <c r="B628" s="138"/>
    </row>
    <row r="629" spans="1:2" s="59" customFormat="1" x14ac:dyDescent="0.2">
      <c r="A629" s="58"/>
      <c r="B629" s="138"/>
    </row>
    <row r="630" spans="1:2" s="59" customFormat="1" x14ac:dyDescent="0.2">
      <c r="A630" s="58"/>
      <c r="B630" s="138"/>
    </row>
    <row r="631" spans="1:2" s="59" customFormat="1" x14ac:dyDescent="0.2">
      <c r="A631" s="58"/>
      <c r="B631" s="138"/>
    </row>
    <row r="632" spans="1:2" s="59" customFormat="1" x14ac:dyDescent="0.2">
      <c r="A632" s="58"/>
      <c r="B632" s="138"/>
    </row>
    <row r="633" spans="1:2" s="59" customFormat="1" x14ac:dyDescent="0.2">
      <c r="A633" s="58"/>
      <c r="B633" s="138"/>
    </row>
    <row r="634" spans="1:2" s="59" customFormat="1" x14ac:dyDescent="0.2">
      <c r="A634" s="58"/>
      <c r="B634" s="138"/>
    </row>
    <row r="635" spans="1:2" s="59" customFormat="1" x14ac:dyDescent="0.2">
      <c r="A635" s="58"/>
      <c r="B635" s="138"/>
    </row>
    <row r="636" spans="1:2" s="59" customFormat="1" x14ac:dyDescent="0.2">
      <c r="A636" s="58"/>
      <c r="B636" s="138"/>
    </row>
    <row r="637" spans="1:2" s="59" customFormat="1" x14ac:dyDescent="0.2">
      <c r="A637" s="58"/>
      <c r="B637" s="138"/>
    </row>
    <row r="638" spans="1:2" s="59" customFormat="1" x14ac:dyDescent="0.2">
      <c r="A638" s="58"/>
      <c r="B638" s="138"/>
    </row>
    <row r="639" spans="1:2" s="59" customFormat="1" x14ac:dyDescent="0.2">
      <c r="A639" s="58"/>
      <c r="B639" s="138"/>
    </row>
    <row r="640" spans="1:2" s="59" customFormat="1" x14ac:dyDescent="0.2">
      <c r="A640" s="58"/>
      <c r="B640" s="138"/>
    </row>
    <row r="641" spans="1:2" s="59" customFormat="1" x14ac:dyDescent="0.2">
      <c r="A641" s="58"/>
      <c r="B641" s="138"/>
    </row>
    <row r="642" spans="1:2" s="59" customFormat="1" x14ac:dyDescent="0.2">
      <c r="A642" s="58"/>
      <c r="B642" s="138"/>
    </row>
    <row r="643" spans="1:2" s="59" customFormat="1" x14ac:dyDescent="0.2">
      <c r="A643" s="58"/>
      <c r="B643" s="138"/>
    </row>
    <row r="644" spans="1:2" s="59" customFormat="1" x14ac:dyDescent="0.2">
      <c r="A644" s="58"/>
      <c r="B644" s="138"/>
    </row>
    <row r="645" spans="1:2" s="59" customFormat="1" x14ac:dyDescent="0.2">
      <c r="A645" s="58"/>
      <c r="B645" s="138"/>
    </row>
    <row r="646" spans="1:2" s="59" customFormat="1" x14ac:dyDescent="0.2">
      <c r="A646" s="58"/>
      <c r="B646" s="138"/>
    </row>
    <row r="647" spans="1:2" s="59" customFormat="1" x14ac:dyDescent="0.2">
      <c r="A647" s="58"/>
      <c r="B647" s="138"/>
    </row>
    <row r="648" spans="1:2" s="59" customFormat="1" x14ac:dyDescent="0.2">
      <c r="A648" s="58"/>
      <c r="B648" s="138"/>
    </row>
    <row r="649" spans="1:2" s="59" customFormat="1" x14ac:dyDescent="0.2">
      <c r="A649" s="58"/>
      <c r="B649" s="138"/>
    </row>
    <row r="650" spans="1:2" s="59" customFormat="1" x14ac:dyDescent="0.2">
      <c r="A650" s="58"/>
      <c r="B650" s="138"/>
    </row>
    <row r="651" spans="1:2" s="59" customFormat="1" x14ac:dyDescent="0.2">
      <c r="A651" s="58"/>
      <c r="B651" s="138"/>
    </row>
    <row r="652" spans="1:2" s="59" customFormat="1" x14ac:dyDescent="0.2">
      <c r="A652" s="58"/>
      <c r="B652" s="138"/>
    </row>
    <row r="653" spans="1:2" s="59" customFormat="1" x14ac:dyDescent="0.2">
      <c r="A653" s="58"/>
      <c r="B653" s="138"/>
    </row>
    <row r="654" spans="1:2" s="59" customFormat="1" x14ac:dyDescent="0.2">
      <c r="A654" s="58"/>
      <c r="B654" s="138"/>
    </row>
    <row r="655" spans="1:2" s="59" customFormat="1" x14ac:dyDescent="0.2">
      <c r="A655" s="58"/>
      <c r="B655" s="138"/>
    </row>
    <row r="656" spans="1:2" s="59" customFormat="1" x14ac:dyDescent="0.2">
      <c r="A656" s="58"/>
      <c r="B656" s="138"/>
    </row>
    <row r="657" spans="1:2" s="59" customFormat="1" x14ac:dyDescent="0.2">
      <c r="A657" s="58"/>
      <c r="B657" s="138"/>
    </row>
    <row r="658" spans="1:2" s="59" customFormat="1" x14ac:dyDescent="0.2">
      <c r="A658" s="58"/>
      <c r="B658" s="138"/>
    </row>
    <row r="659" spans="1:2" s="59" customFormat="1" x14ac:dyDescent="0.2">
      <c r="A659" s="58"/>
      <c r="B659" s="138"/>
    </row>
    <row r="660" spans="1:2" s="59" customFormat="1" x14ac:dyDescent="0.2">
      <c r="A660" s="58"/>
      <c r="B660" s="138"/>
    </row>
    <row r="661" spans="1:2" s="59" customFormat="1" x14ac:dyDescent="0.2">
      <c r="A661" s="58"/>
      <c r="B661" s="138"/>
    </row>
    <row r="662" spans="1:2" s="59" customFormat="1" x14ac:dyDescent="0.2">
      <c r="A662" s="58"/>
      <c r="B662" s="138"/>
    </row>
    <row r="663" spans="1:2" s="59" customFormat="1" x14ac:dyDescent="0.2">
      <c r="A663" s="58"/>
      <c r="B663" s="138"/>
    </row>
    <row r="664" spans="1:2" s="59" customFormat="1" x14ac:dyDescent="0.2">
      <c r="A664" s="58"/>
      <c r="B664" s="138"/>
    </row>
    <row r="665" spans="1:2" s="59" customFormat="1" x14ac:dyDescent="0.2">
      <c r="A665" s="58"/>
      <c r="B665" s="138"/>
    </row>
    <row r="666" spans="1:2" s="59" customFormat="1" x14ac:dyDescent="0.2">
      <c r="A666" s="58"/>
      <c r="B666" s="138"/>
    </row>
    <row r="667" spans="1:2" s="59" customFormat="1" x14ac:dyDescent="0.2">
      <c r="A667" s="58"/>
      <c r="B667" s="138"/>
    </row>
    <row r="668" spans="1:2" s="59" customFormat="1" x14ac:dyDescent="0.2">
      <c r="A668" s="58"/>
      <c r="B668" s="138"/>
    </row>
    <row r="669" spans="1:2" s="59" customFormat="1" x14ac:dyDescent="0.2">
      <c r="A669" s="58"/>
      <c r="B669" s="138"/>
    </row>
    <row r="670" spans="1:2" s="59" customFormat="1" x14ac:dyDescent="0.2">
      <c r="A670" s="58"/>
      <c r="B670" s="138"/>
    </row>
    <row r="671" spans="1:2" s="59" customFormat="1" x14ac:dyDescent="0.2">
      <c r="A671" s="58"/>
      <c r="B671" s="138"/>
    </row>
    <row r="672" spans="1:2" s="59" customFormat="1" x14ac:dyDescent="0.2">
      <c r="A672" s="58"/>
      <c r="B672" s="138"/>
    </row>
    <row r="673" spans="1:2" s="59" customFormat="1" x14ac:dyDescent="0.2">
      <c r="A673" s="58"/>
      <c r="B673" s="138"/>
    </row>
    <row r="674" spans="1:2" s="59" customFormat="1" x14ac:dyDescent="0.2">
      <c r="A674" s="58"/>
      <c r="B674" s="138"/>
    </row>
    <row r="675" spans="1:2" s="59" customFormat="1" x14ac:dyDescent="0.2">
      <c r="A675" s="58"/>
      <c r="B675" s="138"/>
    </row>
    <row r="676" spans="1:2" s="59" customFormat="1" x14ac:dyDescent="0.2">
      <c r="A676" s="58"/>
      <c r="B676" s="138"/>
    </row>
    <row r="677" spans="1:2" s="59" customFormat="1" x14ac:dyDescent="0.2">
      <c r="A677" s="58"/>
      <c r="B677" s="138"/>
    </row>
    <row r="678" spans="1:2" s="59" customFormat="1" x14ac:dyDescent="0.2">
      <c r="A678" s="58"/>
      <c r="B678" s="138"/>
    </row>
    <row r="679" spans="1:2" s="59" customFormat="1" x14ac:dyDescent="0.2">
      <c r="A679" s="58"/>
      <c r="B679" s="138"/>
    </row>
    <row r="680" spans="1:2" s="59" customFormat="1" x14ac:dyDescent="0.2">
      <c r="A680" s="58"/>
      <c r="B680" s="138"/>
    </row>
    <row r="681" spans="1:2" s="59" customFormat="1" x14ac:dyDescent="0.2">
      <c r="A681" s="58"/>
      <c r="B681" s="138"/>
    </row>
    <row r="682" spans="1:2" s="59" customFormat="1" x14ac:dyDescent="0.2">
      <c r="A682" s="58"/>
      <c r="B682" s="138"/>
    </row>
    <row r="683" spans="1:2" s="59" customFormat="1" x14ac:dyDescent="0.2">
      <c r="A683" s="58"/>
      <c r="B683" s="138"/>
    </row>
    <row r="684" spans="1:2" s="59" customFormat="1" x14ac:dyDescent="0.2">
      <c r="A684" s="58"/>
      <c r="B684" s="138"/>
    </row>
    <row r="685" spans="1:2" s="59" customFormat="1" x14ac:dyDescent="0.2">
      <c r="A685" s="58"/>
      <c r="B685" s="138"/>
    </row>
    <row r="686" spans="1:2" s="59" customFormat="1" x14ac:dyDescent="0.2">
      <c r="A686" s="58"/>
      <c r="B686" s="138"/>
    </row>
    <row r="687" spans="1:2" s="59" customFormat="1" x14ac:dyDescent="0.2">
      <c r="A687" s="58"/>
      <c r="B687" s="138"/>
    </row>
    <row r="688" spans="1:2" s="59" customFormat="1" x14ac:dyDescent="0.2">
      <c r="A688" s="58"/>
      <c r="B688" s="138"/>
    </row>
    <row r="689" spans="1:2" s="59" customFormat="1" x14ac:dyDescent="0.2">
      <c r="A689" s="58"/>
      <c r="B689" s="138"/>
    </row>
    <row r="690" spans="1:2" s="59" customFormat="1" x14ac:dyDescent="0.2">
      <c r="A690" s="58"/>
      <c r="B690" s="138"/>
    </row>
    <row r="691" spans="1:2" s="59" customFormat="1" x14ac:dyDescent="0.2">
      <c r="A691" s="58"/>
      <c r="B691" s="138"/>
    </row>
    <row r="692" spans="1:2" s="59" customFormat="1" x14ac:dyDescent="0.2">
      <c r="A692" s="58"/>
      <c r="B692" s="138"/>
    </row>
    <row r="693" spans="1:2" s="59" customFormat="1" x14ac:dyDescent="0.2">
      <c r="A693" s="58"/>
      <c r="B693" s="138"/>
    </row>
    <row r="694" spans="1:2" s="59" customFormat="1" x14ac:dyDescent="0.2">
      <c r="A694" s="58"/>
      <c r="B694" s="138"/>
    </row>
    <row r="695" spans="1:2" s="59" customFormat="1" x14ac:dyDescent="0.2">
      <c r="A695" s="58"/>
      <c r="B695" s="138"/>
    </row>
    <row r="696" spans="1:2" s="59" customFormat="1" x14ac:dyDescent="0.2">
      <c r="A696" s="58"/>
      <c r="B696" s="138"/>
    </row>
    <row r="697" spans="1:2" s="59" customFormat="1" x14ac:dyDescent="0.2">
      <c r="A697" s="58"/>
      <c r="B697" s="138"/>
    </row>
    <row r="698" spans="1:2" s="59" customFormat="1" x14ac:dyDescent="0.2">
      <c r="A698" s="58"/>
      <c r="B698" s="138"/>
    </row>
    <row r="699" spans="1:2" s="59" customFormat="1" x14ac:dyDescent="0.2">
      <c r="A699" s="58"/>
      <c r="B699" s="138"/>
    </row>
    <row r="700" spans="1:2" s="59" customFormat="1" x14ac:dyDescent="0.2">
      <c r="A700" s="58"/>
      <c r="B700" s="138"/>
    </row>
    <row r="701" spans="1:2" s="59" customFormat="1" x14ac:dyDescent="0.2">
      <c r="A701" s="58"/>
      <c r="B701" s="138"/>
    </row>
    <row r="702" spans="1:2" s="59" customFormat="1" x14ac:dyDescent="0.2">
      <c r="A702" s="58"/>
      <c r="B702" s="138"/>
    </row>
    <row r="703" spans="1:2" s="59" customFormat="1" x14ac:dyDescent="0.2">
      <c r="A703" s="58"/>
      <c r="B703" s="138"/>
    </row>
    <row r="704" spans="1:2" s="59" customFormat="1" x14ac:dyDescent="0.2">
      <c r="A704" s="58"/>
      <c r="B704" s="138"/>
    </row>
    <row r="705" spans="1:2" s="59" customFormat="1" x14ac:dyDescent="0.2">
      <c r="A705" s="58"/>
      <c r="B705" s="138"/>
    </row>
    <row r="706" spans="1:2" s="59" customFormat="1" x14ac:dyDescent="0.2">
      <c r="A706" s="58"/>
      <c r="B706" s="138"/>
    </row>
    <row r="707" spans="1:2" s="59" customFormat="1" x14ac:dyDescent="0.2">
      <c r="A707" s="58"/>
      <c r="B707" s="138"/>
    </row>
    <row r="708" spans="1:2" s="59" customFormat="1" x14ac:dyDescent="0.2">
      <c r="A708" s="58"/>
      <c r="B708" s="138"/>
    </row>
    <row r="709" spans="1:2" s="59" customFormat="1" x14ac:dyDescent="0.2">
      <c r="A709" s="58"/>
      <c r="B709" s="138"/>
    </row>
    <row r="710" spans="1:2" s="59" customFormat="1" x14ac:dyDescent="0.2">
      <c r="A710" s="58"/>
      <c r="B710" s="138"/>
    </row>
    <row r="711" spans="1:2" s="59" customFormat="1" x14ac:dyDescent="0.2">
      <c r="A711" s="58"/>
      <c r="B711" s="138"/>
    </row>
    <row r="712" spans="1:2" s="59" customFormat="1" x14ac:dyDescent="0.2">
      <c r="A712" s="58"/>
      <c r="B712" s="138"/>
    </row>
    <row r="713" spans="1:2" s="59" customFormat="1" x14ac:dyDescent="0.2">
      <c r="A713" s="58"/>
      <c r="B713" s="138"/>
    </row>
    <row r="714" spans="1:2" s="59" customFormat="1" x14ac:dyDescent="0.2">
      <c r="A714" s="58"/>
      <c r="B714" s="138"/>
    </row>
    <row r="715" spans="1:2" s="59" customFormat="1" x14ac:dyDescent="0.2">
      <c r="A715" s="58"/>
      <c r="B715" s="138"/>
    </row>
    <row r="716" spans="1:2" s="59" customFormat="1" x14ac:dyDescent="0.2">
      <c r="A716" s="58"/>
      <c r="B716" s="138"/>
    </row>
    <row r="717" spans="1:2" s="59" customFormat="1" x14ac:dyDescent="0.2">
      <c r="A717" s="58"/>
      <c r="B717" s="138"/>
    </row>
    <row r="718" spans="1:2" s="59" customFormat="1" x14ac:dyDescent="0.2">
      <c r="A718" s="58"/>
      <c r="B718" s="138"/>
    </row>
    <row r="719" spans="1:2" s="59" customFormat="1" x14ac:dyDescent="0.2">
      <c r="A719" s="58"/>
      <c r="B719" s="138"/>
    </row>
    <row r="720" spans="1:2" s="59" customFormat="1" x14ac:dyDescent="0.2">
      <c r="A720" s="58"/>
      <c r="B720" s="138"/>
    </row>
    <row r="721" spans="1:2" s="59" customFormat="1" x14ac:dyDescent="0.2">
      <c r="A721" s="58"/>
      <c r="B721" s="138"/>
    </row>
    <row r="722" spans="1:2" s="59" customFormat="1" x14ac:dyDescent="0.2">
      <c r="A722" s="58"/>
      <c r="B722" s="138"/>
    </row>
    <row r="723" spans="1:2" s="59" customFormat="1" x14ac:dyDescent="0.2">
      <c r="A723" s="58"/>
      <c r="B723" s="138"/>
    </row>
    <row r="724" spans="1:2" s="59" customFormat="1" x14ac:dyDescent="0.2">
      <c r="A724" s="58"/>
      <c r="B724" s="138"/>
    </row>
    <row r="725" spans="1:2" s="59" customFormat="1" x14ac:dyDescent="0.2">
      <c r="A725" s="58"/>
      <c r="B725" s="138"/>
    </row>
    <row r="726" spans="1:2" s="59" customFormat="1" x14ac:dyDescent="0.2">
      <c r="A726" s="58"/>
      <c r="B726" s="138"/>
    </row>
    <row r="727" spans="1:2" s="59" customFormat="1" x14ac:dyDescent="0.2">
      <c r="A727" s="58"/>
      <c r="B727" s="138"/>
    </row>
    <row r="728" spans="1:2" s="59" customFormat="1" x14ac:dyDescent="0.2">
      <c r="A728" s="58"/>
      <c r="B728" s="138"/>
    </row>
    <row r="729" spans="1:2" s="59" customFormat="1" x14ac:dyDescent="0.2">
      <c r="A729" s="58"/>
      <c r="B729" s="138"/>
    </row>
    <row r="730" spans="1:2" s="59" customFormat="1" x14ac:dyDescent="0.2">
      <c r="A730" s="58"/>
      <c r="B730" s="138"/>
    </row>
    <row r="731" spans="1:2" s="59" customFormat="1" x14ac:dyDescent="0.2">
      <c r="A731" s="58"/>
      <c r="B731" s="138"/>
    </row>
    <row r="732" spans="1:2" s="59" customFormat="1" x14ac:dyDescent="0.2">
      <c r="A732" s="58"/>
      <c r="B732" s="138"/>
    </row>
    <row r="733" spans="1:2" s="59" customFormat="1" x14ac:dyDescent="0.2">
      <c r="A733" s="58"/>
      <c r="B733" s="138"/>
    </row>
    <row r="734" spans="1:2" s="59" customFormat="1" x14ac:dyDescent="0.2">
      <c r="A734" s="58"/>
      <c r="B734" s="138"/>
    </row>
    <row r="735" spans="1:2" s="59" customFormat="1" x14ac:dyDescent="0.2">
      <c r="A735" s="58"/>
      <c r="B735" s="138"/>
    </row>
    <row r="736" spans="1:2" s="59" customFormat="1" x14ac:dyDescent="0.2">
      <c r="A736" s="58"/>
      <c r="B736" s="138"/>
    </row>
    <row r="737" spans="1:2" s="59" customFormat="1" x14ac:dyDescent="0.2">
      <c r="A737" s="58"/>
      <c r="B737" s="138"/>
    </row>
    <row r="738" spans="1:2" s="59" customFormat="1" x14ac:dyDescent="0.2">
      <c r="A738" s="58"/>
      <c r="B738" s="138"/>
    </row>
    <row r="739" spans="1:2" s="59" customFormat="1" x14ac:dyDescent="0.2">
      <c r="A739" s="58"/>
      <c r="B739" s="138"/>
    </row>
    <row r="740" spans="1:2" s="59" customFormat="1" x14ac:dyDescent="0.2">
      <c r="A740" s="58"/>
      <c r="B740" s="138"/>
    </row>
    <row r="741" spans="1:2" s="59" customFormat="1" x14ac:dyDescent="0.2">
      <c r="A741" s="58"/>
      <c r="B741" s="138"/>
    </row>
    <row r="742" spans="1:2" s="59" customFormat="1" x14ac:dyDescent="0.2">
      <c r="A742" s="58"/>
      <c r="B742" s="138"/>
    </row>
    <row r="743" spans="1:2" s="59" customFormat="1" x14ac:dyDescent="0.2">
      <c r="A743" s="58"/>
      <c r="B743" s="138"/>
    </row>
    <row r="744" spans="1:2" s="59" customFormat="1" x14ac:dyDescent="0.2">
      <c r="A744" s="58"/>
      <c r="B744" s="138"/>
    </row>
    <row r="745" spans="1:2" s="59" customFormat="1" x14ac:dyDescent="0.2">
      <c r="A745" s="58"/>
      <c r="B745" s="138"/>
    </row>
    <row r="746" spans="1:2" s="59" customFormat="1" x14ac:dyDescent="0.2">
      <c r="A746" s="58"/>
      <c r="B746" s="138"/>
    </row>
    <row r="747" spans="1:2" s="59" customFormat="1" x14ac:dyDescent="0.2">
      <c r="A747" s="58"/>
      <c r="B747" s="138"/>
    </row>
    <row r="748" spans="1:2" s="59" customFormat="1" x14ac:dyDescent="0.2">
      <c r="A748" s="58"/>
      <c r="B748" s="138"/>
    </row>
    <row r="749" spans="1:2" s="59" customFormat="1" x14ac:dyDescent="0.2">
      <c r="A749" s="58"/>
      <c r="B749" s="138"/>
    </row>
    <row r="750" spans="1:2" s="59" customFormat="1" x14ac:dyDescent="0.2">
      <c r="A750" s="58"/>
      <c r="B750" s="138"/>
    </row>
    <row r="751" spans="1:2" s="59" customFormat="1" x14ac:dyDescent="0.2">
      <c r="A751" s="58"/>
      <c r="B751" s="138"/>
    </row>
    <row r="752" spans="1:2" s="59" customFormat="1" x14ac:dyDescent="0.2">
      <c r="A752" s="58"/>
      <c r="B752" s="138"/>
    </row>
    <row r="753" spans="1:2" s="59" customFormat="1" x14ac:dyDescent="0.2">
      <c r="A753" s="58"/>
      <c r="B753" s="138"/>
    </row>
    <row r="754" spans="1:2" s="59" customFormat="1" x14ac:dyDescent="0.2">
      <c r="A754" s="58"/>
      <c r="B754" s="138"/>
    </row>
    <row r="755" spans="1:2" s="59" customFormat="1" x14ac:dyDescent="0.2">
      <c r="A755" s="58"/>
      <c r="B755" s="138"/>
    </row>
    <row r="756" spans="1:2" s="59" customFormat="1" x14ac:dyDescent="0.2">
      <c r="A756" s="58"/>
      <c r="B756" s="138"/>
    </row>
    <row r="757" spans="1:2" s="59" customFormat="1" x14ac:dyDescent="0.2">
      <c r="A757" s="58"/>
      <c r="B757" s="138"/>
    </row>
    <row r="758" spans="1:2" s="59" customFormat="1" x14ac:dyDescent="0.2">
      <c r="A758" s="58"/>
      <c r="B758" s="138"/>
    </row>
    <row r="759" spans="1:2" s="59" customFormat="1" x14ac:dyDescent="0.2">
      <c r="A759" s="58"/>
      <c r="B759" s="138"/>
    </row>
    <row r="760" spans="1:2" s="59" customFormat="1" x14ac:dyDescent="0.2">
      <c r="A760" s="58"/>
      <c r="B760" s="138"/>
    </row>
    <row r="761" spans="1:2" s="59" customFormat="1" x14ac:dyDescent="0.2">
      <c r="A761" s="58"/>
      <c r="B761" s="138"/>
    </row>
    <row r="762" spans="1:2" s="59" customFormat="1" x14ac:dyDescent="0.2">
      <c r="A762" s="58"/>
      <c r="B762" s="138"/>
    </row>
    <row r="763" spans="1:2" s="59" customFormat="1" x14ac:dyDescent="0.2">
      <c r="A763" s="58"/>
      <c r="B763" s="138"/>
    </row>
    <row r="764" spans="1:2" s="59" customFormat="1" x14ac:dyDescent="0.2">
      <c r="A764" s="58"/>
      <c r="B764" s="138"/>
    </row>
    <row r="765" spans="1:2" s="59" customFormat="1" x14ac:dyDescent="0.2">
      <c r="A765" s="58"/>
      <c r="B765" s="138"/>
    </row>
    <row r="766" spans="1:2" s="59" customFormat="1" x14ac:dyDescent="0.2">
      <c r="A766" s="58"/>
      <c r="B766" s="138"/>
    </row>
    <row r="767" spans="1:2" s="59" customFormat="1" x14ac:dyDescent="0.2">
      <c r="A767" s="58"/>
      <c r="B767" s="138"/>
    </row>
    <row r="768" spans="1:2" s="59" customFormat="1" x14ac:dyDescent="0.2">
      <c r="A768" s="58"/>
      <c r="B768" s="138"/>
    </row>
    <row r="769" spans="1:2" s="59" customFormat="1" x14ac:dyDescent="0.2">
      <c r="A769" s="58"/>
      <c r="B769" s="138"/>
    </row>
    <row r="770" spans="1:2" s="59" customFormat="1" x14ac:dyDescent="0.2">
      <c r="A770" s="58"/>
      <c r="B770" s="138"/>
    </row>
    <row r="771" spans="1:2" s="59" customFormat="1" x14ac:dyDescent="0.2">
      <c r="A771" s="58"/>
      <c r="B771" s="138"/>
    </row>
    <row r="772" spans="1:2" s="59" customFormat="1" x14ac:dyDescent="0.2">
      <c r="A772" s="58"/>
      <c r="B772" s="138"/>
    </row>
    <row r="773" spans="1:2" s="59" customFormat="1" x14ac:dyDescent="0.2">
      <c r="A773" s="58"/>
      <c r="B773" s="138"/>
    </row>
    <row r="774" spans="1:2" s="59" customFormat="1" x14ac:dyDescent="0.2">
      <c r="A774" s="58"/>
      <c r="B774" s="138"/>
    </row>
    <row r="775" spans="1:2" s="59" customFormat="1" x14ac:dyDescent="0.2">
      <c r="A775" s="58"/>
      <c r="B775" s="138"/>
    </row>
    <row r="776" spans="1:2" s="59" customFormat="1" x14ac:dyDescent="0.2">
      <c r="A776" s="58"/>
      <c r="B776" s="138"/>
    </row>
    <row r="777" spans="1:2" s="59" customFormat="1" x14ac:dyDescent="0.2">
      <c r="A777" s="58"/>
      <c r="B777" s="138"/>
    </row>
    <row r="778" spans="1:2" s="59" customFormat="1" x14ac:dyDescent="0.2">
      <c r="A778" s="58"/>
      <c r="B778" s="138"/>
    </row>
    <row r="779" spans="1:2" s="59" customFormat="1" x14ac:dyDescent="0.2">
      <c r="A779" s="58"/>
      <c r="B779" s="138"/>
    </row>
    <row r="780" spans="1:2" s="59" customFormat="1" x14ac:dyDescent="0.2">
      <c r="A780" s="58"/>
      <c r="B780" s="138"/>
    </row>
    <row r="781" spans="1:2" s="59" customFormat="1" x14ac:dyDescent="0.2">
      <c r="A781" s="58"/>
      <c r="B781" s="138"/>
    </row>
    <row r="782" spans="1:2" s="59" customFormat="1" x14ac:dyDescent="0.2">
      <c r="A782" s="58"/>
      <c r="B782" s="138"/>
    </row>
    <row r="783" spans="1:2" s="59" customFormat="1" x14ac:dyDescent="0.2">
      <c r="A783" s="58"/>
      <c r="B783" s="138"/>
    </row>
    <row r="784" spans="1:2" s="59" customFormat="1" x14ac:dyDescent="0.2">
      <c r="A784" s="58"/>
      <c r="B784" s="138"/>
    </row>
    <row r="785" spans="1:2" s="59" customFormat="1" x14ac:dyDescent="0.2">
      <c r="A785" s="58"/>
      <c r="B785" s="138"/>
    </row>
    <row r="786" spans="1:2" s="59" customFormat="1" x14ac:dyDescent="0.2">
      <c r="A786" s="58"/>
      <c r="B786" s="138"/>
    </row>
    <row r="787" spans="1:2" s="59" customFormat="1" x14ac:dyDescent="0.2">
      <c r="A787" s="58"/>
      <c r="B787" s="138"/>
    </row>
    <row r="788" spans="1:2" s="59" customFormat="1" x14ac:dyDescent="0.2">
      <c r="A788" s="58"/>
      <c r="B788" s="138"/>
    </row>
    <row r="789" spans="1:2" s="59" customFormat="1" x14ac:dyDescent="0.2">
      <c r="A789" s="58"/>
      <c r="B789" s="138"/>
    </row>
    <row r="790" spans="1:2" s="59" customFormat="1" x14ac:dyDescent="0.2">
      <c r="A790" s="58"/>
      <c r="B790" s="138"/>
    </row>
    <row r="791" spans="1:2" s="59" customFormat="1" x14ac:dyDescent="0.2">
      <c r="A791" s="58"/>
      <c r="B791" s="138"/>
    </row>
    <row r="792" spans="1:2" s="59" customFormat="1" x14ac:dyDescent="0.2">
      <c r="A792" s="58"/>
      <c r="B792" s="138"/>
    </row>
    <row r="793" spans="1:2" s="59" customFormat="1" x14ac:dyDescent="0.2">
      <c r="A793" s="58"/>
      <c r="B793" s="138"/>
    </row>
    <row r="794" spans="1:2" s="59" customFormat="1" x14ac:dyDescent="0.2">
      <c r="A794" s="58"/>
      <c r="B794" s="138"/>
    </row>
    <row r="795" spans="1:2" s="59" customFormat="1" x14ac:dyDescent="0.2">
      <c r="A795" s="58"/>
      <c r="B795" s="138"/>
    </row>
    <row r="796" spans="1:2" s="59" customFormat="1" x14ac:dyDescent="0.2">
      <c r="A796" s="58"/>
      <c r="B796" s="138"/>
    </row>
    <row r="797" spans="1:2" s="59" customFormat="1" x14ac:dyDescent="0.2">
      <c r="A797" s="58"/>
      <c r="B797" s="138"/>
    </row>
    <row r="798" spans="1:2" s="59" customFormat="1" x14ac:dyDescent="0.2">
      <c r="A798" s="58"/>
      <c r="B798" s="138"/>
    </row>
    <row r="799" spans="1:2" s="59" customFormat="1" x14ac:dyDescent="0.2">
      <c r="A799" s="58"/>
      <c r="B799" s="138"/>
    </row>
    <row r="800" spans="1:2" s="59" customFormat="1" x14ac:dyDescent="0.2">
      <c r="A800" s="58"/>
      <c r="B800" s="138"/>
    </row>
    <row r="801" spans="1:2" s="59" customFormat="1" x14ac:dyDescent="0.2">
      <c r="A801" s="58"/>
      <c r="B801" s="138"/>
    </row>
    <row r="802" spans="1:2" s="59" customFormat="1" x14ac:dyDescent="0.2">
      <c r="A802" s="58"/>
      <c r="B802" s="138"/>
    </row>
    <row r="803" spans="1:2" s="59" customFormat="1" x14ac:dyDescent="0.2">
      <c r="A803" s="58"/>
      <c r="B803" s="138"/>
    </row>
    <row r="804" spans="1:2" s="59" customFormat="1" x14ac:dyDescent="0.2">
      <c r="A804" s="58"/>
      <c r="B804" s="138"/>
    </row>
    <row r="805" spans="1:2" s="59" customFormat="1" x14ac:dyDescent="0.2">
      <c r="A805" s="58"/>
      <c r="B805" s="138"/>
    </row>
    <row r="806" spans="1:2" s="59" customFormat="1" x14ac:dyDescent="0.2">
      <c r="A806" s="58"/>
      <c r="B806" s="138"/>
    </row>
    <row r="807" spans="1:2" s="59" customFormat="1" x14ac:dyDescent="0.2">
      <c r="A807" s="58"/>
      <c r="B807" s="138"/>
    </row>
    <row r="808" spans="1:2" s="59" customFormat="1" x14ac:dyDescent="0.2">
      <c r="A808" s="58"/>
      <c r="B808" s="138"/>
    </row>
    <row r="809" spans="1:2" s="59" customFormat="1" x14ac:dyDescent="0.2">
      <c r="A809" s="58"/>
      <c r="B809" s="138"/>
    </row>
    <row r="810" spans="1:2" s="59" customFormat="1" x14ac:dyDescent="0.2">
      <c r="A810" s="58"/>
      <c r="B810" s="138"/>
    </row>
    <row r="811" spans="1:2" s="59" customFormat="1" x14ac:dyDescent="0.2">
      <c r="A811" s="58"/>
      <c r="B811" s="138"/>
    </row>
    <row r="812" spans="1:2" s="59" customFormat="1" x14ac:dyDescent="0.2">
      <c r="A812" s="58"/>
      <c r="B812" s="138"/>
    </row>
    <row r="813" spans="1:2" s="59" customFormat="1" x14ac:dyDescent="0.2">
      <c r="A813" s="58"/>
      <c r="B813" s="138"/>
    </row>
    <row r="814" spans="1:2" s="59" customFormat="1" x14ac:dyDescent="0.2">
      <c r="A814" s="58"/>
      <c r="B814" s="138"/>
    </row>
    <row r="815" spans="1:2" s="59" customFormat="1" x14ac:dyDescent="0.2">
      <c r="A815" s="58"/>
      <c r="B815" s="138"/>
    </row>
    <row r="816" spans="1:2" s="59" customFormat="1" x14ac:dyDescent="0.2">
      <c r="A816" s="58"/>
      <c r="B816" s="138"/>
    </row>
    <row r="817" spans="1:2" s="59" customFormat="1" x14ac:dyDescent="0.2">
      <c r="A817" s="58"/>
      <c r="B817" s="138"/>
    </row>
    <row r="818" spans="1:2" s="59" customFormat="1" x14ac:dyDescent="0.2">
      <c r="A818" s="58"/>
      <c r="B818" s="138"/>
    </row>
    <row r="819" spans="1:2" s="59" customFormat="1" x14ac:dyDescent="0.2">
      <c r="A819" s="58"/>
      <c r="B819" s="138"/>
    </row>
    <row r="820" spans="1:2" s="59" customFormat="1" x14ac:dyDescent="0.2">
      <c r="A820" s="58"/>
      <c r="B820" s="138"/>
    </row>
    <row r="821" spans="1:2" s="59" customFormat="1" x14ac:dyDescent="0.2">
      <c r="A821" s="58"/>
      <c r="B821" s="138"/>
    </row>
    <row r="822" spans="1:2" s="59" customFormat="1" x14ac:dyDescent="0.2">
      <c r="A822" s="58"/>
      <c r="B822" s="138"/>
    </row>
    <row r="823" spans="1:2" s="59" customFormat="1" x14ac:dyDescent="0.2">
      <c r="A823" s="58"/>
      <c r="B823" s="138"/>
    </row>
    <row r="824" spans="1:2" s="59" customFormat="1" x14ac:dyDescent="0.2">
      <c r="A824" s="58"/>
      <c r="B824" s="138"/>
    </row>
    <row r="825" spans="1:2" s="59" customFormat="1" x14ac:dyDescent="0.2">
      <c r="A825" s="58"/>
      <c r="B825" s="138"/>
    </row>
    <row r="826" spans="1:2" s="59" customFormat="1" x14ac:dyDescent="0.2">
      <c r="A826" s="58"/>
      <c r="B826" s="138"/>
    </row>
    <row r="827" spans="1:2" s="59" customFormat="1" x14ac:dyDescent="0.2">
      <c r="A827" s="58"/>
      <c r="B827" s="138"/>
    </row>
    <row r="828" spans="1:2" s="59" customFormat="1" x14ac:dyDescent="0.2">
      <c r="A828" s="58"/>
      <c r="B828" s="138"/>
    </row>
    <row r="829" spans="1:2" s="59" customFormat="1" x14ac:dyDescent="0.2">
      <c r="A829" s="58"/>
      <c r="B829" s="138"/>
    </row>
    <row r="830" spans="1:2" s="59" customFormat="1" x14ac:dyDescent="0.2">
      <c r="A830" s="58"/>
      <c r="B830" s="138"/>
    </row>
    <row r="831" spans="1:2" s="59" customFormat="1" x14ac:dyDescent="0.2">
      <c r="A831" s="58"/>
      <c r="B831" s="138"/>
    </row>
    <row r="832" spans="1:2" s="59" customFormat="1" x14ac:dyDescent="0.2">
      <c r="A832" s="58"/>
      <c r="B832" s="138"/>
    </row>
    <row r="833" spans="1:2" s="59" customFormat="1" x14ac:dyDescent="0.2">
      <c r="A833" s="58"/>
      <c r="B833" s="138"/>
    </row>
    <row r="834" spans="1:2" s="59" customFormat="1" x14ac:dyDescent="0.2">
      <c r="A834" s="58"/>
      <c r="B834" s="138"/>
    </row>
    <row r="835" spans="1:2" s="59" customFormat="1" x14ac:dyDescent="0.2">
      <c r="A835" s="58"/>
      <c r="B835" s="138"/>
    </row>
    <row r="836" spans="1:2" s="59" customFormat="1" x14ac:dyDescent="0.2">
      <c r="A836" s="58"/>
      <c r="B836" s="138"/>
    </row>
    <row r="837" spans="1:2" s="59" customFormat="1" x14ac:dyDescent="0.2">
      <c r="A837" s="58"/>
      <c r="B837" s="138"/>
    </row>
    <row r="838" spans="1:2" s="59" customFormat="1" x14ac:dyDescent="0.2">
      <c r="A838" s="58"/>
      <c r="B838" s="138"/>
    </row>
    <row r="839" spans="1:2" s="59" customFormat="1" x14ac:dyDescent="0.2">
      <c r="A839" s="58"/>
      <c r="B839" s="138"/>
    </row>
    <row r="840" spans="1:2" s="59" customFormat="1" x14ac:dyDescent="0.2">
      <c r="A840" s="58"/>
      <c r="B840" s="138"/>
    </row>
    <row r="841" spans="1:2" s="59" customFormat="1" x14ac:dyDescent="0.2">
      <c r="A841" s="58"/>
      <c r="B841" s="138"/>
    </row>
    <row r="842" spans="1:2" s="59" customFormat="1" x14ac:dyDescent="0.2">
      <c r="A842" s="58"/>
      <c r="B842" s="138"/>
    </row>
    <row r="843" spans="1:2" s="59" customFormat="1" x14ac:dyDescent="0.2">
      <c r="A843" s="58"/>
      <c r="B843" s="138"/>
    </row>
    <row r="844" spans="1:2" s="59" customFormat="1" x14ac:dyDescent="0.2">
      <c r="A844" s="58"/>
      <c r="B844" s="138"/>
    </row>
    <row r="845" spans="1:2" s="59" customFormat="1" x14ac:dyDescent="0.2">
      <c r="A845" s="58"/>
      <c r="B845" s="138"/>
    </row>
    <row r="846" spans="1:2" s="59" customFormat="1" x14ac:dyDescent="0.2">
      <c r="A846" s="58"/>
      <c r="B846" s="138"/>
    </row>
    <row r="847" spans="1:2" s="59" customFormat="1" x14ac:dyDescent="0.2">
      <c r="A847" s="58"/>
      <c r="B847" s="138"/>
    </row>
    <row r="848" spans="1:2" s="59" customFormat="1" x14ac:dyDescent="0.2">
      <c r="A848" s="58"/>
      <c r="B848" s="138"/>
    </row>
    <row r="849" spans="1:2" s="59" customFormat="1" x14ac:dyDescent="0.2">
      <c r="A849" s="58"/>
      <c r="B849" s="138"/>
    </row>
    <row r="850" spans="1:2" s="59" customFormat="1" x14ac:dyDescent="0.2">
      <c r="A850" s="58"/>
      <c r="B850" s="138"/>
    </row>
    <row r="851" spans="1:2" s="59" customFormat="1" x14ac:dyDescent="0.2">
      <c r="A851" s="58"/>
      <c r="B851" s="138"/>
    </row>
    <row r="852" spans="1:2" s="59" customFormat="1" x14ac:dyDescent="0.2">
      <c r="A852" s="58"/>
      <c r="B852" s="138"/>
    </row>
    <row r="853" spans="1:2" s="59" customFormat="1" x14ac:dyDescent="0.2">
      <c r="A853" s="58"/>
      <c r="B853" s="138"/>
    </row>
    <row r="854" spans="1:2" s="59" customFormat="1" x14ac:dyDescent="0.2">
      <c r="A854" s="58"/>
      <c r="B854" s="138"/>
    </row>
    <row r="855" spans="1:2" s="59" customFormat="1" x14ac:dyDescent="0.2">
      <c r="A855" s="58"/>
      <c r="B855" s="138"/>
    </row>
    <row r="856" spans="1:2" s="59" customFormat="1" x14ac:dyDescent="0.2">
      <c r="A856" s="58"/>
      <c r="B856" s="138"/>
    </row>
    <row r="857" spans="1:2" s="59" customFormat="1" x14ac:dyDescent="0.2">
      <c r="A857" s="58"/>
      <c r="B857" s="138"/>
    </row>
    <row r="858" spans="1:2" s="59" customFormat="1" x14ac:dyDescent="0.2">
      <c r="A858" s="58"/>
      <c r="B858" s="138"/>
    </row>
    <row r="859" spans="1:2" s="59" customFormat="1" x14ac:dyDescent="0.2">
      <c r="A859" s="58"/>
      <c r="B859" s="138"/>
    </row>
    <row r="860" spans="1:2" s="59" customFormat="1" x14ac:dyDescent="0.2">
      <c r="A860" s="58"/>
      <c r="B860" s="138"/>
    </row>
    <row r="861" spans="1:2" s="59" customFormat="1" x14ac:dyDescent="0.2">
      <c r="A861" s="58"/>
      <c r="B861" s="138"/>
    </row>
    <row r="862" spans="1:2" s="59" customFormat="1" x14ac:dyDescent="0.2">
      <c r="A862" s="58"/>
      <c r="B862" s="138"/>
    </row>
    <row r="863" spans="1:2" s="59" customFormat="1" x14ac:dyDescent="0.2">
      <c r="A863" s="58"/>
      <c r="B863" s="138"/>
    </row>
    <row r="864" spans="1:2" s="59" customFormat="1" x14ac:dyDescent="0.2">
      <c r="A864" s="58"/>
      <c r="B864" s="138"/>
    </row>
    <row r="865" spans="1:2" s="59" customFormat="1" x14ac:dyDescent="0.2">
      <c r="A865" s="58"/>
      <c r="B865" s="138"/>
    </row>
    <row r="866" spans="1:2" s="59" customFormat="1" x14ac:dyDescent="0.2">
      <c r="A866" s="58"/>
      <c r="B866" s="138"/>
    </row>
    <row r="867" spans="1:2" s="59" customFormat="1" x14ac:dyDescent="0.2">
      <c r="A867" s="58"/>
      <c r="B867" s="138"/>
    </row>
    <row r="868" spans="1:2" s="59" customFormat="1" x14ac:dyDescent="0.2">
      <c r="A868" s="58"/>
      <c r="B868" s="138"/>
    </row>
    <row r="869" spans="1:2" s="59" customFormat="1" x14ac:dyDescent="0.2">
      <c r="A869" s="58"/>
      <c r="B869" s="138"/>
    </row>
    <row r="870" spans="1:2" s="59" customFormat="1" x14ac:dyDescent="0.2">
      <c r="A870" s="58"/>
      <c r="B870" s="138"/>
    </row>
    <row r="871" spans="1:2" s="59" customFormat="1" x14ac:dyDescent="0.2">
      <c r="A871" s="58"/>
      <c r="B871" s="138"/>
    </row>
    <row r="872" spans="1:2" s="59" customFormat="1" x14ac:dyDescent="0.2">
      <c r="A872" s="58"/>
      <c r="B872" s="138"/>
    </row>
    <row r="873" spans="1:2" s="59" customFormat="1" x14ac:dyDescent="0.2">
      <c r="A873" s="58"/>
      <c r="B873" s="138"/>
    </row>
    <row r="874" spans="1:2" s="59" customFormat="1" x14ac:dyDescent="0.2">
      <c r="A874" s="58"/>
      <c r="B874" s="138"/>
    </row>
    <row r="875" spans="1:2" s="59" customFormat="1" x14ac:dyDescent="0.2">
      <c r="A875" s="58"/>
      <c r="B875" s="138"/>
    </row>
    <row r="876" spans="1:2" s="59" customFormat="1" x14ac:dyDescent="0.2">
      <c r="A876" s="58"/>
      <c r="B876" s="138"/>
    </row>
    <row r="877" spans="1:2" s="59" customFormat="1" x14ac:dyDescent="0.2">
      <c r="A877" s="58"/>
      <c r="B877" s="138"/>
    </row>
    <row r="878" spans="1:2" s="59" customFormat="1" x14ac:dyDescent="0.2">
      <c r="A878" s="58"/>
      <c r="B878" s="138"/>
    </row>
    <row r="879" spans="1:2" s="59" customFormat="1" x14ac:dyDescent="0.2">
      <c r="A879" s="58"/>
      <c r="B879" s="138"/>
    </row>
    <row r="880" spans="1:2" s="59" customFormat="1" x14ac:dyDescent="0.2">
      <c r="A880" s="58"/>
      <c r="B880" s="138"/>
    </row>
    <row r="881" spans="1:2" s="59" customFormat="1" x14ac:dyDescent="0.2">
      <c r="A881" s="58"/>
      <c r="B881" s="138"/>
    </row>
    <row r="882" spans="1:2" s="59" customFormat="1" x14ac:dyDescent="0.2">
      <c r="A882" s="58"/>
      <c r="B882" s="138"/>
    </row>
    <row r="883" spans="1:2" s="59" customFormat="1" x14ac:dyDescent="0.2">
      <c r="A883" s="58"/>
      <c r="B883" s="138"/>
    </row>
    <row r="884" spans="1:2" s="59" customFormat="1" x14ac:dyDescent="0.2">
      <c r="A884" s="58"/>
      <c r="B884" s="138"/>
    </row>
    <row r="885" spans="1:2" s="59" customFormat="1" x14ac:dyDescent="0.2">
      <c r="A885" s="58"/>
      <c r="B885" s="138"/>
    </row>
    <row r="886" spans="1:2" s="59" customFormat="1" x14ac:dyDescent="0.2">
      <c r="A886" s="58"/>
      <c r="B886" s="138"/>
    </row>
    <row r="887" spans="1:2" s="59" customFormat="1" x14ac:dyDescent="0.2">
      <c r="A887" s="58"/>
      <c r="B887" s="138"/>
    </row>
    <row r="888" spans="1:2" s="59" customFormat="1" x14ac:dyDescent="0.2">
      <c r="A888" s="58"/>
      <c r="B888" s="138"/>
    </row>
    <row r="889" spans="1:2" s="59" customFormat="1" x14ac:dyDescent="0.2">
      <c r="A889" s="58"/>
      <c r="B889" s="138"/>
    </row>
    <row r="890" spans="1:2" s="59" customFormat="1" x14ac:dyDescent="0.2">
      <c r="A890" s="58"/>
      <c r="B890" s="138"/>
    </row>
    <row r="891" spans="1:2" s="59" customFormat="1" x14ac:dyDescent="0.2">
      <c r="A891" s="58"/>
      <c r="B891" s="138"/>
    </row>
    <row r="892" spans="1:2" s="59" customFormat="1" x14ac:dyDescent="0.2">
      <c r="A892" s="58"/>
      <c r="B892" s="138"/>
    </row>
    <row r="893" spans="1:2" s="59" customFormat="1" x14ac:dyDescent="0.2">
      <c r="A893" s="58"/>
      <c r="B893" s="138"/>
    </row>
    <row r="894" spans="1:2" s="59" customFormat="1" x14ac:dyDescent="0.2">
      <c r="A894" s="58"/>
      <c r="B894" s="138"/>
    </row>
    <row r="895" spans="1:2" s="59" customFormat="1" x14ac:dyDescent="0.2">
      <c r="A895" s="58"/>
      <c r="B895" s="138"/>
    </row>
    <row r="896" spans="1:2" s="59" customFormat="1" x14ac:dyDescent="0.2">
      <c r="A896" s="58"/>
      <c r="B896" s="138"/>
    </row>
    <row r="897" spans="1:2" s="59" customFormat="1" x14ac:dyDescent="0.2">
      <c r="A897" s="58"/>
      <c r="B897" s="138"/>
    </row>
    <row r="898" spans="1:2" s="59" customFormat="1" x14ac:dyDescent="0.2">
      <c r="A898" s="58"/>
      <c r="B898" s="138"/>
    </row>
    <row r="899" spans="1:2" s="59" customFormat="1" x14ac:dyDescent="0.2">
      <c r="A899" s="58"/>
      <c r="B899" s="138"/>
    </row>
    <row r="900" spans="1:2" s="59" customFormat="1" x14ac:dyDescent="0.2">
      <c r="A900" s="58"/>
      <c r="B900" s="138"/>
    </row>
    <row r="901" spans="1:2" s="59" customFormat="1" x14ac:dyDescent="0.2">
      <c r="A901" s="58"/>
      <c r="B901" s="138"/>
    </row>
    <row r="902" spans="1:2" s="59" customFormat="1" x14ac:dyDescent="0.2">
      <c r="A902" s="58"/>
      <c r="B902" s="138"/>
    </row>
    <row r="903" spans="1:2" s="59" customFormat="1" x14ac:dyDescent="0.2">
      <c r="A903" s="58"/>
      <c r="B903" s="138"/>
    </row>
    <row r="904" spans="1:2" s="59" customFormat="1" x14ac:dyDescent="0.2">
      <c r="A904" s="58"/>
      <c r="B904" s="138"/>
    </row>
    <row r="905" spans="1:2" s="59" customFormat="1" x14ac:dyDescent="0.2">
      <c r="A905" s="58"/>
      <c r="B905" s="138"/>
    </row>
    <row r="906" spans="1:2" s="59" customFormat="1" x14ac:dyDescent="0.2">
      <c r="A906" s="58"/>
      <c r="B906" s="138"/>
    </row>
    <row r="907" spans="1:2" s="59" customFormat="1" x14ac:dyDescent="0.2">
      <c r="A907" s="58"/>
      <c r="B907" s="138"/>
    </row>
    <row r="908" spans="1:2" s="59" customFormat="1" x14ac:dyDescent="0.2">
      <c r="A908" s="58"/>
      <c r="B908" s="138"/>
    </row>
    <row r="909" spans="1:2" s="59" customFormat="1" x14ac:dyDescent="0.2">
      <c r="A909" s="58"/>
      <c r="B909" s="138"/>
    </row>
    <row r="910" spans="1:2" s="59" customFormat="1" x14ac:dyDescent="0.2">
      <c r="A910" s="58"/>
      <c r="B910" s="138"/>
    </row>
    <row r="911" spans="1:2" s="59" customFormat="1" x14ac:dyDescent="0.2">
      <c r="A911" s="58"/>
      <c r="B911" s="138"/>
    </row>
    <row r="912" spans="1:2" s="59" customFormat="1" x14ac:dyDescent="0.2">
      <c r="A912" s="58"/>
      <c r="B912" s="138"/>
    </row>
    <row r="913" spans="1:2" s="59" customFormat="1" x14ac:dyDescent="0.2">
      <c r="A913" s="58"/>
      <c r="B913" s="138"/>
    </row>
    <row r="914" spans="1:2" s="59" customFormat="1" x14ac:dyDescent="0.2">
      <c r="A914" s="58"/>
      <c r="B914" s="138"/>
    </row>
    <row r="915" spans="1:2" s="59" customFormat="1" x14ac:dyDescent="0.2">
      <c r="A915" s="58"/>
      <c r="B915" s="138"/>
    </row>
    <row r="916" spans="1:2" s="59" customFormat="1" x14ac:dyDescent="0.2">
      <c r="A916" s="58"/>
      <c r="B916" s="138"/>
    </row>
    <row r="917" spans="1:2" s="59" customFormat="1" x14ac:dyDescent="0.2">
      <c r="A917" s="58"/>
      <c r="B917" s="138"/>
    </row>
    <row r="918" spans="1:2" s="59" customFormat="1" x14ac:dyDescent="0.2">
      <c r="A918" s="58"/>
      <c r="B918" s="138"/>
    </row>
    <row r="919" spans="1:2" s="59" customFormat="1" x14ac:dyDescent="0.2">
      <c r="A919" s="58"/>
      <c r="B919" s="138"/>
    </row>
    <row r="920" spans="1:2" s="59" customFormat="1" x14ac:dyDescent="0.2">
      <c r="A920" s="58"/>
      <c r="B920" s="138"/>
    </row>
    <row r="921" spans="1:2" s="59" customFormat="1" x14ac:dyDescent="0.2">
      <c r="A921" s="58"/>
      <c r="B921" s="138"/>
    </row>
    <row r="922" spans="1:2" s="59" customFormat="1" x14ac:dyDescent="0.2">
      <c r="A922" s="58"/>
      <c r="B922" s="138"/>
    </row>
    <row r="923" spans="1:2" s="59" customFormat="1" x14ac:dyDescent="0.2">
      <c r="A923" s="58"/>
      <c r="B923" s="138"/>
    </row>
    <row r="924" spans="1:2" s="59" customFormat="1" x14ac:dyDescent="0.2">
      <c r="A924" s="58"/>
      <c r="B924" s="138"/>
    </row>
    <row r="925" spans="1:2" s="59" customFormat="1" x14ac:dyDescent="0.2">
      <c r="A925" s="58"/>
      <c r="B925" s="138"/>
    </row>
    <row r="926" spans="1:2" s="59" customFormat="1" x14ac:dyDescent="0.2">
      <c r="A926" s="58"/>
      <c r="B926" s="138"/>
    </row>
    <row r="927" spans="1:2" s="59" customFormat="1" x14ac:dyDescent="0.2">
      <c r="A927" s="58"/>
      <c r="B927" s="138"/>
    </row>
    <row r="928" spans="1:2" s="59" customFormat="1" x14ac:dyDescent="0.2">
      <c r="A928" s="58"/>
      <c r="B928" s="138"/>
    </row>
    <row r="929" spans="1:2" s="59" customFormat="1" x14ac:dyDescent="0.2">
      <c r="A929" s="58"/>
      <c r="B929" s="138"/>
    </row>
    <row r="930" spans="1:2" s="59" customFormat="1" x14ac:dyDescent="0.2">
      <c r="A930" s="58"/>
      <c r="B930" s="138"/>
    </row>
    <row r="931" spans="1:2" s="59" customFormat="1" x14ac:dyDescent="0.2">
      <c r="A931" s="58"/>
      <c r="B931" s="138"/>
    </row>
    <row r="932" spans="1:2" s="59" customFormat="1" x14ac:dyDescent="0.2">
      <c r="A932" s="58"/>
      <c r="B932" s="138"/>
    </row>
    <row r="933" spans="1:2" s="59" customFormat="1" x14ac:dyDescent="0.2">
      <c r="A933" s="58"/>
      <c r="B933" s="138"/>
    </row>
    <row r="934" spans="1:2" s="59" customFormat="1" x14ac:dyDescent="0.2">
      <c r="A934" s="58"/>
      <c r="B934" s="138"/>
    </row>
    <row r="935" spans="1:2" s="59" customFormat="1" x14ac:dyDescent="0.2">
      <c r="A935" s="58"/>
      <c r="B935" s="138"/>
    </row>
    <row r="936" spans="1:2" s="59" customFormat="1" x14ac:dyDescent="0.2">
      <c r="A936" s="58"/>
      <c r="B936" s="138"/>
    </row>
    <row r="937" spans="1:2" s="59" customFormat="1" x14ac:dyDescent="0.2">
      <c r="A937" s="58"/>
      <c r="B937" s="138"/>
    </row>
    <row r="938" spans="1:2" s="59" customFormat="1" x14ac:dyDescent="0.2">
      <c r="A938" s="58"/>
      <c r="B938" s="138"/>
    </row>
    <row r="939" spans="1:2" s="59" customFormat="1" x14ac:dyDescent="0.2">
      <c r="A939" s="58"/>
      <c r="B939" s="138"/>
    </row>
    <row r="940" spans="1:2" s="59" customFormat="1" x14ac:dyDescent="0.2">
      <c r="A940" s="58"/>
      <c r="B940" s="138"/>
    </row>
    <row r="941" spans="1:2" s="59" customFormat="1" x14ac:dyDescent="0.2">
      <c r="A941" s="58"/>
      <c r="B941" s="138"/>
    </row>
    <row r="942" spans="1:2" s="59" customFormat="1" x14ac:dyDescent="0.2">
      <c r="A942" s="58"/>
      <c r="B942" s="138"/>
    </row>
    <row r="943" spans="1:2" s="59" customFormat="1" x14ac:dyDescent="0.2">
      <c r="A943" s="58"/>
      <c r="B943" s="138"/>
    </row>
    <row r="944" spans="1:2" s="59" customFormat="1" x14ac:dyDescent="0.2">
      <c r="A944" s="58"/>
      <c r="B944" s="138"/>
    </row>
    <row r="945" spans="1:2" s="59" customFormat="1" x14ac:dyDescent="0.2">
      <c r="A945" s="58"/>
      <c r="B945" s="138"/>
    </row>
    <row r="946" spans="1:2" s="59" customFormat="1" x14ac:dyDescent="0.2">
      <c r="A946" s="58"/>
      <c r="B946" s="138"/>
    </row>
    <row r="947" spans="1:2" s="59" customFormat="1" x14ac:dyDescent="0.2">
      <c r="A947" s="58"/>
      <c r="B947" s="138"/>
    </row>
    <row r="948" spans="1:2" s="59" customFormat="1" x14ac:dyDescent="0.2">
      <c r="A948" s="58"/>
      <c r="B948" s="138"/>
    </row>
    <row r="949" spans="1:2" s="59" customFormat="1" x14ac:dyDescent="0.2">
      <c r="A949" s="58"/>
      <c r="B949" s="138"/>
    </row>
    <row r="950" spans="1:2" s="59" customFormat="1" x14ac:dyDescent="0.2">
      <c r="A950" s="58"/>
      <c r="B950" s="138"/>
    </row>
    <row r="951" spans="1:2" s="59" customFormat="1" x14ac:dyDescent="0.2">
      <c r="A951" s="58"/>
      <c r="B951" s="138"/>
    </row>
    <row r="952" spans="1:2" s="59" customFormat="1" x14ac:dyDescent="0.2">
      <c r="A952" s="58"/>
      <c r="B952" s="138"/>
    </row>
    <row r="953" spans="1:2" s="59" customFormat="1" x14ac:dyDescent="0.2">
      <c r="A953" s="58"/>
      <c r="B953" s="138"/>
    </row>
    <row r="954" spans="1:2" s="59" customFormat="1" x14ac:dyDescent="0.2">
      <c r="A954" s="58"/>
      <c r="B954" s="138"/>
    </row>
    <row r="955" spans="1:2" s="59" customFormat="1" x14ac:dyDescent="0.2">
      <c r="A955" s="58"/>
      <c r="B955" s="138"/>
    </row>
    <row r="956" spans="1:2" s="59" customFormat="1" x14ac:dyDescent="0.2">
      <c r="A956" s="58"/>
      <c r="B956" s="138"/>
    </row>
    <row r="957" spans="1:2" s="59" customFormat="1" x14ac:dyDescent="0.2">
      <c r="A957" s="58"/>
      <c r="B957" s="138"/>
    </row>
    <row r="958" spans="1:2" s="59" customFormat="1" x14ac:dyDescent="0.2">
      <c r="A958" s="58"/>
      <c r="B958" s="138"/>
    </row>
    <row r="959" spans="1:2" s="59" customFormat="1" x14ac:dyDescent="0.2">
      <c r="A959" s="58"/>
      <c r="B959" s="138"/>
    </row>
    <row r="960" spans="1:2" s="59" customFormat="1" x14ac:dyDescent="0.2">
      <c r="A960" s="58"/>
      <c r="B960" s="138"/>
    </row>
    <row r="961" spans="1:2" s="59" customFormat="1" x14ac:dyDescent="0.2">
      <c r="A961" s="58"/>
      <c r="B961" s="138"/>
    </row>
    <row r="962" spans="1:2" s="59" customFormat="1" x14ac:dyDescent="0.2">
      <c r="A962" s="58"/>
      <c r="B962" s="138"/>
    </row>
    <row r="963" spans="1:2" s="59" customFormat="1" x14ac:dyDescent="0.2">
      <c r="A963" s="58"/>
      <c r="B963" s="138"/>
    </row>
    <row r="964" spans="1:2" s="59" customFormat="1" x14ac:dyDescent="0.2">
      <c r="A964" s="58"/>
      <c r="B964" s="138"/>
    </row>
    <row r="965" spans="1:2" s="59" customFormat="1" x14ac:dyDescent="0.2">
      <c r="A965" s="58"/>
      <c r="B965" s="138"/>
    </row>
    <row r="966" spans="1:2" s="59" customFormat="1" x14ac:dyDescent="0.2">
      <c r="A966" s="58"/>
      <c r="B966" s="138"/>
    </row>
    <row r="967" spans="1:2" s="59" customFormat="1" x14ac:dyDescent="0.2">
      <c r="A967" s="58"/>
      <c r="B967" s="138"/>
    </row>
    <row r="968" spans="1:2" s="59" customFormat="1" x14ac:dyDescent="0.2">
      <c r="A968" s="58"/>
      <c r="B968" s="138"/>
    </row>
    <row r="969" spans="1:2" s="59" customFormat="1" x14ac:dyDescent="0.2">
      <c r="A969" s="58"/>
      <c r="B969" s="138"/>
    </row>
    <row r="970" spans="1:2" s="59" customFormat="1" x14ac:dyDescent="0.2">
      <c r="A970" s="58"/>
      <c r="B970" s="138"/>
    </row>
    <row r="971" spans="1:2" s="59" customFormat="1" x14ac:dyDescent="0.2">
      <c r="A971" s="58"/>
      <c r="B971" s="138"/>
    </row>
    <row r="972" spans="1:2" s="59" customFormat="1" x14ac:dyDescent="0.2">
      <c r="A972" s="58"/>
      <c r="B972" s="138"/>
    </row>
    <row r="973" spans="1:2" s="59" customFormat="1" x14ac:dyDescent="0.2">
      <c r="A973" s="58"/>
      <c r="B973" s="138"/>
    </row>
    <row r="974" spans="1:2" s="59" customFormat="1" x14ac:dyDescent="0.2">
      <c r="A974" s="58"/>
      <c r="B974" s="138"/>
    </row>
    <row r="975" spans="1:2" s="59" customFormat="1" x14ac:dyDescent="0.2">
      <c r="A975" s="58"/>
      <c r="B975" s="138"/>
    </row>
    <row r="976" spans="1:2" s="59" customFormat="1" x14ac:dyDescent="0.2">
      <c r="A976" s="58"/>
      <c r="B976" s="138"/>
    </row>
    <row r="977" spans="1:2" s="59" customFormat="1" x14ac:dyDescent="0.2">
      <c r="A977" s="58"/>
      <c r="B977" s="138"/>
    </row>
    <row r="978" spans="1:2" s="59" customFormat="1" x14ac:dyDescent="0.2">
      <c r="A978" s="58"/>
      <c r="B978" s="138"/>
    </row>
    <row r="979" spans="1:2" s="59" customFormat="1" x14ac:dyDescent="0.2">
      <c r="A979" s="58"/>
      <c r="B979" s="138"/>
    </row>
    <row r="980" spans="1:2" s="59" customFormat="1" x14ac:dyDescent="0.2">
      <c r="A980" s="58"/>
      <c r="B980" s="138"/>
    </row>
    <row r="981" spans="1:2" s="59" customFormat="1" x14ac:dyDescent="0.2">
      <c r="A981" s="58"/>
      <c r="B981" s="138"/>
    </row>
    <row r="982" spans="1:2" s="59" customFormat="1" x14ac:dyDescent="0.2">
      <c r="A982" s="58"/>
      <c r="B982" s="138"/>
    </row>
    <row r="983" spans="1:2" s="59" customFormat="1" x14ac:dyDescent="0.2">
      <c r="A983" s="58"/>
      <c r="B983" s="138"/>
    </row>
    <row r="984" spans="1:2" s="59" customFormat="1" x14ac:dyDescent="0.2">
      <c r="A984" s="58"/>
      <c r="B984" s="138"/>
    </row>
    <row r="985" spans="1:2" s="59" customFormat="1" x14ac:dyDescent="0.2">
      <c r="A985" s="58"/>
      <c r="B985" s="138"/>
    </row>
    <row r="986" spans="1:2" s="59" customFormat="1" x14ac:dyDescent="0.2">
      <c r="A986" s="58"/>
      <c r="B986" s="138"/>
    </row>
    <row r="987" spans="1:2" s="59" customFormat="1" x14ac:dyDescent="0.2">
      <c r="A987" s="58"/>
      <c r="B987" s="138"/>
    </row>
    <row r="988" spans="1:2" s="59" customFormat="1" x14ac:dyDescent="0.2">
      <c r="A988" s="58"/>
      <c r="B988" s="138"/>
    </row>
    <row r="989" spans="1:2" s="59" customFormat="1" x14ac:dyDescent="0.2">
      <c r="A989" s="58"/>
      <c r="B989" s="138"/>
    </row>
    <row r="990" spans="1:2" s="59" customFormat="1" x14ac:dyDescent="0.2">
      <c r="A990" s="58"/>
      <c r="B990" s="138"/>
    </row>
    <row r="991" spans="1:2" s="59" customFormat="1" x14ac:dyDescent="0.2">
      <c r="A991" s="58"/>
      <c r="B991" s="128"/>
    </row>
    <row r="992" spans="1:2" s="59" customFormat="1" x14ac:dyDescent="0.2">
      <c r="A992" s="58"/>
      <c r="B992" s="128"/>
    </row>
    <row r="993" spans="1:2" s="59" customFormat="1" x14ac:dyDescent="0.2">
      <c r="A993" s="58"/>
      <c r="B993" s="128"/>
    </row>
    <row r="994" spans="1:2" s="59" customFormat="1" x14ac:dyDescent="0.2">
      <c r="A994" s="58"/>
      <c r="B994" s="128"/>
    </row>
    <row r="995" spans="1:2" s="59" customFormat="1" x14ac:dyDescent="0.2">
      <c r="A995" s="58"/>
      <c r="B995" s="128"/>
    </row>
    <row r="996" spans="1:2" s="59" customFormat="1" x14ac:dyDescent="0.2">
      <c r="A996" s="58"/>
      <c r="B996" s="128"/>
    </row>
    <row r="997" spans="1:2" s="59" customFormat="1" x14ac:dyDescent="0.2">
      <c r="A997" s="58"/>
      <c r="B997" s="128"/>
    </row>
    <row r="998" spans="1:2" s="59" customFormat="1" x14ac:dyDescent="0.2">
      <c r="A998" s="58"/>
      <c r="B998" s="128"/>
    </row>
    <row r="999" spans="1:2" s="59" customFormat="1" x14ac:dyDescent="0.2">
      <c r="A999" s="58"/>
      <c r="B999" s="128"/>
    </row>
    <row r="1000" spans="1:2" s="59" customFormat="1" x14ac:dyDescent="0.2">
      <c r="A1000" s="58"/>
      <c r="B1000" s="128"/>
    </row>
  </sheetData>
  <phoneticPr fontId="3" type="noConversion"/>
  <pageMargins left="0.75" right="0.75" top="1" bottom="1" header="0.4921259845" footer="0.4921259845"/>
  <pageSetup paperSize="9" orientation="portrait" horizontalDpi="200" verticalDpi="2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38E6-B52E-4CA1-9B96-5CFF4EC0D8DE}">
  <sheetPr codeName="Tabelle6"/>
  <dimension ref="A1:K59"/>
  <sheetViews>
    <sheetView topLeftCell="A2" workbookViewId="0">
      <selection activeCell="J7" sqref="J7"/>
    </sheetView>
  </sheetViews>
  <sheetFormatPr defaultColWidth="11.42578125" defaultRowHeight="12.75" x14ac:dyDescent="0.2"/>
  <sheetData>
    <row r="1" spans="1:11" ht="15.95" customHeight="1" x14ac:dyDescent="0.25">
      <c r="A1" s="275"/>
      <c r="C1" s="307"/>
      <c r="E1" s="308"/>
      <c r="F1" s="309"/>
      <c r="G1" s="309"/>
      <c r="H1" s="309"/>
      <c r="I1" s="310"/>
      <c r="J1" s="309"/>
      <c r="K1" s="309"/>
    </row>
    <row r="2" spans="1:11" ht="15.95" customHeight="1" x14ac:dyDescent="0.25">
      <c r="A2" s="275"/>
      <c r="B2" s="276"/>
      <c r="E2" s="310"/>
      <c r="F2" s="309"/>
      <c r="G2" s="320" t="s">
        <v>581</v>
      </c>
      <c r="H2" s="309"/>
    </row>
    <row r="3" spans="1:11" ht="15.95" customHeight="1" x14ac:dyDescent="0.2">
      <c r="A3" s="275"/>
      <c r="B3" s="524" t="s">
        <v>574</v>
      </c>
      <c r="C3" s="525"/>
      <c r="D3" s="526"/>
      <c r="E3" s="314">
        <v>661</v>
      </c>
      <c r="G3" s="524" t="s">
        <v>1902</v>
      </c>
      <c r="H3" s="525"/>
      <c r="I3" s="319" t="s">
        <v>3146</v>
      </c>
      <c r="J3" s="314">
        <f>COUNTIF(flora!$Q$3:$Q$663,I3)</f>
        <v>2</v>
      </c>
    </row>
    <row r="4" spans="1:11" ht="15.95" customHeight="1" x14ac:dyDescent="0.2">
      <c r="A4" s="275"/>
      <c r="B4" s="524" t="s">
        <v>575</v>
      </c>
      <c r="C4" s="525"/>
      <c r="D4" s="526"/>
      <c r="E4" s="314">
        <v>43</v>
      </c>
      <c r="G4" s="524" t="s">
        <v>1903</v>
      </c>
      <c r="H4" s="525"/>
      <c r="I4" s="319" t="s">
        <v>3149</v>
      </c>
      <c r="J4" s="314">
        <f>COUNTIF(flora!$Q$3:$Q$663,I4)</f>
        <v>2</v>
      </c>
    </row>
    <row r="5" spans="1:11" ht="15.95" customHeight="1" x14ac:dyDescent="0.2">
      <c r="A5" s="275"/>
      <c r="B5" s="527" t="s">
        <v>576</v>
      </c>
      <c r="C5" s="528"/>
      <c r="D5" s="529"/>
      <c r="E5" s="316">
        <f>SUM(E3:E4)</f>
        <v>704</v>
      </c>
      <c r="G5" s="524" t="s">
        <v>1904</v>
      </c>
      <c r="H5" s="525"/>
      <c r="I5" s="319" t="s">
        <v>3148</v>
      </c>
      <c r="J5" s="314">
        <f>COUNTIF(flora!$Q$3:$Q$663,I5)</f>
        <v>3</v>
      </c>
    </row>
    <row r="6" spans="1:11" ht="15.95" customHeight="1" x14ac:dyDescent="0.25">
      <c r="A6" s="275"/>
      <c r="B6" s="318"/>
      <c r="C6" s="318"/>
      <c r="D6" s="318"/>
      <c r="G6" s="524" t="s">
        <v>1905</v>
      </c>
      <c r="H6" s="525"/>
      <c r="I6" s="319" t="s">
        <v>3145</v>
      </c>
      <c r="J6" s="314">
        <f>COUNTIF(flora!$Q$3:$Q$663,I6)</f>
        <v>9</v>
      </c>
      <c r="K6" s="309"/>
    </row>
    <row r="7" spans="1:11" ht="15.95" customHeight="1" x14ac:dyDescent="0.25">
      <c r="A7" s="275"/>
      <c r="B7" s="524" t="s">
        <v>578</v>
      </c>
      <c r="C7" s="525"/>
      <c r="D7" s="526"/>
      <c r="E7" s="314">
        <f>COUNTIF(flora!T3:T663,"1")</f>
        <v>579</v>
      </c>
      <c r="G7" s="524" t="s">
        <v>1906</v>
      </c>
      <c r="H7" s="525"/>
      <c r="I7" s="319" t="s">
        <v>3147</v>
      </c>
      <c r="J7" s="314">
        <f>COUNTIF(flora!$Q$3:$Q$663,I7)</f>
        <v>5</v>
      </c>
      <c r="K7" s="309"/>
    </row>
    <row r="8" spans="1:11" ht="15.95" customHeight="1" x14ac:dyDescent="0.25">
      <c r="A8" s="275"/>
      <c r="B8" s="524" t="s">
        <v>577</v>
      </c>
      <c r="C8" s="525"/>
      <c r="D8" s="526"/>
      <c r="E8" s="314">
        <v>107</v>
      </c>
      <c r="G8" s="524" t="s">
        <v>1907</v>
      </c>
      <c r="H8" s="525"/>
      <c r="I8" s="319" t="s">
        <v>2703</v>
      </c>
      <c r="J8" s="314">
        <f>COUNTIF(flora!$Q$3:$Q$663,I8)</f>
        <v>9</v>
      </c>
      <c r="K8" s="309"/>
    </row>
    <row r="9" spans="1:11" ht="15.95" customHeight="1" x14ac:dyDescent="0.25">
      <c r="A9" s="275"/>
      <c r="B9" s="527" t="s">
        <v>579</v>
      </c>
      <c r="C9" s="528"/>
      <c r="D9" s="529"/>
      <c r="E9" s="316">
        <f>SUM(E7:E8)</f>
        <v>686</v>
      </c>
      <c r="G9" s="524" t="s">
        <v>1908</v>
      </c>
      <c r="H9" s="525"/>
      <c r="I9" s="319" t="s">
        <v>3144</v>
      </c>
      <c r="J9" s="314">
        <f>COUNTIF(flora!$Q$3:$Q$663,I9)</f>
        <v>21</v>
      </c>
      <c r="K9" s="309"/>
    </row>
    <row r="10" spans="1:11" ht="15.95" customHeight="1" x14ac:dyDescent="0.25">
      <c r="A10" s="275"/>
      <c r="E10" s="308"/>
      <c r="G10" s="527" t="s">
        <v>580</v>
      </c>
      <c r="H10" s="528"/>
      <c r="I10" s="529"/>
      <c r="J10" s="316">
        <f>SUM(J3:J9)</f>
        <v>51</v>
      </c>
      <c r="K10" s="309"/>
    </row>
    <row r="11" spans="1:11" ht="18" x14ac:dyDescent="0.25">
      <c r="A11" s="275"/>
      <c r="E11" s="277"/>
      <c r="F11" s="309"/>
      <c r="G11" s="309"/>
      <c r="H11" s="309"/>
      <c r="I11" s="310"/>
      <c r="J11" s="309"/>
      <c r="K11" s="309"/>
    </row>
    <row r="12" spans="1:11" ht="15.75" x14ac:dyDescent="0.25">
      <c r="A12" s="311"/>
      <c r="B12" s="312" t="s">
        <v>573</v>
      </c>
      <c r="C12" s="312"/>
      <c r="D12" s="312"/>
      <c r="E12" s="312"/>
      <c r="F12" s="312"/>
      <c r="G12" s="312"/>
      <c r="H12" s="312"/>
    </row>
    <row r="13" spans="1:11" x14ac:dyDescent="0.2">
      <c r="A13" s="317"/>
      <c r="B13" s="316">
        <v>1997</v>
      </c>
      <c r="C13" s="316">
        <v>1998</v>
      </c>
      <c r="D13" s="316">
        <v>1999</v>
      </c>
      <c r="E13" s="316">
        <v>2000</v>
      </c>
      <c r="F13" s="316">
        <v>2001</v>
      </c>
      <c r="G13" s="316">
        <v>2002</v>
      </c>
      <c r="H13" s="316">
        <v>2003</v>
      </c>
      <c r="I13" s="316">
        <v>2004</v>
      </c>
      <c r="J13" s="316">
        <v>2005</v>
      </c>
      <c r="K13" s="315" t="s">
        <v>1909</v>
      </c>
    </row>
    <row r="14" spans="1:11" x14ac:dyDescent="0.2">
      <c r="A14" s="316" t="s">
        <v>1910</v>
      </c>
      <c r="B14" s="314">
        <f>COUNTIF(flora!$R$3:$R$663,B48)</f>
        <v>4</v>
      </c>
      <c r="C14" s="314">
        <f>COUNTIF(flora!$R$3:$R$663,C48)</f>
        <v>18</v>
      </c>
      <c r="D14" s="314">
        <f>COUNTIF(flora!$R$3:$R$663,D48)</f>
        <v>11</v>
      </c>
      <c r="E14" s="314">
        <f>COUNTIF(flora!$R$3:$R$663,E48)</f>
        <v>0</v>
      </c>
      <c r="F14" s="314">
        <f>COUNTIF(flora!$R$3:$R$663,F48)</f>
        <v>16</v>
      </c>
      <c r="G14" s="314">
        <f>COUNTIF(flora!$R$3:$R$663,G48)</f>
        <v>11</v>
      </c>
      <c r="H14" s="314">
        <f>COUNTIF(flora!$R$3:$R$663,H48)</f>
        <v>0</v>
      </c>
      <c r="I14" s="314">
        <f>COUNTIF(flora!$R$3:$R$663,I48)</f>
        <v>0</v>
      </c>
      <c r="J14" s="314">
        <f>COUNTIF(flora!$R$3:$R$663,J48)</f>
        <v>0</v>
      </c>
      <c r="K14" s="316">
        <f>SUM(B14:J14)</f>
        <v>60</v>
      </c>
    </row>
    <row r="15" spans="1:11" x14ac:dyDescent="0.2">
      <c r="A15" s="316" t="s">
        <v>1911</v>
      </c>
      <c r="B15" s="314">
        <f>COUNTIF(flora!$R$3:$R$663,B49)</f>
        <v>1</v>
      </c>
      <c r="C15" s="314">
        <f>COUNTIF(flora!$R$3:$R$663,C49)</f>
        <v>0</v>
      </c>
      <c r="D15" s="314">
        <f>COUNTIF(flora!$R$3:$R$663,D49)</f>
        <v>3</v>
      </c>
      <c r="E15" s="314">
        <f>COUNTIF(flora!$R$3:$R$663,E49)</f>
        <v>0</v>
      </c>
      <c r="F15" s="314">
        <f>COUNTIF(flora!$R$3:$R$663,F49)</f>
        <v>11</v>
      </c>
      <c r="G15" s="314">
        <f>COUNTIF(flora!$R$3:$R$663,G49)</f>
        <v>1</v>
      </c>
      <c r="H15" s="314">
        <f>COUNTIF(flora!$R$3:$R$663,H49)</f>
        <v>0</v>
      </c>
      <c r="I15" s="314">
        <f>COUNTIF(flora!$R$3:$R$663,I49)</f>
        <v>2</v>
      </c>
      <c r="J15" s="314">
        <f>COUNTIF(flora!$R$3:$R$663,J49)</f>
        <v>0</v>
      </c>
      <c r="K15" s="316">
        <f t="shared" ref="K15:K25" si="0">SUM(B15:J15)</f>
        <v>18</v>
      </c>
    </row>
    <row r="16" spans="1:11" x14ac:dyDescent="0.2">
      <c r="A16" s="316" t="s">
        <v>1912</v>
      </c>
      <c r="B16" s="314">
        <f>COUNTIF(flora!$R$3:$R$663,B50)</f>
        <v>4</v>
      </c>
      <c r="C16" s="314">
        <f>COUNTIF(flora!$R$3:$R$663,C50)</f>
        <v>19</v>
      </c>
      <c r="D16" s="314">
        <f>COUNTIF(flora!$R$3:$R$663,D50)</f>
        <v>1</v>
      </c>
      <c r="E16" s="314">
        <f>COUNTIF(flora!$R$3:$R$663,E50)</f>
        <v>8</v>
      </c>
      <c r="F16" s="314">
        <f>COUNTIF(flora!$R$3:$R$663,F50)</f>
        <v>4</v>
      </c>
      <c r="G16" s="314">
        <f>COUNTIF(flora!$R$3:$R$663,G50)</f>
        <v>12</v>
      </c>
      <c r="H16" s="314">
        <f>COUNTIF(flora!$R$3:$R$663,H50)</f>
        <v>0</v>
      </c>
      <c r="I16" s="314">
        <f>COUNTIF(flora!$R$3:$R$663,I50)</f>
        <v>1</v>
      </c>
      <c r="J16" s="314">
        <f>COUNTIF(flora!$R$3:$R$663,J50)</f>
        <v>0</v>
      </c>
      <c r="K16" s="316">
        <f t="shared" si="0"/>
        <v>49</v>
      </c>
    </row>
    <row r="17" spans="1:11" x14ac:dyDescent="0.2">
      <c r="A17" s="316" t="s">
        <v>1913</v>
      </c>
      <c r="B17" s="314">
        <f>COUNTIF(flora!$R$3:$R$663,B51)</f>
        <v>0</v>
      </c>
      <c r="C17" s="314">
        <f>COUNTIF(flora!$R$3:$R$663,C51)</f>
        <v>20</v>
      </c>
      <c r="D17" s="314">
        <f>COUNTIF(flora!$R$3:$R$663,D51)</f>
        <v>3</v>
      </c>
      <c r="E17" s="314">
        <f>COUNTIF(flora!$R$3:$R$663,E51)</f>
        <v>4</v>
      </c>
      <c r="F17" s="314">
        <f>COUNTIF(flora!$R$3:$R$663,F51)</f>
        <v>0</v>
      </c>
      <c r="G17" s="314">
        <f>COUNTIF(flora!$R$3:$R$663,G51)</f>
        <v>2</v>
      </c>
      <c r="H17" s="314">
        <f>COUNTIF(flora!$R$3:$R$663,H51)</f>
        <v>0</v>
      </c>
      <c r="I17" s="314">
        <f>COUNTIF(flora!$R$3:$R$663,I51)</f>
        <v>0</v>
      </c>
      <c r="J17" s="314">
        <f>COUNTIF(flora!$R$3:$R$663,J51)</f>
        <v>0</v>
      </c>
      <c r="K17" s="316">
        <f t="shared" si="0"/>
        <v>29</v>
      </c>
    </row>
    <row r="18" spans="1:11" x14ac:dyDescent="0.2">
      <c r="A18" s="316" t="s">
        <v>1914</v>
      </c>
      <c r="B18" s="314">
        <f>COUNTIF(flora!$R$3:$R$663,B52)</f>
        <v>2</v>
      </c>
      <c r="C18" s="314">
        <f>COUNTIF(flora!$R$3:$R$663,C52)</f>
        <v>2</v>
      </c>
      <c r="D18" s="314">
        <f>COUNTIF(flora!$R$3:$R$663,D52)</f>
        <v>7</v>
      </c>
      <c r="E18" s="314">
        <f>COUNTIF(flora!$R$3:$R$663,E52)</f>
        <v>0</v>
      </c>
      <c r="F18" s="314">
        <f>COUNTIF(flora!$R$3:$R$663,F52)</f>
        <v>6</v>
      </c>
      <c r="G18" s="314">
        <f>COUNTIF(flora!$R$3:$R$663,G52)</f>
        <v>0</v>
      </c>
      <c r="H18" s="314">
        <f>COUNTIF(flora!$R$3:$R$663,H52)</f>
        <v>2</v>
      </c>
      <c r="I18" s="314">
        <f>COUNTIF(flora!$R$3:$R$663,I52)</f>
        <v>2</v>
      </c>
      <c r="J18" s="314">
        <f>COUNTIF(flora!$R$3:$R$663,J52)</f>
        <v>0</v>
      </c>
      <c r="K18" s="316">
        <f t="shared" si="0"/>
        <v>21</v>
      </c>
    </row>
    <row r="19" spans="1:11" x14ac:dyDescent="0.2">
      <c r="A19" s="316" t="s">
        <v>1915</v>
      </c>
      <c r="B19" s="314">
        <f>COUNTIF(flora!$R$3:$R$663,B53)</f>
        <v>1</v>
      </c>
      <c r="C19" s="314">
        <f>COUNTIF(flora!$R$3:$R$663,C53)</f>
        <v>25</v>
      </c>
      <c r="D19" s="314">
        <f>COUNTIF(flora!$R$3:$R$663,D53)</f>
        <v>2</v>
      </c>
      <c r="E19" s="314">
        <f>COUNTIF(flora!$R$3:$R$663,E53)</f>
        <v>0</v>
      </c>
      <c r="F19" s="314">
        <f>COUNTIF(flora!$R$3:$R$663,F53)</f>
        <v>0</v>
      </c>
      <c r="G19" s="314">
        <f>COUNTIF(flora!$R$3:$R$663,G53)</f>
        <v>2</v>
      </c>
      <c r="H19" s="314">
        <f>COUNTIF(flora!$R$3:$R$663,H53)</f>
        <v>0</v>
      </c>
      <c r="I19" s="314">
        <f>COUNTIF(flora!$R$3:$R$663,I53)</f>
        <v>1</v>
      </c>
      <c r="J19" s="314">
        <f>COUNTIF(flora!$R$3:$R$663,J53)</f>
        <v>0</v>
      </c>
      <c r="K19" s="316">
        <f t="shared" si="0"/>
        <v>31</v>
      </c>
    </row>
    <row r="20" spans="1:11" x14ac:dyDescent="0.2">
      <c r="A20" s="316" t="s">
        <v>1916</v>
      </c>
      <c r="B20" s="314">
        <f>COUNTIF(flora!$R$3:$R$663,B54)</f>
        <v>299</v>
      </c>
      <c r="C20" s="314">
        <f>COUNTIF(flora!$R$3:$R$663,C54)</f>
        <v>0</v>
      </c>
      <c r="D20" s="314">
        <f>COUNTIF(flora!$R$3:$R$663,D54)</f>
        <v>0</v>
      </c>
      <c r="E20" s="314">
        <f>COUNTIF(flora!$R$3:$R$663,E54)</f>
        <v>0</v>
      </c>
      <c r="F20" s="314">
        <f>COUNTIF(flora!$R$3:$R$663,F54)</f>
        <v>9</v>
      </c>
      <c r="G20" s="314">
        <f>COUNTIF(flora!$R$3:$R$663,G54)</f>
        <v>0</v>
      </c>
      <c r="H20" s="314">
        <f>COUNTIF(flora!$R$3:$R$663,H54)</f>
        <v>0</v>
      </c>
      <c r="I20" s="314">
        <f>COUNTIF(flora!$R$3:$R$663,I54)</f>
        <v>0</v>
      </c>
      <c r="J20" s="314">
        <f>COUNTIF(flora!$R$3:$R$663,J54)</f>
        <v>0</v>
      </c>
      <c r="K20" s="316">
        <f t="shared" si="0"/>
        <v>308</v>
      </c>
    </row>
    <row r="21" spans="1:11" x14ac:dyDescent="0.2">
      <c r="A21" s="316" t="s">
        <v>1917</v>
      </c>
      <c r="B21" s="314">
        <f>COUNTIF(flora!$R$3:$R$663,B55)</f>
        <v>1</v>
      </c>
      <c r="C21" s="314">
        <f>COUNTIF(flora!$R$3:$R$663,C55)</f>
        <v>1</v>
      </c>
      <c r="D21" s="314">
        <f>COUNTIF(flora!$R$3:$R$663,D55)</f>
        <v>0</v>
      </c>
      <c r="E21" s="314">
        <f>COUNTIF(flora!$R$3:$R$663,E55)</f>
        <v>0</v>
      </c>
      <c r="F21" s="314">
        <f>COUNTIF(flora!$R$3:$R$663,F55)</f>
        <v>0</v>
      </c>
      <c r="G21" s="314">
        <f>COUNTIF(flora!$R$3:$R$663,G55)</f>
        <v>0</v>
      </c>
      <c r="H21" s="314">
        <f>COUNTIF(flora!$R$3:$R$663,H55)</f>
        <v>0</v>
      </c>
      <c r="I21" s="314">
        <f>COUNTIF(flora!$R$3:$R$663,I55)</f>
        <v>0</v>
      </c>
      <c r="J21" s="314">
        <f>COUNTIF(flora!$R$3:$R$663,J55)</f>
        <v>0</v>
      </c>
      <c r="K21" s="316">
        <f t="shared" si="0"/>
        <v>2</v>
      </c>
    </row>
    <row r="22" spans="1:11" x14ac:dyDescent="0.2">
      <c r="A22" s="316" t="s">
        <v>1918</v>
      </c>
      <c r="B22" s="314">
        <f>COUNTIF(flora!$R$3:$R$663,B56)</f>
        <v>0</v>
      </c>
      <c r="C22" s="314">
        <f>COUNTIF(flora!$R$3:$R$663,C56)</f>
        <v>7</v>
      </c>
      <c r="D22" s="314">
        <f>COUNTIF(flora!$R$3:$R$663,D56)</f>
        <v>4</v>
      </c>
      <c r="E22" s="314">
        <f>COUNTIF(flora!$R$3:$R$663,E56)</f>
        <v>4</v>
      </c>
      <c r="F22" s="314">
        <f>COUNTIF(flora!$R$3:$R$663,F56)</f>
        <v>3</v>
      </c>
      <c r="G22" s="314">
        <f>COUNTIF(flora!$R$3:$R$663,G56)</f>
        <v>7</v>
      </c>
      <c r="H22" s="314">
        <f>COUNTIF(flora!$R$3:$R$663,H56)</f>
        <v>0</v>
      </c>
      <c r="I22" s="314">
        <f>COUNTIF(flora!$R$3:$R$663,I56)</f>
        <v>3</v>
      </c>
      <c r="J22" s="314">
        <f>COUNTIF(flora!$R$3:$R$663,J56)</f>
        <v>0</v>
      </c>
      <c r="K22" s="316">
        <f>SUM(B22:J22)</f>
        <v>28</v>
      </c>
    </row>
    <row r="23" spans="1:11" x14ac:dyDescent="0.2">
      <c r="A23" s="316" t="s">
        <v>1919</v>
      </c>
      <c r="B23" s="314">
        <f>COUNTIF(flora!$R$3:$R$663,B57)</f>
        <v>2</v>
      </c>
      <c r="C23" s="314">
        <f>COUNTIF(flora!$R$3:$R$663,C57)</f>
        <v>12</v>
      </c>
      <c r="D23" s="314">
        <f>COUNTIF(flora!$R$3:$R$663,D57)</f>
        <v>4</v>
      </c>
      <c r="E23" s="314">
        <f>COUNTIF(flora!$R$3:$R$663,E57)</f>
        <v>3</v>
      </c>
      <c r="F23" s="314">
        <f>COUNTIF(flora!$R$3:$R$663,F57)</f>
        <v>9</v>
      </c>
      <c r="G23" s="314">
        <f>COUNTIF(flora!$R$3:$R$663,G57)</f>
        <v>10</v>
      </c>
      <c r="H23" s="314">
        <f>COUNTIF(flora!$R$3:$R$663,H57)</f>
        <v>0</v>
      </c>
      <c r="I23" s="314">
        <f>COUNTIF(flora!$R$3:$R$663,I57)</f>
        <v>1</v>
      </c>
      <c r="J23" s="314">
        <f>COUNTIF(flora!$R$3:$R$663,J57)</f>
        <v>0</v>
      </c>
      <c r="K23" s="316">
        <f t="shared" si="0"/>
        <v>41</v>
      </c>
    </row>
    <row r="24" spans="1:11" x14ac:dyDescent="0.2">
      <c r="A24" s="316" t="s">
        <v>1920</v>
      </c>
      <c r="B24" s="314">
        <f>COUNTIF(flora!$R$3:$R$663,B58)</f>
        <v>4</v>
      </c>
      <c r="C24" s="314">
        <f>COUNTIF(flora!$R$3:$R$663,C58)</f>
        <v>3</v>
      </c>
      <c r="D24" s="314">
        <f>COUNTIF(flora!$R$3:$R$663,D58)</f>
        <v>3</v>
      </c>
      <c r="E24" s="314">
        <f>COUNTIF(flora!$R$3:$R$663,E58)</f>
        <v>4</v>
      </c>
      <c r="F24" s="314">
        <f>COUNTIF(flora!$R$3:$R$663,F58)</f>
        <v>2</v>
      </c>
      <c r="G24" s="314">
        <f>COUNTIF(flora!$R$3:$R$663,G58)</f>
        <v>5</v>
      </c>
      <c r="H24" s="314">
        <f>COUNTIF(flora!$R$3:$R$663,H58)</f>
        <v>0</v>
      </c>
      <c r="I24" s="314">
        <f>COUNTIF(flora!$R$3:$R$663,I58)</f>
        <v>1</v>
      </c>
      <c r="J24" s="314">
        <f>COUNTIF(flora!$R$3:$R$663,J58)</f>
        <v>0</v>
      </c>
      <c r="K24" s="316">
        <f t="shared" si="0"/>
        <v>22</v>
      </c>
    </row>
    <row r="25" spans="1:11" x14ac:dyDescent="0.2">
      <c r="A25" s="316" t="s">
        <v>1921</v>
      </c>
      <c r="B25" s="314">
        <f>COUNTIF(flora!$R$3:$R$663,B59)</f>
        <v>0</v>
      </c>
      <c r="C25" s="314">
        <f>COUNTIF(flora!$R$3:$R$663,C59)</f>
        <v>8</v>
      </c>
      <c r="D25" s="314">
        <f>COUNTIF(flora!$R$3:$R$663,D59)</f>
        <v>1</v>
      </c>
      <c r="E25" s="314">
        <f>COUNTIF(flora!$R$3:$R$663,E59)</f>
        <v>22</v>
      </c>
      <c r="F25" s="314">
        <f>COUNTIF(flora!$R$3:$R$663,F59)</f>
        <v>4</v>
      </c>
      <c r="G25" s="314">
        <f>COUNTIF(flora!$R$3:$R$663,G59)</f>
        <v>3</v>
      </c>
      <c r="H25" s="314">
        <f>COUNTIF(flora!$R$3:$R$663,H59)</f>
        <v>0</v>
      </c>
      <c r="I25" s="314">
        <f>COUNTIF(flora!$R$3:$R$663,I59)</f>
        <v>0</v>
      </c>
      <c r="J25" s="314">
        <f>COUNTIF(flora!$R$3:$R$663,J59)</f>
        <v>0</v>
      </c>
      <c r="K25" s="316">
        <f t="shared" si="0"/>
        <v>38</v>
      </c>
    </row>
    <row r="26" spans="1:11" x14ac:dyDescent="0.2">
      <c r="A26" s="316" t="s">
        <v>1922</v>
      </c>
      <c r="B26" s="314"/>
      <c r="C26" s="314"/>
      <c r="D26" s="314"/>
      <c r="E26" s="314"/>
      <c r="F26" s="314"/>
      <c r="G26" s="314"/>
      <c r="H26" s="314"/>
      <c r="I26" s="314"/>
      <c r="J26" s="314"/>
      <c r="K26" s="316">
        <f>COUNTBLANK(flora!R3:R663)</f>
        <v>14</v>
      </c>
    </row>
    <row r="27" spans="1:11" x14ac:dyDescent="0.2">
      <c r="A27" s="316" t="s">
        <v>1909</v>
      </c>
      <c r="B27" s="316">
        <f t="shared" ref="B27:G27" si="1">SUM(B14:B26)</f>
        <v>318</v>
      </c>
      <c r="C27" s="316">
        <f t="shared" si="1"/>
        <v>115</v>
      </c>
      <c r="D27" s="316">
        <f t="shared" si="1"/>
        <v>39</v>
      </c>
      <c r="E27" s="316">
        <f t="shared" si="1"/>
        <v>45</v>
      </c>
      <c r="F27" s="316">
        <f t="shared" si="1"/>
        <v>64</v>
      </c>
      <c r="G27" s="316">
        <f t="shared" si="1"/>
        <v>53</v>
      </c>
      <c r="H27" s="316">
        <f>SUM(H14:H26)</f>
        <v>2</v>
      </c>
      <c r="I27" s="316">
        <f>SUM(I14:I26)</f>
        <v>11</v>
      </c>
      <c r="J27" s="316">
        <f>SUM(J14:J26)</f>
        <v>0</v>
      </c>
      <c r="K27" s="316">
        <f>SUM(K14:K26)</f>
        <v>661</v>
      </c>
    </row>
    <row r="48" spans="2:10" x14ac:dyDescent="0.2">
      <c r="B48" s="313">
        <v>35431</v>
      </c>
      <c r="C48" s="313">
        <v>35796</v>
      </c>
      <c r="D48" s="313">
        <v>36161</v>
      </c>
      <c r="E48" s="313">
        <v>36526</v>
      </c>
      <c r="F48" s="313">
        <v>36892</v>
      </c>
      <c r="G48" s="313">
        <v>37257</v>
      </c>
      <c r="H48" s="313">
        <v>37622</v>
      </c>
      <c r="I48" s="313">
        <v>37987</v>
      </c>
      <c r="J48" s="313">
        <v>38353</v>
      </c>
    </row>
    <row r="49" spans="2:10" x14ac:dyDescent="0.2">
      <c r="B49" s="313">
        <v>35462</v>
      </c>
      <c r="C49" s="313">
        <v>35827</v>
      </c>
      <c r="D49" s="313">
        <v>36192</v>
      </c>
      <c r="E49" s="313">
        <v>36557</v>
      </c>
      <c r="F49" s="313">
        <v>36923</v>
      </c>
      <c r="G49" s="313">
        <v>37288</v>
      </c>
      <c r="H49" s="313">
        <v>37653</v>
      </c>
      <c r="I49" s="313">
        <v>38018</v>
      </c>
      <c r="J49" s="313">
        <v>38384</v>
      </c>
    </row>
    <row r="50" spans="2:10" x14ac:dyDescent="0.2">
      <c r="B50" s="313">
        <v>35490</v>
      </c>
      <c r="C50" s="313">
        <v>35855</v>
      </c>
      <c r="D50" s="313">
        <v>36220</v>
      </c>
      <c r="E50" s="313">
        <v>36586</v>
      </c>
      <c r="F50" s="313">
        <v>36951</v>
      </c>
      <c r="G50" s="313">
        <v>37316</v>
      </c>
      <c r="H50" s="313">
        <v>37681</v>
      </c>
      <c r="I50" s="313">
        <v>38047</v>
      </c>
      <c r="J50" s="313">
        <v>38412</v>
      </c>
    </row>
    <row r="51" spans="2:10" x14ac:dyDescent="0.2">
      <c r="B51" s="313">
        <v>35521</v>
      </c>
      <c r="C51" s="313">
        <v>35886</v>
      </c>
      <c r="D51" s="313">
        <v>36251</v>
      </c>
      <c r="E51" s="313">
        <v>36617</v>
      </c>
      <c r="F51" s="313">
        <v>36982</v>
      </c>
      <c r="G51" s="313">
        <v>37347</v>
      </c>
      <c r="H51" s="313">
        <v>37712</v>
      </c>
      <c r="I51" s="313">
        <v>38078</v>
      </c>
      <c r="J51" s="313">
        <v>38443</v>
      </c>
    </row>
    <row r="52" spans="2:10" x14ac:dyDescent="0.2">
      <c r="B52" s="313">
        <v>35551</v>
      </c>
      <c r="C52" s="313">
        <v>35916</v>
      </c>
      <c r="D52" s="313">
        <v>36281</v>
      </c>
      <c r="E52" s="313">
        <v>36647</v>
      </c>
      <c r="F52" s="313">
        <v>37012</v>
      </c>
      <c r="G52" s="313">
        <v>37377</v>
      </c>
      <c r="H52" s="313">
        <v>37742</v>
      </c>
      <c r="I52" s="313">
        <v>38108</v>
      </c>
      <c r="J52" s="313">
        <v>38473</v>
      </c>
    </row>
    <row r="53" spans="2:10" x14ac:dyDescent="0.2">
      <c r="B53" s="313">
        <v>35582</v>
      </c>
      <c r="C53" s="313">
        <v>35947</v>
      </c>
      <c r="D53" s="313">
        <v>36312</v>
      </c>
      <c r="E53" s="313">
        <v>36678</v>
      </c>
      <c r="F53" s="313">
        <v>37043</v>
      </c>
      <c r="G53" s="313">
        <v>37408</v>
      </c>
      <c r="H53" s="313">
        <v>37773</v>
      </c>
      <c r="I53" s="313">
        <v>38139</v>
      </c>
      <c r="J53" s="313">
        <v>38504</v>
      </c>
    </row>
    <row r="54" spans="2:10" x14ac:dyDescent="0.2">
      <c r="B54" s="313">
        <v>35612</v>
      </c>
      <c r="C54" s="313">
        <v>35977</v>
      </c>
      <c r="D54" s="313">
        <v>36342</v>
      </c>
      <c r="E54" s="313">
        <v>36708</v>
      </c>
      <c r="F54" s="313">
        <v>37073</v>
      </c>
      <c r="G54" s="313">
        <v>37438</v>
      </c>
      <c r="H54" s="313">
        <v>37803</v>
      </c>
      <c r="I54" s="313">
        <v>38169</v>
      </c>
      <c r="J54" s="313">
        <v>38534</v>
      </c>
    </row>
    <row r="55" spans="2:10" x14ac:dyDescent="0.2">
      <c r="B55" s="313">
        <v>35643</v>
      </c>
      <c r="C55" s="313">
        <v>36008</v>
      </c>
      <c r="D55" s="313">
        <v>36373</v>
      </c>
      <c r="E55" s="313">
        <v>36739</v>
      </c>
      <c r="F55" s="313">
        <v>37104</v>
      </c>
      <c r="G55" s="313">
        <v>37469</v>
      </c>
      <c r="H55" s="313">
        <v>37834</v>
      </c>
      <c r="I55" s="313">
        <v>38200</v>
      </c>
      <c r="J55" s="313">
        <v>38565</v>
      </c>
    </row>
    <row r="56" spans="2:10" x14ac:dyDescent="0.2">
      <c r="B56" s="313">
        <v>35674</v>
      </c>
      <c r="C56" s="313">
        <v>36039</v>
      </c>
      <c r="D56" s="313">
        <v>36404</v>
      </c>
      <c r="E56" s="313">
        <v>36770</v>
      </c>
      <c r="F56" s="313">
        <v>37135</v>
      </c>
      <c r="G56" s="313">
        <v>37500</v>
      </c>
      <c r="H56" s="313">
        <v>37865</v>
      </c>
      <c r="I56" s="313">
        <v>38231</v>
      </c>
      <c r="J56" s="313">
        <v>38596</v>
      </c>
    </row>
    <row r="57" spans="2:10" x14ac:dyDescent="0.2">
      <c r="B57" s="313">
        <v>35704</v>
      </c>
      <c r="C57" s="313">
        <v>36069</v>
      </c>
      <c r="D57" s="313">
        <v>36434</v>
      </c>
      <c r="E57" s="313">
        <v>36800</v>
      </c>
      <c r="F57" s="313">
        <v>37165</v>
      </c>
      <c r="G57" s="313">
        <v>37530</v>
      </c>
      <c r="H57" s="313">
        <v>37895</v>
      </c>
      <c r="I57" s="313">
        <v>38261</v>
      </c>
      <c r="J57" s="313">
        <v>38626</v>
      </c>
    </row>
    <row r="58" spans="2:10" x14ac:dyDescent="0.2">
      <c r="B58" s="313">
        <v>35735</v>
      </c>
      <c r="C58" s="313">
        <v>36100</v>
      </c>
      <c r="D58" s="313">
        <v>36465</v>
      </c>
      <c r="E58" s="313">
        <v>36831</v>
      </c>
      <c r="F58" s="313">
        <v>37196</v>
      </c>
      <c r="G58" s="313">
        <v>37561</v>
      </c>
      <c r="H58" s="313">
        <v>37926</v>
      </c>
      <c r="I58" s="313">
        <v>38292</v>
      </c>
      <c r="J58" s="313">
        <v>38657</v>
      </c>
    </row>
    <row r="59" spans="2:10" x14ac:dyDescent="0.2">
      <c r="B59" s="313">
        <v>35765</v>
      </c>
      <c r="C59" s="313">
        <v>36130</v>
      </c>
      <c r="D59" s="313">
        <v>36495</v>
      </c>
      <c r="E59" s="313">
        <v>36861</v>
      </c>
      <c r="F59" s="313">
        <v>37226</v>
      </c>
      <c r="G59" s="313">
        <v>37591</v>
      </c>
      <c r="H59" s="313">
        <v>37956</v>
      </c>
      <c r="I59" s="313">
        <v>38322</v>
      </c>
      <c r="J59" s="313">
        <v>38687</v>
      </c>
    </row>
  </sheetData>
  <mergeCells count="14">
    <mergeCell ref="B3:D3"/>
    <mergeCell ref="G10:I10"/>
    <mergeCell ref="G3:H3"/>
    <mergeCell ref="G4:H4"/>
    <mergeCell ref="G5:H5"/>
    <mergeCell ref="G6:H6"/>
    <mergeCell ref="G8:H8"/>
    <mergeCell ref="G9:H9"/>
    <mergeCell ref="B4:D4"/>
    <mergeCell ref="B5:D5"/>
    <mergeCell ref="G7:H7"/>
    <mergeCell ref="B7:D7"/>
    <mergeCell ref="B8:D8"/>
    <mergeCell ref="B9:D9"/>
  </mergeCells>
  <phoneticPr fontId="3" type="noConversion"/>
  <pageMargins left="0.75" right="0.75" top="1" bottom="1" header="0.4921259845" footer="0.492125984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0BD0-891C-4B4B-A29B-FE5C03A70BE0}">
  <sheetPr codeName="Tabelle3"/>
  <dimension ref="A1:L2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5" sqref="K15"/>
    </sheetView>
  </sheetViews>
  <sheetFormatPr defaultColWidth="11.42578125" defaultRowHeight="12.75" x14ac:dyDescent="0.2"/>
  <cols>
    <col min="1" max="1" width="7" style="107" customWidth="1"/>
    <col min="2" max="2" width="33.28515625" style="111" customWidth="1"/>
    <col min="3" max="3" width="9.28515625" style="109" customWidth="1"/>
    <col min="4" max="4" width="9.28515625" style="101" customWidth="1"/>
    <col min="5" max="5" width="9.28515625" style="96" customWidth="1"/>
    <col min="6" max="7" width="9.28515625" style="97" customWidth="1"/>
    <col min="8" max="8" width="9.28515625" style="105" customWidth="1"/>
    <col min="9" max="9" width="13.42578125" style="92" customWidth="1"/>
    <col min="10" max="10" width="13.42578125" style="93" customWidth="1"/>
    <col min="11" max="12" width="11.42578125" style="93"/>
    <col min="13" max="16384" width="11.42578125" style="94"/>
  </cols>
  <sheetData>
    <row r="1" spans="1:12" ht="15" customHeight="1" x14ac:dyDescent="0.2">
      <c r="A1" s="536" t="s">
        <v>313</v>
      </c>
      <c r="B1" s="534" t="s">
        <v>889</v>
      </c>
      <c r="C1" s="538" t="s">
        <v>2619</v>
      </c>
      <c r="D1" s="532" t="s">
        <v>1853</v>
      </c>
      <c r="E1" s="540" t="s">
        <v>2624</v>
      </c>
      <c r="F1" s="530" t="s">
        <v>2695</v>
      </c>
      <c r="G1" s="530"/>
      <c r="H1" s="531"/>
    </row>
    <row r="2" spans="1:12" s="89" customFormat="1" ht="28.7" customHeight="1" x14ac:dyDescent="0.2">
      <c r="A2" s="537"/>
      <c r="B2" s="535"/>
      <c r="C2" s="539"/>
      <c r="D2" s="533"/>
      <c r="E2" s="541"/>
      <c r="F2" s="95" t="s">
        <v>1854</v>
      </c>
      <c r="G2" s="102" t="s">
        <v>2615</v>
      </c>
      <c r="H2" s="103" t="s">
        <v>1855</v>
      </c>
      <c r="I2" s="90"/>
      <c r="J2" s="88"/>
      <c r="K2" s="88"/>
      <c r="L2" s="91"/>
    </row>
    <row r="3" spans="1:12" x14ac:dyDescent="0.2">
      <c r="A3" s="106">
        <v>1</v>
      </c>
      <c r="B3" s="110" t="s">
        <v>1253</v>
      </c>
      <c r="C3" s="108">
        <v>8</v>
      </c>
      <c r="D3" s="100"/>
      <c r="E3" s="98">
        <v>24</v>
      </c>
      <c r="F3" s="99">
        <v>11</v>
      </c>
      <c r="G3" s="99">
        <v>156.75</v>
      </c>
      <c r="H3" s="104">
        <v>54.166666666666664</v>
      </c>
      <c r="I3" s="92" t="s">
        <v>1090</v>
      </c>
    </row>
    <row r="4" spans="1:12" x14ac:dyDescent="0.2">
      <c r="A4" s="107">
        <v>2</v>
      </c>
      <c r="B4" s="111" t="s">
        <v>2616</v>
      </c>
      <c r="C4" s="109">
        <v>6</v>
      </c>
      <c r="E4" s="96">
        <v>23</v>
      </c>
      <c r="F4" s="97">
        <v>13.166666666666666</v>
      </c>
      <c r="G4" s="97">
        <v>118.25</v>
      </c>
      <c r="H4" s="105">
        <v>42.753623188405797</v>
      </c>
      <c r="I4" s="92" t="s">
        <v>1090</v>
      </c>
    </row>
    <row r="5" spans="1:12" x14ac:dyDescent="0.2">
      <c r="A5" s="107">
        <v>3</v>
      </c>
      <c r="B5" s="111" t="s">
        <v>2617</v>
      </c>
      <c r="C5" s="109">
        <v>19</v>
      </c>
      <c r="E5" s="96">
        <v>157</v>
      </c>
      <c r="F5" s="97">
        <v>27.736842105263158</v>
      </c>
      <c r="G5" s="97">
        <v>119.10526315789474</v>
      </c>
      <c r="H5" s="105">
        <v>82.333221589004367</v>
      </c>
      <c r="I5" s="92" t="s">
        <v>1091</v>
      </c>
    </row>
    <row r="6" spans="1:12" x14ac:dyDescent="0.2">
      <c r="A6" s="107">
        <v>4</v>
      </c>
      <c r="B6" s="111" t="s">
        <v>2618</v>
      </c>
      <c r="C6" s="109">
        <v>7</v>
      </c>
      <c r="E6" s="96">
        <v>89</v>
      </c>
      <c r="F6" s="97">
        <v>25.714285714285715</v>
      </c>
      <c r="G6" s="97">
        <v>113.35714285714286</v>
      </c>
      <c r="H6" s="105">
        <v>71.107544141252006</v>
      </c>
      <c r="I6" s="92" t="s">
        <v>1092</v>
      </c>
    </row>
    <row r="7" spans="1:12" x14ac:dyDescent="0.2">
      <c r="A7" s="107">
        <v>5</v>
      </c>
      <c r="B7" s="111" t="s">
        <v>1978</v>
      </c>
      <c r="C7" s="109">
        <v>1</v>
      </c>
      <c r="E7" s="96">
        <v>18</v>
      </c>
      <c r="F7" s="97">
        <v>18</v>
      </c>
      <c r="G7" s="97">
        <v>130</v>
      </c>
      <c r="H7" s="105">
        <v>0</v>
      </c>
      <c r="I7" s="92" t="s">
        <v>1090</v>
      </c>
    </row>
    <row r="8" spans="1:12" x14ac:dyDescent="0.2">
      <c r="A8" s="107">
        <v>6</v>
      </c>
      <c r="B8" s="111" t="s">
        <v>2671</v>
      </c>
      <c r="C8" s="109">
        <v>7</v>
      </c>
      <c r="E8" s="96">
        <v>54</v>
      </c>
      <c r="F8" s="331">
        <v>19.857142857142858</v>
      </c>
      <c r="G8" s="97">
        <v>108.42857142857143</v>
      </c>
      <c r="H8" s="105">
        <v>63.227513227513221</v>
      </c>
      <c r="I8" s="92" t="s">
        <v>1984</v>
      </c>
    </row>
    <row r="9" spans="1:12" x14ac:dyDescent="0.2">
      <c r="A9" s="107">
        <v>7</v>
      </c>
      <c r="B9" s="111" t="s">
        <v>1252</v>
      </c>
      <c r="C9" s="109">
        <v>5</v>
      </c>
      <c r="E9" s="96">
        <v>91</v>
      </c>
      <c r="F9" s="97">
        <v>30.6</v>
      </c>
      <c r="G9" s="97">
        <v>119.5</v>
      </c>
      <c r="H9" s="105">
        <v>66.373626373626379</v>
      </c>
      <c r="I9" s="92" t="s">
        <v>1092</v>
      </c>
    </row>
    <row r="10" spans="1:12" x14ac:dyDescent="0.2">
      <c r="A10" s="107">
        <v>8</v>
      </c>
      <c r="B10" s="111" t="s">
        <v>1251</v>
      </c>
      <c r="C10" s="109">
        <v>3</v>
      </c>
      <c r="E10" s="96">
        <v>82</v>
      </c>
      <c r="F10" s="97">
        <v>37.666666666666664</v>
      </c>
      <c r="G10" s="97">
        <v>141.5</v>
      </c>
      <c r="H10" s="105">
        <v>54.065040650406509</v>
      </c>
      <c r="I10" s="92" t="s">
        <v>1985</v>
      </c>
    </row>
    <row r="11" spans="1:12" x14ac:dyDescent="0.2">
      <c r="A11" s="107">
        <v>9</v>
      </c>
      <c r="B11" s="111" t="s">
        <v>2470</v>
      </c>
      <c r="C11" s="109">
        <v>2</v>
      </c>
      <c r="E11" s="96">
        <v>17</v>
      </c>
      <c r="F11" s="97">
        <v>11</v>
      </c>
      <c r="G11" s="97">
        <v>107.25</v>
      </c>
      <c r="H11" s="105">
        <v>35.294117647058826</v>
      </c>
      <c r="I11" s="92" t="s">
        <v>1984</v>
      </c>
    </row>
    <row r="12" spans="1:12" x14ac:dyDescent="0.2">
      <c r="A12" s="107">
        <v>10</v>
      </c>
      <c r="B12" s="111" t="s">
        <v>2562</v>
      </c>
      <c r="C12" s="109">
        <v>3</v>
      </c>
      <c r="E12" s="96">
        <v>81</v>
      </c>
      <c r="F12" s="97">
        <v>44</v>
      </c>
      <c r="G12" s="97">
        <v>107.16666666666667</v>
      </c>
      <c r="H12" s="105">
        <v>45.679012345679013</v>
      </c>
      <c r="I12" s="92" t="s">
        <v>1985</v>
      </c>
    </row>
    <row r="13" spans="1:12" x14ac:dyDescent="0.2">
      <c r="A13" s="107">
        <v>11</v>
      </c>
      <c r="B13" s="111" t="s">
        <v>2620</v>
      </c>
      <c r="C13" s="109">
        <v>3</v>
      </c>
      <c r="E13" s="96">
        <v>36</v>
      </c>
      <c r="F13" s="97">
        <v>19</v>
      </c>
      <c r="G13" s="97">
        <v>135.16666666666666</v>
      </c>
      <c r="H13" s="105">
        <v>47.222222222222221</v>
      </c>
      <c r="I13" s="92" t="s">
        <v>1090</v>
      </c>
    </row>
    <row r="14" spans="1:12" x14ac:dyDescent="0.2">
      <c r="A14" s="107">
        <v>12</v>
      </c>
      <c r="B14" s="111" t="s">
        <v>2669</v>
      </c>
      <c r="C14" s="109">
        <v>1</v>
      </c>
      <c r="E14" s="96">
        <v>21</v>
      </c>
      <c r="F14" s="331">
        <v>21</v>
      </c>
      <c r="G14" s="97">
        <v>146.5</v>
      </c>
      <c r="H14" s="105">
        <v>0</v>
      </c>
      <c r="I14" s="92" t="s">
        <v>1090</v>
      </c>
    </row>
    <row r="15" spans="1:12" x14ac:dyDescent="0.2">
      <c r="A15" s="107">
        <v>13</v>
      </c>
      <c r="B15" s="111" t="s">
        <v>2670</v>
      </c>
      <c r="C15" s="109">
        <v>1</v>
      </c>
      <c r="E15" s="96">
        <v>6</v>
      </c>
      <c r="F15" s="97">
        <v>6</v>
      </c>
      <c r="G15" s="97">
        <v>113</v>
      </c>
      <c r="H15" s="105">
        <v>0</v>
      </c>
      <c r="I15" s="92" t="s">
        <v>1090</v>
      </c>
    </row>
    <row r="16" spans="1:12" x14ac:dyDescent="0.2">
      <c r="A16" s="107">
        <v>14</v>
      </c>
      <c r="B16" s="111" t="s">
        <v>2668</v>
      </c>
      <c r="C16" s="109">
        <v>3</v>
      </c>
      <c r="E16" s="96">
        <v>54</v>
      </c>
      <c r="F16" s="97">
        <v>29</v>
      </c>
      <c r="G16" s="97">
        <v>149.33333333333334</v>
      </c>
      <c r="H16" s="105">
        <v>46.296296296296298</v>
      </c>
      <c r="I16" s="92" t="s">
        <v>1092</v>
      </c>
    </row>
    <row r="17" spans="1:9" x14ac:dyDescent="0.2">
      <c r="A17" s="107">
        <v>15</v>
      </c>
      <c r="B17" s="111" t="s">
        <v>1083</v>
      </c>
      <c r="C17" s="109">
        <v>1</v>
      </c>
      <c r="E17" s="96">
        <v>17</v>
      </c>
      <c r="F17" s="97">
        <v>17</v>
      </c>
      <c r="G17" s="97">
        <v>159</v>
      </c>
      <c r="H17" s="105">
        <v>0</v>
      </c>
      <c r="I17" s="92" t="s">
        <v>1090</v>
      </c>
    </row>
    <row r="18" spans="1:9" x14ac:dyDescent="0.2">
      <c r="A18" s="107">
        <v>16</v>
      </c>
      <c r="B18" s="111" t="s">
        <v>2248</v>
      </c>
      <c r="C18" s="109">
        <v>1</v>
      </c>
      <c r="E18" s="96">
        <v>22</v>
      </c>
      <c r="F18" s="97">
        <v>22</v>
      </c>
      <c r="G18" s="97">
        <v>145.5</v>
      </c>
      <c r="H18" s="105">
        <v>0</v>
      </c>
      <c r="I18" s="92" t="s">
        <v>1090</v>
      </c>
    </row>
    <row r="26" spans="1:9" x14ac:dyDescent="0.2">
      <c r="F26" s="331"/>
    </row>
  </sheetData>
  <mergeCells count="6">
    <mergeCell ref="F1:H1"/>
    <mergeCell ref="D1:D2"/>
    <mergeCell ref="B1:B2"/>
    <mergeCell ref="A1:A2"/>
    <mergeCell ref="C1:C2"/>
    <mergeCell ref="E1:E2"/>
  </mergeCells>
  <phoneticPr fontId="3" type="noConversion"/>
  <pageMargins left="0.75" right="0.75" top="1" bottom="1" header="0.4921259845" footer="0.4921259845"/>
  <pageSetup paperSize="9" orientation="portrait" horizontalDpi="200" verticalDpi="2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B30E-A84B-4D1A-8EFE-3DCB6D562278}">
  <sheetPr codeName="Tabelle4"/>
  <dimension ref="A1:IV663"/>
  <sheetViews>
    <sheetView workbookViewId="0">
      <selection activeCell="G12" sqref="G12"/>
    </sheetView>
  </sheetViews>
  <sheetFormatPr defaultColWidth="3.7109375" defaultRowHeight="12.75" x14ac:dyDescent="0.2"/>
  <cols>
    <col min="1" max="1" width="3.7109375" style="373" customWidth="1"/>
    <col min="2" max="2" width="28.28515625" style="374" customWidth="1"/>
    <col min="3" max="4" width="5.28515625" style="375" customWidth="1"/>
    <col min="5" max="5" width="1.7109375" style="376" customWidth="1"/>
    <col min="6" max="6" width="3.7109375" style="373" customWidth="1"/>
    <col min="7" max="7" width="28.28515625" style="374" customWidth="1"/>
    <col min="8" max="9" width="5.28515625" style="375" customWidth="1"/>
    <col min="10" max="10" width="1.7109375" style="376" customWidth="1"/>
    <col min="11" max="11" width="3.7109375" style="373" customWidth="1"/>
    <col min="12" max="12" width="28.28515625" style="374" customWidth="1"/>
    <col min="13" max="14" width="5.28515625" style="375" customWidth="1"/>
    <col min="15" max="15" width="1.7109375" style="376" customWidth="1"/>
    <col min="16" max="16" width="3.7109375" style="373" customWidth="1"/>
    <col min="17" max="17" width="28.28515625" style="374" customWidth="1"/>
    <col min="18" max="19" width="5.28515625" style="375" customWidth="1"/>
    <col min="20" max="20" width="1.7109375" style="376" customWidth="1"/>
    <col min="21" max="21" width="3.7109375" style="373" customWidth="1"/>
    <col min="22" max="22" width="28.28515625" style="374" customWidth="1"/>
    <col min="23" max="24" width="5.28515625" style="375" customWidth="1"/>
    <col min="25" max="25" width="1.7109375" style="376" customWidth="1"/>
    <col min="26" max="26" width="3.7109375" style="373" customWidth="1"/>
    <col min="27" max="27" width="28.28515625" style="374" customWidth="1"/>
    <col min="28" max="29" width="5.28515625" style="375" customWidth="1"/>
    <col min="30" max="30" width="1.7109375" style="376" customWidth="1"/>
    <col min="31" max="31" width="3.7109375" style="373" customWidth="1"/>
    <col min="32" max="32" width="28.28515625" style="374" customWidth="1"/>
    <col min="33" max="34" width="5.28515625" style="375" customWidth="1"/>
    <col min="35" max="35" width="1.7109375" style="376" customWidth="1"/>
    <col min="36" max="36" width="3.7109375" style="373" customWidth="1"/>
    <col min="37" max="37" width="28.28515625" style="374" customWidth="1"/>
    <col min="38" max="39" width="5.28515625" style="375" customWidth="1"/>
    <col min="40" max="40" width="1.7109375" style="376" customWidth="1"/>
    <col min="41" max="41" width="3.7109375" style="373" customWidth="1"/>
    <col min="42" max="42" width="28.28515625" style="374" customWidth="1"/>
    <col min="43" max="44" width="5.28515625" style="375" customWidth="1"/>
    <col min="45" max="45" width="1.7109375" style="376" customWidth="1"/>
    <col min="46" max="46" width="3.7109375" style="373" customWidth="1"/>
    <col min="47" max="47" width="28.28515625" style="374" customWidth="1"/>
    <col min="48" max="49" width="5.28515625" style="375" customWidth="1"/>
    <col min="50" max="50" width="1.7109375" style="376" customWidth="1"/>
    <col min="51" max="51" width="3.7109375" style="373" customWidth="1"/>
    <col min="52" max="52" width="28.28515625" style="374" customWidth="1"/>
    <col min="53" max="54" width="5.28515625" style="375" customWidth="1"/>
    <col min="55" max="55" width="1.7109375" style="376" customWidth="1"/>
    <col min="56" max="56" width="3.7109375" style="373" customWidth="1"/>
    <col min="57" max="57" width="28.28515625" style="374" customWidth="1"/>
    <col min="58" max="59" width="5.28515625" style="375" customWidth="1"/>
    <col min="60" max="60" width="1.7109375" style="376" customWidth="1"/>
    <col min="61" max="61" width="3.7109375" style="373" customWidth="1"/>
    <col min="62" max="62" width="28.28515625" style="374" customWidth="1"/>
    <col min="63" max="64" width="5.28515625" style="375" customWidth="1"/>
    <col min="65" max="65" width="1.7109375" style="376" customWidth="1"/>
    <col min="66" max="66" width="3.7109375" style="373" customWidth="1"/>
    <col min="67" max="67" width="28.28515625" style="374" customWidth="1"/>
    <col min="68" max="69" width="5.28515625" style="375" customWidth="1"/>
    <col min="70" max="70" width="1.7109375" style="376" customWidth="1"/>
    <col min="71" max="71" width="3.7109375" style="373" customWidth="1"/>
    <col min="72" max="72" width="28.28515625" style="374" customWidth="1"/>
    <col min="73" max="74" width="5.28515625" style="375" customWidth="1"/>
    <col min="75" max="75" width="1.7109375" style="376" customWidth="1"/>
    <col min="76" max="76" width="3.7109375" style="373" customWidth="1"/>
    <col min="77" max="77" width="28.28515625" style="374" customWidth="1"/>
    <col min="78" max="79" width="5.28515625" style="375" customWidth="1"/>
    <col min="80" max="80" width="1.7109375" style="376" customWidth="1"/>
    <col min="81" max="81" width="3.7109375" style="373" customWidth="1"/>
    <col min="82" max="82" width="28.28515625" style="374" customWidth="1"/>
    <col min="83" max="84" width="5.28515625" style="375" customWidth="1"/>
    <col min="85" max="85" width="1.7109375" style="376" customWidth="1"/>
    <col min="86" max="86" width="3.7109375" style="373" customWidth="1"/>
    <col min="87" max="87" width="28.28515625" style="374" customWidth="1"/>
    <col min="88" max="89" width="5.28515625" style="375" customWidth="1"/>
    <col min="90" max="90" width="1.7109375" style="376" customWidth="1"/>
    <col min="91" max="91" width="3.7109375" style="373" customWidth="1"/>
    <col min="92" max="92" width="28.28515625" style="374" customWidth="1"/>
    <col min="93" max="94" width="5.28515625" style="375" customWidth="1"/>
    <col min="95" max="95" width="1.7109375" style="376" customWidth="1"/>
    <col min="96" max="96" width="3.7109375" style="373" customWidth="1"/>
    <col min="97" max="97" width="28.28515625" style="374" customWidth="1"/>
    <col min="98" max="99" width="5.28515625" style="375" customWidth="1"/>
    <col min="100" max="100" width="1.7109375" style="376" customWidth="1"/>
    <col min="101" max="101" width="3.7109375" style="373" customWidth="1"/>
    <col min="102" max="102" width="28.28515625" style="374" customWidth="1"/>
    <col min="103" max="104" width="5.28515625" style="375" customWidth="1"/>
    <col min="105" max="105" width="1.7109375" style="376" customWidth="1"/>
    <col min="106" max="106" width="3.7109375" style="373" customWidth="1"/>
    <col min="107" max="107" width="28.28515625" style="374" customWidth="1"/>
    <col min="108" max="109" width="5.28515625" style="375" customWidth="1"/>
    <col min="110" max="110" width="1.7109375" style="376" customWidth="1"/>
    <col min="111" max="111" width="3.7109375" style="373" customWidth="1"/>
    <col min="112" max="112" width="28.28515625" style="374" customWidth="1"/>
    <col min="113" max="114" width="5.28515625" style="375" customWidth="1"/>
    <col min="115" max="115" width="1.7109375" style="376" customWidth="1"/>
    <col min="116" max="116" width="3.7109375" style="373" customWidth="1"/>
    <col min="117" max="117" width="28.28515625" style="374" customWidth="1"/>
    <col min="118" max="119" width="5.28515625" style="375" customWidth="1"/>
    <col min="120" max="120" width="1.7109375" style="376" customWidth="1"/>
    <col min="121" max="121" width="3.7109375" style="373" customWidth="1"/>
    <col min="122" max="122" width="28.28515625" style="374" customWidth="1"/>
    <col min="123" max="124" width="5.28515625" style="375" customWidth="1"/>
    <col min="125" max="125" width="1.7109375" style="376" customWidth="1"/>
    <col min="126" max="126" width="3.7109375" style="373" customWidth="1"/>
    <col min="127" max="127" width="28.28515625" style="374" customWidth="1"/>
    <col min="128" max="129" width="5.28515625" style="375" customWidth="1"/>
    <col min="130" max="130" width="1.7109375" style="376" customWidth="1"/>
    <col min="131" max="131" width="3.7109375" style="373" customWidth="1"/>
    <col min="132" max="132" width="28.28515625" style="374" customWidth="1"/>
    <col min="133" max="134" width="5.28515625" style="375" customWidth="1"/>
    <col min="135" max="135" width="1.7109375" style="376" customWidth="1"/>
    <col min="136" max="136" width="3.7109375" style="373" customWidth="1"/>
    <col min="137" max="137" width="28.28515625" style="374" customWidth="1"/>
    <col min="138" max="139" width="5.28515625" style="375" customWidth="1"/>
    <col min="140" max="140" width="1.7109375" style="376" customWidth="1"/>
    <col min="141" max="141" width="3.7109375" style="373" customWidth="1"/>
    <col min="142" max="142" width="28.28515625" style="374" customWidth="1"/>
    <col min="143" max="144" width="5.28515625" style="375" customWidth="1"/>
    <col min="145" max="145" width="1.7109375" style="376" customWidth="1"/>
    <col min="146" max="146" width="3.7109375" style="373" customWidth="1"/>
    <col min="147" max="147" width="28.28515625" style="374" customWidth="1"/>
    <col min="148" max="149" width="5.28515625" style="375" customWidth="1"/>
    <col min="150" max="150" width="1.7109375" style="376" customWidth="1"/>
    <col min="151" max="151" width="3.7109375" style="373" customWidth="1"/>
    <col min="152" max="152" width="28.28515625" style="374" customWidth="1"/>
    <col min="153" max="154" width="5.28515625" style="375" customWidth="1"/>
    <col min="155" max="155" width="1.7109375" style="376" customWidth="1"/>
    <col min="156" max="156" width="3.7109375" style="373" customWidth="1"/>
    <col min="157" max="157" width="28.28515625" style="374" customWidth="1"/>
    <col min="158" max="159" width="5.28515625" style="375" customWidth="1"/>
    <col min="160" max="160" width="1.7109375" style="376" customWidth="1"/>
    <col min="161" max="161" width="3.7109375" style="373" customWidth="1"/>
    <col min="162" max="162" width="28.28515625" style="374" customWidth="1"/>
    <col min="163" max="164" width="5.28515625" style="375" customWidth="1"/>
    <col min="165" max="165" width="1.7109375" style="376" customWidth="1"/>
    <col min="166" max="166" width="3.7109375" style="373" customWidth="1"/>
    <col min="167" max="167" width="28.28515625" style="374" customWidth="1"/>
    <col min="168" max="169" width="5.28515625" style="375" customWidth="1"/>
    <col min="170" max="170" width="1.7109375" style="376" customWidth="1"/>
    <col min="171" max="171" width="3.7109375" style="373" customWidth="1"/>
    <col min="172" max="172" width="28.28515625" style="374" customWidth="1"/>
    <col min="173" max="174" width="5.28515625" style="375" customWidth="1"/>
    <col min="175" max="175" width="1.7109375" style="376" customWidth="1"/>
    <col min="176" max="176" width="3.7109375" style="373" customWidth="1"/>
    <col min="177" max="177" width="28.28515625" style="374" customWidth="1"/>
    <col min="178" max="179" width="5.28515625" style="375" customWidth="1"/>
    <col min="180" max="180" width="1.7109375" style="376" customWidth="1"/>
    <col min="181" max="181" width="3.7109375" style="373" customWidth="1"/>
    <col min="182" max="182" width="28.28515625" style="374" customWidth="1"/>
    <col min="183" max="184" width="5.28515625" style="375" customWidth="1"/>
    <col min="185" max="185" width="1.7109375" style="376" customWidth="1"/>
    <col min="186" max="186" width="3.7109375" style="373" customWidth="1"/>
    <col min="187" max="187" width="28.28515625" style="374" customWidth="1"/>
    <col min="188" max="189" width="5.28515625" style="375" customWidth="1"/>
    <col min="190" max="190" width="1.7109375" style="376" customWidth="1"/>
    <col min="191" max="191" width="3.7109375" style="373" customWidth="1"/>
    <col min="192" max="192" width="28.28515625" style="374" customWidth="1"/>
    <col min="193" max="194" width="5.28515625" style="375" customWidth="1"/>
    <col min="195" max="195" width="1.7109375" style="376" customWidth="1"/>
    <col min="196" max="196" width="3.7109375" style="373" customWidth="1"/>
    <col min="197" max="197" width="28.28515625" style="374" customWidth="1"/>
    <col min="198" max="199" width="5.28515625" style="375" customWidth="1"/>
    <col min="200" max="200" width="1.7109375" style="376" customWidth="1"/>
    <col min="201" max="201" width="3.7109375" style="373" customWidth="1"/>
    <col min="202" max="202" width="28.28515625" style="374" customWidth="1"/>
    <col min="203" max="204" width="5.28515625" style="375" customWidth="1"/>
    <col min="205" max="205" width="1.7109375" style="376" customWidth="1"/>
    <col min="206" max="206" width="3.7109375" style="373" customWidth="1"/>
    <col min="207" max="207" width="28.28515625" style="374" customWidth="1"/>
    <col min="208" max="209" width="5.28515625" style="375" customWidth="1"/>
    <col min="210" max="210" width="1.7109375" style="376" customWidth="1"/>
    <col min="211" max="211" width="3.7109375" style="373" customWidth="1"/>
    <col min="212" max="212" width="28.28515625" style="374" customWidth="1"/>
    <col min="213" max="214" width="5.28515625" style="375" customWidth="1"/>
    <col min="215" max="215" width="1.7109375" style="376" customWidth="1"/>
    <col min="216" max="216" width="3.7109375" style="373" customWidth="1"/>
    <col min="217" max="217" width="28.28515625" style="374" customWidth="1"/>
    <col min="218" max="219" width="5.28515625" style="375" customWidth="1"/>
    <col min="220" max="220" width="1.7109375" style="376" customWidth="1"/>
    <col min="221" max="221" width="3.7109375" style="373" customWidth="1"/>
    <col min="222" max="222" width="28.28515625" style="374" customWidth="1"/>
    <col min="223" max="224" width="5.28515625" style="375" customWidth="1"/>
    <col min="225" max="225" width="1.7109375" style="376" customWidth="1"/>
    <col min="226" max="226" width="3.7109375" style="373" customWidth="1"/>
    <col min="227" max="227" width="28.28515625" style="374" customWidth="1"/>
    <col min="228" max="229" width="5.28515625" style="375" customWidth="1"/>
    <col min="230" max="230" width="1.7109375" style="376" customWidth="1"/>
    <col min="231" max="231" width="3.7109375" style="373" customWidth="1"/>
    <col min="232" max="232" width="28.28515625" style="374" customWidth="1"/>
    <col min="233" max="234" width="5.28515625" style="375" customWidth="1"/>
    <col min="235" max="235" width="1.7109375" style="376" customWidth="1"/>
    <col min="236" max="236" width="3.7109375" style="373" customWidth="1"/>
    <col min="237" max="237" width="28.28515625" style="374" customWidth="1"/>
    <col min="238" max="239" width="5.28515625" style="375" customWidth="1"/>
    <col min="240" max="240" width="1.7109375" style="376" customWidth="1"/>
    <col min="241" max="241" width="3.7109375" style="373" customWidth="1"/>
    <col min="242" max="242" width="28.28515625" style="374" customWidth="1"/>
    <col min="243" max="244" width="5.28515625" style="375" customWidth="1"/>
    <col min="245" max="245" width="1.7109375" style="376" customWidth="1"/>
    <col min="246" max="246" width="3.7109375" style="373" customWidth="1"/>
    <col min="247" max="247" width="28.28515625" style="374" customWidth="1"/>
    <col min="248" max="249" width="5.28515625" style="375" customWidth="1"/>
    <col min="250" max="250" width="1.7109375" style="376" customWidth="1"/>
    <col min="251" max="251" width="3.7109375" style="373" customWidth="1"/>
    <col min="252" max="252" width="28.28515625" style="374" customWidth="1"/>
    <col min="253" max="254" width="5.28515625" style="375" customWidth="1"/>
    <col min="255" max="255" width="1.7109375" style="376" customWidth="1"/>
    <col min="256" max="16384" width="3.7109375" style="373"/>
  </cols>
  <sheetData>
    <row r="1" spans="1:256" s="406" customFormat="1" ht="20.25" customHeight="1" x14ac:dyDescent="0.2">
      <c r="A1" s="402" t="s">
        <v>2584</v>
      </c>
      <c r="B1" s="403"/>
      <c r="C1" s="404"/>
      <c r="D1" s="404"/>
      <c r="E1" s="405"/>
      <c r="F1" s="402" t="s">
        <v>1889</v>
      </c>
      <c r="G1" s="403"/>
      <c r="H1" s="404"/>
      <c r="I1" s="404"/>
      <c r="J1" s="405"/>
      <c r="K1" s="402" t="s">
        <v>1979</v>
      </c>
      <c r="L1" s="403"/>
      <c r="M1" s="404"/>
      <c r="N1" s="404"/>
      <c r="O1" s="405"/>
      <c r="P1" s="402" t="s">
        <v>1084</v>
      </c>
      <c r="Q1" s="403"/>
      <c r="R1" s="404"/>
      <c r="S1" s="404"/>
      <c r="T1" s="405"/>
      <c r="U1" s="402" t="s">
        <v>1980</v>
      </c>
      <c r="V1" s="403"/>
      <c r="W1" s="404"/>
      <c r="X1" s="404"/>
      <c r="Y1" s="405"/>
      <c r="Z1" s="402" t="s">
        <v>1981</v>
      </c>
      <c r="AA1" s="403"/>
      <c r="AB1" s="404"/>
      <c r="AC1" s="404"/>
      <c r="AD1" s="405"/>
      <c r="AE1" s="402" t="s">
        <v>2585</v>
      </c>
      <c r="AF1" s="403"/>
      <c r="AG1" s="404"/>
      <c r="AH1" s="404"/>
      <c r="AI1" s="405"/>
      <c r="AJ1" s="402" t="s">
        <v>1085</v>
      </c>
      <c r="AK1" s="403"/>
      <c r="AL1" s="404"/>
      <c r="AM1" s="404"/>
      <c r="AN1" s="405"/>
      <c r="AO1" s="402" t="s">
        <v>1086</v>
      </c>
      <c r="AP1" s="403"/>
      <c r="AQ1" s="404"/>
      <c r="AR1" s="404"/>
      <c r="AS1" s="405"/>
      <c r="AT1" s="402" t="s">
        <v>1087</v>
      </c>
      <c r="AU1" s="403"/>
      <c r="AV1" s="404"/>
      <c r="AW1" s="404"/>
      <c r="AX1" s="405"/>
      <c r="AY1" s="402" t="s">
        <v>2586</v>
      </c>
      <c r="AZ1" s="403"/>
      <c r="BA1" s="404"/>
      <c r="BB1" s="404"/>
      <c r="BC1" s="405"/>
      <c r="BD1" s="402" t="s">
        <v>1982</v>
      </c>
      <c r="BE1" s="403"/>
      <c r="BF1" s="404"/>
      <c r="BG1" s="404"/>
      <c r="BH1" s="405"/>
      <c r="BI1" s="402" t="s">
        <v>2587</v>
      </c>
      <c r="BJ1" s="403"/>
      <c r="BK1" s="404"/>
      <c r="BL1" s="404"/>
      <c r="BM1" s="405"/>
      <c r="BN1" s="402" t="s">
        <v>1983</v>
      </c>
      <c r="BO1" s="403"/>
      <c r="BP1" s="404"/>
      <c r="BQ1" s="404"/>
      <c r="BR1" s="405"/>
      <c r="BS1" s="402" t="s">
        <v>1088</v>
      </c>
      <c r="BT1" s="403"/>
      <c r="BU1" s="404"/>
      <c r="BV1" s="404"/>
      <c r="BW1" s="405"/>
      <c r="BX1" s="402" t="s">
        <v>1089</v>
      </c>
      <c r="BY1" s="403"/>
      <c r="BZ1" s="404"/>
      <c r="CA1" s="404"/>
      <c r="CB1" s="405"/>
      <c r="CC1" s="402"/>
      <c r="CD1" s="403"/>
      <c r="CE1" s="404"/>
      <c r="CF1" s="404"/>
      <c r="CG1" s="405"/>
      <c r="CH1" s="402"/>
      <c r="CI1" s="403"/>
      <c r="CJ1" s="404"/>
      <c r="CK1" s="404"/>
      <c r="CL1" s="405"/>
      <c r="CM1" s="402"/>
      <c r="CN1" s="403"/>
      <c r="CO1" s="404"/>
      <c r="CP1" s="404"/>
      <c r="CQ1" s="405"/>
      <c r="CR1" s="402"/>
      <c r="CS1" s="403"/>
      <c r="CT1" s="404"/>
      <c r="CU1" s="404"/>
      <c r="CV1" s="405"/>
      <c r="CW1" s="402"/>
      <c r="CX1" s="403"/>
      <c r="CY1" s="404"/>
      <c r="CZ1" s="404"/>
      <c r="DA1" s="405"/>
      <c r="DB1" s="402"/>
      <c r="DC1" s="403"/>
      <c r="DD1" s="404"/>
      <c r="DE1" s="404"/>
      <c r="DF1" s="405"/>
      <c r="DG1" s="402"/>
      <c r="DH1" s="403"/>
      <c r="DI1" s="404"/>
      <c r="DJ1" s="404"/>
      <c r="DK1" s="405"/>
      <c r="DL1" s="402"/>
      <c r="DM1" s="403"/>
      <c r="DN1" s="404"/>
      <c r="DO1" s="404"/>
      <c r="DP1" s="405"/>
      <c r="DQ1" s="402"/>
      <c r="DR1" s="403"/>
      <c r="DS1" s="404"/>
      <c r="DT1" s="404"/>
      <c r="DU1" s="405"/>
      <c r="DV1" s="402"/>
      <c r="DW1" s="403"/>
      <c r="DX1" s="404"/>
      <c r="DY1" s="404"/>
      <c r="DZ1" s="405"/>
      <c r="EA1" s="402"/>
      <c r="EB1" s="403"/>
      <c r="EC1" s="404"/>
      <c r="ED1" s="404"/>
      <c r="EE1" s="405"/>
      <c r="EF1" s="402"/>
      <c r="EG1" s="403"/>
      <c r="EH1" s="404"/>
      <c r="EI1" s="404"/>
      <c r="EJ1" s="405"/>
      <c r="EK1" s="402"/>
      <c r="EL1" s="403"/>
      <c r="EM1" s="404"/>
      <c r="EN1" s="404"/>
      <c r="EO1" s="405"/>
      <c r="EP1" s="402"/>
      <c r="EQ1" s="403"/>
      <c r="ER1" s="404"/>
      <c r="ES1" s="404"/>
      <c r="ET1" s="405"/>
      <c r="EU1" s="402"/>
      <c r="EV1" s="403"/>
      <c r="EW1" s="404"/>
      <c r="EX1" s="404"/>
      <c r="EY1" s="405"/>
      <c r="EZ1" s="402"/>
      <c r="FA1" s="403"/>
      <c r="FB1" s="404"/>
      <c r="FC1" s="404"/>
      <c r="FD1" s="405"/>
      <c r="FE1" s="402"/>
      <c r="FF1" s="403"/>
      <c r="FG1" s="404"/>
      <c r="FH1" s="404"/>
      <c r="FI1" s="405"/>
      <c r="FJ1" s="402"/>
      <c r="FK1" s="403"/>
      <c r="FL1" s="404"/>
      <c r="FM1" s="404"/>
      <c r="FN1" s="405"/>
      <c r="FO1" s="402"/>
      <c r="FP1" s="403"/>
      <c r="FQ1" s="404"/>
      <c r="FR1" s="404"/>
      <c r="FS1" s="405"/>
      <c r="FT1" s="402"/>
      <c r="FU1" s="403"/>
      <c r="FV1" s="404"/>
      <c r="FW1" s="404"/>
      <c r="FX1" s="405"/>
      <c r="FY1" s="402"/>
      <c r="FZ1" s="403"/>
      <c r="GA1" s="404"/>
      <c r="GB1" s="404"/>
      <c r="GC1" s="405"/>
      <c r="GD1" s="402"/>
      <c r="GE1" s="403"/>
      <c r="GF1" s="404"/>
      <c r="GG1" s="404"/>
      <c r="GH1" s="405"/>
      <c r="GI1" s="402"/>
      <c r="GJ1" s="403"/>
      <c r="GK1" s="404"/>
      <c r="GL1" s="404"/>
      <c r="GM1" s="405"/>
      <c r="GN1" s="402"/>
      <c r="GO1" s="403"/>
      <c r="GP1" s="404"/>
      <c r="GQ1" s="404"/>
      <c r="GR1" s="405"/>
      <c r="GS1" s="402"/>
      <c r="GT1" s="403"/>
      <c r="GU1" s="404"/>
      <c r="GV1" s="404"/>
      <c r="GW1" s="405"/>
      <c r="GX1" s="402"/>
      <c r="GY1" s="403"/>
      <c r="GZ1" s="404"/>
      <c r="HA1" s="404"/>
      <c r="HB1" s="405"/>
      <c r="HC1" s="402"/>
      <c r="HD1" s="403"/>
      <c r="HE1" s="404"/>
      <c r="HF1" s="404"/>
      <c r="HG1" s="405"/>
      <c r="HH1" s="402"/>
      <c r="HI1" s="403"/>
      <c r="HJ1" s="404"/>
      <c r="HK1" s="404"/>
      <c r="HL1" s="405"/>
      <c r="HM1" s="402"/>
      <c r="HN1" s="403"/>
      <c r="HO1" s="404"/>
      <c r="HP1" s="404"/>
      <c r="HQ1" s="405"/>
      <c r="HR1" s="402"/>
      <c r="HS1" s="403"/>
      <c r="HT1" s="404"/>
      <c r="HU1" s="404"/>
      <c r="HV1" s="405"/>
      <c r="HW1" s="402"/>
      <c r="HX1" s="403"/>
      <c r="HY1" s="404"/>
      <c r="HZ1" s="404"/>
      <c r="IA1" s="405"/>
      <c r="IB1" s="402"/>
      <c r="IC1" s="403"/>
      <c r="ID1" s="404"/>
      <c r="IE1" s="404"/>
      <c r="IF1" s="405"/>
      <c r="IG1" s="402"/>
      <c r="IH1" s="403"/>
      <c r="II1" s="404"/>
      <c r="IJ1" s="404"/>
      <c r="IK1" s="405"/>
      <c r="IL1" s="402"/>
      <c r="IM1" s="403"/>
      <c r="IN1" s="404"/>
      <c r="IO1" s="404"/>
      <c r="IP1" s="405"/>
      <c r="IQ1" s="402"/>
      <c r="IR1" s="403"/>
      <c r="IS1" s="404"/>
      <c r="IT1" s="404"/>
      <c r="IU1" s="405"/>
      <c r="IV1" s="402"/>
    </row>
    <row r="2" spans="1:256" s="376" customFormat="1" x14ac:dyDescent="0.2">
      <c r="A2" s="388"/>
      <c r="B2" s="389"/>
      <c r="C2" s="390" t="s">
        <v>1887</v>
      </c>
      <c r="D2" s="390" t="s">
        <v>1888</v>
      </c>
      <c r="E2" s="391"/>
      <c r="F2" s="388"/>
      <c r="G2" s="389"/>
      <c r="H2" s="390" t="s">
        <v>1887</v>
      </c>
      <c r="I2" s="390" t="s">
        <v>1888</v>
      </c>
      <c r="J2" s="391"/>
      <c r="K2" s="388"/>
      <c r="L2" s="389"/>
      <c r="M2" s="390" t="s">
        <v>1887</v>
      </c>
      <c r="N2" s="390" t="s">
        <v>1888</v>
      </c>
      <c r="O2" s="391"/>
      <c r="P2" s="388"/>
      <c r="Q2" s="389"/>
      <c r="R2" s="390" t="s">
        <v>1887</v>
      </c>
      <c r="S2" s="390" t="s">
        <v>1888</v>
      </c>
      <c r="T2" s="391"/>
      <c r="U2" s="388"/>
      <c r="V2" s="389"/>
      <c r="W2" s="390" t="s">
        <v>1887</v>
      </c>
      <c r="X2" s="390" t="s">
        <v>1888</v>
      </c>
      <c r="Y2" s="391"/>
      <c r="Z2" s="388"/>
      <c r="AA2" s="389"/>
      <c r="AB2" s="390" t="s">
        <v>1887</v>
      </c>
      <c r="AC2" s="390" t="s">
        <v>1888</v>
      </c>
      <c r="AD2" s="391"/>
      <c r="AE2" s="388"/>
      <c r="AF2" s="389"/>
      <c r="AG2" s="390" t="s">
        <v>1887</v>
      </c>
      <c r="AH2" s="390" t="s">
        <v>1888</v>
      </c>
      <c r="AI2" s="391"/>
      <c r="AJ2" s="388"/>
      <c r="AK2" s="389"/>
      <c r="AL2" s="390" t="s">
        <v>1887</v>
      </c>
      <c r="AM2" s="390" t="s">
        <v>1888</v>
      </c>
      <c r="AN2" s="391"/>
      <c r="AO2" s="388"/>
      <c r="AP2" s="389"/>
      <c r="AQ2" s="390" t="s">
        <v>1887</v>
      </c>
      <c r="AR2" s="390" t="s">
        <v>1888</v>
      </c>
      <c r="AS2" s="391"/>
      <c r="AT2" s="388"/>
      <c r="AU2" s="389"/>
      <c r="AV2" s="390" t="s">
        <v>1887</v>
      </c>
      <c r="AW2" s="390" t="s">
        <v>1888</v>
      </c>
      <c r="AX2" s="391"/>
      <c r="AY2" s="388"/>
      <c r="AZ2" s="389"/>
      <c r="BA2" s="390" t="s">
        <v>1887</v>
      </c>
      <c r="BB2" s="390" t="s">
        <v>1888</v>
      </c>
      <c r="BC2" s="391"/>
      <c r="BD2" s="388"/>
      <c r="BE2" s="389"/>
      <c r="BF2" s="390" t="s">
        <v>1887</v>
      </c>
      <c r="BG2" s="390" t="s">
        <v>1888</v>
      </c>
      <c r="BH2" s="391"/>
      <c r="BI2" s="388"/>
      <c r="BJ2" s="389"/>
      <c r="BK2" s="390" t="s">
        <v>1887</v>
      </c>
      <c r="BL2" s="390" t="s">
        <v>1888</v>
      </c>
      <c r="BM2" s="391"/>
      <c r="BN2" s="388"/>
      <c r="BO2" s="389"/>
      <c r="BP2" s="390" t="s">
        <v>1887</v>
      </c>
      <c r="BQ2" s="390" t="s">
        <v>1888</v>
      </c>
      <c r="BR2" s="391"/>
      <c r="BS2" s="388"/>
      <c r="BT2" s="389"/>
      <c r="BU2" s="390" t="s">
        <v>1887</v>
      </c>
      <c r="BV2" s="390" t="s">
        <v>1888</v>
      </c>
      <c r="BW2" s="391"/>
      <c r="BX2" s="388"/>
      <c r="BY2" s="389"/>
      <c r="BZ2" s="390" t="s">
        <v>1887</v>
      </c>
      <c r="CA2" s="390" t="s">
        <v>1888</v>
      </c>
      <c r="CB2" s="391"/>
      <c r="CC2" s="388"/>
      <c r="CD2" s="389"/>
      <c r="CE2" s="390"/>
      <c r="CF2" s="390"/>
      <c r="CG2" s="391"/>
      <c r="CH2" s="388"/>
      <c r="CI2" s="389"/>
      <c r="CJ2" s="390"/>
      <c r="CK2" s="390"/>
      <c r="CL2" s="391"/>
      <c r="CM2" s="388"/>
      <c r="CN2" s="389"/>
      <c r="CO2" s="390"/>
      <c r="CP2" s="390"/>
      <c r="CQ2" s="391"/>
      <c r="CR2" s="388"/>
      <c r="CS2" s="389"/>
      <c r="CT2" s="390"/>
      <c r="CU2" s="390"/>
      <c r="CV2" s="391"/>
      <c r="CW2" s="388"/>
      <c r="CX2" s="389"/>
      <c r="CY2" s="390"/>
      <c r="CZ2" s="390"/>
      <c r="DA2" s="391"/>
      <c r="DB2" s="388"/>
      <c r="DC2" s="389"/>
      <c r="DD2" s="390"/>
      <c r="DE2" s="390"/>
      <c r="DF2" s="391"/>
      <c r="DG2" s="388"/>
      <c r="DH2" s="389"/>
      <c r="DI2" s="390"/>
      <c r="DJ2" s="390"/>
      <c r="DK2" s="391"/>
      <c r="DL2" s="388"/>
      <c r="DM2" s="389"/>
      <c r="DN2" s="390"/>
      <c r="DO2" s="390"/>
      <c r="DP2" s="391"/>
      <c r="DQ2" s="388"/>
      <c r="DR2" s="389"/>
      <c r="DS2" s="390"/>
      <c r="DT2" s="390"/>
      <c r="DU2" s="391"/>
      <c r="DV2" s="388"/>
      <c r="DW2" s="389"/>
      <c r="DX2" s="390"/>
      <c r="DY2" s="390"/>
      <c r="DZ2" s="391"/>
      <c r="EA2" s="388"/>
      <c r="EB2" s="389"/>
      <c r="EC2" s="390"/>
      <c r="ED2" s="390"/>
      <c r="EE2" s="391"/>
      <c r="EF2" s="388"/>
      <c r="EG2" s="389"/>
      <c r="EH2" s="390"/>
      <c r="EI2" s="390"/>
      <c r="EJ2" s="391"/>
      <c r="EK2" s="388"/>
      <c r="EL2" s="389"/>
      <c r="EM2" s="390"/>
      <c r="EN2" s="390"/>
      <c r="EO2" s="391"/>
      <c r="EP2" s="388"/>
      <c r="EQ2" s="389"/>
      <c r="ER2" s="390"/>
      <c r="ES2" s="390"/>
      <c r="ET2" s="391"/>
      <c r="EU2" s="388"/>
      <c r="EV2" s="389"/>
      <c r="EW2" s="390"/>
      <c r="EX2" s="390"/>
      <c r="EY2" s="391"/>
      <c r="EZ2" s="388"/>
      <c r="FA2" s="389"/>
      <c r="FB2" s="390"/>
      <c r="FC2" s="390"/>
      <c r="FD2" s="391"/>
      <c r="FE2" s="388"/>
      <c r="FF2" s="389"/>
      <c r="FG2" s="390"/>
      <c r="FH2" s="390"/>
      <c r="FI2" s="391"/>
      <c r="FJ2" s="388"/>
      <c r="FK2" s="389"/>
      <c r="FL2" s="390"/>
      <c r="FM2" s="390"/>
      <c r="FN2" s="391"/>
      <c r="FO2" s="388"/>
      <c r="FP2" s="389"/>
      <c r="FQ2" s="390"/>
      <c r="FR2" s="390"/>
      <c r="FS2" s="391"/>
      <c r="FT2" s="388"/>
      <c r="FU2" s="389"/>
      <c r="FV2" s="390"/>
      <c r="FW2" s="390"/>
      <c r="FX2" s="391"/>
      <c r="FY2" s="388"/>
      <c r="FZ2" s="389"/>
      <c r="GA2" s="390"/>
      <c r="GB2" s="390"/>
      <c r="GC2" s="391"/>
      <c r="GD2" s="388"/>
      <c r="GE2" s="389"/>
      <c r="GF2" s="390"/>
      <c r="GG2" s="390"/>
      <c r="GH2" s="391"/>
      <c r="GI2" s="388"/>
      <c r="GJ2" s="389"/>
      <c r="GK2" s="390"/>
      <c r="GL2" s="390"/>
      <c r="GM2" s="391"/>
      <c r="GN2" s="388"/>
      <c r="GO2" s="389"/>
      <c r="GP2" s="390"/>
      <c r="GQ2" s="390"/>
      <c r="GR2" s="391"/>
      <c r="GS2" s="388"/>
      <c r="GT2" s="389"/>
      <c r="GU2" s="390"/>
      <c r="GV2" s="390"/>
      <c r="GW2" s="391"/>
      <c r="GX2" s="388"/>
      <c r="GY2" s="389"/>
      <c r="GZ2" s="390"/>
      <c r="HA2" s="390"/>
      <c r="HB2" s="391"/>
      <c r="HC2" s="388"/>
      <c r="HD2" s="389"/>
      <c r="HE2" s="390"/>
      <c r="HF2" s="390"/>
      <c r="HG2" s="391"/>
      <c r="HH2" s="388"/>
      <c r="HI2" s="389"/>
      <c r="HJ2" s="390"/>
      <c r="HK2" s="390"/>
      <c r="HL2" s="391"/>
      <c r="HM2" s="388"/>
      <c r="HN2" s="389"/>
      <c r="HO2" s="390"/>
      <c r="HP2" s="390"/>
      <c r="HQ2" s="391"/>
      <c r="HR2" s="388"/>
      <c r="HS2" s="389"/>
      <c r="HT2" s="390"/>
      <c r="HU2" s="390"/>
      <c r="HV2" s="391"/>
      <c r="HW2" s="388"/>
      <c r="HX2" s="389"/>
      <c r="HY2" s="390"/>
      <c r="HZ2" s="390"/>
      <c r="IA2" s="391"/>
      <c r="IB2" s="388"/>
      <c r="IC2" s="389"/>
      <c r="ID2" s="390"/>
      <c r="IE2" s="390"/>
      <c r="IF2" s="391"/>
      <c r="IG2" s="388"/>
      <c r="IH2" s="389"/>
      <c r="II2" s="390"/>
      <c r="IJ2" s="390"/>
      <c r="IK2" s="391"/>
      <c r="IL2" s="388"/>
      <c r="IM2" s="389"/>
      <c r="IN2" s="390"/>
      <c r="IO2" s="390"/>
      <c r="IP2" s="391"/>
      <c r="IQ2" s="388"/>
      <c r="IR2" s="389"/>
      <c r="IS2" s="390"/>
      <c r="IT2" s="390"/>
      <c r="IU2" s="391"/>
      <c r="IV2" s="388"/>
    </row>
    <row r="3" spans="1:256" s="353" customFormat="1" x14ac:dyDescent="0.2">
      <c r="A3" s="343">
        <v>1</v>
      </c>
      <c r="B3" s="344" t="s">
        <v>326</v>
      </c>
      <c r="C3" s="345">
        <v>100</v>
      </c>
      <c r="D3" s="345">
        <v>73.75</v>
      </c>
      <c r="E3" s="346"/>
      <c r="F3" s="347">
        <v>1</v>
      </c>
      <c r="G3" s="348" t="s">
        <v>1585</v>
      </c>
      <c r="H3" s="349">
        <v>100</v>
      </c>
      <c r="I3" s="349">
        <v>26.666666666666668</v>
      </c>
      <c r="J3" s="346"/>
      <c r="K3" s="350">
        <v>1</v>
      </c>
      <c r="L3" s="351" t="s">
        <v>347</v>
      </c>
      <c r="M3" s="352">
        <v>68.421052631578945</v>
      </c>
      <c r="N3" s="352">
        <v>11.789473684210526</v>
      </c>
      <c r="O3" s="346"/>
      <c r="P3" s="343">
        <v>1</v>
      </c>
      <c r="Q3" s="344" t="s">
        <v>376</v>
      </c>
      <c r="R3" s="345">
        <v>100</v>
      </c>
      <c r="S3" s="345">
        <v>11.428571428571429</v>
      </c>
      <c r="T3" s="346"/>
      <c r="U3" s="343">
        <v>1</v>
      </c>
      <c r="V3" s="344" t="s">
        <v>382</v>
      </c>
      <c r="W3" s="345">
        <v>100</v>
      </c>
      <c r="X3" s="345">
        <v>55</v>
      </c>
      <c r="Y3" s="346"/>
      <c r="Z3" s="343">
        <v>1</v>
      </c>
      <c r="AA3" s="344" t="s">
        <v>2569</v>
      </c>
      <c r="AB3" s="345">
        <v>100</v>
      </c>
      <c r="AC3" s="345">
        <v>26.428571428571427</v>
      </c>
      <c r="AD3" s="346"/>
      <c r="AE3" s="350">
        <v>1</v>
      </c>
      <c r="AF3" s="351" t="s">
        <v>405</v>
      </c>
      <c r="AG3" s="352">
        <v>80</v>
      </c>
      <c r="AH3" s="352">
        <v>14.9</v>
      </c>
      <c r="AI3" s="346"/>
      <c r="AJ3" s="350">
        <v>1</v>
      </c>
      <c r="AK3" s="351" t="s">
        <v>586</v>
      </c>
      <c r="AL3" s="352">
        <v>66.666666666666671</v>
      </c>
      <c r="AM3" s="352">
        <v>12.333333333333334</v>
      </c>
      <c r="AN3" s="346"/>
      <c r="AO3" s="350">
        <v>1</v>
      </c>
      <c r="AP3" s="351" t="s">
        <v>416</v>
      </c>
      <c r="AQ3" s="352">
        <v>50</v>
      </c>
      <c r="AR3" s="352">
        <v>40</v>
      </c>
      <c r="AS3" s="346"/>
      <c r="AT3" s="343">
        <v>1</v>
      </c>
      <c r="AU3" s="344" t="s">
        <v>399</v>
      </c>
      <c r="AV3" s="345">
        <v>100</v>
      </c>
      <c r="AW3" s="345">
        <v>9.3333333333333339</v>
      </c>
      <c r="AX3" s="346"/>
      <c r="AY3" s="343">
        <v>1</v>
      </c>
      <c r="AZ3" s="344" t="s">
        <v>445</v>
      </c>
      <c r="BA3" s="345">
        <v>100</v>
      </c>
      <c r="BB3" s="345">
        <v>46.666666666666664</v>
      </c>
      <c r="BC3" s="346"/>
      <c r="BD3" s="343">
        <v>1</v>
      </c>
      <c r="BE3" s="344" t="s">
        <v>454</v>
      </c>
      <c r="BF3" s="345">
        <v>100</v>
      </c>
      <c r="BG3" s="345">
        <v>55</v>
      </c>
      <c r="BH3" s="346"/>
      <c r="BI3" s="343">
        <v>1</v>
      </c>
      <c r="BJ3" s="344" t="s">
        <v>598</v>
      </c>
      <c r="BK3" s="345">
        <v>100</v>
      </c>
      <c r="BL3" s="345">
        <v>95</v>
      </c>
      <c r="BM3" s="346"/>
      <c r="BN3" s="350">
        <v>1</v>
      </c>
      <c r="BO3" s="351" t="s">
        <v>361</v>
      </c>
      <c r="BP3" s="352">
        <v>66.666666666666671</v>
      </c>
      <c r="BQ3" s="352">
        <v>13.333333333333334</v>
      </c>
      <c r="BR3" s="346"/>
      <c r="BS3" s="347">
        <v>1</v>
      </c>
      <c r="BT3" s="348" t="s">
        <v>2629</v>
      </c>
      <c r="BU3" s="349">
        <v>100</v>
      </c>
      <c r="BV3" s="349">
        <v>65</v>
      </c>
      <c r="BW3" s="346"/>
      <c r="BX3" s="343">
        <v>1</v>
      </c>
      <c r="BY3" s="344" t="s">
        <v>340</v>
      </c>
      <c r="BZ3" s="345">
        <v>100</v>
      </c>
      <c r="CA3" s="345">
        <v>23</v>
      </c>
      <c r="CB3" s="346"/>
      <c r="CC3" s="350"/>
      <c r="CD3" s="351"/>
      <c r="CE3" s="352"/>
      <c r="CF3" s="352"/>
      <c r="CG3" s="346"/>
      <c r="CH3" s="350"/>
      <c r="CI3" s="351"/>
      <c r="CJ3" s="352"/>
      <c r="CK3" s="352"/>
      <c r="CL3" s="346"/>
      <c r="CM3" s="350"/>
      <c r="CN3" s="351"/>
      <c r="CO3" s="352"/>
      <c r="CP3" s="352"/>
      <c r="CQ3" s="346"/>
      <c r="CR3" s="350"/>
      <c r="CS3" s="351"/>
      <c r="CT3" s="352"/>
      <c r="CU3" s="352"/>
      <c r="CV3" s="346"/>
      <c r="CW3" s="350"/>
      <c r="CX3" s="351"/>
      <c r="CY3" s="352"/>
      <c r="CZ3" s="352"/>
      <c r="DA3" s="346"/>
      <c r="DB3" s="350"/>
      <c r="DC3" s="351"/>
      <c r="DD3" s="352"/>
      <c r="DE3" s="352"/>
      <c r="DF3" s="346"/>
      <c r="DG3" s="350"/>
      <c r="DH3" s="351"/>
      <c r="DI3" s="352"/>
      <c r="DJ3" s="352"/>
      <c r="DK3" s="346"/>
      <c r="DL3" s="350"/>
      <c r="DM3" s="351"/>
      <c r="DN3" s="352"/>
      <c r="DO3" s="352"/>
      <c r="DP3" s="346"/>
      <c r="DQ3" s="350"/>
      <c r="DR3" s="351"/>
      <c r="DS3" s="352"/>
      <c r="DT3" s="352"/>
      <c r="DU3" s="346"/>
      <c r="DV3" s="350"/>
      <c r="DW3" s="351"/>
      <c r="DX3" s="352"/>
      <c r="DY3" s="352"/>
      <c r="DZ3" s="346"/>
      <c r="EA3" s="350"/>
      <c r="EB3" s="351"/>
      <c r="EC3" s="352"/>
      <c r="ED3" s="352"/>
      <c r="EE3" s="346"/>
      <c r="EF3" s="350"/>
      <c r="EG3" s="351"/>
      <c r="EH3" s="352"/>
      <c r="EI3" s="352"/>
      <c r="EJ3" s="346"/>
      <c r="EK3" s="350"/>
      <c r="EL3" s="351"/>
      <c r="EM3" s="352"/>
      <c r="EN3" s="352"/>
      <c r="EO3" s="346"/>
      <c r="EP3" s="350"/>
      <c r="EQ3" s="351"/>
      <c r="ER3" s="352"/>
      <c r="ES3" s="352"/>
      <c r="ET3" s="346"/>
      <c r="EU3" s="350"/>
      <c r="EV3" s="351"/>
      <c r="EW3" s="352"/>
      <c r="EX3" s="352"/>
      <c r="EY3" s="346"/>
      <c r="EZ3" s="350"/>
      <c r="FA3" s="351"/>
      <c r="FB3" s="352"/>
      <c r="FC3" s="352"/>
      <c r="FD3" s="346"/>
      <c r="FE3" s="350"/>
      <c r="FF3" s="351"/>
      <c r="FG3" s="352"/>
      <c r="FH3" s="352"/>
      <c r="FI3" s="346"/>
      <c r="FJ3" s="350"/>
      <c r="FK3" s="351"/>
      <c r="FL3" s="352"/>
      <c r="FM3" s="352"/>
      <c r="FN3" s="346"/>
      <c r="FO3" s="350"/>
      <c r="FP3" s="351"/>
      <c r="FQ3" s="352"/>
      <c r="FR3" s="352"/>
      <c r="FS3" s="346"/>
      <c r="FT3" s="350"/>
      <c r="FU3" s="351"/>
      <c r="FV3" s="352"/>
      <c r="FW3" s="352"/>
      <c r="FX3" s="346"/>
      <c r="FY3" s="350"/>
      <c r="FZ3" s="351"/>
      <c r="GA3" s="352"/>
      <c r="GB3" s="352"/>
      <c r="GC3" s="346"/>
      <c r="GD3" s="350"/>
      <c r="GE3" s="351"/>
      <c r="GF3" s="352"/>
      <c r="GG3" s="352"/>
      <c r="GH3" s="346"/>
      <c r="GI3" s="350"/>
      <c r="GJ3" s="351"/>
      <c r="GK3" s="352"/>
      <c r="GL3" s="352"/>
      <c r="GM3" s="346"/>
      <c r="GN3" s="350"/>
      <c r="GO3" s="351"/>
      <c r="GP3" s="352"/>
      <c r="GQ3" s="352"/>
      <c r="GR3" s="346"/>
      <c r="GS3" s="350"/>
      <c r="GT3" s="351"/>
      <c r="GU3" s="352"/>
      <c r="GV3" s="352"/>
      <c r="GW3" s="346"/>
      <c r="GX3" s="350"/>
      <c r="GY3" s="351"/>
      <c r="GZ3" s="352"/>
      <c r="HA3" s="352"/>
      <c r="HB3" s="346"/>
      <c r="HC3" s="350"/>
      <c r="HD3" s="351"/>
      <c r="HE3" s="352"/>
      <c r="HF3" s="352"/>
      <c r="HG3" s="346"/>
      <c r="HH3" s="350"/>
      <c r="HI3" s="351"/>
      <c r="HJ3" s="352"/>
      <c r="HK3" s="352"/>
      <c r="HL3" s="346"/>
      <c r="HM3" s="350"/>
      <c r="HN3" s="351"/>
      <c r="HO3" s="352"/>
      <c r="HP3" s="352"/>
      <c r="HQ3" s="346"/>
      <c r="HR3" s="350"/>
      <c r="HS3" s="351"/>
      <c r="HT3" s="352"/>
      <c r="HU3" s="352"/>
      <c r="HV3" s="346"/>
      <c r="HW3" s="350"/>
      <c r="HX3" s="351"/>
      <c r="HY3" s="352"/>
      <c r="HZ3" s="352"/>
      <c r="IA3" s="346"/>
      <c r="IB3" s="350"/>
      <c r="IC3" s="351"/>
      <c r="ID3" s="352"/>
      <c r="IE3" s="352"/>
      <c r="IF3" s="346"/>
      <c r="IG3" s="350"/>
      <c r="IH3" s="351"/>
      <c r="II3" s="352"/>
      <c r="IJ3" s="352"/>
      <c r="IK3" s="346"/>
      <c r="IL3" s="350"/>
      <c r="IM3" s="351"/>
      <c r="IN3" s="352"/>
      <c r="IO3" s="352"/>
      <c r="IP3" s="346"/>
      <c r="IQ3" s="350"/>
      <c r="IR3" s="351"/>
      <c r="IS3" s="352"/>
      <c r="IT3" s="352"/>
      <c r="IU3" s="346"/>
      <c r="IV3" s="350"/>
    </row>
    <row r="4" spans="1:256" s="353" customFormat="1" x14ac:dyDescent="0.2">
      <c r="A4" s="343">
        <v>2</v>
      </c>
      <c r="B4" s="344" t="s">
        <v>2590</v>
      </c>
      <c r="C4" s="345">
        <v>100</v>
      </c>
      <c r="D4" s="345">
        <v>23.25</v>
      </c>
      <c r="E4" s="346"/>
      <c r="F4" s="350">
        <v>2</v>
      </c>
      <c r="G4" s="351" t="s">
        <v>336</v>
      </c>
      <c r="H4" s="352">
        <v>83.333333333333329</v>
      </c>
      <c r="I4" s="352">
        <v>19.5</v>
      </c>
      <c r="J4" s="346"/>
      <c r="K4" s="350">
        <v>2</v>
      </c>
      <c r="L4" s="351" t="s">
        <v>361</v>
      </c>
      <c r="M4" s="352">
        <v>47.368421052631582</v>
      </c>
      <c r="N4" s="352">
        <v>7.5263157894736841</v>
      </c>
      <c r="O4" s="346"/>
      <c r="P4" s="350">
        <v>2</v>
      </c>
      <c r="Q4" s="351" t="s">
        <v>395</v>
      </c>
      <c r="R4" s="352">
        <v>71.428571428571431</v>
      </c>
      <c r="S4" s="352">
        <v>11.071428571428571</v>
      </c>
      <c r="T4" s="346"/>
      <c r="U4" s="343">
        <v>2</v>
      </c>
      <c r="V4" s="344" t="s">
        <v>346</v>
      </c>
      <c r="W4" s="345">
        <v>100</v>
      </c>
      <c r="X4" s="345">
        <v>25</v>
      </c>
      <c r="Y4" s="346"/>
      <c r="Z4" s="350">
        <v>2</v>
      </c>
      <c r="AA4" s="351" t="s">
        <v>392</v>
      </c>
      <c r="AB4" s="352">
        <v>57.142857142857146</v>
      </c>
      <c r="AC4" s="352">
        <v>13.642857142857142</v>
      </c>
      <c r="AD4" s="346"/>
      <c r="AE4" s="395">
        <v>2</v>
      </c>
      <c r="AF4" s="393" t="s">
        <v>606</v>
      </c>
      <c r="AG4" s="396">
        <v>60</v>
      </c>
      <c r="AH4" s="396">
        <v>7.6</v>
      </c>
      <c r="AI4" s="346"/>
      <c r="AJ4" s="350">
        <v>2</v>
      </c>
      <c r="AK4" s="351" t="s">
        <v>2565</v>
      </c>
      <c r="AL4" s="352">
        <v>33.333333333333336</v>
      </c>
      <c r="AM4" s="352">
        <v>8.3333333333333339</v>
      </c>
      <c r="AN4" s="346"/>
      <c r="AO4" s="354">
        <v>2</v>
      </c>
      <c r="AP4" s="355" t="s">
        <v>2567</v>
      </c>
      <c r="AQ4" s="356">
        <v>50</v>
      </c>
      <c r="AR4" s="356">
        <v>30</v>
      </c>
      <c r="AS4" s="346"/>
      <c r="AT4" s="343">
        <v>2</v>
      </c>
      <c r="AU4" s="344" t="s">
        <v>2565</v>
      </c>
      <c r="AV4" s="345">
        <v>100</v>
      </c>
      <c r="AW4" s="345">
        <v>7.333333333333333</v>
      </c>
      <c r="AX4" s="346"/>
      <c r="AY4" s="350">
        <v>2</v>
      </c>
      <c r="AZ4" s="351" t="s">
        <v>400</v>
      </c>
      <c r="BA4" s="352">
        <v>66.666666666666671</v>
      </c>
      <c r="BB4" s="352">
        <v>11.666666666666666</v>
      </c>
      <c r="BC4" s="346"/>
      <c r="BD4" s="343">
        <v>2</v>
      </c>
      <c r="BE4" s="344" t="s">
        <v>432</v>
      </c>
      <c r="BF4" s="345">
        <v>100</v>
      </c>
      <c r="BG4" s="345">
        <v>30</v>
      </c>
      <c r="BH4" s="346"/>
      <c r="BI4" s="343">
        <v>2</v>
      </c>
      <c r="BJ4" s="344" t="s">
        <v>336</v>
      </c>
      <c r="BK4" s="345">
        <v>100</v>
      </c>
      <c r="BL4" s="345">
        <v>11</v>
      </c>
      <c r="BM4" s="346"/>
      <c r="BN4" s="343">
        <v>2</v>
      </c>
      <c r="BO4" s="344" t="s">
        <v>376</v>
      </c>
      <c r="BP4" s="345">
        <v>100</v>
      </c>
      <c r="BQ4" s="345">
        <v>11.833333333333334</v>
      </c>
      <c r="BR4" s="346"/>
      <c r="BS4" s="343">
        <v>2</v>
      </c>
      <c r="BT4" s="344" t="s">
        <v>2628</v>
      </c>
      <c r="BU4" s="345">
        <v>100</v>
      </c>
      <c r="BV4" s="345">
        <v>35</v>
      </c>
      <c r="BW4" s="346"/>
      <c r="BX4" s="343">
        <v>2</v>
      </c>
      <c r="BY4" s="344" t="s">
        <v>405</v>
      </c>
      <c r="BZ4" s="345">
        <v>100</v>
      </c>
      <c r="CA4" s="345">
        <v>20</v>
      </c>
      <c r="CB4" s="346"/>
      <c r="CC4" s="350"/>
      <c r="CD4" s="351"/>
      <c r="CE4" s="352"/>
      <c r="CF4" s="352"/>
      <c r="CG4" s="346"/>
      <c r="CH4" s="350"/>
      <c r="CI4" s="351"/>
      <c r="CJ4" s="352"/>
      <c r="CK4" s="352"/>
      <c r="CL4" s="346"/>
      <c r="CM4" s="350"/>
      <c r="CN4" s="351"/>
      <c r="CO4" s="352"/>
      <c r="CP4" s="352"/>
      <c r="CQ4" s="346"/>
      <c r="CR4" s="350"/>
      <c r="CS4" s="351"/>
      <c r="CT4" s="352"/>
      <c r="CU4" s="352"/>
      <c r="CV4" s="346"/>
      <c r="CW4" s="350"/>
      <c r="CX4" s="351"/>
      <c r="CY4" s="352"/>
      <c r="CZ4" s="352"/>
      <c r="DA4" s="346"/>
      <c r="DB4" s="350"/>
      <c r="DC4" s="351"/>
      <c r="DD4" s="352"/>
      <c r="DE4" s="352"/>
      <c r="DF4" s="346"/>
      <c r="DG4" s="350"/>
      <c r="DH4" s="351"/>
      <c r="DI4" s="352"/>
      <c r="DJ4" s="352"/>
      <c r="DK4" s="346"/>
      <c r="DL4" s="350"/>
      <c r="DM4" s="351"/>
      <c r="DN4" s="352"/>
      <c r="DO4" s="352"/>
      <c r="DP4" s="346"/>
      <c r="DQ4" s="350"/>
      <c r="DR4" s="351"/>
      <c r="DS4" s="352"/>
      <c r="DT4" s="352"/>
      <c r="DU4" s="346"/>
      <c r="DV4" s="350"/>
      <c r="DW4" s="351"/>
      <c r="DX4" s="352"/>
      <c r="DY4" s="352"/>
      <c r="DZ4" s="346"/>
      <c r="EA4" s="350"/>
      <c r="EB4" s="351"/>
      <c r="EC4" s="352"/>
      <c r="ED4" s="352"/>
      <c r="EE4" s="346"/>
      <c r="EF4" s="350"/>
      <c r="EG4" s="351"/>
      <c r="EH4" s="352"/>
      <c r="EI4" s="352"/>
      <c r="EJ4" s="346"/>
      <c r="EK4" s="350"/>
      <c r="EL4" s="351"/>
      <c r="EM4" s="352"/>
      <c r="EN4" s="352"/>
      <c r="EO4" s="346"/>
      <c r="EP4" s="350"/>
      <c r="EQ4" s="351"/>
      <c r="ER4" s="352"/>
      <c r="ES4" s="352"/>
      <c r="ET4" s="346"/>
      <c r="EU4" s="350"/>
      <c r="EV4" s="351"/>
      <c r="EW4" s="352"/>
      <c r="EX4" s="352"/>
      <c r="EY4" s="346"/>
      <c r="EZ4" s="350"/>
      <c r="FA4" s="351"/>
      <c r="FB4" s="352"/>
      <c r="FC4" s="352"/>
      <c r="FD4" s="346"/>
      <c r="FE4" s="350"/>
      <c r="FF4" s="351"/>
      <c r="FG4" s="352"/>
      <c r="FH4" s="352"/>
      <c r="FI4" s="346"/>
      <c r="FJ4" s="350"/>
      <c r="FK4" s="351"/>
      <c r="FL4" s="352"/>
      <c r="FM4" s="352"/>
      <c r="FN4" s="346"/>
      <c r="FO4" s="350"/>
      <c r="FP4" s="351"/>
      <c r="FQ4" s="352"/>
      <c r="FR4" s="352"/>
      <c r="FS4" s="346"/>
      <c r="FT4" s="350"/>
      <c r="FU4" s="351"/>
      <c r="FV4" s="352"/>
      <c r="FW4" s="352"/>
      <c r="FX4" s="346"/>
      <c r="FY4" s="350"/>
      <c r="FZ4" s="351"/>
      <c r="GA4" s="352"/>
      <c r="GB4" s="352"/>
      <c r="GC4" s="346"/>
      <c r="GD4" s="350"/>
      <c r="GE4" s="351"/>
      <c r="GF4" s="352"/>
      <c r="GG4" s="352"/>
      <c r="GH4" s="346"/>
      <c r="GI4" s="350"/>
      <c r="GJ4" s="351"/>
      <c r="GK4" s="352"/>
      <c r="GL4" s="352"/>
      <c r="GM4" s="346"/>
      <c r="GN4" s="350"/>
      <c r="GO4" s="351"/>
      <c r="GP4" s="352"/>
      <c r="GQ4" s="352"/>
      <c r="GR4" s="346"/>
      <c r="GS4" s="350"/>
      <c r="GT4" s="351"/>
      <c r="GU4" s="352"/>
      <c r="GV4" s="352"/>
      <c r="GW4" s="346"/>
      <c r="GX4" s="350"/>
      <c r="GY4" s="351"/>
      <c r="GZ4" s="352"/>
      <c r="HA4" s="352"/>
      <c r="HB4" s="346"/>
      <c r="HC4" s="350"/>
      <c r="HD4" s="351"/>
      <c r="HE4" s="352"/>
      <c r="HF4" s="352"/>
      <c r="HG4" s="346"/>
      <c r="HH4" s="350"/>
      <c r="HI4" s="351"/>
      <c r="HJ4" s="352"/>
      <c r="HK4" s="352"/>
      <c r="HL4" s="346"/>
      <c r="HM4" s="350"/>
      <c r="HN4" s="351"/>
      <c r="HO4" s="352"/>
      <c r="HP4" s="352"/>
      <c r="HQ4" s="346"/>
      <c r="HR4" s="350"/>
      <c r="HS4" s="351"/>
      <c r="HT4" s="352"/>
      <c r="HU4" s="352"/>
      <c r="HV4" s="346"/>
      <c r="HW4" s="350"/>
      <c r="HX4" s="351"/>
      <c r="HY4" s="352"/>
      <c r="HZ4" s="352"/>
      <c r="IA4" s="346"/>
      <c r="IB4" s="350"/>
      <c r="IC4" s="351"/>
      <c r="ID4" s="352"/>
      <c r="IE4" s="352"/>
      <c r="IF4" s="346"/>
      <c r="IG4" s="350"/>
      <c r="IH4" s="351"/>
      <c r="II4" s="352"/>
      <c r="IJ4" s="352"/>
      <c r="IK4" s="346"/>
      <c r="IL4" s="350"/>
      <c r="IM4" s="351"/>
      <c r="IN4" s="352"/>
      <c r="IO4" s="352"/>
      <c r="IP4" s="346"/>
      <c r="IQ4" s="350"/>
      <c r="IR4" s="351"/>
      <c r="IS4" s="352"/>
      <c r="IT4" s="352"/>
      <c r="IU4" s="346"/>
      <c r="IV4" s="350"/>
    </row>
    <row r="5" spans="1:256" s="353" customFormat="1" x14ac:dyDescent="0.2">
      <c r="A5" s="354">
        <v>3</v>
      </c>
      <c r="B5" s="355" t="s">
        <v>3150</v>
      </c>
      <c r="C5" s="356">
        <v>50</v>
      </c>
      <c r="D5" s="356">
        <v>12</v>
      </c>
      <c r="E5" s="346"/>
      <c r="F5" s="343">
        <v>3</v>
      </c>
      <c r="G5" s="344" t="s">
        <v>337</v>
      </c>
      <c r="H5" s="345">
        <v>100</v>
      </c>
      <c r="I5" s="345">
        <v>14.666666666666666</v>
      </c>
      <c r="J5" s="346"/>
      <c r="K5" s="350">
        <v>3</v>
      </c>
      <c r="L5" s="351" t="s">
        <v>341</v>
      </c>
      <c r="M5" s="352">
        <v>78.94736842105263</v>
      </c>
      <c r="N5" s="352">
        <v>7.0526315789473681</v>
      </c>
      <c r="O5" s="346"/>
      <c r="P5" s="343">
        <v>3</v>
      </c>
      <c r="Q5" s="344" t="s">
        <v>341</v>
      </c>
      <c r="R5" s="345">
        <v>100</v>
      </c>
      <c r="S5" s="345">
        <v>10.285714285714286</v>
      </c>
      <c r="T5" s="346"/>
      <c r="U5" s="343">
        <v>3</v>
      </c>
      <c r="V5" s="344" t="s">
        <v>381</v>
      </c>
      <c r="W5" s="345">
        <v>100</v>
      </c>
      <c r="X5" s="345">
        <v>14</v>
      </c>
      <c r="Y5" s="346"/>
      <c r="Z5" s="350">
        <v>3</v>
      </c>
      <c r="AA5" s="351" t="s">
        <v>342</v>
      </c>
      <c r="AB5" s="352">
        <v>57.142857142857146</v>
      </c>
      <c r="AC5" s="352">
        <v>8.5714285714285712</v>
      </c>
      <c r="AD5" s="346"/>
      <c r="AE5" s="343">
        <v>3</v>
      </c>
      <c r="AF5" s="344" t="s">
        <v>404</v>
      </c>
      <c r="AG5" s="345">
        <v>100</v>
      </c>
      <c r="AH5" s="345">
        <v>7.2</v>
      </c>
      <c r="AI5" s="346"/>
      <c r="AJ5" s="350">
        <v>3</v>
      </c>
      <c r="AK5" s="351" t="s">
        <v>413</v>
      </c>
      <c r="AL5" s="352">
        <v>33.333333333333336</v>
      </c>
      <c r="AM5" s="352">
        <v>6.666666666666667</v>
      </c>
      <c r="AN5" s="346"/>
      <c r="AO5" s="354">
        <v>3</v>
      </c>
      <c r="AP5" s="355" t="s">
        <v>981</v>
      </c>
      <c r="AQ5" s="356">
        <v>50</v>
      </c>
      <c r="AR5" s="356">
        <v>9.5</v>
      </c>
      <c r="AS5" s="346"/>
      <c r="AT5" s="350">
        <v>3</v>
      </c>
      <c r="AU5" s="351" t="s">
        <v>412</v>
      </c>
      <c r="AV5" s="352">
        <v>66.666666666666671</v>
      </c>
      <c r="AW5" s="352">
        <v>5.666666666666667</v>
      </c>
      <c r="AX5" s="346"/>
      <c r="AY5" s="350">
        <v>3</v>
      </c>
      <c r="AZ5" s="351" t="s">
        <v>340</v>
      </c>
      <c r="BA5" s="352">
        <v>66.666666666666671</v>
      </c>
      <c r="BB5" s="352">
        <v>11.666666666666666</v>
      </c>
      <c r="BC5" s="346"/>
      <c r="BD5" s="343">
        <v>3</v>
      </c>
      <c r="BE5" s="344" t="s">
        <v>567</v>
      </c>
      <c r="BF5" s="345">
        <v>100</v>
      </c>
      <c r="BG5" s="345">
        <v>10</v>
      </c>
      <c r="BH5" s="346"/>
      <c r="BI5" s="343">
        <v>3</v>
      </c>
      <c r="BJ5" s="344" t="s">
        <v>328</v>
      </c>
      <c r="BK5" s="345">
        <v>100</v>
      </c>
      <c r="BL5" s="345">
        <v>4</v>
      </c>
      <c r="BM5" s="346"/>
      <c r="BN5" s="343">
        <v>3</v>
      </c>
      <c r="BO5" s="344" t="s">
        <v>364</v>
      </c>
      <c r="BP5" s="345">
        <v>100</v>
      </c>
      <c r="BQ5" s="345">
        <v>11.333333333333334</v>
      </c>
      <c r="BR5" s="346"/>
      <c r="BS5" s="343">
        <v>3</v>
      </c>
      <c r="BT5" s="344" t="s">
        <v>349</v>
      </c>
      <c r="BU5" s="345">
        <v>100</v>
      </c>
      <c r="BV5" s="345">
        <v>16</v>
      </c>
      <c r="BW5" s="346"/>
      <c r="BX5" s="343">
        <v>3</v>
      </c>
      <c r="BY5" s="344" t="s">
        <v>415</v>
      </c>
      <c r="BZ5" s="345">
        <v>100</v>
      </c>
      <c r="CA5" s="345">
        <v>20</v>
      </c>
      <c r="CB5" s="346"/>
      <c r="CC5" s="350"/>
      <c r="CD5" s="351"/>
      <c r="CE5" s="352"/>
      <c r="CF5" s="352"/>
      <c r="CG5" s="346"/>
      <c r="CH5" s="350"/>
      <c r="CI5" s="351"/>
      <c r="CJ5" s="352"/>
      <c r="CK5" s="352"/>
      <c r="CL5" s="346"/>
      <c r="CM5" s="350"/>
      <c r="CN5" s="351"/>
      <c r="CO5" s="352"/>
      <c r="CP5" s="352"/>
      <c r="CQ5" s="346"/>
      <c r="CR5" s="350"/>
      <c r="CS5" s="351"/>
      <c r="CT5" s="352"/>
      <c r="CU5" s="352"/>
      <c r="CV5" s="346"/>
      <c r="CW5" s="350"/>
      <c r="CX5" s="351"/>
      <c r="CY5" s="352"/>
      <c r="CZ5" s="352"/>
      <c r="DA5" s="346"/>
      <c r="DB5" s="350"/>
      <c r="DC5" s="351"/>
      <c r="DD5" s="352"/>
      <c r="DE5" s="352"/>
      <c r="DF5" s="346"/>
      <c r="DG5" s="350"/>
      <c r="DH5" s="351"/>
      <c r="DI5" s="352"/>
      <c r="DJ5" s="352"/>
      <c r="DK5" s="346"/>
      <c r="DL5" s="350"/>
      <c r="DM5" s="351"/>
      <c r="DN5" s="352"/>
      <c r="DO5" s="352"/>
      <c r="DP5" s="346"/>
      <c r="DQ5" s="350"/>
      <c r="DR5" s="351"/>
      <c r="DS5" s="352"/>
      <c r="DT5" s="352"/>
      <c r="DU5" s="346"/>
      <c r="DV5" s="350"/>
      <c r="DW5" s="351"/>
      <c r="DX5" s="352"/>
      <c r="DY5" s="352"/>
      <c r="DZ5" s="346"/>
      <c r="EA5" s="350"/>
      <c r="EB5" s="351"/>
      <c r="EC5" s="352"/>
      <c r="ED5" s="352"/>
      <c r="EE5" s="346"/>
      <c r="EF5" s="350"/>
      <c r="EG5" s="351"/>
      <c r="EH5" s="352"/>
      <c r="EI5" s="352"/>
      <c r="EJ5" s="346"/>
      <c r="EK5" s="350"/>
      <c r="EL5" s="351"/>
      <c r="EM5" s="352"/>
      <c r="EN5" s="352"/>
      <c r="EO5" s="346"/>
      <c r="EP5" s="350"/>
      <c r="EQ5" s="351"/>
      <c r="ER5" s="352"/>
      <c r="ES5" s="352"/>
      <c r="ET5" s="346"/>
      <c r="EU5" s="350"/>
      <c r="EV5" s="351"/>
      <c r="EW5" s="352"/>
      <c r="EX5" s="352"/>
      <c r="EY5" s="346"/>
      <c r="EZ5" s="350"/>
      <c r="FA5" s="351"/>
      <c r="FB5" s="352"/>
      <c r="FC5" s="352"/>
      <c r="FD5" s="346"/>
      <c r="FE5" s="350"/>
      <c r="FF5" s="351"/>
      <c r="FG5" s="352"/>
      <c r="FH5" s="352"/>
      <c r="FI5" s="346"/>
      <c r="FJ5" s="350"/>
      <c r="FK5" s="351"/>
      <c r="FL5" s="352"/>
      <c r="FM5" s="352"/>
      <c r="FN5" s="346"/>
      <c r="FO5" s="350"/>
      <c r="FP5" s="351"/>
      <c r="FQ5" s="352"/>
      <c r="FR5" s="352"/>
      <c r="FS5" s="346"/>
      <c r="FT5" s="350"/>
      <c r="FU5" s="351"/>
      <c r="FV5" s="352"/>
      <c r="FW5" s="352"/>
      <c r="FX5" s="346"/>
      <c r="FY5" s="350"/>
      <c r="FZ5" s="351"/>
      <c r="GA5" s="352"/>
      <c r="GB5" s="352"/>
      <c r="GC5" s="346"/>
      <c r="GD5" s="350"/>
      <c r="GE5" s="351"/>
      <c r="GF5" s="352"/>
      <c r="GG5" s="352"/>
      <c r="GH5" s="346"/>
      <c r="GI5" s="350"/>
      <c r="GJ5" s="351"/>
      <c r="GK5" s="352"/>
      <c r="GL5" s="352"/>
      <c r="GM5" s="346"/>
      <c r="GN5" s="350"/>
      <c r="GO5" s="351"/>
      <c r="GP5" s="352"/>
      <c r="GQ5" s="352"/>
      <c r="GR5" s="346"/>
      <c r="GS5" s="350"/>
      <c r="GT5" s="351"/>
      <c r="GU5" s="352"/>
      <c r="GV5" s="352"/>
      <c r="GW5" s="346"/>
      <c r="GX5" s="350"/>
      <c r="GY5" s="351"/>
      <c r="GZ5" s="352"/>
      <c r="HA5" s="352"/>
      <c r="HB5" s="346"/>
      <c r="HC5" s="350"/>
      <c r="HD5" s="351"/>
      <c r="HE5" s="352"/>
      <c r="HF5" s="352"/>
      <c r="HG5" s="346"/>
      <c r="HH5" s="350"/>
      <c r="HI5" s="351"/>
      <c r="HJ5" s="352"/>
      <c r="HK5" s="352"/>
      <c r="HL5" s="346"/>
      <c r="HM5" s="350"/>
      <c r="HN5" s="351"/>
      <c r="HO5" s="352"/>
      <c r="HP5" s="352"/>
      <c r="HQ5" s="346"/>
      <c r="HR5" s="350"/>
      <c r="HS5" s="351"/>
      <c r="HT5" s="352"/>
      <c r="HU5" s="352"/>
      <c r="HV5" s="346"/>
      <c r="HW5" s="350"/>
      <c r="HX5" s="351"/>
      <c r="HY5" s="352"/>
      <c r="HZ5" s="352"/>
      <c r="IA5" s="346"/>
      <c r="IB5" s="350"/>
      <c r="IC5" s="351"/>
      <c r="ID5" s="352"/>
      <c r="IE5" s="352"/>
      <c r="IF5" s="346"/>
      <c r="IG5" s="350"/>
      <c r="IH5" s="351"/>
      <c r="II5" s="352"/>
      <c r="IJ5" s="352"/>
      <c r="IK5" s="346"/>
      <c r="IL5" s="350"/>
      <c r="IM5" s="351"/>
      <c r="IN5" s="352"/>
      <c r="IO5" s="352"/>
      <c r="IP5" s="346"/>
      <c r="IQ5" s="350"/>
      <c r="IR5" s="351"/>
      <c r="IS5" s="352"/>
      <c r="IT5" s="352"/>
      <c r="IU5" s="346"/>
      <c r="IV5" s="350"/>
    </row>
    <row r="6" spans="1:256" s="353" customFormat="1" x14ac:dyDescent="0.2">
      <c r="A6" s="343">
        <v>4</v>
      </c>
      <c r="B6" s="344" t="s">
        <v>332</v>
      </c>
      <c r="C6" s="345">
        <v>100</v>
      </c>
      <c r="D6" s="345">
        <v>10</v>
      </c>
      <c r="E6" s="346"/>
      <c r="F6" s="343">
        <v>4</v>
      </c>
      <c r="G6" s="344" t="s">
        <v>332</v>
      </c>
      <c r="H6" s="345">
        <v>100</v>
      </c>
      <c r="I6" s="345">
        <v>14.333333333333334</v>
      </c>
      <c r="J6" s="346"/>
      <c r="K6" s="350">
        <v>4</v>
      </c>
      <c r="L6" s="351" t="s">
        <v>398</v>
      </c>
      <c r="M6" s="352">
        <v>36.842105263157897</v>
      </c>
      <c r="N6" s="352">
        <v>5.9210526315789478</v>
      </c>
      <c r="O6" s="346"/>
      <c r="P6" s="350">
        <v>4</v>
      </c>
      <c r="Q6" s="351" t="s">
        <v>423</v>
      </c>
      <c r="R6" s="352">
        <v>57.142857142857146</v>
      </c>
      <c r="S6" s="352">
        <v>6.0714285714285712</v>
      </c>
      <c r="T6" s="346"/>
      <c r="U6" s="343">
        <v>4</v>
      </c>
      <c r="V6" s="344" t="s">
        <v>340</v>
      </c>
      <c r="W6" s="345">
        <v>100</v>
      </c>
      <c r="X6" s="345">
        <v>12</v>
      </c>
      <c r="Y6" s="346"/>
      <c r="Z6" s="350">
        <v>4</v>
      </c>
      <c r="AA6" s="351" t="s">
        <v>2579</v>
      </c>
      <c r="AB6" s="352">
        <v>42.857142857142854</v>
      </c>
      <c r="AC6" s="352">
        <v>6.5714285714285712</v>
      </c>
      <c r="AD6" s="346"/>
      <c r="AE6" s="350">
        <v>4</v>
      </c>
      <c r="AF6" s="351" t="s">
        <v>398</v>
      </c>
      <c r="AG6" s="352">
        <v>40</v>
      </c>
      <c r="AH6" s="352">
        <v>6.2</v>
      </c>
      <c r="AI6" s="346"/>
      <c r="AJ6" s="343">
        <v>4</v>
      </c>
      <c r="AK6" s="344" t="s">
        <v>376</v>
      </c>
      <c r="AL6" s="345">
        <v>100</v>
      </c>
      <c r="AM6" s="345">
        <v>5.666666666666667</v>
      </c>
      <c r="AN6" s="346"/>
      <c r="AO6" s="347">
        <v>4</v>
      </c>
      <c r="AP6" s="348" t="s">
        <v>417</v>
      </c>
      <c r="AQ6" s="349">
        <v>100</v>
      </c>
      <c r="AR6" s="349">
        <v>8.5</v>
      </c>
      <c r="AS6" s="346"/>
      <c r="AT6" s="350">
        <v>4</v>
      </c>
      <c r="AU6" s="351" t="s">
        <v>2579</v>
      </c>
      <c r="AV6" s="352">
        <v>66.666666666666671</v>
      </c>
      <c r="AW6" s="352">
        <v>5.333333333333333</v>
      </c>
      <c r="AX6" s="346"/>
      <c r="AY6" s="354">
        <v>4</v>
      </c>
      <c r="AZ6" s="355" t="s">
        <v>1583</v>
      </c>
      <c r="BA6" s="356">
        <v>66.666666666666671</v>
      </c>
      <c r="BB6" s="356">
        <v>9.3333333333333339</v>
      </c>
      <c r="BC6" s="346"/>
      <c r="BD6" s="343">
        <v>4</v>
      </c>
      <c r="BE6" s="344" t="s">
        <v>447</v>
      </c>
      <c r="BF6" s="345">
        <v>100</v>
      </c>
      <c r="BG6" s="345">
        <v>10</v>
      </c>
      <c r="BH6" s="346"/>
      <c r="BI6" s="343">
        <v>4</v>
      </c>
      <c r="BJ6" s="344" t="s">
        <v>418</v>
      </c>
      <c r="BK6" s="345">
        <v>100</v>
      </c>
      <c r="BL6" s="345">
        <v>2</v>
      </c>
      <c r="BM6" s="346"/>
      <c r="BN6" s="343">
        <v>4</v>
      </c>
      <c r="BO6" s="344" t="s">
        <v>3151</v>
      </c>
      <c r="BP6" s="345">
        <v>100</v>
      </c>
      <c r="BQ6" s="345">
        <v>9.3333333333333339</v>
      </c>
      <c r="BR6" s="346"/>
      <c r="BS6" s="343">
        <v>4</v>
      </c>
      <c r="BT6" s="344" t="s">
        <v>369</v>
      </c>
      <c r="BU6" s="345">
        <v>100</v>
      </c>
      <c r="BV6" s="345">
        <v>11</v>
      </c>
      <c r="BW6" s="346"/>
      <c r="BX6" s="347">
        <v>4</v>
      </c>
      <c r="BY6" s="348" t="s">
        <v>1869</v>
      </c>
      <c r="BZ6" s="349">
        <v>100</v>
      </c>
      <c r="CA6" s="349">
        <v>19</v>
      </c>
      <c r="CB6" s="346"/>
      <c r="CC6" s="350"/>
      <c r="CD6" s="351"/>
      <c r="CE6" s="352"/>
      <c r="CF6" s="352"/>
      <c r="CG6" s="346"/>
      <c r="CH6" s="350"/>
      <c r="CI6" s="351"/>
      <c r="CJ6" s="352"/>
      <c r="CK6" s="352"/>
      <c r="CL6" s="346"/>
      <c r="CM6" s="350"/>
      <c r="CN6" s="351"/>
      <c r="CO6" s="352"/>
      <c r="CP6" s="352"/>
      <c r="CQ6" s="346"/>
      <c r="CR6" s="350"/>
      <c r="CS6" s="351"/>
      <c r="CT6" s="352"/>
      <c r="CU6" s="352"/>
      <c r="CV6" s="346"/>
      <c r="CW6" s="350"/>
      <c r="CX6" s="351"/>
      <c r="CY6" s="352"/>
      <c r="CZ6" s="352"/>
      <c r="DA6" s="346"/>
      <c r="DB6" s="350"/>
      <c r="DC6" s="351"/>
      <c r="DD6" s="352"/>
      <c r="DE6" s="352"/>
      <c r="DF6" s="346"/>
      <c r="DG6" s="350"/>
      <c r="DH6" s="351"/>
      <c r="DI6" s="352"/>
      <c r="DJ6" s="352"/>
      <c r="DK6" s="346"/>
      <c r="DL6" s="350"/>
      <c r="DM6" s="351"/>
      <c r="DN6" s="352"/>
      <c r="DO6" s="352"/>
      <c r="DP6" s="346"/>
      <c r="DQ6" s="350"/>
      <c r="DR6" s="351"/>
      <c r="DS6" s="352"/>
      <c r="DT6" s="352"/>
      <c r="DU6" s="346"/>
      <c r="DV6" s="350"/>
      <c r="DW6" s="351"/>
      <c r="DX6" s="352"/>
      <c r="DY6" s="352"/>
      <c r="DZ6" s="346"/>
      <c r="EA6" s="350"/>
      <c r="EB6" s="351"/>
      <c r="EC6" s="352"/>
      <c r="ED6" s="352"/>
      <c r="EE6" s="346"/>
      <c r="EF6" s="350"/>
      <c r="EG6" s="351"/>
      <c r="EH6" s="352"/>
      <c r="EI6" s="352"/>
      <c r="EJ6" s="346"/>
      <c r="EK6" s="350"/>
      <c r="EL6" s="351"/>
      <c r="EM6" s="352"/>
      <c r="EN6" s="352"/>
      <c r="EO6" s="346"/>
      <c r="EP6" s="350"/>
      <c r="EQ6" s="351"/>
      <c r="ER6" s="352"/>
      <c r="ES6" s="352"/>
      <c r="ET6" s="346"/>
      <c r="EU6" s="350"/>
      <c r="EV6" s="351"/>
      <c r="EW6" s="352"/>
      <c r="EX6" s="352"/>
      <c r="EY6" s="346"/>
      <c r="EZ6" s="350"/>
      <c r="FA6" s="351"/>
      <c r="FB6" s="352"/>
      <c r="FC6" s="352"/>
      <c r="FD6" s="346"/>
      <c r="FE6" s="350"/>
      <c r="FF6" s="351"/>
      <c r="FG6" s="352"/>
      <c r="FH6" s="352"/>
      <c r="FI6" s="346"/>
      <c r="FJ6" s="350"/>
      <c r="FK6" s="351"/>
      <c r="FL6" s="352"/>
      <c r="FM6" s="352"/>
      <c r="FN6" s="346"/>
      <c r="FO6" s="350"/>
      <c r="FP6" s="351"/>
      <c r="FQ6" s="352"/>
      <c r="FR6" s="352"/>
      <c r="FS6" s="346"/>
      <c r="FT6" s="350"/>
      <c r="FU6" s="351"/>
      <c r="FV6" s="352"/>
      <c r="FW6" s="352"/>
      <c r="FX6" s="346"/>
      <c r="FY6" s="350"/>
      <c r="FZ6" s="351"/>
      <c r="GA6" s="352"/>
      <c r="GB6" s="352"/>
      <c r="GC6" s="346"/>
      <c r="GD6" s="350"/>
      <c r="GE6" s="351"/>
      <c r="GF6" s="352"/>
      <c r="GG6" s="352"/>
      <c r="GH6" s="346"/>
      <c r="GI6" s="350"/>
      <c r="GJ6" s="351"/>
      <c r="GK6" s="352"/>
      <c r="GL6" s="352"/>
      <c r="GM6" s="346"/>
      <c r="GN6" s="350"/>
      <c r="GO6" s="351"/>
      <c r="GP6" s="352"/>
      <c r="GQ6" s="352"/>
      <c r="GR6" s="346"/>
      <c r="GS6" s="350"/>
      <c r="GT6" s="351"/>
      <c r="GU6" s="352"/>
      <c r="GV6" s="352"/>
      <c r="GW6" s="346"/>
      <c r="GX6" s="350"/>
      <c r="GY6" s="351"/>
      <c r="GZ6" s="352"/>
      <c r="HA6" s="352"/>
      <c r="HB6" s="346"/>
      <c r="HC6" s="350"/>
      <c r="HD6" s="351"/>
      <c r="HE6" s="352"/>
      <c r="HF6" s="352"/>
      <c r="HG6" s="346"/>
      <c r="HH6" s="350"/>
      <c r="HI6" s="351"/>
      <c r="HJ6" s="352"/>
      <c r="HK6" s="352"/>
      <c r="HL6" s="346"/>
      <c r="HM6" s="350"/>
      <c r="HN6" s="351"/>
      <c r="HO6" s="352"/>
      <c r="HP6" s="352"/>
      <c r="HQ6" s="346"/>
      <c r="HR6" s="350"/>
      <c r="HS6" s="351"/>
      <c r="HT6" s="352"/>
      <c r="HU6" s="352"/>
      <c r="HV6" s="346"/>
      <c r="HW6" s="350"/>
      <c r="HX6" s="351"/>
      <c r="HY6" s="352"/>
      <c r="HZ6" s="352"/>
      <c r="IA6" s="346"/>
      <c r="IB6" s="350"/>
      <c r="IC6" s="351"/>
      <c r="ID6" s="352"/>
      <c r="IE6" s="352"/>
      <c r="IF6" s="346"/>
      <c r="IG6" s="350"/>
      <c r="IH6" s="351"/>
      <c r="II6" s="352"/>
      <c r="IJ6" s="352"/>
      <c r="IK6" s="346"/>
      <c r="IL6" s="350"/>
      <c r="IM6" s="351"/>
      <c r="IN6" s="352"/>
      <c r="IO6" s="352"/>
      <c r="IP6" s="346"/>
      <c r="IQ6" s="350"/>
      <c r="IR6" s="351"/>
      <c r="IS6" s="352"/>
      <c r="IT6" s="352"/>
      <c r="IU6" s="346"/>
      <c r="IV6" s="350"/>
    </row>
    <row r="7" spans="1:256" s="353" customFormat="1" x14ac:dyDescent="0.2">
      <c r="A7" s="343">
        <v>5</v>
      </c>
      <c r="B7" s="344" t="s">
        <v>327</v>
      </c>
      <c r="C7" s="345">
        <v>100</v>
      </c>
      <c r="D7" s="345">
        <v>8.5</v>
      </c>
      <c r="E7" s="346"/>
      <c r="F7" s="354">
        <v>5</v>
      </c>
      <c r="G7" s="355" t="s">
        <v>338</v>
      </c>
      <c r="H7" s="356">
        <v>50</v>
      </c>
      <c r="I7" s="356">
        <v>7.5</v>
      </c>
      <c r="J7" s="346"/>
      <c r="K7" s="350">
        <v>5</v>
      </c>
      <c r="L7" s="351" t="s">
        <v>340</v>
      </c>
      <c r="M7" s="352">
        <v>68.421052631578945</v>
      </c>
      <c r="N7" s="352">
        <v>5.5789473684210522</v>
      </c>
      <c r="O7" s="346"/>
      <c r="P7" s="350">
        <v>5</v>
      </c>
      <c r="Q7" s="351" t="s">
        <v>2579</v>
      </c>
      <c r="R7" s="352">
        <v>71.428571428571431</v>
      </c>
      <c r="S7" s="352">
        <v>5.7142857142857144</v>
      </c>
      <c r="T7" s="346"/>
      <c r="U7" s="343">
        <v>5</v>
      </c>
      <c r="V7" s="344" t="s">
        <v>601</v>
      </c>
      <c r="W7" s="345">
        <v>100</v>
      </c>
      <c r="X7" s="345">
        <v>8</v>
      </c>
      <c r="Y7" s="346"/>
      <c r="Z7" s="350">
        <v>5</v>
      </c>
      <c r="AA7" s="351" t="s">
        <v>398</v>
      </c>
      <c r="AB7" s="352">
        <v>85.714285714285708</v>
      </c>
      <c r="AC7" s="352">
        <v>5.2142857142857144</v>
      </c>
      <c r="AD7" s="346"/>
      <c r="AE7" s="350">
        <v>5</v>
      </c>
      <c r="AF7" s="351" t="s">
        <v>441</v>
      </c>
      <c r="AG7" s="352">
        <v>80</v>
      </c>
      <c r="AH7" s="352">
        <v>5.8</v>
      </c>
      <c r="AI7" s="346"/>
      <c r="AJ7" s="350">
        <v>5</v>
      </c>
      <c r="AK7" s="351" t="s">
        <v>2579</v>
      </c>
      <c r="AL7" s="352">
        <v>66.666666666666671</v>
      </c>
      <c r="AM7" s="352">
        <v>5.333333333333333</v>
      </c>
      <c r="AN7" s="346"/>
      <c r="AO7" s="347">
        <v>5</v>
      </c>
      <c r="AP7" s="348" t="s">
        <v>2580</v>
      </c>
      <c r="AQ7" s="349">
        <v>100</v>
      </c>
      <c r="AR7" s="349">
        <v>5.5</v>
      </c>
      <c r="AS7" s="346"/>
      <c r="AT7" s="350">
        <v>5</v>
      </c>
      <c r="AU7" s="351" t="s">
        <v>413</v>
      </c>
      <c r="AV7" s="352">
        <v>33.333333333333336</v>
      </c>
      <c r="AW7" s="352">
        <v>4.666666666666667</v>
      </c>
      <c r="AX7" s="346"/>
      <c r="AY7" s="350">
        <v>5</v>
      </c>
      <c r="AZ7" s="351" t="s">
        <v>376</v>
      </c>
      <c r="BA7" s="352">
        <v>66.666666666666671</v>
      </c>
      <c r="BB7" s="352">
        <v>7.666666666666667</v>
      </c>
      <c r="BC7" s="346"/>
      <c r="BD7" s="343">
        <v>5</v>
      </c>
      <c r="BE7" s="344" t="s">
        <v>342</v>
      </c>
      <c r="BF7" s="345">
        <v>100</v>
      </c>
      <c r="BG7" s="345">
        <v>8</v>
      </c>
      <c r="BH7" s="346"/>
      <c r="BI7" s="343">
        <v>5</v>
      </c>
      <c r="BJ7" s="344" t="s">
        <v>337</v>
      </c>
      <c r="BK7" s="345">
        <v>100</v>
      </c>
      <c r="BL7" s="345">
        <v>0.5</v>
      </c>
      <c r="BM7" s="346"/>
      <c r="BN7" s="350">
        <v>5</v>
      </c>
      <c r="BO7" s="351" t="s">
        <v>600</v>
      </c>
      <c r="BP7" s="352">
        <v>66.666666666666671</v>
      </c>
      <c r="BQ7" s="352">
        <v>9</v>
      </c>
      <c r="BR7" s="346"/>
      <c r="BS7" s="343">
        <v>5</v>
      </c>
      <c r="BT7" s="344" t="s">
        <v>350</v>
      </c>
      <c r="BU7" s="345">
        <v>100</v>
      </c>
      <c r="BV7" s="345">
        <v>7</v>
      </c>
      <c r="BW7" s="346"/>
      <c r="BX7" s="343">
        <v>5</v>
      </c>
      <c r="BY7" s="344" t="s">
        <v>376</v>
      </c>
      <c r="BZ7" s="345">
        <v>100</v>
      </c>
      <c r="CA7" s="345">
        <v>16</v>
      </c>
      <c r="CB7" s="346"/>
      <c r="CC7" s="350"/>
      <c r="CD7" s="351"/>
      <c r="CE7" s="352"/>
      <c r="CF7" s="352"/>
      <c r="CG7" s="346"/>
      <c r="CH7" s="350"/>
      <c r="CI7" s="351"/>
      <c r="CJ7" s="352"/>
      <c r="CK7" s="352"/>
      <c r="CL7" s="346"/>
      <c r="CM7" s="350"/>
      <c r="CN7" s="351"/>
      <c r="CO7" s="352"/>
      <c r="CP7" s="352"/>
      <c r="CQ7" s="346"/>
      <c r="CR7" s="350"/>
      <c r="CS7" s="351"/>
      <c r="CT7" s="352"/>
      <c r="CU7" s="352"/>
      <c r="CV7" s="346"/>
      <c r="CW7" s="350"/>
      <c r="CX7" s="351"/>
      <c r="CY7" s="352"/>
      <c r="CZ7" s="352"/>
      <c r="DA7" s="346"/>
      <c r="DB7" s="350"/>
      <c r="DC7" s="351"/>
      <c r="DD7" s="352"/>
      <c r="DE7" s="352"/>
      <c r="DF7" s="346"/>
      <c r="DG7" s="350"/>
      <c r="DH7" s="351"/>
      <c r="DI7" s="352"/>
      <c r="DJ7" s="352"/>
      <c r="DK7" s="346"/>
      <c r="DL7" s="350"/>
      <c r="DM7" s="351"/>
      <c r="DN7" s="352"/>
      <c r="DO7" s="352"/>
      <c r="DP7" s="346"/>
      <c r="DQ7" s="350"/>
      <c r="DR7" s="351"/>
      <c r="DS7" s="352"/>
      <c r="DT7" s="352"/>
      <c r="DU7" s="346"/>
      <c r="DV7" s="350"/>
      <c r="DW7" s="351"/>
      <c r="DX7" s="352"/>
      <c r="DY7" s="352"/>
      <c r="DZ7" s="346"/>
      <c r="EA7" s="350"/>
      <c r="EB7" s="351"/>
      <c r="EC7" s="352"/>
      <c r="ED7" s="352"/>
      <c r="EE7" s="346"/>
      <c r="EF7" s="350"/>
      <c r="EG7" s="351"/>
      <c r="EH7" s="352"/>
      <c r="EI7" s="352"/>
      <c r="EJ7" s="346"/>
      <c r="EK7" s="350"/>
      <c r="EL7" s="351"/>
      <c r="EM7" s="352"/>
      <c r="EN7" s="352"/>
      <c r="EO7" s="346"/>
      <c r="EP7" s="350"/>
      <c r="EQ7" s="351"/>
      <c r="ER7" s="352"/>
      <c r="ES7" s="352"/>
      <c r="ET7" s="346"/>
      <c r="EU7" s="350"/>
      <c r="EV7" s="351"/>
      <c r="EW7" s="352"/>
      <c r="EX7" s="352"/>
      <c r="EY7" s="346"/>
      <c r="EZ7" s="350"/>
      <c r="FA7" s="351"/>
      <c r="FB7" s="352"/>
      <c r="FC7" s="352"/>
      <c r="FD7" s="346"/>
      <c r="FE7" s="350"/>
      <c r="FF7" s="351"/>
      <c r="FG7" s="352"/>
      <c r="FH7" s="352"/>
      <c r="FI7" s="346"/>
      <c r="FJ7" s="350"/>
      <c r="FK7" s="351"/>
      <c r="FL7" s="352"/>
      <c r="FM7" s="352"/>
      <c r="FN7" s="346"/>
      <c r="FO7" s="350"/>
      <c r="FP7" s="351"/>
      <c r="FQ7" s="352"/>
      <c r="FR7" s="352"/>
      <c r="FS7" s="346"/>
      <c r="FT7" s="350"/>
      <c r="FU7" s="351"/>
      <c r="FV7" s="352"/>
      <c r="FW7" s="352"/>
      <c r="FX7" s="346"/>
      <c r="FY7" s="350"/>
      <c r="FZ7" s="351"/>
      <c r="GA7" s="352"/>
      <c r="GB7" s="352"/>
      <c r="GC7" s="346"/>
      <c r="GD7" s="350"/>
      <c r="GE7" s="351"/>
      <c r="GF7" s="352"/>
      <c r="GG7" s="352"/>
      <c r="GH7" s="346"/>
      <c r="GI7" s="350"/>
      <c r="GJ7" s="351"/>
      <c r="GK7" s="352"/>
      <c r="GL7" s="352"/>
      <c r="GM7" s="346"/>
      <c r="GN7" s="350"/>
      <c r="GO7" s="351"/>
      <c r="GP7" s="352"/>
      <c r="GQ7" s="352"/>
      <c r="GR7" s="346"/>
      <c r="GS7" s="350"/>
      <c r="GT7" s="351"/>
      <c r="GU7" s="352"/>
      <c r="GV7" s="352"/>
      <c r="GW7" s="346"/>
      <c r="GX7" s="350"/>
      <c r="GY7" s="351"/>
      <c r="GZ7" s="352"/>
      <c r="HA7" s="352"/>
      <c r="HB7" s="346"/>
      <c r="HC7" s="350"/>
      <c r="HD7" s="351"/>
      <c r="HE7" s="352"/>
      <c r="HF7" s="352"/>
      <c r="HG7" s="346"/>
      <c r="HH7" s="350"/>
      <c r="HI7" s="351"/>
      <c r="HJ7" s="352"/>
      <c r="HK7" s="352"/>
      <c r="HL7" s="346"/>
      <c r="HM7" s="350"/>
      <c r="HN7" s="351"/>
      <c r="HO7" s="352"/>
      <c r="HP7" s="352"/>
      <c r="HQ7" s="346"/>
      <c r="HR7" s="350"/>
      <c r="HS7" s="351"/>
      <c r="HT7" s="352"/>
      <c r="HU7" s="352"/>
      <c r="HV7" s="346"/>
      <c r="HW7" s="350"/>
      <c r="HX7" s="351"/>
      <c r="HY7" s="352"/>
      <c r="HZ7" s="352"/>
      <c r="IA7" s="346"/>
      <c r="IB7" s="350"/>
      <c r="IC7" s="351"/>
      <c r="ID7" s="352"/>
      <c r="IE7" s="352"/>
      <c r="IF7" s="346"/>
      <c r="IG7" s="350"/>
      <c r="IH7" s="351"/>
      <c r="II7" s="352"/>
      <c r="IJ7" s="352"/>
      <c r="IK7" s="346"/>
      <c r="IL7" s="350"/>
      <c r="IM7" s="351"/>
      <c r="IN7" s="352"/>
      <c r="IO7" s="352"/>
      <c r="IP7" s="346"/>
      <c r="IQ7" s="350"/>
      <c r="IR7" s="351"/>
      <c r="IS7" s="352"/>
      <c r="IT7" s="352"/>
      <c r="IU7" s="346"/>
      <c r="IV7" s="350"/>
    </row>
    <row r="8" spans="1:256" s="353" customFormat="1" x14ac:dyDescent="0.2">
      <c r="A8" s="343">
        <v>6</v>
      </c>
      <c r="B8" s="344" t="s">
        <v>334</v>
      </c>
      <c r="C8" s="345">
        <v>100</v>
      </c>
      <c r="D8" s="345">
        <v>5.375</v>
      </c>
      <c r="E8" s="346"/>
      <c r="F8" s="354">
        <v>6</v>
      </c>
      <c r="G8" s="355" t="s">
        <v>339</v>
      </c>
      <c r="H8" s="356">
        <v>33.333333333333336</v>
      </c>
      <c r="I8" s="356">
        <v>6.666666666666667</v>
      </c>
      <c r="J8" s="346"/>
      <c r="K8" s="350">
        <v>6</v>
      </c>
      <c r="L8" s="351" t="s">
        <v>342</v>
      </c>
      <c r="M8" s="352">
        <v>78.94736842105263</v>
      </c>
      <c r="N8" s="352">
        <v>5.0263157894736841</v>
      </c>
      <c r="O8" s="346"/>
      <c r="P8" s="350">
        <v>6</v>
      </c>
      <c r="Q8" s="351" t="s">
        <v>394</v>
      </c>
      <c r="R8" s="352">
        <v>57.142857142857146</v>
      </c>
      <c r="S8" s="352">
        <v>5.1428571428571432</v>
      </c>
      <c r="T8" s="346"/>
      <c r="U8" s="343">
        <v>6</v>
      </c>
      <c r="V8" s="344" t="s">
        <v>402</v>
      </c>
      <c r="W8" s="345">
        <v>100</v>
      </c>
      <c r="X8" s="345">
        <v>7</v>
      </c>
      <c r="Y8" s="346"/>
      <c r="Z8" s="350">
        <v>6</v>
      </c>
      <c r="AA8" s="351" t="s">
        <v>595</v>
      </c>
      <c r="AB8" s="352">
        <v>85.714285714285708</v>
      </c>
      <c r="AC8" s="352">
        <v>5.0714285714285712</v>
      </c>
      <c r="AD8" s="346"/>
      <c r="AE8" s="350">
        <v>6</v>
      </c>
      <c r="AF8" s="351" t="s">
        <v>2579</v>
      </c>
      <c r="AG8" s="352">
        <v>80</v>
      </c>
      <c r="AH8" s="352">
        <v>5.4</v>
      </c>
      <c r="AI8" s="346"/>
      <c r="AJ8" s="350">
        <v>6</v>
      </c>
      <c r="AK8" s="351" t="s">
        <v>437</v>
      </c>
      <c r="AL8" s="352">
        <v>33.333333333333336</v>
      </c>
      <c r="AM8" s="352">
        <v>5</v>
      </c>
      <c r="AN8" s="346"/>
      <c r="AO8" s="350">
        <v>6</v>
      </c>
      <c r="AP8" s="351" t="s">
        <v>1589</v>
      </c>
      <c r="AQ8" s="352">
        <v>50</v>
      </c>
      <c r="AR8" s="352">
        <v>4</v>
      </c>
      <c r="AS8" s="346"/>
      <c r="AT8" s="343">
        <v>6</v>
      </c>
      <c r="AU8" s="344" t="s">
        <v>441</v>
      </c>
      <c r="AV8" s="345">
        <v>100</v>
      </c>
      <c r="AW8" s="345">
        <v>4</v>
      </c>
      <c r="AX8" s="346"/>
      <c r="AY8" s="350">
        <v>6</v>
      </c>
      <c r="AZ8" s="351" t="s">
        <v>343</v>
      </c>
      <c r="BA8" s="352">
        <v>66.666666666666671</v>
      </c>
      <c r="BB8" s="352">
        <v>6.333333333333333</v>
      </c>
      <c r="BC8" s="346"/>
      <c r="BD8" s="343">
        <v>6</v>
      </c>
      <c r="BE8" s="344" t="s">
        <v>386</v>
      </c>
      <c r="BF8" s="345">
        <v>100</v>
      </c>
      <c r="BG8" s="345">
        <v>6</v>
      </c>
      <c r="BH8" s="346"/>
      <c r="BI8" s="343">
        <v>6</v>
      </c>
      <c r="BJ8" s="344" t="s">
        <v>1589</v>
      </c>
      <c r="BK8" s="345">
        <v>100</v>
      </c>
      <c r="BL8" s="345">
        <v>0.5</v>
      </c>
      <c r="BM8" s="346"/>
      <c r="BN8" s="343">
        <v>6</v>
      </c>
      <c r="BO8" s="344" t="s">
        <v>3388</v>
      </c>
      <c r="BP8" s="345">
        <v>100</v>
      </c>
      <c r="BQ8" s="345">
        <v>8.5</v>
      </c>
      <c r="BR8" s="346"/>
      <c r="BS8" s="343">
        <v>6</v>
      </c>
      <c r="BT8" s="344" t="s">
        <v>448</v>
      </c>
      <c r="BU8" s="345">
        <v>100</v>
      </c>
      <c r="BV8" s="345">
        <v>7</v>
      </c>
      <c r="BW8" s="346"/>
      <c r="BX8" s="343">
        <v>6</v>
      </c>
      <c r="BY8" s="344" t="s">
        <v>416</v>
      </c>
      <c r="BZ8" s="345">
        <v>100</v>
      </c>
      <c r="CA8" s="345">
        <v>13</v>
      </c>
      <c r="CB8" s="346"/>
      <c r="CC8" s="350"/>
      <c r="CD8" s="351"/>
      <c r="CE8" s="352"/>
      <c r="CF8" s="352"/>
      <c r="CG8" s="346"/>
      <c r="CH8" s="350"/>
      <c r="CI8" s="351"/>
      <c r="CJ8" s="352"/>
      <c r="CK8" s="352"/>
      <c r="CL8" s="346"/>
      <c r="CM8" s="350"/>
      <c r="CN8" s="351"/>
      <c r="CO8" s="352"/>
      <c r="CP8" s="352"/>
      <c r="CQ8" s="346"/>
      <c r="CR8" s="350"/>
      <c r="CS8" s="351"/>
      <c r="CT8" s="352"/>
      <c r="CU8" s="352"/>
      <c r="CV8" s="346"/>
      <c r="CW8" s="350"/>
      <c r="CX8" s="351"/>
      <c r="CY8" s="352"/>
      <c r="CZ8" s="352"/>
      <c r="DA8" s="346"/>
      <c r="DB8" s="350"/>
      <c r="DC8" s="351"/>
      <c r="DD8" s="352"/>
      <c r="DE8" s="352"/>
      <c r="DF8" s="346"/>
      <c r="DG8" s="350"/>
      <c r="DH8" s="351"/>
      <c r="DI8" s="352"/>
      <c r="DJ8" s="352"/>
      <c r="DK8" s="346"/>
      <c r="DL8" s="350"/>
      <c r="DM8" s="351"/>
      <c r="DN8" s="352"/>
      <c r="DO8" s="352"/>
      <c r="DP8" s="346"/>
      <c r="DQ8" s="350"/>
      <c r="DR8" s="351"/>
      <c r="DS8" s="352"/>
      <c r="DT8" s="352"/>
      <c r="DU8" s="346"/>
      <c r="DV8" s="350"/>
      <c r="DW8" s="351"/>
      <c r="DX8" s="352"/>
      <c r="DY8" s="352"/>
      <c r="DZ8" s="346"/>
      <c r="EA8" s="350"/>
      <c r="EB8" s="351"/>
      <c r="EC8" s="352"/>
      <c r="ED8" s="352"/>
      <c r="EE8" s="346"/>
      <c r="EF8" s="350"/>
      <c r="EG8" s="351"/>
      <c r="EH8" s="352"/>
      <c r="EI8" s="352"/>
      <c r="EJ8" s="346"/>
      <c r="EK8" s="350"/>
      <c r="EL8" s="351"/>
      <c r="EM8" s="352"/>
      <c r="EN8" s="352"/>
      <c r="EO8" s="346"/>
      <c r="EP8" s="350"/>
      <c r="EQ8" s="351"/>
      <c r="ER8" s="352"/>
      <c r="ES8" s="352"/>
      <c r="ET8" s="346"/>
      <c r="EU8" s="350"/>
      <c r="EV8" s="351"/>
      <c r="EW8" s="352"/>
      <c r="EX8" s="352"/>
      <c r="EY8" s="346"/>
      <c r="EZ8" s="350"/>
      <c r="FA8" s="351"/>
      <c r="FB8" s="352"/>
      <c r="FC8" s="352"/>
      <c r="FD8" s="346"/>
      <c r="FE8" s="350"/>
      <c r="FF8" s="351"/>
      <c r="FG8" s="352"/>
      <c r="FH8" s="352"/>
      <c r="FI8" s="346"/>
      <c r="FJ8" s="350"/>
      <c r="FK8" s="351"/>
      <c r="FL8" s="352"/>
      <c r="FM8" s="352"/>
      <c r="FN8" s="346"/>
      <c r="FO8" s="350"/>
      <c r="FP8" s="351"/>
      <c r="FQ8" s="352"/>
      <c r="FR8" s="352"/>
      <c r="FS8" s="346"/>
      <c r="FT8" s="350"/>
      <c r="FU8" s="351"/>
      <c r="FV8" s="352"/>
      <c r="FW8" s="352"/>
      <c r="FX8" s="346"/>
      <c r="FY8" s="350"/>
      <c r="FZ8" s="351"/>
      <c r="GA8" s="352"/>
      <c r="GB8" s="352"/>
      <c r="GC8" s="346"/>
      <c r="GD8" s="350"/>
      <c r="GE8" s="351"/>
      <c r="GF8" s="352"/>
      <c r="GG8" s="352"/>
      <c r="GH8" s="346"/>
      <c r="GI8" s="350"/>
      <c r="GJ8" s="351"/>
      <c r="GK8" s="352"/>
      <c r="GL8" s="352"/>
      <c r="GM8" s="346"/>
      <c r="GN8" s="350"/>
      <c r="GO8" s="351"/>
      <c r="GP8" s="352"/>
      <c r="GQ8" s="352"/>
      <c r="GR8" s="346"/>
      <c r="GS8" s="350"/>
      <c r="GT8" s="351"/>
      <c r="GU8" s="352"/>
      <c r="GV8" s="352"/>
      <c r="GW8" s="346"/>
      <c r="GX8" s="350"/>
      <c r="GY8" s="351"/>
      <c r="GZ8" s="352"/>
      <c r="HA8" s="352"/>
      <c r="HB8" s="346"/>
      <c r="HC8" s="350"/>
      <c r="HD8" s="351"/>
      <c r="HE8" s="352"/>
      <c r="HF8" s="352"/>
      <c r="HG8" s="346"/>
      <c r="HH8" s="350"/>
      <c r="HI8" s="351"/>
      <c r="HJ8" s="352"/>
      <c r="HK8" s="352"/>
      <c r="HL8" s="346"/>
      <c r="HM8" s="350"/>
      <c r="HN8" s="351"/>
      <c r="HO8" s="352"/>
      <c r="HP8" s="352"/>
      <c r="HQ8" s="346"/>
      <c r="HR8" s="350"/>
      <c r="HS8" s="351"/>
      <c r="HT8" s="352"/>
      <c r="HU8" s="352"/>
      <c r="HV8" s="346"/>
      <c r="HW8" s="350"/>
      <c r="HX8" s="351"/>
      <c r="HY8" s="352"/>
      <c r="HZ8" s="352"/>
      <c r="IA8" s="346"/>
      <c r="IB8" s="350"/>
      <c r="IC8" s="351"/>
      <c r="ID8" s="352"/>
      <c r="IE8" s="352"/>
      <c r="IF8" s="346"/>
      <c r="IG8" s="350"/>
      <c r="IH8" s="351"/>
      <c r="II8" s="352"/>
      <c r="IJ8" s="352"/>
      <c r="IK8" s="346"/>
      <c r="IL8" s="350"/>
      <c r="IM8" s="351"/>
      <c r="IN8" s="352"/>
      <c r="IO8" s="352"/>
      <c r="IP8" s="346"/>
      <c r="IQ8" s="350"/>
      <c r="IR8" s="351"/>
      <c r="IS8" s="352"/>
      <c r="IT8" s="352"/>
      <c r="IU8" s="346"/>
      <c r="IV8" s="350"/>
    </row>
    <row r="9" spans="1:256" s="353" customFormat="1" x14ac:dyDescent="0.2">
      <c r="A9" s="350">
        <v>7</v>
      </c>
      <c r="B9" s="351" t="s">
        <v>330</v>
      </c>
      <c r="C9" s="352">
        <v>37.5</v>
      </c>
      <c r="D9" s="352">
        <v>5</v>
      </c>
      <c r="E9" s="346"/>
      <c r="F9" s="350">
        <v>7</v>
      </c>
      <c r="G9" s="351" t="s">
        <v>2590</v>
      </c>
      <c r="H9" s="352">
        <v>83.333333333333329</v>
      </c>
      <c r="I9" s="352">
        <v>6.5</v>
      </c>
      <c r="J9" s="346"/>
      <c r="K9" s="350">
        <v>7</v>
      </c>
      <c r="L9" s="351" t="s">
        <v>432</v>
      </c>
      <c r="M9" s="352">
        <v>63.157894736842103</v>
      </c>
      <c r="N9" s="352">
        <v>3.1052631578947367</v>
      </c>
      <c r="O9" s="346"/>
      <c r="P9" s="350">
        <v>7</v>
      </c>
      <c r="Q9" s="351" t="s">
        <v>347</v>
      </c>
      <c r="R9" s="352">
        <v>57.142857142857146</v>
      </c>
      <c r="S9" s="352">
        <v>4</v>
      </c>
      <c r="T9" s="346"/>
      <c r="U9" s="343">
        <v>7</v>
      </c>
      <c r="V9" s="344" t="s">
        <v>342</v>
      </c>
      <c r="W9" s="345">
        <v>100</v>
      </c>
      <c r="X9" s="345">
        <v>2</v>
      </c>
      <c r="Y9" s="346"/>
      <c r="Z9" s="350">
        <v>7</v>
      </c>
      <c r="AA9" s="351" t="s">
        <v>376</v>
      </c>
      <c r="AB9" s="352">
        <v>57.142857142857146</v>
      </c>
      <c r="AC9" s="352">
        <v>3.8571428571428572</v>
      </c>
      <c r="AD9" s="346"/>
      <c r="AE9" s="350">
        <v>7</v>
      </c>
      <c r="AF9" s="351" t="s">
        <v>2602</v>
      </c>
      <c r="AG9" s="352">
        <v>60</v>
      </c>
      <c r="AH9" s="352">
        <v>4.8</v>
      </c>
      <c r="AI9" s="346"/>
      <c r="AJ9" s="350">
        <v>7</v>
      </c>
      <c r="AK9" s="351" t="s">
        <v>2661</v>
      </c>
      <c r="AL9" s="352">
        <v>33.333333333333336</v>
      </c>
      <c r="AM9" s="352">
        <v>5</v>
      </c>
      <c r="AN9" s="346"/>
      <c r="AO9" s="343">
        <v>7</v>
      </c>
      <c r="AP9" s="344" t="s">
        <v>418</v>
      </c>
      <c r="AQ9" s="345">
        <v>100</v>
      </c>
      <c r="AR9" s="345">
        <v>2.75</v>
      </c>
      <c r="AS9" s="346"/>
      <c r="AT9" s="350">
        <v>7</v>
      </c>
      <c r="AU9" s="351" t="s">
        <v>426</v>
      </c>
      <c r="AV9" s="352">
        <v>66.666666666666671</v>
      </c>
      <c r="AW9" s="352">
        <v>4</v>
      </c>
      <c r="AX9" s="346"/>
      <c r="AY9" s="343">
        <v>7</v>
      </c>
      <c r="AZ9" s="344" t="s">
        <v>364</v>
      </c>
      <c r="BA9" s="345">
        <v>100</v>
      </c>
      <c r="BB9" s="345">
        <v>5.333333333333333</v>
      </c>
      <c r="BC9" s="346"/>
      <c r="BD9" s="343">
        <v>7</v>
      </c>
      <c r="BE9" s="344" t="s">
        <v>2579</v>
      </c>
      <c r="BF9" s="345">
        <v>100</v>
      </c>
      <c r="BG9" s="345">
        <v>6</v>
      </c>
      <c r="BH9" s="346"/>
      <c r="BI9" s="350"/>
      <c r="BJ9" s="351"/>
      <c r="BK9" s="352"/>
      <c r="BL9" s="352"/>
      <c r="BM9" s="346"/>
      <c r="BN9" s="350">
        <v>7</v>
      </c>
      <c r="BO9" s="351" t="s">
        <v>448</v>
      </c>
      <c r="BP9" s="352">
        <v>33.333333333333336</v>
      </c>
      <c r="BQ9" s="352">
        <v>6</v>
      </c>
      <c r="BR9" s="346"/>
      <c r="BS9" s="347">
        <v>7</v>
      </c>
      <c r="BT9" s="348" t="s">
        <v>2722</v>
      </c>
      <c r="BU9" s="349">
        <v>100</v>
      </c>
      <c r="BV9" s="349">
        <v>6</v>
      </c>
      <c r="BW9" s="346"/>
      <c r="BX9" s="343">
        <v>7</v>
      </c>
      <c r="BY9" s="344" t="s">
        <v>441</v>
      </c>
      <c r="BZ9" s="345">
        <v>100</v>
      </c>
      <c r="CA9" s="345">
        <v>8</v>
      </c>
      <c r="CB9" s="346"/>
      <c r="CC9" s="350"/>
      <c r="CD9" s="351"/>
      <c r="CE9" s="352"/>
      <c r="CF9" s="352"/>
      <c r="CG9" s="346"/>
      <c r="CH9" s="350"/>
      <c r="CI9" s="351"/>
      <c r="CJ9" s="352"/>
      <c r="CK9" s="352"/>
      <c r="CL9" s="346"/>
      <c r="CM9" s="350"/>
      <c r="CN9" s="351"/>
      <c r="CO9" s="352"/>
      <c r="CP9" s="352"/>
      <c r="CQ9" s="346"/>
      <c r="CR9" s="350"/>
      <c r="CS9" s="351"/>
      <c r="CT9" s="352"/>
      <c r="CU9" s="352"/>
      <c r="CV9" s="346"/>
      <c r="CW9" s="350"/>
      <c r="CX9" s="351"/>
      <c r="CY9" s="352"/>
      <c r="CZ9" s="352"/>
      <c r="DA9" s="346"/>
      <c r="DB9" s="350"/>
      <c r="DC9" s="351"/>
      <c r="DD9" s="352"/>
      <c r="DE9" s="352"/>
      <c r="DF9" s="346"/>
      <c r="DG9" s="350"/>
      <c r="DH9" s="351"/>
      <c r="DI9" s="352"/>
      <c r="DJ9" s="352"/>
      <c r="DK9" s="346"/>
      <c r="DL9" s="350"/>
      <c r="DM9" s="351"/>
      <c r="DN9" s="352"/>
      <c r="DO9" s="352"/>
      <c r="DP9" s="346"/>
      <c r="DQ9" s="350"/>
      <c r="DR9" s="351"/>
      <c r="DS9" s="352"/>
      <c r="DT9" s="352"/>
      <c r="DU9" s="346"/>
      <c r="DV9" s="350"/>
      <c r="DW9" s="351"/>
      <c r="DX9" s="352"/>
      <c r="DY9" s="352"/>
      <c r="DZ9" s="346"/>
      <c r="EA9" s="350"/>
      <c r="EB9" s="351"/>
      <c r="EC9" s="352"/>
      <c r="ED9" s="352"/>
      <c r="EE9" s="346"/>
      <c r="EF9" s="350"/>
      <c r="EG9" s="351"/>
      <c r="EH9" s="352"/>
      <c r="EI9" s="352"/>
      <c r="EJ9" s="346"/>
      <c r="EK9" s="350"/>
      <c r="EL9" s="351"/>
      <c r="EM9" s="352"/>
      <c r="EN9" s="352"/>
      <c r="EO9" s="346"/>
      <c r="EP9" s="350"/>
      <c r="EQ9" s="351"/>
      <c r="ER9" s="352"/>
      <c r="ES9" s="352"/>
      <c r="ET9" s="346"/>
      <c r="EU9" s="350"/>
      <c r="EV9" s="351"/>
      <c r="EW9" s="352"/>
      <c r="EX9" s="352"/>
      <c r="EY9" s="346"/>
      <c r="EZ9" s="350"/>
      <c r="FA9" s="351"/>
      <c r="FB9" s="352"/>
      <c r="FC9" s="352"/>
      <c r="FD9" s="346"/>
      <c r="FE9" s="350"/>
      <c r="FF9" s="351"/>
      <c r="FG9" s="352"/>
      <c r="FH9" s="352"/>
      <c r="FI9" s="346"/>
      <c r="FJ9" s="350"/>
      <c r="FK9" s="351"/>
      <c r="FL9" s="352"/>
      <c r="FM9" s="352"/>
      <c r="FN9" s="346"/>
      <c r="FO9" s="350"/>
      <c r="FP9" s="351"/>
      <c r="FQ9" s="352"/>
      <c r="FR9" s="352"/>
      <c r="FS9" s="346"/>
      <c r="FT9" s="350"/>
      <c r="FU9" s="351"/>
      <c r="FV9" s="352"/>
      <c r="FW9" s="352"/>
      <c r="FX9" s="346"/>
      <c r="FY9" s="350"/>
      <c r="FZ9" s="351"/>
      <c r="GA9" s="352"/>
      <c r="GB9" s="352"/>
      <c r="GC9" s="346"/>
      <c r="GD9" s="350"/>
      <c r="GE9" s="351"/>
      <c r="GF9" s="352"/>
      <c r="GG9" s="352"/>
      <c r="GH9" s="346"/>
      <c r="GI9" s="350"/>
      <c r="GJ9" s="351"/>
      <c r="GK9" s="352"/>
      <c r="GL9" s="352"/>
      <c r="GM9" s="346"/>
      <c r="GN9" s="350"/>
      <c r="GO9" s="351"/>
      <c r="GP9" s="352"/>
      <c r="GQ9" s="352"/>
      <c r="GR9" s="346"/>
      <c r="GS9" s="350"/>
      <c r="GT9" s="351"/>
      <c r="GU9" s="352"/>
      <c r="GV9" s="352"/>
      <c r="GW9" s="346"/>
      <c r="GX9" s="350"/>
      <c r="GY9" s="351"/>
      <c r="GZ9" s="352"/>
      <c r="HA9" s="352"/>
      <c r="HB9" s="346"/>
      <c r="HC9" s="350"/>
      <c r="HD9" s="351"/>
      <c r="HE9" s="352"/>
      <c r="HF9" s="352"/>
      <c r="HG9" s="346"/>
      <c r="HH9" s="350"/>
      <c r="HI9" s="351"/>
      <c r="HJ9" s="352"/>
      <c r="HK9" s="352"/>
      <c r="HL9" s="346"/>
      <c r="HM9" s="350"/>
      <c r="HN9" s="351"/>
      <c r="HO9" s="352"/>
      <c r="HP9" s="352"/>
      <c r="HQ9" s="346"/>
      <c r="HR9" s="350"/>
      <c r="HS9" s="351"/>
      <c r="HT9" s="352"/>
      <c r="HU9" s="352"/>
      <c r="HV9" s="346"/>
      <c r="HW9" s="350"/>
      <c r="HX9" s="351"/>
      <c r="HY9" s="352"/>
      <c r="HZ9" s="352"/>
      <c r="IA9" s="346"/>
      <c r="IB9" s="350"/>
      <c r="IC9" s="351"/>
      <c r="ID9" s="352"/>
      <c r="IE9" s="352"/>
      <c r="IF9" s="346"/>
      <c r="IG9" s="350"/>
      <c r="IH9" s="351"/>
      <c r="II9" s="352"/>
      <c r="IJ9" s="352"/>
      <c r="IK9" s="346"/>
      <c r="IL9" s="350"/>
      <c r="IM9" s="351"/>
      <c r="IN9" s="352"/>
      <c r="IO9" s="352"/>
      <c r="IP9" s="346"/>
      <c r="IQ9" s="350"/>
      <c r="IR9" s="351"/>
      <c r="IS9" s="352"/>
      <c r="IT9" s="352"/>
      <c r="IU9" s="346"/>
      <c r="IV9" s="350"/>
    </row>
    <row r="10" spans="1:256" s="353" customFormat="1" x14ac:dyDescent="0.2">
      <c r="A10" s="350">
        <v>8</v>
      </c>
      <c r="B10" s="351" t="s">
        <v>2632</v>
      </c>
      <c r="C10" s="352">
        <v>62.5</v>
      </c>
      <c r="D10" s="352">
        <v>4.3125</v>
      </c>
      <c r="E10" s="346"/>
      <c r="F10" s="343">
        <v>8</v>
      </c>
      <c r="G10" s="344" t="s">
        <v>329</v>
      </c>
      <c r="H10" s="345">
        <v>100</v>
      </c>
      <c r="I10" s="345">
        <v>4.166666666666667</v>
      </c>
      <c r="J10" s="346"/>
      <c r="K10" s="350">
        <v>8</v>
      </c>
      <c r="L10" s="351" t="s">
        <v>357</v>
      </c>
      <c r="M10" s="352">
        <v>63.157894736842103</v>
      </c>
      <c r="N10" s="352">
        <v>3.0526315789473686</v>
      </c>
      <c r="O10" s="346"/>
      <c r="P10" s="350">
        <v>8</v>
      </c>
      <c r="Q10" s="351" t="s">
        <v>342</v>
      </c>
      <c r="R10" s="352">
        <v>42.857142857142854</v>
      </c>
      <c r="S10" s="352">
        <v>4</v>
      </c>
      <c r="T10" s="346"/>
      <c r="U10" s="343">
        <v>8</v>
      </c>
      <c r="V10" s="344" t="s">
        <v>350</v>
      </c>
      <c r="W10" s="345">
        <v>100</v>
      </c>
      <c r="X10" s="345">
        <v>1</v>
      </c>
      <c r="Y10" s="346"/>
      <c r="Z10" s="343">
        <v>8</v>
      </c>
      <c r="AA10" s="344" t="s">
        <v>347</v>
      </c>
      <c r="AB10" s="345">
        <v>100</v>
      </c>
      <c r="AC10" s="345">
        <v>3.7857142857142856</v>
      </c>
      <c r="AD10" s="346"/>
      <c r="AE10" s="350">
        <v>8</v>
      </c>
      <c r="AF10" s="351" t="s">
        <v>412</v>
      </c>
      <c r="AG10" s="352">
        <v>60</v>
      </c>
      <c r="AH10" s="352">
        <v>4.5999999999999996</v>
      </c>
      <c r="AI10" s="346"/>
      <c r="AJ10" s="350">
        <v>8</v>
      </c>
      <c r="AK10" s="351" t="s">
        <v>347</v>
      </c>
      <c r="AL10" s="352">
        <v>66.666666666666671</v>
      </c>
      <c r="AM10" s="352">
        <v>5</v>
      </c>
      <c r="AN10" s="346"/>
      <c r="AO10" s="343">
        <v>8</v>
      </c>
      <c r="AP10" s="344" t="s">
        <v>421</v>
      </c>
      <c r="AQ10" s="345">
        <v>100</v>
      </c>
      <c r="AR10" s="345">
        <v>2.25</v>
      </c>
      <c r="AS10" s="346"/>
      <c r="AT10" s="350">
        <v>8</v>
      </c>
      <c r="AU10" s="351" t="s">
        <v>437</v>
      </c>
      <c r="AV10" s="352">
        <v>33.333333333333336</v>
      </c>
      <c r="AW10" s="352">
        <v>3.3333333333333335</v>
      </c>
      <c r="AX10" s="346"/>
      <c r="AY10" s="350">
        <v>8</v>
      </c>
      <c r="AZ10" s="351" t="s">
        <v>2639</v>
      </c>
      <c r="BA10" s="352">
        <v>66.666666666666671</v>
      </c>
      <c r="BB10" s="352">
        <v>4</v>
      </c>
      <c r="BC10" s="346"/>
      <c r="BD10" s="343">
        <v>8</v>
      </c>
      <c r="BE10" s="344" t="s">
        <v>355</v>
      </c>
      <c r="BF10" s="345">
        <v>100</v>
      </c>
      <c r="BG10" s="345">
        <v>4</v>
      </c>
      <c r="BH10" s="346"/>
      <c r="BI10" s="350"/>
      <c r="BJ10" s="351"/>
      <c r="BK10" s="352"/>
      <c r="BL10" s="352"/>
      <c r="BM10" s="346"/>
      <c r="BN10" s="350">
        <v>8</v>
      </c>
      <c r="BO10" s="351" t="s">
        <v>343</v>
      </c>
      <c r="BP10" s="352">
        <v>66.666666666666671</v>
      </c>
      <c r="BQ10" s="352">
        <v>6</v>
      </c>
      <c r="BR10" s="346"/>
      <c r="BS10" s="343">
        <v>8</v>
      </c>
      <c r="BT10" s="344" t="s">
        <v>394</v>
      </c>
      <c r="BU10" s="345">
        <v>100</v>
      </c>
      <c r="BV10" s="345">
        <v>4</v>
      </c>
      <c r="BW10" s="346"/>
      <c r="BX10" s="343">
        <v>8</v>
      </c>
      <c r="BY10" s="344" t="s">
        <v>394</v>
      </c>
      <c r="BZ10" s="345">
        <v>100</v>
      </c>
      <c r="CA10" s="345">
        <v>6</v>
      </c>
      <c r="CB10" s="346"/>
      <c r="CC10" s="350"/>
      <c r="CD10" s="351"/>
      <c r="CE10" s="352"/>
      <c r="CF10" s="352"/>
      <c r="CG10" s="346"/>
      <c r="CH10" s="350"/>
      <c r="CI10" s="351"/>
      <c r="CJ10" s="352"/>
      <c r="CK10" s="352"/>
      <c r="CL10" s="346"/>
      <c r="CM10" s="350"/>
      <c r="CN10" s="351"/>
      <c r="CO10" s="352"/>
      <c r="CP10" s="352"/>
      <c r="CQ10" s="346"/>
      <c r="CR10" s="350"/>
      <c r="CS10" s="351"/>
      <c r="CT10" s="352"/>
      <c r="CU10" s="352"/>
      <c r="CV10" s="346"/>
      <c r="CW10" s="350"/>
      <c r="CX10" s="351"/>
      <c r="CY10" s="352"/>
      <c r="CZ10" s="352"/>
      <c r="DA10" s="346"/>
      <c r="DB10" s="350"/>
      <c r="DC10" s="351"/>
      <c r="DD10" s="352"/>
      <c r="DE10" s="352"/>
      <c r="DF10" s="346"/>
      <c r="DG10" s="350"/>
      <c r="DH10" s="351"/>
      <c r="DI10" s="352"/>
      <c r="DJ10" s="352"/>
      <c r="DK10" s="346"/>
      <c r="DL10" s="350"/>
      <c r="DM10" s="351"/>
      <c r="DN10" s="352"/>
      <c r="DO10" s="352"/>
      <c r="DP10" s="346"/>
      <c r="DQ10" s="350"/>
      <c r="DR10" s="351"/>
      <c r="DS10" s="352"/>
      <c r="DT10" s="352"/>
      <c r="DU10" s="346"/>
      <c r="DV10" s="350"/>
      <c r="DW10" s="351"/>
      <c r="DX10" s="352"/>
      <c r="DY10" s="352"/>
      <c r="DZ10" s="346"/>
      <c r="EA10" s="350"/>
      <c r="EB10" s="351"/>
      <c r="EC10" s="352"/>
      <c r="ED10" s="352"/>
      <c r="EE10" s="346"/>
      <c r="EF10" s="350"/>
      <c r="EG10" s="351"/>
      <c r="EH10" s="352"/>
      <c r="EI10" s="352"/>
      <c r="EJ10" s="346"/>
      <c r="EK10" s="350"/>
      <c r="EL10" s="351"/>
      <c r="EM10" s="352"/>
      <c r="EN10" s="352"/>
      <c r="EO10" s="346"/>
      <c r="EP10" s="350"/>
      <c r="EQ10" s="351"/>
      <c r="ER10" s="352"/>
      <c r="ES10" s="352"/>
      <c r="ET10" s="346"/>
      <c r="EU10" s="350"/>
      <c r="EV10" s="351"/>
      <c r="EW10" s="352"/>
      <c r="EX10" s="352"/>
      <c r="EY10" s="346"/>
      <c r="EZ10" s="350"/>
      <c r="FA10" s="351"/>
      <c r="FB10" s="352"/>
      <c r="FC10" s="352"/>
      <c r="FD10" s="346"/>
      <c r="FE10" s="350"/>
      <c r="FF10" s="351"/>
      <c r="FG10" s="352"/>
      <c r="FH10" s="352"/>
      <c r="FI10" s="346"/>
      <c r="FJ10" s="350"/>
      <c r="FK10" s="351"/>
      <c r="FL10" s="352"/>
      <c r="FM10" s="352"/>
      <c r="FN10" s="346"/>
      <c r="FO10" s="350"/>
      <c r="FP10" s="351"/>
      <c r="FQ10" s="352"/>
      <c r="FR10" s="352"/>
      <c r="FS10" s="346"/>
      <c r="FT10" s="350"/>
      <c r="FU10" s="351"/>
      <c r="FV10" s="352"/>
      <c r="FW10" s="352"/>
      <c r="FX10" s="346"/>
      <c r="FY10" s="350"/>
      <c r="FZ10" s="351"/>
      <c r="GA10" s="352"/>
      <c r="GB10" s="352"/>
      <c r="GC10" s="346"/>
      <c r="GD10" s="350"/>
      <c r="GE10" s="351"/>
      <c r="GF10" s="352"/>
      <c r="GG10" s="352"/>
      <c r="GH10" s="346"/>
      <c r="GI10" s="350"/>
      <c r="GJ10" s="351"/>
      <c r="GK10" s="352"/>
      <c r="GL10" s="352"/>
      <c r="GM10" s="346"/>
      <c r="GN10" s="350"/>
      <c r="GO10" s="351"/>
      <c r="GP10" s="352"/>
      <c r="GQ10" s="352"/>
      <c r="GR10" s="346"/>
      <c r="GS10" s="350"/>
      <c r="GT10" s="351"/>
      <c r="GU10" s="352"/>
      <c r="GV10" s="352"/>
      <c r="GW10" s="346"/>
      <c r="GX10" s="350"/>
      <c r="GY10" s="351"/>
      <c r="GZ10" s="352"/>
      <c r="HA10" s="352"/>
      <c r="HB10" s="346"/>
      <c r="HC10" s="350"/>
      <c r="HD10" s="351"/>
      <c r="HE10" s="352"/>
      <c r="HF10" s="352"/>
      <c r="HG10" s="346"/>
      <c r="HH10" s="350"/>
      <c r="HI10" s="351"/>
      <c r="HJ10" s="352"/>
      <c r="HK10" s="352"/>
      <c r="HL10" s="346"/>
      <c r="HM10" s="350"/>
      <c r="HN10" s="351"/>
      <c r="HO10" s="352"/>
      <c r="HP10" s="352"/>
      <c r="HQ10" s="346"/>
      <c r="HR10" s="350"/>
      <c r="HS10" s="351"/>
      <c r="HT10" s="352"/>
      <c r="HU10" s="352"/>
      <c r="HV10" s="346"/>
      <c r="HW10" s="350"/>
      <c r="HX10" s="351"/>
      <c r="HY10" s="352"/>
      <c r="HZ10" s="352"/>
      <c r="IA10" s="346"/>
      <c r="IB10" s="350"/>
      <c r="IC10" s="351"/>
      <c r="ID10" s="352"/>
      <c r="IE10" s="352"/>
      <c r="IF10" s="346"/>
      <c r="IG10" s="350"/>
      <c r="IH10" s="351"/>
      <c r="II10" s="352"/>
      <c r="IJ10" s="352"/>
      <c r="IK10" s="346"/>
      <c r="IL10" s="350"/>
      <c r="IM10" s="351"/>
      <c r="IN10" s="352"/>
      <c r="IO10" s="352"/>
      <c r="IP10" s="346"/>
      <c r="IQ10" s="350"/>
      <c r="IR10" s="351"/>
      <c r="IS10" s="352"/>
      <c r="IT10" s="352"/>
      <c r="IU10" s="346"/>
      <c r="IV10" s="350"/>
    </row>
    <row r="11" spans="1:256" s="353" customFormat="1" x14ac:dyDescent="0.2">
      <c r="A11" s="350">
        <v>9</v>
      </c>
      <c r="B11" s="351" t="s">
        <v>599</v>
      </c>
      <c r="C11" s="352">
        <v>37.5</v>
      </c>
      <c r="D11" s="352">
        <v>3.9375</v>
      </c>
      <c r="E11" s="346"/>
      <c r="F11" s="350">
        <v>9</v>
      </c>
      <c r="G11" s="351" t="s">
        <v>326</v>
      </c>
      <c r="H11" s="352">
        <v>33.333333333333336</v>
      </c>
      <c r="I11" s="352">
        <v>3.8333333333333335</v>
      </c>
      <c r="J11" s="346"/>
      <c r="K11" s="350">
        <v>9</v>
      </c>
      <c r="L11" s="351" t="s">
        <v>3151</v>
      </c>
      <c r="M11" s="352">
        <v>68.421052631578945</v>
      </c>
      <c r="N11" s="352">
        <v>3</v>
      </c>
      <c r="O11" s="346"/>
      <c r="P11" s="350">
        <v>9</v>
      </c>
      <c r="Q11" s="351" t="s">
        <v>364</v>
      </c>
      <c r="R11" s="352">
        <v>57.142857142857146</v>
      </c>
      <c r="S11" s="352">
        <v>3.4285714285714284</v>
      </c>
      <c r="T11" s="346"/>
      <c r="U11" s="343">
        <v>9</v>
      </c>
      <c r="V11" s="344" t="s">
        <v>391</v>
      </c>
      <c r="W11" s="345">
        <v>100</v>
      </c>
      <c r="X11" s="345">
        <v>1</v>
      </c>
      <c r="Y11" s="346"/>
      <c r="Z11" s="350">
        <v>9</v>
      </c>
      <c r="AA11" s="351" t="s">
        <v>425</v>
      </c>
      <c r="AB11" s="352">
        <v>14.285714285714286</v>
      </c>
      <c r="AC11" s="352">
        <v>2.5714285714285716</v>
      </c>
      <c r="AD11" s="346"/>
      <c r="AE11" s="350">
        <v>9</v>
      </c>
      <c r="AF11" s="351" t="s">
        <v>375</v>
      </c>
      <c r="AG11" s="352">
        <v>40</v>
      </c>
      <c r="AH11" s="352">
        <v>4.4000000000000004</v>
      </c>
      <c r="AI11" s="346"/>
      <c r="AJ11" s="350">
        <v>9</v>
      </c>
      <c r="AK11" s="351" t="s">
        <v>368</v>
      </c>
      <c r="AL11" s="352">
        <v>66.666666666666671</v>
      </c>
      <c r="AM11" s="352">
        <v>4.333333333333333</v>
      </c>
      <c r="AN11" s="346"/>
      <c r="AO11" s="343">
        <v>9</v>
      </c>
      <c r="AP11" s="344" t="s">
        <v>328</v>
      </c>
      <c r="AQ11" s="345">
        <v>100</v>
      </c>
      <c r="AR11" s="345">
        <v>1.25</v>
      </c>
      <c r="AS11" s="346"/>
      <c r="AT11" s="350">
        <v>9</v>
      </c>
      <c r="AU11" s="351" t="s">
        <v>404</v>
      </c>
      <c r="AV11" s="352">
        <v>66.666666666666671</v>
      </c>
      <c r="AW11" s="352">
        <v>3</v>
      </c>
      <c r="AX11" s="346"/>
      <c r="AY11" s="350">
        <v>9</v>
      </c>
      <c r="AZ11" s="351" t="s">
        <v>423</v>
      </c>
      <c r="BA11" s="352">
        <v>33.333333333333336</v>
      </c>
      <c r="BB11" s="352">
        <v>4</v>
      </c>
      <c r="BC11" s="346"/>
      <c r="BD11" s="343">
        <v>9</v>
      </c>
      <c r="BE11" s="344" t="s">
        <v>347</v>
      </c>
      <c r="BF11" s="345">
        <v>100</v>
      </c>
      <c r="BG11" s="345">
        <v>3</v>
      </c>
      <c r="BH11" s="346"/>
      <c r="BI11" s="350"/>
      <c r="BJ11" s="351"/>
      <c r="BK11" s="352"/>
      <c r="BL11" s="352"/>
      <c r="BM11" s="346"/>
      <c r="BN11" s="350">
        <v>9</v>
      </c>
      <c r="BO11" s="351" t="s">
        <v>341</v>
      </c>
      <c r="BP11" s="352">
        <v>33.333333333333336</v>
      </c>
      <c r="BQ11" s="352">
        <v>5.333333333333333</v>
      </c>
      <c r="BR11" s="346"/>
      <c r="BS11" s="343">
        <v>9</v>
      </c>
      <c r="BT11" s="344" t="s">
        <v>2597</v>
      </c>
      <c r="BU11" s="345">
        <v>100</v>
      </c>
      <c r="BV11" s="345">
        <v>3</v>
      </c>
      <c r="BW11" s="346"/>
      <c r="BX11" s="343">
        <v>9</v>
      </c>
      <c r="BY11" s="344" t="s">
        <v>392</v>
      </c>
      <c r="BZ11" s="345">
        <v>100</v>
      </c>
      <c r="CA11" s="345">
        <v>6</v>
      </c>
      <c r="CB11" s="346"/>
      <c r="CC11" s="350"/>
      <c r="CD11" s="351"/>
      <c r="CE11" s="352"/>
      <c r="CF11" s="352"/>
      <c r="CG11" s="346"/>
      <c r="CH11" s="350"/>
      <c r="CI11" s="351"/>
      <c r="CJ11" s="352"/>
      <c r="CK11" s="352"/>
      <c r="CL11" s="346"/>
      <c r="CM11" s="350"/>
      <c r="CN11" s="351"/>
      <c r="CO11" s="352"/>
      <c r="CP11" s="352"/>
      <c r="CQ11" s="346"/>
      <c r="CR11" s="350"/>
      <c r="CS11" s="351"/>
      <c r="CT11" s="352"/>
      <c r="CU11" s="352"/>
      <c r="CV11" s="346"/>
      <c r="CW11" s="350"/>
      <c r="CX11" s="351"/>
      <c r="CY11" s="352"/>
      <c r="CZ11" s="352"/>
      <c r="DA11" s="346"/>
      <c r="DB11" s="350"/>
      <c r="DC11" s="351"/>
      <c r="DD11" s="352"/>
      <c r="DE11" s="352"/>
      <c r="DF11" s="346"/>
      <c r="DG11" s="350"/>
      <c r="DH11" s="351"/>
      <c r="DI11" s="352"/>
      <c r="DJ11" s="352"/>
      <c r="DK11" s="346"/>
      <c r="DL11" s="350"/>
      <c r="DM11" s="351"/>
      <c r="DN11" s="352"/>
      <c r="DO11" s="352"/>
      <c r="DP11" s="346"/>
      <c r="DQ11" s="350"/>
      <c r="DR11" s="351"/>
      <c r="DS11" s="352"/>
      <c r="DT11" s="352"/>
      <c r="DU11" s="346"/>
      <c r="DV11" s="350"/>
      <c r="DW11" s="351"/>
      <c r="DX11" s="352"/>
      <c r="DY11" s="352"/>
      <c r="DZ11" s="346"/>
      <c r="EA11" s="350"/>
      <c r="EB11" s="351"/>
      <c r="EC11" s="352"/>
      <c r="ED11" s="352"/>
      <c r="EE11" s="346"/>
      <c r="EF11" s="350"/>
      <c r="EG11" s="351"/>
      <c r="EH11" s="352"/>
      <c r="EI11" s="352"/>
      <c r="EJ11" s="346"/>
      <c r="EK11" s="350"/>
      <c r="EL11" s="351"/>
      <c r="EM11" s="352"/>
      <c r="EN11" s="352"/>
      <c r="EO11" s="346"/>
      <c r="EP11" s="350"/>
      <c r="EQ11" s="351"/>
      <c r="ER11" s="352"/>
      <c r="ES11" s="352"/>
      <c r="ET11" s="346"/>
      <c r="EU11" s="350"/>
      <c r="EV11" s="351"/>
      <c r="EW11" s="352"/>
      <c r="EX11" s="352"/>
      <c r="EY11" s="346"/>
      <c r="EZ11" s="350"/>
      <c r="FA11" s="351"/>
      <c r="FB11" s="352"/>
      <c r="FC11" s="352"/>
      <c r="FD11" s="346"/>
      <c r="FE11" s="350"/>
      <c r="FF11" s="351"/>
      <c r="FG11" s="352"/>
      <c r="FH11" s="352"/>
      <c r="FI11" s="346"/>
      <c r="FJ11" s="350"/>
      <c r="FK11" s="351"/>
      <c r="FL11" s="352"/>
      <c r="FM11" s="352"/>
      <c r="FN11" s="346"/>
      <c r="FO11" s="350"/>
      <c r="FP11" s="351"/>
      <c r="FQ11" s="352"/>
      <c r="FR11" s="352"/>
      <c r="FS11" s="346"/>
      <c r="FT11" s="350"/>
      <c r="FU11" s="351"/>
      <c r="FV11" s="352"/>
      <c r="FW11" s="352"/>
      <c r="FX11" s="346"/>
      <c r="FY11" s="350"/>
      <c r="FZ11" s="351"/>
      <c r="GA11" s="352"/>
      <c r="GB11" s="352"/>
      <c r="GC11" s="346"/>
      <c r="GD11" s="350"/>
      <c r="GE11" s="351"/>
      <c r="GF11" s="352"/>
      <c r="GG11" s="352"/>
      <c r="GH11" s="346"/>
      <c r="GI11" s="350"/>
      <c r="GJ11" s="351"/>
      <c r="GK11" s="352"/>
      <c r="GL11" s="352"/>
      <c r="GM11" s="346"/>
      <c r="GN11" s="350"/>
      <c r="GO11" s="351"/>
      <c r="GP11" s="352"/>
      <c r="GQ11" s="352"/>
      <c r="GR11" s="346"/>
      <c r="GS11" s="350"/>
      <c r="GT11" s="351"/>
      <c r="GU11" s="352"/>
      <c r="GV11" s="352"/>
      <c r="GW11" s="346"/>
      <c r="GX11" s="350"/>
      <c r="GY11" s="351"/>
      <c r="GZ11" s="352"/>
      <c r="HA11" s="352"/>
      <c r="HB11" s="346"/>
      <c r="HC11" s="350"/>
      <c r="HD11" s="351"/>
      <c r="HE11" s="352"/>
      <c r="HF11" s="352"/>
      <c r="HG11" s="346"/>
      <c r="HH11" s="350"/>
      <c r="HI11" s="351"/>
      <c r="HJ11" s="352"/>
      <c r="HK11" s="352"/>
      <c r="HL11" s="346"/>
      <c r="HM11" s="350"/>
      <c r="HN11" s="351"/>
      <c r="HO11" s="352"/>
      <c r="HP11" s="352"/>
      <c r="HQ11" s="346"/>
      <c r="HR11" s="350"/>
      <c r="HS11" s="351"/>
      <c r="HT11" s="352"/>
      <c r="HU11" s="352"/>
      <c r="HV11" s="346"/>
      <c r="HW11" s="350"/>
      <c r="HX11" s="351"/>
      <c r="HY11" s="352"/>
      <c r="HZ11" s="352"/>
      <c r="IA11" s="346"/>
      <c r="IB11" s="350"/>
      <c r="IC11" s="351"/>
      <c r="ID11" s="352"/>
      <c r="IE11" s="352"/>
      <c r="IF11" s="346"/>
      <c r="IG11" s="350"/>
      <c r="IH11" s="351"/>
      <c r="II11" s="352"/>
      <c r="IJ11" s="352"/>
      <c r="IK11" s="346"/>
      <c r="IL11" s="350"/>
      <c r="IM11" s="351"/>
      <c r="IN11" s="352"/>
      <c r="IO11" s="352"/>
      <c r="IP11" s="346"/>
      <c r="IQ11" s="350"/>
      <c r="IR11" s="351"/>
      <c r="IS11" s="352"/>
      <c r="IT11" s="352"/>
      <c r="IU11" s="346"/>
      <c r="IV11" s="350"/>
    </row>
    <row r="12" spans="1:256" s="353" customFormat="1" x14ac:dyDescent="0.2">
      <c r="A12" s="343">
        <v>10</v>
      </c>
      <c r="B12" s="344" t="s">
        <v>2591</v>
      </c>
      <c r="C12" s="345">
        <v>100</v>
      </c>
      <c r="D12" s="345">
        <v>3.6875</v>
      </c>
      <c r="E12" s="346"/>
      <c r="F12" s="354">
        <v>10</v>
      </c>
      <c r="G12" s="355" t="s">
        <v>2633</v>
      </c>
      <c r="H12" s="356">
        <v>83.333333333333329</v>
      </c>
      <c r="I12" s="356">
        <v>3.8333333333333335</v>
      </c>
      <c r="J12" s="346"/>
      <c r="K12" s="350">
        <v>10</v>
      </c>
      <c r="L12" s="351" t="s">
        <v>348</v>
      </c>
      <c r="M12" s="352">
        <v>47.368421052631582</v>
      </c>
      <c r="N12" s="352">
        <v>2.9736842105263159</v>
      </c>
      <c r="O12" s="346"/>
      <c r="P12" s="350">
        <v>10</v>
      </c>
      <c r="Q12" s="351" t="s">
        <v>380</v>
      </c>
      <c r="R12" s="352">
        <v>42.857142857142854</v>
      </c>
      <c r="S12" s="352">
        <v>3.2142857142857144</v>
      </c>
      <c r="T12" s="346"/>
      <c r="U12" s="343">
        <v>10</v>
      </c>
      <c r="V12" s="344" t="s">
        <v>1286</v>
      </c>
      <c r="W12" s="345">
        <v>100</v>
      </c>
      <c r="X12" s="345">
        <v>1</v>
      </c>
      <c r="Y12" s="346"/>
      <c r="Z12" s="350">
        <v>10</v>
      </c>
      <c r="AA12" s="351" t="s">
        <v>402</v>
      </c>
      <c r="AB12" s="352">
        <v>28.571428571428573</v>
      </c>
      <c r="AC12" s="352">
        <v>2.4285714285714284</v>
      </c>
      <c r="AD12" s="346"/>
      <c r="AE12" s="350">
        <v>10</v>
      </c>
      <c r="AF12" s="351" t="s">
        <v>2565</v>
      </c>
      <c r="AG12" s="352">
        <v>40</v>
      </c>
      <c r="AH12" s="352">
        <v>4.4000000000000004</v>
      </c>
      <c r="AI12" s="346"/>
      <c r="AJ12" s="350">
        <v>10</v>
      </c>
      <c r="AK12" s="351" t="s">
        <v>423</v>
      </c>
      <c r="AL12" s="352">
        <v>33.333333333333336</v>
      </c>
      <c r="AM12" s="352">
        <v>4</v>
      </c>
      <c r="AN12" s="346"/>
      <c r="AO12" s="354">
        <v>10</v>
      </c>
      <c r="AP12" s="355" t="s">
        <v>420</v>
      </c>
      <c r="AQ12" s="356">
        <v>50</v>
      </c>
      <c r="AR12" s="356">
        <v>1</v>
      </c>
      <c r="AS12" s="346"/>
      <c r="AT12" s="350">
        <v>10</v>
      </c>
      <c r="AU12" s="351" t="s">
        <v>597</v>
      </c>
      <c r="AV12" s="352">
        <v>66.666666666666671</v>
      </c>
      <c r="AW12" s="352">
        <v>2.8333333333333335</v>
      </c>
      <c r="AX12" s="346"/>
      <c r="AY12" s="350">
        <v>10</v>
      </c>
      <c r="AZ12" s="351" t="s">
        <v>398</v>
      </c>
      <c r="BA12" s="352">
        <v>33.333333333333336</v>
      </c>
      <c r="BB12" s="352">
        <v>3.6666666666666665</v>
      </c>
      <c r="BC12" s="346"/>
      <c r="BD12" s="343">
        <v>10</v>
      </c>
      <c r="BE12" s="344" t="s">
        <v>349</v>
      </c>
      <c r="BF12" s="345">
        <v>100</v>
      </c>
      <c r="BG12" s="345">
        <v>3</v>
      </c>
      <c r="BH12" s="346"/>
      <c r="BI12" s="350"/>
      <c r="BJ12" s="351"/>
      <c r="BK12" s="352"/>
      <c r="BL12" s="352"/>
      <c r="BM12" s="346"/>
      <c r="BN12" s="350">
        <v>10</v>
      </c>
      <c r="BO12" s="351" t="s">
        <v>2660</v>
      </c>
      <c r="BP12" s="352">
        <v>66.666666666666671</v>
      </c>
      <c r="BQ12" s="352">
        <v>5</v>
      </c>
      <c r="BR12" s="346"/>
      <c r="BS12" s="343">
        <v>10</v>
      </c>
      <c r="BT12" s="344" t="s">
        <v>400</v>
      </c>
      <c r="BU12" s="345">
        <v>100</v>
      </c>
      <c r="BV12" s="345">
        <v>1</v>
      </c>
      <c r="BW12" s="346"/>
      <c r="BX12" s="343">
        <v>10</v>
      </c>
      <c r="BY12" s="344" t="s">
        <v>2575</v>
      </c>
      <c r="BZ12" s="345">
        <v>100</v>
      </c>
      <c r="CA12" s="345">
        <v>5</v>
      </c>
      <c r="CB12" s="346"/>
      <c r="CC12" s="350"/>
      <c r="CD12" s="351"/>
      <c r="CE12" s="352"/>
      <c r="CF12" s="352"/>
      <c r="CG12" s="346"/>
      <c r="CH12" s="350"/>
      <c r="CI12" s="351"/>
      <c r="CJ12" s="352"/>
      <c r="CK12" s="352"/>
      <c r="CL12" s="346"/>
      <c r="CM12" s="350"/>
      <c r="CN12" s="351"/>
      <c r="CO12" s="352"/>
      <c r="CP12" s="352"/>
      <c r="CQ12" s="346"/>
      <c r="CR12" s="350"/>
      <c r="CS12" s="351"/>
      <c r="CT12" s="352"/>
      <c r="CU12" s="352"/>
      <c r="CV12" s="346"/>
      <c r="CW12" s="350"/>
      <c r="CX12" s="351"/>
      <c r="CY12" s="352"/>
      <c r="CZ12" s="352"/>
      <c r="DA12" s="346"/>
      <c r="DB12" s="350"/>
      <c r="DC12" s="351"/>
      <c r="DD12" s="352"/>
      <c r="DE12" s="352"/>
      <c r="DF12" s="346"/>
      <c r="DG12" s="350"/>
      <c r="DH12" s="351"/>
      <c r="DI12" s="352"/>
      <c r="DJ12" s="352"/>
      <c r="DK12" s="346"/>
      <c r="DL12" s="350"/>
      <c r="DM12" s="351"/>
      <c r="DN12" s="352"/>
      <c r="DO12" s="352"/>
      <c r="DP12" s="346"/>
      <c r="DQ12" s="350"/>
      <c r="DR12" s="351"/>
      <c r="DS12" s="352"/>
      <c r="DT12" s="352"/>
      <c r="DU12" s="346"/>
      <c r="DV12" s="350"/>
      <c r="DW12" s="351"/>
      <c r="DX12" s="352"/>
      <c r="DY12" s="352"/>
      <c r="DZ12" s="346"/>
      <c r="EA12" s="350"/>
      <c r="EB12" s="351"/>
      <c r="EC12" s="352"/>
      <c r="ED12" s="352"/>
      <c r="EE12" s="346"/>
      <c r="EF12" s="350"/>
      <c r="EG12" s="351"/>
      <c r="EH12" s="352"/>
      <c r="EI12" s="352"/>
      <c r="EJ12" s="346"/>
      <c r="EK12" s="350"/>
      <c r="EL12" s="351"/>
      <c r="EM12" s="352"/>
      <c r="EN12" s="352"/>
      <c r="EO12" s="346"/>
      <c r="EP12" s="350"/>
      <c r="EQ12" s="351"/>
      <c r="ER12" s="352"/>
      <c r="ES12" s="352"/>
      <c r="ET12" s="346"/>
      <c r="EU12" s="350"/>
      <c r="EV12" s="351"/>
      <c r="EW12" s="352"/>
      <c r="EX12" s="352"/>
      <c r="EY12" s="346"/>
      <c r="EZ12" s="350"/>
      <c r="FA12" s="351"/>
      <c r="FB12" s="352"/>
      <c r="FC12" s="352"/>
      <c r="FD12" s="346"/>
      <c r="FE12" s="350"/>
      <c r="FF12" s="351"/>
      <c r="FG12" s="352"/>
      <c r="FH12" s="352"/>
      <c r="FI12" s="346"/>
      <c r="FJ12" s="350"/>
      <c r="FK12" s="351"/>
      <c r="FL12" s="352"/>
      <c r="FM12" s="352"/>
      <c r="FN12" s="346"/>
      <c r="FO12" s="350"/>
      <c r="FP12" s="351"/>
      <c r="FQ12" s="352"/>
      <c r="FR12" s="352"/>
      <c r="FS12" s="346"/>
      <c r="FT12" s="350"/>
      <c r="FU12" s="351"/>
      <c r="FV12" s="352"/>
      <c r="FW12" s="352"/>
      <c r="FX12" s="346"/>
      <c r="FY12" s="350"/>
      <c r="FZ12" s="351"/>
      <c r="GA12" s="352"/>
      <c r="GB12" s="352"/>
      <c r="GC12" s="346"/>
      <c r="GD12" s="350"/>
      <c r="GE12" s="351"/>
      <c r="GF12" s="352"/>
      <c r="GG12" s="352"/>
      <c r="GH12" s="346"/>
      <c r="GI12" s="350"/>
      <c r="GJ12" s="351"/>
      <c r="GK12" s="352"/>
      <c r="GL12" s="352"/>
      <c r="GM12" s="346"/>
      <c r="GN12" s="350"/>
      <c r="GO12" s="351"/>
      <c r="GP12" s="352"/>
      <c r="GQ12" s="352"/>
      <c r="GR12" s="346"/>
      <c r="GS12" s="350"/>
      <c r="GT12" s="351"/>
      <c r="GU12" s="352"/>
      <c r="GV12" s="352"/>
      <c r="GW12" s="346"/>
      <c r="GX12" s="350"/>
      <c r="GY12" s="351"/>
      <c r="GZ12" s="352"/>
      <c r="HA12" s="352"/>
      <c r="HB12" s="346"/>
      <c r="HC12" s="350"/>
      <c r="HD12" s="351"/>
      <c r="HE12" s="352"/>
      <c r="HF12" s="352"/>
      <c r="HG12" s="346"/>
      <c r="HH12" s="350"/>
      <c r="HI12" s="351"/>
      <c r="HJ12" s="352"/>
      <c r="HK12" s="352"/>
      <c r="HL12" s="346"/>
      <c r="HM12" s="350"/>
      <c r="HN12" s="351"/>
      <c r="HO12" s="352"/>
      <c r="HP12" s="352"/>
      <c r="HQ12" s="346"/>
      <c r="HR12" s="350"/>
      <c r="HS12" s="351"/>
      <c r="HT12" s="352"/>
      <c r="HU12" s="352"/>
      <c r="HV12" s="346"/>
      <c r="HW12" s="350"/>
      <c r="HX12" s="351"/>
      <c r="HY12" s="352"/>
      <c r="HZ12" s="352"/>
      <c r="IA12" s="346"/>
      <c r="IB12" s="350"/>
      <c r="IC12" s="351"/>
      <c r="ID12" s="352"/>
      <c r="IE12" s="352"/>
      <c r="IF12" s="346"/>
      <c r="IG12" s="350"/>
      <c r="IH12" s="351"/>
      <c r="II12" s="352"/>
      <c r="IJ12" s="352"/>
      <c r="IK12" s="346"/>
      <c r="IL12" s="350"/>
      <c r="IM12" s="351"/>
      <c r="IN12" s="352"/>
      <c r="IO12" s="352"/>
      <c r="IP12" s="346"/>
      <c r="IQ12" s="350"/>
      <c r="IR12" s="351"/>
      <c r="IS12" s="352"/>
      <c r="IT12" s="352"/>
      <c r="IU12" s="346"/>
      <c r="IV12" s="350"/>
    </row>
    <row r="13" spans="1:256" s="353" customFormat="1" x14ac:dyDescent="0.2">
      <c r="A13" s="343">
        <v>11</v>
      </c>
      <c r="B13" s="344" t="s">
        <v>329</v>
      </c>
      <c r="C13" s="345">
        <v>100</v>
      </c>
      <c r="D13" s="345">
        <v>3.4375</v>
      </c>
      <c r="E13" s="346"/>
      <c r="F13" s="350">
        <v>11</v>
      </c>
      <c r="G13" s="351" t="s">
        <v>2632</v>
      </c>
      <c r="H13" s="352">
        <v>50</v>
      </c>
      <c r="I13" s="352">
        <v>1.8333333333333333</v>
      </c>
      <c r="J13" s="346"/>
      <c r="K13" s="350">
        <v>11</v>
      </c>
      <c r="L13" s="351" t="s">
        <v>437</v>
      </c>
      <c r="M13" s="352">
        <v>15.789473684210526</v>
      </c>
      <c r="N13" s="352">
        <v>2.5789473684210527</v>
      </c>
      <c r="O13" s="346"/>
      <c r="P13" s="350">
        <v>11</v>
      </c>
      <c r="Q13" s="351" t="s">
        <v>340</v>
      </c>
      <c r="R13" s="352">
        <v>57.142857142857146</v>
      </c>
      <c r="S13" s="352">
        <v>3</v>
      </c>
      <c r="T13" s="346"/>
      <c r="U13" s="347">
        <v>11</v>
      </c>
      <c r="V13" s="348" t="s">
        <v>475</v>
      </c>
      <c r="W13" s="349">
        <v>100</v>
      </c>
      <c r="X13" s="349">
        <v>0.5</v>
      </c>
      <c r="Y13" s="346"/>
      <c r="Z13" s="350">
        <v>11</v>
      </c>
      <c r="AA13" s="351" t="s">
        <v>2565</v>
      </c>
      <c r="AB13" s="352">
        <v>42.857142857142854</v>
      </c>
      <c r="AC13" s="352">
        <v>2.4285714285714284</v>
      </c>
      <c r="AD13" s="346"/>
      <c r="AE13" s="350">
        <v>11</v>
      </c>
      <c r="AF13" s="351" t="s">
        <v>342</v>
      </c>
      <c r="AG13" s="352">
        <v>60</v>
      </c>
      <c r="AH13" s="352">
        <v>3.9</v>
      </c>
      <c r="AI13" s="346"/>
      <c r="AJ13" s="350">
        <v>11</v>
      </c>
      <c r="AK13" s="351" t="s">
        <v>412</v>
      </c>
      <c r="AL13" s="352">
        <v>66.666666666666671</v>
      </c>
      <c r="AM13" s="352">
        <v>4</v>
      </c>
      <c r="AN13" s="346"/>
      <c r="AO13" s="354">
        <v>11</v>
      </c>
      <c r="AP13" s="355" t="s">
        <v>419</v>
      </c>
      <c r="AQ13" s="356">
        <v>50</v>
      </c>
      <c r="AR13" s="356">
        <v>1</v>
      </c>
      <c r="AS13" s="346"/>
      <c r="AT13" s="395">
        <v>11</v>
      </c>
      <c r="AU13" s="393" t="s">
        <v>2652</v>
      </c>
      <c r="AV13" s="396">
        <v>33.333333333333336</v>
      </c>
      <c r="AW13" s="396">
        <v>2.6666666666666665</v>
      </c>
      <c r="AX13" s="346"/>
      <c r="AY13" s="343">
        <v>11</v>
      </c>
      <c r="AZ13" s="344" t="s">
        <v>447</v>
      </c>
      <c r="BA13" s="345">
        <v>100</v>
      </c>
      <c r="BB13" s="345">
        <v>3.1666666666666665</v>
      </c>
      <c r="BC13" s="346"/>
      <c r="BD13" s="343">
        <v>11</v>
      </c>
      <c r="BE13" s="344" t="s">
        <v>593</v>
      </c>
      <c r="BF13" s="345">
        <v>100</v>
      </c>
      <c r="BG13" s="345">
        <v>3</v>
      </c>
      <c r="BH13" s="346"/>
      <c r="BI13" s="350"/>
      <c r="BJ13" s="351"/>
      <c r="BK13" s="352"/>
      <c r="BL13" s="352"/>
      <c r="BM13" s="346"/>
      <c r="BN13" s="350">
        <v>11</v>
      </c>
      <c r="BO13" s="351" t="s">
        <v>432</v>
      </c>
      <c r="BP13" s="352">
        <v>33.333333333333336</v>
      </c>
      <c r="BQ13" s="352">
        <v>5</v>
      </c>
      <c r="BR13" s="346"/>
      <c r="BS13" s="343">
        <v>11</v>
      </c>
      <c r="BT13" s="344" t="s">
        <v>423</v>
      </c>
      <c r="BU13" s="345">
        <v>100</v>
      </c>
      <c r="BV13" s="345">
        <v>1</v>
      </c>
      <c r="BW13" s="346"/>
      <c r="BX13" s="343">
        <v>11</v>
      </c>
      <c r="BY13" s="344" t="s">
        <v>364</v>
      </c>
      <c r="BZ13" s="345">
        <v>100</v>
      </c>
      <c r="CA13" s="345">
        <v>3</v>
      </c>
      <c r="CB13" s="346"/>
      <c r="CC13" s="350"/>
      <c r="CD13" s="351"/>
      <c r="CE13" s="352"/>
      <c r="CF13" s="352"/>
      <c r="CG13" s="346"/>
      <c r="CH13" s="350"/>
      <c r="CI13" s="351"/>
      <c r="CJ13" s="352"/>
      <c r="CK13" s="352"/>
      <c r="CL13" s="346"/>
      <c r="CM13" s="350"/>
      <c r="CN13" s="351"/>
      <c r="CO13" s="352"/>
      <c r="CP13" s="352"/>
      <c r="CQ13" s="346"/>
      <c r="CR13" s="350"/>
      <c r="CS13" s="351"/>
      <c r="CT13" s="352"/>
      <c r="CU13" s="352"/>
      <c r="CV13" s="346"/>
      <c r="CW13" s="350"/>
      <c r="CX13" s="351"/>
      <c r="CY13" s="352"/>
      <c r="CZ13" s="352"/>
      <c r="DA13" s="346"/>
      <c r="DB13" s="350"/>
      <c r="DC13" s="351"/>
      <c r="DD13" s="352"/>
      <c r="DE13" s="352"/>
      <c r="DF13" s="346"/>
      <c r="DG13" s="350"/>
      <c r="DH13" s="351"/>
      <c r="DI13" s="352"/>
      <c r="DJ13" s="352"/>
      <c r="DK13" s="346"/>
      <c r="DL13" s="350"/>
      <c r="DM13" s="351"/>
      <c r="DN13" s="352"/>
      <c r="DO13" s="352"/>
      <c r="DP13" s="346"/>
      <c r="DQ13" s="350"/>
      <c r="DR13" s="351"/>
      <c r="DS13" s="352"/>
      <c r="DT13" s="352"/>
      <c r="DU13" s="346"/>
      <c r="DV13" s="350"/>
      <c r="DW13" s="351"/>
      <c r="DX13" s="352"/>
      <c r="DY13" s="352"/>
      <c r="DZ13" s="346"/>
      <c r="EA13" s="350"/>
      <c r="EB13" s="351"/>
      <c r="EC13" s="352"/>
      <c r="ED13" s="352"/>
      <c r="EE13" s="346"/>
      <c r="EF13" s="350"/>
      <c r="EG13" s="351"/>
      <c r="EH13" s="352"/>
      <c r="EI13" s="352"/>
      <c r="EJ13" s="346"/>
      <c r="EK13" s="350"/>
      <c r="EL13" s="351"/>
      <c r="EM13" s="352"/>
      <c r="EN13" s="352"/>
      <c r="EO13" s="346"/>
      <c r="EP13" s="350"/>
      <c r="EQ13" s="351"/>
      <c r="ER13" s="352"/>
      <c r="ES13" s="352"/>
      <c r="ET13" s="346"/>
      <c r="EU13" s="350"/>
      <c r="EV13" s="351"/>
      <c r="EW13" s="352"/>
      <c r="EX13" s="352"/>
      <c r="EY13" s="346"/>
      <c r="EZ13" s="350"/>
      <c r="FA13" s="351"/>
      <c r="FB13" s="352"/>
      <c r="FC13" s="352"/>
      <c r="FD13" s="346"/>
      <c r="FE13" s="350"/>
      <c r="FF13" s="351"/>
      <c r="FG13" s="352"/>
      <c r="FH13" s="352"/>
      <c r="FI13" s="346"/>
      <c r="FJ13" s="350"/>
      <c r="FK13" s="351"/>
      <c r="FL13" s="352"/>
      <c r="FM13" s="352"/>
      <c r="FN13" s="346"/>
      <c r="FO13" s="350"/>
      <c r="FP13" s="351"/>
      <c r="FQ13" s="352"/>
      <c r="FR13" s="352"/>
      <c r="FS13" s="346"/>
      <c r="FT13" s="350"/>
      <c r="FU13" s="351"/>
      <c r="FV13" s="352"/>
      <c r="FW13" s="352"/>
      <c r="FX13" s="346"/>
      <c r="FY13" s="350"/>
      <c r="FZ13" s="351"/>
      <c r="GA13" s="352"/>
      <c r="GB13" s="352"/>
      <c r="GC13" s="346"/>
      <c r="GD13" s="350"/>
      <c r="GE13" s="351"/>
      <c r="GF13" s="352"/>
      <c r="GG13" s="352"/>
      <c r="GH13" s="346"/>
      <c r="GI13" s="350"/>
      <c r="GJ13" s="351"/>
      <c r="GK13" s="352"/>
      <c r="GL13" s="352"/>
      <c r="GM13" s="346"/>
      <c r="GN13" s="350"/>
      <c r="GO13" s="351"/>
      <c r="GP13" s="352"/>
      <c r="GQ13" s="352"/>
      <c r="GR13" s="346"/>
      <c r="GS13" s="350"/>
      <c r="GT13" s="351"/>
      <c r="GU13" s="352"/>
      <c r="GV13" s="352"/>
      <c r="GW13" s="346"/>
      <c r="GX13" s="350"/>
      <c r="GY13" s="351"/>
      <c r="GZ13" s="352"/>
      <c r="HA13" s="352"/>
      <c r="HB13" s="346"/>
      <c r="HC13" s="350"/>
      <c r="HD13" s="351"/>
      <c r="HE13" s="352"/>
      <c r="HF13" s="352"/>
      <c r="HG13" s="346"/>
      <c r="HH13" s="350"/>
      <c r="HI13" s="351"/>
      <c r="HJ13" s="352"/>
      <c r="HK13" s="352"/>
      <c r="HL13" s="346"/>
      <c r="HM13" s="350"/>
      <c r="HN13" s="351"/>
      <c r="HO13" s="352"/>
      <c r="HP13" s="352"/>
      <c r="HQ13" s="346"/>
      <c r="HR13" s="350"/>
      <c r="HS13" s="351"/>
      <c r="HT13" s="352"/>
      <c r="HU13" s="352"/>
      <c r="HV13" s="346"/>
      <c r="HW13" s="350"/>
      <c r="HX13" s="351"/>
      <c r="HY13" s="352"/>
      <c r="HZ13" s="352"/>
      <c r="IA13" s="346"/>
      <c r="IB13" s="350"/>
      <c r="IC13" s="351"/>
      <c r="ID13" s="352"/>
      <c r="IE13" s="352"/>
      <c r="IF13" s="346"/>
      <c r="IG13" s="350"/>
      <c r="IH13" s="351"/>
      <c r="II13" s="352"/>
      <c r="IJ13" s="352"/>
      <c r="IK13" s="346"/>
      <c r="IL13" s="350"/>
      <c r="IM13" s="351"/>
      <c r="IN13" s="352"/>
      <c r="IO13" s="352"/>
      <c r="IP13" s="346"/>
      <c r="IQ13" s="350"/>
      <c r="IR13" s="351"/>
      <c r="IS13" s="352"/>
      <c r="IT13" s="352"/>
      <c r="IU13" s="346"/>
      <c r="IV13" s="350"/>
    </row>
    <row r="14" spans="1:256" s="353" customFormat="1" x14ac:dyDescent="0.2">
      <c r="A14" s="357">
        <v>12</v>
      </c>
      <c r="B14" s="351" t="s">
        <v>328</v>
      </c>
      <c r="C14" s="358">
        <v>37.5</v>
      </c>
      <c r="D14" s="358">
        <v>0.75</v>
      </c>
      <c r="E14" s="346"/>
      <c r="F14" s="357">
        <v>12</v>
      </c>
      <c r="G14" s="351" t="s">
        <v>330</v>
      </c>
      <c r="H14" s="358">
        <v>66.666666666666671</v>
      </c>
      <c r="I14" s="358">
        <v>1.6666666666666667</v>
      </c>
      <c r="J14" s="346"/>
      <c r="K14" s="357">
        <v>12</v>
      </c>
      <c r="L14" s="351" t="s">
        <v>597</v>
      </c>
      <c r="M14" s="358">
        <v>52.631578947368418</v>
      </c>
      <c r="N14" s="358">
        <v>2.3684210526315788</v>
      </c>
      <c r="O14" s="346"/>
      <c r="P14" s="357">
        <v>12</v>
      </c>
      <c r="Q14" s="351" t="s">
        <v>2660</v>
      </c>
      <c r="R14" s="358">
        <v>14.285714285714286</v>
      </c>
      <c r="S14" s="358">
        <v>2.8571428571428572</v>
      </c>
      <c r="T14" s="346"/>
      <c r="U14" s="343">
        <v>12</v>
      </c>
      <c r="V14" s="344" t="s">
        <v>388</v>
      </c>
      <c r="W14" s="345">
        <v>100</v>
      </c>
      <c r="X14" s="345">
        <v>0.5</v>
      </c>
      <c r="Y14" s="346"/>
      <c r="Z14" s="357">
        <v>12</v>
      </c>
      <c r="AA14" s="351" t="s">
        <v>375</v>
      </c>
      <c r="AB14" s="358">
        <v>71.428571428571431</v>
      </c>
      <c r="AC14" s="358">
        <v>2.3571428571428572</v>
      </c>
      <c r="AD14" s="346"/>
      <c r="AE14" s="357">
        <v>12</v>
      </c>
      <c r="AF14" s="351" t="s">
        <v>401</v>
      </c>
      <c r="AG14" s="358">
        <v>40</v>
      </c>
      <c r="AH14" s="358">
        <v>3.1</v>
      </c>
      <c r="AI14" s="346"/>
      <c r="AJ14" s="357">
        <v>12</v>
      </c>
      <c r="AK14" s="351" t="s">
        <v>398</v>
      </c>
      <c r="AL14" s="358">
        <v>33.333333333333336</v>
      </c>
      <c r="AM14" s="358">
        <v>4</v>
      </c>
      <c r="AN14" s="346"/>
      <c r="AO14" s="354">
        <v>12</v>
      </c>
      <c r="AP14" s="355" t="s">
        <v>2650</v>
      </c>
      <c r="AQ14" s="356">
        <v>50</v>
      </c>
      <c r="AR14" s="356">
        <v>0.25</v>
      </c>
      <c r="AS14" s="346"/>
      <c r="AT14" s="343">
        <v>12</v>
      </c>
      <c r="AU14" s="344" t="s">
        <v>408</v>
      </c>
      <c r="AV14" s="345">
        <v>100</v>
      </c>
      <c r="AW14" s="345">
        <v>2.6666666666666665</v>
      </c>
      <c r="AX14" s="346"/>
      <c r="AY14" s="350">
        <v>12</v>
      </c>
      <c r="AZ14" s="351" t="s">
        <v>448</v>
      </c>
      <c r="BA14" s="352">
        <v>66.666666666666671</v>
      </c>
      <c r="BB14" s="352">
        <v>3</v>
      </c>
      <c r="BC14" s="346"/>
      <c r="BD14" s="343">
        <v>12</v>
      </c>
      <c r="BE14" s="344" t="s">
        <v>345</v>
      </c>
      <c r="BF14" s="345">
        <v>100</v>
      </c>
      <c r="BG14" s="345">
        <v>2</v>
      </c>
      <c r="BH14" s="346"/>
      <c r="BI14" s="350"/>
      <c r="BJ14" s="351"/>
      <c r="BK14" s="352"/>
      <c r="BL14" s="352"/>
      <c r="BM14" s="346"/>
      <c r="BN14" s="343">
        <v>12</v>
      </c>
      <c r="BO14" s="344" t="s">
        <v>340</v>
      </c>
      <c r="BP14" s="345">
        <v>100</v>
      </c>
      <c r="BQ14" s="345">
        <v>4.833333333333333</v>
      </c>
      <c r="BR14" s="346"/>
      <c r="BS14" s="343">
        <v>12</v>
      </c>
      <c r="BT14" s="344" t="s">
        <v>2641</v>
      </c>
      <c r="BU14" s="345">
        <v>100</v>
      </c>
      <c r="BV14" s="345">
        <v>0.5</v>
      </c>
      <c r="BW14" s="346"/>
      <c r="BX14" s="343">
        <v>12</v>
      </c>
      <c r="BY14" s="344" t="s">
        <v>343</v>
      </c>
      <c r="BZ14" s="345">
        <v>100</v>
      </c>
      <c r="CA14" s="345">
        <v>1</v>
      </c>
      <c r="CB14" s="346"/>
      <c r="CC14" s="357"/>
      <c r="CD14" s="351"/>
      <c r="CE14" s="358"/>
      <c r="CF14" s="358"/>
      <c r="CG14" s="346"/>
      <c r="CH14" s="357"/>
      <c r="CI14" s="351"/>
      <c r="CJ14" s="358"/>
      <c r="CK14" s="358"/>
      <c r="CL14" s="346"/>
      <c r="CM14" s="357"/>
      <c r="CN14" s="351"/>
      <c r="CO14" s="358"/>
      <c r="CP14" s="358"/>
      <c r="CQ14" s="346"/>
      <c r="CR14" s="357"/>
      <c r="CS14" s="351"/>
      <c r="CT14" s="358"/>
      <c r="CU14" s="358"/>
      <c r="CV14" s="346"/>
      <c r="CW14" s="357"/>
      <c r="CX14" s="351"/>
      <c r="CY14" s="358"/>
      <c r="CZ14" s="358"/>
      <c r="DA14" s="346"/>
      <c r="DB14" s="357"/>
      <c r="DC14" s="351"/>
      <c r="DD14" s="358"/>
      <c r="DE14" s="358"/>
      <c r="DF14" s="346"/>
      <c r="DG14" s="357"/>
      <c r="DH14" s="351"/>
      <c r="DI14" s="358"/>
      <c r="DJ14" s="358"/>
      <c r="DK14" s="346"/>
      <c r="DL14" s="357"/>
      <c r="DM14" s="351"/>
      <c r="DN14" s="358"/>
      <c r="DO14" s="358"/>
      <c r="DP14" s="346"/>
      <c r="DQ14" s="357"/>
      <c r="DR14" s="351"/>
      <c r="DS14" s="358"/>
      <c r="DT14" s="358"/>
      <c r="DU14" s="346"/>
      <c r="DV14" s="357"/>
      <c r="DW14" s="351"/>
      <c r="DX14" s="358"/>
      <c r="DY14" s="358"/>
      <c r="DZ14" s="346"/>
      <c r="EA14" s="357"/>
      <c r="EB14" s="351"/>
      <c r="EC14" s="358"/>
      <c r="ED14" s="358"/>
      <c r="EE14" s="346"/>
      <c r="EF14" s="357"/>
      <c r="EG14" s="351"/>
      <c r="EH14" s="358"/>
      <c r="EI14" s="358"/>
      <c r="EJ14" s="346"/>
      <c r="EK14" s="357"/>
      <c r="EL14" s="351"/>
      <c r="EM14" s="358"/>
      <c r="EN14" s="358"/>
      <c r="EO14" s="346"/>
      <c r="EP14" s="357"/>
      <c r="EQ14" s="351"/>
      <c r="ER14" s="358"/>
      <c r="ES14" s="358"/>
      <c r="ET14" s="346"/>
      <c r="EU14" s="357"/>
      <c r="EV14" s="351"/>
      <c r="EW14" s="358"/>
      <c r="EX14" s="358"/>
      <c r="EY14" s="346"/>
      <c r="EZ14" s="357"/>
      <c r="FA14" s="351"/>
      <c r="FB14" s="358"/>
      <c r="FC14" s="358"/>
      <c r="FD14" s="346"/>
      <c r="FE14" s="357"/>
      <c r="FF14" s="351"/>
      <c r="FG14" s="358"/>
      <c r="FH14" s="358"/>
      <c r="FI14" s="346"/>
      <c r="FJ14" s="357"/>
      <c r="FK14" s="351"/>
      <c r="FL14" s="358"/>
      <c r="FM14" s="358"/>
      <c r="FN14" s="346"/>
      <c r="FO14" s="357"/>
      <c r="FP14" s="351"/>
      <c r="FQ14" s="358"/>
      <c r="FR14" s="358"/>
      <c r="FS14" s="346"/>
      <c r="FT14" s="357"/>
      <c r="FU14" s="351"/>
      <c r="FV14" s="358"/>
      <c r="FW14" s="358"/>
      <c r="FX14" s="346"/>
      <c r="FY14" s="357"/>
      <c r="FZ14" s="351"/>
      <c r="GA14" s="358"/>
      <c r="GB14" s="358"/>
      <c r="GC14" s="346"/>
      <c r="GD14" s="357"/>
      <c r="GE14" s="351"/>
      <c r="GF14" s="358"/>
      <c r="GG14" s="358"/>
      <c r="GH14" s="346"/>
      <c r="GI14" s="357"/>
      <c r="GJ14" s="351"/>
      <c r="GK14" s="358"/>
      <c r="GL14" s="358"/>
      <c r="GM14" s="346"/>
      <c r="GN14" s="357"/>
      <c r="GO14" s="351"/>
      <c r="GP14" s="358"/>
      <c r="GQ14" s="358"/>
      <c r="GR14" s="346"/>
      <c r="GS14" s="357"/>
      <c r="GT14" s="351"/>
      <c r="GU14" s="358"/>
      <c r="GV14" s="358"/>
      <c r="GW14" s="346"/>
      <c r="GX14" s="357"/>
      <c r="GY14" s="351"/>
      <c r="GZ14" s="358"/>
      <c r="HA14" s="358"/>
      <c r="HB14" s="346"/>
      <c r="HC14" s="357"/>
      <c r="HD14" s="351"/>
      <c r="HE14" s="358"/>
      <c r="HF14" s="358"/>
      <c r="HG14" s="346"/>
      <c r="HH14" s="357"/>
      <c r="HI14" s="351"/>
      <c r="HJ14" s="358"/>
      <c r="HK14" s="358"/>
      <c r="HL14" s="346"/>
      <c r="HM14" s="357"/>
      <c r="HN14" s="351"/>
      <c r="HO14" s="358"/>
      <c r="HP14" s="358"/>
      <c r="HQ14" s="346"/>
      <c r="HR14" s="357"/>
      <c r="HS14" s="351"/>
      <c r="HT14" s="358"/>
      <c r="HU14" s="358"/>
      <c r="HV14" s="346"/>
      <c r="HW14" s="357"/>
      <c r="HX14" s="351"/>
      <c r="HY14" s="358"/>
      <c r="HZ14" s="358"/>
      <c r="IA14" s="346"/>
      <c r="IB14" s="357"/>
      <c r="IC14" s="351"/>
      <c r="ID14" s="358"/>
      <c r="IE14" s="358"/>
      <c r="IF14" s="346"/>
      <c r="IG14" s="357"/>
      <c r="IH14" s="351"/>
      <c r="II14" s="358"/>
      <c r="IJ14" s="358"/>
      <c r="IK14" s="346"/>
      <c r="IL14" s="357"/>
      <c r="IM14" s="351"/>
      <c r="IN14" s="358"/>
      <c r="IO14" s="358"/>
      <c r="IP14" s="346"/>
      <c r="IQ14" s="357"/>
      <c r="IR14" s="351"/>
      <c r="IS14" s="358"/>
      <c r="IT14" s="358"/>
      <c r="IU14" s="346"/>
      <c r="IV14" s="357"/>
    </row>
    <row r="15" spans="1:256" s="353" customFormat="1" x14ac:dyDescent="0.2">
      <c r="A15" s="357">
        <v>13</v>
      </c>
      <c r="B15" s="351" t="s">
        <v>333</v>
      </c>
      <c r="C15" s="358">
        <v>12.5</v>
      </c>
      <c r="D15" s="358">
        <v>0.5</v>
      </c>
      <c r="E15" s="346"/>
      <c r="F15" s="359">
        <v>13</v>
      </c>
      <c r="G15" s="355" t="s">
        <v>2635</v>
      </c>
      <c r="H15" s="360">
        <v>50</v>
      </c>
      <c r="I15" s="360">
        <v>1.5833333333333333</v>
      </c>
      <c r="J15" s="346"/>
      <c r="K15" s="350">
        <v>13</v>
      </c>
      <c r="L15" s="351" t="s">
        <v>350</v>
      </c>
      <c r="M15" s="352">
        <v>84.21052631578948</v>
      </c>
      <c r="N15" s="352">
        <v>2.3157894736842106</v>
      </c>
      <c r="O15" s="346"/>
      <c r="P15" s="357">
        <v>13</v>
      </c>
      <c r="Q15" s="351" t="s">
        <v>400</v>
      </c>
      <c r="R15" s="358">
        <v>28.571428571428573</v>
      </c>
      <c r="S15" s="358">
        <v>2.1428571428571428</v>
      </c>
      <c r="T15" s="346"/>
      <c r="U15" s="347">
        <v>13</v>
      </c>
      <c r="V15" s="348" t="s">
        <v>383</v>
      </c>
      <c r="W15" s="349">
        <v>100</v>
      </c>
      <c r="X15" s="349">
        <v>0.5</v>
      </c>
      <c r="Y15" s="346"/>
      <c r="Z15" s="357">
        <v>13</v>
      </c>
      <c r="AA15" s="351" t="s">
        <v>341</v>
      </c>
      <c r="AB15" s="358">
        <v>57.142857142857146</v>
      </c>
      <c r="AC15" s="358">
        <v>2.1428571428571428</v>
      </c>
      <c r="AD15" s="346"/>
      <c r="AE15" s="357">
        <v>13</v>
      </c>
      <c r="AF15" s="351" t="s">
        <v>2601</v>
      </c>
      <c r="AG15" s="358">
        <v>120</v>
      </c>
      <c r="AH15" s="358">
        <v>3</v>
      </c>
      <c r="AI15" s="346"/>
      <c r="AJ15" s="357">
        <v>13</v>
      </c>
      <c r="AK15" s="351" t="s">
        <v>402</v>
      </c>
      <c r="AL15" s="358">
        <v>66.666666666666671</v>
      </c>
      <c r="AM15" s="358">
        <v>3.6666666666666665</v>
      </c>
      <c r="AN15" s="346"/>
      <c r="AO15" s="350">
        <v>13</v>
      </c>
      <c r="AP15" s="351" t="s">
        <v>2631</v>
      </c>
      <c r="AQ15" s="352">
        <v>50</v>
      </c>
      <c r="AR15" s="352">
        <v>0.25</v>
      </c>
      <c r="AS15" s="346"/>
      <c r="AT15" s="343">
        <v>13</v>
      </c>
      <c r="AU15" s="344" t="s">
        <v>425</v>
      </c>
      <c r="AV15" s="345">
        <v>100</v>
      </c>
      <c r="AW15" s="345">
        <v>2.6666666666666665</v>
      </c>
      <c r="AX15" s="346"/>
      <c r="AY15" s="350">
        <v>13</v>
      </c>
      <c r="AZ15" s="351" t="s">
        <v>395</v>
      </c>
      <c r="BA15" s="352">
        <v>66.666666666666671</v>
      </c>
      <c r="BB15" s="352">
        <v>2.3333333333333335</v>
      </c>
      <c r="BC15" s="346"/>
      <c r="BD15" s="343">
        <v>13</v>
      </c>
      <c r="BE15" s="344" t="s">
        <v>600</v>
      </c>
      <c r="BF15" s="345">
        <v>100</v>
      </c>
      <c r="BG15" s="345">
        <v>1</v>
      </c>
      <c r="BH15" s="346"/>
      <c r="BI15" s="350"/>
      <c r="BJ15" s="351"/>
      <c r="BK15" s="352"/>
      <c r="BL15" s="352"/>
      <c r="BM15" s="346"/>
      <c r="BN15" s="350">
        <v>13</v>
      </c>
      <c r="BO15" s="351" t="s">
        <v>360</v>
      </c>
      <c r="BP15" s="352">
        <v>66.666666666666671</v>
      </c>
      <c r="BQ15" s="352">
        <v>4.333333333333333</v>
      </c>
      <c r="BR15" s="346"/>
      <c r="BS15" s="343">
        <v>13</v>
      </c>
      <c r="BT15" s="344" t="s">
        <v>2638</v>
      </c>
      <c r="BU15" s="345">
        <v>100</v>
      </c>
      <c r="BV15" s="345">
        <v>0.5</v>
      </c>
      <c r="BW15" s="346"/>
      <c r="BX15" s="343">
        <v>13</v>
      </c>
      <c r="BY15" s="344" t="s">
        <v>2636</v>
      </c>
      <c r="BZ15" s="345">
        <v>100</v>
      </c>
      <c r="CA15" s="345">
        <v>1</v>
      </c>
      <c r="CB15" s="346"/>
      <c r="CC15" s="357"/>
      <c r="CD15" s="351"/>
      <c r="CE15" s="358"/>
      <c r="CF15" s="358"/>
      <c r="CG15" s="346"/>
      <c r="CH15" s="357"/>
      <c r="CI15" s="351"/>
      <c r="CJ15" s="358"/>
      <c r="CK15" s="358"/>
      <c r="CL15" s="346"/>
      <c r="CM15" s="357"/>
      <c r="CN15" s="351"/>
      <c r="CO15" s="358"/>
      <c r="CP15" s="358"/>
      <c r="CQ15" s="346"/>
      <c r="CR15" s="357"/>
      <c r="CS15" s="351"/>
      <c r="CT15" s="358"/>
      <c r="CU15" s="358"/>
      <c r="CV15" s="346"/>
      <c r="CW15" s="357"/>
      <c r="CX15" s="351"/>
      <c r="CY15" s="358"/>
      <c r="CZ15" s="358"/>
      <c r="DA15" s="346"/>
      <c r="DB15" s="357"/>
      <c r="DC15" s="351"/>
      <c r="DD15" s="358"/>
      <c r="DE15" s="358"/>
      <c r="DF15" s="346"/>
      <c r="DG15" s="357"/>
      <c r="DH15" s="351"/>
      <c r="DI15" s="358"/>
      <c r="DJ15" s="358"/>
      <c r="DK15" s="346"/>
      <c r="DL15" s="357"/>
      <c r="DM15" s="351"/>
      <c r="DN15" s="358"/>
      <c r="DO15" s="358"/>
      <c r="DP15" s="346"/>
      <c r="DQ15" s="357"/>
      <c r="DR15" s="351"/>
      <c r="DS15" s="358"/>
      <c r="DT15" s="358"/>
      <c r="DU15" s="346"/>
      <c r="DV15" s="357"/>
      <c r="DW15" s="351"/>
      <c r="DX15" s="358"/>
      <c r="DY15" s="358"/>
      <c r="DZ15" s="346"/>
      <c r="EA15" s="357"/>
      <c r="EB15" s="351"/>
      <c r="EC15" s="358"/>
      <c r="ED15" s="358"/>
      <c r="EE15" s="346"/>
      <c r="EF15" s="357"/>
      <c r="EG15" s="351"/>
      <c r="EH15" s="358"/>
      <c r="EI15" s="358"/>
      <c r="EJ15" s="346"/>
      <c r="EK15" s="357"/>
      <c r="EL15" s="351"/>
      <c r="EM15" s="358"/>
      <c r="EN15" s="358"/>
      <c r="EO15" s="346"/>
      <c r="EP15" s="357"/>
      <c r="EQ15" s="351"/>
      <c r="ER15" s="358"/>
      <c r="ES15" s="358"/>
      <c r="ET15" s="346"/>
      <c r="EU15" s="357"/>
      <c r="EV15" s="351"/>
      <c r="EW15" s="358"/>
      <c r="EX15" s="358"/>
      <c r="EY15" s="346"/>
      <c r="EZ15" s="357"/>
      <c r="FA15" s="351"/>
      <c r="FB15" s="358"/>
      <c r="FC15" s="358"/>
      <c r="FD15" s="346"/>
      <c r="FE15" s="357"/>
      <c r="FF15" s="351"/>
      <c r="FG15" s="358"/>
      <c r="FH15" s="358"/>
      <c r="FI15" s="346"/>
      <c r="FJ15" s="357"/>
      <c r="FK15" s="351"/>
      <c r="FL15" s="358"/>
      <c r="FM15" s="358"/>
      <c r="FN15" s="346"/>
      <c r="FO15" s="357"/>
      <c r="FP15" s="351"/>
      <c r="FQ15" s="358"/>
      <c r="FR15" s="358"/>
      <c r="FS15" s="346"/>
      <c r="FT15" s="357"/>
      <c r="FU15" s="351"/>
      <c r="FV15" s="358"/>
      <c r="FW15" s="358"/>
      <c r="FX15" s="346"/>
      <c r="FY15" s="357"/>
      <c r="FZ15" s="351"/>
      <c r="GA15" s="358"/>
      <c r="GB15" s="358"/>
      <c r="GC15" s="346"/>
      <c r="GD15" s="357"/>
      <c r="GE15" s="351"/>
      <c r="GF15" s="358"/>
      <c r="GG15" s="358"/>
      <c r="GH15" s="346"/>
      <c r="GI15" s="357"/>
      <c r="GJ15" s="351"/>
      <c r="GK15" s="358"/>
      <c r="GL15" s="358"/>
      <c r="GM15" s="346"/>
      <c r="GN15" s="357"/>
      <c r="GO15" s="351"/>
      <c r="GP15" s="358"/>
      <c r="GQ15" s="358"/>
      <c r="GR15" s="346"/>
      <c r="GS15" s="357"/>
      <c r="GT15" s="351"/>
      <c r="GU15" s="358"/>
      <c r="GV15" s="358"/>
      <c r="GW15" s="346"/>
      <c r="GX15" s="357"/>
      <c r="GY15" s="351"/>
      <c r="GZ15" s="358"/>
      <c r="HA15" s="358"/>
      <c r="HB15" s="346"/>
      <c r="HC15" s="357"/>
      <c r="HD15" s="351"/>
      <c r="HE15" s="358"/>
      <c r="HF15" s="358"/>
      <c r="HG15" s="346"/>
      <c r="HH15" s="357"/>
      <c r="HI15" s="351"/>
      <c r="HJ15" s="358"/>
      <c r="HK15" s="358"/>
      <c r="HL15" s="346"/>
      <c r="HM15" s="357"/>
      <c r="HN15" s="351"/>
      <c r="HO15" s="358"/>
      <c r="HP15" s="358"/>
      <c r="HQ15" s="346"/>
      <c r="HR15" s="357"/>
      <c r="HS15" s="351"/>
      <c r="HT15" s="358"/>
      <c r="HU15" s="358"/>
      <c r="HV15" s="346"/>
      <c r="HW15" s="357"/>
      <c r="HX15" s="351"/>
      <c r="HY15" s="358"/>
      <c r="HZ15" s="358"/>
      <c r="IA15" s="346"/>
      <c r="IB15" s="357"/>
      <c r="IC15" s="351"/>
      <c r="ID15" s="358"/>
      <c r="IE15" s="358"/>
      <c r="IF15" s="346"/>
      <c r="IG15" s="357"/>
      <c r="IH15" s="351"/>
      <c r="II15" s="358"/>
      <c r="IJ15" s="358"/>
      <c r="IK15" s="346"/>
      <c r="IL15" s="357"/>
      <c r="IM15" s="351"/>
      <c r="IN15" s="358"/>
      <c r="IO15" s="358"/>
      <c r="IP15" s="346"/>
      <c r="IQ15" s="357"/>
      <c r="IR15" s="351"/>
      <c r="IS15" s="358"/>
      <c r="IT15" s="358"/>
      <c r="IU15" s="346"/>
      <c r="IV15" s="357"/>
    </row>
    <row r="16" spans="1:256" s="353" customFormat="1" x14ac:dyDescent="0.2">
      <c r="A16" s="359">
        <v>14</v>
      </c>
      <c r="B16" s="355" t="s">
        <v>612</v>
      </c>
      <c r="C16" s="360">
        <v>25</v>
      </c>
      <c r="D16" s="360">
        <v>0.4375</v>
      </c>
      <c r="E16" s="346"/>
      <c r="F16" s="357">
        <v>14</v>
      </c>
      <c r="G16" s="351" t="s">
        <v>333</v>
      </c>
      <c r="H16" s="358">
        <v>83.333333333333329</v>
      </c>
      <c r="I16" s="358">
        <v>1.4166666666666667</v>
      </c>
      <c r="J16" s="346"/>
      <c r="K16" s="343">
        <v>14</v>
      </c>
      <c r="L16" s="344" t="s">
        <v>349</v>
      </c>
      <c r="M16" s="345">
        <v>100</v>
      </c>
      <c r="N16" s="345">
        <v>2.2105263157894739</v>
      </c>
      <c r="O16" s="346"/>
      <c r="P16" s="392">
        <v>14</v>
      </c>
      <c r="Q16" s="393" t="s">
        <v>606</v>
      </c>
      <c r="R16" s="394">
        <v>14.285714285714286</v>
      </c>
      <c r="S16" s="394">
        <v>2.1428571428571428</v>
      </c>
      <c r="T16" s="346"/>
      <c r="U16" s="347">
        <v>14</v>
      </c>
      <c r="V16" s="348" t="s">
        <v>384</v>
      </c>
      <c r="W16" s="349">
        <v>100</v>
      </c>
      <c r="X16" s="349">
        <v>0.5</v>
      </c>
      <c r="Y16" s="346"/>
      <c r="Z16" s="357">
        <v>14</v>
      </c>
      <c r="AA16" s="351" t="s">
        <v>391</v>
      </c>
      <c r="AB16" s="358">
        <v>71.428571428571431</v>
      </c>
      <c r="AC16" s="358">
        <v>1.9285714285714286</v>
      </c>
      <c r="AD16" s="346"/>
      <c r="AE16" s="350">
        <v>14</v>
      </c>
      <c r="AF16" s="351" t="s">
        <v>597</v>
      </c>
      <c r="AG16" s="352">
        <v>80</v>
      </c>
      <c r="AH16" s="352">
        <v>2.4</v>
      </c>
      <c r="AI16" s="346"/>
      <c r="AJ16" s="357">
        <v>14</v>
      </c>
      <c r="AK16" s="351" t="s">
        <v>416</v>
      </c>
      <c r="AL16" s="358">
        <v>33.333333333333336</v>
      </c>
      <c r="AM16" s="358">
        <v>3.3333333333333335</v>
      </c>
      <c r="AN16" s="346"/>
      <c r="AO16" s="350">
        <v>14</v>
      </c>
      <c r="AP16" s="351" t="s">
        <v>343</v>
      </c>
      <c r="AQ16" s="352">
        <v>50</v>
      </c>
      <c r="AR16" s="352">
        <v>0.25</v>
      </c>
      <c r="AS16" s="346"/>
      <c r="AT16" s="343">
        <v>14</v>
      </c>
      <c r="AU16" s="344" t="s">
        <v>2570</v>
      </c>
      <c r="AV16" s="345">
        <v>100</v>
      </c>
      <c r="AW16" s="345">
        <v>2.6666666666666665</v>
      </c>
      <c r="AX16" s="346"/>
      <c r="AY16" s="350">
        <v>14</v>
      </c>
      <c r="AZ16" s="351" t="s">
        <v>360</v>
      </c>
      <c r="BA16" s="352">
        <v>33.333333333333336</v>
      </c>
      <c r="BB16" s="352">
        <v>2</v>
      </c>
      <c r="BC16" s="346"/>
      <c r="BD16" s="343">
        <v>14</v>
      </c>
      <c r="BE16" s="344" t="s">
        <v>350</v>
      </c>
      <c r="BF16" s="345">
        <v>100</v>
      </c>
      <c r="BG16" s="345">
        <v>1</v>
      </c>
      <c r="BH16" s="346"/>
      <c r="BI16" s="350"/>
      <c r="BJ16" s="351"/>
      <c r="BK16" s="352"/>
      <c r="BL16" s="352"/>
      <c r="BM16" s="346"/>
      <c r="BN16" s="350">
        <v>14</v>
      </c>
      <c r="BO16" s="351" t="s">
        <v>2583</v>
      </c>
      <c r="BP16" s="352">
        <v>33.333333333333336</v>
      </c>
      <c r="BQ16" s="352">
        <v>4.333333333333333</v>
      </c>
      <c r="BR16" s="346"/>
      <c r="BS16" s="343">
        <v>14</v>
      </c>
      <c r="BT16" s="344" t="s">
        <v>2612</v>
      </c>
      <c r="BU16" s="345">
        <v>100</v>
      </c>
      <c r="BV16" s="345">
        <v>0.5</v>
      </c>
      <c r="BW16" s="346"/>
      <c r="BX16" s="347">
        <v>14</v>
      </c>
      <c r="BY16" s="348" t="s">
        <v>2598</v>
      </c>
      <c r="BZ16" s="349">
        <v>100</v>
      </c>
      <c r="CA16" s="349">
        <v>0.5</v>
      </c>
      <c r="CB16" s="346"/>
      <c r="CC16" s="357"/>
      <c r="CD16" s="351"/>
      <c r="CE16" s="358"/>
      <c r="CF16" s="358"/>
      <c r="CG16" s="346"/>
      <c r="CH16" s="357"/>
      <c r="CI16" s="351"/>
      <c r="CJ16" s="358"/>
      <c r="CK16" s="358"/>
      <c r="CL16" s="346"/>
      <c r="CM16" s="357"/>
      <c r="CN16" s="351"/>
      <c r="CO16" s="358"/>
      <c r="CP16" s="358"/>
      <c r="CQ16" s="346"/>
      <c r="CR16" s="357"/>
      <c r="CS16" s="351"/>
      <c r="CT16" s="358"/>
      <c r="CU16" s="358"/>
      <c r="CV16" s="346"/>
      <c r="CW16" s="357"/>
      <c r="CX16" s="351"/>
      <c r="CY16" s="358"/>
      <c r="CZ16" s="358"/>
      <c r="DA16" s="346"/>
      <c r="DB16" s="357"/>
      <c r="DC16" s="351"/>
      <c r="DD16" s="358"/>
      <c r="DE16" s="358"/>
      <c r="DF16" s="346"/>
      <c r="DG16" s="357"/>
      <c r="DH16" s="351"/>
      <c r="DI16" s="358"/>
      <c r="DJ16" s="358"/>
      <c r="DK16" s="346"/>
      <c r="DL16" s="357"/>
      <c r="DM16" s="351"/>
      <c r="DN16" s="358"/>
      <c r="DO16" s="358"/>
      <c r="DP16" s="346"/>
      <c r="DQ16" s="357"/>
      <c r="DR16" s="351"/>
      <c r="DS16" s="358"/>
      <c r="DT16" s="358"/>
      <c r="DU16" s="346"/>
      <c r="DV16" s="357"/>
      <c r="DW16" s="351"/>
      <c r="DX16" s="358"/>
      <c r="DY16" s="358"/>
      <c r="DZ16" s="346"/>
      <c r="EA16" s="357"/>
      <c r="EB16" s="351"/>
      <c r="EC16" s="358"/>
      <c r="ED16" s="358"/>
      <c r="EE16" s="346"/>
      <c r="EF16" s="357"/>
      <c r="EG16" s="351"/>
      <c r="EH16" s="358"/>
      <c r="EI16" s="358"/>
      <c r="EJ16" s="346"/>
      <c r="EK16" s="357"/>
      <c r="EL16" s="351"/>
      <c r="EM16" s="358"/>
      <c r="EN16" s="358"/>
      <c r="EO16" s="346"/>
      <c r="EP16" s="357"/>
      <c r="EQ16" s="351"/>
      <c r="ER16" s="358"/>
      <c r="ES16" s="358"/>
      <c r="ET16" s="346"/>
      <c r="EU16" s="357"/>
      <c r="EV16" s="351"/>
      <c r="EW16" s="358"/>
      <c r="EX16" s="358"/>
      <c r="EY16" s="346"/>
      <c r="EZ16" s="357"/>
      <c r="FA16" s="351"/>
      <c r="FB16" s="358"/>
      <c r="FC16" s="358"/>
      <c r="FD16" s="346"/>
      <c r="FE16" s="357"/>
      <c r="FF16" s="351"/>
      <c r="FG16" s="358"/>
      <c r="FH16" s="358"/>
      <c r="FI16" s="346"/>
      <c r="FJ16" s="357"/>
      <c r="FK16" s="351"/>
      <c r="FL16" s="358"/>
      <c r="FM16" s="358"/>
      <c r="FN16" s="346"/>
      <c r="FO16" s="357"/>
      <c r="FP16" s="351"/>
      <c r="FQ16" s="358"/>
      <c r="FR16" s="358"/>
      <c r="FS16" s="346"/>
      <c r="FT16" s="357"/>
      <c r="FU16" s="351"/>
      <c r="FV16" s="358"/>
      <c r="FW16" s="358"/>
      <c r="FX16" s="346"/>
      <c r="FY16" s="357"/>
      <c r="FZ16" s="351"/>
      <c r="GA16" s="358"/>
      <c r="GB16" s="358"/>
      <c r="GC16" s="346"/>
      <c r="GD16" s="357"/>
      <c r="GE16" s="351"/>
      <c r="GF16" s="358"/>
      <c r="GG16" s="358"/>
      <c r="GH16" s="346"/>
      <c r="GI16" s="357"/>
      <c r="GJ16" s="351"/>
      <c r="GK16" s="358"/>
      <c r="GL16" s="358"/>
      <c r="GM16" s="346"/>
      <c r="GN16" s="357"/>
      <c r="GO16" s="351"/>
      <c r="GP16" s="358"/>
      <c r="GQ16" s="358"/>
      <c r="GR16" s="346"/>
      <c r="GS16" s="357"/>
      <c r="GT16" s="351"/>
      <c r="GU16" s="358"/>
      <c r="GV16" s="358"/>
      <c r="GW16" s="346"/>
      <c r="GX16" s="357"/>
      <c r="GY16" s="351"/>
      <c r="GZ16" s="358"/>
      <c r="HA16" s="358"/>
      <c r="HB16" s="346"/>
      <c r="HC16" s="357"/>
      <c r="HD16" s="351"/>
      <c r="HE16" s="358"/>
      <c r="HF16" s="358"/>
      <c r="HG16" s="346"/>
      <c r="HH16" s="357"/>
      <c r="HI16" s="351"/>
      <c r="HJ16" s="358"/>
      <c r="HK16" s="358"/>
      <c r="HL16" s="346"/>
      <c r="HM16" s="357"/>
      <c r="HN16" s="351"/>
      <c r="HO16" s="358"/>
      <c r="HP16" s="358"/>
      <c r="HQ16" s="346"/>
      <c r="HR16" s="357"/>
      <c r="HS16" s="351"/>
      <c r="HT16" s="358"/>
      <c r="HU16" s="358"/>
      <c r="HV16" s="346"/>
      <c r="HW16" s="357"/>
      <c r="HX16" s="351"/>
      <c r="HY16" s="358"/>
      <c r="HZ16" s="358"/>
      <c r="IA16" s="346"/>
      <c r="IB16" s="357"/>
      <c r="IC16" s="351"/>
      <c r="ID16" s="358"/>
      <c r="IE16" s="358"/>
      <c r="IF16" s="346"/>
      <c r="IG16" s="357"/>
      <c r="IH16" s="351"/>
      <c r="II16" s="358"/>
      <c r="IJ16" s="358"/>
      <c r="IK16" s="346"/>
      <c r="IL16" s="357"/>
      <c r="IM16" s="351"/>
      <c r="IN16" s="358"/>
      <c r="IO16" s="358"/>
      <c r="IP16" s="346"/>
      <c r="IQ16" s="357"/>
      <c r="IR16" s="351"/>
      <c r="IS16" s="358"/>
      <c r="IT16" s="358"/>
      <c r="IU16" s="346"/>
      <c r="IV16" s="357"/>
    </row>
    <row r="17" spans="1:256" s="353" customFormat="1" x14ac:dyDescent="0.2">
      <c r="A17" s="357">
        <v>15</v>
      </c>
      <c r="B17" s="351" t="s">
        <v>1586</v>
      </c>
      <c r="C17" s="358">
        <v>25</v>
      </c>
      <c r="D17" s="358">
        <v>0.4375</v>
      </c>
      <c r="E17" s="346"/>
      <c r="F17" s="357">
        <v>15</v>
      </c>
      <c r="G17" s="351" t="s">
        <v>603</v>
      </c>
      <c r="H17" s="358">
        <v>50</v>
      </c>
      <c r="I17" s="358">
        <v>1.3333333333333333</v>
      </c>
      <c r="J17" s="346"/>
      <c r="K17" s="357">
        <v>15</v>
      </c>
      <c r="L17" s="351" t="s">
        <v>364</v>
      </c>
      <c r="M17" s="358">
        <v>36.842105263157897</v>
      </c>
      <c r="N17" s="358">
        <v>2.2105263157894739</v>
      </c>
      <c r="O17" s="346"/>
      <c r="P17" s="357">
        <v>15</v>
      </c>
      <c r="Q17" s="351" t="s">
        <v>432</v>
      </c>
      <c r="R17" s="358">
        <v>57.142857142857146</v>
      </c>
      <c r="S17" s="358">
        <v>1.9285714285714286</v>
      </c>
      <c r="T17" s="346"/>
      <c r="U17" s="343">
        <v>15</v>
      </c>
      <c r="V17" s="344" t="s">
        <v>358</v>
      </c>
      <c r="W17" s="345">
        <v>100</v>
      </c>
      <c r="X17" s="345">
        <v>0.5</v>
      </c>
      <c r="Y17" s="346"/>
      <c r="Z17" s="350">
        <v>15</v>
      </c>
      <c r="AA17" s="351" t="s">
        <v>454</v>
      </c>
      <c r="AB17" s="352">
        <v>42.857142857142854</v>
      </c>
      <c r="AC17" s="352">
        <v>1.8571428571428572</v>
      </c>
      <c r="AD17" s="346"/>
      <c r="AE17" s="357">
        <v>15</v>
      </c>
      <c r="AF17" s="351" t="s">
        <v>437</v>
      </c>
      <c r="AG17" s="358">
        <v>20</v>
      </c>
      <c r="AH17" s="358">
        <v>2.4</v>
      </c>
      <c r="AI17" s="346"/>
      <c r="AJ17" s="343">
        <v>15</v>
      </c>
      <c r="AK17" s="344" t="s">
        <v>391</v>
      </c>
      <c r="AL17" s="345">
        <v>100</v>
      </c>
      <c r="AM17" s="345">
        <v>3.3333333333333335</v>
      </c>
      <c r="AN17" s="346"/>
      <c r="AO17" s="399">
        <v>15</v>
      </c>
      <c r="AP17" s="400" t="s">
        <v>982</v>
      </c>
      <c r="AQ17" s="401">
        <v>50</v>
      </c>
      <c r="AR17" s="401">
        <v>0.25</v>
      </c>
      <c r="AS17" s="346"/>
      <c r="AT17" s="357">
        <v>15</v>
      </c>
      <c r="AU17" s="351" t="s">
        <v>407</v>
      </c>
      <c r="AV17" s="358">
        <v>33.333333333333336</v>
      </c>
      <c r="AW17" s="358">
        <v>2</v>
      </c>
      <c r="AX17" s="346"/>
      <c r="AY17" s="350">
        <v>15</v>
      </c>
      <c r="AZ17" s="351" t="s">
        <v>2575</v>
      </c>
      <c r="BA17" s="352">
        <v>66.666666666666671</v>
      </c>
      <c r="BB17" s="352">
        <v>2</v>
      </c>
      <c r="BC17" s="346"/>
      <c r="BD17" s="343">
        <v>15</v>
      </c>
      <c r="BE17" s="344" t="s">
        <v>2577</v>
      </c>
      <c r="BF17" s="345">
        <v>100</v>
      </c>
      <c r="BG17" s="345">
        <v>1</v>
      </c>
      <c r="BH17" s="346"/>
      <c r="BI17" s="350"/>
      <c r="BJ17" s="351"/>
      <c r="BK17" s="352"/>
      <c r="BL17" s="352"/>
      <c r="BM17" s="346"/>
      <c r="BN17" s="343">
        <v>15</v>
      </c>
      <c r="BO17" s="344" t="s">
        <v>349</v>
      </c>
      <c r="BP17" s="345">
        <v>100</v>
      </c>
      <c r="BQ17" s="345">
        <v>4.166666666666667</v>
      </c>
      <c r="BR17" s="346"/>
      <c r="BS17" s="343">
        <v>15</v>
      </c>
      <c r="BT17" s="344" t="s">
        <v>340</v>
      </c>
      <c r="BU17" s="345">
        <v>100</v>
      </c>
      <c r="BV17" s="345">
        <v>0.5</v>
      </c>
      <c r="BW17" s="346"/>
      <c r="BX17" s="343">
        <v>15</v>
      </c>
      <c r="BY17" s="344" t="s">
        <v>2573</v>
      </c>
      <c r="BZ17" s="345">
        <v>100</v>
      </c>
      <c r="CA17" s="345">
        <v>0.5</v>
      </c>
      <c r="CB17" s="346"/>
      <c r="CC17" s="357"/>
      <c r="CD17" s="351"/>
      <c r="CE17" s="358"/>
      <c r="CF17" s="358"/>
      <c r="CG17" s="346"/>
      <c r="CH17" s="357"/>
      <c r="CI17" s="351"/>
      <c r="CJ17" s="358"/>
      <c r="CK17" s="358"/>
      <c r="CL17" s="346"/>
      <c r="CM17" s="357"/>
      <c r="CN17" s="351"/>
      <c r="CO17" s="358"/>
      <c r="CP17" s="358"/>
      <c r="CQ17" s="346"/>
      <c r="CR17" s="357"/>
      <c r="CS17" s="351"/>
      <c r="CT17" s="358"/>
      <c r="CU17" s="358"/>
      <c r="CV17" s="346"/>
      <c r="CW17" s="357"/>
      <c r="CX17" s="351"/>
      <c r="CY17" s="358"/>
      <c r="CZ17" s="358"/>
      <c r="DA17" s="346"/>
      <c r="DB17" s="357"/>
      <c r="DC17" s="351"/>
      <c r="DD17" s="358"/>
      <c r="DE17" s="358"/>
      <c r="DF17" s="346"/>
      <c r="DG17" s="357"/>
      <c r="DH17" s="351"/>
      <c r="DI17" s="358"/>
      <c r="DJ17" s="358"/>
      <c r="DK17" s="346"/>
      <c r="DL17" s="357"/>
      <c r="DM17" s="351"/>
      <c r="DN17" s="358"/>
      <c r="DO17" s="358"/>
      <c r="DP17" s="346"/>
      <c r="DQ17" s="357"/>
      <c r="DR17" s="351"/>
      <c r="DS17" s="358"/>
      <c r="DT17" s="358"/>
      <c r="DU17" s="346"/>
      <c r="DV17" s="357"/>
      <c r="DW17" s="351"/>
      <c r="DX17" s="358"/>
      <c r="DY17" s="358"/>
      <c r="DZ17" s="346"/>
      <c r="EA17" s="357"/>
      <c r="EB17" s="351"/>
      <c r="EC17" s="358"/>
      <c r="ED17" s="358"/>
      <c r="EE17" s="346"/>
      <c r="EF17" s="357"/>
      <c r="EG17" s="351"/>
      <c r="EH17" s="358"/>
      <c r="EI17" s="358"/>
      <c r="EJ17" s="346"/>
      <c r="EK17" s="357"/>
      <c r="EL17" s="351"/>
      <c r="EM17" s="358"/>
      <c r="EN17" s="358"/>
      <c r="EO17" s="346"/>
      <c r="EP17" s="357"/>
      <c r="EQ17" s="351"/>
      <c r="ER17" s="358"/>
      <c r="ES17" s="358"/>
      <c r="ET17" s="346"/>
      <c r="EU17" s="357"/>
      <c r="EV17" s="351"/>
      <c r="EW17" s="358"/>
      <c r="EX17" s="358"/>
      <c r="EY17" s="346"/>
      <c r="EZ17" s="357"/>
      <c r="FA17" s="351"/>
      <c r="FB17" s="358"/>
      <c r="FC17" s="358"/>
      <c r="FD17" s="346"/>
      <c r="FE17" s="357"/>
      <c r="FF17" s="351"/>
      <c r="FG17" s="358"/>
      <c r="FH17" s="358"/>
      <c r="FI17" s="346"/>
      <c r="FJ17" s="357"/>
      <c r="FK17" s="351"/>
      <c r="FL17" s="358"/>
      <c r="FM17" s="358"/>
      <c r="FN17" s="346"/>
      <c r="FO17" s="357"/>
      <c r="FP17" s="351"/>
      <c r="FQ17" s="358"/>
      <c r="FR17" s="358"/>
      <c r="FS17" s="346"/>
      <c r="FT17" s="357"/>
      <c r="FU17" s="351"/>
      <c r="FV17" s="358"/>
      <c r="FW17" s="358"/>
      <c r="FX17" s="346"/>
      <c r="FY17" s="357"/>
      <c r="FZ17" s="351"/>
      <c r="GA17" s="358"/>
      <c r="GB17" s="358"/>
      <c r="GC17" s="346"/>
      <c r="GD17" s="357"/>
      <c r="GE17" s="351"/>
      <c r="GF17" s="358"/>
      <c r="GG17" s="358"/>
      <c r="GH17" s="346"/>
      <c r="GI17" s="357"/>
      <c r="GJ17" s="351"/>
      <c r="GK17" s="358"/>
      <c r="GL17" s="358"/>
      <c r="GM17" s="346"/>
      <c r="GN17" s="357"/>
      <c r="GO17" s="351"/>
      <c r="GP17" s="358"/>
      <c r="GQ17" s="358"/>
      <c r="GR17" s="346"/>
      <c r="GS17" s="357"/>
      <c r="GT17" s="351"/>
      <c r="GU17" s="358"/>
      <c r="GV17" s="358"/>
      <c r="GW17" s="346"/>
      <c r="GX17" s="357"/>
      <c r="GY17" s="351"/>
      <c r="GZ17" s="358"/>
      <c r="HA17" s="358"/>
      <c r="HB17" s="346"/>
      <c r="HC17" s="357"/>
      <c r="HD17" s="351"/>
      <c r="HE17" s="358"/>
      <c r="HF17" s="358"/>
      <c r="HG17" s="346"/>
      <c r="HH17" s="357"/>
      <c r="HI17" s="351"/>
      <c r="HJ17" s="358"/>
      <c r="HK17" s="358"/>
      <c r="HL17" s="346"/>
      <c r="HM17" s="357"/>
      <c r="HN17" s="351"/>
      <c r="HO17" s="358"/>
      <c r="HP17" s="358"/>
      <c r="HQ17" s="346"/>
      <c r="HR17" s="357"/>
      <c r="HS17" s="351"/>
      <c r="HT17" s="358"/>
      <c r="HU17" s="358"/>
      <c r="HV17" s="346"/>
      <c r="HW17" s="357"/>
      <c r="HX17" s="351"/>
      <c r="HY17" s="358"/>
      <c r="HZ17" s="358"/>
      <c r="IA17" s="346"/>
      <c r="IB17" s="357"/>
      <c r="IC17" s="351"/>
      <c r="ID17" s="358"/>
      <c r="IE17" s="358"/>
      <c r="IF17" s="346"/>
      <c r="IG17" s="357"/>
      <c r="IH17" s="351"/>
      <c r="II17" s="358"/>
      <c r="IJ17" s="358"/>
      <c r="IK17" s="346"/>
      <c r="IL17" s="357"/>
      <c r="IM17" s="351"/>
      <c r="IN17" s="358"/>
      <c r="IO17" s="358"/>
      <c r="IP17" s="346"/>
      <c r="IQ17" s="357"/>
      <c r="IR17" s="351"/>
      <c r="IS17" s="358"/>
      <c r="IT17" s="358"/>
      <c r="IU17" s="346"/>
      <c r="IV17" s="357"/>
    </row>
    <row r="18" spans="1:256" s="353" customFormat="1" x14ac:dyDescent="0.2">
      <c r="A18" s="357">
        <v>16</v>
      </c>
      <c r="B18" s="351" t="s">
        <v>593</v>
      </c>
      <c r="C18" s="358">
        <v>12.5</v>
      </c>
      <c r="D18" s="358">
        <v>0.375</v>
      </c>
      <c r="E18" s="346"/>
      <c r="F18" s="357">
        <v>16</v>
      </c>
      <c r="G18" s="351" t="s">
        <v>598</v>
      </c>
      <c r="H18" s="358">
        <v>33.333333333333336</v>
      </c>
      <c r="I18" s="358">
        <v>1.3333333333333333</v>
      </c>
      <c r="J18" s="346"/>
      <c r="K18" s="357">
        <v>16</v>
      </c>
      <c r="L18" s="351" t="s">
        <v>601</v>
      </c>
      <c r="M18" s="358">
        <v>15.789473684210526</v>
      </c>
      <c r="N18" s="358">
        <v>2.1842105263157894</v>
      </c>
      <c r="O18" s="346"/>
      <c r="P18" s="357">
        <v>16</v>
      </c>
      <c r="Q18" s="351" t="s">
        <v>361</v>
      </c>
      <c r="R18" s="358">
        <v>28.571428571428573</v>
      </c>
      <c r="S18" s="358">
        <v>1.7857142857142858</v>
      </c>
      <c r="T18" s="346"/>
      <c r="U18" s="343">
        <v>16</v>
      </c>
      <c r="V18" s="344" t="s">
        <v>2566</v>
      </c>
      <c r="W18" s="345">
        <v>100</v>
      </c>
      <c r="X18" s="345">
        <v>0.5</v>
      </c>
      <c r="Y18" s="346"/>
      <c r="Z18" s="357">
        <v>16</v>
      </c>
      <c r="AA18" s="351" t="s">
        <v>349</v>
      </c>
      <c r="AB18" s="358">
        <v>85.714285714285708</v>
      </c>
      <c r="AC18" s="358">
        <v>1.7142857142857142</v>
      </c>
      <c r="AD18" s="346"/>
      <c r="AE18" s="357">
        <v>16</v>
      </c>
      <c r="AF18" s="351" t="s">
        <v>385</v>
      </c>
      <c r="AG18" s="358">
        <v>20</v>
      </c>
      <c r="AH18" s="358">
        <v>2.2000000000000002</v>
      </c>
      <c r="AI18" s="346"/>
      <c r="AJ18" s="357">
        <v>16</v>
      </c>
      <c r="AK18" s="351" t="s">
        <v>2601</v>
      </c>
      <c r="AL18" s="358">
        <v>66.666666666666671</v>
      </c>
      <c r="AM18" s="358">
        <v>3</v>
      </c>
      <c r="AN18" s="346"/>
      <c r="AO18" s="350">
        <v>16</v>
      </c>
      <c r="AP18" s="351" t="s">
        <v>593</v>
      </c>
      <c r="AQ18" s="352">
        <v>50</v>
      </c>
      <c r="AR18" s="352">
        <v>0.25</v>
      </c>
      <c r="AS18" s="346"/>
      <c r="AT18" s="343">
        <v>16</v>
      </c>
      <c r="AU18" s="344" t="s">
        <v>430</v>
      </c>
      <c r="AV18" s="345">
        <v>100</v>
      </c>
      <c r="AW18" s="345">
        <v>2</v>
      </c>
      <c r="AX18" s="346"/>
      <c r="AY18" s="350">
        <v>16</v>
      </c>
      <c r="AZ18" s="351" t="s">
        <v>394</v>
      </c>
      <c r="BA18" s="352">
        <v>66.666666666666671</v>
      </c>
      <c r="BB18" s="352">
        <v>1.8333333333333333</v>
      </c>
      <c r="BC18" s="346"/>
      <c r="BD18" s="343">
        <v>16</v>
      </c>
      <c r="BE18" s="344" t="s">
        <v>381</v>
      </c>
      <c r="BF18" s="345">
        <v>100</v>
      </c>
      <c r="BG18" s="345">
        <v>1</v>
      </c>
      <c r="BH18" s="346"/>
      <c r="BI18" s="350"/>
      <c r="BJ18" s="351"/>
      <c r="BK18" s="352"/>
      <c r="BL18" s="352"/>
      <c r="BM18" s="346"/>
      <c r="BN18" s="343">
        <v>16</v>
      </c>
      <c r="BO18" s="344" t="s">
        <v>392</v>
      </c>
      <c r="BP18" s="345">
        <v>100</v>
      </c>
      <c r="BQ18" s="345">
        <v>4</v>
      </c>
      <c r="BR18" s="346"/>
      <c r="BS18" s="343">
        <v>16</v>
      </c>
      <c r="BT18" s="344" t="s">
        <v>2596</v>
      </c>
      <c r="BU18" s="345">
        <v>100</v>
      </c>
      <c r="BV18" s="345">
        <v>0.5</v>
      </c>
      <c r="BW18" s="346"/>
      <c r="BX18" s="343">
        <v>16</v>
      </c>
      <c r="BY18" s="344" t="s">
        <v>2599</v>
      </c>
      <c r="BZ18" s="345">
        <v>100</v>
      </c>
      <c r="CA18" s="345">
        <v>0.5</v>
      </c>
      <c r="CB18" s="346"/>
      <c r="CC18" s="357"/>
      <c r="CD18" s="351"/>
      <c r="CE18" s="358"/>
      <c r="CF18" s="358"/>
      <c r="CG18" s="346"/>
      <c r="CH18" s="357"/>
      <c r="CI18" s="351"/>
      <c r="CJ18" s="358"/>
      <c r="CK18" s="358"/>
      <c r="CL18" s="346"/>
      <c r="CM18" s="357"/>
      <c r="CN18" s="351"/>
      <c r="CO18" s="358"/>
      <c r="CP18" s="358"/>
      <c r="CQ18" s="346"/>
      <c r="CR18" s="357"/>
      <c r="CS18" s="351"/>
      <c r="CT18" s="358"/>
      <c r="CU18" s="358"/>
      <c r="CV18" s="346"/>
      <c r="CW18" s="357"/>
      <c r="CX18" s="351"/>
      <c r="CY18" s="358"/>
      <c r="CZ18" s="358"/>
      <c r="DA18" s="346"/>
      <c r="DB18" s="357"/>
      <c r="DC18" s="351"/>
      <c r="DD18" s="358"/>
      <c r="DE18" s="358"/>
      <c r="DF18" s="346"/>
      <c r="DG18" s="357"/>
      <c r="DH18" s="351"/>
      <c r="DI18" s="358"/>
      <c r="DJ18" s="358"/>
      <c r="DK18" s="346"/>
      <c r="DL18" s="357"/>
      <c r="DM18" s="351"/>
      <c r="DN18" s="358"/>
      <c r="DO18" s="358"/>
      <c r="DP18" s="346"/>
      <c r="DQ18" s="357"/>
      <c r="DR18" s="351"/>
      <c r="DS18" s="358"/>
      <c r="DT18" s="358"/>
      <c r="DU18" s="346"/>
      <c r="DV18" s="357"/>
      <c r="DW18" s="351"/>
      <c r="DX18" s="358"/>
      <c r="DY18" s="358"/>
      <c r="DZ18" s="346"/>
      <c r="EA18" s="357"/>
      <c r="EB18" s="351"/>
      <c r="EC18" s="358"/>
      <c r="ED18" s="358"/>
      <c r="EE18" s="346"/>
      <c r="EF18" s="357"/>
      <c r="EG18" s="351"/>
      <c r="EH18" s="358"/>
      <c r="EI18" s="358"/>
      <c r="EJ18" s="346"/>
      <c r="EK18" s="357"/>
      <c r="EL18" s="351"/>
      <c r="EM18" s="358"/>
      <c r="EN18" s="358"/>
      <c r="EO18" s="346"/>
      <c r="EP18" s="357"/>
      <c r="EQ18" s="351"/>
      <c r="ER18" s="358"/>
      <c r="ES18" s="358"/>
      <c r="ET18" s="346"/>
      <c r="EU18" s="357"/>
      <c r="EV18" s="351"/>
      <c r="EW18" s="358"/>
      <c r="EX18" s="358"/>
      <c r="EY18" s="346"/>
      <c r="EZ18" s="357"/>
      <c r="FA18" s="351"/>
      <c r="FB18" s="358"/>
      <c r="FC18" s="358"/>
      <c r="FD18" s="346"/>
      <c r="FE18" s="357"/>
      <c r="FF18" s="351"/>
      <c r="FG18" s="358"/>
      <c r="FH18" s="358"/>
      <c r="FI18" s="346"/>
      <c r="FJ18" s="357"/>
      <c r="FK18" s="351"/>
      <c r="FL18" s="358"/>
      <c r="FM18" s="358"/>
      <c r="FN18" s="346"/>
      <c r="FO18" s="357"/>
      <c r="FP18" s="351"/>
      <c r="FQ18" s="358"/>
      <c r="FR18" s="358"/>
      <c r="FS18" s="346"/>
      <c r="FT18" s="357"/>
      <c r="FU18" s="351"/>
      <c r="FV18" s="358"/>
      <c r="FW18" s="358"/>
      <c r="FX18" s="346"/>
      <c r="FY18" s="357"/>
      <c r="FZ18" s="351"/>
      <c r="GA18" s="358"/>
      <c r="GB18" s="358"/>
      <c r="GC18" s="346"/>
      <c r="GD18" s="357"/>
      <c r="GE18" s="351"/>
      <c r="GF18" s="358"/>
      <c r="GG18" s="358"/>
      <c r="GH18" s="346"/>
      <c r="GI18" s="357"/>
      <c r="GJ18" s="351"/>
      <c r="GK18" s="358"/>
      <c r="GL18" s="358"/>
      <c r="GM18" s="346"/>
      <c r="GN18" s="357"/>
      <c r="GO18" s="351"/>
      <c r="GP18" s="358"/>
      <c r="GQ18" s="358"/>
      <c r="GR18" s="346"/>
      <c r="GS18" s="357"/>
      <c r="GT18" s="351"/>
      <c r="GU18" s="358"/>
      <c r="GV18" s="358"/>
      <c r="GW18" s="346"/>
      <c r="GX18" s="357"/>
      <c r="GY18" s="351"/>
      <c r="GZ18" s="358"/>
      <c r="HA18" s="358"/>
      <c r="HB18" s="346"/>
      <c r="HC18" s="357"/>
      <c r="HD18" s="351"/>
      <c r="HE18" s="358"/>
      <c r="HF18" s="358"/>
      <c r="HG18" s="346"/>
      <c r="HH18" s="357"/>
      <c r="HI18" s="351"/>
      <c r="HJ18" s="358"/>
      <c r="HK18" s="358"/>
      <c r="HL18" s="346"/>
      <c r="HM18" s="357"/>
      <c r="HN18" s="351"/>
      <c r="HO18" s="358"/>
      <c r="HP18" s="358"/>
      <c r="HQ18" s="346"/>
      <c r="HR18" s="357"/>
      <c r="HS18" s="351"/>
      <c r="HT18" s="358"/>
      <c r="HU18" s="358"/>
      <c r="HV18" s="346"/>
      <c r="HW18" s="357"/>
      <c r="HX18" s="351"/>
      <c r="HY18" s="358"/>
      <c r="HZ18" s="358"/>
      <c r="IA18" s="346"/>
      <c r="IB18" s="357"/>
      <c r="IC18" s="351"/>
      <c r="ID18" s="358"/>
      <c r="IE18" s="358"/>
      <c r="IF18" s="346"/>
      <c r="IG18" s="357"/>
      <c r="IH18" s="351"/>
      <c r="II18" s="358"/>
      <c r="IJ18" s="358"/>
      <c r="IK18" s="346"/>
      <c r="IL18" s="357"/>
      <c r="IM18" s="351"/>
      <c r="IN18" s="358"/>
      <c r="IO18" s="358"/>
      <c r="IP18" s="346"/>
      <c r="IQ18" s="357"/>
      <c r="IR18" s="351"/>
      <c r="IS18" s="358"/>
      <c r="IT18" s="358"/>
      <c r="IU18" s="346"/>
      <c r="IV18" s="357"/>
    </row>
    <row r="19" spans="1:256" s="353" customFormat="1" x14ac:dyDescent="0.2">
      <c r="A19" s="359">
        <v>17</v>
      </c>
      <c r="B19" s="355" t="s">
        <v>2592</v>
      </c>
      <c r="C19" s="360">
        <v>12.5</v>
      </c>
      <c r="D19" s="360">
        <v>0.375</v>
      </c>
      <c r="E19" s="346"/>
      <c r="F19" s="357">
        <v>17</v>
      </c>
      <c r="G19" s="351" t="s">
        <v>2634</v>
      </c>
      <c r="H19" s="358">
        <v>66.666666666666671</v>
      </c>
      <c r="I19" s="358">
        <v>0.41666666666666669</v>
      </c>
      <c r="J19" s="346"/>
      <c r="K19" s="357">
        <v>17</v>
      </c>
      <c r="L19" s="351" t="s">
        <v>360</v>
      </c>
      <c r="M19" s="358">
        <v>26.315789473684209</v>
      </c>
      <c r="N19" s="358">
        <v>2</v>
      </c>
      <c r="O19" s="346"/>
      <c r="P19" s="357">
        <v>17</v>
      </c>
      <c r="Q19" s="351" t="s">
        <v>597</v>
      </c>
      <c r="R19" s="358">
        <v>42.857142857142854</v>
      </c>
      <c r="S19" s="358">
        <v>1.5714285714285714</v>
      </c>
      <c r="T19" s="346"/>
      <c r="U19" s="347">
        <v>17</v>
      </c>
      <c r="V19" s="348" t="s">
        <v>476</v>
      </c>
      <c r="W19" s="349">
        <v>100</v>
      </c>
      <c r="X19" s="349">
        <v>0.5</v>
      </c>
      <c r="Y19" s="346"/>
      <c r="Z19" s="357">
        <v>17</v>
      </c>
      <c r="AA19" s="351" t="s">
        <v>432</v>
      </c>
      <c r="AB19" s="358">
        <v>57.142857142857146</v>
      </c>
      <c r="AC19" s="358">
        <v>1.6428571428571428</v>
      </c>
      <c r="AD19" s="346"/>
      <c r="AE19" s="357">
        <v>17</v>
      </c>
      <c r="AF19" s="351" t="s">
        <v>2651</v>
      </c>
      <c r="AG19" s="358">
        <v>20</v>
      </c>
      <c r="AH19" s="358">
        <v>2</v>
      </c>
      <c r="AI19" s="346"/>
      <c r="AJ19" s="359">
        <v>17</v>
      </c>
      <c r="AK19" s="355" t="s">
        <v>414</v>
      </c>
      <c r="AL19" s="360">
        <v>33.333333333333336</v>
      </c>
      <c r="AM19" s="360">
        <v>2.6666666666666665</v>
      </c>
      <c r="AN19" s="346"/>
      <c r="AO19" s="354">
        <v>17</v>
      </c>
      <c r="AP19" s="355" t="s">
        <v>2576</v>
      </c>
      <c r="AQ19" s="356">
        <v>50</v>
      </c>
      <c r="AR19" s="356">
        <v>0.25</v>
      </c>
      <c r="AS19" s="346"/>
      <c r="AT19" s="343">
        <v>17</v>
      </c>
      <c r="AU19" s="344" t="s">
        <v>347</v>
      </c>
      <c r="AV19" s="345">
        <v>100</v>
      </c>
      <c r="AW19" s="345">
        <v>1.8333333333333333</v>
      </c>
      <c r="AX19" s="346"/>
      <c r="AY19" s="350">
        <v>17</v>
      </c>
      <c r="AZ19" s="351" t="s">
        <v>2642</v>
      </c>
      <c r="BA19" s="352">
        <v>33.333333333333336</v>
      </c>
      <c r="BB19" s="352">
        <v>1.3333333333333333</v>
      </c>
      <c r="BC19" s="346"/>
      <c r="BD19" s="343">
        <v>17</v>
      </c>
      <c r="BE19" s="344" t="s">
        <v>2634</v>
      </c>
      <c r="BF19" s="345">
        <v>100</v>
      </c>
      <c r="BG19" s="345">
        <v>0.5</v>
      </c>
      <c r="BH19" s="346"/>
      <c r="BI19" s="350"/>
      <c r="BJ19" s="351"/>
      <c r="BK19" s="352"/>
      <c r="BL19" s="352"/>
      <c r="BM19" s="346"/>
      <c r="BN19" s="350">
        <v>17</v>
      </c>
      <c r="BO19" s="351" t="s">
        <v>347</v>
      </c>
      <c r="BP19" s="352">
        <v>33.333333333333336</v>
      </c>
      <c r="BQ19" s="352">
        <v>3.3333333333333335</v>
      </c>
      <c r="BR19" s="346"/>
      <c r="BS19" s="343">
        <v>17</v>
      </c>
      <c r="BT19" s="344" t="s">
        <v>344</v>
      </c>
      <c r="BU19" s="345">
        <v>100</v>
      </c>
      <c r="BV19" s="345">
        <v>0.5</v>
      </c>
      <c r="BW19" s="346"/>
      <c r="BX19" s="343">
        <v>17</v>
      </c>
      <c r="BY19" s="344" t="s">
        <v>2574</v>
      </c>
      <c r="BZ19" s="345">
        <v>100</v>
      </c>
      <c r="CA19" s="345">
        <v>0.5</v>
      </c>
      <c r="CB19" s="346"/>
      <c r="CC19" s="357"/>
      <c r="CD19" s="351"/>
      <c r="CE19" s="358"/>
      <c r="CF19" s="358"/>
      <c r="CG19" s="346"/>
      <c r="CH19" s="357"/>
      <c r="CI19" s="351"/>
      <c r="CJ19" s="358"/>
      <c r="CK19" s="358"/>
      <c r="CL19" s="346"/>
      <c r="CM19" s="357"/>
      <c r="CN19" s="351"/>
      <c r="CO19" s="358"/>
      <c r="CP19" s="358"/>
      <c r="CQ19" s="346"/>
      <c r="CR19" s="357"/>
      <c r="CS19" s="351"/>
      <c r="CT19" s="358"/>
      <c r="CU19" s="358"/>
      <c r="CV19" s="346"/>
      <c r="CW19" s="357"/>
      <c r="CX19" s="351"/>
      <c r="CY19" s="358"/>
      <c r="CZ19" s="358"/>
      <c r="DA19" s="346"/>
      <c r="DB19" s="357"/>
      <c r="DC19" s="351"/>
      <c r="DD19" s="358"/>
      <c r="DE19" s="358"/>
      <c r="DF19" s="346"/>
      <c r="DG19" s="357"/>
      <c r="DH19" s="351"/>
      <c r="DI19" s="358"/>
      <c r="DJ19" s="358"/>
      <c r="DK19" s="346"/>
      <c r="DL19" s="357"/>
      <c r="DM19" s="351"/>
      <c r="DN19" s="358"/>
      <c r="DO19" s="358"/>
      <c r="DP19" s="346"/>
      <c r="DQ19" s="357"/>
      <c r="DR19" s="351"/>
      <c r="DS19" s="358"/>
      <c r="DT19" s="358"/>
      <c r="DU19" s="346"/>
      <c r="DV19" s="357"/>
      <c r="DW19" s="351"/>
      <c r="DX19" s="358"/>
      <c r="DY19" s="358"/>
      <c r="DZ19" s="346"/>
      <c r="EA19" s="357"/>
      <c r="EB19" s="351"/>
      <c r="EC19" s="358"/>
      <c r="ED19" s="358"/>
      <c r="EE19" s="346"/>
      <c r="EF19" s="357"/>
      <c r="EG19" s="351"/>
      <c r="EH19" s="358"/>
      <c r="EI19" s="358"/>
      <c r="EJ19" s="346"/>
      <c r="EK19" s="357"/>
      <c r="EL19" s="351"/>
      <c r="EM19" s="358"/>
      <c r="EN19" s="358"/>
      <c r="EO19" s="346"/>
      <c r="EP19" s="357"/>
      <c r="EQ19" s="351"/>
      <c r="ER19" s="358"/>
      <c r="ES19" s="358"/>
      <c r="ET19" s="346"/>
      <c r="EU19" s="357"/>
      <c r="EV19" s="351"/>
      <c r="EW19" s="358"/>
      <c r="EX19" s="358"/>
      <c r="EY19" s="346"/>
      <c r="EZ19" s="357"/>
      <c r="FA19" s="351"/>
      <c r="FB19" s="358"/>
      <c r="FC19" s="358"/>
      <c r="FD19" s="346"/>
      <c r="FE19" s="357"/>
      <c r="FF19" s="351"/>
      <c r="FG19" s="358"/>
      <c r="FH19" s="358"/>
      <c r="FI19" s="346"/>
      <c r="FJ19" s="357"/>
      <c r="FK19" s="351"/>
      <c r="FL19" s="358"/>
      <c r="FM19" s="358"/>
      <c r="FN19" s="346"/>
      <c r="FO19" s="357"/>
      <c r="FP19" s="351"/>
      <c r="FQ19" s="358"/>
      <c r="FR19" s="358"/>
      <c r="FS19" s="346"/>
      <c r="FT19" s="357"/>
      <c r="FU19" s="351"/>
      <c r="FV19" s="358"/>
      <c r="FW19" s="358"/>
      <c r="FX19" s="346"/>
      <c r="FY19" s="357"/>
      <c r="FZ19" s="351"/>
      <c r="GA19" s="358"/>
      <c r="GB19" s="358"/>
      <c r="GC19" s="346"/>
      <c r="GD19" s="357"/>
      <c r="GE19" s="351"/>
      <c r="GF19" s="358"/>
      <c r="GG19" s="358"/>
      <c r="GH19" s="346"/>
      <c r="GI19" s="357"/>
      <c r="GJ19" s="351"/>
      <c r="GK19" s="358"/>
      <c r="GL19" s="358"/>
      <c r="GM19" s="346"/>
      <c r="GN19" s="357"/>
      <c r="GO19" s="351"/>
      <c r="GP19" s="358"/>
      <c r="GQ19" s="358"/>
      <c r="GR19" s="346"/>
      <c r="GS19" s="357"/>
      <c r="GT19" s="351"/>
      <c r="GU19" s="358"/>
      <c r="GV19" s="358"/>
      <c r="GW19" s="346"/>
      <c r="GX19" s="357"/>
      <c r="GY19" s="351"/>
      <c r="GZ19" s="358"/>
      <c r="HA19" s="358"/>
      <c r="HB19" s="346"/>
      <c r="HC19" s="357"/>
      <c r="HD19" s="351"/>
      <c r="HE19" s="358"/>
      <c r="HF19" s="358"/>
      <c r="HG19" s="346"/>
      <c r="HH19" s="357"/>
      <c r="HI19" s="351"/>
      <c r="HJ19" s="358"/>
      <c r="HK19" s="358"/>
      <c r="HL19" s="346"/>
      <c r="HM19" s="357"/>
      <c r="HN19" s="351"/>
      <c r="HO19" s="358"/>
      <c r="HP19" s="358"/>
      <c r="HQ19" s="346"/>
      <c r="HR19" s="357"/>
      <c r="HS19" s="351"/>
      <c r="HT19" s="358"/>
      <c r="HU19" s="358"/>
      <c r="HV19" s="346"/>
      <c r="HW19" s="357"/>
      <c r="HX19" s="351"/>
      <c r="HY19" s="358"/>
      <c r="HZ19" s="358"/>
      <c r="IA19" s="346"/>
      <c r="IB19" s="357"/>
      <c r="IC19" s="351"/>
      <c r="ID19" s="358"/>
      <c r="IE19" s="358"/>
      <c r="IF19" s="346"/>
      <c r="IG19" s="357"/>
      <c r="IH19" s="351"/>
      <c r="II19" s="358"/>
      <c r="IJ19" s="358"/>
      <c r="IK19" s="346"/>
      <c r="IL19" s="357"/>
      <c r="IM19" s="351"/>
      <c r="IN19" s="358"/>
      <c r="IO19" s="358"/>
      <c r="IP19" s="346"/>
      <c r="IQ19" s="357"/>
      <c r="IR19" s="351"/>
      <c r="IS19" s="358"/>
      <c r="IT19" s="358"/>
      <c r="IU19" s="346"/>
      <c r="IV19" s="357"/>
    </row>
    <row r="20" spans="1:256" s="353" customFormat="1" x14ac:dyDescent="0.2">
      <c r="A20" s="357">
        <v>18</v>
      </c>
      <c r="B20" s="351" t="s">
        <v>434</v>
      </c>
      <c r="C20" s="358">
        <v>12.5</v>
      </c>
      <c r="D20" s="358">
        <v>0.25</v>
      </c>
      <c r="E20" s="346"/>
      <c r="F20" s="357">
        <v>18</v>
      </c>
      <c r="G20" s="351" t="s">
        <v>334</v>
      </c>
      <c r="H20" s="358">
        <v>50</v>
      </c>
      <c r="I20" s="358">
        <v>0.33333333333333331</v>
      </c>
      <c r="J20" s="346"/>
      <c r="K20" s="357">
        <v>18</v>
      </c>
      <c r="L20" s="351" t="s">
        <v>2565</v>
      </c>
      <c r="M20" s="358">
        <v>15.789473684210526</v>
      </c>
      <c r="N20" s="358">
        <v>1.8421052631578947</v>
      </c>
      <c r="O20" s="346"/>
      <c r="P20" s="357">
        <v>18</v>
      </c>
      <c r="Q20" s="351" t="s">
        <v>349</v>
      </c>
      <c r="R20" s="358">
        <v>71.428571428571431</v>
      </c>
      <c r="S20" s="358">
        <v>1.5714285714285714</v>
      </c>
      <c r="T20" s="346"/>
      <c r="U20" s="343">
        <v>18</v>
      </c>
      <c r="V20" s="344" t="s">
        <v>571</v>
      </c>
      <c r="W20" s="345">
        <v>100</v>
      </c>
      <c r="X20" s="345">
        <v>0.5</v>
      </c>
      <c r="Y20" s="346"/>
      <c r="Z20" s="357">
        <v>18</v>
      </c>
      <c r="AA20" s="351" t="s">
        <v>373</v>
      </c>
      <c r="AB20" s="358">
        <v>28.571428571428573</v>
      </c>
      <c r="AC20" s="358">
        <v>1.5714285714285714</v>
      </c>
      <c r="AD20" s="346"/>
      <c r="AE20" s="357">
        <v>18</v>
      </c>
      <c r="AF20" s="351" t="s">
        <v>424</v>
      </c>
      <c r="AG20" s="358">
        <v>60</v>
      </c>
      <c r="AH20" s="358">
        <v>2</v>
      </c>
      <c r="AI20" s="346"/>
      <c r="AJ20" s="343">
        <v>18</v>
      </c>
      <c r="AK20" s="344" t="s">
        <v>350</v>
      </c>
      <c r="AL20" s="345">
        <v>100</v>
      </c>
      <c r="AM20" s="345">
        <v>2.6666666666666665</v>
      </c>
      <c r="AN20" s="346"/>
      <c r="AO20" s="350"/>
      <c r="AP20" s="351"/>
      <c r="AQ20" s="352"/>
      <c r="AR20" s="352"/>
      <c r="AS20" s="346"/>
      <c r="AT20" s="343">
        <v>18</v>
      </c>
      <c r="AU20" s="344" t="s">
        <v>431</v>
      </c>
      <c r="AV20" s="345">
        <v>100</v>
      </c>
      <c r="AW20" s="345">
        <v>1.6666666666666667</v>
      </c>
      <c r="AX20" s="346"/>
      <c r="AY20" s="343">
        <v>18</v>
      </c>
      <c r="AZ20" s="344" t="s">
        <v>349</v>
      </c>
      <c r="BA20" s="345">
        <v>100</v>
      </c>
      <c r="BB20" s="345">
        <v>1</v>
      </c>
      <c r="BC20" s="346"/>
      <c r="BD20" s="343">
        <v>18</v>
      </c>
      <c r="BE20" s="344" t="s">
        <v>403</v>
      </c>
      <c r="BF20" s="345">
        <v>100</v>
      </c>
      <c r="BG20" s="345">
        <v>0.5</v>
      </c>
      <c r="BH20" s="346"/>
      <c r="BI20" s="350"/>
      <c r="BJ20" s="351"/>
      <c r="BK20" s="352"/>
      <c r="BL20" s="352"/>
      <c r="BM20" s="346"/>
      <c r="BN20" s="350">
        <v>18</v>
      </c>
      <c r="BO20" s="351" t="s">
        <v>2573</v>
      </c>
      <c r="BP20" s="352">
        <v>66.666666666666671</v>
      </c>
      <c r="BQ20" s="352">
        <v>3</v>
      </c>
      <c r="BR20" s="346"/>
      <c r="BS20" s="357"/>
      <c r="BT20" s="351"/>
      <c r="BU20" s="358"/>
      <c r="BV20" s="358"/>
      <c r="BW20" s="346"/>
      <c r="BX20" s="343">
        <v>18</v>
      </c>
      <c r="BY20" s="344" t="s">
        <v>2579</v>
      </c>
      <c r="BZ20" s="345">
        <v>100</v>
      </c>
      <c r="CA20" s="345">
        <v>0.5</v>
      </c>
      <c r="CB20" s="346"/>
      <c r="CC20" s="357"/>
      <c r="CD20" s="351"/>
      <c r="CE20" s="358"/>
      <c r="CF20" s="358"/>
      <c r="CG20" s="346"/>
      <c r="CH20" s="357"/>
      <c r="CI20" s="351"/>
      <c r="CJ20" s="358"/>
      <c r="CK20" s="358"/>
      <c r="CL20" s="346"/>
      <c r="CM20" s="357"/>
      <c r="CN20" s="351"/>
      <c r="CO20" s="358"/>
      <c r="CP20" s="358"/>
      <c r="CQ20" s="346"/>
      <c r="CR20" s="357"/>
      <c r="CS20" s="351"/>
      <c r="CT20" s="358"/>
      <c r="CU20" s="358"/>
      <c r="CV20" s="346"/>
      <c r="CW20" s="357"/>
      <c r="CX20" s="351"/>
      <c r="CY20" s="358"/>
      <c r="CZ20" s="358"/>
      <c r="DA20" s="346"/>
      <c r="DB20" s="357"/>
      <c r="DC20" s="351"/>
      <c r="DD20" s="358"/>
      <c r="DE20" s="358"/>
      <c r="DF20" s="346"/>
      <c r="DG20" s="357"/>
      <c r="DH20" s="351"/>
      <c r="DI20" s="358"/>
      <c r="DJ20" s="358"/>
      <c r="DK20" s="346"/>
      <c r="DL20" s="357"/>
      <c r="DM20" s="351"/>
      <c r="DN20" s="358"/>
      <c r="DO20" s="358"/>
      <c r="DP20" s="346"/>
      <c r="DQ20" s="357"/>
      <c r="DR20" s="351"/>
      <c r="DS20" s="358"/>
      <c r="DT20" s="358"/>
      <c r="DU20" s="346"/>
      <c r="DV20" s="357"/>
      <c r="DW20" s="351"/>
      <c r="DX20" s="358"/>
      <c r="DY20" s="358"/>
      <c r="DZ20" s="346"/>
      <c r="EA20" s="357"/>
      <c r="EB20" s="351"/>
      <c r="EC20" s="358"/>
      <c r="ED20" s="358"/>
      <c r="EE20" s="346"/>
      <c r="EF20" s="357"/>
      <c r="EG20" s="351"/>
      <c r="EH20" s="358"/>
      <c r="EI20" s="358"/>
      <c r="EJ20" s="346"/>
      <c r="EK20" s="357"/>
      <c r="EL20" s="351"/>
      <c r="EM20" s="358"/>
      <c r="EN20" s="358"/>
      <c r="EO20" s="346"/>
      <c r="EP20" s="357"/>
      <c r="EQ20" s="351"/>
      <c r="ER20" s="358"/>
      <c r="ES20" s="358"/>
      <c r="ET20" s="346"/>
      <c r="EU20" s="357"/>
      <c r="EV20" s="351"/>
      <c r="EW20" s="358"/>
      <c r="EX20" s="358"/>
      <c r="EY20" s="346"/>
      <c r="EZ20" s="357"/>
      <c r="FA20" s="351"/>
      <c r="FB20" s="358"/>
      <c r="FC20" s="358"/>
      <c r="FD20" s="346"/>
      <c r="FE20" s="357"/>
      <c r="FF20" s="351"/>
      <c r="FG20" s="358"/>
      <c r="FH20" s="358"/>
      <c r="FI20" s="346"/>
      <c r="FJ20" s="357"/>
      <c r="FK20" s="351"/>
      <c r="FL20" s="358"/>
      <c r="FM20" s="358"/>
      <c r="FN20" s="346"/>
      <c r="FO20" s="357"/>
      <c r="FP20" s="351"/>
      <c r="FQ20" s="358"/>
      <c r="FR20" s="358"/>
      <c r="FS20" s="346"/>
      <c r="FT20" s="357"/>
      <c r="FU20" s="351"/>
      <c r="FV20" s="358"/>
      <c r="FW20" s="358"/>
      <c r="FX20" s="346"/>
      <c r="FY20" s="357"/>
      <c r="FZ20" s="351"/>
      <c r="GA20" s="358"/>
      <c r="GB20" s="358"/>
      <c r="GC20" s="346"/>
      <c r="GD20" s="357"/>
      <c r="GE20" s="351"/>
      <c r="GF20" s="358"/>
      <c r="GG20" s="358"/>
      <c r="GH20" s="346"/>
      <c r="GI20" s="357"/>
      <c r="GJ20" s="351"/>
      <c r="GK20" s="358"/>
      <c r="GL20" s="358"/>
      <c r="GM20" s="346"/>
      <c r="GN20" s="357"/>
      <c r="GO20" s="351"/>
      <c r="GP20" s="358"/>
      <c r="GQ20" s="358"/>
      <c r="GR20" s="346"/>
      <c r="GS20" s="357"/>
      <c r="GT20" s="351"/>
      <c r="GU20" s="358"/>
      <c r="GV20" s="358"/>
      <c r="GW20" s="346"/>
      <c r="GX20" s="357"/>
      <c r="GY20" s="351"/>
      <c r="GZ20" s="358"/>
      <c r="HA20" s="358"/>
      <c r="HB20" s="346"/>
      <c r="HC20" s="357"/>
      <c r="HD20" s="351"/>
      <c r="HE20" s="358"/>
      <c r="HF20" s="358"/>
      <c r="HG20" s="346"/>
      <c r="HH20" s="357"/>
      <c r="HI20" s="351"/>
      <c r="HJ20" s="358"/>
      <c r="HK20" s="358"/>
      <c r="HL20" s="346"/>
      <c r="HM20" s="357"/>
      <c r="HN20" s="351"/>
      <c r="HO20" s="358"/>
      <c r="HP20" s="358"/>
      <c r="HQ20" s="346"/>
      <c r="HR20" s="357"/>
      <c r="HS20" s="351"/>
      <c r="HT20" s="358"/>
      <c r="HU20" s="358"/>
      <c r="HV20" s="346"/>
      <c r="HW20" s="357"/>
      <c r="HX20" s="351"/>
      <c r="HY20" s="358"/>
      <c r="HZ20" s="358"/>
      <c r="IA20" s="346"/>
      <c r="IB20" s="357"/>
      <c r="IC20" s="351"/>
      <c r="ID20" s="358"/>
      <c r="IE20" s="358"/>
      <c r="IF20" s="346"/>
      <c r="IG20" s="357"/>
      <c r="IH20" s="351"/>
      <c r="II20" s="358"/>
      <c r="IJ20" s="358"/>
      <c r="IK20" s="346"/>
      <c r="IL20" s="357"/>
      <c r="IM20" s="351"/>
      <c r="IN20" s="358"/>
      <c r="IO20" s="358"/>
      <c r="IP20" s="346"/>
      <c r="IQ20" s="357"/>
      <c r="IR20" s="351"/>
      <c r="IS20" s="358"/>
      <c r="IT20" s="358"/>
      <c r="IU20" s="346"/>
      <c r="IV20" s="357"/>
    </row>
    <row r="21" spans="1:256" s="353" customFormat="1" x14ac:dyDescent="0.2">
      <c r="A21" s="359">
        <v>19</v>
      </c>
      <c r="B21" s="355" t="s">
        <v>331</v>
      </c>
      <c r="C21" s="360">
        <v>12.5</v>
      </c>
      <c r="D21" s="360">
        <v>0.125</v>
      </c>
      <c r="E21" s="346"/>
      <c r="F21" s="359">
        <v>19</v>
      </c>
      <c r="G21" s="355" t="s">
        <v>335</v>
      </c>
      <c r="H21" s="360">
        <v>33.333333333333336</v>
      </c>
      <c r="I21" s="360">
        <v>0.16666666666666666</v>
      </c>
      <c r="J21" s="346"/>
      <c r="K21" s="357">
        <v>19</v>
      </c>
      <c r="L21" s="351" t="s">
        <v>2583</v>
      </c>
      <c r="M21" s="358">
        <v>36.842105263157897</v>
      </c>
      <c r="N21" s="358">
        <v>1.7105263157894737</v>
      </c>
      <c r="O21" s="346"/>
      <c r="P21" s="357">
        <v>19</v>
      </c>
      <c r="Q21" s="351" t="s">
        <v>371</v>
      </c>
      <c r="R21" s="358">
        <v>28.571428571428573</v>
      </c>
      <c r="S21" s="358">
        <v>1.4285714285714286</v>
      </c>
      <c r="T21" s="346"/>
      <c r="U21" s="357"/>
      <c r="V21" s="351"/>
      <c r="W21" s="358"/>
      <c r="X21" s="358"/>
      <c r="Y21" s="346"/>
      <c r="Z21" s="357">
        <v>19</v>
      </c>
      <c r="AA21" s="351" t="s">
        <v>357</v>
      </c>
      <c r="AB21" s="358">
        <v>71.428571428571431</v>
      </c>
      <c r="AC21" s="358">
        <v>1.2142857142857142</v>
      </c>
      <c r="AD21" s="346"/>
      <c r="AE21" s="357">
        <v>19</v>
      </c>
      <c r="AF21" s="351" t="s">
        <v>443</v>
      </c>
      <c r="AG21" s="358">
        <v>40</v>
      </c>
      <c r="AH21" s="358">
        <v>1.7</v>
      </c>
      <c r="AI21" s="346"/>
      <c r="AJ21" s="357">
        <v>19</v>
      </c>
      <c r="AK21" s="351" t="s">
        <v>2642</v>
      </c>
      <c r="AL21" s="358">
        <v>66.666666666666671</v>
      </c>
      <c r="AM21" s="358">
        <v>2.6666666666666665</v>
      </c>
      <c r="AN21" s="346"/>
      <c r="AO21" s="350"/>
      <c r="AP21" s="351"/>
      <c r="AQ21" s="352"/>
      <c r="AR21" s="352"/>
      <c r="AS21" s="346"/>
      <c r="AT21" s="343">
        <v>19</v>
      </c>
      <c r="AU21" s="344" t="s">
        <v>424</v>
      </c>
      <c r="AV21" s="345">
        <v>100</v>
      </c>
      <c r="AW21" s="345">
        <v>1.6666666666666667</v>
      </c>
      <c r="AX21" s="346"/>
      <c r="AY21" s="354">
        <v>19</v>
      </c>
      <c r="AZ21" s="355" t="s">
        <v>1584</v>
      </c>
      <c r="BA21" s="356">
        <v>33.333333333333336</v>
      </c>
      <c r="BB21" s="356">
        <v>1</v>
      </c>
      <c r="BC21" s="346"/>
      <c r="BD21" s="343">
        <v>19</v>
      </c>
      <c r="BE21" s="344" t="s">
        <v>421</v>
      </c>
      <c r="BF21" s="345">
        <v>100</v>
      </c>
      <c r="BG21" s="345">
        <v>0.5</v>
      </c>
      <c r="BH21" s="346"/>
      <c r="BI21" s="350"/>
      <c r="BJ21" s="351"/>
      <c r="BK21" s="352"/>
      <c r="BL21" s="352"/>
      <c r="BM21" s="346"/>
      <c r="BN21" s="343">
        <v>19</v>
      </c>
      <c r="BO21" s="344" t="s">
        <v>350</v>
      </c>
      <c r="BP21" s="345">
        <v>100</v>
      </c>
      <c r="BQ21" s="345">
        <v>2.8333333333333335</v>
      </c>
      <c r="BR21" s="346"/>
      <c r="BS21" s="350"/>
      <c r="BT21" s="351"/>
      <c r="BU21" s="352"/>
      <c r="BV21" s="352"/>
      <c r="BW21" s="346"/>
      <c r="BX21" s="343">
        <v>19</v>
      </c>
      <c r="BY21" s="344" t="s">
        <v>349</v>
      </c>
      <c r="BZ21" s="345">
        <v>100</v>
      </c>
      <c r="CA21" s="345">
        <v>0.5</v>
      </c>
      <c r="CB21" s="346"/>
      <c r="CC21" s="357"/>
      <c r="CD21" s="351"/>
      <c r="CE21" s="358"/>
      <c r="CF21" s="358"/>
      <c r="CG21" s="346"/>
      <c r="CH21" s="357"/>
      <c r="CI21" s="351"/>
      <c r="CJ21" s="358"/>
      <c r="CK21" s="358"/>
      <c r="CL21" s="346"/>
      <c r="CM21" s="357"/>
      <c r="CN21" s="351"/>
      <c r="CO21" s="358"/>
      <c r="CP21" s="358"/>
      <c r="CQ21" s="346"/>
      <c r="CR21" s="357"/>
      <c r="CS21" s="351"/>
      <c r="CT21" s="358"/>
      <c r="CU21" s="358"/>
      <c r="CV21" s="346"/>
      <c r="CW21" s="357"/>
      <c r="CX21" s="351"/>
      <c r="CY21" s="358"/>
      <c r="CZ21" s="358"/>
      <c r="DA21" s="346"/>
      <c r="DB21" s="357"/>
      <c r="DC21" s="351"/>
      <c r="DD21" s="358"/>
      <c r="DE21" s="358"/>
      <c r="DF21" s="346"/>
      <c r="DG21" s="357"/>
      <c r="DH21" s="351"/>
      <c r="DI21" s="358"/>
      <c r="DJ21" s="358"/>
      <c r="DK21" s="346"/>
      <c r="DL21" s="357"/>
      <c r="DM21" s="351"/>
      <c r="DN21" s="358"/>
      <c r="DO21" s="358"/>
      <c r="DP21" s="346"/>
      <c r="DQ21" s="357"/>
      <c r="DR21" s="351"/>
      <c r="DS21" s="358"/>
      <c r="DT21" s="358"/>
      <c r="DU21" s="346"/>
      <c r="DV21" s="357"/>
      <c r="DW21" s="351"/>
      <c r="DX21" s="358"/>
      <c r="DY21" s="358"/>
      <c r="DZ21" s="346"/>
      <c r="EA21" s="357"/>
      <c r="EB21" s="351"/>
      <c r="EC21" s="358"/>
      <c r="ED21" s="358"/>
      <c r="EE21" s="346"/>
      <c r="EF21" s="357"/>
      <c r="EG21" s="351"/>
      <c r="EH21" s="358"/>
      <c r="EI21" s="358"/>
      <c r="EJ21" s="346"/>
      <c r="EK21" s="357"/>
      <c r="EL21" s="351"/>
      <c r="EM21" s="358"/>
      <c r="EN21" s="358"/>
      <c r="EO21" s="346"/>
      <c r="EP21" s="357"/>
      <c r="EQ21" s="351"/>
      <c r="ER21" s="358"/>
      <c r="ES21" s="358"/>
      <c r="ET21" s="346"/>
      <c r="EU21" s="357"/>
      <c r="EV21" s="351"/>
      <c r="EW21" s="358"/>
      <c r="EX21" s="358"/>
      <c r="EY21" s="346"/>
      <c r="EZ21" s="357"/>
      <c r="FA21" s="351"/>
      <c r="FB21" s="358"/>
      <c r="FC21" s="358"/>
      <c r="FD21" s="346"/>
      <c r="FE21" s="357"/>
      <c r="FF21" s="351"/>
      <c r="FG21" s="358"/>
      <c r="FH21" s="358"/>
      <c r="FI21" s="346"/>
      <c r="FJ21" s="357"/>
      <c r="FK21" s="351"/>
      <c r="FL21" s="358"/>
      <c r="FM21" s="358"/>
      <c r="FN21" s="346"/>
      <c r="FO21" s="357"/>
      <c r="FP21" s="351"/>
      <c r="FQ21" s="358"/>
      <c r="FR21" s="358"/>
      <c r="FS21" s="346"/>
      <c r="FT21" s="357"/>
      <c r="FU21" s="351"/>
      <c r="FV21" s="358"/>
      <c r="FW21" s="358"/>
      <c r="FX21" s="346"/>
      <c r="FY21" s="357"/>
      <c r="FZ21" s="351"/>
      <c r="GA21" s="358"/>
      <c r="GB21" s="358"/>
      <c r="GC21" s="346"/>
      <c r="GD21" s="357"/>
      <c r="GE21" s="351"/>
      <c r="GF21" s="358"/>
      <c r="GG21" s="358"/>
      <c r="GH21" s="346"/>
      <c r="GI21" s="357"/>
      <c r="GJ21" s="351"/>
      <c r="GK21" s="358"/>
      <c r="GL21" s="358"/>
      <c r="GM21" s="346"/>
      <c r="GN21" s="357"/>
      <c r="GO21" s="351"/>
      <c r="GP21" s="358"/>
      <c r="GQ21" s="358"/>
      <c r="GR21" s="346"/>
      <c r="GS21" s="357"/>
      <c r="GT21" s="351"/>
      <c r="GU21" s="358"/>
      <c r="GV21" s="358"/>
      <c r="GW21" s="346"/>
      <c r="GX21" s="357"/>
      <c r="GY21" s="351"/>
      <c r="GZ21" s="358"/>
      <c r="HA21" s="358"/>
      <c r="HB21" s="346"/>
      <c r="HC21" s="357"/>
      <c r="HD21" s="351"/>
      <c r="HE21" s="358"/>
      <c r="HF21" s="358"/>
      <c r="HG21" s="346"/>
      <c r="HH21" s="357"/>
      <c r="HI21" s="351"/>
      <c r="HJ21" s="358"/>
      <c r="HK21" s="358"/>
      <c r="HL21" s="346"/>
      <c r="HM21" s="357"/>
      <c r="HN21" s="351"/>
      <c r="HO21" s="358"/>
      <c r="HP21" s="358"/>
      <c r="HQ21" s="346"/>
      <c r="HR21" s="357"/>
      <c r="HS21" s="351"/>
      <c r="HT21" s="358"/>
      <c r="HU21" s="358"/>
      <c r="HV21" s="346"/>
      <c r="HW21" s="357"/>
      <c r="HX21" s="351"/>
      <c r="HY21" s="358"/>
      <c r="HZ21" s="358"/>
      <c r="IA21" s="346"/>
      <c r="IB21" s="357"/>
      <c r="IC21" s="351"/>
      <c r="ID21" s="358"/>
      <c r="IE21" s="358"/>
      <c r="IF21" s="346"/>
      <c r="IG21" s="357"/>
      <c r="IH21" s="351"/>
      <c r="II21" s="358"/>
      <c r="IJ21" s="358"/>
      <c r="IK21" s="346"/>
      <c r="IL21" s="357"/>
      <c r="IM21" s="351"/>
      <c r="IN21" s="358"/>
      <c r="IO21" s="358"/>
      <c r="IP21" s="346"/>
      <c r="IQ21" s="357"/>
      <c r="IR21" s="351"/>
      <c r="IS21" s="358"/>
      <c r="IT21" s="358"/>
      <c r="IU21" s="346"/>
      <c r="IV21" s="357"/>
    </row>
    <row r="22" spans="1:256" s="353" customFormat="1" ht="24" customHeight="1" thickBot="1" x14ac:dyDescent="0.25">
      <c r="A22" s="361">
        <v>20</v>
      </c>
      <c r="B22" s="362" t="s">
        <v>613</v>
      </c>
      <c r="C22" s="363">
        <v>12.5</v>
      </c>
      <c r="D22" s="363">
        <v>6.25E-2</v>
      </c>
      <c r="E22" s="364"/>
      <c r="F22" s="361">
        <v>20</v>
      </c>
      <c r="G22" s="362" t="s">
        <v>328</v>
      </c>
      <c r="H22" s="363">
        <v>16.666666666666668</v>
      </c>
      <c r="I22" s="363">
        <v>0.16666666666666666</v>
      </c>
      <c r="J22" s="364"/>
      <c r="K22" s="361">
        <v>20</v>
      </c>
      <c r="L22" s="362" t="s">
        <v>2636</v>
      </c>
      <c r="M22" s="363">
        <v>57.89473684210526</v>
      </c>
      <c r="N22" s="363">
        <v>1.6578947368421053</v>
      </c>
      <c r="O22" s="364"/>
      <c r="P22" s="361">
        <v>20</v>
      </c>
      <c r="Q22" s="362" t="s">
        <v>2575</v>
      </c>
      <c r="R22" s="363">
        <v>14.285714285714286</v>
      </c>
      <c r="S22" s="363">
        <v>1.4285714285714286</v>
      </c>
      <c r="T22" s="364"/>
      <c r="U22" s="361"/>
      <c r="V22" s="362"/>
      <c r="W22" s="363"/>
      <c r="X22" s="363"/>
      <c r="Y22" s="364"/>
      <c r="Z22" s="365">
        <v>20</v>
      </c>
      <c r="AA22" s="362" t="s">
        <v>2644</v>
      </c>
      <c r="AB22" s="366">
        <v>71.428571428571431</v>
      </c>
      <c r="AC22" s="366">
        <v>1.1428571428571428</v>
      </c>
      <c r="AD22" s="364"/>
      <c r="AE22" s="367">
        <v>20</v>
      </c>
      <c r="AF22" s="368" t="s">
        <v>1588</v>
      </c>
      <c r="AG22" s="369">
        <v>20</v>
      </c>
      <c r="AH22" s="369">
        <v>1.6</v>
      </c>
      <c r="AI22" s="364"/>
      <c r="AJ22" s="361">
        <v>20</v>
      </c>
      <c r="AK22" s="362" t="s">
        <v>582</v>
      </c>
      <c r="AL22" s="363">
        <v>66.666666666666671</v>
      </c>
      <c r="AM22" s="363">
        <v>2.6666666666666665</v>
      </c>
      <c r="AN22" s="364"/>
      <c r="AO22" s="365"/>
      <c r="AP22" s="362"/>
      <c r="AQ22" s="366"/>
      <c r="AR22" s="366"/>
      <c r="AS22" s="364"/>
      <c r="AT22" s="370">
        <v>20</v>
      </c>
      <c r="AU22" s="371" t="s">
        <v>442</v>
      </c>
      <c r="AV22" s="372">
        <v>100</v>
      </c>
      <c r="AW22" s="372">
        <v>1.6666666666666667</v>
      </c>
      <c r="AX22" s="364"/>
      <c r="AY22" s="365">
        <v>20</v>
      </c>
      <c r="AZ22" s="362" t="s">
        <v>2573</v>
      </c>
      <c r="BA22" s="366">
        <v>33.333333333333336</v>
      </c>
      <c r="BB22" s="366">
        <v>0.66666666666666663</v>
      </c>
      <c r="BC22" s="364"/>
      <c r="BD22" s="370">
        <v>20</v>
      </c>
      <c r="BE22" s="371" t="s">
        <v>613</v>
      </c>
      <c r="BF22" s="372">
        <v>100</v>
      </c>
      <c r="BG22" s="372">
        <v>0.5</v>
      </c>
      <c r="BH22" s="364"/>
      <c r="BI22" s="365"/>
      <c r="BJ22" s="362"/>
      <c r="BK22" s="366"/>
      <c r="BL22" s="366"/>
      <c r="BM22" s="364"/>
      <c r="BN22" s="370">
        <v>20</v>
      </c>
      <c r="BO22" s="371" t="s">
        <v>369</v>
      </c>
      <c r="BP22" s="372">
        <v>100</v>
      </c>
      <c r="BQ22" s="372">
        <v>2.8333333333333335</v>
      </c>
      <c r="BR22" s="364"/>
      <c r="BS22" s="365"/>
      <c r="BT22" s="362"/>
      <c r="BU22" s="366"/>
      <c r="BV22" s="366"/>
      <c r="BW22" s="364"/>
      <c r="BX22" s="370">
        <v>20</v>
      </c>
      <c r="BY22" s="371" t="s">
        <v>358</v>
      </c>
      <c r="BZ22" s="372">
        <v>100</v>
      </c>
      <c r="CA22" s="372">
        <v>0.5</v>
      </c>
      <c r="CB22" s="364"/>
      <c r="CC22" s="361"/>
      <c r="CD22" s="362"/>
      <c r="CE22" s="363"/>
      <c r="CF22" s="363"/>
      <c r="CG22" s="364"/>
      <c r="CH22" s="361"/>
      <c r="CI22" s="362"/>
      <c r="CJ22" s="363"/>
      <c r="CK22" s="363"/>
      <c r="CL22" s="364"/>
      <c r="CM22" s="361"/>
      <c r="CN22" s="362"/>
      <c r="CO22" s="363"/>
      <c r="CP22" s="363"/>
      <c r="CQ22" s="364"/>
      <c r="CR22" s="361"/>
      <c r="CS22" s="362"/>
      <c r="CT22" s="363"/>
      <c r="CU22" s="363"/>
      <c r="CV22" s="364"/>
      <c r="CW22" s="361"/>
      <c r="CX22" s="362"/>
      <c r="CY22" s="363"/>
      <c r="CZ22" s="363"/>
      <c r="DA22" s="364"/>
      <c r="DB22" s="361"/>
      <c r="DC22" s="362"/>
      <c r="DD22" s="363"/>
      <c r="DE22" s="363"/>
      <c r="DF22" s="364"/>
      <c r="DG22" s="361"/>
      <c r="DH22" s="362"/>
      <c r="DI22" s="363"/>
      <c r="DJ22" s="363"/>
      <c r="DK22" s="364"/>
      <c r="DL22" s="361"/>
      <c r="DM22" s="362"/>
      <c r="DN22" s="363"/>
      <c r="DO22" s="363"/>
      <c r="DP22" s="364"/>
      <c r="DQ22" s="361"/>
      <c r="DR22" s="362"/>
      <c r="DS22" s="363"/>
      <c r="DT22" s="363"/>
      <c r="DU22" s="364"/>
      <c r="DV22" s="361"/>
      <c r="DW22" s="362"/>
      <c r="DX22" s="363"/>
      <c r="DY22" s="363"/>
      <c r="DZ22" s="364"/>
      <c r="EA22" s="361"/>
      <c r="EB22" s="362"/>
      <c r="EC22" s="363"/>
      <c r="ED22" s="363"/>
      <c r="EE22" s="364"/>
      <c r="EF22" s="361"/>
      <c r="EG22" s="362"/>
      <c r="EH22" s="363"/>
      <c r="EI22" s="363"/>
      <c r="EJ22" s="364"/>
      <c r="EK22" s="361"/>
      <c r="EL22" s="362"/>
      <c r="EM22" s="363"/>
      <c r="EN22" s="363"/>
      <c r="EO22" s="364"/>
      <c r="EP22" s="361"/>
      <c r="EQ22" s="362"/>
      <c r="ER22" s="363"/>
      <c r="ES22" s="363"/>
      <c r="ET22" s="364"/>
      <c r="EU22" s="361"/>
      <c r="EV22" s="362"/>
      <c r="EW22" s="363"/>
      <c r="EX22" s="363"/>
      <c r="EY22" s="364"/>
      <c r="EZ22" s="361"/>
      <c r="FA22" s="362"/>
      <c r="FB22" s="363"/>
      <c r="FC22" s="363"/>
      <c r="FD22" s="364"/>
      <c r="FE22" s="361"/>
      <c r="FF22" s="362"/>
      <c r="FG22" s="363"/>
      <c r="FH22" s="363"/>
      <c r="FI22" s="364"/>
      <c r="FJ22" s="361"/>
      <c r="FK22" s="362"/>
      <c r="FL22" s="363"/>
      <c r="FM22" s="363"/>
      <c r="FN22" s="364"/>
      <c r="FO22" s="361"/>
      <c r="FP22" s="362"/>
      <c r="FQ22" s="363"/>
      <c r="FR22" s="363"/>
      <c r="FS22" s="364"/>
      <c r="FT22" s="361"/>
      <c r="FU22" s="362"/>
      <c r="FV22" s="363"/>
      <c r="FW22" s="363"/>
      <c r="FX22" s="364"/>
      <c r="FY22" s="361"/>
      <c r="FZ22" s="362"/>
      <c r="GA22" s="363"/>
      <c r="GB22" s="363"/>
      <c r="GC22" s="364"/>
      <c r="GD22" s="361"/>
      <c r="GE22" s="362"/>
      <c r="GF22" s="363"/>
      <c r="GG22" s="363"/>
      <c r="GH22" s="364"/>
      <c r="GI22" s="361"/>
      <c r="GJ22" s="362"/>
      <c r="GK22" s="363"/>
      <c r="GL22" s="363"/>
      <c r="GM22" s="364"/>
      <c r="GN22" s="361"/>
      <c r="GO22" s="362"/>
      <c r="GP22" s="363"/>
      <c r="GQ22" s="363"/>
      <c r="GR22" s="364"/>
      <c r="GS22" s="361"/>
      <c r="GT22" s="362"/>
      <c r="GU22" s="363"/>
      <c r="GV22" s="363"/>
      <c r="GW22" s="364"/>
      <c r="GX22" s="361"/>
      <c r="GY22" s="362"/>
      <c r="GZ22" s="363"/>
      <c r="HA22" s="363"/>
      <c r="HB22" s="364"/>
      <c r="HC22" s="361"/>
      <c r="HD22" s="362"/>
      <c r="HE22" s="363"/>
      <c r="HF22" s="363"/>
      <c r="HG22" s="364"/>
      <c r="HH22" s="361"/>
      <c r="HI22" s="362"/>
      <c r="HJ22" s="363"/>
      <c r="HK22" s="363"/>
      <c r="HL22" s="364"/>
      <c r="HM22" s="361"/>
      <c r="HN22" s="362"/>
      <c r="HO22" s="363"/>
      <c r="HP22" s="363"/>
      <c r="HQ22" s="364"/>
      <c r="HR22" s="361"/>
      <c r="HS22" s="362"/>
      <c r="HT22" s="363"/>
      <c r="HU22" s="363"/>
      <c r="HV22" s="364"/>
      <c r="HW22" s="361"/>
      <c r="HX22" s="362"/>
      <c r="HY22" s="363"/>
      <c r="HZ22" s="363"/>
      <c r="IA22" s="364"/>
      <c r="IB22" s="361"/>
      <c r="IC22" s="362"/>
      <c r="ID22" s="363"/>
      <c r="IE22" s="363"/>
      <c r="IF22" s="364"/>
      <c r="IG22" s="361"/>
      <c r="IH22" s="362"/>
      <c r="II22" s="363"/>
      <c r="IJ22" s="363"/>
      <c r="IK22" s="364"/>
      <c r="IL22" s="361"/>
      <c r="IM22" s="362"/>
      <c r="IN22" s="363"/>
      <c r="IO22" s="363"/>
      <c r="IP22" s="364"/>
      <c r="IQ22" s="361"/>
      <c r="IR22" s="362"/>
      <c r="IS22" s="363"/>
      <c r="IT22" s="363"/>
      <c r="IU22" s="364"/>
      <c r="IV22" s="361"/>
    </row>
    <row r="23" spans="1:256" s="376" customFormat="1" x14ac:dyDescent="0.2">
      <c r="A23" s="373">
        <v>21</v>
      </c>
      <c r="B23" s="374" t="s">
        <v>603</v>
      </c>
      <c r="C23" s="375">
        <v>12.5</v>
      </c>
      <c r="D23" s="375">
        <v>6.25E-2</v>
      </c>
      <c r="F23" s="373">
        <v>21</v>
      </c>
      <c r="G23" s="374" t="s">
        <v>599</v>
      </c>
      <c r="H23" s="375">
        <v>16.666666666666668</v>
      </c>
      <c r="I23" s="375">
        <v>0.16666666666666666</v>
      </c>
      <c r="K23" s="373">
        <v>21</v>
      </c>
      <c r="L23" s="374" t="s">
        <v>1286</v>
      </c>
      <c r="M23" s="375">
        <v>31.578947368421051</v>
      </c>
      <c r="N23" s="375">
        <v>1.631578947368421</v>
      </c>
      <c r="P23" s="373">
        <v>21</v>
      </c>
      <c r="Q23" s="374" t="s">
        <v>437</v>
      </c>
      <c r="R23" s="375">
        <v>42.857142857142854</v>
      </c>
      <c r="S23" s="375">
        <v>1.2857142857142858</v>
      </c>
      <c r="U23" s="377"/>
      <c r="V23" s="374"/>
      <c r="W23" s="378"/>
      <c r="X23" s="378"/>
      <c r="Z23" s="373">
        <v>21</v>
      </c>
      <c r="AA23" s="374" t="s">
        <v>350</v>
      </c>
      <c r="AB23" s="375">
        <v>14.285714285714286</v>
      </c>
      <c r="AC23" s="375">
        <v>1.1428571428571428</v>
      </c>
      <c r="AE23" s="373">
        <v>21</v>
      </c>
      <c r="AF23" s="374" t="s">
        <v>408</v>
      </c>
      <c r="AG23" s="375">
        <v>80</v>
      </c>
      <c r="AH23" s="375">
        <v>1.5</v>
      </c>
      <c r="AJ23" s="373">
        <v>21</v>
      </c>
      <c r="AK23" s="374" t="s">
        <v>426</v>
      </c>
      <c r="AL23" s="375">
        <v>66.666666666666671</v>
      </c>
      <c r="AM23" s="375">
        <v>2.3333333333333335</v>
      </c>
      <c r="AO23" s="377"/>
      <c r="AP23" s="374"/>
      <c r="AQ23" s="378"/>
      <c r="AR23" s="378"/>
      <c r="AT23" s="373">
        <v>21</v>
      </c>
      <c r="AU23" s="374" t="s">
        <v>2663</v>
      </c>
      <c r="AV23" s="375">
        <v>66.666666666666671</v>
      </c>
      <c r="AW23" s="375">
        <v>1.5</v>
      </c>
      <c r="AY23" s="377">
        <v>21</v>
      </c>
      <c r="AZ23" s="374" t="s">
        <v>403</v>
      </c>
      <c r="BA23" s="378">
        <v>33.333333333333336</v>
      </c>
      <c r="BB23" s="378">
        <v>0.66666666666666663</v>
      </c>
      <c r="BD23" s="379">
        <v>21</v>
      </c>
      <c r="BE23" s="380" t="s">
        <v>984</v>
      </c>
      <c r="BF23" s="381">
        <v>100</v>
      </c>
      <c r="BG23" s="381">
        <v>0.5</v>
      </c>
      <c r="BI23" s="377"/>
      <c r="BJ23" s="374"/>
      <c r="BK23" s="378"/>
      <c r="BL23" s="378"/>
      <c r="BN23" s="377">
        <v>21</v>
      </c>
      <c r="BO23" s="374" t="s">
        <v>415</v>
      </c>
      <c r="BP23" s="378">
        <v>33.333333333333336</v>
      </c>
      <c r="BQ23" s="378">
        <v>2.6666666666666665</v>
      </c>
      <c r="BS23" s="373"/>
      <c r="BT23" s="374"/>
      <c r="BU23" s="375"/>
      <c r="BV23" s="375"/>
      <c r="BX23" s="379">
        <v>21</v>
      </c>
      <c r="BY23" s="380" t="s">
        <v>984</v>
      </c>
      <c r="BZ23" s="381">
        <v>100</v>
      </c>
      <c r="CA23" s="381">
        <v>0.5</v>
      </c>
      <c r="CC23" s="373"/>
      <c r="CD23" s="374"/>
      <c r="CE23" s="375"/>
      <c r="CF23" s="375"/>
      <c r="CH23" s="373"/>
      <c r="CI23" s="374"/>
      <c r="CJ23" s="375"/>
      <c r="CK23" s="375"/>
      <c r="CM23" s="373"/>
      <c r="CN23" s="374"/>
      <c r="CO23" s="375"/>
      <c r="CP23" s="375"/>
      <c r="CR23" s="373"/>
      <c r="CS23" s="374"/>
      <c r="CT23" s="375"/>
      <c r="CU23" s="375"/>
      <c r="CW23" s="373"/>
      <c r="CX23" s="374"/>
      <c r="CY23" s="375"/>
      <c r="CZ23" s="375"/>
      <c r="DB23" s="373"/>
      <c r="DC23" s="374"/>
      <c r="DD23" s="375"/>
      <c r="DE23" s="375"/>
      <c r="DG23" s="373"/>
      <c r="DH23" s="374"/>
      <c r="DI23" s="375"/>
      <c r="DJ23" s="375"/>
      <c r="DL23" s="373"/>
      <c r="DM23" s="374"/>
      <c r="DN23" s="375"/>
      <c r="DO23" s="375"/>
      <c r="DQ23" s="373"/>
      <c r="DR23" s="374"/>
      <c r="DS23" s="375"/>
      <c r="DT23" s="375"/>
      <c r="DV23" s="373"/>
      <c r="DW23" s="374"/>
      <c r="DX23" s="375"/>
      <c r="DY23" s="375"/>
      <c r="EA23" s="373"/>
      <c r="EB23" s="374"/>
      <c r="EC23" s="375"/>
      <c r="ED23" s="375"/>
      <c r="EF23" s="373"/>
      <c r="EG23" s="374"/>
      <c r="EH23" s="375"/>
      <c r="EI23" s="375"/>
      <c r="EK23" s="373"/>
      <c r="EL23" s="374"/>
      <c r="EM23" s="375"/>
      <c r="EN23" s="375"/>
      <c r="EP23" s="373"/>
      <c r="EQ23" s="374"/>
      <c r="ER23" s="375"/>
      <c r="ES23" s="375"/>
      <c r="EU23" s="373"/>
      <c r="EV23" s="374"/>
      <c r="EW23" s="375"/>
      <c r="EX23" s="375"/>
      <c r="EZ23" s="373"/>
      <c r="FA23" s="374"/>
      <c r="FB23" s="375"/>
      <c r="FC23" s="375"/>
      <c r="FE23" s="373"/>
      <c r="FF23" s="374"/>
      <c r="FG23" s="375"/>
      <c r="FH23" s="375"/>
      <c r="FJ23" s="373"/>
      <c r="FK23" s="374"/>
      <c r="FL23" s="375"/>
      <c r="FM23" s="375"/>
      <c r="FO23" s="373"/>
      <c r="FP23" s="374"/>
      <c r="FQ23" s="375"/>
      <c r="FR23" s="375"/>
      <c r="FT23" s="373"/>
      <c r="FU23" s="374"/>
      <c r="FV23" s="375"/>
      <c r="FW23" s="375"/>
      <c r="FY23" s="373"/>
      <c r="FZ23" s="374"/>
      <c r="GA23" s="375"/>
      <c r="GB23" s="375"/>
      <c r="GD23" s="373"/>
      <c r="GE23" s="374"/>
      <c r="GF23" s="375"/>
      <c r="GG23" s="375"/>
      <c r="GI23" s="373"/>
      <c r="GJ23" s="374"/>
      <c r="GK23" s="375"/>
      <c r="GL23" s="375"/>
      <c r="GN23" s="373"/>
      <c r="GO23" s="374"/>
      <c r="GP23" s="375"/>
      <c r="GQ23" s="375"/>
      <c r="GS23" s="373"/>
      <c r="GT23" s="374"/>
      <c r="GU23" s="375"/>
      <c r="GV23" s="375"/>
      <c r="GX23" s="373"/>
      <c r="GY23" s="374"/>
      <c r="GZ23" s="375"/>
      <c r="HA23" s="375"/>
      <c r="HC23" s="373"/>
      <c r="HD23" s="374"/>
      <c r="HE23" s="375"/>
      <c r="HF23" s="375"/>
      <c r="HH23" s="373"/>
      <c r="HI23" s="374"/>
      <c r="HJ23" s="375"/>
      <c r="HK23" s="375"/>
      <c r="HM23" s="373"/>
      <c r="HN23" s="374"/>
      <c r="HO23" s="375"/>
      <c r="HP23" s="375"/>
      <c r="HR23" s="373"/>
      <c r="HS23" s="374"/>
      <c r="HT23" s="375"/>
      <c r="HU23" s="375"/>
      <c r="HW23" s="373"/>
      <c r="HX23" s="374"/>
      <c r="HY23" s="375"/>
      <c r="HZ23" s="375"/>
      <c r="IB23" s="373"/>
      <c r="IC23" s="374"/>
      <c r="ID23" s="375"/>
      <c r="IE23" s="375"/>
      <c r="IG23" s="373"/>
      <c r="IH23" s="374"/>
      <c r="II23" s="375"/>
      <c r="IJ23" s="375"/>
      <c r="IL23" s="373"/>
      <c r="IM23" s="374"/>
      <c r="IN23" s="375"/>
      <c r="IO23" s="375"/>
      <c r="IQ23" s="373"/>
      <c r="IR23" s="374"/>
      <c r="IS23" s="375"/>
      <c r="IT23" s="375"/>
      <c r="IV23" s="373"/>
    </row>
    <row r="24" spans="1:256" s="376" customFormat="1" x14ac:dyDescent="0.2">
      <c r="A24" s="382">
        <v>22</v>
      </c>
      <c r="B24" s="383" t="s">
        <v>2613</v>
      </c>
      <c r="C24" s="384">
        <v>12.5</v>
      </c>
      <c r="D24" s="384">
        <v>6.25E-2</v>
      </c>
      <c r="F24" s="373">
        <v>22</v>
      </c>
      <c r="G24" s="374" t="s">
        <v>2591</v>
      </c>
      <c r="H24" s="375">
        <v>16.666666666666668</v>
      </c>
      <c r="I24" s="375">
        <v>8.3333333333333329E-2</v>
      </c>
      <c r="K24" s="373">
        <v>22</v>
      </c>
      <c r="L24" s="374" t="s">
        <v>2660</v>
      </c>
      <c r="M24" s="375">
        <v>10.526315789473685</v>
      </c>
      <c r="N24" s="375">
        <v>1.631578947368421</v>
      </c>
      <c r="P24" s="373">
        <v>22</v>
      </c>
      <c r="Q24" s="374" t="s">
        <v>375</v>
      </c>
      <c r="R24" s="375">
        <v>57.142857142857146</v>
      </c>
      <c r="S24" s="375">
        <v>1.2142857142857142</v>
      </c>
      <c r="U24" s="373"/>
      <c r="V24" s="374"/>
      <c r="W24" s="375"/>
      <c r="X24" s="375"/>
      <c r="Z24" s="373">
        <v>22</v>
      </c>
      <c r="AA24" s="374" t="s">
        <v>394</v>
      </c>
      <c r="AB24" s="375">
        <v>14.285714285714286</v>
      </c>
      <c r="AC24" s="375">
        <v>1.1428571428571428</v>
      </c>
      <c r="AE24" s="373">
        <v>22</v>
      </c>
      <c r="AF24" s="374" t="s">
        <v>395</v>
      </c>
      <c r="AG24" s="375">
        <v>20</v>
      </c>
      <c r="AH24" s="375">
        <v>1.4</v>
      </c>
      <c r="AJ24" s="377">
        <v>22</v>
      </c>
      <c r="AK24" s="374" t="s">
        <v>405</v>
      </c>
      <c r="AL24" s="378">
        <v>33.333333333333336</v>
      </c>
      <c r="AM24" s="378">
        <v>2</v>
      </c>
      <c r="AO24" s="377"/>
      <c r="AP24" s="374"/>
      <c r="AQ24" s="378"/>
      <c r="AR24" s="378"/>
      <c r="AT24" s="379">
        <v>22</v>
      </c>
      <c r="AU24" s="380" t="s">
        <v>371</v>
      </c>
      <c r="AV24" s="381">
        <v>100</v>
      </c>
      <c r="AW24" s="381">
        <v>1.3333333333333333</v>
      </c>
      <c r="AY24" s="377">
        <v>22</v>
      </c>
      <c r="AZ24" s="374" t="s">
        <v>355</v>
      </c>
      <c r="BA24" s="378">
        <v>33.333333333333336</v>
      </c>
      <c r="BB24" s="378">
        <v>0.66666666666666663</v>
      </c>
      <c r="BD24" s="377"/>
      <c r="BE24" s="374"/>
      <c r="BF24" s="378"/>
      <c r="BG24" s="378"/>
      <c r="BI24" s="373"/>
      <c r="BJ24" s="374"/>
      <c r="BK24" s="375"/>
      <c r="BL24" s="375"/>
      <c r="BN24" s="377">
        <v>22</v>
      </c>
      <c r="BO24" s="374" t="s">
        <v>344</v>
      </c>
      <c r="BP24" s="378">
        <v>66.666666666666671</v>
      </c>
      <c r="BQ24" s="378">
        <v>2.5</v>
      </c>
      <c r="BS24" s="373"/>
      <c r="BT24" s="374"/>
      <c r="BU24" s="375"/>
      <c r="BV24" s="375"/>
      <c r="BX24" s="379">
        <v>22</v>
      </c>
      <c r="BY24" s="380" t="s">
        <v>447</v>
      </c>
      <c r="BZ24" s="381">
        <v>100</v>
      </c>
      <c r="CA24" s="381">
        <v>0.5</v>
      </c>
      <c r="CC24" s="373"/>
      <c r="CD24" s="374"/>
      <c r="CE24" s="375"/>
      <c r="CF24" s="375"/>
      <c r="CH24" s="373"/>
      <c r="CI24" s="374"/>
      <c r="CJ24" s="375"/>
      <c r="CK24" s="375"/>
      <c r="CM24" s="373"/>
      <c r="CN24" s="374"/>
      <c r="CO24" s="375"/>
      <c r="CP24" s="375"/>
      <c r="CR24" s="373"/>
      <c r="CS24" s="374"/>
      <c r="CT24" s="375"/>
      <c r="CU24" s="375"/>
      <c r="CW24" s="373"/>
      <c r="CX24" s="374"/>
      <c r="CY24" s="375"/>
      <c r="CZ24" s="375"/>
      <c r="DB24" s="373"/>
      <c r="DC24" s="374"/>
      <c r="DD24" s="375"/>
      <c r="DE24" s="375"/>
      <c r="DG24" s="373"/>
      <c r="DH24" s="374"/>
      <c r="DI24" s="375"/>
      <c r="DJ24" s="375"/>
      <c r="DL24" s="373"/>
      <c r="DM24" s="374"/>
      <c r="DN24" s="375"/>
      <c r="DO24" s="375"/>
      <c r="DQ24" s="373"/>
      <c r="DR24" s="374"/>
      <c r="DS24" s="375"/>
      <c r="DT24" s="375"/>
      <c r="DV24" s="373"/>
      <c r="DW24" s="374"/>
      <c r="DX24" s="375"/>
      <c r="DY24" s="375"/>
      <c r="EA24" s="373"/>
      <c r="EB24" s="374"/>
      <c r="EC24" s="375"/>
      <c r="ED24" s="375"/>
      <c r="EF24" s="373"/>
      <c r="EG24" s="374"/>
      <c r="EH24" s="375"/>
      <c r="EI24" s="375"/>
      <c r="EK24" s="373"/>
      <c r="EL24" s="374"/>
      <c r="EM24" s="375"/>
      <c r="EN24" s="375"/>
      <c r="EP24" s="373"/>
      <c r="EQ24" s="374"/>
      <c r="ER24" s="375"/>
      <c r="ES24" s="375"/>
      <c r="EU24" s="373"/>
      <c r="EV24" s="374"/>
      <c r="EW24" s="375"/>
      <c r="EX24" s="375"/>
      <c r="EZ24" s="373"/>
      <c r="FA24" s="374"/>
      <c r="FB24" s="375"/>
      <c r="FC24" s="375"/>
      <c r="FE24" s="373"/>
      <c r="FF24" s="374"/>
      <c r="FG24" s="375"/>
      <c r="FH24" s="375"/>
      <c r="FJ24" s="373"/>
      <c r="FK24" s="374"/>
      <c r="FL24" s="375"/>
      <c r="FM24" s="375"/>
      <c r="FO24" s="373"/>
      <c r="FP24" s="374"/>
      <c r="FQ24" s="375"/>
      <c r="FR24" s="375"/>
      <c r="FT24" s="373"/>
      <c r="FU24" s="374"/>
      <c r="FV24" s="375"/>
      <c r="FW24" s="375"/>
      <c r="FY24" s="373"/>
      <c r="FZ24" s="374"/>
      <c r="GA24" s="375"/>
      <c r="GB24" s="375"/>
      <c r="GD24" s="373"/>
      <c r="GE24" s="374"/>
      <c r="GF24" s="375"/>
      <c r="GG24" s="375"/>
      <c r="GI24" s="373"/>
      <c r="GJ24" s="374"/>
      <c r="GK24" s="375"/>
      <c r="GL24" s="375"/>
      <c r="GN24" s="373"/>
      <c r="GO24" s="374"/>
      <c r="GP24" s="375"/>
      <c r="GQ24" s="375"/>
      <c r="GS24" s="373"/>
      <c r="GT24" s="374"/>
      <c r="GU24" s="375"/>
      <c r="GV24" s="375"/>
      <c r="GX24" s="373"/>
      <c r="GY24" s="374"/>
      <c r="GZ24" s="375"/>
      <c r="HA24" s="375"/>
      <c r="HC24" s="373"/>
      <c r="HD24" s="374"/>
      <c r="HE24" s="375"/>
      <c r="HF24" s="375"/>
      <c r="HH24" s="373"/>
      <c r="HI24" s="374"/>
      <c r="HJ24" s="375"/>
      <c r="HK24" s="375"/>
      <c r="HM24" s="373"/>
      <c r="HN24" s="374"/>
      <c r="HO24" s="375"/>
      <c r="HP24" s="375"/>
      <c r="HR24" s="373"/>
      <c r="HS24" s="374"/>
      <c r="HT24" s="375"/>
      <c r="HU24" s="375"/>
      <c r="HW24" s="373"/>
      <c r="HX24" s="374"/>
      <c r="HY24" s="375"/>
      <c r="HZ24" s="375"/>
      <c r="IB24" s="373"/>
      <c r="IC24" s="374"/>
      <c r="ID24" s="375"/>
      <c r="IE24" s="375"/>
      <c r="IG24" s="373"/>
      <c r="IH24" s="374"/>
      <c r="II24" s="375"/>
      <c r="IJ24" s="375"/>
      <c r="IL24" s="373"/>
      <c r="IM24" s="374"/>
      <c r="IN24" s="375"/>
      <c r="IO24" s="375"/>
      <c r="IQ24" s="373"/>
      <c r="IR24" s="374"/>
      <c r="IS24" s="375"/>
      <c r="IT24" s="375"/>
      <c r="IV24" s="373"/>
    </row>
    <row r="25" spans="1:256" s="376" customFormat="1" x14ac:dyDescent="0.2">
      <c r="A25" s="373">
        <v>23</v>
      </c>
      <c r="B25" s="374" t="s">
        <v>2568</v>
      </c>
      <c r="C25" s="375">
        <v>12.5</v>
      </c>
      <c r="D25" s="375">
        <v>6.25E-2</v>
      </c>
      <c r="F25" s="373">
        <v>23</v>
      </c>
      <c r="G25" s="374" t="s">
        <v>434</v>
      </c>
      <c r="H25" s="375">
        <v>16.666666666666668</v>
      </c>
      <c r="I25" s="375">
        <v>8.3333333333333329E-2</v>
      </c>
      <c r="K25" s="373">
        <v>23</v>
      </c>
      <c r="L25" s="374" t="s">
        <v>402</v>
      </c>
      <c r="M25" s="375">
        <v>36.842105263157897</v>
      </c>
      <c r="N25" s="375">
        <v>1.6052631578947369</v>
      </c>
      <c r="P25" s="373">
        <v>23</v>
      </c>
      <c r="Q25" s="374" t="s">
        <v>398</v>
      </c>
      <c r="R25" s="375">
        <v>42.857142857142854</v>
      </c>
      <c r="S25" s="375">
        <v>1.0714285714285714</v>
      </c>
      <c r="U25" s="373"/>
      <c r="V25" s="374"/>
      <c r="W25" s="375"/>
      <c r="X25" s="375"/>
      <c r="Z25" s="373">
        <v>23</v>
      </c>
      <c r="AA25" s="374" t="s">
        <v>380</v>
      </c>
      <c r="AB25" s="375">
        <v>14.285714285714286</v>
      </c>
      <c r="AC25" s="375">
        <v>1</v>
      </c>
      <c r="AE25" s="382">
        <v>23</v>
      </c>
      <c r="AF25" s="383" t="s">
        <v>2621</v>
      </c>
      <c r="AG25" s="384">
        <v>40</v>
      </c>
      <c r="AH25" s="384">
        <v>1.3</v>
      </c>
      <c r="AJ25" s="377">
        <v>23</v>
      </c>
      <c r="AK25" s="374" t="s">
        <v>432</v>
      </c>
      <c r="AL25" s="378">
        <v>66.666666666666671</v>
      </c>
      <c r="AM25" s="378">
        <v>2</v>
      </c>
      <c r="AO25" s="377"/>
      <c r="AP25" s="374"/>
      <c r="AQ25" s="378"/>
      <c r="AR25" s="378"/>
      <c r="AT25" s="377">
        <v>23</v>
      </c>
      <c r="AU25" s="374" t="s">
        <v>432</v>
      </c>
      <c r="AV25" s="378">
        <v>66.666666666666671</v>
      </c>
      <c r="AW25" s="378">
        <v>1.3333333333333333</v>
      </c>
      <c r="AY25" s="373">
        <v>23</v>
      </c>
      <c r="AZ25" s="374" t="s">
        <v>345</v>
      </c>
      <c r="BA25" s="375">
        <v>33.333333333333336</v>
      </c>
      <c r="BB25" s="375">
        <v>0.66666666666666663</v>
      </c>
      <c r="BD25" s="373"/>
      <c r="BE25" s="374"/>
      <c r="BF25" s="375"/>
      <c r="BG25" s="375"/>
      <c r="BI25" s="373"/>
      <c r="BJ25" s="374"/>
      <c r="BK25" s="375"/>
      <c r="BL25" s="375"/>
      <c r="BN25" s="373">
        <v>23</v>
      </c>
      <c r="BO25" s="374" t="s">
        <v>609</v>
      </c>
      <c r="BP25" s="375">
        <v>66.666666666666671</v>
      </c>
      <c r="BQ25" s="375">
        <v>2.5</v>
      </c>
      <c r="BS25" s="373"/>
      <c r="BT25" s="374"/>
      <c r="BU25" s="375"/>
      <c r="BV25" s="375"/>
      <c r="BX25" s="373"/>
      <c r="BY25" s="374"/>
      <c r="BZ25" s="375"/>
      <c r="CA25" s="375"/>
      <c r="CC25" s="373"/>
      <c r="CD25" s="374"/>
      <c r="CE25" s="375"/>
      <c r="CF25" s="375"/>
      <c r="CH25" s="373"/>
      <c r="CI25" s="374"/>
      <c r="CJ25" s="375"/>
      <c r="CK25" s="375"/>
      <c r="CM25" s="373"/>
      <c r="CN25" s="374"/>
      <c r="CO25" s="375"/>
      <c r="CP25" s="375"/>
      <c r="CR25" s="373"/>
      <c r="CS25" s="374"/>
      <c r="CT25" s="375"/>
      <c r="CU25" s="375"/>
      <c r="CW25" s="373"/>
      <c r="CX25" s="374"/>
      <c r="CY25" s="375"/>
      <c r="CZ25" s="375"/>
      <c r="DB25" s="373"/>
      <c r="DC25" s="374"/>
      <c r="DD25" s="375"/>
      <c r="DE25" s="375"/>
      <c r="DG25" s="373"/>
      <c r="DH25" s="374"/>
      <c r="DI25" s="375"/>
      <c r="DJ25" s="375"/>
      <c r="DL25" s="373"/>
      <c r="DM25" s="374"/>
      <c r="DN25" s="375"/>
      <c r="DO25" s="375"/>
      <c r="DQ25" s="373"/>
      <c r="DR25" s="374"/>
      <c r="DS25" s="375"/>
      <c r="DT25" s="375"/>
      <c r="DV25" s="373"/>
      <c r="DW25" s="374"/>
      <c r="DX25" s="375"/>
      <c r="DY25" s="375"/>
      <c r="EA25" s="373"/>
      <c r="EB25" s="374"/>
      <c r="EC25" s="375"/>
      <c r="ED25" s="375"/>
      <c r="EF25" s="373"/>
      <c r="EG25" s="374"/>
      <c r="EH25" s="375"/>
      <c r="EI25" s="375"/>
      <c r="EK25" s="373"/>
      <c r="EL25" s="374"/>
      <c r="EM25" s="375"/>
      <c r="EN25" s="375"/>
      <c r="EP25" s="373"/>
      <c r="EQ25" s="374"/>
      <c r="ER25" s="375"/>
      <c r="ES25" s="375"/>
      <c r="EU25" s="373"/>
      <c r="EV25" s="374"/>
      <c r="EW25" s="375"/>
      <c r="EX25" s="375"/>
      <c r="EZ25" s="373"/>
      <c r="FA25" s="374"/>
      <c r="FB25" s="375"/>
      <c r="FC25" s="375"/>
      <c r="FE25" s="373"/>
      <c r="FF25" s="374"/>
      <c r="FG25" s="375"/>
      <c r="FH25" s="375"/>
      <c r="FJ25" s="373"/>
      <c r="FK25" s="374"/>
      <c r="FL25" s="375"/>
      <c r="FM25" s="375"/>
      <c r="FO25" s="373"/>
      <c r="FP25" s="374"/>
      <c r="FQ25" s="375"/>
      <c r="FR25" s="375"/>
      <c r="FT25" s="373"/>
      <c r="FU25" s="374"/>
      <c r="FV25" s="375"/>
      <c r="FW25" s="375"/>
      <c r="FY25" s="373"/>
      <c r="FZ25" s="374"/>
      <c r="GA25" s="375"/>
      <c r="GB25" s="375"/>
      <c r="GD25" s="373"/>
      <c r="GE25" s="374"/>
      <c r="GF25" s="375"/>
      <c r="GG25" s="375"/>
      <c r="GI25" s="373"/>
      <c r="GJ25" s="374"/>
      <c r="GK25" s="375"/>
      <c r="GL25" s="375"/>
      <c r="GN25" s="373"/>
      <c r="GO25" s="374"/>
      <c r="GP25" s="375"/>
      <c r="GQ25" s="375"/>
      <c r="GS25" s="373"/>
      <c r="GT25" s="374"/>
      <c r="GU25" s="375"/>
      <c r="GV25" s="375"/>
      <c r="GX25" s="373"/>
      <c r="GY25" s="374"/>
      <c r="GZ25" s="375"/>
      <c r="HA25" s="375"/>
      <c r="HC25" s="373"/>
      <c r="HD25" s="374"/>
      <c r="HE25" s="375"/>
      <c r="HF25" s="375"/>
      <c r="HH25" s="373"/>
      <c r="HI25" s="374"/>
      <c r="HJ25" s="375"/>
      <c r="HK25" s="375"/>
      <c r="HM25" s="373"/>
      <c r="HN25" s="374"/>
      <c r="HO25" s="375"/>
      <c r="HP25" s="375"/>
      <c r="HR25" s="373"/>
      <c r="HS25" s="374"/>
      <c r="HT25" s="375"/>
      <c r="HU25" s="375"/>
      <c r="HW25" s="373"/>
      <c r="HX25" s="374"/>
      <c r="HY25" s="375"/>
      <c r="HZ25" s="375"/>
      <c r="IB25" s="373"/>
      <c r="IC25" s="374"/>
      <c r="ID25" s="375"/>
      <c r="IE25" s="375"/>
      <c r="IG25" s="373"/>
      <c r="IH25" s="374"/>
      <c r="II25" s="375"/>
      <c r="IJ25" s="375"/>
      <c r="IL25" s="373"/>
      <c r="IM25" s="374"/>
      <c r="IN25" s="375"/>
      <c r="IO25" s="375"/>
      <c r="IQ25" s="373"/>
      <c r="IR25" s="374"/>
      <c r="IS25" s="375"/>
      <c r="IT25" s="375"/>
      <c r="IV25" s="373"/>
    </row>
    <row r="26" spans="1:256" s="376" customFormat="1" x14ac:dyDescent="0.2">
      <c r="A26" s="382">
        <v>24</v>
      </c>
      <c r="B26" s="383" t="s">
        <v>2609</v>
      </c>
      <c r="C26" s="384">
        <v>12.5</v>
      </c>
      <c r="D26" s="384">
        <v>6.25E-2</v>
      </c>
      <c r="F26" s="373"/>
      <c r="G26" s="374"/>
      <c r="H26" s="375"/>
      <c r="I26" s="375"/>
      <c r="K26" s="373">
        <v>24</v>
      </c>
      <c r="L26" s="374" t="s">
        <v>358</v>
      </c>
      <c r="M26" s="375">
        <v>36.842105263157897</v>
      </c>
      <c r="N26" s="375">
        <v>1.5526315789473684</v>
      </c>
      <c r="P26" s="373">
        <v>24</v>
      </c>
      <c r="Q26" s="374" t="s">
        <v>2574</v>
      </c>
      <c r="R26" s="375">
        <v>14.285714285714286</v>
      </c>
      <c r="S26" s="375">
        <v>0.8571428571428571</v>
      </c>
      <c r="U26" s="373"/>
      <c r="V26" s="374"/>
      <c r="W26" s="375"/>
      <c r="X26" s="375"/>
      <c r="Z26" s="373">
        <v>24</v>
      </c>
      <c r="AA26" s="374" t="s">
        <v>361</v>
      </c>
      <c r="AB26" s="375">
        <v>14.285714285714286</v>
      </c>
      <c r="AC26" s="375">
        <v>0.8571428571428571</v>
      </c>
      <c r="AE26" s="373">
        <v>24</v>
      </c>
      <c r="AF26" s="374" t="s">
        <v>423</v>
      </c>
      <c r="AG26" s="375">
        <v>40</v>
      </c>
      <c r="AH26" s="375">
        <v>1.2</v>
      </c>
      <c r="AJ26" s="373">
        <v>24</v>
      </c>
      <c r="AK26" s="374" t="s">
        <v>441</v>
      </c>
      <c r="AL26" s="375">
        <v>66.666666666666671</v>
      </c>
      <c r="AM26" s="375">
        <v>2</v>
      </c>
      <c r="AO26" s="377"/>
      <c r="AP26" s="374"/>
      <c r="AQ26" s="378"/>
      <c r="AR26" s="378"/>
      <c r="AT26" s="373">
        <v>24</v>
      </c>
      <c r="AU26" s="374" t="s">
        <v>2602</v>
      </c>
      <c r="AV26" s="375">
        <v>66.666666666666671</v>
      </c>
      <c r="AW26" s="375">
        <v>1.3333333333333333</v>
      </c>
      <c r="AY26" s="373">
        <v>24</v>
      </c>
      <c r="AZ26" s="374" t="s">
        <v>358</v>
      </c>
      <c r="BA26" s="375">
        <v>33.333333333333336</v>
      </c>
      <c r="BB26" s="375">
        <v>0.66666666666666663</v>
      </c>
      <c r="BD26" s="373"/>
      <c r="BE26" s="374"/>
      <c r="BF26" s="375"/>
      <c r="BG26" s="375"/>
      <c r="BI26" s="373"/>
      <c r="BJ26" s="374"/>
      <c r="BK26" s="375"/>
      <c r="BL26" s="375"/>
      <c r="BN26" s="373">
        <v>24</v>
      </c>
      <c r="BO26" s="374" t="s">
        <v>358</v>
      </c>
      <c r="BP26" s="375">
        <v>33.333333333333336</v>
      </c>
      <c r="BQ26" s="375">
        <v>2.3333333333333335</v>
      </c>
      <c r="BS26" s="373"/>
      <c r="BT26" s="374"/>
      <c r="BU26" s="375"/>
      <c r="BV26" s="375"/>
      <c r="BX26" s="373"/>
      <c r="BY26" s="374"/>
      <c r="BZ26" s="375"/>
      <c r="CA26" s="375"/>
      <c r="CC26" s="373"/>
      <c r="CD26" s="374"/>
      <c r="CE26" s="375"/>
      <c r="CF26" s="375"/>
      <c r="CH26" s="373"/>
      <c r="CI26" s="374"/>
      <c r="CJ26" s="375"/>
      <c r="CK26" s="375"/>
      <c r="CM26" s="373"/>
      <c r="CN26" s="374"/>
      <c r="CO26" s="375"/>
      <c r="CP26" s="375"/>
      <c r="CR26" s="373"/>
      <c r="CS26" s="374"/>
      <c r="CT26" s="375"/>
      <c r="CU26" s="375"/>
      <c r="CW26" s="373"/>
      <c r="CX26" s="374"/>
      <c r="CY26" s="375"/>
      <c r="CZ26" s="375"/>
      <c r="DB26" s="373"/>
      <c r="DC26" s="374"/>
      <c r="DD26" s="375"/>
      <c r="DE26" s="375"/>
      <c r="DG26" s="373"/>
      <c r="DH26" s="374"/>
      <c r="DI26" s="375"/>
      <c r="DJ26" s="375"/>
      <c r="DL26" s="373"/>
      <c r="DM26" s="374"/>
      <c r="DN26" s="375"/>
      <c r="DO26" s="375"/>
      <c r="DQ26" s="373"/>
      <c r="DR26" s="374"/>
      <c r="DS26" s="375"/>
      <c r="DT26" s="375"/>
      <c r="DV26" s="373"/>
      <c r="DW26" s="374"/>
      <c r="DX26" s="375"/>
      <c r="DY26" s="375"/>
      <c r="EA26" s="373"/>
      <c r="EB26" s="374"/>
      <c r="EC26" s="375"/>
      <c r="ED26" s="375"/>
      <c r="EF26" s="373"/>
      <c r="EG26" s="374"/>
      <c r="EH26" s="375"/>
      <c r="EI26" s="375"/>
      <c r="EK26" s="373"/>
      <c r="EL26" s="374"/>
      <c r="EM26" s="375"/>
      <c r="EN26" s="375"/>
      <c r="EP26" s="373"/>
      <c r="EQ26" s="374"/>
      <c r="ER26" s="375"/>
      <c r="ES26" s="375"/>
      <c r="EU26" s="373"/>
      <c r="EV26" s="374"/>
      <c r="EW26" s="375"/>
      <c r="EX26" s="375"/>
      <c r="EZ26" s="373"/>
      <c r="FA26" s="374"/>
      <c r="FB26" s="375"/>
      <c r="FC26" s="375"/>
      <c r="FE26" s="373"/>
      <c r="FF26" s="374"/>
      <c r="FG26" s="375"/>
      <c r="FH26" s="375"/>
      <c r="FJ26" s="373"/>
      <c r="FK26" s="374"/>
      <c r="FL26" s="375"/>
      <c r="FM26" s="375"/>
      <c r="FO26" s="373"/>
      <c r="FP26" s="374"/>
      <c r="FQ26" s="375"/>
      <c r="FR26" s="375"/>
      <c r="FT26" s="373"/>
      <c r="FU26" s="374"/>
      <c r="FV26" s="375"/>
      <c r="FW26" s="375"/>
      <c r="FY26" s="373"/>
      <c r="FZ26" s="374"/>
      <c r="GA26" s="375"/>
      <c r="GB26" s="375"/>
      <c r="GD26" s="373"/>
      <c r="GE26" s="374"/>
      <c r="GF26" s="375"/>
      <c r="GG26" s="375"/>
      <c r="GI26" s="373"/>
      <c r="GJ26" s="374"/>
      <c r="GK26" s="375"/>
      <c r="GL26" s="375"/>
      <c r="GN26" s="373"/>
      <c r="GO26" s="374"/>
      <c r="GP26" s="375"/>
      <c r="GQ26" s="375"/>
      <c r="GS26" s="373"/>
      <c r="GT26" s="374"/>
      <c r="GU26" s="375"/>
      <c r="GV26" s="375"/>
      <c r="GX26" s="373"/>
      <c r="GY26" s="374"/>
      <c r="GZ26" s="375"/>
      <c r="HA26" s="375"/>
      <c r="HC26" s="373"/>
      <c r="HD26" s="374"/>
      <c r="HE26" s="375"/>
      <c r="HF26" s="375"/>
      <c r="HH26" s="373"/>
      <c r="HI26" s="374"/>
      <c r="HJ26" s="375"/>
      <c r="HK26" s="375"/>
      <c r="HM26" s="373"/>
      <c r="HN26" s="374"/>
      <c r="HO26" s="375"/>
      <c r="HP26" s="375"/>
      <c r="HR26" s="373"/>
      <c r="HS26" s="374"/>
      <c r="HT26" s="375"/>
      <c r="HU26" s="375"/>
      <c r="HW26" s="373"/>
      <c r="HX26" s="374"/>
      <c r="HY26" s="375"/>
      <c r="HZ26" s="375"/>
      <c r="IB26" s="373"/>
      <c r="IC26" s="374"/>
      <c r="ID26" s="375"/>
      <c r="IE26" s="375"/>
      <c r="IG26" s="373"/>
      <c r="IH26" s="374"/>
      <c r="II26" s="375"/>
      <c r="IJ26" s="375"/>
      <c r="IL26" s="373"/>
      <c r="IM26" s="374"/>
      <c r="IN26" s="375"/>
      <c r="IO26" s="375"/>
      <c r="IQ26" s="373"/>
      <c r="IR26" s="374"/>
      <c r="IS26" s="375"/>
      <c r="IT26" s="375"/>
      <c r="IV26" s="373"/>
    </row>
    <row r="27" spans="1:256" s="376" customFormat="1" x14ac:dyDescent="0.2">
      <c r="A27" s="373"/>
      <c r="B27" s="374"/>
      <c r="C27" s="375"/>
      <c r="D27" s="375"/>
      <c r="F27" s="373"/>
      <c r="G27" s="374"/>
      <c r="H27" s="375"/>
      <c r="I27" s="375"/>
      <c r="K27" s="373">
        <v>25</v>
      </c>
      <c r="L27" s="374" t="s">
        <v>343</v>
      </c>
      <c r="M27" s="375">
        <v>26.315789473684209</v>
      </c>
      <c r="N27" s="375">
        <v>1.5263157894736843</v>
      </c>
      <c r="P27" s="373">
        <v>25</v>
      </c>
      <c r="Q27" s="374" t="s">
        <v>2642</v>
      </c>
      <c r="R27" s="375">
        <v>42.857142857142854</v>
      </c>
      <c r="S27" s="375">
        <v>0.8571428571428571</v>
      </c>
      <c r="U27" s="373"/>
      <c r="V27" s="374"/>
      <c r="W27" s="375"/>
      <c r="X27" s="375"/>
      <c r="Z27" s="373">
        <v>25</v>
      </c>
      <c r="AA27" s="374" t="s">
        <v>2645</v>
      </c>
      <c r="AB27" s="375">
        <v>42.857142857142854</v>
      </c>
      <c r="AC27" s="375">
        <v>0.7857142857142857</v>
      </c>
      <c r="AE27" s="373">
        <v>25</v>
      </c>
      <c r="AF27" s="374" t="s">
        <v>350</v>
      </c>
      <c r="AG27" s="375">
        <v>60</v>
      </c>
      <c r="AH27" s="375">
        <v>1.2</v>
      </c>
      <c r="AJ27" s="377">
        <v>25</v>
      </c>
      <c r="AK27" s="374" t="s">
        <v>451</v>
      </c>
      <c r="AL27" s="378">
        <v>66.666666666666671</v>
      </c>
      <c r="AM27" s="378">
        <v>2</v>
      </c>
      <c r="AO27" s="377"/>
      <c r="AP27" s="374"/>
      <c r="AQ27" s="378"/>
      <c r="AR27" s="378"/>
      <c r="AT27" s="373">
        <v>25</v>
      </c>
      <c r="AU27" s="374" t="s">
        <v>451</v>
      </c>
      <c r="AV27" s="375">
        <v>66.666666666666671</v>
      </c>
      <c r="AW27" s="375">
        <v>1.3333333333333333</v>
      </c>
      <c r="AY27" s="377">
        <v>25</v>
      </c>
      <c r="AZ27" s="374" t="s">
        <v>446</v>
      </c>
      <c r="BA27" s="378">
        <v>33.333333333333336</v>
      </c>
      <c r="BB27" s="378">
        <v>0.66666666666666663</v>
      </c>
      <c r="BD27" s="377"/>
      <c r="BE27" s="374"/>
      <c r="BF27" s="378"/>
      <c r="BG27" s="378"/>
      <c r="BI27" s="373"/>
      <c r="BJ27" s="374"/>
      <c r="BK27" s="375"/>
      <c r="BL27" s="375"/>
      <c r="BN27" s="335">
        <v>25</v>
      </c>
      <c r="BO27" s="336" t="s">
        <v>2582</v>
      </c>
      <c r="BP27" s="337">
        <v>33.333333333333336</v>
      </c>
      <c r="BQ27" s="337">
        <v>1.6666666666666667</v>
      </c>
      <c r="BS27" s="373"/>
      <c r="BT27" s="374"/>
      <c r="BU27" s="375"/>
      <c r="BV27" s="375"/>
      <c r="BX27" s="373"/>
      <c r="BY27" s="374"/>
      <c r="BZ27" s="375"/>
      <c r="CA27" s="375"/>
      <c r="CC27" s="373"/>
      <c r="CD27" s="374"/>
      <c r="CE27" s="375"/>
      <c r="CF27" s="375"/>
      <c r="CH27" s="373"/>
      <c r="CI27" s="374"/>
      <c r="CJ27" s="375"/>
      <c r="CK27" s="375"/>
      <c r="CM27" s="373"/>
      <c r="CN27" s="374"/>
      <c r="CO27" s="375"/>
      <c r="CP27" s="375"/>
      <c r="CR27" s="373"/>
      <c r="CS27" s="374"/>
      <c r="CT27" s="375"/>
      <c r="CU27" s="375"/>
      <c r="CW27" s="373"/>
      <c r="CX27" s="374"/>
      <c r="CY27" s="375"/>
      <c r="CZ27" s="375"/>
      <c r="DB27" s="373"/>
      <c r="DC27" s="374"/>
      <c r="DD27" s="375"/>
      <c r="DE27" s="375"/>
      <c r="DG27" s="373"/>
      <c r="DH27" s="374"/>
      <c r="DI27" s="375"/>
      <c r="DJ27" s="375"/>
      <c r="DL27" s="373"/>
      <c r="DM27" s="374"/>
      <c r="DN27" s="375"/>
      <c r="DO27" s="375"/>
      <c r="DQ27" s="373"/>
      <c r="DR27" s="374"/>
      <c r="DS27" s="375"/>
      <c r="DT27" s="375"/>
      <c r="DV27" s="373"/>
      <c r="DW27" s="374"/>
      <c r="DX27" s="375"/>
      <c r="DY27" s="375"/>
      <c r="EA27" s="373"/>
      <c r="EB27" s="374"/>
      <c r="EC27" s="375"/>
      <c r="ED27" s="375"/>
      <c r="EF27" s="373"/>
      <c r="EG27" s="374"/>
      <c r="EH27" s="375"/>
      <c r="EI27" s="375"/>
      <c r="EK27" s="373"/>
      <c r="EL27" s="374"/>
      <c r="EM27" s="375"/>
      <c r="EN27" s="375"/>
      <c r="EP27" s="373"/>
      <c r="EQ27" s="374"/>
      <c r="ER27" s="375"/>
      <c r="ES27" s="375"/>
      <c r="EU27" s="373"/>
      <c r="EV27" s="374"/>
      <c r="EW27" s="375"/>
      <c r="EX27" s="375"/>
      <c r="EZ27" s="373"/>
      <c r="FA27" s="374"/>
      <c r="FB27" s="375"/>
      <c r="FC27" s="375"/>
      <c r="FE27" s="373"/>
      <c r="FF27" s="374"/>
      <c r="FG27" s="375"/>
      <c r="FH27" s="375"/>
      <c r="FJ27" s="373"/>
      <c r="FK27" s="374"/>
      <c r="FL27" s="375"/>
      <c r="FM27" s="375"/>
      <c r="FO27" s="373"/>
      <c r="FP27" s="374"/>
      <c r="FQ27" s="375"/>
      <c r="FR27" s="375"/>
      <c r="FT27" s="373"/>
      <c r="FU27" s="374"/>
      <c r="FV27" s="375"/>
      <c r="FW27" s="375"/>
      <c r="FY27" s="373"/>
      <c r="FZ27" s="374"/>
      <c r="GA27" s="375"/>
      <c r="GB27" s="375"/>
      <c r="GD27" s="373"/>
      <c r="GE27" s="374"/>
      <c r="GF27" s="375"/>
      <c r="GG27" s="375"/>
      <c r="GI27" s="373"/>
      <c r="GJ27" s="374"/>
      <c r="GK27" s="375"/>
      <c r="GL27" s="375"/>
      <c r="GN27" s="373"/>
      <c r="GO27" s="374"/>
      <c r="GP27" s="375"/>
      <c r="GQ27" s="375"/>
      <c r="GS27" s="373"/>
      <c r="GT27" s="374"/>
      <c r="GU27" s="375"/>
      <c r="GV27" s="375"/>
      <c r="GX27" s="373"/>
      <c r="GY27" s="374"/>
      <c r="GZ27" s="375"/>
      <c r="HA27" s="375"/>
      <c r="HC27" s="373"/>
      <c r="HD27" s="374"/>
      <c r="HE27" s="375"/>
      <c r="HF27" s="375"/>
      <c r="HH27" s="373"/>
      <c r="HI27" s="374"/>
      <c r="HJ27" s="375"/>
      <c r="HK27" s="375"/>
      <c r="HM27" s="373"/>
      <c r="HN27" s="374"/>
      <c r="HO27" s="375"/>
      <c r="HP27" s="375"/>
      <c r="HR27" s="373"/>
      <c r="HS27" s="374"/>
      <c r="HT27" s="375"/>
      <c r="HU27" s="375"/>
      <c r="HW27" s="373"/>
      <c r="HX27" s="374"/>
      <c r="HY27" s="375"/>
      <c r="HZ27" s="375"/>
      <c r="IB27" s="373"/>
      <c r="IC27" s="374"/>
      <c r="ID27" s="375"/>
      <c r="IE27" s="375"/>
      <c r="IG27" s="373"/>
      <c r="IH27" s="374"/>
      <c r="II27" s="375"/>
      <c r="IJ27" s="375"/>
      <c r="IL27" s="373"/>
      <c r="IM27" s="374"/>
      <c r="IN27" s="375"/>
      <c r="IO27" s="375"/>
      <c r="IQ27" s="373"/>
      <c r="IR27" s="374"/>
      <c r="IS27" s="375"/>
      <c r="IT27" s="375"/>
      <c r="IV27" s="373"/>
    </row>
    <row r="28" spans="1:256" s="376" customFormat="1" x14ac:dyDescent="0.2">
      <c r="A28" s="373"/>
      <c r="B28" s="374"/>
      <c r="C28" s="375"/>
      <c r="D28" s="375"/>
      <c r="F28" s="373"/>
      <c r="G28" s="374"/>
      <c r="H28" s="375"/>
      <c r="I28" s="375"/>
      <c r="K28" s="373">
        <v>26</v>
      </c>
      <c r="L28" s="374" t="s">
        <v>400</v>
      </c>
      <c r="M28" s="375">
        <v>15.789473684210526</v>
      </c>
      <c r="N28" s="375">
        <v>1.3421052631578947</v>
      </c>
      <c r="P28" s="373">
        <v>26</v>
      </c>
      <c r="Q28" s="374" t="s">
        <v>399</v>
      </c>
      <c r="R28" s="375">
        <v>14.285714285714286</v>
      </c>
      <c r="S28" s="375">
        <v>0.8571428571428571</v>
      </c>
      <c r="U28" s="373"/>
      <c r="V28" s="374"/>
      <c r="W28" s="375"/>
      <c r="X28" s="375"/>
      <c r="Z28" s="382">
        <v>26</v>
      </c>
      <c r="AA28" s="383" t="s">
        <v>2647</v>
      </c>
      <c r="AB28" s="384">
        <v>14.285714285714286</v>
      </c>
      <c r="AC28" s="384">
        <v>0.7142857142857143</v>
      </c>
      <c r="AE28" s="373">
        <v>26</v>
      </c>
      <c r="AF28" s="374" t="s">
        <v>354</v>
      </c>
      <c r="AG28" s="375">
        <v>40</v>
      </c>
      <c r="AH28" s="375">
        <v>1.2</v>
      </c>
      <c r="AJ28" s="377">
        <v>26</v>
      </c>
      <c r="AK28" s="374" t="s">
        <v>399</v>
      </c>
      <c r="AL28" s="378">
        <v>33.333333333333336</v>
      </c>
      <c r="AM28" s="378">
        <v>1.6666666666666667</v>
      </c>
      <c r="AO28" s="377"/>
      <c r="AP28" s="374"/>
      <c r="AQ28" s="378"/>
      <c r="AR28" s="378"/>
      <c r="AT28" s="373">
        <v>26</v>
      </c>
      <c r="AU28" s="374" t="s">
        <v>342</v>
      </c>
      <c r="AV28" s="375">
        <v>66.666666666666671</v>
      </c>
      <c r="AW28" s="375">
        <v>1.3333333333333333</v>
      </c>
      <c r="AY28" s="379">
        <v>26</v>
      </c>
      <c r="AZ28" s="380" t="s">
        <v>350</v>
      </c>
      <c r="BA28" s="381">
        <v>100</v>
      </c>
      <c r="BB28" s="381">
        <v>0.66666666666666663</v>
      </c>
      <c r="BD28" s="377"/>
      <c r="BE28" s="374"/>
      <c r="BF28" s="378"/>
      <c r="BG28" s="378"/>
      <c r="BI28" s="377"/>
      <c r="BJ28" s="374"/>
      <c r="BK28" s="378"/>
      <c r="BL28" s="378"/>
      <c r="BN28" s="373">
        <v>26</v>
      </c>
      <c r="BO28" s="374" t="s">
        <v>400</v>
      </c>
      <c r="BP28" s="375">
        <v>66.666666666666671</v>
      </c>
      <c r="BQ28" s="375">
        <v>1.5</v>
      </c>
      <c r="BS28" s="373"/>
      <c r="BT28" s="374"/>
      <c r="BU28" s="375"/>
      <c r="BV28" s="375"/>
      <c r="BX28" s="373"/>
      <c r="BY28" s="374"/>
      <c r="BZ28" s="375"/>
      <c r="CA28" s="375"/>
      <c r="CC28" s="373"/>
      <c r="CD28" s="374"/>
      <c r="CE28" s="375"/>
      <c r="CF28" s="375"/>
      <c r="CH28" s="373"/>
      <c r="CI28" s="374"/>
      <c r="CJ28" s="375"/>
      <c r="CK28" s="375"/>
      <c r="CM28" s="373"/>
      <c r="CN28" s="374"/>
      <c r="CO28" s="375"/>
      <c r="CP28" s="375"/>
      <c r="CR28" s="373"/>
      <c r="CS28" s="374"/>
      <c r="CT28" s="375"/>
      <c r="CU28" s="375"/>
      <c r="CW28" s="373"/>
      <c r="CX28" s="374"/>
      <c r="CY28" s="375"/>
      <c r="CZ28" s="375"/>
      <c r="DB28" s="373"/>
      <c r="DC28" s="374"/>
      <c r="DD28" s="375"/>
      <c r="DE28" s="375"/>
      <c r="DG28" s="373"/>
      <c r="DH28" s="374"/>
      <c r="DI28" s="375"/>
      <c r="DJ28" s="375"/>
      <c r="DL28" s="373"/>
      <c r="DM28" s="374"/>
      <c r="DN28" s="375"/>
      <c r="DO28" s="375"/>
      <c r="DQ28" s="373"/>
      <c r="DR28" s="374"/>
      <c r="DS28" s="375"/>
      <c r="DT28" s="375"/>
      <c r="DV28" s="373"/>
      <c r="DW28" s="374"/>
      <c r="DX28" s="375"/>
      <c r="DY28" s="375"/>
      <c r="EA28" s="373"/>
      <c r="EB28" s="374"/>
      <c r="EC28" s="375"/>
      <c r="ED28" s="375"/>
      <c r="EF28" s="373"/>
      <c r="EG28" s="374"/>
      <c r="EH28" s="375"/>
      <c r="EI28" s="375"/>
      <c r="EK28" s="373"/>
      <c r="EL28" s="374"/>
      <c r="EM28" s="375"/>
      <c r="EN28" s="375"/>
      <c r="EP28" s="373"/>
      <c r="EQ28" s="374"/>
      <c r="ER28" s="375"/>
      <c r="ES28" s="375"/>
      <c r="EU28" s="373"/>
      <c r="EV28" s="374"/>
      <c r="EW28" s="375"/>
      <c r="EX28" s="375"/>
      <c r="EZ28" s="373"/>
      <c r="FA28" s="374"/>
      <c r="FB28" s="375"/>
      <c r="FC28" s="375"/>
      <c r="FE28" s="373"/>
      <c r="FF28" s="374"/>
      <c r="FG28" s="375"/>
      <c r="FH28" s="375"/>
      <c r="FJ28" s="373"/>
      <c r="FK28" s="374"/>
      <c r="FL28" s="375"/>
      <c r="FM28" s="375"/>
      <c r="FO28" s="373"/>
      <c r="FP28" s="374"/>
      <c r="FQ28" s="375"/>
      <c r="FR28" s="375"/>
      <c r="FT28" s="373"/>
      <c r="FU28" s="374"/>
      <c r="FV28" s="375"/>
      <c r="FW28" s="375"/>
      <c r="FY28" s="373"/>
      <c r="FZ28" s="374"/>
      <c r="GA28" s="375"/>
      <c r="GB28" s="375"/>
      <c r="GD28" s="373"/>
      <c r="GE28" s="374"/>
      <c r="GF28" s="375"/>
      <c r="GG28" s="375"/>
      <c r="GI28" s="373"/>
      <c r="GJ28" s="374"/>
      <c r="GK28" s="375"/>
      <c r="GL28" s="375"/>
      <c r="GN28" s="373"/>
      <c r="GO28" s="374"/>
      <c r="GP28" s="375"/>
      <c r="GQ28" s="375"/>
      <c r="GS28" s="373"/>
      <c r="GT28" s="374"/>
      <c r="GU28" s="375"/>
      <c r="GV28" s="375"/>
      <c r="GX28" s="373"/>
      <c r="GY28" s="374"/>
      <c r="GZ28" s="375"/>
      <c r="HA28" s="375"/>
      <c r="HC28" s="373"/>
      <c r="HD28" s="374"/>
      <c r="HE28" s="375"/>
      <c r="HF28" s="375"/>
      <c r="HH28" s="373"/>
      <c r="HI28" s="374"/>
      <c r="HJ28" s="375"/>
      <c r="HK28" s="375"/>
      <c r="HM28" s="373"/>
      <c r="HN28" s="374"/>
      <c r="HO28" s="375"/>
      <c r="HP28" s="375"/>
      <c r="HR28" s="373"/>
      <c r="HS28" s="374"/>
      <c r="HT28" s="375"/>
      <c r="HU28" s="375"/>
      <c r="HW28" s="373"/>
      <c r="HX28" s="374"/>
      <c r="HY28" s="375"/>
      <c r="HZ28" s="375"/>
      <c r="IB28" s="373"/>
      <c r="IC28" s="374"/>
      <c r="ID28" s="375"/>
      <c r="IE28" s="375"/>
      <c r="IG28" s="373"/>
      <c r="IH28" s="374"/>
      <c r="II28" s="375"/>
      <c r="IJ28" s="375"/>
      <c r="IL28" s="373"/>
      <c r="IM28" s="374"/>
      <c r="IN28" s="375"/>
      <c r="IO28" s="375"/>
      <c r="IQ28" s="373"/>
      <c r="IR28" s="374"/>
      <c r="IS28" s="375"/>
      <c r="IT28" s="375"/>
      <c r="IV28" s="373"/>
    </row>
    <row r="29" spans="1:256" s="376" customFormat="1" x14ac:dyDescent="0.2">
      <c r="A29" s="373"/>
      <c r="B29" s="374"/>
      <c r="C29" s="375"/>
      <c r="D29" s="375"/>
      <c r="F29" s="373"/>
      <c r="G29" s="374"/>
      <c r="H29" s="375"/>
      <c r="I29" s="375"/>
      <c r="K29" s="335">
        <v>27</v>
      </c>
      <c r="L29" s="336" t="s">
        <v>2582</v>
      </c>
      <c r="M29" s="337">
        <v>15.789473684210526</v>
      </c>
      <c r="N29" s="337">
        <v>1.263157894736842</v>
      </c>
      <c r="P29" s="373">
        <v>27</v>
      </c>
      <c r="Q29" s="374" t="s">
        <v>401</v>
      </c>
      <c r="R29" s="375">
        <v>14.285714285714286</v>
      </c>
      <c r="S29" s="375">
        <v>0.8571428571428571</v>
      </c>
      <c r="U29" s="373"/>
      <c r="V29" s="374"/>
      <c r="W29" s="375"/>
      <c r="X29" s="375"/>
      <c r="Z29" s="373">
        <v>27</v>
      </c>
      <c r="AA29" s="374" t="s">
        <v>348</v>
      </c>
      <c r="AB29" s="375">
        <v>28.571428571428573</v>
      </c>
      <c r="AC29" s="375">
        <v>0.5714285714285714</v>
      </c>
      <c r="AE29" s="373">
        <v>27</v>
      </c>
      <c r="AF29" s="374" t="s">
        <v>364</v>
      </c>
      <c r="AG29" s="375">
        <v>40</v>
      </c>
      <c r="AH29" s="375">
        <v>1.2</v>
      </c>
      <c r="AJ29" s="373">
        <v>27</v>
      </c>
      <c r="AK29" s="374" t="s">
        <v>583</v>
      </c>
      <c r="AL29" s="375">
        <v>66.666666666666671</v>
      </c>
      <c r="AM29" s="375">
        <v>1.6666666666666667</v>
      </c>
      <c r="AO29" s="377"/>
      <c r="AP29" s="374"/>
      <c r="AQ29" s="378"/>
      <c r="AR29" s="378"/>
      <c r="AT29" s="373">
        <v>27</v>
      </c>
      <c r="AU29" s="374" t="s">
        <v>2649</v>
      </c>
      <c r="AV29" s="375">
        <v>66.666666666666671</v>
      </c>
      <c r="AW29" s="375">
        <v>1.1666666666666667</v>
      </c>
      <c r="AY29" s="377">
        <v>27</v>
      </c>
      <c r="AZ29" s="374" t="s">
        <v>583</v>
      </c>
      <c r="BA29" s="378">
        <v>33.333333333333336</v>
      </c>
      <c r="BB29" s="378">
        <v>0.66666666666666663</v>
      </c>
      <c r="BD29" s="377"/>
      <c r="BE29" s="374"/>
      <c r="BF29" s="378"/>
      <c r="BG29" s="378"/>
      <c r="BI29" s="373"/>
      <c r="BJ29" s="374"/>
      <c r="BK29" s="375"/>
      <c r="BL29" s="375"/>
      <c r="BN29" s="373">
        <v>27</v>
      </c>
      <c r="BO29" s="374" t="s">
        <v>2581</v>
      </c>
      <c r="BP29" s="375">
        <v>33.333333333333336</v>
      </c>
      <c r="BQ29" s="375">
        <v>1.3333333333333333</v>
      </c>
      <c r="BS29" s="373"/>
      <c r="BT29" s="374"/>
      <c r="BU29" s="375"/>
      <c r="BV29" s="375"/>
      <c r="BX29" s="373"/>
      <c r="BY29" s="374"/>
      <c r="BZ29" s="375"/>
      <c r="CA29" s="375"/>
      <c r="CC29" s="373"/>
      <c r="CD29" s="374"/>
      <c r="CE29" s="375"/>
      <c r="CF29" s="375"/>
      <c r="CH29" s="373"/>
      <c r="CI29" s="374"/>
      <c r="CJ29" s="375"/>
      <c r="CK29" s="375"/>
      <c r="CM29" s="373"/>
      <c r="CN29" s="374"/>
      <c r="CO29" s="375"/>
      <c r="CP29" s="375"/>
      <c r="CR29" s="373"/>
      <c r="CS29" s="374"/>
      <c r="CT29" s="375"/>
      <c r="CU29" s="375"/>
      <c r="CW29" s="373"/>
      <c r="CX29" s="374"/>
      <c r="CY29" s="375"/>
      <c r="CZ29" s="375"/>
      <c r="DB29" s="373"/>
      <c r="DC29" s="374"/>
      <c r="DD29" s="375"/>
      <c r="DE29" s="375"/>
      <c r="DG29" s="373"/>
      <c r="DH29" s="374"/>
      <c r="DI29" s="375"/>
      <c r="DJ29" s="375"/>
      <c r="DL29" s="373"/>
      <c r="DM29" s="374"/>
      <c r="DN29" s="375"/>
      <c r="DO29" s="375"/>
      <c r="DQ29" s="373"/>
      <c r="DR29" s="374"/>
      <c r="DS29" s="375"/>
      <c r="DT29" s="375"/>
      <c r="DV29" s="373"/>
      <c r="DW29" s="374"/>
      <c r="DX29" s="375"/>
      <c r="DY29" s="375"/>
      <c r="EA29" s="373"/>
      <c r="EB29" s="374"/>
      <c r="EC29" s="375"/>
      <c r="ED29" s="375"/>
      <c r="EF29" s="373"/>
      <c r="EG29" s="374"/>
      <c r="EH29" s="375"/>
      <c r="EI29" s="375"/>
      <c r="EK29" s="373"/>
      <c r="EL29" s="374"/>
      <c r="EM29" s="375"/>
      <c r="EN29" s="375"/>
      <c r="EP29" s="373"/>
      <c r="EQ29" s="374"/>
      <c r="ER29" s="375"/>
      <c r="ES29" s="375"/>
      <c r="EU29" s="373"/>
      <c r="EV29" s="374"/>
      <c r="EW29" s="375"/>
      <c r="EX29" s="375"/>
      <c r="EZ29" s="373"/>
      <c r="FA29" s="374"/>
      <c r="FB29" s="375"/>
      <c r="FC29" s="375"/>
      <c r="FE29" s="373"/>
      <c r="FF29" s="374"/>
      <c r="FG29" s="375"/>
      <c r="FH29" s="375"/>
      <c r="FJ29" s="373"/>
      <c r="FK29" s="374"/>
      <c r="FL29" s="375"/>
      <c r="FM29" s="375"/>
      <c r="FO29" s="373"/>
      <c r="FP29" s="374"/>
      <c r="FQ29" s="375"/>
      <c r="FR29" s="375"/>
      <c r="FT29" s="373"/>
      <c r="FU29" s="374"/>
      <c r="FV29" s="375"/>
      <c r="FW29" s="375"/>
      <c r="FY29" s="373"/>
      <c r="FZ29" s="374"/>
      <c r="GA29" s="375"/>
      <c r="GB29" s="375"/>
      <c r="GD29" s="373"/>
      <c r="GE29" s="374"/>
      <c r="GF29" s="375"/>
      <c r="GG29" s="375"/>
      <c r="GI29" s="373"/>
      <c r="GJ29" s="374"/>
      <c r="GK29" s="375"/>
      <c r="GL29" s="375"/>
      <c r="GN29" s="373"/>
      <c r="GO29" s="374"/>
      <c r="GP29" s="375"/>
      <c r="GQ29" s="375"/>
      <c r="GS29" s="373"/>
      <c r="GT29" s="374"/>
      <c r="GU29" s="375"/>
      <c r="GV29" s="375"/>
      <c r="GX29" s="373"/>
      <c r="GY29" s="374"/>
      <c r="GZ29" s="375"/>
      <c r="HA29" s="375"/>
      <c r="HC29" s="373"/>
      <c r="HD29" s="374"/>
      <c r="HE29" s="375"/>
      <c r="HF29" s="375"/>
      <c r="HH29" s="373"/>
      <c r="HI29" s="374"/>
      <c r="HJ29" s="375"/>
      <c r="HK29" s="375"/>
      <c r="HM29" s="373"/>
      <c r="HN29" s="374"/>
      <c r="HO29" s="375"/>
      <c r="HP29" s="375"/>
      <c r="HR29" s="373"/>
      <c r="HS29" s="374"/>
      <c r="HT29" s="375"/>
      <c r="HU29" s="375"/>
      <c r="HW29" s="373"/>
      <c r="HX29" s="374"/>
      <c r="HY29" s="375"/>
      <c r="HZ29" s="375"/>
      <c r="IB29" s="373"/>
      <c r="IC29" s="374"/>
      <c r="ID29" s="375"/>
      <c r="IE29" s="375"/>
      <c r="IG29" s="373"/>
      <c r="IH29" s="374"/>
      <c r="II29" s="375"/>
      <c r="IJ29" s="375"/>
      <c r="IL29" s="373"/>
      <c r="IM29" s="374"/>
      <c r="IN29" s="375"/>
      <c r="IO29" s="375"/>
      <c r="IQ29" s="373"/>
      <c r="IR29" s="374"/>
      <c r="IS29" s="375"/>
      <c r="IT29" s="375"/>
      <c r="IV29" s="373"/>
    </row>
    <row r="30" spans="1:256" s="376" customFormat="1" x14ac:dyDescent="0.2">
      <c r="A30" s="373"/>
      <c r="B30" s="374"/>
      <c r="C30" s="375"/>
      <c r="D30" s="375"/>
      <c r="F30" s="373"/>
      <c r="G30" s="374"/>
      <c r="H30" s="375"/>
      <c r="I30" s="375"/>
      <c r="K30" s="373">
        <v>28</v>
      </c>
      <c r="L30" s="374" t="s">
        <v>447</v>
      </c>
      <c r="M30" s="375">
        <v>21.05263157894737</v>
      </c>
      <c r="N30" s="375">
        <v>1.1842105263157894</v>
      </c>
      <c r="P30" s="382">
        <v>28</v>
      </c>
      <c r="Q30" s="383" t="s">
        <v>2667</v>
      </c>
      <c r="R30" s="384">
        <v>14.285714285714286</v>
      </c>
      <c r="S30" s="384">
        <v>0.8571428571428571</v>
      </c>
      <c r="U30" s="373"/>
      <c r="V30" s="374"/>
      <c r="W30" s="375"/>
      <c r="X30" s="375"/>
      <c r="Z30" s="373">
        <v>28</v>
      </c>
      <c r="AA30" s="374" t="s">
        <v>597</v>
      </c>
      <c r="AB30" s="375">
        <v>28.571428571428573</v>
      </c>
      <c r="AC30" s="375">
        <v>0.5714285714285714</v>
      </c>
      <c r="AE30" s="373">
        <v>28</v>
      </c>
      <c r="AF30" s="374" t="s">
        <v>403</v>
      </c>
      <c r="AG30" s="375">
        <v>60</v>
      </c>
      <c r="AH30" s="375">
        <v>0.9</v>
      </c>
      <c r="AJ30" s="397">
        <v>28</v>
      </c>
      <c r="AK30" s="336" t="s">
        <v>606</v>
      </c>
      <c r="AL30" s="398">
        <v>33.333333333333336</v>
      </c>
      <c r="AM30" s="398">
        <v>1.3333333333333333</v>
      </c>
      <c r="AO30" s="377"/>
      <c r="AP30" s="374"/>
      <c r="AQ30" s="378"/>
      <c r="AR30" s="378"/>
      <c r="AT30" s="373">
        <v>28</v>
      </c>
      <c r="AU30" s="374" t="s">
        <v>402</v>
      </c>
      <c r="AV30" s="375">
        <v>66.666666666666671</v>
      </c>
      <c r="AW30" s="375">
        <v>1.1666666666666667</v>
      </c>
      <c r="AY30" s="373">
        <v>28</v>
      </c>
      <c r="AZ30" s="374" t="s">
        <v>369</v>
      </c>
      <c r="BA30" s="375">
        <v>66.666666666666671</v>
      </c>
      <c r="BB30" s="375">
        <v>0.33333333333333331</v>
      </c>
      <c r="BD30" s="373"/>
      <c r="BE30" s="374"/>
      <c r="BF30" s="375"/>
      <c r="BG30" s="375"/>
      <c r="BI30" s="373"/>
      <c r="BJ30" s="374"/>
      <c r="BK30" s="375"/>
      <c r="BL30" s="375"/>
      <c r="BN30" s="373">
        <v>28</v>
      </c>
      <c r="BO30" s="374" t="s">
        <v>2596</v>
      </c>
      <c r="BP30" s="375">
        <v>33.333333333333336</v>
      </c>
      <c r="BQ30" s="375">
        <v>1</v>
      </c>
      <c r="BS30" s="373"/>
      <c r="BT30" s="374"/>
      <c r="BU30" s="375"/>
      <c r="BV30" s="375"/>
      <c r="BX30" s="373"/>
      <c r="BY30" s="374"/>
      <c r="BZ30" s="375"/>
      <c r="CA30" s="375"/>
      <c r="CC30" s="373"/>
      <c r="CD30" s="374"/>
      <c r="CE30" s="375"/>
      <c r="CF30" s="375"/>
      <c r="CH30" s="373"/>
      <c r="CI30" s="374"/>
      <c r="CJ30" s="375"/>
      <c r="CK30" s="375"/>
      <c r="CM30" s="373"/>
      <c r="CN30" s="374"/>
      <c r="CO30" s="375"/>
      <c r="CP30" s="375"/>
      <c r="CR30" s="373"/>
      <c r="CS30" s="374"/>
      <c r="CT30" s="375"/>
      <c r="CU30" s="375"/>
      <c r="CW30" s="373"/>
      <c r="CX30" s="374"/>
      <c r="CY30" s="375"/>
      <c r="CZ30" s="375"/>
      <c r="DB30" s="373"/>
      <c r="DC30" s="374"/>
      <c r="DD30" s="375"/>
      <c r="DE30" s="375"/>
      <c r="DG30" s="373"/>
      <c r="DH30" s="374"/>
      <c r="DI30" s="375"/>
      <c r="DJ30" s="375"/>
      <c r="DL30" s="373"/>
      <c r="DM30" s="374"/>
      <c r="DN30" s="375"/>
      <c r="DO30" s="375"/>
      <c r="DQ30" s="373"/>
      <c r="DR30" s="374"/>
      <c r="DS30" s="375"/>
      <c r="DT30" s="375"/>
      <c r="DV30" s="373"/>
      <c r="DW30" s="374"/>
      <c r="DX30" s="375"/>
      <c r="DY30" s="375"/>
      <c r="EA30" s="373"/>
      <c r="EB30" s="374"/>
      <c r="EC30" s="375"/>
      <c r="ED30" s="375"/>
      <c r="EF30" s="373"/>
      <c r="EG30" s="374"/>
      <c r="EH30" s="375"/>
      <c r="EI30" s="375"/>
      <c r="EK30" s="373"/>
      <c r="EL30" s="374"/>
      <c r="EM30" s="375"/>
      <c r="EN30" s="375"/>
      <c r="EP30" s="373"/>
      <c r="EQ30" s="374"/>
      <c r="ER30" s="375"/>
      <c r="ES30" s="375"/>
      <c r="EU30" s="373"/>
      <c r="EV30" s="374"/>
      <c r="EW30" s="375"/>
      <c r="EX30" s="375"/>
      <c r="EZ30" s="373"/>
      <c r="FA30" s="374"/>
      <c r="FB30" s="375"/>
      <c r="FC30" s="375"/>
      <c r="FE30" s="373"/>
      <c r="FF30" s="374"/>
      <c r="FG30" s="375"/>
      <c r="FH30" s="375"/>
      <c r="FJ30" s="373"/>
      <c r="FK30" s="374"/>
      <c r="FL30" s="375"/>
      <c r="FM30" s="375"/>
      <c r="FO30" s="373"/>
      <c r="FP30" s="374"/>
      <c r="FQ30" s="375"/>
      <c r="FR30" s="375"/>
      <c r="FT30" s="373"/>
      <c r="FU30" s="374"/>
      <c r="FV30" s="375"/>
      <c r="FW30" s="375"/>
      <c r="FY30" s="373"/>
      <c r="FZ30" s="374"/>
      <c r="GA30" s="375"/>
      <c r="GB30" s="375"/>
      <c r="GD30" s="373"/>
      <c r="GE30" s="374"/>
      <c r="GF30" s="375"/>
      <c r="GG30" s="375"/>
      <c r="GI30" s="373"/>
      <c r="GJ30" s="374"/>
      <c r="GK30" s="375"/>
      <c r="GL30" s="375"/>
      <c r="GN30" s="373"/>
      <c r="GO30" s="374"/>
      <c r="GP30" s="375"/>
      <c r="GQ30" s="375"/>
      <c r="GS30" s="373"/>
      <c r="GT30" s="374"/>
      <c r="GU30" s="375"/>
      <c r="GV30" s="375"/>
      <c r="GX30" s="373"/>
      <c r="GY30" s="374"/>
      <c r="GZ30" s="375"/>
      <c r="HA30" s="375"/>
      <c r="HC30" s="373"/>
      <c r="HD30" s="374"/>
      <c r="HE30" s="375"/>
      <c r="HF30" s="375"/>
      <c r="HH30" s="373"/>
      <c r="HI30" s="374"/>
      <c r="HJ30" s="375"/>
      <c r="HK30" s="375"/>
      <c r="HM30" s="373"/>
      <c r="HN30" s="374"/>
      <c r="HO30" s="375"/>
      <c r="HP30" s="375"/>
      <c r="HR30" s="373"/>
      <c r="HS30" s="374"/>
      <c r="HT30" s="375"/>
      <c r="HU30" s="375"/>
      <c r="HW30" s="373"/>
      <c r="HX30" s="374"/>
      <c r="HY30" s="375"/>
      <c r="HZ30" s="375"/>
      <c r="IB30" s="373"/>
      <c r="IC30" s="374"/>
      <c r="ID30" s="375"/>
      <c r="IE30" s="375"/>
      <c r="IG30" s="373"/>
      <c r="IH30" s="374"/>
      <c r="II30" s="375"/>
      <c r="IJ30" s="375"/>
      <c r="IL30" s="373"/>
      <c r="IM30" s="374"/>
      <c r="IN30" s="375"/>
      <c r="IO30" s="375"/>
      <c r="IQ30" s="373"/>
      <c r="IR30" s="374"/>
      <c r="IS30" s="375"/>
      <c r="IT30" s="375"/>
      <c r="IV30" s="373"/>
    </row>
    <row r="31" spans="1:256" s="376" customFormat="1" x14ac:dyDescent="0.2">
      <c r="A31" s="373"/>
      <c r="B31" s="374"/>
      <c r="C31" s="375"/>
      <c r="D31" s="375"/>
      <c r="F31" s="373"/>
      <c r="G31" s="374"/>
      <c r="H31" s="375"/>
      <c r="I31" s="375"/>
      <c r="K31" s="373">
        <v>29</v>
      </c>
      <c r="L31" s="374" t="s">
        <v>345</v>
      </c>
      <c r="M31" s="375">
        <v>36.842105263157897</v>
      </c>
      <c r="N31" s="375">
        <v>1.131578947368421</v>
      </c>
      <c r="P31" s="373">
        <v>29</v>
      </c>
      <c r="Q31" s="374" t="s">
        <v>369</v>
      </c>
      <c r="R31" s="375">
        <v>57.142857142857146</v>
      </c>
      <c r="S31" s="375">
        <v>0.7857142857142857</v>
      </c>
      <c r="U31" s="373"/>
      <c r="V31" s="374"/>
      <c r="W31" s="375"/>
      <c r="X31" s="375"/>
      <c r="Z31" s="373">
        <v>29</v>
      </c>
      <c r="AA31" s="374" t="s">
        <v>423</v>
      </c>
      <c r="AB31" s="375">
        <v>14.285714285714286</v>
      </c>
      <c r="AC31" s="375">
        <v>0.5714285714285714</v>
      </c>
      <c r="AE31" s="373">
        <v>29</v>
      </c>
      <c r="AF31" s="374" t="s">
        <v>2573</v>
      </c>
      <c r="AG31" s="375">
        <v>40</v>
      </c>
      <c r="AH31" s="375">
        <v>0.9</v>
      </c>
      <c r="AJ31" s="373">
        <v>29</v>
      </c>
      <c r="AK31" s="374" t="s">
        <v>387</v>
      </c>
      <c r="AL31" s="375">
        <v>33.333333333333336</v>
      </c>
      <c r="AM31" s="375">
        <v>1.3333333333333333</v>
      </c>
      <c r="AO31" s="377"/>
      <c r="AP31" s="374"/>
      <c r="AQ31" s="378"/>
      <c r="AR31" s="378"/>
      <c r="AT31" s="373">
        <v>29</v>
      </c>
      <c r="AU31" s="374" t="s">
        <v>423</v>
      </c>
      <c r="AV31" s="375">
        <v>33.333333333333336</v>
      </c>
      <c r="AW31" s="375">
        <v>1</v>
      </c>
      <c r="AY31" s="373">
        <v>29</v>
      </c>
      <c r="AZ31" s="374" t="s">
        <v>593</v>
      </c>
      <c r="BA31" s="375">
        <v>33.333333333333336</v>
      </c>
      <c r="BB31" s="375">
        <v>0.33333333333333331</v>
      </c>
      <c r="BD31" s="373"/>
      <c r="BE31" s="374"/>
      <c r="BF31" s="375"/>
      <c r="BG31" s="375"/>
      <c r="BI31" s="373"/>
      <c r="BJ31" s="374"/>
      <c r="BK31" s="375"/>
      <c r="BL31" s="375"/>
      <c r="BN31" s="373">
        <v>29</v>
      </c>
      <c r="BO31" s="374" t="s">
        <v>357</v>
      </c>
      <c r="BP31" s="375">
        <v>66.666666666666671</v>
      </c>
      <c r="BQ31" s="375">
        <v>1</v>
      </c>
      <c r="BS31" s="373"/>
      <c r="BT31" s="374"/>
      <c r="BU31" s="375"/>
      <c r="BV31" s="375"/>
      <c r="BX31" s="373"/>
      <c r="BY31" s="374"/>
      <c r="BZ31" s="375"/>
      <c r="CA31" s="375"/>
      <c r="CC31" s="373"/>
      <c r="CD31" s="374"/>
      <c r="CE31" s="375"/>
      <c r="CF31" s="375"/>
      <c r="CH31" s="373"/>
      <c r="CI31" s="374"/>
      <c r="CJ31" s="375"/>
      <c r="CK31" s="375"/>
      <c r="CM31" s="373"/>
      <c r="CN31" s="374"/>
      <c r="CO31" s="375"/>
      <c r="CP31" s="375"/>
      <c r="CR31" s="373"/>
      <c r="CS31" s="374"/>
      <c r="CT31" s="375"/>
      <c r="CU31" s="375"/>
      <c r="CW31" s="373"/>
      <c r="CX31" s="374"/>
      <c r="CY31" s="375"/>
      <c r="CZ31" s="375"/>
      <c r="DB31" s="373"/>
      <c r="DC31" s="374"/>
      <c r="DD31" s="375"/>
      <c r="DE31" s="375"/>
      <c r="DG31" s="373"/>
      <c r="DH31" s="374"/>
      <c r="DI31" s="375"/>
      <c r="DJ31" s="375"/>
      <c r="DL31" s="373"/>
      <c r="DM31" s="374"/>
      <c r="DN31" s="375"/>
      <c r="DO31" s="375"/>
      <c r="DQ31" s="373"/>
      <c r="DR31" s="374"/>
      <c r="DS31" s="375"/>
      <c r="DT31" s="375"/>
      <c r="DV31" s="373"/>
      <c r="DW31" s="374"/>
      <c r="DX31" s="375"/>
      <c r="DY31" s="375"/>
      <c r="EA31" s="373"/>
      <c r="EB31" s="374"/>
      <c r="EC31" s="375"/>
      <c r="ED31" s="375"/>
      <c r="EF31" s="373"/>
      <c r="EG31" s="374"/>
      <c r="EH31" s="375"/>
      <c r="EI31" s="375"/>
      <c r="EK31" s="373"/>
      <c r="EL31" s="374"/>
      <c r="EM31" s="375"/>
      <c r="EN31" s="375"/>
      <c r="EP31" s="373"/>
      <c r="EQ31" s="374"/>
      <c r="ER31" s="375"/>
      <c r="ES31" s="375"/>
      <c r="EU31" s="373"/>
      <c r="EV31" s="374"/>
      <c r="EW31" s="375"/>
      <c r="EX31" s="375"/>
      <c r="EZ31" s="373"/>
      <c r="FA31" s="374"/>
      <c r="FB31" s="375"/>
      <c r="FC31" s="375"/>
      <c r="FE31" s="373"/>
      <c r="FF31" s="374"/>
      <c r="FG31" s="375"/>
      <c r="FH31" s="375"/>
      <c r="FJ31" s="373"/>
      <c r="FK31" s="374"/>
      <c r="FL31" s="375"/>
      <c r="FM31" s="375"/>
      <c r="FO31" s="373"/>
      <c r="FP31" s="374"/>
      <c r="FQ31" s="375"/>
      <c r="FR31" s="375"/>
      <c r="FT31" s="373"/>
      <c r="FU31" s="374"/>
      <c r="FV31" s="375"/>
      <c r="FW31" s="375"/>
      <c r="FY31" s="373"/>
      <c r="FZ31" s="374"/>
      <c r="GA31" s="375"/>
      <c r="GB31" s="375"/>
      <c r="GD31" s="373"/>
      <c r="GE31" s="374"/>
      <c r="GF31" s="375"/>
      <c r="GG31" s="375"/>
      <c r="GI31" s="373"/>
      <c r="GJ31" s="374"/>
      <c r="GK31" s="375"/>
      <c r="GL31" s="375"/>
      <c r="GN31" s="373"/>
      <c r="GO31" s="374"/>
      <c r="GP31" s="375"/>
      <c r="GQ31" s="375"/>
      <c r="GS31" s="373"/>
      <c r="GT31" s="374"/>
      <c r="GU31" s="375"/>
      <c r="GV31" s="375"/>
      <c r="GX31" s="373"/>
      <c r="GY31" s="374"/>
      <c r="GZ31" s="375"/>
      <c r="HA31" s="375"/>
      <c r="HC31" s="373"/>
      <c r="HD31" s="374"/>
      <c r="HE31" s="375"/>
      <c r="HF31" s="375"/>
      <c r="HH31" s="373"/>
      <c r="HI31" s="374"/>
      <c r="HJ31" s="375"/>
      <c r="HK31" s="375"/>
      <c r="HM31" s="373"/>
      <c r="HN31" s="374"/>
      <c r="HO31" s="375"/>
      <c r="HP31" s="375"/>
      <c r="HR31" s="373"/>
      <c r="HS31" s="374"/>
      <c r="HT31" s="375"/>
      <c r="HU31" s="375"/>
      <c r="HW31" s="373"/>
      <c r="HX31" s="374"/>
      <c r="HY31" s="375"/>
      <c r="HZ31" s="375"/>
      <c r="IB31" s="373"/>
      <c r="IC31" s="374"/>
      <c r="ID31" s="375"/>
      <c r="IE31" s="375"/>
      <c r="IG31" s="373"/>
      <c r="IH31" s="374"/>
      <c r="II31" s="375"/>
      <c r="IJ31" s="375"/>
      <c r="IL31" s="373"/>
      <c r="IM31" s="374"/>
      <c r="IN31" s="375"/>
      <c r="IO31" s="375"/>
      <c r="IQ31" s="373"/>
      <c r="IR31" s="374"/>
      <c r="IS31" s="375"/>
      <c r="IT31" s="375"/>
      <c r="IV31" s="373"/>
    </row>
    <row r="32" spans="1:256" s="376" customFormat="1" x14ac:dyDescent="0.2">
      <c r="A32" s="373"/>
      <c r="B32" s="374"/>
      <c r="C32" s="375"/>
      <c r="D32" s="375"/>
      <c r="F32" s="373"/>
      <c r="G32" s="374"/>
      <c r="H32" s="375"/>
      <c r="I32" s="375"/>
      <c r="K32" s="373">
        <v>30</v>
      </c>
      <c r="L32" s="374" t="s">
        <v>373</v>
      </c>
      <c r="M32" s="375">
        <v>10.526315789473685</v>
      </c>
      <c r="N32" s="375">
        <v>1.0526315789473684</v>
      </c>
      <c r="P32" s="373">
        <v>30</v>
      </c>
      <c r="Q32" s="374" t="s">
        <v>391</v>
      </c>
      <c r="R32" s="375">
        <v>42.857142857142854</v>
      </c>
      <c r="S32" s="375">
        <v>0.7857142857142857</v>
      </c>
      <c r="U32" s="373"/>
      <c r="V32" s="374"/>
      <c r="W32" s="375"/>
      <c r="X32" s="375"/>
      <c r="Z32" s="373">
        <v>30</v>
      </c>
      <c r="AA32" s="374" t="s">
        <v>2636</v>
      </c>
      <c r="AB32" s="375">
        <v>57.142857142857146</v>
      </c>
      <c r="AC32" s="375">
        <v>0.42857142857142855</v>
      </c>
      <c r="AE32" s="373">
        <v>30</v>
      </c>
      <c r="AF32" s="374" t="s">
        <v>402</v>
      </c>
      <c r="AG32" s="375">
        <v>40</v>
      </c>
      <c r="AH32" s="375">
        <v>0.9</v>
      </c>
      <c r="AJ32" s="373">
        <v>30</v>
      </c>
      <c r="AK32" s="374" t="s">
        <v>354</v>
      </c>
      <c r="AL32" s="375">
        <v>33.333333333333336</v>
      </c>
      <c r="AM32" s="375">
        <v>1.3333333333333333</v>
      </c>
      <c r="AO32" s="377"/>
      <c r="AP32" s="374"/>
      <c r="AQ32" s="378"/>
      <c r="AR32" s="378"/>
      <c r="AT32" s="379">
        <v>30</v>
      </c>
      <c r="AU32" s="380" t="s">
        <v>2642</v>
      </c>
      <c r="AV32" s="381">
        <v>100</v>
      </c>
      <c r="AW32" s="381">
        <v>1</v>
      </c>
      <c r="AY32" s="377">
        <v>30</v>
      </c>
      <c r="AZ32" s="374" t="s">
        <v>2636</v>
      </c>
      <c r="BA32" s="378">
        <v>33.333333333333336</v>
      </c>
      <c r="BB32" s="378">
        <v>0.16666666666666666</v>
      </c>
      <c r="BD32" s="373"/>
      <c r="BE32" s="374"/>
      <c r="BF32" s="375"/>
      <c r="BG32" s="375"/>
      <c r="BI32" s="373"/>
      <c r="BJ32" s="374"/>
      <c r="BK32" s="375"/>
      <c r="BL32" s="375"/>
      <c r="BN32" s="373">
        <v>30</v>
      </c>
      <c r="BO32" s="374" t="s">
        <v>345</v>
      </c>
      <c r="BP32" s="375">
        <v>66.666666666666671</v>
      </c>
      <c r="BQ32" s="375">
        <v>1</v>
      </c>
      <c r="BS32" s="373"/>
      <c r="BT32" s="374"/>
      <c r="BU32" s="375"/>
      <c r="BV32" s="375"/>
      <c r="BX32" s="373"/>
      <c r="BY32" s="374"/>
      <c r="BZ32" s="375"/>
      <c r="CA32" s="375"/>
      <c r="CC32" s="373"/>
      <c r="CD32" s="374"/>
      <c r="CE32" s="375"/>
      <c r="CF32" s="375"/>
      <c r="CH32" s="373"/>
      <c r="CI32" s="374"/>
      <c r="CJ32" s="375"/>
      <c r="CK32" s="375"/>
      <c r="CM32" s="373"/>
      <c r="CN32" s="374"/>
      <c r="CO32" s="375"/>
      <c r="CP32" s="375"/>
      <c r="CR32" s="373"/>
      <c r="CS32" s="374"/>
      <c r="CT32" s="375"/>
      <c r="CU32" s="375"/>
      <c r="CW32" s="373"/>
      <c r="CX32" s="374"/>
      <c r="CY32" s="375"/>
      <c r="CZ32" s="375"/>
      <c r="DB32" s="373"/>
      <c r="DC32" s="374"/>
      <c r="DD32" s="375"/>
      <c r="DE32" s="375"/>
      <c r="DG32" s="373"/>
      <c r="DH32" s="374"/>
      <c r="DI32" s="375"/>
      <c r="DJ32" s="375"/>
      <c r="DL32" s="373"/>
      <c r="DM32" s="374"/>
      <c r="DN32" s="375"/>
      <c r="DO32" s="375"/>
      <c r="DQ32" s="373"/>
      <c r="DR32" s="374"/>
      <c r="DS32" s="375"/>
      <c r="DT32" s="375"/>
      <c r="DV32" s="373"/>
      <c r="DW32" s="374"/>
      <c r="DX32" s="375"/>
      <c r="DY32" s="375"/>
      <c r="EA32" s="373"/>
      <c r="EB32" s="374"/>
      <c r="EC32" s="375"/>
      <c r="ED32" s="375"/>
      <c r="EF32" s="373"/>
      <c r="EG32" s="374"/>
      <c r="EH32" s="375"/>
      <c r="EI32" s="375"/>
      <c r="EK32" s="373"/>
      <c r="EL32" s="374"/>
      <c r="EM32" s="375"/>
      <c r="EN32" s="375"/>
      <c r="EP32" s="373"/>
      <c r="EQ32" s="374"/>
      <c r="ER32" s="375"/>
      <c r="ES32" s="375"/>
      <c r="EU32" s="373"/>
      <c r="EV32" s="374"/>
      <c r="EW32" s="375"/>
      <c r="EX32" s="375"/>
      <c r="EZ32" s="373"/>
      <c r="FA32" s="374"/>
      <c r="FB32" s="375"/>
      <c r="FC32" s="375"/>
      <c r="FE32" s="373"/>
      <c r="FF32" s="374"/>
      <c r="FG32" s="375"/>
      <c r="FH32" s="375"/>
      <c r="FJ32" s="373"/>
      <c r="FK32" s="374"/>
      <c r="FL32" s="375"/>
      <c r="FM32" s="375"/>
      <c r="FO32" s="373"/>
      <c r="FP32" s="374"/>
      <c r="FQ32" s="375"/>
      <c r="FR32" s="375"/>
      <c r="FT32" s="373"/>
      <c r="FU32" s="374"/>
      <c r="FV32" s="375"/>
      <c r="FW32" s="375"/>
      <c r="FY32" s="373"/>
      <c r="FZ32" s="374"/>
      <c r="GA32" s="375"/>
      <c r="GB32" s="375"/>
      <c r="GD32" s="373"/>
      <c r="GE32" s="374"/>
      <c r="GF32" s="375"/>
      <c r="GG32" s="375"/>
      <c r="GI32" s="373"/>
      <c r="GJ32" s="374"/>
      <c r="GK32" s="375"/>
      <c r="GL32" s="375"/>
      <c r="GN32" s="373"/>
      <c r="GO32" s="374"/>
      <c r="GP32" s="375"/>
      <c r="GQ32" s="375"/>
      <c r="GS32" s="373"/>
      <c r="GT32" s="374"/>
      <c r="GU32" s="375"/>
      <c r="GV32" s="375"/>
      <c r="GX32" s="373"/>
      <c r="GY32" s="374"/>
      <c r="GZ32" s="375"/>
      <c r="HA32" s="375"/>
      <c r="HC32" s="373"/>
      <c r="HD32" s="374"/>
      <c r="HE32" s="375"/>
      <c r="HF32" s="375"/>
      <c r="HH32" s="373"/>
      <c r="HI32" s="374"/>
      <c r="HJ32" s="375"/>
      <c r="HK32" s="375"/>
      <c r="HM32" s="373"/>
      <c r="HN32" s="374"/>
      <c r="HO32" s="375"/>
      <c r="HP32" s="375"/>
      <c r="HR32" s="373"/>
      <c r="HS32" s="374"/>
      <c r="HT32" s="375"/>
      <c r="HU32" s="375"/>
      <c r="HW32" s="373"/>
      <c r="HX32" s="374"/>
      <c r="HY32" s="375"/>
      <c r="HZ32" s="375"/>
      <c r="IB32" s="373"/>
      <c r="IC32" s="374"/>
      <c r="ID32" s="375"/>
      <c r="IE32" s="375"/>
      <c r="IG32" s="373"/>
      <c r="IH32" s="374"/>
      <c r="II32" s="375"/>
      <c r="IJ32" s="375"/>
      <c r="IL32" s="373"/>
      <c r="IM32" s="374"/>
      <c r="IN32" s="375"/>
      <c r="IO32" s="375"/>
      <c r="IQ32" s="373"/>
      <c r="IR32" s="374"/>
      <c r="IS32" s="375"/>
      <c r="IT32" s="375"/>
      <c r="IV32" s="373"/>
    </row>
    <row r="33" spans="1:256" s="376" customFormat="1" x14ac:dyDescent="0.2">
      <c r="A33" s="373"/>
      <c r="B33" s="374"/>
      <c r="C33" s="375"/>
      <c r="D33" s="375"/>
      <c r="F33" s="373"/>
      <c r="G33" s="374"/>
      <c r="H33" s="375"/>
      <c r="I33" s="375"/>
      <c r="K33" s="382">
        <v>31</v>
      </c>
      <c r="L33" s="383" t="s">
        <v>2328</v>
      </c>
      <c r="M33" s="384">
        <v>5.2631578947368425</v>
      </c>
      <c r="N33" s="384">
        <v>1.0526315789473684</v>
      </c>
      <c r="P33" s="382">
        <v>31</v>
      </c>
      <c r="Q33" s="383" t="s">
        <v>379</v>
      </c>
      <c r="R33" s="384">
        <v>14.285714285714286</v>
      </c>
      <c r="S33" s="384">
        <v>0.7142857142857143</v>
      </c>
      <c r="U33" s="373"/>
      <c r="V33" s="374"/>
      <c r="W33" s="375"/>
      <c r="X33" s="375"/>
      <c r="Z33" s="373">
        <v>31</v>
      </c>
      <c r="AA33" s="374" t="s">
        <v>372</v>
      </c>
      <c r="AB33" s="375">
        <v>42.857142857142854</v>
      </c>
      <c r="AC33" s="375">
        <v>0.42857142857142855</v>
      </c>
      <c r="AE33" s="373">
        <v>31</v>
      </c>
      <c r="AF33" s="374" t="s">
        <v>425</v>
      </c>
      <c r="AG33" s="375">
        <v>40</v>
      </c>
      <c r="AH33" s="375">
        <v>0.9</v>
      </c>
      <c r="AJ33" s="373">
        <v>31</v>
      </c>
      <c r="AK33" s="374" t="s">
        <v>344</v>
      </c>
      <c r="AL33" s="375">
        <v>33.333333333333336</v>
      </c>
      <c r="AM33" s="375">
        <v>1.3333333333333333</v>
      </c>
      <c r="AO33" s="377"/>
      <c r="AP33" s="374"/>
      <c r="AQ33" s="378"/>
      <c r="AR33" s="378"/>
      <c r="AT33" s="373">
        <v>31</v>
      </c>
      <c r="AU33" s="374" t="s">
        <v>349</v>
      </c>
      <c r="AV33" s="375">
        <v>66.666666666666671</v>
      </c>
      <c r="AW33" s="375">
        <v>1</v>
      </c>
      <c r="AY33" s="373">
        <v>31</v>
      </c>
      <c r="AZ33" s="374" t="s">
        <v>2660</v>
      </c>
      <c r="BA33" s="375">
        <v>33.333333333333336</v>
      </c>
      <c r="BB33" s="375">
        <v>0.16666666666666666</v>
      </c>
      <c r="BD33" s="373"/>
      <c r="BE33" s="374"/>
      <c r="BF33" s="375"/>
      <c r="BG33" s="375"/>
      <c r="BI33" s="373"/>
      <c r="BJ33" s="374"/>
      <c r="BK33" s="375"/>
      <c r="BL33" s="375"/>
      <c r="BN33" s="335">
        <v>31</v>
      </c>
      <c r="BO33" s="336" t="s">
        <v>2594</v>
      </c>
      <c r="BP33" s="337">
        <v>66.666666666666671</v>
      </c>
      <c r="BQ33" s="337">
        <v>0.83333333333333337</v>
      </c>
      <c r="BS33" s="373"/>
      <c r="BT33" s="374"/>
      <c r="BU33" s="375"/>
      <c r="BV33" s="375"/>
      <c r="BX33" s="373"/>
      <c r="BY33" s="374"/>
      <c r="BZ33" s="375"/>
      <c r="CA33" s="375"/>
      <c r="CC33" s="373"/>
      <c r="CD33" s="374"/>
      <c r="CE33" s="375"/>
      <c r="CF33" s="375"/>
      <c r="CH33" s="373"/>
      <c r="CI33" s="374"/>
      <c r="CJ33" s="375"/>
      <c r="CK33" s="375"/>
      <c r="CM33" s="373"/>
      <c r="CN33" s="374"/>
      <c r="CO33" s="375"/>
      <c r="CP33" s="375"/>
      <c r="CR33" s="373"/>
      <c r="CS33" s="374"/>
      <c r="CT33" s="375"/>
      <c r="CU33" s="375"/>
      <c r="CW33" s="373"/>
      <c r="CX33" s="374"/>
      <c r="CY33" s="375"/>
      <c r="CZ33" s="375"/>
      <c r="DB33" s="373"/>
      <c r="DC33" s="374"/>
      <c r="DD33" s="375"/>
      <c r="DE33" s="375"/>
      <c r="DG33" s="373"/>
      <c r="DH33" s="374"/>
      <c r="DI33" s="375"/>
      <c r="DJ33" s="375"/>
      <c r="DL33" s="373"/>
      <c r="DM33" s="374"/>
      <c r="DN33" s="375"/>
      <c r="DO33" s="375"/>
      <c r="DQ33" s="373"/>
      <c r="DR33" s="374"/>
      <c r="DS33" s="375"/>
      <c r="DT33" s="375"/>
      <c r="DV33" s="373"/>
      <c r="DW33" s="374"/>
      <c r="DX33" s="375"/>
      <c r="DY33" s="375"/>
      <c r="EA33" s="373"/>
      <c r="EB33" s="374"/>
      <c r="EC33" s="375"/>
      <c r="ED33" s="375"/>
      <c r="EF33" s="373"/>
      <c r="EG33" s="374"/>
      <c r="EH33" s="375"/>
      <c r="EI33" s="375"/>
      <c r="EK33" s="373"/>
      <c r="EL33" s="374"/>
      <c r="EM33" s="375"/>
      <c r="EN33" s="375"/>
      <c r="EP33" s="373"/>
      <c r="EQ33" s="374"/>
      <c r="ER33" s="375"/>
      <c r="ES33" s="375"/>
      <c r="EU33" s="373"/>
      <c r="EV33" s="374"/>
      <c r="EW33" s="375"/>
      <c r="EX33" s="375"/>
      <c r="EZ33" s="373"/>
      <c r="FA33" s="374"/>
      <c r="FB33" s="375"/>
      <c r="FC33" s="375"/>
      <c r="FE33" s="373"/>
      <c r="FF33" s="374"/>
      <c r="FG33" s="375"/>
      <c r="FH33" s="375"/>
      <c r="FJ33" s="373"/>
      <c r="FK33" s="374"/>
      <c r="FL33" s="375"/>
      <c r="FM33" s="375"/>
      <c r="FO33" s="373"/>
      <c r="FP33" s="374"/>
      <c r="FQ33" s="375"/>
      <c r="FR33" s="375"/>
      <c r="FT33" s="373"/>
      <c r="FU33" s="374"/>
      <c r="FV33" s="375"/>
      <c r="FW33" s="375"/>
      <c r="FY33" s="373"/>
      <c r="FZ33" s="374"/>
      <c r="GA33" s="375"/>
      <c r="GB33" s="375"/>
      <c r="GD33" s="373"/>
      <c r="GE33" s="374"/>
      <c r="GF33" s="375"/>
      <c r="GG33" s="375"/>
      <c r="GI33" s="373"/>
      <c r="GJ33" s="374"/>
      <c r="GK33" s="375"/>
      <c r="GL33" s="375"/>
      <c r="GN33" s="373"/>
      <c r="GO33" s="374"/>
      <c r="GP33" s="375"/>
      <c r="GQ33" s="375"/>
      <c r="GS33" s="373"/>
      <c r="GT33" s="374"/>
      <c r="GU33" s="375"/>
      <c r="GV33" s="375"/>
      <c r="GX33" s="373"/>
      <c r="GY33" s="374"/>
      <c r="GZ33" s="375"/>
      <c r="HA33" s="375"/>
      <c r="HC33" s="373"/>
      <c r="HD33" s="374"/>
      <c r="HE33" s="375"/>
      <c r="HF33" s="375"/>
      <c r="HH33" s="373"/>
      <c r="HI33" s="374"/>
      <c r="HJ33" s="375"/>
      <c r="HK33" s="375"/>
      <c r="HM33" s="373"/>
      <c r="HN33" s="374"/>
      <c r="HO33" s="375"/>
      <c r="HP33" s="375"/>
      <c r="HR33" s="373"/>
      <c r="HS33" s="374"/>
      <c r="HT33" s="375"/>
      <c r="HU33" s="375"/>
      <c r="HW33" s="373"/>
      <c r="HX33" s="374"/>
      <c r="HY33" s="375"/>
      <c r="HZ33" s="375"/>
      <c r="IB33" s="373"/>
      <c r="IC33" s="374"/>
      <c r="ID33" s="375"/>
      <c r="IE33" s="375"/>
      <c r="IG33" s="373"/>
      <c r="IH33" s="374"/>
      <c r="II33" s="375"/>
      <c r="IJ33" s="375"/>
      <c r="IL33" s="373"/>
      <c r="IM33" s="374"/>
      <c r="IN33" s="375"/>
      <c r="IO33" s="375"/>
      <c r="IQ33" s="373"/>
      <c r="IR33" s="374"/>
      <c r="IS33" s="375"/>
      <c r="IT33" s="375"/>
      <c r="IV33" s="373"/>
    </row>
    <row r="34" spans="1:256" s="376" customFormat="1" x14ac:dyDescent="0.2">
      <c r="A34" s="373"/>
      <c r="B34" s="374"/>
      <c r="C34" s="375"/>
      <c r="D34" s="375"/>
      <c r="F34" s="373"/>
      <c r="G34" s="374"/>
      <c r="H34" s="375"/>
      <c r="I34" s="375"/>
      <c r="K34" s="373">
        <v>32</v>
      </c>
      <c r="L34" s="374" t="s">
        <v>409</v>
      </c>
      <c r="M34" s="375">
        <v>5.2631578947368425</v>
      </c>
      <c r="N34" s="375">
        <v>1.0526315789473684</v>
      </c>
      <c r="P34" s="373">
        <v>32</v>
      </c>
      <c r="Q34" s="374" t="s">
        <v>595</v>
      </c>
      <c r="R34" s="375">
        <v>14.285714285714286</v>
      </c>
      <c r="S34" s="375">
        <v>0.7142857142857143</v>
      </c>
      <c r="U34" s="373"/>
      <c r="V34" s="374"/>
      <c r="W34" s="375"/>
      <c r="X34" s="375"/>
      <c r="Z34" s="373">
        <v>32</v>
      </c>
      <c r="AA34" s="374" t="s">
        <v>1286</v>
      </c>
      <c r="AB34" s="375">
        <v>14.285714285714286</v>
      </c>
      <c r="AC34" s="375">
        <v>0.42857142857142855</v>
      </c>
      <c r="AE34" s="373">
        <v>32</v>
      </c>
      <c r="AF34" s="374" t="s">
        <v>368</v>
      </c>
      <c r="AG34" s="375">
        <v>40</v>
      </c>
      <c r="AH34" s="375">
        <v>0.9</v>
      </c>
      <c r="AJ34" s="373">
        <v>32</v>
      </c>
      <c r="AK34" s="374" t="s">
        <v>404</v>
      </c>
      <c r="AL34" s="375">
        <v>66.666666666666671</v>
      </c>
      <c r="AM34" s="375">
        <v>1.3333333333333333</v>
      </c>
      <c r="AO34" s="377"/>
      <c r="AP34" s="374"/>
      <c r="AQ34" s="378"/>
      <c r="AR34" s="378"/>
      <c r="AT34" s="379">
        <v>32</v>
      </c>
      <c r="AU34" s="380" t="s">
        <v>350</v>
      </c>
      <c r="AV34" s="381">
        <v>100</v>
      </c>
      <c r="AW34" s="381">
        <v>1</v>
      </c>
      <c r="AY34" s="377">
        <v>32</v>
      </c>
      <c r="AZ34" s="374" t="s">
        <v>2583</v>
      </c>
      <c r="BA34" s="378">
        <v>33.333333333333336</v>
      </c>
      <c r="BB34" s="378">
        <v>0.16666666666666666</v>
      </c>
      <c r="BD34" s="373"/>
      <c r="BE34" s="374"/>
      <c r="BF34" s="375"/>
      <c r="BG34" s="375"/>
      <c r="BI34" s="373"/>
      <c r="BJ34" s="374"/>
      <c r="BK34" s="375"/>
      <c r="BL34" s="375"/>
      <c r="BN34" s="382">
        <v>32</v>
      </c>
      <c r="BO34" s="383" t="s">
        <v>2630</v>
      </c>
      <c r="BP34" s="384">
        <v>33.333333333333336</v>
      </c>
      <c r="BQ34" s="384">
        <v>0.66666666666666663</v>
      </c>
      <c r="BS34" s="373"/>
      <c r="BT34" s="374"/>
      <c r="BU34" s="375"/>
      <c r="BV34" s="375"/>
      <c r="BX34" s="373"/>
      <c r="BY34" s="374"/>
      <c r="BZ34" s="375"/>
      <c r="CA34" s="375"/>
      <c r="CC34" s="373"/>
      <c r="CD34" s="374"/>
      <c r="CE34" s="375"/>
      <c r="CF34" s="375"/>
      <c r="CH34" s="373"/>
      <c r="CI34" s="374"/>
      <c r="CJ34" s="375"/>
      <c r="CK34" s="375"/>
      <c r="CM34" s="373"/>
      <c r="CN34" s="374"/>
      <c r="CO34" s="375"/>
      <c r="CP34" s="375"/>
      <c r="CR34" s="373"/>
      <c r="CS34" s="374"/>
      <c r="CT34" s="375"/>
      <c r="CU34" s="375"/>
      <c r="CW34" s="373"/>
      <c r="CX34" s="374"/>
      <c r="CY34" s="375"/>
      <c r="CZ34" s="375"/>
      <c r="DB34" s="373"/>
      <c r="DC34" s="374"/>
      <c r="DD34" s="375"/>
      <c r="DE34" s="375"/>
      <c r="DG34" s="373"/>
      <c r="DH34" s="374"/>
      <c r="DI34" s="375"/>
      <c r="DJ34" s="375"/>
      <c r="DL34" s="373"/>
      <c r="DM34" s="374"/>
      <c r="DN34" s="375"/>
      <c r="DO34" s="375"/>
      <c r="DQ34" s="373"/>
      <c r="DR34" s="374"/>
      <c r="DS34" s="375"/>
      <c r="DT34" s="375"/>
      <c r="DV34" s="373"/>
      <c r="DW34" s="374"/>
      <c r="DX34" s="375"/>
      <c r="DY34" s="375"/>
      <c r="EA34" s="373"/>
      <c r="EB34" s="374"/>
      <c r="EC34" s="375"/>
      <c r="ED34" s="375"/>
      <c r="EF34" s="373"/>
      <c r="EG34" s="374"/>
      <c r="EH34" s="375"/>
      <c r="EI34" s="375"/>
      <c r="EK34" s="373"/>
      <c r="EL34" s="374"/>
      <c r="EM34" s="375"/>
      <c r="EN34" s="375"/>
      <c r="EP34" s="373"/>
      <c r="EQ34" s="374"/>
      <c r="ER34" s="375"/>
      <c r="ES34" s="375"/>
      <c r="EU34" s="373"/>
      <c r="EV34" s="374"/>
      <c r="EW34" s="375"/>
      <c r="EX34" s="375"/>
      <c r="EZ34" s="373"/>
      <c r="FA34" s="374"/>
      <c r="FB34" s="375"/>
      <c r="FC34" s="375"/>
      <c r="FE34" s="373"/>
      <c r="FF34" s="374"/>
      <c r="FG34" s="375"/>
      <c r="FH34" s="375"/>
      <c r="FJ34" s="373"/>
      <c r="FK34" s="374"/>
      <c r="FL34" s="375"/>
      <c r="FM34" s="375"/>
      <c r="FO34" s="373"/>
      <c r="FP34" s="374"/>
      <c r="FQ34" s="375"/>
      <c r="FR34" s="375"/>
      <c r="FT34" s="373"/>
      <c r="FU34" s="374"/>
      <c r="FV34" s="375"/>
      <c r="FW34" s="375"/>
      <c r="FY34" s="373"/>
      <c r="FZ34" s="374"/>
      <c r="GA34" s="375"/>
      <c r="GB34" s="375"/>
      <c r="GD34" s="373"/>
      <c r="GE34" s="374"/>
      <c r="GF34" s="375"/>
      <c r="GG34" s="375"/>
      <c r="GI34" s="373"/>
      <c r="GJ34" s="374"/>
      <c r="GK34" s="375"/>
      <c r="GL34" s="375"/>
      <c r="GN34" s="373"/>
      <c r="GO34" s="374"/>
      <c r="GP34" s="375"/>
      <c r="GQ34" s="375"/>
      <c r="GS34" s="373"/>
      <c r="GT34" s="374"/>
      <c r="GU34" s="375"/>
      <c r="GV34" s="375"/>
      <c r="GX34" s="373"/>
      <c r="GY34" s="374"/>
      <c r="GZ34" s="375"/>
      <c r="HA34" s="375"/>
      <c r="HC34" s="373"/>
      <c r="HD34" s="374"/>
      <c r="HE34" s="375"/>
      <c r="HF34" s="375"/>
      <c r="HH34" s="373"/>
      <c r="HI34" s="374"/>
      <c r="HJ34" s="375"/>
      <c r="HK34" s="375"/>
      <c r="HM34" s="373"/>
      <c r="HN34" s="374"/>
      <c r="HO34" s="375"/>
      <c r="HP34" s="375"/>
      <c r="HR34" s="373"/>
      <c r="HS34" s="374"/>
      <c r="HT34" s="375"/>
      <c r="HU34" s="375"/>
      <c r="HW34" s="373"/>
      <c r="HX34" s="374"/>
      <c r="HY34" s="375"/>
      <c r="HZ34" s="375"/>
      <c r="IB34" s="373"/>
      <c r="IC34" s="374"/>
      <c r="ID34" s="375"/>
      <c r="IE34" s="375"/>
      <c r="IG34" s="373"/>
      <c r="IH34" s="374"/>
      <c r="II34" s="375"/>
      <c r="IJ34" s="375"/>
      <c r="IL34" s="373"/>
      <c r="IM34" s="374"/>
      <c r="IN34" s="375"/>
      <c r="IO34" s="375"/>
      <c r="IQ34" s="373"/>
      <c r="IR34" s="374"/>
      <c r="IS34" s="375"/>
      <c r="IT34" s="375"/>
      <c r="IV34" s="373"/>
    </row>
    <row r="35" spans="1:256" s="376" customFormat="1" x14ac:dyDescent="0.2">
      <c r="A35" s="373"/>
      <c r="B35" s="374"/>
      <c r="C35" s="375"/>
      <c r="D35" s="375"/>
      <c r="F35" s="373"/>
      <c r="G35" s="374"/>
      <c r="H35" s="375"/>
      <c r="I35" s="375"/>
      <c r="K35" s="382">
        <v>33</v>
      </c>
      <c r="L35" s="383" t="s">
        <v>362</v>
      </c>
      <c r="M35" s="384">
        <v>21.05263157894737</v>
      </c>
      <c r="N35" s="384">
        <v>1</v>
      </c>
      <c r="P35" s="382">
        <v>33</v>
      </c>
      <c r="Q35" s="383" t="s">
        <v>2572</v>
      </c>
      <c r="R35" s="384">
        <v>14.285714285714286</v>
      </c>
      <c r="S35" s="384">
        <v>0.7142857142857143</v>
      </c>
      <c r="U35" s="373"/>
      <c r="V35" s="374"/>
      <c r="W35" s="375"/>
      <c r="X35" s="375"/>
      <c r="Z35" s="373">
        <v>33</v>
      </c>
      <c r="AA35" s="374" t="s">
        <v>2637</v>
      </c>
      <c r="AB35" s="375">
        <v>28.571428571428573</v>
      </c>
      <c r="AC35" s="375">
        <v>0.35714285714285715</v>
      </c>
      <c r="AE35" s="373">
        <v>33</v>
      </c>
      <c r="AF35" s="374" t="s">
        <v>347</v>
      </c>
      <c r="AG35" s="375">
        <v>80</v>
      </c>
      <c r="AH35" s="375">
        <v>0.8</v>
      </c>
      <c r="AJ35" s="373">
        <v>33</v>
      </c>
      <c r="AK35" s="374" t="s">
        <v>442</v>
      </c>
      <c r="AL35" s="375">
        <v>66.666666666666671</v>
      </c>
      <c r="AM35" s="375">
        <v>1.3333333333333333</v>
      </c>
      <c r="AO35" s="377"/>
      <c r="AP35" s="374"/>
      <c r="AQ35" s="378"/>
      <c r="AR35" s="378"/>
      <c r="AT35" s="373">
        <v>33</v>
      </c>
      <c r="AU35" s="374" t="s">
        <v>572</v>
      </c>
      <c r="AV35" s="375">
        <v>66.666666666666671</v>
      </c>
      <c r="AW35" s="375">
        <v>1</v>
      </c>
      <c r="AY35" s="382">
        <v>33</v>
      </c>
      <c r="AZ35" s="383" t="s">
        <v>482</v>
      </c>
      <c r="BA35" s="384">
        <v>33.333333333333336</v>
      </c>
      <c r="BB35" s="384">
        <v>0.16666666666666666</v>
      </c>
      <c r="BD35" s="373"/>
      <c r="BE35" s="374"/>
      <c r="BF35" s="375"/>
      <c r="BG35" s="375"/>
      <c r="BI35" s="373"/>
      <c r="BJ35" s="374"/>
      <c r="BK35" s="375"/>
      <c r="BL35" s="375"/>
      <c r="BN35" s="373">
        <v>33</v>
      </c>
      <c r="BO35" s="374" t="s">
        <v>367</v>
      </c>
      <c r="BP35" s="375">
        <v>66.666666666666671</v>
      </c>
      <c r="BQ35" s="375">
        <v>0.66666666666666663</v>
      </c>
      <c r="BS35" s="373"/>
      <c r="BT35" s="374"/>
      <c r="BU35" s="375"/>
      <c r="BV35" s="375"/>
      <c r="BX35" s="373"/>
      <c r="BY35" s="374"/>
      <c r="BZ35" s="375"/>
      <c r="CA35" s="375"/>
      <c r="CC35" s="373"/>
      <c r="CD35" s="374"/>
      <c r="CE35" s="375"/>
      <c r="CF35" s="375"/>
      <c r="CH35" s="373"/>
      <c r="CI35" s="374"/>
      <c r="CJ35" s="375"/>
      <c r="CK35" s="375"/>
      <c r="CM35" s="373"/>
      <c r="CN35" s="374"/>
      <c r="CO35" s="375"/>
      <c r="CP35" s="375"/>
      <c r="CR35" s="373"/>
      <c r="CS35" s="374"/>
      <c r="CT35" s="375"/>
      <c r="CU35" s="375"/>
      <c r="CW35" s="373"/>
      <c r="CX35" s="374"/>
      <c r="CY35" s="375"/>
      <c r="CZ35" s="375"/>
      <c r="DB35" s="373"/>
      <c r="DC35" s="374"/>
      <c r="DD35" s="375"/>
      <c r="DE35" s="375"/>
      <c r="DG35" s="373"/>
      <c r="DH35" s="374"/>
      <c r="DI35" s="375"/>
      <c r="DJ35" s="375"/>
      <c r="DL35" s="373"/>
      <c r="DM35" s="374"/>
      <c r="DN35" s="375"/>
      <c r="DO35" s="375"/>
      <c r="DQ35" s="373"/>
      <c r="DR35" s="374"/>
      <c r="DS35" s="375"/>
      <c r="DT35" s="375"/>
      <c r="DV35" s="373"/>
      <c r="DW35" s="374"/>
      <c r="DX35" s="375"/>
      <c r="DY35" s="375"/>
      <c r="EA35" s="373"/>
      <c r="EB35" s="374"/>
      <c r="EC35" s="375"/>
      <c r="ED35" s="375"/>
      <c r="EF35" s="373"/>
      <c r="EG35" s="374"/>
      <c r="EH35" s="375"/>
      <c r="EI35" s="375"/>
      <c r="EK35" s="373"/>
      <c r="EL35" s="374"/>
      <c r="EM35" s="375"/>
      <c r="EN35" s="375"/>
      <c r="EP35" s="373"/>
      <c r="EQ35" s="374"/>
      <c r="ER35" s="375"/>
      <c r="ES35" s="375"/>
      <c r="EU35" s="373"/>
      <c r="EV35" s="374"/>
      <c r="EW35" s="375"/>
      <c r="EX35" s="375"/>
      <c r="EZ35" s="373"/>
      <c r="FA35" s="374"/>
      <c r="FB35" s="375"/>
      <c r="FC35" s="375"/>
      <c r="FE35" s="373"/>
      <c r="FF35" s="374"/>
      <c r="FG35" s="375"/>
      <c r="FH35" s="375"/>
      <c r="FJ35" s="373"/>
      <c r="FK35" s="374"/>
      <c r="FL35" s="375"/>
      <c r="FM35" s="375"/>
      <c r="FO35" s="373"/>
      <c r="FP35" s="374"/>
      <c r="FQ35" s="375"/>
      <c r="FR35" s="375"/>
      <c r="FT35" s="373"/>
      <c r="FU35" s="374"/>
      <c r="FV35" s="375"/>
      <c r="FW35" s="375"/>
      <c r="FY35" s="373"/>
      <c r="FZ35" s="374"/>
      <c r="GA35" s="375"/>
      <c r="GB35" s="375"/>
      <c r="GD35" s="373"/>
      <c r="GE35" s="374"/>
      <c r="GF35" s="375"/>
      <c r="GG35" s="375"/>
      <c r="GI35" s="373"/>
      <c r="GJ35" s="374"/>
      <c r="GK35" s="375"/>
      <c r="GL35" s="375"/>
      <c r="GN35" s="373"/>
      <c r="GO35" s="374"/>
      <c r="GP35" s="375"/>
      <c r="GQ35" s="375"/>
      <c r="GS35" s="373"/>
      <c r="GT35" s="374"/>
      <c r="GU35" s="375"/>
      <c r="GV35" s="375"/>
      <c r="GX35" s="373"/>
      <c r="GY35" s="374"/>
      <c r="GZ35" s="375"/>
      <c r="HA35" s="375"/>
      <c r="HC35" s="373"/>
      <c r="HD35" s="374"/>
      <c r="HE35" s="375"/>
      <c r="HF35" s="375"/>
      <c r="HH35" s="373"/>
      <c r="HI35" s="374"/>
      <c r="HJ35" s="375"/>
      <c r="HK35" s="375"/>
      <c r="HM35" s="373"/>
      <c r="HN35" s="374"/>
      <c r="HO35" s="375"/>
      <c r="HP35" s="375"/>
      <c r="HR35" s="373"/>
      <c r="HS35" s="374"/>
      <c r="HT35" s="375"/>
      <c r="HU35" s="375"/>
      <c r="HW35" s="373"/>
      <c r="HX35" s="374"/>
      <c r="HY35" s="375"/>
      <c r="HZ35" s="375"/>
      <c r="IB35" s="373"/>
      <c r="IC35" s="374"/>
      <c r="ID35" s="375"/>
      <c r="IE35" s="375"/>
      <c r="IG35" s="373"/>
      <c r="IH35" s="374"/>
      <c r="II35" s="375"/>
      <c r="IJ35" s="375"/>
      <c r="IL35" s="373"/>
      <c r="IM35" s="374"/>
      <c r="IN35" s="375"/>
      <c r="IO35" s="375"/>
      <c r="IQ35" s="373"/>
      <c r="IR35" s="374"/>
      <c r="IS35" s="375"/>
      <c r="IT35" s="375"/>
      <c r="IV35" s="373"/>
    </row>
    <row r="36" spans="1:256" s="376" customFormat="1" x14ac:dyDescent="0.2">
      <c r="A36" s="373"/>
      <c r="B36" s="374"/>
      <c r="C36" s="375"/>
      <c r="D36" s="375"/>
      <c r="F36" s="373"/>
      <c r="G36" s="374"/>
      <c r="H36" s="375"/>
      <c r="I36" s="375"/>
      <c r="K36" s="373">
        <v>34</v>
      </c>
      <c r="L36" s="374" t="s">
        <v>370</v>
      </c>
      <c r="M36" s="375">
        <v>31.578947368421051</v>
      </c>
      <c r="N36" s="375">
        <v>0.86842105263157898</v>
      </c>
      <c r="P36" s="373">
        <v>34</v>
      </c>
      <c r="Q36" s="374" t="s">
        <v>357</v>
      </c>
      <c r="R36" s="375">
        <v>42.857142857142854</v>
      </c>
      <c r="S36" s="375">
        <v>0.7142857142857143</v>
      </c>
      <c r="U36" s="373"/>
      <c r="V36" s="374"/>
      <c r="W36" s="375"/>
      <c r="X36" s="375"/>
      <c r="Z36" s="373">
        <v>34</v>
      </c>
      <c r="AA36" s="374" t="s">
        <v>2574</v>
      </c>
      <c r="AB36" s="375">
        <v>28.571428571428573</v>
      </c>
      <c r="AC36" s="375">
        <v>0.35714285714285715</v>
      </c>
      <c r="AE36" s="382">
        <v>34</v>
      </c>
      <c r="AF36" s="383" t="s">
        <v>2656</v>
      </c>
      <c r="AG36" s="384">
        <v>20</v>
      </c>
      <c r="AH36" s="384">
        <v>0.8</v>
      </c>
      <c r="AJ36" s="373">
        <v>34</v>
      </c>
      <c r="AK36" s="374" t="s">
        <v>395</v>
      </c>
      <c r="AL36" s="375">
        <v>33.333333333333336</v>
      </c>
      <c r="AM36" s="375">
        <v>1</v>
      </c>
      <c r="AO36" s="377"/>
      <c r="AP36" s="374"/>
      <c r="AQ36" s="378"/>
      <c r="AR36" s="378"/>
      <c r="AT36" s="373">
        <v>34</v>
      </c>
      <c r="AU36" s="374" t="s">
        <v>607</v>
      </c>
      <c r="AV36" s="375">
        <v>66.666666666666671</v>
      </c>
      <c r="AW36" s="375">
        <v>1</v>
      </c>
      <c r="AY36" s="373">
        <v>34</v>
      </c>
      <c r="AZ36" s="374" t="s">
        <v>2612</v>
      </c>
      <c r="BA36" s="375">
        <v>33.333333333333336</v>
      </c>
      <c r="BB36" s="375">
        <v>0.16666666666666666</v>
      </c>
      <c r="BD36" s="373"/>
      <c r="BE36" s="374"/>
      <c r="BF36" s="375"/>
      <c r="BG36" s="375"/>
      <c r="BI36" s="373"/>
      <c r="BJ36" s="374"/>
      <c r="BK36" s="375"/>
      <c r="BL36" s="375"/>
      <c r="BN36" s="373">
        <v>34</v>
      </c>
      <c r="BO36" s="374" t="s">
        <v>614</v>
      </c>
      <c r="BP36" s="375">
        <v>33.333333333333336</v>
      </c>
      <c r="BQ36" s="375">
        <v>0.66666666666666663</v>
      </c>
      <c r="BS36" s="373"/>
      <c r="BT36" s="374"/>
      <c r="BU36" s="375"/>
      <c r="BV36" s="375"/>
      <c r="BX36" s="373"/>
      <c r="BY36" s="374"/>
      <c r="BZ36" s="375"/>
      <c r="CA36" s="375"/>
      <c r="CC36" s="373"/>
      <c r="CD36" s="374"/>
      <c r="CE36" s="375"/>
      <c r="CF36" s="375"/>
      <c r="CH36" s="373"/>
      <c r="CI36" s="374"/>
      <c r="CJ36" s="375"/>
      <c r="CK36" s="375"/>
      <c r="CM36" s="373"/>
      <c r="CN36" s="374"/>
      <c r="CO36" s="375"/>
      <c r="CP36" s="375"/>
      <c r="CR36" s="373"/>
      <c r="CS36" s="374"/>
      <c r="CT36" s="375"/>
      <c r="CU36" s="375"/>
      <c r="CW36" s="373"/>
      <c r="CX36" s="374"/>
      <c r="CY36" s="375"/>
      <c r="CZ36" s="375"/>
      <c r="DB36" s="373"/>
      <c r="DC36" s="374"/>
      <c r="DD36" s="375"/>
      <c r="DE36" s="375"/>
      <c r="DG36" s="373"/>
      <c r="DH36" s="374"/>
      <c r="DI36" s="375"/>
      <c r="DJ36" s="375"/>
      <c r="DL36" s="373"/>
      <c r="DM36" s="374"/>
      <c r="DN36" s="375"/>
      <c r="DO36" s="375"/>
      <c r="DQ36" s="373"/>
      <c r="DR36" s="374"/>
      <c r="DS36" s="375"/>
      <c r="DT36" s="375"/>
      <c r="DV36" s="373"/>
      <c r="DW36" s="374"/>
      <c r="DX36" s="375"/>
      <c r="DY36" s="375"/>
      <c r="EA36" s="373"/>
      <c r="EB36" s="374"/>
      <c r="EC36" s="375"/>
      <c r="ED36" s="375"/>
      <c r="EF36" s="373"/>
      <c r="EG36" s="374"/>
      <c r="EH36" s="375"/>
      <c r="EI36" s="375"/>
      <c r="EK36" s="373"/>
      <c r="EL36" s="374"/>
      <c r="EM36" s="375"/>
      <c r="EN36" s="375"/>
      <c r="EP36" s="373"/>
      <c r="EQ36" s="374"/>
      <c r="ER36" s="375"/>
      <c r="ES36" s="375"/>
      <c r="EU36" s="373"/>
      <c r="EV36" s="374"/>
      <c r="EW36" s="375"/>
      <c r="EX36" s="375"/>
      <c r="EZ36" s="373"/>
      <c r="FA36" s="374"/>
      <c r="FB36" s="375"/>
      <c r="FC36" s="375"/>
      <c r="FE36" s="373"/>
      <c r="FF36" s="374"/>
      <c r="FG36" s="375"/>
      <c r="FH36" s="375"/>
      <c r="FJ36" s="373"/>
      <c r="FK36" s="374"/>
      <c r="FL36" s="375"/>
      <c r="FM36" s="375"/>
      <c r="FO36" s="373"/>
      <c r="FP36" s="374"/>
      <c r="FQ36" s="375"/>
      <c r="FR36" s="375"/>
      <c r="FT36" s="373"/>
      <c r="FU36" s="374"/>
      <c r="FV36" s="375"/>
      <c r="FW36" s="375"/>
      <c r="FY36" s="373"/>
      <c r="FZ36" s="374"/>
      <c r="GA36" s="375"/>
      <c r="GB36" s="375"/>
      <c r="GD36" s="373"/>
      <c r="GE36" s="374"/>
      <c r="GF36" s="375"/>
      <c r="GG36" s="375"/>
      <c r="GI36" s="373"/>
      <c r="GJ36" s="374"/>
      <c r="GK36" s="375"/>
      <c r="GL36" s="375"/>
      <c r="GN36" s="373"/>
      <c r="GO36" s="374"/>
      <c r="GP36" s="375"/>
      <c r="GQ36" s="375"/>
      <c r="GS36" s="373"/>
      <c r="GT36" s="374"/>
      <c r="GU36" s="375"/>
      <c r="GV36" s="375"/>
      <c r="GX36" s="373"/>
      <c r="GY36" s="374"/>
      <c r="GZ36" s="375"/>
      <c r="HA36" s="375"/>
      <c r="HC36" s="373"/>
      <c r="HD36" s="374"/>
      <c r="HE36" s="375"/>
      <c r="HF36" s="375"/>
      <c r="HH36" s="373"/>
      <c r="HI36" s="374"/>
      <c r="HJ36" s="375"/>
      <c r="HK36" s="375"/>
      <c r="HM36" s="373"/>
      <c r="HN36" s="374"/>
      <c r="HO36" s="375"/>
      <c r="HP36" s="375"/>
      <c r="HR36" s="373"/>
      <c r="HS36" s="374"/>
      <c r="HT36" s="375"/>
      <c r="HU36" s="375"/>
      <c r="HW36" s="373"/>
      <c r="HX36" s="374"/>
      <c r="HY36" s="375"/>
      <c r="HZ36" s="375"/>
      <c r="IB36" s="373"/>
      <c r="IC36" s="374"/>
      <c r="ID36" s="375"/>
      <c r="IE36" s="375"/>
      <c r="IG36" s="373"/>
      <c r="IH36" s="374"/>
      <c r="II36" s="375"/>
      <c r="IJ36" s="375"/>
      <c r="IL36" s="373"/>
      <c r="IM36" s="374"/>
      <c r="IN36" s="375"/>
      <c r="IO36" s="375"/>
      <c r="IQ36" s="373"/>
      <c r="IR36" s="374"/>
      <c r="IS36" s="375"/>
      <c r="IT36" s="375"/>
      <c r="IV36" s="373"/>
    </row>
    <row r="37" spans="1:256" s="376" customFormat="1" x14ac:dyDescent="0.2">
      <c r="A37" s="373"/>
      <c r="B37" s="374"/>
      <c r="C37" s="375"/>
      <c r="D37" s="375"/>
      <c r="F37" s="373"/>
      <c r="G37" s="374"/>
      <c r="H37" s="375"/>
      <c r="I37" s="375"/>
      <c r="K37" s="373">
        <v>35</v>
      </c>
      <c r="L37" s="374" t="s">
        <v>2579</v>
      </c>
      <c r="M37" s="375">
        <v>15.789473684210526</v>
      </c>
      <c r="N37" s="375">
        <v>0.86842105263157898</v>
      </c>
      <c r="P37" s="373">
        <v>35</v>
      </c>
      <c r="Q37" s="374" t="s">
        <v>370</v>
      </c>
      <c r="R37" s="375">
        <v>28.571428571428573</v>
      </c>
      <c r="S37" s="375">
        <v>0.7142857142857143</v>
      </c>
      <c r="U37" s="373"/>
      <c r="V37" s="374"/>
      <c r="W37" s="375"/>
      <c r="X37" s="375"/>
      <c r="Z37" s="373">
        <v>35</v>
      </c>
      <c r="AA37" s="374" t="s">
        <v>437</v>
      </c>
      <c r="AB37" s="375">
        <v>42.857142857142854</v>
      </c>
      <c r="AC37" s="375">
        <v>0.2857142857142857</v>
      </c>
      <c r="AE37" s="373">
        <v>35</v>
      </c>
      <c r="AF37" s="374" t="s">
        <v>609</v>
      </c>
      <c r="AG37" s="375">
        <v>20</v>
      </c>
      <c r="AH37" s="375">
        <v>0.8</v>
      </c>
      <c r="AJ37" s="373">
        <v>35</v>
      </c>
      <c r="AK37" s="374" t="s">
        <v>349</v>
      </c>
      <c r="AL37" s="375">
        <v>66.666666666666671</v>
      </c>
      <c r="AM37" s="375">
        <v>1</v>
      </c>
      <c r="AO37" s="377"/>
      <c r="AP37" s="374"/>
      <c r="AQ37" s="378"/>
      <c r="AR37" s="378"/>
      <c r="AT37" s="373">
        <v>35</v>
      </c>
      <c r="AU37" s="374" t="s">
        <v>583</v>
      </c>
      <c r="AV37" s="375">
        <v>66.666666666666671</v>
      </c>
      <c r="AW37" s="375">
        <v>0.83333333333333337</v>
      </c>
      <c r="AY37" s="373">
        <v>35</v>
      </c>
      <c r="AZ37" s="374" t="s">
        <v>2640</v>
      </c>
      <c r="BA37" s="375">
        <v>33.333333333333336</v>
      </c>
      <c r="BB37" s="375">
        <v>0.16666666666666666</v>
      </c>
      <c r="BD37" s="373"/>
      <c r="BE37" s="374"/>
      <c r="BF37" s="375"/>
      <c r="BG37" s="375"/>
      <c r="BI37" s="373"/>
      <c r="BJ37" s="374"/>
      <c r="BK37" s="375"/>
      <c r="BL37" s="375"/>
      <c r="BN37" s="373">
        <v>35</v>
      </c>
      <c r="BO37" s="374" t="s">
        <v>447</v>
      </c>
      <c r="BP37" s="375">
        <v>33.333333333333336</v>
      </c>
      <c r="BQ37" s="375">
        <v>0.66666666666666663</v>
      </c>
      <c r="BS37" s="373"/>
      <c r="BT37" s="374"/>
      <c r="BU37" s="375"/>
      <c r="BV37" s="375"/>
      <c r="BX37" s="373"/>
      <c r="BY37" s="374"/>
      <c r="BZ37" s="375"/>
      <c r="CA37" s="375"/>
      <c r="CC37" s="373"/>
      <c r="CD37" s="374"/>
      <c r="CE37" s="375"/>
      <c r="CF37" s="375"/>
      <c r="CH37" s="373"/>
      <c r="CI37" s="374"/>
      <c r="CJ37" s="375"/>
      <c r="CK37" s="375"/>
      <c r="CM37" s="373"/>
      <c r="CN37" s="374"/>
      <c r="CO37" s="375"/>
      <c r="CP37" s="375"/>
      <c r="CR37" s="373"/>
      <c r="CS37" s="374"/>
      <c r="CT37" s="375"/>
      <c r="CU37" s="375"/>
      <c r="CW37" s="373"/>
      <c r="CX37" s="374"/>
      <c r="CY37" s="375"/>
      <c r="CZ37" s="375"/>
      <c r="DB37" s="373"/>
      <c r="DC37" s="374"/>
      <c r="DD37" s="375"/>
      <c r="DE37" s="375"/>
      <c r="DG37" s="373"/>
      <c r="DH37" s="374"/>
      <c r="DI37" s="375"/>
      <c r="DJ37" s="375"/>
      <c r="DL37" s="373"/>
      <c r="DM37" s="374"/>
      <c r="DN37" s="375"/>
      <c r="DO37" s="375"/>
      <c r="DQ37" s="373"/>
      <c r="DR37" s="374"/>
      <c r="DS37" s="375"/>
      <c r="DT37" s="375"/>
      <c r="DV37" s="373"/>
      <c r="DW37" s="374"/>
      <c r="DX37" s="375"/>
      <c r="DY37" s="375"/>
      <c r="EA37" s="373"/>
      <c r="EB37" s="374"/>
      <c r="EC37" s="375"/>
      <c r="ED37" s="375"/>
      <c r="EF37" s="373"/>
      <c r="EG37" s="374"/>
      <c r="EH37" s="375"/>
      <c r="EI37" s="375"/>
      <c r="EK37" s="373"/>
      <c r="EL37" s="374"/>
      <c r="EM37" s="375"/>
      <c r="EN37" s="375"/>
      <c r="EP37" s="373"/>
      <c r="EQ37" s="374"/>
      <c r="ER37" s="375"/>
      <c r="ES37" s="375"/>
      <c r="EU37" s="373"/>
      <c r="EV37" s="374"/>
      <c r="EW37" s="375"/>
      <c r="EX37" s="375"/>
      <c r="EZ37" s="373"/>
      <c r="FA37" s="374"/>
      <c r="FB37" s="375"/>
      <c r="FC37" s="375"/>
      <c r="FE37" s="373"/>
      <c r="FF37" s="374"/>
      <c r="FG37" s="375"/>
      <c r="FH37" s="375"/>
      <c r="FJ37" s="373"/>
      <c r="FK37" s="374"/>
      <c r="FL37" s="375"/>
      <c r="FM37" s="375"/>
      <c r="FO37" s="373"/>
      <c r="FP37" s="374"/>
      <c r="FQ37" s="375"/>
      <c r="FR37" s="375"/>
      <c r="FT37" s="373"/>
      <c r="FU37" s="374"/>
      <c r="FV37" s="375"/>
      <c r="FW37" s="375"/>
      <c r="FY37" s="373"/>
      <c r="FZ37" s="374"/>
      <c r="GA37" s="375"/>
      <c r="GB37" s="375"/>
      <c r="GD37" s="373"/>
      <c r="GE37" s="374"/>
      <c r="GF37" s="375"/>
      <c r="GG37" s="375"/>
      <c r="GI37" s="373"/>
      <c r="GJ37" s="374"/>
      <c r="GK37" s="375"/>
      <c r="GL37" s="375"/>
      <c r="GN37" s="373"/>
      <c r="GO37" s="374"/>
      <c r="GP37" s="375"/>
      <c r="GQ37" s="375"/>
      <c r="GS37" s="373"/>
      <c r="GT37" s="374"/>
      <c r="GU37" s="375"/>
      <c r="GV37" s="375"/>
      <c r="GX37" s="373"/>
      <c r="GY37" s="374"/>
      <c r="GZ37" s="375"/>
      <c r="HA37" s="375"/>
      <c r="HC37" s="373"/>
      <c r="HD37" s="374"/>
      <c r="HE37" s="375"/>
      <c r="HF37" s="375"/>
      <c r="HH37" s="373"/>
      <c r="HI37" s="374"/>
      <c r="HJ37" s="375"/>
      <c r="HK37" s="375"/>
      <c r="HM37" s="373"/>
      <c r="HN37" s="374"/>
      <c r="HO37" s="375"/>
      <c r="HP37" s="375"/>
      <c r="HR37" s="373"/>
      <c r="HS37" s="374"/>
      <c r="HT37" s="375"/>
      <c r="HU37" s="375"/>
      <c r="HW37" s="373"/>
      <c r="HX37" s="374"/>
      <c r="HY37" s="375"/>
      <c r="HZ37" s="375"/>
      <c r="IB37" s="373"/>
      <c r="IC37" s="374"/>
      <c r="ID37" s="375"/>
      <c r="IE37" s="375"/>
      <c r="IG37" s="373"/>
      <c r="IH37" s="374"/>
      <c r="II37" s="375"/>
      <c r="IJ37" s="375"/>
      <c r="IL37" s="373"/>
      <c r="IM37" s="374"/>
      <c r="IN37" s="375"/>
      <c r="IO37" s="375"/>
      <c r="IQ37" s="373"/>
      <c r="IR37" s="374"/>
      <c r="IS37" s="375"/>
      <c r="IT37" s="375"/>
      <c r="IV37" s="373"/>
    </row>
    <row r="38" spans="1:256" s="376" customFormat="1" x14ac:dyDescent="0.2">
      <c r="A38" s="373"/>
      <c r="B38" s="374"/>
      <c r="C38" s="375"/>
      <c r="D38" s="375"/>
      <c r="F38" s="373"/>
      <c r="G38" s="374"/>
      <c r="H38" s="375"/>
      <c r="I38" s="375"/>
      <c r="K38" s="373">
        <v>36</v>
      </c>
      <c r="L38" s="374" t="s">
        <v>3388</v>
      </c>
      <c r="M38" s="375">
        <v>10.526315789473685</v>
      </c>
      <c r="N38" s="375">
        <v>0.84210526315789469</v>
      </c>
      <c r="P38" s="373">
        <v>36</v>
      </c>
      <c r="Q38" s="374" t="s">
        <v>343</v>
      </c>
      <c r="R38" s="375">
        <v>28.571428571428573</v>
      </c>
      <c r="S38" s="375">
        <v>0.7142857142857143</v>
      </c>
      <c r="U38" s="373"/>
      <c r="V38" s="374"/>
      <c r="W38" s="375"/>
      <c r="X38" s="375"/>
      <c r="Z38" s="373">
        <v>36</v>
      </c>
      <c r="AA38" s="374" t="s">
        <v>358</v>
      </c>
      <c r="AB38" s="375">
        <v>57.142857142857146</v>
      </c>
      <c r="AC38" s="375">
        <v>0.2857142857142857</v>
      </c>
      <c r="AE38" s="373">
        <v>36</v>
      </c>
      <c r="AF38" s="374" t="s">
        <v>571</v>
      </c>
      <c r="AG38" s="375">
        <v>20</v>
      </c>
      <c r="AH38" s="375">
        <v>0.8</v>
      </c>
      <c r="AJ38" s="373">
        <v>36</v>
      </c>
      <c r="AK38" s="374" t="s">
        <v>346</v>
      </c>
      <c r="AL38" s="375">
        <v>33.333333333333336</v>
      </c>
      <c r="AM38" s="375">
        <v>1</v>
      </c>
      <c r="AO38" s="377"/>
      <c r="AP38" s="374"/>
      <c r="AQ38" s="378"/>
      <c r="AR38" s="378"/>
      <c r="AT38" s="373">
        <v>36</v>
      </c>
      <c r="AU38" s="374" t="s">
        <v>390</v>
      </c>
      <c r="AV38" s="375">
        <v>33.333333333333336</v>
      </c>
      <c r="AW38" s="375">
        <v>0.66666666666666663</v>
      </c>
      <c r="AY38" s="373">
        <v>36</v>
      </c>
      <c r="AZ38" s="374" t="s">
        <v>604</v>
      </c>
      <c r="BA38" s="375">
        <v>33.333333333333336</v>
      </c>
      <c r="BB38" s="375">
        <v>0.16666666666666666</v>
      </c>
      <c r="BD38" s="373"/>
      <c r="BE38" s="374"/>
      <c r="BF38" s="375"/>
      <c r="BG38" s="375"/>
      <c r="BI38" s="373"/>
      <c r="BJ38" s="374"/>
      <c r="BK38" s="375"/>
      <c r="BL38" s="375"/>
      <c r="BN38" s="373">
        <v>36</v>
      </c>
      <c r="BO38" s="374" t="s">
        <v>327</v>
      </c>
      <c r="BP38" s="375">
        <v>66.666666666666671</v>
      </c>
      <c r="BQ38" s="375">
        <v>0.5</v>
      </c>
      <c r="BS38" s="373"/>
      <c r="BT38" s="374"/>
      <c r="BU38" s="375"/>
      <c r="BV38" s="375"/>
      <c r="BX38" s="373"/>
      <c r="BY38" s="374"/>
      <c r="BZ38" s="375"/>
      <c r="CA38" s="375"/>
      <c r="CC38" s="373"/>
      <c r="CD38" s="374"/>
      <c r="CE38" s="375"/>
      <c r="CF38" s="375"/>
      <c r="CH38" s="373"/>
      <c r="CI38" s="374"/>
      <c r="CJ38" s="375"/>
      <c r="CK38" s="375"/>
      <c r="CM38" s="373"/>
      <c r="CN38" s="374"/>
      <c r="CO38" s="375"/>
      <c r="CP38" s="375"/>
      <c r="CR38" s="373"/>
      <c r="CS38" s="374"/>
      <c r="CT38" s="375"/>
      <c r="CU38" s="375"/>
      <c r="CW38" s="373"/>
      <c r="CX38" s="374"/>
      <c r="CY38" s="375"/>
      <c r="CZ38" s="375"/>
      <c r="DB38" s="373"/>
      <c r="DC38" s="374"/>
      <c r="DD38" s="375"/>
      <c r="DE38" s="375"/>
      <c r="DG38" s="373"/>
      <c r="DH38" s="374"/>
      <c r="DI38" s="375"/>
      <c r="DJ38" s="375"/>
      <c r="DL38" s="373"/>
      <c r="DM38" s="374"/>
      <c r="DN38" s="375"/>
      <c r="DO38" s="375"/>
      <c r="DQ38" s="373"/>
      <c r="DR38" s="374"/>
      <c r="DS38" s="375"/>
      <c r="DT38" s="375"/>
      <c r="DV38" s="373"/>
      <c r="DW38" s="374"/>
      <c r="DX38" s="375"/>
      <c r="DY38" s="375"/>
      <c r="EA38" s="373"/>
      <c r="EB38" s="374"/>
      <c r="EC38" s="375"/>
      <c r="ED38" s="375"/>
      <c r="EF38" s="373"/>
      <c r="EG38" s="374"/>
      <c r="EH38" s="375"/>
      <c r="EI38" s="375"/>
      <c r="EK38" s="373"/>
      <c r="EL38" s="374"/>
      <c r="EM38" s="375"/>
      <c r="EN38" s="375"/>
      <c r="EP38" s="373"/>
      <c r="EQ38" s="374"/>
      <c r="ER38" s="375"/>
      <c r="ES38" s="375"/>
      <c r="EU38" s="373"/>
      <c r="EV38" s="374"/>
      <c r="EW38" s="375"/>
      <c r="EX38" s="375"/>
      <c r="EZ38" s="373"/>
      <c r="FA38" s="374"/>
      <c r="FB38" s="375"/>
      <c r="FC38" s="375"/>
      <c r="FE38" s="373"/>
      <c r="FF38" s="374"/>
      <c r="FG38" s="375"/>
      <c r="FH38" s="375"/>
      <c r="FJ38" s="373"/>
      <c r="FK38" s="374"/>
      <c r="FL38" s="375"/>
      <c r="FM38" s="375"/>
      <c r="FO38" s="373"/>
      <c r="FP38" s="374"/>
      <c r="FQ38" s="375"/>
      <c r="FR38" s="375"/>
      <c r="FT38" s="373"/>
      <c r="FU38" s="374"/>
      <c r="FV38" s="375"/>
      <c r="FW38" s="375"/>
      <c r="FY38" s="373"/>
      <c r="FZ38" s="374"/>
      <c r="GA38" s="375"/>
      <c r="GB38" s="375"/>
      <c r="GD38" s="373"/>
      <c r="GE38" s="374"/>
      <c r="GF38" s="375"/>
      <c r="GG38" s="375"/>
      <c r="GI38" s="373"/>
      <c r="GJ38" s="374"/>
      <c r="GK38" s="375"/>
      <c r="GL38" s="375"/>
      <c r="GN38" s="373"/>
      <c r="GO38" s="374"/>
      <c r="GP38" s="375"/>
      <c r="GQ38" s="375"/>
      <c r="GS38" s="373"/>
      <c r="GT38" s="374"/>
      <c r="GU38" s="375"/>
      <c r="GV38" s="375"/>
      <c r="GX38" s="373"/>
      <c r="GY38" s="374"/>
      <c r="GZ38" s="375"/>
      <c r="HA38" s="375"/>
      <c r="HC38" s="373"/>
      <c r="HD38" s="374"/>
      <c r="HE38" s="375"/>
      <c r="HF38" s="375"/>
      <c r="HH38" s="373"/>
      <c r="HI38" s="374"/>
      <c r="HJ38" s="375"/>
      <c r="HK38" s="375"/>
      <c r="HM38" s="373"/>
      <c r="HN38" s="374"/>
      <c r="HO38" s="375"/>
      <c r="HP38" s="375"/>
      <c r="HR38" s="373"/>
      <c r="HS38" s="374"/>
      <c r="HT38" s="375"/>
      <c r="HU38" s="375"/>
      <c r="HW38" s="373"/>
      <c r="HX38" s="374"/>
      <c r="HY38" s="375"/>
      <c r="HZ38" s="375"/>
      <c r="IB38" s="373"/>
      <c r="IC38" s="374"/>
      <c r="ID38" s="375"/>
      <c r="IE38" s="375"/>
      <c r="IG38" s="373"/>
      <c r="IH38" s="374"/>
      <c r="II38" s="375"/>
      <c r="IJ38" s="375"/>
      <c r="IL38" s="373"/>
      <c r="IM38" s="374"/>
      <c r="IN38" s="375"/>
      <c r="IO38" s="375"/>
      <c r="IQ38" s="373"/>
      <c r="IR38" s="374"/>
      <c r="IS38" s="375"/>
      <c r="IT38" s="375"/>
      <c r="IV38" s="373"/>
    </row>
    <row r="39" spans="1:256" s="376" customFormat="1" x14ac:dyDescent="0.2">
      <c r="A39" s="373"/>
      <c r="B39" s="374"/>
      <c r="C39" s="375"/>
      <c r="D39" s="375"/>
      <c r="F39" s="373"/>
      <c r="G39" s="374"/>
      <c r="H39" s="375"/>
      <c r="I39" s="375"/>
      <c r="K39" s="373">
        <v>37</v>
      </c>
      <c r="L39" s="374" t="s">
        <v>2581</v>
      </c>
      <c r="M39" s="375">
        <v>15.789473684210526</v>
      </c>
      <c r="N39" s="375">
        <v>0.78947368421052633</v>
      </c>
      <c r="P39" s="373">
        <v>37</v>
      </c>
      <c r="Q39" s="374" t="s">
        <v>345</v>
      </c>
      <c r="R39" s="375">
        <v>14.285714285714286</v>
      </c>
      <c r="S39" s="375">
        <v>0.7142857142857143</v>
      </c>
      <c r="U39" s="373"/>
      <c r="V39" s="374"/>
      <c r="W39" s="375"/>
      <c r="X39" s="375"/>
      <c r="Z39" s="373">
        <v>37</v>
      </c>
      <c r="AA39" s="374" t="s">
        <v>390</v>
      </c>
      <c r="AB39" s="375">
        <v>14.285714285714286</v>
      </c>
      <c r="AC39" s="375">
        <v>0.2857142857142857</v>
      </c>
      <c r="AE39" s="373">
        <v>37</v>
      </c>
      <c r="AF39" s="374" t="s">
        <v>340</v>
      </c>
      <c r="AG39" s="375">
        <v>20</v>
      </c>
      <c r="AH39" s="375">
        <v>0.8</v>
      </c>
      <c r="AJ39" s="373">
        <v>37</v>
      </c>
      <c r="AK39" s="374" t="s">
        <v>342</v>
      </c>
      <c r="AL39" s="375">
        <v>66.666666666666671</v>
      </c>
      <c r="AM39" s="375">
        <v>1</v>
      </c>
      <c r="AO39" s="377"/>
      <c r="AP39" s="374"/>
      <c r="AQ39" s="378"/>
      <c r="AR39" s="378"/>
      <c r="AT39" s="373">
        <v>37</v>
      </c>
      <c r="AU39" s="374" t="s">
        <v>409</v>
      </c>
      <c r="AV39" s="375">
        <v>33.333333333333336</v>
      </c>
      <c r="AW39" s="375">
        <v>0.66666666666666663</v>
      </c>
      <c r="AY39" s="377"/>
      <c r="AZ39" s="374"/>
      <c r="BA39" s="378"/>
      <c r="BB39" s="378"/>
      <c r="BD39" s="377"/>
      <c r="BE39" s="374"/>
      <c r="BF39" s="378"/>
      <c r="BG39" s="378"/>
      <c r="BI39" s="373"/>
      <c r="BJ39" s="374"/>
      <c r="BK39" s="375"/>
      <c r="BL39" s="375"/>
      <c r="BN39" s="335">
        <v>37</v>
      </c>
      <c r="BO39" s="336" t="s">
        <v>2666</v>
      </c>
      <c r="BP39" s="337">
        <v>66.666666666666671</v>
      </c>
      <c r="BQ39" s="337">
        <v>0.5</v>
      </c>
      <c r="BS39" s="373"/>
      <c r="BT39" s="374"/>
      <c r="BU39" s="375"/>
      <c r="BV39" s="375"/>
      <c r="BX39" s="373"/>
      <c r="BY39" s="374"/>
      <c r="BZ39" s="375"/>
      <c r="CA39" s="375"/>
      <c r="CC39" s="373"/>
      <c r="CD39" s="374"/>
      <c r="CE39" s="375"/>
      <c r="CF39" s="375"/>
      <c r="CH39" s="373"/>
      <c r="CI39" s="374"/>
      <c r="CJ39" s="375"/>
      <c r="CK39" s="375"/>
      <c r="CM39" s="373"/>
      <c r="CN39" s="374"/>
      <c r="CO39" s="375"/>
      <c r="CP39" s="375"/>
      <c r="CR39" s="373"/>
      <c r="CS39" s="374"/>
      <c r="CT39" s="375"/>
      <c r="CU39" s="375"/>
      <c r="CW39" s="373"/>
      <c r="CX39" s="374"/>
      <c r="CY39" s="375"/>
      <c r="CZ39" s="375"/>
      <c r="DB39" s="373"/>
      <c r="DC39" s="374"/>
      <c r="DD39" s="375"/>
      <c r="DE39" s="375"/>
      <c r="DG39" s="373"/>
      <c r="DH39" s="374"/>
      <c r="DI39" s="375"/>
      <c r="DJ39" s="375"/>
      <c r="DL39" s="373"/>
      <c r="DM39" s="374"/>
      <c r="DN39" s="375"/>
      <c r="DO39" s="375"/>
      <c r="DQ39" s="373"/>
      <c r="DR39" s="374"/>
      <c r="DS39" s="375"/>
      <c r="DT39" s="375"/>
      <c r="DV39" s="373"/>
      <c r="DW39" s="374"/>
      <c r="DX39" s="375"/>
      <c r="DY39" s="375"/>
      <c r="EA39" s="373"/>
      <c r="EB39" s="374"/>
      <c r="EC39" s="375"/>
      <c r="ED39" s="375"/>
      <c r="EF39" s="373"/>
      <c r="EG39" s="374"/>
      <c r="EH39" s="375"/>
      <c r="EI39" s="375"/>
      <c r="EK39" s="373"/>
      <c r="EL39" s="374"/>
      <c r="EM39" s="375"/>
      <c r="EN39" s="375"/>
      <c r="EP39" s="373"/>
      <c r="EQ39" s="374"/>
      <c r="ER39" s="375"/>
      <c r="ES39" s="375"/>
      <c r="EU39" s="373"/>
      <c r="EV39" s="374"/>
      <c r="EW39" s="375"/>
      <c r="EX39" s="375"/>
      <c r="EZ39" s="373"/>
      <c r="FA39" s="374"/>
      <c r="FB39" s="375"/>
      <c r="FC39" s="375"/>
      <c r="FE39" s="373"/>
      <c r="FF39" s="374"/>
      <c r="FG39" s="375"/>
      <c r="FH39" s="375"/>
      <c r="FJ39" s="373"/>
      <c r="FK39" s="374"/>
      <c r="FL39" s="375"/>
      <c r="FM39" s="375"/>
      <c r="FO39" s="373"/>
      <c r="FP39" s="374"/>
      <c r="FQ39" s="375"/>
      <c r="FR39" s="375"/>
      <c r="FT39" s="373"/>
      <c r="FU39" s="374"/>
      <c r="FV39" s="375"/>
      <c r="FW39" s="375"/>
      <c r="FY39" s="373"/>
      <c r="FZ39" s="374"/>
      <c r="GA39" s="375"/>
      <c r="GB39" s="375"/>
      <c r="GD39" s="373"/>
      <c r="GE39" s="374"/>
      <c r="GF39" s="375"/>
      <c r="GG39" s="375"/>
      <c r="GI39" s="373"/>
      <c r="GJ39" s="374"/>
      <c r="GK39" s="375"/>
      <c r="GL39" s="375"/>
      <c r="GN39" s="373"/>
      <c r="GO39" s="374"/>
      <c r="GP39" s="375"/>
      <c r="GQ39" s="375"/>
      <c r="GS39" s="373"/>
      <c r="GT39" s="374"/>
      <c r="GU39" s="375"/>
      <c r="GV39" s="375"/>
      <c r="GX39" s="373"/>
      <c r="GY39" s="374"/>
      <c r="GZ39" s="375"/>
      <c r="HA39" s="375"/>
      <c r="HC39" s="373"/>
      <c r="HD39" s="374"/>
      <c r="HE39" s="375"/>
      <c r="HF39" s="375"/>
      <c r="HH39" s="373"/>
      <c r="HI39" s="374"/>
      <c r="HJ39" s="375"/>
      <c r="HK39" s="375"/>
      <c r="HM39" s="373"/>
      <c r="HN39" s="374"/>
      <c r="HO39" s="375"/>
      <c r="HP39" s="375"/>
      <c r="HR39" s="373"/>
      <c r="HS39" s="374"/>
      <c r="HT39" s="375"/>
      <c r="HU39" s="375"/>
      <c r="HW39" s="373"/>
      <c r="HX39" s="374"/>
      <c r="HY39" s="375"/>
      <c r="HZ39" s="375"/>
      <c r="IB39" s="373"/>
      <c r="IC39" s="374"/>
      <c r="ID39" s="375"/>
      <c r="IE39" s="375"/>
      <c r="IG39" s="373"/>
      <c r="IH39" s="374"/>
      <c r="II39" s="375"/>
      <c r="IJ39" s="375"/>
      <c r="IL39" s="373"/>
      <c r="IM39" s="374"/>
      <c r="IN39" s="375"/>
      <c r="IO39" s="375"/>
      <c r="IQ39" s="373"/>
      <c r="IR39" s="374"/>
      <c r="IS39" s="375"/>
      <c r="IT39" s="375"/>
      <c r="IV39" s="373"/>
    </row>
    <row r="40" spans="1:256" s="376" customFormat="1" x14ac:dyDescent="0.2">
      <c r="A40" s="373"/>
      <c r="B40" s="374"/>
      <c r="C40" s="375"/>
      <c r="D40" s="375"/>
      <c r="F40" s="373"/>
      <c r="G40" s="374"/>
      <c r="H40" s="375"/>
      <c r="I40" s="375"/>
      <c r="K40" s="373">
        <v>38</v>
      </c>
      <c r="L40" s="374" t="s">
        <v>446</v>
      </c>
      <c r="M40" s="375">
        <v>10.526315789473685</v>
      </c>
      <c r="N40" s="375">
        <v>0.78947368421052633</v>
      </c>
      <c r="P40" s="373">
        <v>38</v>
      </c>
      <c r="Q40" s="374" t="s">
        <v>444</v>
      </c>
      <c r="R40" s="375">
        <v>14.285714285714286</v>
      </c>
      <c r="S40" s="375">
        <v>0.7142857142857143</v>
      </c>
      <c r="U40" s="373"/>
      <c r="V40" s="374"/>
      <c r="W40" s="375"/>
      <c r="X40" s="375"/>
      <c r="Z40" s="373">
        <v>38</v>
      </c>
      <c r="AA40" s="374" t="s">
        <v>600</v>
      </c>
      <c r="AB40" s="375">
        <v>28.571428571428573</v>
      </c>
      <c r="AC40" s="375">
        <v>0.21428571428571427</v>
      </c>
      <c r="AE40" s="373">
        <v>38</v>
      </c>
      <c r="AF40" s="374" t="s">
        <v>2570</v>
      </c>
      <c r="AG40" s="375">
        <v>40</v>
      </c>
      <c r="AH40" s="375">
        <v>0.7</v>
      </c>
      <c r="AJ40" s="373">
        <v>38</v>
      </c>
      <c r="AK40" s="374" t="s">
        <v>440</v>
      </c>
      <c r="AL40" s="375">
        <v>66.666666666666671</v>
      </c>
      <c r="AM40" s="375">
        <v>1</v>
      </c>
      <c r="AO40" s="377"/>
      <c r="AP40" s="374"/>
      <c r="AQ40" s="378"/>
      <c r="AR40" s="378"/>
      <c r="AT40" s="373">
        <v>38</v>
      </c>
      <c r="AU40" s="374" t="s">
        <v>427</v>
      </c>
      <c r="AV40" s="375">
        <v>33.333333333333336</v>
      </c>
      <c r="AW40" s="375">
        <v>0.66666666666666663</v>
      </c>
      <c r="AY40" s="373"/>
      <c r="AZ40" s="374"/>
      <c r="BA40" s="375"/>
      <c r="BB40" s="375"/>
      <c r="BD40" s="373"/>
      <c r="BE40" s="374"/>
      <c r="BF40" s="375"/>
      <c r="BG40" s="375"/>
      <c r="BI40" s="373"/>
      <c r="BJ40" s="374"/>
      <c r="BK40" s="375"/>
      <c r="BL40" s="375"/>
      <c r="BN40" s="373">
        <v>38</v>
      </c>
      <c r="BO40" s="374" t="s">
        <v>2575</v>
      </c>
      <c r="BP40" s="375">
        <v>33.333333333333336</v>
      </c>
      <c r="BQ40" s="375">
        <v>0.33333333333333331</v>
      </c>
      <c r="BS40" s="373"/>
      <c r="BT40" s="374"/>
      <c r="BU40" s="375"/>
      <c r="BV40" s="375"/>
      <c r="BX40" s="373"/>
      <c r="BY40" s="374"/>
      <c r="BZ40" s="375"/>
      <c r="CA40" s="375"/>
      <c r="CC40" s="373"/>
      <c r="CD40" s="374"/>
      <c r="CE40" s="375"/>
      <c r="CF40" s="375"/>
      <c r="CH40" s="373"/>
      <c r="CI40" s="374"/>
      <c r="CJ40" s="375"/>
      <c r="CK40" s="375"/>
      <c r="CM40" s="373"/>
      <c r="CN40" s="374"/>
      <c r="CO40" s="375"/>
      <c r="CP40" s="375"/>
      <c r="CR40" s="373"/>
      <c r="CS40" s="374"/>
      <c r="CT40" s="375"/>
      <c r="CU40" s="375"/>
      <c r="CW40" s="373"/>
      <c r="CX40" s="374"/>
      <c r="CY40" s="375"/>
      <c r="CZ40" s="375"/>
      <c r="DB40" s="373"/>
      <c r="DC40" s="374"/>
      <c r="DD40" s="375"/>
      <c r="DE40" s="375"/>
      <c r="DG40" s="373"/>
      <c r="DH40" s="374"/>
      <c r="DI40" s="375"/>
      <c r="DJ40" s="375"/>
      <c r="DL40" s="373"/>
      <c r="DM40" s="374"/>
      <c r="DN40" s="375"/>
      <c r="DO40" s="375"/>
      <c r="DQ40" s="373"/>
      <c r="DR40" s="374"/>
      <c r="DS40" s="375"/>
      <c r="DT40" s="375"/>
      <c r="DV40" s="373"/>
      <c r="DW40" s="374"/>
      <c r="DX40" s="375"/>
      <c r="DY40" s="375"/>
      <c r="EA40" s="373"/>
      <c r="EB40" s="374"/>
      <c r="EC40" s="375"/>
      <c r="ED40" s="375"/>
      <c r="EF40" s="373"/>
      <c r="EG40" s="374"/>
      <c r="EH40" s="375"/>
      <c r="EI40" s="375"/>
      <c r="EK40" s="373"/>
      <c r="EL40" s="374"/>
      <c r="EM40" s="375"/>
      <c r="EN40" s="375"/>
      <c r="EP40" s="373"/>
      <c r="EQ40" s="374"/>
      <c r="ER40" s="375"/>
      <c r="ES40" s="375"/>
      <c r="EU40" s="373"/>
      <c r="EV40" s="374"/>
      <c r="EW40" s="375"/>
      <c r="EX40" s="375"/>
      <c r="EZ40" s="373"/>
      <c r="FA40" s="374"/>
      <c r="FB40" s="375"/>
      <c r="FC40" s="375"/>
      <c r="FE40" s="373"/>
      <c r="FF40" s="374"/>
      <c r="FG40" s="375"/>
      <c r="FH40" s="375"/>
      <c r="FJ40" s="373"/>
      <c r="FK40" s="374"/>
      <c r="FL40" s="375"/>
      <c r="FM40" s="375"/>
      <c r="FO40" s="373"/>
      <c r="FP40" s="374"/>
      <c r="FQ40" s="375"/>
      <c r="FR40" s="375"/>
      <c r="FT40" s="373"/>
      <c r="FU40" s="374"/>
      <c r="FV40" s="375"/>
      <c r="FW40" s="375"/>
      <c r="FY40" s="373"/>
      <c r="FZ40" s="374"/>
      <c r="GA40" s="375"/>
      <c r="GB40" s="375"/>
      <c r="GD40" s="373"/>
      <c r="GE40" s="374"/>
      <c r="GF40" s="375"/>
      <c r="GG40" s="375"/>
      <c r="GI40" s="373"/>
      <c r="GJ40" s="374"/>
      <c r="GK40" s="375"/>
      <c r="GL40" s="375"/>
      <c r="GN40" s="373"/>
      <c r="GO40" s="374"/>
      <c r="GP40" s="375"/>
      <c r="GQ40" s="375"/>
      <c r="GS40" s="373"/>
      <c r="GT40" s="374"/>
      <c r="GU40" s="375"/>
      <c r="GV40" s="375"/>
      <c r="GX40" s="373"/>
      <c r="GY40" s="374"/>
      <c r="GZ40" s="375"/>
      <c r="HA40" s="375"/>
      <c r="HC40" s="373"/>
      <c r="HD40" s="374"/>
      <c r="HE40" s="375"/>
      <c r="HF40" s="375"/>
      <c r="HH40" s="373"/>
      <c r="HI40" s="374"/>
      <c r="HJ40" s="375"/>
      <c r="HK40" s="375"/>
      <c r="HM40" s="373"/>
      <c r="HN40" s="374"/>
      <c r="HO40" s="375"/>
      <c r="HP40" s="375"/>
      <c r="HR40" s="373"/>
      <c r="HS40" s="374"/>
      <c r="HT40" s="375"/>
      <c r="HU40" s="375"/>
      <c r="HW40" s="373"/>
      <c r="HX40" s="374"/>
      <c r="HY40" s="375"/>
      <c r="HZ40" s="375"/>
      <c r="IB40" s="373"/>
      <c r="IC40" s="374"/>
      <c r="ID40" s="375"/>
      <c r="IE40" s="375"/>
      <c r="IG40" s="373"/>
      <c r="IH40" s="374"/>
      <c r="II40" s="375"/>
      <c r="IJ40" s="375"/>
      <c r="IL40" s="373"/>
      <c r="IM40" s="374"/>
      <c r="IN40" s="375"/>
      <c r="IO40" s="375"/>
      <c r="IQ40" s="373"/>
      <c r="IR40" s="374"/>
      <c r="IS40" s="375"/>
      <c r="IT40" s="375"/>
      <c r="IV40" s="373"/>
    </row>
    <row r="41" spans="1:256" s="376" customFormat="1" x14ac:dyDescent="0.2">
      <c r="A41" s="373"/>
      <c r="B41" s="374"/>
      <c r="C41" s="375"/>
      <c r="D41" s="375"/>
      <c r="F41" s="373"/>
      <c r="G41" s="374"/>
      <c r="H41" s="375"/>
      <c r="I41" s="375"/>
      <c r="K41" s="373">
        <v>39</v>
      </c>
      <c r="L41" s="374" t="s">
        <v>609</v>
      </c>
      <c r="M41" s="375">
        <v>21.05263157894737</v>
      </c>
      <c r="N41" s="375">
        <v>0.71052631578947367</v>
      </c>
      <c r="P41" s="373">
        <v>39</v>
      </c>
      <c r="Q41" s="374" t="s">
        <v>350</v>
      </c>
      <c r="R41" s="375">
        <v>57.142857142857146</v>
      </c>
      <c r="S41" s="375">
        <v>0.6428571428571429</v>
      </c>
      <c r="U41" s="373"/>
      <c r="V41" s="374"/>
      <c r="W41" s="375"/>
      <c r="X41" s="375"/>
      <c r="Z41" s="373">
        <v>39</v>
      </c>
      <c r="AA41" s="374" t="s">
        <v>2648</v>
      </c>
      <c r="AB41" s="375">
        <v>28.571428571428573</v>
      </c>
      <c r="AC41" s="375">
        <v>0.21428571428571427</v>
      </c>
      <c r="AE41" s="373">
        <v>39</v>
      </c>
      <c r="AF41" s="374" t="s">
        <v>2603</v>
      </c>
      <c r="AG41" s="375">
        <v>40</v>
      </c>
      <c r="AH41" s="375">
        <v>0.7</v>
      </c>
      <c r="AJ41" s="373">
        <v>39</v>
      </c>
      <c r="AK41" s="374" t="s">
        <v>443</v>
      </c>
      <c r="AL41" s="375">
        <v>66.666666666666671</v>
      </c>
      <c r="AM41" s="375">
        <v>1</v>
      </c>
      <c r="AO41" s="377"/>
      <c r="AP41" s="374"/>
      <c r="AQ41" s="378"/>
      <c r="AR41" s="378"/>
      <c r="AT41" s="373">
        <v>39</v>
      </c>
      <c r="AU41" s="374" t="s">
        <v>443</v>
      </c>
      <c r="AV41" s="375">
        <v>33.333333333333336</v>
      </c>
      <c r="AW41" s="375">
        <v>0.66666666666666663</v>
      </c>
      <c r="AY41" s="373"/>
      <c r="AZ41" s="374"/>
      <c r="BA41" s="375"/>
      <c r="BB41" s="375"/>
      <c r="BD41" s="373"/>
      <c r="BE41" s="374"/>
      <c r="BF41" s="375"/>
      <c r="BG41" s="375"/>
      <c r="BI41" s="373"/>
      <c r="BJ41" s="374"/>
      <c r="BK41" s="375"/>
      <c r="BL41" s="375"/>
      <c r="BN41" s="373">
        <v>39</v>
      </c>
      <c r="BO41" s="374" t="s">
        <v>366</v>
      </c>
      <c r="BP41" s="375">
        <v>33.333333333333336</v>
      </c>
      <c r="BQ41" s="375">
        <v>0.16666666666666666</v>
      </c>
      <c r="BS41" s="373"/>
      <c r="BT41" s="374"/>
      <c r="BU41" s="375"/>
      <c r="BV41" s="375"/>
      <c r="BX41" s="373"/>
      <c r="BY41" s="374"/>
      <c r="BZ41" s="375"/>
      <c r="CA41" s="375"/>
      <c r="CC41" s="373"/>
      <c r="CD41" s="374"/>
      <c r="CE41" s="375"/>
      <c r="CF41" s="375"/>
      <c r="CH41" s="373"/>
      <c r="CI41" s="374"/>
      <c r="CJ41" s="375"/>
      <c r="CK41" s="375"/>
      <c r="CM41" s="373"/>
      <c r="CN41" s="374"/>
      <c r="CO41" s="375"/>
      <c r="CP41" s="375"/>
      <c r="CR41" s="373"/>
      <c r="CS41" s="374"/>
      <c r="CT41" s="375"/>
      <c r="CU41" s="375"/>
      <c r="CW41" s="373"/>
      <c r="CX41" s="374"/>
      <c r="CY41" s="375"/>
      <c r="CZ41" s="375"/>
      <c r="DB41" s="373"/>
      <c r="DC41" s="374"/>
      <c r="DD41" s="375"/>
      <c r="DE41" s="375"/>
      <c r="DG41" s="373"/>
      <c r="DH41" s="374"/>
      <c r="DI41" s="375"/>
      <c r="DJ41" s="375"/>
      <c r="DL41" s="373"/>
      <c r="DM41" s="374"/>
      <c r="DN41" s="375"/>
      <c r="DO41" s="375"/>
      <c r="DQ41" s="373"/>
      <c r="DR41" s="374"/>
      <c r="DS41" s="375"/>
      <c r="DT41" s="375"/>
      <c r="DV41" s="373"/>
      <c r="DW41" s="374"/>
      <c r="DX41" s="375"/>
      <c r="DY41" s="375"/>
      <c r="EA41" s="373"/>
      <c r="EB41" s="374"/>
      <c r="EC41" s="375"/>
      <c r="ED41" s="375"/>
      <c r="EF41" s="373"/>
      <c r="EG41" s="374"/>
      <c r="EH41" s="375"/>
      <c r="EI41" s="375"/>
      <c r="EK41" s="373"/>
      <c r="EL41" s="374"/>
      <c r="EM41" s="375"/>
      <c r="EN41" s="375"/>
      <c r="EP41" s="373"/>
      <c r="EQ41" s="374"/>
      <c r="ER41" s="375"/>
      <c r="ES41" s="375"/>
      <c r="EU41" s="373"/>
      <c r="EV41" s="374"/>
      <c r="EW41" s="375"/>
      <c r="EX41" s="375"/>
      <c r="EZ41" s="373"/>
      <c r="FA41" s="374"/>
      <c r="FB41" s="375"/>
      <c r="FC41" s="375"/>
      <c r="FE41" s="373"/>
      <c r="FF41" s="374"/>
      <c r="FG41" s="375"/>
      <c r="FH41" s="375"/>
      <c r="FJ41" s="373"/>
      <c r="FK41" s="374"/>
      <c r="FL41" s="375"/>
      <c r="FM41" s="375"/>
      <c r="FO41" s="373"/>
      <c r="FP41" s="374"/>
      <c r="FQ41" s="375"/>
      <c r="FR41" s="375"/>
      <c r="FT41" s="373"/>
      <c r="FU41" s="374"/>
      <c r="FV41" s="375"/>
      <c r="FW41" s="375"/>
      <c r="FY41" s="373"/>
      <c r="FZ41" s="374"/>
      <c r="GA41" s="375"/>
      <c r="GB41" s="375"/>
      <c r="GD41" s="373"/>
      <c r="GE41" s="374"/>
      <c r="GF41" s="375"/>
      <c r="GG41" s="375"/>
      <c r="GI41" s="373"/>
      <c r="GJ41" s="374"/>
      <c r="GK41" s="375"/>
      <c r="GL41" s="375"/>
      <c r="GN41" s="373"/>
      <c r="GO41" s="374"/>
      <c r="GP41" s="375"/>
      <c r="GQ41" s="375"/>
      <c r="GS41" s="373"/>
      <c r="GT41" s="374"/>
      <c r="GU41" s="375"/>
      <c r="GV41" s="375"/>
      <c r="GX41" s="373"/>
      <c r="GY41" s="374"/>
      <c r="GZ41" s="375"/>
      <c r="HA41" s="375"/>
      <c r="HC41" s="373"/>
      <c r="HD41" s="374"/>
      <c r="HE41" s="375"/>
      <c r="HF41" s="375"/>
      <c r="HH41" s="373"/>
      <c r="HI41" s="374"/>
      <c r="HJ41" s="375"/>
      <c r="HK41" s="375"/>
      <c r="HM41" s="373"/>
      <c r="HN41" s="374"/>
      <c r="HO41" s="375"/>
      <c r="HP41" s="375"/>
      <c r="HR41" s="373"/>
      <c r="HS41" s="374"/>
      <c r="HT41" s="375"/>
      <c r="HU41" s="375"/>
      <c r="HW41" s="373"/>
      <c r="HX41" s="374"/>
      <c r="HY41" s="375"/>
      <c r="HZ41" s="375"/>
      <c r="IB41" s="373"/>
      <c r="IC41" s="374"/>
      <c r="ID41" s="375"/>
      <c r="IE41" s="375"/>
      <c r="IG41" s="373"/>
      <c r="IH41" s="374"/>
      <c r="II41" s="375"/>
      <c r="IJ41" s="375"/>
      <c r="IL41" s="373"/>
      <c r="IM41" s="374"/>
      <c r="IN41" s="375"/>
      <c r="IO41" s="375"/>
      <c r="IQ41" s="373"/>
      <c r="IR41" s="374"/>
      <c r="IS41" s="375"/>
      <c r="IT41" s="375"/>
      <c r="IV41" s="373"/>
    </row>
    <row r="42" spans="1:256" s="376" customFormat="1" x14ac:dyDescent="0.2">
      <c r="A42" s="373"/>
      <c r="B42" s="374"/>
      <c r="C42" s="375"/>
      <c r="D42" s="375"/>
      <c r="F42" s="373"/>
      <c r="G42" s="374"/>
      <c r="H42" s="375"/>
      <c r="I42" s="375"/>
      <c r="K42" s="373">
        <v>40</v>
      </c>
      <c r="L42" s="374" t="s">
        <v>2566</v>
      </c>
      <c r="M42" s="375">
        <v>10.526315789473685</v>
      </c>
      <c r="N42" s="375">
        <v>0.68421052631578949</v>
      </c>
      <c r="P42" s="373">
        <v>40</v>
      </c>
      <c r="Q42" s="374" t="s">
        <v>602</v>
      </c>
      <c r="R42" s="375">
        <v>14.285714285714286</v>
      </c>
      <c r="S42" s="375">
        <v>0.5714285714285714</v>
      </c>
      <c r="U42" s="373"/>
      <c r="V42" s="374"/>
      <c r="W42" s="375"/>
      <c r="X42" s="375"/>
      <c r="Z42" s="373">
        <v>40</v>
      </c>
      <c r="AA42" s="374" t="s">
        <v>343</v>
      </c>
      <c r="AB42" s="375">
        <v>14.285714285714286</v>
      </c>
      <c r="AC42" s="375">
        <v>0.14285714285714285</v>
      </c>
      <c r="AE42" s="373">
        <v>40</v>
      </c>
      <c r="AF42" s="374" t="s">
        <v>431</v>
      </c>
      <c r="AG42" s="375">
        <v>20</v>
      </c>
      <c r="AH42" s="375">
        <v>0.6</v>
      </c>
      <c r="AJ42" s="373">
        <v>40</v>
      </c>
      <c r="AK42" s="374" t="s">
        <v>2663</v>
      </c>
      <c r="AL42" s="375">
        <v>33.333333333333336</v>
      </c>
      <c r="AM42" s="375">
        <v>1</v>
      </c>
      <c r="AO42" s="377"/>
      <c r="AP42" s="374"/>
      <c r="AQ42" s="378"/>
      <c r="AR42" s="378"/>
      <c r="AT42" s="373">
        <v>40</v>
      </c>
      <c r="AU42" s="374" t="s">
        <v>422</v>
      </c>
      <c r="AV42" s="375">
        <v>33.333333333333336</v>
      </c>
      <c r="AW42" s="375">
        <v>0.66666666666666663</v>
      </c>
      <c r="AY42" s="373"/>
      <c r="AZ42" s="374"/>
      <c r="BA42" s="375"/>
      <c r="BB42" s="375"/>
      <c r="BD42" s="373"/>
      <c r="BE42" s="374"/>
      <c r="BF42" s="375"/>
      <c r="BG42" s="375"/>
      <c r="BI42" s="373"/>
      <c r="BJ42" s="374"/>
      <c r="BK42" s="375"/>
      <c r="BL42" s="375"/>
      <c r="BN42" s="373">
        <v>40</v>
      </c>
      <c r="BO42" s="374" t="s">
        <v>352</v>
      </c>
      <c r="BP42" s="375">
        <v>33.333333333333336</v>
      </c>
      <c r="BQ42" s="375">
        <v>0.16666666666666666</v>
      </c>
      <c r="BS42" s="373"/>
      <c r="BT42" s="374"/>
      <c r="BU42" s="375"/>
      <c r="BV42" s="375"/>
      <c r="BX42" s="373"/>
      <c r="BY42" s="374"/>
      <c r="BZ42" s="375"/>
      <c r="CA42" s="375"/>
      <c r="CC42" s="373"/>
      <c r="CD42" s="374"/>
      <c r="CE42" s="375"/>
      <c r="CF42" s="375"/>
      <c r="CH42" s="373"/>
      <c r="CI42" s="374"/>
      <c r="CJ42" s="375"/>
      <c r="CK42" s="375"/>
      <c r="CM42" s="373"/>
      <c r="CN42" s="374"/>
      <c r="CO42" s="375"/>
      <c r="CP42" s="375"/>
      <c r="CR42" s="373"/>
      <c r="CS42" s="374"/>
      <c r="CT42" s="375"/>
      <c r="CU42" s="375"/>
      <c r="CW42" s="373"/>
      <c r="CX42" s="374"/>
      <c r="CY42" s="375"/>
      <c r="CZ42" s="375"/>
      <c r="DB42" s="373"/>
      <c r="DC42" s="374"/>
      <c r="DD42" s="375"/>
      <c r="DE42" s="375"/>
      <c r="DG42" s="373"/>
      <c r="DH42" s="374"/>
      <c r="DI42" s="375"/>
      <c r="DJ42" s="375"/>
      <c r="DL42" s="373"/>
      <c r="DM42" s="374"/>
      <c r="DN42" s="375"/>
      <c r="DO42" s="375"/>
      <c r="DQ42" s="373"/>
      <c r="DR42" s="374"/>
      <c r="DS42" s="375"/>
      <c r="DT42" s="375"/>
      <c r="DV42" s="373"/>
      <c r="DW42" s="374"/>
      <c r="DX42" s="375"/>
      <c r="DY42" s="375"/>
      <c r="EA42" s="373"/>
      <c r="EB42" s="374"/>
      <c r="EC42" s="375"/>
      <c r="ED42" s="375"/>
      <c r="EF42" s="373"/>
      <c r="EG42" s="374"/>
      <c r="EH42" s="375"/>
      <c r="EI42" s="375"/>
      <c r="EK42" s="373"/>
      <c r="EL42" s="374"/>
      <c r="EM42" s="375"/>
      <c r="EN42" s="375"/>
      <c r="EP42" s="373"/>
      <c r="EQ42" s="374"/>
      <c r="ER42" s="375"/>
      <c r="ES42" s="375"/>
      <c r="EU42" s="373"/>
      <c r="EV42" s="374"/>
      <c r="EW42" s="375"/>
      <c r="EX42" s="375"/>
      <c r="EZ42" s="373"/>
      <c r="FA42" s="374"/>
      <c r="FB42" s="375"/>
      <c r="FC42" s="375"/>
      <c r="FE42" s="373"/>
      <c r="FF42" s="374"/>
      <c r="FG42" s="375"/>
      <c r="FH42" s="375"/>
      <c r="FJ42" s="373"/>
      <c r="FK42" s="374"/>
      <c r="FL42" s="375"/>
      <c r="FM42" s="375"/>
      <c r="FO42" s="373"/>
      <c r="FP42" s="374"/>
      <c r="FQ42" s="375"/>
      <c r="FR42" s="375"/>
      <c r="FT42" s="373"/>
      <c r="FU42" s="374"/>
      <c r="FV42" s="375"/>
      <c r="FW42" s="375"/>
      <c r="FY42" s="373"/>
      <c r="FZ42" s="374"/>
      <c r="GA42" s="375"/>
      <c r="GB42" s="375"/>
      <c r="GD42" s="373"/>
      <c r="GE42" s="374"/>
      <c r="GF42" s="375"/>
      <c r="GG42" s="375"/>
      <c r="GI42" s="373"/>
      <c r="GJ42" s="374"/>
      <c r="GK42" s="375"/>
      <c r="GL42" s="375"/>
      <c r="GN42" s="373"/>
      <c r="GO42" s="374"/>
      <c r="GP42" s="375"/>
      <c r="GQ42" s="375"/>
      <c r="GS42" s="373"/>
      <c r="GT42" s="374"/>
      <c r="GU42" s="375"/>
      <c r="GV42" s="375"/>
      <c r="GX42" s="373"/>
      <c r="GY42" s="374"/>
      <c r="GZ42" s="375"/>
      <c r="HA42" s="375"/>
      <c r="HC42" s="373"/>
      <c r="HD42" s="374"/>
      <c r="HE42" s="375"/>
      <c r="HF42" s="375"/>
      <c r="HH42" s="373"/>
      <c r="HI42" s="374"/>
      <c r="HJ42" s="375"/>
      <c r="HK42" s="375"/>
      <c r="HM42" s="373"/>
      <c r="HN42" s="374"/>
      <c r="HO42" s="375"/>
      <c r="HP42" s="375"/>
      <c r="HR42" s="373"/>
      <c r="HS42" s="374"/>
      <c r="HT42" s="375"/>
      <c r="HU42" s="375"/>
      <c r="HW42" s="373"/>
      <c r="HX42" s="374"/>
      <c r="HY42" s="375"/>
      <c r="HZ42" s="375"/>
      <c r="IB42" s="373"/>
      <c r="IC42" s="374"/>
      <c r="ID42" s="375"/>
      <c r="IE42" s="375"/>
      <c r="IG42" s="373"/>
      <c r="IH42" s="374"/>
      <c r="II42" s="375"/>
      <c r="IJ42" s="375"/>
      <c r="IL42" s="373"/>
      <c r="IM42" s="374"/>
      <c r="IN42" s="375"/>
      <c r="IO42" s="375"/>
      <c r="IQ42" s="373"/>
      <c r="IR42" s="374"/>
      <c r="IS42" s="375"/>
      <c r="IT42" s="375"/>
      <c r="IV42" s="373"/>
    </row>
    <row r="43" spans="1:256" s="376" customFormat="1" x14ac:dyDescent="0.2">
      <c r="A43" s="373"/>
      <c r="B43" s="374"/>
      <c r="C43" s="375"/>
      <c r="D43" s="375"/>
      <c r="F43" s="373"/>
      <c r="G43" s="374"/>
      <c r="H43" s="375"/>
      <c r="I43" s="375"/>
      <c r="K43" s="373">
        <v>41</v>
      </c>
      <c r="L43" s="374" t="s">
        <v>380</v>
      </c>
      <c r="M43" s="375">
        <v>31.578947368421051</v>
      </c>
      <c r="N43" s="375">
        <v>0.65789473684210531</v>
      </c>
      <c r="P43" s="373">
        <v>41</v>
      </c>
      <c r="Q43" s="374" t="s">
        <v>569</v>
      </c>
      <c r="R43" s="375">
        <v>14.285714285714286</v>
      </c>
      <c r="S43" s="375">
        <v>0.5714285714285714</v>
      </c>
      <c r="U43" s="373"/>
      <c r="V43" s="374"/>
      <c r="W43" s="375"/>
      <c r="X43" s="375"/>
      <c r="Z43" s="373">
        <v>41</v>
      </c>
      <c r="AA43" s="374" t="s">
        <v>2603</v>
      </c>
      <c r="AB43" s="375">
        <v>14.285714285714286</v>
      </c>
      <c r="AC43" s="375">
        <v>0.14285714285714285</v>
      </c>
      <c r="AE43" s="373">
        <v>41</v>
      </c>
      <c r="AF43" s="374" t="s">
        <v>409</v>
      </c>
      <c r="AG43" s="375">
        <v>20</v>
      </c>
      <c r="AH43" s="375">
        <v>0.4</v>
      </c>
      <c r="AJ43" s="373">
        <v>41</v>
      </c>
      <c r="AK43" s="374" t="s">
        <v>2573</v>
      </c>
      <c r="AL43" s="375">
        <v>66.666666666666671</v>
      </c>
      <c r="AM43" s="375">
        <v>0.83333333333333337</v>
      </c>
      <c r="AO43" s="373"/>
      <c r="AP43" s="374"/>
      <c r="AQ43" s="375"/>
      <c r="AR43" s="375"/>
      <c r="AT43" s="379">
        <v>41</v>
      </c>
      <c r="AU43" s="380" t="s">
        <v>389</v>
      </c>
      <c r="AV43" s="381">
        <v>100</v>
      </c>
      <c r="AW43" s="381">
        <v>0.66666666666666663</v>
      </c>
      <c r="AY43" s="377"/>
      <c r="AZ43" s="374"/>
      <c r="BA43" s="378"/>
      <c r="BB43" s="378"/>
      <c r="BD43" s="373"/>
      <c r="BE43" s="374"/>
      <c r="BF43" s="375"/>
      <c r="BG43" s="375"/>
      <c r="BI43" s="373"/>
      <c r="BJ43" s="374"/>
      <c r="BK43" s="375"/>
      <c r="BL43" s="375"/>
      <c r="BN43" s="373">
        <v>41</v>
      </c>
      <c r="BO43" s="374" t="s">
        <v>381</v>
      </c>
      <c r="BP43" s="375">
        <v>33.333333333333336</v>
      </c>
      <c r="BQ43" s="375">
        <v>0.16666666666666666</v>
      </c>
      <c r="BS43" s="373"/>
      <c r="BT43" s="374"/>
      <c r="BU43" s="375"/>
      <c r="BV43" s="375"/>
      <c r="BX43" s="373"/>
      <c r="BY43" s="374"/>
      <c r="BZ43" s="375"/>
      <c r="CA43" s="375"/>
      <c r="CC43" s="373"/>
      <c r="CD43" s="374"/>
      <c r="CE43" s="375"/>
      <c r="CF43" s="375"/>
      <c r="CH43" s="373"/>
      <c r="CI43" s="374"/>
      <c r="CJ43" s="375"/>
      <c r="CK43" s="375"/>
      <c r="CM43" s="373"/>
      <c r="CN43" s="374"/>
      <c r="CO43" s="375"/>
      <c r="CP43" s="375"/>
      <c r="CR43" s="373"/>
      <c r="CS43" s="374"/>
      <c r="CT43" s="375"/>
      <c r="CU43" s="375"/>
      <c r="CW43" s="373"/>
      <c r="CX43" s="374"/>
      <c r="CY43" s="375"/>
      <c r="CZ43" s="375"/>
      <c r="DB43" s="373"/>
      <c r="DC43" s="374"/>
      <c r="DD43" s="375"/>
      <c r="DE43" s="375"/>
      <c r="DG43" s="373"/>
      <c r="DH43" s="374"/>
      <c r="DI43" s="375"/>
      <c r="DJ43" s="375"/>
      <c r="DL43" s="373"/>
      <c r="DM43" s="374"/>
      <c r="DN43" s="375"/>
      <c r="DO43" s="375"/>
      <c r="DQ43" s="373"/>
      <c r="DR43" s="374"/>
      <c r="DS43" s="375"/>
      <c r="DT43" s="375"/>
      <c r="DV43" s="373"/>
      <c r="DW43" s="374"/>
      <c r="DX43" s="375"/>
      <c r="DY43" s="375"/>
      <c r="EA43" s="373"/>
      <c r="EB43" s="374"/>
      <c r="EC43" s="375"/>
      <c r="ED43" s="375"/>
      <c r="EF43" s="373"/>
      <c r="EG43" s="374"/>
      <c r="EH43" s="375"/>
      <c r="EI43" s="375"/>
      <c r="EK43" s="373"/>
      <c r="EL43" s="374"/>
      <c r="EM43" s="375"/>
      <c r="EN43" s="375"/>
      <c r="EP43" s="373"/>
      <c r="EQ43" s="374"/>
      <c r="ER43" s="375"/>
      <c r="ES43" s="375"/>
      <c r="EU43" s="373"/>
      <c r="EV43" s="374"/>
      <c r="EW43" s="375"/>
      <c r="EX43" s="375"/>
      <c r="EZ43" s="373"/>
      <c r="FA43" s="374"/>
      <c r="FB43" s="375"/>
      <c r="FC43" s="375"/>
      <c r="FE43" s="373"/>
      <c r="FF43" s="374"/>
      <c r="FG43" s="375"/>
      <c r="FH43" s="375"/>
      <c r="FJ43" s="373"/>
      <c r="FK43" s="374"/>
      <c r="FL43" s="375"/>
      <c r="FM43" s="375"/>
      <c r="FO43" s="373"/>
      <c r="FP43" s="374"/>
      <c r="FQ43" s="375"/>
      <c r="FR43" s="375"/>
      <c r="FT43" s="373"/>
      <c r="FU43" s="374"/>
      <c r="FV43" s="375"/>
      <c r="FW43" s="375"/>
      <c r="FY43" s="373"/>
      <c r="FZ43" s="374"/>
      <c r="GA43" s="375"/>
      <c r="GB43" s="375"/>
      <c r="GD43" s="373"/>
      <c r="GE43" s="374"/>
      <c r="GF43" s="375"/>
      <c r="GG43" s="375"/>
      <c r="GI43" s="373"/>
      <c r="GJ43" s="374"/>
      <c r="GK43" s="375"/>
      <c r="GL43" s="375"/>
      <c r="GN43" s="373"/>
      <c r="GO43" s="374"/>
      <c r="GP43" s="375"/>
      <c r="GQ43" s="375"/>
      <c r="GS43" s="373"/>
      <c r="GT43" s="374"/>
      <c r="GU43" s="375"/>
      <c r="GV43" s="375"/>
      <c r="GX43" s="373"/>
      <c r="GY43" s="374"/>
      <c r="GZ43" s="375"/>
      <c r="HA43" s="375"/>
      <c r="HC43" s="373"/>
      <c r="HD43" s="374"/>
      <c r="HE43" s="375"/>
      <c r="HF43" s="375"/>
      <c r="HH43" s="373"/>
      <c r="HI43" s="374"/>
      <c r="HJ43" s="375"/>
      <c r="HK43" s="375"/>
      <c r="HM43" s="373"/>
      <c r="HN43" s="374"/>
      <c r="HO43" s="375"/>
      <c r="HP43" s="375"/>
      <c r="HR43" s="373"/>
      <c r="HS43" s="374"/>
      <c r="HT43" s="375"/>
      <c r="HU43" s="375"/>
      <c r="HW43" s="373"/>
      <c r="HX43" s="374"/>
      <c r="HY43" s="375"/>
      <c r="HZ43" s="375"/>
      <c r="IB43" s="373"/>
      <c r="IC43" s="374"/>
      <c r="ID43" s="375"/>
      <c r="IE43" s="375"/>
      <c r="IG43" s="373"/>
      <c r="IH43" s="374"/>
      <c r="II43" s="375"/>
      <c r="IJ43" s="375"/>
      <c r="IL43" s="373"/>
      <c r="IM43" s="374"/>
      <c r="IN43" s="375"/>
      <c r="IO43" s="375"/>
      <c r="IQ43" s="373"/>
      <c r="IR43" s="374"/>
      <c r="IS43" s="375"/>
      <c r="IT43" s="375"/>
      <c r="IV43" s="373"/>
    </row>
    <row r="44" spans="1:256" s="376" customFormat="1" x14ac:dyDescent="0.2">
      <c r="A44" s="373"/>
      <c r="B44" s="374"/>
      <c r="C44" s="375"/>
      <c r="D44" s="375"/>
      <c r="F44" s="373"/>
      <c r="G44" s="374"/>
      <c r="H44" s="375"/>
      <c r="I44" s="375"/>
      <c r="K44" s="373">
        <v>42</v>
      </c>
      <c r="L44" s="374" t="s">
        <v>355</v>
      </c>
      <c r="M44" s="375">
        <v>15.789473684210526</v>
      </c>
      <c r="N44" s="375">
        <v>0.63157894736842102</v>
      </c>
      <c r="P44" s="373">
        <v>42</v>
      </c>
      <c r="Q44" s="374" t="s">
        <v>348</v>
      </c>
      <c r="R44" s="375">
        <v>28.571428571428573</v>
      </c>
      <c r="S44" s="375">
        <v>0.5714285714285714</v>
      </c>
      <c r="U44" s="373"/>
      <c r="V44" s="374"/>
      <c r="W44" s="375"/>
      <c r="X44" s="375"/>
      <c r="Z44" s="373">
        <v>42</v>
      </c>
      <c r="AA44" s="374" t="s">
        <v>2641</v>
      </c>
      <c r="AB44" s="375">
        <v>28.571428571428573</v>
      </c>
      <c r="AC44" s="375">
        <v>0.14285714285714285</v>
      </c>
      <c r="AE44" s="373">
        <v>42</v>
      </c>
      <c r="AF44" s="374" t="s">
        <v>432</v>
      </c>
      <c r="AG44" s="375">
        <v>20</v>
      </c>
      <c r="AH44" s="375">
        <v>0.4</v>
      </c>
      <c r="AJ44" s="373">
        <v>42</v>
      </c>
      <c r="AK44" s="374" t="s">
        <v>602</v>
      </c>
      <c r="AL44" s="375">
        <v>33.333333333333336</v>
      </c>
      <c r="AM44" s="375">
        <v>0.66666666666666663</v>
      </c>
      <c r="AO44" s="373"/>
      <c r="AP44" s="374"/>
      <c r="AQ44" s="375"/>
      <c r="AR44" s="375"/>
      <c r="AT44" s="373">
        <v>42</v>
      </c>
      <c r="AU44" s="374" t="s">
        <v>398</v>
      </c>
      <c r="AV44" s="375">
        <v>33.333333333333336</v>
      </c>
      <c r="AW44" s="375">
        <v>0.66666666666666663</v>
      </c>
      <c r="AY44" s="373"/>
      <c r="AZ44" s="374"/>
      <c r="BA44" s="375"/>
      <c r="BB44" s="375"/>
      <c r="BD44" s="373"/>
      <c r="BE44" s="374"/>
      <c r="BF44" s="375"/>
      <c r="BG44" s="375"/>
      <c r="BI44" s="373"/>
      <c r="BJ44" s="374"/>
      <c r="BK44" s="375"/>
      <c r="BL44" s="375"/>
      <c r="BN44" s="373">
        <v>42</v>
      </c>
      <c r="BO44" s="374" t="s">
        <v>394</v>
      </c>
      <c r="BP44" s="375">
        <v>33.333333333333336</v>
      </c>
      <c r="BQ44" s="375">
        <v>0.16666666666666666</v>
      </c>
      <c r="BS44" s="373"/>
      <c r="BT44" s="374"/>
      <c r="BU44" s="375"/>
      <c r="BV44" s="375"/>
      <c r="BX44" s="373"/>
      <c r="BY44" s="374"/>
      <c r="BZ44" s="375"/>
      <c r="CA44" s="375"/>
      <c r="CC44" s="373"/>
      <c r="CD44" s="374"/>
      <c r="CE44" s="375"/>
      <c r="CF44" s="375"/>
      <c r="CH44" s="373"/>
      <c r="CI44" s="374"/>
      <c r="CJ44" s="375"/>
      <c r="CK44" s="375"/>
      <c r="CM44" s="373"/>
      <c r="CN44" s="374"/>
      <c r="CO44" s="375"/>
      <c r="CP44" s="375"/>
      <c r="CR44" s="373"/>
      <c r="CS44" s="374"/>
      <c r="CT44" s="375"/>
      <c r="CU44" s="375"/>
      <c r="CW44" s="373"/>
      <c r="CX44" s="374"/>
      <c r="CY44" s="375"/>
      <c r="CZ44" s="375"/>
      <c r="DB44" s="373"/>
      <c r="DC44" s="374"/>
      <c r="DD44" s="375"/>
      <c r="DE44" s="375"/>
      <c r="DG44" s="373"/>
      <c r="DH44" s="374"/>
      <c r="DI44" s="375"/>
      <c r="DJ44" s="375"/>
      <c r="DL44" s="373"/>
      <c r="DM44" s="374"/>
      <c r="DN44" s="375"/>
      <c r="DO44" s="375"/>
      <c r="DQ44" s="373"/>
      <c r="DR44" s="374"/>
      <c r="DS44" s="375"/>
      <c r="DT44" s="375"/>
      <c r="DV44" s="373"/>
      <c r="DW44" s="374"/>
      <c r="DX44" s="375"/>
      <c r="DY44" s="375"/>
      <c r="EA44" s="373"/>
      <c r="EB44" s="374"/>
      <c r="EC44" s="375"/>
      <c r="ED44" s="375"/>
      <c r="EF44" s="373"/>
      <c r="EG44" s="374"/>
      <c r="EH44" s="375"/>
      <c r="EI44" s="375"/>
      <c r="EK44" s="373"/>
      <c r="EL44" s="374"/>
      <c r="EM44" s="375"/>
      <c r="EN44" s="375"/>
      <c r="EP44" s="373"/>
      <c r="EQ44" s="374"/>
      <c r="ER44" s="375"/>
      <c r="ES44" s="375"/>
      <c r="EU44" s="373"/>
      <c r="EV44" s="374"/>
      <c r="EW44" s="375"/>
      <c r="EX44" s="375"/>
      <c r="EZ44" s="373"/>
      <c r="FA44" s="374"/>
      <c r="FB44" s="375"/>
      <c r="FC44" s="375"/>
      <c r="FE44" s="373"/>
      <c r="FF44" s="374"/>
      <c r="FG44" s="375"/>
      <c r="FH44" s="375"/>
      <c r="FJ44" s="373"/>
      <c r="FK44" s="374"/>
      <c r="FL44" s="375"/>
      <c r="FM44" s="375"/>
      <c r="FO44" s="373"/>
      <c r="FP44" s="374"/>
      <c r="FQ44" s="375"/>
      <c r="FR44" s="375"/>
      <c r="FT44" s="373"/>
      <c r="FU44" s="374"/>
      <c r="FV44" s="375"/>
      <c r="FW44" s="375"/>
      <c r="FY44" s="373"/>
      <c r="FZ44" s="374"/>
      <c r="GA44" s="375"/>
      <c r="GB44" s="375"/>
      <c r="GD44" s="373"/>
      <c r="GE44" s="374"/>
      <c r="GF44" s="375"/>
      <c r="GG44" s="375"/>
      <c r="GI44" s="373"/>
      <c r="GJ44" s="374"/>
      <c r="GK44" s="375"/>
      <c r="GL44" s="375"/>
      <c r="GN44" s="373"/>
      <c r="GO44" s="374"/>
      <c r="GP44" s="375"/>
      <c r="GQ44" s="375"/>
      <c r="GS44" s="373"/>
      <c r="GT44" s="374"/>
      <c r="GU44" s="375"/>
      <c r="GV44" s="375"/>
      <c r="GX44" s="373"/>
      <c r="GY44" s="374"/>
      <c r="GZ44" s="375"/>
      <c r="HA44" s="375"/>
      <c r="HC44" s="373"/>
      <c r="HD44" s="374"/>
      <c r="HE44" s="375"/>
      <c r="HF44" s="375"/>
      <c r="HH44" s="373"/>
      <c r="HI44" s="374"/>
      <c r="HJ44" s="375"/>
      <c r="HK44" s="375"/>
      <c r="HM44" s="373"/>
      <c r="HN44" s="374"/>
      <c r="HO44" s="375"/>
      <c r="HP44" s="375"/>
      <c r="HR44" s="373"/>
      <c r="HS44" s="374"/>
      <c r="HT44" s="375"/>
      <c r="HU44" s="375"/>
      <c r="HW44" s="373"/>
      <c r="HX44" s="374"/>
      <c r="HY44" s="375"/>
      <c r="HZ44" s="375"/>
      <c r="IB44" s="373"/>
      <c r="IC44" s="374"/>
      <c r="ID44" s="375"/>
      <c r="IE44" s="375"/>
      <c r="IG44" s="373"/>
      <c r="IH44" s="374"/>
      <c r="II44" s="375"/>
      <c r="IJ44" s="375"/>
      <c r="IL44" s="373"/>
      <c r="IM44" s="374"/>
      <c r="IN44" s="375"/>
      <c r="IO44" s="375"/>
      <c r="IQ44" s="373"/>
      <c r="IR44" s="374"/>
      <c r="IS44" s="375"/>
      <c r="IT44" s="375"/>
      <c r="IV44" s="373"/>
    </row>
    <row r="45" spans="1:256" s="376" customFormat="1" x14ac:dyDescent="0.2">
      <c r="A45" s="373"/>
      <c r="B45" s="374"/>
      <c r="C45" s="375"/>
      <c r="D45" s="375"/>
      <c r="F45" s="373"/>
      <c r="G45" s="374"/>
      <c r="H45" s="375"/>
      <c r="I45" s="375"/>
      <c r="K45" s="335">
        <v>43</v>
      </c>
      <c r="L45" s="336" t="s">
        <v>592</v>
      </c>
      <c r="M45" s="337">
        <v>5.2631578947368425</v>
      </c>
      <c r="N45" s="337">
        <v>0.63157894736842102</v>
      </c>
      <c r="P45" s="373">
        <v>43</v>
      </c>
      <c r="Q45" s="374" t="s">
        <v>609</v>
      </c>
      <c r="R45" s="375">
        <v>28.571428571428573</v>
      </c>
      <c r="S45" s="375">
        <v>0.5</v>
      </c>
      <c r="U45" s="373"/>
      <c r="V45" s="374"/>
      <c r="W45" s="375"/>
      <c r="X45" s="375"/>
      <c r="Z45" s="373">
        <v>43</v>
      </c>
      <c r="AA45" s="374" t="s">
        <v>393</v>
      </c>
      <c r="AB45" s="375">
        <v>14.285714285714286</v>
      </c>
      <c r="AC45" s="375">
        <v>0.14285714285714285</v>
      </c>
      <c r="AE45" s="373">
        <v>43</v>
      </c>
      <c r="AF45" s="374" t="s">
        <v>1286</v>
      </c>
      <c r="AG45" s="375">
        <v>20</v>
      </c>
      <c r="AH45" s="375">
        <v>0.4</v>
      </c>
      <c r="AJ45" s="373">
        <v>43</v>
      </c>
      <c r="AK45" s="374" t="s">
        <v>409</v>
      </c>
      <c r="AL45" s="375">
        <v>33.333333333333336</v>
      </c>
      <c r="AM45" s="375">
        <v>0.66666666666666663</v>
      </c>
      <c r="AO45" s="373"/>
      <c r="AP45" s="374"/>
      <c r="AQ45" s="375"/>
      <c r="AR45" s="375"/>
      <c r="AT45" s="373">
        <v>43</v>
      </c>
      <c r="AU45" s="374" t="s">
        <v>2603</v>
      </c>
      <c r="AV45" s="375">
        <v>33.333333333333336</v>
      </c>
      <c r="AW45" s="375">
        <v>0.66666666666666663</v>
      </c>
      <c r="AY45" s="373"/>
      <c r="AZ45" s="374"/>
      <c r="BA45" s="375"/>
      <c r="BB45" s="375"/>
      <c r="BD45" s="373"/>
      <c r="BE45" s="374"/>
      <c r="BF45" s="375"/>
      <c r="BG45" s="375"/>
      <c r="BI45" s="373"/>
      <c r="BJ45" s="374"/>
      <c r="BK45" s="375"/>
      <c r="BL45" s="375"/>
      <c r="BN45" s="373">
        <v>43</v>
      </c>
      <c r="BO45" s="374" t="s">
        <v>2612</v>
      </c>
      <c r="BP45" s="375">
        <v>33.333333333333336</v>
      </c>
      <c r="BQ45" s="375">
        <v>0.16666666666666666</v>
      </c>
      <c r="BS45" s="373"/>
      <c r="BT45" s="374"/>
      <c r="BU45" s="375"/>
      <c r="BV45" s="375"/>
      <c r="BX45" s="373"/>
      <c r="BY45" s="374"/>
      <c r="BZ45" s="375"/>
      <c r="CA45" s="375"/>
      <c r="CC45" s="373"/>
      <c r="CD45" s="374"/>
      <c r="CE45" s="375"/>
      <c r="CF45" s="375"/>
      <c r="CH45" s="373"/>
      <c r="CI45" s="374"/>
      <c r="CJ45" s="375"/>
      <c r="CK45" s="375"/>
      <c r="CM45" s="373"/>
      <c r="CN45" s="374"/>
      <c r="CO45" s="375"/>
      <c r="CP45" s="375"/>
      <c r="CR45" s="373"/>
      <c r="CS45" s="374"/>
      <c r="CT45" s="375"/>
      <c r="CU45" s="375"/>
      <c r="CW45" s="373"/>
      <c r="CX45" s="374"/>
      <c r="CY45" s="375"/>
      <c r="CZ45" s="375"/>
      <c r="DB45" s="373"/>
      <c r="DC45" s="374"/>
      <c r="DD45" s="375"/>
      <c r="DE45" s="375"/>
      <c r="DG45" s="373"/>
      <c r="DH45" s="374"/>
      <c r="DI45" s="375"/>
      <c r="DJ45" s="375"/>
      <c r="DL45" s="373"/>
      <c r="DM45" s="374"/>
      <c r="DN45" s="375"/>
      <c r="DO45" s="375"/>
      <c r="DQ45" s="373"/>
      <c r="DR45" s="374"/>
      <c r="DS45" s="375"/>
      <c r="DT45" s="375"/>
      <c r="DV45" s="373"/>
      <c r="DW45" s="374"/>
      <c r="DX45" s="375"/>
      <c r="DY45" s="375"/>
      <c r="EA45" s="373"/>
      <c r="EB45" s="374"/>
      <c r="EC45" s="375"/>
      <c r="ED45" s="375"/>
      <c r="EF45" s="373"/>
      <c r="EG45" s="374"/>
      <c r="EH45" s="375"/>
      <c r="EI45" s="375"/>
      <c r="EK45" s="373"/>
      <c r="EL45" s="374"/>
      <c r="EM45" s="375"/>
      <c r="EN45" s="375"/>
      <c r="EP45" s="373"/>
      <c r="EQ45" s="374"/>
      <c r="ER45" s="375"/>
      <c r="ES45" s="375"/>
      <c r="EU45" s="373"/>
      <c r="EV45" s="374"/>
      <c r="EW45" s="375"/>
      <c r="EX45" s="375"/>
      <c r="EZ45" s="373"/>
      <c r="FA45" s="374"/>
      <c r="FB45" s="375"/>
      <c r="FC45" s="375"/>
      <c r="FE45" s="373"/>
      <c r="FF45" s="374"/>
      <c r="FG45" s="375"/>
      <c r="FH45" s="375"/>
      <c r="FJ45" s="373"/>
      <c r="FK45" s="374"/>
      <c r="FL45" s="375"/>
      <c r="FM45" s="375"/>
      <c r="FO45" s="373"/>
      <c r="FP45" s="374"/>
      <c r="FQ45" s="375"/>
      <c r="FR45" s="375"/>
      <c r="FT45" s="373"/>
      <c r="FU45" s="374"/>
      <c r="FV45" s="375"/>
      <c r="FW45" s="375"/>
      <c r="FY45" s="373"/>
      <c r="FZ45" s="374"/>
      <c r="GA45" s="375"/>
      <c r="GB45" s="375"/>
      <c r="GD45" s="373"/>
      <c r="GE45" s="374"/>
      <c r="GF45" s="375"/>
      <c r="GG45" s="375"/>
      <c r="GI45" s="373"/>
      <c r="GJ45" s="374"/>
      <c r="GK45" s="375"/>
      <c r="GL45" s="375"/>
      <c r="GN45" s="373"/>
      <c r="GO45" s="374"/>
      <c r="GP45" s="375"/>
      <c r="GQ45" s="375"/>
      <c r="GS45" s="373"/>
      <c r="GT45" s="374"/>
      <c r="GU45" s="375"/>
      <c r="GV45" s="375"/>
      <c r="GX45" s="373"/>
      <c r="GY45" s="374"/>
      <c r="GZ45" s="375"/>
      <c r="HA45" s="375"/>
      <c r="HC45" s="373"/>
      <c r="HD45" s="374"/>
      <c r="HE45" s="375"/>
      <c r="HF45" s="375"/>
      <c r="HH45" s="373"/>
      <c r="HI45" s="374"/>
      <c r="HJ45" s="375"/>
      <c r="HK45" s="375"/>
      <c r="HM45" s="373"/>
      <c r="HN45" s="374"/>
      <c r="HO45" s="375"/>
      <c r="HP45" s="375"/>
      <c r="HR45" s="373"/>
      <c r="HS45" s="374"/>
      <c r="HT45" s="375"/>
      <c r="HU45" s="375"/>
      <c r="HW45" s="373"/>
      <c r="HX45" s="374"/>
      <c r="HY45" s="375"/>
      <c r="HZ45" s="375"/>
      <c r="IB45" s="373"/>
      <c r="IC45" s="374"/>
      <c r="ID45" s="375"/>
      <c r="IE45" s="375"/>
      <c r="IG45" s="373"/>
      <c r="IH45" s="374"/>
      <c r="II45" s="375"/>
      <c r="IJ45" s="375"/>
      <c r="IL45" s="373"/>
      <c r="IM45" s="374"/>
      <c r="IN45" s="375"/>
      <c r="IO45" s="375"/>
      <c r="IQ45" s="373"/>
      <c r="IR45" s="374"/>
      <c r="IS45" s="375"/>
      <c r="IT45" s="375"/>
      <c r="IV45" s="373"/>
    </row>
    <row r="46" spans="1:256" s="376" customFormat="1" x14ac:dyDescent="0.2">
      <c r="A46" s="373"/>
      <c r="B46" s="374"/>
      <c r="C46" s="375"/>
      <c r="D46" s="375"/>
      <c r="F46" s="373"/>
      <c r="G46" s="374"/>
      <c r="H46" s="375"/>
      <c r="I46" s="375"/>
      <c r="K46" s="373">
        <v>44</v>
      </c>
      <c r="L46" s="374" t="s">
        <v>2642</v>
      </c>
      <c r="M46" s="375">
        <v>42.10526315789474</v>
      </c>
      <c r="N46" s="375">
        <v>0.60526315789473684</v>
      </c>
      <c r="P46" s="373">
        <v>44</v>
      </c>
      <c r="Q46" s="374" t="s">
        <v>354</v>
      </c>
      <c r="R46" s="375">
        <v>42.857142857142854</v>
      </c>
      <c r="S46" s="375">
        <v>0.5</v>
      </c>
      <c r="U46" s="373"/>
      <c r="V46" s="374"/>
      <c r="W46" s="375"/>
      <c r="X46" s="375"/>
      <c r="Z46" s="373">
        <v>44</v>
      </c>
      <c r="AA46" s="374" t="s">
        <v>371</v>
      </c>
      <c r="AB46" s="375">
        <v>14.285714285714286</v>
      </c>
      <c r="AC46" s="375">
        <v>0.14285714285714285</v>
      </c>
      <c r="AE46" s="373">
        <v>44</v>
      </c>
      <c r="AF46" s="374" t="s">
        <v>411</v>
      </c>
      <c r="AG46" s="375">
        <v>20</v>
      </c>
      <c r="AH46" s="375">
        <v>0.4</v>
      </c>
      <c r="AJ46" s="373">
        <v>44</v>
      </c>
      <c r="AK46" s="374" t="s">
        <v>415</v>
      </c>
      <c r="AL46" s="375">
        <v>33.333333333333336</v>
      </c>
      <c r="AM46" s="375">
        <v>0.66666666666666663</v>
      </c>
      <c r="AO46" s="373"/>
      <c r="AP46" s="374"/>
      <c r="AQ46" s="375"/>
      <c r="AR46" s="375"/>
      <c r="AT46" s="382">
        <v>44</v>
      </c>
      <c r="AU46" s="383" t="s">
        <v>2664</v>
      </c>
      <c r="AV46" s="384">
        <v>33.333333333333336</v>
      </c>
      <c r="AW46" s="384">
        <v>0.66666666666666663</v>
      </c>
      <c r="AY46" s="373"/>
      <c r="AZ46" s="374"/>
      <c r="BA46" s="375"/>
      <c r="BB46" s="375"/>
      <c r="BD46" s="373"/>
      <c r="BE46" s="374"/>
      <c r="BF46" s="375"/>
      <c r="BG46" s="375"/>
      <c r="BI46" s="373"/>
      <c r="BJ46" s="374"/>
      <c r="BK46" s="375"/>
      <c r="BL46" s="375"/>
      <c r="BN46" s="373">
        <v>44</v>
      </c>
      <c r="BO46" s="374" t="s">
        <v>2597</v>
      </c>
      <c r="BP46" s="375">
        <v>33.333333333333336</v>
      </c>
      <c r="BQ46" s="375">
        <v>0.16666666666666666</v>
      </c>
      <c r="BS46" s="373"/>
      <c r="BT46" s="374"/>
      <c r="BU46" s="375"/>
      <c r="BV46" s="375"/>
      <c r="BX46" s="373"/>
      <c r="BY46" s="374"/>
      <c r="BZ46" s="375"/>
      <c r="CA46" s="375"/>
      <c r="CC46" s="373"/>
      <c r="CD46" s="374"/>
      <c r="CE46" s="375"/>
      <c r="CF46" s="375"/>
      <c r="CH46" s="373"/>
      <c r="CI46" s="374"/>
      <c r="CJ46" s="375"/>
      <c r="CK46" s="375"/>
      <c r="CM46" s="373"/>
      <c r="CN46" s="374"/>
      <c r="CO46" s="375"/>
      <c r="CP46" s="375"/>
      <c r="CR46" s="373"/>
      <c r="CS46" s="374"/>
      <c r="CT46" s="375"/>
      <c r="CU46" s="375"/>
      <c r="CW46" s="373"/>
      <c r="CX46" s="374"/>
      <c r="CY46" s="375"/>
      <c r="CZ46" s="375"/>
      <c r="DB46" s="373"/>
      <c r="DC46" s="374"/>
      <c r="DD46" s="375"/>
      <c r="DE46" s="375"/>
      <c r="DG46" s="373"/>
      <c r="DH46" s="374"/>
      <c r="DI46" s="375"/>
      <c r="DJ46" s="375"/>
      <c r="DL46" s="373"/>
      <c r="DM46" s="374"/>
      <c r="DN46" s="375"/>
      <c r="DO46" s="375"/>
      <c r="DQ46" s="373"/>
      <c r="DR46" s="374"/>
      <c r="DS46" s="375"/>
      <c r="DT46" s="375"/>
      <c r="DV46" s="373"/>
      <c r="DW46" s="374"/>
      <c r="DX46" s="375"/>
      <c r="DY46" s="375"/>
      <c r="EA46" s="373"/>
      <c r="EB46" s="374"/>
      <c r="EC46" s="375"/>
      <c r="ED46" s="375"/>
      <c r="EF46" s="373"/>
      <c r="EG46" s="374"/>
      <c r="EH46" s="375"/>
      <c r="EI46" s="375"/>
      <c r="EK46" s="373"/>
      <c r="EL46" s="374"/>
      <c r="EM46" s="375"/>
      <c r="EN46" s="375"/>
      <c r="EP46" s="373"/>
      <c r="EQ46" s="374"/>
      <c r="ER46" s="375"/>
      <c r="ES46" s="375"/>
      <c r="EU46" s="373"/>
      <c r="EV46" s="374"/>
      <c r="EW46" s="375"/>
      <c r="EX46" s="375"/>
      <c r="EZ46" s="373"/>
      <c r="FA46" s="374"/>
      <c r="FB46" s="375"/>
      <c r="FC46" s="375"/>
      <c r="FE46" s="373"/>
      <c r="FF46" s="374"/>
      <c r="FG46" s="375"/>
      <c r="FH46" s="375"/>
      <c r="FJ46" s="373"/>
      <c r="FK46" s="374"/>
      <c r="FL46" s="375"/>
      <c r="FM46" s="375"/>
      <c r="FO46" s="373"/>
      <c r="FP46" s="374"/>
      <c r="FQ46" s="375"/>
      <c r="FR46" s="375"/>
      <c r="FT46" s="373"/>
      <c r="FU46" s="374"/>
      <c r="FV46" s="375"/>
      <c r="FW46" s="375"/>
      <c r="FY46" s="373"/>
      <c r="FZ46" s="374"/>
      <c r="GA46" s="375"/>
      <c r="GB46" s="375"/>
      <c r="GD46" s="373"/>
      <c r="GE46" s="374"/>
      <c r="GF46" s="375"/>
      <c r="GG46" s="375"/>
      <c r="GI46" s="373"/>
      <c r="GJ46" s="374"/>
      <c r="GK46" s="375"/>
      <c r="GL46" s="375"/>
      <c r="GN46" s="373"/>
      <c r="GO46" s="374"/>
      <c r="GP46" s="375"/>
      <c r="GQ46" s="375"/>
      <c r="GS46" s="373"/>
      <c r="GT46" s="374"/>
      <c r="GU46" s="375"/>
      <c r="GV46" s="375"/>
      <c r="GX46" s="373"/>
      <c r="GY46" s="374"/>
      <c r="GZ46" s="375"/>
      <c r="HA46" s="375"/>
      <c r="HC46" s="373"/>
      <c r="HD46" s="374"/>
      <c r="HE46" s="375"/>
      <c r="HF46" s="375"/>
      <c r="HH46" s="373"/>
      <c r="HI46" s="374"/>
      <c r="HJ46" s="375"/>
      <c r="HK46" s="375"/>
      <c r="HM46" s="373"/>
      <c r="HN46" s="374"/>
      <c r="HO46" s="375"/>
      <c r="HP46" s="375"/>
      <c r="HR46" s="373"/>
      <c r="HS46" s="374"/>
      <c r="HT46" s="375"/>
      <c r="HU46" s="375"/>
      <c r="HW46" s="373"/>
      <c r="HX46" s="374"/>
      <c r="HY46" s="375"/>
      <c r="HZ46" s="375"/>
      <c r="IB46" s="373"/>
      <c r="IC46" s="374"/>
      <c r="ID46" s="375"/>
      <c r="IE46" s="375"/>
      <c r="IG46" s="373"/>
      <c r="IH46" s="374"/>
      <c r="II46" s="375"/>
      <c r="IJ46" s="375"/>
      <c r="IL46" s="373"/>
      <c r="IM46" s="374"/>
      <c r="IN46" s="375"/>
      <c r="IO46" s="375"/>
      <c r="IQ46" s="373"/>
      <c r="IR46" s="374"/>
      <c r="IS46" s="375"/>
      <c r="IT46" s="375"/>
      <c r="IV46" s="373"/>
    </row>
    <row r="47" spans="1:256" s="376" customFormat="1" x14ac:dyDescent="0.2">
      <c r="A47" s="373"/>
      <c r="B47" s="374"/>
      <c r="C47" s="375"/>
      <c r="D47" s="375"/>
      <c r="F47" s="373"/>
      <c r="G47" s="374"/>
      <c r="H47" s="375"/>
      <c r="I47" s="375"/>
      <c r="K47" s="373">
        <v>45</v>
      </c>
      <c r="L47" s="374" t="s">
        <v>391</v>
      </c>
      <c r="M47" s="375">
        <v>21.05263157894737</v>
      </c>
      <c r="N47" s="375">
        <v>0.57894736842105265</v>
      </c>
      <c r="P47" s="373">
        <v>45</v>
      </c>
      <c r="Q47" s="374" t="s">
        <v>2583</v>
      </c>
      <c r="R47" s="375">
        <v>14.285714285714286</v>
      </c>
      <c r="S47" s="375">
        <v>0.42857142857142855</v>
      </c>
      <c r="U47" s="373"/>
      <c r="V47" s="374"/>
      <c r="W47" s="375"/>
      <c r="X47" s="375"/>
      <c r="Z47" s="332">
        <v>45</v>
      </c>
      <c r="AA47" s="333" t="s">
        <v>594</v>
      </c>
      <c r="AB47" s="334">
        <v>14.285714285714286</v>
      </c>
      <c r="AC47" s="334">
        <v>0.14285714285714285</v>
      </c>
      <c r="AE47" s="373">
        <v>45</v>
      </c>
      <c r="AF47" s="374" t="s">
        <v>2649</v>
      </c>
      <c r="AG47" s="375">
        <v>60</v>
      </c>
      <c r="AH47" s="375">
        <v>0.4</v>
      </c>
      <c r="AJ47" s="373">
        <v>45</v>
      </c>
      <c r="AK47" s="374" t="s">
        <v>403</v>
      </c>
      <c r="AL47" s="375">
        <v>33.333333333333336</v>
      </c>
      <c r="AM47" s="375">
        <v>0.66666666666666663</v>
      </c>
      <c r="AO47" s="373"/>
      <c r="AP47" s="374"/>
      <c r="AQ47" s="375"/>
      <c r="AR47" s="375"/>
      <c r="AT47" s="373">
        <v>45</v>
      </c>
      <c r="AU47" s="374" t="s">
        <v>615</v>
      </c>
      <c r="AV47" s="375">
        <v>33.333333333333336</v>
      </c>
      <c r="AW47" s="375">
        <v>0.66666666666666663</v>
      </c>
      <c r="AY47" s="373"/>
      <c r="AZ47" s="374"/>
      <c r="BA47" s="375"/>
      <c r="BB47" s="375"/>
      <c r="BD47" s="373"/>
      <c r="BE47" s="374"/>
      <c r="BF47" s="375"/>
      <c r="BG47" s="375"/>
      <c r="BI47" s="373"/>
      <c r="BJ47" s="374"/>
      <c r="BK47" s="375"/>
      <c r="BL47" s="375"/>
      <c r="BN47" s="373">
        <v>45</v>
      </c>
      <c r="BO47" s="374" t="s">
        <v>593</v>
      </c>
      <c r="BP47" s="375">
        <v>33.333333333333336</v>
      </c>
      <c r="BQ47" s="375">
        <v>0.16666666666666666</v>
      </c>
      <c r="BS47" s="373"/>
      <c r="BT47" s="374"/>
      <c r="BU47" s="375"/>
      <c r="BV47" s="375"/>
      <c r="BX47" s="373"/>
      <c r="BY47" s="374"/>
      <c r="BZ47" s="375"/>
      <c r="CA47" s="375"/>
      <c r="CC47" s="373"/>
      <c r="CD47" s="374"/>
      <c r="CE47" s="375"/>
      <c r="CF47" s="375"/>
      <c r="CH47" s="373"/>
      <c r="CI47" s="374"/>
      <c r="CJ47" s="375"/>
      <c r="CK47" s="375"/>
      <c r="CM47" s="373"/>
      <c r="CN47" s="374"/>
      <c r="CO47" s="375"/>
      <c r="CP47" s="375"/>
      <c r="CR47" s="373"/>
      <c r="CS47" s="374"/>
      <c r="CT47" s="375"/>
      <c r="CU47" s="375"/>
      <c r="CW47" s="373"/>
      <c r="CX47" s="374"/>
      <c r="CY47" s="375"/>
      <c r="CZ47" s="375"/>
      <c r="DB47" s="373"/>
      <c r="DC47" s="374"/>
      <c r="DD47" s="375"/>
      <c r="DE47" s="375"/>
      <c r="DG47" s="373"/>
      <c r="DH47" s="374"/>
      <c r="DI47" s="375"/>
      <c r="DJ47" s="375"/>
      <c r="DL47" s="373"/>
      <c r="DM47" s="374"/>
      <c r="DN47" s="375"/>
      <c r="DO47" s="375"/>
      <c r="DQ47" s="373"/>
      <c r="DR47" s="374"/>
      <c r="DS47" s="375"/>
      <c r="DT47" s="375"/>
      <c r="DV47" s="373"/>
      <c r="DW47" s="374"/>
      <c r="DX47" s="375"/>
      <c r="DY47" s="375"/>
      <c r="EA47" s="373"/>
      <c r="EB47" s="374"/>
      <c r="EC47" s="375"/>
      <c r="ED47" s="375"/>
      <c r="EF47" s="373"/>
      <c r="EG47" s="374"/>
      <c r="EH47" s="375"/>
      <c r="EI47" s="375"/>
      <c r="EK47" s="373"/>
      <c r="EL47" s="374"/>
      <c r="EM47" s="375"/>
      <c r="EN47" s="375"/>
      <c r="EP47" s="373"/>
      <c r="EQ47" s="374"/>
      <c r="ER47" s="375"/>
      <c r="ES47" s="375"/>
      <c r="EU47" s="373"/>
      <c r="EV47" s="374"/>
      <c r="EW47" s="375"/>
      <c r="EX47" s="375"/>
      <c r="EZ47" s="373"/>
      <c r="FA47" s="374"/>
      <c r="FB47" s="375"/>
      <c r="FC47" s="375"/>
      <c r="FE47" s="373"/>
      <c r="FF47" s="374"/>
      <c r="FG47" s="375"/>
      <c r="FH47" s="375"/>
      <c r="FJ47" s="373"/>
      <c r="FK47" s="374"/>
      <c r="FL47" s="375"/>
      <c r="FM47" s="375"/>
      <c r="FO47" s="373"/>
      <c r="FP47" s="374"/>
      <c r="FQ47" s="375"/>
      <c r="FR47" s="375"/>
      <c r="FT47" s="373"/>
      <c r="FU47" s="374"/>
      <c r="FV47" s="375"/>
      <c r="FW47" s="375"/>
      <c r="FY47" s="373"/>
      <c r="FZ47" s="374"/>
      <c r="GA47" s="375"/>
      <c r="GB47" s="375"/>
      <c r="GD47" s="373"/>
      <c r="GE47" s="374"/>
      <c r="GF47" s="375"/>
      <c r="GG47" s="375"/>
      <c r="GI47" s="373"/>
      <c r="GJ47" s="374"/>
      <c r="GK47" s="375"/>
      <c r="GL47" s="375"/>
      <c r="GN47" s="373"/>
      <c r="GO47" s="374"/>
      <c r="GP47" s="375"/>
      <c r="GQ47" s="375"/>
      <c r="GS47" s="373"/>
      <c r="GT47" s="374"/>
      <c r="GU47" s="375"/>
      <c r="GV47" s="375"/>
      <c r="GX47" s="373"/>
      <c r="GY47" s="374"/>
      <c r="GZ47" s="375"/>
      <c r="HA47" s="375"/>
      <c r="HC47" s="373"/>
      <c r="HD47" s="374"/>
      <c r="HE47" s="375"/>
      <c r="HF47" s="375"/>
      <c r="HH47" s="373"/>
      <c r="HI47" s="374"/>
      <c r="HJ47" s="375"/>
      <c r="HK47" s="375"/>
      <c r="HM47" s="373"/>
      <c r="HN47" s="374"/>
      <c r="HO47" s="375"/>
      <c r="HP47" s="375"/>
      <c r="HR47" s="373"/>
      <c r="HS47" s="374"/>
      <c r="HT47" s="375"/>
      <c r="HU47" s="375"/>
      <c r="HW47" s="373"/>
      <c r="HX47" s="374"/>
      <c r="HY47" s="375"/>
      <c r="HZ47" s="375"/>
      <c r="IB47" s="373"/>
      <c r="IC47" s="374"/>
      <c r="ID47" s="375"/>
      <c r="IE47" s="375"/>
      <c r="IG47" s="373"/>
      <c r="IH47" s="374"/>
      <c r="II47" s="375"/>
      <c r="IJ47" s="375"/>
      <c r="IL47" s="373"/>
      <c r="IM47" s="374"/>
      <c r="IN47" s="375"/>
      <c r="IO47" s="375"/>
      <c r="IQ47" s="373"/>
      <c r="IR47" s="374"/>
      <c r="IS47" s="375"/>
      <c r="IT47" s="375"/>
      <c r="IV47" s="373"/>
    </row>
    <row r="48" spans="1:256" s="376" customFormat="1" x14ac:dyDescent="0.2">
      <c r="A48" s="373"/>
      <c r="B48" s="374"/>
      <c r="C48" s="375"/>
      <c r="D48" s="375"/>
      <c r="F48" s="373"/>
      <c r="G48" s="374"/>
      <c r="H48" s="375"/>
      <c r="I48" s="375"/>
      <c r="K48" s="382">
        <v>46</v>
      </c>
      <c r="L48" s="383" t="s">
        <v>351</v>
      </c>
      <c r="M48" s="384">
        <v>15.789473684210526</v>
      </c>
      <c r="N48" s="384">
        <v>0.5</v>
      </c>
      <c r="P48" s="373">
        <v>46</v>
      </c>
      <c r="Q48" s="374" t="s">
        <v>1286</v>
      </c>
      <c r="R48" s="375">
        <v>28.571428571428573</v>
      </c>
      <c r="S48" s="375">
        <v>0.42857142857142855</v>
      </c>
      <c r="U48" s="373"/>
      <c r="V48" s="374"/>
      <c r="W48" s="375"/>
      <c r="X48" s="375"/>
      <c r="Z48" s="373">
        <v>46</v>
      </c>
      <c r="AA48" s="374" t="s">
        <v>2583</v>
      </c>
      <c r="AB48" s="375">
        <v>14.285714285714286</v>
      </c>
      <c r="AC48" s="375">
        <v>0.14285714285714285</v>
      </c>
      <c r="AE48" s="373">
        <v>46</v>
      </c>
      <c r="AF48" s="374" t="s">
        <v>602</v>
      </c>
      <c r="AG48" s="375">
        <v>20</v>
      </c>
      <c r="AH48" s="375">
        <v>0.4</v>
      </c>
      <c r="AJ48" s="373">
        <v>46</v>
      </c>
      <c r="AK48" s="374" t="s">
        <v>400</v>
      </c>
      <c r="AL48" s="375">
        <v>33.333333333333336</v>
      </c>
      <c r="AM48" s="375">
        <v>0.66666666666666663</v>
      </c>
      <c r="AO48" s="373"/>
      <c r="AP48" s="374"/>
      <c r="AQ48" s="375"/>
      <c r="AR48" s="375"/>
      <c r="AT48" s="373">
        <v>46</v>
      </c>
      <c r="AU48" s="374" t="s">
        <v>444</v>
      </c>
      <c r="AV48" s="375">
        <v>33.333333333333336</v>
      </c>
      <c r="AW48" s="375">
        <v>0.66666666666666663</v>
      </c>
      <c r="AY48" s="373"/>
      <c r="AZ48" s="374"/>
      <c r="BA48" s="375"/>
      <c r="BB48" s="375"/>
      <c r="BD48" s="373"/>
      <c r="BE48" s="374"/>
      <c r="BF48" s="375"/>
      <c r="BG48" s="375"/>
      <c r="BI48" s="373"/>
      <c r="BJ48" s="374"/>
      <c r="BK48" s="375"/>
      <c r="BL48" s="375"/>
      <c r="BN48" s="373">
        <v>46</v>
      </c>
      <c r="BO48" s="374" t="s">
        <v>2566</v>
      </c>
      <c r="BP48" s="375">
        <v>33.333333333333336</v>
      </c>
      <c r="BQ48" s="375">
        <v>0.16666666666666666</v>
      </c>
      <c r="BS48" s="373"/>
      <c r="BT48" s="374"/>
      <c r="BU48" s="375"/>
      <c r="BV48" s="375"/>
      <c r="BX48" s="373"/>
      <c r="BY48" s="374"/>
      <c r="BZ48" s="375"/>
      <c r="CA48" s="375"/>
      <c r="CC48" s="373"/>
      <c r="CD48" s="374"/>
      <c r="CE48" s="375"/>
      <c r="CF48" s="375"/>
      <c r="CH48" s="373"/>
      <c r="CI48" s="374"/>
      <c r="CJ48" s="375"/>
      <c r="CK48" s="375"/>
      <c r="CM48" s="373"/>
      <c r="CN48" s="374"/>
      <c r="CO48" s="375"/>
      <c r="CP48" s="375"/>
      <c r="CR48" s="373"/>
      <c r="CS48" s="374"/>
      <c r="CT48" s="375"/>
      <c r="CU48" s="375"/>
      <c r="CW48" s="373"/>
      <c r="CX48" s="374"/>
      <c r="CY48" s="375"/>
      <c r="CZ48" s="375"/>
      <c r="DB48" s="373"/>
      <c r="DC48" s="374"/>
      <c r="DD48" s="375"/>
      <c r="DE48" s="375"/>
      <c r="DG48" s="373"/>
      <c r="DH48" s="374"/>
      <c r="DI48" s="375"/>
      <c r="DJ48" s="375"/>
      <c r="DL48" s="373"/>
      <c r="DM48" s="374"/>
      <c r="DN48" s="375"/>
      <c r="DO48" s="375"/>
      <c r="DQ48" s="373"/>
      <c r="DR48" s="374"/>
      <c r="DS48" s="375"/>
      <c r="DT48" s="375"/>
      <c r="DV48" s="373"/>
      <c r="DW48" s="374"/>
      <c r="DX48" s="375"/>
      <c r="DY48" s="375"/>
      <c r="EA48" s="373"/>
      <c r="EB48" s="374"/>
      <c r="EC48" s="375"/>
      <c r="ED48" s="375"/>
      <c r="EF48" s="373"/>
      <c r="EG48" s="374"/>
      <c r="EH48" s="375"/>
      <c r="EI48" s="375"/>
      <c r="EK48" s="373"/>
      <c r="EL48" s="374"/>
      <c r="EM48" s="375"/>
      <c r="EN48" s="375"/>
      <c r="EP48" s="373"/>
      <c r="EQ48" s="374"/>
      <c r="ER48" s="375"/>
      <c r="ES48" s="375"/>
      <c r="EU48" s="373"/>
      <c r="EV48" s="374"/>
      <c r="EW48" s="375"/>
      <c r="EX48" s="375"/>
      <c r="EZ48" s="373"/>
      <c r="FA48" s="374"/>
      <c r="FB48" s="375"/>
      <c r="FC48" s="375"/>
      <c r="FE48" s="373"/>
      <c r="FF48" s="374"/>
      <c r="FG48" s="375"/>
      <c r="FH48" s="375"/>
      <c r="FJ48" s="373"/>
      <c r="FK48" s="374"/>
      <c r="FL48" s="375"/>
      <c r="FM48" s="375"/>
      <c r="FO48" s="373"/>
      <c r="FP48" s="374"/>
      <c r="FQ48" s="375"/>
      <c r="FR48" s="375"/>
      <c r="FT48" s="373"/>
      <c r="FU48" s="374"/>
      <c r="FV48" s="375"/>
      <c r="FW48" s="375"/>
      <c r="FY48" s="373"/>
      <c r="FZ48" s="374"/>
      <c r="GA48" s="375"/>
      <c r="GB48" s="375"/>
      <c r="GD48" s="373"/>
      <c r="GE48" s="374"/>
      <c r="GF48" s="375"/>
      <c r="GG48" s="375"/>
      <c r="GI48" s="373"/>
      <c r="GJ48" s="374"/>
      <c r="GK48" s="375"/>
      <c r="GL48" s="375"/>
      <c r="GN48" s="373"/>
      <c r="GO48" s="374"/>
      <c r="GP48" s="375"/>
      <c r="GQ48" s="375"/>
      <c r="GS48" s="373"/>
      <c r="GT48" s="374"/>
      <c r="GU48" s="375"/>
      <c r="GV48" s="375"/>
      <c r="GX48" s="373"/>
      <c r="GY48" s="374"/>
      <c r="GZ48" s="375"/>
      <c r="HA48" s="375"/>
      <c r="HC48" s="373"/>
      <c r="HD48" s="374"/>
      <c r="HE48" s="375"/>
      <c r="HF48" s="375"/>
      <c r="HH48" s="373"/>
      <c r="HI48" s="374"/>
      <c r="HJ48" s="375"/>
      <c r="HK48" s="375"/>
      <c r="HM48" s="373"/>
      <c r="HN48" s="374"/>
      <c r="HO48" s="375"/>
      <c r="HP48" s="375"/>
      <c r="HR48" s="373"/>
      <c r="HS48" s="374"/>
      <c r="HT48" s="375"/>
      <c r="HU48" s="375"/>
      <c r="HW48" s="373"/>
      <c r="HX48" s="374"/>
      <c r="HY48" s="375"/>
      <c r="HZ48" s="375"/>
      <c r="IB48" s="373"/>
      <c r="IC48" s="374"/>
      <c r="ID48" s="375"/>
      <c r="IE48" s="375"/>
      <c r="IG48" s="373"/>
      <c r="IH48" s="374"/>
      <c r="II48" s="375"/>
      <c r="IJ48" s="375"/>
      <c r="IL48" s="373"/>
      <c r="IM48" s="374"/>
      <c r="IN48" s="375"/>
      <c r="IO48" s="375"/>
      <c r="IQ48" s="373"/>
      <c r="IR48" s="374"/>
      <c r="IS48" s="375"/>
      <c r="IT48" s="375"/>
      <c r="IV48" s="373"/>
    </row>
    <row r="49" spans="1:256" s="376" customFormat="1" x14ac:dyDescent="0.2">
      <c r="A49" s="373"/>
      <c r="B49" s="374"/>
      <c r="C49" s="375"/>
      <c r="D49" s="375"/>
      <c r="F49" s="373"/>
      <c r="G49" s="374"/>
      <c r="H49" s="375"/>
      <c r="I49" s="375"/>
      <c r="K49" s="373">
        <v>47</v>
      </c>
      <c r="L49" s="374" t="s">
        <v>2641</v>
      </c>
      <c r="M49" s="375">
        <v>31.578947368421051</v>
      </c>
      <c r="N49" s="375">
        <v>0.5</v>
      </c>
      <c r="P49" s="373">
        <v>47</v>
      </c>
      <c r="Q49" s="374" t="s">
        <v>374</v>
      </c>
      <c r="R49" s="375">
        <v>28.571428571428573</v>
      </c>
      <c r="S49" s="375">
        <v>0.42857142857142855</v>
      </c>
      <c r="U49" s="373"/>
      <c r="V49" s="374"/>
      <c r="W49" s="375"/>
      <c r="X49" s="375"/>
      <c r="Z49" s="382">
        <v>47</v>
      </c>
      <c r="AA49" s="383" t="s">
        <v>596</v>
      </c>
      <c r="AB49" s="384">
        <v>14.285714285714286</v>
      </c>
      <c r="AC49" s="384">
        <v>0.14285714285714285</v>
      </c>
      <c r="AE49" s="335">
        <v>47</v>
      </c>
      <c r="AF49" s="336" t="s">
        <v>2652</v>
      </c>
      <c r="AG49" s="337">
        <v>20</v>
      </c>
      <c r="AH49" s="337">
        <v>0.4</v>
      </c>
      <c r="AJ49" s="373">
        <v>47</v>
      </c>
      <c r="AK49" s="374" t="s">
        <v>2636</v>
      </c>
      <c r="AL49" s="375">
        <v>33.333333333333336</v>
      </c>
      <c r="AM49" s="375">
        <v>0.66666666666666663</v>
      </c>
      <c r="AO49" s="373"/>
      <c r="AP49" s="374"/>
      <c r="AQ49" s="375"/>
      <c r="AR49" s="375"/>
      <c r="AT49" s="373">
        <v>47</v>
      </c>
      <c r="AU49" s="374" t="s">
        <v>582</v>
      </c>
      <c r="AV49" s="375">
        <v>33.333333333333336</v>
      </c>
      <c r="AW49" s="375">
        <v>0.66666666666666663</v>
      </c>
      <c r="AY49" s="373"/>
      <c r="AZ49" s="374"/>
      <c r="BA49" s="375"/>
      <c r="BB49" s="375"/>
      <c r="BD49" s="373"/>
      <c r="BE49" s="374"/>
      <c r="BF49" s="375"/>
      <c r="BG49" s="375"/>
      <c r="BI49" s="373"/>
      <c r="BJ49" s="374"/>
      <c r="BK49" s="375"/>
      <c r="BL49" s="375"/>
      <c r="BN49" s="373">
        <v>47</v>
      </c>
      <c r="BO49" s="374" t="s">
        <v>2625</v>
      </c>
      <c r="BP49" s="375">
        <v>33.333333333333336</v>
      </c>
      <c r="BQ49" s="375">
        <v>0.16666666666666666</v>
      </c>
      <c r="BS49" s="373"/>
      <c r="BT49" s="374"/>
      <c r="BU49" s="375"/>
      <c r="BV49" s="375"/>
      <c r="BX49" s="373"/>
      <c r="BY49" s="374"/>
      <c r="BZ49" s="375"/>
      <c r="CA49" s="375"/>
      <c r="CC49" s="373"/>
      <c r="CD49" s="374"/>
      <c r="CE49" s="375"/>
      <c r="CF49" s="375"/>
      <c r="CH49" s="373"/>
      <c r="CI49" s="374"/>
      <c r="CJ49" s="375"/>
      <c r="CK49" s="375"/>
      <c r="CM49" s="373"/>
      <c r="CN49" s="374"/>
      <c r="CO49" s="375"/>
      <c r="CP49" s="375"/>
      <c r="CR49" s="373"/>
      <c r="CS49" s="374"/>
      <c r="CT49" s="375"/>
      <c r="CU49" s="375"/>
      <c r="CW49" s="373"/>
      <c r="CX49" s="374"/>
      <c r="CY49" s="375"/>
      <c r="CZ49" s="375"/>
      <c r="DB49" s="373"/>
      <c r="DC49" s="374"/>
      <c r="DD49" s="375"/>
      <c r="DE49" s="375"/>
      <c r="DG49" s="373"/>
      <c r="DH49" s="374"/>
      <c r="DI49" s="375"/>
      <c r="DJ49" s="375"/>
      <c r="DL49" s="373"/>
      <c r="DM49" s="374"/>
      <c r="DN49" s="375"/>
      <c r="DO49" s="375"/>
      <c r="DQ49" s="373"/>
      <c r="DR49" s="374"/>
      <c r="DS49" s="375"/>
      <c r="DT49" s="375"/>
      <c r="DV49" s="373"/>
      <c r="DW49" s="374"/>
      <c r="DX49" s="375"/>
      <c r="DY49" s="375"/>
      <c r="EA49" s="373"/>
      <c r="EB49" s="374"/>
      <c r="EC49" s="375"/>
      <c r="ED49" s="375"/>
      <c r="EF49" s="373"/>
      <c r="EG49" s="374"/>
      <c r="EH49" s="375"/>
      <c r="EI49" s="375"/>
      <c r="EK49" s="373"/>
      <c r="EL49" s="374"/>
      <c r="EM49" s="375"/>
      <c r="EN49" s="375"/>
      <c r="EP49" s="373"/>
      <c r="EQ49" s="374"/>
      <c r="ER49" s="375"/>
      <c r="ES49" s="375"/>
      <c r="EU49" s="373"/>
      <c r="EV49" s="374"/>
      <c r="EW49" s="375"/>
      <c r="EX49" s="375"/>
      <c r="EZ49" s="373"/>
      <c r="FA49" s="374"/>
      <c r="FB49" s="375"/>
      <c r="FC49" s="375"/>
      <c r="FE49" s="373"/>
      <c r="FF49" s="374"/>
      <c r="FG49" s="375"/>
      <c r="FH49" s="375"/>
      <c r="FJ49" s="373"/>
      <c r="FK49" s="374"/>
      <c r="FL49" s="375"/>
      <c r="FM49" s="375"/>
      <c r="FO49" s="373"/>
      <c r="FP49" s="374"/>
      <c r="FQ49" s="375"/>
      <c r="FR49" s="375"/>
      <c r="FT49" s="373"/>
      <c r="FU49" s="374"/>
      <c r="FV49" s="375"/>
      <c r="FW49" s="375"/>
      <c r="FY49" s="373"/>
      <c r="FZ49" s="374"/>
      <c r="GA49" s="375"/>
      <c r="GB49" s="375"/>
      <c r="GD49" s="373"/>
      <c r="GE49" s="374"/>
      <c r="GF49" s="375"/>
      <c r="GG49" s="375"/>
      <c r="GI49" s="373"/>
      <c r="GJ49" s="374"/>
      <c r="GK49" s="375"/>
      <c r="GL49" s="375"/>
      <c r="GN49" s="373"/>
      <c r="GO49" s="374"/>
      <c r="GP49" s="375"/>
      <c r="GQ49" s="375"/>
      <c r="GS49" s="373"/>
      <c r="GT49" s="374"/>
      <c r="GU49" s="375"/>
      <c r="GV49" s="375"/>
      <c r="GX49" s="373"/>
      <c r="GY49" s="374"/>
      <c r="GZ49" s="375"/>
      <c r="HA49" s="375"/>
      <c r="HC49" s="373"/>
      <c r="HD49" s="374"/>
      <c r="HE49" s="375"/>
      <c r="HF49" s="375"/>
      <c r="HH49" s="373"/>
      <c r="HI49" s="374"/>
      <c r="HJ49" s="375"/>
      <c r="HK49" s="375"/>
      <c r="HM49" s="373"/>
      <c r="HN49" s="374"/>
      <c r="HO49" s="375"/>
      <c r="HP49" s="375"/>
      <c r="HR49" s="373"/>
      <c r="HS49" s="374"/>
      <c r="HT49" s="375"/>
      <c r="HU49" s="375"/>
      <c r="HW49" s="373"/>
      <c r="HX49" s="374"/>
      <c r="HY49" s="375"/>
      <c r="HZ49" s="375"/>
      <c r="IB49" s="373"/>
      <c r="IC49" s="374"/>
      <c r="ID49" s="375"/>
      <c r="IE49" s="375"/>
      <c r="IG49" s="373"/>
      <c r="IH49" s="374"/>
      <c r="II49" s="375"/>
      <c r="IJ49" s="375"/>
      <c r="IL49" s="373"/>
      <c r="IM49" s="374"/>
      <c r="IN49" s="375"/>
      <c r="IO49" s="375"/>
      <c r="IQ49" s="373"/>
      <c r="IR49" s="374"/>
      <c r="IS49" s="375"/>
      <c r="IT49" s="375"/>
      <c r="IV49" s="373"/>
    </row>
    <row r="50" spans="1:256" s="376" customFormat="1" x14ac:dyDescent="0.2">
      <c r="A50" s="373"/>
      <c r="B50" s="374"/>
      <c r="C50" s="375"/>
      <c r="D50" s="375"/>
      <c r="F50" s="373"/>
      <c r="G50" s="374"/>
      <c r="H50" s="375"/>
      <c r="I50" s="375"/>
      <c r="K50" s="373">
        <v>48</v>
      </c>
      <c r="L50" s="374" t="s">
        <v>375</v>
      </c>
      <c r="M50" s="375">
        <v>21.05263157894737</v>
      </c>
      <c r="N50" s="375">
        <v>0.47368421052631576</v>
      </c>
      <c r="P50" s="373">
        <v>48</v>
      </c>
      <c r="Q50" s="374" t="s">
        <v>2601</v>
      </c>
      <c r="R50" s="375">
        <v>14.285714285714286</v>
      </c>
      <c r="S50" s="375">
        <v>0.42857142857142855</v>
      </c>
      <c r="U50" s="373"/>
      <c r="V50" s="374"/>
      <c r="W50" s="375"/>
      <c r="X50" s="375"/>
      <c r="Z50" s="382">
        <v>48</v>
      </c>
      <c r="AA50" s="383" t="s">
        <v>2646</v>
      </c>
      <c r="AB50" s="384">
        <v>14.285714285714286</v>
      </c>
      <c r="AC50" s="384">
        <v>7.1428571428571425E-2</v>
      </c>
      <c r="AE50" s="373">
        <v>48</v>
      </c>
      <c r="AF50" s="374" t="s">
        <v>357</v>
      </c>
      <c r="AG50" s="375">
        <v>20</v>
      </c>
      <c r="AH50" s="375">
        <v>0.4</v>
      </c>
      <c r="AJ50" s="373">
        <v>48</v>
      </c>
      <c r="AK50" s="374" t="s">
        <v>386</v>
      </c>
      <c r="AL50" s="375">
        <v>33.333333333333336</v>
      </c>
      <c r="AM50" s="375">
        <v>0.66666666666666663</v>
      </c>
      <c r="AO50" s="373"/>
      <c r="AP50" s="374"/>
      <c r="AQ50" s="375"/>
      <c r="AR50" s="375"/>
      <c r="AT50" s="382">
        <v>48</v>
      </c>
      <c r="AU50" s="383" t="s">
        <v>570</v>
      </c>
      <c r="AV50" s="384">
        <v>33.333333333333336</v>
      </c>
      <c r="AW50" s="384">
        <v>0.66666666666666663</v>
      </c>
      <c r="AY50" s="377"/>
      <c r="AZ50" s="374"/>
      <c r="BA50" s="378"/>
      <c r="BB50" s="378"/>
      <c r="BD50" s="377"/>
      <c r="BE50" s="374"/>
      <c r="BF50" s="378"/>
      <c r="BG50" s="378"/>
      <c r="BI50" s="373"/>
      <c r="BJ50" s="374"/>
      <c r="BK50" s="375"/>
      <c r="BL50" s="375"/>
      <c r="BN50" s="373">
        <v>48</v>
      </c>
      <c r="BO50" s="374" t="s">
        <v>403</v>
      </c>
      <c r="BP50" s="375">
        <v>33.333333333333336</v>
      </c>
      <c r="BQ50" s="375">
        <v>0.16666666666666666</v>
      </c>
      <c r="BS50" s="373"/>
      <c r="BT50" s="374"/>
      <c r="BU50" s="375"/>
      <c r="BV50" s="375"/>
      <c r="BX50" s="373"/>
      <c r="BY50" s="374"/>
      <c r="BZ50" s="375"/>
      <c r="CA50" s="375"/>
      <c r="CC50" s="373"/>
      <c r="CD50" s="374"/>
      <c r="CE50" s="375"/>
      <c r="CF50" s="375"/>
      <c r="CH50" s="373"/>
      <c r="CI50" s="374"/>
      <c r="CJ50" s="375"/>
      <c r="CK50" s="375"/>
      <c r="CM50" s="373"/>
      <c r="CN50" s="374"/>
      <c r="CO50" s="375"/>
      <c r="CP50" s="375"/>
      <c r="CR50" s="373"/>
      <c r="CS50" s="374"/>
      <c r="CT50" s="375"/>
      <c r="CU50" s="375"/>
      <c r="CW50" s="373"/>
      <c r="CX50" s="374"/>
      <c r="CY50" s="375"/>
      <c r="CZ50" s="375"/>
      <c r="DB50" s="373"/>
      <c r="DC50" s="374"/>
      <c r="DD50" s="375"/>
      <c r="DE50" s="375"/>
      <c r="DG50" s="373"/>
      <c r="DH50" s="374"/>
      <c r="DI50" s="375"/>
      <c r="DJ50" s="375"/>
      <c r="DL50" s="373"/>
      <c r="DM50" s="374"/>
      <c r="DN50" s="375"/>
      <c r="DO50" s="375"/>
      <c r="DQ50" s="373"/>
      <c r="DR50" s="374"/>
      <c r="DS50" s="375"/>
      <c r="DT50" s="375"/>
      <c r="DV50" s="373"/>
      <c r="DW50" s="374"/>
      <c r="DX50" s="375"/>
      <c r="DY50" s="375"/>
      <c r="EA50" s="373"/>
      <c r="EB50" s="374"/>
      <c r="EC50" s="375"/>
      <c r="ED50" s="375"/>
      <c r="EF50" s="373"/>
      <c r="EG50" s="374"/>
      <c r="EH50" s="375"/>
      <c r="EI50" s="375"/>
      <c r="EK50" s="373"/>
      <c r="EL50" s="374"/>
      <c r="EM50" s="375"/>
      <c r="EN50" s="375"/>
      <c r="EP50" s="373"/>
      <c r="EQ50" s="374"/>
      <c r="ER50" s="375"/>
      <c r="ES50" s="375"/>
      <c r="EU50" s="373"/>
      <c r="EV50" s="374"/>
      <c r="EW50" s="375"/>
      <c r="EX50" s="375"/>
      <c r="EZ50" s="373"/>
      <c r="FA50" s="374"/>
      <c r="FB50" s="375"/>
      <c r="FC50" s="375"/>
      <c r="FE50" s="373"/>
      <c r="FF50" s="374"/>
      <c r="FG50" s="375"/>
      <c r="FH50" s="375"/>
      <c r="FJ50" s="373"/>
      <c r="FK50" s="374"/>
      <c r="FL50" s="375"/>
      <c r="FM50" s="375"/>
      <c r="FO50" s="373"/>
      <c r="FP50" s="374"/>
      <c r="FQ50" s="375"/>
      <c r="FR50" s="375"/>
      <c r="FT50" s="373"/>
      <c r="FU50" s="374"/>
      <c r="FV50" s="375"/>
      <c r="FW50" s="375"/>
      <c r="FY50" s="373"/>
      <c r="FZ50" s="374"/>
      <c r="GA50" s="375"/>
      <c r="GB50" s="375"/>
      <c r="GD50" s="373"/>
      <c r="GE50" s="374"/>
      <c r="GF50" s="375"/>
      <c r="GG50" s="375"/>
      <c r="GI50" s="373"/>
      <c r="GJ50" s="374"/>
      <c r="GK50" s="375"/>
      <c r="GL50" s="375"/>
      <c r="GN50" s="373"/>
      <c r="GO50" s="374"/>
      <c r="GP50" s="375"/>
      <c r="GQ50" s="375"/>
      <c r="GS50" s="373"/>
      <c r="GT50" s="374"/>
      <c r="GU50" s="375"/>
      <c r="GV50" s="375"/>
      <c r="GX50" s="373"/>
      <c r="GY50" s="374"/>
      <c r="GZ50" s="375"/>
      <c r="HA50" s="375"/>
      <c r="HC50" s="373"/>
      <c r="HD50" s="374"/>
      <c r="HE50" s="375"/>
      <c r="HF50" s="375"/>
      <c r="HH50" s="373"/>
      <c r="HI50" s="374"/>
      <c r="HJ50" s="375"/>
      <c r="HK50" s="375"/>
      <c r="HM50" s="373"/>
      <c r="HN50" s="374"/>
      <c r="HO50" s="375"/>
      <c r="HP50" s="375"/>
      <c r="HR50" s="373"/>
      <c r="HS50" s="374"/>
      <c r="HT50" s="375"/>
      <c r="HU50" s="375"/>
      <c r="HW50" s="373"/>
      <c r="HX50" s="374"/>
      <c r="HY50" s="375"/>
      <c r="HZ50" s="375"/>
      <c r="IB50" s="373"/>
      <c r="IC50" s="374"/>
      <c r="ID50" s="375"/>
      <c r="IE50" s="375"/>
      <c r="IG50" s="373"/>
      <c r="IH50" s="374"/>
      <c r="II50" s="375"/>
      <c r="IJ50" s="375"/>
      <c r="IL50" s="373"/>
      <c r="IM50" s="374"/>
      <c r="IN50" s="375"/>
      <c r="IO50" s="375"/>
      <c r="IQ50" s="373"/>
      <c r="IR50" s="374"/>
      <c r="IS50" s="375"/>
      <c r="IT50" s="375"/>
      <c r="IV50" s="373"/>
    </row>
    <row r="51" spans="1:256" s="376" customFormat="1" x14ac:dyDescent="0.2">
      <c r="A51" s="373"/>
      <c r="B51" s="374"/>
      <c r="C51" s="375"/>
      <c r="D51" s="375"/>
      <c r="F51" s="373"/>
      <c r="G51" s="374"/>
      <c r="H51" s="375"/>
      <c r="I51" s="375"/>
      <c r="K51" s="373">
        <v>49</v>
      </c>
      <c r="L51" s="374" t="s">
        <v>2649</v>
      </c>
      <c r="M51" s="375">
        <v>15.789473684210526</v>
      </c>
      <c r="N51" s="375">
        <v>0.44736842105263158</v>
      </c>
      <c r="P51" s="373">
        <v>49</v>
      </c>
      <c r="Q51" s="374" t="s">
        <v>373</v>
      </c>
      <c r="R51" s="375">
        <v>14.285714285714286</v>
      </c>
      <c r="S51" s="375">
        <v>0.42857142857142855</v>
      </c>
      <c r="U51" s="373"/>
      <c r="V51" s="374"/>
      <c r="W51" s="375"/>
      <c r="X51" s="375"/>
      <c r="Z51" s="373">
        <v>49</v>
      </c>
      <c r="AA51" s="374" t="s">
        <v>369</v>
      </c>
      <c r="AB51" s="375">
        <v>14.285714285714286</v>
      </c>
      <c r="AC51" s="375">
        <v>7.1428571428571425E-2</v>
      </c>
      <c r="AE51" s="373">
        <v>49</v>
      </c>
      <c r="AF51" s="374" t="s">
        <v>348</v>
      </c>
      <c r="AG51" s="375">
        <v>20</v>
      </c>
      <c r="AH51" s="375">
        <v>0.4</v>
      </c>
      <c r="AJ51" s="373">
        <v>49</v>
      </c>
      <c r="AK51" s="374" t="s">
        <v>364</v>
      </c>
      <c r="AL51" s="375">
        <v>33.333333333333336</v>
      </c>
      <c r="AM51" s="375">
        <v>0.66666666666666663</v>
      </c>
      <c r="AO51" s="373"/>
      <c r="AP51" s="374"/>
      <c r="AQ51" s="375"/>
      <c r="AR51" s="375"/>
      <c r="AT51" s="373">
        <v>49</v>
      </c>
      <c r="AU51" s="374" t="s">
        <v>355</v>
      </c>
      <c r="AV51" s="375">
        <v>66.666666666666671</v>
      </c>
      <c r="AW51" s="375">
        <v>0.66666666666666663</v>
      </c>
      <c r="AY51" s="373"/>
      <c r="AZ51" s="374"/>
      <c r="BA51" s="375"/>
      <c r="BB51" s="375"/>
      <c r="BD51" s="373"/>
      <c r="BE51" s="374"/>
      <c r="BF51" s="375"/>
      <c r="BG51" s="375"/>
      <c r="BI51" s="373"/>
      <c r="BJ51" s="374"/>
      <c r="BK51" s="375"/>
      <c r="BL51" s="375"/>
      <c r="BN51" s="373">
        <v>49</v>
      </c>
      <c r="BO51" s="374" t="s">
        <v>2638</v>
      </c>
      <c r="BP51" s="375">
        <v>33.333333333333336</v>
      </c>
      <c r="BQ51" s="375">
        <v>0.16666666666666666</v>
      </c>
      <c r="BS51" s="373"/>
      <c r="BT51" s="374"/>
      <c r="BU51" s="375"/>
      <c r="BV51" s="375"/>
      <c r="BX51" s="373"/>
      <c r="BY51" s="374"/>
      <c r="BZ51" s="375"/>
      <c r="CA51" s="375"/>
      <c r="CC51" s="373"/>
      <c r="CD51" s="374"/>
      <c r="CE51" s="375"/>
      <c r="CF51" s="375"/>
      <c r="CH51" s="373"/>
      <c r="CI51" s="374"/>
      <c r="CJ51" s="375"/>
      <c r="CK51" s="375"/>
      <c r="CM51" s="373"/>
      <c r="CN51" s="374"/>
      <c r="CO51" s="375"/>
      <c r="CP51" s="375"/>
      <c r="CR51" s="373"/>
      <c r="CS51" s="374"/>
      <c r="CT51" s="375"/>
      <c r="CU51" s="375"/>
      <c r="CW51" s="373"/>
      <c r="CX51" s="374"/>
      <c r="CY51" s="375"/>
      <c r="CZ51" s="375"/>
      <c r="DB51" s="373"/>
      <c r="DC51" s="374"/>
      <c r="DD51" s="375"/>
      <c r="DE51" s="375"/>
      <c r="DG51" s="373"/>
      <c r="DH51" s="374"/>
      <c r="DI51" s="375"/>
      <c r="DJ51" s="375"/>
      <c r="DL51" s="373"/>
      <c r="DM51" s="374"/>
      <c r="DN51" s="375"/>
      <c r="DO51" s="375"/>
      <c r="DQ51" s="373"/>
      <c r="DR51" s="374"/>
      <c r="DS51" s="375"/>
      <c r="DT51" s="375"/>
      <c r="DV51" s="373"/>
      <c r="DW51" s="374"/>
      <c r="DX51" s="375"/>
      <c r="DY51" s="375"/>
      <c r="EA51" s="373"/>
      <c r="EB51" s="374"/>
      <c r="EC51" s="375"/>
      <c r="ED51" s="375"/>
      <c r="EF51" s="373"/>
      <c r="EG51" s="374"/>
      <c r="EH51" s="375"/>
      <c r="EI51" s="375"/>
      <c r="EK51" s="373"/>
      <c r="EL51" s="374"/>
      <c r="EM51" s="375"/>
      <c r="EN51" s="375"/>
      <c r="EP51" s="373"/>
      <c r="EQ51" s="374"/>
      <c r="ER51" s="375"/>
      <c r="ES51" s="375"/>
      <c r="EU51" s="373"/>
      <c r="EV51" s="374"/>
      <c r="EW51" s="375"/>
      <c r="EX51" s="375"/>
      <c r="EZ51" s="373"/>
      <c r="FA51" s="374"/>
      <c r="FB51" s="375"/>
      <c r="FC51" s="375"/>
      <c r="FE51" s="373"/>
      <c r="FF51" s="374"/>
      <c r="FG51" s="375"/>
      <c r="FH51" s="375"/>
      <c r="FJ51" s="373"/>
      <c r="FK51" s="374"/>
      <c r="FL51" s="375"/>
      <c r="FM51" s="375"/>
      <c r="FO51" s="373"/>
      <c r="FP51" s="374"/>
      <c r="FQ51" s="375"/>
      <c r="FR51" s="375"/>
      <c r="FT51" s="373"/>
      <c r="FU51" s="374"/>
      <c r="FV51" s="375"/>
      <c r="FW51" s="375"/>
      <c r="FY51" s="373"/>
      <c r="FZ51" s="374"/>
      <c r="GA51" s="375"/>
      <c r="GB51" s="375"/>
      <c r="GD51" s="373"/>
      <c r="GE51" s="374"/>
      <c r="GF51" s="375"/>
      <c r="GG51" s="375"/>
      <c r="GI51" s="373"/>
      <c r="GJ51" s="374"/>
      <c r="GK51" s="375"/>
      <c r="GL51" s="375"/>
      <c r="GN51" s="373"/>
      <c r="GO51" s="374"/>
      <c r="GP51" s="375"/>
      <c r="GQ51" s="375"/>
      <c r="GS51" s="373"/>
      <c r="GT51" s="374"/>
      <c r="GU51" s="375"/>
      <c r="GV51" s="375"/>
      <c r="GX51" s="373"/>
      <c r="GY51" s="374"/>
      <c r="GZ51" s="375"/>
      <c r="HA51" s="375"/>
      <c r="HC51" s="373"/>
      <c r="HD51" s="374"/>
      <c r="HE51" s="375"/>
      <c r="HF51" s="375"/>
      <c r="HH51" s="373"/>
      <c r="HI51" s="374"/>
      <c r="HJ51" s="375"/>
      <c r="HK51" s="375"/>
      <c r="HM51" s="373"/>
      <c r="HN51" s="374"/>
      <c r="HO51" s="375"/>
      <c r="HP51" s="375"/>
      <c r="HR51" s="373"/>
      <c r="HS51" s="374"/>
      <c r="HT51" s="375"/>
      <c r="HU51" s="375"/>
      <c r="HW51" s="373"/>
      <c r="HX51" s="374"/>
      <c r="HY51" s="375"/>
      <c r="HZ51" s="375"/>
      <c r="IB51" s="373"/>
      <c r="IC51" s="374"/>
      <c r="ID51" s="375"/>
      <c r="IE51" s="375"/>
      <c r="IG51" s="373"/>
      <c r="IH51" s="374"/>
      <c r="II51" s="375"/>
      <c r="IJ51" s="375"/>
      <c r="IL51" s="373"/>
      <c r="IM51" s="374"/>
      <c r="IN51" s="375"/>
      <c r="IO51" s="375"/>
      <c r="IQ51" s="373"/>
      <c r="IR51" s="374"/>
      <c r="IS51" s="375"/>
      <c r="IT51" s="375"/>
      <c r="IV51" s="373"/>
    </row>
    <row r="52" spans="1:256" s="376" customFormat="1" x14ac:dyDescent="0.2">
      <c r="A52" s="373"/>
      <c r="B52" s="374"/>
      <c r="C52" s="375"/>
      <c r="D52" s="375"/>
      <c r="F52" s="373"/>
      <c r="G52" s="374"/>
      <c r="H52" s="375"/>
      <c r="I52" s="375"/>
      <c r="K52" s="373">
        <v>50</v>
      </c>
      <c r="L52" s="374" t="s">
        <v>354</v>
      </c>
      <c r="M52" s="375">
        <v>26.315789473684209</v>
      </c>
      <c r="N52" s="375">
        <v>0.42105263157894735</v>
      </c>
      <c r="P52" s="373">
        <v>50</v>
      </c>
      <c r="Q52" s="374" t="s">
        <v>346</v>
      </c>
      <c r="R52" s="375">
        <v>14.285714285714286</v>
      </c>
      <c r="S52" s="375">
        <v>0.42857142857142855</v>
      </c>
      <c r="U52" s="373"/>
      <c r="V52" s="374"/>
      <c r="W52" s="375"/>
      <c r="X52" s="375"/>
      <c r="Z52" s="373">
        <v>50</v>
      </c>
      <c r="AA52" s="374" t="s">
        <v>386</v>
      </c>
      <c r="AB52" s="375">
        <v>14.285714285714286</v>
      </c>
      <c r="AC52" s="375">
        <v>7.1428571428571425E-2</v>
      </c>
      <c r="AE52" s="373">
        <v>50</v>
      </c>
      <c r="AF52" s="374" t="s">
        <v>422</v>
      </c>
      <c r="AG52" s="375">
        <v>20</v>
      </c>
      <c r="AH52" s="375">
        <v>0.4</v>
      </c>
      <c r="AJ52" s="373">
        <v>50</v>
      </c>
      <c r="AK52" s="374" t="s">
        <v>410</v>
      </c>
      <c r="AL52" s="375">
        <v>33.333333333333336</v>
      </c>
      <c r="AM52" s="375">
        <v>0.66666666666666663</v>
      </c>
      <c r="AO52" s="373"/>
      <c r="AP52" s="374"/>
      <c r="AQ52" s="375"/>
      <c r="AR52" s="375"/>
      <c r="AT52" s="373">
        <v>50</v>
      </c>
      <c r="AU52" s="374" t="s">
        <v>391</v>
      </c>
      <c r="AV52" s="375">
        <v>66.666666666666671</v>
      </c>
      <c r="AW52" s="375">
        <v>0.66666666666666663</v>
      </c>
      <c r="AY52" s="373"/>
      <c r="AZ52" s="374"/>
      <c r="BA52" s="375"/>
      <c r="BB52" s="375"/>
      <c r="BD52" s="373"/>
      <c r="BE52" s="374"/>
      <c r="BF52" s="375"/>
      <c r="BG52" s="375"/>
      <c r="BI52" s="373"/>
      <c r="BJ52" s="374"/>
      <c r="BK52" s="375"/>
      <c r="BL52" s="375"/>
      <c r="BN52" s="373">
        <v>50</v>
      </c>
      <c r="BO52" s="374" t="s">
        <v>2599</v>
      </c>
      <c r="BP52" s="375">
        <v>33.333333333333336</v>
      </c>
      <c r="BQ52" s="375">
        <v>0.16666666666666666</v>
      </c>
      <c r="BS52" s="373"/>
      <c r="BT52" s="374"/>
      <c r="BU52" s="375"/>
      <c r="BV52" s="375"/>
      <c r="BX52" s="373"/>
      <c r="BY52" s="374"/>
      <c r="BZ52" s="375"/>
      <c r="CA52" s="375"/>
      <c r="CC52" s="373"/>
      <c r="CD52" s="374"/>
      <c r="CE52" s="375"/>
      <c r="CF52" s="375"/>
      <c r="CH52" s="373"/>
      <c r="CI52" s="374"/>
      <c r="CJ52" s="375"/>
      <c r="CK52" s="375"/>
      <c r="CM52" s="373"/>
      <c r="CN52" s="374"/>
      <c r="CO52" s="375"/>
      <c r="CP52" s="375"/>
      <c r="CR52" s="373"/>
      <c r="CS52" s="374"/>
      <c r="CT52" s="375"/>
      <c r="CU52" s="375"/>
      <c r="CW52" s="373"/>
      <c r="CX52" s="374"/>
      <c r="CY52" s="375"/>
      <c r="CZ52" s="375"/>
      <c r="DB52" s="373"/>
      <c r="DC52" s="374"/>
      <c r="DD52" s="375"/>
      <c r="DE52" s="375"/>
      <c r="DG52" s="373"/>
      <c r="DH52" s="374"/>
      <c r="DI52" s="375"/>
      <c r="DJ52" s="375"/>
      <c r="DL52" s="373"/>
      <c r="DM52" s="374"/>
      <c r="DN52" s="375"/>
      <c r="DO52" s="375"/>
      <c r="DQ52" s="373"/>
      <c r="DR52" s="374"/>
      <c r="DS52" s="375"/>
      <c r="DT52" s="375"/>
      <c r="DV52" s="373"/>
      <c r="DW52" s="374"/>
      <c r="DX52" s="375"/>
      <c r="DY52" s="375"/>
      <c r="EA52" s="373"/>
      <c r="EB52" s="374"/>
      <c r="EC52" s="375"/>
      <c r="ED52" s="375"/>
      <c r="EF52" s="373"/>
      <c r="EG52" s="374"/>
      <c r="EH52" s="375"/>
      <c r="EI52" s="375"/>
      <c r="EK52" s="373"/>
      <c r="EL52" s="374"/>
      <c r="EM52" s="375"/>
      <c r="EN52" s="375"/>
      <c r="EP52" s="373"/>
      <c r="EQ52" s="374"/>
      <c r="ER52" s="375"/>
      <c r="ES52" s="375"/>
      <c r="EU52" s="373"/>
      <c r="EV52" s="374"/>
      <c r="EW52" s="375"/>
      <c r="EX52" s="375"/>
      <c r="EZ52" s="373"/>
      <c r="FA52" s="374"/>
      <c r="FB52" s="375"/>
      <c r="FC52" s="375"/>
      <c r="FE52" s="373"/>
      <c r="FF52" s="374"/>
      <c r="FG52" s="375"/>
      <c r="FH52" s="375"/>
      <c r="FJ52" s="373"/>
      <c r="FK52" s="374"/>
      <c r="FL52" s="375"/>
      <c r="FM52" s="375"/>
      <c r="FO52" s="373"/>
      <c r="FP52" s="374"/>
      <c r="FQ52" s="375"/>
      <c r="FR52" s="375"/>
      <c r="FT52" s="373"/>
      <c r="FU52" s="374"/>
      <c r="FV52" s="375"/>
      <c r="FW52" s="375"/>
      <c r="FY52" s="373"/>
      <c r="FZ52" s="374"/>
      <c r="GA52" s="375"/>
      <c r="GB52" s="375"/>
      <c r="GD52" s="373"/>
      <c r="GE52" s="374"/>
      <c r="GF52" s="375"/>
      <c r="GG52" s="375"/>
      <c r="GI52" s="373"/>
      <c r="GJ52" s="374"/>
      <c r="GK52" s="375"/>
      <c r="GL52" s="375"/>
      <c r="GN52" s="373"/>
      <c r="GO52" s="374"/>
      <c r="GP52" s="375"/>
      <c r="GQ52" s="375"/>
      <c r="GS52" s="373"/>
      <c r="GT52" s="374"/>
      <c r="GU52" s="375"/>
      <c r="GV52" s="375"/>
      <c r="GX52" s="373"/>
      <c r="GY52" s="374"/>
      <c r="GZ52" s="375"/>
      <c r="HA52" s="375"/>
      <c r="HC52" s="373"/>
      <c r="HD52" s="374"/>
      <c r="HE52" s="375"/>
      <c r="HF52" s="375"/>
      <c r="HH52" s="373"/>
      <c r="HI52" s="374"/>
      <c r="HJ52" s="375"/>
      <c r="HK52" s="375"/>
      <c r="HM52" s="373"/>
      <c r="HN52" s="374"/>
      <c r="HO52" s="375"/>
      <c r="HP52" s="375"/>
      <c r="HR52" s="373"/>
      <c r="HS52" s="374"/>
      <c r="HT52" s="375"/>
      <c r="HU52" s="375"/>
      <c r="HW52" s="373"/>
      <c r="HX52" s="374"/>
      <c r="HY52" s="375"/>
      <c r="HZ52" s="375"/>
      <c r="IB52" s="373"/>
      <c r="IC52" s="374"/>
      <c r="ID52" s="375"/>
      <c r="IE52" s="375"/>
      <c r="IG52" s="373"/>
      <c r="IH52" s="374"/>
      <c r="II52" s="375"/>
      <c r="IJ52" s="375"/>
      <c r="IL52" s="373"/>
      <c r="IM52" s="374"/>
      <c r="IN52" s="375"/>
      <c r="IO52" s="375"/>
      <c r="IQ52" s="373"/>
      <c r="IR52" s="374"/>
      <c r="IS52" s="375"/>
      <c r="IT52" s="375"/>
      <c r="IV52" s="373"/>
    </row>
    <row r="53" spans="1:256" s="376" customFormat="1" x14ac:dyDescent="0.2">
      <c r="A53" s="373"/>
      <c r="B53" s="374"/>
      <c r="C53" s="375"/>
      <c r="D53" s="375"/>
      <c r="F53" s="373"/>
      <c r="G53" s="374"/>
      <c r="H53" s="375"/>
      <c r="I53" s="375"/>
      <c r="K53" s="373">
        <v>51</v>
      </c>
      <c r="L53" s="374" t="s">
        <v>595</v>
      </c>
      <c r="M53" s="375">
        <v>10.526315789473685</v>
      </c>
      <c r="N53" s="375">
        <v>0.42105263157894735</v>
      </c>
      <c r="P53" s="373">
        <v>51</v>
      </c>
      <c r="Q53" s="374" t="s">
        <v>355</v>
      </c>
      <c r="R53" s="375">
        <v>28.571428571428573</v>
      </c>
      <c r="S53" s="375">
        <v>0.42857142857142855</v>
      </c>
      <c r="U53" s="373"/>
      <c r="V53" s="374"/>
      <c r="W53" s="375"/>
      <c r="X53" s="375"/>
      <c r="Z53" s="373">
        <v>51</v>
      </c>
      <c r="AA53" s="374" t="s">
        <v>411</v>
      </c>
      <c r="AB53" s="375">
        <v>14.285714285714286</v>
      </c>
      <c r="AC53" s="375">
        <v>7.1428571428571425E-2</v>
      </c>
      <c r="AE53" s="373">
        <v>51</v>
      </c>
      <c r="AF53" s="374" t="s">
        <v>572</v>
      </c>
      <c r="AG53" s="375">
        <v>20</v>
      </c>
      <c r="AH53" s="375">
        <v>0.4</v>
      </c>
      <c r="AJ53" s="373">
        <v>51</v>
      </c>
      <c r="AK53" s="374" t="s">
        <v>2570</v>
      </c>
      <c r="AL53" s="375">
        <v>66.666666666666671</v>
      </c>
      <c r="AM53" s="375">
        <v>0.66666666666666663</v>
      </c>
      <c r="AO53" s="373"/>
      <c r="AP53" s="374"/>
      <c r="AQ53" s="375"/>
      <c r="AR53" s="375"/>
      <c r="AT53" s="373">
        <v>51</v>
      </c>
      <c r="AU53" s="374" t="s">
        <v>445</v>
      </c>
      <c r="AV53" s="375">
        <v>33.333333333333336</v>
      </c>
      <c r="AW53" s="375">
        <v>0.66666666666666663</v>
      </c>
      <c r="AY53" s="373"/>
      <c r="AZ53" s="374"/>
      <c r="BA53" s="375"/>
      <c r="BB53" s="375"/>
      <c r="BD53" s="373"/>
      <c r="BE53" s="374"/>
      <c r="BF53" s="375"/>
      <c r="BG53" s="375"/>
      <c r="BI53" s="373"/>
      <c r="BJ53" s="374"/>
      <c r="BK53" s="375"/>
      <c r="BL53" s="375"/>
      <c r="BN53" s="373">
        <v>51</v>
      </c>
      <c r="BO53" s="374" t="s">
        <v>2574</v>
      </c>
      <c r="BP53" s="375">
        <v>33.333333333333336</v>
      </c>
      <c r="BQ53" s="375">
        <v>0.16666666666666666</v>
      </c>
      <c r="BS53" s="373"/>
      <c r="BT53" s="374"/>
      <c r="BU53" s="375"/>
      <c r="BV53" s="375"/>
      <c r="BX53" s="373"/>
      <c r="BY53" s="374"/>
      <c r="BZ53" s="375"/>
      <c r="CA53" s="375"/>
      <c r="CC53" s="373"/>
      <c r="CD53" s="374"/>
      <c r="CE53" s="375"/>
      <c r="CF53" s="375"/>
      <c r="CH53" s="373"/>
      <c r="CI53" s="374"/>
      <c r="CJ53" s="375"/>
      <c r="CK53" s="375"/>
      <c r="CM53" s="373"/>
      <c r="CN53" s="374"/>
      <c r="CO53" s="375"/>
      <c r="CP53" s="375"/>
      <c r="CR53" s="373"/>
      <c r="CS53" s="374"/>
      <c r="CT53" s="375"/>
      <c r="CU53" s="375"/>
      <c r="CW53" s="373"/>
      <c r="CX53" s="374"/>
      <c r="CY53" s="375"/>
      <c r="CZ53" s="375"/>
      <c r="DB53" s="373"/>
      <c r="DC53" s="374"/>
      <c r="DD53" s="375"/>
      <c r="DE53" s="375"/>
      <c r="DG53" s="373"/>
      <c r="DH53" s="374"/>
      <c r="DI53" s="375"/>
      <c r="DJ53" s="375"/>
      <c r="DL53" s="373"/>
      <c r="DM53" s="374"/>
      <c r="DN53" s="375"/>
      <c r="DO53" s="375"/>
      <c r="DQ53" s="373"/>
      <c r="DR53" s="374"/>
      <c r="DS53" s="375"/>
      <c r="DT53" s="375"/>
      <c r="DV53" s="373"/>
      <c r="DW53" s="374"/>
      <c r="DX53" s="375"/>
      <c r="DY53" s="375"/>
      <c r="EA53" s="373"/>
      <c r="EB53" s="374"/>
      <c r="EC53" s="375"/>
      <c r="ED53" s="375"/>
      <c r="EF53" s="373"/>
      <c r="EG53" s="374"/>
      <c r="EH53" s="375"/>
      <c r="EI53" s="375"/>
      <c r="EK53" s="373"/>
      <c r="EL53" s="374"/>
      <c r="EM53" s="375"/>
      <c r="EN53" s="375"/>
      <c r="EP53" s="373"/>
      <c r="EQ53" s="374"/>
      <c r="ER53" s="375"/>
      <c r="ES53" s="375"/>
      <c r="EU53" s="373"/>
      <c r="EV53" s="374"/>
      <c r="EW53" s="375"/>
      <c r="EX53" s="375"/>
      <c r="EZ53" s="373"/>
      <c r="FA53" s="374"/>
      <c r="FB53" s="375"/>
      <c r="FC53" s="375"/>
      <c r="FE53" s="373"/>
      <c r="FF53" s="374"/>
      <c r="FG53" s="375"/>
      <c r="FH53" s="375"/>
      <c r="FJ53" s="373"/>
      <c r="FK53" s="374"/>
      <c r="FL53" s="375"/>
      <c r="FM53" s="375"/>
      <c r="FO53" s="373"/>
      <c r="FP53" s="374"/>
      <c r="FQ53" s="375"/>
      <c r="FR53" s="375"/>
      <c r="FT53" s="373"/>
      <c r="FU53" s="374"/>
      <c r="FV53" s="375"/>
      <c r="FW53" s="375"/>
      <c r="FY53" s="373"/>
      <c r="FZ53" s="374"/>
      <c r="GA53" s="375"/>
      <c r="GB53" s="375"/>
      <c r="GD53" s="373"/>
      <c r="GE53" s="374"/>
      <c r="GF53" s="375"/>
      <c r="GG53" s="375"/>
      <c r="GI53" s="373"/>
      <c r="GJ53" s="374"/>
      <c r="GK53" s="375"/>
      <c r="GL53" s="375"/>
      <c r="GN53" s="373"/>
      <c r="GO53" s="374"/>
      <c r="GP53" s="375"/>
      <c r="GQ53" s="375"/>
      <c r="GS53" s="373"/>
      <c r="GT53" s="374"/>
      <c r="GU53" s="375"/>
      <c r="GV53" s="375"/>
      <c r="GX53" s="373"/>
      <c r="GY53" s="374"/>
      <c r="GZ53" s="375"/>
      <c r="HA53" s="375"/>
      <c r="HC53" s="373"/>
      <c r="HD53" s="374"/>
      <c r="HE53" s="375"/>
      <c r="HF53" s="375"/>
      <c r="HH53" s="373"/>
      <c r="HI53" s="374"/>
      <c r="HJ53" s="375"/>
      <c r="HK53" s="375"/>
      <c r="HM53" s="373"/>
      <c r="HN53" s="374"/>
      <c r="HO53" s="375"/>
      <c r="HP53" s="375"/>
      <c r="HR53" s="373"/>
      <c r="HS53" s="374"/>
      <c r="HT53" s="375"/>
      <c r="HU53" s="375"/>
      <c r="HW53" s="373"/>
      <c r="HX53" s="374"/>
      <c r="HY53" s="375"/>
      <c r="HZ53" s="375"/>
      <c r="IB53" s="373"/>
      <c r="IC53" s="374"/>
      <c r="ID53" s="375"/>
      <c r="IE53" s="375"/>
      <c r="IG53" s="373"/>
      <c r="IH53" s="374"/>
      <c r="II53" s="375"/>
      <c r="IJ53" s="375"/>
      <c r="IL53" s="373"/>
      <c r="IM53" s="374"/>
      <c r="IN53" s="375"/>
      <c r="IO53" s="375"/>
      <c r="IQ53" s="373"/>
      <c r="IR53" s="374"/>
      <c r="IS53" s="375"/>
      <c r="IT53" s="375"/>
      <c r="IV53" s="373"/>
    </row>
    <row r="54" spans="1:256" s="376" customFormat="1" x14ac:dyDescent="0.2">
      <c r="A54" s="373"/>
      <c r="B54" s="374"/>
      <c r="C54" s="375"/>
      <c r="D54" s="375"/>
      <c r="F54" s="373"/>
      <c r="G54" s="374"/>
      <c r="H54" s="375"/>
      <c r="I54" s="375"/>
      <c r="K54" s="373">
        <v>52</v>
      </c>
      <c r="L54" s="374" t="s">
        <v>2661</v>
      </c>
      <c r="M54" s="375">
        <v>10.526315789473685</v>
      </c>
      <c r="N54" s="375">
        <v>0.42105263157894735</v>
      </c>
      <c r="P54" s="373">
        <v>52</v>
      </c>
      <c r="Q54" s="374" t="s">
        <v>327</v>
      </c>
      <c r="R54" s="375">
        <v>14.285714285714286</v>
      </c>
      <c r="S54" s="375">
        <v>0.42857142857142855</v>
      </c>
      <c r="U54" s="373"/>
      <c r="V54" s="374"/>
      <c r="W54" s="375"/>
      <c r="X54" s="375"/>
      <c r="Z54" s="373">
        <v>52</v>
      </c>
      <c r="AA54" s="374" t="s">
        <v>395</v>
      </c>
      <c r="AB54" s="375">
        <v>14.285714285714286</v>
      </c>
      <c r="AC54" s="375">
        <v>7.1428571428571425E-2</v>
      </c>
      <c r="AE54" s="382">
        <v>52</v>
      </c>
      <c r="AF54" s="383" t="s">
        <v>2605</v>
      </c>
      <c r="AG54" s="384">
        <v>20</v>
      </c>
      <c r="AH54" s="384">
        <v>0.4</v>
      </c>
      <c r="AJ54" s="373">
        <v>52</v>
      </c>
      <c r="AK54" s="374" t="s">
        <v>2651</v>
      </c>
      <c r="AL54" s="375">
        <v>33.333333333333336</v>
      </c>
      <c r="AM54" s="375">
        <v>0.66666666666666663</v>
      </c>
      <c r="AO54" s="373"/>
      <c r="AP54" s="374"/>
      <c r="AQ54" s="375"/>
      <c r="AR54" s="375"/>
      <c r="AT54" s="373">
        <v>52</v>
      </c>
      <c r="AU54" s="374" t="s">
        <v>2601</v>
      </c>
      <c r="AV54" s="375">
        <v>33.333333333333336</v>
      </c>
      <c r="AW54" s="375">
        <v>0.66666666666666663</v>
      </c>
      <c r="AY54" s="373"/>
      <c r="AZ54" s="374"/>
      <c r="BA54" s="375"/>
      <c r="BB54" s="375"/>
      <c r="BD54" s="373"/>
      <c r="BE54" s="374"/>
      <c r="BF54" s="375"/>
      <c r="BG54" s="375"/>
      <c r="BI54" s="373"/>
      <c r="BJ54" s="374"/>
      <c r="BK54" s="375"/>
      <c r="BL54" s="375"/>
      <c r="BN54" s="373">
        <v>52</v>
      </c>
      <c r="BO54" s="374" t="s">
        <v>597</v>
      </c>
      <c r="BP54" s="375">
        <v>33.333333333333336</v>
      </c>
      <c r="BQ54" s="375">
        <v>0.16666666666666666</v>
      </c>
      <c r="BS54" s="373"/>
      <c r="BT54" s="374"/>
      <c r="BU54" s="375"/>
      <c r="BV54" s="375"/>
      <c r="BX54" s="373"/>
      <c r="BY54" s="374"/>
      <c r="BZ54" s="375"/>
      <c r="CA54" s="375"/>
      <c r="CC54" s="373"/>
      <c r="CD54" s="374"/>
      <c r="CE54" s="375"/>
      <c r="CF54" s="375"/>
      <c r="CH54" s="373"/>
      <c r="CI54" s="374"/>
      <c r="CJ54" s="375"/>
      <c r="CK54" s="375"/>
      <c r="CM54" s="373"/>
      <c r="CN54" s="374"/>
      <c r="CO54" s="375"/>
      <c r="CP54" s="375"/>
      <c r="CR54" s="373"/>
      <c r="CS54" s="374"/>
      <c r="CT54" s="375"/>
      <c r="CU54" s="375"/>
      <c r="CW54" s="373"/>
      <c r="CX54" s="374"/>
      <c r="CY54" s="375"/>
      <c r="CZ54" s="375"/>
      <c r="DB54" s="373"/>
      <c r="DC54" s="374"/>
      <c r="DD54" s="375"/>
      <c r="DE54" s="375"/>
      <c r="DG54" s="373"/>
      <c r="DH54" s="374"/>
      <c r="DI54" s="375"/>
      <c r="DJ54" s="375"/>
      <c r="DL54" s="373"/>
      <c r="DM54" s="374"/>
      <c r="DN54" s="375"/>
      <c r="DO54" s="375"/>
      <c r="DQ54" s="373"/>
      <c r="DR54" s="374"/>
      <c r="DS54" s="375"/>
      <c r="DT54" s="375"/>
      <c r="DV54" s="373"/>
      <c r="DW54" s="374"/>
      <c r="DX54" s="375"/>
      <c r="DY54" s="375"/>
      <c r="EA54" s="373"/>
      <c r="EB54" s="374"/>
      <c r="EC54" s="375"/>
      <c r="ED54" s="375"/>
      <c r="EF54" s="373"/>
      <c r="EG54" s="374"/>
      <c r="EH54" s="375"/>
      <c r="EI54" s="375"/>
      <c r="EK54" s="373"/>
      <c r="EL54" s="374"/>
      <c r="EM54" s="375"/>
      <c r="EN54" s="375"/>
      <c r="EP54" s="373"/>
      <c r="EQ54" s="374"/>
      <c r="ER54" s="375"/>
      <c r="ES54" s="375"/>
      <c r="EU54" s="373"/>
      <c r="EV54" s="374"/>
      <c r="EW54" s="375"/>
      <c r="EX54" s="375"/>
      <c r="EZ54" s="373"/>
      <c r="FA54" s="374"/>
      <c r="FB54" s="375"/>
      <c r="FC54" s="375"/>
      <c r="FE54" s="373"/>
      <c r="FF54" s="374"/>
      <c r="FG54" s="375"/>
      <c r="FH54" s="375"/>
      <c r="FJ54" s="373"/>
      <c r="FK54" s="374"/>
      <c r="FL54" s="375"/>
      <c r="FM54" s="375"/>
      <c r="FO54" s="373"/>
      <c r="FP54" s="374"/>
      <c r="FQ54" s="375"/>
      <c r="FR54" s="375"/>
      <c r="FT54" s="373"/>
      <c r="FU54" s="374"/>
      <c r="FV54" s="375"/>
      <c r="FW54" s="375"/>
      <c r="FY54" s="373"/>
      <c r="FZ54" s="374"/>
      <c r="GA54" s="375"/>
      <c r="GB54" s="375"/>
      <c r="GD54" s="373"/>
      <c r="GE54" s="374"/>
      <c r="GF54" s="375"/>
      <c r="GG54" s="375"/>
      <c r="GI54" s="373"/>
      <c r="GJ54" s="374"/>
      <c r="GK54" s="375"/>
      <c r="GL54" s="375"/>
      <c r="GN54" s="373"/>
      <c r="GO54" s="374"/>
      <c r="GP54" s="375"/>
      <c r="GQ54" s="375"/>
      <c r="GS54" s="373"/>
      <c r="GT54" s="374"/>
      <c r="GU54" s="375"/>
      <c r="GV54" s="375"/>
      <c r="GX54" s="373"/>
      <c r="GY54" s="374"/>
      <c r="GZ54" s="375"/>
      <c r="HA54" s="375"/>
      <c r="HC54" s="373"/>
      <c r="HD54" s="374"/>
      <c r="HE54" s="375"/>
      <c r="HF54" s="375"/>
      <c r="HH54" s="373"/>
      <c r="HI54" s="374"/>
      <c r="HJ54" s="375"/>
      <c r="HK54" s="375"/>
      <c r="HM54" s="373"/>
      <c r="HN54" s="374"/>
      <c r="HO54" s="375"/>
      <c r="HP54" s="375"/>
      <c r="HR54" s="373"/>
      <c r="HS54" s="374"/>
      <c r="HT54" s="375"/>
      <c r="HU54" s="375"/>
      <c r="HW54" s="373"/>
      <c r="HX54" s="374"/>
      <c r="HY54" s="375"/>
      <c r="HZ54" s="375"/>
      <c r="IB54" s="373"/>
      <c r="IC54" s="374"/>
      <c r="ID54" s="375"/>
      <c r="IE54" s="375"/>
      <c r="IG54" s="373"/>
      <c r="IH54" s="374"/>
      <c r="II54" s="375"/>
      <c r="IJ54" s="375"/>
      <c r="IL54" s="373"/>
      <c r="IM54" s="374"/>
      <c r="IN54" s="375"/>
      <c r="IO54" s="375"/>
      <c r="IQ54" s="373"/>
      <c r="IR54" s="374"/>
      <c r="IS54" s="375"/>
      <c r="IT54" s="375"/>
      <c r="IV54" s="373"/>
    </row>
    <row r="55" spans="1:256" s="376" customFormat="1" x14ac:dyDescent="0.2">
      <c r="A55" s="373"/>
      <c r="B55" s="374"/>
      <c r="C55" s="375"/>
      <c r="D55" s="375"/>
      <c r="F55" s="373"/>
      <c r="G55" s="374"/>
      <c r="H55" s="375"/>
      <c r="I55" s="375"/>
      <c r="K55" s="373">
        <v>53</v>
      </c>
      <c r="L55" s="374" t="s">
        <v>369</v>
      </c>
      <c r="M55" s="375">
        <v>36.842105263157897</v>
      </c>
      <c r="N55" s="375">
        <v>0.39473684210526316</v>
      </c>
      <c r="P55" s="373">
        <v>53</v>
      </c>
      <c r="Q55" s="374" t="s">
        <v>402</v>
      </c>
      <c r="R55" s="375">
        <v>42.857142857142854</v>
      </c>
      <c r="S55" s="375">
        <v>0.35714285714285715</v>
      </c>
      <c r="U55" s="373"/>
      <c r="V55" s="374"/>
      <c r="W55" s="375"/>
      <c r="X55" s="375"/>
      <c r="Z55" s="373">
        <v>53</v>
      </c>
      <c r="AA55" s="374" t="s">
        <v>396</v>
      </c>
      <c r="AB55" s="375">
        <v>14.285714285714286</v>
      </c>
      <c r="AC55" s="375">
        <v>7.1428571428571425E-2</v>
      </c>
      <c r="AE55" s="373">
        <v>53</v>
      </c>
      <c r="AF55" s="374" t="s">
        <v>361</v>
      </c>
      <c r="AG55" s="375">
        <v>20</v>
      </c>
      <c r="AH55" s="375">
        <v>0.4</v>
      </c>
      <c r="AJ55" s="373">
        <v>53</v>
      </c>
      <c r="AK55" s="374" t="s">
        <v>430</v>
      </c>
      <c r="AL55" s="375">
        <v>33.333333333333336</v>
      </c>
      <c r="AM55" s="375">
        <v>0.66666666666666663</v>
      </c>
      <c r="AO55" s="373"/>
      <c r="AP55" s="374"/>
      <c r="AQ55" s="375"/>
      <c r="AR55" s="375"/>
      <c r="AT55" s="382">
        <v>53</v>
      </c>
      <c r="AU55" s="383" t="s">
        <v>2658</v>
      </c>
      <c r="AV55" s="384">
        <v>66.666666666666671</v>
      </c>
      <c r="AW55" s="384">
        <v>0.5</v>
      </c>
      <c r="AY55" s="373"/>
      <c r="AZ55" s="374"/>
      <c r="BA55" s="375"/>
      <c r="BB55" s="375"/>
      <c r="BD55" s="373"/>
      <c r="BE55" s="374"/>
      <c r="BF55" s="375"/>
      <c r="BG55" s="375"/>
      <c r="BI55" s="373"/>
      <c r="BJ55" s="374"/>
      <c r="BK55" s="375"/>
      <c r="BL55" s="375"/>
      <c r="BN55" s="373">
        <v>53</v>
      </c>
      <c r="BO55" s="374" t="s">
        <v>2610</v>
      </c>
      <c r="BP55" s="375">
        <v>33.333333333333336</v>
      </c>
      <c r="BQ55" s="375">
        <v>0.16666666666666666</v>
      </c>
      <c r="BS55" s="373"/>
      <c r="BT55" s="374"/>
      <c r="BU55" s="375"/>
      <c r="BV55" s="375"/>
      <c r="BX55" s="373"/>
      <c r="BY55" s="374"/>
      <c r="BZ55" s="375"/>
      <c r="CA55" s="375"/>
      <c r="CC55" s="373"/>
      <c r="CD55" s="374"/>
      <c r="CE55" s="375"/>
      <c r="CF55" s="375"/>
      <c r="CH55" s="373"/>
      <c r="CI55" s="374"/>
      <c r="CJ55" s="375"/>
      <c r="CK55" s="375"/>
      <c r="CM55" s="373"/>
      <c r="CN55" s="374"/>
      <c r="CO55" s="375"/>
      <c r="CP55" s="375"/>
      <c r="CR55" s="373"/>
      <c r="CS55" s="374"/>
      <c r="CT55" s="375"/>
      <c r="CU55" s="375"/>
      <c r="CW55" s="373"/>
      <c r="CX55" s="374"/>
      <c r="CY55" s="375"/>
      <c r="CZ55" s="375"/>
      <c r="DB55" s="373"/>
      <c r="DC55" s="374"/>
      <c r="DD55" s="375"/>
      <c r="DE55" s="375"/>
      <c r="DG55" s="373"/>
      <c r="DH55" s="374"/>
      <c r="DI55" s="375"/>
      <c r="DJ55" s="375"/>
      <c r="DL55" s="373"/>
      <c r="DM55" s="374"/>
      <c r="DN55" s="375"/>
      <c r="DO55" s="375"/>
      <c r="DQ55" s="373"/>
      <c r="DR55" s="374"/>
      <c r="DS55" s="375"/>
      <c r="DT55" s="375"/>
      <c r="DV55" s="373"/>
      <c r="DW55" s="374"/>
      <c r="DX55" s="375"/>
      <c r="DY55" s="375"/>
      <c r="EA55" s="373"/>
      <c r="EB55" s="374"/>
      <c r="EC55" s="375"/>
      <c r="ED55" s="375"/>
      <c r="EF55" s="373"/>
      <c r="EG55" s="374"/>
      <c r="EH55" s="375"/>
      <c r="EI55" s="375"/>
      <c r="EK55" s="373"/>
      <c r="EL55" s="374"/>
      <c r="EM55" s="375"/>
      <c r="EN55" s="375"/>
      <c r="EP55" s="373"/>
      <c r="EQ55" s="374"/>
      <c r="ER55" s="375"/>
      <c r="ES55" s="375"/>
      <c r="EU55" s="373"/>
      <c r="EV55" s="374"/>
      <c r="EW55" s="375"/>
      <c r="EX55" s="375"/>
      <c r="EZ55" s="373"/>
      <c r="FA55" s="374"/>
      <c r="FB55" s="375"/>
      <c r="FC55" s="375"/>
      <c r="FE55" s="373"/>
      <c r="FF55" s="374"/>
      <c r="FG55" s="375"/>
      <c r="FH55" s="375"/>
      <c r="FJ55" s="373"/>
      <c r="FK55" s="374"/>
      <c r="FL55" s="375"/>
      <c r="FM55" s="375"/>
      <c r="FO55" s="373"/>
      <c r="FP55" s="374"/>
      <c r="FQ55" s="375"/>
      <c r="FR55" s="375"/>
      <c r="FT55" s="373"/>
      <c r="FU55" s="374"/>
      <c r="FV55" s="375"/>
      <c r="FW55" s="375"/>
      <c r="FY55" s="373"/>
      <c r="FZ55" s="374"/>
      <c r="GA55" s="375"/>
      <c r="GB55" s="375"/>
      <c r="GD55" s="373"/>
      <c r="GE55" s="374"/>
      <c r="GF55" s="375"/>
      <c r="GG55" s="375"/>
      <c r="GI55" s="373"/>
      <c r="GJ55" s="374"/>
      <c r="GK55" s="375"/>
      <c r="GL55" s="375"/>
      <c r="GN55" s="373"/>
      <c r="GO55" s="374"/>
      <c r="GP55" s="375"/>
      <c r="GQ55" s="375"/>
      <c r="GS55" s="373"/>
      <c r="GT55" s="374"/>
      <c r="GU55" s="375"/>
      <c r="GV55" s="375"/>
      <c r="GX55" s="373"/>
      <c r="GY55" s="374"/>
      <c r="GZ55" s="375"/>
      <c r="HA55" s="375"/>
      <c r="HC55" s="373"/>
      <c r="HD55" s="374"/>
      <c r="HE55" s="375"/>
      <c r="HF55" s="375"/>
      <c r="HH55" s="373"/>
      <c r="HI55" s="374"/>
      <c r="HJ55" s="375"/>
      <c r="HK55" s="375"/>
      <c r="HM55" s="373"/>
      <c r="HN55" s="374"/>
      <c r="HO55" s="375"/>
      <c r="HP55" s="375"/>
      <c r="HR55" s="373"/>
      <c r="HS55" s="374"/>
      <c r="HT55" s="375"/>
      <c r="HU55" s="375"/>
      <c r="HW55" s="373"/>
      <c r="HX55" s="374"/>
      <c r="HY55" s="375"/>
      <c r="HZ55" s="375"/>
      <c r="IB55" s="373"/>
      <c r="IC55" s="374"/>
      <c r="ID55" s="375"/>
      <c r="IE55" s="375"/>
      <c r="IG55" s="373"/>
      <c r="IH55" s="374"/>
      <c r="II55" s="375"/>
      <c r="IJ55" s="375"/>
      <c r="IL55" s="373"/>
      <c r="IM55" s="374"/>
      <c r="IN55" s="375"/>
      <c r="IO55" s="375"/>
      <c r="IQ55" s="373"/>
      <c r="IR55" s="374"/>
      <c r="IS55" s="375"/>
      <c r="IT55" s="375"/>
      <c r="IV55" s="373"/>
    </row>
    <row r="56" spans="1:256" s="376" customFormat="1" x14ac:dyDescent="0.2">
      <c r="A56" s="373"/>
      <c r="B56" s="374"/>
      <c r="C56" s="375"/>
      <c r="D56" s="375"/>
      <c r="F56" s="373"/>
      <c r="G56" s="374"/>
      <c r="H56" s="375"/>
      <c r="I56" s="375"/>
      <c r="K56" s="373">
        <v>54</v>
      </c>
      <c r="L56" s="374" t="s">
        <v>356</v>
      </c>
      <c r="M56" s="375">
        <v>26.315789473684209</v>
      </c>
      <c r="N56" s="375">
        <v>0.36842105263157893</v>
      </c>
      <c r="P56" s="373">
        <v>54</v>
      </c>
      <c r="Q56" s="374" t="s">
        <v>403</v>
      </c>
      <c r="R56" s="375">
        <v>28.571428571428573</v>
      </c>
      <c r="S56" s="375">
        <v>0.35714285714285715</v>
      </c>
      <c r="U56" s="373"/>
      <c r="V56" s="374"/>
      <c r="W56" s="375"/>
      <c r="X56" s="375"/>
      <c r="Z56" s="373">
        <v>54</v>
      </c>
      <c r="AA56" s="374" t="s">
        <v>613</v>
      </c>
      <c r="AB56" s="375">
        <v>14.285714285714286</v>
      </c>
      <c r="AC56" s="375">
        <v>7.1428571428571425E-2</v>
      </c>
      <c r="AE56" s="373">
        <v>54</v>
      </c>
      <c r="AF56" s="374" t="s">
        <v>444</v>
      </c>
      <c r="AG56" s="375">
        <v>20</v>
      </c>
      <c r="AH56" s="375">
        <v>0.4</v>
      </c>
      <c r="AJ56" s="335">
        <v>54</v>
      </c>
      <c r="AK56" s="336" t="s">
        <v>592</v>
      </c>
      <c r="AL56" s="337">
        <v>33.333333333333336</v>
      </c>
      <c r="AM56" s="337">
        <v>0.66666666666666663</v>
      </c>
      <c r="AO56" s="373"/>
      <c r="AP56" s="374"/>
      <c r="AQ56" s="375"/>
      <c r="AR56" s="375"/>
      <c r="AT56" s="373">
        <v>54</v>
      </c>
      <c r="AU56" s="374" t="s">
        <v>386</v>
      </c>
      <c r="AV56" s="375">
        <v>66.666666666666671</v>
      </c>
      <c r="AW56" s="375">
        <v>0.5</v>
      </c>
      <c r="AY56" s="373"/>
      <c r="AZ56" s="374"/>
      <c r="BA56" s="375"/>
      <c r="BB56" s="375"/>
      <c r="BD56" s="373"/>
      <c r="BE56" s="374"/>
      <c r="BF56" s="375"/>
      <c r="BG56" s="375"/>
      <c r="BI56" s="373"/>
      <c r="BJ56" s="374"/>
      <c r="BK56" s="375"/>
      <c r="BL56" s="375"/>
      <c r="BN56" s="382">
        <v>54</v>
      </c>
      <c r="BO56" s="383" t="s">
        <v>2720</v>
      </c>
      <c r="BP56" s="384">
        <v>33.333333333333336</v>
      </c>
      <c r="BQ56" s="384">
        <v>0.16666666666666666</v>
      </c>
      <c r="BS56" s="373"/>
      <c r="BT56" s="374"/>
      <c r="BU56" s="375"/>
      <c r="BV56" s="375"/>
      <c r="BX56" s="373"/>
      <c r="BY56" s="374"/>
      <c r="BZ56" s="375"/>
      <c r="CA56" s="375"/>
      <c r="CC56" s="373"/>
      <c r="CD56" s="374"/>
      <c r="CE56" s="375"/>
      <c r="CF56" s="375"/>
      <c r="CH56" s="373"/>
      <c r="CI56" s="374"/>
      <c r="CJ56" s="375"/>
      <c r="CK56" s="375"/>
      <c r="CM56" s="373"/>
      <c r="CN56" s="374"/>
      <c r="CO56" s="375"/>
      <c r="CP56" s="375"/>
      <c r="CR56" s="373"/>
      <c r="CS56" s="374"/>
      <c r="CT56" s="375"/>
      <c r="CU56" s="375"/>
      <c r="CW56" s="373"/>
      <c r="CX56" s="374"/>
      <c r="CY56" s="375"/>
      <c r="CZ56" s="375"/>
      <c r="DB56" s="373"/>
      <c r="DC56" s="374"/>
      <c r="DD56" s="375"/>
      <c r="DE56" s="375"/>
      <c r="DG56" s="373"/>
      <c r="DH56" s="374"/>
      <c r="DI56" s="375"/>
      <c r="DJ56" s="375"/>
      <c r="DL56" s="373"/>
      <c r="DM56" s="374"/>
      <c r="DN56" s="375"/>
      <c r="DO56" s="375"/>
      <c r="DQ56" s="373"/>
      <c r="DR56" s="374"/>
      <c r="DS56" s="375"/>
      <c r="DT56" s="375"/>
      <c r="DV56" s="373"/>
      <c r="DW56" s="374"/>
      <c r="DX56" s="375"/>
      <c r="DY56" s="375"/>
      <c r="EA56" s="373"/>
      <c r="EB56" s="374"/>
      <c r="EC56" s="375"/>
      <c r="ED56" s="375"/>
      <c r="EF56" s="373"/>
      <c r="EG56" s="374"/>
      <c r="EH56" s="375"/>
      <c r="EI56" s="375"/>
      <c r="EK56" s="373"/>
      <c r="EL56" s="374"/>
      <c r="EM56" s="375"/>
      <c r="EN56" s="375"/>
      <c r="EP56" s="373"/>
      <c r="EQ56" s="374"/>
      <c r="ER56" s="375"/>
      <c r="ES56" s="375"/>
      <c r="EU56" s="373"/>
      <c r="EV56" s="374"/>
      <c r="EW56" s="375"/>
      <c r="EX56" s="375"/>
      <c r="EZ56" s="373"/>
      <c r="FA56" s="374"/>
      <c r="FB56" s="375"/>
      <c r="FC56" s="375"/>
      <c r="FE56" s="373"/>
      <c r="FF56" s="374"/>
      <c r="FG56" s="375"/>
      <c r="FH56" s="375"/>
      <c r="FJ56" s="373"/>
      <c r="FK56" s="374"/>
      <c r="FL56" s="375"/>
      <c r="FM56" s="375"/>
      <c r="FO56" s="373"/>
      <c r="FP56" s="374"/>
      <c r="FQ56" s="375"/>
      <c r="FR56" s="375"/>
      <c r="FT56" s="373"/>
      <c r="FU56" s="374"/>
      <c r="FV56" s="375"/>
      <c r="FW56" s="375"/>
      <c r="FY56" s="373"/>
      <c r="FZ56" s="374"/>
      <c r="GA56" s="375"/>
      <c r="GB56" s="375"/>
      <c r="GD56" s="373"/>
      <c r="GE56" s="374"/>
      <c r="GF56" s="375"/>
      <c r="GG56" s="375"/>
      <c r="GI56" s="373"/>
      <c r="GJ56" s="374"/>
      <c r="GK56" s="375"/>
      <c r="GL56" s="375"/>
      <c r="GN56" s="373"/>
      <c r="GO56" s="374"/>
      <c r="GP56" s="375"/>
      <c r="GQ56" s="375"/>
      <c r="GS56" s="373"/>
      <c r="GT56" s="374"/>
      <c r="GU56" s="375"/>
      <c r="GV56" s="375"/>
      <c r="GX56" s="373"/>
      <c r="GY56" s="374"/>
      <c r="GZ56" s="375"/>
      <c r="HA56" s="375"/>
      <c r="HC56" s="373"/>
      <c r="HD56" s="374"/>
      <c r="HE56" s="375"/>
      <c r="HF56" s="375"/>
      <c r="HH56" s="373"/>
      <c r="HI56" s="374"/>
      <c r="HJ56" s="375"/>
      <c r="HK56" s="375"/>
      <c r="HM56" s="373"/>
      <c r="HN56" s="374"/>
      <c r="HO56" s="375"/>
      <c r="HP56" s="375"/>
      <c r="HR56" s="373"/>
      <c r="HS56" s="374"/>
      <c r="HT56" s="375"/>
      <c r="HU56" s="375"/>
      <c r="HW56" s="373"/>
      <c r="HX56" s="374"/>
      <c r="HY56" s="375"/>
      <c r="HZ56" s="375"/>
      <c r="IB56" s="373"/>
      <c r="IC56" s="374"/>
      <c r="ID56" s="375"/>
      <c r="IE56" s="375"/>
      <c r="IG56" s="373"/>
      <c r="IH56" s="374"/>
      <c r="II56" s="375"/>
      <c r="IJ56" s="375"/>
      <c r="IL56" s="373"/>
      <c r="IM56" s="374"/>
      <c r="IN56" s="375"/>
      <c r="IO56" s="375"/>
      <c r="IQ56" s="373"/>
      <c r="IR56" s="374"/>
      <c r="IS56" s="375"/>
      <c r="IT56" s="375"/>
      <c r="IV56" s="373"/>
    </row>
    <row r="57" spans="1:256" s="376" customFormat="1" x14ac:dyDescent="0.2">
      <c r="A57" s="373"/>
      <c r="B57" s="374"/>
      <c r="C57" s="375"/>
      <c r="D57" s="375"/>
      <c r="F57" s="373"/>
      <c r="G57" s="374"/>
      <c r="H57" s="375"/>
      <c r="I57" s="375"/>
      <c r="K57" s="373">
        <v>55</v>
      </c>
      <c r="L57" s="374" t="s">
        <v>583</v>
      </c>
      <c r="M57" s="375">
        <v>26.315789473684209</v>
      </c>
      <c r="N57" s="375">
        <v>0.36842105263157893</v>
      </c>
      <c r="P57" s="373">
        <v>55</v>
      </c>
      <c r="Q57" s="374" t="s">
        <v>2645</v>
      </c>
      <c r="R57" s="375">
        <v>14.285714285714286</v>
      </c>
      <c r="S57" s="375">
        <v>0.2857142857142857</v>
      </c>
      <c r="U57" s="373"/>
      <c r="V57" s="374"/>
      <c r="W57" s="375"/>
      <c r="X57" s="375"/>
      <c r="Z57" s="373"/>
      <c r="AA57" s="374"/>
      <c r="AB57" s="375"/>
      <c r="AC57" s="375"/>
      <c r="AE57" s="373">
        <v>55</v>
      </c>
      <c r="AF57" s="374" t="s">
        <v>613</v>
      </c>
      <c r="AG57" s="375">
        <v>40</v>
      </c>
      <c r="AH57" s="375">
        <v>0.3</v>
      </c>
      <c r="AJ57" s="373">
        <v>55</v>
      </c>
      <c r="AK57" s="374" t="s">
        <v>394</v>
      </c>
      <c r="AL57" s="375">
        <v>33.333333333333336</v>
      </c>
      <c r="AM57" s="375">
        <v>0.66666666666666663</v>
      </c>
      <c r="AO57" s="373"/>
      <c r="AP57" s="374"/>
      <c r="AQ57" s="375"/>
      <c r="AR57" s="375"/>
      <c r="AT57" s="373">
        <v>55</v>
      </c>
      <c r="AU57" s="374" t="s">
        <v>433</v>
      </c>
      <c r="AV57" s="375">
        <v>33.333333333333336</v>
      </c>
      <c r="AW57" s="375">
        <v>0.33333333333333331</v>
      </c>
      <c r="AY57" s="373"/>
      <c r="AZ57" s="374"/>
      <c r="BA57" s="375"/>
      <c r="BB57" s="375"/>
      <c r="BD57" s="373"/>
      <c r="BE57" s="374"/>
      <c r="BF57" s="375"/>
      <c r="BG57" s="375"/>
      <c r="BI57" s="373"/>
      <c r="BJ57" s="374"/>
      <c r="BK57" s="375"/>
      <c r="BL57" s="375"/>
      <c r="BN57" s="373"/>
      <c r="BO57" s="374"/>
      <c r="BP57" s="375"/>
      <c r="BQ57" s="375"/>
      <c r="BS57" s="373"/>
      <c r="BT57" s="374"/>
      <c r="BU57" s="375"/>
      <c r="BV57" s="375"/>
      <c r="BX57" s="373"/>
      <c r="BY57" s="374"/>
      <c r="BZ57" s="375"/>
      <c r="CA57" s="375"/>
      <c r="CC57" s="373"/>
      <c r="CD57" s="374"/>
      <c r="CE57" s="375"/>
      <c r="CF57" s="375"/>
      <c r="CH57" s="373"/>
      <c r="CI57" s="374"/>
      <c r="CJ57" s="375"/>
      <c r="CK57" s="375"/>
      <c r="CM57" s="373"/>
      <c r="CN57" s="374"/>
      <c r="CO57" s="375"/>
      <c r="CP57" s="375"/>
      <c r="CR57" s="373"/>
      <c r="CS57" s="374"/>
      <c r="CT57" s="375"/>
      <c r="CU57" s="375"/>
      <c r="CW57" s="373"/>
      <c r="CX57" s="374"/>
      <c r="CY57" s="375"/>
      <c r="CZ57" s="375"/>
      <c r="DB57" s="373"/>
      <c r="DC57" s="374"/>
      <c r="DD57" s="375"/>
      <c r="DE57" s="375"/>
      <c r="DG57" s="373"/>
      <c r="DH57" s="374"/>
      <c r="DI57" s="375"/>
      <c r="DJ57" s="375"/>
      <c r="DL57" s="373"/>
      <c r="DM57" s="374"/>
      <c r="DN57" s="375"/>
      <c r="DO57" s="375"/>
      <c r="DQ57" s="373"/>
      <c r="DR57" s="374"/>
      <c r="DS57" s="375"/>
      <c r="DT57" s="375"/>
      <c r="DV57" s="373"/>
      <c r="DW57" s="374"/>
      <c r="DX57" s="375"/>
      <c r="DY57" s="375"/>
      <c r="EA57" s="373"/>
      <c r="EB57" s="374"/>
      <c r="EC57" s="375"/>
      <c r="ED57" s="375"/>
      <c r="EF57" s="373"/>
      <c r="EG57" s="374"/>
      <c r="EH57" s="375"/>
      <c r="EI57" s="375"/>
      <c r="EK57" s="373"/>
      <c r="EL57" s="374"/>
      <c r="EM57" s="375"/>
      <c r="EN57" s="375"/>
      <c r="EP57" s="373"/>
      <c r="EQ57" s="374"/>
      <c r="ER57" s="375"/>
      <c r="ES57" s="375"/>
      <c r="EU57" s="373"/>
      <c r="EV57" s="374"/>
      <c r="EW57" s="375"/>
      <c r="EX57" s="375"/>
      <c r="EZ57" s="373"/>
      <c r="FA57" s="374"/>
      <c r="FB57" s="375"/>
      <c r="FC57" s="375"/>
      <c r="FE57" s="373"/>
      <c r="FF57" s="374"/>
      <c r="FG57" s="375"/>
      <c r="FH57" s="375"/>
      <c r="FJ57" s="373"/>
      <c r="FK57" s="374"/>
      <c r="FL57" s="375"/>
      <c r="FM57" s="375"/>
      <c r="FO57" s="373"/>
      <c r="FP57" s="374"/>
      <c r="FQ57" s="375"/>
      <c r="FR57" s="375"/>
      <c r="FT57" s="373"/>
      <c r="FU57" s="374"/>
      <c r="FV57" s="375"/>
      <c r="FW57" s="375"/>
      <c r="FY57" s="373"/>
      <c r="FZ57" s="374"/>
      <c r="GA57" s="375"/>
      <c r="GB57" s="375"/>
      <c r="GD57" s="373"/>
      <c r="GE57" s="374"/>
      <c r="GF57" s="375"/>
      <c r="GG57" s="375"/>
      <c r="GI57" s="373"/>
      <c r="GJ57" s="374"/>
      <c r="GK57" s="375"/>
      <c r="GL57" s="375"/>
      <c r="GN57" s="373"/>
      <c r="GO57" s="374"/>
      <c r="GP57" s="375"/>
      <c r="GQ57" s="375"/>
      <c r="GS57" s="373"/>
      <c r="GT57" s="374"/>
      <c r="GU57" s="375"/>
      <c r="GV57" s="375"/>
      <c r="GX57" s="373"/>
      <c r="GY57" s="374"/>
      <c r="GZ57" s="375"/>
      <c r="HA57" s="375"/>
      <c r="HC57" s="373"/>
      <c r="HD57" s="374"/>
      <c r="HE57" s="375"/>
      <c r="HF57" s="375"/>
      <c r="HH57" s="373"/>
      <c r="HI57" s="374"/>
      <c r="HJ57" s="375"/>
      <c r="HK57" s="375"/>
      <c r="HM57" s="373"/>
      <c r="HN57" s="374"/>
      <c r="HO57" s="375"/>
      <c r="HP57" s="375"/>
      <c r="HR57" s="373"/>
      <c r="HS57" s="374"/>
      <c r="HT57" s="375"/>
      <c r="HU57" s="375"/>
      <c r="HW57" s="373"/>
      <c r="HX57" s="374"/>
      <c r="HY57" s="375"/>
      <c r="HZ57" s="375"/>
      <c r="IB57" s="373"/>
      <c r="IC57" s="374"/>
      <c r="ID57" s="375"/>
      <c r="IE57" s="375"/>
      <c r="IG57" s="373"/>
      <c r="IH57" s="374"/>
      <c r="II57" s="375"/>
      <c r="IJ57" s="375"/>
      <c r="IL57" s="373"/>
      <c r="IM57" s="374"/>
      <c r="IN57" s="375"/>
      <c r="IO57" s="375"/>
      <c r="IQ57" s="373"/>
      <c r="IR57" s="374"/>
      <c r="IS57" s="375"/>
      <c r="IT57" s="375"/>
      <c r="IV57" s="373"/>
    </row>
    <row r="58" spans="1:256" s="376" customFormat="1" x14ac:dyDescent="0.2">
      <c r="A58" s="373"/>
      <c r="B58" s="374"/>
      <c r="C58" s="375"/>
      <c r="D58" s="375"/>
      <c r="F58" s="373"/>
      <c r="G58" s="374"/>
      <c r="H58" s="375"/>
      <c r="I58" s="375"/>
      <c r="K58" s="382">
        <v>56</v>
      </c>
      <c r="L58" s="383" t="s">
        <v>2717</v>
      </c>
      <c r="M58" s="384">
        <v>5.2631578947368425</v>
      </c>
      <c r="N58" s="384">
        <v>0.36842105263157893</v>
      </c>
      <c r="P58" s="373">
        <v>56</v>
      </c>
      <c r="Q58" s="374" t="s">
        <v>2638</v>
      </c>
      <c r="R58" s="375">
        <v>14.285714285714286</v>
      </c>
      <c r="S58" s="375">
        <v>0.2857142857142857</v>
      </c>
      <c r="U58" s="373"/>
      <c r="V58" s="374"/>
      <c r="W58" s="375"/>
      <c r="X58" s="375"/>
      <c r="Z58" s="373"/>
      <c r="AA58" s="374"/>
      <c r="AB58" s="375"/>
      <c r="AC58" s="375"/>
      <c r="AE58" s="373">
        <v>56</v>
      </c>
      <c r="AF58" s="374" t="s">
        <v>2600</v>
      </c>
      <c r="AG58" s="375">
        <v>40</v>
      </c>
      <c r="AH58" s="375">
        <v>0.3</v>
      </c>
      <c r="AJ58" s="373">
        <v>56</v>
      </c>
      <c r="AK58" s="374" t="s">
        <v>1286</v>
      </c>
      <c r="AL58" s="375">
        <v>33.333333333333336</v>
      </c>
      <c r="AM58" s="375">
        <v>0.66666666666666663</v>
      </c>
      <c r="AO58" s="373"/>
      <c r="AP58" s="374"/>
      <c r="AQ58" s="375"/>
      <c r="AR58" s="375"/>
      <c r="AT58" s="373">
        <v>56</v>
      </c>
      <c r="AU58" s="374" t="s">
        <v>605</v>
      </c>
      <c r="AV58" s="375">
        <v>33.333333333333336</v>
      </c>
      <c r="AW58" s="375">
        <v>0.33333333333333331</v>
      </c>
      <c r="AY58" s="373"/>
      <c r="AZ58" s="374"/>
      <c r="BA58" s="375"/>
      <c r="BB58" s="375"/>
      <c r="BD58" s="373"/>
      <c r="BE58" s="374"/>
      <c r="BF58" s="375"/>
      <c r="BG58" s="375"/>
      <c r="BI58" s="373"/>
      <c r="BJ58" s="374"/>
      <c r="BK58" s="375"/>
      <c r="BL58" s="375"/>
      <c r="BN58" s="373"/>
      <c r="BO58" s="374"/>
      <c r="BP58" s="375"/>
      <c r="BQ58" s="375"/>
      <c r="BS58" s="373"/>
      <c r="BT58" s="374"/>
      <c r="BU58" s="375"/>
      <c r="BV58" s="375"/>
      <c r="BX58" s="373"/>
      <c r="BY58" s="374"/>
      <c r="BZ58" s="375"/>
      <c r="CA58" s="375"/>
      <c r="CC58" s="373"/>
      <c r="CD58" s="374"/>
      <c r="CE58" s="375"/>
      <c r="CF58" s="375"/>
      <c r="CH58" s="373"/>
      <c r="CI58" s="374"/>
      <c r="CJ58" s="375"/>
      <c r="CK58" s="375"/>
      <c r="CM58" s="373"/>
      <c r="CN58" s="374"/>
      <c r="CO58" s="375"/>
      <c r="CP58" s="375"/>
      <c r="CR58" s="373"/>
      <c r="CS58" s="374"/>
      <c r="CT58" s="375"/>
      <c r="CU58" s="375"/>
      <c r="CW58" s="373"/>
      <c r="CX58" s="374"/>
      <c r="CY58" s="375"/>
      <c r="CZ58" s="375"/>
      <c r="DB58" s="373"/>
      <c r="DC58" s="374"/>
      <c r="DD58" s="375"/>
      <c r="DE58" s="375"/>
      <c r="DG58" s="373"/>
      <c r="DH58" s="374"/>
      <c r="DI58" s="375"/>
      <c r="DJ58" s="375"/>
      <c r="DL58" s="373"/>
      <c r="DM58" s="374"/>
      <c r="DN58" s="375"/>
      <c r="DO58" s="375"/>
      <c r="DQ58" s="373"/>
      <c r="DR58" s="374"/>
      <c r="DS58" s="375"/>
      <c r="DT58" s="375"/>
      <c r="DV58" s="373"/>
      <c r="DW58" s="374"/>
      <c r="DX58" s="375"/>
      <c r="DY58" s="375"/>
      <c r="EA58" s="373"/>
      <c r="EB58" s="374"/>
      <c r="EC58" s="375"/>
      <c r="ED58" s="375"/>
      <c r="EF58" s="373"/>
      <c r="EG58" s="374"/>
      <c r="EH58" s="375"/>
      <c r="EI58" s="375"/>
      <c r="EK58" s="373"/>
      <c r="EL58" s="374"/>
      <c r="EM58" s="375"/>
      <c r="EN58" s="375"/>
      <c r="EP58" s="373"/>
      <c r="EQ58" s="374"/>
      <c r="ER58" s="375"/>
      <c r="ES58" s="375"/>
      <c r="EU58" s="373"/>
      <c r="EV58" s="374"/>
      <c r="EW58" s="375"/>
      <c r="EX58" s="375"/>
      <c r="EZ58" s="373"/>
      <c r="FA58" s="374"/>
      <c r="FB58" s="375"/>
      <c r="FC58" s="375"/>
      <c r="FE58" s="373"/>
      <c r="FF58" s="374"/>
      <c r="FG58" s="375"/>
      <c r="FH58" s="375"/>
      <c r="FJ58" s="373"/>
      <c r="FK58" s="374"/>
      <c r="FL58" s="375"/>
      <c r="FM58" s="375"/>
      <c r="FO58" s="373"/>
      <c r="FP58" s="374"/>
      <c r="FQ58" s="375"/>
      <c r="FR58" s="375"/>
      <c r="FT58" s="373"/>
      <c r="FU58" s="374"/>
      <c r="FV58" s="375"/>
      <c r="FW58" s="375"/>
      <c r="FY58" s="373"/>
      <c r="FZ58" s="374"/>
      <c r="GA58" s="375"/>
      <c r="GB58" s="375"/>
      <c r="GD58" s="373"/>
      <c r="GE58" s="374"/>
      <c r="GF58" s="375"/>
      <c r="GG58" s="375"/>
      <c r="GI58" s="373"/>
      <c r="GJ58" s="374"/>
      <c r="GK58" s="375"/>
      <c r="GL58" s="375"/>
      <c r="GN58" s="373"/>
      <c r="GO58" s="374"/>
      <c r="GP58" s="375"/>
      <c r="GQ58" s="375"/>
      <c r="GS58" s="373"/>
      <c r="GT58" s="374"/>
      <c r="GU58" s="375"/>
      <c r="GV58" s="375"/>
      <c r="GX58" s="373"/>
      <c r="GY58" s="374"/>
      <c r="GZ58" s="375"/>
      <c r="HA58" s="375"/>
      <c r="HC58" s="373"/>
      <c r="HD58" s="374"/>
      <c r="HE58" s="375"/>
      <c r="HF58" s="375"/>
      <c r="HH58" s="373"/>
      <c r="HI58" s="374"/>
      <c r="HJ58" s="375"/>
      <c r="HK58" s="375"/>
      <c r="HM58" s="373"/>
      <c r="HN58" s="374"/>
      <c r="HO58" s="375"/>
      <c r="HP58" s="375"/>
      <c r="HR58" s="373"/>
      <c r="HS58" s="374"/>
      <c r="HT58" s="375"/>
      <c r="HU58" s="375"/>
      <c r="HW58" s="373"/>
      <c r="HX58" s="374"/>
      <c r="HY58" s="375"/>
      <c r="HZ58" s="375"/>
      <c r="IB58" s="373"/>
      <c r="IC58" s="374"/>
      <c r="ID58" s="375"/>
      <c r="IE58" s="375"/>
      <c r="IG58" s="373"/>
      <c r="IH58" s="374"/>
      <c r="II58" s="375"/>
      <c r="IJ58" s="375"/>
      <c r="IL58" s="373"/>
      <c r="IM58" s="374"/>
      <c r="IN58" s="375"/>
      <c r="IO58" s="375"/>
      <c r="IQ58" s="373"/>
      <c r="IR58" s="374"/>
      <c r="IS58" s="375"/>
      <c r="IT58" s="375"/>
      <c r="IV58" s="373"/>
    </row>
    <row r="59" spans="1:256" s="376" customFormat="1" x14ac:dyDescent="0.2">
      <c r="A59" s="373"/>
      <c r="B59" s="374"/>
      <c r="C59" s="375"/>
      <c r="D59" s="375"/>
      <c r="F59" s="373"/>
      <c r="G59" s="374"/>
      <c r="H59" s="375"/>
      <c r="I59" s="375"/>
      <c r="K59" s="332">
        <v>57</v>
      </c>
      <c r="L59" s="333" t="s">
        <v>2715</v>
      </c>
      <c r="M59" s="334">
        <v>5.2631578947368425</v>
      </c>
      <c r="N59" s="334">
        <v>0.36842105263157893</v>
      </c>
      <c r="P59" s="373">
        <v>57</v>
      </c>
      <c r="Q59" s="374" t="s">
        <v>378</v>
      </c>
      <c r="R59" s="375">
        <v>14.285714285714286</v>
      </c>
      <c r="S59" s="375">
        <v>0.2857142857142857</v>
      </c>
      <c r="U59" s="373"/>
      <c r="V59" s="374"/>
      <c r="W59" s="375"/>
      <c r="X59" s="375"/>
      <c r="Z59" s="373"/>
      <c r="AA59" s="374"/>
      <c r="AB59" s="375"/>
      <c r="AC59" s="375"/>
      <c r="AE59" s="373">
        <v>57</v>
      </c>
      <c r="AF59" s="374" t="s">
        <v>410</v>
      </c>
      <c r="AG59" s="375">
        <v>20</v>
      </c>
      <c r="AH59" s="375">
        <v>0.2</v>
      </c>
      <c r="AJ59" s="373">
        <v>57</v>
      </c>
      <c r="AK59" s="374" t="s">
        <v>348</v>
      </c>
      <c r="AL59" s="375">
        <v>33.333333333333336</v>
      </c>
      <c r="AM59" s="375">
        <v>0.66666666666666663</v>
      </c>
      <c r="AO59" s="373"/>
      <c r="AP59" s="374"/>
      <c r="AQ59" s="375"/>
      <c r="AR59" s="375"/>
      <c r="AT59" s="382">
        <v>57</v>
      </c>
      <c r="AU59" s="383" t="s">
        <v>610</v>
      </c>
      <c r="AV59" s="384">
        <v>33.333333333333336</v>
      </c>
      <c r="AW59" s="384">
        <v>0.33333333333333331</v>
      </c>
      <c r="AY59" s="373"/>
      <c r="AZ59" s="374"/>
      <c r="BA59" s="375"/>
      <c r="BB59" s="375"/>
      <c r="BD59" s="373"/>
      <c r="BE59" s="374"/>
      <c r="BF59" s="375"/>
      <c r="BG59" s="375"/>
      <c r="BI59" s="373"/>
      <c r="BJ59" s="374"/>
      <c r="BK59" s="375"/>
      <c r="BL59" s="375"/>
      <c r="BN59" s="373"/>
      <c r="BO59" s="374"/>
      <c r="BP59" s="375"/>
      <c r="BQ59" s="375"/>
      <c r="BS59" s="373"/>
      <c r="BT59" s="374"/>
      <c r="BU59" s="375"/>
      <c r="BV59" s="375"/>
      <c r="BX59" s="373"/>
      <c r="BY59" s="374"/>
      <c r="BZ59" s="375"/>
      <c r="CA59" s="375"/>
      <c r="CC59" s="373"/>
      <c r="CD59" s="374"/>
      <c r="CE59" s="375"/>
      <c r="CF59" s="375"/>
      <c r="CH59" s="373"/>
      <c r="CI59" s="374"/>
      <c r="CJ59" s="375"/>
      <c r="CK59" s="375"/>
      <c r="CM59" s="373"/>
      <c r="CN59" s="374"/>
      <c r="CO59" s="375"/>
      <c r="CP59" s="375"/>
      <c r="CR59" s="373"/>
      <c r="CS59" s="374"/>
      <c r="CT59" s="375"/>
      <c r="CU59" s="375"/>
      <c r="CW59" s="373"/>
      <c r="CX59" s="374"/>
      <c r="CY59" s="375"/>
      <c r="CZ59" s="375"/>
      <c r="DB59" s="373"/>
      <c r="DC59" s="374"/>
      <c r="DD59" s="375"/>
      <c r="DE59" s="375"/>
      <c r="DG59" s="373"/>
      <c r="DH59" s="374"/>
      <c r="DI59" s="375"/>
      <c r="DJ59" s="375"/>
      <c r="DL59" s="373"/>
      <c r="DM59" s="374"/>
      <c r="DN59" s="375"/>
      <c r="DO59" s="375"/>
      <c r="DQ59" s="373"/>
      <c r="DR59" s="374"/>
      <c r="DS59" s="375"/>
      <c r="DT59" s="375"/>
      <c r="DV59" s="373"/>
      <c r="DW59" s="374"/>
      <c r="DX59" s="375"/>
      <c r="DY59" s="375"/>
      <c r="EA59" s="373"/>
      <c r="EB59" s="374"/>
      <c r="EC59" s="375"/>
      <c r="ED59" s="375"/>
      <c r="EF59" s="373"/>
      <c r="EG59" s="374"/>
      <c r="EH59" s="375"/>
      <c r="EI59" s="375"/>
      <c r="EK59" s="373"/>
      <c r="EL59" s="374"/>
      <c r="EM59" s="375"/>
      <c r="EN59" s="375"/>
      <c r="EP59" s="373"/>
      <c r="EQ59" s="374"/>
      <c r="ER59" s="375"/>
      <c r="ES59" s="375"/>
      <c r="EU59" s="373"/>
      <c r="EV59" s="374"/>
      <c r="EW59" s="375"/>
      <c r="EX59" s="375"/>
      <c r="EZ59" s="373"/>
      <c r="FA59" s="374"/>
      <c r="FB59" s="375"/>
      <c r="FC59" s="375"/>
      <c r="FE59" s="373"/>
      <c r="FF59" s="374"/>
      <c r="FG59" s="375"/>
      <c r="FH59" s="375"/>
      <c r="FJ59" s="373"/>
      <c r="FK59" s="374"/>
      <c r="FL59" s="375"/>
      <c r="FM59" s="375"/>
      <c r="FO59" s="373"/>
      <c r="FP59" s="374"/>
      <c r="FQ59" s="375"/>
      <c r="FR59" s="375"/>
      <c r="FT59" s="373"/>
      <c r="FU59" s="374"/>
      <c r="FV59" s="375"/>
      <c r="FW59" s="375"/>
      <c r="FY59" s="373"/>
      <c r="FZ59" s="374"/>
      <c r="GA59" s="375"/>
      <c r="GB59" s="375"/>
      <c r="GD59" s="373"/>
      <c r="GE59" s="374"/>
      <c r="GF59" s="375"/>
      <c r="GG59" s="375"/>
      <c r="GI59" s="373"/>
      <c r="GJ59" s="374"/>
      <c r="GK59" s="375"/>
      <c r="GL59" s="375"/>
      <c r="GN59" s="373"/>
      <c r="GO59" s="374"/>
      <c r="GP59" s="375"/>
      <c r="GQ59" s="375"/>
      <c r="GS59" s="373"/>
      <c r="GT59" s="374"/>
      <c r="GU59" s="375"/>
      <c r="GV59" s="375"/>
      <c r="GX59" s="373"/>
      <c r="GY59" s="374"/>
      <c r="GZ59" s="375"/>
      <c r="HA59" s="375"/>
      <c r="HC59" s="373"/>
      <c r="HD59" s="374"/>
      <c r="HE59" s="375"/>
      <c r="HF59" s="375"/>
      <c r="HH59" s="373"/>
      <c r="HI59" s="374"/>
      <c r="HJ59" s="375"/>
      <c r="HK59" s="375"/>
      <c r="HM59" s="373"/>
      <c r="HN59" s="374"/>
      <c r="HO59" s="375"/>
      <c r="HP59" s="375"/>
      <c r="HR59" s="373"/>
      <c r="HS59" s="374"/>
      <c r="HT59" s="375"/>
      <c r="HU59" s="375"/>
      <c r="HW59" s="373"/>
      <c r="HX59" s="374"/>
      <c r="HY59" s="375"/>
      <c r="HZ59" s="375"/>
      <c r="IB59" s="373"/>
      <c r="IC59" s="374"/>
      <c r="ID59" s="375"/>
      <c r="IE59" s="375"/>
      <c r="IG59" s="373"/>
      <c r="IH59" s="374"/>
      <c r="II59" s="375"/>
      <c r="IJ59" s="375"/>
      <c r="IL59" s="373"/>
      <c r="IM59" s="374"/>
      <c r="IN59" s="375"/>
      <c r="IO59" s="375"/>
      <c r="IQ59" s="373"/>
      <c r="IR59" s="374"/>
      <c r="IS59" s="375"/>
      <c r="IT59" s="375"/>
      <c r="IV59" s="373"/>
    </row>
    <row r="60" spans="1:256" s="376" customFormat="1" x14ac:dyDescent="0.2">
      <c r="A60" s="373"/>
      <c r="B60" s="374"/>
      <c r="C60" s="375"/>
      <c r="D60" s="375"/>
      <c r="F60" s="373"/>
      <c r="G60" s="374"/>
      <c r="H60" s="375"/>
      <c r="I60" s="375"/>
      <c r="K60" s="373">
        <v>58</v>
      </c>
      <c r="L60" s="374" t="s">
        <v>2574</v>
      </c>
      <c r="M60" s="375">
        <v>42.10526315789474</v>
      </c>
      <c r="N60" s="375">
        <v>0.34210526315789475</v>
      </c>
      <c r="P60" s="373">
        <v>58</v>
      </c>
      <c r="Q60" s="374" t="s">
        <v>2566</v>
      </c>
      <c r="R60" s="375">
        <v>14.285714285714286</v>
      </c>
      <c r="S60" s="375">
        <v>0.2857142857142857</v>
      </c>
      <c r="U60" s="373"/>
      <c r="V60" s="374"/>
      <c r="W60" s="375"/>
      <c r="X60" s="375"/>
      <c r="Z60" s="373"/>
      <c r="AA60" s="374"/>
      <c r="AB60" s="375"/>
      <c r="AC60" s="375"/>
      <c r="AE60" s="382">
        <v>58</v>
      </c>
      <c r="AF60" s="383" t="s">
        <v>406</v>
      </c>
      <c r="AG60" s="384">
        <v>40</v>
      </c>
      <c r="AH60" s="384">
        <v>0.2</v>
      </c>
      <c r="AJ60" s="373">
        <v>58</v>
      </c>
      <c r="AK60" s="374" t="s">
        <v>424</v>
      </c>
      <c r="AL60" s="375">
        <v>33.333333333333336</v>
      </c>
      <c r="AM60" s="375">
        <v>0.66666666666666663</v>
      </c>
      <c r="AO60" s="373"/>
      <c r="AP60" s="374"/>
      <c r="AQ60" s="375"/>
      <c r="AR60" s="375"/>
      <c r="AT60" s="373">
        <v>58</v>
      </c>
      <c r="AU60" s="374" t="s">
        <v>387</v>
      </c>
      <c r="AV60" s="375">
        <v>33.333333333333336</v>
      </c>
      <c r="AW60" s="375">
        <v>0.33333333333333331</v>
      </c>
      <c r="AY60" s="373"/>
      <c r="AZ60" s="374"/>
      <c r="BA60" s="375"/>
      <c r="BB60" s="375"/>
      <c r="BD60" s="373"/>
      <c r="BE60" s="374"/>
      <c r="BF60" s="375"/>
      <c r="BG60" s="375"/>
      <c r="BI60" s="373"/>
      <c r="BJ60" s="374"/>
      <c r="BK60" s="375"/>
      <c r="BL60" s="375"/>
      <c r="BN60" s="373"/>
      <c r="BO60" s="374"/>
      <c r="BP60" s="375"/>
      <c r="BQ60" s="375"/>
      <c r="BS60" s="373"/>
      <c r="BT60" s="374"/>
      <c r="BU60" s="375"/>
      <c r="BV60" s="375"/>
      <c r="BX60" s="373"/>
      <c r="BY60" s="374"/>
      <c r="BZ60" s="375"/>
      <c r="CA60" s="375"/>
      <c r="CC60" s="373"/>
      <c r="CD60" s="374"/>
      <c r="CE60" s="375"/>
      <c r="CF60" s="375"/>
      <c r="CH60" s="373"/>
      <c r="CI60" s="374"/>
      <c r="CJ60" s="375"/>
      <c r="CK60" s="375"/>
      <c r="CM60" s="373"/>
      <c r="CN60" s="374"/>
      <c r="CO60" s="375"/>
      <c r="CP60" s="375"/>
      <c r="CR60" s="373"/>
      <c r="CS60" s="374"/>
      <c r="CT60" s="375"/>
      <c r="CU60" s="375"/>
      <c r="CW60" s="373"/>
      <c r="CX60" s="374"/>
      <c r="CY60" s="375"/>
      <c r="CZ60" s="375"/>
      <c r="DB60" s="373"/>
      <c r="DC60" s="374"/>
      <c r="DD60" s="375"/>
      <c r="DE60" s="375"/>
      <c r="DG60" s="373"/>
      <c r="DH60" s="374"/>
      <c r="DI60" s="375"/>
      <c r="DJ60" s="375"/>
      <c r="DL60" s="373"/>
      <c r="DM60" s="374"/>
      <c r="DN60" s="375"/>
      <c r="DO60" s="375"/>
      <c r="DQ60" s="373"/>
      <c r="DR60" s="374"/>
      <c r="DS60" s="375"/>
      <c r="DT60" s="375"/>
      <c r="DV60" s="373"/>
      <c r="DW60" s="374"/>
      <c r="DX60" s="375"/>
      <c r="DY60" s="375"/>
      <c r="EA60" s="373"/>
      <c r="EB60" s="374"/>
      <c r="EC60" s="375"/>
      <c r="ED60" s="375"/>
      <c r="EF60" s="373"/>
      <c r="EG60" s="374"/>
      <c r="EH60" s="375"/>
      <c r="EI60" s="375"/>
      <c r="EK60" s="373"/>
      <c r="EL60" s="374"/>
      <c r="EM60" s="375"/>
      <c r="EN60" s="375"/>
      <c r="EP60" s="373"/>
      <c r="EQ60" s="374"/>
      <c r="ER60" s="375"/>
      <c r="ES60" s="375"/>
      <c r="EU60" s="373"/>
      <c r="EV60" s="374"/>
      <c r="EW60" s="375"/>
      <c r="EX60" s="375"/>
      <c r="EZ60" s="373"/>
      <c r="FA60" s="374"/>
      <c r="FB60" s="375"/>
      <c r="FC60" s="375"/>
      <c r="FE60" s="373"/>
      <c r="FF60" s="374"/>
      <c r="FG60" s="375"/>
      <c r="FH60" s="375"/>
      <c r="FJ60" s="373"/>
      <c r="FK60" s="374"/>
      <c r="FL60" s="375"/>
      <c r="FM60" s="375"/>
      <c r="FO60" s="373"/>
      <c r="FP60" s="374"/>
      <c r="FQ60" s="375"/>
      <c r="FR60" s="375"/>
      <c r="FT60" s="373"/>
      <c r="FU60" s="374"/>
      <c r="FV60" s="375"/>
      <c r="FW60" s="375"/>
      <c r="FY60" s="373"/>
      <c r="FZ60" s="374"/>
      <c r="GA60" s="375"/>
      <c r="GB60" s="375"/>
      <c r="GD60" s="373"/>
      <c r="GE60" s="374"/>
      <c r="GF60" s="375"/>
      <c r="GG60" s="375"/>
      <c r="GI60" s="373"/>
      <c r="GJ60" s="374"/>
      <c r="GK60" s="375"/>
      <c r="GL60" s="375"/>
      <c r="GN60" s="373"/>
      <c r="GO60" s="374"/>
      <c r="GP60" s="375"/>
      <c r="GQ60" s="375"/>
      <c r="GS60" s="373"/>
      <c r="GT60" s="374"/>
      <c r="GU60" s="375"/>
      <c r="GV60" s="375"/>
      <c r="GX60" s="373"/>
      <c r="GY60" s="374"/>
      <c r="GZ60" s="375"/>
      <c r="HA60" s="375"/>
      <c r="HC60" s="373"/>
      <c r="HD60" s="374"/>
      <c r="HE60" s="375"/>
      <c r="HF60" s="375"/>
      <c r="HH60" s="373"/>
      <c r="HI60" s="374"/>
      <c r="HJ60" s="375"/>
      <c r="HK60" s="375"/>
      <c r="HM60" s="373"/>
      <c r="HN60" s="374"/>
      <c r="HO60" s="375"/>
      <c r="HP60" s="375"/>
      <c r="HR60" s="373"/>
      <c r="HS60" s="374"/>
      <c r="HT60" s="375"/>
      <c r="HU60" s="375"/>
      <c r="HW60" s="373"/>
      <c r="HX60" s="374"/>
      <c r="HY60" s="375"/>
      <c r="HZ60" s="375"/>
      <c r="IB60" s="373"/>
      <c r="IC60" s="374"/>
      <c r="ID60" s="375"/>
      <c r="IE60" s="375"/>
      <c r="IG60" s="373"/>
      <c r="IH60" s="374"/>
      <c r="II60" s="375"/>
      <c r="IJ60" s="375"/>
      <c r="IL60" s="373"/>
      <c r="IM60" s="374"/>
      <c r="IN60" s="375"/>
      <c r="IO60" s="375"/>
      <c r="IQ60" s="373"/>
      <c r="IR60" s="374"/>
      <c r="IS60" s="375"/>
      <c r="IT60" s="375"/>
      <c r="IV60" s="373"/>
    </row>
    <row r="61" spans="1:256" s="376" customFormat="1" x14ac:dyDescent="0.2">
      <c r="A61" s="373"/>
      <c r="B61" s="374"/>
      <c r="C61" s="375"/>
      <c r="D61" s="375"/>
      <c r="F61" s="373"/>
      <c r="G61" s="374"/>
      <c r="H61" s="375"/>
      <c r="I61" s="375"/>
      <c r="K61" s="382">
        <v>59</v>
      </c>
      <c r="L61" s="383" t="s">
        <v>2643</v>
      </c>
      <c r="M61" s="384">
        <v>10.526315789473685</v>
      </c>
      <c r="N61" s="384">
        <v>0.34210526315789475</v>
      </c>
      <c r="P61" s="373">
        <v>59</v>
      </c>
      <c r="Q61" s="374" t="s">
        <v>613</v>
      </c>
      <c r="R61" s="375">
        <v>28.571428571428573</v>
      </c>
      <c r="S61" s="375">
        <v>0.2857142857142857</v>
      </c>
      <c r="U61" s="373"/>
      <c r="V61" s="374"/>
      <c r="W61" s="375"/>
      <c r="X61" s="375"/>
      <c r="Z61" s="373"/>
      <c r="AA61" s="374"/>
      <c r="AB61" s="375"/>
      <c r="AC61" s="375"/>
      <c r="AE61" s="373">
        <v>59</v>
      </c>
      <c r="AF61" s="374" t="s">
        <v>2574</v>
      </c>
      <c r="AG61" s="375">
        <v>20</v>
      </c>
      <c r="AH61" s="375">
        <v>0.2</v>
      </c>
      <c r="AJ61" s="373">
        <v>59</v>
      </c>
      <c r="AK61" s="374" t="s">
        <v>590</v>
      </c>
      <c r="AL61" s="375">
        <v>33.333333333333336</v>
      </c>
      <c r="AM61" s="375">
        <v>0.66666666666666663</v>
      </c>
      <c r="AO61" s="373"/>
      <c r="AP61" s="374"/>
      <c r="AQ61" s="375"/>
      <c r="AR61" s="375"/>
      <c r="AT61" s="373">
        <v>59</v>
      </c>
      <c r="AU61" s="374" t="s">
        <v>357</v>
      </c>
      <c r="AV61" s="375">
        <v>33.333333333333336</v>
      </c>
      <c r="AW61" s="375">
        <v>0.33333333333333331</v>
      </c>
      <c r="AY61" s="373"/>
      <c r="AZ61" s="374"/>
      <c r="BA61" s="375"/>
      <c r="BB61" s="375"/>
      <c r="BD61" s="373"/>
      <c r="BE61" s="374"/>
      <c r="BF61" s="375"/>
      <c r="BG61" s="375"/>
      <c r="BI61" s="373"/>
      <c r="BJ61" s="374"/>
      <c r="BK61" s="375"/>
      <c r="BL61" s="375"/>
      <c r="BN61" s="373"/>
      <c r="BO61" s="374"/>
      <c r="BP61" s="375"/>
      <c r="BQ61" s="375"/>
      <c r="BS61" s="373"/>
      <c r="BT61" s="374"/>
      <c r="BU61" s="375"/>
      <c r="BV61" s="375"/>
      <c r="BX61" s="373"/>
      <c r="BY61" s="374"/>
      <c r="BZ61" s="375"/>
      <c r="CA61" s="375"/>
      <c r="CC61" s="373"/>
      <c r="CD61" s="374"/>
      <c r="CE61" s="375"/>
      <c r="CF61" s="375"/>
      <c r="CH61" s="373"/>
      <c r="CI61" s="374"/>
      <c r="CJ61" s="375"/>
      <c r="CK61" s="375"/>
      <c r="CM61" s="373"/>
      <c r="CN61" s="374"/>
      <c r="CO61" s="375"/>
      <c r="CP61" s="375"/>
      <c r="CR61" s="373"/>
      <c r="CS61" s="374"/>
      <c r="CT61" s="375"/>
      <c r="CU61" s="375"/>
      <c r="CW61" s="373"/>
      <c r="CX61" s="374"/>
      <c r="CY61" s="375"/>
      <c r="CZ61" s="375"/>
      <c r="DB61" s="373"/>
      <c r="DC61" s="374"/>
      <c r="DD61" s="375"/>
      <c r="DE61" s="375"/>
      <c r="DG61" s="373"/>
      <c r="DH61" s="374"/>
      <c r="DI61" s="375"/>
      <c r="DJ61" s="375"/>
      <c r="DL61" s="373"/>
      <c r="DM61" s="374"/>
      <c r="DN61" s="375"/>
      <c r="DO61" s="375"/>
      <c r="DQ61" s="373"/>
      <c r="DR61" s="374"/>
      <c r="DS61" s="375"/>
      <c r="DT61" s="375"/>
      <c r="DV61" s="373"/>
      <c r="DW61" s="374"/>
      <c r="DX61" s="375"/>
      <c r="DY61" s="375"/>
      <c r="EA61" s="373"/>
      <c r="EB61" s="374"/>
      <c r="EC61" s="375"/>
      <c r="ED61" s="375"/>
      <c r="EF61" s="373"/>
      <c r="EG61" s="374"/>
      <c r="EH61" s="375"/>
      <c r="EI61" s="375"/>
      <c r="EK61" s="373"/>
      <c r="EL61" s="374"/>
      <c r="EM61" s="375"/>
      <c r="EN61" s="375"/>
      <c r="EP61" s="373"/>
      <c r="EQ61" s="374"/>
      <c r="ER61" s="375"/>
      <c r="ES61" s="375"/>
      <c r="EU61" s="373"/>
      <c r="EV61" s="374"/>
      <c r="EW61" s="375"/>
      <c r="EX61" s="375"/>
      <c r="EZ61" s="373"/>
      <c r="FA61" s="374"/>
      <c r="FB61" s="375"/>
      <c r="FC61" s="375"/>
      <c r="FE61" s="373"/>
      <c r="FF61" s="374"/>
      <c r="FG61" s="375"/>
      <c r="FH61" s="375"/>
      <c r="FJ61" s="373"/>
      <c r="FK61" s="374"/>
      <c r="FL61" s="375"/>
      <c r="FM61" s="375"/>
      <c r="FO61" s="373"/>
      <c r="FP61" s="374"/>
      <c r="FQ61" s="375"/>
      <c r="FR61" s="375"/>
      <c r="FT61" s="373"/>
      <c r="FU61" s="374"/>
      <c r="FV61" s="375"/>
      <c r="FW61" s="375"/>
      <c r="FY61" s="373"/>
      <c r="FZ61" s="374"/>
      <c r="GA61" s="375"/>
      <c r="GB61" s="375"/>
      <c r="GD61" s="373"/>
      <c r="GE61" s="374"/>
      <c r="GF61" s="375"/>
      <c r="GG61" s="375"/>
      <c r="GI61" s="373"/>
      <c r="GJ61" s="374"/>
      <c r="GK61" s="375"/>
      <c r="GL61" s="375"/>
      <c r="GN61" s="373"/>
      <c r="GO61" s="374"/>
      <c r="GP61" s="375"/>
      <c r="GQ61" s="375"/>
      <c r="GS61" s="373"/>
      <c r="GT61" s="374"/>
      <c r="GU61" s="375"/>
      <c r="GV61" s="375"/>
      <c r="GX61" s="373"/>
      <c r="GY61" s="374"/>
      <c r="GZ61" s="375"/>
      <c r="HA61" s="375"/>
      <c r="HC61" s="373"/>
      <c r="HD61" s="374"/>
      <c r="HE61" s="375"/>
      <c r="HF61" s="375"/>
      <c r="HH61" s="373"/>
      <c r="HI61" s="374"/>
      <c r="HJ61" s="375"/>
      <c r="HK61" s="375"/>
      <c r="HM61" s="373"/>
      <c r="HN61" s="374"/>
      <c r="HO61" s="375"/>
      <c r="HP61" s="375"/>
      <c r="HR61" s="373"/>
      <c r="HS61" s="374"/>
      <c r="HT61" s="375"/>
      <c r="HU61" s="375"/>
      <c r="HW61" s="373"/>
      <c r="HX61" s="374"/>
      <c r="HY61" s="375"/>
      <c r="HZ61" s="375"/>
      <c r="IB61" s="373"/>
      <c r="IC61" s="374"/>
      <c r="ID61" s="375"/>
      <c r="IE61" s="375"/>
      <c r="IG61" s="373"/>
      <c r="IH61" s="374"/>
      <c r="II61" s="375"/>
      <c r="IJ61" s="375"/>
      <c r="IL61" s="373"/>
      <c r="IM61" s="374"/>
      <c r="IN61" s="375"/>
      <c r="IO61" s="375"/>
      <c r="IQ61" s="373"/>
      <c r="IR61" s="374"/>
      <c r="IS61" s="375"/>
      <c r="IT61" s="375"/>
      <c r="IV61" s="373"/>
    </row>
    <row r="62" spans="1:256" s="376" customFormat="1" x14ac:dyDescent="0.2">
      <c r="A62" s="373"/>
      <c r="B62" s="374"/>
      <c r="C62" s="375"/>
      <c r="D62" s="375"/>
      <c r="F62" s="373"/>
      <c r="G62" s="374"/>
      <c r="H62" s="375"/>
      <c r="I62" s="375"/>
      <c r="K62" s="373">
        <v>60</v>
      </c>
      <c r="L62" s="374" t="s">
        <v>2573</v>
      </c>
      <c r="M62" s="375">
        <v>15.789473684210526</v>
      </c>
      <c r="N62" s="375">
        <v>0.31578947368421051</v>
      </c>
      <c r="P62" s="373">
        <v>60</v>
      </c>
      <c r="Q62" s="374" t="s">
        <v>377</v>
      </c>
      <c r="R62" s="375">
        <v>28.571428571428573</v>
      </c>
      <c r="S62" s="375">
        <v>0.2857142857142857</v>
      </c>
      <c r="U62" s="373"/>
      <c r="V62" s="374"/>
      <c r="W62" s="375"/>
      <c r="X62" s="375"/>
      <c r="Z62" s="373"/>
      <c r="AA62" s="374"/>
      <c r="AB62" s="375"/>
      <c r="AC62" s="375"/>
      <c r="AE62" s="373">
        <v>60</v>
      </c>
      <c r="AF62" s="374" t="s">
        <v>386</v>
      </c>
      <c r="AG62" s="375">
        <v>20</v>
      </c>
      <c r="AH62" s="375">
        <v>0.2</v>
      </c>
      <c r="AJ62" s="373">
        <v>60</v>
      </c>
      <c r="AK62" s="374" t="s">
        <v>370</v>
      </c>
      <c r="AL62" s="375">
        <v>33.333333333333336</v>
      </c>
      <c r="AM62" s="375">
        <v>0.66666666666666663</v>
      </c>
      <c r="AO62" s="373"/>
      <c r="AP62" s="374"/>
      <c r="AQ62" s="375"/>
      <c r="AR62" s="375"/>
      <c r="AT62" s="373">
        <v>60</v>
      </c>
      <c r="AU62" s="374" t="s">
        <v>410</v>
      </c>
      <c r="AV62" s="375">
        <v>33.333333333333336</v>
      </c>
      <c r="AW62" s="375">
        <v>0.33333333333333331</v>
      </c>
      <c r="AY62" s="373"/>
      <c r="AZ62" s="374"/>
      <c r="BA62" s="375"/>
      <c r="BB62" s="375"/>
      <c r="BD62" s="373"/>
      <c r="BE62" s="374"/>
      <c r="BF62" s="375"/>
      <c r="BG62" s="375"/>
      <c r="BI62" s="373"/>
      <c r="BJ62" s="374"/>
      <c r="BK62" s="375"/>
      <c r="BL62" s="375"/>
      <c r="BN62" s="373"/>
      <c r="BO62" s="374"/>
      <c r="BP62" s="375"/>
      <c r="BQ62" s="375"/>
      <c r="BS62" s="373"/>
      <c r="BT62" s="374"/>
      <c r="BU62" s="375"/>
      <c r="BV62" s="375"/>
      <c r="BX62" s="373"/>
      <c r="BY62" s="374"/>
      <c r="BZ62" s="375"/>
      <c r="CA62" s="375"/>
      <c r="CC62" s="373"/>
      <c r="CD62" s="374"/>
      <c r="CE62" s="375"/>
      <c r="CF62" s="375"/>
      <c r="CH62" s="373"/>
      <c r="CI62" s="374"/>
      <c r="CJ62" s="375"/>
      <c r="CK62" s="375"/>
      <c r="CM62" s="373"/>
      <c r="CN62" s="374"/>
      <c r="CO62" s="375"/>
      <c r="CP62" s="375"/>
      <c r="CR62" s="373"/>
      <c r="CS62" s="374"/>
      <c r="CT62" s="375"/>
      <c r="CU62" s="375"/>
      <c r="CW62" s="373"/>
      <c r="CX62" s="374"/>
      <c r="CY62" s="375"/>
      <c r="CZ62" s="375"/>
      <c r="DB62" s="373"/>
      <c r="DC62" s="374"/>
      <c r="DD62" s="375"/>
      <c r="DE62" s="375"/>
      <c r="DG62" s="373"/>
      <c r="DH62" s="374"/>
      <c r="DI62" s="375"/>
      <c r="DJ62" s="375"/>
      <c r="DL62" s="373"/>
      <c r="DM62" s="374"/>
      <c r="DN62" s="375"/>
      <c r="DO62" s="375"/>
      <c r="DQ62" s="373"/>
      <c r="DR62" s="374"/>
      <c r="DS62" s="375"/>
      <c r="DT62" s="375"/>
      <c r="DV62" s="373"/>
      <c r="DW62" s="374"/>
      <c r="DX62" s="375"/>
      <c r="DY62" s="375"/>
      <c r="EA62" s="373"/>
      <c r="EB62" s="374"/>
      <c r="EC62" s="375"/>
      <c r="ED62" s="375"/>
      <c r="EF62" s="373"/>
      <c r="EG62" s="374"/>
      <c r="EH62" s="375"/>
      <c r="EI62" s="375"/>
      <c r="EK62" s="373"/>
      <c r="EL62" s="374"/>
      <c r="EM62" s="375"/>
      <c r="EN62" s="375"/>
      <c r="EP62" s="373"/>
      <c r="EQ62" s="374"/>
      <c r="ER62" s="375"/>
      <c r="ES62" s="375"/>
      <c r="EU62" s="373"/>
      <c r="EV62" s="374"/>
      <c r="EW62" s="375"/>
      <c r="EX62" s="375"/>
      <c r="EZ62" s="373"/>
      <c r="FA62" s="374"/>
      <c r="FB62" s="375"/>
      <c r="FC62" s="375"/>
      <c r="FE62" s="373"/>
      <c r="FF62" s="374"/>
      <c r="FG62" s="375"/>
      <c r="FH62" s="375"/>
      <c r="FJ62" s="373"/>
      <c r="FK62" s="374"/>
      <c r="FL62" s="375"/>
      <c r="FM62" s="375"/>
      <c r="FO62" s="373"/>
      <c r="FP62" s="374"/>
      <c r="FQ62" s="375"/>
      <c r="FR62" s="375"/>
      <c r="FT62" s="373"/>
      <c r="FU62" s="374"/>
      <c r="FV62" s="375"/>
      <c r="FW62" s="375"/>
      <c r="FY62" s="373"/>
      <c r="FZ62" s="374"/>
      <c r="GA62" s="375"/>
      <c r="GB62" s="375"/>
      <c r="GD62" s="373"/>
      <c r="GE62" s="374"/>
      <c r="GF62" s="375"/>
      <c r="GG62" s="375"/>
      <c r="GI62" s="373"/>
      <c r="GJ62" s="374"/>
      <c r="GK62" s="375"/>
      <c r="GL62" s="375"/>
      <c r="GN62" s="373"/>
      <c r="GO62" s="374"/>
      <c r="GP62" s="375"/>
      <c r="GQ62" s="375"/>
      <c r="GS62" s="373"/>
      <c r="GT62" s="374"/>
      <c r="GU62" s="375"/>
      <c r="GV62" s="375"/>
      <c r="GX62" s="373"/>
      <c r="GY62" s="374"/>
      <c r="GZ62" s="375"/>
      <c r="HA62" s="375"/>
      <c r="HC62" s="373"/>
      <c r="HD62" s="374"/>
      <c r="HE62" s="375"/>
      <c r="HF62" s="375"/>
      <c r="HH62" s="373"/>
      <c r="HI62" s="374"/>
      <c r="HJ62" s="375"/>
      <c r="HK62" s="375"/>
      <c r="HM62" s="373"/>
      <c r="HN62" s="374"/>
      <c r="HO62" s="375"/>
      <c r="HP62" s="375"/>
      <c r="HR62" s="373"/>
      <c r="HS62" s="374"/>
      <c r="HT62" s="375"/>
      <c r="HU62" s="375"/>
      <c r="HW62" s="373"/>
      <c r="HX62" s="374"/>
      <c r="HY62" s="375"/>
      <c r="HZ62" s="375"/>
      <c r="IB62" s="373"/>
      <c r="IC62" s="374"/>
      <c r="ID62" s="375"/>
      <c r="IE62" s="375"/>
      <c r="IG62" s="373"/>
      <c r="IH62" s="374"/>
      <c r="II62" s="375"/>
      <c r="IJ62" s="375"/>
      <c r="IL62" s="373"/>
      <c r="IM62" s="374"/>
      <c r="IN62" s="375"/>
      <c r="IO62" s="375"/>
      <c r="IQ62" s="373"/>
      <c r="IR62" s="374"/>
      <c r="IS62" s="375"/>
      <c r="IT62" s="375"/>
      <c r="IV62" s="373"/>
    </row>
    <row r="63" spans="1:256" s="376" customFormat="1" x14ac:dyDescent="0.2">
      <c r="A63" s="373"/>
      <c r="B63" s="374"/>
      <c r="C63" s="375"/>
      <c r="D63" s="375"/>
      <c r="F63" s="373"/>
      <c r="G63" s="374"/>
      <c r="H63" s="375"/>
      <c r="I63" s="375"/>
      <c r="K63" s="373">
        <v>61</v>
      </c>
      <c r="L63" s="374" t="s">
        <v>2638</v>
      </c>
      <c r="M63" s="375">
        <v>26.315789473684209</v>
      </c>
      <c r="N63" s="375">
        <v>0.31578947368421051</v>
      </c>
      <c r="P63" s="373">
        <v>61</v>
      </c>
      <c r="Q63" s="374" t="s">
        <v>411</v>
      </c>
      <c r="R63" s="375">
        <v>14.285714285714286</v>
      </c>
      <c r="S63" s="375">
        <v>0.2857142857142857</v>
      </c>
      <c r="U63" s="373"/>
      <c r="V63" s="374"/>
      <c r="W63" s="375"/>
      <c r="X63" s="375"/>
      <c r="Z63" s="373"/>
      <c r="AA63" s="374"/>
      <c r="AB63" s="375"/>
      <c r="AC63" s="375"/>
      <c r="AE63" s="373">
        <v>61</v>
      </c>
      <c r="AF63" s="374" t="s">
        <v>2622</v>
      </c>
      <c r="AG63" s="375">
        <v>40</v>
      </c>
      <c r="AH63" s="375">
        <v>0.2</v>
      </c>
      <c r="AJ63" s="373">
        <v>61</v>
      </c>
      <c r="AK63" s="374" t="s">
        <v>450</v>
      </c>
      <c r="AL63" s="375">
        <v>66.666666666666671</v>
      </c>
      <c r="AM63" s="375">
        <v>0.5</v>
      </c>
      <c r="AO63" s="373"/>
      <c r="AP63" s="374"/>
      <c r="AQ63" s="375"/>
      <c r="AR63" s="375"/>
      <c r="AT63" s="373">
        <v>61</v>
      </c>
      <c r="AU63" s="374" t="s">
        <v>2573</v>
      </c>
      <c r="AV63" s="375">
        <v>33.333333333333336</v>
      </c>
      <c r="AW63" s="375">
        <v>0.33333333333333331</v>
      </c>
      <c r="AY63" s="373"/>
      <c r="AZ63" s="374"/>
      <c r="BA63" s="375"/>
      <c r="BB63" s="375"/>
      <c r="BD63" s="373"/>
      <c r="BE63" s="374"/>
      <c r="BF63" s="375"/>
      <c r="BG63" s="375"/>
      <c r="BI63" s="373"/>
      <c r="BJ63" s="374"/>
      <c r="BK63" s="375"/>
      <c r="BL63" s="375"/>
      <c r="BN63" s="373"/>
      <c r="BO63" s="374"/>
      <c r="BP63" s="375"/>
      <c r="BQ63" s="375"/>
      <c r="BS63" s="373"/>
      <c r="BT63" s="374"/>
      <c r="BU63" s="375"/>
      <c r="BV63" s="375"/>
      <c r="BX63" s="373"/>
      <c r="BY63" s="374"/>
      <c r="BZ63" s="375"/>
      <c r="CA63" s="375"/>
      <c r="CC63" s="373"/>
      <c r="CD63" s="374"/>
      <c r="CE63" s="375"/>
      <c r="CF63" s="375"/>
      <c r="CH63" s="373"/>
      <c r="CI63" s="374"/>
      <c r="CJ63" s="375"/>
      <c r="CK63" s="375"/>
      <c r="CM63" s="373"/>
      <c r="CN63" s="374"/>
      <c r="CO63" s="375"/>
      <c r="CP63" s="375"/>
      <c r="CR63" s="373"/>
      <c r="CS63" s="374"/>
      <c r="CT63" s="375"/>
      <c r="CU63" s="375"/>
      <c r="CW63" s="373"/>
      <c r="CX63" s="374"/>
      <c r="CY63" s="375"/>
      <c r="CZ63" s="375"/>
      <c r="DB63" s="373"/>
      <c r="DC63" s="374"/>
      <c r="DD63" s="375"/>
      <c r="DE63" s="375"/>
      <c r="DG63" s="373"/>
      <c r="DH63" s="374"/>
      <c r="DI63" s="375"/>
      <c r="DJ63" s="375"/>
      <c r="DL63" s="373"/>
      <c r="DM63" s="374"/>
      <c r="DN63" s="375"/>
      <c r="DO63" s="375"/>
      <c r="DQ63" s="373"/>
      <c r="DR63" s="374"/>
      <c r="DS63" s="375"/>
      <c r="DT63" s="375"/>
      <c r="DV63" s="373"/>
      <c r="DW63" s="374"/>
      <c r="DX63" s="375"/>
      <c r="DY63" s="375"/>
      <c r="EA63" s="373"/>
      <c r="EB63" s="374"/>
      <c r="EC63" s="375"/>
      <c r="ED63" s="375"/>
      <c r="EF63" s="373"/>
      <c r="EG63" s="374"/>
      <c r="EH63" s="375"/>
      <c r="EI63" s="375"/>
      <c r="EK63" s="373"/>
      <c r="EL63" s="374"/>
      <c r="EM63" s="375"/>
      <c r="EN63" s="375"/>
      <c r="EP63" s="373"/>
      <c r="EQ63" s="374"/>
      <c r="ER63" s="375"/>
      <c r="ES63" s="375"/>
      <c r="EU63" s="373"/>
      <c r="EV63" s="374"/>
      <c r="EW63" s="375"/>
      <c r="EX63" s="375"/>
      <c r="EZ63" s="373"/>
      <c r="FA63" s="374"/>
      <c r="FB63" s="375"/>
      <c r="FC63" s="375"/>
      <c r="FE63" s="373"/>
      <c r="FF63" s="374"/>
      <c r="FG63" s="375"/>
      <c r="FH63" s="375"/>
      <c r="FJ63" s="373"/>
      <c r="FK63" s="374"/>
      <c r="FL63" s="375"/>
      <c r="FM63" s="375"/>
      <c r="FO63" s="373"/>
      <c r="FP63" s="374"/>
      <c r="FQ63" s="375"/>
      <c r="FR63" s="375"/>
      <c r="FT63" s="373"/>
      <c r="FU63" s="374"/>
      <c r="FV63" s="375"/>
      <c r="FW63" s="375"/>
      <c r="FY63" s="373"/>
      <c r="FZ63" s="374"/>
      <c r="GA63" s="375"/>
      <c r="GB63" s="375"/>
      <c r="GD63" s="373"/>
      <c r="GE63" s="374"/>
      <c r="GF63" s="375"/>
      <c r="GG63" s="375"/>
      <c r="GI63" s="373"/>
      <c r="GJ63" s="374"/>
      <c r="GK63" s="375"/>
      <c r="GL63" s="375"/>
      <c r="GN63" s="373"/>
      <c r="GO63" s="374"/>
      <c r="GP63" s="375"/>
      <c r="GQ63" s="375"/>
      <c r="GS63" s="373"/>
      <c r="GT63" s="374"/>
      <c r="GU63" s="375"/>
      <c r="GV63" s="375"/>
      <c r="GX63" s="373"/>
      <c r="GY63" s="374"/>
      <c r="GZ63" s="375"/>
      <c r="HA63" s="375"/>
      <c r="HC63" s="373"/>
      <c r="HD63" s="374"/>
      <c r="HE63" s="375"/>
      <c r="HF63" s="375"/>
      <c r="HH63" s="373"/>
      <c r="HI63" s="374"/>
      <c r="HJ63" s="375"/>
      <c r="HK63" s="375"/>
      <c r="HM63" s="373"/>
      <c r="HN63" s="374"/>
      <c r="HO63" s="375"/>
      <c r="HP63" s="375"/>
      <c r="HR63" s="373"/>
      <c r="HS63" s="374"/>
      <c r="HT63" s="375"/>
      <c r="HU63" s="375"/>
      <c r="HW63" s="373"/>
      <c r="HX63" s="374"/>
      <c r="HY63" s="375"/>
      <c r="HZ63" s="375"/>
      <c r="IB63" s="373"/>
      <c r="IC63" s="374"/>
      <c r="ID63" s="375"/>
      <c r="IE63" s="375"/>
      <c r="IG63" s="373"/>
      <c r="IH63" s="374"/>
      <c r="II63" s="375"/>
      <c r="IJ63" s="375"/>
      <c r="IL63" s="373"/>
      <c r="IM63" s="374"/>
      <c r="IN63" s="375"/>
      <c r="IO63" s="375"/>
      <c r="IQ63" s="373"/>
      <c r="IR63" s="374"/>
      <c r="IS63" s="375"/>
      <c r="IT63" s="375"/>
      <c r="IV63" s="373"/>
    </row>
    <row r="64" spans="1:256" s="376" customFormat="1" x14ac:dyDescent="0.2">
      <c r="A64" s="373"/>
      <c r="B64" s="374"/>
      <c r="C64" s="375"/>
      <c r="D64" s="375"/>
      <c r="F64" s="373"/>
      <c r="G64" s="374"/>
      <c r="H64" s="375"/>
      <c r="I64" s="375"/>
      <c r="K64" s="373">
        <v>62</v>
      </c>
      <c r="L64" s="374" t="s">
        <v>371</v>
      </c>
      <c r="M64" s="375">
        <v>10.526315789473685</v>
      </c>
      <c r="N64" s="375">
        <v>0.31578947368421051</v>
      </c>
      <c r="P64" s="373">
        <v>62</v>
      </c>
      <c r="Q64" s="374" t="s">
        <v>366</v>
      </c>
      <c r="R64" s="375">
        <v>14.285714285714286</v>
      </c>
      <c r="S64" s="375">
        <v>0.2857142857142857</v>
      </c>
      <c r="U64" s="373"/>
      <c r="V64" s="374"/>
      <c r="W64" s="375"/>
      <c r="X64" s="375"/>
      <c r="Z64" s="373"/>
      <c r="AA64" s="374"/>
      <c r="AB64" s="375"/>
      <c r="AC64" s="375"/>
      <c r="AE64" s="373">
        <v>62</v>
      </c>
      <c r="AF64" s="374" t="s">
        <v>583</v>
      </c>
      <c r="AG64" s="375">
        <v>20</v>
      </c>
      <c r="AH64" s="375">
        <v>0.2</v>
      </c>
      <c r="AJ64" s="373">
        <v>62</v>
      </c>
      <c r="AK64" s="374" t="s">
        <v>341</v>
      </c>
      <c r="AL64" s="375">
        <v>66.666666666666671</v>
      </c>
      <c r="AM64" s="375">
        <v>0.5</v>
      </c>
      <c r="AO64" s="373"/>
      <c r="AP64" s="374"/>
      <c r="AQ64" s="375"/>
      <c r="AR64" s="375"/>
      <c r="AT64" s="335">
        <v>62</v>
      </c>
      <c r="AU64" s="336" t="s">
        <v>429</v>
      </c>
      <c r="AV64" s="337">
        <v>33.333333333333336</v>
      </c>
      <c r="AW64" s="337">
        <v>0.33333333333333331</v>
      </c>
      <c r="AY64" s="373"/>
      <c r="AZ64" s="374"/>
      <c r="BA64" s="375"/>
      <c r="BB64" s="375"/>
      <c r="BD64" s="373"/>
      <c r="BE64" s="374"/>
      <c r="BF64" s="375"/>
      <c r="BG64" s="375"/>
      <c r="BI64" s="373"/>
      <c r="BJ64" s="374"/>
      <c r="BK64" s="375"/>
      <c r="BL64" s="375"/>
      <c r="BN64" s="373"/>
      <c r="BO64" s="374"/>
      <c r="BP64" s="375"/>
      <c r="BQ64" s="375"/>
      <c r="BS64" s="373"/>
      <c r="BT64" s="374"/>
      <c r="BU64" s="375"/>
      <c r="BV64" s="375"/>
      <c r="BX64" s="373"/>
      <c r="BY64" s="374"/>
      <c r="BZ64" s="375"/>
      <c r="CA64" s="375"/>
      <c r="CC64" s="373"/>
      <c r="CD64" s="374"/>
      <c r="CE64" s="375"/>
      <c r="CF64" s="375"/>
      <c r="CH64" s="373"/>
      <c r="CI64" s="374"/>
      <c r="CJ64" s="375"/>
      <c r="CK64" s="375"/>
      <c r="CM64" s="373"/>
      <c r="CN64" s="374"/>
      <c r="CO64" s="375"/>
      <c r="CP64" s="375"/>
      <c r="CR64" s="373"/>
      <c r="CS64" s="374"/>
      <c r="CT64" s="375"/>
      <c r="CU64" s="375"/>
      <c r="CW64" s="373"/>
      <c r="CX64" s="374"/>
      <c r="CY64" s="375"/>
      <c r="CZ64" s="375"/>
      <c r="DB64" s="373"/>
      <c r="DC64" s="374"/>
      <c r="DD64" s="375"/>
      <c r="DE64" s="375"/>
      <c r="DG64" s="373"/>
      <c r="DH64" s="374"/>
      <c r="DI64" s="375"/>
      <c r="DJ64" s="375"/>
      <c r="DL64" s="373"/>
      <c r="DM64" s="374"/>
      <c r="DN64" s="375"/>
      <c r="DO64" s="375"/>
      <c r="DQ64" s="373"/>
      <c r="DR64" s="374"/>
      <c r="DS64" s="375"/>
      <c r="DT64" s="375"/>
      <c r="DV64" s="373"/>
      <c r="DW64" s="374"/>
      <c r="DX64" s="375"/>
      <c r="DY64" s="375"/>
      <c r="EA64" s="373"/>
      <c r="EB64" s="374"/>
      <c r="EC64" s="375"/>
      <c r="ED64" s="375"/>
      <c r="EF64" s="373"/>
      <c r="EG64" s="374"/>
      <c r="EH64" s="375"/>
      <c r="EI64" s="375"/>
      <c r="EK64" s="373"/>
      <c r="EL64" s="374"/>
      <c r="EM64" s="375"/>
      <c r="EN64" s="375"/>
      <c r="EP64" s="373"/>
      <c r="EQ64" s="374"/>
      <c r="ER64" s="375"/>
      <c r="ES64" s="375"/>
      <c r="EU64" s="373"/>
      <c r="EV64" s="374"/>
      <c r="EW64" s="375"/>
      <c r="EX64" s="375"/>
      <c r="EZ64" s="373"/>
      <c r="FA64" s="374"/>
      <c r="FB64" s="375"/>
      <c r="FC64" s="375"/>
      <c r="FE64" s="373"/>
      <c r="FF64" s="374"/>
      <c r="FG64" s="375"/>
      <c r="FH64" s="375"/>
      <c r="FJ64" s="373"/>
      <c r="FK64" s="374"/>
      <c r="FL64" s="375"/>
      <c r="FM64" s="375"/>
      <c r="FO64" s="373"/>
      <c r="FP64" s="374"/>
      <c r="FQ64" s="375"/>
      <c r="FR64" s="375"/>
      <c r="FT64" s="373"/>
      <c r="FU64" s="374"/>
      <c r="FV64" s="375"/>
      <c r="FW64" s="375"/>
      <c r="FY64" s="373"/>
      <c r="FZ64" s="374"/>
      <c r="GA64" s="375"/>
      <c r="GB64" s="375"/>
      <c r="GD64" s="373"/>
      <c r="GE64" s="374"/>
      <c r="GF64" s="375"/>
      <c r="GG64" s="375"/>
      <c r="GI64" s="373"/>
      <c r="GJ64" s="374"/>
      <c r="GK64" s="375"/>
      <c r="GL64" s="375"/>
      <c r="GN64" s="373"/>
      <c r="GO64" s="374"/>
      <c r="GP64" s="375"/>
      <c r="GQ64" s="375"/>
      <c r="GS64" s="373"/>
      <c r="GT64" s="374"/>
      <c r="GU64" s="375"/>
      <c r="GV64" s="375"/>
      <c r="GX64" s="373"/>
      <c r="GY64" s="374"/>
      <c r="GZ64" s="375"/>
      <c r="HA64" s="375"/>
      <c r="HC64" s="373"/>
      <c r="HD64" s="374"/>
      <c r="HE64" s="375"/>
      <c r="HF64" s="375"/>
      <c r="HH64" s="373"/>
      <c r="HI64" s="374"/>
      <c r="HJ64" s="375"/>
      <c r="HK64" s="375"/>
      <c r="HM64" s="373"/>
      <c r="HN64" s="374"/>
      <c r="HO64" s="375"/>
      <c r="HP64" s="375"/>
      <c r="HR64" s="373"/>
      <c r="HS64" s="374"/>
      <c r="HT64" s="375"/>
      <c r="HU64" s="375"/>
      <c r="HW64" s="373"/>
      <c r="HX64" s="374"/>
      <c r="HY64" s="375"/>
      <c r="HZ64" s="375"/>
      <c r="IB64" s="373"/>
      <c r="IC64" s="374"/>
      <c r="ID64" s="375"/>
      <c r="IE64" s="375"/>
      <c r="IG64" s="373"/>
      <c r="IH64" s="374"/>
      <c r="II64" s="375"/>
      <c r="IJ64" s="375"/>
      <c r="IL64" s="373"/>
      <c r="IM64" s="374"/>
      <c r="IN64" s="375"/>
      <c r="IO64" s="375"/>
      <c r="IQ64" s="373"/>
      <c r="IR64" s="374"/>
      <c r="IS64" s="375"/>
      <c r="IT64" s="375"/>
      <c r="IV64" s="373"/>
    </row>
    <row r="65" spans="1:256" s="376" customFormat="1" x14ac:dyDescent="0.2">
      <c r="A65" s="373"/>
      <c r="B65" s="374"/>
      <c r="C65" s="375"/>
      <c r="D65" s="375"/>
      <c r="F65" s="373"/>
      <c r="G65" s="374"/>
      <c r="H65" s="375"/>
      <c r="I65" s="375"/>
      <c r="K65" s="373">
        <v>63</v>
      </c>
      <c r="L65" s="374" t="s">
        <v>451</v>
      </c>
      <c r="M65" s="375">
        <v>15.789473684210526</v>
      </c>
      <c r="N65" s="375">
        <v>0.31578947368421051</v>
      </c>
      <c r="P65" s="373">
        <v>63</v>
      </c>
      <c r="Q65" s="374" t="s">
        <v>425</v>
      </c>
      <c r="R65" s="375">
        <v>14.285714285714286</v>
      </c>
      <c r="S65" s="375">
        <v>0.2857142857142857</v>
      </c>
      <c r="U65" s="373"/>
      <c r="V65" s="374"/>
      <c r="W65" s="375"/>
      <c r="X65" s="375"/>
      <c r="Z65" s="373"/>
      <c r="AA65" s="374"/>
      <c r="AB65" s="375"/>
      <c r="AC65" s="375"/>
      <c r="AE65" s="382">
        <v>63</v>
      </c>
      <c r="AF65" s="383" t="s">
        <v>457</v>
      </c>
      <c r="AG65" s="384">
        <v>20</v>
      </c>
      <c r="AH65" s="384">
        <v>0.2</v>
      </c>
      <c r="AJ65" s="373">
        <v>63</v>
      </c>
      <c r="AK65" s="374" t="s">
        <v>372</v>
      </c>
      <c r="AL65" s="375">
        <v>66.666666666666671</v>
      </c>
      <c r="AM65" s="375">
        <v>0.5</v>
      </c>
      <c r="AO65" s="373"/>
      <c r="AP65" s="374"/>
      <c r="AQ65" s="375"/>
      <c r="AR65" s="375"/>
      <c r="AT65" s="373">
        <v>63</v>
      </c>
      <c r="AU65" s="374" t="s">
        <v>438</v>
      </c>
      <c r="AV65" s="375">
        <v>33.333333333333336</v>
      </c>
      <c r="AW65" s="375">
        <v>0.33333333333333331</v>
      </c>
      <c r="AY65" s="373"/>
      <c r="AZ65" s="374"/>
      <c r="BA65" s="375"/>
      <c r="BB65" s="375"/>
      <c r="BD65" s="373"/>
      <c r="BE65" s="374"/>
      <c r="BF65" s="375"/>
      <c r="BG65" s="375"/>
      <c r="BI65" s="373"/>
      <c r="BJ65" s="374"/>
      <c r="BK65" s="375"/>
      <c r="BL65" s="375"/>
      <c r="BN65" s="373"/>
      <c r="BO65" s="374"/>
      <c r="BP65" s="375"/>
      <c r="BQ65" s="375"/>
      <c r="BS65" s="373"/>
      <c r="BT65" s="374"/>
      <c r="BU65" s="375"/>
      <c r="BV65" s="375"/>
      <c r="BX65" s="373"/>
      <c r="BY65" s="374"/>
      <c r="BZ65" s="375"/>
      <c r="CA65" s="375"/>
      <c r="CC65" s="373"/>
      <c r="CD65" s="374"/>
      <c r="CE65" s="375"/>
      <c r="CF65" s="375"/>
      <c r="CH65" s="373"/>
      <c r="CI65" s="374"/>
      <c r="CJ65" s="375"/>
      <c r="CK65" s="375"/>
      <c r="CM65" s="373"/>
      <c r="CN65" s="374"/>
      <c r="CO65" s="375"/>
      <c r="CP65" s="375"/>
      <c r="CR65" s="373"/>
      <c r="CS65" s="374"/>
      <c r="CT65" s="375"/>
      <c r="CU65" s="375"/>
      <c r="CW65" s="373"/>
      <c r="CX65" s="374"/>
      <c r="CY65" s="375"/>
      <c r="CZ65" s="375"/>
      <c r="DB65" s="373"/>
      <c r="DC65" s="374"/>
      <c r="DD65" s="375"/>
      <c r="DE65" s="375"/>
      <c r="DG65" s="373"/>
      <c r="DH65" s="374"/>
      <c r="DI65" s="375"/>
      <c r="DJ65" s="375"/>
      <c r="DL65" s="373"/>
      <c r="DM65" s="374"/>
      <c r="DN65" s="375"/>
      <c r="DO65" s="375"/>
      <c r="DQ65" s="373"/>
      <c r="DR65" s="374"/>
      <c r="DS65" s="375"/>
      <c r="DT65" s="375"/>
      <c r="DV65" s="373"/>
      <c r="DW65" s="374"/>
      <c r="DX65" s="375"/>
      <c r="DY65" s="375"/>
      <c r="EA65" s="373"/>
      <c r="EB65" s="374"/>
      <c r="EC65" s="375"/>
      <c r="ED65" s="375"/>
      <c r="EF65" s="373"/>
      <c r="EG65" s="374"/>
      <c r="EH65" s="375"/>
      <c r="EI65" s="375"/>
      <c r="EK65" s="373"/>
      <c r="EL65" s="374"/>
      <c r="EM65" s="375"/>
      <c r="EN65" s="375"/>
      <c r="EP65" s="373"/>
      <c r="EQ65" s="374"/>
      <c r="ER65" s="375"/>
      <c r="ES65" s="375"/>
      <c r="EU65" s="373"/>
      <c r="EV65" s="374"/>
      <c r="EW65" s="375"/>
      <c r="EX65" s="375"/>
      <c r="EZ65" s="373"/>
      <c r="FA65" s="374"/>
      <c r="FB65" s="375"/>
      <c r="FC65" s="375"/>
      <c r="FE65" s="373"/>
      <c r="FF65" s="374"/>
      <c r="FG65" s="375"/>
      <c r="FH65" s="375"/>
      <c r="FJ65" s="373"/>
      <c r="FK65" s="374"/>
      <c r="FL65" s="375"/>
      <c r="FM65" s="375"/>
      <c r="FO65" s="373"/>
      <c r="FP65" s="374"/>
      <c r="FQ65" s="375"/>
      <c r="FR65" s="375"/>
      <c r="FT65" s="373"/>
      <c r="FU65" s="374"/>
      <c r="FV65" s="375"/>
      <c r="FW65" s="375"/>
      <c r="FY65" s="373"/>
      <c r="FZ65" s="374"/>
      <c r="GA65" s="375"/>
      <c r="GB65" s="375"/>
      <c r="GD65" s="373"/>
      <c r="GE65" s="374"/>
      <c r="GF65" s="375"/>
      <c r="GG65" s="375"/>
      <c r="GI65" s="373"/>
      <c r="GJ65" s="374"/>
      <c r="GK65" s="375"/>
      <c r="GL65" s="375"/>
      <c r="GN65" s="373"/>
      <c r="GO65" s="374"/>
      <c r="GP65" s="375"/>
      <c r="GQ65" s="375"/>
      <c r="GS65" s="373"/>
      <c r="GT65" s="374"/>
      <c r="GU65" s="375"/>
      <c r="GV65" s="375"/>
      <c r="GX65" s="373"/>
      <c r="GY65" s="374"/>
      <c r="GZ65" s="375"/>
      <c r="HA65" s="375"/>
      <c r="HC65" s="373"/>
      <c r="HD65" s="374"/>
      <c r="HE65" s="375"/>
      <c r="HF65" s="375"/>
      <c r="HH65" s="373"/>
      <c r="HI65" s="374"/>
      <c r="HJ65" s="375"/>
      <c r="HK65" s="375"/>
      <c r="HM65" s="373"/>
      <c r="HN65" s="374"/>
      <c r="HO65" s="375"/>
      <c r="HP65" s="375"/>
      <c r="HR65" s="373"/>
      <c r="HS65" s="374"/>
      <c r="HT65" s="375"/>
      <c r="HU65" s="375"/>
      <c r="HW65" s="373"/>
      <c r="HX65" s="374"/>
      <c r="HY65" s="375"/>
      <c r="HZ65" s="375"/>
      <c r="IB65" s="373"/>
      <c r="IC65" s="374"/>
      <c r="ID65" s="375"/>
      <c r="IE65" s="375"/>
      <c r="IG65" s="373"/>
      <c r="IH65" s="374"/>
      <c r="II65" s="375"/>
      <c r="IJ65" s="375"/>
      <c r="IL65" s="373"/>
      <c r="IM65" s="374"/>
      <c r="IN65" s="375"/>
      <c r="IO65" s="375"/>
      <c r="IQ65" s="373"/>
      <c r="IR65" s="374"/>
      <c r="IS65" s="375"/>
      <c r="IT65" s="375"/>
      <c r="IV65" s="373"/>
    </row>
    <row r="66" spans="1:256" s="376" customFormat="1" x14ac:dyDescent="0.2">
      <c r="A66" s="373"/>
      <c r="B66" s="374"/>
      <c r="C66" s="375"/>
      <c r="D66" s="375"/>
      <c r="F66" s="373"/>
      <c r="G66" s="374"/>
      <c r="H66" s="375"/>
      <c r="I66" s="375"/>
      <c r="K66" s="373">
        <v>64</v>
      </c>
      <c r="L66" s="374" t="s">
        <v>399</v>
      </c>
      <c r="M66" s="375">
        <v>10.526315789473685</v>
      </c>
      <c r="N66" s="375">
        <v>0.31578947368421051</v>
      </c>
      <c r="P66" s="373">
        <v>64</v>
      </c>
      <c r="Q66" s="374" t="s">
        <v>386</v>
      </c>
      <c r="R66" s="375">
        <v>14.285714285714286</v>
      </c>
      <c r="S66" s="375">
        <v>0.2857142857142857</v>
      </c>
      <c r="U66" s="373"/>
      <c r="V66" s="374"/>
      <c r="W66" s="375"/>
      <c r="X66" s="375"/>
      <c r="Z66" s="373"/>
      <c r="AA66" s="374"/>
      <c r="AB66" s="375"/>
      <c r="AC66" s="375"/>
      <c r="AE66" s="373">
        <v>64</v>
      </c>
      <c r="AF66" s="374" t="s">
        <v>407</v>
      </c>
      <c r="AG66" s="375">
        <v>20</v>
      </c>
      <c r="AH66" s="375">
        <v>0.1</v>
      </c>
      <c r="AJ66" s="373">
        <v>64</v>
      </c>
      <c r="AK66" s="374" t="s">
        <v>2603</v>
      </c>
      <c r="AL66" s="375">
        <v>33.333333333333336</v>
      </c>
      <c r="AM66" s="375">
        <v>0.33333333333333331</v>
      </c>
      <c r="AO66" s="373"/>
      <c r="AP66" s="374"/>
      <c r="AQ66" s="375"/>
      <c r="AR66" s="375"/>
      <c r="AT66" s="373">
        <v>64</v>
      </c>
      <c r="AU66" s="374" t="s">
        <v>571</v>
      </c>
      <c r="AV66" s="375">
        <v>66.666666666666671</v>
      </c>
      <c r="AW66" s="375">
        <v>0.33333333333333331</v>
      </c>
      <c r="AY66" s="373"/>
      <c r="AZ66" s="374"/>
      <c r="BA66" s="375"/>
      <c r="BB66" s="375"/>
      <c r="BD66" s="373"/>
      <c r="BE66" s="374"/>
      <c r="BF66" s="375"/>
      <c r="BG66" s="375"/>
      <c r="BI66" s="373"/>
      <c r="BJ66" s="374"/>
      <c r="BK66" s="375"/>
      <c r="BL66" s="375"/>
      <c r="BN66" s="373"/>
      <c r="BO66" s="374"/>
      <c r="BP66" s="375"/>
      <c r="BQ66" s="375"/>
      <c r="BS66" s="373"/>
      <c r="BT66" s="374"/>
      <c r="BU66" s="375"/>
      <c r="BV66" s="375"/>
      <c r="BX66" s="373"/>
      <c r="BY66" s="374"/>
      <c r="BZ66" s="375"/>
      <c r="CA66" s="375"/>
      <c r="CC66" s="373"/>
      <c r="CD66" s="374"/>
      <c r="CE66" s="375"/>
      <c r="CF66" s="375"/>
      <c r="CH66" s="373"/>
      <c r="CI66" s="374"/>
      <c r="CJ66" s="375"/>
      <c r="CK66" s="375"/>
      <c r="CM66" s="373"/>
      <c r="CN66" s="374"/>
      <c r="CO66" s="375"/>
      <c r="CP66" s="375"/>
      <c r="CR66" s="373"/>
      <c r="CS66" s="374"/>
      <c r="CT66" s="375"/>
      <c r="CU66" s="375"/>
      <c r="CW66" s="373"/>
      <c r="CX66" s="374"/>
      <c r="CY66" s="375"/>
      <c r="CZ66" s="375"/>
      <c r="DB66" s="373"/>
      <c r="DC66" s="374"/>
      <c r="DD66" s="375"/>
      <c r="DE66" s="375"/>
      <c r="DG66" s="373"/>
      <c r="DH66" s="374"/>
      <c r="DI66" s="375"/>
      <c r="DJ66" s="375"/>
      <c r="DL66" s="373"/>
      <c r="DM66" s="374"/>
      <c r="DN66" s="375"/>
      <c r="DO66" s="375"/>
      <c r="DQ66" s="373"/>
      <c r="DR66" s="374"/>
      <c r="DS66" s="375"/>
      <c r="DT66" s="375"/>
      <c r="DV66" s="373"/>
      <c r="DW66" s="374"/>
      <c r="DX66" s="375"/>
      <c r="DY66" s="375"/>
      <c r="EA66" s="373"/>
      <c r="EB66" s="374"/>
      <c r="EC66" s="375"/>
      <c r="ED66" s="375"/>
      <c r="EF66" s="373"/>
      <c r="EG66" s="374"/>
      <c r="EH66" s="375"/>
      <c r="EI66" s="375"/>
      <c r="EK66" s="373"/>
      <c r="EL66" s="374"/>
      <c r="EM66" s="375"/>
      <c r="EN66" s="375"/>
      <c r="EP66" s="373"/>
      <c r="EQ66" s="374"/>
      <c r="ER66" s="375"/>
      <c r="ES66" s="375"/>
      <c r="EU66" s="373"/>
      <c r="EV66" s="374"/>
      <c r="EW66" s="375"/>
      <c r="EX66" s="375"/>
      <c r="EZ66" s="373"/>
      <c r="FA66" s="374"/>
      <c r="FB66" s="375"/>
      <c r="FC66" s="375"/>
      <c r="FE66" s="373"/>
      <c r="FF66" s="374"/>
      <c r="FG66" s="375"/>
      <c r="FH66" s="375"/>
      <c r="FJ66" s="373"/>
      <c r="FK66" s="374"/>
      <c r="FL66" s="375"/>
      <c r="FM66" s="375"/>
      <c r="FO66" s="373"/>
      <c r="FP66" s="374"/>
      <c r="FQ66" s="375"/>
      <c r="FR66" s="375"/>
      <c r="FT66" s="373"/>
      <c r="FU66" s="374"/>
      <c r="FV66" s="375"/>
      <c r="FW66" s="375"/>
      <c r="FY66" s="373"/>
      <c r="FZ66" s="374"/>
      <c r="GA66" s="375"/>
      <c r="GB66" s="375"/>
      <c r="GD66" s="373"/>
      <c r="GE66" s="374"/>
      <c r="GF66" s="375"/>
      <c r="GG66" s="375"/>
      <c r="GI66" s="373"/>
      <c r="GJ66" s="374"/>
      <c r="GK66" s="375"/>
      <c r="GL66" s="375"/>
      <c r="GN66" s="373"/>
      <c r="GO66" s="374"/>
      <c r="GP66" s="375"/>
      <c r="GQ66" s="375"/>
      <c r="GS66" s="373"/>
      <c r="GT66" s="374"/>
      <c r="GU66" s="375"/>
      <c r="GV66" s="375"/>
      <c r="GX66" s="373"/>
      <c r="GY66" s="374"/>
      <c r="GZ66" s="375"/>
      <c r="HA66" s="375"/>
      <c r="HC66" s="373"/>
      <c r="HD66" s="374"/>
      <c r="HE66" s="375"/>
      <c r="HF66" s="375"/>
      <c r="HH66" s="373"/>
      <c r="HI66" s="374"/>
      <c r="HJ66" s="375"/>
      <c r="HK66" s="375"/>
      <c r="HM66" s="373"/>
      <c r="HN66" s="374"/>
      <c r="HO66" s="375"/>
      <c r="HP66" s="375"/>
      <c r="HR66" s="373"/>
      <c r="HS66" s="374"/>
      <c r="HT66" s="375"/>
      <c r="HU66" s="375"/>
      <c r="HW66" s="373"/>
      <c r="HX66" s="374"/>
      <c r="HY66" s="375"/>
      <c r="HZ66" s="375"/>
      <c r="IB66" s="373"/>
      <c r="IC66" s="374"/>
      <c r="ID66" s="375"/>
      <c r="IE66" s="375"/>
      <c r="IG66" s="373"/>
      <c r="IH66" s="374"/>
      <c r="II66" s="375"/>
      <c r="IJ66" s="375"/>
      <c r="IL66" s="373"/>
      <c r="IM66" s="374"/>
      <c r="IN66" s="375"/>
      <c r="IO66" s="375"/>
      <c r="IQ66" s="373"/>
      <c r="IR66" s="374"/>
      <c r="IS66" s="375"/>
      <c r="IT66" s="375"/>
      <c r="IV66" s="373"/>
    </row>
    <row r="67" spans="1:256" s="376" customFormat="1" x14ac:dyDescent="0.2">
      <c r="A67" s="373"/>
      <c r="B67" s="374"/>
      <c r="C67" s="375"/>
      <c r="D67" s="375"/>
      <c r="F67" s="373"/>
      <c r="G67" s="374"/>
      <c r="H67" s="375"/>
      <c r="I67" s="375"/>
      <c r="K67" s="382">
        <v>65</v>
      </c>
      <c r="L67" s="383" t="s">
        <v>2588</v>
      </c>
      <c r="M67" s="384">
        <v>5.2631578947368425</v>
      </c>
      <c r="N67" s="384">
        <v>0.31578947368421051</v>
      </c>
      <c r="P67" s="382">
        <v>65</v>
      </c>
      <c r="Q67" s="383" t="s">
        <v>436</v>
      </c>
      <c r="R67" s="384">
        <v>14.285714285714286</v>
      </c>
      <c r="S67" s="384">
        <v>0.2857142857142857</v>
      </c>
      <c r="U67" s="373"/>
      <c r="V67" s="374"/>
      <c r="W67" s="375"/>
      <c r="X67" s="375"/>
      <c r="Z67" s="373"/>
      <c r="AA67" s="374"/>
      <c r="AB67" s="375"/>
      <c r="AC67" s="375"/>
      <c r="AE67" s="373">
        <v>65</v>
      </c>
      <c r="AF67" s="374" t="s">
        <v>349</v>
      </c>
      <c r="AG67" s="375">
        <v>20</v>
      </c>
      <c r="AH67" s="375">
        <v>0.1</v>
      </c>
      <c r="AJ67" s="373">
        <v>65</v>
      </c>
      <c r="AK67" s="374" t="s">
        <v>589</v>
      </c>
      <c r="AL67" s="375">
        <v>33.333333333333336</v>
      </c>
      <c r="AM67" s="375">
        <v>0.33333333333333331</v>
      </c>
      <c r="AO67" s="373"/>
      <c r="AP67" s="374"/>
      <c r="AQ67" s="375"/>
      <c r="AR67" s="375"/>
      <c r="AT67" s="373">
        <v>65</v>
      </c>
      <c r="AU67" s="374" t="s">
        <v>2651</v>
      </c>
      <c r="AV67" s="375">
        <v>33.333333333333336</v>
      </c>
      <c r="AW67" s="375">
        <v>0.33333333333333331</v>
      </c>
      <c r="AY67" s="373"/>
      <c r="AZ67" s="374"/>
      <c r="BA67" s="375"/>
      <c r="BB67" s="375"/>
      <c r="BD67" s="373"/>
      <c r="BE67" s="374"/>
      <c r="BF67" s="375"/>
      <c r="BG67" s="375"/>
      <c r="BI67" s="373"/>
      <c r="BJ67" s="374"/>
      <c r="BK67" s="375"/>
      <c r="BL67" s="375"/>
      <c r="BN67" s="373"/>
      <c r="BO67" s="374"/>
      <c r="BP67" s="375"/>
      <c r="BQ67" s="375"/>
      <c r="BS67" s="373"/>
      <c r="BT67" s="374"/>
      <c r="BU67" s="375"/>
      <c r="BV67" s="375"/>
      <c r="BX67" s="373"/>
      <c r="BY67" s="374"/>
      <c r="BZ67" s="375"/>
      <c r="CA67" s="375"/>
      <c r="CC67" s="373"/>
      <c r="CD67" s="374"/>
      <c r="CE67" s="375"/>
      <c r="CF67" s="375"/>
      <c r="CH67" s="373"/>
      <c r="CI67" s="374"/>
      <c r="CJ67" s="375"/>
      <c r="CK67" s="375"/>
      <c r="CM67" s="373"/>
      <c r="CN67" s="374"/>
      <c r="CO67" s="375"/>
      <c r="CP67" s="375"/>
      <c r="CR67" s="373"/>
      <c r="CS67" s="374"/>
      <c r="CT67" s="375"/>
      <c r="CU67" s="375"/>
      <c r="CW67" s="373"/>
      <c r="CX67" s="374"/>
      <c r="CY67" s="375"/>
      <c r="CZ67" s="375"/>
      <c r="DB67" s="373"/>
      <c r="DC67" s="374"/>
      <c r="DD67" s="375"/>
      <c r="DE67" s="375"/>
      <c r="DG67" s="373"/>
      <c r="DH67" s="374"/>
      <c r="DI67" s="375"/>
      <c r="DJ67" s="375"/>
      <c r="DL67" s="373"/>
      <c r="DM67" s="374"/>
      <c r="DN67" s="375"/>
      <c r="DO67" s="375"/>
      <c r="DQ67" s="373"/>
      <c r="DR67" s="374"/>
      <c r="DS67" s="375"/>
      <c r="DT67" s="375"/>
      <c r="DV67" s="373"/>
      <c r="DW67" s="374"/>
      <c r="DX67" s="375"/>
      <c r="DY67" s="375"/>
      <c r="EA67" s="373"/>
      <c r="EB67" s="374"/>
      <c r="EC67" s="375"/>
      <c r="ED67" s="375"/>
      <c r="EF67" s="373"/>
      <c r="EG67" s="374"/>
      <c r="EH67" s="375"/>
      <c r="EI67" s="375"/>
      <c r="EK67" s="373"/>
      <c r="EL67" s="374"/>
      <c r="EM67" s="375"/>
      <c r="EN67" s="375"/>
      <c r="EP67" s="373"/>
      <c r="EQ67" s="374"/>
      <c r="ER67" s="375"/>
      <c r="ES67" s="375"/>
      <c r="EU67" s="373"/>
      <c r="EV67" s="374"/>
      <c r="EW67" s="375"/>
      <c r="EX67" s="375"/>
      <c r="EZ67" s="373"/>
      <c r="FA67" s="374"/>
      <c r="FB67" s="375"/>
      <c r="FC67" s="375"/>
      <c r="FE67" s="373"/>
      <c r="FF67" s="374"/>
      <c r="FG67" s="375"/>
      <c r="FH67" s="375"/>
      <c r="FJ67" s="373"/>
      <c r="FK67" s="374"/>
      <c r="FL67" s="375"/>
      <c r="FM67" s="375"/>
      <c r="FO67" s="373"/>
      <c r="FP67" s="374"/>
      <c r="FQ67" s="375"/>
      <c r="FR67" s="375"/>
      <c r="FT67" s="373"/>
      <c r="FU67" s="374"/>
      <c r="FV67" s="375"/>
      <c r="FW67" s="375"/>
      <c r="FY67" s="373"/>
      <c r="FZ67" s="374"/>
      <c r="GA67" s="375"/>
      <c r="GB67" s="375"/>
      <c r="GD67" s="373"/>
      <c r="GE67" s="374"/>
      <c r="GF67" s="375"/>
      <c r="GG67" s="375"/>
      <c r="GI67" s="373"/>
      <c r="GJ67" s="374"/>
      <c r="GK67" s="375"/>
      <c r="GL67" s="375"/>
      <c r="GN67" s="373"/>
      <c r="GO67" s="374"/>
      <c r="GP67" s="375"/>
      <c r="GQ67" s="375"/>
      <c r="GS67" s="373"/>
      <c r="GT67" s="374"/>
      <c r="GU67" s="375"/>
      <c r="GV67" s="375"/>
      <c r="GX67" s="373"/>
      <c r="GY67" s="374"/>
      <c r="GZ67" s="375"/>
      <c r="HA67" s="375"/>
      <c r="HC67" s="373"/>
      <c r="HD67" s="374"/>
      <c r="HE67" s="375"/>
      <c r="HF67" s="375"/>
      <c r="HH67" s="373"/>
      <c r="HI67" s="374"/>
      <c r="HJ67" s="375"/>
      <c r="HK67" s="375"/>
      <c r="HM67" s="373"/>
      <c r="HN67" s="374"/>
      <c r="HO67" s="375"/>
      <c r="HP67" s="375"/>
      <c r="HR67" s="373"/>
      <c r="HS67" s="374"/>
      <c r="HT67" s="375"/>
      <c r="HU67" s="375"/>
      <c r="HW67" s="373"/>
      <c r="HX67" s="374"/>
      <c r="HY67" s="375"/>
      <c r="HZ67" s="375"/>
      <c r="IB67" s="373"/>
      <c r="IC67" s="374"/>
      <c r="ID67" s="375"/>
      <c r="IE67" s="375"/>
      <c r="IG67" s="373"/>
      <c r="IH67" s="374"/>
      <c r="II67" s="375"/>
      <c r="IJ67" s="375"/>
      <c r="IL67" s="373"/>
      <c r="IM67" s="374"/>
      <c r="IN67" s="375"/>
      <c r="IO67" s="375"/>
      <c r="IQ67" s="373"/>
      <c r="IR67" s="374"/>
      <c r="IS67" s="375"/>
      <c r="IT67" s="375"/>
      <c r="IV67" s="373"/>
    </row>
    <row r="68" spans="1:256" s="376" customFormat="1" x14ac:dyDescent="0.2">
      <c r="A68" s="373"/>
      <c r="B68" s="374"/>
      <c r="C68" s="375"/>
      <c r="D68" s="375"/>
      <c r="F68" s="373"/>
      <c r="G68" s="374"/>
      <c r="H68" s="375"/>
      <c r="I68" s="375"/>
      <c r="K68" s="373">
        <v>66</v>
      </c>
      <c r="L68" s="374" t="s">
        <v>353</v>
      </c>
      <c r="M68" s="375">
        <v>21.05263157894737</v>
      </c>
      <c r="N68" s="375">
        <v>0.26315789473684209</v>
      </c>
      <c r="P68" s="373">
        <v>66</v>
      </c>
      <c r="Q68" s="374" t="s">
        <v>2636</v>
      </c>
      <c r="R68" s="375">
        <v>28.571428571428573</v>
      </c>
      <c r="S68" s="375">
        <v>0.21428571428571427</v>
      </c>
      <c r="U68" s="373"/>
      <c r="V68" s="374"/>
      <c r="W68" s="375"/>
      <c r="X68" s="375"/>
      <c r="Z68" s="373"/>
      <c r="AA68" s="374"/>
      <c r="AB68" s="375"/>
      <c r="AC68" s="375"/>
      <c r="AE68" s="382">
        <v>66</v>
      </c>
      <c r="AF68" s="383" t="s">
        <v>616</v>
      </c>
      <c r="AG68" s="384">
        <v>20</v>
      </c>
      <c r="AH68" s="384">
        <v>0.1</v>
      </c>
      <c r="AJ68" s="373">
        <v>66</v>
      </c>
      <c r="AK68" s="374" t="s">
        <v>587</v>
      </c>
      <c r="AL68" s="375">
        <v>33.333333333333336</v>
      </c>
      <c r="AM68" s="375">
        <v>0.33333333333333331</v>
      </c>
      <c r="AO68" s="373"/>
      <c r="AP68" s="374"/>
      <c r="AQ68" s="375"/>
      <c r="AR68" s="375"/>
      <c r="AT68" s="373">
        <v>66</v>
      </c>
      <c r="AU68" s="374" t="s">
        <v>590</v>
      </c>
      <c r="AV68" s="375">
        <v>33.333333333333336</v>
      </c>
      <c r="AW68" s="375">
        <v>0.33333333333333331</v>
      </c>
      <c r="AY68" s="373"/>
      <c r="AZ68" s="374"/>
      <c r="BA68" s="375"/>
      <c r="BB68" s="375"/>
      <c r="BD68" s="373"/>
      <c r="BE68" s="374"/>
      <c r="BF68" s="375"/>
      <c r="BG68" s="375"/>
      <c r="BI68" s="373"/>
      <c r="BJ68" s="374"/>
      <c r="BK68" s="375"/>
      <c r="BL68" s="375"/>
      <c r="BN68" s="373"/>
      <c r="BO68" s="374"/>
      <c r="BP68" s="375"/>
      <c r="BQ68" s="375"/>
      <c r="BS68" s="373"/>
      <c r="BT68" s="374"/>
      <c r="BU68" s="375"/>
      <c r="BV68" s="375"/>
      <c r="BX68" s="373"/>
      <c r="BY68" s="374"/>
      <c r="BZ68" s="375"/>
      <c r="CA68" s="375"/>
      <c r="CC68" s="373"/>
      <c r="CD68" s="374"/>
      <c r="CE68" s="375"/>
      <c r="CF68" s="375"/>
      <c r="CH68" s="373"/>
      <c r="CI68" s="374"/>
      <c r="CJ68" s="375"/>
      <c r="CK68" s="375"/>
      <c r="CM68" s="373"/>
      <c r="CN68" s="374"/>
      <c r="CO68" s="375"/>
      <c r="CP68" s="375"/>
      <c r="CR68" s="373"/>
      <c r="CS68" s="374"/>
      <c r="CT68" s="375"/>
      <c r="CU68" s="375"/>
      <c r="CW68" s="373"/>
      <c r="CX68" s="374"/>
      <c r="CY68" s="375"/>
      <c r="CZ68" s="375"/>
      <c r="DB68" s="373"/>
      <c r="DC68" s="374"/>
      <c r="DD68" s="375"/>
      <c r="DE68" s="375"/>
      <c r="DG68" s="373"/>
      <c r="DH68" s="374"/>
      <c r="DI68" s="375"/>
      <c r="DJ68" s="375"/>
      <c r="DL68" s="373"/>
      <c r="DM68" s="374"/>
      <c r="DN68" s="375"/>
      <c r="DO68" s="375"/>
      <c r="DQ68" s="373"/>
      <c r="DR68" s="374"/>
      <c r="DS68" s="375"/>
      <c r="DT68" s="375"/>
      <c r="DV68" s="373"/>
      <c r="DW68" s="374"/>
      <c r="DX68" s="375"/>
      <c r="DY68" s="375"/>
      <c r="EA68" s="373"/>
      <c r="EB68" s="374"/>
      <c r="EC68" s="375"/>
      <c r="ED68" s="375"/>
      <c r="EF68" s="373"/>
      <c r="EG68" s="374"/>
      <c r="EH68" s="375"/>
      <c r="EI68" s="375"/>
      <c r="EK68" s="373"/>
      <c r="EL68" s="374"/>
      <c r="EM68" s="375"/>
      <c r="EN68" s="375"/>
      <c r="EP68" s="373"/>
      <c r="EQ68" s="374"/>
      <c r="ER68" s="375"/>
      <c r="ES68" s="375"/>
      <c r="EU68" s="373"/>
      <c r="EV68" s="374"/>
      <c r="EW68" s="375"/>
      <c r="EX68" s="375"/>
      <c r="EZ68" s="373"/>
      <c r="FA68" s="374"/>
      <c r="FB68" s="375"/>
      <c r="FC68" s="375"/>
      <c r="FE68" s="373"/>
      <c r="FF68" s="374"/>
      <c r="FG68" s="375"/>
      <c r="FH68" s="375"/>
      <c r="FJ68" s="373"/>
      <c r="FK68" s="374"/>
      <c r="FL68" s="375"/>
      <c r="FM68" s="375"/>
      <c r="FO68" s="373"/>
      <c r="FP68" s="374"/>
      <c r="FQ68" s="375"/>
      <c r="FR68" s="375"/>
      <c r="FT68" s="373"/>
      <c r="FU68" s="374"/>
      <c r="FV68" s="375"/>
      <c r="FW68" s="375"/>
      <c r="FY68" s="373"/>
      <c r="FZ68" s="374"/>
      <c r="GA68" s="375"/>
      <c r="GB68" s="375"/>
      <c r="GD68" s="373"/>
      <c r="GE68" s="374"/>
      <c r="GF68" s="375"/>
      <c r="GG68" s="375"/>
      <c r="GI68" s="373"/>
      <c r="GJ68" s="374"/>
      <c r="GK68" s="375"/>
      <c r="GL68" s="375"/>
      <c r="GN68" s="373"/>
      <c r="GO68" s="374"/>
      <c r="GP68" s="375"/>
      <c r="GQ68" s="375"/>
      <c r="GS68" s="373"/>
      <c r="GT68" s="374"/>
      <c r="GU68" s="375"/>
      <c r="GV68" s="375"/>
      <c r="GX68" s="373"/>
      <c r="GY68" s="374"/>
      <c r="GZ68" s="375"/>
      <c r="HA68" s="375"/>
      <c r="HC68" s="373"/>
      <c r="HD68" s="374"/>
      <c r="HE68" s="375"/>
      <c r="HF68" s="375"/>
      <c r="HH68" s="373"/>
      <c r="HI68" s="374"/>
      <c r="HJ68" s="375"/>
      <c r="HK68" s="375"/>
      <c r="HM68" s="373"/>
      <c r="HN68" s="374"/>
      <c r="HO68" s="375"/>
      <c r="HP68" s="375"/>
      <c r="HR68" s="373"/>
      <c r="HS68" s="374"/>
      <c r="HT68" s="375"/>
      <c r="HU68" s="375"/>
      <c r="HW68" s="373"/>
      <c r="HX68" s="374"/>
      <c r="HY68" s="375"/>
      <c r="HZ68" s="375"/>
      <c r="IB68" s="373"/>
      <c r="IC68" s="374"/>
      <c r="ID68" s="375"/>
      <c r="IE68" s="375"/>
      <c r="IG68" s="373"/>
      <c r="IH68" s="374"/>
      <c r="II68" s="375"/>
      <c r="IJ68" s="375"/>
      <c r="IL68" s="373"/>
      <c r="IM68" s="374"/>
      <c r="IN68" s="375"/>
      <c r="IO68" s="375"/>
      <c r="IQ68" s="373"/>
      <c r="IR68" s="374"/>
      <c r="IS68" s="375"/>
      <c r="IT68" s="375"/>
      <c r="IV68" s="373"/>
    </row>
    <row r="69" spans="1:256" s="376" customFormat="1" x14ac:dyDescent="0.2">
      <c r="A69" s="373"/>
      <c r="B69" s="374"/>
      <c r="C69" s="375"/>
      <c r="D69" s="375"/>
      <c r="F69" s="373"/>
      <c r="G69" s="374"/>
      <c r="H69" s="375"/>
      <c r="I69" s="375"/>
      <c r="K69" s="373">
        <v>67</v>
      </c>
      <c r="L69" s="374" t="s">
        <v>388</v>
      </c>
      <c r="M69" s="375">
        <v>15.789473684210526</v>
      </c>
      <c r="N69" s="375">
        <v>0.26315789473684209</v>
      </c>
      <c r="P69" s="373">
        <v>67</v>
      </c>
      <c r="Q69" s="374" t="s">
        <v>358</v>
      </c>
      <c r="R69" s="375">
        <v>28.571428571428573</v>
      </c>
      <c r="S69" s="375">
        <v>0.21428571428571427</v>
      </c>
      <c r="U69" s="373"/>
      <c r="V69" s="374"/>
      <c r="W69" s="375"/>
      <c r="X69" s="375"/>
      <c r="Z69" s="373"/>
      <c r="AA69" s="374"/>
      <c r="AB69" s="375"/>
      <c r="AC69" s="375"/>
      <c r="AE69" s="373">
        <v>67</v>
      </c>
      <c r="AF69" s="374" t="s">
        <v>477</v>
      </c>
      <c r="AG69" s="375">
        <v>20</v>
      </c>
      <c r="AH69" s="375">
        <v>0.1</v>
      </c>
      <c r="AJ69" s="373">
        <v>67</v>
      </c>
      <c r="AK69" s="374" t="s">
        <v>425</v>
      </c>
      <c r="AL69" s="375">
        <v>33.333333333333336</v>
      </c>
      <c r="AM69" s="375">
        <v>0.33333333333333331</v>
      </c>
      <c r="AO69" s="373"/>
      <c r="AP69" s="374"/>
      <c r="AQ69" s="375"/>
      <c r="AR69" s="375"/>
      <c r="AT69" s="373">
        <v>67</v>
      </c>
      <c r="AU69" s="374" t="s">
        <v>353</v>
      </c>
      <c r="AV69" s="375">
        <v>33.333333333333336</v>
      </c>
      <c r="AW69" s="375">
        <v>0.16666666666666666</v>
      </c>
      <c r="AY69" s="373"/>
      <c r="AZ69" s="374"/>
      <c r="BA69" s="375"/>
      <c r="BB69" s="375"/>
      <c r="BD69" s="373"/>
      <c r="BE69" s="374"/>
      <c r="BF69" s="375"/>
      <c r="BG69" s="375"/>
      <c r="BI69" s="373"/>
      <c r="BJ69" s="374"/>
      <c r="BK69" s="375"/>
      <c r="BL69" s="375"/>
      <c r="BN69" s="373"/>
      <c r="BO69" s="374"/>
      <c r="BP69" s="375"/>
      <c r="BQ69" s="375"/>
      <c r="BS69" s="373"/>
      <c r="BT69" s="374"/>
      <c r="BU69" s="375"/>
      <c r="BV69" s="375"/>
      <c r="BX69" s="373"/>
      <c r="BY69" s="374"/>
      <c r="BZ69" s="375"/>
      <c r="CA69" s="375"/>
      <c r="CC69" s="373"/>
      <c r="CD69" s="374"/>
      <c r="CE69" s="375"/>
      <c r="CF69" s="375"/>
      <c r="CH69" s="373"/>
      <c r="CI69" s="374"/>
      <c r="CJ69" s="375"/>
      <c r="CK69" s="375"/>
      <c r="CM69" s="373"/>
      <c r="CN69" s="374"/>
      <c r="CO69" s="375"/>
      <c r="CP69" s="375"/>
      <c r="CR69" s="373"/>
      <c r="CS69" s="374"/>
      <c r="CT69" s="375"/>
      <c r="CU69" s="375"/>
      <c r="CW69" s="373"/>
      <c r="CX69" s="374"/>
      <c r="CY69" s="375"/>
      <c r="CZ69" s="375"/>
      <c r="DB69" s="373"/>
      <c r="DC69" s="374"/>
      <c r="DD69" s="375"/>
      <c r="DE69" s="375"/>
      <c r="DG69" s="373"/>
      <c r="DH69" s="374"/>
      <c r="DI69" s="375"/>
      <c r="DJ69" s="375"/>
      <c r="DL69" s="373"/>
      <c r="DM69" s="374"/>
      <c r="DN69" s="375"/>
      <c r="DO69" s="375"/>
      <c r="DQ69" s="373"/>
      <c r="DR69" s="374"/>
      <c r="DS69" s="375"/>
      <c r="DT69" s="375"/>
      <c r="DV69" s="373"/>
      <c r="DW69" s="374"/>
      <c r="DX69" s="375"/>
      <c r="DY69" s="375"/>
      <c r="EA69" s="373"/>
      <c r="EB69" s="374"/>
      <c r="EC69" s="375"/>
      <c r="ED69" s="375"/>
      <c r="EF69" s="373"/>
      <c r="EG69" s="374"/>
      <c r="EH69" s="375"/>
      <c r="EI69" s="375"/>
      <c r="EK69" s="373"/>
      <c r="EL69" s="374"/>
      <c r="EM69" s="375"/>
      <c r="EN69" s="375"/>
      <c r="EP69" s="373"/>
      <c r="EQ69" s="374"/>
      <c r="ER69" s="375"/>
      <c r="ES69" s="375"/>
      <c r="EU69" s="373"/>
      <c r="EV69" s="374"/>
      <c r="EW69" s="375"/>
      <c r="EX69" s="375"/>
      <c r="EZ69" s="373"/>
      <c r="FA69" s="374"/>
      <c r="FB69" s="375"/>
      <c r="FC69" s="375"/>
      <c r="FE69" s="373"/>
      <c r="FF69" s="374"/>
      <c r="FG69" s="375"/>
      <c r="FH69" s="375"/>
      <c r="FJ69" s="373"/>
      <c r="FK69" s="374"/>
      <c r="FL69" s="375"/>
      <c r="FM69" s="375"/>
      <c r="FO69" s="373"/>
      <c r="FP69" s="374"/>
      <c r="FQ69" s="375"/>
      <c r="FR69" s="375"/>
      <c r="FT69" s="373"/>
      <c r="FU69" s="374"/>
      <c r="FV69" s="375"/>
      <c r="FW69" s="375"/>
      <c r="FY69" s="373"/>
      <c r="FZ69" s="374"/>
      <c r="GA69" s="375"/>
      <c r="GB69" s="375"/>
      <c r="GD69" s="373"/>
      <c r="GE69" s="374"/>
      <c r="GF69" s="375"/>
      <c r="GG69" s="375"/>
      <c r="GI69" s="373"/>
      <c r="GJ69" s="374"/>
      <c r="GK69" s="375"/>
      <c r="GL69" s="375"/>
      <c r="GN69" s="373"/>
      <c r="GO69" s="374"/>
      <c r="GP69" s="375"/>
      <c r="GQ69" s="375"/>
      <c r="GS69" s="373"/>
      <c r="GT69" s="374"/>
      <c r="GU69" s="375"/>
      <c r="GV69" s="375"/>
      <c r="GX69" s="373"/>
      <c r="GY69" s="374"/>
      <c r="GZ69" s="375"/>
      <c r="HA69" s="375"/>
      <c r="HC69" s="373"/>
      <c r="HD69" s="374"/>
      <c r="HE69" s="375"/>
      <c r="HF69" s="375"/>
      <c r="HH69" s="373"/>
      <c r="HI69" s="374"/>
      <c r="HJ69" s="375"/>
      <c r="HK69" s="375"/>
      <c r="HM69" s="373"/>
      <c r="HN69" s="374"/>
      <c r="HO69" s="375"/>
      <c r="HP69" s="375"/>
      <c r="HR69" s="373"/>
      <c r="HS69" s="374"/>
      <c r="HT69" s="375"/>
      <c r="HU69" s="375"/>
      <c r="HW69" s="373"/>
      <c r="HX69" s="374"/>
      <c r="HY69" s="375"/>
      <c r="HZ69" s="375"/>
      <c r="IB69" s="373"/>
      <c r="IC69" s="374"/>
      <c r="ID69" s="375"/>
      <c r="IE69" s="375"/>
      <c r="IG69" s="373"/>
      <c r="IH69" s="374"/>
      <c r="II69" s="375"/>
      <c r="IJ69" s="375"/>
      <c r="IL69" s="373"/>
      <c r="IM69" s="374"/>
      <c r="IN69" s="375"/>
      <c r="IO69" s="375"/>
      <c r="IQ69" s="373"/>
      <c r="IR69" s="374"/>
      <c r="IS69" s="375"/>
      <c r="IT69" s="375"/>
      <c r="IV69" s="373"/>
    </row>
    <row r="70" spans="1:256" s="376" customFormat="1" x14ac:dyDescent="0.2">
      <c r="A70" s="373"/>
      <c r="B70" s="374"/>
      <c r="C70" s="375"/>
      <c r="D70" s="375"/>
      <c r="F70" s="373"/>
      <c r="G70" s="374"/>
      <c r="H70" s="375"/>
      <c r="I70" s="375"/>
      <c r="K70" s="373">
        <v>68</v>
      </c>
      <c r="L70" s="374" t="s">
        <v>613</v>
      </c>
      <c r="M70" s="375">
        <v>36.842105263157897</v>
      </c>
      <c r="N70" s="375">
        <v>0.26315789473684209</v>
      </c>
      <c r="P70" s="373">
        <v>68</v>
      </c>
      <c r="Q70" s="374" t="s">
        <v>2573</v>
      </c>
      <c r="R70" s="375">
        <v>28.571428571428573</v>
      </c>
      <c r="S70" s="375">
        <v>0.21428571428571427</v>
      </c>
      <c r="U70" s="373"/>
      <c r="V70" s="374"/>
      <c r="W70" s="375"/>
      <c r="X70" s="375"/>
      <c r="Z70" s="373"/>
      <c r="AA70" s="374"/>
      <c r="AB70" s="375"/>
      <c r="AC70" s="375"/>
      <c r="AE70" s="373">
        <v>68</v>
      </c>
      <c r="AF70" s="374" t="s">
        <v>426</v>
      </c>
      <c r="AG70" s="375">
        <v>20</v>
      </c>
      <c r="AH70" s="375">
        <v>0.1</v>
      </c>
      <c r="AJ70" s="373">
        <v>68</v>
      </c>
      <c r="AK70" s="374" t="s">
        <v>2583</v>
      </c>
      <c r="AL70" s="375">
        <v>33.333333333333336</v>
      </c>
      <c r="AM70" s="375">
        <v>0.33333333333333331</v>
      </c>
      <c r="AO70" s="373"/>
      <c r="AP70" s="374"/>
      <c r="AQ70" s="375"/>
      <c r="AR70" s="375"/>
      <c r="AT70" s="382">
        <v>68</v>
      </c>
      <c r="AU70" s="383" t="s">
        <v>2657</v>
      </c>
      <c r="AV70" s="384">
        <v>33.333333333333336</v>
      </c>
      <c r="AW70" s="384">
        <v>0.16666666666666666</v>
      </c>
      <c r="AY70" s="373"/>
      <c r="AZ70" s="374"/>
      <c r="BA70" s="375"/>
      <c r="BB70" s="375"/>
      <c r="BD70" s="373"/>
      <c r="BE70" s="374"/>
      <c r="BF70" s="375"/>
      <c r="BG70" s="375"/>
      <c r="BI70" s="373"/>
      <c r="BJ70" s="374"/>
      <c r="BK70" s="375"/>
      <c r="BL70" s="375"/>
      <c r="BN70" s="373"/>
      <c r="BO70" s="374"/>
      <c r="BP70" s="375"/>
      <c r="BQ70" s="375"/>
      <c r="BS70" s="373"/>
      <c r="BT70" s="374"/>
      <c r="BU70" s="375"/>
      <c r="BV70" s="375"/>
      <c r="BX70" s="373"/>
      <c r="BY70" s="374"/>
      <c r="BZ70" s="375"/>
      <c r="CA70" s="375"/>
      <c r="CC70" s="373"/>
      <c r="CD70" s="374"/>
      <c r="CE70" s="375"/>
      <c r="CF70" s="375"/>
      <c r="CH70" s="373"/>
      <c r="CI70" s="374"/>
      <c r="CJ70" s="375"/>
      <c r="CK70" s="375"/>
      <c r="CM70" s="373"/>
      <c r="CN70" s="374"/>
      <c r="CO70" s="375"/>
      <c r="CP70" s="375"/>
      <c r="CR70" s="373"/>
      <c r="CS70" s="374"/>
      <c r="CT70" s="375"/>
      <c r="CU70" s="375"/>
      <c r="CW70" s="373"/>
      <c r="CX70" s="374"/>
      <c r="CY70" s="375"/>
      <c r="CZ70" s="375"/>
      <c r="DB70" s="373"/>
      <c r="DC70" s="374"/>
      <c r="DD70" s="375"/>
      <c r="DE70" s="375"/>
      <c r="DG70" s="373"/>
      <c r="DH70" s="374"/>
      <c r="DI70" s="375"/>
      <c r="DJ70" s="375"/>
      <c r="DL70" s="373"/>
      <c r="DM70" s="374"/>
      <c r="DN70" s="375"/>
      <c r="DO70" s="375"/>
      <c r="DQ70" s="373"/>
      <c r="DR70" s="374"/>
      <c r="DS70" s="375"/>
      <c r="DT70" s="375"/>
      <c r="DV70" s="373"/>
      <c r="DW70" s="374"/>
      <c r="DX70" s="375"/>
      <c r="DY70" s="375"/>
      <c r="EA70" s="373"/>
      <c r="EB70" s="374"/>
      <c r="EC70" s="375"/>
      <c r="ED70" s="375"/>
      <c r="EF70" s="373"/>
      <c r="EG70" s="374"/>
      <c r="EH70" s="375"/>
      <c r="EI70" s="375"/>
      <c r="EK70" s="373"/>
      <c r="EL70" s="374"/>
      <c r="EM70" s="375"/>
      <c r="EN70" s="375"/>
      <c r="EP70" s="373"/>
      <c r="EQ70" s="374"/>
      <c r="ER70" s="375"/>
      <c r="ES70" s="375"/>
      <c r="EU70" s="373"/>
      <c r="EV70" s="374"/>
      <c r="EW70" s="375"/>
      <c r="EX70" s="375"/>
      <c r="EZ70" s="373"/>
      <c r="FA70" s="374"/>
      <c r="FB70" s="375"/>
      <c r="FC70" s="375"/>
      <c r="FE70" s="373"/>
      <c r="FF70" s="374"/>
      <c r="FG70" s="375"/>
      <c r="FH70" s="375"/>
      <c r="FJ70" s="373"/>
      <c r="FK70" s="374"/>
      <c r="FL70" s="375"/>
      <c r="FM70" s="375"/>
      <c r="FO70" s="373"/>
      <c r="FP70" s="374"/>
      <c r="FQ70" s="375"/>
      <c r="FR70" s="375"/>
      <c r="FT70" s="373"/>
      <c r="FU70" s="374"/>
      <c r="FV70" s="375"/>
      <c r="FW70" s="375"/>
      <c r="FY70" s="373"/>
      <c r="FZ70" s="374"/>
      <c r="GA70" s="375"/>
      <c r="GB70" s="375"/>
      <c r="GD70" s="373"/>
      <c r="GE70" s="374"/>
      <c r="GF70" s="375"/>
      <c r="GG70" s="375"/>
      <c r="GI70" s="373"/>
      <c r="GJ70" s="374"/>
      <c r="GK70" s="375"/>
      <c r="GL70" s="375"/>
      <c r="GN70" s="373"/>
      <c r="GO70" s="374"/>
      <c r="GP70" s="375"/>
      <c r="GQ70" s="375"/>
      <c r="GS70" s="373"/>
      <c r="GT70" s="374"/>
      <c r="GU70" s="375"/>
      <c r="GV70" s="375"/>
      <c r="GX70" s="373"/>
      <c r="GY70" s="374"/>
      <c r="GZ70" s="375"/>
      <c r="HA70" s="375"/>
      <c r="HC70" s="373"/>
      <c r="HD70" s="374"/>
      <c r="HE70" s="375"/>
      <c r="HF70" s="375"/>
      <c r="HH70" s="373"/>
      <c r="HI70" s="374"/>
      <c r="HJ70" s="375"/>
      <c r="HK70" s="375"/>
      <c r="HM70" s="373"/>
      <c r="HN70" s="374"/>
      <c r="HO70" s="375"/>
      <c r="HP70" s="375"/>
      <c r="HR70" s="373"/>
      <c r="HS70" s="374"/>
      <c r="HT70" s="375"/>
      <c r="HU70" s="375"/>
      <c r="HW70" s="373"/>
      <c r="HX70" s="374"/>
      <c r="HY70" s="375"/>
      <c r="HZ70" s="375"/>
      <c r="IB70" s="373"/>
      <c r="IC70" s="374"/>
      <c r="ID70" s="375"/>
      <c r="IE70" s="375"/>
      <c r="IG70" s="373"/>
      <c r="IH70" s="374"/>
      <c r="II70" s="375"/>
      <c r="IJ70" s="375"/>
      <c r="IL70" s="373"/>
      <c r="IM70" s="374"/>
      <c r="IN70" s="375"/>
      <c r="IO70" s="375"/>
      <c r="IQ70" s="373"/>
      <c r="IR70" s="374"/>
      <c r="IS70" s="375"/>
      <c r="IT70" s="375"/>
      <c r="IV70" s="373"/>
    </row>
    <row r="71" spans="1:256" s="376" customFormat="1" x14ac:dyDescent="0.2">
      <c r="A71" s="373"/>
      <c r="B71" s="374"/>
      <c r="C71" s="375"/>
      <c r="D71" s="375"/>
      <c r="F71" s="373"/>
      <c r="G71" s="374"/>
      <c r="H71" s="375"/>
      <c r="I71" s="375"/>
      <c r="K71" s="373">
        <v>69</v>
      </c>
      <c r="L71" s="374" t="s">
        <v>2644</v>
      </c>
      <c r="M71" s="375">
        <v>10.526315789473685</v>
      </c>
      <c r="N71" s="375">
        <v>0.26315789473684209</v>
      </c>
      <c r="P71" s="373">
        <v>69</v>
      </c>
      <c r="Q71" s="374" t="s">
        <v>393</v>
      </c>
      <c r="R71" s="375">
        <v>28.571428571428573</v>
      </c>
      <c r="S71" s="375">
        <v>0.21428571428571427</v>
      </c>
      <c r="U71" s="373"/>
      <c r="V71" s="374"/>
      <c r="W71" s="375"/>
      <c r="X71" s="375"/>
      <c r="Z71" s="373"/>
      <c r="AA71" s="374"/>
      <c r="AB71" s="375"/>
      <c r="AC71" s="375"/>
      <c r="AE71" s="373">
        <v>69</v>
      </c>
      <c r="AF71" s="374" t="s">
        <v>391</v>
      </c>
      <c r="AG71" s="375">
        <v>20</v>
      </c>
      <c r="AH71" s="375">
        <v>0.1</v>
      </c>
      <c r="AJ71" s="382">
        <v>69</v>
      </c>
      <c r="AK71" s="383" t="s">
        <v>588</v>
      </c>
      <c r="AL71" s="384">
        <v>33.333333333333336</v>
      </c>
      <c r="AM71" s="384">
        <v>0.33333333333333331</v>
      </c>
      <c r="AO71" s="373"/>
      <c r="AP71" s="374"/>
      <c r="AQ71" s="375"/>
      <c r="AR71" s="375"/>
      <c r="AT71" s="373">
        <v>69</v>
      </c>
      <c r="AU71" s="374" t="s">
        <v>368</v>
      </c>
      <c r="AV71" s="375">
        <v>33.333333333333336</v>
      </c>
      <c r="AW71" s="375">
        <v>0.16666666666666666</v>
      </c>
      <c r="AY71" s="373"/>
      <c r="AZ71" s="374"/>
      <c r="BA71" s="375"/>
      <c r="BB71" s="375"/>
      <c r="BD71" s="373"/>
      <c r="BE71" s="374"/>
      <c r="BF71" s="375"/>
      <c r="BG71" s="375"/>
      <c r="BI71" s="373"/>
      <c r="BJ71" s="374"/>
      <c r="BK71" s="375"/>
      <c r="BL71" s="375"/>
      <c r="BN71" s="373"/>
      <c r="BO71" s="374"/>
      <c r="BP71" s="375"/>
      <c r="BQ71" s="375"/>
      <c r="BS71" s="373"/>
      <c r="BT71" s="374"/>
      <c r="BU71" s="375"/>
      <c r="BV71" s="375"/>
      <c r="BX71" s="373"/>
      <c r="BY71" s="374"/>
      <c r="BZ71" s="375"/>
      <c r="CA71" s="375"/>
      <c r="CC71" s="373"/>
      <c r="CD71" s="374"/>
      <c r="CE71" s="375"/>
      <c r="CF71" s="375"/>
      <c r="CH71" s="373"/>
      <c r="CI71" s="374"/>
      <c r="CJ71" s="375"/>
      <c r="CK71" s="375"/>
      <c r="CM71" s="373"/>
      <c r="CN71" s="374"/>
      <c r="CO71" s="375"/>
      <c r="CP71" s="375"/>
      <c r="CR71" s="373"/>
      <c r="CS71" s="374"/>
      <c r="CT71" s="375"/>
      <c r="CU71" s="375"/>
      <c r="CW71" s="373"/>
      <c r="CX71" s="374"/>
      <c r="CY71" s="375"/>
      <c r="CZ71" s="375"/>
      <c r="DB71" s="373"/>
      <c r="DC71" s="374"/>
      <c r="DD71" s="375"/>
      <c r="DE71" s="375"/>
      <c r="DG71" s="373"/>
      <c r="DH71" s="374"/>
      <c r="DI71" s="375"/>
      <c r="DJ71" s="375"/>
      <c r="DL71" s="373"/>
      <c r="DM71" s="374"/>
      <c r="DN71" s="375"/>
      <c r="DO71" s="375"/>
      <c r="DQ71" s="373"/>
      <c r="DR71" s="374"/>
      <c r="DS71" s="375"/>
      <c r="DT71" s="375"/>
      <c r="DV71" s="373"/>
      <c r="DW71" s="374"/>
      <c r="DX71" s="375"/>
      <c r="DY71" s="375"/>
      <c r="EA71" s="373"/>
      <c r="EB71" s="374"/>
      <c r="EC71" s="375"/>
      <c r="ED71" s="375"/>
      <c r="EF71" s="373"/>
      <c r="EG71" s="374"/>
      <c r="EH71" s="375"/>
      <c r="EI71" s="375"/>
      <c r="EK71" s="373"/>
      <c r="EL71" s="374"/>
      <c r="EM71" s="375"/>
      <c r="EN71" s="375"/>
      <c r="EP71" s="373"/>
      <c r="EQ71" s="374"/>
      <c r="ER71" s="375"/>
      <c r="ES71" s="375"/>
      <c r="EU71" s="373"/>
      <c r="EV71" s="374"/>
      <c r="EW71" s="375"/>
      <c r="EX71" s="375"/>
      <c r="EZ71" s="373"/>
      <c r="FA71" s="374"/>
      <c r="FB71" s="375"/>
      <c r="FC71" s="375"/>
      <c r="FE71" s="373"/>
      <c r="FF71" s="374"/>
      <c r="FG71" s="375"/>
      <c r="FH71" s="375"/>
      <c r="FJ71" s="373"/>
      <c r="FK71" s="374"/>
      <c r="FL71" s="375"/>
      <c r="FM71" s="375"/>
      <c r="FO71" s="373"/>
      <c r="FP71" s="374"/>
      <c r="FQ71" s="375"/>
      <c r="FR71" s="375"/>
      <c r="FT71" s="373"/>
      <c r="FU71" s="374"/>
      <c r="FV71" s="375"/>
      <c r="FW71" s="375"/>
      <c r="FY71" s="373"/>
      <c r="FZ71" s="374"/>
      <c r="GA71" s="375"/>
      <c r="GB71" s="375"/>
      <c r="GD71" s="373"/>
      <c r="GE71" s="374"/>
      <c r="GF71" s="375"/>
      <c r="GG71" s="375"/>
      <c r="GI71" s="373"/>
      <c r="GJ71" s="374"/>
      <c r="GK71" s="375"/>
      <c r="GL71" s="375"/>
      <c r="GN71" s="373"/>
      <c r="GO71" s="374"/>
      <c r="GP71" s="375"/>
      <c r="GQ71" s="375"/>
      <c r="GS71" s="373"/>
      <c r="GT71" s="374"/>
      <c r="GU71" s="375"/>
      <c r="GV71" s="375"/>
      <c r="GX71" s="373"/>
      <c r="GY71" s="374"/>
      <c r="GZ71" s="375"/>
      <c r="HA71" s="375"/>
      <c r="HC71" s="373"/>
      <c r="HD71" s="374"/>
      <c r="HE71" s="375"/>
      <c r="HF71" s="375"/>
      <c r="HH71" s="373"/>
      <c r="HI71" s="374"/>
      <c r="HJ71" s="375"/>
      <c r="HK71" s="375"/>
      <c r="HM71" s="373"/>
      <c r="HN71" s="374"/>
      <c r="HO71" s="375"/>
      <c r="HP71" s="375"/>
      <c r="HR71" s="373"/>
      <c r="HS71" s="374"/>
      <c r="HT71" s="375"/>
      <c r="HU71" s="375"/>
      <c r="HW71" s="373"/>
      <c r="HX71" s="374"/>
      <c r="HY71" s="375"/>
      <c r="HZ71" s="375"/>
      <c r="IB71" s="373"/>
      <c r="IC71" s="374"/>
      <c r="ID71" s="375"/>
      <c r="IE71" s="375"/>
      <c r="IG71" s="373"/>
      <c r="IH71" s="374"/>
      <c r="II71" s="375"/>
      <c r="IJ71" s="375"/>
      <c r="IL71" s="373"/>
      <c r="IM71" s="374"/>
      <c r="IN71" s="375"/>
      <c r="IO71" s="375"/>
      <c r="IQ71" s="373"/>
      <c r="IR71" s="374"/>
      <c r="IS71" s="375"/>
      <c r="IT71" s="375"/>
      <c r="IV71" s="373"/>
    </row>
    <row r="72" spans="1:256" s="376" customFormat="1" x14ac:dyDescent="0.2">
      <c r="A72" s="373"/>
      <c r="B72" s="374"/>
      <c r="C72" s="375"/>
      <c r="D72" s="375"/>
      <c r="F72" s="373"/>
      <c r="G72" s="374"/>
      <c r="H72" s="375"/>
      <c r="I72" s="375"/>
      <c r="K72" s="373">
        <v>70</v>
      </c>
      <c r="L72" s="374" t="s">
        <v>448</v>
      </c>
      <c r="M72" s="375">
        <v>10.526315789473685</v>
      </c>
      <c r="N72" s="375">
        <v>0.26315789473684209</v>
      </c>
      <c r="P72" s="373">
        <v>70</v>
      </c>
      <c r="Q72" s="374" t="s">
        <v>583</v>
      </c>
      <c r="R72" s="375">
        <v>28.571428571428573</v>
      </c>
      <c r="S72" s="375">
        <v>0.21428571428571427</v>
      </c>
      <c r="U72" s="373"/>
      <c r="V72" s="374"/>
      <c r="W72" s="375"/>
      <c r="X72" s="375"/>
      <c r="Z72" s="373"/>
      <c r="AA72" s="374"/>
      <c r="AB72" s="375"/>
      <c r="AC72" s="375"/>
      <c r="AE72" s="373">
        <v>70</v>
      </c>
      <c r="AF72" s="374" t="s">
        <v>427</v>
      </c>
      <c r="AG72" s="375">
        <v>20</v>
      </c>
      <c r="AH72" s="375">
        <v>0.1</v>
      </c>
      <c r="AJ72" s="373">
        <v>70</v>
      </c>
      <c r="AK72" s="374" t="s">
        <v>433</v>
      </c>
      <c r="AL72" s="375">
        <v>33.333333333333336</v>
      </c>
      <c r="AM72" s="375">
        <v>0.16666666666666666</v>
      </c>
      <c r="AO72" s="373"/>
      <c r="AP72" s="374"/>
      <c r="AQ72" s="375"/>
      <c r="AR72" s="375"/>
      <c r="AT72" s="382">
        <v>70</v>
      </c>
      <c r="AU72" s="383" t="s">
        <v>2564</v>
      </c>
      <c r="AV72" s="384">
        <v>33.333333333333336</v>
      </c>
      <c r="AW72" s="384">
        <v>0.16666666666666666</v>
      </c>
      <c r="AY72" s="373"/>
      <c r="AZ72" s="374"/>
      <c r="BA72" s="375"/>
      <c r="BB72" s="375"/>
      <c r="BD72" s="373"/>
      <c r="BE72" s="374"/>
      <c r="BF72" s="375"/>
      <c r="BG72" s="375"/>
      <c r="BI72" s="373"/>
      <c r="BJ72" s="374"/>
      <c r="BK72" s="375"/>
      <c r="BL72" s="375"/>
      <c r="BN72" s="373"/>
      <c r="BO72" s="374"/>
      <c r="BP72" s="375"/>
      <c r="BQ72" s="375"/>
      <c r="BS72" s="373"/>
      <c r="BT72" s="374"/>
      <c r="BU72" s="375"/>
      <c r="BV72" s="375"/>
      <c r="BX72" s="373"/>
      <c r="BY72" s="374"/>
      <c r="BZ72" s="375"/>
      <c r="CA72" s="375"/>
      <c r="CC72" s="373"/>
      <c r="CD72" s="374"/>
      <c r="CE72" s="375"/>
      <c r="CF72" s="375"/>
      <c r="CH72" s="373"/>
      <c r="CI72" s="374"/>
      <c r="CJ72" s="375"/>
      <c r="CK72" s="375"/>
      <c r="CM72" s="373"/>
      <c r="CN72" s="374"/>
      <c r="CO72" s="375"/>
      <c r="CP72" s="375"/>
      <c r="CR72" s="373"/>
      <c r="CS72" s="374"/>
      <c r="CT72" s="375"/>
      <c r="CU72" s="375"/>
      <c r="CW72" s="373"/>
      <c r="CX72" s="374"/>
      <c r="CY72" s="375"/>
      <c r="CZ72" s="375"/>
      <c r="DB72" s="373"/>
      <c r="DC72" s="374"/>
      <c r="DD72" s="375"/>
      <c r="DE72" s="375"/>
      <c r="DG72" s="373"/>
      <c r="DH72" s="374"/>
      <c r="DI72" s="375"/>
      <c r="DJ72" s="375"/>
      <c r="DL72" s="373"/>
      <c r="DM72" s="374"/>
      <c r="DN72" s="375"/>
      <c r="DO72" s="375"/>
      <c r="DQ72" s="373"/>
      <c r="DR72" s="374"/>
      <c r="DS72" s="375"/>
      <c r="DT72" s="375"/>
      <c r="DV72" s="373"/>
      <c r="DW72" s="374"/>
      <c r="DX72" s="375"/>
      <c r="DY72" s="375"/>
      <c r="EA72" s="373"/>
      <c r="EB72" s="374"/>
      <c r="EC72" s="375"/>
      <c r="ED72" s="375"/>
      <c r="EF72" s="373"/>
      <c r="EG72" s="374"/>
      <c r="EH72" s="375"/>
      <c r="EI72" s="375"/>
      <c r="EK72" s="373"/>
      <c r="EL72" s="374"/>
      <c r="EM72" s="375"/>
      <c r="EN72" s="375"/>
      <c r="EP72" s="373"/>
      <c r="EQ72" s="374"/>
      <c r="ER72" s="375"/>
      <c r="ES72" s="375"/>
      <c r="EU72" s="373"/>
      <c r="EV72" s="374"/>
      <c r="EW72" s="375"/>
      <c r="EX72" s="375"/>
      <c r="EZ72" s="373"/>
      <c r="FA72" s="374"/>
      <c r="FB72" s="375"/>
      <c r="FC72" s="375"/>
      <c r="FE72" s="373"/>
      <c r="FF72" s="374"/>
      <c r="FG72" s="375"/>
      <c r="FH72" s="375"/>
      <c r="FJ72" s="373"/>
      <c r="FK72" s="374"/>
      <c r="FL72" s="375"/>
      <c r="FM72" s="375"/>
      <c r="FO72" s="373"/>
      <c r="FP72" s="374"/>
      <c r="FQ72" s="375"/>
      <c r="FR72" s="375"/>
      <c r="FT72" s="373"/>
      <c r="FU72" s="374"/>
      <c r="FV72" s="375"/>
      <c r="FW72" s="375"/>
      <c r="FY72" s="373"/>
      <c r="FZ72" s="374"/>
      <c r="GA72" s="375"/>
      <c r="GB72" s="375"/>
      <c r="GD72" s="373"/>
      <c r="GE72" s="374"/>
      <c r="GF72" s="375"/>
      <c r="GG72" s="375"/>
      <c r="GI72" s="373"/>
      <c r="GJ72" s="374"/>
      <c r="GK72" s="375"/>
      <c r="GL72" s="375"/>
      <c r="GN72" s="373"/>
      <c r="GO72" s="374"/>
      <c r="GP72" s="375"/>
      <c r="GQ72" s="375"/>
      <c r="GS72" s="373"/>
      <c r="GT72" s="374"/>
      <c r="GU72" s="375"/>
      <c r="GV72" s="375"/>
      <c r="GX72" s="373"/>
      <c r="GY72" s="374"/>
      <c r="GZ72" s="375"/>
      <c r="HA72" s="375"/>
      <c r="HC72" s="373"/>
      <c r="HD72" s="374"/>
      <c r="HE72" s="375"/>
      <c r="HF72" s="375"/>
      <c r="HH72" s="373"/>
      <c r="HI72" s="374"/>
      <c r="HJ72" s="375"/>
      <c r="HK72" s="375"/>
      <c r="HM72" s="373"/>
      <c r="HN72" s="374"/>
      <c r="HO72" s="375"/>
      <c r="HP72" s="375"/>
      <c r="HR72" s="373"/>
      <c r="HS72" s="374"/>
      <c r="HT72" s="375"/>
      <c r="HU72" s="375"/>
      <c r="HW72" s="373"/>
      <c r="HX72" s="374"/>
      <c r="HY72" s="375"/>
      <c r="HZ72" s="375"/>
      <c r="IB72" s="373"/>
      <c r="IC72" s="374"/>
      <c r="ID72" s="375"/>
      <c r="IE72" s="375"/>
      <c r="IG72" s="373"/>
      <c r="IH72" s="374"/>
      <c r="II72" s="375"/>
      <c r="IJ72" s="375"/>
      <c r="IL72" s="373"/>
      <c r="IM72" s="374"/>
      <c r="IN72" s="375"/>
      <c r="IO72" s="375"/>
      <c r="IQ72" s="373"/>
      <c r="IR72" s="374"/>
      <c r="IS72" s="375"/>
      <c r="IT72" s="375"/>
      <c r="IV72" s="373"/>
    </row>
    <row r="73" spans="1:256" s="376" customFormat="1" x14ac:dyDescent="0.2">
      <c r="A73" s="373"/>
      <c r="B73" s="374"/>
      <c r="C73" s="375"/>
      <c r="D73" s="375"/>
      <c r="F73" s="373"/>
      <c r="G73" s="374"/>
      <c r="H73" s="375"/>
      <c r="I73" s="375"/>
      <c r="K73" s="382">
        <v>71</v>
      </c>
      <c r="L73" s="383" t="s">
        <v>2673</v>
      </c>
      <c r="M73" s="384">
        <v>5.2631578947368425</v>
      </c>
      <c r="N73" s="384">
        <v>0.26315789473684209</v>
      </c>
      <c r="P73" s="382">
        <v>71</v>
      </c>
      <c r="Q73" s="383" t="s">
        <v>435</v>
      </c>
      <c r="R73" s="384">
        <v>28.571428571428573</v>
      </c>
      <c r="S73" s="384">
        <v>0.21428571428571427</v>
      </c>
      <c r="U73" s="373"/>
      <c r="V73" s="374"/>
      <c r="W73" s="375"/>
      <c r="X73" s="375"/>
      <c r="Z73" s="373"/>
      <c r="AA73" s="374"/>
      <c r="AB73" s="375"/>
      <c r="AC73" s="375"/>
      <c r="AE73" s="335">
        <v>71</v>
      </c>
      <c r="AF73" s="336" t="s">
        <v>429</v>
      </c>
      <c r="AG73" s="337">
        <v>20</v>
      </c>
      <c r="AH73" s="337">
        <v>0.1</v>
      </c>
      <c r="AJ73" s="373">
        <v>71</v>
      </c>
      <c r="AK73" s="374" t="s">
        <v>605</v>
      </c>
      <c r="AL73" s="375">
        <v>33.333333333333336</v>
      </c>
      <c r="AM73" s="375">
        <v>0.16666666666666666</v>
      </c>
      <c r="AO73" s="373"/>
      <c r="AP73" s="374"/>
      <c r="AQ73" s="375"/>
      <c r="AR73" s="375"/>
      <c r="AT73" s="373">
        <v>71</v>
      </c>
      <c r="AU73" s="374" t="s">
        <v>354</v>
      </c>
      <c r="AV73" s="375">
        <v>33.333333333333336</v>
      </c>
      <c r="AW73" s="375">
        <v>0.16666666666666666</v>
      </c>
      <c r="AY73" s="373"/>
      <c r="AZ73" s="374"/>
      <c r="BA73" s="375"/>
      <c r="BB73" s="375"/>
      <c r="BD73" s="373"/>
      <c r="BE73" s="374"/>
      <c r="BF73" s="375"/>
      <c r="BG73" s="375"/>
      <c r="BI73" s="373"/>
      <c r="BJ73" s="374"/>
      <c r="BK73" s="375"/>
      <c r="BL73" s="375"/>
      <c r="BN73" s="373"/>
      <c r="BO73" s="374"/>
      <c r="BP73" s="375"/>
      <c r="BQ73" s="375"/>
      <c r="BS73" s="373"/>
      <c r="BT73" s="374"/>
      <c r="BU73" s="375"/>
      <c r="BV73" s="375"/>
      <c r="BX73" s="373"/>
      <c r="BY73" s="374"/>
      <c r="BZ73" s="375"/>
      <c r="CA73" s="375"/>
      <c r="CC73" s="373"/>
      <c r="CD73" s="374"/>
      <c r="CE73" s="375"/>
      <c r="CF73" s="375"/>
      <c r="CH73" s="373"/>
      <c r="CI73" s="374"/>
      <c r="CJ73" s="375"/>
      <c r="CK73" s="375"/>
      <c r="CM73" s="373"/>
      <c r="CN73" s="374"/>
      <c r="CO73" s="375"/>
      <c r="CP73" s="375"/>
      <c r="CR73" s="373"/>
      <c r="CS73" s="374"/>
      <c r="CT73" s="375"/>
      <c r="CU73" s="375"/>
      <c r="CW73" s="373"/>
      <c r="CX73" s="374"/>
      <c r="CY73" s="375"/>
      <c r="CZ73" s="375"/>
      <c r="DB73" s="373"/>
      <c r="DC73" s="374"/>
      <c r="DD73" s="375"/>
      <c r="DE73" s="375"/>
      <c r="DG73" s="373"/>
      <c r="DH73" s="374"/>
      <c r="DI73" s="375"/>
      <c r="DJ73" s="375"/>
      <c r="DL73" s="373"/>
      <c r="DM73" s="374"/>
      <c r="DN73" s="375"/>
      <c r="DO73" s="375"/>
      <c r="DQ73" s="373"/>
      <c r="DR73" s="374"/>
      <c r="DS73" s="375"/>
      <c r="DT73" s="375"/>
      <c r="DV73" s="373"/>
      <c r="DW73" s="374"/>
      <c r="DX73" s="375"/>
      <c r="DY73" s="375"/>
      <c r="EA73" s="373"/>
      <c r="EB73" s="374"/>
      <c r="EC73" s="375"/>
      <c r="ED73" s="375"/>
      <c r="EF73" s="373"/>
      <c r="EG73" s="374"/>
      <c r="EH73" s="375"/>
      <c r="EI73" s="375"/>
      <c r="EK73" s="373"/>
      <c r="EL73" s="374"/>
      <c r="EM73" s="375"/>
      <c r="EN73" s="375"/>
      <c r="EP73" s="373"/>
      <c r="EQ73" s="374"/>
      <c r="ER73" s="375"/>
      <c r="ES73" s="375"/>
      <c r="EU73" s="373"/>
      <c r="EV73" s="374"/>
      <c r="EW73" s="375"/>
      <c r="EX73" s="375"/>
      <c r="EZ73" s="373"/>
      <c r="FA73" s="374"/>
      <c r="FB73" s="375"/>
      <c r="FC73" s="375"/>
      <c r="FE73" s="373"/>
      <c r="FF73" s="374"/>
      <c r="FG73" s="375"/>
      <c r="FH73" s="375"/>
      <c r="FJ73" s="373"/>
      <c r="FK73" s="374"/>
      <c r="FL73" s="375"/>
      <c r="FM73" s="375"/>
      <c r="FO73" s="373"/>
      <c r="FP73" s="374"/>
      <c r="FQ73" s="375"/>
      <c r="FR73" s="375"/>
      <c r="FT73" s="373"/>
      <c r="FU73" s="374"/>
      <c r="FV73" s="375"/>
      <c r="FW73" s="375"/>
      <c r="FY73" s="373"/>
      <c r="FZ73" s="374"/>
      <c r="GA73" s="375"/>
      <c r="GB73" s="375"/>
      <c r="GD73" s="373"/>
      <c r="GE73" s="374"/>
      <c r="GF73" s="375"/>
      <c r="GG73" s="375"/>
      <c r="GI73" s="373"/>
      <c r="GJ73" s="374"/>
      <c r="GK73" s="375"/>
      <c r="GL73" s="375"/>
      <c r="GN73" s="373"/>
      <c r="GO73" s="374"/>
      <c r="GP73" s="375"/>
      <c r="GQ73" s="375"/>
      <c r="GS73" s="373"/>
      <c r="GT73" s="374"/>
      <c r="GU73" s="375"/>
      <c r="GV73" s="375"/>
      <c r="GX73" s="373"/>
      <c r="GY73" s="374"/>
      <c r="GZ73" s="375"/>
      <c r="HA73" s="375"/>
      <c r="HC73" s="373"/>
      <c r="HD73" s="374"/>
      <c r="HE73" s="375"/>
      <c r="HF73" s="375"/>
      <c r="HH73" s="373"/>
      <c r="HI73" s="374"/>
      <c r="HJ73" s="375"/>
      <c r="HK73" s="375"/>
      <c r="HM73" s="373"/>
      <c r="HN73" s="374"/>
      <c r="HO73" s="375"/>
      <c r="HP73" s="375"/>
      <c r="HR73" s="373"/>
      <c r="HS73" s="374"/>
      <c r="HT73" s="375"/>
      <c r="HU73" s="375"/>
      <c r="HW73" s="373"/>
      <c r="HX73" s="374"/>
      <c r="HY73" s="375"/>
      <c r="HZ73" s="375"/>
      <c r="IB73" s="373"/>
      <c r="IC73" s="374"/>
      <c r="ID73" s="375"/>
      <c r="IE73" s="375"/>
      <c r="IG73" s="373"/>
      <c r="IH73" s="374"/>
      <c r="II73" s="375"/>
      <c r="IJ73" s="375"/>
      <c r="IL73" s="373"/>
      <c r="IM73" s="374"/>
      <c r="IN73" s="375"/>
      <c r="IO73" s="375"/>
      <c r="IQ73" s="373"/>
      <c r="IR73" s="374"/>
      <c r="IS73" s="375"/>
      <c r="IT73" s="375"/>
      <c r="IV73" s="373"/>
    </row>
    <row r="74" spans="1:256" s="376" customFormat="1" x14ac:dyDescent="0.2">
      <c r="A74" s="373"/>
      <c r="B74" s="374"/>
      <c r="C74" s="375"/>
      <c r="D74" s="375"/>
      <c r="F74" s="373"/>
      <c r="G74" s="374"/>
      <c r="H74" s="375"/>
      <c r="I74" s="375"/>
      <c r="K74" s="373">
        <v>72</v>
      </c>
      <c r="L74" s="374" t="s">
        <v>615</v>
      </c>
      <c r="M74" s="375">
        <v>5.2631578947368425</v>
      </c>
      <c r="N74" s="375">
        <v>0.26315789473684209</v>
      </c>
      <c r="P74" s="373">
        <v>72</v>
      </c>
      <c r="Q74" s="374" t="s">
        <v>614</v>
      </c>
      <c r="R74" s="375">
        <v>14.285714285714286</v>
      </c>
      <c r="S74" s="375">
        <v>0.14285714285714285</v>
      </c>
      <c r="U74" s="373"/>
      <c r="V74" s="374"/>
      <c r="W74" s="375"/>
      <c r="X74" s="375"/>
      <c r="Z74" s="373"/>
      <c r="AA74" s="374"/>
      <c r="AB74" s="375"/>
      <c r="AC74" s="375"/>
      <c r="AE74" s="382">
        <v>72</v>
      </c>
      <c r="AF74" s="383" t="s">
        <v>428</v>
      </c>
      <c r="AG74" s="384">
        <v>20</v>
      </c>
      <c r="AH74" s="384">
        <v>0.1</v>
      </c>
      <c r="AJ74" s="373">
        <v>72</v>
      </c>
      <c r="AK74" s="374" t="s">
        <v>375</v>
      </c>
      <c r="AL74" s="375">
        <v>33.333333333333336</v>
      </c>
      <c r="AM74" s="375">
        <v>0.16666666666666666</v>
      </c>
      <c r="AO74" s="373"/>
      <c r="AP74" s="374"/>
      <c r="AQ74" s="375"/>
      <c r="AR74" s="375"/>
      <c r="AT74" s="373">
        <v>72</v>
      </c>
      <c r="AU74" s="374" t="s">
        <v>370</v>
      </c>
      <c r="AV74" s="375">
        <v>33.333333333333336</v>
      </c>
      <c r="AW74" s="375">
        <v>0.16666666666666666</v>
      </c>
      <c r="AY74" s="373"/>
      <c r="AZ74" s="374"/>
      <c r="BA74" s="375"/>
      <c r="BB74" s="375"/>
      <c r="BD74" s="373"/>
      <c r="BE74" s="374"/>
      <c r="BF74" s="375"/>
      <c r="BG74" s="375"/>
      <c r="BI74" s="373"/>
      <c r="BJ74" s="374"/>
      <c r="BK74" s="375"/>
      <c r="BL74" s="375"/>
      <c r="BN74" s="373"/>
      <c r="BO74" s="374"/>
      <c r="BP74" s="375"/>
      <c r="BQ74" s="375"/>
      <c r="BS74" s="373"/>
      <c r="BT74" s="374"/>
      <c r="BU74" s="375"/>
      <c r="BV74" s="375"/>
      <c r="BX74" s="373"/>
      <c r="BY74" s="374"/>
      <c r="BZ74" s="375"/>
      <c r="CA74" s="375"/>
      <c r="CC74" s="373"/>
      <c r="CD74" s="374"/>
      <c r="CE74" s="375"/>
      <c r="CF74" s="375"/>
      <c r="CH74" s="373"/>
      <c r="CI74" s="374"/>
      <c r="CJ74" s="375"/>
      <c r="CK74" s="375"/>
      <c r="CM74" s="373"/>
      <c r="CN74" s="374"/>
      <c r="CO74" s="375"/>
      <c r="CP74" s="375"/>
      <c r="CR74" s="373"/>
      <c r="CS74" s="374"/>
      <c r="CT74" s="375"/>
      <c r="CU74" s="375"/>
      <c r="CW74" s="373"/>
      <c r="CX74" s="374"/>
      <c r="CY74" s="375"/>
      <c r="CZ74" s="375"/>
      <c r="DB74" s="373"/>
      <c r="DC74" s="374"/>
      <c r="DD74" s="375"/>
      <c r="DE74" s="375"/>
      <c r="DG74" s="373"/>
      <c r="DH74" s="374"/>
      <c r="DI74" s="375"/>
      <c r="DJ74" s="375"/>
      <c r="DL74" s="373"/>
      <c r="DM74" s="374"/>
      <c r="DN74" s="375"/>
      <c r="DO74" s="375"/>
      <c r="DQ74" s="373"/>
      <c r="DR74" s="374"/>
      <c r="DS74" s="375"/>
      <c r="DT74" s="375"/>
      <c r="DV74" s="373"/>
      <c r="DW74" s="374"/>
      <c r="DX74" s="375"/>
      <c r="DY74" s="375"/>
      <c r="EA74" s="373"/>
      <c r="EB74" s="374"/>
      <c r="EC74" s="375"/>
      <c r="ED74" s="375"/>
      <c r="EF74" s="373"/>
      <c r="EG74" s="374"/>
      <c r="EH74" s="375"/>
      <c r="EI74" s="375"/>
      <c r="EK74" s="373"/>
      <c r="EL74" s="374"/>
      <c r="EM74" s="375"/>
      <c r="EN74" s="375"/>
      <c r="EP74" s="373"/>
      <c r="EQ74" s="374"/>
      <c r="ER74" s="375"/>
      <c r="ES74" s="375"/>
      <c r="EU74" s="373"/>
      <c r="EV74" s="374"/>
      <c r="EW74" s="375"/>
      <c r="EX74" s="375"/>
      <c r="EZ74" s="373"/>
      <c r="FA74" s="374"/>
      <c r="FB74" s="375"/>
      <c r="FC74" s="375"/>
      <c r="FE74" s="373"/>
      <c r="FF74" s="374"/>
      <c r="FG74" s="375"/>
      <c r="FH74" s="375"/>
      <c r="FJ74" s="373"/>
      <c r="FK74" s="374"/>
      <c r="FL74" s="375"/>
      <c r="FM74" s="375"/>
      <c r="FO74" s="373"/>
      <c r="FP74" s="374"/>
      <c r="FQ74" s="375"/>
      <c r="FR74" s="375"/>
      <c r="FT74" s="373"/>
      <c r="FU74" s="374"/>
      <c r="FV74" s="375"/>
      <c r="FW74" s="375"/>
      <c r="FY74" s="373"/>
      <c r="FZ74" s="374"/>
      <c r="GA74" s="375"/>
      <c r="GB74" s="375"/>
      <c r="GD74" s="373"/>
      <c r="GE74" s="374"/>
      <c r="GF74" s="375"/>
      <c r="GG74" s="375"/>
      <c r="GI74" s="373"/>
      <c r="GJ74" s="374"/>
      <c r="GK74" s="375"/>
      <c r="GL74" s="375"/>
      <c r="GN74" s="373"/>
      <c r="GO74" s="374"/>
      <c r="GP74" s="375"/>
      <c r="GQ74" s="375"/>
      <c r="GS74" s="373"/>
      <c r="GT74" s="374"/>
      <c r="GU74" s="375"/>
      <c r="GV74" s="375"/>
      <c r="GX74" s="373"/>
      <c r="GY74" s="374"/>
      <c r="GZ74" s="375"/>
      <c r="HA74" s="375"/>
      <c r="HC74" s="373"/>
      <c r="HD74" s="374"/>
      <c r="HE74" s="375"/>
      <c r="HF74" s="375"/>
      <c r="HH74" s="373"/>
      <c r="HI74" s="374"/>
      <c r="HJ74" s="375"/>
      <c r="HK74" s="375"/>
      <c r="HM74" s="373"/>
      <c r="HN74" s="374"/>
      <c r="HO74" s="375"/>
      <c r="HP74" s="375"/>
      <c r="HR74" s="373"/>
      <c r="HS74" s="374"/>
      <c r="HT74" s="375"/>
      <c r="HU74" s="375"/>
      <c r="HW74" s="373"/>
      <c r="HX74" s="374"/>
      <c r="HY74" s="375"/>
      <c r="HZ74" s="375"/>
      <c r="IB74" s="373"/>
      <c r="IC74" s="374"/>
      <c r="ID74" s="375"/>
      <c r="IE74" s="375"/>
      <c r="IG74" s="373"/>
      <c r="IH74" s="374"/>
      <c r="II74" s="375"/>
      <c r="IJ74" s="375"/>
      <c r="IL74" s="373"/>
      <c r="IM74" s="374"/>
      <c r="IN74" s="375"/>
      <c r="IO74" s="375"/>
      <c r="IQ74" s="373"/>
      <c r="IR74" s="374"/>
      <c r="IS74" s="375"/>
      <c r="IT74" s="375"/>
      <c r="IV74" s="373"/>
    </row>
    <row r="75" spans="1:256" s="376" customFormat="1" x14ac:dyDescent="0.2">
      <c r="A75" s="373"/>
      <c r="B75" s="374"/>
      <c r="C75" s="375"/>
      <c r="D75" s="375"/>
      <c r="F75" s="373"/>
      <c r="G75" s="374"/>
      <c r="H75" s="375"/>
      <c r="I75" s="375"/>
      <c r="K75" s="373">
        <v>73</v>
      </c>
      <c r="L75" s="374" t="s">
        <v>366</v>
      </c>
      <c r="M75" s="375">
        <v>31.578947368421051</v>
      </c>
      <c r="N75" s="375">
        <v>0.23684210526315788</v>
      </c>
      <c r="P75" s="373">
        <v>73</v>
      </c>
      <c r="Q75" s="374" t="s">
        <v>582</v>
      </c>
      <c r="R75" s="375">
        <v>14.285714285714286</v>
      </c>
      <c r="S75" s="375">
        <v>0.14285714285714285</v>
      </c>
      <c r="U75" s="373"/>
      <c r="V75" s="374"/>
      <c r="W75" s="375"/>
      <c r="X75" s="375"/>
      <c r="Z75" s="373"/>
      <c r="AA75" s="374"/>
      <c r="AB75" s="375"/>
      <c r="AC75" s="375"/>
      <c r="AE75" s="373">
        <v>73</v>
      </c>
      <c r="AF75" s="374" t="s">
        <v>2568</v>
      </c>
      <c r="AG75" s="375">
        <v>20</v>
      </c>
      <c r="AH75" s="375">
        <v>0.1</v>
      </c>
      <c r="AJ75" s="373">
        <v>73</v>
      </c>
      <c r="AK75" s="374" t="s">
        <v>366</v>
      </c>
      <c r="AL75" s="375">
        <v>33.333333333333336</v>
      </c>
      <c r="AM75" s="375">
        <v>0.16666666666666666</v>
      </c>
      <c r="AO75" s="373"/>
      <c r="AP75" s="374"/>
      <c r="AQ75" s="375"/>
      <c r="AR75" s="375"/>
      <c r="AT75" s="373">
        <v>73</v>
      </c>
      <c r="AU75" s="374" t="s">
        <v>569</v>
      </c>
      <c r="AV75" s="375">
        <v>33.333333333333336</v>
      </c>
      <c r="AW75" s="375">
        <v>0.16666666666666666</v>
      </c>
      <c r="AY75" s="373"/>
      <c r="AZ75" s="374"/>
      <c r="BA75" s="375"/>
      <c r="BB75" s="375"/>
      <c r="BD75" s="373"/>
      <c r="BE75" s="374"/>
      <c r="BF75" s="375"/>
      <c r="BG75" s="375"/>
      <c r="BI75" s="373"/>
      <c r="BJ75" s="374"/>
      <c r="BK75" s="375"/>
      <c r="BL75" s="375"/>
      <c r="BN75" s="373"/>
      <c r="BO75" s="374"/>
      <c r="BP75" s="375"/>
      <c r="BQ75" s="375"/>
      <c r="BS75" s="373"/>
      <c r="BT75" s="374"/>
      <c r="BU75" s="375"/>
      <c r="BV75" s="375"/>
      <c r="BX75" s="373"/>
      <c r="BY75" s="374"/>
      <c r="BZ75" s="375"/>
      <c r="CA75" s="375"/>
      <c r="CC75" s="373"/>
      <c r="CD75" s="374"/>
      <c r="CE75" s="375"/>
      <c r="CF75" s="375"/>
      <c r="CH75" s="373"/>
      <c r="CI75" s="374"/>
      <c r="CJ75" s="375"/>
      <c r="CK75" s="375"/>
      <c r="CM75" s="373"/>
      <c r="CN75" s="374"/>
      <c r="CO75" s="375"/>
      <c r="CP75" s="375"/>
      <c r="CR75" s="373"/>
      <c r="CS75" s="374"/>
      <c r="CT75" s="375"/>
      <c r="CU75" s="375"/>
      <c r="CW75" s="373"/>
      <c r="CX75" s="374"/>
      <c r="CY75" s="375"/>
      <c r="CZ75" s="375"/>
      <c r="DB75" s="373"/>
      <c r="DC75" s="374"/>
      <c r="DD75" s="375"/>
      <c r="DE75" s="375"/>
      <c r="DG75" s="373"/>
      <c r="DH75" s="374"/>
      <c r="DI75" s="375"/>
      <c r="DJ75" s="375"/>
      <c r="DL75" s="373"/>
      <c r="DM75" s="374"/>
      <c r="DN75" s="375"/>
      <c r="DO75" s="375"/>
      <c r="DQ75" s="373"/>
      <c r="DR75" s="374"/>
      <c r="DS75" s="375"/>
      <c r="DT75" s="375"/>
      <c r="DV75" s="373"/>
      <c r="DW75" s="374"/>
      <c r="DX75" s="375"/>
      <c r="DY75" s="375"/>
      <c r="EA75" s="373"/>
      <c r="EB75" s="374"/>
      <c r="EC75" s="375"/>
      <c r="ED75" s="375"/>
      <c r="EF75" s="373"/>
      <c r="EG75" s="374"/>
      <c r="EH75" s="375"/>
      <c r="EI75" s="375"/>
      <c r="EK75" s="373"/>
      <c r="EL75" s="374"/>
      <c r="EM75" s="375"/>
      <c r="EN75" s="375"/>
      <c r="EP75" s="373"/>
      <c r="EQ75" s="374"/>
      <c r="ER75" s="375"/>
      <c r="ES75" s="375"/>
      <c r="EU75" s="373"/>
      <c r="EV75" s="374"/>
      <c r="EW75" s="375"/>
      <c r="EX75" s="375"/>
      <c r="EZ75" s="373"/>
      <c r="FA75" s="374"/>
      <c r="FB75" s="375"/>
      <c r="FC75" s="375"/>
      <c r="FE75" s="373"/>
      <c r="FF75" s="374"/>
      <c r="FG75" s="375"/>
      <c r="FH75" s="375"/>
      <c r="FJ75" s="373"/>
      <c r="FK75" s="374"/>
      <c r="FL75" s="375"/>
      <c r="FM75" s="375"/>
      <c r="FO75" s="373"/>
      <c r="FP75" s="374"/>
      <c r="FQ75" s="375"/>
      <c r="FR75" s="375"/>
      <c r="FT75" s="373"/>
      <c r="FU75" s="374"/>
      <c r="FV75" s="375"/>
      <c r="FW75" s="375"/>
      <c r="FY75" s="373"/>
      <c r="FZ75" s="374"/>
      <c r="GA75" s="375"/>
      <c r="GB75" s="375"/>
      <c r="GD75" s="373"/>
      <c r="GE75" s="374"/>
      <c r="GF75" s="375"/>
      <c r="GG75" s="375"/>
      <c r="GI75" s="373"/>
      <c r="GJ75" s="374"/>
      <c r="GK75" s="375"/>
      <c r="GL75" s="375"/>
      <c r="GN75" s="373"/>
      <c r="GO75" s="374"/>
      <c r="GP75" s="375"/>
      <c r="GQ75" s="375"/>
      <c r="GS75" s="373"/>
      <c r="GT75" s="374"/>
      <c r="GU75" s="375"/>
      <c r="GV75" s="375"/>
      <c r="GX75" s="373"/>
      <c r="GY75" s="374"/>
      <c r="GZ75" s="375"/>
      <c r="HA75" s="375"/>
      <c r="HC75" s="373"/>
      <c r="HD75" s="374"/>
      <c r="HE75" s="375"/>
      <c r="HF75" s="375"/>
      <c r="HH75" s="373"/>
      <c r="HI75" s="374"/>
      <c r="HJ75" s="375"/>
      <c r="HK75" s="375"/>
      <c r="HM75" s="373"/>
      <c r="HN75" s="374"/>
      <c r="HO75" s="375"/>
      <c r="HP75" s="375"/>
      <c r="HR75" s="373"/>
      <c r="HS75" s="374"/>
      <c r="HT75" s="375"/>
      <c r="HU75" s="375"/>
      <c r="HW75" s="373"/>
      <c r="HX75" s="374"/>
      <c r="HY75" s="375"/>
      <c r="HZ75" s="375"/>
      <c r="IB75" s="373"/>
      <c r="IC75" s="374"/>
      <c r="ID75" s="375"/>
      <c r="IE75" s="375"/>
      <c r="IG75" s="373"/>
      <c r="IH75" s="374"/>
      <c r="II75" s="375"/>
      <c r="IJ75" s="375"/>
      <c r="IL75" s="373"/>
      <c r="IM75" s="374"/>
      <c r="IN75" s="375"/>
      <c r="IO75" s="375"/>
      <c r="IQ75" s="373"/>
      <c r="IR75" s="374"/>
      <c r="IS75" s="375"/>
      <c r="IT75" s="375"/>
      <c r="IV75" s="373"/>
    </row>
    <row r="76" spans="1:256" s="376" customFormat="1" x14ac:dyDescent="0.2">
      <c r="A76" s="373"/>
      <c r="B76" s="374"/>
      <c r="C76" s="375"/>
      <c r="D76" s="375"/>
      <c r="F76" s="373"/>
      <c r="G76" s="374"/>
      <c r="H76" s="375"/>
      <c r="I76" s="375"/>
      <c r="K76" s="373">
        <v>74</v>
      </c>
      <c r="L76" s="374" t="s">
        <v>600</v>
      </c>
      <c r="M76" s="375">
        <v>15.789473684210526</v>
      </c>
      <c r="N76" s="375">
        <v>0.23684210526315788</v>
      </c>
      <c r="P76" s="373">
        <v>74</v>
      </c>
      <c r="Q76" s="374" t="s">
        <v>356</v>
      </c>
      <c r="R76" s="375">
        <v>28.571428571428573</v>
      </c>
      <c r="S76" s="375">
        <v>0.14285714285714285</v>
      </c>
      <c r="U76" s="373"/>
      <c r="V76" s="374"/>
      <c r="W76" s="375"/>
      <c r="X76" s="375"/>
      <c r="Z76" s="373"/>
      <c r="AA76" s="374"/>
      <c r="AB76" s="375"/>
      <c r="AC76" s="375"/>
      <c r="AE76" s="382">
        <v>74</v>
      </c>
      <c r="AF76" s="383" t="s">
        <v>2725</v>
      </c>
      <c r="AG76" s="384">
        <v>20</v>
      </c>
      <c r="AH76" s="384">
        <v>0.1</v>
      </c>
      <c r="AJ76" s="373">
        <v>74</v>
      </c>
      <c r="AK76" s="374" t="s">
        <v>2649</v>
      </c>
      <c r="AL76" s="375">
        <v>33.333333333333336</v>
      </c>
      <c r="AM76" s="375">
        <v>0.16666666666666666</v>
      </c>
      <c r="AO76" s="373"/>
      <c r="AP76" s="374"/>
      <c r="AQ76" s="375"/>
      <c r="AR76" s="375"/>
      <c r="AT76" s="373">
        <v>74</v>
      </c>
      <c r="AU76" s="374" t="s">
        <v>604</v>
      </c>
      <c r="AV76" s="375">
        <v>33.333333333333336</v>
      </c>
      <c r="AW76" s="375">
        <v>0.16666666666666666</v>
      </c>
      <c r="AY76" s="373"/>
      <c r="AZ76" s="374"/>
      <c r="BA76" s="375"/>
      <c r="BB76" s="375"/>
      <c r="BD76" s="373"/>
      <c r="BE76" s="374"/>
      <c r="BF76" s="375"/>
      <c r="BG76" s="375"/>
      <c r="BI76" s="373"/>
      <c r="BJ76" s="374"/>
      <c r="BK76" s="375"/>
      <c r="BL76" s="375"/>
      <c r="BN76" s="373"/>
      <c r="BO76" s="374"/>
      <c r="BP76" s="375"/>
      <c r="BQ76" s="375"/>
      <c r="BS76" s="373"/>
      <c r="BT76" s="374"/>
      <c r="BU76" s="375"/>
      <c r="BV76" s="375"/>
      <c r="BX76" s="373"/>
      <c r="BY76" s="374"/>
      <c r="BZ76" s="375"/>
      <c r="CA76" s="375"/>
      <c r="CC76" s="373"/>
      <c r="CD76" s="374"/>
      <c r="CE76" s="375"/>
      <c r="CF76" s="375"/>
      <c r="CH76" s="373"/>
      <c r="CI76" s="374"/>
      <c r="CJ76" s="375"/>
      <c r="CK76" s="375"/>
      <c r="CM76" s="373"/>
      <c r="CN76" s="374"/>
      <c r="CO76" s="375"/>
      <c r="CP76" s="375"/>
      <c r="CR76" s="373"/>
      <c r="CS76" s="374"/>
      <c r="CT76" s="375"/>
      <c r="CU76" s="375"/>
      <c r="CW76" s="373"/>
      <c r="CX76" s="374"/>
      <c r="CY76" s="375"/>
      <c r="CZ76" s="375"/>
      <c r="DB76" s="373"/>
      <c r="DC76" s="374"/>
      <c r="DD76" s="375"/>
      <c r="DE76" s="375"/>
      <c r="DG76" s="373"/>
      <c r="DH76" s="374"/>
      <c r="DI76" s="375"/>
      <c r="DJ76" s="375"/>
      <c r="DL76" s="373"/>
      <c r="DM76" s="374"/>
      <c r="DN76" s="375"/>
      <c r="DO76" s="375"/>
      <c r="DQ76" s="373"/>
      <c r="DR76" s="374"/>
      <c r="DS76" s="375"/>
      <c r="DT76" s="375"/>
      <c r="DV76" s="373"/>
      <c r="DW76" s="374"/>
      <c r="DX76" s="375"/>
      <c r="DY76" s="375"/>
      <c r="EA76" s="373"/>
      <c r="EB76" s="374"/>
      <c r="EC76" s="375"/>
      <c r="ED76" s="375"/>
      <c r="EF76" s="373"/>
      <c r="EG76" s="374"/>
      <c r="EH76" s="375"/>
      <c r="EI76" s="375"/>
      <c r="EK76" s="373"/>
      <c r="EL76" s="374"/>
      <c r="EM76" s="375"/>
      <c r="EN76" s="375"/>
      <c r="EP76" s="373"/>
      <c r="EQ76" s="374"/>
      <c r="ER76" s="375"/>
      <c r="ES76" s="375"/>
      <c r="EU76" s="373"/>
      <c r="EV76" s="374"/>
      <c r="EW76" s="375"/>
      <c r="EX76" s="375"/>
      <c r="EZ76" s="373"/>
      <c r="FA76" s="374"/>
      <c r="FB76" s="375"/>
      <c r="FC76" s="375"/>
      <c r="FE76" s="373"/>
      <c r="FF76" s="374"/>
      <c r="FG76" s="375"/>
      <c r="FH76" s="375"/>
      <c r="FJ76" s="373"/>
      <c r="FK76" s="374"/>
      <c r="FL76" s="375"/>
      <c r="FM76" s="375"/>
      <c r="FO76" s="373"/>
      <c r="FP76" s="374"/>
      <c r="FQ76" s="375"/>
      <c r="FR76" s="375"/>
      <c r="FT76" s="373"/>
      <c r="FU76" s="374"/>
      <c r="FV76" s="375"/>
      <c r="FW76" s="375"/>
      <c r="FY76" s="373"/>
      <c r="FZ76" s="374"/>
      <c r="GA76" s="375"/>
      <c r="GB76" s="375"/>
      <c r="GD76" s="373"/>
      <c r="GE76" s="374"/>
      <c r="GF76" s="375"/>
      <c r="GG76" s="375"/>
      <c r="GI76" s="373"/>
      <c r="GJ76" s="374"/>
      <c r="GK76" s="375"/>
      <c r="GL76" s="375"/>
      <c r="GN76" s="373"/>
      <c r="GO76" s="374"/>
      <c r="GP76" s="375"/>
      <c r="GQ76" s="375"/>
      <c r="GS76" s="373"/>
      <c r="GT76" s="374"/>
      <c r="GU76" s="375"/>
      <c r="GV76" s="375"/>
      <c r="GX76" s="373"/>
      <c r="GY76" s="374"/>
      <c r="GZ76" s="375"/>
      <c r="HA76" s="375"/>
      <c r="HC76" s="373"/>
      <c r="HD76" s="374"/>
      <c r="HE76" s="375"/>
      <c r="HF76" s="375"/>
      <c r="HH76" s="373"/>
      <c r="HI76" s="374"/>
      <c r="HJ76" s="375"/>
      <c r="HK76" s="375"/>
      <c r="HM76" s="373"/>
      <c r="HN76" s="374"/>
      <c r="HO76" s="375"/>
      <c r="HP76" s="375"/>
      <c r="HR76" s="373"/>
      <c r="HS76" s="374"/>
      <c r="HT76" s="375"/>
      <c r="HU76" s="375"/>
      <c r="HW76" s="373"/>
      <c r="HX76" s="374"/>
      <c r="HY76" s="375"/>
      <c r="HZ76" s="375"/>
      <c r="IB76" s="373"/>
      <c r="IC76" s="374"/>
      <c r="ID76" s="375"/>
      <c r="IE76" s="375"/>
      <c r="IG76" s="373"/>
      <c r="IH76" s="374"/>
      <c r="II76" s="375"/>
      <c r="IJ76" s="375"/>
      <c r="IL76" s="373"/>
      <c r="IM76" s="374"/>
      <c r="IN76" s="375"/>
      <c r="IO76" s="375"/>
      <c r="IQ76" s="373"/>
      <c r="IR76" s="374"/>
      <c r="IS76" s="375"/>
      <c r="IT76" s="375"/>
      <c r="IV76" s="373"/>
    </row>
    <row r="77" spans="1:256" s="376" customFormat="1" x14ac:dyDescent="0.2">
      <c r="A77" s="373"/>
      <c r="B77" s="374"/>
      <c r="C77" s="375"/>
      <c r="D77" s="375"/>
      <c r="F77" s="373"/>
      <c r="G77" s="374"/>
      <c r="H77" s="375"/>
      <c r="I77" s="375"/>
      <c r="K77" s="373">
        <v>75</v>
      </c>
      <c r="L77" s="374" t="s">
        <v>346</v>
      </c>
      <c r="M77" s="375">
        <v>5.2631578947368425</v>
      </c>
      <c r="N77" s="375">
        <v>0.21052631578947367</v>
      </c>
      <c r="P77" s="373">
        <v>75</v>
      </c>
      <c r="Q77" s="374" t="s">
        <v>344</v>
      </c>
      <c r="R77" s="375">
        <v>14.285714285714286</v>
      </c>
      <c r="S77" s="375">
        <v>0.14285714285714285</v>
      </c>
      <c r="U77" s="373"/>
      <c r="V77" s="374"/>
      <c r="W77" s="375"/>
      <c r="X77" s="375"/>
      <c r="Z77" s="373"/>
      <c r="AA77" s="374"/>
      <c r="AB77" s="375"/>
      <c r="AC77" s="375"/>
      <c r="AE77" s="373">
        <v>75</v>
      </c>
      <c r="AF77" s="374" t="s">
        <v>369</v>
      </c>
      <c r="AG77" s="375">
        <v>20</v>
      </c>
      <c r="AH77" s="375">
        <v>0.1</v>
      </c>
      <c r="AJ77" s="373">
        <v>75</v>
      </c>
      <c r="AK77" s="374" t="s">
        <v>438</v>
      </c>
      <c r="AL77" s="375">
        <v>33.333333333333336</v>
      </c>
      <c r="AM77" s="375">
        <v>0.16666666666666666</v>
      </c>
      <c r="AO77" s="373"/>
      <c r="AP77" s="374"/>
      <c r="AQ77" s="375"/>
      <c r="AR77" s="375"/>
      <c r="AT77" s="382">
        <v>75</v>
      </c>
      <c r="AU77" s="383" t="s">
        <v>608</v>
      </c>
      <c r="AV77" s="384">
        <v>33.333333333333336</v>
      </c>
      <c r="AW77" s="384">
        <v>0.16666666666666666</v>
      </c>
      <c r="AY77" s="373"/>
      <c r="AZ77" s="374"/>
      <c r="BA77" s="375"/>
      <c r="BB77" s="375"/>
      <c r="BD77" s="373"/>
      <c r="BE77" s="374"/>
      <c r="BF77" s="375"/>
      <c r="BG77" s="375"/>
      <c r="BI77" s="373"/>
      <c r="BJ77" s="374"/>
      <c r="BK77" s="375"/>
      <c r="BL77" s="375"/>
      <c r="BN77" s="373"/>
      <c r="BO77" s="374"/>
      <c r="BP77" s="375"/>
      <c r="BQ77" s="375"/>
      <c r="BS77" s="373"/>
      <c r="BT77" s="374"/>
      <c r="BU77" s="375"/>
      <c r="BV77" s="375"/>
      <c r="BX77" s="373"/>
      <c r="BY77" s="374"/>
      <c r="BZ77" s="375"/>
      <c r="CA77" s="375"/>
      <c r="CC77" s="373"/>
      <c r="CD77" s="374"/>
      <c r="CE77" s="375"/>
      <c r="CF77" s="375"/>
      <c r="CH77" s="373"/>
      <c r="CI77" s="374"/>
      <c r="CJ77" s="375"/>
      <c r="CK77" s="375"/>
      <c r="CM77" s="373"/>
      <c r="CN77" s="374"/>
      <c r="CO77" s="375"/>
      <c r="CP77" s="375"/>
      <c r="CR77" s="373"/>
      <c r="CS77" s="374"/>
      <c r="CT77" s="375"/>
      <c r="CU77" s="375"/>
      <c r="CW77" s="373"/>
      <c r="CX77" s="374"/>
      <c r="CY77" s="375"/>
      <c r="CZ77" s="375"/>
      <c r="DB77" s="373"/>
      <c r="DC77" s="374"/>
      <c r="DD77" s="375"/>
      <c r="DE77" s="375"/>
      <c r="DG77" s="373"/>
      <c r="DH77" s="374"/>
      <c r="DI77" s="375"/>
      <c r="DJ77" s="375"/>
      <c r="DL77" s="373"/>
      <c r="DM77" s="374"/>
      <c r="DN77" s="375"/>
      <c r="DO77" s="375"/>
      <c r="DQ77" s="373"/>
      <c r="DR77" s="374"/>
      <c r="DS77" s="375"/>
      <c r="DT77" s="375"/>
      <c r="DV77" s="373"/>
      <c r="DW77" s="374"/>
      <c r="DX77" s="375"/>
      <c r="DY77" s="375"/>
      <c r="EA77" s="373"/>
      <c r="EB77" s="374"/>
      <c r="EC77" s="375"/>
      <c r="ED77" s="375"/>
      <c r="EF77" s="373"/>
      <c r="EG77" s="374"/>
      <c r="EH77" s="375"/>
      <c r="EI77" s="375"/>
      <c r="EK77" s="373"/>
      <c r="EL77" s="374"/>
      <c r="EM77" s="375"/>
      <c r="EN77" s="375"/>
      <c r="EP77" s="373"/>
      <c r="EQ77" s="374"/>
      <c r="ER77" s="375"/>
      <c r="ES77" s="375"/>
      <c r="EU77" s="373"/>
      <c r="EV77" s="374"/>
      <c r="EW77" s="375"/>
      <c r="EX77" s="375"/>
      <c r="EZ77" s="373"/>
      <c r="FA77" s="374"/>
      <c r="FB77" s="375"/>
      <c r="FC77" s="375"/>
      <c r="FE77" s="373"/>
      <c r="FF77" s="374"/>
      <c r="FG77" s="375"/>
      <c r="FH77" s="375"/>
      <c r="FJ77" s="373"/>
      <c r="FK77" s="374"/>
      <c r="FL77" s="375"/>
      <c r="FM77" s="375"/>
      <c r="FO77" s="373"/>
      <c r="FP77" s="374"/>
      <c r="FQ77" s="375"/>
      <c r="FR77" s="375"/>
      <c r="FT77" s="373"/>
      <c r="FU77" s="374"/>
      <c r="FV77" s="375"/>
      <c r="FW77" s="375"/>
      <c r="FY77" s="373"/>
      <c r="FZ77" s="374"/>
      <c r="GA77" s="375"/>
      <c r="GB77" s="375"/>
      <c r="GD77" s="373"/>
      <c r="GE77" s="374"/>
      <c r="GF77" s="375"/>
      <c r="GG77" s="375"/>
      <c r="GI77" s="373"/>
      <c r="GJ77" s="374"/>
      <c r="GK77" s="375"/>
      <c r="GL77" s="375"/>
      <c r="GN77" s="373"/>
      <c r="GO77" s="374"/>
      <c r="GP77" s="375"/>
      <c r="GQ77" s="375"/>
      <c r="GS77" s="373"/>
      <c r="GT77" s="374"/>
      <c r="GU77" s="375"/>
      <c r="GV77" s="375"/>
      <c r="GX77" s="373"/>
      <c r="GY77" s="374"/>
      <c r="GZ77" s="375"/>
      <c r="HA77" s="375"/>
      <c r="HC77" s="373"/>
      <c r="HD77" s="374"/>
      <c r="HE77" s="375"/>
      <c r="HF77" s="375"/>
      <c r="HH77" s="373"/>
      <c r="HI77" s="374"/>
      <c r="HJ77" s="375"/>
      <c r="HK77" s="375"/>
      <c r="HM77" s="373"/>
      <c r="HN77" s="374"/>
      <c r="HO77" s="375"/>
      <c r="HP77" s="375"/>
      <c r="HR77" s="373"/>
      <c r="HS77" s="374"/>
      <c r="HT77" s="375"/>
      <c r="HU77" s="375"/>
      <c r="HW77" s="373"/>
      <c r="HX77" s="374"/>
      <c r="HY77" s="375"/>
      <c r="HZ77" s="375"/>
      <c r="IB77" s="373"/>
      <c r="IC77" s="374"/>
      <c r="ID77" s="375"/>
      <c r="IE77" s="375"/>
      <c r="IG77" s="373"/>
      <c r="IH77" s="374"/>
      <c r="II77" s="375"/>
      <c r="IJ77" s="375"/>
      <c r="IL77" s="373"/>
      <c r="IM77" s="374"/>
      <c r="IN77" s="375"/>
      <c r="IO77" s="375"/>
      <c r="IQ77" s="373"/>
      <c r="IR77" s="374"/>
      <c r="IS77" s="375"/>
      <c r="IT77" s="375"/>
      <c r="IV77" s="373"/>
    </row>
    <row r="78" spans="1:256" s="376" customFormat="1" x14ac:dyDescent="0.2">
      <c r="A78" s="373"/>
      <c r="B78" s="374"/>
      <c r="C78" s="375"/>
      <c r="D78" s="375"/>
      <c r="F78" s="373"/>
      <c r="G78" s="374"/>
      <c r="H78" s="375"/>
      <c r="I78" s="375"/>
      <c r="K78" s="373">
        <v>76</v>
      </c>
      <c r="L78" s="374" t="s">
        <v>344</v>
      </c>
      <c r="M78" s="375">
        <v>21.05263157894737</v>
      </c>
      <c r="N78" s="375">
        <v>0.21052631578947367</v>
      </c>
      <c r="P78" s="373">
        <v>76</v>
      </c>
      <c r="Q78" s="374" t="s">
        <v>2637</v>
      </c>
      <c r="R78" s="375">
        <v>14.285714285714286</v>
      </c>
      <c r="S78" s="375">
        <v>0.14285714285714285</v>
      </c>
      <c r="U78" s="373"/>
      <c r="V78" s="374"/>
      <c r="W78" s="375"/>
      <c r="X78" s="375"/>
      <c r="Z78" s="373"/>
      <c r="AA78" s="374"/>
      <c r="AB78" s="375"/>
      <c r="AC78" s="375"/>
      <c r="AE78" s="382">
        <v>76</v>
      </c>
      <c r="AF78" s="383" t="s">
        <v>2606</v>
      </c>
      <c r="AG78" s="384">
        <v>20</v>
      </c>
      <c r="AH78" s="384">
        <v>0.1</v>
      </c>
      <c r="AJ78" s="382">
        <v>76</v>
      </c>
      <c r="AK78" s="383" t="s">
        <v>439</v>
      </c>
      <c r="AL78" s="384">
        <v>33.333333333333336</v>
      </c>
      <c r="AM78" s="384">
        <v>0.16666666666666666</v>
      </c>
      <c r="AO78" s="373"/>
      <c r="AP78" s="374"/>
      <c r="AQ78" s="375"/>
      <c r="AR78" s="375"/>
      <c r="AT78" s="373">
        <v>76</v>
      </c>
      <c r="AU78" s="374" t="s">
        <v>385</v>
      </c>
      <c r="AV78" s="375">
        <v>33.333333333333336</v>
      </c>
      <c r="AW78" s="375">
        <v>0.16666666666666666</v>
      </c>
      <c r="AY78" s="373"/>
      <c r="AZ78" s="374"/>
      <c r="BA78" s="375"/>
      <c r="BB78" s="375"/>
      <c r="BD78" s="373"/>
      <c r="BE78" s="374"/>
      <c r="BF78" s="375"/>
      <c r="BG78" s="375"/>
      <c r="BI78" s="373"/>
      <c r="BJ78" s="374"/>
      <c r="BK78" s="375"/>
      <c r="BL78" s="375"/>
      <c r="BN78" s="373"/>
      <c r="BO78" s="374"/>
      <c r="BP78" s="375"/>
      <c r="BQ78" s="375"/>
      <c r="BS78" s="373"/>
      <c r="BT78" s="374"/>
      <c r="BU78" s="375"/>
      <c r="BV78" s="375"/>
      <c r="BX78" s="373"/>
      <c r="BY78" s="374"/>
      <c r="BZ78" s="375"/>
      <c r="CA78" s="375"/>
      <c r="CC78" s="373"/>
      <c r="CD78" s="374"/>
      <c r="CE78" s="375"/>
      <c r="CF78" s="375"/>
      <c r="CH78" s="373"/>
      <c r="CI78" s="374"/>
      <c r="CJ78" s="375"/>
      <c r="CK78" s="375"/>
      <c r="CM78" s="373"/>
      <c r="CN78" s="374"/>
      <c r="CO78" s="375"/>
      <c r="CP78" s="375"/>
      <c r="CR78" s="373"/>
      <c r="CS78" s="374"/>
      <c r="CT78" s="375"/>
      <c r="CU78" s="375"/>
      <c r="CW78" s="373"/>
      <c r="CX78" s="374"/>
      <c r="CY78" s="375"/>
      <c r="CZ78" s="375"/>
      <c r="DB78" s="373"/>
      <c r="DC78" s="374"/>
      <c r="DD78" s="375"/>
      <c r="DE78" s="375"/>
      <c r="DG78" s="373"/>
      <c r="DH78" s="374"/>
      <c r="DI78" s="375"/>
      <c r="DJ78" s="375"/>
      <c r="DL78" s="373"/>
      <c r="DM78" s="374"/>
      <c r="DN78" s="375"/>
      <c r="DO78" s="375"/>
      <c r="DQ78" s="373"/>
      <c r="DR78" s="374"/>
      <c r="DS78" s="375"/>
      <c r="DT78" s="375"/>
      <c r="DV78" s="373"/>
      <c r="DW78" s="374"/>
      <c r="DX78" s="375"/>
      <c r="DY78" s="375"/>
      <c r="EA78" s="373"/>
      <c r="EB78" s="374"/>
      <c r="EC78" s="375"/>
      <c r="ED78" s="375"/>
      <c r="EF78" s="373"/>
      <c r="EG78" s="374"/>
      <c r="EH78" s="375"/>
      <c r="EI78" s="375"/>
      <c r="EK78" s="373"/>
      <c r="EL78" s="374"/>
      <c r="EM78" s="375"/>
      <c r="EN78" s="375"/>
      <c r="EP78" s="373"/>
      <c r="EQ78" s="374"/>
      <c r="ER78" s="375"/>
      <c r="ES78" s="375"/>
      <c r="EU78" s="373"/>
      <c r="EV78" s="374"/>
      <c r="EW78" s="375"/>
      <c r="EX78" s="375"/>
      <c r="EZ78" s="373"/>
      <c r="FA78" s="374"/>
      <c r="FB78" s="375"/>
      <c r="FC78" s="375"/>
      <c r="FE78" s="373"/>
      <c r="FF78" s="374"/>
      <c r="FG78" s="375"/>
      <c r="FH78" s="375"/>
      <c r="FJ78" s="373"/>
      <c r="FK78" s="374"/>
      <c r="FL78" s="375"/>
      <c r="FM78" s="375"/>
      <c r="FO78" s="373"/>
      <c r="FP78" s="374"/>
      <c r="FQ78" s="375"/>
      <c r="FR78" s="375"/>
      <c r="FT78" s="373"/>
      <c r="FU78" s="374"/>
      <c r="FV78" s="375"/>
      <c r="FW78" s="375"/>
      <c r="FY78" s="373"/>
      <c r="FZ78" s="374"/>
      <c r="GA78" s="375"/>
      <c r="GB78" s="375"/>
      <c r="GD78" s="373"/>
      <c r="GE78" s="374"/>
      <c r="GF78" s="375"/>
      <c r="GG78" s="375"/>
      <c r="GI78" s="373"/>
      <c r="GJ78" s="374"/>
      <c r="GK78" s="375"/>
      <c r="GL78" s="375"/>
      <c r="GN78" s="373"/>
      <c r="GO78" s="374"/>
      <c r="GP78" s="375"/>
      <c r="GQ78" s="375"/>
      <c r="GS78" s="373"/>
      <c r="GT78" s="374"/>
      <c r="GU78" s="375"/>
      <c r="GV78" s="375"/>
      <c r="GX78" s="373"/>
      <c r="GY78" s="374"/>
      <c r="GZ78" s="375"/>
      <c r="HA78" s="375"/>
      <c r="HC78" s="373"/>
      <c r="HD78" s="374"/>
      <c r="HE78" s="375"/>
      <c r="HF78" s="375"/>
      <c r="HH78" s="373"/>
      <c r="HI78" s="374"/>
      <c r="HJ78" s="375"/>
      <c r="HK78" s="375"/>
      <c r="HM78" s="373"/>
      <c r="HN78" s="374"/>
      <c r="HO78" s="375"/>
      <c r="HP78" s="375"/>
      <c r="HR78" s="373"/>
      <c r="HS78" s="374"/>
      <c r="HT78" s="375"/>
      <c r="HU78" s="375"/>
      <c r="HW78" s="373"/>
      <c r="HX78" s="374"/>
      <c r="HY78" s="375"/>
      <c r="HZ78" s="375"/>
      <c r="IB78" s="373"/>
      <c r="IC78" s="374"/>
      <c r="ID78" s="375"/>
      <c r="IE78" s="375"/>
      <c r="IG78" s="373"/>
      <c r="IH78" s="374"/>
      <c r="II78" s="375"/>
      <c r="IJ78" s="375"/>
      <c r="IL78" s="373"/>
      <c r="IM78" s="374"/>
      <c r="IN78" s="375"/>
      <c r="IO78" s="375"/>
      <c r="IQ78" s="373"/>
      <c r="IR78" s="374"/>
      <c r="IS78" s="375"/>
      <c r="IT78" s="375"/>
      <c r="IV78" s="373"/>
    </row>
    <row r="79" spans="1:256" s="376" customFormat="1" x14ac:dyDescent="0.2">
      <c r="A79" s="373"/>
      <c r="B79" s="374"/>
      <c r="C79" s="375"/>
      <c r="D79" s="375"/>
      <c r="F79" s="373"/>
      <c r="G79" s="374"/>
      <c r="H79" s="375"/>
      <c r="I79" s="375"/>
      <c r="K79" s="373">
        <v>77</v>
      </c>
      <c r="L79" s="374" t="s">
        <v>2639</v>
      </c>
      <c r="M79" s="375">
        <v>5.2631578947368425</v>
      </c>
      <c r="N79" s="375">
        <v>0.21052631578947367</v>
      </c>
      <c r="P79" s="373">
        <v>77</v>
      </c>
      <c r="Q79" s="374" t="s">
        <v>450</v>
      </c>
      <c r="R79" s="375">
        <v>14.285714285714286</v>
      </c>
      <c r="S79" s="375">
        <v>0.14285714285714285</v>
      </c>
      <c r="U79" s="373"/>
      <c r="V79" s="374"/>
      <c r="W79" s="375"/>
      <c r="X79" s="375"/>
      <c r="Z79" s="373"/>
      <c r="AA79" s="374"/>
      <c r="AB79" s="375"/>
      <c r="AC79" s="375"/>
      <c r="AE79" s="373">
        <v>77</v>
      </c>
      <c r="AF79" s="374" t="s">
        <v>607</v>
      </c>
      <c r="AG79" s="375">
        <v>20</v>
      </c>
      <c r="AH79" s="375">
        <v>0.1</v>
      </c>
      <c r="AJ79" s="373">
        <v>77</v>
      </c>
      <c r="AK79" s="374" t="s">
        <v>477</v>
      </c>
      <c r="AL79" s="375">
        <v>33.333333333333336</v>
      </c>
      <c r="AM79" s="375">
        <v>0.16666666666666666</v>
      </c>
      <c r="AO79" s="373"/>
      <c r="AP79" s="374"/>
      <c r="AQ79" s="375"/>
      <c r="AR79" s="375"/>
      <c r="AT79" s="382">
        <v>77</v>
      </c>
      <c r="AU79" s="383" t="s">
        <v>585</v>
      </c>
      <c r="AV79" s="384">
        <v>33.333333333333336</v>
      </c>
      <c r="AW79" s="384">
        <v>0.16666666666666666</v>
      </c>
      <c r="AY79" s="373"/>
      <c r="AZ79" s="374"/>
      <c r="BA79" s="375"/>
      <c r="BB79" s="375"/>
      <c r="BD79" s="373"/>
      <c r="BE79" s="374"/>
      <c r="BF79" s="375"/>
      <c r="BG79" s="375"/>
      <c r="BI79" s="373"/>
      <c r="BJ79" s="374"/>
      <c r="BK79" s="375"/>
      <c r="BL79" s="375"/>
      <c r="BN79" s="373"/>
      <c r="BO79" s="374"/>
      <c r="BP79" s="375"/>
      <c r="BQ79" s="375"/>
      <c r="BS79" s="373"/>
      <c r="BT79" s="374"/>
      <c r="BU79" s="375"/>
      <c r="BV79" s="375"/>
      <c r="BX79" s="373"/>
      <c r="BY79" s="374"/>
      <c r="BZ79" s="375"/>
      <c r="CA79" s="375"/>
      <c r="CC79" s="373"/>
      <c r="CD79" s="374"/>
      <c r="CE79" s="375"/>
      <c r="CF79" s="375"/>
      <c r="CH79" s="373"/>
      <c r="CI79" s="374"/>
      <c r="CJ79" s="375"/>
      <c r="CK79" s="375"/>
      <c r="CM79" s="373"/>
      <c r="CN79" s="374"/>
      <c r="CO79" s="375"/>
      <c r="CP79" s="375"/>
      <c r="CR79" s="373"/>
      <c r="CS79" s="374"/>
      <c r="CT79" s="375"/>
      <c r="CU79" s="375"/>
      <c r="CW79" s="373"/>
      <c r="CX79" s="374"/>
      <c r="CY79" s="375"/>
      <c r="CZ79" s="375"/>
      <c r="DB79" s="373"/>
      <c r="DC79" s="374"/>
      <c r="DD79" s="375"/>
      <c r="DE79" s="375"/>
      <c r="DG79" s="373"/>
      <c r="DH79" s="374"/>
      <c r="DI79" s="375"/>
      <c r="DJ79" s="375"/>
      <c r="DL79" s="373"/>
      <c r="DM79" s="374"/>
      <c r="DN79" s="375"/>
      <c r="DO79" s="375"/>
      <c r="DQ79" s="373"/>
      <c r="DR79" s="374"/>
      <c r="DS79" s="375"/>
      <c r="DT79" s="375"/>
      <c r="DV79" s="373"/>
      <c r="DW79" s="374"/>
      <c r="DX79" s="375"/>
      <c r="DY79" s="375"/>
      <c r="EA79" s="373"/>
      <c r="EB79" s="374"/>
      <c r="EC79" s="375"/>
      <c r="ED79" s="375"/>
      <c r="EF79" s="373"/>
      <c r="EG79" s="374"/>
      <c r="EH79" s="375"/>
      <c r="EI79" s="375"/>
      <c r="EK79" s="373"/>
      <c r="EL79" s="374"/>
      <c r="EM79" s="375"/>
      <c r="EN79" s="375"/>
      <c r="EP79" s="373"/>
      <c r="EQ79" s="374"/>
      <c r="ER79" s="375"/>
      <c r="ES79" s="375"/>
      <c r="EU79" s="373"/>
      <c r="EV79" s="374"/>
      <c r="EW79" s="375"/>
      <c r="EX79" s="375"/>
      <c r="EZ79" s="373"/>
      <c r="FA79" s="374"/>
      <c r="FB79" s="375"/>
      <c r="FC79" s="375"/>
      <c r="FE79" s="373"/>
      <c r="FF79" s="374"/>
      <c r="FG79" s="375"/>
      <c r="FH79" s="375"/>
      <c r="FJ79" s="373"/>
      <c r="FK79" s="374"/>
      <c r="FL79" s="375"/>
      <c r="FM79" s="375"/>
      <c r="FO79" s="373"/>
      <c r="FP79" s="374"/>
      <c r="FQ79" s="375"/>
      <c r="FR79" s="375"/>
      <c r="FT79" s="373"/>
      <c r="FU79" s="374"/>
      <c r="FV79" s="375"/>
      <c r="FW79" s="375"/>
      <c r="FY79" s="373"/>
      <c r="FZ79" s="374"/>
      <c r="GA79" s="375"/>
      <c r="GB79" s="375"/>
      <c r="GD79" s="373"/>
      <c r="GE79" s="374"/>
      <c r="GF79" s="375"/>
      <c r="GG79" s="375"/>
      <c r="GI79" s="373"/>
      <c r="GJ79" s="374"/>
      <c r="GK79" s="375"/>
      <c r="GL79" s="375"/>
      <c r="GN79" s="373"/>
      <c r="GO79" s="374"/>
      <c r="GP79" s="375"/>
      <c r="GQ79" s="375"/>
      <c r="GS79" s="373"/>
      <c r="GT79" s="374"/>
      <c r="GU79" s="375"/>
      <c r="GV79" s="375"/>
      <c r="GX79" s="373"/>
      <c r="GY79" s="374"/>
      <c r="GZ79" s="375"/>
      <c r="HA79" s="375"/>
      <c r="HC79" s="373"/>
      <c r="HD79" s="374"/>
      <c r="HE79" s="375"/>
      <c r="HF79" s="375"/>
      <c r="HH79" s="373"/>
      <c r="HI79" s="374"/>
      <c r="HJ79" s="375"/>
      <c r="HK79" s="375"/>
      <c r="HM79" s="373"/>
      <c r="HN79" s="374"/>
      <c r="HO79" s="375"/>
      <c r="HP79" s="375"/>
      <c r="HR79" s="373"/>
      <c r="HS79" s="374"/>
      <c r="HT79" s="375"/>
      <c r="HU79" s="375"/>
      <c r="HW79" s="373"/>
      <c r="HX79" s="374"/>
      <c r="HY79" s="375"/>
      <c r="HZ79" s="375"/>
      <c r="IB79" s="373"/>
      <c r="IC79" s="374"/>
      <c r="ID79" s="375"/>
      <c r="IE79" s="375"/>
      <c r="IG79" s="373"/>
      <c r="IH79" s="374"/>
      <c r="II79" s="375"/>
      <c r="IJ79" s="375"/>
      <c r="IL79" s="373"/>
      <c r="IM79" s="374"/>
      <c r="IN79" s="375"/>
      <c r="IO79" s="375"/>
      <c r="IQ79" s="373"/>
      <c r="IR79" s="374"/>
      <c r="IS79" s="375"/>
      <c r="IT79" s="375"/>
      <c r="IV79" s="373"/>
    </row>
    <row r="80" spans="1:256" s="376" customFormat="1" x14ac:dyDescent="0.2">
      <c r="A80" s="373"/>
      <c r="B80" s="374"/>
      <c r="C80" s="375"/>
      <c r="D80" s="375"/>
      <c r="F80" s="373"/>
      <c r="G80" s="374"/>
      <c r="H80" s="375"/>
      <c r="I80" s="375"/>
      <c r="K80" s="382">
        <v>78</v>
      </c>
      <c r="L80" s="383" t="s">
        <v>2578</v>
      </c>
      <c r="M80" s="384">
        <v>5.2631578947368425</v>
      </c>
      <c r="N80" s="384">
        <v>0.21052631578947367</v>
      </c>
      <c r="P80" s="382">
        <v>78</v>
      </c>
      <c r="Q80" s="383" t="s">
        <v>478</v>
      </c>
      <c r="R80" s="384">
        <v>14.285714285714286</v>
      </c>
      <c r="S80" s="384">
        <v>0.14285714285714285</v>
      </c>
      <c r="U80" s="373"/>
      <c r="V80" s="374"/>
      <c r="W80" s="375"/>
      <c r="X80" s="375"/>
      <c r="Z80" s="373"/>
      <c r="AA80" s="374"/>
      <c r="AB80" s="375"/>
      <c r="AC80" s="375"/>
      <c r="AE80" s="382">
        <v>78</v>
      </c>
      <c r="AF80" s="383" t="s">
        <v>2607</v>
      </c>
      <c r="AG80" s="384">
        <v>20</v>
      </c>
      <c r="AH80" s="384">
        <v>0.1</v>
      </c>
      <c r="AJ80" s="373">
        <v>78</v>
      </c>
      <c r="AK80" s="374" t="s">
        <v>371</v>
      </c>
      <c r="AL80" s="375">
        <v>33.333333333333336</v>
      </c>
      <c r="AM80" s="375">
        <v>0.16666666666666666</v>
      </c>
      <c r="AO80" s="373"/>
      <c r="AP80" s="374"/>
      <c r="AQ80" s="375"/>
      <c r="AR80" s="375"/>
      <c r="AT80" s="373">
        <v>78</v>
      </c>
      <c r="AU80" s="374" t="s">
        <v>376</v>
      </c>
      <c r="AV80" s="375">
        <v>33.333333333333336</v>
      </c>
      <c r="AW80" s="375">
        <v>0.16666666666666666</v>
      </c>
      <c r="AY80" s="373"/>
      <c r="AZ80" s="374"/>
      <c r="BA80" s="375"/>
      <c r="BB80" s="375"/>
      <c r="BD80" s="373"/>
      <c r="BE80" s="374"/>
      <c r="BF80" s="375"/>
      <c r="BG80" s="375"/>
      <c r="BI80" s="373"/>
      <c r="BJ80" s="374"/>
      <c r="BK80" s="375"/>
      <c r="BL80" s="375"/>
      <c r="BN80" s="373"/>
      <c r="BO80" s="374"/>
      <c r="BP80" s="375"/>
      <c r="BQ80" s="375"/>
      <c r="BS80" s="373"/>
      <c r="BT80" s="374"/>
      <c r="BU80" s="375"/>
      <c r="BV80" s="375"/>
      <c r="BX80" s="373"/>
      <c r="BY80" s="374"/>
      <c r="BZ80" s="375"/>
      <c r="CA80" s="375"/>
      <c r="CC80" s="373"/>
      <c r="CD80" s="374"/>
      <c r="CE80" s="375"/>
      <c r="CF80" s="375"/>
      <c r="CH80" s="373"/>
      <c r="CI80" s="374"/>
      <c r="CJ80" s="375"/>
      <c r="CK80" s="375"/>
      <c r="CM80" s="373"/>
      <c r="CN80" s="374"/>
      <c r="CO80" s="375"/>
      <c r="CP80" s="375"/>
      <c r="CR80" s="373"/>
      <c r="CS80" s="374"/>
      <c r="CT80" s="375"/>
      <c r="CU80" s="375"/>
      <c r="CW80" s="373"/>
      <c r="CX80" s="374"/>
      <c r="CY80" s="375"/>
      <c r="CZ80" s="375"/>
      <c r="DB80" s="373"/>
      <c r="DC80" s="374"/>
      <c r="DD80" s="375"/>
      <c r="DE80" s="375"/>
      <c r="DG80" s="373"/>
      <c r="DH80" s="374"/>
      <c r="DI80" s="375"/>
      <c r="DJ80" s="375"/>
      <c r="DL80" s="373"/>
      <c r="DM80" s="374"/>
      <c r="DN80" s="375"/>
      <c r="DO80" s="375"/>
      <c r="DQ80" s="373"/>
      <c r="DR80" s="374"/>
      <c r="DS80" s="375"/>
      <c r="DT80" s="375"/>
      <c r="DV80" s="373"/>
      <c r="DW80" s="374"/>
      <c r="DX80" s="375"/>
      <c r="DY80" s="375"/>
      <c r="EA80" s="373"/>
      <c r="EB80" s="374"/>
      <c r="EC80" s="375"/>
      <c r="ED80" s="375"/>
      <c r="EF80" s="373"/>
      <c r="EG80" s="374"/>
      <c r="EH80" s="375"/>
      <c r="EI80" s="375"/>
      <c r="EK80" s="373"/>
      <c r="EL80" s="374"/>
      <c r="EM80" s="375"/>
      <c r="EN80" s="375"/>
      <c r="EP80" s="373"/>
      <c r="EQ80" s="374"/>
      <c r="ER80" s="375"/>
      <c r="ES80" s="375"/>
      <c r="EU80" s="373"/>
      <c r="EV80" s="374"/>
      <c r="EW80" s="375"/>
      <c r="EX80" s="375"/>
      <c r="EZ80" s="373"/>
      <c r="FA80" s="374"/>
      <c r="FB80" s="375"/>
      <c r="FC80" s="375"/>
      <c r="FE80" s="373"/>
      <c r="FF80" s="374"/>
      <c r="FG80" s="375"/>
      <c r="FH80" s="375"/>
      <c r="FJ80" s="373"/>
      <c r="FK80" s="374"/>
      <c r="FL80" s="375"/>
      <c r="FM80" s="375"/>
      <c r="FO80" s="373"/>
      <c r="FP80" s="374"/>
      <c r="FQ80" s="375"/>
      <c r="FR80" s="375"/>
      <c r="FT80" s="373"/>
      <c r="FU80" s="374"/>
      <c r="FV80" s="375"/>
      <c r="FW80" s="375"/>
      <c r="FY80" s="373"/>
      <c r="FZ80" s="374"/>
      <c r="GA80" s="375"/>
      <c r="GB80" s="375"/>
      <c r="GD80" s="373"/>
      <c r="GE80" s="374"/>
      <c r="GF80" s="375"/>
      <c r="GG80" s="375"/>
      <c r="GI80" s="373"/>
      <c r="GJ80" s="374"/>
      <c r="GK80" s="375"/>
      <c r="GL80" s="375"/>
      <c r="GN80" s="373"/>
      <c r="GO80" s="374"/>
      <c r="GP80" s="375"/>
      <c r="GQ80" s="375"/>
      <c r="GS80" s="373"/>
      <c r="GT80" s="374"/>
      <c r="GU80" s="375"/>
      <c r="GV80" s="375"/>
      <c r="GX80" s="373"/>
      <c r="GY80" s="374"/>
      <c r="GZ80" s="375"/>
      <c r="HA80" s="375"/>
      <c r="HC80" s="373"/>
      <c r="HD80" s="374"/>
      <c r="HE80" s="375"/>
      <c r="HF80" s="375"/>
      <c r="HH80" s="373"/>
      <c r="HI80" s="374"/>
      <c r="HJ80" s="375"/>
      <c r="HK80" s="375"/>
      <c r="HM80" s="373"/>
      <c r="HN80" s="374"/>
      <c r="HO80" s="375"/>
      <c r="HP80" s="375"/>
      <c r="HR80" s="373"/>
      <c r="HS80" s="374"/>
      <c r="HT80" s="375"/>
      <c r="HU80" s="375"/>
      <c r="HW80" s="373"/>
      <c r="HX80" s="374"/>
      <c r="HY80" s="375"/>
      <c r="HZ80" s="375"/>
      <c r="IB80" s="373"/>
      <c r="IC80" s="374"/>
      <c r="ID80" s="375"/>
      <c r="IE80" s="375"/>
      <c r="IG80" s="373"/>
      <c r="IH80" s="374"/>
      <c r="II80" s="375"/>
      <c r="IJ80" s="375"/>
      <c r="IL80" s="373"/>
      <c r="IM80" s="374"/>
      <c r="IN80" s="375"/>
      <c r="IO80" s="375"/>
      <c r="IQ80" s="373"/>
      <c r="IR80" s="374"/>
      <c r="IS80" s="375"/>
      <c r="IT80" s="375"/>
      <c r="IV80" s="373"/>
    </row>
    <row r="81" spans="1:256" s="376" customFormat="1" x14ac:dyDescent="0.2">
      <c r="A81" s="373"/>
      <c r="B81" s="374"/>
      <c r="C81" s="375"/>
      <c r="D81" s="375"/>
      <c r="F81" s="373"/>
      <c r="G81" s="374"/>
      <c r="H81" s="375"/>
      <c r="I81" s="375"/>
      <c r="K81" s="373">
        <v>79</v>
      </c>
      <c r="L81" s="374" t="s">
        <v>567</v>
      </c>
      <c r="M81" s="375">
        <v>10.526315789473685</v>
      </c>
      <c r="N81" s="375">
        <v>0.21052631578947367</v>
      </c>
      <c r="P81" s="373">
        <v>79</v>
      </c>
      <c r="Q81" s="374" t="s">
        <v>2659</v>
      </c>
      <c r="R81" s="375">
        <v>14.285714285714286</v>
      </c>
      <c r="S81" s="375">
        <v>0.14285714285714285</v>
      </c>
      <c r="U81" s="373"/>
      <c r="V81" s="374"/>
      <c r="W81" s="375"/>
      <c r="X81" s="375"/>
      <c r="Z81" s="373"/>
      <c r="AA81" s="374"/>
      <c r="AB81" s="375"/>
      <c r="AC81" s="375"/>
      <c r="AE81" s="373">
        <v>79</v>
      </c>
      <c r="AF81" s="374" t="s">
        <v>376</v>
      </c>
      <c r="AG81" s="375">
        <v>20</v>
      </c>
      <c r="AH81" s="375">
        <v>0.1</v>
      </c>
      <c r="AJ81" s="373">
        <v>79</v>
      </c>
      <c r="AK81" s="374" t="s">
        <v>369</v>
      </c>
      <c r="AL81" s="375">
        <v>33.333333333333336</v>
      </c>
      <c r="AM81" s="375">
        <v>0.16666666666666666</v>
      </c>
      <c r="AO81" s="373"/>
      <c r="AP81" s="374"/>
      <c r="AQ81" s="375"/>
      <c r="AR81" s="375"/>
      <c r="AT81" s="373">
        <v>79</v>
      </c>
      <c r="AU81" s="374" t="s">
        <v>584</v>
      </c>
      <c r="AV81" s="375">
        <v>33.333333333333336</v>
      </c>
      <c r="AW81" s="375">
        <v>0.16666666666666666</v>
      </c>
      <c r="AY81" s="373"/>
      <c r="AZ81" s="374"/>
      <c r="BA81" s="375"/>
      <c r="BB81" s="375"/>
      <c r="BD81" s="373"/>
      <c r="BE81" s="374"/>
      <c r="BF81" s="375"/>
      <c r="BG81" s="375"/>
      <c r="BI81" s="373"/>
      <c r="BJ81" s="374"/>
      <c r="BK81" s="375"/>
      <c r="BL81" s="375"/>
      <c r="BN81" s="373"/>
      <c r="BO81" s="374"/>
      <c r="BP81" s="375"/>
      <c r="BQ81" s="375"/>
      <c r="BS81" s="373"/>
      <c r="BT81" s="374"/>
      <c r="BU81" s="375"/>
      <c r="BV81" s="375"/>
      <c r="BX81" s="373"/>
      <c r="BY81" s="374"/>
      <c r="BZ81" s="375"/>
      <c r="CA81" s="375"/>
      <c r="CC81" s="373"/>
      <c r="CD81" s="374"/>
      <c r="CE81" s="375"/>
      <c r="CF81" s="375"/>
      <c r="CH81" s="373"/>
      <c r="CI81" s="374"/>
      <c r="CJ81" s="375"/>
      <c r="CK81" s="375"/>
      <c r="CM81" s="373"/>
      <c r="CN81" s="374"/>
      <c r="CO81" s="375"/>
      <c r="CP81" s="375"/>
      <c r="CR81" s="373"/>
      <c r="CS81" s="374"/>
      <c r="CT81" s="375"/>
      <c r="CU81" s="375"/>
      <c r="CW81" s="373"/>
      <c r="CX81" s="374"/>
      <c r="CY81" s="375"/>
      <c r="CZ81" s="375"/>
      <c r="DB81" s="373"/>
      <c r="DC81" s="374"/>
      <c r="DD81" s="375"/>
      <c r="DE81" s="375"/>
      <c r="DG81" s="373"/>
      <c r="DH81" s="374"/>
      <c r="DI81" s="375"/>
      <c r="DJ81" s="375"/>
      <c r="DL81" s="373"/>
      <c r="DM81" s="374"/>
      <c r="DN81" s="375"/>
      <c r="DO81" s="375"/>
      <c r="DQ81" s="373"/>
      <c r="DR81" s="374"/>
      <c r="DS81" s="375"/>
      <c r="DT81" s="375"/>
      <c r="DV81" s="373"/>
      <c r="DW81" s="374"/>
      <c r="DX81" s="375"/>
      <c r="DY81" s="375"/>
      <c r="EA81" s="373"/>
      <c r="EB81" s="374"/>
      <c r="EC81" s="375"/>
      <c r="ED81" s="375"/>
      <c r="EF81" s="373"/>
      <c r="EG81" s="374"/>
      <c r="EH81" s="375"/>
      <c r="EI81" s="375"/>
      <c r="EK81" s="373"/>
      <c r="EL81" s="374"/>
      <c r="EM81" s="375"/>
      <c r="EN81" s="375"/>
      <c r="EP81" s="373"/>
      <c r="EQ81" s="374"/>
      <c r="ER81" s="375"/>
      <c r="ES81" s="375"/>
      <c r="EU81" s="373"/>
      <c r="EV81" s="374"/>
      <c r="EW81" s="375"/>
      <c r="EX81" s="375"/>
      <c r="EZ81" s="373"/>
      <c r="FA81" s="374"/>
      <c r="FB81" s="375"/>
      <c r="FC81" s="375"/>
      <c r="FE81" s="373"/>
      <c r="FF81" s="374"/>
      <c r="FG81" s="375"/>
      <c r="FH81" s="375"/>
      <c r="FJ81" s="373"/>
      <c r="FK81" s="374"/>
      <c r="FL81" s="375"/>
      <c r="FM81" s="375"/>
      <c r="FO81" s="373"/>
      <c r="FP81" s="374"/>
      <c r="FQ81" s="375"/>
      <c r="FR81" s="375"/>
      <c r="FT81" s="373"/>
      <c r="FU81" s="374"/>
      <c r="FV81" s="375"/>
      <c r="FW81" s="375"/>
      <c r="FY81" s="373"/>
      <c r="FZ81" s="374"/>
      <c r="GA81" s="375"/>
      <c r="GB81" s="375"/>
      <c r="GD81" s="373"/>
      <c r="GE81" s="374"/>
      <c r="GF81" s="375"/>
      <c r="GG81" s="375"/>
      <c r="GI81" s="373"/>
      <c r="GJ81" s="374"/>
      <c r="GK81" s="375"/>
      <c r="GL81" s="375"/>
      <c r="GN81" s="373"/>
      <c r="GO81" s="374"/>
      <c r="GP81" s="375"/>
      <c r="GQ81" s="375"/>
      <c r="GS81" s="373"/>
      <c r="GT81" s="374"/>
      <c r="GU81" s="375"/>
      <c r="GV81" s="375"/>
      <c r="GX81" s="373"/>
      <c r="GY81" s="374"/>
      <c r="GZ81" s="375"/>
      <c r="HA81" s="375"/>
      <c r="HC81" s="373"/>
      <c r="HD81" s="374"/>
      <c r="HE81" s="375"/>
      <c r="HF81" s="375"/>
      <c r="HH81" s="373"/>
      <c r="HI81" s="374"/>
      <c r="HJ81" s="375"/>
      <c r="HK81" s="375"/>
      <c r="HM81" s="373"/>
      <c r="HN81" s="374"/>
      <c r="HO81" s="375"/>
      <c r="HP81" s="375"/>
      <c r="HR81" s="373"/>
      <c r="HS81" s="374"/>
      <c r="HT81" s="375"/>
      <c r="HU81" s="375"/>
      <c r="HW81" s="373"/>
      <c r="HX81" s="374"/>
      <c r="HY81" s="375"/>
      <c r="HZ81" s="375"/>
      <c r="IB81" s="373"/>
      <c r="IC81" s="374"/>
      <c r="ID81" s="375"/>
      <c r="IE81" s="375"/>
      <c r="IG81" s="373"/>
      <c r="IH81" s="374"/>
      <c r="II81" s="375"/>
      <c r="IJ81" s="375"/>
      <c r="IL81" s="373"/>
      <c r="IM81" s="374"/>
      <c r="IN81" s="375"/>
      <c r="IO81" s="375"/>
      <c r="IQ81" s="373"/>
      <c r="IR81" s="374"/>
      <c r="IS81" s="375"/>
      <c r="IT81" s="375"/>
      <c r="IV81" s="373"/>
    </row>
    <row r="82" spans="1:256" s="376" customFormat="1" x14ac:dyDescent="0.2">
      <c r="A82" s="373"/>
      <c r="B82" s="374"/>
      <c r="C82" s="375"/>
      <c r="D82" s="375"/>
      <c r="F82" s="373"/>
      <c r="G82" s="374"/>
      <c r="H82" s="375"/>
      <c r="I82" s="375"/>
      <c r="K82" s="373">
        <v>80</v>
      </c>
      <c r="L82" s="374" t="s">
        <v>2637</v>
      </c>
      <c r="M82" s="375">
        <v>26.315789473684209</v>
      </c>
      <c r="N82" s="375">
        <v>0.18421052631578946</v>
      </c>
      <c r="P82" s="373">
        <v>80</v>
      </c>
      <c r="Q82" s="374" t="s">
        <v>445</v>
      </c>
      <c r="R82" s="375">
        <v>14.285714285714286</v>
      </c>
      <c r="S82" s="375">
        <v>0.14285714285714285</v>
      </c>
      <c r="U82" s="373"/>
      <c r="V82" s="374"/>
      <c r="W82" s="375"/>
      <c r="X82" s="375"/>
      <c r="Z82" s="373"/>
      <c r="AA82" s="374"/>
      <c r="AB82" s="375"/>
      <c r="AC82" s="375"/>
      <c r="AE82" s="373">
        <v>80</v>
      </c>
      <c r="AF82" s="374" t="s">
        <v>615</v>
      </c>
      <c r="AG82" s="375">
        <v>20</v>
      </c>
      <c r="AH82" s="375">
        <v>0.1</v>
      </c>
      <c r="AJ82" s="373">
        <v>80</v>
      </c>
      <c r="AK82" s="374" t="s">
        <v>2600</v>
      </c>
      <c r="AL82" s="375">
        <v>33.333333333333336</v>
      </c>
      <c r="AM82" s="375">
        <v>0.16666666666666666</v>
      </c>
      <c r="AO82" s="373"/>
      <c r="AP82" s="374"/>
      <c r="AQ82" s="375"/>
      <c r="AR82" s="375"/>
      <c r="AT82" s="373">
        <v>80</v>
      </c>
      <c r="AU82" s="374" t="s">
        <v>364</v>
      </c>
      <c r="AV82" s="375">
        <v>33.333333333333336</v>
      </c>
      <c r="AW82" s="375">
        <v>0.16666666666666666</v>
      </c>
      <c r="AY82" s="373"/>
      <c r="AZ82" s="374"/>
      <c r="BA82" s="375"/>
      <c r="BB82" s="375"/>
      <c r="BD82" s="373"/>
      <c r="BE82" s="374"/>
      <c r="BF82" s="375"/>
      <c r="BG82" s="375"/>
      <c r="BI82" s="373"/>
      <c r="BJ82" s="374"/>
      <c r="BK82" s="375"/>
      <c r="BL82" s="375"/>
      <c r="BN82" s="373"/>
      <c r="BO82" s="374"/>
      <c r="BP82" s="375"/>
      <c r="BQ82" s="375"/>
      <c r="BS82" s="373"/>
      <c r="BT82" s="374"/>
      <c r="BU82" s="375"/>
      <c r="BV82" s="375"/>
      <c r="BX82" s="373"/>
      <c r="BY82" s="374"/>
      <c r="BZ82" s="375"/>
      <c r="CA82" s="375"/>
      <c r="CC82" s="373"/>
      <c r="CD82" s="374"/>
      <c r="CE82" s="375"/>
      <c r="CF82" s="375"/>
      <c r="CH82" s="373"/>
      <c r="CI82" s="374"/>
      <c r="CJ82" s="375"/>
      <c r="CK82" s="375"/>
      <c r="CM82" s="373"/>
      <c r="CN82" s="374"/>
      <c r="CO82" s="375"/>
      <c r="CP82" s="375"/>
      <c r="CR82" s="373"/>
      <c r="CS82" s="374"/>
      <c r="CT82" s="375"/>
      <c r="CU82" s="375"/>
      <c r="CW82" s="373"/>
      <c r="CX82" s="374"/>
      <c r="CY82" s="375"/>
      <c r="CZ82" s="375"/>
      <c r="DB82" s="373"/>
      <c r="DC82" s="374"/>
      <c r="DD82" s="375"/>
      <c r="DE82" s="375"/>
      <c r="DG82" s="373"/>
      <c r="DH82" s="374"/>
      <c r="DI82" s="375"/>
      <c r="DJ82" s="375"/>
      <c r="DL82" s="373"/>
      <c r="DM82" s="374"/>
      <c r="DN82" s="375"/>
      <c r="DO82" s="375"/>
      <c r="DQ82" s="373"/>
      <c r="DR82" s="374"/>
      <c r="DS82" s="375"/>
      <c r="DT82" s="375"/>
      <c r="DV82" s="373"/>
      <c r="DW82" s="374"/>
      <c r="DX82" s="375"/>
      <c r="DY82" s="375"/>
      <c r="EA82" s="373"/>
      <c r="EB82" s="374"/>
      <c r="EC82" s="375"/>
      <c r="ED82" s="375"/>
      <c r="EF82" s="373"/>
      <c r="EG82" s="374"/>
      <c r="EH82" s="375"/>
      <c r="EI82" s="375"/>
      <c r="EK82" s="373"/>
      <c r="EL82" s="374"/>
      <c r="EM82" s="375"/>
      <c r="EN82" s="375"/>
      <c r="EP82" s="373"/>
      <c r="EQ82" s="374"/>
      <c r="ER82" s="375"/>
      <c r="ES82" s="375"/>
      <c r="EU82" s="373"/>
      <c r="EV82" s="374"/>
      <c r="EW82" s="375"/>
      <c r="EX82" s="375"/>
      <c r="EZ82" s="373"/>
      <c r="FA82" s="374"/>
      <c r="FB82" s="375"/>
      <c r="FC82" s="375"/>
      <c r="FE82" s="373"/>
      <c r="FF82" s="374"/>
      <c r="FG82" s="375"/>
      <c r="FH82" s="375"/>
      <c r="FJ82" s="373"/>
      <c r="FK82" s="374"/>
      <c r="FL82" s="375"/>
      <c r="FM82" s="375"/>
      <c r="FO82" s="373"/>
      <c r="FP82" s="374"/>
      <c r="FQ82" s="375"/>
      <c r="FR82" s="375"/>
      <c r="FT82" s="373"/>
      <c r="FU82" s="374"/>
      <c r="FV82" s="375"/>
      <c r="FW82" s="375"/>
      <c r="FY82" s="373"/>
      <c r="FZ82" s="374"/>
      <c r="GA82" s="375"/>
      <c r="GB82" s="375"/>
      <c r="GD82" s="373"/>
      <c r="GE82" s="374"/>
      <c r="GF82" s="375"/>
      <c r="GG82" s="375"/>
      <c r="GI82" s="373"/>
      <c r="GJ82" s="374"/>
      <c r="GK82" s="375"/>
      <c r="GL82" s="375"/>
      <c r="GN82" s="373"/>
      <c r="GO82" s="374"/>
      <c r="GP82" s="375"/>
      <c r="GQ82" s="375"/>
      <c r="GS82" s="373"/>
      <c r="GT82" s="374"/>
      <c r="GU82" s="375"/>
      <c r="GV82" s="375"/>
      <c r="GX82" s="373"/>
      <c r="GY82" s="374"/>
      <c r="GZ82" s="375"/>
      <c r="HA82" s="375"/>
      <c r="HC82" s="373"/>
      <c r="HD82" s="374"/>
      <c r="HE82" s="375"/>
      <c r="HF82" s="375"/>
      <c r="HH82" s="373"/>
      <c r="HI82" s="374"/>
      <c r="HJ82" s="375"/>
      <c r="HK82" s="375"/>
      <c r="HM82" s="373"/>
      <c r="HN82" s="374"/>
      <c r="HO82" s="375"/>
      <c r="HP82" s="375"/>
      <c r="HR82" s="373"/>
      <c r="HS82" s="374"/>
      <c r="HT82" s="375"/>
      <c r="HU82" s="375"/>
      <c r="HW82" s="373"/>
      <c r="HX82" s="374"/>
      <c r="HY82" s="375"/>
      <c r="HZ82" s="375"/>
      <c r="IB82" s="373"/>
      <c r="IC82" s="374"/>
      <c r="ID82" s="375"/>
      <c r="IE82" s="375"/>
      <c r="IG82" s="373"/>
      <c r="IH82" s="374"/>
      <c r="II82" s="375"/>
      <c r="IJ82" s="375"/>
      <c r="IL82" s="373"/>
      <c r="IM82" s="374"/>
      <c r="IN82" s="375"/>
      <c r="IO82" s="375"/>
      <c r="IQ82" s="373"/>
      <c r="IR82" s="374"/>
      <c r="IS82" s="375"/>
      <c r="IT82" s="375"/>
      <c r="IV82" s="373"/>
    </row>
    <row r="83" spans="1:256" s="376" customFormat="1" x14ac:dyDescent="0.2">
      <c r="A83" s="373"/>
      <c r="B83" s="374"/>
      <c r="C83" s="375"/>
      <c r="D83" s="375"/>
      <c r="F83" s="373"/>
      <c r="G83" s="374"/>
      <c r="H83" s="375"/>
      <c r="I83" s="375"/>
      <c r="K83" s="373">
        <v>81</v>
      </c>
      <c r="L83" s="374" t="s">
        <v>327</v>
      </c>
      <c r="M83" s="375">
        <v>15.789473684210526</v>
      </c>
      <c r="N83" s="375">
        <v>0.18421052631578946</v>
      </c>
      <c r="P83" s="335">
        <v>81</v>
      </c>
      <c r="Q83" s="336" t="s">
        <v>2582</v>
      </c>
      <c r="R83" s="337">
        <v>14.285714285714286</v>
      </c>
      <c r="S83" s="337">
        <v>0.14285714285714285</v>
      </c>
      <c r="U83" s="373"/>
      <c r="V83" s="374"/>
      <c r="W83" s="375"/>
      <c r="X83" s="375"/>
      <c r="Z83" s="373"/>
      <c r="AA83" s="374"/>
      <c r="AB83" s="375"/>
      <c r="AC83" s="375"/>
      <c r="AE83" s="373">
        <v>81</v>
      </c>
      <c r="AF83" s="374" t="s">
        <v>590</v>
      </c>
      <c r="AG83" s="375">
        <v>20</v>
      </c>
      <c r="AH83" s="375">
        <v>0.1</v>
      </c>
      <c r="AJ83" s="373">
        <v>81</v>
      </c>
      <c r="AK83" s="374" t="s">
        <v>584</v>
      </c>
      <c r="AL83" s="375">
        <v>33.333333333333336</v>
      </c>
      <c r="AM83" s="375">
        <v>0.16666666666666666</v>
      </c>
      <c r="AO83" s="373"/>
      <c r="AP83" s="374"/>
      <c r="AQ83" s="375"/>
      <c r="AR83" s="375"/>
      <c r="AT83" s="373">
        <v>81</v>
      </c>
      <c r="AU83" s="374" t="s">
        <v>2571</v>
      </c>
      <c r="AV83" s="375">
        <v>33.333333333333336</v>
      </c>
      <c r="AW83" s="375">
        <v>0.16666666666666666</v>
      </c>
      <c r="AY83" s="373"/>
      <c r="AZ83" s="374"/>
      <c r="BA83" s="375"/>
      <c r="BB83" s="375"/>
      <c r="BD83" s="373"/>
      <c r="BE83" s="374"/>
      <c r="BF83" s="375"/>
      <c r="BG83" s="375"/>
      <c r="BI83" s="373"/>
      <c r="BJ83" s="374"/>
      <c r="BK83" s="375"/>
      <c r="BL83" s="375"/>
      <c r="BN83" s="373"/>
      <c r="BO83" s="374"/>
      <c r="BP83" s="375"/>
      <c r="BQ83" s="375"/>
      <c r="BS83" s="373"/>
      <c r="BT83" s="374"/>
      <c r="BU83" s="375"/>
      <c r="BV83" s="375"/>
      <c r="BX83" s="373"/>
      <c r="BY83" s="374"/>
      <c r="BZ83" s="375"/>
      <c r="CA83" s="375"/>
      <c r="CC83" s="373"/>
      <c r="CD83" s="374"/>
      <c r="CE83" s="375"/>
      <c r="CF83" s="375"/>
      <c r="CH83" s="373"/>
      <c r="CI83" s="374"/>
      <c r="CJ83" s="375"/>
      <c r="CK83" s="375"/>
      <c r="CM83" s="373"/>
      <c r="CN83" s="374"/>
      <c r="CO83" s="375"/>
      <c r="CP83" s="375"/>
      <c r="CR83" s="373"/>
      <c r="CS83" s="374"/>
      <c r="CT83" s="375"/>
      <c r="CU83" s="375"/>
      <c r="CW83" s="373"/>
      <c r="CX83" s="374"/>
      <c r="CY83" s="375"/>
      <c r="CZ83" s="375"/>
      <c r="DB83" s="373"/>
      <c r="DC83" s="374"/>
      <c r="DD83" s="375"/>
      <c r="DE83" s="375"/>
      <c r="DG83" s="373"/>
      <c r="DH83" s="374"/>
      <c r="DI83" s="375"/>
      <c r="DJ83" s="375"/>
      <c r="DL83" s="373"/>
      <c r="DM83" s="374"/>
      <c r="DN83" s="375"/>
      <c r="DO83" s="375"/>
      <c r="DQ83" s="373"/>
      <c r="DR83" s="374"/>
      <c r="DS83" s="375"/>
      <c r="DT83" s="375"/>
      <c r="DV83" s="373"/>
      <c r="DW83" s="374"/>
      <c r="DX83" s="375"/>
      <c r="DY83" s="375"/>
      <c r="EA83" s="373"/>
      <c r="EB83" s="374"/>
      <c r="EC83" s="375"/>
      <c r="ED83" s="375"/>
      <c r="EF83" s="373"/>
      <c r="EG83" s="374"/>
      <c r="EH83" s="375"/>
      <c r="EI83" s="375"/>
      <c r="EK83" s="373"/>
      <c r="EL83" s="374"/>
      <c r="EM83" s="375"/>
      <c r="EN83" s="375"/>
      <c r="EP83" s="373"/>
      <c r="EQ83" s="374"/>
      <c r="ER83" s="375"/>
      <c r="ES83" s="375"/>
      <c r="EU83" s="373"/>
      <c r="EV83" s="374"/>
      <c r="EW83" s="375"/>
      <c r="EX83" s="375"/>
      <c r="EZ83" s="373"/>
      <c r="FA83" s="374"/>
      <c r="FB83" s="375"/>
      <c r="FC83" s="375"/>
      <c r="FE83" s="373"/>
      <c r="FF83" s="374"/>
      <c r="FG83" s="375"/>
      <c r="FH83" s="375"/>
      <c r="FJ83" s="373"/>
      <c r="FK83" s="374"/>
      <c r="FL83" s="375"/>
      <c r="FM83" s="375"/>
      <c r="FO83" s="373"/>
      <c r="FP83" s="374"/>
      <c r="FQ83" s="375"/>
      <c r="FR83" s="375"/>
      <c r="FT83" s="373"/>
      <c r="FU83" s="374"/>
      <c r="FV83" s="375"/>
      <c r="FW83" s="375"/>
      <c r="FY83" s="373"/>
      <c r="FZ83" s="374"/>
      <c r="GA83" s="375"/>
      <c r="GB83" s="375"/>
      <c r="GD83" s="373"/>
      <c r="GE83" s="374"/>
      <c r="GF83" s="375"/>
      <c r="GG83" s="375"/>
      <c r="GI83" s="373"/>
      <c r="GJ83" s="374"/>
      <c r="GK83" s="375"/>
      <c r="GL83" s="375"/>
      <c r="GN83" s="373"/>
      <c r="GO83" s="374"/>
      <c r="GP83" s="375"/>
      <c r="GQ83" s="375"/>
      <c r="GS83" s="373"/>
      <c r="GT83" s="374"/>
      <c r="GU83" s="375"/>
      <c r="GV83" s="375"/>
      <c r="GX83" s="373"/>
      <c r="GY83" s="374"/>
      <c r="GZ83" s="375"/>
      <c r="HA83" s="375"/>
      <c r="HC83" s="373"/>
      <c r="HD83" s="374"/>
      <c r="HE83" s="375"/>
      <c r="HF83" s="375"/>
      <c r="HH83" s="373"/>
      <c r="HI83" s="374"/>
      <c r="HJ83" s="375"/>
      <c r="HK83" s="375"/>
      <c r="HM83" s="373"/>
      <c r="HN83" s="374"/>
      <c r="HO83" s="375"/>
      <c r="HP83" s="375"/>
      <c r="HR83" s="373"/>
      <c r="HS83" s="374"/>
      <c r="HT83" s="375"/>
      <c r="HU83" s="375"/>
      <c r="HW83" s="373"/>
      <c r="HX83" s="374"/>
      <c r="HY83" s="375"/>
      <c r="HZ83" s="375"/>
      <c r="IB83" s="373"/>
      <c r="IC83" s="374"/>
      <c r="ID83" s="375"/>
      <c r="IE83" s="375"/>
      <c r="IG83" s="373"/>
      <c r="IH83" s="374"/>
      <c r="II83" s="375"/>
      <c r="IJ83" s="375"/>
      <c r="IL83" s="373"/>
      <c r="IM83" s="374"/>
      <c r="IN83" s="375"/>
      <c r="IO83" s="375"/>
      <c r="IQ83" s="373"/>
      <c r="IR83" s="374"/>
      <c r="IS83" s="375"/>
      <c r="IT83" s="375"/>
      <c r="IV83" s="373"/>
    </row>
    <row r="84" spans="1:256" s="376" customFormat="1" x14ac:dyDescent="0.2">
      <c r="A84" s="373"/>
      <c r="B84" s="374"/>
      <c r="C84" s="375"/>
      <c r="D84" s="375"/>
      <c r="F84" s="373"/>
      <c r="G84" s="374"/>
      <c r="H84" s="375"/>
      <c r="I84" s="375"/>
      <c r="K84" s="373">
        <v>82</v>
      </c>
      <c r="L84" s="374" t="s">
        <v>403</v>
      </c>
      <c r="M84" s="375">
        <v>15.789473684210526</v>
      </c>
      <c r="N84" s="375">
        <v>0.18421052631578946</v>
      </c>
      <c r="P84" s="373">
        <v>82</v>
      </c>
      <c r="Q84" s="374" t="s">
        <v>2610</v>
      </c>
      <c r="R84" s="375">
        <v>14.285714285714286</v>
      </c>
      <c r="S84" s="375">
        <v>0.14285714285714285</v>
      </c>
      <c r="U84" s="373"/>
      <c r="V84" s="374"/>
      <c r="W84" s="375"/>
      <c r="X84" s="375"/>
      <c r="Z84" s="373"/>
      <c r="AA84" s="374"/>
      <c r="AB84" s="375"/>
      <c r="AC84" s="375"/>
      <c r="AE84" s="382">
        <v>82</v>
      </c>
      <c r="AF84" s="383" t="s">
        <v>2608</v>
      </c>
      <c r="AG84" s="384">
        <v>20</v>
      </c>
      <c r="AH84" s="384">
        <v>0.1</v>
      </c>
      <c r="AJ84" s="382">
        <v>82</v>
      </c>
      <c r="AK84" s="383" t="s">
        <v>591</v>
      </c>
      <c r="AL84" s="384">
        <v>33.333333333333336</v>
      </c>
      <c r="AM84" s="384">
        <v>0.16666666666666666</v>
      </c>
      <c r="AO84" s="373"/>
      <c r="AP84" s="374"/>
      <c r="AQ84" s="375"/>
      <c r="AR84" s="375"/>
      <c r="AT84" s="373"/>
      <c r="AU84" s="374"/>
      <c r="AV84" s="375"/>
      <c r="AW84" s="375"/>
      <c r="AY84" s="373"/>
      <c r="AZ84" s="374"/>
      <c r="BA84" s="375"/>
      <c r="BB84" s="375"/>
      <c r="BD84" s="373"/>
      <c r="BE84" s="374"/>
      <c r="BF84" s="375"/>
      <c r="BG84" s="375"/>
      <c r="BI84" s="373"/>
      <c r="BJ84" s="374"/>
      <c r="BK84" s="375"/>
      <c r="BL84" s="375"/>
      <c r="BN84" s="373"/>
      <c r="BO84" s="374"/>
      <c r="BP84" s="375"/>
      <c r="BQ84" s="375"/>
      <c r="BS84" s="373"/>
      <c r="BT84" s="374"/>
      <c r="BU84" s="375"/>
      <c r="BV84" s="375"/>
      <c r="BX84" s="373"/>
      <c r="BY84" s="374"/>
      <c r="BZ84" s="375"/>
      <c r="CA84" s="375"/>
      <c r="CC84" s="373"/>
      <c r="CD84" s="374"/>
      <c r="CE84" s="375"/>
      <c r="CF84" s="375"/>
      <c r="CH84" s="373"/>
      <c r="CI84" s="374"/>
      <c r="CJ84" s="375"/>
      <c r="CK84" s="375"/>
      <c r="CM84" s="373"/>
      <c r="CN84" s="374"/>
      <c r="CO84" s="375"/>
      <c r="CP84" s="375"/>
      <c r="CR84" s="373"/>
      <c r="CS84" s="374"/>
      <c r="CT84" s="375"/>
      <c r="CU84" s="375"/>
      <c r="CW84" s="373"/>
      <c r="CX84" s="374"/>
      <c r="CY84" s="375"/>
      <c r="CZ84" s="375"/>
      <c r="DB84" s="373"/>
      <c r="DC84" s="374"/>
      <c r="DD84" s="375"/>
      <c r="DE84" s="375"/>
      <c r="DG84" s="373"/>
      <c r="DH84" s="374"/>
      <c r="DI84" s="375"/>
      <c r="DJ84" s="375"/>
      <c r="DL84" s="373"/>
      <c r="DM84" s="374"/>
      <c r="DN84" s="375"/>
      <c r="DO84" s="375"/>
      <c r="DQ84" s="373"/>
      <c r="DR84" s="374"/>
      <c r="DS84" s="375"/>
      <c r="DT84" s="375"/>
      <c r="DV84" s="373"/>
      <c r="DW84" s="374"/>
      <c r="DX84" s="375"/>
      <c r="DY84" s="375"/>
      <c r="EA84" s="373"/>
      <c r="EB84" s="374"/>
      <c r="EC84" s="375"/>
      <c r="ED84" s="375"/>
      <c r="EF84" s="373"/>
      <c r="EG84" s="374"/>
      <c r="EH84" s="375"/>
      <c r="EI84" s="375"/>
      <c r="EK84" s="373"/>
      <c r="EL84" s="374"/>
      <c r="EM84" s="375"/>
      <c r="EN84" s="375"/>
      <c r="EP84" s="373"/>
      <c r="EQ84" s="374"/>
      <c r="ER84" s="375"/>
      <c r="ES84" s="375"/>
      <c r="EU84" s="373"/>
      <c r="EV84" s="374"/>
      <c r="EW84" s="375"/>
      <c r="EX84" s="375"/>
      <c r="EZ84" s="373"/>
      <c r="FA84" s="374"/>
      <c r="FB84" s="375"/>
      <c r="FC84" s="375"/>
      <c r="FE84" s="373"/>
      <c r="FF84" s="374"/>
      <c r="FG84" s="375"/>
      <c r="FH84" s="375"/>
      <c r="FJ84" s="373"/>
      <c r="FK84" s="374"/>
      <c r="FL84" s="375"/>
      <c r="FM84" s="375"/>
      <c r="FO84" s="373"/>
      <c r="FP84" s="374"/>
      <c r="FQ84" s="375"/>
      <c r="FR84" s="375"/>
      <c r="FT84" s="373"/>
      <c r="FU84" s="374"/>
      <c r="FV84" s="375"/>
      <c r="FW84" s="375"/>
      <c r="FY84" s="373"/>
      <c r="FZ84" s="374"/>
      <c r="GA84" s="375"/>
      <c r="GB84" s="375"/>
      <c r="GD84" s="373"/>
      <c r="GE84" s="374"/>
      <c r="GF84" s="375"/>
      <c r="GG84" s="375"/>
      <c r="GI84" s="373"/>
      <c r="GJ84" s="374"/>
      <c r="GK84" s="375"/>
      <c r="GL84" s="375"/>
      <c r="GN84" s="373"/>
      <c r="GO84" s="374"/>
      <c r="GP84" s="375"/>
      <c r="GQ84" s="375"/>
      <c r="GS84" s="373"/>
      <c r="GT84" s="374"/>
      <c r="GU84" s="375"/>
      <c r="GV84" s="375"/>
      <c r="GX84" s="373"/>
      <c r="GY84" s="374"/>
      <c r="GZ84" s="375"/>
      <c r="HA84" s="375"/>
      <c r="HC84" s="373"/>
      <c r="HD84" s="374"/>
      <c r="HE84" s="375"/>
      <c r="HF84" s="375"/>
      <c r="HH84" s="373"/>
      <c r="HI84" s="374"/>
      <c r="HJ84" s="375"/>
      <c r="HK84" s="375"/>
      <c r="HM84" s="373"/>
      <c r="HN84" s="374"/>
      <c r="HO84" s="375"/>
      <c r="HP84" s="375"/>
      <c r="HR84" s="373"/>
      <c r="HS84" s="374"/>
      <c r="HT84" s="375"/>
      <c r="HU84" s="375"/>
      <c r="HW84" s="373"/>
      <c r="HX84" s="374"/>
      <c r="HY84" s="375"/>
      <c r="HZ84" s="375"/>
      <c r="IB84" s="373"/>
      <c r="IC84" s="374"/>
      <c r="ID84" s="375"/>
      <c r="IE84" s="375"/>
      <c r="IG84" s="373"/>
      <c r="IH84" s="374"/>
      <c r="II84" s="375"/>
      <c r="IJ84" s="375"/>
      <c r="IL84" s="373"/>
      <c r="IM84" s="374"/>
      <c r="IN84" s="375"/>
      <c r="IO84" s="375"/>
      <c r="IQ84" s="373"/>
      <c r="IR84" s="374"/>
      <c r="IS84" s="375"/>
      <c r="IT84" s="375"/>
      <c r="IV84" s="373"/>
    </row>
    <row r="85" spans="1:256" s="376" customFormat="1" x14ac:dyDescent="0.2">
      <c r="A85" s="373"/>
      <c r="B85" s="374"/>
      <c r="C85" s="375"/>
      <c r="D85" s="375"/>
      <c r="F85" s="373"/>
      <c r="G85" s="374"/>
      <c r="H85" s="375"/>
      <c r="I85" s="375"/>
      <c r="K85" s="373">
        <v>83</v>
      </c>
      <c r="L85" s="374" t="s">
        <v>352</v>
      </c>
      <c r="M85" s="375">
        <v>15.789473684210526</v>
      </c>
      <c r="N85" s="375">
        <v>0.15789473684210525</v>
      </c>
      <c r="P85" s="382">
        <v>83</v>
      </c>
      <c r="Q85" s="383" t="s">
        <v>611</v>
      </c>
      <c r="R85" s="384">
        <v>14.285714285714286</v>
      </c>
      <c r="S85" s="384">
        <v>7.1428571428571425E-2</v>
      </c>
      <c r="U85" s="373"/>
      <c r="V85" s="374"/>
      <c r="W85" s="375"/>
      <c r="X85" s="375"/>
      <c r="Z85" s="373"/>
      <c r="AA85" s="374"/>
      <c r="AB85" s="375"/>
      <c r="AC85" s="375"/>
      <c r="AE85" s="373">
        <v>83</v>
      </c>
      <c r="AF85" s="374" t="s">
        <v>447</v>
      </c>
      <c r="AG85" s="375">
        <v>20</v>
      </c>
      <c r="AH85" s="375">
        <v>0.1</v>
      </c>
      <c r="AJ85" s="373"/>
      <c r="AK85" s="374"/>
      <c r="AL85" s="375"/>
      <c r="AM85" s="375"/>
      <c r="AO85" s="373"/>
      <c r="AP85" s="374"/>
      <c r="AQ85" s="375"/>
      <c r="AR85" s="375"/>
      <c r="AT85" s="373"/>
      <c r="AU85" s="374"/>
      <c r="AV85" s="375"/>
      <c r="AW85" s="375"/>
      <c r="AY85" s="373"/>
      <c r="AZ85" s="374"/>
      <c r="BA85" s="375"/>
      <c r="BB85" s="375"/>
      <c r="BD85" s="373"/>
      <c r="BE85" s="374"/>
      <c r="BF85" s="375"/>
      <c r="BG85" s="375"/>
      <c r="BI85" s="373"/>
      <c r="BJ85" s="374"/>
      <c r="BK85" s="375"/>
      <c r="BL85" s="375"/>
      <c r="BN85" s="373"/>
      <c r="BO85" s="374"/>
      <c r="BP85" s="375"/>
      <c r="BQ85" s="375"/>
      <c r="BS85" s="373"/>
      <c r="BT85" s="374"/>
      <c r="BU85" s="375"/>
      <c r="BV85" s="375"/>
      <c r="BX85" s="373"/>
      <c r="BY85" s="374"/>
      <c r="BZ85" s="375"/>
      <c r="CA85" s="375"/>
      <c r="CC85" s="373"/>
      <c r="CD85" s="374"/>
      <c r="CE85" s="375"/>
      <c r="CF85" s="375"/>
      <c r="CH85" s="373"/>
      <c r="CI85" s="374"/>
      <c r="CJ85" s="375"/>
      <c r="CK85" s="375"/>
      <c r="CM85" s="373"/>
      <c r="CN85" s="374"/>
      <c r="CO85" s="375"/>
      <c r="CP85" s="375"/>
      <c r="CR85" s="373"/>
      <c r="CS85" s="374"/>
      <c r="CT85" s="375"/>
      <c r="CU85" s="375"/>
      <c r="CW85" s="373"/>
      <c r="CX85" s="374"/>
      <c r="CY85" s="375"/>
      <c r="CZ85" s="375"/>
      <c r="DB85" s="373"/>
      <c r="DC85" s="374"/>
      <c r="DD85" s="375"/>
      <c r="DE85" s="375"/>
      <c r="DG85" s="373"/>
      <c r="DH85" s="374"/>
      <c r="DI85" s="375"/>
      <c r="DJ85" s="375"/>
      <c r="DL85" s="373"/>
      <c r="DM85" s="374"/>
      <c r="DN85" s="375"/>
      <c r="DO85" s="375"/>
      <c r="DQ85" s="373"/>
      <c r="DR85" s="374"/>
      <c r="DS85" s="375"/>
      <c r="DT85" s="375"/>
      <c r="DV85" s="373"/>
      <c r="DW85" s="374"/>
      <c r="DX85" s="375"/>
      <c r="DY85" s="375"/>
      <c r="EA85" s="373"/>
      <c r="EB85" s="374"/>
      <c r="EC85" s="375"/>
      <c r="ED85" s="375"/>
      <c r="EF85" s="373"/>
      <c r="EG85" s="374"/>
      <c r="EH85" s="375"/>
      <c r="EI85" s="375"/>
      <c r="EK85" s="373"/>
      <c r="EL85" s="374"/>
      <c r="EM85" s="375"/>
      <c r="EN85" s="375"/>
      <c r="EP85" s="373"/>
      <c r="EQ85" s="374"/>
      <c r="ER85" s="375"/>
      <c r="ES85" s="375"/>
      <c r="EU85" s="373"/>
      <c r="EV85" s="374"/>
      <c r="EW85" s="375"/>
      <c r="EX85" s="375"/>
      <c r="EZ85" s="373"/>
      <c r="FA85" s="374"/>
      <c r="FB85" s="375"/>
      <c r="FC85" s="375"/>
      <c r="FE85" s="373"/>
      <c r="FF85" s="374"/>
      <c r="FG85" s="375"/>
      <c r="FH85" s="375"/>
      <c r="FJ85" s="373"/>
      <c r="FK85" s="374"/>
      <c r="FL85" s="375"/>
      <c r="FM85" s="375"/>
      <c r="FO85" s="373"/>
      <c r="FP85" s="374"/>
      <c r="FQ85" s="375"/>
      <c r="FR85" s="375"/>
      <c r="FT85" s="373"/>
      <c r="FU85" s="374"/>
      <c r="FV85" s="375"/>
      <c r="FW85" s="375"/>
      <c r="FY85" s="373"/>
      <c r="FZ85" s="374"/>
      <c r="GA85" s="375"/>
      <c r="GB85" s="375"/>
      <c r="GD85" s="373"/>
      <c r="GE85" s="374"/>
      <c r="GF85" s="375"/>
      <c r="GG85" s="375"/>
      <c r="GI85" s="373"/>
      <c r="GJ85" s="374"/>
      <c r="GK85" s="375"/>
      <c r="GL85" s="375"/>
      <c r="GN85" s="373"/>
      <c r="GO85" s="374"/>
      <c r="GP85" s="375"/>
      <c r="GQ85" s="375"/>
      <c r="GS85" s="373"/>
      <c r="GT85" s="374"/>
      <c r="GU85" s="375"/>
      <c r="GV85" s="375"/>
      <c r="GX85" s="373"/>
      <c r="GY85" s="374"/>
      <c r="GZ85" s="375"/>
      <c r="HA85" s="375"/>
      <c r="HC85" s="373"/>
      <c r="HD85" s="374"/>
      <c r="HE85" s="375"/>
      <c r="HF85" s="375"/>
      <c r="HH85" s="373"/>
      <c r="HI85" s="374"/>
      <c r="HJ85" s="375"/>
      <c r="HK85" s="375"/>
      <c r="HM85" s="373"/>
      <c r="HN85" s="374"/>
      <c r="HO85" s="375"/>
      <c r="HP85" s="375"/>
      <c r="HR85" s="373"/>
      <c r="HS85" s="374"/>
      <c r="HT85" s="375"/>
      <c r="HU85" s="375"/>
      <c r="HW85" s="373"/>
      <c r="HX85" s="374"/>
      <c r="HY85" s="375"/>
      <c r="HZ85" s="375"/>
      <c r="IB85" s="373"/>
      <c r="IC85" s="374"/>
      <c r="ID85" s="375"/>
      <c r="IE85" s="375"/>
      <c r="IG85" s="373"/>
      <c r="IH85" s="374"/>
      <c r="II85" s="375"/>
      <c r="IJ85" s="375"/>
      <c r="IL85" s="373"/>
      <c r="IM85" s="374"/>
      <c r="IN85" s="375"/>
      <c r="IO85" s="375"/>
      <c r="IQ85" s="373"/>
      <c r="IR85" s="374"/>
      <c r="IS85" s="375"/>
      <c r="IT85" s="375"/>
      <c r="IV85" s="373"/>
    </row>
    <row r="86" spans="1:256" s="376" customFormat="1" x14ac:dyDescent="0.2">
      <c r="A86" s="373"/>
      <c r="B86" s="374"/>
      <c r="C86" s="375"/>
      <c r="D86" s="375"/>
      <c r="F86" s="373"/>
      <c r="G86" s="374"/>
      <c r="H86" s="375"/>
      <c r="I86" s="375"/>
      <c r="K86" s="382">
        <v>84</v>
      </c>
      <c r="L86" s="383" t="s">
        <v>359</v>
      </c>
      <c r="M86" s="384">
        <v>15.789473684210526</v>
      </c>
      <c r="N86" s="384">
        <v>0.15789473684210525</v>
      </c>
      <c r="P86" s="373">
        <v>84</v>
      </c>
      <c r="Q86" s="374" t="s">
        <v>389</v>
      </c>
      <c r="R86" s="375">
        <v>14.285714285714286</v>
      </c>
      <c r="S86" s="375">
        <v>7.1428571428571425E-2</v>
      </c>
      <c r="U86" s="373"/>
      <c r="V86" s="374"/>
      <c r="W86" s="375"/>
      <c r="X86" s="375"/>
      <c r="Z86" s="373"/>
      <c r="AA86" s="374"/>
      <c r="AB86" s="375"/>
      <c r="AC86" s="375"/>
      <c r="AE86" s="382">
        <v>84</v>
      </c>
      <c r="AF86" s="383" t="s">
        <v>2721</v>
      </c>
      <c r="AG86" s="384">
        <v>20</v>
      </c>
      <c r="AH86" s="384">
        <v>0.1</v>
      </c>
      <c r="AJ86" s="373"/>
      <c r="AK86" s="374"/>
      <c r="AL86" s="375"/>
      <c r="AM86" s="375"/>
      <c r="AO86" s="373"/>
      <c r="AP86" s="374"/>
      <c r="AQ86" s="375"/>
      <c r="AR86" s="375"/>
      <c r="AT86" s="373"/>
      <c r="AU86" s="374"/>
      <c r="AV86" s="375"/>
      <c r="AW86" s="375"/>
      <c r="AY86" s="373"/>
      <c r="AZ86" s="374"/>
      <c r="BA86" s="375"/>
      <c r="BB86" s="375"/>
      <c r="BD86" s="373"/>
      <c r="BE86" s="374"/>
      <c r="BF86" s="375"/>
      <c r="BG86" s="375"/>
      <c r="BI86" s="373"/>
      <c r="BJ86" s="374"/>
      <c r="BK86" s="375"/>
      <c r="BL86" s="375"/>
      <c r="BN86" s="373"/>
      <c r="BO86" s="374"/>
      <c r="BP86" s="375"/>
      <c r="BQ86" s="375"/>
      <c r="BS86" s="373"/>
      <c r="BT86" s="374"/>
      <c r="BU86" s="375"/>
      <c r="BV86" s="375"/>
      <c r="BX86" s="373"/>
      <c r="BY86" s="374"/>
      <c r="BZ86" s="375"/>
      <c r="CA86" s="375"/>
      <c r="CC86" s="373"/>
      <c r="CD86" s="374"/>
      <c r="CE86" s="375"/>
      <c r="CF86" s="375"/>
      <c r="CH86" s="373"/>
      <c r="CI86" s="374"/>
      <c r="CJ86" s="375"/>
      <c r="CK86" s="375"/>
      <c r="CM86" s="373"/>
      <c r="CN86" s="374"/>
      <c r="CO86" s="375"/>
      <c r="CP86" s="375"/>
      <c r="CR86" s="373"/>
      <c r="CS86" s="374"/>
      <c r="CT86" s="375"/>
      <c r="CU86" s="375"/>
      <c r="CW86" s="373"/>
      <c r="CX86" s="374"/>
      <c r="CY86" s="375"/>
      <c r="CZ86" s="375"/>
      <c r="DB86" s="373"/>
      <c r="DC86" s="374"/>
      <c r="DD86" s="375"/>
      <c r="DE86" s="375"/>
      <c r="DG86" s="373"/>
      <c r="DH86" s="374"/>
      <c r="DI86" s="375"/>
      <c r="DJ86" s="375"/>
      <c r="DL86" s="373"/>
      <c r="DM86" s="374"/>
      <c r="DN86" s="375"/>
      <c r="DO86" s="375"/>
      <c r="DQ86" s="373"/>
      <c r="DR86" s="374"/>
      <c r="DS86" s="375"/>
      <c r="DT86" s="375"/>
      <c r="DV86" s="373"/>
      <c r="DW86" s="374"/>
      <c r="DX86" s="375"/>
      <c r="DY86" s="375"/>
      <c r="EA86" s="373"/>
      <c r="EB86" s="374"/>
      <c r="EC86" s="375"/>
      <c r="ED86" s="375"/>
      <c r="EF86" s="373"/>
      <c r="EG86" s="374"/>
      <c r="EH86" s="375"/>
      <c r="EI86" s="375"/>
      <c r="EK86" s="373"/>
      <c r="EL86" s="374"/>
      <c r="EM86" s="375"/>
      <c r="EN86" s="375"/>
      <c r="EP86" s="373"/>
      <c r="EQ86" s="374"/>
      <c r="ER86" s="375"/>
      <c r="ES86" s="375"/>
      <c r="EU86" s="373"/>
      <c r="EV86" s="374"/>
      <c r="EW86" s="375"/>
      <c r="EX86" s="375"/>
      <c r="EZ86" s="373"/>
      <c r="FA86" s="374"/>
      <c r="FB86" s="375"/>
      <c r="FC86" s="375"/>
      <c r="FE86" s="373"/>
      <c r="FF86" s="374"/>
      <c r="FG86" s="375"/>
      <c r="FH86" s="375"/>
      <c r="FJ86" s="373"/>
      <c r="FK86" s="374"/>
      <c r="FL86" s="375"/>
      <c r="FM86" s="375"/>
      <c r="FO86" s="373"/>
      <c r="FP86" s="374"/>
      <c r="FQ86" s="375"/>
      <c r="FR86" s="375"/>
      <c r="FT86" s="373"/>
      <c r="FU86" s="374"/>
      <c r="FV86" s="375"/>
      <c r="FW86" s="375"/>
      <c r="FY86" s="373"/>
      <c r="FZ86" s="374"/>
      <c r="GA86" s="375"/>
      <c r="GB86" s="375"/>
      <c r="GD86" s="373"/>
      <c r="GE86" s="374"/>
      <c r="GF86" s="375"/>
      <c r="GG86" s="375"/>
      <c r="GI86" s="373"/>
      <c r="GJ86" s="374"/>
      <c r="GK86" s="375"/>
      <c r="GL86" s="375"/>
      <c r="GN86" s="373"/>
      <c r="GO86" s="374"/>
      <c r="GP86" s="375"/>
      <c r="GQ86" s="375"/>
      <c r="GS86" s="373"/>
      <c r="GT86" s="374"/>
      <c r="GU86" s="375"/>
      <c r="GV86" s="375"/>
      <c r="GX86" s="373"/>
      <c r="GY86" s="374"/>
      <c r="GZ86" s="375"/>
      <c r="HA86" s="375"/>
      <c r="HC86" s="373"/>
      <c r="HD86" s="374"/>
      <c r="HE86" s="375"/>
      <c r="HF86" s="375"/>
      <c r="HH86" s="373"/>
      <c r="HI86" s="374"/>
      <c r="HJ86" s="375"/>
      <c r="HK86" s="375"/>
      <c r="HM86" s="373"/>
      <c r="HN86" s="374"/>
      <c r="HO86" s="375"/>
      <c r="HP86" s="375"/>
      <c r="HR86" s="373"/>
      <c r="HS86" s="374"/>
      <c r="HT86" s="375"/>
      <c r="HU86" s="375"/>
      <c r="HW86" s="373"/>
      <c r="HX86" s="374"/>
      <c r="HY86" s="375"/>
      <c r="HZ86" s="375"/>
      <c r="IB86" s="373"/>
      <c r="IC86" s="374"/>
      <c r="ID86" s="375"/>
      <c r="IE86" s="375"/>
      <c r="IG86" s="373"/>
      <c r="IH86" s="374"/>
      <c r="II86" s="375"/>
      <c r="IJ86" s="375"/>
      <c r="IL86" s="373"/>
      <c r="IM86" s="374"/>
      <c r="IN86" s="375"/>
      <c r="IO86" s="375"/>
      <c r="IQ86" s="373"/>
      <c r="IR86" s="374"/>
      <c r="IS86" s="375"/>
      <c r="IT86" s="375"/>
      <c r="IV86" s="373"/>
    </row>
    <row r="87" spans="1:256" s="376" customFormat="1" x14ac:dyDescent="0.2">
      <c r="A87" s="373"/>
      <c r="B87" s="374"/>
      <c r="C87" s="375"/>
      <c r="D87" s="375"/>
      <c r="F87" s="373"/>
      <c r="G87" s="374"/>
      <c r="H87" s="375"/>
      <c r="I87" s="375"/>
      <c r="K87" s="373">
        <v>85</v>
      </c>
      <c r="L87" s="374" t="s">
        <v>614</v>
      </c>
      <c r="M87" s="375">
        <v>15.789473684210526</v>
      </c>
      <c r="N87" s="375">
        <v>0.15789473684210525</v>
      </c>
      <c r="P87" s="373">
        <v>85</v>
      </c>
      <c r="Q87" s="374" t="s">
        <v>434</v>
      </c>
      <c r="R87" s="375">
        <v>14.285714285714286</v>
      </c>
      <c r="S87" s="375">
        <v>7.1428571428571425E-2</v>
      </c>
      <c r="U87" s="373"/>
      <c r="V87" s="374"/>
      <c r="W87" s="375"/>
      <c r="X87" s="375"/>
      <c r="Z87" s="373"/>
      <c r="AA87" s="374"/>
      <c r="AB87" s="375"/>
      <c r="AC87" s="375"/>
      <c r="AE87" s="373">
        <v>85</v>
      </c>
      <c r="AF87" s="374" t="s">
        <v>451</v>
      </c>
      <c r="AG87" s="375">
        <v>20</v>
      </c>
      <c r="AH87" s="375">
        <v>0.1</v>
      </c>
      <c r="AJ87" s="373"/>
      <c r="AK87" s="374"/>
      <c r="AL87" s="375"/>
      <c r="AM87" s="375"/>
      <c r="AO87" s="373"/>
      <c r="AP87" s="374"/>
      <c r="AQ87" s="375"/>
      <c r="AR87" s="375"/>
      <c r="AT87" s="373"/>
      <c r="AU87" s="374"/>
      <c r="AV87" s="375"/>
      <c r="AW87" s="375"/>
      <c r="AY87" s="373"/>
      <c r="AZ87" s="374"/>
      <c r="BA87" s="375"/>
      <c r="BB87" s="375"/>
      <c r="BD87" s="373"/>
      <c r="BE87" s="374"/>
      <c r="BF87" s="375"/>
      <c r="BG87" s="375"/>
      <c r="BI87" s="373"/>
      <c r="BJ87" s="374"/>
      <c r="BK87" s="375"/>
      <c r="BL87" s="375"/>
      <c r="BN87" s="373"/>
      <c r="BO87" s="374"/>
      <c r="BP87" s="375"/>
      <c r="BQ87" s="375"/>
      <c r="BS87" s="373"/>
      <c r="BT87" s="374"/>
      <c r="BU87" s="375"/>
      <c r="BV87" s="375"/>
      <c r="BX87" s="373"/>
      <c r="BY87" s="374"/>
      <c r="BZ87" s="375"/>
      <c r="CA87" s="375"/>
      <c r="CC87" s="373"/>
      <c r="CD87" s="374"/>
      <c r="CE87" s="375"/>
      <c r="CF87" s="375"/>
      <c r="CH87" s="373"/>
      <c r="CI87" s="374"/>
      <c r="CJ87" s="375"/>
      <c r="CK87" s="375"/>
      <c r="CM87" s="373"/>
      <c r="CN87" s="374"/>
      <c r="CO87" s="375"/>
      <c r="CP87" s="375"/>
      <c r="CR87" s="373"/>
      <c r="CS87" s="374"/>
      <c r="CT87" s="375"/>
      <c r="CU87" s="375"/>
      <c r="CW87" s="373"/>
      <c r="CX87" s="374"/>
      <c r="CY87" s="375"/>
      <c r="CZ87" s="375"/>
      <c r="DB87" s="373"/>
      <c r="DC87" s="374"/>
      <c r="DD87" s="375"/>
      <c r="DE87" s="375"/>
      <c r="DG87" s="373"/>
      <c r="DH87" s="374"/>
      <c r="DI87" s="375"/>
      <c r="DJ87" s="375"/>
      <c r="DL87" s="373"/>
      <c r="DM87" s="374"/>
      <c r="DN87" s="375"/>
      <c r="DO87" s="375"/>
      <c r="DQ87" s="373"/>
      <c r="DR87" s="374"/>
      <c r="DS87" s="375"/>
      <c r="DT87" s="375"/>
      <c r="DV87" s="373"/>
      <c r="DW87" s="374"/>
      <c r="DX87" s="375"/>
      <c r="DY87" s="375"/>
      <c r="EA87" s="373"/>
      <c r="EB87" s="374"/>
      <c r="EC87" s="375"/>
      <c r="ED87" s="375"/>
      <c r="EF87" s="373"/>
      <c r="EG87" s="374"/>
      <c r="EH87" s="375"/>
      <c r="EI87" s="375"/>
      <c r="EK87" s="373"/>
      <c r="EL87" s="374"/>
      <c r="EM87" s="375"/>
      <c r="EN87" s="375"/>
      <c r="EP87" s="373"/>
      <c r="EQ87" s="374"/>
      <c r="ER87" s="375"/>
      <c r="ES87" s="375"/>
      <c r="EU87" s="373"/>
      <c r="EV87" s="374"/>
      <c r="EW87" s="375"/>
      <c r="EX87" s="375"/>
      <c r="EZ87" s="373"/>
      <c r="FA87" s="374"/>
      <c r="FB87" s="375"/>
      <c r="FC87" s="375"/>
      <c r="FE87" s="373"/>
      <c r="FF87" s="374"/>
      <c r="FG87" s="375"/>
      <c r="FH87" s="375"/>
      <c r="FJ87" s="373"/>
      <c r="FK87" s="374"/>
      <c r="FL87" s="375"/>
      <c r="FM87" s="375"/>
      <c r="FO87" s="373"/>
      <c r="FP87" s="374"/>
      <c r="FQ87" s="375"/>
      <c r="FR87" s="375"/>
      <c r="FT87" s="373"/>
      <c r="FU87" s="374"/>
      <c r="FV87" s="375"/>
      <c r="FW87" s="375"/>
      <c r="FY87" s="373"/>
      <c r="FZ87" s="374"/>
      <c r="GA87" s="375"/>
      <c r="GB87" s="375"/>
      <c r="GD87" s="373"/>
      <c r="GE87" s="374"/>
      <c r="GF87" s="375"/>
      <c r="GG87" s="375"/>
      <c r="GI87" s="373"/>
      <c r="GJ87" s="374"/>
      <c r="GK87" s="375"/>
      <c r="GL87" s="375"/>
      <c r="GN87" s="373"/>
      <c r="GO87" s="374"/>
      <c r="GP87" s="375"/>
      <c r="GQ87" s="375"/>
      <c r="GS87" s="373"/>
      <c r="GT87" s="374"/>
      <c r="GU87" s="375"/>
      <c r="GV87" s="375"/>
      <c r="GX87" s="373"/>
      <c r="GY87" s="374"/>
      <c r="GZ87" s="375"/>
      <c r="HA87" s="375"/>
      <c r="HC87" s="373"/>
      <c r="HD87" s="374"/>
      <c r="HE87" s="375"/>
      <c r="HF87" s="375"/>
      <c r="HH87" s="373"/>
      <c r="HI87" s="374"/>
      <c r="HJ87" s="375"/>
      <c r="HK87" s="375"/>
      <c r="HM87" s="373"/>
      <c r="HN87" s="374"/>
      <c r="HO87" s="375"/>
      <c r="HP87" s="375"/>
      <c r="HR87" s="373"/>
      <c r="HS87" s="374"/>
      <c r="HT87" s="375"/>
      <c r="HU87" s="375"/>
      <c r="HW87" s="373"/>
      <c r="HX87" s="374"/>
      <c r="HY87" s="375"/>
      <c r="HZ87" s="375"/>
      <c r="IB87" s="373"/>
      <c r="IC87" s="374"/>
      <c r="ID87" s="375"/>
      <c r="IE87" s="375"/>
      <c r="IG87" s="373"/>
      <c r="IH87" s="374"/>
      <c r="II87" s="375"/>
      <c r="IJ87" s="375"/>
      <c r="IL87" s="373"/>
      <c r="IM87" s="374"/>
      <c r="IN87" s="375"/>
      <c r="IO87" s="375"/>
      <c r="IQ87" s="373"/>
      <c r="IR87" s="374"/>
      <c r="IS87" s="375"/>
      <c r="IT87" s="375"/>
      <c r="IV87" s="373"/>
    </row>
    <row r="88" spans="1:256" s="376" customFormat="1" x14ac:dyDescent="0.2">
      <c r="A88" s="373"/>
      <c r="B88" s="374"/>
      <c r="C88" s="375"/>
      <c r="D88" s="375"/>
      <c r="F88" s="373"/>
      <c r="G88" s="374"/>
      <c r="H88" s="375"/>
      <c r="I88" s="375"/>
      <c r="K88" s="373">
        <v>86</v>
      </c>
      <c r="L88" s="374" t="s">
        <v>582</v>
      </c>
      <c r="M88" s="375">
        <v>5.2631578947368425</v>
      </c>
      <c r="N88" s="375">
        <v>0.15789473684210525</v>
      </c>
      <c r="P88" s="373">
        <v>86</v>
      </c>
      <c r="Q88" s="374" t="s">
        <v>2631</v>
      </c>
      <c r="R88" s="375">
        <v>14.285714285714286</v>
      </c>
      <c r="S88" s="375">
        <v>7.1428571428571425E-2</v>
      </c>
      <c r="U88" s="373"/>
      <c r="V88" s="374"/>
      <c r="W88" s="375"/>
      <c r="X88" s="375"/>
      <c r="Z88" s="373"/>
      <c r="AA88" s="374"/>
      <c r="AB88" s="375"/>
      <c r="AC88" s="375"/>
      <c r="AE88" s="373">
        <v>86</v>
      </c>
      <c r="AF88" s="374" t="s">
        <v>371</v>
      </c>
      <c r="AG88" s="375">
        <v>20</v>
      </c>
      <c r="AH88" s="375">
        <v>0.1</v>
      </c>
      <c r="AJ88" s="373"/>
      <c r="AK88" s="374"/>
      <c r="AL88" s="375"/>
      <c r="AM88" s="375"/>
      <c r="AO88" s="373"/>
      <c r="AP88" s="374"/>
      <c r="AQ88" s="375"/>
      <c r="AR88" s="375"/>
      <c r="AT88" s="373"/>
      <c r="AU88" s="374"/>
      <c r="AV88" s="375"/>
      <c r="AW88" s="375"/>
      <c r="AY88" s="373"/>
      <c r="AZ88" s="374"/>
      <c r="BA88" s="375"/>
      <c r="BB88" s="375"/>
      <c r="BD88" s="373"/>
      <c r="BE88" s="374"/>
      <c r="BF88" s="375"/>
      <c r="BG88" s="375"/>
      <c r="BI88" s="373"/>
      <c r="BJ88" s="374"/>
      <c r="BK88" s="375"/>
      <c r="BL88" s="375"/>
      <c r="BN88" s="373"/>
      <c r="BO88" s="374"/>
      <c r="BP88" s="375"/>
      <c r="BQ88" s="375"/>
      <c r="BS88" s="373"/>
      <c r="BT88" s="374"/>
      <c r="BU88" s="375"/>
      <c r="BV88" s="375"/>
      <c r="BX88" s="373"/>
      <c r="BY88" s="374"/>
      <c r="BZ88" s="375"/>
      <c r="CA88" s="375"/>
      <c r="CC88" s="373"/>
      <c r="CD88" s="374"/>
      <c r="CE88" s="375"/>
      <c r="CF88" s="375"/>
      <c r="CH88" s="373"/>
      <c r="CI88" s="374"/>
      <c r="CJ88" s="375"/>
      <c r="CK88" s="375"/>
      <c r="CM88" s="373"/>
      <c r="CN88" s="374"/>
      <c r="CO88" s="375"/>
      <c r="CP88" s="375"/>
      <c r="CR88" s="373"/>
      <c r="CS88" s="374"/>
      <c r="CT88" s="375"/>
      <c r="CU88" s="375"/>
      <c r="CW88" s="373"/>
      <c r="CX88" s="374"/>
      <c r="CY88" s="375"/>
      <c r="CZ88" s="375"/>
      <c r="DB88" s="373"/>
      <c r="DC88" s="374"/>
      <c r="DD88" s="375"/>
      <c r="DE88" s="375"/>
      <c r="DG88" s="373"/>
      <c r="DH88" s="374"/>
      <c r="DI88" s="375"/>
      <c r="DJ88" s="375"/>
      <c r="DL88" s="373"/>
      <c r="DM88" s="374"/>
      <c r="DN88" s="375"/>
      <c r="DO88" s="375"/>
      <c r="DQ88" s="373"/>
      <c r="DR88" s="374"/>
      <c r="DS88" s="375"/>
      <c r="DT88" s="375"/>
      <c r="DV88" s="373"/>
      <c r="DW88" s="374"/>
      <c r="DX88" s="375"/>
      <c r="DY88" s="375"/>
      <c r="EA88" s="373"/>
      <c r="EB88" s="374"/>
      <c r="EC88" s="375"/>
      <c r="ED88" s="375"/>
      <c r="EF88" s="373"/>
      <c r="EG88" s="374"/>
      <c r="EH88" s="375"/>
      <c r="EI88" s="375"/>
      <c r="EK88" s="373"/>
      <c r="EL88" s="374"/>
      <c r="EM88" s="375"/>
      <c r="EN88" s="375"/>
      <c r="EP88" s="373"/>
      <c r="EQ88" s="374"/>
      <c r="ER88" s="375"/>
      <c r="ES88" s="375"/>
      <c r="EU88" s="373"/>
      <c r="EV88" s="374"/>
      <c r="EW88" s="375"/>
      <c r="EX88" s="375"/>
      <c r="EZ88" s="373"/>
      <c r="FA88" s="374"/>
      <c r="FB88" s="375"/>
      <c r="FC88" s="375"/>
      <c r="FE88" s="373"/>
      <c r="FF88" s="374"/>
      <c r="FG88" s="375"/>
      <c r="FH88" s="375"/>
      <c r="FJ88" s="373"/>
      <c r="FK88" s="374"/>
      <c r="FL88" s="375"/>
      <c r="FM88" s="375"/>
      <c r="FO88" s="373"/>
      <c r="FP88" s="374"/>
      <c r="FQ88" s="375"/>
      <c r="FR88" s="375"/>
      <c r="FT88" s="373"/>
      <c r="FU88" s="374"/>
      <c r="FV88" s="375"/>
      <c r="FW88" s="375"/>
      <c r="FY88" s="373"/>
      <c r="FZ88" s="374"/>
      <c r="GA88" s="375"/>
      <c r="GB88" s="375"/>
      <c r="GD88" s="373"/>
      <c r="GE88" s="374"/>
      <c r="GF88" s="375"/>
      <c r="GG88" s="375"/>
      <c r="GI88" s="373"/>
      <c r="GJ88" s="374"/>
      <c r="GK88" s="375"/>
      <c r="GL88" s="375"/>
      <c r="GN88" s="373"/>
      <c r="GO88" s="374"/>
      <c r="GP88" s="375"/>
      <c r="GQ88" s="375"/>
      <c r="GS88" s="373"/>
      <c r="GT88" s="374"/>
      <c r="GU88" s="375"/>
      <c r="GV88" s="375"/>
      <c r="GX88" s="373"/>
      <c r="GY88" s="374"/>
      <c r="GZ88" s="375"/>
      <c r="HA88" s="375"/>
      <c r="HC88" s="373"/>
      <c r="HD88" s="374"/>
      <c r="HE88" s="375"/>
      <c r="HF88" s="375"/>
      <c r="HH88" s="373"/>
      <c r="HI88" s="374"/>
      <c r="HJ88" s="375"/>
      <c r="HK88" s="375"/>
      <c r="HM88" s="373"/>
      <c r="HN88" s="374"/>
      <c r="HO88" s="375"/>
      <c r="HP88" s="375"/>
      <c r="HR88" s="373"/>
      <c r="HS88" s="374"/>
      <c r="HT88" s="375"/>
      <c r="HU88" s="375"/>
      <c r="HW88" s="373"/>
      <c r="HX88" s="374"/>
      <c r="HY88" s="375"/>
      <c r="HZ88" s="375"/>
      <c r="IB88" s="373"/>
      <c r="IC88" s="374"/>
      <c r="ID88" s="375"/>
      <c r="IE88" s="375"/>
      <c r="IG88" s="373"/>
      <c r="IH88" s="374"/>
      <c r="II88" s="375"/>
      <c r="IJ88" s="375"/>
      <c r="IL88" s="373"/>
      <c r="IM88" s="374"/>
      <c r="IN88" s="375"/>
      <c r="IO88" s="375"/>
      <c r="IQ88" s="373"/>
      <c r="IR88" s="374"/>
      <c r="IS88" s="375"/>
      <c r="IT88" s="375"/>
      <c r="IV88" s="373"/>
    </row>
    <row r="89" spans="1:256" s="376" customFormat="1" x14ac:dyDescent="0.2">
      <c r="A89" s="373"/>
      <c r="B89" s="374"/>
      <c r="C89" s="375"/>
      <c r="D89" s="375"/>
      <c r="F89" s="373"/>
      <c r="G89" s="374"/>
      <c r="H89" s="375"/>
      <c r="I89" s="375"/>
      <c r="K89" s="373">
        <v>87</v>
      </c>
      <c r="L89" s="374" t="s">
        <v>442</v>
      </c>
      <c r="M89" s="375">
        <v>10.526315789473685</v>
      </c>
      <c r="N89" s="375">
        <v>0.15789473684210525</v>
      </c>
      <c r="P89" s="382">
        <v>87</v>
      </c>
      <c r="Q89" s="383" t="s">
        <v>2623</v>
      </c>
      <c r="R89" s="384">
        <v>14.285714285714286</v>
      </c>
      <c r="S89" s="384">
        <v>7.1428571428571425E-2</v>
      </c>
      <c r="U89" s="373"/>
      <c r="V89" s="374"/>
      <c r="W89" s="375"/>
      <c r="X89" s="375"/>
      <c r="Z89" s="373"/>
      <c r="AA89" s="374"/>
      <c r="AB89" s="375"/>
      <c r="AC89" s="375"/>
      <c r="AE89" s="373">
        <v>87</v>
      </c>
      <c r="AF89" s="374" t="s">
        <v>2631</v>
      </c>
      <c r="AG89" s="375">
        <v>20</v>
      </c>
      <c r="AH89" s="375">
        <v>0.1</v>
      </c>
      <c r="AJ89" s="373"/>
      <c r="AK89" s="374"/>
      <c r="AL89" s="375"/>
      <c r="AM89" s="375"/>
      <c r="AO89" s="373"/>
      <c r="AP89" s="374"/>
      <c r="AQ89" s="375"/>
      <c r="AR89" s="375"/>
      <c r="AT89" s="373"/>
      <c r="AU89" s="374"/>
      <c r="AV89" s="375"/>
      <c r="AW89" s="375"/>
      <c r="AY89" s="373"/>
      <c r="AZ89" s="374"/>
      <c r="BA89" s="375"/>
      <c r="BB89" s="375"/>
      <c r="BD89" s="373"/>
      <c r="BE89" s="374"/>
      <c r="BF89" s="375"/>
      <c r="BG89" s="375"/>
      <c r="BI89" s="373"/>
      <c r="BJ89" s="374"/>
      <c r="BK89" s="375"/>
      <c r="BL89" s="375"/>
      <c r="BN89" s="373"/>
      <c r="BO89" s="374"/>
      <c r="BP89" s="375"/>
      <c r="BQ89" s="375"/>
      <c r="BS89" s="373"/>
      <c r="BT89" s="374"/>
      <c r="BU89" s="375"/>
      <c r="BV89" s="375"/>
      <c r="BX89" s="373"/>
      <c r="BY89" s="374"/>
      <c r="BZ89" s="375"/>
      <c r="CA89" s="375"/>
      <c r="CC89" s="373"/>
      <c r="CD89" s="374"/>
      <c r="CE89" s="375"/>
      <c r="CF89" s="375"/>
      <c r="CH89" s="373"/>
      <c r="CI89" s="374"/>
      <c r="CJ89" s="375"/>
      <c r="CK89" s="375"/>
      <c r="CM89" s="373"/>
      <c r="CN89" s="374"/>
      <c r="CO89" s="375"/>
      <c r="CP89" s="375"/>
      <c r="CR89" s="373"/>
      <c r="CS89" s="374"/>
      <c r="CT89" s="375"/>
      <c r="CU89" s="375"/>
      <c r="CW89" s="373"/>
      <c r="CX89" s="374"/>
      <c r="CY89" s="375"/>
      <c r="CZ89" s="375"/>
      <c r="DB89" s="373"/>
      <c r="DC89" s="374"/>
      <c r="DD89" s="375"/>
      <c r="DE89" s="375"/>
      <c r="DG89" s="373"/>
      <c r="DH89" s="374"/>
      <c r="DI89" s="375"/>
      <c r="DJ89" s="375"/>
      <c r="DL89" s="373"/>
      <c r="DM89" s="374"/>
      <c r="DN89" s="375"/>
      <c r="DO89" s="375"/>
      <c r="DQ89" s="373"/>
      <c r="DR89" s="374"/>
      <c r="DS89" s="375"/>
      <c r="DT89" s="375"/>
      <c r="DV89" s="373"/>
      <c r="DW89" s="374"/>
      <c r="DX89" s="375"/>
      <c r="DY89" s="375"/>
      <c r="EA89" s="373"/>
      <c r="EB89" s="374"/>
      <c r="EC89" s="375"/>
      <c r="ED89" s="375"/>
      <c r="EF89" s="373"/>
      <c r="EG89" s="374"/>
      <c r="EH89" s="375"/>
      <c r="EI89" s="375"/>
      <c r="EK89" s="373"/>
      <c r="EL89" s="374"/>
      <c r="EM89" s="375"/>
      <c r="EN89" s="375"/>
      <c r="EP89" s="373"/>
      <c r="EQ89" s="374"/>
      <c r="ER89" s="375"/>
      <c r="ES89" s="375"/>
      <c r="EU89" s="373"/>
      <c r="EV89" s="374"/>
      <c r="EW89" s="375"/>
      <c r="EX89" s="375"/>
      <c r="EZ89" s="373"/>
      <c r="FA89" s="374"/>
      <c r="FB89" s="375"/>
      <c r="FC89" s="375"/>
      <c r="FE89" s="373"/>
      <c r="FF89" s="374"/>
      <c r="FG89" s="375"/>
      <c r="FH89" s="375"/>
      <c r="FJ89" s="373"/>
      <c r="FK89" s="374"/>
      <c r="FL89" s="375"/>
      <c r="FM89" s="375"/>
      <c r="FO89" s="373"/>
      <c r="FP89" s="374"/>
      <c r="FQ89" s="375"/>
      <c r="FR89" s="375"/>
      <c r="FT89" s="373"/>
      <c r="FU89" s="374"/>
      <c r="FV89" s="375"/>
      <c r="FW89" s="375"/>
      <c r="FY89" s="373"/>
      <c r="FZ89" s="374"/>
      <c r="GA89" s="375"/>
      <c r="GB89" s="375"/>
      <c r="GD89" s="373"/>
      <c r="GE89" s="374"/>
      <c r="GF89" s="375"/>
      <c r="GG89" s="375"/>
      <c r="GI89" s="373"/>
      <c r="GJ89" s="374"/>
      <c r="GK89" s="375"/>
      <c r="GL89" s="375"/>
      <c r="GN89" s="373"/>
      <c r="GO89" s="374"/>
      <c r="GP89" s="375"/>
      <c r="GQ89" s="375"/>
      <c r="GS89" s="373"/>
      <c r="GT89" s="374"/>
      <c r="GU89" s="375"/>
      <c r="GV89" s="375"/>
      <c r="GX89" s="373"/>
      <c r="GY89" s="374"/>
      <c r="GZ89" s="375"/>
      <c r="HA89" s="375"/>
      <c r="HC89" s="373"/>
      <c r="HD89" s="374"/>
      <c r="HE89" s="375"/>
      <c r="HF89" s="375"/>
      <c r="HH89" s="373"/>
      <c r="HI89" s="374"/>
      <c r="HJ89" s="375"/>
      <c r="HK89" s="375"/>
      <c r="HM89" s="373"/>
      <c r="HN89" s="374"/>
      <c r="HO89" s="375"/>
      <c r="HP89" s="375"/>
      <c r="HR89" s="373"/>
      <c r="HS89" s="374"/>
      <c r="HT89" s="375"/>
      <c r="HU89" s="375"/>
      <c r="HW89" s="373"/>
      <c r="HX89" s="374"/>
      <c r="HY89" s="375"/>
      <c r="HZ89" s="375"/>
      <c r="IB89" s="373"/>
      <c r="IC89" s="374"/>
      <c r="ID89" s="375"/>
      <c r="IE89" s="375"/>
      <c r="IG89" s="373"/>
      <c r="IH89" s="374"/>
      <c r="II89" s="375"/>
      <c r="IJ89" s="375"/>
      <c r="IL89" s="373"/>
      <c r="IM89" s="374"/>
      <c r="IN89" s="375"/>
      <c r="IO89" s="375"/>
      <c r="IQ89" s="373"/>
      <c r="IR89" s="374"/>
      <c r="IS89" s="375"/>
      <c r="IT89" s="375"/>
      <c r="IV89" s="373"/>
    </row>
    <row r="90" spans="1:256" s="376" customFormat="1" x14ac:dyDescent="0.2">
      <c r="A90" s="373"/>
      <c r="B90" s="374"/>
      <c r="C90" s="375"/>
      <c r="D90" s="375"/>
      <c r="F90" s="373"/>
      <c r="G90" s="374"/>
      <c r="H90" s="375"/>
      <c r="I90" s="375"/>
      <c r="K90" s="373">
        <v>88</v>
      </c>
      <c r="L90" s="374" t="s">
        <v>386</v>
      </c>
      <c r="M90" s="375">
        <v>10.526315789473685</v>
      </c>
      <c r="N90" s="375">
        <v>0.15789473684210525</v>
      </c>
      <c r="P90" s="335">
        <v>88</v>
      </c>
      <c r="Q90" s="336" t="s">
        <v>2666</v>
      </c>
      <c r="R90" s="337">
        <v>14.285714285714286</v>
      </c>
      <c r="S90" s="337">
        <v>7.1428571428571425E-2</v>
      </c>
      <c r="U90" s="373"/>
      <c r="V90" s="374"/>
      <c r="W90" s="375"/>
      <c r="X90" s="375"/>
      <c r="Z90" s="373"/>
      <c r="AA90" s="374"/>
      <c r="AB90" s="375"/>
      <c r="AC90" s="375"/>
      <c r="AE90" s="373">
        <v>88</v>
      </c>
      <c r="AF90" s="374" t="s">
        <v>2628</v>
      </c>
      <c r="AG90" s="375">
        <v>20</v>
      </c>
      <c r="AH90" s="375">
        <v>0.1</v>
      </c>
      <c r="AJ90" s="373"/>
      <c r="AK90" s="374"/>
      <c r="AL90" s="375"/>
      <c r="AM90" s="375"/>
      <c r="AO90" s="373"/>
      <c r="AP90" s="374"/>
      <c r="AQ90" s="375"/>
      <c r="AR90" s="375"/>
      <c r="AT90" s="373"/>
      <c r="AU90" s="374"/>
      <c r="AV90" s="375"/>
      <c r="AW90" s="375"/>
      <c r="AY90" s="373"/>
      <c r="AZ90" s="374"/>
      <c r="BA90" s="375"/>
      <c r="BB90" s="375"/>
      <c r="BD90" s="373"/>
      <c r="BE90" s="374"/>
      <c r="BF90" s="375"/>
      <c r="BG90" s="375"/>
      <c r="BI90" s="373"/>
      <c r="BJ90" s="374"/>
      <c r="BK90" s="375"/>
      <c r="BL90" s="375"/>
      <c r="BN90" s="373"/>
      <c r="BO90" s="374"/>
      <c r="BP90" s="375"/>
      <c r="BQ90" s="375"/>
      <c r="BS90" s="373"/>
      <c r="BT90" s="374"/>
      <c r="BU90" s="375"/>
      <c r="BV90" s="375"/>
      <c r="BX90" s="373"/>
      <c r="BY90" s="374"/>
      <c r="BZ90" s="375"/>
      <c r="CA90" s="375"/>
      <c r="CC90" s="373"/>
      <c r="CD90" s="374"/>
      <c r="CE90" s="375"/>
      <c r="CF90" s="375"/>
      <c r="CH90" s="373"/>
      <c r="CI90" s="374"/>
      <c r="CJ90" s="375"/>
      <c r="CK90" s="375"/>
      <c r="CM90" s="373"/>
      <c r="CN90" s="374"/>
      <c r="CO90" s="375"/>
      <c r="CP90" s="375"/>
      <c r="CR90" s="373"/>
      <c r="CS90" s="374"/>
      <c r="CT90" s="375"/>
      <c r="CU90" s="375"/>
      <c r="CW90" s="373"/>
      <c r="CX90" s="374"/>
      <c r="CY90" s="375"/>
      <c r="CZ90" s="375"/>
      <c r="DB90" s="373"/>
      <c r="DC90" s="374"/>
      <c r="DD90" s="375"/>
      <c r="DE90" s="375"/>
      <c r="DG90" s="373"/>
      <c r="DH90" s="374"/>
      <c r="DI90" s="375"/>
      <c r="DJ90" s="375"/>
      <c r="DL90" s="373"/>
      <c r="DM90" s="374"/>
      <c r="DN90" s="375"/>
      <c r="DO90" s="375"/>
      <c r="DQ90" s="373"/>
      <c r="DR90" s="374"/>
      <c r="DS90" s="375"/>
      <c r="DT90" s="375"/>
      <c r="DV90" s="373"/>
      <c r="DW90" s="374"/>
      <c r="DX90" s="375"/>
      <c r="DY90" s="375"/>
      <c r="EA90" s="373"/>
      <c r="EB90" s="374"/>
      <c r="EC90" s="375"/>
      <c r="ED90" s="375"/>
      <c r="EF90" s="373"/>
      <c r="EG90" s="374"/>
      <c r="EH90" s="375"/>
      <c r="EI90" s="375"/>
      <c r="EK90" s="373"/>
      <c r="EL90" s="374"/>
      <c r="EM90" s="375"/>
      <c r="EN90" s="375"/>
      <c r="EP90" s="373"/>
      <c r="EQ90" s="374"/>
      <c r="ER90" s="375"/>
      <c r="ES90" s="375"/>
      <c r="EU90" s="373"/>
      <c r="EV90" s="374"/>
      <c r="EW90" s="375"/>
      <c r="EX90" s="375"/>
      <c r="EZ90" s="373"/>
      <c r="FA90" s="374"/>
      <c r="FB90" s="375"/>
      <c r="FC90" s="375"/>
      <c r="FE90" s="373"/>
      <c r="FF90" s="374"/>
      <c r="FG90" s="375"/>
      <c r="FH90" s="375"/>
      <c r="FJ90" s="373"/>
      <c r="FK90" s="374"/>
      <c r="FL90" s="375"/>
      <c r="FM90" s="375"/>
      <c r="FO90" s="373"/>
      <c r="FP90" s="374"/>
      <c r="FQ90" s="375"/>
      <c r="FR90" s="375"/>
      <c r="FT90" s="373"/>
      <c r="FU90" s="374"/>
      <c r="FV90" s="375"/>
      <c r="FW90" s="375"/>
      <c r="FY90" s="373"/>
      <c r="FZ90" s="374"/>
      <c r="GA90" s="375"/>
      <c r="GB90" s="375"/>
      <c r="GD90" s="373"/>
      <c r="GE90" s="374"/>
      <c r="GF90" s="375"/>
      <c r="GG90" s="375"/>
      <c r="GI90" s="373"/>
      <c r="GJ90" s="374"/>
      <c r="GK90" s="375"/>
      <c r="GL90" s="375"/>
      <c r="GN90" s="373"/>
      <c r="GO90" s="374"/>
      <c r="GP90" s="375"/>
      <c r="GQ90" s="375"/>
      <c r="GS90" s="373"/>
      <c r="GT90" s="374"/>
      <c r="GU90" s="375"/>
      <c r="GV90" s="375"/>
      <c r="GX90" s="373"/>
      <c r="GY90" s="374"/>
      <c r="GZ90" s="375"/>
      <c r="HA90" s="375"/>
      <c r="HC90" s="373"/>
      <c r="HD90" s="374"/>
      <c r="HE90" s="375"/>
      <c r="HF90" s="375"/>
      <c r="HH90" s="373"/>
      <c r="HI90" s="374"/>
      <c r="HJ90" s="375"/>
      <c r="HK90" s="375"/>
      <c r="HM90" s="373"/>
      <c r="HN90" s="374"/>
      <c r="HO90" s="375"/>
      <c r="HP90" s="375"/>
      <c r="HR90" s="373"/>
      <c r="HS90" s="374"/>
      <c r="HT90" s="375"/>
      <c r="HU90" s="375"/>
      <c r="HW90" s="373"/>
      <c r="HX90" s="374"/>
      <c r="HY90" s="375"/>
      <c r="HZ90" s="375"/>
      <c r="IB90" s="373"/>
      <c r="IC90" s="374"/>
      <c r="ID90" s="375"/>
      <c r="IE90" s="375"/>
      <c r="IG90" s="373"/>
      <c r="IH90" s="374"/>
      <c r="II90" s="375"/>
      <c r="IJ90" s="375"/>
      <c r="IL90" s="373"/>
      <c r="IM90" s="374"/>
      <c r="IN90" s="375"/>
      <c r="IO90" s="375"/>
      <c r="IQ90" s="373"/>
      <c r="IR90" s="374"/>
      <c r="IS90" s="375"/>
      <c r="IT90" s="375"/>
      <c r="IV90" s="373"/>
    </row>
    <row r="91" spans="1:256" s="376" customFormat="1" x14ac:dyDescent="0.2">
      <c r="A91" s="373"/>
      <c r="B91" s="374"/>
      <c r="C91" s="375"/>
      <c r="D91" s="375"/>
      <c r="F91" s="373"/>
      <c r="G91" s="374"/>
      <c r="H91" s="375"/>
      <c r="I91" s="375"/>
      <c r="K91" s="373">
        <v>89</v>
      </c>
      <c r="L91" s="374" t="s">
        <v>586</v>
      </c>
      <c r="M91" s="375">
        <v>5.2631578947368425</v>
      </c>
      <c r="N91" s="375">
        <v>0.15789473684210525</v>
      </c>
      <c r="P91" s="373">
        <v>89</v>
      </c>
      <c r="Q91" s="374" t="s">
        <v>593</v>
      </c>
      <c r="R91" s="375">
        <v>14.285714285714286</v>
      </c>
      <c r="S91" s="375">
        <v>7.1428571428571425E-2</v>
      </c>
      <c r="U91" s="373"/>
      <c r="V91" s="374"/>
      <c r="W91" s="375"/>
      <c r="X91" s="375"/>
      <c r="Z91" s="373"/>
      <c r="AA91" s="374"/>
      <c r="AB91" s="375"/>
      <c r="AC91" s="375"/>
      <c r="AE91" s="382">
        <v>89</v>
      </c>
      <c r="AF91" s="383" t="s">
        <v>2604</v>
      </c>
      <c r="AG91" s="384">
        <v>20</v>
      </c>
      <c r="AH91" s="384">
        <v>0.1</v>
      </c>
      <c r="AJ91" s="373"/>
      <c r="AK91" s="374"/>
      <c r="AL91" s="375"/>
      <c r="AM91" s="375"/>
      <c r="AO91" s="373"/>
      <c r="AP91" s="374"/>
      <c r="AQ91" s="375"/>
      <c r="AR91" s="375"/>
      <c r="AT91" s="373"/>
      <c r="AU91" s="374"/>
      <c r="AV91" s="375"/>
      <c r="AW91" s="375"/>
      <c r="AY91" s="373"/>
      <c r="AZ91" s="374"/>
      <c r="BA91" s="375"/>
      <c r="BB91" s="375"/>
      <c r="BD91" s="373"/>
      <c r="BE91" s="374"/>
      <c r="BF91" s="375"/>
      <c r="BG91" s="375"/>
      <c r="BI91" s="373"/>
      <c r="BJ91" s="374"/>
      <c r="BK91" s="375"/>
      <c r="BL91" s="375"/>
      <c r="BN91" s="373"/>
      <c r="BO91" s="374"/>
      <c r="BP91" s="375"/>
      <c r="BQ91" s="375"/>
      <c r="BS91" s="373"/>
      <c r="BT91" s="374"/>
      <c r="BU91" s="375"/>
      <c r="BV91" s="375"/>
      <c r="BX91" s="373"/>
      <c r="BY91" s="374"/>
      <c r="BZ91" s="375"/>
      <c r="CA91" s="375"/>
      <c r="CC91" s="373"/>
      <c r="CD91" s="374"/>
      <c r="CE91" s="375"/>
      <c r="CF91" s="375"/>
      <c r="CH91" s="373"/>
      <c r="CI91" s="374"/>
      <c r="CJ91" s="375"/>
      <c r="CK91" s="375"/>
      <c r="CM91" s="373"/>
      <c r="CN91" s="374"/>
      <c r="CO91" s="375"/>
      <c r="CP91" s="375"/>
      <c r="CR91" s="373"/>
      <c r="CS91" s="374"/>
      <c r="CT91" s="375"/>
      <c r="CU91" s="375"/>
      <c r="CW91" s="373"/>
      <c r="CX91" s="374"/>
      <c r="CY91" s="375"/>
      <c r="CZ91" s="375"/>
      <c r="DB91" s="373"/>
      <c r="DC91" s="374"/>
      <c r="DD91" s="375"/>
      <c r="DE91" s="375"/>
      <c r="DG91" s="373"/>
      <c r="DH91" s="374"/>
      <c r="DI91" s="375"/>
      <c r="DJ91" s="375"/>
      <c r="DL91" s="373"/>
      <c r="DM91" s="374"/>
      <c r="DN91" s="375"/>
      <c r="DO91" s="375"/>
      <c r="DQ91" s="373"/>
      <c r="DR91" s="374"/>
      <c r="DS91" s="375"/>
      <c r="DT91" s="375"/>
      <c r="DV91" s="373"/>
      <c r="DW91" s="374"/>
      <c r="DX91" s="375"/>
      <c r="DY91" s="375"/>
      <c r="EA91" s="373"/>
      <c r="EB91" s="374"/>
      <c r="EC91" s="375"/>
      <c r="ED91" s="375"/>
      <c r="EF91" s="373"/>
      <c r="EG91" s="374"/>
      <c r="EH91" s="375"/>
      <c r="EI91" s="375"/>
      <c r="EK91" s="373"/>
      <c r="EL91" s="374"/>
      <c r="EM91" s="375"/>
      <c r="EN91" s="375"/>
      <c r="EP91" s="373"/>
      <c r="EQ91" s="374"/>
      <c r="ER91" s="375"/>
      <c r="ES91" s="375"/>
      <c r="EU91" s="373"/>
      <c r="EV91" s="374"/>
      <c r="EW91" s="375"/>
      <c r="EX91" s="375"/>
      <c r="EZ91" s="373"/>
      <c r="FA91" s="374"/>
      <c r="FB91" s="375"/>
      <c r="FC91" s="375"/>
      <c r="FE91" s="373"/>
      <c r="FF91" s="374"/>
      <c r="FG91" s="375"/>
      <c r="FH91" s="375"/>
      <c r="FJ91" s="373"/>
      <c r="FK91" s="374"/>
      <c r="FL91" s="375"/>
      <c r="FM91" s="375"/>
      <c r="FO91" s="373"/>
      <c r="FP91" s="374"/>
      <c r="FQ91" s="375"/>
      <c r="FR91" s="375"/>
      <c r="FT91" s="373"/>
      <c r="FU91" s="374"/>
      <c r="FV91" s="375"/>
      <c r="FW91" s="375"/>
      <c r="FY91" s="373"/>
      <c r="FZ91" s="374"/>
      <c r="GA91" s="375"/>
      <c r="GB91" s="375"/>
      <c r="GD91" s="373"/>
      <c r="GE91" s="374"/>
      <c r="GF91" s="375"/>
      <c r="GG91" s="375"/>
      <c r="GI91" s="373"/>
      <c r="GJ91" s="374"/>
      <c r="GK91" s="375"/>
      <c r="GL91" s="375"/>
      <c r="GN91" s="373"/>
      <c r="GO91" s="374"/>
      <c r="GP91" s="375"/>
      <c r="GQ91" s="375"/>
      <c r="GS91" s="373"/>
      <c r="GT91" s="374"/>
      <c r="GU91" s="375"/>
      <c r="GV91" s="375"/>
      <c r="GX91" s="373"/>
      <c r="GY91" s="374"/>
      <c r="GZ91" s="375"/>
      <c r="HA91" s="375"/>
      <c r="HC91" s="373"/>
      <c r="HD91" s="374"/>
      <c r="HE91" s="375"/>
      <c r="HF91" s="375"/>
      <c r="HH91" s="373"/>
      <c r="HI91" s="374"/>
      <c r="HJ91" s="375"/>
      <c r="HK91" s="375"/>
      <c r="HM91" s="373"/>
      <c r="HN91" s="374"/>
      <c r="HO91" s="375"/>
      <c r="HP91" s="375"/>
      <c r="HR91" s="373"/>
      <c r="HS91" s="374"/>
      <c r="HT91" s="375"/>
      <c r="HU91" s="375"/>
      <c r="HW91" s="373"/>
      <c r="HX91" s="374"/>
      <c r="HY91" s="375"/>
      <c r="HZ91" s="375"/>
      <c r="IB91" s="373"/>
      <c r="IC91" s="374"/>
      <c r="ID91" s="375"/>
      <c r="IE91" s="375"/>
      <c r="IG91" s="373"/>
      <c r="IH91" s="374"/>
      <c r="II91" s="375"/>
      <c r="IJ91" s="375"/>
      <c r="IL91" s="373"/>
      <c r="IM91" s="374"/>
      <c r="IN91" s="375"/>
      <c r="IO91" s="375"/>
      <c r="IQ91" s="373"/>
      <c r="IR91" s="374"/>
      <c r="IS91" s="375"/>
      <c r="IT91" s="375"/>
      <c r="IV91" s="373"/>
    </row>
    <row r="92" spans="1:256" s="376" customFormat="1" x14ac:dyDescent="0.2">
      <c r="A92" s="373"/>
      <c r="B92" s="374"/>
      <c r="C92" s="375"/>
      <c r="D92" s="375"/>
      <c r="F92" s="373"/>
      <c r="G92" s="374"/>
      <c r="H92" s="375"/>
      <c r="I92" s="375"/>
      <c r="K92" s="382">
        <v>90</v>
      </c>
      <c r="L92" s="383" t="s">
        <v>449</v>
      </c>
      <c r="M92" s="384">
        <v>5.2631578947368425</v>
      </c>
      <c r="N92" s="384">
        <v>0.15789473684210525</v>
      </c>
      <c r="P92" s="373"/>
      <c r="Q92" s="374"/>
      <c r="R92" s="375"/>
      <c r="S92" s="375"/>
      <c r="U92" s="373"/>
      <c r="V92" s="374"/>
      <c r="W92" s="375"/>
      <c r="X92" s="375"/>
      <c r="Z92" s="373"/>
      <c r="AA92" s="374"/>
      <c r="AB92" s="375"/>
      <c r="AC92" s="375"/>
      <c r="AE92" s="373">
        <v>90</v>
      </c>
      <c r="AF92" s="374" t="s">
        <v>394</v>
      </c>
      <c r="AG92" s="375">
        <v>20</v>
      </c>
      <c r="AH92" s="375">
        <v>0.1</v>
      </c>
      <c r="AJ92" s="373"/>
      <c r="AK92" s="374"/>
      <c r="AL92" s="375"/>
      <c r="AM92" s="375"/>
      <c r="AO92" s="373"/>
      <c r="AP92" s="374"/>
      <c r="AQ92" s="375"/>
      <c r="AR92" s="375"/>
      <c r="AT92" s="373"/>
      <c r="AU92" s="374"/>
      <c r="AV92" s="375"/>
      <c r="AW92" s="375"/>
      <c r="AY92" s="373"/>
      <c r="AZ92" s="374"/>
      <c r="BA92" s="375"/>
      <c r="BB92" s="375"/>
      <c r="BD92" s="373"/>
      <c r="BE92" s="374"/>
      <c r="BF92" s="375"/>
      <c r="BG92" s="375"/>
      <c r="BI92" s="373"/>
      <c r="BJ92" s="374"/>
      <c r="BK92" s="375"/>
      <c r="BL92" s="375"/>
      <c r="BN92" s="373"/>
      <c r="BO92" s="374"/>
      <c r="BP92" s="375"/>
      <c r="BQ92" s="375"/>
      <c r="BS92" s="373"/>
      <c r="BT92" s="374"/>
      <c r="BU92" s="375"/>
      <c r="BV92" s="375"/>
      <c r="BX92" s="373"/>
      <c r="BY92" s="374"/>
      <c r="BZ92" s="375"/>
      <c r="CA92" s="375"/>
      <c r="CC92" s="373"/>
      <c r="CD92" s="374"/>
      <c r="CE92" s="375"/>
      <c r="CF92" s="375"/>
      <c r="CH92" s="373"/>
      <c r="CI92" s="374"/>
      <c r="CJ92" s="375"/>
      <c r="CK92" s="375"/>
      <c r="CM92" s="373"/>
      <c r="CN92" s="374"/>
      <c r="CO92" s="375"/>
      <c r="CP92" s="375"/>
      <c r="CR92" s="373"/>
      <c r="CS92" s="374"/>
      <c r="CT92" s="375"/>
      <c r="CU92" s="375"/>
      <c r="CW92" s="373"/>
      <c r="CX92" s="374"/>
      <c r="CY92" s="375"/>
      <c r="CZ92" s="375"/>
      <c r="DB92" s="373"/>
      <c r="DC92" s="374"/>
      <c r="DD92" s="375"/>
      <c r="DE92" s="375"/>
      <c r="DG92" s="373"/>
      <c r="DH92" s="374"/>
      <c r="DI92" s="375"/>
      <c r="DJ92" s="375"/>
      <c r="DL92" s="373"/>
      <c r="DM92" s="374"/>
      <c r="DN92" s="375"/>
      <c r="DO92" s="375"/>
      <c r="DQ92" s="373"/>
      <c r="DR92" s="374"/>
      <c r="DS92" s="375"/>
      <c r="DT92" s="375"/>
      <c r="DV92" s="373"/>
      <c r="DW92" s="374"/>
      <c r="DX92" s="375"/>
      <c r="DY92" s="375"/>
      <c r="EA92" s="373"/>
      <c r="EB92" s="374"/>
      <c r="EC92" s="375"/>
      <c r="ED92" s="375"/>
      <c r="EF92" s="373"/>
      <c r="EG92" s="374"/>
      <c r="EH92" s="375"/>
      <c r="EI92" s="375"/>
      <c r="EK92" s="373"/>
      <c r="EL92" s="374"/>
      <c r="EM92" s="375"/>
      <c r="EN92" s="375"/>
      <c r="EP92" s="373"/>
      <c r="EQ92" s="374"/>
      <c r="ER92" s="375"/>
      <c r="ES92" s="375"/>
      <c r="EU92" s="373"/>
      <c r="EV92" s="374"/>
      <c r="EW92" s="375"/>
      <c r="EX92" s="375"/>
      <c r="EZ92" s="373"/>
      <c r="FA92" s="374"/>
      <c r="FB92" s="375"/>
      <c r="FC92" s="375"/>
      <c r="FE92" s="373"/>
      <c r="FF92" s="374"/>
      <c r="FG92" s="375"/>
      <c r="FH92" s="375"/>
      <c r="FJ92" s="373"/>
      <c r="FK92" s="374"/>
      <c r="FL92" s="375"/>
      <c r="FM92" s="375"/>
      <c r="FO92" s="373"/>
      <c r="FP92" s="374"/>
      <c r="FQ92" s="375"/>
      <c r="FR92" s="375"/>
      <c r="FT92" s="373"/>
      <c r="FU92" s="374"/>
      <c r="FV92" s="375"/>
      <c r="FW92" s="375"/>
      <c r="FY92" s="373"/>
      <c r="FZ92" s="374"/>
      <c r="GA92" s="375"/>
      <c r="GB92" s="375"/>
      <c r="GD92" s="373"/>
      <c r="GE92" s="374"/>
      <c r="GF92" s="375"/>
      <c r="GG92" s="375"/>
      <c r="GI92" s="373"/>
      <c r="GJ92" s="374"/>
      <c r="GK92" s="375"/>
      <c r="GL92" s="375"/>
      <c r="GN92" s="373"/>
      <c r="GO92" s="374"/>
      <c r="GP92" s="375"/>
      <c r="GQ92" s="375"/>
      <c r="GS92" s="373"/>
      <c r="GT92" s="374"/>
      <c r="GU92" s="375"/>
      <c r="GV92" s="375"/>
      <c r="GX92" s="373"/>
      <c r="GY92" s="374"/>
      <c r="GZ92" s="375"/>
      <c r="HA92" s="375"/>
      <c r="HC92" s="373"/>
      <c r="HD92" s="374"/>
      <c r="HE92" s="375"/>
      <c r="HF92" s="375"/>
      <c r="HH92" s="373"/>
      <c r="HI92" s="374"/>
      <c r="HJ92" s="375"/>
      <c r="HK92" s="375"/>
      <c r="HM92" s="373"/>
      <c r="HN92" s="374"/>
      <c r="HO92" s="375"/>
      <c r="HP92" s="375"/>
      <c r="HR92" s="373"/>
      <c r="HS92" s="374"/>
      <c r="HT92" s="375"/>
      <c r="HU92" s="375"/>
      <c r="HW92" s="373"/>
      <c r="HX92" s="374"/>
      <c r="HY92" s="375"/>
      <c r="HZ92" s="375"/>
      <c r="IB92" s="373"/>
      <c r="IC92" s="374"/>
      <c r="ID92" s="375"/>
      <c r="IE92" s="375"/>
      <c r="IG92" s="373"/>
      <c r="IH92" s="374"/>
      <c r="II92" s="375"/>
      <c r="IJ92" s="375"/>
      <c r="IL92" s="373"/>
      <c r="IM92" s="374"/>
      <c r="IN92" s="375"/>
      <c r="IO92" s="375"/>
      <c r="IQ92" s="373"/>
      <c r="IR92" s="374"/>
      <c r="IS92" s="375"/>
      <c r="IT92" s="375"/>
      <c r="IV92" s="373"/>
    </row>
    <row r="93" spans="1:256" s="376" customFormat="1" x14ac:dyDescent="0.2">
      <c r="A93" s="373"/>
      <c r="B93" s="374"/>
      <c r="C93" s="375"/>
      <c r="D93" s="375"/>
      <c r="F93" s="373"/>
      <c r="G93" s="374"/>
      <c r="H93" s="375"/>
      <c r="I93" s="375"/>
      <c r="K93" s="373">
        <v>91</v>
      </c>
      <c r="L93" s="374" t="s">
        <v>381</v>
      </c>
      <c r="M93" s="375">
        <v>5.2631578947368425</v>
      </c>
      <c r="N93" s="375">
        <v>0.15789473684210525</v>
      </c>
      <c r="P93" s="373"/>
      <c r="Q93" s="374"/>
      <c r="R93" s="375"/>
      <c r="S93" s="375"/>
      <c r="U93" s="373"/>
      <c r="V93" s="374"/>
      <c r="W93" s="375"/>
      <c r="X93" s="375"/>
      <c r="Z93" s="373"/>
      <c r="AA93" s="374"/>
      <c r="AB93" s="375"/>
      <c r="AC93" s="375"/>
      <c r="AE93" s="373">
        <v>91</v>
      </c>
      <c r="AF93" s="374" t="s">
        <v>367</v>
      </c>
      <c r="AG93" s="375">
        <v>20</v>
      </c>
      <c r="AH93" s="375">
        <v>0.1</v>
      </c>
      <c r="AJ93" s="373"/>
      <c r="AK93" s="374"/>
      <c r="AL93" s="375"/>
      <c r="AM93" s="375"/>
      <c r="AO93" s="373"/>
      <c r="AP93" s="374"/>
      <c r="AQ93" s="375"/>
      <c r="AR93" s="375"/>
      <c r="AT93" s="373"/>
      <c r="AU93" s="374"/>
      <c r="AV93" s="375"/>
      <c r="AW93" s="375"/>
      <c r="AY93" s="373"/>
      <c r="AZ93" s="374"/>
      <c r="BA93" s="375"/>
      <c r="BB93" s="375"/>
      <c r="BD93" s="373"/>
      <c r="BE93" s="374"/>
      <c r="BF93" s="375"/>
      <c r="BG93" s="375"/>
      <c r="BI93" s="373"/>
      <c r="BJ93" s="374"/>
      <c r="BK93" s="375"/>
      <c r="BL93" s="375"/>
      <c r="BN93" s="373"/>
      <c r="BO93" s="374"/>
      <c r="BP93" s="375"/>
      <c r="BQ93" s="375"/>
      <c r="BS93" s="373"/>
      <c r="BT93" s="374"/>
      <c r="BU93" s="375"/>
      <c r="BV93" s="375"/>
      <c r="BX93" s="373"/>
      <c r="BY93" s="374"/>
      <c r="BZ93" s="375"/>
      <c r="CA93" s="375"/>
      <c r="CC93" s="373"/>
      <c r="CD93" s="374"/>
      <c r="CE93" s="375"/>
      <c r="CF93" s="375"/>
      <c r="CH93" s="373"/>
      <c r="CI93" s="374"/>
      <c r="CJ93" s="375"/>
      <c r="CK93" s="375"/>
      <c r="CM93" s="373"/>
      <c r="CN93" s="374"/>
      <c r="CO93" s="375"/>
      <c r="CP93" s="375"/>
      <c r="CR93" s="373"/>
      <c r="CS93" s="374"/>
      <c r="CT93" s="375"/>
      <c r="CU93" s="375"/>
      <c r="CW93" s="373"/>
      <c r="CX93" s="374"/>
      <c r="CY93" s="375"/>
      <c r="CZ93" s="375"/>
      <c r="DB93" s="373"/>
      <c r="DC93" s="374"/>
      <c r="DD93" s="375"/>
      <c r="DE93" s="375"/>
      <c r="DG93" s="373"/>
      <c r="DH93" s="374"/>
      <c r="DI93" s="375"/>
      <c r="DJ93" s="375"/>
      <c r="DL93" s="373"/>
      <c r="DM93" s="374"/>
      <c r="DN93" s="375"/>
      <c r="DO93" s="375"/>
      <c r="DQ93" s="373"/>
      <c r="DR93" s="374"/>
      <c r="DS93" s="375"/>
      <c r="DT93" s="375"/>
      <c r="DV93" s="373"/>
      <c r="DW93" s="374"/>
      <c r="DX93" s="375"/>
      <c r="DY93" s="375"/>
      <c r="EA93" s="373"/>
      <c r="EB93" s="374"/>
      <c r="EC93" s="375"/>
      <c r="ED93" s="375"/>
      <c r="EF93" s="373"/>
      <c r="EG93" s="374"/>
      <c r="EH93" s="375"/>
      <c r="EI93" s="375"/>
      <c r="EK93" s="373"/>
      <c r="EL93" s="374"/>
      <c r="EM93" s="375"/>
      <c r="EN93" s="375"/>
      <c r="EP93" s="373"/>
      <c r="EQ93" s="374"/>
      <c r="ER93" s="375"/>
      <c r="ES93" s="375"/>
      <c r="EU93" s="373"/>
      <c r="EV93" s="374"/>
      <c r="EW93" s="375"/>
      <c r="EX93" s="375"/>
      <c r="EZ93" s="373"/>
      <c r="FA93" s="374"/>
      <c r="FB93" s="375"/>
      <c r="FC93" s="375"/>
      <c r="FE93" s="373"/>
      <c r="FF93" s="374"/>
      <c r="FG93" s="375"/>
      <c r="FH93" s="375"/>
      <c r="FJ93" s="373"/>
      <c r="FK93" s="374"/>
      <c r="FL93" s="375"/>
      <c r="FM93" s="375"/>
      <c r="FO93" s="373"/>
      <c r="FP93" s="374"/>
      <c r="FQ93" s="375"/>
      <c r="FR93" s="375"/>
      <c r="FT93" s="373"/>
      <c r="FU93" s="374"/>
      <c r="FV93" s="375"/>
      <c r="FW93" s="375"/>
      <c r="FY93" s="373"/>
      <c r="FZ93" s="374"/>
      <c r="GA93" s="375"/>
      <c r="GB93" s="375"/>
      <c r="GD93" s="373"/>
      <c r="GE93" s="374"/>
      <c r="GF93" s="375"/>
      <c r="GG93" s="375"/>
      <c r="GI93" s="373"/>
      <c r="GJ93" s="374"/>
      <c r="GK93" s="375"/>
      <c r="GL93" s="375"/>
      <c r="GN93" s="373"/>
      <c r="GO93" s="374"/>
      <c r="GP93" s="375"/>
      <c r="GQ93" s="375"/>
      <c r="GS93" s="373"/>
      <c r="GT93" s="374"/>
      <c r="GU93" s="375"/>
      <c r="GV93" s="375"/>
      <c r="GX93" s="373"/>
      <c r="GY93" s="374"/>
      <c r="GZ93" s="375"/>
      <c r="HA93" s="375"/>
      <c r="HC93" s="373"/>
      <c r="HD93" s="374"/>
      <c r="HE93" s="375"/>
      <c r="HF93" s="375"/>
      <c r="HH93" s="373"/>
      <c r="HI93" s="374"/>
      <c r="HJ93" s="375"/>
      <c r="HK93" s="375"/>
      <c r="HM93" s="373"/>
      <c r="HN93" s="374"/>
      <c r="HO93" s="375"/>
      <c r="HP93" s="375"/>
      <c r="HR93" s="373"/>
      <c r="HS93" s="374"/>
      <c r="HT93" s="375"/>
      <c r="HU93" s="375"/>
      <c r="HW93" s="373"/>
      <c r="HX93" s="374"/>
      <c r="HY93" s="375"/>
      <c r="HZ93" s="375"/>
      <c r="IB93" s="373"/>
      <c r="IC93" s="374"/>
      <c r="ID93" s="375"/>
      <c r="IE93" s="375"/>
      <c r="IG93" s="373"/>
      <c r="IH93" s="374"/>
      <c r="II93" s="375"/>
      <c r="IJ93" s="375"/>
      <c r="IL93" s="373"/>
      <c r="IM93" s="374"/>
      <c r="IN93" s="375"/>
      <c r="IO93" s="375"/>
      <c r="IQ93" s="373"/>
      <c r="IR93" s="374"/>
      <c r="IS93" s="375"/>
      <c r="IT93" s="375"/>
      <c r="IV93" s="373"/>
    </row>
    <row r="94" spans="1:256" s="376" customFormat="1" x14ac:dyDescent="0.2">
      <c r="A94" s="373"/>
      <c r="B94" s="374"/>
      <c r="C94" s="375"/>
      <c r="D94" s="375"/>
      <c r="F94" s="373"/>
      <c r="G94" s="374"/>
      <c r="H94" s="375"/>
      <c r="I94" s="375"/>
      <c r="K94" s="382">
        <v>92</v>
      </c>
      <c r="L94" s="383" t="s">
        <v>2713</v>
      </c>
      <c r="M94" s="384">
        <v>10.526315789473685</v>
      </c>
      <c r="N94" s="384">
        <v>0.15789473684210525</v>
      </c>
      <c r="P94" s="373"/>
      <c r="Q94" s="374"/>
      <c r="R94" s="375"/>
      <c r="S94" s="375"/>
      <c r="U94" s="373"/>
      <c r="V94" s="374"/>
      <c r="W94" s="375"/>
      <c r="X94" s="375"/>
      <c r="Z94" s="373"/>
      <c r="AA94" s="374"/>
      <c r="AB94" s="375"/>
      <c r="AC94" s="375"/>
      <c r="AE94" s="373"/>
      <c r="AF94" s="374"/>
      <c r="AG94" s="375"/>
      <c r="AH94" s="375"/>
      <c r="AJ94" s="373"/>
      <c r="AK94" s="374"/>
      <c r="AL94" s="375"/>
      <c r="AM94" s="375"/>
      <c r="AO94" s="373"/>
      <c r="AP94" s="374"/>
      <c r="AQ94" s="375"/>
      <c r="AR94" s="375"/>
      <c r="AT94" s="373"/>
      <c r="AU94" s="374"/>
      <c r="AV94" s="375"/>
      <c r="AW94" s="375"/>
      <c r="AY94" s="373"/>
      <c r="AZ94" s="374"/>
      <c r="BA94" s="375"/>
      <c r="BB94" s="375"/>
      <c r="BD94" s="373"/>
      <c r="BE94" s="374"/>
      <c r="BF94" s="375"/>
      <c r="BG94" s="375"/>
      <c r="BI94" s="373"/>
      <c r="BJ94" s="374"/>
      <c r="BK94" s="375"/>
      <c r="BL94" s="375"/>
      <c r="BN94" s="373"/>
      <c r="BO94" s="374"/>
      <c r="BP94" s="375"/>
      <c r="BQ94" s="375"/>
      <c r="BS94" s="373"/>
      <c r="BT94" s="374"/>
      <c r="BU94" s="375"/>
      <c r="BV94" s="375"/>
      <c r="BX94" s="373"/>
      <c r="BY94" s="374"/>
      <c r="BZ94" s="375"/>
      <c r="CA94" s="375"/>
      <c r="CC94" s="373"/>
      <c r="CD94" s="374"/>
      <c r="CE94" s="375"/>
      <c r="CF94" s="375"/>
      <c r="CH94" s="373"/>
      <c r="CI94" s="374"/>
      <c r="CJ94" s="375"/>
      <c r="CK94" s="375"/>
      <c r="CM94" s="373"/>
      <c r="CN94" s="374"/>
      <c r="CO94" s="375"/>
      <c r="CP94" s="375"/>
      <c r="CR94" s="373"/>
      <c r="CS94" s="374"/>
      <c r="CT94" s="375"/>
      <c r="CU94" s="375"/>
      <c r="CW94" s="373"/>
      <c r="CX94" s="374"/>
      <c r="CY94" s="375"/>
      <c r="CZ94" s="375"/>
      <c r="DB94" s="373"/>
      <c r="DC94" s="374"/>
      <c r="DD94" s="375"/>
      <c r="DE94" s="375"/>
      <c r="DG94" s="373"/>
      <c r="DH94" s="374"/>
      <c r="DI94" s="375"/>
      <c r="DJ94" s="375"/>
      <c r="DL94" s="373"/>
      <c r="DM94" s="374"/>
      <c r="DN94" s="375"/>
      <c r="DO94" s="375"/>
      <c r="DQ94" s="373"/>
      <c r="DR94" s="374"/>
      <c r="DS94" s="375"/>
      <c r="DT94" s="375"/>
      <c r="DV94" s="373"/>
      <c r="DW94" s="374"/>
      <c r="DX94" s="375"/>
      <c r="DY94" s="375"/>
      <c r="EA94" s="373"/>
      <c r="EB94" s="374"/>
      <c r="EC94" s="375"/>
      <c r="ED94" s="375"/>
      <c r="EF94" s="373"/>
      <c r="EG94" s="374"/>
      <c r="EH94" s="375"/>
      <c r="EI94" s="375"/>
      <c r="EK94" s="373"/>
      <c r="EL94" s="374"/>
      <c r="EM94" s="375"/>
      <c r="EN94" s="375"/>
      <c r="EP94" s="373"/>
      <c r="EQ94" s="374"/>
      <c r="ER94" s="375"/>
      <c r="ES94" s="375"/>
      <c r="EU94" s="373"/>
      <c r="EV94" s="374"/>
      <c r="EW94" s="375"/>
      <c r="EX94" s="375"/>
      <c r="EZ94" s="373"/>
      <c r="FA94" s="374"/>
      <c r="FB94" s="375"/>
      <c r="FC94" s="375"/>
      <c r="FE94" s="373"/>
      <c r="FF94" s="374"/>
      <c r="FG94" s="375"/>
      <c r="FH94" s="375"/>
      <c r="FJ94" s="373"/>
      <c r="FK94" s="374"/>
      <c r="FL94" s="375"/>
      <c r="FM94" s="375"/>
      <c r="FO94" s="373"/>
      <c r="FP94" s="374"/>
      <c r="FQ94" s="375"/>
      <c r="FR94" s="375"/>
      <c r="FT94" s="373"/>
      <c r="FU94" s="374"/>
      <c r="FV94" s="375"/>
      <c r="FW94" s="375"/>
      <c r="FY94" s="373"/>
      <c r="FZ94" s="374"/>
      <c r="GA94" s="375"/>
      <c r="GB94" s="375"/>
      <c r="GD94" s="373"/>
      <c r="GE94" s="374"/>
      <c r="GF94" s="375"/>
      <c r="GG94" s="375"/>
      <c r="GI94" s="373"/>
      <c r="GJ94" s="374"/>
      <c r="GK94" s="375"/>
      <c r="GL94" s="375"/>
      <c r="GN94" s="373"/>
      <c r="GO94" s="374"/>
      <c r="GP94" s="375"/>
      <c r="GQ94" s="375"/>
      <c r="GS94" s="373"/>
      <c r="GT94" s="374"/>
      <c r="GU94" s="375"/>
      <c r="GV94" s="375"/>
      <c r="GX94" s="373"/>
      <c r="GY94" s="374"/>
      <c r="GZ94" s="375"/>
      <c r="HA94" s="375"/>
      <c r="HC94" s="373"/>
      <c r="HD94" s="374"/>
      <c r="HE94" s="375"/>
      <c r="HF94" s="375"/>
      <c r="HH94" s="373"/>
      <c r="HI94" s="374"/>
      <c r="HJ94" s="375"/>
      <c r="HK94" s="375"/>
      <c r="HM94" s="373"/>
      <c r="HN94" s="374"/>
      <c r="HO94" s="375"/>
      <c r="HP94" s="375"/>
      <c r="HR94" s="373"/>
      <c r="HS94" s="374"/>
      <c r="HT94" s="375"/>
      <c r="HU94" s="375"/>
      <c r="HW94" s="373"/>
      <c r="HX94" s="374"/>
      <c r="HY94" s="375"/>
      <c r="HZ94" s="375"/>
      <c r="IB94" s="373"/>
      <c r="IC94" s="374"/>
      <c r="ID94" s="375"/>
      <c r="IE94" s="375"/>
      <c r="IG94" s="373"/>
      <c r="IH94" s="374"/>
      <c r="II94" s="375"/>
      <c r="IJ94" s="375"/>
      <c r="IL94" s="373"/>
      <c r="IM94" s="374"/>
      <c r="IN94" s="375"/>
      <c r="IO94" s="375"/>
      <c r="IQ94" s="373"/>
      <c r="IR94" s="374"/>
      <c r="IS94" s="375"/>
      <c r="IT94" s="375"/>
      <c r="IV94" s="373"/>
    </row>
    <row r="95" spans="1:256" s="376" customFormat="1" x14ac:dyDescent="0.2">
      <c r="A95" s="373"/>
      <c r="B95" s="374"/>
      <c r="C95" s="375"/>
      <c r="D95" s="375"/>
      <c r="F95" s="373"/>
      <c r="G95" s="374"/>
      <c r="H95" s="375"/>
      <c r="I95" s="375"/>
      <c r="K95" s="335">
        <v>93</v>
      </c>
      <c r="L95" s="336" t="s">
        <v>2666</v>
      </c>
      <c r="M95" s="337">
        <v>15.789473684210526</v>
      </c>
      <c r="N95" s="337">
        <v>0.15789473684210525</v>
      </c>
      <c r="P95" s="373"/>
      <c r="Q95" s="374"/>
      <c r="R95" s="375"/>
      <c r="S95" s="375"/>
      <c r="U95" s="373"/>
      <c r="V95" s="374"/>
      <c r="W95" s="375"/>
      <c r="X95" s="375"/>
      <c r="Z95" s="373"/>
      <c r="AA95" s="374"/>
      <c r="AB95" s="375"/>
      <c r="AC95" s="375"/>
      <c r="AE95" s="373"/>
      <c r="AF95" s="374"/>
      <c r="AG95" s="375"/>
      <c r="AH95" s="375"/>
      <c r="AJ95" s="373"/>
      <c r="AK95" s="374"/>
      <c r="AL95" s="375"/>
      <c r="AM95" s="375"/>
      <c r="AO95" s="373"/>
      <c r="AP95" s="374"/>
      <c r="AQ95" s="375"/>
      <c r="AR95" s="375"/>
      <c r="AT95" s="373"/>
      <c r="AU95" s="374"/>
      <c r="AV95" s="375"/>
      <c r="AW95" s="375"/>
      <c r="AY95" s="373"/>
      <c r="AZ95" s="374"/>
      <c r="BA95" s="375"/>
      <c r="BB95" s="375"/>
      <c r="BD95" s="373"/>
      <c r="BE95" s="374"/>
      <c r="BF95" s="375"/>
      <c r="BG95" s="375"/>
      <c r="BI95" s="373"/>
      <c r="BJ95" s="374"/>
      <c r="BK95" s="375"/>
      <c r="BL95" s="375"/>
      <c r="BN95" s="373"/>
      <c r="BO95" s="374"/>
      <c r="BP95" s="375"/>
      <c r="BQ95" s="375"/>
      <c r="BS95" s="373"/>
      <c r="BT95" s="374"/>
      <c r="BU95" s="375"/>
      <c r="BV95" s="375"/>
      <c r="BX95" s="373"/>
      <c r="BY95" s="374"/>
      <c r="BZ95" s="375"/>
      <c r="CA95" s="375"/>
      <c r="CC95" s="373"/>
      <c r="CD95" s="374"/>
      <c r="CE95" s="375"/>
      <c r="CF95" s="375"/>
      <c r="CH95" s="373"/>
      <c r="CI95" s="374"/>
      <c r="CJ95" s="375"/>
      <c r="CK95" s="375"/>
      <c r="CM95" s="373"/>
      <c r="CN95" s="374"/>
      <c r="CO95" s="375"/>
      <c r="CP95" s="375"/>
      <c r="CR95" s="373"/>
      <c r="CS95" s="374"/>
      <c r="CT95" s="375"/>
      <c r="CU95" s="375"/>
      <c r="CW95" s="373"/>
      <c r="CX95" s="374"/>
      <c r="CY95" s="375"/>
      <c r="CZ95" s="375"/>
      <c r="DB95" s="373"/>
      <c r="DC95" s="374"/>
      <c r="DD95" s="375"/>
      <c r="DE95" s="375"/>
      <c r="DG95" s="373"/>
      <c r="DH95" s="374"/>
      <c r="DI95" s="375"/>
      <c r="DJ95" s="375"/>
      <c r="DL95" s="373"/>
      <c r="DM95" s="374"/>
      <c r="DN95" s="375"/>
      <c r="DO95" s="375"/>
      <c r="DQ95" s="373"/>
      <c r="DR95" s="374"/>
      <c r="DS95" s="375"/>
      <c r="DT95" s="375"/>
      <c r="DV95" s="373"/>
      <c r="DW95" s="374"/>
      <c r="DX95" s="375"/>
      <c r="DY95" s="375"/>
      <c r="EA95" s="373"/>
      <c r="EB95" s="374"/>
      <c r="EC95" s="375"/>
      <c r="ED95" s="375"/>
      <c r="EF95" s="373"/>
      <c r="EG95" s="374"/>
      <c r="EH95" s="375"/>
      <c r="EI95" s="375"/>
      <c r="EK95" s="373"/>
      <c r="EL95" s="374"/>
      <c r="EM95" s="375"/>
      <c r="EN95" s="375"/>
      <c r="EP95" s="373"/>
      <c r="EQ95" s="374"/>
      <c r="ER95" s="375"/>
      <c r="ES95" s="375"/>
      <c r="EU95" s="373"/>
      <c r="EV95" s="374"/>
      <c r="EW95" s="375"/>
      <c r="EX95" s="375"/>
      <c r="EZ95" s="373"/>
      <c r="FA95" s="374"/>
      <c r="FB95" s="375"/>
      <c r="FC95" s="375"/>
      <c r="FE95" s="373"/>
      <c r="FF95" s="374"/>
      <c r="FG95" s="375"/>
      <c r="FH95" s="375"/>
      <c r="FJ95" s="373"/>
      <c r="FK95" s="374"/>
      <c r="FL95" s="375"/>
      <c r="FM95" s="375"/>
      <c r="FO95" s="373"/>
      <c r="FP95" s="374"/>
      <c r="FQ95" s="375"/>
      <c r="FR95" s="375"/>
      <c r="FT95" s="373"/>
      <c r="FU95" s="374"/>
      <c r="FV95" s="375"/>
      <c r="FW95" s="375"/>
      <c r="FY95" s="373"/>
      <c r="FZ95" s="374"/>
      <c r="GA95" s="375"/>
      <c r="GB95" s="375"/>
      <c r="GD95" s="373"/>
      <c r="GE95" s="374"/>
      <c r="GF95" s="375"/>
      <c r="GG95" s="375"/>
      <c r="GI95" s="373"/>
      <c r="GJ95" s="374"/>
      <c r="GK95" s="375"/>
      <c r="GL95" s="375"/>
      <c r="GN95" s="373"/>
      <c r="GO95" s="374"/>
      <c r="GP95" s="375"/>
      <c r="GQ95" s="375"/>
      <c r="GS95" s="373"/>
      <c r="GT95" s="374"/>
      <c r="GU95" s="375"/>
      <c r="GV95" s="375"/>
      <c r="GX95" s="373"/>
      <c r="GY95" s="374"/>
      <c r="GZ95" s="375"/>
      <c r="HA95" s="375"/>
      <c r="HC95" s="373"/>
      <c r="HD95" s="374"/>
      <c r="HE95" s="375"/>
      <c r="HF95" s="375"/>
      <c r="HH95" s="373"/>
      <c r="HI95" s="374"/>
      <c r="HJ95" s="375"/>
      <c r="HK95" s="375"/>
      <c r="HM95" s="373"/>
      <c r="HN95" s="374"/>
      <c r="HO95" s="375"/>
      <c r="HP95" s="375"/>
      <c r="HR95" s="373"/>
      <c r="HS95" s="374"/>
      <c r="HT95" s="375"/>
      <c r="HU95" s="375"/>
      <c r="HW95" s="373"/>
      <c r="HX95" s="374"/>
      <c r="HY95" s="375"/>
      <c r="HZ95" s="375"/>
      <c r="IB95" s="373"/>
      <c r="IC95" s="374"/>
      <c r="ID95" s="375"/>
      <c r="IE95" s="375"/>
      <c r="IG95" s="373"/>
      <c r="IH95" s="374"/>
      <c r="II95" s="375"/>
      <c r="IJ95" s="375"/>
      <c r="IL95" s="373"/>
      <c r="IM95" s="374"/>
      <c r="IN95" s="375"/>
      <c r="IO95" s="375"/>
      <c r="IQ95" s="373"/>
      <c r="IR95" s="374"/>
      <c r="IS95" s="375"/>
      <c r="IT95" s="375"/>
      <c r="IV95" s="373"/>
    </row>
    <row r="96" spans="1:256" s="376" customFormat="1" x14ac:dyDescent="0.2">
      <c r="A96" s="373"/>
      <c r="B96" s="374"/>
      <c r="C96" s="375"/>
      <c r="D96" s="375"/>
      <c r="F96" s="373"/>
      <c r="G96" s="374"/>
      <c r="H96" s="375"/>
      <c r="I96" s="375"/>
      <c r="K96" s="373">
        <v>94</v>
      </c>
      <c r="L96" s="374" t="s">
        <v>602</v>
      </c>
      <c r="M96" s="375">
        <v>10.526315789473685</v>
      </c>
      <c r="N96" s="375">
        <v>0.13157894736842105</v>
      </c>
      <c r="P96" s="373"/>
      <c r="Q96" s="374"/>
      <c r="R96" s="375"/>
      <c r="S96" s="375"/>
      <c r="U96" s="373"/>
      <c r="V96" s="374"/>
      <c r="W96" s="375"/>
      <c r="X96" s="375"/>
      <c r="Z96" s="373"/>
      <c r="AA96" s="374"/>
      <c r="AB96" s="375"/>
      <c r="AC96" s="375"/>
      <c r="AE96" s="373"/>
      <c r="AF96" s="374"/>
      <c r="AG96" s="375"/>
      <c r="AH96" s="375"/>
      <c r="AJ96" s="373"/>
      <c r="AK96" s="374"/>
      <c r="AL96" s="375"/>
      <c r="AM96" s="375"/>
      <c r="AO96" s="373"/>
      <c r="AP96" s="374"/>
      <c r="AQ96" s="375"/>
      <c r="AR96" s="375"/>
      <c r="AT96" s="373"/>
      <c r="AU96" s="374"/>
      <c r="AV96" s="375"/>
      <c r="AW96" s="375"/>
      <c r="AY96" s="373"/>
      <c r="AZ96" s="374"/>
      <c r="BA96" s="375"/>
      <c r="BB96" s="375"/>
      <c r="BD96" s="373"/>
      <c r="BE96" s="374"/>
      <c r="BF96" s="375"/>
      <c r="BG96" s="375"/>
      <c r="BI96" s="373"/>
      <c r="BJ96" s="374"/>
      <c r="BK96" s="375"/>
      <c r="BL96" s="375"/>
      <c r="BN96" s="373"/>
      <c r="BO96" s="374"/>
      <c r="BP96" s="375"/>
      <c r="BQ96" s="375"/>
      <c r="BS96" s="373"/>
      <c r="BT96" s="374"/>
      <c r="BU96" s="375"/>
      <c r="BV96" s="375"/>
      <c r="BX96" s="373"/>
      <c r="BY96" s="374"/>
      <c r="BZ96" s="375"/>
      <c r="CA96" s="375"/>
      <c r="CC96" s="373"/>
      <c r="CD96" s="374"/>
      <c r="CE96" s="375"/>
      <c r="CF96" s="375"/>
      <c r="CH96" s="373"/>
      <c r="CI96" s="374"/>
      <c r="CJ96" s="375"/>
      <c r="CK96" s="375"/>
      <c r="CM96" s="373"/>
      <c r="CN96" s="374"/>
      <c r="CO96" s="375"/>
      <c r="CP96" s="375"/>
      <c r="CR96" s="373"/>
      <c r="CS96" s="374"/>
      <c r="CT96" s="375"/>
      <c r="CU96" s="375"/>
      <c r="CW96" s="373"/>
      <c r="CX96" s="374"/>
      <c r="CY96" s="375"/>
      <c r="CZ96" s="375"/>
      <c r="DB96" s="373"/>
      <c r="DC96" s="374"/>
      <c r="DD96" s="375"/>
      <c r="DE96" s="375"/>
      <c r="DG96" s="373"/>
      <c r="DH96" s="374"/>
      <c r="DI96" s="375"/>
      <c r="DJ96" s="375"/>
      <c r="DL96" s="373"/>
      <c r="DM96" s="374"/>
      <c r="DN96" s="375"/>
      <c r="DO96" s="375"/>
      <c r="DQ96" s="373"/>
      <c r="DR96" s="374"/>
      <c r="DS96" s="375"/>
      <c r="DT96" s="375"/>
      <c r="DV96" s="373"/>
      <c r="DW96" s="374"/>
      <c r="DX96" s="375"/>
      <c r="DY96" s="375"/>
      <c r="EA96" s="373"/>
      <c r="EB96" s="374"/>
      <c r="EC96" s="375"/>
      <c r="ED96" s="375"/>
      <c r="EF96" s="373"/>
      <c r="EG96" s="374"/>
      <c r="EH96" s="375"/>
      <c r="EI96" s="375"/>
      <c r="EK96" s="373"/>
      <c r="EL96" s="374"/>
      <c r="EM96" s="375"/>
      <c r="EN96" s="375"/>
      <c r="EP96" s="373"/>
      <c r="EQ96" s="374"/>
      <c r="ER96" s="375"/>
      <c r="ES96" s="375"/>
      <c r="EU96" s="373"/>
      <c r="EV96" s="374"/>
      <c r="EW96" s="375"/>
      <c r="EX96" s="375"/>
      <c r="EZ96" s="373"/>
      <c r="FA96" s="374"/>
      <c r="FB96" s="375"/>
      <c r="FC96" s="375"/>
      <c r="FE96" s="373"/>
      <c r="FF96" s="374"/>
      <c r="FG96" s="375"/>
      <c r="FH96" s="375"/>
      <c r="FJ96" s="373"/>
      <c r="FK96" s="374"/>
      <c r="FL96" s="375"/>
      <c r="FM96" s="375"/>
      <c r="FO96" s="373"/>
      <c r="FP96" s="374"/>
      <c r="FQ96" s="375"/>
      <c r="FR96" s="375"/>
      <c r="FT96" s="373"/>
      <c r="FU96" s="374"/>
      <c r="FV96" s="375"/>
      <c r="FW96" s="375"/>
      <c r="FY96" s="373"/>
      <c r="FZ96" s="374"/>
      <c r="GA96" s="375"/>
      <c r="GB96" s="375"/>
      <c r="GD96" s="373"/>
      <c r="GE96" s="374"/>
      <c r="GF96" s="375"/>
      <c r="GG96" s="375"/>
      <c r="GI96" s="373"/>
      <c r="GJ96" s="374"/>
      <c r="GK96" s="375"/>
      <c r="GL96" s="375"/>
      <c r="GN96" s="373"/>
      <c r="GO96" s="374"/>
      <c r="GP96" s="375"/>
      <c r="GQ96" s="375"/>
      <c r="GS96" s="373"/>
      <c r="GT96" s="374"/>
      <c r="GU96" s="375"/>
      <c r="GV96" s="375"/>
      <c r="GX96" s="373"/>
      <c r="GY96" s="374"/>
      <c r="GZ96" s="375"/>
      <c r="HA96" s="375"/>
      <c r="HC96" s="373"/>
      <c r="HD96" s="374"/>
      <c r="HE96" s="375"/>
      <c r="HF96" s="375"/>
      <c r="HH96" s="373"/>
      <c r="HI96" s="374"/>
      <c r="HJ96" s="375"/>
      <c r="HK96" s="375"/>
      <c r="HM96" s="373"/>
      <c r="HN96" s="374"/>
      <c r="HO96" s="375"/>
      <c r="HP96" s="375"/>
      <c r="HR96" s="373"/>
      <c r="HS96" s="374"/>
      <c r="HT96" s="375"/>
      <c r="HU96" s="375"/>
      <c r="HW96" s="373"/>
      <c r="HX96" s="374"/>
      <c r="HY96" s="375"/>
      <c r="HZ96" s="375"/>
      <c r="IB96" s="373"/>
      <c r="IC96" s="374"/>
      <c r="ID96" s="375"/>
      <c r="IE96" s="375"/>
      <c r="IG96" s="373"/>
      <c r="IH96" s="374"/>
      <c r="II96" s="375"/>
      <c r="IJ96" s="375"/>
      <c r="IL96" s="373"/>
      <c r="IM96" s="374"/>
      <c r="IN96" s="375"/>
      <c r="IO96" s="375"/>
      <c r="IQ96" s="373"/>
      <c r="IR96" s="374"/>
      <c r="IS96" s="375"/>
      <c r="IT96" s="375"/>
      <c r="IV96" s="373"/>
    </row>
    <row r="97" spans="1:256" s="376" customFormat="1" x14ac:dyDescent="0.2">
      <c r="A97" s="373"/>
      <c r="B97" s="374"/>
      <c r="C97" s="375"/>
      <c r="D97" s="375"/>
      <c r="F97" s="373"/>
      <c r="G97" s="374"/>
      <c r="H97" s="375"/>
      <c r="I97" s="375"/>
      <c r="K97" s="373">
        <v>95</v>
      </c>
      <c r="L97" s="374" t="s">
        <v>423</v>
      </c>
      <c r="M97" s="375">
        <v>15.789473684210526</v>
      </c>
      <c r="N97" s="375">
        <v>0.13157894736842105</v>
      </c>
      <c r="P97" s="373"/>
      <c r="Q97" s="374"/>
      <c r="R97" s="375"/>
      <c r="S97" s="375"/>
      <c r="U97" s="373"/>
      <c r="V97" s="374"/>
      <c r="W97" s="375"/>
      <c r="X97" s="375"/>
      <c r="Z97" s="373"/>
      <c r="AA97" s="374"/>
      <c r="AB97" s="375"/>
      <c r="AC97" s="375"/>
      <c r="AE97" s="373"/>
      <c r="AF97" s="374"/>
      <c r="AG97" s="375"/>
      <c r="AH97" s="375"/>
      <c r="AJ97" s="373"/>
      <c r="AK97" s="374"/>
      <c r="AL97" s="375"/>
      <c r="AM97" s="375"/>
      <c r="AO97" s="373"/>
      <c r="AP97" s="374"/>
      <c r="AQ97" s="375"/>
      <c r="AR97" s="375"/>
      <c r="AT97" s="373"/>
      <c r="AU97" s="374"/>
      <c r="AV97" s="375"/>
      <c r="AW97" s="375"/>
      <c r="AY97" s="373"/>
      <c r="AZ97" s="374"/>
      <c r="BA97" s="375"/>
      <c r="BB97" s="375"/>
      <c r="BD97" s="373"/>
      <c r="BE97" s="374"/>
      <c r="BF97" s="375"/>
      <c r="BG97" s="375"/>
      <c r="BI97" s="373"/>
      <c r="BJ97" s="374"/>
      <c r="BK97" s="375"/>
      <c r="BL97" s="375"/>
      <c r="BN97" s="373"/>
      <c r="BO97" s="374"/>
      <c r="BP97" s="375"/>
      <c r="BQ97" s="375"/>
      <c r="BS97" s="373"/>
      <c r="BT97" s="374"/>
      <c r="BU97" s="375"/>
      <c r="BV97" s="375"/>
      <c r="BX97" s="373"/>
      <c r="BY97" s="374"/>
      <c r="BZ97" s="375"/>
      <c r="CA97" s="375"/>
      <c r="CC97" s="373"/>
      <c r="CD97" s="374"/>
      <c r="CE97" s="375"/>
      <c r="CF97" s="375"/>
      <c r="CH97" s="373"/>
      <c r="CI97" s="374"/>
      <c r="CJ97" s="375"/>
      <c r="CK97" s="375"/>
      <c r="CM97" s="373"/>
      <c r="CN97" s="374"/>
      <c r="CO97" s="375"/>
      <c r="CP97" s="375"/>
      <c r="CR97" s="373"/>
      <c r="CS97" s="374"/>
      <c r="CT97" s="375"/>
      <c r="CU97" s="375"/>
      <c r="CW97" s="373"/>
      <c r="CX97" s="374"/>
      <c r="CY97" s="375"/>
      <c r="CZ97" s="375"/>
      <c r="DB97" s="373"/>
      <c r="DC97" s="374"/>
      <c r="DD97" s="375"/>
      <c r="DE97" s="375"/>
      <c r="DG97" s="373"/>
      <c r="DH97" s="374"/>
      <c r="DI97" s="375"/>
      <c r="DJ97" s="375"/>
      <c r="DL97" s="373"/>
      <c r="DM97" s="374"/>
      <c r="DN97" s="375"/>
      <c r="DO97" s="375"/>
      <c r="DQ97" s="373"/>
      <c r="DR97" s="374"/>
      <c r="DS97" s="375"/>
      <c r="DT97" s="375"/>
      <c r="DV97" s="373"/>
      <c r="DW97" s="374"/>
      <c r="DX97" s="375"/>
      <c r="DY97" s="375"/>
      <c r="EA97" s="373"/>
      <c r="EB97" s="374"/>
      <c r="EC97" s="375"/>
      <c r="ED97" s="375"/>
      <c r="EF97" s="373"/>
      <c r="EG97" s="374"/>
      <c r="EH97" s="375"/>
      <c r="EI97" s="375"/>
      <c r="EK97" s="373"/>
      <c r="EL97" s="374"/>
      <c r="EM97" s="375"/>
      <c r="EN97" s="375"/>
      <c r="EP97" s="373"/>
      <c r="EQ97" s="374"/>
      <c r="ER97" s="375"/>
      <c r="ES97" s="375"/>
      <c r="EU97" s="373"/>
      <c r="EV97" s="374"/>
      <c r="EW97" s="375"/>
      <c r="EX97" s="375"/>
      <c r="EZ97" s="373"/>
      <c r="FA97" s="374"/>
      <c r="FB97" s="375"/>
      <c r="FC97" s="375"/>
      <c r="FE97" s="373"/>
      <c r="FF97" s="374"/>
      <c r="FG97" s="375"/>
      <c r="FH97" s="375"/>
      <c r="FJ97" s="373"/>
      <c r="FK97" s="374"/>
      <c r="FL97" s="375"/>
      <c r="FM97" s="375"/>
      <c r="FO97" s="373"/>
      <c r="FP97" s="374"/>
      <c r="FQ97" s="375"/>
      <c r="FR97" s="375"/>
      <c r="FT97" s="373"/>
      <c r="FU97" s="374"/>
      <c r="FV97" s="375"/>
      <c r="FW97" s="375"/>
      <c r="FY97" s="373"/>
      <c r="FZ97" s="374"/>
      <c r="GA97" s="375"/>
      <c r="GB97" s="375"/>
      <c r="GD97" s="373"/>
      <c r="GE97" s="374"/>
      <c r="GF97" s="375"/>
      <c r="GG97" s="375"/>
      <c r="GI97" s="373"/>
      <c r="GJ97" s="374"/>
      <c r="GK97" s="375"/>
      <c r="GL97" s="375"/>
      <c r="GN97" s="373"/>
      <c r="GO97" s="374"/>
      <c r="GP97" s="375"/>
      <c r="GQ97" s="375"/>
      <c r="GS97" s="373"/>
      <c r="GT97" s="374"/>
      <c r="GU97" s="375"/>
      <c r="GV97" s="375"/>
      <c r="GX97" s="373"/>
      <c r="GY97" s="374"/>
      <c r="GZ97" s="375"/>
      <c r="HA97" s="375"/>
      <c r="HC97" s="373"/>
      <c r="HD97" s="374"/>
      <c r="HE97" s="375"/>
      <c r="HF97" s="375"/>
      <c r="HH97" s="373"/>
      <c r="HI97" s="374"/>
      <c r="HJ97" s="375"/>
      <c r="HK97" s="375"/>
      <c r="HM97" s="373"/>
      <c r="HN97" s="374"/>
      <c r="HO97" s="375"/>
      <c r="HP97" s="375"/>
      <c r="HR97" s="373"/>
      <c r="HS97" s="374"/>
      <c r="HT97" s="375"/>
      <c r="HU97" s="375"/>
      <c r="HW97" s="373"/>
      <c r="HX97" s="374"/>
      <c r="HY97" s="375"/>
      <c r="HZ97" s="375"/>
      <c r="IB97" s="373"/>
      <c r="IC97" s="374"/>
      <c r="ID97" s="375"/>
      <c r="IE97" s="375"/>
      <c r="IG97" s="373"/>
      <c r="IH97" s="374"/>
      <c r="II97" s="375"/>
      <c r="IJ97" s="375"/>
      <c r="IL97" s="373"/>
      <c r="IM97" s="374"/>
      <c r="IN97" s="375"/>
      <c r="IO97" s="375"/>
      <c r="IQ97" s="373"/>
      <c r="IR97" s="374"/>
      <c r="IS97" s="375"/>
      <c r="IT97" s="375"/>
      <c r="IV97" s="373"/>
    </row>
    <row r="98" spans="1:256" s="376" customFormat="1" x14ac:dyDescent="0.2">
      <c r="A98" s="373"/>
      <c r="B98" s="374"/>
      <c r="C98" s="375"/>
      <c r="D98" s="375"/>
      <c r="F98" s="373"/>
      <c r="G98" s="374"/>
      <c r="H98" s="375"/>
      <c r="I98" s="375"/>
      <c r="K98" s="373">
        <v>96</v>
      </c>
      <c r="L98" s="374" t="s">
        <v>2571</v>
      </c>
      <c r="M98" s="375">
        <v>10.526315789473685</v>
      </c>
      <c r="N98" s="375">
        <v>0.13157894736842105</v>
      </c>
      <c r="P98" s="373"/>
      <c r="Q98" s="374"/>
      <c r="R98" s="375"/>
      <c r="S98" s="375"/>
      <c r="U98" s="373"/>
      <c r="V98" s="374"/>
      <c r="W98" s="375"/>
      <c r="X98" s="375"/>
      <c r="Z98" s="373"/>
      <c r="AA98" s="374"/>
      <c r="AB98" s="375"/>
      <c r="AC98" s="375"/>
      <c r="AE98" s="373"/>
      <c r="AF98" s="374"/>
      <c r="AG98" s="375"/>
      <c r="AH98" s="375"/>
      <c r="AJ98" s="373"/>
      <c r="AK98" s="374"/>
      <c r="AL98" s="375"/>
      <c r="AM98" s="375"/>
      <c r="AO98" s="373"/>
      <c r="AP98" s="374"/>
      <c r="AQ98" s="375"/>
      <c r="AR98" s="375"/>
      <c r="AT98" s="373"/>
      <c r="AU98" s="374"/>
      <c r="AV98" s="375"/>
      <c r="AW98" s="375"/>
      <c r="AY98" s="373"/>
      <c r="AZ98" s="374"/>
      <c r="BA98" s="375"/>
      <c r="BB98" s="375"/>
      <c r="BD98" s="373"/>
      <c r="BE98" s="374"/>
      <c r="BF98" s="375"/>
      <c r="BG98" s="375"/>
      <c r="BI98" s="373"/>
      <c r="BJ98" s="374"/>
      <c r="BK98" s="375"/>
      <c r="BL98" s="375"/>
      <c r="BN98" s="373"/>
      <c r="BO98" s="374"/>
      <c r="BP98" s="375"/>
      <c r="BQ98" s="375"/>
      <c r="BS98" s="373"/>
      <c r="BT98" s="374"/>
      <c r="BU98" s="375"/>
      <c r="BV98" s="375"/>
      <c r="BX98" s="373"/>
      <c r="BY98" s="374"/>
      <c r="BZ98" s="375"/>
      <c r="CA98" s="375"/>
      <c r="CC98" s="373"/>
      <c r="CD98" s="374"/>
      <c r="CE98" s="375"/>
      <c r="CF98" s="375"/>
      <c r="CH98" s="373"/>
      <c r="CI98" s="374"/>
      <c r="CJ98" s="375"/>
      <c r="CK98" s="375"/>
      <c r="CM98" s="373"/>
      <c r="CN98" s="374"/>
      <c r="CO98" s="375"/>
      <c r="CP98" s="375"/>
      <c r="CR98" s="373"/>
      <c r="CS98" s="374"/>
      <c r="CT98" s="375"/>
      <c r="CU98" s="375"/>
      <c r="CW98" s="373"/>
      <c r="CX98" s="374"/>
      <c r="CY98" s="375"/>
      <c r="CZ98" s="375"/>
      <c r="DB98" s="373"/>
      <c r="DC98" s="374"/>
      <c r="DD98" s="375"/>
      <c r="DE98" s="375"/>
      <c r="DG98" s="373"/>
      <c r="DH98" s="374"/>
      <c r="DI98" s="375"/>
      <c r="DJ98" s="375"/>
      <c r="DL98" s="373"/>
      <c r="DM98" s="374"/>
      <c r="DN98" s="375"/>
      <c r="DO98" s="375"/>
      <c r="DQ98" s="373"/>
      <c r="DR98" s="374"/>
      <c r="DS98" s="375"/>
      <c r="DT98" s="375"/>
      <c r="DV98" s="373"/>
      <c r="DW98" s="374"/>
      <c r="DX98" s="375"/>
      <c r="DY98" s="375"/>
      <c r="EA98" s="373"/>
      <c r="EB98" s="374"/>
      <c r="EC98" s="375"/>
      <c r="ED98" s="375"/>
      <c r="EF98" s="373"/>
      <c r="EG98" s="374"/>
      <c r="EH98" s="375"/>
      <c r="EI98" s="375"/>
      <c r="EK98" s="373"/>
      <c r="EL98" s="374"/>
      <c r="EM98" s="375"/>
      <c r="EN98" s="375"/>
      <c r="EP98" s="373"/>
      <c r="EQ98" s="374"/>
      <c r="ER98" s="375"/>
      <c r="ES98" s="375"/>
      <c r="EU98" s="373"/>
      <c r="EV98" s="374"/>
      <c r="EW98" s="375"/>
      <c r="EX98" s="375"/>
      <c r="EZ98" s="373"/>
      <c r="FA98" s="374"/>
      <c r="FB98" s="375"/>
      <c r="FC98" s="375"/>
      <c r="FE98" s="373"/>
      <c r="FF98" s="374"/>
      <c r="FG98" s="375"/>
      <c r="FH98" s="375"/>
      <c r="FJ98" s="373"/>
      <c r="FK98" s="374"/>
      <c r="FL98" s="375"/>
      <c r="FM98" s="375"/>
      <c r="FO98" s="373"/>
      <c r="FP98" s="374"/>
      <c r="FQ98" s="375"/>
      <c r="FR98" s="375"/>
      <c r="FT98" s="373"/>
      <c r="FU98" s="374"/>
      <c r="FV98" s="375"/>
      <c r="FW98" s="375"/>
      <c r="FY98" s="373"/>
      <c r="FZ98" s="374"/>
      <c r="GA98" s="375"/>
      <c r="GB98" s="375"/>
      <c r="GD98" s="373"/>
      <c r="GE98" s="374"/>
      <c r="GF98" s="375"/>
      <c r="GG98" s="375"/>
      <c r="GI98" s="373"/>
      <c r="GJ98" s="374"/>
      <c r="GK98" s="375"/>
      <c r="GL98" s="375"/>
      <c r="GN98" s="373"/>
      <c r="GO98" s="374"/>
      <c r="GP98" s="375"/>
      <c r="GQ98" s="375"/>
      <c r="GS98" s="373"/>
      <c r="GT98" s="374"/>
      <c r="GU98" s="375"/>
      <c r="GV98" s="375"/>
      <c r="GX98" s="373"/>
      <c r="GY98" s="374"/>
      <c r="GZ98" s="375"/>
      <c r="HA98" s="375"/>
      <c r="HC98" s="373"/>
      <c r="HD98" s="374"/>
      <c r="HE98" s="375"/>
      <c r="HF98" s="375"/>
      <c r="HH98" s="373"/>
      <c r="HI98" s="374"/>
      <c r="HJ98" s="375"/>
      <c r="HK98" s="375"/>
      <c r="HM98" s="373"/>
      <c r="HN98" s="374"/>
      <c r="HO98" s="375"/>
      <c r="HP98" s="375"/>
      <c r="HR98" s="373"/>
      <c r="HS98" s="374"/>
      <c r="HT98" s="375"/>
      <c r="HU98" s="375"/>
      <c r="HW98" s="373"/>
      <c r="HX98" s="374"/>
      <c r="HY98" s="375"/>
      <c r="HZ98" s="375"/>
      <c r="IB98" s="373"/>
      <c r="IC98" s="374"/>
      <c r="ID98" s="375"/>
      <c r="IE98" s="375"/>
      <c r="IG98" s="373"/>
      <c r="IH98" s="374"/>
      <c r="II98" s="375"/>
      <c r="IJ98" s="375"/>
      <c r="IL98" s="373"/>
      <c r="IM98" s="374"/>
      <c r="IN98" s="375"/>
      <c r="IO98" s="375"/>
      <c r="IQ98" s="373"/>
      <c r="IR98" s="374"/>
      <c r="IS98" s="375"/>
      <c r="IT98" s="375"/>
      <c r="IV98" s="373"/>
    </row>
    <row r="99" spans="1:256" s="376" customFormat="1" x14ac:dyDescent="0.2">
      <c r="A99" s="373"/>
      <c r="B99" s="374"/>
      <c r="C99" s="375"/>
      <c r="D99" s="375"/>
      <c r="F99" s="373"/>
      <c r="G99" s="374"/>
      <c r="H99" s="375"/>
      <c r="I99" s="375"/>
      <c r="K99" s="373">
        <v>97</v>
      </c>
      <c r="L99" s="374" t="s">
        <v>411</v>
      </c>
      <c r="M99" s="375">
        <v>10.526315789473685</v>
      </c>
      <c r="N99" s="375">
        <v>0.13157894736842105</v>
      </c>
      <c r="P99" s="373"/>
      <c r="Q99" s="374"/>
      <c r="R99" s="375"/>
      <c r="S99" s="375"/>
      <c r="U99" s="373"/>
      <c r="V99" s="374"/>
      <c r="W99" s="375"/>
      <c r="X99" s="375"/>
      <c r="Z99" s="373"/>
      <c r="AA99" s="374"/>
      <c r="AB99" s="375"/>
      <c r="AC99" s="375"/>
      <c r="AE99" s="373"/>
      <c r="AF99" s="374"/>
      <c r="AG99" s="375"/>
      <c r="AH99" s="375"/>
      <c r="AJ99" s="373"/>
      <c r="AK99" s="374"/>
      <c r="AL99" s="375"/>
      <c r="AM99" s="375"/>
      <c r="AO99" s="373"/>
      <c r="AP99" s="374"/>
      <c r="AQ99" s="375"/>
      <c r="AR99" s="375"/>
      <c r="AT99" s="373"/>
      <c r="AU99" s="374"/>
      <c r="AV99" s="375"/>
      <c r="AW99" s="375"/>
      <c r="AY99" s="373"/>
      <c r="AZ99" s="374"/>
      <c r="BA99" s="375"/>
      <c r="BB99" s="375"/>
      <c r="BD99" s="373"/>
      <c r="BE99" s="374"/>
      <c r="BF99" s="375"/>
      <c r="BG99" s="375"/>
      <c r="BI99" s="373"/>
      <c r="BJ99" s="374"/>
      <c r="BK99" s="375"/>
      <c r="BL99" s="375"/>
      <c r="BN99" s="373"/>
      <c r="BO99" s="374"/>
      <c r="BP99" s="375"/>
      <c r="BQ99" s="375"/>
      <c r="BS99" s="373"/>
      <c r="BT99" s="374"/>
      <c r="BU99" s="375"/>
      <c r="BV99" s="375"/>
      <c r="BX99" s="373"/>
      <c r="BY99" s="374"/>
      <c r="BZ99" s="375"/>
      <c r="CA99" s="375"/>
      <c r="CC99" s="373"/>
      <c r="CD99" s="374"/>
      <c r="CE99" s="375"/>
      <c r="CF99" s="375"/>
      <c r="CH99" s="373"/>
      <c r="CI99" s="374"/>
      <c r="CJ99" s="375"/>
      <c r="CK99" s="375"/>
      <c r="CM99" s="373"/>
      <c r="CN99" s="374"/>
      <c r="CO99" s="375"/>
      <c r="CP99" s="375"/>
      <c r="CR99" s="373"/>
      <c r="CS99" s="374"/>
      <c r="CT99" s="375"/>
      <c r="CU99" s="375"/>
      <c r="CW99" s="373"/>
      <c r="CX99" s="374"/>
      <c r="CY99" s="375"/>
      <c r="CZ99" s="375"/>
      <c r="DB99" s="373"/>
      <c r="DC99" s="374"/>
      <c r="DD99" s="375"/>
      <c r="DE99" s="375"/>
      <c r="DG99" s="373"/>
      <c r="DH99" s="374"/>
      <c r="DI99" s="375"/>
      <c r="DJ99" s="375"/>
      <c r="DL99" s="373"/>
      <c r="DM99" s="374"/>
      <c r="DN99" s="375"/>
      <c r="DO99" s="375"/>
      <c r="DQ99" s="373"/>
      <c r="DR99" s="374"/>
      <c r="DS99" s="375"/>
      <c r="DT99" s="375"/>
      <c r="DV99" s="373"/>
      <c r="DW99" s="374"/>
      <c r="DX99" s="375"/>
      <c r="DY99" s="375"/>
      <c r="EA99" s="373"/>
      <c r="EB99" s="374"/>
      <c r="EC99" s="375"/>
      <c r="ED99" s="375"/>
      <c r="EF99" s="373"/>
      <c r="EG99" s="374"/>
      <c r="EH99" s="375"/>
      <c r="EI99" s="375"/>
      <c r="EK99" s="373"/>
      <c r="EL99" s="374"/>
      <c r="EM99" s="375"/>
      <c r="EN99" s="375"/>
      <c r="EP99" s="373"/>
      <c r="EQ99" s="374"/>
      <c r="ER99" s="375"/>
      <c r="ES99" s="375"/>
      <c r="EU99" s="373"/>
      <c r="EV99" s="374"/>
      <c r="EW99" s="375"/>
      <c r="EX99" s="375"/>
      <c r="EZ99" s="373"/>
      <c r="FA99" s="374"/>
      <c r="FB99" s="375"/>
      <c r="FC99" s="375"/>
      <c r="FE99" s="373"/>
      <c r="FF99" s="374"/>
      <c r="FG99" s="375"/>
      <c r="FH99" s="375"/>
      <c r="FJ99" s="373"/>
      <c r="FK99" s="374"/>
      <c r="FL99" s="375"/>
      <c r="FM99" s="375"/>
      <c r="FO99" s="373"/>
      <c r="FP99" s="374"/>
      <c r="FQ99" s="375"/>
      <c r="FR99" s="375"/>
      <c r="FT99" s="373"/>
      <c r="FU99" s="374"/>
      <c r="FV99" s="375"/>
      <c r="FW99" s="375"/>
      <c r="FY99" s="373"/>
      <c r="FZ99" s="374"/>
      <c r="GA99" s="375"/>
      <c r="GB99" s="375"/>
      <c r="GD99" s="373"/>
      <c r="GE99" s="374"/>
      <c r="GF99" s="375"/>
      <c r="GG99" s="375"/>
      <c r="GI99" s="373"/>
      <c r="GJ99" s="374"/>
      <c r="GK99" s="375"/>
      <c r="GL99" s="375"/>
      <c r="GN99" s="373"/>
      <c r="GO99" s="374"/>
      <c r="GP99" s="375"/>
      <c r="GQ99" s="375"/>
      <c r="GS99" s="373"/>
      <c r="GT99" s="374"/>
      <c r="GU99" s="375"/>
      <c r="GV99" s="375"/>
      <c r="GX99" s="373"/>
      <c r="GY99" s="374"/>
      <c r="GZ99" s="375"/>
      <c r="HA99" s="375"/>
      <c r="HC99" s="373"/>
      <c r="HD99" s="374"/>
      <c r="HE99" s="375"/>
      <c r="HF99" s="375"/>
      <c r="HH99" s="373"/>
      <c r="HI99" s="374"/>
      <c r="HJ99" s="375"/>
      <c r="HK99" s="375"/>
      <c r="HM99" s="373"/>
      <c r="HN99" s="374"/>
      <c r="HO99" s="375"/>
      <c r="HP99" s="375"/>
      <c r="HR99" s="373"/>
      <c r="HS99" s="374"/>
      <c r="HT99" s="375"/>
      <c r="HU99" s="375"/>
      <c r="HW99" s="373"/>
      <c r="HX99" s="374"/>
      <c r="HY99" s="375"/>
      <c r="HZ99" s="375"/>
      <c r="IB99" s="373"/>
      <c r="IC99" s="374"/>
      <c r="ID99" s="375"/>
      <c r="IE99" s="375"/>
      <c r="IG99" s="373"/>
      <c r="IH99" s="374"/>
      <c r="II99" s="375"/>
      <c r="IJ99" s="375"/>
      <c r="IL99" s="373"/>
      <c r="IM99" s="374"/>
      <c r="IN99" s="375"/>
      <c r="IO99" s="375"/>
      <c r="IQ99" s="373"/>
      <c r="IR99" s="374"/>
      <c r="IS99" s="375"/>
      <c r="IT99" s="375"/>
      <c r="IV99" s="373"/>
    </row>
    <row r="100" spans="1:256" s="376" customFormat="1" x14ac:dyDescent="0.2">
      <c r="A100" s="373"/>
      <c r="B100" s="374"/>
      <c r="C100" s="375"/>
      <c r="D100" s="375"/>
      <c r="F100" s="373"/>
      <c r="G100" s="374"/>
      <c r="H100" s="375"/>
      <c r="I100" s="375"/>
      <c r="K100" s="373">
        <v>98</v>
      </c>
      <c r="L100" s="374" t="s">
        <v>2610</v>
      </c>
      <c r="M100" s="375">
        <v>10.526315789473685</v>
      </c>
      <c r="N100" s="375">
        <v>0.13157894736842105</v>
      </c>
      <c r="P100" s="373"/>
      <c r="Q100" s="374"/>
      <c r="R100" s="375"/>
      <c r="S100" s="375"/>
      <c r="U100" s="373"/>
      <c r="V100" s="374"/>
      <c r="W100" s="375"/>
      <c r="X100" s="375"/>
      <c r="Z100" s="373"/>
      <c r="AA100" s="374"/>
      <c r="AB100" s="375"/>
      <c r="AC100" s="375"/>
      <c r="AE100" s="373"/>
      <c r="AF100" s="374"/>
      <c r="AG100" s="375"/>
      <c r="AH100" s="375"/>
      <c r="AJ100" s="373"/>
      <c r="AK100" s="374"/>
      <c r="AL100" s="375"/>
      <c r="AM100" s="375"/>
      <c r="AO100" s="373"/>
      <c r="AP100" s="374"/>
      <c r="AQ100" s="375"/>
      <c r="AR100" s="375"/>
      <c r="AT100" s="373"/>
      <c r="AU100" s="374"/>
      <c r="AV100" s="375"/>
      <c r="AW100" s="375"/>
      <c r="AY100" s="373"/>
      <c r="AZ100" s="374"/>
      <c r="BA100" s="375"/>
      <c r="BB100" s="375"/>
      <c r="BD100" s="373"/>
      <c r="BE100" s="374"/>
      <c r="BF100" s="375"/>
      <c r="BG100" s="375"/>
      <c r="BI100" s="373"/>
      <c r="BJ100" s="374"/>
      <c r="BK100" s="375"/>
      <c r="BL100" s="375"/>
      <c r="BN100" s="373"/>
      <c r="BO100" s="374"/>
      <c r="BP100" s="375"/>
      <c r="BQ100" s="375"/>
      <c r="BS100" s="373"/>
      <c r="BT100" s="374"/>
      <c r="BU100" s="375"/>
      <c r="BV100" s="375"/>
      <c r="BX100" s="373"/>
      <c r="BY100" s="374"/>
      <c r="BZ100" s="375"/>
      <c r="CA100" s="375"/>
      <c r="CC100" s="373"/>
      <c r="CD100" s="374"/>
      <c r="CE100" s="375"/>
      <c r="CF100" s="375"/>
      <c r="CH100" s="373"/>
      <c r="CI100" s="374"/>
      <c r="CJ100" s="375"/>
      <c r="CK100" s="375"/>
      <c r="CM100" s="373"/>
      <c r="CN100" s="374"/>
      <c r="CO100" s="375"/>
      <c r="CP100" s="375"/>
      <c r="CR100" s="373"/>
      <c r="CS100" s="374"/>
      <c r="CT100" s="375"/>
      <c r="CU100" s="375"/>
      <c r="CW100" s="373"/>
      <c r="CX100" s="374"/>
      <c r="CY100" s="375"/>
      <c r="CZ100" s="375"/>
      <c r="DB100" s="373"/>
      <c r="DC100" s="374"/>
      <c r="DD100" s="375"/>
      <c r="DE100" s="375"/>
      <c r="DG100" s="373"/>
      <c r="DH100" s="374"/>
      <c r="DI100" s="375"/>
      <c r="DJ100" s="375"/>
      <c r="DL100" s="373"/>
      <c r="DM100" s="374"/>
      <c r="DN100" s="375"/>
      <c r="DO100" s="375"/>
      <c r="DQ100" s="373"/>
      <c r="DR100" s="374"/>
      <c r="DS100" s="375"/>
      <c r="DT100" s="375"/>
      <c r="DV100" s="373"/>
      <c r="DW100" s="374"/>
      <c r="DX100" s="375"/>
      <c r="DY100" s="375"/>
      <c r="EA100" s="373"/>
      <c r="EB100" s="374"/>
      <c r="EC100" s="375"/>
      <c r="ED100" s="375"/>
      <c r="EF100" s="373"/>
      <c r="EG100" s="374"/>
      <c r="EH100" s="375"/>
      <c r="EI100" s="375"/>
      <c r="EK100" s="373"/>
      <c r="EL100" s="374"/>
      <c r="EM100" s="375"/>
      <c r="EN100" s="375"/>
      <c r="EP100" s="373"/>
      <c r="EQ100" s="374"/>
      <c r="ER100" s="375"/>
      <c r="ES100" s="375"/>
      <c r="EU100" s="373"/>
      <c r="EV100" s="374"/>
      <c r="EW100" s="375"/>
      <c r="EX100" s="375"/>
      <c r="EZ100" s="373"/>
      <c r="FA100" s="374"/>
      <c r="FB100" s="375"/>
      <c r="FC100" s="375"/>
      <c r="FE100" s="373"/>
      <c r="FF100" s="374"/>
      <c r="FG100" s="375"/>
      <c r="FH100" s="375"/>
      <c r="FJ100" s="373"/>
      <c r="FK100" s="374"/>
      <c r="FL100" s="375"/>
      <c r="FM100" s="375"/>
      <c r="FO100" s="373"/>
      <c r="FP100" s="374"/>
      <c r="FQ100" s="375"/>
      <c r="FR100" s="375"/>
      <c r="FT100" s="373"/>
      <c r="FU100" s="374"/>
      <c r="FV100" s="375"/>
      <c r="FW100" s="375"/>
      <c r="FY100" s="373"/>
      <c r="FZ100" s="374"/>
      <c r="GA100" s="375"/>
      <c r="GB100" s="375"/>
      <c r="GD100" s="373"/>
      <c r="GE100" s="374"/>
      <c r="GF100" s="375"/>
      <c r="GG100" s="375"/>
      <c r="GI100" s="373"/>
      <c r="GJ100" s="374"/>
      <c r="GK100" s="375"/>
      <c r="GL100" s="375"/>
      <c r="GN100" s="373"/>
      <c r="GO100" s="374"/>
      <c r="GP100" s="375"/>
      <c r="GQ100" s="375"/>
      <c r="GS100" s="373"/>
      <c r="GT100" s="374"/>
      <c r="GU100" s="375"/>
      <c r="GV100" s="375"/>
      <c r="GX100" s="373"/>
      <c r="GY100" s="374"/>
      <c r="GZ100" s="375"/>
      <c r="HA100" s="375"/>
      <c r="HC100" s="373"/>
      <c r="HD100" s="374"/>
      <c r="HE100" s="375"/>
      <c r="HF100" s="375"/>
      <c r="HH100" s="373"/>
      <c r="HI100" s="374"/>
      <c r="HJ100" s="375"/>
      <c r="HK100" s="375"/>
      <c r="HM100" s="373"/>
      <c r="HN100" s="374"/>
      <c r="HO100" s="375"/>
      <c r="HP100" s="375"/>
      <c r="HR100" s="373"/>
      <c r="HS100" s="374"/>
      <c r="HT100" s="375"/>
      <c r="HU100" s="375"/>
      <c r="HW100" s="373"/>
      <c r="HX100" s="374"/>
      <c r="HY100" s="375"/>
      <c r="HZ100" s="375"/>
      <c r="IB100" s="373"/>
      <c r="IC100" s="374"/>
      <c r="ID100" s="375"/>
      <c r="IE100" s="375"/>
      <c r="IG100" s="373"/>
      <c r="IH100" s="374"/>
      <c r="II100" s="375"/>
      <c r="IJ100" s="375"/>
      <c r="IL100" s="373"/>
      <c r="IM100" s="374"/>
      <c r="IN100" s="375"/>
      <c r="IO100" s="375"/>
      <c r="IQ100" s="373"/>
      <c r="IR100" s="374"/>
      <c r="IS100" s="375"/>
      <c r="IT100" s="375"/>
      <c r="IV100" s="373"/>
    </row>
    <row r="101" spans="1:256" s="376" customFormat="1" x14ac:dyDescent="0.2">
      <c r="A101" s="373"/>
      <c r="B101" s="374"/>
      <c r="C101" s="375"/>
      <c r="D101" s="375"/>
      <c r="F101" s="373"/>
      <c r="G101" s="374"/>
      <c r="H101" s="375"/>
      <c r="I101" s="375"/>
      <c r="K101" s="373">
        <v>99</v>
      </c>
      <c r="L101" s="374" t="s">
        <v>454</v>
      </c>
      <c r="M101" s="375">
        <v>21.05263157894737</v>
      </c>
      <c r="N101" s="375">
        <v>0.13157894736842105</v>
      </c>
      <c r="P101" s="373"/>
      <c r="Q101" s="374"/>
      <c r="R101" s="375"/>
      <c r="S101" s="375"/>
      <c r="U101" s="373"/>
      <c r="V101" s="374"/>
      <c r="W101" s="375"/>
      <c r="X101" s="375"/>
      <c r="Z101" s="373"/>
      <c r="AA101" s="374"/>
      <c r="AB101" s="375"/>
      <c r="AC101" s="375"/>
      <c r="AE101" s="373"/>
      <c r="AF101" s="374"/>
      <c r="AG101" s="375"/>
      <c r="AH101" s="375"/>
      <c r="AJ101" s="373"/>
      <c r="AK101" s="374"/>
      <c r="AL101" s="375"/>
      <c r="AM101" s="375"/>
      <c r="AO101" s="373"/>
      <c r="AP101" s="374"/>
      <c r="AQ101" s="375"/>
      <c r="AR101" s="375"/>
      <c r="AT101" s="373"/>
      <c r="AU101" s="374"/>
      <c r="AV101" s="375"/>
      <c r="AW101" s="375"/>
      <c r="AY101" s="373"/>
      <c r="AZ101" s="374"/>
      <c r="BA101" s="375"/>
      <c r="BB101" s="375"/>
      <c r="BD101" s="373"/>
      <c r="BE101" s="374"/>
      <c r="BF101" s="375"/>
      <c r="BG101" s="375"/>
      <c r="BI101" s="373"/>
      <c r="BJ101" s="374"/>
      <c r="BK101" s="375"/>
      <c r="BL101" s="375"/>
      <c r="BN101" s="373"/>
      <c r="BO101" s="374"/>
      <c r="BP101" s="375"/>
      <c r="BQ101" s="375"/>
      <c r="BS101" s="373"/>
      <c r="BT101" s="374"/>
      <c r="BU101" s="375"/>
      <c r="BV101" s="375"/>
      <c r="BX101" s="373"/>
      <c r="BY101" s="374"/>
      <c r="BZ101" s="375"/>
      <c r="CA101" s="375"/>
      <c r="CC101" s="373"/>
      <c r="CD101" s="374"/>
      <c r="CE101" s="375"/>
      <c r="CF101" s="375"/>
      <c r="CH101" s="373"/>
      <c r="CI101" s="374"/>
      <c r="CJ101" s="375"/>
      <c r="CK101" s="375"/>
      <c r="CM101" s="373"/>
      <c r="CN101" s="374"/>
      <c r="CO101" s="375"/>
      <c r="CP101" s="375"/>
      <c r="CR101" s="373"/>
      <c r="CS101" s="374"/>
      <c r="CT101" s="375"/>
      <c r="CU101" s="375"/>
      <c r="CW101" s="373"/>
      <c r="CX101" s="374"/>
      <c r="CY101" s="375"/>
      <c r="CZ101" s="375"/>
      <c r="DB101" s="373"/>
      <c r="DC101" s="374"/>
      <c r="DD101" s="375"/>
      <c r="DE101" s="375"/>
      <c r="DG101" s="373"/>
      <c r="DH101" s="374"/>
      <c r="DI101" s="375"/>
      <c r="DJ101" s="375"/>
      <c r="DL101" s="373"/>
      <c r="DM101" s="374"/>
      <c r="DN101" s="375"/>
      <c r="DO101" s="375"/>
      <c r="DQ101" s="373"/>
      <c r="DR101" s="374"/>
      <c r="DS101" s="375"/>
      <c r="DT101" s="375"/>
      <c r="DV101" s="373"/>
      <c r="DW101" s="374"/>
      <c r="DX101" s="375"/>
      <c r="DY101" s="375"/>
      <c r="EA101" s="373"/>
      <c r="EB101" s="374"/>
      <c r="EC101" s="375"/>
      <c r="ED101" s="375"/>
      <c r="EF101" s="373"/>
      <c r="EG101" s="374"/>
      <c r="EH101" s="375"/>
      <c r="EI101" s="375"/>
      <c r="EK101" s="373"/>
      <c r="EL101" s="374"/>
      <c r="EM101" s="375"/>
      <c r="EN101" s="375"/>
      <c r="EP101" s="373"/>
      <c r="EQ101" s="374"/>
      <c r="ER101" s="375"/>
      <c r="ES101" s="375"/>
      <c r="EU101" s="373"/>
      <c r="EV101" s="374"/>
      <c r="EW101" s="375"/>
      <c r="EX101" s="375"/>
      <c r="EZ101" s="373"/>
      <c r="FA101" s="374"/>
      <c r="FB101" s="375"/>
      <c r="FC101" s="375"/>
      <c r="FE101" s="373"/>
      <c r="FF101" s="374"/>
      <c r="FG101" s="375"/>
      <c r="FH101" s="375"/>
      <c r="FJ101" s="373"/>
      <c r="FK101" s="374"/>
      <c r="FL101" s="375"/>
      <c r="FM101" s="375"/>
      <c r="FO101" s="373"/>
      <c r="FP101" s="374"/>
      <c r="FQ101" s="375"/>
      <c r="FR101" s="375"/>
      <c r="FT101" s="373"/>
      <c r="FU101" s="374"/>
      <c r="FV101" s="375"/>
      <c r="FW101" s="375"/>
      <c r="FY101" s="373"/>
      <c r="FZ101" s="374"/>
      <c r="GA101" s="375"/>
      <c r="GB101" s="375"/>
      <c r="GD101" s="373"/>
      <c r="GE101" s="374"/>
      <c r="GF101" s="375"/>
      <c r="GG101" s="375"/>
      <c r="GI101" s="373"/>
      <c r="GJ101" s="374"/>
      <c r="GK101" s="375"/>
      <c r="GL101" s="375"/>
      <c r="GN101" s="373"/>
      <c r="GO101" s="374"/>
      <c r="GP101" s="375"/>
      <c r="GQ101" s="375"/>
      <c r="GS101" s="373"/>
      <c r="GT101" s="374"/>
      <c r="GU101" s="375"/>
      <c r="GV101" s="375"/>
      <c r="GX101" s="373"/>
      <c r="GY101" s="374"/>
      <c r="GZ101" s="375"/>
      <c r="HA101" s="375"/>
      <c r="HC101" s="373"/>
      <c r="HD101" s="374"/>
      <c r="HE101" s="375"/>
      <c r="HF101" s="375"/>
      <c r="HH101" s="373"/>
      <c r="HI101" s="374"/>
      <c r="HJ101" s="375"/>
      <c r="HK101" s="375"/>
      <c r="HM101" s="373"/>
      <c r="HN101" s="374"/>
      <c r="HO101" s="375"/>
      <c r="HP101" s="375"/>
      <c r="HR101" s="373"/>
      <c r="HS101" s="374"/>
      <c r="HT101" s="375"/>
      <c r="HU101" s="375"/>
      <c r="HW101" s="373"/>
      <c r="HX101" s="374"/>
      <c r="HY101" s="375"/>
      <c r="HZ101" s="375"/>
      <c r="IB101" s="373"/>
      <c r="IC101" s="374"/>
      <c r="ID101" s="375"/>
      <c r="IE101" s="375"/>
      <c r="IG101" s="373"/>
      <c r="IH101" s="374"/>
      <c r="II101" s="375"/>
      <c r="IJ101" s="375"/>
      <c r="IL101" s="373"/>
      <c r="IM101" s="374"/>
      <c r="IN101" s="375"/>
      <c r="IO101" s="375"/>
      <c r="IQ101" s="373"/>
      <c r="IR101" s="374"/>
      <c r="IS101" s="375"/>
      <c r="IT101" s="375"/>
      <c r="IV101" s="373"/>
    </row>
    <row r="102" spans="1:256" s="376" customFormat="1" x14ac:dyDescent="0.2">
      <c r="A102" s="373"/>
      <c r="B102" s="374"/>
      <c r="C102" s="375"/>
      <c r="D102" s="375"/>
      <c r="F102" s="373"/>
      <c r="G102" s="374"/>
      <c r="H102" s="375"/>
      <c r="I102" s="375"/>
      <c r="K102" s="373">
        <v>100</v>
      </c>
      <c r="L102" s="374" t="s">
        <v>2625</v>
      </c>
      <c r="M102" s="375">
        <v>15.789473684210526</v>
      </c>
      <c r="N102" s="375">
        <v>0.13157894736842105</v>
      </c>
      <c r="P102" s="373"/>
      <c r="Q102" s="374"/>
      <c r="R102" s="375"/>
      <c r="S102" s="375"/>
      <c r="U102" s="373"/>
      <c r="V102" s="374"/>
      <c r="W102" s="375"/>
      <c r="X102" s="375"/>
      <c r="Z102" s="373"/>
      <c r="AA102" s="374"/>
      <c r="AB102" s="375"/>
      <c r="AC102" s="375"/>
      <c r="AE102" s="373"/>
      <c r="AF102" s="374"/>
      <c r="AG102" s="375"/>
      <c r="AH102" s="375"/>
      <c r="AJ102" s="373"/>
      <c r="AK102" s="374"/>
      <c r="AL102" s="375"/>
      <c r="AM102" s="375"/>
      <c r="AO102" s="373"/>
      <c r="AP102" s="374"/>
      <c r="AQ102" s="375"/>
      <c r="AR102" s="375"/>
      <c r="AT102" s="373"/>
      <c r="AU102" s="374"/>
      <c r="AV102" s="375"/>
      <c r="AW102" s="375"/>
      <c r="AY102" s="373"/>
      <c r="AZ102" s="374"/>
      <c r="BA102" s="375"/>
      <c r="BB102" s="375"/>
      <c r="BD102" s="373"/>
      <c r="BE102" s="374"/>
      <c r="BF102" s="375"/>
      <c r="BG102" s="375"/>
      <c r="BI102" s="373"/>
      <c r="BJ102" s="374"/>
      <c r="BK102" s="375"/>
      <c r="BL102" s="375"/>
      <c r="BN102" s="373"/>
      <c r="BO102" s="374"/>
      <c r="BP102" s="375"/>
      <c r="BQ102" s="375"/>
      <c r="BS102" s="373"/>
      <c r="BT102" s="374"/>
      <c r="BU102" s="375"/>
      <c r="BV102" s="375"/>
      <c r="BX102" s="373"/>
      <c r="BY102" s="374"/>
      <c r="BZ102" s="375"/>
      <c r="CA102" s="375"/>
      <c r="CC102" s="373"/>
      <c r="CD102" s="374"/>
      <c r="CE102" s="375"/>
      <c r="CF102" s="375"/>
      <c r="CH102" s="373"/>
      <c r="CI102" s="374"/>
      <c r="CJ102" s="375"/>
      <c r="CK102" s="375"/>
      <c r="CM102" s="373"/>
      <c r="CN102" s="374"/>
      <c r="CO102" s="375"/>
      <c r="CP102" s="375"/>
      <c r="CR102" s="373"/>
      <c r="CS102" s="374"/>
      <c r="CT102" s="375"/>
      <c r="CU102" s="375"/>
      <c r="CW102" s="373"/>
      <c r="CX102" s="374"/>
      <c r="CY102" s="375"/>
      <c r="CZ102" s="375"/>
      <c r="DB102" s="373"/>
      <c r="DC102" s="374"/>
      <c r="DD102" s="375"/>
      <c r="DE102" s="375"/>
      <c r="DG102" s="373"/>
      <c r="DH102" s="374"/>
      <c r="DI102" s="375"/>
      <c r="DJ102" s="375"/>
      <c r="DL102" s="373"/>
      <c r="DM102" s="374"/>
      <c r="DN102" s="375"/>
      <c r="DO102" s="375"/>
      <c r="DQ102" s="373"/>
      <c r="DR102" s="374"/>
      <c r="DS102" s="375"/>
      <c r="DT102" s="375"/>
      <c r="DV102" s="373"/>
      <c r="DW102" s="374"/>
      <c r="DX102" s="375"/>
      <c r="DY102" s="375"/>
      <c r="EA102" s="373"/>
      <c r="EB102" s="374"/>
      <c r="EC102" s="375"/>
      <c r="ED102" s="375"/>
      <c r="EF102" s="373"/>
      <c r="EG102" s="374"/>
      <c r="EH102" s="375"/>
      <c r="EI102" s="375"/>
      <c r="EK102" s="373"/>
      <c r="EL102" s="374"/>
      <c r="EM102" s="375"/>
      <c r="EN102" s="375"/>
      <c r="EP102" s="373"/>
      <c r="EQ102" s="374"/>
      <c r="ER102" s="375"/>
      <c r="ES102" s="375"/>
      <c r="EU102" s="373"/>
      <c r="EV102" s="374"/>
      <c r="EW102" s="375"/>
      <c r="EX102" s="375"/>
      <c r="EZ102" s="373"/>
      <c r="FA102" s="374"/>
      <c r="FB102" s="375"/>
      <c r="FC102" s="375"/>
      <c r="FE102" s="373"/>
      <c r="FF102" s="374"/>
      <c r="FG102" s="375"/>
      <c r="FH102" s="375"/>
      <c r="FJ102" s="373"/>
      <c r="FK102" s="374"/>
      <c r="FL102" s="375"/>
      <c r="FM102" s="375"/>
      <c r="FO102" s="373"/>
      <c r="FP102" s="374"/>
      <c r="FQ102" s="375"/>
      <c r="FR102" s="375"/>
      <c r="FT102" s="373"/>
      <c r="FU102" s="374"/>
      <c r="FV102" s="375"/>
      <c r="FW102" s="375"/>
      <c r="FY102" s="373"/>
      <c r="FZ102" s="374"/>
      <c r="GA102" s="375"/>
      <c r="GB102" s="375"/>
      <c r="GD102" s="373"/>
      <c r="GE102" s="374"/>
      <c r="GF102" s="375"/>
      <c r="GG102" s="375"/>
      <c r="GI102" s="373"/>
      <c r="GJ102" s="374"/>
      <c r="GK102" s="375"/>
      <c r="GL102" s="375"/>
      <c r="GN102" s="373"/>
      <c r="GO102" s="374"/>
      <c r="GP102" s="375"/>
      <c r="GQ102" s="375"/>
      <c r="GS102" s="373"/>
      <c r="GT102" s="374"/>
      <c r="GU102" s="375"/>
      <c r="GV102" s="375"/>
      <c r="GX102" s="373"/>
      <c r="GY102" s="374"/>
      <c r="GZ102" s="375"/>
      <c r="HA102" s="375"/>
      <c r="HC102" s="373"/>
      <c r="HD102" s="374"/>
      <c r="HE102" s="375"/>
      <c r="HF102" s="375"/>
      <c r="HH102" s="373"/>
      <c r="HI102" s="374"/>
      <c r="HJ102" s="375"/>
      <c r="HK102" s="375"/>
      <c r="HM102" s="373"/>
      <c r="HN102" s="374"/>
      <c r="HO102" s="375"/>
      <c r="HP102" s="375"/>
      <c r="HR102" s="373"/>
      <c r="HS102" s="374"/>
      <c r="HT102" s="375"/>
      <c r="HU102" s="375"/>
      <c r="HW102" s="373"/>
      <c r="HX102" s="374"/>
      <c r="HY102" s="375"/>
      <c r="HZ102" s="375"/>
      <c r="IB102" s="373"/>
      <c r="IC102" s="374"/>
      <c r="ID102" s="375"/>
      <c r="IE102" s="375"/>
      <c r="IG102" s="373"/>
      <c r="IH102" s="374"/>
      <c r="II102" s="375"/>
      <c r="IJ102" s="375"/>
      <c r="IL102" s="373"/>
      <c r="IM102" s="374"/>
      <c r="IN102" s="375"/>
      <c r="IO102" s="375"/>
      <c r="IQ102" s="373"/>
      <c r="IR102" s="374"/>
      <c r="IS102" s="375"/>
      <c r="IT102" s="375"/>
      <c r="IV102" s="373"/>
    </row>
    <row r="103" spans="1:256" s="376" customFormat="1" x14ac:dyDescent="0.2">
      <c r="A103" s="373"/>
      <c r="B103" s="374"/>
      <c r="C103" s="375"/>
      <c r="D103" s="375"/>
      <c r="F103" s="373"/>
      <c r="G103" s="374"/>
      <c r="H103" s="375"/>
      <c r="I103" s="375"/>
      <c r="K103" s="382">
        <v>101</v>
      </c>
      <c r="L103" s="383" t="s">
        <v>2611</v>
      </c>
      <c r="M103" s="384">
        <v>5.2631578947368425</v>
      </c>
      <c r="N103" s="384">
        <v>0.10526315789473684</v>
      </c>
      <c r="P103" s="373"/>
      <c r="Q103" s="374"/>
      <c r="R103" s="375"/>
      <c r="S103" s="375"/>
      <c r="U103" s="373"/>
      <c r="V103" s="374"/>
      <c r="W103" s="375"/>
      <c r="X103" s="375"/>
      <c r="Z103" s="373"/>
      <c r="AA103" s="374"/>
      <c r="AB103" s="375"/>
      <c r="AC103" s="375"/>
      <c r="AE103" s="373"/>
      <c r="AF103" s="374"/>
      <c r="AG103" s="375"/>
      <c r="AH103" s="375"/>
      <c r="AJ103" s="373"/>
      <c r="AK103" s="374"/>
      <c r="AL103" s="375"/>
      <c r="AM103" s="375"/>
      <c r="AO103" s="373"/>
      <c r="AP103" s="374"/>
      <c r="AQ103" s="375"/>
      <c r="AR103" s="375"/>
      <c r="AT103" s="373"/>
      <c r="AU103" s="374"/>
      <c r="AV103" s="375"/>
      <c r="AW103" s="375"/>
      <c r="AY103" s="373"/>
      <c r="AZ103" s="374"/>
      <c r="BA103" s="375"/>
      <c r="BB103" s="375"/>
      <c r="BD103" s="373"/>
      <c r="BE103" s="374"/>
      <c r="BF103" s="375"/>
      <c r="BG103" s="375"/>
      <c r="BI103" s="373"/>
      <c r="BJ103" s="374"/>
      <c r="BK103" s="375"/>
      <c r="BL103" s="375"/>
      <c r="BN103" s="373"/>
      <c r="BO103" s="374"/>
      <c r="BP103" s="375"/>
      <c r="BQ103" s="375"/>
      <c r="BS103" s="373"/>
      <c r="BT103" s="374"/>
      <c r="BU103" s="375"/>
      <c r="BV103" s="375"/>
      <c r="BX103" s="373"/>
      <c r="BY103" s="374"/>
      <c r="BZ103" s="375"/>
      <c r="CA103" s="375"/>
      <c r="CC103" s="373"/>
      <c r="CD103" s="374"/>
      <c r="CE103" s="375"/>
      <c r="CF103" s="375"/>
      <c r="CH103" s="373"/>
      <c r="CI103" s="374"/>
      <c r="CJ103" s="375"/>
      <c r="CK103" s="375"/>
      <c r="CM103" s="373"/>
      <c r="CN103" s="374"/>
      <c r="CO103" s="375"/>
      <c r="CP103" s="375"/>
      <c r="CR103" s="373"/>
      <c r="CS103" s="374"/>
      <c r="CT103" s="375"/>
      <c r="CU103" s="375"/>
      <c r="CW103" s="373"/>
      <c r="CX103" s="374"/>
      <c r="CY103" s="375"/>
      <c r="CZ103" s="375"/>
      <c r="DB103" s="373"/>
      <c r="DC103" s="374"/>
      <c r="DD103" s="375"/>
      <c r="DE103" s="375"/>
      <c r="DG103" s="373"/>
      <c r="DH103" s="374"/>
      <c r="DI103" s="375"/>
      <c r="DJ103" s="375"/>
      <c r="DL103" s="373"/>
      <c r="DM103" s="374"/>
      <c r="DN103" s="375"/>
      <c r="DO103" s="375"/>
      <c r="DQ103" s="373"/>
      <c r="DR103" s="374"/>
      <c r="DS103" s="375"/>
      <c r="DT103" s="375"/>
      <c r="DV103" s="373"/>
      <c r="DW103" s="374"/>
      <c r="DX103" s="375"/>
      <c r="DY103" s="375"/>
      <c r="EA103" s="373"/>
      <c r="EB103" s="374"/>
      <c r="EC103" s="375"/>
      <c r="ED103" s="375"/>
      <c r="EF103" s="373"/>
      <c r="EG103" s="374"/>
      <c r="EH103" s="375"/>
      <c r="EI103" s="375"/>
      <c r="EK103" s="373"/>
      <c r="EL103" s="374"/>
      <c r="EM103" s="375"/>
      <c r="EN103" s="375"/>
      <c r="EP103" s="373"/>
      <c r="EQ103" s="374"/>
      <c r="ER103" s="375"/>
      <c r="ES103" s="375"/>
      <c r="EU103" s="373"/>
      <c r="EV103" s="374"/>
      <c r="EW103" s="375"/>
      <c r="EX103" s="375"/>
      <c r="EZ103" s="373"/>
      <c r="FA103" s="374"/>
      <c r="FB103" s="375"/>
      <c r="FC103" s="375"/>
      <c r="FE103" s="373"/>
      <c r="FF103" s="374"/>
      <c r="FG103" s="375"/>
      <c r="FH103" s="375"/>
      <c r="FJ103" s="373"/>
      <c r="FK103" s="374"/>
      <c r="FL103" s="375"/>
      <c r="FM103" s="375"/>
      <c r="FO103" s="373"/>
      <c r="FP103" s="374"/>
      <c r="FQ103" s="375"/>
      <c r="FR103" s="375"/>
      <c r="FT103" s="373"/>
      <c r="FU103" s="374"/>
      <c r="FV103" s="375"/>
      <c r="FW103" s="375"/>
      <c r="FY103" s="373"/>
      <c r="FZ103" s="374"/>
      <c r="GA103" s="375"/>
      <c r="GB103" s="375"/>
      <c r="GD103" s="373"/>
      <c r="GE103" s="374"/>
      <c r="GF103" s="375"/>
      <c r="GG103" s="375"/>
      <c r="GI103" s="373"/>
      <c r="GJ103" s="374"/>
      <c r="GK103" s="375"/>
      <c r="GL103" s="375"/>
      <c r="GN103" s="373"/>
      <c r="GO103" s="374"/>
      <c r="GP103" s="375"/>
      <c r="GQ103" s="375"/>
      <c r="GS103" s="373"/>
      <c r="GT103" s="374"/>
      <c r="GU103" s="375"/>
      <c r="GV103" s="375"/>
      <c r="GX103" s="373"/>
      <c r="GY103" s="374"/>
      <c r="GZ103" s="375"/>
      <c r="HA103" s="375"/>
      <c r="HC103" s="373"/>
      <c r="HD103" s="374"/>
      <c r="HE103" s="375"/>
      <c r="HF103" s="375"/>
      <c r="HH103" s="373"/>
      <c r="HI103" s="374"/>
      <c r="HJ103" s="375"/>
      <c r="HK103" s="375"/>
      <c r="HM103" s="373"/>
      <c r="HN103" s="374"/>
      <c r="HO103" s="375"/>
      <c r="HP103" s="375"/>
      <c r="HR103" s="373"/>
      <c r="HS103" s="374"/>
      <c r="HT103" s="375"/>
      <c r="HU103" s="375"/>
      <c r="HW103" s="373"/>
      <c r="HX103" s="374"/>
      <c r="HY103" s="375"/>
      <c r="HZ103" s="375"/>
      <c r="IB103" s="373"/>
      <c r="IC103" s="374"/>
      <c r="ID103" s="375"/>
      <c r="IE103" s="375"/>
      <c r="IG103" s="373"/>
      <c r="IH103" s="374"/>
      <c r="II103" s="375"/>
      <c r="IJ103" s="375"/>
      <c r="IL103" s="373"/>
      <c r="IM103" s="374"/>
      <c r="IN103" s="375"/>
      <c r="IO103" s="375"/>
      <c r="IQ103" s="373"/>
      <c r="IR103" s="374"/>
      <c r="IS103" s="375"/>
      <c r="IT103" s="375"/>
      <c r="IV103" s="373"/>
    </row>
    <row r="104" spans="1:256" s="376" customFormat="1" x14ac:dyDescent="0.2">
      <c r="A104" s="373"/>
      <c r="B104" s="374"/>
      <c r="C104" s="375"/>
      <c r="D104" s="375"/>
      <c r="F104" s="373"/>
      <c r="G104" s="374"/>
      <c r="H104" s="375"/>
      <c r="I104" s="375"/>
      <c r="K104" s="373">
        <v>102</v>
      </c>
      <c r="L104" s="374" t="s">
        <v>367</v>
      </c>
      <c r="M104" s="375">
        <v>5.2631578947368425</v>
      </c>
      <c r="N104" s="375">
        <v>0.10526315789473684</v>
      </c>
      <c r="P104" s="373"/>
      <c r="Q104" s="374"/>
      <c r="R104" s="375"/>
      <c r="S104" s="375"/>
      <c r="U104" s="373"/>
      <c r="V104" s="374"/>
      <c r="W104" s="375"/>
      <c r="X104" s="375"/>
      <c r="Z104" s="373"/>
      <c r="AA104" s="374"/>
      <c r="AB104" s="375"/>
      <c r="AC104" s="375"/>
      <c r="AE104" s="373"/>
      <c r="AF104" s="374"/>
      <c r="AG104" s="375"/>
      <c r="AH104" s="375"/>
      <c r="AJ104" s="373"/>
      <c r="AK104" s="374"/>
      <c r="AL104" s="375"/>
      <c r="AM104" s="375"/>
      <c r="AO104" s="373"/>
      <c r="AP104" s="374"/>
      <c r="AQ104" s="375"/>
      <c r="AR104" s="375"/>
      <c r="AT104" s="373"/>
      <c r="AU104" s="374"/>
      <c r="AV104" s="375"/>
      <c r="AW104" s="375"/>
      <c r="AY104" s="373"/>
      <c r="AZ104" s="374"/>
      <c r="BA104" s="375"/>
      <c r="BB104" s="375"/>
      <c r="BD104" s="373"/>
      <c r="BE104" s="374"/>
      <c r="BF104" s="375"/>
      <c r="BG104" s="375"/>
      <c r="BI104" s="373"/>
      <c r="BJ104" s="374"/>
      <c r="BK104" s="375"/>
      <c r="BL104" s="375"/>
      <c r="BN104" s="373"/>
      <c r="BO104" s="374"/>
      <c r="BP104" s="375"/>
      <c r="BQ104" s="375"/>
      <c r="BS104" s="373"/>
      <c r="BT104" s="374"/>
      <c r="BU104" s="375"/>
      <c r="BV104" s="375"/>
      <c r="BX104" s="373"/>
      <c r="BY104" s="374"/>
      <c r="BZ104" s="375"/>
      <c r="CA104" s="375"/>
      <c r="CC104" s="373"/>
      <c r="CD104" s="374"/>
      <c r="CE104" s="375"/>
      <c r="CF104" s="375"/>
      <c r="CH104" s="373"/>
      <c r="CI104" s="374"/>
      <c r="CJ104" s="375"/>
      <c r="CK104" s="375"/>
      <c r="CM104" s="373"/>
      <c r="CN104" s="374"/>
      <c r="CO104" s="375"/>
      <c r="CP104" s="375"/>
      <c r="CR104" s="373"/>
      <c r="CS104" s="374"/>
      <c r="CT104" s="375"/>
      <c r="CU104" s="375"/>
      <c r="CW104" s="373"/>
      <c r="CX104" s="374"/>
      <c r="CY104" s="375"/>
      <c r="CZ104" s="375"/>
      <c r="DB104" s="373"/>
      <c r="DC104" s="374"/>
      <c r="DD104" s="375"/>
      <c r="DE104" s="375"/>
      <c r="DG104" s="373"/>
      <c r="DH104" s="374"/>
      <c r="DI104" s="375"/>
      <c r="DJ104" s="375"/>
      <c r="DL104" s="373"/>
      <c r="DM104" s="374"/>
      <c r="DN104" s="375"/>
      <c r="DO104" s="375"/>
      <c r="DQ104" s="373"/>
      <c r="DR104" s="374"/>
      <c r="DS104" s="375"/>
      <c r="DT104" s="375"/>
      <c r="DV104" s="373"/>
      <c r="DW104" s="374"/>
      <c r="DX104" s="375"/>
      <c r="DY104" s="375"/>
      <c r="EA104" s="373"/>
      <c r="EB104" s="374"/>
      <c r="EC104" s="375"/>
      <c r="ED104" s="375"/>
      <c r="EF104" s="373"/>
      <c r="EG104" s="374"/>
      <c r="EH104" s="375"/>
      <c r="EI104" s="375"/>
      <c r="EK104" s="373"/>
      <c r="EL104" s="374"/>
      <c r="EM104" s="375"/>
      <c r="EN104" s="375"/>
      <c r="EP104" s="373"/>
      <c r="EQ104" s="374"/>
      <c r="ER104" s="375"/>
      <c r="ES104" s="375"/>
      <c r="EU104" s="373"/>
      <c r="EV104" s="374"/>
      <c r="EW104" s="375"/>
      <c r="EX104" s="375"/>
      <c r="EZ104" s="373"/>
      <c r="FA104" s="374"/>
      <c r="FB104" s="375"/>
      <c r="FC104" s="375"/>
      <c r="FE104" s="373"/>
      <c r="FF104" s="374"/>
      <c r="FG104" s="375"/>
      <c r="FH104" s="375"/>
      <c r="FJ104" s="373"/>
      <c r="FK104" s="374"/>
      <c r="FL104" s="375"/>
      <c r="FM104" s="375"/>
      <c r="FO104" s="373"/>
      <c r="FP104" s="374"/>
      <c r="FQ104" s="375"/>
      <c r="FR104" s="375"/>
      <c r="FT104" s="373"/>
      <c r="FU104" s="374"/>
      <c r="FV104" s="375"/>
      <c r="FW104" s="375"/>
      <c r="FY104" s="373"/>
      <c r="FZ104" s="374"/>
      <c r="GA104" s="375"/>
      <c r="GB104" s="375"/>
      <c r="GD104" s="373"/>
      <c r="GE104" s="374"/>
      <c r="GF104" s="375"/>
      <c r="GG104" s="375"/>
      <c r="GI104" s="373"/>
      <c r="GJ104" s="374"/>
      <c r="GK104" s="375"/>
      <c r="GL104" s="375"/>
      <c r="GN104" s="373"/>
      <c r="GO104" s="374"/>
      <c r="GP104" s="375"/>
      <c r="GQ104" s="375"/>
      <c r="GS104" s="373"/>
      <c r="GT104" s="374"/>
      <c r="GU104" s="375"/>
      <c r="GV104" s="375"/>
      <c r="GX104" s="373"/>
      <c r="GY104" s="374"/>
      <c r="GZ104" s="375"/>
      <c r="HA104" s="375"/>
      <c r="HC104" s="373"/>
      <c r="HD104" s="374"/>
      <c r="HE104" s="375"/>
      <c r="HF104" s="375"/>
      <c r="HH104" s="373"/>
      <c r="HI104" s="374"/>
      <c r="HJ104" s="375"/>
      <c r="HK104" s="375"/>
      <c r="HM104" s="373"/>
      <c r="HN104" s="374"/>
      <c r="HO104" s="375"/>
      <c r="HP104" s="375"/>
      <c r="HR104" s="373"/>
      <c r="HS104" s="374"/>
      <c r="HT104" s="375"/>
      <c r="HU104" s="375"/>
      <c r="HW104" s="373"/>
      <c r="HX104" s="374"/>
      <c r="HY104" s="375"/>
      <c r="HZ104" s="375"/>
      <c r="IB104" s="373"/>
      <c r="IC104" s="374"/>
      <c r="ID104" s="375"/>
      <c r="IE104" s="375"/>
      <c r="IG104" s="373"/>
      <c r="IH104" s="374"/>
      <c r="II104" s="375"/>
      <c r="IJ104" s="375"/>
      <c r="IL104" s="373"/>
      <c r="IM104" s="374"/>
      <c r="IN104" s="375"/>
      <c r="IO104" s="375"/>
      <c r="IQ104" s="373"/>
      <c r="IR104" s="374"/>
      <c r="IS104" s="375"/>
      <c r="IT104" s="375"/>
      <c r="IV104" s="373"/>
    </row>
    <row r="105" spans="1:256" s="376" customFormat="1" x14ac:dyDescent="0.2">
      <c r="A105" s="373"/>
      <c r="B105" s="374"/>
      <c r="C105" s="375"/>
      <c r="D105" s="375"/>
      <c r="F105" s="373"/>
      <c r="G105" s="374"/>
      <c r="H105" s="375"/>
      <c r="I105" s="375"/>
      <c r="K105" s="373">
        <v>103</v>
      </c>
      <c r="L105" s="374" t="s">
        <v>387</v>
      </c>
      <c r="M105" s="375">
        <v>15.789473684210526</v>
      </c>
      <c r="N105" s="375">
        <v>0.10526315789473684</v>
      </c>
      <c r="P105" s="373"/>
      <c r="Q105" s="374"/>
      <c r="R105" s="375"/>
      <c r="S105" s="375"/>
      <c r="U105" s="373"/>
      <c r="V105" s="374"/>
      <c r="W105" s="375"/>
      <c r="X105" s="375"/>
      <c r="Z105" s="373"/>
      <c r="AA105" s="374"/>
      <c r="AB105" s="375"/>
      <c r="AC105" s="375"/>
      <c r="AE105" s="373"/>
      <c r="AF105" s="374"/>
      <c r="AG105" s="375"/>
      <c r="AH105" s="375"/>
      <c r="AJ105" s="373"/>
      <c r="AK105" s="374"/>
      <c r="AL105" s="375"/>
      <c r="AM105" s="375"/>
      <c r="AO105" s="373"/>
      <c r="AP105" s="374"/>
      <c r="AQ105" s="375"/>
      <c r="AR105" s="375"/>
      <c r="AT105" s="373"/>
      <c r="AU105" s="374"/>
      <c r="AV105" s="375"/>
      <c r="AW105" s="375"/>
      <c r="AY105" s="373"/>
      <c r="AZ105" s="374"/>
      <c r="BA105" s="375"/>
      <c r="BB105" s="375"/>
      <c r="BD105" s="373"/>
      <c r="BE105" s="374"/>
      <c r="BF105" s="375"/>
      <c r="BG105" s="375"/>
      <c r="BI105" s="373"/>
      <c r="BJ105" s="374"/>
      <c r="BK105" s="375"/>
      <c r="BL105" s="375"/>
      <c r="BN105" s="373"/>
      <c r="BO105" s="374"/>
      <c r="BP105" s="375"/>
      <c r="BQ105" s="375"/>
      <c r="BS105" s="373"/>
      <c r="BT105" s="374"/>
      <c r="BU105" s="375"/>
      <c r="BV105" s="375"/>
      <c r="BX105" s="373"/>
      <c r="BY105" s="374"/>
      <c r="BZ105" s="375"/>
      <c r="CA105" s="375"/>
      <c r="CC105" s="373"/>
      <c r="CD105" s="374"/>
      <c r="CE105" s="375"/>
      <c r="CF105" s="375"/>
      <c r="CH105" s="373"/>
      <c r="CI105" s="374"/>
      <c r="CJ105" s="375"/>
      <c r="CK105" s="375"/>
      <c r="CM105" s="373"/>
      <c r="CN105" s="374"/>
      <c r="CO105" s="375"/>
      <c r="CP105" s="375"/>
      <c r="CR105" s="373"/>
      <c r="CS105" s="374"/>
      <c r="CT105" s="375"/>
      <c r="CU105" s="375"/>
      <c r="CW105" s="373"/>
      <c r="CX105" s="374"/>
      <c r="CY105" s="375"/>
      <c r="CZ105" s="375"/>
      <c r="DB105" s="373"/>
      <c r="DC105" s="374"/>
      <c r="DD105" s="375"/>
      <c r="DE105" s="375"/>
      <c r="DG105" s="373"/>
      <c r="DH105" s="374"/>
      <c r="DI105" s="375"/>
      <c r="DJ105" s="375"/>
      <c r="DL105" s="373"/>
      <c r="DM105" s="374"/>
      <c r="DN105" s="375"/>
      <c r="DO105" s="375"/>
      <c r="DQ105" s="373"/>
      <c r="DR105" s="374"/>
      <c r="DS105" s="375"/>
      <c r="DT105" s="375"/>
      <c r="DV105" s="373"/>
      <c r="DW105" s="374"/>
      <c r="DX105" s="375"/>
      <c r="DY105" s="375"/>
      <c r="EA105" s="373"/>
      <c r="EB105" s="374"/>
      <c r="EC105" s="375"/>
      <c r="ED105" s="375"/>
      <c r="EF105" s="373"/>
      <c r="EG105" s="374"/>
      <c r="EH105" s="375"/>
      <c r="EI105" s="375"/>
      <c r="EK105" s="373"/>
      <c r="EL105" s="374"/>
      <c r="EM105" s="375"/>
      <c r="EN105" s="375"/>
      <c r="EP105" s="373"/>
      <c r="EQ105" s="374"/>
      <c r="ER105" s="375"/>
      <c r="ES105" s="375"/>
      <c r="EU105" s="373"/>
      <c r="EV105" s="374"/>
      <c r="EW105" s="375"/>
      <c r="EX105" s="375"/>
      <c r="EZ105" s="373"/>
      <c r="FA105" s="374"/>
      <c r="FB105" s="375"/>
      <c r="FC105" s="375"/>
      <c r="FE105" s="373"/>
      <c r="FF105" s="374"/>
      <c r="FG105" s="375"/>
      <c r="FH105" s="375"/>
      <c r="FJ105" s="373"/>
      <c r="FK105" s="374"/>
      <c r="FL105" s="375"/>
      <c r="FM105" s="375"/>
      <c r="FO105" s="373"/>
      <c r="FP105" s="374"/>
      <c r="FQ105" s="375"/>
      <c r="FR105" s="375"/>
      <c r="FT105" s="373"/>
      <c r="FU105" s="374"/>
      <c r="FV105" s="375"/>
      <c r="FW105" s="375"/>
      <c r="FY105" s="373"/>
      <c r="FZ105" s="374"/>
      <c r="GA105" s="375"/>
      <c r="GB105" s="375"/>
      <c r="GD105" s="373"/>
      <c r="GE105" s="374"/>
      <c r="GF105" s="375"/>
      <c r="GG105" s="375"/>
      <c r="GI105" s="373"/>
      <c r="GJ105" s="374"/>
      <c r="GK105" s="375"/>
      <c r="GL105" s="375"/>
      <c r="GN105" s="373"/>
      <c r="GO105" s="374"/>
      <c r="GP105" s="375"/>
      <c r="GQ105" s="375"/>
      <c r="GS105" s="373"/>
      <c r="GT105" s="374"/>
      <c r="GU105" s="375"/>
      <c r="GV105" s="375"/>
      <c r="GX105" s="373"/>
      <c r="GY105" s="374"/>
      <c r="GZ105" s="375"/>
      <c r="HA105" s="375"/>
      <c r="HC105" s="373"/>
      <c r="HD105" s="374"/>
      <c r="HE105" s="375"/>
      <c r="HF105" s="375"/>
      <c r="HH105" s="373"/>
      <c r="HI105" s="374"/>
      <c r="HJ105" s="375"/>
      <c r="HK105" s="375"/>
      <c r="HM105" s="373"/>
      <c r="HN105" s="374"/>
      <c r="HO105" s="375"/>
      <c r="HP105" s="375"/>
      <c r="HR105" s="373"/>
      <c r="HS105" s="374"/>
      <c r="HT105" s="375"/>
      <c r="HU105" s="375"/>
      <c r="HW105" s="373"/>
      <c r="HX105" s="374"/>
      <c r="HY105" s="375"/>
      <c r="HZ105" s="375"/>
      <c r="IB105" s="373"/>
      <c r="IC105" s="374"/>
      <c r="ID105" s="375"/>
      <c r="IE105" s="375"/>
      <c r="IG105" s="373"/>
      <c r="IH105" s="374"/>
      <c r="II105" s="375"/>
      <c r="IJ105" s="375"/>
      <c r="IL105" s="373"/>
      <c r="IM105" s="374"/>
      <c r="IN105" s="375"/>
      <c r="IO105" s="375"/>
      <c r="IQ105" s="373"/>
      <c r="IR105" s="374"/>
      <c r="IS105" s="375"/>
      <c r="IT105" s="375"/>
      <c r="IV105" s="373"/>
    </row>
    <row r="106" spans="1:256" s="376" customFormat="1" x14ac:dyDescent="0.2">
      <c r="A106" s="373"/>
      <c r="B106" s="374"/>
      <c r="C106" s="375"/>
      <c r="D106" s="375"/>
      <c r="F106" s="373"/>
      <c r="G106" s="374"/>
      <c r="H106" s="375"/>
      <c r="I106" s="375"/>
      <c r="K106" s="373">
        <v>104</v>
      </c>
      <c r="L106" s="374" t="s">
        <v>385</v>
      </c>
      <c r="M106" s="375">
        <v>5.2631578947368425</v>
      </c>
      <c r="N106" s="375">
        <v>0.10526315789473684</v>
      </c>
      <c r="P106" s="373"/>
      <c r="Q106" s="374"/>
      <c r="R106" s="375"/>
      <c r="S106" s="375"/>
      <c r="U106" s="373"/>
      <c r="V106" s="374"/>
      <c r="W106" s="375"/>
      <c r="X106" s="375"/>
      <c r="Z106" s="373"/>
      <c r="AA106" s="374"/>
      <c r="AB106" s="375"/>
      <c r="AC106" s="375"/>
      <c r="AE106" s="373"/>
      <c r="AF106" s="374"/>
      <c r="AG106" s="375"/>
      <c r="AH106" s="375"/>
      <c r="AJ106" s="373"/>
      <c r="AK106" s="374"/>
      <c r="AL106" s="375"/>
      <c r="AM106" s="375"/>
      <c r="AO106" s="373"/>
      <c r="AP106" s="374"/>
      <c r="AQ106" s="375"/>
      <c r="AR106" s="375"/>
      <c r="AT106" s="373"/>
      <c r="AU106" s="374"/>
      <c r="AV106" s="375"/>
      <c r="AW106" s="375"/>
      <c r="AY106" s="373"/>
      <c r="AZ106" s="374"/>
      <c r="BA106" s="375"/>
      <c r="BB106" s="375"/>
      <c r="BD106" s="373"/>
      <c r="BE106" s="374"/>
      <c r="BF106" s="375"/>
      <c r="BG106" s="375"/>
      <c r="BI106" s="373"/>
      <c r="BJ106" s="374"/>
      <c r="BK106" s="375"/>
      <c r="BL106" s="375"/>
      <c r="BN106" s="373"/>
      <c r="BO106" s="374"/>
      <c r="BP106" s="375"/>
      <c r="BQ106" s="375"/>
      <c r="BS106" s="373"/>
      <c r="BT106" s="374"/>
      <c r="BU106" s="375"/>
      <c r="BV106" s="375"/>
      <c r="BX106" s="373"/>
      <c r="BY106" s="374"/>
      <c r="BZ106" s="375"/>
      <c r="CA106" s="375"/>
      <c r="CC106" s="373"/>
      <c r="CD106" s="374"/>
      <c r="CE106" s="375"/>
      <c r="CF106" s="375"/>
      <c r="CH106" s="373"/>
      <c r="CI106" s="374"/>
      <c r="CJ106" s="375"/>
      <c r="CK106" s="375"/>
      <c r="CM106" s="373"/>
      <c r="CN106" s="374"/>
      <c r="CO106" s="375"/>
      <c r="CP106" s="375"/>
      <c r="CR106" s="373"/>
      <c r="CS106" s="374"/>
      <c r="CT106" s="375"/>
      <c r="CU106" s="375"/>
      <c r="CW106" s="373"/>
      <c r="CX106" s="374"/>
      <c r="CY106" s="375"/>
      <c r="CZ106" s="375"/>
      <c r="DB106" s="373"/>
      <c r="DC106" s="374"/>
      <c r="DD106" s="375"/>
      <c r="DE106" s="375"/>
      <c r="DG106" s="373"/>
      <c r="DH106" s="374"/>
      <c r="DI106" s="375"/>
      <c r="DJ106" s="375"/>
      <c r="DL106" s="373"/>
      <c r="DM106" s="374"/>
      <c r="DN106" s="375"/>
      <c r="DO106" s="375"/>
      <c r="DQ106" s="373"/>
      <c r="DR106" s="374"/>
      <c r="DS106" s="375"/>
      <c r="DT106" s="375"/>
      <c r="DV106" s="373"/>
      <c r="DW106" s="374"/>
      <c r="DX106" s="375"/>
      <c r="DY106" s="375"/>
      <c r="EA106" s="373"/>
      <c r="EB106" s="374"/>
      <c r="EC106" s="375"/>
      <c r="ED106" s="375"/>
      <c r="EF106" s="373"/>
      <c r="EG106" s="374"/>
      <c r="EH106" s="375"/>
      <c r="EI106" s="375"/>
      <c r="EK106" s="373"/>
      <c r="EL106" s="374"/>
      <c r="EM106" s="375"/>
      <c r="EN106" s="375"/>
      <c r="EP106" s="373"/>
      <c r="EQ106" s="374"/>
      <c r="ER106" s="375"/>
      <c r="ES106" s="375"/>
      <c r="EU106" s="373"/>
      <c r="EV106" s="374"/>
      <c r="EW106" s="375"/>
      <c r="EX106" s="375"/>
      <c r="EZ106" s="373"/>
      <c r="FA106" s="374"/>
      <c r="FB106" s="375"/>
      <c r="FC106" s="375"/>
      <c r="FE106" s="373"/>
      <c r="FF106" s="374"/>
      <c r="FG106" s="375"/>
      <c r="FH106" s="375"/>
      <c r="FJ106" s="373"/>
      <c r="FK106" s="374"/>
      <c r="FL106" s="375"/>
      <c r="FM106" s="375"/>
      <c r="FO106" s="373"/>
      <c r="FP106" s="374"/>
      <c r="FQ106" s="375"/>
      <c r="FR106" s="375"/>
      <c r="FT106" s="373"/>
      <c r="FU106" s="374"/>
      <c r="FV106" s="375"/>
      <c r="FW106" s="375"/>
      <c r="FY106" s="373"/>
      <c r="FZ106" s="374"/>
      <c r="GA106" s="375"/>
      <c r="GB106" s="375"/>
      <c r="GD106" s="373"/>
      <c r="GE106" s="374"/>
      <c r="GF106" s="375"/>
      <c r="GG106" s="375"/>
      <c r="GI106" s="373"/>
      <c r="GJ106" s="374"/>
      <c r="GK106" s="375"/>
      <c r="GL106" s="375"/>
      <c r="GN106" s="373"/>
      <c r="GO106" s="374"/>
      <c r="GP106" s="375"/>
      <c r="GQ106" s="375"/>
      <c r="GS106" s="373"/>
      <c r="GT106" s="374"/>
      <c r="GU106" s="375"/>
      <c r="GV106" s="375"/>
      <c r="GX106" s="373"/>
      <c r="GY106" s="374"/>
      <c r="GZ106" s="375"/>
      <c r="HA106" s="375"/>
      <c r="HC106" s="373"/>
      <c r="HD106" s="374"/>
      <c r="HE106" s="375"/>
      <c r="HF106" s="375"/>
      <c r="HH106" s="373"/>
      <c r="HI106" s="374"/>
      <c r="HJ106" s="375"/>
      <c r="HK106" s="375"/>
      <c r="HM106" s="373"/>
      <c r="HN106" s="374"/>
      <c r="HO106" s="375"/>
      <c r="HP106" s="375"/>
      <c r="HR106" s="373"/>
      <c r="HS106" s="374"/>
      <c r="HT106" s="375"/>
      <c r="HU106" s="375"/>
      <c r="HW106" s="373"/>
      <c r="HX106" s="374"/>
      <c r="HY106" s="375"/>
      <c r="HZ106" s="375"/>
      <c r="IB106" s="373"/>
      <c r="IC106" s="374"/>
      <c r="ID106" s="375"/>
      <c r="IE106" s="375"/>
      <c r="IG106" s="373"/>
      <c r="IH106" s="374"/>
      <c r="II106" s="375"/>
      <c r="IJ106" s="375"/>
      <c r="IL106" s="373"/>
      <c r="IM106" s="374"/>
      <c r="IN106" s="375"/>
      <c r="IO106" s="375"/>
      <c r="IQ106" s="373"/>
      <c r="IR106" s="374"/>
      <c r="IS106" s="375"/>
      <c r="IT106" s="375"/>
      <c r="IV106" s="373"/>
    </row>
    <row r="107" spans="1:256" s="376" customFormat="1" x14ac:dyDescent="0.2">
      <c r="A107" s="373"/>
      <c r="B107" s="374"/>
      <c r="C107" s="375"/>
      <c r="D107" s="375"/>
      <c r="F107" s="373"/>
      <c r="G107" s="374"/>
      <c r="H107" s="375"/>
      <c r="I107" s="375"/>
      <c r="K107" s="373">
        <v>105</v>
      </c>
      <c r="L107" s="374" t="s">
        <v>431</v>
      </c>
      <c r="M107" s="375">
        <v>5.2631578947368425</v>
      </c>
      <c r="N107" s="375">
        <v>0.10526315789473684</v>
      </c>
      <c r="P107" s="373"/>
      <c r="Q107" s="374"/>
      <c r="R107" s="375"/>
      <c r="S107" s="375"/>
      <c r="U107" s="373"/>
      <c r="V107" s="374"/>
      <c r="W107" s="375"/>
      <c r="X107" s="375"/>
      <c r="Z107" s="373"/>
      <c r="AA107" s="374"/>
      <c r="AB107" s="375"/>
      <c r="AC107" s="375"/>
      <c r="AE107" s="373"/>
      <c r="AF107" s="374"/>
      <c r="AG107" s="375"/>
      <c r="AH107" s="375"/>
      <c r="AJ107" s="373"/>
      <c r="AK107" s="374"/>
      <c r="AL107" s="375"/>
      <c r="AM107" s="375"/>
      <c r="AO107" s="373"/>
      <c r="AP107" s="374"/>
      <c r="AQ107" s="375"/>
      <c r="AR107" s="375"/>
      <c r="AT107" s="373"/>
      <c r="AU107" s="374"/>
      <c r="AV107" s="375"/>
      <c r="AW107" s="375"/>
      <c r="AY107" s="373"/>
      <c r="AZ107" s="374"/>
      <c r="BA107" s="375"/>
      <c r="BB107" s="375"/>
      <c r="BD107" s="373"/>
      <c r="BE107" s="374"/>
      <c r="BF107" s="375"/>
      <c r="BG107" s="375"/>
      <c r="BI107" s="373"/>
      <c r="BJ107" s="374"/>
      <c r="BK107" s="375"/>
      <c r="BL107" s="375"/>
      <c r="BN107" s="373"/>
      <c r="BO107" s="374"/>
      <c r="BP107" s="375"/>
      <c r="BQ107" s="375"/>
      <c r="BS107" s="373"/>
      <c r="BT107" s="374"/>
      <c r="BU107" s="375"/>
      <c r="BV107" s="375"/>
      <c r="BX107" s="373"/>
      <c r="BY107" s="374"/>
      <c r="BZ107" s="375"/>
      <c r="CA107" s="375"/>
      <c r="CC107" s="373"/>
      <c r="CD107" s="374"/>
      <c r="CE107" s="375"/>
      <c r="CF107" s="375"/>
      <c r="CH107" s="373"/>
      <c r="CI107" s="374"/>
      <c r="CJ107" s="375"/>
      <c r="CK107" s="375"/>
      <c r="CM107" s="373"/>
      <c r="CN107" s="374"/>
      <c r="CO107" s="375"/>
      <c r="CP107" s="375"/>
      <c r="CR107" s="373"/>
      <c r="CS107" s="374"/>
      <c r="CT107" s="375"/>
      <c r="CU107" s="375"/>
      <c r="CW107" s="373"/>
      <c r="CX107" s="374"/>
      <c r="CY107" s="375"/>
      <c r="CZ107" s="375"/>
      <c r="DB107" s="373"/>
      <c r="DC107" s="374"/>
      <c r="DD107" s="375"/>
      <c r="DE107" s="375"/>
      <c r="DG107" s="373"/>
      <c r="DH107" s="374"/>
      <c r="DI107" s="375"/>
      <c r="DJ107" s="375"/>
      <c r="DL107" s="373"/>
      <c r="DM107" s="374"/>
      <c r="DN107" s="375"/>
      <c r="DO107" s="375"/>
      <c r="DQ107" s="373"/>
      <c r="DR107" s="374"/>
      <c r="DS107" s="375"/>
      <c r="DT107" s="375"/>
      <c r="DV107" s="373"/>
      <c r="DW107" s="374"/>
      <c r="DX107" s="375"/>
      <c r="DY107" s="375"/>
      <c r="EA107" s="373"/>
      <c r="EB107" s="374"/>
      <c r="EC107" s="375"/>
      <c r="ED107" s="375"/>
      <c r="EF107" s="373"/>
      <c r="EG107" s="374"/>
      <c r="EH107" s="375"/>
      <c r="EI107" s="375"/>
      <c r="EK107" s="373"/>
      <c r="EL107" s="374"/>
      <c r="EM107" s="375"/>
      <c r="EN107" s="375"/>
      <c r="EP107" s="373"/>
      <c r="EQ107" s="374"/>
      <c r="ER107" s="375"/>
      <c r="ES107" s="375"/>
      <c r="EU107" s="373"/>
      <c r="EV107" s="374"/>
      <c r="EW107" s="375"/>
      <c r="EX107" s="375"/>
      <c r="EZ107" s="373"/>
      <c r="FA107" s="374"/>
      <c r="FB107" s="375"/>
      <c r="FC107" s="375"/>
      <c r="FE107" s="373"/>
      <c r="FF107" s="374"/>
      <c r="FG107" s="375"/>
      <c r="FH107" s="375"/>
      <c r="FJ107" s="373"/>
      <c r="FK107" s="374"/>
      <c r="FL107" s="375"/>
      <c r="FM107" s="375"/>
      <c r="FO107" s="373"/>
      <c r="FP107" s="374"/>
      <c r="FQ107" s="375"/>
      <c r="FR107" s="375"/>
      <c r="FT107" s="373"/>
      <c r="FU107" s="374"/>
      <c r="FV107" s="375"/>
      <c r="FW107" s="375"/>
      <c r="FY107" s="373"/>
      <c r="FZ107" s="374"/>
      <c r="GA107" s="375"/>
      <c r="GB107" s="375"/>
      <c r="GD107" s="373"/>
      <c r="GE107" s="374"/>
      <c r="GF107" s="375"/>
      <c r="GG107" s="375"/>
      <c r="GI107" s="373"/>
      <c r="GJ107" s="374"/>
      <c r="GK107" s="375"/>
      <c r="GL107" s="375"/>
      <c r="GN107" s="373"/>
      <c r="GO107" s="374"/>
      <c r="GP107" s="375"/>
      <c r="GQ107" s="375"/>
      <c r="GS107" s="373"/>
      <c r="GT107" s="374"/>
      <c r="GU107" s="375"/>
      <c r="GV107" s="375"/>
      <c r="GX107" s="373"/>
      <c r="GY107" s="374"/>
      <c r="GZ107" s="375"/>
      <c r="HA107" s="375"/>
      <c r="HC107" s="373"/>
      <c r="HD107" s="374"/>
      <c r="HE107" s="375"/>
      <c r="HF107" s="375"/>
      <c r="HH107" s="373"/>
      <c r="HI107" s="374"/>
      <c r="HJ107" s="375"/>
      <c r="HK107" s="375"/>
      <c r="HM107" s="373"/>
      <c r="HN107" s="374"/>
      <c r="HO107" s="375"/>
      <c r="HP107" s="375"/>
      <c r="HR107" s="373"/>
      <c r="HS107" s="374"/>
      <c r="HT107" s="375"/>
      <c r="HU107" s="375"/>
      <c r="HW107" s="373"/>
      <c r="HX107" s="374"/>
      <c r="HY107" s="375"/>
      <c r="HZ107" s="375"/>
      <c r="IB107" s="373"/>
      <c r="IC107" s="374"/>
      <c r="ID107" s="375"/>
      <c r="IE107" s="375"/>
      <c r="IG107" s="373"/>
      <c r="IH107" s="374"/>
      <c r="II107" s="375"/>
      <c r="IJ107" s="375"/>
      <c r="IL107" s="373"/>
      <c r="IM107" s="374"/>
      <c r="IN107" s="375"/>
      <c r="IO107" s="375"/>
      <c r="IQ107" s="373"/>
      <c r="IR107" s="374"/>
      <c r="IS107" s="375"/>
      <c r="IT107" s="375"/>
      <c r="IV107" s="373"/>
    </row>
    <row r="108" spans="1:256" s="376" customFormat="1" x14ac:dyDescent="0.2">
      <c r="A108" s="373"/>
      <c r="B108" s="374"/>
      <c r="C108" s="375"/>
      <c r="D108" s="375"/>
      <c r="F108" s="373"/>
      <c r="G108" s="374"/>
      <c r="H108" s="375"/>
      <c r="I108" s="375"/>
      <c r="K108" s="373">
        <v>106</v>
      </c>
      <c r="L108" s="374" t="s">
        <v>377</v>
      </c>
      <c r="M108" s="375">
        <v>5.2631578947368425</v>
      </c>
      <c r="N108" s="375">
        <v>0.10526315789473684</v>
      </c>
      <c r="P108" s="373"/>
      <c r="Q108" s="374"/>
      <c r="R108" s="375"/>
      <c r="S108" s="375"/>
      <c r="U108" s="373"/>
      <c r="V108" s="374"/>
      <c r="W108" s="375"/>
      <c r="X108" s="375"/>
      <c r="Z108" s="373"/>
      <c r="AA108" s="374"/>
      <c r="AB108" s="375"/>
      <c r="AC108" s="375"/>
      <c r="AE108" s="373"/>
      <c r="AF108" s="374"/>
      <c r="AG108" s="375"/>
      <c r="AH108" s="375"/>
      <c r="AJ108" s="373"/>
      <c r="AK108" s="374"/>
      <c r="AL108" s="375"/>
      <c r="AM108" s="375"/>
      <c r="AO108" s="373"/>
      <c r="AP108" s="374"/>
      <c r="AQ108" s="375"/>
      <c r="AR108" s="375"/>
      <c r="AT108" s="373"/>
      <c r="AU108" s="374"/>
      <c r="AV108" s="375"/>
      <c r="AW108" s="375"/>
      <c r="AY108" s="373"/>
      <c r="AZ108" s="374"/>
      <c r="BA108" s="375"/>
      <c r="BB108" s="375"/>
      <c r="BD108" s="373"/>
      <c r="BE108" s="374"/>
      <c r="BF108" s="375"/>
      <c r="BG108" s="375"/>
      <c r="BI108" s="373"/>
      <c r="BJ108" s="374"/>
      <c r="BK108" s="375"/>
      <c r="BL108" s="375"/>
      <c r="BN108" s="373"/>
      <c r="BO108" s="374"/>
      <c r="BP108" s="375"/>
      <c r="BQ108" s="375"/>
      <c r="BS108" s="373"/>
      <c r="BT108" s="374"/>
      <c r="BU108" s="375"/>
      <c r="BV108" s="375"/>
      <c r="BX108" s="373"/>
      <c r="BY108" s="374"/>
      <c r="BZ108" s="375"/>
      <c r="CA108" s="375"/>
      <c r="CC108" s="373"/>
      <c r="CD108" s="374"/>
      <c r="CE108" s="375"/>
      <c r="CF108" s="375"/>
      <c r="CH108" s="373"/>
      <c r="CI108" s="374"/>
      <c r="CJ108" s="375"/>
      <c r="CK108" s="375"/>
      <c r="CM108" s="373"/>
      <c r="CN108" s="374"/>
      <c r="CO108" s="375"/>
      <c r="CP108" s="375"/>
      <c r="CR108" s="373"/>
      <c r="CS108" s="374"/>
      <c r="CT108" s="375"/>
      <c r="CU108" s="375"/>
      <c r="CW108" s="373"/>
      <c r="CX108" s="374"/>
      <c r="CY108" s="375"/>
      <c r="CZ108" s="375"/>
      <c r="DB108" s="373"/>
      <c r="DC108" s="374"/>
      <c r="DD108" s="375"/>
      <c r="DE108" s="375"/>
      <c r="DG108" s="373"/>
      <c r="DH108" s="374"/>
      <c r="DI108" s="375"/>
      <c r="DJ108" s="375"/>
      <c r="DL108" s="373"/>
      <c r="DM108" s="374"/>
      <c r="DN108" s="375"/>
      <c r="DO108" s="375"/>
      <c r="DQ108" s="373"/>
      <c r="DR108" s="374"/>
      <c r="DS108" s="375"/>
      <c r="DT108" s="375"/>
      <c r="DV108" s="373"/>
      <c r="DW108" s="374"/>
      <c r="DX108" s="375"/>
      <c r="DY108" s="375"/>
      <c r="EA108" s="373"/>
      <c r="EB108" s="374"/>
      <c r="EC108" s="375"/>
      <c r="ED108" s="375"/>
      <c r="EF108" s="373"/>
      <c r="EG108" s="374"/>
      <c r="EH108" s="375"/>
      <c r="EI108" s="375"/>
      <c r="EK108" s="373"/>
      <c r="EL108" s="374"/>
      <c r="EM108" s="375"/>
      <c r="EN108" s="375"/>
      <c r="EP108" s="373"/>
      <c r="EQ108" s="374"/>
      <c r="ER108" s="375"/>
      <c r="ES108" s="375"/>
      <c r="EU108" s="373"/>
      <c r="EV108" s="374"/>
      <c r="EW108" s="375"/>
      <c r="EX108" s="375"/>
      <c r="EZ108" s="373"/>
      <c r="FA108" s="374"/>
      <c r="FB108" s="375"/>
      <c r="FC108" s="375"/>
      <c r="FE108" s="373"/>
      <c r="FF108" s="374"/>
      <c r="FG108" s="375"/>
      <c r="FH108" s="375"/>
      <c r="FJ108" s="373"/>
      <c r="FK108" s="374"/>
      <c r="FL108" s="375"/>
      <c r="FM108" s="375"/>
      <c r="FO108" s="373"/>
      <c r="FP108" s="374"/>
      <c r="FQ108" s="375"/>
      <c r="FR108" s="375"/>
      <c r="FT108" s="373"/>
      <c r="FU108" s="374"/>
      <c r="FV108" s="375"/>
      <c r="FW108" s="375"/>
      <c r="FY108" s="373"/>
      <c r="FZ108" s="374"/>
      <c r="GA108" s="375"/>
      <c r="GB108" s="375"/>
      <c r="GD108" s="373"/>
      <c r="GE108" s="374"/>
      <c r="GF108" s="375"/>
      <c r="GG108" s="375"/>
      <c r="GI108" s="373"/>
      <c r="GJ108" s="374"/>
      <c r="GK108" s="375"/>
      <c r="GL108" s="375"/>
      <c r="GN108" s="373"/>
      <c r="GO108" s="374"/>
      <c r="GP108" s="375"/>
      <c r="GQ108" s="375"/>
      <c r="GS108" s="373"/>
      <c r="GT108" s="374"/>
      <c r="GU108" s="375"/>
      <c r="GV108" s="375"/>
      <c r="GX108" s="373"/>
      <c r="GY108" s="374"/>
      <c r="GZ108" s="375"/>
      <c r="HA108" s="375"/>
      <c r="HC108" s="373"/>
      <c r="HD108" s="374"/>
      <c r="HE108" s="375"/>
      <c r="HF108" s="375"/>
      <c r="HH108" s="373"/>
      <c r="HI108" s="374"/>
      <c r="HJ108" s="375"/>
      <c r="HK108" s="375"/>
      <c r="HM108" s="373"/>
      <c r="HN108" s="374"/>
      <c r="HO108" s="375"/>
      <c r="HP108" s="375"/>
      <c r="HR108" s="373"/>
      <c r="HS108" s="374"/>
      <c r="HT108" s="375"/>
      <c r="HU108" s="375"/>
      <c r="HW108" s="373"/>
      <c r="HX108" s="374"/>
      <c r="HY108" s="375"/>
      <c r="HZ108" s="375"/>
      <c r="IB108" s="373"/>
      <c r="IC108" s="374"/>
      <c r="ID108" s="375"/>
      <c r="IE108" s="375"/>
      <c r="IG108" s="373"/>
      <c r="IH108" s="374"/>
      <c r="II108" s="375"/>
      <c r="IJ108" s="375"/>
      <c r="IL108" s="373"/>
      <c r="IM108" s="374"/>
      <c r="IN108" s="375"/>
      <c r="IO108" s="375"/>
      <c r="IQ108" s="373"/>
      <c r="IR108" s="374"/>
      <c r="IS108" s="375"/>
      <c r="IT108" s="375"/>
      <c r="IV108" s="373"/>
    </row>
    <row r="109" spans="1:256" s="376" customFormat="1" x14ac:dyDescent="0.2">
      <c r="A109" s="373"/>
      <c r="B109" s="374"/>
      <c r="C109" s="375"/>
      <c r="D109" s="375"/>
      <c r="F109" s="373"/>
      <c r="G109" s="374"/>
      <c r="H109" s="375"/>
      <c r="I109" s="375"/>
      <c r="K109" s="382">
        <v>107</v>
      </c>
      <c r="L109" s="383" t="s">
        <v>2662</v>
      </c>
      <c r="M109" s="384">
        <v>5.2631578947368425</v>
      </c>
      <c r="N109" s="384">
        <v>0.10526315789473684</v>
      </c>
      <c r="P109" s="373"/>
      <c r="Q109" s="374"/>
      <c r="R109" s="375"/>
      <c r="S109" s="375"/>
      <c r="U109" s="373"/>
      <c r="V109" s="374"/>
      <c r="W109" s="375"/>
      <c r="X109" s="375"/>
      <c r="Z109" s="373"/>
      <c r="AA109" s="374"/>
      <c r="AB109" s="375"/>
      <c r="AC109" s="375"/>
      <c r="AE109" s="373"/>
      <c r="AF109" s="374"/>
      <c r="AG109" s="375"/>
      <c r="AH109" s="375"/>
      <c r="AJ109" s="373"/>
      <c r="AK109" s="374"/>
      <c r="AL109" s="375"/>
      <c r="AM109" s="375"/>
      <c r="AO109" s="373"/>
      <c r="AP109" s="374"/>
      <c r="AQ109" s="375"/>
      <c r="AR109" s="375"/>
      <c r="AT109" s="373"/>
      <c r="AU109" s="374"/>
      <c r="AV109" s="375"/>
      <c r="AW109" s="375"/>
      <c r="AY109" s="373"/>
      <c r="AZ109" s="374"/>
      <c r="BA109" s="375"/>
      <c r="BB109" s="375"/>
      <c r="BD109" s="373"/>
      <c r="BE109" s="374"/>
      <c r="BF109" s="375"/>
      <c r="BG109" s="375"/>
      <c r="BI109" s="373"/>
      <c r="BJ109" s="374"/>
      <c r="BK109" s="375"/>
      <c r="BL109" s="375"/>
      <c r="BN109" s="373"/>
      <c r="BO109" s="374"/>
      <c r="BP109" s="375"/>
      <c r="BQ109" s="375"/>
      <c r="BS109" s="373"/>
      <c r="BT109" s="374"/>
      <c r="BU109" s="375"/>
      <c r="BV109" s="375"/>
      <c r="BX109" s="373"/>
      <c r="BY109" s="374"/>
      <c r="BZ109" s="375"/>
      <c r="CA109" s="375"/>
      <c r="CC109" s="373"/>
      <c r="CD109" s="374"/>
      <c r="CE109" s="375"/>
      <c r="CF109" s="375"/>
      <c r="CH109" s="373"/>
      <c r="CI109" s="374"/>
      <c r="CJ109" s="375"/>
      <c r="CK109" s="375"/>
      <c r="CM109" s="373"/>
      <c r="CN109" s="374"/>
      <c r="CO109" s="375"/>
      <c r="CP109" s="375"/>
      <c r="CR109" s="373"/>
      <c r="CS109" s="374"/>
      <c r="CT109" s="375"/>
      <c r="CU109" s="375"/>
      <c r="CW109" s="373"/>
      <c r="CX109" s="374"/>
      <c r="CY109" s="375"/>
      <c r="CZ109" s="375"/>
      <c r="DB109" s="373"/>
      <c r="DC109" s="374"/>
      <c r="DD109" s="375"/>
      <c r="DE109" s="375"/>
      <c r="DG109" s="373"/>
      <c r="DH109" s="374"/>
      <c r="DI109" s="375"/>
      <c r="DJ109" s="375"/>
      <c r="DL109" s="373"/>
      <c r="DM109" s="374"/>
      <c r="DN109" s="375"/>
      <c r="DO109" s="375"/>
      <c r="DQ109" s="373"/>
      <c r="DR109" s="374"/>
      <c r="DS109" s="375"/>
      <c r="DT109" s="375"/>
      <c r="DV109" s="373"/>
      <c r="DW109" s="374"/>
      <c r="DX109" s="375"/>
      <c r="DY109" s="375"/>
      <c r="EA109" s="373"/>
      <c r="EB109" s="374"/>
      <c r="EC109" s="375"/>
      <c r="ED109" s="375"/>
      <c r="EF109" s="373"/>
      <c r="EG109" s="374"/>
      <c r="EH109" s="375"/>
      <c r="EI109" s="375"/>
      <c r="EK109" s="373"/>
      <c r="EL109" s="374"/>
      <c r="EM109" s="375"/>
      <c r="EN109" s="375"/>
      <c r="EP109" s="373"/>
      <c r="EQ109" s="374"/>
      <c r="ER109" s="375"/>
      <c r="ES109" s="375"/>
      <c r="EU109" s="373"/>
      <c r="EV109" s="374"/>
      <c r="EW109" s="375"/>
      <c r="EX109" s="375"/>
      <c r="EZ109" s="373"/>
      <c r="FA109" s="374"/>
      <c r="FB109" s="375"/>
      <c r="FC109" s="375"/>
      <c r="FE109" s="373"/>
      <c r="FF109" s="374"/>
      <c r="FG109" s="375"/>
      <c r="FH109" s="375"/>
      <c r="FJ109" s="373"/>
      <c r="FK109" s="374"/>
      <c r="FL109" s="375"/>
      <c r="FM109" s="375"/>
      <c r="FO109" s="373"/>
      <c r="FP109" s="374"/>
      <c r="FQ109" s="375"/>
      <c r="FR109" s="375"/>
      <c r="FT109" s="373"/>
      <c r="FU109" s="374"/>
      <c r="FV109" s="375"/>
      <c r="FW109" s="375"/>
      <c r="FY109" s="373"/>
      <c r="FZ109" s="374"/>
      <c r="GA109" s="375"/>
      <c r="GB109" s="375"/>
      <c r="GD109" s="373"/>
      <c r="GE109" s="374"/>
      <c r="GF109" s="375"/>
      <c r="GG109" s="375"/>
      <c r="GI109" s="373"/>
      <c r="GJ109" s="374"/>
      <c r="GK109" s="375"/>
      <c r="GL109" s="375"/>
      <c r="GN109" s="373"/>
      <c r="GO109" s="374"/>
      <c r="GP109" s="375"/>
      <c r="GQ109" s="375"/>
      <c r="GS109" s="373"/>
      <c r="GT109" s="374"/>
      <c r="GU109" s="375"/>
      <c r="GV109" s="375"/>
      <c r="GX109" s="373"/>
      <c r="GY109" s="374"/>
      <c r="GZ109" s="375"/>
      <c r="HA109" s="375"/>
      <c r="HC109" s="373"/>
      <c r="HD109" s="374"/>
      <c r="HE109" s="375"/>
      <c r="HF109" s="375"/>
      <c r="HH109" s="373"/>
      <c r="HI109" s="374"/>
      <c r="HJ109" s="375"/>
      <c r="HK109" s="375"/>
      <c r="HM109" s="373"/>
      <c r="HN109" s="374"/>
      <c r="HO109" s="375"/>
      <c r="HP109" s="375"/>
      <c r="HR109" s="373"/>
      <c r="HS109" s="374"/>
      <c r="HT109" s="375"/>
      <c r="HU109" s="375"/>
      <c r="HW109" s="373"/>
      <c r="HX109" s="374"/>
      <c r="HY109" s="375"/>
      <c r="HZ109" s="375"/>
      <c r="IB109" s="373"/>
      <c r="IC109" s="374"/>
      <c r="ID109" s="375"/>
      <c r="IE109" s="375"/>
      <c r="IG109" s="373"/>
      <c r="IH109" s="374"/>
      <c r="II109" s="375"/>
      <c r="IJ109" s="375"/>
      <c r="IL109" s="373"/>
      <c r="IM109" s="374"/>
      <c r="IN109" s="375"/>
      <c r="IO109" s="375"/>
      <c r="IQ109" s="373"/>
      <c r="IR109" s="374"/>
      <c r="IS109" s="375"/>
      <c r="IT109" s="375"/>
      <c r="IV109" s="373"/>
    </row>
    <row r="110" spans="1:256" s="376" customFormat="1" x14ac:dyDescent="0.2">
      <c r="A110" s="373"/>
      <c r="B110" s="374"/>
      <c r="C110" s="375"/>
      <c r="D110" s="375"/>
      <c r="F110" s="373"/>
      <c r="G110" s="374"/>
      <c r="H110" s="375"/>
      <c r="I110" s="375"/>
      <c r="K110" s="373">
        <v>108</v>
      </c>
      <c r="L110" s="374" t="s">
        <v>2634</v>
      </c>
      <c r="M110" s="375">
        <v>5.2631578947368425</v>
      </c>
      <c r="N110" s="375">
        <v>0.10526315789473684</v>
      </c>
      <c r="P110" s="373"/>
      <c r="Q110" s="374"/>
      <c r="R110" s="375"/>
      <c r="S110" s="375"/>
      <c r="U110" s="373"/>
      <c r="V110" s="374"/>
      <c r="W110" s="375"/>
      <c r="X110" s="375"/>
      <c r="Z110" s="373"/>
      <c r="AA110" s="374"/>
      <c r="AB110" s="375"/>
      <c r="AC110" s="375"/>
      <c r="AE110" s="373"/>
      <c r="AF110" s="374"/>
      <c r="AG110" s="375"/>
      <c r="AH110" s="375"/>
      <c r="AJ110" s="373"/>
      <c r="AK110" s="374"/>
      <c r="AL110" s="375"/>
      <c r="AM110" s="375"/>
      <c r="AO110" s="373"/>
      <c r="AP110" s="374"/>
      <c r="AQ110" s="375"/>
      <c r="AR110" s="375"/>
      <c r="AT110" s="373"/>
      <c r="AU110" s="374"/>
      <c r="AV110" s="375"/>
      <c r="AW110" s="375"/>
      <c r="AY110" s="373"/>
      <c r="AZ110" s="374"/>
      <c r="BA110" s="375"/>
      <c r="BB110" s="375"/>
      <c r="BD110" s="373"/>
      <c r="BE110" s="374"/>
      <c r="BF110" s="375"/>
      <c r="BG110" s="375"/>
      <c r="BI110" s="373"/>
      <c r="BJ110" s="374"/>
      <c r="BK110" s="375"/>
      <c r="BL110" s="375"/>
      <c r="BN110" s="373"/>
      <c r="BO110" s="374"/>
      <c r="BP110" s="375"/>
      <c r="BQ110" s="375"/>
      <c r="BS110" s="373"/>
      <c r="BT110" s="374"/>
      <c r="BU110" s="375"/>
      <c r="BV110" s="375"/>
      <c r="BX110" s="373"/>
      <c r="BY110" s="374"/>
      <c r="BZ110" s="375"/>
      <c r="CA110" s="375"/>
      <c r="CC110" s="373"/>
      <c r="CD110" s="374"/>
      <c r="CE110" s="375"/>
      <c r="CF110" s="375"/>
      <c r="CH110" s="373"/>
      <c r="CI110" s="374"/>
      <c r="CJ110" s="375"/>
      <c r="CK110" s="375"/>
      <c r="CM110" s="373"/>
      <c r="CN110" s="374"/>
      <c r="CO110" s="375"/>
      <c r="CP110" s="375"/>
      <c r="CR110" s="373"/>
      <c r="CS110" s="374"/>
      <c r="CT110" s="375"/>
      <c r="CU110" s="375"/>
      <c r="CW110" s="373"/>
      <c r="CX110" s="374"/>
      <c r="CY110" s="375"/>
      <c r="CZ110" s="375"/>
      <c r="DB110" s="373"/>
      <c r="DC110" s="374"/>
      <c r="DD110" s="375"/>
      <c r="DE110" s="375"/>
      <c r="DG110" s="373"/>
      <c r="DH110" s="374"/>
      <c r="DI110" s="375"/>
      <c r="DJ110" s="375"/>
      <c r="DL110" s="373"/>
      <c r="DM110" s="374"/>
      <c r="DN110" s="375"/>
      <c r="DO110" s="375"/>
      <c r="DQ110" s="373"/>
      <c r="DR110" s="374"/>
      <c r="DS110" s="375"/>
      <c r="DT110" s="375"/>
      <c r="DV110" s="373"/>
      <c r="DW110" s="374"/>
      <c r="DX110" s="375"/>
      <c r="DY110" s="375"/>
      <c r="EA110" s="373"/>
      <c r="EB110" s="374"/>
      <c r="EC110" s="375"/>
      <c r="ED110" s="375"/>
      <c r="EF110" s="373"/>
      <c r="EG110" s="374"/>
      <c r="EH110" s="375"/>
      <c r="EI110" s="375"/>
      <c r="EK110" s="373"/>
      <c r="EL110" s="374"/>
      <c r="EM110" s="375"/>
      <c r="EN110" s="375"/>
      <c r="EP110" s="373"/>
      <c r="EQ110" s="374"/>
      <c r="ER110" s="375"/>
      <c r="ES110" s="375"/>
      <c r="EU110" s="373"/>
      <c r="EV110" s="374"/>
      <c r="EW110" s="375"/>
      <c r="EX110" s="375"/>
      <c r="EZ110" s="373"/>
      <c r="FA110" s="374"/>
      <c r="FB110" s="375"/>
      <c r="FC110" s="375"/>
      <c r="FE110" s="373"/>
      <c r="FF110" s="374"/>
      <c r="FG110" s="375"/>
      <c r="FH110" s="375"/>
      <c r="FJ110" s="373"/>
      <c r="FK110" s="374"/>
      <c r="FL110" s="375"/>
      <c r="FM110" s="375"/>
      <c r="FO110" s="373"/>
      <c r="FP110" s="374"/>
      <c r="FQ110" s="375"/>
      <c r="FR110" s="375"/>
      <c r="FT110" s="373"/>
      <c r="FU110" s="374"/>
      <c r="FV110" s="375"/>
      <c r="FW110" s="375"/>
      <c r="FY110" s="373"/>
      <c r="FZ110" s="374"/>
      <c r="GA110" s="375"/>
      <c r="GB110" s="375"/>
      <c r="GD110" s="373"/>
      <c r="GE110" s="374"/>
      <c r="GF110" s="375"/>
      <c r="GG110" s="375"/>
      <c r="GI110" s="373"/>
      <c r="GJ110" s="374"/>
      <c r="GK110" s="375"/>
      <c r="GL110" s="375"/>
      <c r="GN110" s="373"/>
      <c r="GO110" s="374"/>
      <c r="GP110" s="375"/>
      <c r="GQ110" s="375"/>
      <c r="GS110" s="373"/>
      <c r="GT110" s="374"/>
      <c r="GU110" s="375"/>
      <c r="GV110" s="375"/>
      <c r="GX110" s="373"/>
      <c r="GY110" s="374"/>
      <c r="GZ110" s="375"/>
      <c r="HA110" s="375"/>
      <c r="HC110" s="373"/>
      <c r="HD110" s="374"/>
      <c r="HE110" s="375"/>
      <c r="HF110" s="375"/>
      <c r="HH110" s="373"/>
      <c r="HI110" s="374"/>
      <c r="HJ110" s="375"/>
      <c r="HK110" s="375"/>
      <c r="HM110" s="373"/>
      <c r="HN110" s="374"/>
      <c r="HO110" s="375"/>
      <c r="HP110" s="375"/>
      <c r="HR110" s="373"/>
      <c r="HS110" s="374"/>
      <c r="HT110" s="375"/>
      <c r="HU110" s="375"/>
      <c r="HW110" s="373"/>
      <c r="HX110" s="374"/>
      <c r="HY110" s="375"/>
      <c r="HZ110" s="375"/>
      <c r="IB110" s="373"/>
      <c r="IC110" s="374"/>
      <c r="ID110" s="375"/>
      <c r="IE110" s="375"/>
      <c r="IG110" s="373"/>
      <c r="IH110" s="374"/>
      <c r="II110" s="375"/>
      <c r="IJ110" s="375"/>
      <c r="IL110" s="373"/>
      <c r="IM110" s="374"/>
      <c r="IN110" s="375"/>
      <c r="IO110" s="375"/>
      <c r="IQ110" s="373"/>
      <c r="IR110" s="374"/>
      <c r="IS110" s="375"/>
      <c r="IT110" s="375"/>
      <c r="IV110" s="373"/>
    </row>
    <row r="111" spans="1:256" s="376" customFormat="1" x14ac:dyDescent="0.2">
      <c r="A111" s="373"/>
      <c r="B111" s="374"/>
      <c r="C111" s="375"/>
      <c r="D111" s="375"/>
      <c r="F111" s="373"/>
      <c r="G111" s="374"/>
      <c r="H111" s="375"/>
      <c r="I111" s="375"/>
      <c r="K111" s="373">
        <v>109</v>
      </c>
      <c r="L111" s="374" t="s">
        <v>410</v>
      </c>
      <c r="M111" s="375">
        <v>5.2631578947368425</v>
      </c>
      <c r="N111" s="375">
        <v>0.10526315789473684</v>
      </c>
      <c r="P111" s="373"/>
      <c r="Q111" s="374"/>
      <c r="R111" s="375"/>
      <c r="S111" s="375"/>
      <c r="U111" s="373"/>
      <c r="V111" s="374"/>
      <c r="W111" s="375"/>
      <c r="X111" s="375"/>
      <c r="Z111" s="373"/>
      <c r="AA111" s="374"/>
      <c r="AB111" s="375"/>
      <c r="AC111" s="375"/>
      <c r="AE111" s="373"/>
      <c r="AF111" s="374"/>
      <c r="AG111" s="375"/>
      <c r="AH111" s="375"/>
      <c r="AJ111" s="373"/>
      <c r="AK111" s="374"/>
      <c r="AL111" s="375"/>
      <c r="AM111" s="375"/>
      <c r="AO111" s="373"/>
      <c r="AP111" s="374"/>
      <c r="AQ111" s="375"/>
      <c r="AR111" s="375"/>
      <c r="AT111" s="373"/>
      <c r="AU111" s="374"/>
      <c r="AV111" s="375"/>
      <c r="AW111" s="375"/>
      <c r="AY111" s="373"/>
      <c r="AZ111" s="374"/>
      <c r="BA111" s="375"/>
      <c r="BB111" s="375"/>
      <c r="BD111" s="373"/>
      <c r="BE111" s="374"/>
      <c r="BF111" s="375"/>
      <c r="BG111" s="375"/>
      <c r="BI111" s="373"/>
      <c r="BJ111" s="374"/>
      <c r="BK111" s="375"/>
      <c r="BL111" s="375"/>
      <c r="BN111" s="373"/>
      <c r="BO111" s="374"/>
      <c r="BP111" s="375"/>
      <c r="BQ111" s="375"/>
      <c r="BS111" s="373"/>
      <c r="BT111" s="374"/>
      <c r="BU111" s="375"/>
      <c r="BV111" s="375"/>
      <c r="BX111" s="373"/>
      <c r="BY111" s="374"/>
      <c r="BZ111" s="375"/>
      <c r="CA111" s="375"/>
      <c r="CC111" s="373"/>
      <c r="CD111" s="374"/>
      <c r="CE111" s="375"/>
      <c r="CF111" s="375"/>
      <c r="CH111" s="373"/>
      <c r="CI111" s="374"/>
      <c r="CJ111" s="375"/>
      <c r="CK111" s="375"/>
      <c r="CM111" s="373"/>
      <c r="CN111" s="374"/>
      <c r="CO111" s="375"/>
      <c r="CP111" s="375"/>
      <c r="CR111" s="373"/>
      <c r="CS111" s="374"/>
      <c r="CT111" s="375"/>
      <c r="CU111" s="375"/>
      <c r="CW111" s="373"/>
      <c r="CX111" s="374"/>
      <c r="CY111" s="375"/>
      <c r="CZ111" s="375"/>
      <c r="DB111" s="373"/>
      <c r="DC111" s="374"/>
      <c r="DD111" s="375"/>
      <c r="DE111" s="375"/>
      <c r="DG111" s="373"/>
      <c r="DH111" s="374"/>
      <c r="DI111" s="375"/>
      <c r="DJ111" s="375"/>
      <c r="DL111" s="373"/>
      <c r="DM111" s="374"/>
      <c r="DN111" s="375"/>
      <c r="DO111" s="375"/>
      <c r="DQ111" s="373"/>
      <c r="DR111" s="374"/>
      <c r="DS111" s="375"/>
      <c r="DT111" s="375"/>
      <c r="DV111" s="373"/>
      <c r="DW111" s="374"/>
      <c r="DX111" s="375"/>
      <c r="DY111" s="375"/>
      <c r="EA111" s="373"/>
      <c r="EB111" s="374"/>
      <c r="EC111" s="375"/>
      <c r="ED111" s="375"/>
      <c r="EF111" s="373"/>
      <c r="EG111" s="374"/>
      <c r="EH111" s="375"/>
      <c r="EI111" s="375"/>
      <c r="EK111" s="373"/>
      <c r="EL111" s="374"/>
      <c r="EM111" s="375"/>
      <c r="EN111" s="375"/>
      <c r="EP111" s="373"/>
      <c r="EQ111" s="374"/>
      <c r="ER111" s="375"/>
      <c r="ES111" s="375"/>
      <c r="EU111" s="373"/>
      <c r="EV111" s="374"/>
      <c r="EW111" s="375"/>
      <c r="EX111" s="375"/>
      <c r="EZ111" s="373"/>
      <c r="FA111" s="374"/>
      <c r="FB111" s="375"/>
      <c r="FC111" s="375"/>
      <c r="FE111" s="373"/>
      <c r="FF111" s="374"/>
      <c r="FG111" s="375"/>
      <c r="FH111" s="375"/>
      <c r="FJ111" s="373"/>
      <c r="FK111" s="374"/>
      <c r="FL111" s="375"/>
      <c r="FM111" s="375"/>
      <c r="FO111" s="373"/>
      <c r="FP111" s="374"/>
      <c r="FQ111" s="375"/>
      <c r="FR111" s="375"/>
      <c r="FT111" s="373"/>
      <c r="FU111" s="374"/>
      <c r="FV111" s="375"/>
      <c r="FW111" s="375"/>
      <c r="FY111" s="373"/>
      <c r="FZ111" s="374"/>
      <c r="GA111" s="375"/>
      <c r="GB111" s="375"/>
      <c r="GD111" s="373"/>
      <c r="GE111" s="374"/>
      <c r="GF111" s="375"/>
      <c r="GG111" s="375"/>
      <c r="GI111" s="373"/>
      <c r="GJ111" s="374"/>
      <c r="GK111" s="375"/>
      <c r="GL111" s="375"/>
      <c r="GN111" s="373"/>
      <c r="GO111" s="374"/>
      <c r="GP111" s="375"/>
      <c r="GQ111" s="375"/>
      <c r="GS111" s="373"/>
      <c r="GT111" s="374"/>
      <c r="GU111" s="375"/>
      <c r="GV111" s="375"/>
      <c r="GX111" s="373"/>
      <c r="GY111" s="374"/>
      <c r="GZ111" s="375"/>
      <c r="HA111" s="375"/>
      <c r="HC111" s="373"/>
      <c r="HD111" s="374"/>
      <c r="HE111" s="375"/>
      <c r="HF111" s="375"/>
      <c r="HH111" s="373"/>
      <c r="HI111" s="374"/>
      <c r="HJ111" s="375"/>
      <c r="HK111" s="375"/>
      <c r="HM111" s="373"/>
      <c r="HN111" s="374"/>
      <c r="HO111" s="375"/>
      <c r="HP111" s="375"/>
      <c r="HR111" s="373"/>
      <c r="HS111" s="374"/>
      <c r="HT111" s="375"/>
      <c r="HU111" s="375"/>
      <c r="HW111" s="373"/>
      <c r="HX111" s="374"/>
      <c r="HY111" s="375"/>
      <c r="HZ111" s="375"/>
      <c r="IB111" s="373"/>
      <c r="IC111" s="374"/>
      <c r="ID111" s="375"/>
      <c r="IE111" s="375"/>
      <c r="IG111" s="373"/>
      <c r="IH111" s="374"/>
      <c r="II111" s="375"/>
      <c r="IJ111" s="375"/>
      <c r="IL111" s="373"/>
      <c r="IM111" s="374"/>
      <c r="IN111" s="375"/>
      <c r="IO111" s="375"/>
      <c r="IQ111" s="373"/>
      <c r="IR111" s="374"/>
      <c r="IS111" s="375"/>
      <c r="IT111" s="375"/>
      <c r="IV111" s="373"/>
    </row>
    <row r="112" spans="1:256" s="376" customFormat="1" x14ac:dyDescent="0.2">
      <c r="A112" s="373"/>
      <c r="B112" s="374"/>
      <c r="C112" s="375"/>
      <c r="D112" s="375"/>
      <c r="F112" s="373"/>
      <c r="G112" s="374"/>
      <c r="H112" s="375"/>
      <c r="I112" s="375"/>
      <c r="K112" s="382">
        <v>110</v>
      </c>
      <c r="L112" s="383" t="s">
        <v>363</v>
      </c>
      <c r="M112" s="384">
        <v>10.526315789473685</v>
      </c>
      <c r="N112" s="384">
        <v>7.8947368421052627E-2</v>
      </c>
      <c r="P112" s="373"/>
      <c r="Q112" s="374"/>
      <c r="R112" s="375"/>
      <c r="S112" s="375"/>
      <c r="U112" s="373"/>
      <c r="V112" s="374"/>
      <c r="W112" s="375"/>
      <c r="X112" s="375"/>
      <c r="Z112" s="373"/>
      <c r="AA112" s="374"/>
      <c r="AB112" s="375"/>
      <c r="AC112" s="375"/>
      <c r="AE112" s="373"/>
      <c r="AF112" s="374"/>
      <c r="AG112" s="375"/>
      <c r="AH112" s="375"/>
      <c r="AJ112" s="373"/>
      <c r="AK112" s="374"/>
      <c r="AL112" s="375"/>
      <c r="AM112" s="375"/>
      <c r="AO112" s="373"/>
      <c r="AP112" s="374"/>
      <c r="AQ112" s="375"/>
      <c r="AR112" s="375"/>
      <c r="AT112" s="373"/>
      <c r="AU112" s="374"/>
      <c r="AV112" s="375"/>
      <c r="AW112" s="375"/>
      <c r="AY112" s="373"/>
      <c r="AZ112" s="374"/>
      <c r="BA112" s="375"/>
      <c r="BB112" s="375"/>
      <c r="BD112" s="373"/>
      <c r="BE112" s="374"/>
      <c r="BF112" s="375"/>
      <c r="BG112" s="375"/>
      <c r="BI112" s="373"/>
      <c r="BJ112" s="374"/>
      <c r="BK112" s="375"/>
      <c r="BL112" s="375"/>
      <c r="BN112" s="373"/>
      <c r="BO112" s="374"/>
      <c r="BP112" s="375"/>
      <c r="BQ112" s="375"/>
      <c r="BS112" s="373"/>
      <c r="BT112" s="374"/>
      <c r="BU112" s="375"/>
      <c r="BV112" s="375"/>
      <c r="BX112" s="373"/>
      <c r="BY112" s="374"/>
      <c r="BZ112" s="375"/>
      <c r="CA112" s="375"/>
      <c r="CC112" s="373"/>
      <c r="CD112" s="374"/>
      <c r="CE112" s="375"/>
      <c r="CF112" s="375"/>
      <c r="CH112" s="373"/>
      <c r="CI112" s="374"/>
      <c r="CJ112" s="375"/>
      <c r="CK112" s="375"/>
      <c r="CM112" s="373"/>
      <c r="CN112" s="374"/>
      <c r="CO112" s="375"/>
      <c r="CP112" s="375"/>
      <c r="CR112" s="373"/>
      <c r="CS112" s="374"/>
      <c r="CT112" s="375"/>
      <c r="CU112" s="375"/>
      <c r="CW112" s="373"/>
      <c r="CX112" s="374"/>
      <c r="CY112" s="375"/>
      <c r="CZ112" s="375"/>
      <c r="DB112" s="373"/>
      <c r="DC112" s="374"/>
      <c r="DD112" s="375"/>
      <c r="DE112" s="375"/>
      <c r="DG112" s="373"/>
      <c r="DH112" s="374"/>
      <c r="DI112" s="375"/>
      <c r="DJ112" s="375"/>
      <c r="DL112" s="373"/>
      <c r="DM112" s="374"/>
      <c r="DN112" s="375"/>
      <c r="DO112" s="375"/>
      <c r="DQ112" s="373"/>
      <c r="DR112" s="374"/>
      <c r="DS112" s="375"/>
      <c r="DT112" s="375"/>
      <c r="DV112" s="373"/>
      <c r="DW112" s="374"/>
      <c r="DX112" s="375"/>
      <c r="DY112" s="375"/>
      <c r="EA112" s="373"/>
      <c r="EB112" s="374"/>
      <c r="EC112" s="375"/>
      <c r="ED112" s="375"/>
      <c r="EF112" s="373"/>
      <c r="EG112" s="374"/>
      <c r="EH112" s="375"/>
      <c r="EI112" s="375"/>
      <c r="EK112" s="373"/>
      <c r="EL112" s="374"/>
      <c r="EM112" s="375"/>
      <c r="EN112" s="375"/>
      <c r="EP112" s="373"/>
      <c r="EQ112" s="374"/>
      <c r="ER112" s="375"/>
      <c r="ES112" s="375"/>
      <c r="EU112" s="373"/>
      <c r="EV112" s="374"/>
      <c r="EW112" s="375"/>
      <c r="EX112" s="375"/>
      <c r="EZ112" s="373"/>
      <c r="FA112" s="374"/>
      <c r="FB112" s="375"/>
      <c r="FC112" s="375"/>
      <c r="FE112" s="373"/>
      <c r="FF112" s="374"/>
      <c r="FG112" s="375"/>
      <c r="FH112" s="375"/>
      <c r="FJ112" s="373"/>
      <c r="FK112" s="374"/>
      <c r="FL112" s="375"/>
      <c r="FM112" s="375"/>
      <c r="FO112" s="373"/>
      <c r="FP112" s="374"/>
      <c r="FQ112" s="375"/>
      <c r="FR112" s="375"/>
      <c r="FT112" s="373"/>
      <c r="FU112" s="374"/>
      <c r="FV112" s="375"/>
      <c r="FW112" s="375"/>
      <c r="FY112" s="373"/>
      <c r="FZ112" s="374"/>
      <c r="GA112" s="375"/>
      <c r="GB112" s="375"/>
      <c r="GD112" s="373"/>
      <c r="GE112" s="374"/>
      <c r="GF112" s="375"/>
      <c r="GG112" s="375"/>
      <c r="GI112" s="373"/>
      <c r="GJ112" s="374"/>
      <c r="GK112" s="375"/>
      <c r="GL112" s="375"/>
      <c r="GN112" s="373"/>
      <c r="GO112" s="374"/>
      <c r="GP112" s="375"/>
      <c r="GQ112" s="375"/>
      <c r="GS112" s="373"/>
      <c r="GT112" s="374"/>
      <c r="GU112" s="375"/>
      <c r="GV112" s="375"/>
      <c r="GX112" s="373"/>
      <c r="GY112" s="374"/>
      <c r="GZ112" s="375"/>
      <c r="HA112" s="375"/>
      <c r="HC112" s="373"/>
      <c r="HD112" s="374"/>
      <c r="HE112" s="375"/>
      <c r="HF112" s="375"/>
      <c r="HH112" s="373"/>
      <c r="HI112" s="374"/>
      <c r="HJ112" s="375"/>
      <c r="HK112" s="375"/>
      <c r="HM112" s="373"/>
      <c r="HN112" s="374"/>
      <c r="HO112" s="375"/>
      <c r="HP112" s="375"/>
      <c r="HR112" s="373"/>
      <c r="HS112" s="374"/>
      <c r="HT112" s="375"/>
      <c r="HU112" s="375"/>
      <c r="HW112" s="373"/>
      <c r="HX112" s="374"/>
      <c r="HY112" s="375"/>
      <c r="HZ112" s="375"/>
      <c r="IB112" s="373"/>
      <c r="IC112" s="374"/>
      <c r="ID112" s="375"/>
      <c r="IE112" s="375"/>
      <c r="IG112" s="373"/>
      <c r="IH112" s="374"/>
      <c r="II112" s="375"/>
      <c r="IJ112" s="375"/>
      <c r="IL112" s="373"/>
      <c r="IM112" s="374"/>
      <c r="IN112" s="375"/>
      <c r="IO112" s="375"/>
      <c r="IQ112" s="373"/>
      <c r="IR112" s="374"/>
      <c r="IS112" s="375"/>
      <c r="IT112" s="375"/>
      <c r="IV112" s="373"/>
    </row>
    <row r="113" spans="1:256" s="376" customFormat="1" x14ac:dyDescent="0.2">
      <c r="A113" s="373"/>
      <c r="B113" s="374"/>
      <c r="C113" s="375"/>
      <c r="D113" s="375"/>
      <c r="F113" s="373"/>
      <c r="G113" s="374"/>
      <c r="H113" s="375"/>
      <c r="I113" s="375"/>
      <c r="K113" s="373">
        <v>111</v>
      </c>
      <c r="L113" s="374" t="s">
        <v>374</v>
      </c>
      <c r="M113" s="375">
        <v>10.526315789473685</v>
      </c>
      <c r="N113" s="375">
        <v>7.8947368421052627E-2</v>
      </c>
      <c r="P113" s="373"/>
      <c r="Q113" s="374"/>
      <c r="R113" s="375"/>
      <c r="S113" s="375"/>
      <c r="U113" s="373"/>
      <c r="V113" s="374"/>
      <c r="W113" s="375"/>
      <c r="X113" s="375"/>
      <c r="Z113" s="373"/>
      <c r="AA113" s="374"/>
      <c r="AB113" s="375"/>
      <c r="AC113" s="375"/>
      <c r="AE113" s="373"/>
      <c r="AF113" s="374"/>
      <c r="AG113" s="375"/>
      <c r="AH113" s="375"/>
      <c r="AJ113" s="373"/>
      <c r="AK113" s="374"/>
      <c r="AL113" s="375"/>
      <c r="AM113" s="375"/>
      <c r="AO113" s="373"/>
      <c r="AP113" s="374"/>
      <c r="AQ113" s="375"/>
      <c r="AR113" s="375"/>
      <c r="AT113" s="373"/>
      <c r="AU113" s="374"/>
      <c r="AV113" s="375"/>
      <c r="AW113" s="375"/>
      <c r="AY113" s="373"/>
      <c r="AZ113" s="374"/>
      <c r="BA113" s="375"/>
      <c r="BB113" s="375"/>
      <c r="BD113" s="373"/>
      <c r="BE113" s="374"/>
      <c r="BF113" s="375"/>
      <c r="BG113" s="375"/>
      <c r="BI113" s="373"/>
      <c r="BJ113" s="374"/>
      <c r="BK113" s="375"/>
      <c r="BL113" s="375"/>
      <c r="BN113" s="373"/>
      <c r="BO113" s="374"/>
      <c r="BP113" s="375"/>
      <c r="BQ113" s="375"/>
      <c r="BS113" s="373"/>
      <c r="BT113" s="374"/>
      <c r="BU113" s="375"/>
      <c r="BV113" s="375"/>
      <c r="BX113" s="373"/>
      <c r="BY113" s="374"/>
      <c r="BZ113" s="375"/>
      <c r="CA113" s="375"/>
      <c r="CC113" s="373"/>
      <c r="CD113" s="374"/>
      <c r="CE113" s="375"/>
      <c r="CF113" s="375"/>
      <c r="CH113" s="373"/>
      <c r="CI113" s="374"/>
      <c r="CJ113" s="375"/>
      <c r="CK113" s="375"/>
      <c r="CM113" s="373"/>
      <c r="CN113" s="374"/>
      <c r="CO113" s="375"/>
      <c r="CP113" s="375"/>
      <c r="CR113" s="373"/>
      <c r="CS113" s="374"/>
      <c r="CT113" s="375"/>
      <c r="CU113" s="375"/>
      <c r="CW113" s="373"/>
      <c r="CX113" s="374"/>
      <c r="CY113" s="375"/>
      <c r="CZ113" s="375"/>
      <c r="DB113" s="373"/>
      <c r="DC113" s="374"/>
      <c r="DD113" s="375"/>
      <c r="DE113" s="375"/>
      <c r="DG113" s="373"/>
      <c r="DH113" s="374"/>
      <c r="DI113" s="375"/>
      <c r="DJ113" s="375"/>
      <c r="DL113" s="373"/>
      <c r="DM113" s="374"/>
      <c r="DN113" s="375"/>
      <c r="DO113" s="375"/>
      <c r="DQ113" s="373"/>
      <c r="DR113" s="374"/>
      <c r="DS113" s="375"/>
      <c r="DT113" s="375"/>
      <c r="DV113" s="373"/>
      <c r="DW113" s="374"/>
      <c r="DX113" s="375"/>
      <c r="DY113" s="375"/>
      <c r="EA113" s="373"/>
      <c r="EB113" s="374"/>
      <c r="EC113" s="375"/>
      <c r="ED113" s="375"/>
      <c r="EF113" s="373"/>
      <c r="EG113" s="374"/>
      <c r="EH113" s="375"/>
      <c r="EI113" s="375"/>
      <c r="EK113" s="373"/>
      <c r="EL113" s="374"/>
      <c r="EM113" s="375"/>
      <c r="EN113" s="375"/>
      <c r="EP113" s="373"/>
      <c r="EQ113" s="374"/>
      <c r="ER113" s="375"/>
      <c r="ES113" s="375"/>
      <c r="EU113" s="373"/>
      <c r="EV113" s="374"/>
      <c r="EW113" s="375"/>
      <c r="EX113" s="375"/>
      <c r="EZ113" s="373"/>
      <c r="FA113" s="374"/>
      <c r="FB113" s="375"/>
      <c r="FC113" s="375"/>
      <c r="FE113" s="373"/>
      <c r="FF113" s="374"/>
      <c r="FG113" s="375"/>
      <c r="FH113" s="375"/>
      <c r="FJ113" s="373"/>
      <c r="FK113" s="374"/>
      <c r="FL113" s="375"/>
      <c r="FM113" s="375"/>
      <c r="FO113" s="373"/>
      <c r="FP113" s="374"/>
      <c r="FQ113" s="375"/>
      <c r="FR113" s="375"/>
      <c r="FT113" s="373"/>
      <c r="FU113" s="374"/>
      <c r="FV113" s="375"/>
      <c r="FW113" s="375"/>
      <c r="FY113" s="373"/>
      <c r="FZ113" s="374"/>
      <c r="GA113" s="375"/>
      <c r="GB113" s="375"/>
      <c r="GD113" s="373"/>
      <c r="GE113" s="374"/>
      <c r="GF113" s="375"/>
      <c r="GG113" s="375"/>
      <c r="GI113" s="373"/>
      <c r="GJ113" s="374"/>
      <c r="GK113" s="375"/>
      <c r="GL113" s="375"/>
      <c r="GN113" s="373"/>
      <c r="GO113" s="374"/>
      <c r="GP113" s="375"/>
      <c r="GQ113" s="375"/>
      <c r="GS113" s="373"/>
      <c r="GT113" s="374"/>
      <c r="GU113" s="375"/>
      <c r="GV113" s="375"/>
      <c r="GX113" s="373"/>
      <c r="GY113" s="374"/>
      <c r="GZ113" s="375"/>
      <c r="HA113" s="375"/>
      <c r="HC113" s="373"/>
      <c r="HD113" s="374"/>
      <c r="HE113" s="375"/>
      <c r="HF113" s="375"/>
      <c r="HH113" s="373"/>
      <c r="HI113" s="374"/>
      <c r="HJ113" s="375"/>
      <c r="HK113" s="375"/>
      <c r="HM113" s="373"/>
      <c r="HN113" s="374"/>
      <c r="HO113" s="375"/>
      <c r="HP113" s="375"/>
      <c r="HR113" s="373"/>
      <c r="HS113" s="374"/>
      <c r="HT113" s="375"/>
      <c r="HU113" s="375"/>
      <c r="HW113" s="373"/>
      <c r="HX113" s="374"/>
      <c r="HY113" s="375"/>
      <c r="HZ113" s="375"/>
      <c r="IB113" s="373"/>
      <c r="IC113" s="374"/>
      <c r="ID113" s="375"/>
      <c r="IE113" s="375"/>
      <c r="IG113" s="373"/>
      <c r="IH113" s="374"/>
      <c r="II113" s="375"/>
      <c r="IJ113" s="375"/>
      <c r="IL113" s="373"/>
      <c r="IM113" s="374"/>
      <c r="IN113" s="375"/>
      <c r="IO113" s="375"/>
      <c r="IQ113" s="373"/>
      <c r="IR113" s="374"/>
      <c r="IS113" s="375"/>
      <c r="IT113" s="375"/>
      <c r="IV113" s="373"/>
    </row>
    <row r="114" spans="1:256" s="376" customFormat="1" x14ac:dyDescent="0.2">
      <c r="A114" s="373"/>
      <c r="B114" s="374"/>
      <c r="C114" s="375"/>
      <c r="D114" s="375"/>
      <c r="F114" s="373"/>
      <c r="G114" s="374"/>
      <c r="H114" s="375"/>
      <c r="I114" s="375"/>
      <c r="K114" s="373">
        <v>112</v>
      </c>
      <c r="L114" s="374" t="s">
        <v>389</v>
      </c>
      <c r="M114" s="375">
        <v>10.526315789473685</v>
      </c>
      <c r="N114" s="375">
        <v>7.8947368421052627E-2</v>
      </c>
      <c r="P114" s="373"/>
      <c r="Q114" s="374"/>
      <c r="R114" s="375"/>
      <c r="S114" s="375"/>
      <c r="U114" s="373"/>
      <c r="V114" s="374"/>
      <c r="W114" s="375"/>
      <c r="X114" s="375"/>
      <c r="Z114" s="373"/>
      <c r="AA114" s="374"/>
      <c r="AB114" s="375"/>
      <c r="AC114" s="375"/>
      <c r="AE114" s="373"/>
      <c r="AF114" s="374"/>
      <c r="AG114" s="375"/>
      <c r="AH114" s="375"/>
      <c r="AJ114" s="373"/>
      <c r="AK114" s="374"/>
      <c r="AL114" s="375"/>
      <c r="AM114" s="375"/>
      <c r="AO114" s="373"/>
      <c r="AP114" s="374"/>
      <c r="AQ114" s="375"/>
      <c r="AR114" s="375"/>
      <c r="AT114" s="373"/>
      <c r="AU114" s="374"/>
      <c r="AV114" s="375"/>
      <c r="AW114" s="375"/>
      <c r="AY114" s="373"/>
      <c r="AZ114" s="374"/>
      <c r="BA114" s="375"/>
      <c r="BB114" s="375"/>
      <c r="BD114" s="373"/>
      <c r="BE114" s="374"/>
      <c r="BF114" s="375"/>
      <c r="BG114" s="375"/>
      <c r="BI114" s="373"/>
      <c r="BJ114" s="374"/>
      <c r="BK114" s="375"/>
      <c r="BL114" s="375"/>
      <c r="BN114" s="373"/>
      <c r="BO114" s="374"/>
      <c r="BP114" s="375"/>
      <c r="BQ114" s="375"/>
      <c r="BS114" s="373"/>
      <c r="BT114" s="374"/>
      <c r="BU114" s="375"/>
      <c r="BV114" s="375"/>
      <c r="BX114" s="373"/>
      <c r="BY114" s="374"/>
      <c r="BZ114" s="375"/>
      <c r="CA114" s="375"/>
      <c r="CC114" s="373"/>
      <c r="CD114" s="374"/>
      <c r="CE114" s="375"/>
      <c r="CF114" s="375"/>
      <c r="CH114" s="373"/>
      <c r="CI114" s="374"/>
      <c r="CJ114" s="375"/>
      <c r="CK114" s="375"/>
      <c r="CM114" s="373"/>
      <c r="CN114" s="374"/>
      <c r="CO114" s="375"/>
      <c r="CP114" s="375"/>
      <c r="CR114" s="373"/>
      <c r="CS114" s="374"/>
      <c r="CT114" s="375"/>
      <c r="CU114" s="375"/>
      <c r="CW114" s="373"/>
      <c r="CX114" s="374"/>
      <c r="CY114" s="375"/>
      <c r="CZ114" s="375"/>
      <c r="DB114" s="373"/>
      <c r="DC114" s="374"/>
      <c r="DD114" s="375"/>
      <c r="DE114" s="375"/>
      <c r="DG114" s="373"/>
      <c r="DH114" s="374"/>
      <c r="DI114" s="375"/>
      <c r="DJ114" s="375"/>
      <c r="DL114" s="373"/>
      <c r="DM114" s="374"/>
      <c r="DN114" s="375"/>
      <c r="DO114" s="375"/>
      <c r="DQ114" s="373"/>
      <c r="DR114" s="374"/>
      <c r="DS114" s="375"/>
      <c r="DT114" s="375"/>
      <c r="DV114" s="373"/>
      <c r="DW114" s="374"/>
      <c r="DX114" s="375"/>
      <c r="DY114" s="375"/>
      <c r="EA114" s="373"/>
      <c r="EB114" s="374"/>
      <c r="EC114" s="375"/>
      <c r="ED114" s="375"/>
      <c r="EF114" s="373"/>
      <c r="EG114" s="374"/>
      <c r="EH114" s="375"/>
      <c r="EI114" s="375"/>
      <c r="EK114" s="373"/>
      <c r="EL114" s="374"/>
      <c r="EM114" s="375"/>
      <c r="EN114" s="375"/>
      <c r="EP114" s="373"/>
      <c r="EQ114" s="374"/>
      <c r="ER114" s="375"/>
      <c r="ES114" s="375"/>
      <c r="EU114" s="373"/>
      <c r="EV114" s="374"/>
      <c r="EW114" s="375"/>
      <c r="EX114" s="375"/>
      <c r="EZ114" s="373"/>
      <c r="FA114" s="374"/>
      <c r="FB114" s="375"/>
      <c r="FC114" s="375"/>
      <c r="FE114" s="373"/>
      <c r="FF114" s="374"/>
      <c r="FG114" s="375"/>
      <c r="FH114" s="375"/>
      <c r="FJ114" s="373"/>
      <c r="FK114" s="374"/>
      <c r="FL114" s="375"/>
      <c r="FM114" s="375"/>
      <c r="FO114" s="373"/>
      <c r="FP114" s="374"/>
      <c r="FQ114" s="375"/>
      <c r="FR114" s="375"/>
      <c r="FT114" s="373"/>
      <c r="FU114" s="374"/>
      <c r="FV114" s="375"/>
      <c r="FW114" s="375"/>
      <c r="FY114" s="373"/>
      <c r="FZ114" s="374"/>
      <c r="GA114" s="375"/>
      <c r="GB114" s="375"/>
      <c r="GD114" s="373"/>
      <c r="GE114" s="374"/>
      <c r="GF114" s="375"/>
      <c r="GG114" s="375"/>
      <c r="GI114" s="373"/>
      <c r="GJ114" s="374"/>
      <c r="GK114" s="375"/>
      <c r="GL114" s="375"/>
      <c r="GN114" s="373"/>
      <c r="GO114" s="374"/>
      <c r="GP114" s="375"/>
      <c r="GQ114" s="375"/>
      <c r="GS114" s="373"/>
      <c r="GT114" s="374"/>
      <c r="GU114" s="375"/>
      <c r="GV114" s="375"/>
      <c r="GX114" s="373"/>
      <c r="GY114" s="374"/>
      <c r="GZ114" s="375"/>
      <c r="HA114" s="375"/>
      <c r="HC114" s="373"/>
      <c r="HD114" s="374"/>
      <c r="HE114" s="375"/>
      <c r="HF114" s="375"/>
      <c r="HH114" s="373"/>
      <c r="HI114" s="374"/>
      <c r="HJ114" s="375"/>
      <c r="HK114" s="375"/>
      <c r="HM114" s="373"/>
      <c r="HN114" s="374"/>
      <c r="HO114" s="375"/>
      <c r="HP114" s="375"/>
      <c r="HR114" s="373"/>
      <c r="HS114" s="374"/>
      <c r="HT114" s="375"/>
      <c r="HU114" s="375"/>
      <c r="HW114" s="373"/>
      <c r="HX114" s="374"/>
      <c r="HY114" s="375"/>
      <c r="HZ114" s="375"/>
      <c r="IB114" s="373"/>
      <c r="IC114" s="374"/>
      <c r="ID114" s="375"/>
      <c r="IE114" s="375"/>
      <c r="IG114" s="373"/>
      <c r="IH114" s="374"/>
      <c r="II114" s="375"/>
      <c r="IJ114" s="375"/>
      <c r="IL114" s="373"/>
      <c r="IM114" s="374"/>
      <c r="IN114" s="375"/>
      <c r="IO114" s="375"/>
      <c r="IQ114" s="373"/>
      <c r="IR114" s="374"/>
      <c r="IS114" s="375"/>
      <c r="IT114" s="375"/>
      <c r="IV114" s="373"/>
    </row>
    <row r="115" spans="1:256" s="376" customFormat="1" x14ac:dyDescent="0.2">
      <c r="A115" s="373"/>
      <c r="B115" s="374"/>
      <c r="C115" s="375"/>
      <c r="D115" s="375"/>
      <c r="F115" s="373"/>
      <c r="G115" s="374"/>
      <c r="H115" s="375"/>
      <c r="I115" s="375"/>
      <c r="K115" s="373">
        <v>113</v>
      </c>
      <c r="L115" s="374" t="s">
        <v>394</v>
      </c>
      <c r="M115" s="375">
        <v>10.526315789473685</v>
      </c>
      <c r="N115" s="375">
        <v>7.8947368421052627E-2</v>
      </c>
      <c r="P115" s="373"/>
      <c r="Q115" s="374"/>
      <c r="R115" s="375"/>
      <c r="S115" s="375"/>
      <c r="U115" s="373"/>
      <c r="V115" s="374"/>
      <c r="W115" s="375"/>
      <c r="X115" s="375"/>
      <c r="Z115" s="373"/>
      <c r="AA115" s="374"/>
      <c r="AB115" s="375"/>
      <c r="AC115" s="375"/>
      <c r="AE115" s="373"/>
      <c r="AF115" s="374"/>
      <c r="AG115" s="375"/>
      <c r="AH115" s="375"/>
      <c r="AJ115" s="373"/>
      <c r="AK115" s="374"/>
      <c r="AL115" s="375"/>
      <c r="AM115" s="375"/>
      <c r="AO115" s="373"/>
      <c r="AP115" s="374"/>
      <c r="AQ115" s="375"/>
      <c r="AR115" s="375"/>
      <c r="AT115" s="373"/>
      <c r="AU115" s="374"/>
      <c r="AV115" s="375"/>
      <c r="AW115" s="375"/>
      <c r="AY115" s="373"/>
      <c r="AZ115" s="374"/>
      <c r="BA115" s="375"/>
      <c r="BB115" s="375"/>
      <c r="BD115" s="373"/>
      <c r="BE115" s="374"/>
      <c r="BF115" s="375"/>
      <c r="BG115" s="375"/>
      <c r="BI115" s="373"/>
      <c r="BJ115" s="374"/>
      <c r="BK115" s="375"/>
      <c r="BL115" s="375"/>
      <c r="BN115" s="373"/>
      <c r="BO115" s="374"/>
      <c r="BP115" s="375"/>
      <c r="BQ115" s="375"/>
      <c r="BS115" s="373"/>
      <c r="BT115" s="374"/>
      <c r="BU115" s="375"/>
      <c r="BV115" s="375"/>
      <c r="BX115" s="373"/>
      <c r="BY115" s="374"/>
      <c r="BZ115" s="375"/>
      <c r="CA115" s="375"/>
      <c r="CC115" s="373"/>
      <c r="CD115" s="374"/>
      <c r="CE115" s="375"/>
      <c r="CF115" s="375"/>
      <c r="CH115" s="373"/>
      <c r="CI115" s="374"/>
      <c r="CJ115" s="375"/>
      <c r="CK115" s="375"/>
      <c r="CM115" s="373"/>
      <c r="CN115" s="374"/>
      <c r="CO115" s="375"/>
      <c r="CP115" s="375"/>
      <c r="CR115" s="373"/>
      <c r="CS115" s="374"/>
      <c r="CT115" s="375"/>
      <c r="CU115" s="375"/>
      <c r="CW115" s="373"/>
      <c r="CX115" s="374"/>
      <c r="CY115" s="375"/>
      <c r="CZ115" s="375"/>
      <c r="DB115" s="373"/>
      <c r="DC115" s="374"/>
      <c r="DD115" s="375"/>
      <c r="DE115" s="375"/>
      <c r="DG115" s="373"/>
      <c r="DH115" s="374"/>
      <c r="DI115" s="375"/>
      <c r="DJ115" s="375"/>
      <c r="DL115" s="373"/>
      <c r="DM115" s="374"/>
      <c r="DN115" s="375"/>
      <c r="DO115" s="375"/>
      <c r="DQ115" s="373"/>
      <c r="DR115" s="374"/>
      <c r="DS115" s="375"/>
      <c r="DT115" s="375"/>
      <c r="DV115" s="373"/>
      <c r="DW115" s="374"/>
      <c r="DX115" s="375"/>
      <c r="DY115" s="375"/>
      <c r="EA115" s="373"/>
      <c r="EB115" s="374"/>
      <c r="EC115" s="375"/>
      <c r="ED115" s="375"/>
      <c r="EF115" s="373"/>
      <c r="EG115" s="374"/>
      <c r="EH115" s="375"/>
      <c r="EI115" s="375"/>
      <c r="EK115" s="373"/>
      <c r="EL115" s="374"/>
      <c r="EM115" s="375"/>
      <c r="EN115" s="375"/>
      <c r="EP115" s="373"/>
      <c r="EQ115" s="374"/>
      <c r="ER115" s="375"/>
      <c r="ES115" s="375"/>
      <c r="EU115" s="373"/>
      <c r="EV115" s="374"/>
      <c r="EW115" s="375"/>
      <c r="EX115" s="375"/>
      <c r="EZ115" s="373"/>
      <c r="FA115" s="374"/>
      <c r="FB115" s="375"/>
      <c r="FC115" s="375"/>
      <c r="FE115" s="373"/>
      <c r="FF115" s="374"/>
      <c r="FG115" s="375"/>
      <c r="FH115" s="375"/>
      <c r="FJ115" s="373"/>
      <c r="FK115" s="374"/>
      <c r="FL115" s="375"/>
      <c r="FM115" s="375"/>
      <c r="FO115" s="373"/>
      <c r="FP115" s="374"/>
      <c r="FQ115" s="375"/>
      <c r="FR115" s="375"/>
      <c r="FT115" s="373"/>
      <c r="FU115" s="374"/>
      <c r="FV115" s="375"/>
      <c r="FW115" s="375"/>
      <c r="FY115" s="373"/>
      <c r="FZ115" s="374"/>
      <c r="GA115" s="375"/>
      <c r="GB115" s="375"/>
      <c r="GD115" s="373"/>
      <c r="GE115" s="374"/>
      <c r="GF115" s="375"/>
      <c r="GG115" s="375"/>
      <c r="GI115" s="373"/>
      <c r="GJ115" s="374"/>
      <c r="GK115" s="375"/>
      <c r="GL115" s="375"/>
      <c r="GN115" s="373"/>
      <c r="GO115" s="374"/>
      <c r="GP115" s="375"/>
      <c r="GQ115" s="375"/>
      <c r="GS115" s="373"/>
      <c r="GT115" s="374"/>
      <c r="GU115" s="375"/>
      <c r="GV115" s="375"/>
      <c r="GX115" s="373"/>
      <c r="GY115" s="374"/>
      <c r="GZ115" s="375"/>
      <c r="HA115" s="375"/>
      <c r="HC115" s="373"/>
      <c r="HD115" s="374"/>
      <c r="HE115" s="375"/>
      <c r="HF115" s="375"/>
      <c r="HH115" s="373"/>
      <c r="HI115" s="374"/>
      <c r="HJ115" s="375"/>
      <c r="HK115" s="375"/>
      <c r="HM115" s="373"/>
      <c r="HN115" s="374"/>
      <c r="HO115" s="375"/>
      <c r="HP115" s="375"/>
      <c r="HR115" s="373"/>
      <c r="HS115" s="374"/>
      <c r="HT115" s="375"/>
      <c r="HU115" s="375"/>
      <c r="HW115" s="373"/>
      <c r="HX115" s="374"/>
      <c r="HY115" s="375"/>
      <c r="HZ115" s="375"/>
      <c r="IB115" s="373"/>
      <c r="IC115" s="374"/>
      <c r="ID115" s="375"/>
      <c r="IE115" s="375"/>
      <c r="IG115" s="373"/>
      <c r="IH115" s="374"/>
      <c r="II115" s="375"/>
      <c r="IJ115" s="375"/>
      <c r="IL115" s="373"/>
      <c r="IM115" s="374"/>
      <c r="IN115" s="375"/>
      <c r="IO115" s="375"/>
      <c r="IQ115" s="373"/>
      <c r="IR115" s="374"/>
      <c r="IS115" s="375"/>
      <c r="IT115" s="375"/>
      <c r="IV115" s="373"/>
    </row>
    <row r="116" spans="1:256" s="376" customFormat="1" x14ac:dyDescent="0.2">
      <c r="A116" s="373"/>
      <c r="B116" s="374"/>
      <c r="C116" s="375"/>
      <c r="D116" s="375"/>
      <c r="F116" s="373"/>
      <c r="G116" s="374"/>
      <c r="H116" s="375"/>
      <c r="I116" s="375"/>
      <c r="K116" s="382">
        <v>114</v>
      </c>
      <c r="L116" s="383" t="s">
        <v>2589</v>
      </c>
      <c r="M116" s="384">
        <v>10.526315789473685</v>
      </c>
      <c r="N116" s="384">
        <v>7.8947368421052627E-2</v>
      </c>
      <c r="P116" s="373"/>
      <c r="Q116" s="374"/>
      <c r="R116" s="375"/>
      <c r="S116" s="375"/>
      <c r="U116" s="373"/>
      <c r="V116" s="374"/>
      <c r="W116" s="375"/>
      <c r="X116" s="375"/>
      <c r="Z116" s="373"/>
      <c r="AA116" s="374"/>
      <c r="AB116" s="375"/>
      <c r="AC116" s="375"/>
      <c r="AE116" s="373"/>
      <c r="AF116" s="374"/>
      <c r="AG116" s="375"/>
      <c r="AH116" s="375"/>
      <c r="AJ116" s="373"/>
      <c r="AK116" s="374"/>
      <c r="AL116" s="375"/>
      <c r="AM116" s="375"/>
      <c r="AO116" s="373"/>
      <c r="AP116" s="374"/>
      <c r="AQ116" s="375"/>
      <c r="AR116" s="375"/>
      <c r="AT116" s="373"/>
      <c r="AU116" s="374"/>
      <c r="AV116" s="375"/>
      <c r="AW116" s="375"/>
      <c r="AY116" s="373"/>
      <c r="AZ116" s="374"/>
      <c r="BA116" s="375"/>
      <c r="BB116" s="375"/>
      <c r="BD116" s="373"/>
      <c r="BE116" s="374"/>
      <c r="BF116" s="375"/>
      <c r="BG116" s="375"/>
      <c r="BI116" s="373"/>
      <c r="BJ116" s="374"/>
      <c r="BK116" s="375"/>
      <c r="BL116" s="375"/>
      <c r="BN116" s="373"/>
      <c r="BO116" s="374"/>
      <c r="BP116" s="375"/>
      <c r="BQ116" s="375"/>
      <c r="BS116" s="373"/>
      <c r="BT116" s="374"/>
      <c r="BU116" s="375"/>
      <c r="BV116" s="375"/>
      <c r="BX116" s="373"/>
      <c r="BY116" s="374"/>
      <c r="BZ116" s="375"/>
      <c r="CA116" s="375"/>
      <c r="CC116" s="373"/>
      <c r="CD116" s="374"/>
      <c r="CE116" s="375"/>
      <c r="CF116" s="375"/>
      <c r="CH116" s="373"/>
      <c r="CI116" s="374"/>
      <c r="CJ116" s="375"/>
      <c r="CK116" s="375"/>
      <c r="CM116" s="373"/>
      <c r="CN116" s="374"/>
      <c r="CO116" s="375"/>
      <c r="CP116" s="375"/>
      <c r="CR116" s="373"/>
      <c r="CS116" s="374"/>
      <c r="CT116" s="375"/>
      <c r="CU116" s="375"/>
      <c r="CW116" s="373"/>
      <c r="CX116" s="374"/>
      <c r="CY116" s="375"/>
      <c r="CZ116" s="375"/>
      <c r="DB116" s="373"/>
      <c r="DC116" s="374"/>
      <c r="DD116" s="375"/>
      <c r="DE116" s="375"/>
      <c r="DG116" s="373"/>
      <c r="DH116" s="374"/>
      <c r="DI116" s="375"/>
      <c r="DJ116" s="375"/>
      <c r="DL116" s="373"/>
      <c r="DM116" s="374"/>
      <c r="DN116" s="375"/>
      <c r="DO116" s="375"/>
      <c r="DQ116" s="373"/>
      <c r="DR116" s="374"/>
      <c r="DS116" s="375"/>
      <c r="DT116" s="375"/>
      <c r="DV116" s="373"/>
      <c r="DW116" s="374"/>
      <c r="DX116" s="375"/>
      <c r="DY116" s="375"/>
      <c r="EA116" s="373"/>
      <c r="EB116" s="374"/>
      <c r="EC116" s="375"/>
      <c r="ED116" s="375"/>
      <c r="EF116" s="373"/>
      <c r="EG116" s="374"/>
      <c r="EH116" s="375"/>
      <c r="EI116" s="375"/>
      <c r="EK116" s="373"/>
      <c r="EL116" s="374"/>
      <c r="EM116" s="375"/>
      <c r="EN116" s="375"/>
      <c r="EP116" s="373"/>
      <c r="EQ116" s="374"/>
      <c r="ER116" s="375"/>
      <c r="ES116" s="375"/>
      <c r="EU116" s="373"/>
      <c r="EV116" s="374"/>
      <c r="EW116" s="375"/>
      <c r="EX116" s="375"/>
      <c r="EZ116" s="373"/>
      <c r="FA116" s="374"/>
      <c r="FB116" s="375"/>
      <c r="FC116" s="375"/>
      <c r="FE116" s="373"/>
      <c r="FF116" s="374"/>
      <c r="FG116" s="375"/>
      <c r="FH116" s="375"/>
      <c r="FJ116" s="373"/>
      <c r="FK116" s="374"/>
      <c r="FL116" s="375"/>
      <c r="FM116" s="375"/>
      <c r="FO116" s="373"/>
      <c r="FP116" s="374"/>
      <c r="FQ116" s="375"/>
      <c r="FR116" s="375"/>
      <c r="FT116" s="373"/>
      <c r="FU116" s="374"/>
      <c r="FV116" s="375"/>
      <c r="FW116" s="375"/>
      <c r="FY116" s="373"/>
      <c r="FZ116" s="374"/>
      <c r="GA116" s="375"/>
      <c r="GB116" s="375"/>
      <c r="GD116" s="373"/>
      <c r="GE116" s="374"/>
      <c r="GF116" s="375"/>
      <c r="GG116" s="375"/>
      <c r="GI116" s="373"/>
      <c r="GJ116" s="374"/>
      <c r="GK116" s="375"/>
      <c r="GL116" s="375"/>
      <c r="GN116" s="373"/>
      <c r="GO116" s="374"/>
      <c r="GP116" s="375"/>
      <c r="GQ116" s="375"/>
      <c r="GS116" s="373"/>
      <c r="GT116" s="374"/>
      <c r="GU116" s="375"/>
      <c r="GV116" s="375"/>
      <c r="GX116" s="373"/>
      <c r="GY116" s="374"/>
      <c r="GZ116" s="375"/>
      <c r="HA116" s="375"/>
      <c r="HC116" s="373"/>
      <c r="HD116" s="374"/>
      <c r="HE116" s="375"/>
      <c r="HF116" s="375"/>
      <c r="HH116" s="373"/>
      <c r="HI116" s="374"/>
      <c r="HJ116" s="375"/>
      <c r="HK116" s="375"/>
      <c r="HM116" s="373"/>
      <c r="HN116" s="374"/>
      <c r="HO116" s="375"/>
      <c r="HP116" s="375"/>
      <c r="HR116" s="373"/>
      <c r="HS116" s="374"/>
      <c r="HT116" s="375"/>
      <c r="HU116" s="375"/>
      <c r="HW116" s="373"/>
      <c r="HX116" s="374"/>
      <c r="HY116" s="375"/>
      <c r="HZ116" s="375"/>
      <c r="IB116" s="373"/>
      <c r="IC116" s="374"/>
      <c r="ID116" s="375"/>
      <c r="IE116" s="375"/>
      <c r="IG116" s="373"/>
      <c r="IH116" s="374"/>
      <c r="II116" s="375"/>
      <c r="IJ116" s="375"/>
      <c r="IL116" s="373"/>
      <c r="IM116" s="374"/>
      <c r="IN116" s="375"/>
      <c r="IO116" s="375"/>
      <c r="IQ116" s="373"/>
      <c r="IR116" s="374"/>
      <c r="IS116" s="375"/>
      <c r="IT116" s="375"/>
      <c r="IV116" s="373"/>
    </row>
    <row r="117" spans="1:256" s="376" customFormat="1" x14ac:dyDescent="0.2">
      <c r="A117" s="373"/>
      <c r="B117" s="374"/>
      <c r="C117" s="375"/>
      <c r="D117" s="375"/>
      <c r="F117" s="373"/>
      <c r="G117" s="374"/>
      <c r="H117" s="375"/>
      <c r="I117" s="375"/>
      <c r="K117" s="373">
        <v>115</v>
      </c>
      <c r="L117" s="374" t="s">
        <v>440</v>
      </c>
      <c r="M117" s="375">
        <v>10.526315789473685</v>
      </c>
      <c r="N117" s="375">
        <v>7.8947368421052627E-2</v>
      </c>
      <c r="P117" s="373"/>
      <c r="Q117" s="374"/>
      <c r="R117" s="375"/>
      <c r="S117" s="375"/>
      <c r="U117" s="373"/>
      <c r="V117" s="374"/>
      <c r="W117" s="375"/>
      <c r="X117" s="375"/>
      <c r="Z117" s="373"/>
      <c r="AA117" s="374"/>
      <c r="AB117" s="375"/>
      <c r="AC117" s="375"/>
      <c r="AE117" s="373"/>
      <c r="AF117" s="374"/>
      <c r="AG117" s="375"/>
      <c r="AH117" s="375"/>
      <c r="AJ117" s="373"/>
      <c r="AK117" s="374"/>
      <c r="AL117" s="375"/>
      <c r="AM117" s="375"/>
      <c r="AO117" s="373"/>
      <c r="AP117" s="374"/>
      <c r="AQ117" s="375"/>
      <c r="AR117" s="375"/>
      <c r="AT117" s="373"/>
      <c r="AU117" s="374"/>
      <c r="AV117" s="375"/>
      <c r="AW117" s="375"/>
      <c r="AY117" s="373"/>
      <c r="AZ117" s="374"/>
      <c r="BA117" s="375"/>
      <c r="BB117" s="375"/>
      <c r="BD117" s="373"/>
      <c r="BE117" s="374"/>
      <c r="BF117" s="375"/>
      <c r="BG117" s="375"/>
      <c r="BI117" s="373"/>
      <c r="BJ117" s="374"/>
      <c r="BK117" s="375"/>
      <c r="BL117" s="375"/>
      <c r="BN117" s="373"/>
      <c r="BO117" s="374"/>
      <c r="BP117" s="375"/>
      <c r="BQ117" s="375"/>
      <c r="BS117" s="373"/>
      <c r="BT117" s="374"/>
      <c r="BU117" s="375"/>
      <c r="BV117" s="375"/>
      <c r="BX117" s="373"/>
      <c r="BY117" s="374"/>
      <c r="BZ117" s="375"/>
      <c r="CA117" s="375"/>
      <c r="CC117" s="373"/>
      <c r="CD117" s="374"/>
      <c r="CE117" s="375"/>
      <c r="CF117" s="375"/>
      <c r="CH117" s="373"/>
      <c r="CI117" s="374"/>
      <c r="CJ117" s="375"/>
      <c r="CK117" s="375"/>
      <c r="CM117" s="373"/>
      <c r="CN117" s="374"/>
      <c r="CO117" s="375"/>
      <c r="CP117" s="375"/>
      <c r="CR117" s="373"/>
      <c r="CS117" s="374"/>
      <c r="CT117" s="375"/>
      <c r="CU117" s="375"/>
      <c r="CW117" s="373"/>
      <c r="CX117" s="374"/>
      <c r="CY117" s="375"/>
      <c r="CZ117" s="375"/>
      <c r="DB117" s="373"/>
      <c r="DC117" s="374"/>
      <c r="DD117" s="375"/>
      <c r="DE117" s="375"/>
      <c r="DG117" s="373"/>
      <c r="DH117" s="374"/>
      <c r="DI117" s="375"/>
      <c r="DJ117" s="375"/>
      <c r="DL117" s="373"/>
      <c r="DM117" s="374"/>
      <c r="DN117" s="375"/>
      <c r="DO117" s="375"/>
      <c r="DQ117" s="373"/>
      <c r="DR117" s="374"/>
      <c r="DS117" s="375"/>
      <c r="DT117" s="375"/>
      <c r="DV117" s="373"/>
      <c r="DW117" s="374"/>
      <c r="DX117" s="375"/>
      <c r="DY117" s="375"/>
      <c r="EA117" s="373"/>
      <c r="EB117" s="374"/>
      <c r="EC117" s="375"/>
      <c r="ED117" s="375"/>
      <c r="EF117" s="373"/>
      <c r="EG117" s="374"/>
      <c r="EH117" s="375"/>
      <c r="EI117" s="375"/>
      <c r="EK117" s="373"/>
      <c r="EL117" s="374"/>
      <c r="EM117" s="375"/>
      <c r="EN117" s="375"/>
      <c r="EP117" s="373"/>
      <c r="EQ117" s="374"/>
      <c r="ER117" s="375"/>
      <c r="ES117" s="375"/>
      <c r="EU117" s="373"/>
      <c r="EV117" s="374"/>
      <c r="EW117" s="375"/>
      <c r="EX117" s="375"/>
      <c r="EZ117" s="373"/>
      <c r="FA117" s="374"/>
      <c r="FB117" s="375"/>
      <c r="FC117" s="375"/>
      <c r="FE117" s="373"/>
      <c r="FF117" s="374"/>
      <c r="FG117" s="375"/>
      <c r="FH117" s="375"/>
      <c r="FJ117" s="373"/>
      <c r="FK117" s="374"/>
      <c r="FL117" s="375"/>
      <c r="FM117" s="375"/>
      <c r="FO117" s="373"/>
      <c r="FP117" s="374"/>
      <c r="FQ117" s="375"/>
      <c r="FR117" s="375"/>
      <c r="FT117" s="373"/>
      <c r="FU117" s="374"/>
      <c r="FV117" s="375"/>
      <c r="FW117" s="375"/>
      <c r="FY117" s="373"/>
      <c r="FZ117" s="374"/>
      <c r="GA117" s="375"/>
      <c r="GB117" s="375"/>
      <c r="GD117" s="373"/>
      <c r="GE117" s="374"/>
      <c r="GF117" s="375"/>
      <c r="GG117" s="375"/>
      <c r="GI117" s="373"/>
      <c r="GJ117" s="374"/>
      <c r="GK117" s="375"/>
      <c r="GL117" s="375"/>
      <c r="GN117" s="373"/>
      <c r="GO117" s="374"/>
      <c r="GP117" s="375"/>
      <c r="GQ117" s="375"/>
      <c r="GS117" s="373"/>
      <c r="GT117" s="374"/>
      <c r="GU117" s="375"/>
      <c r="GV117" s="375"/>
      <c r="GX117" s="373"/>
      <c r="GY117" s="374"/>
      <c r="GZ117" s="375"/>
      <c r="HA117" s="375"/>
      <c r="HC117" s="373"/>
      <c r="HD117" s="374"/>
      <c r="HE117" s="375"/>
      <c r="HF117" s="375"/>
      <c r="HH117" s="373"/>
      <c r="HI117" s="374"/>
      <c r="HJ117" s="375"/>
      <c r="HK117" s="375"/>
      <c r="HM117" s="373"/>
      <c r="HN117" s="374"/>
      <c r="HO117" s="375"/>
      <c r="HP117" s="375"/>
      <c r="HR117" s="373"/>
      <c r="HS117" s="374"/>
      <c r="HT117" s="375"/>
      <c r="HU117" s="375"/>
      <c r="HW117" s="373"/>
      <c r="HX117" s="374"/>
      <c r="HY117" s="375"/>
      <c r="HZ117" s="375"/>
      <c r="IB117" s="373"/>
      <c r="IC117" s="374"/>
      <c r="ID117" s="375"/>
      <c r="IE117" s="375"/>
      <c r="IG117" s="373"/>
      <c r="IH117" s="374"/>
      <c r="II117" s="375"/>
      <c r="IJ117" s="375"/>
      <c r="IL117" s="373"/>
      <c r="IM117" s="374"/>
      <c r="IN117" s="375"/>
      <c r="IO117" s="375"/>
      <c r="IQ117" s="373"/>
      <c r="IR117" s="374"/>
      <c r="IS117" s="375"/>
      <c r="IT117" s="375"/>
      <c r="IV117" s="373"/>
    </row>
    <row r="118" spans="1:256" s="376" customFormat="1" x14ac:dyDescent="0.2">
      <c r="A118" s="373"/>
      <c r="B118" s="374"/>
      <c r="C118" s="375"/>
      <c r="D118" s="375"/>
      <c r="F118" s="373"/>
      <c r="G118" s="374"/>
      <c r="H118" s="375"/>
      <c r="I118" s="375"/>
      <c r="K118" s="382">
        <v>116</v>
      </c>
      <c r="L118" s="383" t="s">
        <v>452</v>
      </c>
      <c r="M118" s="384">
        <v>15.789473684210526</v>
      </c>
      <c r="N118" s="384">
        <v>7.8947368421052627E-2</v>
      </c>
      <c r="P118" s="373"/>
      <c r="Q118" s="374"/>
      <c r="R118" s="375"/>
      <c r="S118" s="375"/>
      <c r="U118" s="373"/>
      <c r="V118" s="374"/>
      <c r="W118" s="375"/>
      <c r="X118" s="375"/>
      <c r="Z118" s="373"/>
      <c r="AA118" s="374"/>
      <c r="AB118" s="375"/>
      <c r="AC118" s="375"/>
      <c r="AE118" s="373"/>
      <c r="AF118" s="374"/>
      <c r="AG118" s="375"/>
      <c r="AH118" s="375"/>
      <c r="AJ118" s="373"/>
      <c r="AK118" s="374"/>
      <c r="AL118" s="375"/>
      <c r="AM118" s="375"/>
      <c r="AO118" s="373"/>
      <c r="AP118" s="374"/>
      <c r="AQ118" s="375"/>
      <c r="AR118" s="375"/>
      <c r="AT118" s="373"/>
      <c r="AU118" s="374"/>
      <c r="AV118" s="375"/>
      <c r="AW118" s="375"/>
      <c r="AY118" s="373"/>
      <c r="AZ118" s="374"/>
      <c r="BA118" s="375"/>
      <c r="BB118" s="375"/>
      <c r="BD118" s="373"/>
      <c r="BE118" s="374"/>
      <c r="BF118" s="375"/>
      <c r="BG118" s="375"/>
      <c r="BI118" s="373"/>
      <c r="BJ118" s="374"/>
      <c r="BK118" s="375"/>
      <c r="BL118" s="375"/>
      <c r="BN118" s="373"/>
      <c r="BO118" s="374"/>
      <c r="BP118" s="375"/>
      <c r="BQ118" s="375"/>
      <c r="BS118" s="373"/>
      <c r="BT118" s="374"/>
      <c r="BU118" s="375"/>
      <c r="BV118" s="375"/>
      <c r="BX118" s="373"/>
      <c r="BY118" s="374"/>
      <c r="BZ118" s="375"/>
      <c r="CA118" s="375"/>
      <c r="CC118" s="373"/>
      <c r="CD118" s="374"/>
      <c r="CE118" s="375"/>
      <c r="CF118" s="375"/>
      <c r="CH118" s="373"/>
      <c r="CI118" s="374"/>
      <c r="CJ118" s="375"/>
      <c r="CK118" s="375"/>
      <c r="CM118" s="373"/>
      <c r="CN118" s="374"/>
      <c r="CO118" s="375"/>
      <c r="CP118" s="375"/>
      <c r="CR118" s="373"/>
      <c r="CS118" s="374"/>
      <c r="CT118" s="375"/>
      <c r="CU118" s="375"/>
      <c r="CW118" s="373"/>
      <c r="CX118" s="374"/>
      <c r="CY118" s="375"/>
      <c r="CZ118" s="375"/>
      <c r="DB118" s="373"/>
      <c r="DC118" s="374"/>
      <c r="DD118" s="375"/>
      <c r="DE118" s="375"/>
      <c r="DG118" s="373"/>
      <c r="DH118" s="374"/>
      <c r="DI118" s="375"/>
      <c r="DJ118" s="375"/>
      <c r="DL118" s="373"/>
      <c r="DM118" s="374"/>
      <c r="DN118" s="375"/>
      <c r="DO118" s="375"/>
      <c r="DQ118" s="373"/>
      <c r="DR118" s="374"/>
      <c r="DS118" s="375"/>
      <c r="DT118" s="375"/>
      <c r="DV118" s="373"/>
      <c r="DW118" s="374"/>
      <c r="DX118" s="375"/>
      <c r="DY118" s="375"/>
      <c r="EA118" s="373"/>
      <c r="EB118" s="374"/>
      <c r="EC118" s="375"/>
      <c r="ED118" s="375"/>
      <c r="EF118" s="373"/>
      <c r="EG118" s="374"/>
      <c r="EH118" s="375"/>
      <c r="EI118" s="375"/>
      <c r="EK118" s="373"/>
      <c r="EL118" s="374"/>
      <c r="EM118" s="375"/>
      <c r="EN118" s="375"/>
      <c r="EP118" s="373"/>
      <c r="EQ118" s="374"/>
      <c r="ER118" s="375"/>
      <c r="ES118" s="375"/>
      <c r="EU118" s="373"/>
      <c r="EV118" s="374"/>
      <c r="EW118" s="375"/>
      <c r="EX118" s="375"/>
      <c r="EZ118" s="373"/>
      <c r="FA118" s="374"/>
      <c r="FB118" s="375"/>
      <c r="FC118" s="375"/>
      <c r="FE118" s="373"/>
      <c r="FF118" s="374"/>
      <c r="FG118" s="375"/>
      <c r="FH118" s="375"/>
      <c r="FJ118" s="373"/>
      <c r="FK118" s="374"/>
      <c r="FL118" s="375"/>
      <c r="FM118" s="375"/>
      <c r="FO118" s="373"/>
      <c r="FP118" s="374"/>
      <c r="FQ118" s="375"/>
      <c r="FR118" s="375"/>
      <c r="FT118" s="373"/>
      <c r="FU118" s="374"/>
      <c r="FV118" s="375"/>
      <c r="FW118" s="375"/>
      <c r="FY118" s="373"/>
      <c r="FZ118" s="374"/>
      <c r="GA118" s="375"/>
      <c r="GB118" s="375"/>
      <c r="GD118" s="373"/>
      <c r="GE118" s="374"/>
      <c r="GF118" s="375"/>
      <c r="GG118" s="375"/>
      <c r="GI118" s="373"/>
      <c r="GJ118" s="374"/>
      <c r="GK118" s="375"/>
      <c r="GL118" s="375"/>
      <c r="GN118" s="373"/>
      <c r="GO118" s="374"/>
      <c r="GP118" s="375"/>
      <c r="GQ118" s="375"/>
      <c r="GS118" s="373"/>
      <c r="GT118" s="374"/>
      <c r="GU118" s="375"/>
      <c r="GV118" s="375"/>
      <c r="GX118" s="373"/>
      <c r="GY118" s="374"/>
      <c r="GZ118" s="375"/>
      <c r="HA118" s="375"/>
      <c r="HC118" s="373"/>
      <c r="HD118" s="374"/>
      <c r="HE118" s="375"/>
      <c r="HF118" s="375"/>
      <c r="HH118" s="373"/>
      <c r="HI118" s="374"/>
      <c r="HJ118" s="375"/>
      <c r="HK118" s="375"/>
      <c r="HM118" s="373"/>
      <c r="HN118" s="374"/>
      <c r="HO118" s="375"/>
      <c r="HP118" s="375"/>
      <c r="HR118" s="373"/>
      <c r="HS118" s="374"/>
      <c r="HT118" s="375"/>
      <c r="HU118" s="375"/>
      <c r="HW118" s="373"/>
      <c r="HX118" s="374"/>
      <c r="HY118" s="375"/>
      <c r="HZ118" s="375"/>
      <c r="IB118" s="373"/>
      <c r="IC118" s="374"/>
      <c r="ID118" s="375"/>
      <c r="IE118" s="375"/>
      <c r="IG118" s="373"/>
      <c r="IH118" s="374"/>
      <c r="II118" s="375"/>
      <c r="IJ118" s="375"/>
      <c r="IL118" s="373"/>
      <c r="IM118" s="374"/>
      <c r="IN118" s="375"/>
      <c r="IO118" s="375"/>
      <c r="IQ118" s="373"/>
      <c r="IR118" s="374"/>
      <c r="IS118" s="375"/>
      <c r="IT118" s="375"/>
      <c r="IV118" s="373"/>
    </row>
    <row r="119" spans="1:256" s="376" customFormat="1" x14ac:dyDescent="0.2">
      <c r="A119" s="373"/>
      <c r="B119" s="374"/>
      <c r="C119" s="375"/>
      <c r="D119" s="375"/>
      <c r="F119" s="373"/>
      <c r="G119" s="374"/>
      <c r="H119" s="375"/>
      <c r="I119" s="375"/>
      <c r="K119" s="373">
        <v>117</v>
      </c>
      <c r="L119" s="374" t="s">
        <v>593</v>
      </c>
      <c r="M119" s="375">
        <v>10.526315789473685</v>
      </c>
      <c r="N119" s="375">
        <v>7.8947368421052627E-2</v>
      </c>
      <c r="P119" s="373"/>
      <c r="Q119" s="374"/>
      <c r="R119" s="375"/>
      <c r="S119" s="375"/>
      <c r="U119" s="373"/>
      <c r="V119" s="374"/>
      <c r="W119" s="375"/>
      <c r="X119" s="375"/>
      <c r="Z119" s="373"/>
      <c r="AA119" s="374"/>
      <c r="AB119" s="375"/>
      <c r="AC119" s="375"/>
      <c r="AE119" s="373"/>
      <c r="AF119" s="374"/>
      <c r="AG119" s="375"/>
      <c r="AH119" s="375"/>
      <c r="AJ119" s="373"/>
      <c r="AK119" s="374"/>
      <c r="AL119" s="375"/>
      <c r="AM119" s="375"/>
      <c r="AO119" s="373"/>
      <c r="AP119" s="374"/>
      <c r="AQ119" s="375"/>
      <c r="AR119" s="375"/>
      <c r="AT119" s="373"/>
      <c r="AU119" s="374"/>
      <c r="AV119" s="375"/>
      <c r="AW119" s="375"/>
      <c r="AY119" s="373"/>
      <c r="AZ119" s="374"/>
      <c r="BA119" s="375"/>
      <c r="BB119" s="375"/>
      <c r="BD119" s="373"/>
      <c r="BE119" s="374"/>
      <c r="BF119" s="375"/>
      <c r="BG119" s="375"/>
      <c r="BI119" s="373"/>
      <c r="BJ119" s="374"/>
      <c r="BK119" s="375"/>
      <c r="BL119" s="375"/>
      <c r="BN119" s="373"/>
      <c r="BO119" s="374"/>
      <c r="BP119" s="375"/>
      <c r="BQ119" s="375"/>
      <c r="BS119" s="373"/>
      <c r="BT119" s="374"/>
      <c r="BU119" s="375"/>
      <c r="BV119" s="375"/>
      <c r="BX119" s="373"/>
      <c r="BY119" s="374"/>
      <c r="BZ119" s="375"/>
      <c r="CA119" s="375"/>
      <c r="CC119" s="373"/>
      <c r="CD119" s="374"/>
      <c r="CE119" s="375"/>
      <c r="CF119" s="375"/>
      <c r="CH119" s="373"/>
      <c r="CI119" s="374"/>
      <c r="CJ119" s="375"/>
      <c r="CK119" s="375"/>
      <c r="CM119" s="373"/>
      <c r="CN119" s="374"/>
      <c r="CO119" s="375"/>
      <c r="CP119" s="375"/>
      <c r="CR119" s="373"/>
      <c r="CS119" s="374"/>
      <c r="CT119" s="375"/>
      <c r="CU119" s="375"/>
      <c r="CW119" s="373"/>
      <c r="CX119" s="374"/>
      <c r="CY119" s="375"/>
      <c r="CZ119" s="375"/>
      <c r="DB119" s="373"/>
      <c r="DC119" s="374"/>
      <c r="DD119" s="375"/>
      <c r="DE119" s="375"/>
      <c r="DG119" s="373"/>
      <c r="DH119" s="374"/>
      <c r="DI119" s="375"/>
      <c r="DJ119" s="375"/>
      <c r="DL119" s="373"/>
      <c r="DM119" s="374"/>
      <c r="DN119" s="375"/>
      <c r="DO119" s="375"/>
      <c r="DQ119" s="373"/>
      <c r="DR119" s="374"/>
      <c r="DS119" s="375"/>
      <c r="DT119" s="375"/>
      <c r="DV119" s="373"/>
      <c r="DW119" s="374"/>
      <c r="DX119" s="375"/>
      <c r="DY119" s="375"/>
      <c r="EA119" s="373"/>
      <c r="EB119" s="374"/>
      <c r="EC119" s="375"/>
      <c r="ED119" s="375"/>
      <c r="EF119" s="373"/>
      <c r="EG119" s="374"/>
      <c r="EH119" s="375"/>
      <c r="EI119" s="375"/>
      <c r="EK119" s="373"/>
      <c r="EL119" s="374"/>
      <c r="EM119" s="375"/>
      <c r="EN119" s="375"/>
      <c r="EP119" s="373"/>
      <c r="EQ119" s="374"/>
      <c r="ER119" s="375"/>
      <c r="ES119" s="375"/>
      <c r="EU119" s="373"/>
      <c r="EV119" s="374"/>
      <c r="EW119" s="375"/>
      <c r="EX119" s="375"/>
      <c r="EZ119" s="373"/>
      <c r="FA119" s="374"/>
      <c r="FB119" s="375"/>
      <c r="FC119" s="375"/>
      <c r="FE119" s="373"/>
      <c r="FF119" s="374"/>
      <c r="FG119" s="375"/>
      <c r="FH119" s="375"/>
      <c r="FJ119" s="373"/>
      <c r="FK119" s="374"/>
      <c r="FL119" s="375"/>
      <c r="FM119" s="375"/>
      <c r="FO119" s="373"/>
      <c r="FP119" s="374"/>
      <c r="FQ119" s="375"/>
      <c r="FR119" s="375"/>
      <c r="FT119" s="373"/>
      <c r="FU119" s="374"/>
      <c r="FV119" s="375"/>
      <c r="FW119" s="375"/>
      <c r="FY119" s="373"/>
      <c r="FZ119" s="374"/>
      <c r="GA119" s="375"/>
      <c r="GB119" s="375"/>
      <c r="GD119" s="373"/>
      <c r="GE119" s="374"/>
      <c r="GF119" s="375"/>
      <c r="GG119" s="375"/>
      <c r="GI119" s="373"/>
      <c r="GJ119" s="374"/>
      <c r="GK119" s="375"/>
      <c r="GL119" s="375"/>
      <c r="GN119" s="373"/>
      <c r="GO119" s="374"/>
      <c r="GP119" s="375"/>
      <c r="GQ119" s="375"/>
      <c r="GS119" s="373"/>
      <c r="GT119" s="374"/>
      <c r="GU119" s="375"/>
      <c r="GV119" s="375"/>
      <c r="GX119" s="373"/>
      <c r="GY119" s="374"/>
      <c r="GZ119" s="375"/>
      <c r="HA119" s="375"/>
      <c r="HC119" s="373"/>
      <c r="HD119" s="374"/>
      <c r="HE119" s="375"/>
      <c r="HF119" s="375"/>
      <c r="HH119" s="373"/>
      <c r="HI119" s="374"/>
      <c r="HJ119" s="375"/>
      <c r="HK119" s="375"/>
      <c r="HM119" s="373"/>
      <c r="HN119" s="374"/>
      <c r="HO119" s="375"/>
      <c r="HP119" s="375"/>
      <c r="HR119" s="373"/>
      <c r="HS119" s="374"/>
      <c r="HT119" s="375"/>
      <c r="HU119" s="375"/>
      <c r="HW119" s="373"/>
      <c r="HX119" s="374"/>
      <c r="HY119" s="375"/>
      <c r="HZ119" s="375"/>
      <c r="IB119" s="373"/>
      <c r="IC119" s="374"/>
      <c r="ID119" s="375"/>
      <c r="IE119" s="375"/>
      <c r="IG119" s="373"/>
      <c r="IH119" s="374"/>
      <c r="II119" s="375"/>
      <c r="IJ119" s="375"/>
      <c r="IL119" s="373"/>
      <c r="IM119" s="374"/>
      <c r="IN119" s="375"/>
      <c r="IO119" s="375"/>
      <c r="IQ119" s="373"/>
      <c r="IR119" s="374"/>
      <c r="IS119" s="375"/>
      <c r="IT119" s="375"/>
      <c r="IV119" s="373"/>
    </row>
    <row r="120" spans="1:256" s="376" customFormat="1" x14ac:dyDescent="0.2">
      <c r="A120" s="373"/>
      <c r="B120" s="374"/>
      <c r="C120" s="375"/>
      <c r="D120" s="375"/>
      <c r="F120" s="373"/>
      <c r="G120" s="374"/>
      <c r="H120" s="375"/>
      <c r="I120" s="375"/>
      <c r="K120" s="373">
        <v>118</v>
      </c>
      <c r="L120" s="374" t="s">
        <v>569</v>
      </c>
      <c r="M120" s="375">
        <v>5.2631578947368425</v>
      </c>
      <c r="N120" s="375">
        <v>5.2631578947368418E-2</v>
      </c>
      <c r="P120" s="373"/>
      <c r="Q120" s="374"/>
      <c r="R120" s="375"/>
      <c r="S120" s="375"/>
      <c r="U120" s="373"/>
      <c r="V120" s="374"/>
      <c r="W120" s="375"/>
      <c r="X120" s="375"/>
      <c r="Z120" s="373"/>
      <c r="AA120" s="374"/>
      <c r="AB120" s="375"/>
      <c r="AC120" s="375"/>
      <c r="AE120" s="373"/>
      <c r="AF120" s="374"/>
      <c r="AG120" s="375"/>
      <c r="AH120" s="375"/>
      <c r="AJ120" s="373"/>
      <c r="AK120" s="374"/>
      <c r="AL120" s="375"/>
      <c r="AM120" s="375"/>
      <c r="AO120" s="373"/>
      <c r="AP120" s="374"/>
      <c r="AQ120" s="375"/>
      <c r="AR120" s="375"/>
      <c r="AT120" s="373"/>
      <c r="AU120" s="374"/>
      <c r="AV120" s="375"/>
      <c r="AW120" s="375"/>
      <c r="AY120" s="373"/>
      <c r="AZ120" s="374"/>
      <c r="BA120" s="375"/>
      <c r="BB120" s="375"/>
      <c r="BD120" s="373"/>
      <c r="BE120" s="374"/>
      <c r="BF120" s="375"/>
      <c r="BG120" s="375"/>
      <c r="BI120" s="373"/>
      <c r="BJ120" s="374"/>
      <c r="BK120" s="375"/>
      <c r="BL120" s="375"/>
      <c r="BN120" s="373"/>
      <c r="BO120" s="374"/>
      <c r="BP120" s="375"/>
      <c r="BQ120" s="375"/>
      <c r="BS120" s="373"/>
      <c r="BT120" s="374"/>
      <c r="BU120" s="375"/>
      <c r="BV120" s="375"/>
      <c r="BX120" s="373"/>
      <c r="BY120" s="374"/>
      <c r="BZ120" s="375"/>
      <c r="CA120" s="375"/>
      <c r="CC120" s="373"/>
      <c r="CD120" s="374"/>
      <c r="CE120" s="375"/>
      <c r="CF120" s="375"/>
      <c r="CH120" s="373"/>
      <c r="CI120" s="374"/>
      <c r="CJ120" s="375"/>
      <c r="CK120" s="375"/>
      <c r="CM120" s="373"/>
      <c r="CN120" s="374"/>
      <c r="CO120" s="375"/>
      <c r="CP120" s="375"/>
      <c r="CR120" s="373"/>
      <c r="CS120" s="374"/>
      <c r="CT120" s="375"/>
      <c r="CU120" s="375"/>
      <c r="CW120" s="373"/>
      <c r="CX120" s="374"/>
      <c r="CY120" s="375"/>
      <c r="CZ120" s="375"/>
      <c r="DB120" s="373"/>
      <c r="DC120" s="374"/>
      <c r="DD120" s="375"/>
      <c r="DE120" s="375"/>
      <c r="DG120" s="373"/>
      <c r="DH120" s="374"/>
      <c r="DI120" s="375"/>
      <c r="DJ120" s="375"/>
      <c r="DL120" s="373"/>
      <c r="DM120" s="374"/>
      <c r="DN120" s="375"/>
      <c r="DO120" s="375"/>
      <c r="DQ120" s="373"/>
      <c r="DR120" s="374"/>
      <c r="DS120" s="375"/>
      <c r="DT120" s="375"/>
      <c r="DV120" s="373"/>
      <c r="DW120" s="374"/>
      <c r="DX120" s="375"/>
      <c r="DY120" s="375"/>
      <c r="EA120" s="373"/>
      <c r="EB120" s="374"/>
      <c r="EC120" s="375"/>
      <c r="ED120" s="375"/>
      <c r="EF120" s="373"/>
      <c r="EG120" s="374"/>
      <c r="EH120" s="375"/>
      <c r="EI120" s="375"/>
      <c r="EK120" s="373"/>
      <c r="EL120" s="374"/>
      <c r="EM120" s="375"/>
      <c r="EN120" s="375"/>
      <c r="EP120" s="373"/>
      <c r="EQ120" s="374"/>
      <c r="ER120" s="375"/>
      <c r="ES120" s="375"/>
      <c r="EU120" s="373"/>
      <c r="EV120" s="374"/>
      <c r="EW120" s="375"/>
      <c r="EX120" s="375"/>
      <c r="EZ120" s="373"/>
      <c r="FA120" s="374"/>
      <c r="FB120" s="375"/>
      <c r="FC120" s="375"/>
      <c r="FE120" s="373"/>
      <c r="FF120" s="374"/>
      <c r="FG120" s="375"/>
      <c r="FH120" s="375"/>
      <c r="FJ120" s="373"/>
      <c r="FK120" s="374"/>
      <c r="FL120" s="375"/>
      <c r="FM120" s="375"/>
      <c r="FO120" s="373"/>
      <c r="FP120" s="374"/>
      <c r="FQ120" s="375"/>
      <c r="FR120" s="375"/>
      <c r="FT120" s="373"/>
      <c r="FU120" s="374"/>
      <c r="FV120" s="375"/>
      <c r="FW120" s="375"/>
      <c r="FY120" s="373"/>
      <c r="FZ120" s="374"/>
      <c r="GA120" s="375"/>
      <c r="GB120" s="375"/>
      <c r="GD120" s="373"/>
      <c r="GE120" s="374"/>
      <c r="GF120" s="375"/>
      <c r="GG120" s="375"/>
      <c r="GI120" s="373"/>
      <c r="GJ120" s="374"/>
      <c r="GK120" s="375"/>
      <c r="GL120" s="375"/>
      <c r="GN120" s="373"/>
      <c r="GO120" s="374"/>
      <c r="GP120" s="375"/>
      <c r="GQ120" s="375"/>
      <c r="GS120" s="373"/>
      <c r="GT120" s="374"/>
      <c r="GU120" s="375"/>
      <c r="GV120" s="375"/>
      <c r="GX120" s="373"/>
      <c r="GY120" s="374"/>
      <c r="GZ120" s="375"/>
      <c r="HA120" s="375"/>
      <c r="HC120" s="373"/>
      <c r="HD120" s="374"/>
      <c r="HE120" s="375"/>
      <c r="HF120" s="375"/>
      <c r="HH120" s="373"/>
      <c r="HI120" s="374"/>
      <c r="HJ120" s="375"/>
      <c r="HK120" s="375"/>
      <c r="HM120" s="373"/>
      <c r="HN120" s="374"/>
      <c r="HO120" s="375"/>
      <c r="HP120" s="375"/>
      <c r="HR120" s="373"/>
      <c r="HS120" s="374"/>
      <c r="HT120" s="375"/>
      <c r="HU120" s="375"/>
      <c r="HW120" s="373"/>
      <c r="HX120" s="374"/>
      <c r="HY120" s="375"/>
      <c r="HZ120" s="375"/>
      <c r="IB120" s="373"/>
      <c r="IC120" s="374"/>
      <c r="ID120" s="375"/>
      <c r="IE120" s="375"/>
      <c r="IG120" s="373"/>
      <c r="IH120" s="374"/>
      <c r="II120" s="375"/>
      <c r="IJ120" s="375"/>
      <c r="IL120" s="373"/>
      <c r="IM120" s="374"/>
      <c r="IN120" s="375"/>
      <c r="IO120" s="375"/>
      <c r="IQ120" s="373"/>
      <c r="IR120" s="374"/>
      <c r="IS120" s="375"/>
      <c r="IT120" s="375"/>
      <c r="IV120" s="373"/>
    </row>
    <row r="121" spans="1:256" s="376" customFormat="1" x14ac:dyDescent="0.2">
      <c r="A121" s="373"/>
      <c r="B121" s="374"/>
      <c r="C121" s="375"/>
      <c r="D121" s="375"/>
      <c r="F121" s="373"/>
      <c r="G121" s="374"/>
      <c r="H121" s="375"/>
      <c r="I121" s="375"/>
      <c r="K121" s="373">
        <v>119</v>
      </c>
      <c r="L121" s="374" t="s">
        <v>587</v>
      </c>
      <c r="M121" s="375">
        <v>5.2631578947368425</v>
      </c>
      <c r="N121" s="375">
        <v>5.2631578947368418E-2</v>
      </c>
      <c r="P121" s="373"/>
      <c r="Q121" s="374"/>
      <c r="R121" s="375"/>
      <c r="S121" s="375"/>
      <c r="U121" s="373"/>
      <c r="V121" s="374"/>
      <c r="W121" s="375"/>
      <c r="X121" s="375"/>
      <c r="Z121" s="373"/>
      <c r="AA121" s="374"/>
      <c r="AB121" s="375"/>
      <c r="AC121" s="375"/>
      <c r="AE121" s="373"/>
      <c r="AF121" s="374"/>
      <c r="AG121" s="375"/>
      <c r="AH121" s="375"/>
      <c r="AJ121" s="373"/>
      <c r="AK121" s="374"/>
      <c r="AL121" s="375"/>
      <c r="AM121" s="375"/>
      <c r="AO121" s="373"/>
      <c r="AP121" s="374"/>
      <c r="AQ121" s="375"/>
      <c r="AR121" s="375"/>
      <c r="AT121" s="373"/>
      <c r="AU121" s="374"/>
      <c r="AV121" s="375"/>
      <c r="AW121" s="375"/>
      <c r="AY121" s="373"/>
      <c r="AZ121" s="374"/>
      <c r="BA121" s="375"/>
      <c r="BB121" s="375"/>
      <c r="BD121" s="373"/>
      <c r="BE121" s="374"/>
      <c r="BF121" s="375"/>
      <c r="BG121" s="375"/>
      <c r="BI121" s="373"/>
      <c r="BJ121" s="374"/>
      <c r="BK121" s="375"/>
      <c r="BL121" s="375"/>
      <c r="BN121" s="373"/>
      <c r="BO121" s="374"/>
      <c r="BP121" s="375"/>
      <c r="BQ121" s="375"/>
      <c r="BS121" s="373"/>
      <c r="BT121" s="374"/>
      <c r="BU121" s="375"/>
      <c r="BV121" s="375"/>
      <c r="BX121" s="373"/>
      <c r="BY121" s="374"/>
      <c r="BZ121" s="375"/>
      <c r="CA121" s="375"/>
      <c r="CC121" s="373"/>
      <c r="CD121" s="374"/>
      <c r="CE121" s="375"/>
      <c r="CF121" s="375"/>
      <c r="CH121" s="373"/>
      <c r="CI121" s="374"/>
      <c r="CJ121" s="375"/>
      <c r="CK121" s="375"/>
      <c r="CM121" s="373"/>
      <c r="CN121" s="374"/>
      <c r="CO121" s="375"/>
      <c r="CP121" s="375"/>
      <c r="CR121" s="373"/>
      <c r="CS121" s="374"/>
      <c r="CT121" s="375"/>
      <c r="CU121" s="375"/>
      <c r="CW121" s="373"/>
      <c r="CX121" s="374"/>
      <c r="CY121" s="375"/>
      <c r="CZ121" s="375"/>
      <c r="DB121" s="373"/>
      <c r="DC121" s="374"/>
      <c r="DD121" s="375"/>
      <c r="DE121" s="375"/>
      <c r="DG121" s="373"/>
      <c r="DH121" s="374"/>
      <c r="DI121" s="375"/>
      <c r="DJ121" s="375"/>
      <c r="DL121" s="373"/>
      <c r="DM121" s="374"/>
      <c r="DN121" s="375"/>
      <c r="DO121" s="375"/>
      <c r="DQ121" s="373"/>
      <c r="DR121" s="374"/>
      <c r="DS121" s="375"/>
      <c r="DT121" s="375"/>
      <c r="DV121" s="373"/>
      <c r="DW121" s="374"/>
      <c r="DX121" s="375"/>
      <c r="DY121" s="375"/>
      <c r="EA121" s="373"/>
      <c r="EB121" s="374"/>
      <c r="EC121" s="375"/>
      <c r="ED121" s="375"/>
      <c r="EF121" s="373"/>
      <c r="EG121" s="374"/>
      <c r="EH121" s="375"/>
      <c r="EI121" s="375"/>
      <c r="EK121" s="373"/>
      <c r="EL121" s="374"/>
      <c r="EM121" s="375"/>
      <c r="EN121" s="375"/>
      <c r="EP121" s="373"/>
      <c r="EQ121" s="374"/>
      <c r="ER121" s="375"/>
      <c r="ES121" s="375"/>
      <c r="EU121" s="373"/>
      <c r="EV121" s="374"/>
      <c r="EW121" s="375"/>
      <c r="EX121" s="375"/>
      <c r="EZ121" s="373"/>
      <c r="FA121" s="374"/>
      <c r="FB121" s="375"/>
      <c r="FC121" s="375"/>
      <c r="FE121" s="373"/>
      <c r="FF121" s="374"/>
      <c r="FG121" s="375"/>
      <c r="FH121" s="375"/>
      <c r="FJ121" s="373"/>
      <c r="FK121" s="374"/>
      <c r="FL121" s="375"/>
      <c r="FM121" s="375"/>
      <c r="FO121" s="373"/>
      <c r="FP121" s="374"/>
      <c r="FQ121" s="375"/>
      <c r="FR121" s="375"/>
      <c r="FT121" s="373"/>
      <c r="FU121" s="374"/>
      <c r="FV121" s="375"/>
      <c r="FW121" s="375"/>
      <c r="FY121" s="373"/>
      <c r="FZ121" s="374"/>
      <c r="GA121" s="375"/>
      <c r="GB121" s="375"/>
      <c r="GD121" s="373"/>
      <c r="GE121" s="374"/>
      <c r="GF121" s="375"/>
      <c r="GG121" s="375"/>
      <c r="GI121" s="373"/>
      <c r="GJ121" s="374"/>
      <c r="GK121" s="375"/>
      <c r="GL121" s="375"/>
      <c r="GN121" s="373"/>
      <c r="GO121" s="374"/>
      <c r="GP121" s="375"/>
      <c r="GQ121" s="375"/>
      <c r="GS121" s="373"/>
      <c r="GT121" s="374"/>
      <c r="GU121" s="375"/>
      <c r="GV121" s="375"/>
      <c r="GX121" s="373"/>
      <c r="GY121" s="374"/>
      <c r="GZ121" s="375"/>
      <c r="HA121" s="375"/>
      <c r="HC121" s="373"/>
      <c r="HD121" s="374"/>
      <c r="HE121" s="375"/>
      <c r="HF121" s="375"/>
      <c r="HH121" s="373"/>
      <c r="HI121" s="374"/>
      <c r="HJ121" s="375"/>
      <c r="HK121" s="375"/>
      <c r="HM121" s="373"/>
      <c r="HN121" s="374"/>
      <c r="HO121" s="375"/>
      <c r="HP121" s="375"/>
      <c r="HR121" s="373"/>
      <c r="HS121" s="374"/>
      <c r="HT121" s="375"/>
      <c r="HU121" s="375"/>
      <c r="HW121" s="373"/>
      <c r="HX121" s="374"/>
      <c r="HY121" s="375"/>
      <c r="HZ121" s="375"/>
      <c r="IB121" s="373"/>
      <c r="IC121" s="374"/>
      <c r="ID121" s="375"/>
      <c r="IE121" s="375"/>
      <c r="IG121" s="373"/>
      <c r="IH121" s="374"/>
      <c r="II121" s="375"/>
      <c r="IJ121" s="375"/>
      <c r="IL121" s="373"/>
      <c r="IM121" s="374"/>
      <c r="IN121" s="375"/>
      <c r="IO121" s="375"/>
      <c r="IQ121" s="373"/>
      <c r="IR121" s="374"/>
      <c r="IS121" s="375"/>
      <c r="IT121" s="375"/>
      <c r="IV121" s="373"/>
    </row>
    <row r="122" spans="1:256" s="376" customFormat="1" x14ac:dyDescent="0.2">
      <c r="A122" s="373"/>
      <c r="B122" s="374"/>
      <c r="C122" s="375"/>
      <c r="D122" s="375"/>
      <c r="F122" s="373"/>
      <c r="G122" s="374"/>
      <c r="H122" s="375"/>
      <c r="I122" s="375"/>
      <c r="K122" s="373">
        <v>120</v>
      </c>
      <c r="L122" s="374" t="s">
        <v>372</v>
      </c>
      <c r="M122" s="375">
        <v>10.526315789473685</v>
      </c>
      <c r="N122" s="375">
        <v>5.2631578947368418E-2</v>
      </c>
      <c r="P122" s="373"/>
      <c r="Q122" s="374"/>
      <c r="R122" s="375"/>
      <c r="S122" s="375"/>
      <c r="U122" s="373"/>
      <c r="V122" s="374"/>
      <c r="W122" s="375"/>
      <c r="X122" s="375"/>
      <c r="Z122" s="373"/>
      <c r="AA122" s="374"/>
      <c r="AB122" s="375"/>
      <c r="AC122" s="375"/>
      <c r="AE122" s="373"/>
      <c r="AF122" s="374"/>
      <c r="AG122" s="375"/>
      <c r="AH122" s="375"/>
      <c r="AJ122" s="373"/>
      <c r="AK122" s="374"/>
      <c r="AL122" s="375"/>
      <c r="AM122" s="375"/>
      <c r="AO122" s="373"/>
      <c r="AP122" s="374"/>
      <c r="AQ122" s="375"/>
      <c r="AR122" s="375"/>
      <c r="AT122" s="373"/>
      <c r="AU122" s="374"/>
      <c r="AV122" s="375"/>
      <c r="AW122" s="375"/>
      <c r="AY122" s="373"/>
      <c r="AZ122" s="374"/>
      <c r="BA122" s="375"/>
      <c r="BB122" s="375"/>
      <c r="BD122" s="373"/>
      <c r="BE122" s="374"/>
      <c r="BF122" s="375"/>
      <c r="BG122" s="375"/>
      <c r="BI122" s="373"/>
      <c r="BJ122" s="374"/>
      <c r="BK122" s="375"/>
      <c r="BL122" s="375"/>
      <c r="BN122" s="373"/>
      <c r="BO122" s="374"/>
      <c r="BP122" s="375"/>
      <c r="BQ122" s="375"/>
      <c r="BS122" s="373"/>
      <c r="BT122" s="374"/>
      <c r="BU122" s="375"/>
      <c r="BV122" s="375"/>
      <c r="BX122" s="373"/>
      <c r="BY122" s="374"/>
      <c r="BZ122" s="375"/>
      <c r="CA122" s="375"/>
      <c r="CC122" s="373"/>
      <c r="CD122" s="374"/>
      <c r="CE122" s="375"/>
      <c r="CF122" s="375"/>
      <c r="CH122" s="373"/>
      <c r="CI122" s="374"/>
      <c r="CJ122" s="375"/>
      <c r="CK122" s="375"/>
      <c r="CM122" s="373"/>
      <c r="CN122" s="374"/>
      <c r="CO122" s="375"/>
      <c r="CP122" s="375"/>
      <c r="CR122" s="373"/>
      <c r="CS122" s="374"/>
      <c r="CT122" s="375"/>
      <c r="CU122" s="375"/>
      <c r="CW122" s="373"/>
      <c r="CX122" s="374"/>
      <c r="CY122" s="375"/>
      <c r="CZ122" s="375"/>
      <c r="DB122" s="373"/>
      <c r="DC122" s="374"/>
      <c r="DD122" s="375"/>
      <c r="DE122" s="375"/>
      <c r="DG122" s="373"/>
      <c r="DH122" s="374"/>
      <c r="DI122" s="375"/>
      <c r="DJ122" s="375"/>
      <c r="DL122" s="373"/>
      <c r="DM122" s="374"/>
      <c r="DN122" s="375"/>
      <c r="DO122" s="375"/>
      <c r="DQ122" s="373"/>
      <c r="DR122" s="374"/>
      <c r="DS122" s="375"/>
      <c r="DT122" s="375"/>
      <c r="DV122" s="373"/>
      <c r="DW122" s="374"/>
      <c r="DX122" s="375"/>
      <c r="DY122" s="375"/>
      <c r="EA122" s="373"/>
      <c r="EB122" s="374"/>
      <c r="EC122" s="375"/>
      <c r="ED122" s="375"/>
      <c r="EF122" s="373"/>
      <c r="EG122" s="374"/>
      <c r="EH122" s="375"/>
      <c r="EI122" s="375"/>
      <c r="EK122" s="373"/>
      <c r="EL122" s="374"/>
      <c r="EM122" s="375"/>
      <c r="EN122" s="375"/>
      <c r="EP122" s="373"/>
      <c r="EQ122" s="374"/>
      <c r="ER122" s="375"/>
      <c r="ES122" s="375"/>
      <c r="EU122" s="373"/>
      <c r="EV122" s="374"/>
      <c r="EW122" s="375"/>
      <c r="EX122" s="375"/>
      <c r="EZ122" s="373"/>
      <c r="FA122" s="374"/>
      <c r="FB122" s="375"/>
      <c r="FC122" s="375"/>
      <c r="FE122" s="373"/>
      <c r="FF122" s="374"/>
      <c r="FG122" s="375"/>
      <c r="FH122" s="375"/>
      <c r="FJ122" s="373"/>
      <c r="FK122" s="374"/>
      <c r="FL122" s="375"/>
      <c r="FM122" s="375"/>
      <c r="FO122" s="373"/>
      <c r="FP122" s="374"/>
      <c r="FQ122" s="375"/>
      <c r="FR122" s="375"/>
      <c r="FT122" s="373"/>
      <c r="FU122" s="374"/>
      <c r="FV122" s="375"/>
      <c r="FW122" s="375"/>
      <c r="FY122" s="373"/>
      <c r="FZ122" s="374"/>
      <c r="GA122" s="375"/>
      <c r="GB122" s="375"/>
      <c r="GD122" s="373"/>
      <c r="GE122" s="374"/>
      <c r="GF122" s="375"/>
      <c r="GG122" s="375"/>
      <c r="GI122" s="373"/>
      <c r="GJ122" s="374"/>
      <c r="GK122" s="375"/>
      <c r="GL122" s="375"/>
      <c r="GN122" s="373"/>
      <c r="GO122" s="374"/>
      <c r="GP122" s="375"/>
      <c r="GQ122" s="375"/>
      <c r="GS122" s="373"/>
      <c r="GT122" s="374"/>
      <c r="GU122" s="375"/>
      <c r="GV122" s="375"/>
      <c r="GX122" s="373"/>
      <c r="GY122" s="374"/>
      <c r="GZ122" s="375"/>
      <c r="HA122" s="375"/>
      <c r="HC122" s="373"/>
      <c r="HD122" s="374"/>
      <c r="HE122" s="375"/>
      <c r="HF122" s="375"/>
      <c r="HH122" s="373"/>
      <c r="HI122" s="374"/>
      <c r="HJ122" s="375"/>
      <c r="HK122" s="375"/>
      <c r="HM122" s="373"/>
      <c r="HN122" s="374"/>
      <c r="HO122" s="375"/>
      <c r="HP122" s="375"/>
      <c r="HR122" s="373"/>
      <c r="HS122" s="374"/>
      <c r="HT122" s="375"/>
      <c r="HU122" s="375"/>
      <c r="HW122" s="373"/>
      <c r="HX122" s="374"/>
      <c r="HY122" s="375"/>
      <c r="HZ122" s="375"/>
      <c r="IB122" s="373"/>
      <c r="IC122" s="374"/>
      <c r="ID122" s="375"/>
      <c r="IE122" s="375"/>
      <c r="IG122" s="373"/>
      <c r="IH122" s="374"/>
      <c r="II122" s="375"/>
      <c r="IJ122" s="375"/>
      <c r="IL122" s="373"/>
      <c r="IM122" s="374"/>
      <c r="IN122" s="375"/>
      <c r="IO122" s="375"/>
      <c r="IQ122" s="373"/>
      <c r="IR122" s="374"/>
      <c r="IS122" s="375"/>
      <c r="IT122" s="375"/>
      <c r="IV122" s="373"/>
    </row>
    <row r="123" spans="1:256" s="376" customFormat="1" x14ac:dyDescent="0.2">
      <c r="A123" s="373"/>
      <c r="B123" s="374"/>
      <c r="C123" s="375"/>
      <c r="D123" s="375"/>
      <c r="F123" s="373"/>
      <c r="G123" s="374"/>
      <c r="H123" s="375"/>
      <c r="I123" s="375"/>
      <c r="K123" s="373">
        <v>121</v>
      </c>
      <c r="L123" s="374" t="s">
        <v>604</v>
      </c>
      <c r="M123" s="375">
        <v>5.2631578947368425</v>
      </c>
      <c r="N123" s="375">
        <v>5.2631578947368418E-2</v>
      </c>
      <c r="P123" s="373"/>
      <c r="Q123" s="374"/>
      <c r="R123" s="375"/>
      <c r="S123" s="375"/>
      <c r="U123" s="373"/>
      <c r="V123" s="374"/>
      <c r="W123" s="375"/>
      <c r="X123" s="375"/>
      <c r="Z123" s="373"/>
      <c r="AA123" s="374"/>
      <c r="AB123" s="375"/>
      <c r="AC123" s="375"/>
      <c r="AE123" s="373"/>
      <c r="AF123" s="374"/>
      <c r="AG123" s="375"/>
      <c r="AH123" s="375"/>
      <c r="AJ123" s="373"/>
      <c r="AK123" s="374"/>
      <c r="AL123" s="375"/>
      <c r="AM123" s="375"/>
      <c r="AO123" s="373"/>
      <c r="AP123" s="374"/>
      <c r="AQ123" s="375"/>
      <c r="AR123" s="375"/>
      <c r="AT123" s="373"/>
      <c r="AU123" s="374"/>
      <c r="AV123" s="375"/>
      <c r="AW123" s="375"/>
      <c r="AY123" s="373"/>
      <c r="AZ123" s="374"/>
      <c r="BA123" s="375"/>
      <c r="BB123" s="375"/>
      <c r="BD123" s="373"/>
      <c r="BE123" s="374"/>
      <c r="BF123" s="375"/>
      <c r="BG123" s="375"/>
      <c r="BI123" s="373"/>
      <c r="BJ123" s="374"/>
      <c r="BK123" s="375"/>
      <c r="BL123" s="375"/>
      <c r="BN123" s="373"/>
      <c r="BO123" s="374"/>
      <c r="BP123" s="375"/>
      <c r="BQ123" s="375"/>
      <c r="BS123" s="373"/>
      <c r="BT123" s="374"/>
      <c r="BU123" s="375"/>
      <c r="BV123" s="375"/>
      <c r="BX123" s="373"/>
      <c r="BY123" s="374"/>
      <c r="BZ123" s="375"/>
      <c r="CA123" s="375"/>
      <c r="CC123" s="373"/>
      <c r="CD123" s="374"/>
      <c r="CE123" s="375"/>
      <c r="CF123" s="375"/>
      <c r="CH123" s="373"/>
      <c r="CI123" s="374"/>
      <c r="CJ123" s="375"/>
      <c r="CK123" s="375"/>
      <c r="CM123" s="373"/>
      <c r="CN123" s="374"/>
      <c r="CO123" s="375"/>
      <c r="CP123" s="375"/>
      <c r="CR123" s="373"/>
      <c r="CS123" s="374"/>
      <c r="CT123" s="375"/>
      <c r="CU123" s="375"/>
      <c r="CW123" s="373"/>
      <c r="CX123" s="374"/>
      <c r="CY123" s="375"/>
      <c r="CZ123" s="375"/>
      <c r="DB123" s="373"/>
      <c r="DC123" s="374"/>
      <c r="DD123" s="375"/>
      <c r="DE123" s="375"/>
      <c r="DG123" s="373"/>
      <c r="DH123" s="374"/>
      <c r="DI123" s="375"/>
      <c r="DJ123" s="375"/>
      <c r="DL123" s="373"/>
      <c r="DM123" s="374"/>
      <c r="DN123" s="375"/>
      <c r="DO123" s="375"/>
      <c r="DQ123" s="373"/>
      <c r="DR123" s="374"/>
      <c r="DS123" s="375"/>
      <c r="DT123" s="375"/>
      <c r="DV123" s="373"/>
      <c r="DW123" s="374"/>
      <c r="DX123" s="375"/>
      <c r="DY123" s="375"/>
      <c r="EA123" s="373"/>
      <c r="EB123" s="374"/>
      <c r="EC123" s="375"/>
      <c r="ED123" s="375"/>
      <c r="EF123" s="373"/>
      <c r="EG123" s="374"/>
      <c r="EH123" s="375"/>
      <c r="EI123" s="375"/>
      <c r="EK123" s="373"/>
      <c r="EL123" s="374"/>
      <c r="EM123" s="375"/>
      <c r="EN123" s="375"/>
      <c r="EP123" s="373"/>
      <c r="EQ123" s="374"/>
      <c r="ER123" s="375"/>
      <c r="ES123" s="375"/>
      <c r="EU123" s="373"/>
      <c r="EV123" s="374"/>
      <c r="EW123" s="375"/>
      <c r="EX123" s="375"/>
      <c r="EZ123" s="373"/>
      <c r="FA123" s="374"/>
      <c r="FB123" s="375"/>
      <c r="FC123" s="375"/>
      <c r="FE123" s="373"/>
      <c r="FF123" s="374"/>
      <c r="FG123" s="375"/>
      <c r="FH123" s="375"/>
      <c r="FJ123" s="373"/>
      <c r="FK123" s="374"/>
      <c r="FL123" s="375"/>
      <c r="FM123" s="375"/>
      <c r="FO123" s="373"/>
      <c r="FP123" s="374"/>
      <c r="FQ123" s="375"/>
      <c r="FR123" s="375"/>
      <c r="FT123" s="373"/>
      <c r="FU123" s="374"/>
      <c r="FV123" s="375"/>
      <c r="FW123" s="375"/>
      <c r="FY123" s="373"/>
      <c r="FZ123" s="374"/>
      <c r="GA123" s="375"/>
      <c r="GB123" s="375"/>
      <c r="GD123" s="373"/>
      <c r="GE123" s="374"/>
      <c r="GF123" s="375"/>
      <c r="GG123" s="375"/>
      <c r="GI123" s="373"/>
      <c r="GJ123" s="374"/>
      <c r="GK123" s="375"/>
      <c r="GL123" s="375"/>
      <c r="GN123" s="373"/>
      <c r="GO123" s="374"/>
      <c r="GP123" s="375"/>
      <c r="GQ123" s="375"/>
      <c r="GS123" s="373"/>
      <c r="GT123" s="374"/>
      <c r="GU123" s="375"/>
      <c r="GV123" s="375"/>
      <c r="GX123" s="373"/>
      <c r="GY123" s="374"/>
      <c r="GZ123" s="375"/>
      <c r="HA123" s="375"/>
      <c r="HC123" s="373"/>
      <c r="HD123" s="374"/>
      <c r="HE123" s="375"/>
      <c r="HF123" s="375"/>
      <c r="HH123" s="373"/>
      <c r="HI123" s="374"/>
      <c r="HJ123" s="375"/>
      <c r="HK123" s="375"/>
      <c r="HM123" s="373"/>
      <c r="HN123" s="374"/>
      <c r="HO123" s="375"/>
      <c r="HP123" s="375"/>
      <c r="HR123" s="373"/>
      <c r="HS123" s="374"/>
      <c r="HT123" s="375"/>
      <c r="HU123" s="375"/>
      <c r="HW123" s="373"/>
      <c r="HX123" s="374"/>
      <c r="HY123" s="375"/>
      <c r="HZ123" s="375"/>
      <c r="IB123" s="373"/>
      <c r="IC123" s="374"/>
      <c r="ID123" s="375"/>
      <c r="IE123" s="375"/>
      <c r="IG123" s="373"/>
      <c r="IH123" s="374"/>
      <c r="II123" s="375"/>
      <c r="IJ123" s="375"/>
      <c r="IL123" s="373"/>
      <c r="IM123" s="374"/>
      <c r="IN123" s="375"/>
      <c r="IO123" s="375"/>
      <c r="IQ123" s="373"/>
      <c r="IR123" s="374"/>
      <c r="IS123" s="375"/>
      <c r="IT123" s="375"/>
      <c r="IV123" s="373"/>
    </row>
    <row r="124" spans="1:256" s="376" customFormat="1" x14ac:dyDescent="0.2">
      <c r="A124" s="373"/>
      <c r="B124" s="374"/>
      <c r="C124" s="375"/>
      <c r="D124" s="375"/>
      <c r="F124" s="373"/>
      <c r="G124" s="374"/>
      <c r="H124" s="375"/>
      <c r="I124" s="375"/>
      <c r="K124" s="382">
        <v>122</v>
      </c>
      <c r="L124" s="383" t="s">
        <v>397</v>
      </c>
      <c r="M124" s="384">
        <v>5.2631578947368425</v>
      </c>
      <c r="N124" s="384">
        <v>5.2631578947368418E-2</v>
      </c>
      <c r="P124" s="373"/>
      <c r="Q124" s="374"/>
      <c r="R124" s="375"/>
      <c r="S124" s="375"/>
      <c r="U124" s="373"/>
      <c r="V124" s="374"/>
      <c r="W124" s="375"/>
      <c r="X124" s="375"/>
      <c r="Z124" s="373"/>
      <c r="AA124" s="374"/>
      <c r="AB124" s="375"/>
      <c r="AC124" s="375"/>
      <c r="AE124" s="373"/>
      <c r="AF124" s="374"/>
      <c r="AG124" s="375"/>
      <c r="AH124" s="375"/>
      <c r="AJ124" s="373"/>
      <c r="AK124" s="374"/>
      <c r="AL124" s="375"/>
      <c r="AM124" s="375"/>
      <c r="AO124" s="373"/>
      <c r="AP124" s="374"/>
      <c r="AQ124" s="375"/>
      <c r="AR124" s="375"/>
      <c r="AT124" s="373"/>
      <c r="AU124" s="374"/>
      <c r="AV124" s="375"/>
      <c r="AW124" s="375"/>
      <c r="AY124" s="373"/>
      <c r="AZ124" s="374"/>
      <c r="BA124" s="375"/>
      <c r="BB124" s="375"/>
      <c r="BD124" s="373"/>
      <c r="BE124" s="374"/>
      <c r="BF124" s="375"/>
      <c r="BG124" s="375"/>
      <c r="BI124" s="373"/>
      <c r="BJ124" s="374"/>
      <c r="BK124" s="375"/>
      <c r="BL124" s="375"/>
      <c r="BN124" s="373"/>
      <c r="BO124" s="374"/>
      <c r="BP124" s="375"/>
      <c r="BQ124" s="375"/>
      <c r="BS124" s="373"/>
      <c r="BT124" s="374"/>
      <c r="BU124" s="375"/>
      <c r="BV124" s="375"/>
      <c r="BX124" s="373"/>
      <c r="BY124" s="374"/>
      <c r="BZ124" s="375"/>
      <c r="CA124" s="375"/>
      <c r="CC124" s="373"/>
      <c r="CD124" s="374"/>
      <c r="CE124" s="375"/>
      <c r="CF124" s="375"/>
      <c r="CH124" s="373"/>
      <c r="CI124" s="374"/>
      <c r="CJ124" s="375"/>
      <c r="CK124" s="375"/>
      <c r="CM124" s="373"/>
      <c r="CN124" s="374"/>
      <c r="CO124" s="375"/>
      <c r="CP124" s="375"/>
      <c r="CR124" s="373"/>
      <c r="CS124" s="374"/>
      <c r="CT124" s="375"/>
      <c r="CU124" s="375"/>
      <c r="CW124" s="373"/>
      <c r="CX124" s="374"/>
      <c r="CY124" s="375"/>
      <c r="CZ124" s="375"/>
      <c r="DB124" s="373"/>
      <c r="DC124" s="374"/>
      <c r="DD124" s="375"/>
      <c r="DE124" s="375"/>
      <c r="DG124" s="373"/>
      <c r="DH124" s="374"/>
      <c r="DI124" s="375"/>
      <c r="DJ124" s="375"/>
      <c r="DL124" s="373"/>
      <c r="DM124" s="374"/>
      <c r="DN124" s="375"/>
      <c r="DO124" s="375"/>
      <c r="DQ124" s="373"/>
      <c r="DR124" s="374"/>
      <c r="DS124" s="375"/>
      <c r="DT124" s="375"/>
      <c r="DV124" s="373"/>
      <c r="DW124" s="374"/>
      <c r="DX124" s="375"/>
      <c r="DY124" s="375"/>
      <c r="EA124" s="373"/>
      <c r="EB124" s="374"/>
      <c r="EC124" s="375"/>
      <c r="ED124" s="375"/>
      <c r="EF124" s="373"/>
      <c r="EG124" s="374"/>
      <c r="EH124" s="375"/>
      <c r="EI124" s="375"/>
      <c r="EK124" s="373"/>
      <c r="EL124" s="374"/>
      <c r="EM124" s="375"/>
      <c r="EN124" s="375"/>
      <c r="EP124" s="373"/>
      <c r="EQ124" s="374"/>
      <c r="ER124" s="375"/>
      <c r="ES124" s="375"/>
      <c r="EU124" s="373"/>
      <c r="EV124" s="374"/>
      <c r="EW124" s="375"/>
      <c r="EX124" s="375"/>
      <c r="EZ124" s="373"/>
      <c r="FA124" s="374"/>
      <c r="FB124" s="375"/>
      <c r="FC124" s="375"/>
      <c r="FE124" s="373"/>
      <c r="FF124" s="374"/>
      <c r="FG124" s="375"/>
      <c r="FH124" s="375"/>
      <c r="FJ124" s="373"/>
      <c r="FK124" s="374"/>
      <c r="FL124" s="375"/>
      <c r="FM124" s="375"/>
      <c r="FO124" s="373"/>
      <c r="FP124" s="374"/>
      <c r="FQ124" s="375"/>
      <c r="FR124" s="375"/>
      <c r="FT124" s="373"/>
      <c r="FU124" s="374"/>
      <c r="FV124" s="375"/>
      <c r="FW124" s="375"/>
      <c r="FY124" s="373"/>
      <c r="FZ124" s="374"/>
      <c r="GA124" s="375"/>
      <c r="GB124" s="375"/>
      <c r="GD124" s="373"/>
      <c r="GE124" s="374"/>
      <c r="GF124" s="375"/>
      <c r="GG124" s="375"/>
      <c r="GI124" s="373"/>
      <c r="GJ124" s="374"/>
      <c r="GK124" s="375"/>
      <c r="GL124" s="375"/>
      <c r="GN124" s="373"/>
      <c r="GO124" s="374"/>
      <c r="GP124" s="375"/>
      <c r="GQ124" s="375"/>
      <c r="GS124" s="373"/>
      <c r="GT124" s="374"/>
      <c r="GU124" s="375"/>
      <c r="GV124" s="375"/>
      <c r="GX124" s="373"/>
      <c r="GY124" s="374"/>
      <c r="GZ124" s="375"/>
      <c r="HA124" s="375"/>
      <c r="HC124" s="373"/>
      <c r="HD124" s="374"/>
      <c r="HE124" s="375"/>
      <c r="HF124" s="375"/>
      <c r="HH124" s="373"/>
      <c r="HI124" s="374"/>
      <c r="HJ124" s="375"/>
      <c r="HK124" s="375"/>
      <c r="HM124" s="373"/>
      <c r="HN124" s="374"/>
      <c r="HO124" s="375"/>
      <c r="HP124" s="375"/>
      <c r="HR124" s="373"/>
      <c r="HS124" s="374"/>
      <c r="HT124" s="375"/>
      <c r="HU124" s="375"/>
      <c r="HW124" s="373"/>
      <c r="HX124" s="374"/>
      <c r="HY124" s="375"/>
      <c r="HZ124" s="375"/>
      <c r="IB124" s="373"/>
      <c r="IC124" s="374"/>
      <c r="ID124" s="375"/>
      <c r="IE124" s="375"/>
      <c r="IG124" s="373"/>
      <c r="IH124" s="374"/>
      <c r="II124" s="375"/>
      <c r="IJ124" s="375"/>
      <c r="IL124" s="373"/>
      <c r="IM124" s="374"/>
      <c r="IN124" s="375"/>
      <c r="IO124" s="375"/>
      <c r="IQ124" s="373"/>
      <c r="IR124" s="374"/>
      <c r="IS124" s="375"/>
      <c r="IT124" s="375"/>
      <c r="IV124" s="373"/>
    </row>
    <row r="125" spans="1:256" s="376" customFormat="1" x14ac:dyDescent="0.2">
      <c r="A125" s="373"/>
      <c r="B125" s="374"/>
      <c r="C125" s="375"/>
      <c r="D125" s="375"/>
      <c r="F125" s="373"/>
      <c r="G125" s="374"/>
      <c r="H125" s="375"/>
      <c r="I125" s="375"/>
      <c r="K125" s="373">
        <v>123</v>
      </c>
      <c r="L125" s="374" t="s">
        <v>404</v>
      </c>
      <c r="M125" s="375">
        <v>5.2631578947368425</v>
      </c>
      <c r="N125" s="375">
        <v>5.2631578947368418E-2</v>
      </c>
      <c r="P125" s="373"/>
      <c r="Q125" s="374"/>
      <c r="R125" s="375"/>
      <c r="S125" s="375"/>
      <c r="U125" s="373"/>
      <c r="V125" s="374"/>
      <c r="W125" s="375"/>
      <c r="X125" s="375"/>
      <c r="Z125" s="373"/>
      <c r="AA125" s="374"/>
      <c r="AB125" s="375"/>
      <c r="AC125" s="375"/>
      <c r="AE125" s="373"/>
      <c r="AF125" s="374"/>
      <c r="AG125" s="375"/>
      <c r="AH125" s="375"/>
      <c r="AJ125" s="373"/>
      <c r="AK125" s="374"/>
      <c r="AL125" s="375"/>
      <c r="AM125" s="375"/>
      <c r="AO125" s="373"/>
      <c r="AP125" s="374"/>
      <c r="AQ125" s="375"/>
      <c r="AR125" s="375"/>
      <c r="AT125" s="373"/>
      <c r="AU125" s="374"/>
      <c r="AV125" s="375"/>
      <c r="AW125" s="375"/>
      <c r="AY125" s="373"/>
      <c r="AZ125" s="374"/>
      <c r="BA125" s="375"/>
      <c r="BB125" s="375"/>
      <c r="BD125" s="373"/>
      <c r="BE125" s="374"/>
      <c r="BF125" s="375"/>
      <c r="BG125" s="375"/>
      <c r="BI125" s="373"/>
      <c r="BJ125" s="374"/>
      <c r="BK125" s="375"/>
      <c r="BL125" s="375"/>
      <c r="BN125" s="373"/>
      <c r="BO125" s="374"/>
      <c r="BP125" s="375"/>
      <c r="BQ125" s="375"/>
      <c r="BS125" s="373"/>
      <c r="BT125" s="374"/>
      <c r="BU125" s="375"/>
      <c r="BV125" s="375"/>
      <c r="BX125" s="373"/>
      <c r="BY125" s="374"/>
      <c r="BZ125" s="375"/>
      <c r="CA125" s="375"/>
      <c r="CC125" s="373"/>
      <c r="CD125" s="374"/>
      <c r="CE125" s="375"/>
      <c r="CF125" s="375"/>
      <c r="CH125" s="373"/>
      <c r="CI125" s="374"/>
      <c r="CJ125" s="375"/>
      <c r="CK125" s="375"/>
      <c r="CM125" s="373"/>
      <c r="CN125" s="374"/>
      <c r="CO125" s="375"/>
      <c r="CP125" s="375"/>
      <c r="CR125" s="373"/>
      <c r="CS125" s="374"/>
      <c r="CT125" s="375"/>
      <c r="CU125" s="375"/>
      <c r="CW125" s="373"/>
      <c r="CX125" s="374"/>
      <c r="CY125" s="375"/>
      <c r="CZ125" s="375"/>
      <c r="DB125" s="373"/>
      <c r="DC125" s="374"/>
      <c r="DD125" s="375"/>
      <c r="DE125" s="375"/>
      <c r="DG125" s="373"/>
      <c r="DH125" s="374"/>
      <c r="DI125" s="375"/>
      <c r="DJ125" s="375"/>
      <c r="DL125" s="373"/>
      <c r="DM125" s="374"/>
      <c r="DN125" s="375"/>
      <c r="DO125" s="375"/>
      <c r="DQ125" s="373"/>
      <c r="DR125" s="374"/>
      <c r="DS125" s="375"/>
      <c r="DT125" s="375"/>
      <c r="DV125" s="373"/>
      <c r="DW125" s="374"/>
      <c r="DX125" s="375"/>
      <c r="DY125" s="375"/>
      <c r="EA125" s="373"/>
      <c r="EB125" s="374"/>
      <c r="EC125" s="375"/>
      <c r="ED125" s="375"/>
      <c r="EF125" s="373"/>
      <c r="EG125" s="374"/>
      <c r="EH125" s="375"/>
      <c r="EI125" s="375"/>
      <c r="EK125" s="373"/>
      <c r="EL125" s="374"/>
      <c r="EM125" s="375"/>
      <c r="EN125" s="375"/>
      <c r="EP125" s="373"/>
      <c r="EQ125" s="374"/>
      <c r="ER125" s="375"/>
      <c r="ES125" s="375"/>
      <c r="EU125" s="373"/>
      <c r="EV125" s="374"/>
      <c r="EW125" s="375"/>
      <c r="EX125" s="375"/>
      <c r="EZ125" s="373"/>
      <c r="FA125" s="374"/>
      <c r="FB125" s="375"/>
      <c r="FC125" s="375"/>
      <c r="FE125" s="373"/>
      <c r="FF125" s="374"/>
      <c r="FG125" s="375"/>
      <c r="FH125" s="375"/>
      <c r="FJ125" s="373"/>
      <c r="FK125" s="374"/>
      <c r="FL125" s="375"/>
      <c r="FM125" s="375"/>
      <c r="FO125" s="373"/>
      <c r="FP125" s="374"/>
      <c r="FQ125" s="375"/>
      <c r="FR125" s="375"/>
      <c r="FT125" s="373"/>
      <c r="FU125" s="374"/>
      <c r="FV125" s="375"/>
      <c r="FW125" s="375"/>
      <c r="FY125" s="373"/>
      <c r="FZ125" s="374"/>
      <c r="GA125" s="375"/>
      <c r="GB125" s="375"/>
      <c r="GD125" s="373"/>
      <c r="GE125" s="374"/>
      <c r="GF125" s="375"/>
      <c r="GG125" s="375"/>
      <c r="GI125" s="373"/>
      <c r="GJ125" s="374"/>
      <c r="GK125" s="375"/>
      <c r="GL125" s="375"/>
      <c r="GN125" s="373"/>
      <c r="GO125" s="374"/>
      <c r="GP125" s="375"/>
      <c r="GQ125" s="375"/>
      <c r="GS125" s="373"/>
      <c r="GT125" s="374"/>
      <c r="GU125" s="375"/>
      <c r="GV125" s="375"/>
      <c r="GX125" s="373"/>
      <c r="GY125" s="374"/>
      <c r="GZ125" s="375"/>
      <c r="HA125" s="375"/>
      <c r="HC125" s="373"/>
      <c r="HD125" s="374"/>
      <c r="HE125" s="375"/>
      <c r="HF125" s="375"/>
      <c r="HH125" s="373"/>
      <c r="HI125" s="374"/>
      <c r="HJ125" s="375"/>
      <c r="HK125" s="375"/>
      <c r="HM125" s="373"/>
      <c r="HN125" s="374"/>
      <c r="HO125" s="375"/>
      <c r="HP125" s="375"/>
      <c r="HR125" s="373"/>
      <c r="HS125" s="374"/>
      <c r="HT125" s="375"/>
      <c r="HU125" s="375"/>
      <c r="HW125" s="373"/>
      <c r="HX125" s="374"/>
      <c r="HY125" s="375"/>
      <c r="HZ125" s="375"/>
      <c r="IB125" s="373"/>
      <c r="IC125" s="374"/>
      <c r="ID125" s="375"/>
      <c r="IE125" s="375"/>
      <c r="IG125" s="373"/>
      <c r="IH125" s="374"/>
      <c r="II125" s="375"/>
      <c r="IJ125" s="375"/>
      <c r="IL125" s="373"/>
      <c r="IM125" s="374"/>
      <c r="IN125" s="375"/>
      <c r="IO125" s="375"/>
      <c r="IQ125" s="373"/>
      <c r="IR125" s="374"/>
      <c r="IS125" s="375"/>
      <c r="IT125" s="375"/>
      <c r="IV125" s="373"/>
    </row>
    <row r="126" spans="1:256" s="376" customFormat="1" x14ac:dyDescent="0.2">
      <c r="A126" s="373"/>
      <c r="B126" s="374"/>
      <c r="C126" s="375"/>
      <c r="D126" s="375"/>
      <c r="F126" s="373"/>
      <c r="G126" s="374"/>
      <c r="H126" s="375"/>
      <c r="I126" s="375"/>
      <c r="K126" s="373">
        <v>124</v>
      </c>
      <c r="L126" s="374" t="s">
        <v>376</v>
      </c>
      <c r="M126" s="375">
        <v>5.2631578947368425</v>
      </c>
      <c r="N126" s="375">
        <v>5.2631578947368418E-2</v>
      </c>
      <c r="P126" s="373"/>
      <c r="Q126" s="374"/>
      <c r="R126" s="375"/>
      <c r="S126" s="375"/>
      <c r="U126" s="373"/>
      <c r="V126" s="374"/>
      <c r="W126" s="375"/>
      <c r="X126" s="375"/>
      <c r="Z126" s="373"/>
      <c r="AA126" s="374"/>
      <c r="AB126" s="375"/>
      <c r="AC126" s="375"/>
      <c r="AE126" s="373"/>
      <c r="AF126" s="374"/>
      <c r="AG126" s="375"/>
      <c r="AH126" s="375"/>
      <c r="AJ126" s="373"/>
      <c r="AK126" s="374"/>
      <c r="AL126" s="375"/>
      <c r="AM126" s="375"/>
      <c r="AO126" s="373"/>
      <c r="AP126" s="374"/>
      <c r="AQ126" s="375"/>
      <c r="AR126" s="375"/>
      <c r="AT126" s="373"/>
      <c r="AU126" s="374"/>
      <c r="AV126" s="375"/>
      <c r="AW126" s="375"/>
      <c r="AY126" s="373"/>
      <c r="AZ126" s="374"/>
      <c r="BA126" s="375"/>
      <c r="BB126" s="375"/>
      <c r="BD126" s="373"/>
      <c r="BE126" s="374"/>
      <c r="BF126" s="375"/>
      <c r="BG126" s="375"/>
      <c r="BI126" s="373"/>
      <c r="BJ126" s="374"/>
      <c r="BK126" s="375"/>
      <c r="BL126" s="375"/>
      <c r="BN126" s="373"/>
      <c r="BO126" s="374"/>
      <c r="BP126" s="375"/>
      <c r="BQ126" s="375"/>
      <c r="BS126" s="373"/>
      <c r="BT126" s="374"/>
      <c r="BU126" s="375"/>
      <c r="BV126" s="375"/>
      <c r="BX126" s="373"/>
      <c r="BY126" s="374"/>
      <c r="BZ126" s="375"/>
      <c r="CA126" s="375"/>
      <c r="CC126" s="373"/>
      <c r="CD126" s="374"/>
      <c r="CE126" s="375"/>
      <c r="CF126" s="375"/>
      <c r="CH126" s="373"/>
      <c r="CI126" s="374"/>
      <c r="CJ126" s="375"/>
      <c r="CK126" s="375"/>
      <c r="CM126" s="373"/>
      <c r="CN126" s="374"/>
      <c r="CO126" s="375"/>
      <c r="CP126" s="375"/>
      <c r="CR126" s="373"/>
      <c r="CS126" s="374"/>
      <c r="CT126" s="375"/>
      <c r="CU126" s="375"/>
      <c r="CW126" s="373"/>
      <c r="CX126" s="374"/>
      <c r="CY126" s="375"/>
      <c r="CZ126" s="375"/>
      <c r="DB126" s="373"/>
      <c r="DC126" s="374"/>
      <c r="DD126" s="375"/>
      <c r="DE126" s="375"/>
      <c r="DG126" s="373"/>
      <c r="DH126" s="374"/>
      <c r="DI126" s="375"/>
      <c r="DJ126" s="375"/>
      <c r="DL126" s="373"/>
      <c r="DM126" s="374"/>
      <c r="DN126" s="375"/>
      <c r="DO126" s="375"/>
      <c r="DQ126" s="373"/>
      <c r="DR126" s="374"/>
      <c r="DS126" s="375"/>
      <c r="DT126" s="375"/>
      <c r="DV126" s="373"/>
      <c r="DW126" s="374"/>
      <c r="DX126" s="375"/>
      <c r="DY126" s="375"/>
      <c r="EA126" s="373"/>
      <c r="EB126" s="374"/>
      <c r="EC126" s="375"/>
      <c r="ED126" s="375"/>
      <c r="EF126" s="373"/>
      <c r="EG126" s="374"/>
      <c r="EH126" s="375"/>
      <c r="EI126" s="375"/>
      <c r="EK126" s="373"/>
      <c r="EL126" s="374"/>
      <c r="EM126" s="375"/>
      <c r="EN126" s="375"/>
      <c r="EP126" s="373"/>
      <c r="EQ126" s="374"/>
      <c r="ER126" s="375"/>
      <c r="ES126" s="375"/>
      <c r="EU126" s="373"/>
      <c r="EV126" s="374"/>
      <c r="EW126" s="375"/>
      <c r="EX126" s="375"/>
      <c r="EZ126" s="373"/>
      <c r="FA126" s="374"/>
      <c r="FB126" s="375"/>
      <c r="FC126" s="375"/>
      <c r="FE126" s="373"/>
      <c r="FF126" s="374"/>
      <c r="FG126" s="375"/>
      <c r="FH126" s="375"/>
      <c r="FJ126" s="373"/>
      <c r="FK126" s="374"/>
      <c r="FL126" s="375"/>
      <c r="FM126" s="375"/>
      <c r="FO126" s="373"/>
      <c r="FP126" s="374"/>
      <c r="FQ126" s="375"/>
      <c r="FR126" s="375"/>
      <c r="FT126" s="373"/>
      <c r="FU126" s="374"/>
      <c r="FV126" s="375"/>
      <c r="FW126" s="375"/>
      <c r="FY126" s="373"/>
      <c r="FZ126" s="374"/>
      <c r="GA126" s="375"/>
      <c r="GB126" s="375"/>
      <c r="GD126" s="373"/>
      <c r="GE126" s="374"/>
      <c r="GF126" s="375"/>
      <c r="GG126" s="375"/>
      <c r="GI126" s="373"/>
      <c r="GJ126" s="374"/>
      <c r="GK126" s="375"/>
      <c r="GL126" s="375"/>
      <c r="GN126" s="373"/>
      <c r="GO126" s="374"/>
      <c r="GP126" s="375"/>
      <c r="GQ126" s="375"/>
      <c r="GS126" s="373"/>
      <c r="GT126" s="374"/>
      <c r="GU126" s="375"/>
      <c r="GV126" s="375"/>
      <c r="GX126" s="373"/>
      <c r="GY126" s="374"/>
      <c r="GZ126" s="375"/>
      <c r="HA126" s="375"/>
      <c r="HC126" s="373"/>
      <c r="HD126" s="374"/>
      <c r="HE126" s="375"/>
      <c r="HF126" s="375"/>
      <c r="HH126" s="373"/>
      <c r="HI126" s="374"/>
      <c r="HJ126" s="375"/>
      <c r="HK126" s="375"/>
      <c r="HM126" s="373"/>
      <c r="HN126" s="374"/>
      <c r="HO126" s="375"/>
      <c r="HP126" s="375"/>
      <c r="HR126" s="373"/>
      <c r="HS126" s="374"/>
      <c r="HT126" s="375"/>
      <c r="HU126" s="375"/>
      <c r="HW126" s="373"/>
      <c r="HX126" s="374"/>
      <c r="HY126" s="375"/>
      <c r="HZ126" s="375"/>
      <c r="IB126" s="373"/>
      <c r="IC126" s="374"/>
      <c r="ID126" s="375"/>
      <c r="IE126" s="375"/>
      <c r="IG126" s="373"/>
      <c r="IH126" s="374"/>
      <c r="II126" s="375"/>
      <c r="IJ126" s="375"/>
      <c r="IL126" s="373"/>
      <c r="IM126" s="374"/>
      <c r="IN126" s="375"/>
      <c r="IO126" s="375"/>
      <c r="IQ126" s="373"/>
      <c r="IR126" s="374"/>
      <c r="IS126" s="375"/>
      <c r="IT126" s="375"/>
      <c r="IV126" s="373"/>
    </row>
    <row r="127" spans="1:256" s="376" customFormat="1" x14ac:dyDescent="0.2">
      <c r="A127" s="373"/>
      <c r="B127" s="374"/>
      <c r="C127" s="375"/>
      <c r="D127" s="375"/>
      <c r="F127" s="373"/>
      <c r="G127" s="374"/>
      <c r="H127" s="375"/>
      <c r="I127" s="375"/>
      <c r="K127" s="373">
        <v>125</v>
      </c>
      <c r="L127" s="374" t="s">
        <v>445</v>
      </c>
      <c r="M127" s="375">
        <v>5.2631578947368425</v>
      </c>
      <c r="N127" s="375">
        <v>5.2631578947368418E-2</v>
      </c>
      <c r="P127" s="373"/>
      <c r="Q127" s="374"/>
      <c r="R127" s="375"/>
      <c r="S127" s="375"/>
      <c r="U127" s="373"/>
      <c r="V127" s="374"/>
      <c r="W127" s="375"/>
      <c r="X127" s="375"/>
      <c r="Z127" s="373"/>
      <c r="AA127" s="374"/>
      <c r="AB127" s="375"/>
      <c r="AC127" s="375"/>
      <c r="AE127" s="373"/>
      <c r="AF127" s="374"/>
      <c r="AG127" s="375"/>
      <c r="AH127" s="375"/>
      <c r="AJ127" s="373"/>
      <c r="AK127" s="374"/>
      <c r="AL127" s="375"/>
      <c r="AM127" s="375"/>
      <c r="AO127" s="373"/>
      <c r="AP127" s="374"/>
      <c r="AQ127" s="375"/>
      <c r="AR127" s="375"/>
      <c r="AT127" s="373"/>
      <c r="AU127" s="374"/>
      <c r="AV127" s="375"/>
      <c r="AW127" s="375"/>
      <c r="AY127" s="373"/>
      <c r="AZ127" s="374"/>
      <c r="BA127" s="375"/>
      <c r="BB127" s="375"/>
      <c r="BD127" s="373"/>
      <c r="BE127" s="374"/>
      <c r="BF127" s="375"/>
      <c r="BG127" s="375"/>
      <c r="BI127" s="373"/>
      <c r="BJ127" s="374"/>
      <c r="BK127" s="375"/>
      <c r="BL127" s="375"/>
      <c r="BN127" s="373"/>
      <c r="BO127" s="374"/>
      <c r="BP127" s="375"/>
      <c r="BQ127" s="375"/>
      <c r="BS127" s="373"/>
      <c r="BT127" s="374"/>
      <c r="BU127" s="375"/>
      <c r="BV127" s="375"/>
      <c r="BX127" s="373"/>
      <c r="BY127" s="374"/>
      <c r="BZ127" s="375"/>
      <c r="CA127" s="375"/>
      <c r="CC127" s="373"/>
      <c r="CD127" s="374"/>
      <c r="CE127" s="375"/>
      <c r="CF127" s="375"/>
      <c r="CH127" s="373"/>
      <c r="CI127" s="374"/>
      <c r="CJ127" s="375"/>
      <c r="CK127" s="375"/>
      <c r="CM127" s="373"/>
      <c r="CN127" s="374"/>
      <c r="CO127" s="375"/>
      <c r="CP127" s="375"/>
      <c r="CR127" s="373"/>
      <c r="CS127" s="374"/>
      <c r="CT127" s="375"/>
      <c r="CU127" s="375"/>
      <c r="CW127" s="373"/>
      <c r="CX127" s="374"/>
      <c r="CY127" s="375"/>
      <c r="CZ127" s="375"/>
      <c r="DB127" s="373"/>
      <c r="DC127" s="374"/>
      <c r="DD127" s="375"/>
      <c r="DE127" s="375"/>
      <c r="DG127" s="373"/>
      <c r="DH127" s="374"/>
      <c r="DI127" s="375"/>
      <c r="DJ127" s="375"/>
      <c r="DL127" s="373"/>
      <c r="DM127" s="374"/>
      <c r="DN127" s="375"/>
      <c r="DO127" s="375"/>
      <c r="DQ127" s="373"/>
      <c r="DR127" s="374"/>
      <c r="DS127" s="375"/>
      <c r="DT127" s="375"/>
      <c r="DV127" s="373"/>
      <c r="DW127" s="374"/>
      <c r="DX127" s="375"/>
      <c r="DY127" s="375"/>
      <c r="EA127" s="373"/>
      <c r="EB127" s="374"/>
      <c r="EC127" s="375"/>
      <c r="ED127" s="375"/>
      <c r="EF127" s="373"/>
      <c r="EG127" s="374"/>
      <c r="EH127" s="375"/>
      <c r="EI127" s="375"/>
      <c r="EK127" s="373"/>
      <c r="EL127" s="374"/>
      <c r="EM127" s="375"/>
      <c r="EN127" s="375"/>
      <c r="EP127" s="373"/>
      <c r="EQ127" s="374"/>
      <c r="ER127" s="375"/>
      <c r="ES127" s="375"/>
      <c r="EU127" s="373"/>
      <c r="EV127" s="374"/>
      <c r="EW127" s="375"/>
      <c r="EX127" s="375"/>
      <c r="EZ127" s="373"/>
      <c r="FA127" s="374"/>
      <c r="FB127" s="375"/>
      <c r="FC127" s="375"/>
      <c r="FE127" s="373"/>
      <c r="FF127" s="374"/>
      <c r="FG127" s="375"/>
      <c r="FH127" s="375"/>
      <c r="FJ127" s="373"/>
      <c r="FK127" s="374"/>
      <c r="FL127" s="375"/>
      <c r="FM127" s="375"/>
      <c r="FO127" s="373"/>
      <c r="FP127" s="374"/>
      <c r="FQ127" s="375"/>
      <c r="FR127" s="375"/>
      <c r="FT127" s="373"/>
      <c r="FU127" s="374"/>
      <c r="FV127" s="375"/>
      <c r="FW127" s="375"/>
      <c r="FY127" s="373"/>
      <c r="FZ127" s="374"/>
      <c r="GA127" s="375"/>
      <c r="GB127" s="375"/>
      <c r="GD127" s="373"/>
      <c r="GE127" s="374"/>
      <c r="GF127" s="375"/>
      <c r="GG127" s="375"/>
      <c r="GI127" s="373"/>
      <c r="GJ127" s="374"/>
      <c r="GK127" s="375"/>
      <c r="GL127" s="375"/>
      <c r="GN127" s="373"/>
      <c r="GO127" s="374"/>
      <c r="GP127" s="375"/>
      <c r="GQ127" s="375"/>
      <c r="GS127" s="373"/>
      <c r="GT127" s="374"/>
      <c r="GU127" s="375"/>
      <c r="GV127" s="375"/>
      <c r="GX127" s="373"/>
      <c r="GY127" s="374"/>
      <c r="GZ127" s="375"/>
      <c r="HA127" s="375"/>
      <c r="HC127" s="373"/>
      <c r="HD127" s="374"/>
      <c r="HE127" s="375"/>
      <c r="HF127" s="375"/>
      <c r="HH127" s="373"/>
      <c r="HI127" s="374"/>
      <c r="HJ127" s="375"/>
      <c r="HK127" s="375"/>
      <c r="HM127" s="373"/>
      <c r="HN127" s="374"/>
      <c r="HO127" s="375"/>
      <c r="HP127" s="375"/>
      <c r="HR127" s="373"/>
      <c r="HS127" s="374"/>
      <c r="HT127" s="375"/>
      <c r="HU127" s="375"/>
      <c r="HW127" s="373"/>
      <c r="HX127" s="374"/>
      <c r="HY127" s="375"/>
      <c r="HZ127" s="375"/>
      <c r="IB127" s="373"/>
      <c r="IC127" s="374"/>
      <c r="ID127" s="375"/>
      <c r="IE127" s="375"/>
      <c r="IG127" s="373"/>
      <c r="IH127" s="374"/>
      <c r="II127" s="375"/>
      <c r="IJ127" s="375"/>
      <c r="IL127" s="373"/>
      <c r="IM127" s="374"/>
      <c r="IN127" s="375"/>
      <c r="IO127" s="375"/>
      <c r="IQ127" s="373"/>
      <c r="IR127" s="374"/>
      <c r="IS127" s="375"/>
      <c r="IT127" s="375"/>
      <c r="IV127" s="373"/>
    </row>
    <row r="128" spans="1:256" s="376" customFormat="1" x14ac:dyDescent="0.2">
      <c r="A128" s="373"/>
      <c r="B128" s="374"/>
      <c r="C128" s="375"/>
      <c r="D128" s="375"/>
      <c r="F128" s="373"/>
      <c r="G128" s="374"/>
      <c r="H128" s="375"/>
      <c r="I128" s="375"/>
      <c r="K128" s="382">
        <v>126</v>
      </c>
      <c r="L128" s="383" t="s">
        <v>2672</v>
      </c>
      <c r="M128" s="384">
        <v>5.2631578947368425</v>
      </c>
      <c r="N128" s="384">
        <v>5.2631578947368418E-2</v>
      </c>
      <c r="P128" s="373"/>
      <c r="Q128" s="374"/>
      <c r="R128" s="375"/>
      <c r="S128" s="375"/>
      <c r="U128" s="373"/>
      <c r="V128" s="374"/>
      <c r="W128" s="375"/>
      <c r="X128" s="375"/>
      <c r="Z128" s="373"/>
      <c r="AA128" s="374"/>
      <c r="AB128" s="375"/>
      <c r="AC128" s="375"/>
      <c r="AE128" s="373"/>
      <c r="AF128" s="374"/>
      <c r="AG128" s="375"/>
      <c r="AH128" s="375"/>
      <c r="AJ128" s="373"/>
      <c r="AK128" s="374"/>
      <c r="AL128" s="375"/>
      <c r="AM128" s="375"/>
      <c r="AO128" s="373"/>
      <c r="AP128" s="374"/>
      <c r="AQ128" s="375"/>
      <c r="AR128" s="375"/>
      <c r="AT128" s="373"/>
      <c r="AU128" s="374"/>
      <c r="AV128" s="375"/>
      <c r="AW128" s="375"/>
      <c r="AY128" s="373"/>
      <c r="AZ128" s="374"/>
      <c r="BA128" s="375"/>
      <c r="BB128" s="375"/>
      <c r="BD128" s="373"/>
      <c r="BE128" s="374"/>
      <c r="BF128" s="375"/>
      <c r="BG128" s="375"/>
      <c r="BI128" s="373"/>
      <c r="BJ128" s="374"/>
      <c r="BK128" s="375"/>
      <c r="BL128" s="375"/>
      <c r="BN128" s="373"/>
      <c r="BO128" s="374"/>
      <c r="BP128" s="375"/>
      <c r="BQ128" s="375"/>
      <c r="BS128" s="373"/>
      <c r="BT128" s="374"/>
      <c r="BU128" s="375"/>
      <c r="BV128" s="375"/>
      <c r="BX128" s="373"/>
      <c r="BY128" s="374"/>
      <c r="BZ128" s="375"/>
      <c r="CA128" s="375"/>
      <c r="CC128" s="373"/>
      <c r="CD128" s="374"/>
      <c r="CE128" s="375"/>
      <c r="CF128" s="375"/>
      <c r="CH128" s="373"/>
      <c r="CI128" s="374"/>
      <c r="CJ128" s="375"/>
      <c r="CK128" s="375"/>
      <c r="CM128" s="373"/>
      <c r="CN128" s="374"/>
      <c r="CO128" s="375"/>
      <c r="CP128" s="375"/>
      <c r="CR128" s="373"/>
      <c r="CS128" s="374"/>
      <c r="CT128" s="375"/>
      <c r="CU128" s="375"/>
      <c r="CW128" s="373"/>
      <c r="CX128" s="374"/>
      <c r="CY128" s="375"/>
      <c r="CZ128" s="375"/>
      <c r="DB128" s="373"/>
      <c r="DC128" s="374"/>
      <c r="DD128" s="375"/>
      <c r="DE128" s="375"/>
      <c r="DG128" s="373"/>
      <c r="DH128" s="374"/>
      <c r="DI128" s="375"/>
      <c r="DJ128" s="375"/>
      <c r="DL128" s="373"/>
      <c r="DM128" s="374"/>
      <c r="DN128" s="375"/>
      <c r="DO128" s="375"/>
      <c r="DQ128" s="373"/>
      <c r="DR128" s="374"/>
      <c r="DS128" s="375"/>
      <c r="DT128" s="375"/>
      <c r="DV128" s="373"/>
      <c r="DW128" s="374"/>
      <c r="DX128" s="375"/>
      <c r="DY128" s="375"/>
      <c r="EA128" s="373"/>
      <c r="EB128" s="374"/>
      <c r="EC128" s="375"/>
      <c r="ED128" s="375"/>
      <c r="EF128" s="373"/>
      <c r="EG128" s="374"/>
      <c r="EH128" s="375"/>
      <c r="EI128" s="375"/>
      <c r="EK128" s="373"/>
      <c r="EL128" s="374"/>
      <c r="EM128" s="375"/>
      <c r="EN128" s="375"/>
      <c r="EP128" s="373"/>
      <c r="EQ128" s="374"/>
      <c r="ER128" s="375"/>
      <c r="ES128" s="375"/>
      <c r="EU128" s="373"/>
      <c r="EV128" s="374"/>
      <c r="EW128" s="375"/>
      <c r="EX128" s="375"/>
      <c r="EZ128" s="373"/>
      <c r="FA128" s="374"/>
      <c r="FB128" s="375"/>
      <c r="FC128" s="375"/>
      <c r="FE128" s="373"/>
      <c r="FF128" s="374"/>
      <c r="FG128" s="375"/>
      <c r="FH128" s="375"/>
      <c r="FJ128" s="373"/>
      <c r="FK128" s="374"/>
      <c r="FL128" s="375"/>
      <c r="FM128" s="375"/>
      <c r="FO128" s="373"/>
      <c r="FP128" s="374"/>
      <c r="FQ128" s="375"/>
      <c r="FR128" s="375"/>
      <c r="FT128" s="373"/>
      <c r="FU128" s="374"/>
      <c r="FV128" s="375"/>
      <c r="FW128" s="375"/>
      <c r="FY128" s="373"/>
      <c r="FZ128" s="374"/>
      <c r="GA128" s="375"/>
      <c r="GB128" s="375"/>
      <c r="GD128" s="373"/>
      <c r="GE128" s="374"/>
      <c r="GF128" s="375"/>
      <c r="GG128" s="375"/>
      <c r="GI128" s="373"/>
      <c r="GJ128" s="374"/>
      <c r="GK128" s="375"/>
      <c r="GL128" s="375"/>
      <c r="GN128" s="373"/>
      <c r="GO128" s="374"/>
      <c r="GP128" s="375"/>
      <c r="GQ128" s="375"/>
      <c r="GS128" s="373"/>
      <c r="GT128" s="374"/>
      <c r="GU128" s="375"/>
      <c r="GV128" s="375"/>
      <c r="GX128" s="373"/>
      <c r="GY128" s="374"/>
      <c r="GZ128" s="375"/>
      <c r="HA128" s="375"/>
      <c r="HC128" s="373"/>
      <c r="HD128" s="374"/>
      <c r="HE128" s="375"/>
      <c r="HF128" s="375"/>
      <c r="HH128" s="373"/>
      <c r="HI128" s="374"/>
      <c r="HJ128" s="375"/>
      <c r="HK128" s="375"/>
      <c r="HM128" s="373"/>
      <c r="HN128" s="374"/>
      <c r="HO128" s="375"/>
      <c r="HP128" s="375"/>
      <c r="HR128" s="373"/>
      <c r="HS128" s="374"/>
      <c r="HT128" s="375"/>
      <c r="HU128" s="375"/>
      <c r="HW128" s="373"/>
      <c r="HX128" s="374"/>
      <c r="HY128" s="375"/>
      <c r="HZ128" s="375"/>
      <c r="IB128" s="373"/>
      <c r="IC128" s="374"/>
      <c r="ID128" s="375"/>
      <c r="IE128" s="375"/>
      <c r="IG128" s="373"/>
      <c r="IH128" s="374"/>
      <c r="II128" s="375"/>
      <c r="IJ128" s="375"/>
      <c r="IL128" s="373"/>
      <c r="IM128" s="374"/>
      <c r="IN128" s="375"/>
      <c r="IO128" s="375"/>
      <c r="IQ128" s="373"/>
      <c r="IR128" s="374"/>
      <c r="IS128" s="375"/>
      <c r="IT128" s="375"/>
      <c r="IV128" s="373"/>
    </row>
    <row r="129" spans="1:256" s="376" customFormat="1" x14ac:dyDescent="0.2">
      <c r="A129" s="373"/>
      <c r="B129" s="374"/>
      <c r="C129" s="375"/>
      <c r="D129" s="375"/>
      <c r="F129" s="373"/>
      <c r="G129" s="374"/>
      <c r="H129" s="375"/>
      <c r="I129" s="375"/>
      <c r="K129" s="382">
        <v>127</v>
      </c>
      <c r="L129" s="383" t="s">
        <v>983</v>
      </c>
      <c r="M129" s="384">
        <v>10.526315789473685</v>
      </c>
      <c r="N129" s="384">
        <v>5.2631578947368418E-2</v>
      </c>
      <c r="P129" s="373"/>
      <c r="Q129" s="374"/>
      <c r="R129" s="375"/>
      <c r="S129" s="375"/>
      <c r="U129" s="373"/>
      <c r="V129" s="374"/>
      <c r="W129" s="375"/>
      <c r="X129" s="375"/>
      <c r="Z129" s="373"/>
      <c r="AA129" s="374"/>
      <c r="AB129" s="375"/>
      <c r="AC129" s="375"/>
      <c r="AE129" s="373"/>
      <c r="AF129" s="374"/>
      <c r="AG129" s="375"/>
      <c r="AH129" s="375"/>
      <c r="AJ129" s="373"/>
      <c r="AK129" s="374"/>
      <c r="AL129" s="375"/>
      <c r="AM129" s="375"/>
      <c r="AO129" s="373"/>
      <c r="AP129" s="374"/>
      <c r="AQ129" s="375"/>
      <c r="AR129" s="375"/>
      <c r="AT129" s="373"/>
      <c r="AU129" s="374"/>
      <c r="AV129" s="375"/>
      <c r="AW129" s="375"/>
      <c r="AY129" s="373"/>
      <c r="AZ129" s="374"/>
      <c r="BA129" s="375"/>
      <c r="BB129" s="375"/>
      <c r="BD129" s="373"/>
      <c r="BE129" s="374"/>
      <c r="BF129" s="375"/>
      <c r="BG129" s="375"/>
      <c r="BI129" s="373"/>
      <c r="BJ129" s="374"/>
      <c r="BK129" s="375"/>
      <c r="BL129" s="375"/>
      <c r="BN129" s="373"/>
      <c r="BO129" s="374"/>
      <c r="BP129" s="375"/>
      <c r="BQ129" s="375"/>
      <c r="BS129" s="373"/>
      <c r="BT129" s="374"/>
      <c r="BU129" s="375"/>
      <c r="BV129" s="375"/>
      <c r="BX129" s="373"/>
      <c r="BY129" s="374"/>
      <c r="BZ129" s="375"/>
      <c r="CA129" s="375"/>
      <c r="CC129" s="373"/>
      <c r="CD129" s="374"/>
      <c r="CE129" s="375"/>
      <c r="CF129" s="375"/>
      <c r="CH129" s="373"/>
      <c r="CI129" s="374"/>
      <c r="CJ129" s="375"/>
      <c r="CK129" s="375"/>
      <c r="CM129" s="373"/>
      <c r="CN129" s="374"/>
      <c r="CO129" s="375"/>
      <c r="CP129" s="375"/>
      <c r="CR129" s="373"/>
      <c r="CS129" s="374"/>
      <c r="CT129" s="375"/>
      <c r="CU129" s="375"/>
      <c r="CW129" s="373"/>
      <c r="CX129" s="374"/>
      <c r="CY129" s="375"/>
      <c r="CZ129" s="375"/>
      <c r="DB129" s="373"/>
      <c r="DC129" s="374"/>
      <c r="DD129" s="375"/>
      <c r="DE129" s="375"/>
      <c r="DG129" s="373"/>
      <c r="DH129" s="374"/>
      <c r="DI129" s="375"/>
      <c r="DJ129" s="375"/>
      <c r="DL129" s="373"/>
      <c r="DM129" s="374"/>
      <c r="DN129" s="375"/>
      <c r="DO129" s="375"/>
      <c r="DQ129" s="373"/>
      <c r="DR129" s="374"/>
      <c r="DS129" s="375"/>
      <c r="DT129" s="375"/>
      <c r="DV129" s="373"/>
      <c r="DW129" s="374"/>
      <c r="DX129" s="375"/>
      <c r="DY129" s="375"/>
      <c r="EA129" s="373"/>
      <c r="EB129" s="374"/>
      <c r="EC129" s="375"/>
      <c r="ED129" s="375"/>
      <c r="EF129" s="373"/>
      <c r="EG129" s="374"/>
      <c r="EH129" s="375"/>
      <c r="EI129" s="375"/>
      <c r="EK129" s="373"/>
      <c r="EL129" s="374"/>
      <c r="EM129" s="375"/>
      <c r="EN129" s="375"/>
      <c r="EP129" s="373"/>
      <c r="EQ129" s="374"/>
      <c r="ER129" s="375"/>
      <c r="ES129" s="375"/>
      <c r="EU129" s="373"/>
      <c r="EV129" s="374"/>
      <c r="EW129" s="375"/>
      <c r="EX129" s="375"/>
      <c r="EZ129" s="373"/>
      <c r="FA129" s="374"/>
      <c r="FB129" s="375"/>
      <c r="FC129" s="375"/>
      <c r="FE129" s="373"/>
      <c r="FF129" s="374"/>
      <c r="FG129" s="375"/>
      <c r="FH129" s="375"/>
      <c r="FJ129" s="373"/>
      <c r="FK129" s="374"/>
      <c r="FL129" s="375"/>
      <c r="FM129" s="375"/>
      <c r="FO129" s="373"/>
      <c r="FP129" s="374"/>
      <c r="FQ129" s="375"/>
      <c r="FR129" s="375"/>
      <c r="FT129" s="373"/>
      <c r="FU129" s="374"/>
      <c r="FV129" s="375"/>
      <c r="FW129" s="375"/>
      <c r="FY129" s="373"/>
      <c r="FZ129" s="374"/>
      <c r="GA129" s="375"/>
      <c r="GB129" s="375"/>
      <c r="GD129" s="373"/>
      <c r="GE129" s="374"/>
      <c r="GF129" s="375"/>
      <c r="GG129" s="375"/>
      <c r="GI129" s="373"/>
      <c r="GJ129" s="374"/>
      <c r="GK129" s="375"/>
      <c r="GL129" s="375"/>
      <c r="GN129" s="373"/>
      <c r="GO129" s="374"/>
      <c r="GP129" s="375"/>
      <c r="GQ129" s="375"/>
      <c r="GS129" s="373"/>
      <c r="GT129" s="374"/>
      <c r="GU129" s="375"/>
      <c r="GV129" s="375"/>
      <c r="GX129" s="373"/>
      <c r="GY129" s="374"/>
      <c r="GZ129" s="375"/>
      <c r="HA129" s="375"/>
      <c r="HC129" s="373"/>
      <c r="HD129" s="374"/>
      <c r="HE129" s="375"/>
      <c r="HF129" s="375"/>
      <c r="HH129" s="373"/>
      <c r="HI129" s="374"/>
      <c r="HJ129" s="375"/>
      <c r="HK129" s="375"/>
      <c r="HM129" s="373"/>
      <c r="HN129" s="374"/>
      <c r="HO129" s="375"/>
      <c r="HP129" s="375"/>
      <c r="HR129" s="373"/>
      <c r="HS129" s="374"/>
      <c r="HT129" s="375"/>
      <c r="HU129" s="375"/>
      <c r="HW129" s="373"/>
      <c r="HX129" s="374"/>
      <c r="HY129" s="375"/>
      <c r="HZ129" s="375"/>
      <c r="IB129" s="373"/>
      <c r="IC129" s="374"/>
      <c r="ID129" s="375"/>
      <c r="IE129" s="375"/>
      <c r="IG129" s="373"/>
      <c r="IH129" s="374"/>
      <c r="II129" s="375"/>
      <c r="IJ129" s="375"/>
      <c r="IL129" s="373"/>
      <c r="IM129" s="374"/>
      <c r="IN129" s="375"/>
      <c r="IO129" s="375"/>
      <c r="IQ129" s="373"/>
      <c r="IR129" s="374"/>
      <c r="IS129" s="375"/>
      <c r="IT129" s="375"/>
      <c r="IV129" s="373"/>
    </row>
    <row r="130" spans="1:256" s="376" customFormat="1" x14ac:dyDescent="0.2">
      <c r="A130" s="373"/>
      <c r="B130" s="374"/>
      <c r="C130" s="375"/>
      <c r="D130" s="375"/>
      <c r="F130" s="373"/>
      <c r="G130" s="374"/>
      <c r="H130" s="375"/>
      <c r="I130" s="375"/>
      <c r="K130" s="373">
        <v>128</v>
      </c>
      <c r="L130" s="374" t="s">
        <v>2575</v>
      </c>
      <c r="M130" s="375">
        <v>5.2631578947368425</v>
      </c>
      <c r="N130" s="375">
        <v>5.2631578947368418E-2</v>
      </c>
      <c r="P130" s="373"/>
      <c r="Q130" s="374"/>
      <c r="R130" s="375"/>
      <c r="S130" s="375"/>
      <c r="U130" s="373"/>
      <c r="V130" s="374"/>
      <c r="W130" s="375"/>
      <c r="X130" s="375"/>
      <c r="Z130" s="373"/>
      <c r="AA130" s="374"/>
      <c r="AB130" s="375"/>
      <c r="AC130" s="375"/>
      <c r="AE130" s="373"/>
      <c r="AF130" s="374"/>
      <c r="AG130" s="375"/>
      <c r="AH130" s="375"/>
      <c r="AJ130" s="373"/>
      <c r="AK130" s="374"/>
      <c r="AL130" s="375"/>
      <c r="AM130" s="375"/>
      <c r="AO130" s="373"/>
      <c r="AP130" s="374"/>
      <c r="AQ130" s="375"/>
      <c r="AR130" s="375"/>
      <c r="AT130" s="373"/>
      <c r="AU130" s="374"/>
      <c r="AV130" s="375"/>
      <c r="AW130" s="375"/>
      <c r="AY130" s="373"/>
      <c r="AZ130" s="374"/>
      <c r="BA130" s="375"/>
      <c r="BB130" s="375"/>
      <c r="BD130" s="373"/>
      <c r="BE130" s="374"/>
      <c r="BF130" s="375"/>
      <c r="BG130" s="375"/>
      <c r="BI130" s="373"/>
      <c r="BJ130" s="374"/>
      <c r="BK130" s="375"/>
      <c r="BL130" s="375"/>
      <c r="BN130" s="373"/>
      <c r="BO130" s="374"/>
      <c r="BP130" s="375"/>
      <c r="BQ130" s="375"/>
      <c r="BS130" s="373"/>
      <c r="BT130" s="374"/>
      <c r="BU130" s="375"/>
      <c r="BV130" s="375"/>
      <c r="BX130" s="373"/>
      <c r="BY130" s="374"/>
      <c r="BZ130" s="375"/>
      <c r="CA130" s="375"/>
      <c r="CC130" s="373"/>
      <c r="CD130" s="374"/>
      <c r="CE130" s="375"/>
      <c r="CF130" s="375"/>
      <c r="CH130" s="373"/>
      <c r="CI130" s="374"/>
      <c r="CJ130" s="375"/>
      <c r="CK130" s="375"/>
      <c r="CM130" s="373"/>
      <c r="CN130" s="374"/>
      <c r="CO130" s="375"/>
      <c r="CP130" s="375"/>
      <c r="CR130" s="373"/>
      <c r="CS130" s="374"/>
      <c r="CT130" s="375"/>
      <c r="CU130" s="375"/>
      <c r="CW130" s="373"/>
      <c r="CX130" s="374"/>
      <c r="CY130" s="375"/>
      <c r="CZ130" s="375"/>
      <c r="DB130" s="373"/>
      <c r="DC130" s="374"/>
      <c r="DD130" s="375"/>
      <c r="DE130" s="375"/>
      <c r="DG130" s="373"/>
      <c r="DH130" s="374"/>
      <c r="DI130" s="375"/>
      <c r="DJ130" s="375"/>
      <c r="DL130" s="373"/>
      <c r="DM130" s="374"/>
      <c r="DN130" s="375"/>
      <c r="DO130" s="375"/>
      <c r="DQ130" s="373"/>
      <c r="DR130" s="374"/>
      <c r="DS130" s="375"/>
      <c r="DT130" s="375"/>
      <c r="DV130" s="373"/>
      <c r="DW130" s="374"/>
      <c r="DX130" s="375"/>
      <c r="DY130" s="375"/>
      <c r="EA130" s="373"/>
      <c r="EB130" s="374"/>
      <c r="EC130" s="375"/>
      <c r="ED130" s="375"/>
      <c r="EF130" s="373"/>
      <c r="EG130" s="374"/>
      <c r="EH130" s="375"/>
      <c r="EI130" s="375"/>
      <c r="EK130" s="373"/>
      <c r="EL130" s="374"/>
      <c r="EM130" s="375"/>
      <c r="EN130" s="375"/>
      <c r="EP130" s="373"/>
      <c r="EQ130" s="374"/>
      <c r="ER130" s="375"/>
      <c r="ES130" s="375"/>
      <c r="EU130" s="373"/>
      <c r="EV130" s="374"/>
      <c r="EW130" s="375"/>
      <c r="EX130" s="375"/>
      <c r="EZ130" s="373"/>
      <c r="FA130" s="374"/>
      <c r="FB130" s="375"/>
      <c r="FC130" s="375"/>
      <c r="FE130" s="373"/>
      <c r="FF130" s="374"/>
      <c r="FG130" s="375"/>
      <c r="FH130" s="375"/>
      <c r="FJ130" s="373"/>
      <c r="FK130" s="374"/>
      <c r="FL130" s="375"/>
      <c r="FM130" s="375"/>
      <c r="FO130" s="373"/>
      <c r="FP130" s="374"/>
      <c r="FQ130" s="375"/>
      <c r="FR130" s="375"/>
      <c r="FT130" s="373"/>
      <c r="FU130" s="374"/>
      <c r="FV130" s="375"/>
      <c r="FW130" s="375"/>
      <c r="FY130" s="373"/>
      <c r="FZ130" s="374"/>
      <c r="GA130" s="375"/>
      <c r="GB130" s="375"/>
      <c r="GD130" s="373"/>
      <c r="GE130" s="374"/>
      <c r="GF130" s="375"/>
      <c r="GG130" s="375"/>
      <c r="GI130" s="373"/>
      <c r="GJ130" s="374"/>
      <c r="GK130" s="375"/>
      <c r="GL130" s="375"/>
      <c r="GN130" s="373"/>
      <c r="GO130" s="374"/>
      <c r="GP130" s="375"/>
      <c r="GQ130" s="375"/>
      <c r="GS130" s="373"/>
      <c r="GT130" s="374"/>
      <c r="GU130" s="375"/>
      <c r="GV130" s="375"/>
      <c r="GX130" s="373"/>
      <c r="GY130" s="374"/>
      <c r="GZ130" s="375"/>
      <c r="HA130" s="375"/>
      <c r="HC130" s="373"/>
      <c r="HD130" s="374"/>
      <c r="HE130" s="375"/>
      <c r="HF130" s="375"/>
      <c r="HH130" s="373"/>
      <c r="HI130" s="374"/>
      <c r="HJ130" s="375"/>
      <c r="HK130" s="375"/>
      <c r="HM130" s="373"/>
      <c r="HN130" s="374"/>
      <c r="HO130" s="375"/>
      <c r="HP130" s="375"/>
      <c r="HR130" s="373"/>
      <c r="HS130" s="374"/>
      <c r="HT130" s="375"/>
      <c r="HU130" s="375"/>
      <c r="HW130" s="373"/>
      <c r="HX130" s="374"/>
      <c r="HY130" s="375"/>
      <c r="HZ130" s="375"/>
      <c r="IB130" s="373"/>
      <c r="IC130" s="374"/>
      <c r="ID130" s="375"/>
      <c r="IE130" s="375"/>
      <c r="IG130" s="373"/>
      <c r="IH130" s="374"/>
      <c r="II130" s="375"/>
      <c r="IJ130" s="375"/>
      <c r="IL130" s="373"/>
      <c r="IM130" s="374"/>
      <c r="IN130" s="375"/>
      <c r="IO130" s="375"/>
      <c r="IQ130" s="373"/>
      <c r="IR130" s="374"/>
      <c r="IS130" s="375"/>
      <c r="IT130" s="375"/>
      <c r="IV130" s="373"/>
    </row>
    <row r="131" spans="1:256" s="376" customFormat="1" x14ac:dyDescent="0.2">
      <c r="A131" s="373"/>
      <c r="B131" s="374"/>
      <c r="C131" s="375"/>
      <c r="D131" s="375"/>
      <c r="F131" s="373"/>
      <c r="G131" s="374"/>
      <c r="H131" s="375"/>
      <c r="I131" s="375"/>
      <c r="K131" s="373">
        <v>129</v>
      </c>
      <c r="L131" s="374" t="s">
        <v>395</v>
      </c>
      <c r="M131" s="375">
        <v>5.2631578947368425</v>
      </c>
      <c r="N131" s="375">
        <v>5.2631578947368418E-2</v>
      </c>
      <c r="P131" s="373"/>
      <c r="Q131" s="374"/>
      <c r="R131" s="375"/>
      <c r="S131" s="375"/>
      <c r="U131" s="373"/>
      <c r="V131" s="374"/>
      <c r="W131" s="375"/>
      <c r="X131" s="375"/>
      <c r="Z131" s="373"/>
      <c r="AA131" s="374"/>
      <c r="AB131" s="375"/>
      <c r="AC131" s="375"/>
      <c r="AE131" s="373"/>
      <c r="AF131" s="374"/>
      <c r="AG131" s="375"/>
      <c r="AH131" s="375"/>
      <c r="AJ131" s="373"/>
      <c r="AK131" s="374"/>
      <c r="AL131" s="375"/>
      <c r="AM131" s="375"/>
      <c r="AO131" s="373"/>
      <c r="AP131" s="374"/>
      <c r="AQ131" s="375"/>
      <c r="AR131" s="375"/>
      <c r="AT131" s="373"/>
      <c r="AU131" s="374"/>
      <c r="AV131" s="375"/>
      <c r="AW131" s="375"/>
      <c r="AY131" s="373"/>
      <c r="AZ131" s="374"/>
      <c r="BA131" s="375"/>
      <c r="BB131" s="375"/>
      <c r="BD131" s="373"/>
      <c r="BE131" s="374"/>
      <c r="BF131" s="375"/>
      <c r="BG131" s="375"/>
      <c r="BI131" s="373"/>
      <c r="BJ131" s="374"/>
      <c r="BK131" s="375"/>
      <c r="BL131" s="375"/>
      <c r="BN131" s="373"/>
      <c r="BO131" s="374"/>
      <c r="BP131" s="375"/>
      <c r="BQ131" s="375"/>
      <c r="BS131" s="373"/>
      <c r="BT131" s="374"/>
      <c r="BU131" s="375"/>
      <c r="BV131" s="375"/>
      <c r="BX131" s="373"/>
      <c r="BY131" s="374"/>
      <c r="BZ131" s="375"/>
      <c r="CA131" s="375"/>
      <c r="CC131" s="373"/>
      <c r="CD131" s="374"/>
      <c r="CE131" s="375"/>
      <c r="CF131" s="375"/>
      <c r="CH131" s="373"/>
      <c r="CI131" s="374"/>
      <c r="CJ131" s="375"/>
      <c r="CK131" s="375"/>
      <c r="CM131" s="373"/>
      <c r="CN131" s="374"/>
      <c r="CO131" s="375"/>
      <c r="CP131" s="375"/>
      <c r="CR131" s="373"/>
      <c r="CS131" s="374"/>
      <c r="CT131" s="375"/>
      <c r="CU131" s="375"/>
      <c r="CW131" s="373"/>
      <c r="CX131" s="374"/>
      <c r="CY131" s="375"/>
      <c r="CZ131" s="375"/>
      <c r="DB131" s="373"/>
      <c r="DC131" s="374"/>
      <c r="DD131" s="375"/>
      <c r="DE131" s="375"/>
      <c r="DG131" s="373"/>
      <c r="DH131" s="374"/>
      <c r="DI131" s="375"/>
      <c r="DJ131" s="375"/>
      <c r="DL131" s="373"/>
      <c r="DM131" s="374"/>
      <c r="DN131" s="375"/>
      <c r="DO131" s="375"/>
      <c r="DQ131" s="373"/>
      <c r="DR131" s="374"/>
      <c r="DS131" s="375"/>
      <c r="DT131" s="375"/>
      <c r="DV131" s="373"/>
      <c r="DW131" s="374"/>
      <c r="DX131" s="375"/>
      <c r="DY131" s="375"/>
      <c r="EA131" s="373"/>
      <c r="EB131" s="374"/>
      <c r="EC131" s="375"/>
      <c r="ED131" s="375"/>
      <c r="EF131" s="373"/>
      <c r="EG131" s="374"/>
      <c r="EH131" s="375"/>
      <c r="EI131" s="375"/>
      <c r="EK131" s="373"/>
      <c r="EL131" s="374"/>
      <c r="EM131" s="375"/>
      <c r="EN131" s="375"/>
      <c r="EP131" s="373"/>
      <c r="EQ131" s="374"/>
      <c r="ER131" s="375"/>
      <c r="ES131" s="375"/>
      <c r="EU131" s="373"/>
      <c r="EV131" s="374"/>
      <c r="EW131" s="375"/>
      <c r="EX131" s="375"/>
      <c r="EZ131" s="373"/>
      <c r="FA131" s="374"/>
      <c r="FB131" s="375"/>
      <c r="FC131" s="375"/>
      <c r="FE131" s="373"/>
      <c r="FF131" s="374"/>
      <c r="FG131" s="375"/>
      <c r="FH131" s="375"/>
      <c r="FJ131" s="373"/>
      <c r="FK131" s="374"/>
      <c r="FL131" s="375"/>
      <c r="FM131" s="375"/>
      <c r="FO131" s="373"/>
      <c r="FP131" s="374"/>
      <c r="FQ131" s="375"/>
      <c r="FR131" s="375"/>
      <c r="FT131" s="373"/>
      <c r="FU131" s="374"/>
      <c r="FV131" s="375"/>
      <c r="FW131" s="375"/>
      <c r="FY131" s="373"/>
      <c r="FZ131" s="374"/>
      <c r="GA131" s="375"/>
      <c r="GB131" s="375"/>
      <c r="GD131" s="373"/>
      <c r="GE131" s="374"/>
      <c r="GF131" s="375"/>
      <c r="GG131" s="375"/>
      <c r="GI131" s="373"/>
      <c r="GJ131" s="374"/>
      <c r="GK131" s="375"/>
      <c r="GL131" s="375"/>
      <c r="GN131" s="373"/>
      <c r="GO131" s="374"/>
      <c r="GP131" s="375"/>
      <c r="GQ131" s="375"/>
      <c r="GS131" s="373"/>
      <c r="GT131" s="374"/>
      <c r="GU131" s="375"/>
      <c r="GV131" s="375"/>
      <c r="GX131" s="373"/>
      <c r="GY131" s="374"/>
      <c r="GZ131" s="375"/>
      <c r="HA131" s="375"/>
      <c r="HC131" s="373"/>
      <c r="HD131" s="374"/>
      <c r="HE131" s="375"/>
      <c r="HF131" s="375"/>
      <c r="HH131" s="373"/>
      <c r="HI131" s="374"/>
      <c r="HJ131" s="375"/>
      <c r="HK131" s="375"/>
      <c r="HM131" s="373"/>
      <c r="HN131" s="374"/>
      <c r="HO131" s="375"/>
      <c r="HP131" s="375"/>
      <c r="HR131" s="373"/>
      <c r="HS131" s="374"/>
      <c r="HT131" s="375"/>
      <c r="HU131" s="375"/>
      <c r="HW131" s="373"/>
      <c r="HX131" s="374"/>
      <c r="HY131" s="375"/>
      <c r="HZ131" s="375"/>
      <c r="IB131" s="373"/>
      <c r="IC131" s="374"/>
      <c r="ID131" s="375"/>
      <c r="IE131" s="375"/>
      <c r="IG131" s="373"/>
      <c r="IH131" s="374"/>
      <c r="II131" s="375"/>
      <c r="IJ131" s="375"/>
      <c r="IL131" s="373"/>
      <c r="IM131" s="374"/>
      <c r="IN131" s="375"/>
      <c r="IO131" s="375"/>
      <c r="IQ131" s="373"/>
      <c r="IR131" s="374"/>
      <c r="IS131" s="375"/>
      <c r="IT131" s="375"/>
      <c r="IV131" s="373"/>
    </row>
    <row r="132" spans="1:256" s="376" customFormat="1" x14ac:dyDescent="0.2">
      <c r="A132" s="373"/>
      <c r="B132" s="374"/>
      <c r="C132" s="375"/>
      <c r="D132" s="375"/>
      <c r="F132" s="373"/>
      <c r="G132" s="374"/>
      <c r="H132" s="375"/>
      <c r="I132" s="375"/>
      <c r="K132" s="373">
        <v>130</v>
      </c>
      <c r="L132" s="374" t="s">
        <v>424</v>
      </c>
      <c r="M132" s="375">
        <v>5.2631578947368425</v>
      </c>
      <c r="N132" s="375">
        <v>5.2631578947368418E-2</v>
      </c>
      <c r="P132" s="373"/>
      <c r="Q132" s="374"/>
      <c r="R132" s="375"/>
      <c r="S132" s="375"/>
      <c r="U132" s="373"/>
      <c r="V132" s="374"/>
      <c r="W132" s="375"/>
      <c r="X132" s="375"/>
      <c r="Z132" s="373"/>
      <c r="AA132" s="374"/>
      <c r="AB132" s="375"/>
      <c r="AC132" s="375"/>
      <c r="AE132" s="373"/>
      <c r="AF132" s="374"/>
      <c r="AG132" s="375"/>
      <c r="AH132" s="375"/>
      <c r="AJ132" s="373"/>
      <c r="AK132" s="374"/>
      <c r="AL132" s="375"/>
      <c r="AM132" s="375"/>
      <c r="AO132" s="373"/>
      <c r="AP132" s="374"/>
      <c r="AQ132" s="375"/>
      <c r="AR132" s="375"/>
      <c r="AT132" s="373"/>
      <c r="AU132" s="374"/>
      <c r="AV132" s="375"/>
      <c r="AW132" s="375"/>
      <c r="AY132" s="373"/>
      <c r="AZ132" s="374"/>
      <c r="BA132" s="375"/>
      <c r="BB132" s="375"/>
      <c r="BD132" s="373"/>
      <c r="BE132" s="374"/>
      <c r="BF132" s="375"/>
      <c r="BG132" s="375"/>
      <c r="BI132" s="373"/>
      <c r="BJ132" s="374"/>
      <c r="BK132" s="375"/>
      <c r="BL132" s="375"/>
      <c r="BN132" s="373"/>
      <c r="BO132" s="374"/>
      <c r="BP132" s="375"/>
      <c r="BQ132" s="375"/>
      <c r="BS132" s="373"/>
      <c r="BT132" s="374"/>
      <c r="BU132" s="375"/>
      <c r="BV132" s="375"/>
      <c r="BX132" s="373"/>
      <c r="BY132" s="374"/>
      <c r="BZ132" s="375"/>
      <c r="CA132" s="375"/>
      <c r="CC132" s="373"/>
      <c r="CD132" s="374"/>
      <c r="CE132" s="375"/>
      <c r="CF132" s="375"/>
      <c r="CH132" s="373"/>
      <c r="CI132" s="374"/>
      <c r="CJ132" s="375"/>
      <c r="CK132" s="375"/>
      <c r="CM132" s="373"/>
      <c r="CN132" s="374"/>
      <c r="CO132" s="375"/>
      <c r="CP132" s="375"/>
      <c r="CR132" s="373"/>
      <c r="CS132" s="374"/>
      <c r="CT132" s="375"/>
      <c r="CU132" s="375"/>
      <c r="CW132" s="373"/>
      <c r="CX132" s="374"/>
      <c r="CY132" s="375"/>
      <c r="CZ132" s="375"/>
      <c r="DB132" s="373"/>
      <c r="DC132" s="374"/>
      <c r="DD132" s="375"/>
      <c r="DE132" s="375"/>
      <c r="DG132" s="373"/>
      <c r="DH132" s="374"/>
      <c r="DI132" s="375"/>
      <c r="DJ132" s="375"/>
      <c r="DL132" s="373"/>
      <c r="DM132" s="374"/>
      <c r="DN132" s="375"/>
      <c r="DO132" s="375"/>
      <c r="DQ132" s="373"/>
      <c r="DR132" s="374"/>
      <c r="DS132" s="375"/>
      <c r="DT132" s="375"/>
      <c r="DV132" s="373"/>
      <c r="DW132" s="374"/>
      <c r="DX132" s="375"/>
      <c r="DY132" s="375"/>
      <c r="EA132" s="373"/>
      <c r="EB132" s="374"/>
      <c r="EC132" s="375"/>
      <c r="ED132" s="375"/>
      <c r="EF132" s="373"/>
      <c r="EG132" s="374"/>
      <c r="EH132" s="375"/>
      <c r="EI132" s="375"/>
      <c r="EK132" s="373"/>
      <c r="EL132" s="374"/>
      <c r="EM132" s="375"/>
      <c r="EN132" s="375"/>
      <c r="EP132" s="373"/>
      <c r="EQ132" s="374"/>
      <c r="ER132" s="375"/>
      <c r="ES132" s="375"/>
      <c r="EU132" s="373"/>
      <c r="EV132" s="374"/>
      <c r="EW132" s="375"/>
      <c r="EX132" s="375"/>
      <c r="EZ132" s="373"/>
      <c r="FA132" s="374"/>
      <c r="FB132" s="375"/>
      <c r="FC132" s="375"/>
      <c r="FE132" s="373"/>
      <c r="FF132" s="374"/>
      <c r="FG132" s="375"/>
      <c r="FH132" s="375"/>
      <c r="FJ132" s="373"/>
      <c r="FK132" s="374"/>
      <c r="FL132" s="375"/>
      <c r="FM132" s="375"/>
      <c r="FO132" s="373"/>
      <c r="FP132" s="374"/>
      <c r="FQ132" s="375"/>
      <c r="FR132" s="375"/>
      <c r="FT132" s="373"/>
      <c r="FU132" s="374"/>
      <c r="FV132" s="375"/>
      <c r="FW132" s="375"/>
      <c r="FY132" s="373"/>
      <c r="FZ132" s="374"/>
      <c r="GA132" s="375"/>
      <c r="GB132" s="375"/>
      <c r="GD132" s="373"/>
      <c r="GE132" s="374"/>
      <c r="GF132" s="375"/>
      <c r="GG132" s="375"/>
      <c r="GI132" s="373"/>
      <c r="GJ132" s="374"/>
      <c r="GK132" s="375"/>
      <c r="GL132" s="375"/>
      <c r="GN132" s="373"/>
      <c r="GO132" s="374"/>
      <c r="GP132" s="375"/>
      <c r="GQ132" s="375"/>
      <c r="GS132" s="373"/>
      <c r="GT132" s="374"/>
      <c r="GU132" s="375"/>
      <c r="GV132" s="375"/>
      <c r="GX132" s="373"/>
      <c r="GY132" s="374"/>
      <c r="GZ132" s="375"/>
      <c r="HA132" s="375"/>
      <c r="HC132" s="373"/>
      <c r="HD132" s="374"/>
      <c r="HE132" s="375"/>
      <c r="HF132" s="375"/>
      <c r="HH132" s="373"/>
      <c r="HI132" s="374"/>
      <c r="HJ132" s="375"/>
      <c r="HK132" s="375"/>
      <c r="HM132" s="373"/>
      <c r="HN132" s="374"/>
      <c r="HO132" s="375"/>
      <c r="HP132" s="375"/>
      <c r="HR132" s="373"/>
      <c r="HS132" s="374"/>
      <c r="HT132" s="375"/>
      <c r="HU132" s="375"/>
      <c r="HW132" s="373"/>
      <c r="HX132" s="374"/>
      <c r="HY132" s="375"/>
      <c r="HZ132" s="375"/>
      <c r="IB132" s="373"/>
      <c r="IC132" s="374"/>
      <c r="ID132" s="375"/>
      <c r="IE132" s="375"/>
      <c r="IG132" s="373"/>
      <c r="IH132" s="374"/>
      <c r="II132" s="375"/>
      <c r="IJ132" s="375"/>
      <c r="IL132" s="373"/>
      <c r="IM132" s="374"/>
      <c r="IN132" s="375"/>
      <c r="IO132" s="375"/>
      <c r="IQ132" s="373"/>
      <c r="IR132" s="374"/>
      <c r="IS132" s="375"/>
      <c r="IT132" s="375"/>
      <c r="IV132" s="373"/>
    </row>
    <row r="133" spans="1:256" s="376" customFormat="1" x14ac:dyDescent="0.2">
      <c r="A133" s="373"/>
      <c r="B133" s="374"/>
      <c r="C133" s="375"/>
      <c r="D133" s="375"/>
      <c r="F133" s="373"/>
      <c r="G133" s="374"/>
      <c r="H133" s="375"/>
      <c r="I133" s="375"/>
      <c r="K133" s="382">
        <v>131</v>
      </c>
      <c r="L133" s="383" t="s">
        <v>2627</v>
      </c>
      <c r="M133" s="384">
        <v>5.2631578947368425</v>
      </c>
      <c r="N133" s="384">
        <v>5.2631578947368418E-2</v>
      </c>
      <c r="P133" s="373"/>
      <c r="Q133" s="374"/>
      <c r="R133" s="375"/>
      <c r="S133" s="375"/>
      <c r="U133" s="373"/>
      <c r="V133" s="374"/>
      <c r="W133" s="375"/>
      <c r="X133" s="375"/>
      <c r="Z133" s="373"/>
      <c r="AA133" s="374"/>
      <c r="AB133" s="375"/>
      <c r="AC133" s="375"/>
      <c r="AE133" s="373"/>
      <c r="AF133" s="374"/>
      <c r="AG133" s="375"/>
      <c r="AH133" s="375"/>
      <c r="AJ133" s="373"/>
      <c r="AK133" s="374"/>
      <c r="AL133" s="375"/>
      <c r="AM133" s="375"/>
      <c r="AO133" s="373"/>
      <c r="AP133" s="374"/>
      <c r="AQ133" s="375"/>
      <c r="AR133" s="375"/>
      <c r="AT133" s="373"/>
      <c r="AU133" s="374"/>
      <c r="AV133" s="375"/>
      <c r="AW133" s="375"/>
      <c r="AY133" s="373"/>
      <c r="AZ133" s="374"/>
      <c r="BA133" s="375"/>
      <c r="BB133" s="375"/>
      <c r="BD133" s="373"/>
      <c r="BE133" s="374"/>
      <c r="BF133" s="375"/>
      <c r="BG133" s="375"/>
      <c r="BI133" s="373"/>
      <c r="BJ133" s="374"/>
      <c r="BK133" s="375"/>
      <c r="BL133" s="375"/>
      <c r="BN133" s="373"/>
      <c r="BO133" s="374"/>
      <c r="BP133" s="375"/>
      <c r="BQ133" s="375"/>
      <c r="BS133" s="373"/>
      <c r="BT133" s="374"/>
      <c r="BU133" s="375"/>
      <c r="BV133" s="375"/>
      <c r="BX133" s="373"/>
      <c r="BY133" s="374"/>
      <c r="BZ133" s="375"/>
      <c r="CA133" s="375"/>
      <c r="CC133" s="373"/>
      <c r="CD133" s="374"/>
      <c r="CE133" s="375"/>
      <c r="CF133" s="375"/>
      <c r="CH133" s="373"/>
      <c r="CI133" s="374"/>
      <c r="CJ133" s="375"/>
      <c r="CK133" s="375"/>
      <c r="CM133" s="373"/>
      <c r="CN133" s="374"/>
      <c r="CO133" s="375"/>
      <c r="CP133" s="375"/>
      <c r="CR133" s="373"/>
      <c r="CS133" s="374"/>
      <c r="CT133" s="375"/>
      <c r="CU133" s="375"/>
      <c r="CW133" s="373"/>
      <c r="CX133" s="374"/>
      <c r="CY133" s="375"/>
      <c r="CZ133" s="375"/>
      <c r="DB133" s="373"/>
      <c r="DC133" s="374"/>
      <c r="DD133" s="375"/>
      <c r="DE133" s="375"/>
      <c r="DG133" s="373"/>
      <c r="DH133" s="374"/>
      <c r="DI133" s="375"/>
      <c r="DJ133" s="375"/>
      <c r="DL133" s="373"/>
      <c r="DM133" s="374"/>
      <c r="DN133" s="375"/>
      <c r="DO133" s="375"/>
      <c r="DQ133" s="373"/>
      <c r="DR133" s="374"/>
      <c r="DS133" s="375"/>
      <c r="DT133" s="375"/>
      <c r="DV133" s="373"/>
      <c r="DW133" s="374"/>
      <c r="DX133" s="375"/>
      <c r="DY133" s="375"/>
      <c r="EA133" s="373"/>
      <c r="EB133" s="374"/>
      <c r="EC133" s="375"/>
      <c r="ED133" s="375"/>
      <c r="EF133" s="373"/>
      <c r="EG133" s="374"/>
      <c r="EH133" s="375"/>
      <c r="EI133" s="375"/>
      <c r="EK133" s="373"/>
      <c r="EL133" s="374"/>
      <c r="EM133" s="375"/>
      <c r="EN133" s="375"/>
      <c r="EP133" s="373"/>
      <c r="EQ133" s="374"/>
      <c r="ER133" s="375"/>
      <c r="ES133" s="375"/>
      <c r="EU133" s="373"/>
      <c r="EV133" s="374"/>
      <c r="EW133" s="375"/>
      <c r="EX133" s="375"/>
      <c r="EZ133" s="373"/>
      <c r="FA133" s="374"/>
      <c r="FB133" s="375"/>
      <c r="FC133" s="375"/>
      <c r="FE133" s="373"/>
      <c r="FF133" s="374"/>
      <c r="FG133" s="375"/>
      <c r="FH133" s="375"/>
      <c r="FJ133" s="373"/>
      <c r="FK133" s="374"/>
      <c r="FL133" s="375"/>
      <c r="FM133" s="375"/>
      <c r="FO133" s="373"/>
      <c r="FP133" s="374"/>
      <c r="FQ133" s="375"/>
      <c r="FR133" s="375"/>
      <c r="FT133" s="373"/>
      <c r="FU133" s="374"/>
      <c r="FV133" s="375"/>
      <c r="FW133" s="375"/>
      <c r="FY133" s="373"/>
      <c r="FZ133" s="374"/>
      <c r="GA133" s="375"/>
      <c r="GB133" s="375"/>
      <c r="GD133" s="373"/>
      <c r="GE133" s="374"/>
      <c r="GF133" s="375"/>
      <c r="GG133" s="375"/>
      <c r="GI133" s="373"/>
      <c r="GJ133" s="374"/>
      <c r="GK133" s="375"/>
      <c r="GL133" s="375"/>
      <c r="GN133" s="373"/>
      <c r="GO133" s="374"/>
      <c r="GP133" s="375"/>
      <c r="GQ133" s="375"/>
      <c r="GS133" s="373"/>
      <c r="GT133" s="374"/>
      <c r="GU133" s="375"/>
      <c r="GV133" s="375"/>
      <c r="GX133" s="373"/>
      <c r="GY133" s="374"/>
      <c r="GZ133" s="375"/>
      <c r="HA133" s="375"/>
      <c r="HC133" s="373"/>
      <c r="HD133" s="374"/>
      <c r="HE133" s="375"/>
      <c r="HF133" s="375"/>
      <c r="HH133" s="373"/>
      <c r="HI133" s="374"/>
      <c r="HJ133" s="375"/>
      <c r="HK133" s="375"/>
      <c r="HM133" s="373"/>
      <c r="HN133" s="374"/>
      <c r="HO133" s="375"/>
      <c r="HP133" s="375"/>
      <c r="HR133" s="373"/>
      <c r="HS133" s="374"/>
      <c r="HT133" s="375"/>
      <c r="HU133" s="375"/>
      <c r="HW133" s="373"/>
      <c r="HX133" s="374"/>
      <c r="HY133" s="375"/>
      <c r="HZ133" s="375"/>
      <c r="IB133" s="373"/>
      <c r="IC133" s="374"/>
      <c r="ID133" s="375"/>
      <c r="IE133" s="375"/>
      <c r="IG133" s="373"/>
      <c r="IH133" s="374"/>
      <c r="II133" s="375"/>
      <c r="IJ133" s="375"/>
      <c r="IL133" s="373"/>
      <c r="IM133" s="374"/>
      <c r="IN133" s="375"/>
      <c r="IO133" s="375"/>
      <c r="IQ133" s="373"/>
      <c r="IR133" s="374"/>
      <c r="IS133" s="375"/>
      <c r="IT133" s="375"/>
      <c r="IV133" s="373"/>
    </row>
    <row r="134" spans="1:256" s="376" customFormat="1" x14ac:dyDescent="0.2">
      <c r="A134" s="373"/>
      <c r="B134" s="374"/>
      <c r="C134" s="375"/>
      <c r="D134" s="375"/>
      <c r="F134" s="373"/>
      <c r="G134" s="374"/>
      <c r="H134" s="375"/>
      <c r="I134" s="375"/>
      <c r="K134" s="373">
        <v>132</v>
      </c>
      <c r="L134" s="374" t="s">
        <v>2569</v>
      </c>
      <c r="M134" s="375">
        <v>5.2631578947368425</v>
      </c>
      <c r="N134" s="375">
        <v>5.2631578947368418E-2</v>
      </c>
      <c r="P134" s="373"/>
      <c r="Q134" s="374"/>
      <c r="R134" s="375"/>
      <c r="S134" s="375"/>
      <c r="U134" s="373"/>
      <c r="V134" s="374"/>
      <c r="W134" s="375"/>
      <c r="X134" s="375"/>
      <c r="Z134" s="373"/>
      <c r="AA134" s="374"/>
      <c r="AB134" s="375"/>
      <c r="AC134" s="375"/>
      <c r="AE134" s="373"/>
      <c r="AF134" s="374"/>
      <c r="AG134" s="375"/>
      <c r="AH134" s="375"/>
      <c r="AJ134" s="373"/>
      <c r="AK134" s="374"/>
      <c r="AL134" s="375"/>
      <c r="AM134" s="375"/>
      <c r="AO134" s="373"/>
      <c r="AP134" s="374"/>
      <c r="AQ134" s="375"/>
      <c r="AR134" s="375"/>
      <c r="AT134" s="373"/>
      <c r="AU134" s="374"/>
      <c r="AV134" s="375"/>
      <c r="AW134" s="375"/>
      <c r="AY134" s="373"/>
      <c r="AZ134" s="374"/>
      <c r="BA134" s="375"/>
      <c r="BB134" s="375"/>
      <c r="BD134" s="373"/>
      <c r="BE134" s="374"/>
      <c r="BF134" s="375"/>
      <c r="BG134" s="375"/>
      <c r="BI134" s="373"/>
      <c r="BJ134" s="374"/>
      <c r="BK134" s="375"/>
      <c r="BL134" s="375"/>
      <c r="BN134" s="373"/>
      <c r="BO134" s="374"/>
      <c r="BP134" s="375"/>
      <c r="BQ134" s="375"/>
      <c r="BS134" s="373"/>
      <c r="BT134" s="374"/>
      <c r="BU134" s="375"/>
      <c r="BV134" s="375"/>
      <c r="BX134" s="373"/>
      <c r="BY134" s="374"/>
      <c r="BZ134" s="375"/>
      <c r="CA134" s="375"/>
      <c r="CC134" s="373"/>
      <c r="CD134" s="374"/>
      <c r="CE134" s="375"/>
      <c r="CF134" s="375"/>
      <c r="CH134" s="373"/>
      <c r="CI134" s="374"/>
      <c r="CJ134" s="375"/>
      <c r="CK134" s="375"/>
      <c r="CM134" s="373"/>
      <c r="CN134" s="374"/>
      <c r="CO134" s="375"/>
      <c r="CP134" s="375"/>
      <c r="CR134" s="373"/>
      <c r="CS134" s="374"/>
      <c r="CT134" s="375"/>
      <c r="CU134" s="375"/>
      <c r="CW134" s="373"/>
      <c r="CX134" s="374"/>
      <c r="CY134" s="375"/>
      <c r="CZ134" s="375"/>
      <c r="DB134" s="373"/>
      <c r="DC134" s="374"/>
      <c r="DD134" s="375"/>
      <c r="DE134" s="375"/>
      <c r="DG134" s="373"/>
      <c r="DH134" s="374"/>
      <c r="DI134" s="375"/>
      <c r="DJ134" s="375"/>
      <c r="DL134" s="373"/>
      <c r="DM134" s="374"/>
      <c r="DN134" s="375"/>
      <c r="DO134" s="375"/>
      <c r="DQ134" s="373"/>
      <c r="DR134" s="374"/>
      <c r="DS134" s="375"/>
      <c r="DT134" s="375"/>
      <c r="DV134" s="373"/>
      <c r="DW134" s="374"/>
      <c r="DX134" s="375"/>
      <c r="DY134" s="375"/>
      <c r="EA134" s="373"/>
      <c r="EB134" s="374"/>
      <c r="EC134" s="375"/>
      <c r="ED134" s="375"/>
      <c r="EF134" s="373"/>
      <c r="EG134" s="374"/>
      <c r="EH134" s="375"/>
      <c r="EI134" s="375"/>
      <c r="EK134" s="373"/>
      <c r="EL134" s="374"/>
      <c r="EM134" s="375"/>
      <c r="EN134" s="375"/>
      <c r="EP134" s="373"/>
      <c r="EQ134" s="374"/>
      <c r="ER134" s="375"/>
      <c r="ES134" s="375"/>
      <c r="EU134" s="373"/>
      <c r="EV134" s="374"/>
      <c r="EW134" s="375"/>
      <c r="EX134" s="375"/>
      <c r="EZ134" s="373"/>
      <c r="FA134" s="374"/>
      <c r="FB134" s="375"/>
      <c r="FC134" s="375"/>
      <c r="FE134" s="373"/>
      <c r="FF134" s="374"/>
      <c r="FG134" s="375"/>
      <c r="FH134" s="375"/>
      <c r="FJ134" s="373"/>
      <c r="FK134" s="374"/>
      <c r="FL134" s="375"/>
      <c r="FM134" s="375"/>
      <c r="FO134" s="373"/>
      <c r="FP134" s="374"/>
      <c r="FQ134" s="375"/>
      <c r="FR134" s="375"/>
      <c r="FT134" s="373"/>
      <c r="FU134" s="374"/>
      <c r="FV134" s="375"/>
      <c r="FW134" s="375"/>
      <c r="FY134" s="373"/>
      <c r="FZ134" s="374"/>
      <c r="GA134" s="375"/>
      <c r="GB134" s="375"/>
      <c r="GD134" s="373"/>
      <c r="GE134" s="374"/>
      <c r="GF134" s="375"/>
      <c r="GG134" s="375"/>
      <c r="GI134" s="373"/>
      <c r="GJ134" s="374"/>
      <c r="GK134" s="375"/>
      <c r="GL134" s="375"/>
      <c r="GN134" s="373"/>
      <c r="GO134" s="374"/>
      <c r="GP134" s="375"/>
      <c r="GQ134" s="375"/>
      <c r="GS134" s="373"/>
      <c r="GT134" s="374"/>
      <c r="GU134" s="375"/>
      <c r="GV134" s="375"/>
      <c r="GX134" s="373"/>
      <c r="GY134" s="374"/>
      <c r="GZ134" s="375"/>
      <c r="HA134" s="375"/>
      <c r="HC134" s="373"/>
      <c r="HD134" s="374"/>
      <c r="HE134" s="375"/>
      <c r="HF134" s="375"/>
      <c r="HH134" s="373"/>
      <c r="HI134" s="374"/>
      <c r="HJ134" s="375"/>
      <c r="HK134" s="375"/>
      <c r="HM134" s="373"/>
      <c r="HN134" s="374"/>
      <c r="HO134" s="375"/>
      <c r="HP134" s="375"/>
      <c r="HR134" s="373"/>
      <c r="HS134" s="374"/>
      <c r="HT134" s="375"/>
      <c r="HU134" s="375"/>
      <c r="HW134" s="373"/>
      <c r="HX134" s="374"/>
      <c r="HY134" s="375"/>
      <c r="HZ134" s="375"/>
      <c r="IB134" s="373"/>
      <c r="IC134" s="374"/>
      <c r="ID134" s="375"/>
      <c r="IE134" s="375"/>
      <c r="IG134" s="373"/>
      <c r="IH134" s="374"/>
      <c r="II134" s="375"/>
      <c r="IJ134" s="375"/>
      <c r="IL134" s="373"/>
      <c r="IM134" s="374"/>
      <c r="IN134" s="375"/>
      <c r="IO134" s="375"/>
      <c r="IQ134" s="373"/>
      <c r="IR134" s="374"/>
      <c r="IS134" s="375"/>
      <c r="IT134" s="375"/>
      <c r="IV134" s="373"/>
    </row>
    <row r="135" spans="1:256" s="376" customFormat="1" x14ac:dyDescent="0.2">
      <c r="A135" s="373"/>
      <c r="B135" s="374"/>
      <c r="C135" s="375"/>
      <c r="D135" s="375"/>
      <c r="F135" s="373"/>
      <c r="G135" s="374"/>
      <c r="H135" s="375"/>
      <c r="I135" s="375"/>
      <c r="K135" s="382">
        <v>133</v>
      </c>
      <c r="L135" s="383" t="s">
        <v>2593</v>
      </c>
      <c r="M135" s="384">
        <v>5.2631578947368425</v>
      </c>
      <c r="N135" s="384">
        <v>5.2631578947368418E-2</v>
      </c>
      <c r="P135" s="373"/>
      <c r="Q135" s="374"/>
      <c r="R135" s="375"/>
      <c r="S135" s="375"/>
      <c r="U135" s="373"/>
      <c r="V135" s="374"/>
      <c r="W135" s="375"/>
      <c r="X135" s="375"/>
      <c r="Z135" s="373"/>
      <c r="AA135" s="374"/>
      <c r="AB135" s="375"/>
      <c r="AC135" s="375"/>
      <c r="AE135" s="373"/>
      <c r="AF135" s="374"/>
      <c r="AG135" s="375"/>
      <c r="AH135" s="375"/>
      <c r="AJ135" s="373"/>
      <c r="AK135" s="374"/>
      <c r="AL135" s="375"/>
      <c r="AM135" s="375"/>
      <c r="AO135" s="373"/>
      <c r="AP135" s="374"/>
      <c r="AQ135" s="375"/>
      <c r="AR135" s="375"/>
      <c r="AT135" s="373"/>
      <c r="AU135" s="374"/>
      <c r="AV135" s="375"/>
      <c r="AW135" s="375"/>
      <c r="AY135" s="373"/>
      <c r="AZ135" s="374"/>
      <c r="BA135" s="375"/>
      <c r="BB135" s="375"/>
      <c r="BD135" s="373"/>
      <c r="BE135" s="374"/>
      <c r="BF135" s="375"/>
      <c r="BG135" s="375"/>
      <c r="BI135" s="373"/>
      <c r="BJ135" s="374"/>
      <c r="BK135" s="375"/>
      <c r="BL135" s="375"/>
      <c r="BN135" s="373"/>
      <c r="BO135" s="374"/>
      <c r="BP135" s="375"/>
      <c r="BQ135" s="375"/>
      <c r="BS135" s="373"/>
      <c r="BT135" s="374"/>
      <c r="BU135" s="375"/>
      <c r="BV135" s="375"/>
      <c r="BX135" s="373"/>
      <c r="BY135" s="374"/>
      <c r="BZ135" s="375"/>
      <c r="CA135" s="375"/>
      <c r="CC135" s="373"/>
      <c r="CD135" s="374"/>
      <c r="CE135" s="375"/>
      <c r="CF135" s="375"/>
      <c r="CH135" s="373"/>
      <c r="CI135" s="374"/>
      <c r="CJ135" s="375"/>
      <c r="CK135" s="375"/>
      <c r="CM135" s="373"/>
      <c r="CN135" s="374"/>
      <c r="CO135" s="375"/>
      <c r="CP135" s="375"/>
      <c r="CR135" s="373"/>
      <c r="CS135" s="374"/>
      <c r="CT135" s="375"/>
      <c r="CU135" s="375"/>
      <c r="CW135" s="373"/>
      <c r="CX135" s="374"/>
      <c r="CY135" s="375"/>
      <c r="CZ135" s="375"/>
      <c r="DB135" s="373"/>
      <c r="DC135" s="374"/>
      <c r="DD135" s="375"/>
      <c r="DE135" s="375"/>
      <c r="DG135" s="373"/>
      <c r="DH135" s="374"/>
      <c r="DI135" s="375"/>
      <c r="DJ135" s="375"/>
      <c r="DL135" s="373"/>
      <c r="DM135" s="374"/>
      <c r="DN135" s="375"/>
      <c r="DO135" s="375"/>
      <c r="DQ135" s="373"/>
      <c r="DR135" s="374"/>
      <c r="DS135" s="375"/>
      <c r="DT135" s="375"/>
      <c r="DV135" s="373"/>
      <c r="DW135" s="374"/>
      <c r="DX135" s="375"/>
      <c r="DY135" s="375"/>
      <c r="EA135" s="373"/>
      <c r="EB135" s="374"/>
      <c r="EC135" s="375"/>
      <c r="ED135" s="375"/>
      <c r="EF135" s="373"/>
      <c r="EG135" s="374"/>
      <c r="EH135" s="375"/>
      <c r="EI135" s="375"/>
      <c r="EK135" s="373"/>
      <c r="EL135" s="374"/>
      <c r="EM135" s="375"/>
      <c r="EN135" s="375"/>
      <c r="EP135" s="373"/>
      <c r="EQ135" s="374"/>
      <c r="ER135" s="375"/>
      <c r="ES135" s="375"/>
      <c r="EU135" s="373"/>
      <c r="EV135" s="374"/>
      <c r="EW135" s="375"/>
      <c r="EX135" s="375"/>
      <c r="EZ135" s="373"/>
      <c r="FA135" s="374"/>
      <c r="FB135" s="375"/>
      <c r="FC135" s="375"/>
      <c r="FE135" s="373"/>
      <c r="FF135" s="374"/>
      <c r="FG135" s="375"/>
      <c r="FH135" s="375"/>
      <c r="FJ135" s="373"/>
      <c r="FK135" s="374"/>
      <c r="FL135" s="375"/>
      <c r="FM135" s="375"/>
      <c r="FO135" s="373"/>
      <c r="FP135" s="374"/>
      <c r="FQ135" s="375"/>
      <c r="FR135" s="375"/>
      <c r="FT135" s="373"/>
      <c r="FU135" s="374"/>
      <c r="FV135" s="375"/>
      <c r="FW135" s="375"/>
      <c r="FY135" s="373"/>
      <c r="FZ135" s="374"/>
      <c r="GA135" s="375"/>
      <c r="GB135" s="375"/>
      <c r="GD135" s="373"/>
      <c r="GE135" s="374"/>
      <c r="GF135" s="375"/>
      <c r="GG135" s="375"/>
      <c r="GI135" s="373"/>
      <c r="GJ135" s="374"/>
      <c r="GK135" s="375"/>
      <c r="GL135" s="375"/>
      <c r="GN135" s="373"/>
      <c r="GO135" s="374"/>
      <c r="GP135" s="375"/>
      <c r="GQ135" s="375"/>
      <c r="GS135" s="373"/>
      <c r="GT135" s="374"/>
      <c r="GU135" s="375"/>
      <c r="GV135" s="375"/>
      <c r="GX135" s="373"/>
      <c r="GY135" s="374"/>
      <c r="GZ135" s="375"/>
      <c r="HA135" s="375"/>
      <c r="HC135" s="373"/>
      <c r="HD135" s="374"/>
      <c r="HE135" s="375"/>
      <c r="HF135" s="375"/>
      <c r="HH135" s="373"/>
      <c r="HI135" s="374"/>
      <c r="HJ135" s="375"/>
      <c r="HK135" s="375"/>
      <c r="HM135" s="373"/>
      <c r="HN135" s="374"/>
      <c r="HO135" s="375"/>
      <c r="HP135" s="375"/>
      <c r="HR135" s="373"/>
      <c r="HS135" s="374"/>
      <c r="HT135" s="375"/>
      <c r="HU135" s="375"/>
      <c r="HW135" s="373"/>
      <c r="HX135" s="374"/>
      <c r="HY135" s="375"/>
      <c r="HZ135" s="375"/>
      <c r="IB135" s="373"/>
      <c r="IC135" s="374"/>
      <c r="ID135" s="375"/>
      <c r="IE135" s="375"/>
      <c r="IG135" s="373"/>
      <c r="IH135" s="374"/>
      <c r="II135" s="375"/>
      <c r="IJ135" s="375"/>
      <c r="IL135" s="373"/>
      <c r="IM135" s="374"/>
      <c r="IN135" s="375"/>
      <c r="IO135" s="375"/>
      <c r="IQ135" s="373"/>
      <c r="IR135" s="374"/>
      <c r="IS135" s="375"/>
      <c r="IT135" s="375"/>
      <c r="IV135" s="373"/>
    </row>
    <row r="136" spans="1:256" s="376" customFormat="1" x14ac:dyDescent="0.2">
      <c r="A136" s="373"/>
      <c r="B136" s="374"/>
      <c r="C136" s="375"/>
      <c r="D136" s="375"/>
      <c r="F136" s="373"/>
      <c r="G136" s="374"/>
      <c r="H136" s="375"/>
      <c r="I136" s="375"/>
      <c r="K136" s="335">
        <v>134</v>
      </c>
      <c r="L136" s="336" t="s">
        <v>2594</v>
      </c>
      <c r="M136" s="337">
        <v>5.2631578947368425</v>
      </c>
      <c r="N136" s="337">
        <v>5.2631578947368418E-2</v>
      </c>
      <c r="P136" s="373"/>
      <c r="Q136" s="374"/>
      <c r="R136" s="375"/>
      <c r="S136" s="375"/>
      <c r="U136" s="373"/>
      <c r="V136" s="374"/>
      <c r="W136" s="375"/>
      <c r="X136" s="375"/>
      <c r="Z136" s="373"/>
      <c r="AA136" s="374"/>
      <c r="AB136" s="375"/>
      <c r="AC136" s="375"/>
      <c r="AE136" s="373"/>
      <c r="AF136" s="374"/>
      <c r="AG136" s="375"/>
      <c r="AH136" s="375"/>
      <c r="AJ136" s="373"/>
      <c r="AK136" s="374"/>
      <c r="AL136" s="375"/>
      <c r="AM136" s="375"/>
      <c r="AO136" s="373"/>
      <c r="AP136" s="374"/>
      <c r="AQ136" s="375"/>
      <c r="AR136" s="375"/>
      <c r="AT136" s="373"/>
      <c r="AU136" s="374"/>
      <c r="AV136" s="375"/>
      <c r="AW136" s="375"/>
      <c r="AY136" s="373"/>
      <c r="AZ136" s="374"/>
      <c r="BA136" s="375"/>
      <c r="BB136" s="375"/>
      <c r="BD136" s="373"/>
      <c r="BE136" s="374"/>
      <c r="BF136" s="375"/>
      <c r="BG136" s="375"/>
      <c r="BI136" s="373"/>
      <c r="BJ136" s="374"/>
      <c r="BK136" s="375"/>
      <c r="BL136" s="375"/>
      <c r="BN136" s="373"/>
      <c r="BO136" s="374"/>
      <c r="BP136" s="375"/>
      <c r="BQ136" s="375"/>
      <c r="BS136" s="373"/>
      <c r="BT136" s="374"/>
      <c r="BU136" s="375"/>
      <c r="BV136" s="375"/>
      <c r="BX136" s="373"/>
      <c r="BY136" s="374"/>
      <c r="BZ136" s="375"/>
      <c r="CA136" s="375"/>
      <c r="CC136" s="373"/>
      <c r="CD136" s="374"/>
      <c r="CE136" s="375"/>
      <c r="CF136" s="375"/>
      <c r="CH136" s="373"/>
      <c r="CI136" s="374"/>
      <c r="CJ136" s="375"/>
      <c r="CK136" s="375"/>
      <c r="CM136" s="373"/>
      <c r="CN136" s="374"/>
      <c r="CO136" s="375"/>
      <c r="CP136" s="375"/>
      <c r="CR136" s="373"/>
      <c r="CS136" s="374"/>
      <c r="CT136" s="375"/>
      <c r="CU136" s="375"/>
      <c r="CW136" s="373"/>
      <c r="CX136" s="374"/>
      <c r="CY136" s="375"/>
      <c r="CZ136" s="375"/>
      <c r="DB136" s="373"/>
      <c r="DC136" s="374"/>
      <c r="DD136" s="375"/>
      <c r="DE136" s="375"/>
      <c r="DG136" s="373"/>
      <c r="DH136" s="374"/>
      <c r="DI136" s="375"/>
      <c r="DJ136" s="375"/>
      <c r="DL136" s="373"/>
      <c r="DM136" s="374"/>
      <c r="DN136" s="375"/>
      <c r="DO136" s="375"/>
      <c r="DQ136" s="373"/>
      <c r="DR136" s="374"/>
      <c r="DS136" s="375"/>
      <c r="DT136" s="375"/>
      <c r="DV136" s="373"/>
      <c r="DW136" s="374"/>
      <c r="DX136" s="375"/>
      <c r="DY136" s="375"/>
      <c r="EA136" s="373"/>
      <c r="EB136" s="374"/>
      <c r="EC136" s="375"/>
      <c r="ED136" s="375"/>
      <c r="EF136" s="373"/>
      <c r="EG136" s="374"/>
      <c r="EH136" s="375"/>
      <c r="EI136" s="375"/>
      <c r="EK136" s="373"/>
      <c r="EL136" s="374"/>
      <c r="EM136" s="375"/>
      <c r="EN136" s="375"/>
      <c r="EP136" s="373"/>
      <c r="EQ136" s="374"/>
      <c r="ER136" s="375"/>
      <c r="ES136" s="375"/>
      <c r="EU136" s="373"/>
      <c r="EV136" s="374"/>
      <c r="EW136" s="375"/>
      <c r="EX136" s="375"/>
      <c r="EZ136" s="373"/>
      <c r="FA136" s="374"/>
      <c r="FB136" s="375"/>
      <c r="FC136" s="375"/>
      <c r="FE136" s="373"/>
      <c r="FF136" s="374"/>
      <c r="FG136" s="375"/>
      <c r="FH136" s="375"/>
      <c r="FJ136" s="373"/>
      <c r="FK136" s="374"/>
      <c r="FL136" s="375"/>
      <c r="FM136" s="375"/>
      <c r="FO136" s="373"/>
      <c r="FP136" s="374"/>
      <c r="FQ136" s="375"/>
      <c r="FR136" s="375"/>
      <c r="FT136" s="373"/>
      <c r="FU136" s="374"/>
      <c r="FV136" s="375"/>
      <c r="FW136" s="375"/>
      <c r="FY136" s="373"/>
      <c r="FZ136" s="374"/>
      <c r="GA136" s="375"/>
      <c r="GB136" s="375"/>
      <c r="GD136" s="373"/>
      <c r="GE136" s="374"/>
      <c r="GF136" s="375"/>
      <c r="GG136" s="375"/>
      <c r="GI136" s="373"/>
      <c r="GJ136" s="374"/>
      <c r="GK136" s="375"/>
      <c r="GL136" s="375"/>
      <c r="GN136" s="373"/>
      <c r="GO136" s="374"/>
      <c r="GP136" s="375"/>
      <c r="GQ136" s="375"/>
      <c r="GS136" s="373"/>
      <c r="GT136" s="374"/>
      <c r="GU136" s="375"/>
      <c r="GV136" s="375"/>
      <c r="GX136" s="373"/>
      <c r="GY136" s="374"/>
      <c r="GZ136" s="375"/>
      <c r="HA136" s="375"/>
      <c r="HC136" s="373"/>
      <c r="HD136" s="374"/>
      <c r="HE136" s="375"/>
      <c r="HF136" s="375"/>
      <c r="HH136" s="373"/>
      <c r="HI136" s="374"/>
      <c r="HJ136" s="375"/>
      <c r="HK136" s="375"/>
      <c r="HM136" s="373"/>
      <c r="HN136" s="374"/>
      <c r="HO136" s="375"/>
      <c r="HP136" s="375"/>
      <c r="HR136" s="373"/>
      <c r="HS136" s="374"/>
      <c r="HT136" s="375"/>
      <c r="HU136" s="375"/>
      <c r="HW136" s="373"/>
      <c r="HX136" s="374"/>
      <c r="HY136" s="375"/>
      <c r="HZ136" s="375"/>
      <c r="IB136" s="373"/>
      <c r="IC136" s="374"/>
      <c r="ID136" s="375"/>
      <c r="IE136" s="375"/>
      <c r="IG136" s="373"/>
      <c r="IH136" s="374"/>
      <c r="II136" s="375"/>
      <c r="IJ136" s="375"/>
      <c r="IL136" s="373"/>
      <c r="IM136" s="374"/>
      <c r="IN136" s="375"/>
      <c r="IO136" s="375"/>
      <c r="IQ136" s="373"/>
      <c r="IR136" s="374"/>
      <c r="IS136" s="375"/>
      <c r="IT136" s="375"/>
      <c r="IV136" s="373"/>
    </row>
    <row r="137" spans="1:256" s="376" customFormat="1" x14ac:dyDescent="0.2">
      <c r="A137" s="373"/>
      <c r="B137" s="374"/>
      <c r="C137" s="375"/>
      <c r="D137" s="375"/>
      <c r="F137" s="373"/>
      <c r="G137" s="374"/>
      <c r="H137" s="375"/>
      <c r="I137" s="375"/>
      <c r="K137" s="382">
        <v>135</v>
      </c>
      <c r="L137" s="383" t="s">
        <v>2714</v>
      </c>
      <c r="M137" s="384">
        <v>5.2631578947368425</v>
      </c>
      <c r="N137" s="384">
        <v>5.2631578947368418E-2</v>
      </c>
      <c r="P137" s="373"/>
      <c r="Q137" s="374"/>
      <c r="R137" s="375"/>
      <c r="S137" s="375"/>
      <c r="U137" s="373"/>
      <c r="V137" s="374"/>
      <c r="W137" s="375"/>
      <c r="X137" s="375"/>
      <c r="Z137" s="373"/>
      <c r="AA137" s="374"/>
      <c r="AB137" s="375"/>
      <c r="AC137" s="375"/>
      <c r="AE137" s="373"/>
      <c r="AF137" s="374"/>
      <c r="AG137" s="375"/>
      <c r="AH137" s="375"/>
      <c r="AJ137" s="373"/>
      <c r="AK137" s="374"/>
      <c r="AL137" s="375"/>
      <c r="AM137" s="375"/>
      <c r="AO137" s="373"/>
      <c r="AP137" s="374"/>
      <c r="AQ137" s="375"/>
      <c r="AR137" s="375"/>
      <c r="AT137" s="373"/>
      <c r="AU137" s="374"/>
      <c r="AV137" s="375"/>
      <c r="AW137" s="375"/>
      <c r="AY137" s="373"/>
      <c r="AZ137" s="374"/>
      <c r="BA137" s="375"/>
      <c r="BB137" s="375"/>
      <c r="BD137" s="373"/>
      <c r="BE137" s="374"/>
      <c r="BF137" s="375"/>
      <c r="BG137" s="375"/>
      <c r="BI137" s="373"/>
      <c r="BJ137" s="374"/>
      <c r="BK137" s="375"/>
      <c r="BL137" s="375"/>
      <c r="BN137" s="373"/>
      <c r="BO137" s="374"/>
      <c r="BP137" s="375"/>
      <c r="BQ137" s="375"/>
      <c r="BS137" s="373"/>
      <c r="BT137" s="374"/>
      <c r="BU137" s="375"/>
      <c r="BV137" s="375"/>
      <c r="BX137" s="373"/>
      <c r="BY137" s="374"/>
      <c r="BZ137" s="375"/>
      <c r="CA137" s="375"/>
      <c r="CC137" s="373"/>
      <c r="CD137" s="374"/>
      <c r="CE137" s="375"/>
      <c r="CF137" s="375"/>
      <c r="CH137" s="373"/>
      <c r="CI137" s="374"/>
      <c r="CJ137" s="375"/>
      <c r="CK137" s="375"/>
      <c r="CM137" s="373"/>
      <c r="CN137" s="374"/>
      <c r="CO137" s="375"/>
      <c r="CP137" s="375"/>
      <c r="CR137" s="373"/>
      <c r="CS137" s="374"/>
      <c r="CT137" s="375"/>
      <c r="CU137" s="375"/>
      <c r="CW137" s="373"/>
      <c r="CX137" s="374"/>
      <c r="CY137" s="375"/>
      <c r="CZ137" s="375"/>
      <c r="DB137" s="373"/>
      <c r="DC137" s="374"/>
      <c r="DD137" s="375"/>
      <c r="DE137" s="375"/>
      <c r="DG137" s="373"/>
      <c r="DH137" s="374"/>
      <c r="DI137" s="375"/>
      <c r="DJ137" s="375"/>
      <c r="DL137" s="373"/>
      <c r="DM137" s="374"/>
      <c r="DN137" s="375"/>
      <c r="DO137" s="375"/>
      <c r="DQ137" s="373"/>
      <c r="DR137" s="374"/>
      <c r="DS137" s="375"/>
      <c r="DT137" s="375"/>
      <c r="DV137" s="373"/>
      <c r="DW137" s="374"/>
      <c r="DX137" s="375"/>
      <c r="DY137" s="375"/>
      <c r="EA137" s="373"/>
      <c r="EB137" s="374"/>
      <c r="EC137" s="375"/>
      <c r="ED137" s="375"/>
      <c r="EF137" s="373"/>
      <c r="EG137" s="374"/>
      <c r="EH137" s="375"/>
      <c r="EI137" s="375"/>
      <c r="EK137" s="373"/>
      <c r="EL137" s="374"/>
      <c r="EM137" s="375"/>
      <c r="EN137" s="375"/>
      <c r="EP137" s="373"/>
      <c r="EQ137" s="374"/>
      <c r="ER137" s="375"/>
      <c r="ES137" s="375"/>
      <c r="EU137" s="373"/>
      <c r="EV137" s="374"/>
      <c r="EW137" s="375"/>
      <c r="EX137" s="375"/>
      <c r="EZ137" s="373"/>
      <c r="FA137" s="374"/>
      <c r="FB137" s="375"/>
      <c r="FC137" s="375"/>
      <c r="FE137" s="373"/>
      <c r="FF137" s="374"/>
      <c r="FG137" s="375"/>
      <c r="FH137" s="375"/>
      <c r="FJ137" s="373"/>
      <c r="FK137" s="374"/>
      <c r="FL137" s="375"/>
      <c r="FM137" s="375"/>
      <c r="FO137" s="373"/>
      <c r="FP137" s="374"/>
      <c r="FQ137" s="375"/>
      <c r="FR137" s="375"/>
      <c r="FT137" s="373"/>
      <c r="FU137" s="374"/>
      <c r="FV137" s="375"/>
      <c r="FW137" s="375"/>
      <c r="FY137" s="373"/>
      <c r="FZ137" s="374"/>
      <c r="GA137" s="375"/>
      <c r="GB137" s="375"/>
      <c r="GD137" s="373"/>
      <c r="GE137" s="374"/>
      <c r="GF137" s="375"/>
      <c r="GG137" s="375"/>
      <c r="GI137" s="373"/>
      <c r="GJ137" s="374"/>
      <c r="GK137" s="375"/>
      <c r="GL137" s="375"/>
      <c r="GN137" s="373"/>
      <c r="GO137" s="374"/>
      <c r="GP137" s="375"/>
      <c r="GQ137" s="375"/>
      <c r="GS137" s="373"/>
      <c r="GT137" s="374"/>
      <c r="GU137" s="375"/>
      <c r="GV137" s="375"/>
      <c r="GX137" s="373"/>
      <c r="GY137" s="374"/>
      <c r="GZ137" s="375"/>
      <c r="HA137" s="375"/>
      <c r="HC137" s="373"/>
      <c r="HD137" s="374"/>
      <c r="HE137" s="375"/>
      <c r="HF137" s="375"/>
      <c r="HH137" s="373"/>
      <c r="HI137" s="374"/>
      <c r="HJ137" s="375"/>
      <c r="HK137" s="375"/>
      <c r="HM137" s="373"/>
      <c r="HN137" s="374"/>
      <c r="HO137" s="375"/>
      <c r="HP137" s="375"/>
      <c r="HR137" s="373"/>
      <c r="HS137" s="374"/>
      <c r="HT137" s="375"/>
      <c r="HU137" s="375"/>
      <c r="HW137" s="373"/>
      <c r="HX137" s="374"/>
      <c r="HY137" s="375"/>
      <c r="HZ137" s="375"/>
      <c r="IB137" s="373"/>
      <c r="IC137" s="374"/>
      <c r="ID137" s="375"/>
      <c r="IE137" s="375"/>
      <c r="IG137" s="373"/>
      <c r="IH137" s="374"/>
      <c r="II137" s="375"/>
      <c r="IJ137" s="375"/>
      <c r="IL137" s="373"/>
      <c r="IM137" s="374"/>
      <c r="IN137" s="375"/>
      <c r="IO137" s="375"/>
      <c r="IQ137" s="373"/>
      <c r="IR137" s="374"/>
      <c r="IS137" s="375"/>
      <c r="IT137" s="375"/>
      <c r="IV137" s="373"/>
    </row>
    <row r="138" spans="1:256" s="376" customFormat="1" x14ac:dyDescent="0.2">
      <c r="A138" s="373"/>
      <c r="B138" s="374"/>
      <c r="C138" s="375"/>
      <c r="D138" s="375"/>
      <c r="F138" s="373"/>
      <c r="G138" s="374"/>
      <c r="H138" s="375"/>
      <c r="I138" s="375"/>
      <c r="K138" s="382">
        <v>136</v>
      </c>
      <c r="L138" s="383" t="s">
        <v>365</v>
      </c>
      <c r="M138" s="384">
        <v>5.2631578947368425</v>
      </c>
      <c r="N138" s="384">
        <v>2.6315789473684209E-2</v>
      </c>
      <c r="P138" s="373"/>
      <c r="Q138" s="374"/>
      <c r="R138" s="375"/>
      <c r="S138" s="375"/>
      <c r="U138" s="373"/>
      <c r="V138" s="374"/>
      <c r="W138" s="375"/>
      <c r="X138" s="375"/>
      <c r="Z138" s="373"/>
      <c r="AA138" s="374"/>
      <c r="AB138" s="375"/>
      <c r="AC138" s="375"/>
      <c r="AE138" s="373"/>
      <c r="AF138" s="374"/>
      <c r="AG138" s="375"/>
      <c r="AH138" s="375"/>
      <c r="AJ138" s="373"/>
      <c r="AK138" s="374"/>
      <c r="AL138" s="375"/>
      <c r="AM138" s="375"/>
      <c r="AO138" s="373"/>
      <c r="AP138" s="374"/>
      <c r="AQ138" s="375"/>
      <c r="AR138" s="375"/>
      <c r="AT138" s="373"/>
      <c r="AU138" s="374"/>
      <c r="AV138" s="375"/>
      <c r="AW138" s="375"/>
      <c r="AY138" s="373"/>
      <c r="AZ138" s="374"/>
      <c r="BA138" s="375"/>
      <c r="BB138" s="375"/>
      <c r="BD138" s="373"/>
      <c r="BE138" s="374"/>
      <c r="BF138" s="375"/>
      <c r="BG138" s="375"/>
      <c r="BI138" s="373"/>
      <c r="BJ138" s="374"/>
      <c r="BK138" s="375"/>
      <c r="BL138" s="375"/>
      <c r="BN138" s="373"/>
      <c r="BO138" s="374"/>
      <c r="BP138" s="375"/>
      <c r="BQ138" s="375"/>
      <c r="BS138" s="373"/>
      <c r="BT138" s="374"/>
      <c r="BU138" s="375"/>
      <c r="BV138" s="375"/>
      <c r="BX138" s="373"/>
      <c r="BY138" s="374"/>
      <c r="BZ138" s="375"/>
      <c r="CA138" s="375"/>
      <c r="CC138" s="373"/>
      <c r="CD138" s="374"/>
      <c r="CE138" s="375"/>
      <c r="CF138" s="375"/>
      <c r="CH138" s="373"/>
      <c r="CI138" s="374"/>
      <c r="CJ138" s="375"/>
      <c r="CK138" s="375"/>
      <c r="CM138" s="373"/>
      <c r="CN138" s="374"/>
      <c r="CO138" s="375"/>
      <c r="CP138" s="375"/>
      <c r="CR138" s="373"/>
      <c r="CS138" s="374"/>
      <c r="CT138" s="375"/>
      <c r="CU138" s="375"/>
      <c r="CW138" s="373"/>
      <c r="CX138" s="374"/>
      <c r="CY138" s="375"/>
      <c r="CZ138" s="375"/>
      <c r="DB138" s="373"/>
      <c r="DC138" s="374"/>
      <c r="DD138" s="375"/>
      <c r="DE138" s="375"/>
      <c r="DG138" s="373"/>
      <c r="DH138" s="374"/>
      <c r="DI138" s="375"/>
      <c r="DJ138" s="375"/>
      <c r="DL138" s="373"/>
      <c r="DM138" s="374"/>
      <c r="DN138" s="375"/>
      <c r="DO138" s="375"/>
      <c r="DQ138" s="373"/>
      <c r="DR138" s="374"/>
      <c r="DS138" s="375"/>
      <c r="DT138" s="375"/>
      <c r="DV138" s="373"/>
      <c r="DW138" s="374"/>
      <c r="DX138" s="375"/>
      <c r="DY138" s="375"/>
      <c r="EA138" s="373"/>
      <c r="EB138" s="374"/>
      <c r="EC138" s="375"/>
      <c r="ED138" s="375"/>
      <c r="EF138" s="373"/>
      <c r="EG138" s="374"/>
      <c r="EH138" s="375"/>
      <c r="EI138" s="375"/>
      <c r="EK138" s="373"/>
      <c r="EL138" s="374"/>
      <c r="EM138" s="375"/>
      <c r="EN138" s="375"/>
      <c r="EP138" s="373"/>
      <c r="EQ138" s="374"/>
      <c r="ER138" s="375"/>
      <c r="ES138" s="375"/>
      <c r="EU138" s="373"/>
      <c r="EV138" s="374"/>
      <c r="EW138" s="375"/>
      <c r="EX138" s="375"/>
      <c r="EZ138" s="373"/>
      <c r="FA138" s="374"/>
      <c r="FB138" s="375"/>
      <c r="FC138" s="375"/>
      <c r="FE138" s="373"/>
      <c r="FF138" s="374"/>
      <c r="FG138" s="375"/>
      <c r="FH138" s="375"/>
      <c r="FJ138" s="373"/>
      <c r="FK138" s="374"/>
      <c r="FL138" s="375"/>
      <c r="FM138" s="375"/>
      <c r="FO138" s="373"/>
      <c r="FP138" s="374"/>
      <c r="FQ138" s="375"/>
      <c r="FR138" s="375"/>
      <c r="FT138" s="373"/>
      <c r="FU138" s="374"/>
      <c r="FV138" s="375"/>
      <c r="FW138" s="375"/>
      <c r="FY138" s="373"/>
      <c r="FZ138" s="374"/>
      <c r="GA138" s="375"/>
      <c r="GB138" s="375"/>
      <c r="GD138" s="373"/>
      <c r="GE138" s="374"/>
      <c r="GF138" s="375"/>
      <c r="GG138" s="375"/>
      <c r="GI138" s="373"/>
      <c r="GJ138" s="374"/>
      <c r="GK138" s="375"/>
      <c r="GL138" s="375"/>
      <c r="GN138" s="373"/>
      <c r="GO138" s="374"/>
      <c r="GP138" s="375"/>
      <c r="GQ138" s="375"/>
      <c r="GS138" s="373"/>
      <c r="GT138" s="374"/>
      <c r="GU138" s="375"/>
      <c r="GV138" s="375"/>
      <c r="GX138" s="373"/>
      <c r="GY138" s="374"/>
      <c r="GZ138" s="375"/>
      <c r="HA138" s="375"/>
      <c r="HC138" s="373"/>
      <c r="HD138" s="374"/>
      <c r="HE138" s="375"/>
      <c r="HF138" s="375"/>
      <c r="HH138" s="373"/>
      <c r="HI138" s="374"/>
      <c r="HJ138" s="375"/>
      <c r="HK138" s="375"/>
      <c r="HM138" s="373"/>
      <c r="HN138" s="374"/>
      <c r="HO138" s="375"/>
      <c r="HP138" s="375"/>
      <c r="HR138" s="373"/>
      <c r="HS138" s="374"/>
      <c r="HT138" s="375"/>
      <c r="HU138" s="375"/>
      <c r="HW138" s="373"/>
      <c r="HX138" s="374"/>
      <c r="HY138" s="375"/>
      <c r="HZ138" s="375"/>
      <c r="IB138" s="373"/>
      <c r="IC138" s="374"/>
      <c r="ID138" s="375"/>
      <c r="IE138" s="375"/>
      <c r="IG138" s="373"/>
      <c r="IH138" s="374"/>
      <c r="II138" s="375"/>
      <c r="IJ138" s="375"/>
      <c r="IL138" s="373"/>
      <c r="IM138" s="374"/>
      <c r="IN138" s="375"/>
      <c r="IO138" s="375"/>
      <c r="IQ138" s="373"/>
      <c r="IR138" s="374"/>
      <c r="IS138" s="375"/>
      <c r="IT138" s="375"/>
      <c r="IV138" s="373"/>
    </row>
    <row r="139" spans="1:256" s="376" customFormat="1" x14ac:dyDescent="0.2">
      <c r="A139" s="373"/>
      <c r="B139" s="374"/>
      <c r="C139" s="375"/>
      <c r="D139" s="375"/>
      <c r="F139" s="373"/>
      <c r="G139" s="374"/>
      <c r="H139" s="375"/>
      <c r="I139" s="375"/>
      <c r="K139" s="373">
        <v>137</v>
      </c>
      <c r="L139" s="374" t="s">
        <v>2640</v>
      </c>
      <c r="M139" s="375">
        <v>5.2631578947368425</v>
      </c>
      <c r="N139" s="375">
        <v>2.6315789473684209E-2</v>
      </c>
      <c r="P139" s="373"/>
      <c r="Q139" s="374"/>
      <c r="R139" s="375"/>
      <c r="S139" s="375"/>
      <c r="U139" s="373"/>
      <c r="V139" s="374"/>
      <c r="W139" s="375"/>
      <c r="X139" s="375"/>
      <c r="Z139" s="373"/>
      <c r="AA139" s="374"/>
      <c r="AB139" s="375"/>
      <c r="AC139" s="375"/>
      <c r="AE139" s="373"/>
      <c r="AF139" s="374"/>
      <c r="AG139" s="375"/>
      <c r="AH139" s="375"/>
      <c r="AJ139" s="373"/>
      <c r="AK139" s="374"/>
      <c r="AL139" s="375"/>
      <c r="AM139" s="375"/>
      <c r="AO139" s="373"/>
      <c r="AP139" s="374"/>
      <c r="AQ139" s="375"/>
      <c r="AR139" s="375"/>
      <c r="AT139" s="373"/>
      <c r="AU139" s="374"/>
      <c r="AV139" s="375"/>
      <c r="AW139" s="375"/>
      <c r="AY139" s="373"/>
      <c r="AZ139" s="374"/>
      <c r="BA139" s="375"/>
      <c r="BB139" s="375"/>
      <c r="BD139" s="373"/>
      <c r="BE139" s="374"/>
      <c r="BF139" s="375"/>
      <c r="BG139" s="375"/>
      <c r="BI139" s="373"/>
      <c r="BJ139" s="374"/>
      <c r="BK139" s="375"/>
      <c r="BL139" s="375"/>
      <c r="BN139" s="373"/>
      <c r="BO139" s="374"/>
      <c r="BP139" s="375"/>
      <c r="BQ139" s="375"/>
      <c r="BS139" s="373"/>
      <c r="BT139" s="374"/>
      <c r="BU139" s="375"/>
      <c r="BV139" s="375"/>
      <c r="BX139" s="373"/>
      <c r="BY139" s="374"/>
      <c r="BZ139" s="375"/>
      <c r="CA139" s="375"/>
      <c r="CC139" s="373"/>
      <c r="CD139" s="374"/>
      <c r="CE139" s="375"/>
      <c r="CF139" s="375"/>
      <c r="CH139" s="373"/>
      <c r="CI139" s="374"/>
      <c r="CJ139" s="375"/>
      <c r="CK139" s="375"/>
      <c r="CM139" s="373"/>
      <c r="CN139" s="374"/>
      <c r="CO139" s="375"/>
      <c r="CP139" s="375"/>
      <c r="CR139" s="373"/>
      <c r="CS139" s="374"/>
      <c r="CT139" s="375"/>
      <c r="CU139" s="375"/>
      <c r="CW139" s="373"/>
      <c r="CX139" s="374"/>
      <c r="CY139" s="375"/>
      <c r="CZ139" s="375"/>
      <c r="DB139" s="373"/>
      <c r="DC139" s="374"/>
      <c r="DD139" s="375"/>
      <c r="DE139" s="375"/>
      <c r="DG139" s="373"/>
      <c r="DH139" s="374"/>
      <c r="DI139" s="375"/>
      <c r="DJ139" s="375"/>
      <c r="DL139" s="373"/>
      <c r="DM139" s="374"/>
      <c r="DN139" s="375"/>
      <c r="DO139" s="375"/>
      <c r="DQ139" s="373"/>
      <c r="DR139" s="374"/>
      <c r="DS139" s="375"/>
      <c r="DT139" s="375"/>
      <c r="DV139" s="373"/>
      <c r="DW139" s="374"/>
      <c r="DX139" s="375"/>
      <c r="DY139" s="375"/>
      <c r="EA139" s="373"/>
      <c r="EB139" s="374"/>
      <c r="EC139" s="375"/>
      <c r="ED139" s="375"/>
      <c r="EF139" s="373"/>
      <c r="EG139" s="374"/>
      <c r="EH139" s="375"/>
      <c r="EI139" s="375"/>
      <c r="EK139" s="373"/>
      <c r="EL139" s="374"/>
      <c r="EM139" s="375"/>
      <c r="EN139" s="375"/>
      <c r="EP139" s="373"/>
      <c r="EQ139" s="374"/>
      <c r="ER139" s="375"/>
      <c r="ES139" s="375"/>
      <c r="EU139" s="373"/>
      <c r="EV139" s="374"/>
      <c r="EW139" s="375"/>
      <c r="EX139" s="375"/>
      <c r="EZ139" s="373"/>
      <c r="FA139" s="374"/>
      <c r="FB139" s="375"/>
      <c r="FC139" s="375"/>
      <c r="FE139" s="373"/>
      <c r="FF139" s="374"/>
      <c r="FG139" s="375"/>
      <c r="FH139" s="375"/>
      <c r="FJ139" s="373"/>
      <c r="FK139" s="374"/>
      <c r="FL139" s="375"/>
      <c r="FM139" s="375"/>
      <c r="FO139" s="373"/>
      <c r="FP139" s="374"/>
      <c r="FQ139" s="375"/>
      <c r="FR139" s="375"/>
      <c r="FT139" s="373"/>
      <c r="FU139" s="374"/>
      <c r="FV139" s="375"/>
      <c r="FW139" s="375"/>
      <c r="FY139" s="373"/>
      <c r="FZ139" s="374"/>
      <c r="GA139" s="375"/>
      <c r="GB139" s="375"/>
      <c r="GD139" s="373"/>
      <c r="GE139" s="374"/>
      <c r="GF139" s="375"/>
      <c r="GG139" s="375"/>
      <c r="GI139" s="373"/>
      <c r="GJ139" s="374"/>
      <c r="GK139" s="375"/>
      <c r="GL139" s="375"/>
      <c r="GN139" s="373"/>
      <c r="GO139" s="374"/>
      <c r="GP139" s="375"/>
      <c r="GQ139" s="375"/>
      <c r="GS139" s="373"/>
      <c r="GT139" s="374"/>
      <c r="GU139" s="375"/>
      <c r="GV139" s="375"/>
      <c r="GX139" s="373"/>
      <c r="GY139" s="374"/>
      <c r="GZ139" s="375"/>
      <c r="HA139" s="375"/>
      <c r="HC139" s="373"/>
      <c r="HD139" s="374"/>
      <c r="HE139" s="375"/>
      <c r="HF139" s="375"/>
      <c r="HH139" s="373"/>
      <c r="HI139" s="374"/>
      <c r="HJ139" s="375"/>
      <c r="HK139" s="375"/>
      <c r="HM139" s="373"/>
      <c r="HN139" s="374"/>
      <c r="HO139" s="375"/>
      <c r="HP139" s="375"/>
      <c r="HR139" s="373"/>
      <c r="HS139" s="374"/>
      <c r="HT139" s="375"/>
      <c r="HU139" s="375"/>
      <c r="HW139" s="373"/>
      <c r="HX139" s="374"/>
      <c r="HY139" s="375"/>
      <c r="HZ139" s="375"/>
      <c r="IB139" s="373"/>
      <c r="IC139" s="374"/>
      <c r="ID139" s="375"/>
      <c r="IE139" s="375"/>
      <c r="IG139" s="373"/>
      <c r="IH139" s="374"/>
      <c r="II139" s="375"/>
      <c r="IJ139" s="375"/>
      <c r="IL139" s="373"/>
      <c r="IM139" s="374"/>
      <c r="IN139" s="375"/>
      <c r="IO139" s="375"/>
      <c r="IQ139" s="373"/>
      <c r="IR139" s="374"/>
      <c r="IS139" s="375"/>
      <c r="IT139" s="375"/>
      <c r="IV139" s="373"/>
    </row>
    <row r="140" spans="1:256" s="376" customFormat="1" x14ac:dyDescent="0.2">
      <c r="A140" s="373"/>
      <c r="B140" s="374"/>
      <c r="C140" s="375"/>
      <c r="D140" s="375"/>
      <c r="F140" s="373"/>
      <c r="G140" s="374"/>
      <c r="H140" s="375"/>
      <c r="I140" s="375"/>
      <c r="K140" s="373">
        <v>138</v>
      </c>
      <c r="L140" s="374" t="s">
        <v>368</v>
      </c>
      <c r="M140" s="375">
        <v>5.2631578947368425</v>
      </c>
      <c r="N140" s="375">
        <v>2.6315789473684209E-2</v>
      </c>
      <c r="P140" s="373"/>
      <c r="Q140" s="374"/>
      <c r="R140" s="375"/>
      <c r="S140" s="375"/>
      <c r="U140" s="373"/>
      <c r="V140" s="374"/>
      <c r="W140" s="375"/>
      <c r="X140" s="375"/>
      <c r="Z140" s="373"/>
      <c r="AA140" s="374"/>
      <c r="AB140" s="375"/>
      <c r="AC140" s="375"/>
      <c r="AE140" s="373"/>
      <c r="AF140" s="374"/>
      <c r="AG140" s="375"/>
      <c r="AH140" s="375"/>
      <c r="AJ140" s="373"/>
      <c r="AK140" s="374"/>
      <c r="AL140" s="375"/>
      <c r="AM140" s="375"/>
      <c r="AO140" s="373"/>
      <c r="AP140" s="374"/>
      <c r="AQ140" s="375"/>
      <c r="AR140" s="375"/>
      <c r="AT140" s="373"/>
      <c r="AU140" s="374"/>
      <c r="AV140" s="375"/>
      <c r="AW140" s="375"/>
      <c r="AY140" s="373"/>
      <c r="AZ140" s="374"/>
      <c r="BA140" s="375"/>
      <c r="BB140" s="375"/>
      <c r="BD140" s="373"/>
      <c r="BE140" s="374"/>
      <c r="BF140" s="375"/>
      <c r="BG140" s="375"/>
      <c r="BI140" s="373"/>
      <c r="BJ140" s="374"/>
      <c r="BK140" s="375"/>
      <c r="BL140" s="375"/>
      <c r="BN140" s="373"/>
      <c r="BO140" s="374"/>
      <c r="BP140" s="375"/>
      <c r="BQ140" s="375"/>
      <c r="BS140" s="373"/>
      <c r="BT140" s="374"/>
      <c r="BU140" s="375"/>
      <c r="BV140" s="375"/>
      <c r="BX140" s="373"/>
      <c r="BY140" s="374"/>
      <c r="BZ140" s="375"/>
      <c r="CA140" s="375"/>
      <c r="CC140" s="373"/>
      <c r="CD140" s="374"/>
      <c r="CE140" s="375"/>
      <c r="CF140" s="375"/>
      <c r="CH140" s="373"/>
      <c r="CI140" s="374"/>
      <c r="CJ140" s="375"/>
      <c r="CK140" s="375"/>
      <c r="CM140" s="373"/>
      <c r="CN140" s="374"/>
      <c r="CO140" s="375"/>
      <c r="CP140" s="375"/>
      <c r="CR140" s="373"/>
      <c r="CS140" s="374"/>
      <c r="CT140" s="375"/>
      <c r="CU140" s="375"/>
      <c r="CW140" s="373"/>
      <c r="CX140" s="374"/>
      <c r="CY140" s="375"/>
      <c r="CZ140" s="375"/>
      <c r="DB140" s="373"/>
      <c r="DC140" s="374"/>
      <c r="DD140" s="375"/>
      <c r="DE140" s="375"/>
      <c r="DG140" s="373"/>
      <c r="DH140" s="374"/>
      <c r="DI140" s="375"/>
      <c r="DJ140" s="375"/>
      <c r="DL140" s="373"/>
      <c r="DM140" s="374"/>
      <c r="DN140" s="375"/>
      <c r="DO140" s="375"/>
      <c r="DQ140" s="373"/>
      <c r="DR140" s="374"/>
      <c r="DS140" s="375"/>
      <c r="DT140" s="375"/>
      <c r="DV140" s="373"/>
      <c r="DW140" s="374"/>
      <c r="DX140" s="375"/>
      <c r="DY140" s="375"/>
      <c r="EA140" s="373"/>
      <c r="EB140" s="374"/>
      <c r="EC140" s="375"/>
      <c r="ED140" s="375"/>
      <c r="EF140" s="373"/>
      <c r="EG140" s="374"/>
      <c r="EH140" s="375"/>
      <c r="EI140" s="375"/>
      <c r="EK140" s="373"/>
      <c r="EL140" s="374"/>
      <c r="EM140" s="375"/>
      <c r="EN140" s="375"/>
      <c r="EP140" s="373"/>
      <c r="EQ140" s="374"/>
      <c r="ER140" s="375"/>
      <c r="ES140" s="375"/>
      <c r="EU140" s="373"/>
      <c r="EV140" s="374"/>
      <c r="EW140" s="375"/>
      <c r="EX140" s="375"/>
      <c r="EZ140" s="373"/>
      <c r="FA140" s="374"/>
      <c r="FB140" s="375"/>
      <c r="FC140" s="375"/>
      <c r="FE140" s="373"/>
      <c r="FF140" s="374"/>
      <c r="FG140" s="375"/>
      <c r="FH140" s="375"/>
      <c r="FJ140" s="373"/>
      <c r="FK140" s="374"/>
      <c r="FL140" s="375"/>
      <c r="FM140" s="375"/>
      <c r="FO140" s="373"/>
      <c r="FP140" s="374"/>
      <c r="FQ140" s="375"/>
      <c r="FR140" s="375"/>
      <c r="FT140" s="373"/>
      <c r="FU140" s="374"/>
      <c r="FV140" s="375"/>
      <c r="FW140" s="375"/>
      <c r="FY140" s="373"/>
      <c r="FZ140" s="374"/>
      <c r="GA140" s="375"/>
      <c r="GB140" s="375"/>
      <c r="GD140" s="373"/>
      <c r="GE140" s="374"/>
      <c r="GF140" s="375"/>
      <c r="GG140" s="375"/>
      <c r="GI140" s="373"/>
      <c r="GJ140" s="374"/>
      <c r="GK140" s="375"/>
      <c r="GL140" s="375"/>
      <c r="GN140" s="373"/>
      <c r="GO140" s="374"/>
      <c r="GP140" s="375"/>
      <c r="GQ140" s="375"/>
      <c r="GS140" s="373"/>
      <c r="GT140" s="374"/>
      <c r="GU140" s="375"/>
      <c r="GV140" s="375"/>
      <c r="GX140" s="373"/>
      <c r="GY140" s="374"/>
      <c r="GZ140" s="375"/>
      <c r="HA140" s="375"/>
      <c r="HC140" s="373"/>
      <c r="HD140" s="374"/>
      <c r="HE140" s="375"/>
      <c r="HF140" s="375"/>
      <c r="HH140" s="373"/>
      <c r="HI140" s="374"/>
      <c r="HJ140" s="375"/>
      <c r="HK140" s="375"/>
      <c r="HM140" s="373"/>
      <c r="HN140" s="374"/>
      <c r="HO140" s="375"/>
      <c r="HP140" s="375"/>
      <c r="HR140" s="373"/>
      <c r="HS140" s="374"/>
      <c r="HT140" s="375"/>
      <c r="HU140" s="375"/>
      <c r="HW140" s="373"/>
      <c r="HX140" s="374"/>
      <c r="HY140" s="375"/>
      <c r="HZ140" s="375"/>
      <c r="IB140" s="373"/>
      <c r="IC140" s="374"/>
      <c r="ID140" s="375"/>
      <c r="IE140" s="375"/>
      <c r="IG140" s="373"/>
      <c r="IH140" s="374"/>
      <c r="II140" s="375"/>
      <c r="IJ140" s="375"/>
      <c r="IL140" s="373"/>
      <c r="IM140" s="374"/>
      <c r="IN140" s="375"/>
      <c r="IO140" s="375"/>
      <c r="IQ140" s="373"/>
      <c r="IR140" s="374"/>
      <c r="IS140" s="375"/>
      <c r="IT140" s="375"/>
      <c r="IV140" s="373"/>
    </row>
    <row r="141" spans="1:256" s="376" customFormat="1" x14ac:dyDescent="0.2">
      <c r="A141" s="373"/>
      <c r="B141" s="374"/>
      <c r="C141" s="375"/>
      <c r="D141" s="375"/>
      <c r="F141" s="373"/>
      <c r="G141" s="374"/>
      <c r="H141" s="375"/>
      <c r="I141" s="375"/>
      <c r="K141" s="373">
        <v>139</v>
      </c>
      <c r="L141" s="374" t="s">
        <v>378</v>
      </c>
      <c r="M141" s="375">
        <v>5.2631578947368425</v>
      </c>
      <c r="N141" s="375">
        <v>2.6315789473684209E-2</v>
      </c>
      <c r="P141" s="373"/>
      <c r="Q141" s="374"/>
      <c r="R141" s="375"/>
      <c r="S141" s="375"/>
      <c r="U141" s="373"/>
      <c r="V141" s="374"/>
      <c r="W141" s="375"/>
      <c r="X141" s="375"/>
      <c r="Z141" s="373"/>
      <c r="AA141" s="374"/>
      <c r="AB141" s="375"/>
      <c r="AC141" s="375"/>
      <c r="AE141" s="373"/>
      <c r="AF141" s="374"/>
      <c r="AG141" s="375"/>
      <c r="AH141" s="375"/>
      <c r="AJ141" s="373"/>
      <c r="AK141" s="374"/>
      <c r="AL141" s="375"/>
      <c r="AM141" s="375"/>
      <c r="AO141" s="373"/>
      <c r="AP141" s="374"/>
      <c r="AQ141" s="375"/>
      <c r="AR141" s="375"/>
      <c r="AT141" s="373"/>
      <c r="AU141" s="374"/>
      <c r="AV141" s="375"/>
      <c r="AW141" s="375"/>
      <c r="AY141" s="373"/>
      <c r="AZ141" s="374"/>
      <c r="BA141" s="375"/>
      <c r="BB141" s="375"/>
      <c r="BD141" s="373"/>
      <c r="BE141" s="374"/>
      <c r="BF141" s="375"/>
      <c r="BG141" s="375"/>
      <c r="BI141" s="373"/>
      <c r="BJ141" s="374"/>
      <c r="BK141" s="375"/>
      <c r="BL141" s="375"/>
      <c r="BN141" s="373"/>
      <c r="BO141" s="374"/>
      <c r="BP141" s="375"/>
      <c r="BQ141" s="375"/>
      <c r="BS141" s="373"/>
      <c r="BT141" s="374"/>
      <c r="BU141" s="375"/>
      <c r="BV141" s="375"/>
      <c r="BX141" s="373"/>
      <c r="BY141" s="374"/>
      <c r="BZ141" s="375"/>
      <c r="CA141" s="375"/>
      <c r="CC141" s="373"/>
      <c r="CD141" s="374"/>
      <c r="CE141" s="375"/>
      <c r="CF141" s="375"/>
      <c r="CH141" s="373"/>
      <c r="CI141" s="374"/>
      <c r="CJ141" s="375"/>
      <c r="CK141" s="375"/>
      <c r="CM141" s="373"/>
      <c r="CN141" s="374"/>
      <c r="CO141" s="375"/>
      <c r="CP141" s="375"/>
      <c r="CR141" s="373"/>
      <c r="CS141" s="374"/>
      <c r="CT141" s="375"/>
      <c r="CU141" s="375"/>
      <c r="CW141" s="373"/>
      <c r="CX141" s="374"/>
      <c r="CY141" s="375"/>
      <c r="CZ141" s="375"/>
      <c r="DB141" s="373"/>
      <c r="DC141" s="374"/>
      <c r="DD141" s="375"/>
      <c r="DE141" s="375"/>
      <c r="DG141" s="373"/>
      <c r="DH141" s="374"/>
      <c r="DI141" s="375"/>
      <c r="DJ141" s="375"/>
      <c r="DL141" s="373"/>
      <c r="DM141" s="374"/>
      <c r="DN141" s="375"/>
      <c r="DO141" s="375"/>
      <c r="DQ141" s="373"/>
      <c r="DR141" s="374"/>
      <c r="DS141" s="375"/>
      <c r="DT141" s="375"/>
      <c r="DV141" s="373"/>
      <c r="DW141" s="374"/>
      <c r="DX141" s="375"/>
      <c r="DY141" s="375"/>
      <c r="EA141" s="373"/>
      <c r="EB141" s="374"/>
      <c r="EC141" s="375"/>
      <c r="ED141" s="375"/>
      <c r="EF141" s="373"/>
      <c r="EG141" s="374"/>
      <c r="EH141" s="375"/>
      <c r="EI141" s="375"/>
      <c r="EK141" s="373"/>
      <c r="EL141" s="374"/>
      <c r="EM141" s="375"/>
      <c r="EN141" s="375"/>
      <c r="EP141" s="373"/>
      <c r="EQ141" s="374"/>
      <c r="ER141" s="375"/>
      <c r="ES141" s="375"/>
      <c r="EU141" s="373"/>
      <c r="EV141" s="374"/>
      <c r="EW141" s="375"/>
      <c r="EX141" s="375"/>
      <c r="EZ141" s="373"/>
      <c r="FA141" s="374"/>
      <c r="FB141" s="375"/>
      <c r="FC141" s="375"/>
      <c r="FE141" s="373"/>
      <c r="FF141" s="374"/>
      <c r="FG141" s="375"/>
      <c r="FH141" s="375"/>
      <c r="FJ141" s="373"/>
      <c r="FK141" s="374"/>
      <c r="FL141" s="375"/>
      <c r="FM141" s="375"/>
      <c r="FO141" s="373"/>
      <c r="FP141" s="374"/>
      <c r="FQ141" s="375"/>
      <c r="FR141" s="375"/>
      <c r="FT141" s="373"/>
      <c r="FU141" s="374"/>
      <c r="FV141" s="375"/>
      <c r="FW141" s="375"/>
      <c r="FY141" s="373"/>
      <c r="FZ141" s="374"/>
      <c r="GA141" s="375"/>
      <c r="GB141" s="375"/>
      <c r="GD141" s="373"/>
      <c r="GE141" s="374"/>
      <c r="GF141" s="375"/>
      <c r="GG141" s="375"/>
      <c r="GI141" s="373"/>
      <c r="GJ141" s="374"/>
      <c r="GK141" s="375"/>
      <c r="GL141" s="375"/>
      <c r="GN141" s="373"/>
      <c r="GO141" s="374"/>
      <c r="GP141" s="375"/>
      <c r="GQ141" s="375"/>
      <c r="GS141" s="373"/>
      <c r="GT141" s="374"/>
      <c r="GU141" s="375"/>
      <c r="GV141" s="375"/>
      <c r="GX141" s="373"/>
      <c r="GY141" s="374"/>
      <c r="GZ141" s="375"/>
      <c r="HA141" s="375"/>
      <c r="HC141" s="373"/>
      <c r="HD141" s="374"/>
      <c r="HE141" s="375"/>
      <c r="HF141" s="375"/>
      <c r="HH141" s="373"/>
      <c r="HI141" s="374"/>
      <c r="HJ141" s="375"/>
      <c r="HK141" s="375"/>
      <c r="HM141" s="373"/>
      <c r="HN141" s="374"/>
      <c r="HO141" s="375"/>
      <c r="HP141" s="375"/>
      <c r="HR141" s="373"/>
      <c r="HS141" s="374"/>
      <c r="HT141" s="375"/>
      <c r="HU141" s="375"/>
      <c r="HW141" s="373"/>
      <c r="HX141" s="374"/>
      <c r="HY141" s="375"/>
      <c r="HZ141" s="375"/>
      <c r="IB141" s="373"/>
      <c r="IC141" s="374"/>
      <c r="ID141" s="375"/>
      <c r="IE141" s="375"/>
      <c r="IG141" s="373"/>
      <c r="IH141" s="374"/>
      <c r="II141" s="375"/>
      <c r="IJ141" s="375"/>
      <c r="IL141" s="373"/>
      <c r="IM141" s="374"/>
      <c r="IN141" s="375"/>
      <c r="IO141" s="375"/>
      <c r="IQ141" s="373"/>
      <c r="IR141" s="374"/>
      <c r="IS141" s="375"/>
      <c r="IT141" s="375"/>
      <c r="IV141" s="373"/>
    </row>
    <row r="142" spans="1:256" s="376" customFormat="1" x14ac:dyDescent="0.2">
      <c r="A142" s="373"/>
      <c r="B142" s="374"/>
      <c r="C142" s="375"/>
      <c r="D142" s="375"/>
      <c r="F142" s="373"/>
      <c r="G142" s="374"/>
      <c r="H142" s="375"/>
      <c r="I142" s="375"/>
      <c r="K142" s="373">
        <v>140</v>
      </c>
      <c r="L142" s="374" t="s">
        <v>1586</v>
      </c>
      <c r="M142" s="375">
        <v>5.2631578947368425</v>
      </c>
      <c r="N142" s="375">
        <v>2.6315789473684209E-2</v>
      </c>
      <c r="P142" s="373"/>
      <c r="Q142" s="374"/>
      <c r="R142" s="375"/>
      <c r="S142" s="375"/>
      <c r="U142" s="373"/>
      <c r="V142" s="374"/>
      <c r="W142" s="375"/>
      <c r="X142" s="375"/>
      <c r="Z142" s="373"/>
      <c r="AA142" s="374"/>
      <c r="AB142" s="375"/>
      <c r="AC142" s="375"/>
      <c r="AE142" s="373"/>
      <c r="AF142" s="374"/>
      <c r="AG142" s="375"/>
      <c r="AH142" s="375"/>
      <c r="AJ142" s="373"/>
      <c r="AK142" s="374"/>
      <c r="AL142" s="375"/>
      <c r="AM142" s="375"/>
      <c r="AO142" s="373"/>
      <c r="AP142" s="374"/>
      <c r="AQ142" s="375"/>
      <c r="AR142" s="375"/>
      <c r="AT142" s="373"/>
      <c r="AU142" s="374"/>
      <c r="AV142" s="375"/>
      <c r="AW142" s="375"/>
      <c r="AY142" s="373"/>
      <c r="AZ142" s="374"/>
      <c r="BA142" s="375"/>
      <c r="BB142" s="375"/>
      <c r="BD142" s="373"/>
      <c r="BE142" s="374"/>
      <c r="BF142" s="375"/>
      <c r="BG142" s="375"/>
      <c r="BI142" s="373"/>
      <c r="BJ142" s="374"/>
      <c r="BK142" s="375"/>
      <c r="BL142" s="375"/>
      <c r="BN142" s="373"/>
      <c r="BO142" s="374"/>
      <c r="BP142" s="375"/>
      <c r="BQ142" s="375"/>
      <c r="BS142" s="373"/>
      <c r="BT142" s="374"/>
      <c r="BU142" s="375"/>
      <c r="BV142" s="375"/>
      <c r="BX142" s="373"/>
      <c r="BY142" s="374"/>
      <c r="BZ142" s="375"/>
      <c r="CA142" s="375"/>
      <c r="CC142" s="373"/>
      <c r="CD142" s="374"/>
      <c r="CE142" s="375"/>
      <c r="CF142" s="375"/>
      <c r="CH142" s="373"/>
      <c r="CI142" s="374"/>
      <c r="CJ142" s="375"/>
      <c r="CK142" s="375"/>
      <c r="CM142" s="373"/>
      <c r="CN142" s="374"/>
      <c r="CO142" s="375"/>
      <c r="CP142" s="375"/>
      <c r="CR142" s="373"/>
      <c r="CS142" s="374"/>
      <c r="CT142" s="375"/>
      <c r="CU142" s="375"/>
      <c r="CW142" s="373"/>
      <c r="CX142" s="374"/>
      <c r="CY142" s="375"/>
      <c r="CZ142" s="375"/>
      <c r="DB142" s="373"/>
      <c r="DC142" s="374"/>
      <c r="DD142" s="375"/>
      <c r="DE142" s="375"/>
      <c r="DG142" s="373"/>
      <c r="DH142" s="374"/>
      <c r="DI142" s="375"/>
      <c r="DJ142" s="375"/>
      <c r="DL142" s="373"/>
      <c r="DM142" s="374"/>
      <c r="DN142" s="375"/>
      <c r="DO142" s="375"/>
      <c r="DQ142" s="373"/>
      <c r="DR142" s="374"/>
      <c r="DS142" s="375"/>
      <c r="DT142" s="375"/>
      <c r="DV142" s="373"/>
      <c r="DW142" s="374"/>
      <c r="DX142" s="375"/>
      <c r="DY142" s="375"/>
      <c r="EA142" s="373"/>
      <c r="EB142" s="374"/>
      <c r="EC142" s="375"/>
      <c r="ED142" s="375"/>
      <c r="EF142" s="373"/>
      <c r="EG142" s="374"/>
      <c r="EH142" s="375"/>
      <c r="EI142" s="375"/>
      <c r="EK142" s="373"/>
      <c r="EL142" s="374"/>
      <c r="EM142" s="375"/>
      <c r="EN142" s="375"/>
      <c r="EP142" s="373"/>
      <c r="EQ142" s="374"/>
      <c r="ER142" s="375"/>
      <c r="ES142" s="375"/>
      <c r="EU142" s="373"/>
      <c r="EV142" s="374"/>
      <c r="EW142" s="375"/>
      <c r="EX142" s="375"/>
      <c r="EZ142" s="373"/>
      <c r="FA142" s="374"/>
      <c r="FB142" s="375"/>
      <c r="FC142" s="375"/>
      <c r="FE142" s="373"/>
      <c r="FF142" s="374"/>
      <c r="FG142" s="375"/>
      <c r="FH142" s="375"/>
      <c r="FJ142" s="373"/>
      <c r="FK142" s="374"/>
      <c r="FL142" s="375"/>
      <c r="FM142" s="375"/>
      <c r="FO142" s="373"/>
      <c r="FP142" s="374"/>
      <c r="FQ142" s="375"/>
      <c r="FR142" s="375"/>
      <c r="FT142" s="373"/>
      <c r="FU142" s="374"/>
      <c r="FV142" s="375"/>
      <c r="FW142" s="375"/>
      <c r="FY142" s="373"/>
      <c r="FZ142" s="374"/>
      <c r="GA142" s="375"/>
      <c r="GB142" s="375"/>
      <c r="GD142" s="373"/>
      <c r="GE142" s="374"/>
      <c r="GF142" s="375"/>
      <c r="GG142" s="375"/>
      <c r="GI142" s="373"/>
      <c r="GJ142" s="374"/>
      <c r="GK142" s="375"/>
      <c r="GL142" s="375"/>
      <c r="GN142" s="373"/>
      <c r="GO142" s="374"/>
      <c r="GP142" s="375"/>
      <c r="GQ142" s="375"/>
      <c r="GS142" s="373"/>
      <c r="GT142" s="374"/>
      <c r="GU142" s="375"/>
      <c r="GV142" s="375"/>
      <c r="GX142" s="373"/>
      <c r="GY142" s="374"/>
      <c r="GZ142" s="375"/>
      <c r="HA142" s="375"/>
      <c r="HC142" s="373"/>
      <c r="HD142" s="374"/>
      <c r="HE142" s="375"/>
      <c r="HF142" s="375"/>
      <c r="HH142" s="373"/>
      <c r="HI142" s="374"/>
      <c r="HJ142" s="375"/>
      <c r="HK142" s="375"/>
      <c r="HM142" s="373"/>
      <c r="HN142" s="374"/>
      <c r="HO142" s="375"/>
      <c r="HP142" s="375"/>
      <c r="HR142" s="373"/>
      <c r="HS142" s="374"/>
      <c r="HT142" s="375"/>
      <c r="HU142" s="375"/>
      <c r="HW142" s="373"/>
      <c r="HX142" s="374"/>
      <c r="HY142" s="375"/>
      <c r="HZ142" s="375"/>
      <c r="IB142" s="373"/>
      <c r="IC142" s="374"/>
      <c r="ID142" s="375"/>
      <c r="IE142" s="375"/>
      <c r="IG142" s="373"/>
      <c r="IH142" s="374"/>
      <c r="II142" s="375"/>
      <c r="IJ142" s="375"/>
      <c r="IL142" s="373"/>
      <c r="IM142" s="374"/>
      <c r="IN142" s="375"/>
      <c r="IO142" s="375"/>
      <c r="IQ142" s="373"/>
      <c r="IR142" s="374"/>
      <c r="IS142" s="375"/>
      <c r="IT142" s="375"/>
      <c r="IV142" s="373"/>
    </row>
    <row r="143" spans="1:256" s="376" customFormat="1" x14ac:dyDescent="0.2">
      <c r="A143" s="373"/>
      <c r="B143" s="374"/>
      <c r="C143" s="375"/>
      <c r="D143" s="375"/>
      <c r="F143" s="373"/>
      <c r="G143" s="374"/>
      <c r="H143" s="375"/>
      <c r="I143" s="375"/>
      <c r="K143" s="373">
        <v>141</v>
      </c>
      <c r="L143" s="374" t="s">
        <v>382</v>
      </c>
      <c r="M143" s="375">
        <v>5.2631578947368425</v>
      </c>
      <c r="N143" s="375">
        <v>2.6315789473684209E-2</v>
      </c>
      <c r="P143" s="373"/>
      <c r="Q143" s="374"/>
      <c r="R143" s="375"/>
      <c r="S143" s="375"/>
      <c r="U143" s="373"/>
      <c r="V143" s="374"/>
      <c r="W143" s="375"/>
      <c r="X143" s="375"/>
      <c r="Z143" s="373"/>
      <c r="AA143" s="374"/>
      <c r="AB143" s="375"/>
      <c r="AC143" s="375"/>
      <c r="AE143" s="373"/>
      <c r="AF143" s="374"/>
      <c r="AG143" s="375"/>
      <c r="AH143" s="375"/>
      <c r="AJ143" s="373"/>
      <c r="AK143" s="374"/>
      <c r="AL143" s="375"/>
      <c r="AM143" s="375"/>
      <c r="AO143" s="373"/>
      <c r="AP143" s="374"/>
      <c r="AQ143" s="375"/>
      <c r="AR143" s="375"/>
      <c r="AT143" s="373"/>
      <c r="AU143" s="374"/>
      <c r="AV143" s="375"/>
      <c r="AW143" s="375"/>
      <c r="AY143" s="373"/>
      <c r="AZ143" s="374"/>
      <c r="BA143" s="375"/>
      <c r="BB143" s="375"/>
      <c r="BD143" s="373"/>
      <c r="BE143" s="374"/>
      <c r="BF143" s="375"/>
      <c r="BG143" s="375"/>
      <c r="BI143" s="373"/>
      <c r="BJ143" s="374"/>
      <c r="BK143" s="375"/>
      <c r="BL143" s="375"/>
      <c r="BN143" s="373"/>
      <c r="BO143" s="374"/>
      <c r="BP143" s="375"/>
      <c r="BQ143" s="375"/>
      <c r="BS143" s="373"/>
      <c r="BT143" s="374"/>
      <c r="BU143" s="375"/>
      <c r="BV143" s="375"/>
      <c r="BX143" s="373"/>
      <c r="BY143" s="374"/>
      <c r="BZ143" s="375"/>
      <c r="CA143" s="375"/>
      <c r="CC143" s="373"/>
      <c r="CD143" s="374"/>
      <c r="CE143" s="375"/>
      <c r="CF143" s="375"/>
      <c r="CH143" s="373"/>
      <c r="CI143" s="374"/>
      <c r="CJ143" s="375"/>
      <c r="CK143" s="375"/>
      <c r="CM143" s="373"/>
      <c r="CN143" s="374"/>
      <c r="CO143" s="375"/>
      <c r="CP143" s="375"/>
      <c r="CR143" s="373"/>
      <c r="CS143" s="374"/>
      <c r="CT143" s="375"/>
      <c r="CU143" s="375"/>
      <c r="CW143" s="373"/>
      <c r="CX143" s="374"/>
      <c r="CY143" s="375"/>
      <c r="CZ143" s="375"/>
      <c r="DB143" s="373"/>
      <c r="DC143" s="374"/>
      <c r="DD143" s="375"/>
      <c r="DE143" s="375"/>
      <c r="DG143" s="373"/>
      <c r="DH143" s="374"/>
      <c r="DI143" s="375"/>
      <c r="DJ143" s="375"/>
      <c r="DL143" s="373"/>
      <c r="DM143" s="374"/>
      <c r="DN143" s="375"/>
      <c r="DO143" s="375"/>
      <c r="DQ143" s="373"/>
      <c r="DR143" s="374"/>
      <c r="DS143" s="375"/>
      <c r="DT143" s="375"/>
      <c r="DV143" s="373"/>
      <c r="DW143" s="374"/>
      <c r="DX143" s="375"/>
      <c r="DY143" s="375"/>
      <c r="EA143" s="373"/>
      <c r="EB143" s="374"/>
      <c r="EC143" s="375"/>
      <c r="ED143" s="375"/>
      <c r="EF143" s="373"/>
      <c r="EG143" s="374"/>
      <c r="EH143" s="375"/>
      <c r="EI143" s="375"/>
      <c r="EK143" s="373"/>
      <c r="EL143" s="374"/>
      <c r="EM143" s="375"/>
      <c r="EN143" s="375"/>
      <c r="EP143" s="373"/>
      <c r="EQ143" s="374"/>
      <c r="ER143" s="375"/>
      <c r="ES143" s="375"/>
      <c r="EU143" s="373"/>
      <c r="EV143" s="374"/>
      <c r="EW143" s="375"/>
      <c r="EX143" s="375"/>
      <c r="EZ143" s="373"/>
      <c r="FA143" s="374"/>
      <c r="FB143" s="375"/>
      <c r="FC143" s="375"/>
      <c r="FE143" s="373"/>
      <c r="FF143" s="374"/>
      <c r="FG143" s="375"/>
      <c r="FH143" s="375"/>
      <c r="FJ143" s="373"/>
      <c r="FK143" s="374"/>
      <c r="FL143" s="375"/>
      <c r="FM143" s="375"/>
      <c r="FO143" s="373"/>
      <c r="FP143" s="374"/>
      <c r="FQ143" s="375"/>
      <c r="FR143" s="375"/>
      <c r="FT143" s="373"/>
      <c r="FU143" s="374"/>
      <c r="FV143" s="375"/>
      <c r="FW143" s="375"/>
      <c r="FY143" s="373"/>
      <c r="FZ143" s="374"/>
      <c r="GA143" s="375"/>
      <c r="GB143" s="375"/>
      <c r="GD143" s="373"/>
      <c r="GE143" s="374"/>
      <c r="GF143" s="375"/>
      <c r="GG143" s="375"/>
      <c r="GI143" s="373"/>
      <c r="GJ143" s="374"/>
      <c r="GK143" s="375"/>
      <c r="GL143" s="375"/>
      <c r="GN143" s="373"/>
      <c r="GO143" s="374"/>
      <c r="GP143" s="375"/>
      <c r="GQ143" s="375"/>
      <c r="GS143" s="373"/>
      <c r="GT143" s="374"/>
      <c r="GU143" s="375"/>
      <c r="GV143" s="375"/>
      <c r="GX143" s="373"/>
      <c r="GY143" s="374"/>
      <c r="GZ143" s="375"/>
      <c r="HA143" s="375"/>
      <c r="HC143" s="373"/>
      <c r="HD143" s="374"/>
      <c r="HE143" s="375"/>
      <c r="HF143" s="375"/>
      <c r="HH143" s="373"/>
      <c r="HI143" s="374"/>
      <c r="HJ143" s="375"/>
      <c r="HK143" s="375"/>
      <c r="HM143" s="373"/>
      <c r="HN143" s="374"/>
      <c r="HO143" s="375"/>
      <c r="HP143" s="375"/>
      <c r="HR143" s="373"/>
      <c r="HS143" s="374"/>
      <c r="HT143" s="375"/>
      <c r="HU143" s="375"/>
      <c r="HW143" s="373"/>
      <c r="HX143" s="374"/>
      <c r="HY143" s="375"/>
      <c r="HZ143" s="375"/>
      <c r="IB143" s="373"/>
      <c r="IC143" s="374"/>
      <c r="ID143" s="375"/>
      <c r="IE143" s="375"/>
      <c r="IG143" s="373"/>
      <c r="IH143" s="374"/>
      <c r="II143" s="375"/>
      <c r="IJ143" s="375"/>
      <c r="IL143" s="373"/>
      <c r="IM143" s="374"/>
      <c r="IN143" s="375"/>
      <c r="IO143" s="375"/>
      <c r="IQ143" s="373"/>
      <c r="IR143" s="374"/>
      <c r="IS143" s="375"/>
      <c r="IT143" s="375"/>
      <c r="IV143" s="373"/>
    </row>
    <row r="144" spans="1:256" s="376" customFormat="1" x14ac:dyDescent="0.2">
      <c r="A144" s="373"/>
      <c r="B144" s="374"/>
      <c r="C144" s="375"/>
      <c r="D144" s="375"/>
      <c r="F144" s="373"/>
      <c r="G144" s="374"/>
      <c r="H144" s="375"/>
      <c r="I144" s="375"/>
      <c r="K144" s="373">
        <v>142</v>
      </c>
      <c r="L144" s="374" t="s">
        <v>2603</v>
      </c>
      <c r="M144" s="375">
        <v>5.2631578947368425</v>
      </c>
      <c r="N144" s="375">
        <v>2.6315789473684209E-2</v>
      </c>
      <c r="P144" s="373"/>
      <c r="Q144" s="374"/>
      <c r="R144" s="375"/>
      <c r="S144" s="375"/>
      <c r="U144" s="373"/>
      <c r="V144" s="374"/>
      <c r="W144" s="375"/>
      <c r="X144" s="375"/>
      <c r="Z144" s="373"/>
      <c r="AA144" s="374"/>
      <c r="AB144" s="375"/>
      <c r="AC144" s="375"/>
      <c r="AE144" s="373"/>
      <c r="AF144" s="374"/>
      <c r="AG144" s="375"/>
      <c r="AH144" s="375"/>
      <c r="AJ144" s="373"/>
      <c r="AK144" s="374"/>
      <c r="AL144" s="375"/>
      <c r="AM144" s="375"/>
      <c r="AO144" s="373"/>
      <c r="AP144" s="374"/>
      <c r="AQ144" s="375"/>
      <c r="AR144" s="375"/>
      <c r="AT144" s="373"/>
      <c r="AU144" s="374"/>
      <c r="AV144" s="375"/>
      <c r="AW144" s="375"/>
      <c r="AY144" s="373"/>
      <c r="AZ144" s="374"/>
      <c r="BA144" s="375"/>
      <c r="BB144" s="375"/>
      <c r="BD144" s="373"/>
      <c r="BE144" s="374"/>
      <c r="BF144" s="375"/>
      <c r="BG144" s="375"/>
      <c r="BI144" s="373"/>
      <c r="BJ144" s="374"/>
      <c r="BK144" s="375"/>
      <c r="BL144" s="375"/>
      <c r="BN144" s="373"/>
      <c r="BO144" s="374"/>
      <c r="BP144" s="375"/>
      <c r="BQ144" s="375"/>
      <c r="BS144" s="373"/>
      <c r="BT144" s="374"/>
      <c r="BU144" s="375"/>
      <c r="BV144" s="375"/>
      <c r="BX144" s="373"/>
      <c r="BY144" s="374"/>
      <c r="BZ144" s="375"/>
      <c r="CA144" s="375"/>
      <c r="CC144" s="373"/>
      <c r="CD144" s="374"/>
      <c r="CE144" s="375"/>
      <c r="CF144" s="375"/>
      <c r="CH144" s="373"/>
      <c r="CI144" s="374"/>
      <c r="CJ144" s="375"/>
      <c r="CK144" s="375"/>
      <c r="CM144" s="373"/>
      <c r="CN144" s="374"/>
      <c r="CO144" s="375"/>
      <c r="CP144" s="375"/>
      <c r="CR144" s="373"/>
      <c r="CS144" s="374"/>
      <c r="CT144" s="375"/>
      <c r="CU144" s="375"/>
      <c r="CW144" s="373"/>
      <c r="CX144" s="374"/>
      <c r="CY144" s="375"/>
      <c r="CZ144" s="375"/>
      <c r="DB144" s="373"/>
      <c r="DC144" s="374"/>
      <c r="DD144" s="375"/>
      <c r="DE144" s="375"/>
      <c r="DG144" s="373"/>
      <c r="DH144" s="374"/>
      <c r="DI144" s="375"/>
      <c r="DJ144" s="375"/>
      <c r="DL144" s="373"/>
      <c r="DM144" s="374"/>
      <c r="DN144" s="375"/>
      <c r="DO144" s="375"/>
      <c r="DQ144" s="373"/>
      <c r="DR144" s="374"/>
      <c r="DS144" s="375"/>
      <c r="DT144" s="375"/>
      <c r="DV144" s="373"/>
      <c r="DW144" s="374"/>
      <c r="DX144" s="375"/>
      <c r="DY144" s="375"/>
      <c r="EA144" s="373"/>
      <c r="EB144" s="374"/>
      <c r="EC144" s="375"/>
      <c r="ED144" s="375"/>
      <c r="EF144" s="373"/>
      <c r="EG144" s="374"/>
      <c r="EH144" s="375"/>
      <c r="EI144" s="375"/>
      <c r="EK144" s="373"/>
      <c r="EL144" s="374"/>
      <c r="EM144" s="375"/>
      <c r="EN144" s="375"/>
      <c r="EP144" s="373"/>
      <c r="EQ144" s="374"/>
      <c r="ER144" s="375"/>
      <c r="ES144" s="375"/>
      <c r="EU144" s="373"/>
      <c r="EV144" s="374"/>
      <c r="EW144" s="375"/>
      <c r="EX144" s="375"/>
      <c r="EZ144" s="373"/>
      <c r="FA144" s="374"/>
      <c r="FB144" s="375"/>
      <c r="FC144" s="375"/>
      <c r="FE144" s="373"/>
      <c r="FF144" s="374"/>
      <c r="FG144" s="375"/>
      <c r="FH144" s="375"/>
      <c r="FJ144" s="373"/>
      <c r="FK144" s="374"/>
      <c r="FL144" s="375"/>
      <c r="FM144" s="375"/>
      <c r="FO144" s="373"/>
      <c r="FP144" s="374"/>
      <c r="FQ144" s="375"/>
      <c r="FR144" s="375"/>
      <c r="FT144" s="373"/>
      <c r="FU144" s="374"/>
      <c r="FV144" s="375"/>
      <c r="FW144" s="375"/>
      <c r="FY144" s="373"/>
      <c r="FZ144" s="374"/>
      <c r="GA144" s="375"/>
      <c r="GB144" s="375"/>
      <c r="GD144" s="373"/>
      <c r="GE144" s="374"/>
      <c r="GF144" s="375"/>
      <c r="GG144" s="375"/>
      <c r="GI144" s="373"/>
      <c r="GJ144" s="374"/>
      <c r="GK144" s="375"/>
      <c r="GL144" s="375"/>
      <c r="GN144" s="373"/>
      <c r="GO144" s="374"/>
      <c r="GP144" s="375"/>
      <c r="GQ144" s="375"/>
      <c r="GS144" s="373"/>
      <c r="GT144" s="374"/>
      <c r="GU144" s="375"/>
      <c r="GV144" s="375"/>
      <c r="GX144" s="373"/>
      <c r="GY144" s="374"/>
      <c r="GZ144" s="375"/>
      <c r="HA144" s="375"/>
      <c r="HC144" s="373"/>
      <c r="HD144" s="374"/>
      <c r="HE144" s="375"/>
      <c r="HF144" s="375"/>
      <c r="HH144" s="373"/>
      <c r="HI144" s="374"/>
      <c r="HJ144" s="375"/>
      <c r="HK144" s="375"/>
      <c r="HM144" s="373"/>
      <c r="HN144" s="374"/>
      <c r="HO144" s="375"/>
      <c r="HP144" s="375"/>
      <c r="HR144" s="373"/>
      <c r="HS144" s="374"/>
      <c r="HT144" s="375"/>
      <c r="HU144" s="375"/>
      <c r="HW144" s="373"/>
      <c r="HX144" s="374"/>
      <c r="HY144" s="375"/>
      <c r="HZ144" s="375"/>
      <c r="IB144" s="373"/>
      <c r="IC144" s="374"/>
      <c r="ID144" s="375"/>
      <c r="IE144" s="375"/>
      <c r="IG144" s="373"/>
      <c r="IH144" s="374"/>
      <c r="II144" s="375"/>
      <c r="IJ144" s="375"/>
      <c r="IL144" s="373"/>
      <c r="IM144" s="374"/>
      <c r="IN144" s="375"/>
      <c r="IO144" s="375"/>
      <c r="IQ144" s="373"/>
      <c r="IR144" s="374"/>
      <c r="IS144" s="375"/>
      <c r="IT144" s="375"/>
      <c r="IV144" s="373"/>
    </row>
    <row r="145" spans="1:256" s="376" customFormat="1" x14ac:dyDescent="0.2">
      <c r="A145" s="373"/>
      <c r="B145" s="374"/>
      <c r="C145" s="375"/>
      <c r="D145" s="375"/>
      <c r="F145" s="373"/>
      <c r="G145" s="374"/>
      <c r="H145" s="375"/>
      <c r="I145" s="375"/>
      <c r="K145" s="373">
        <v>143</v>
      </c>
      <c r="L145" s="374" t="s">
        <v>2648</v>
      </c>
      <c r="M145" s="375">
        <v>5.2631578947368425</v>
      </c>
      <c r="N145" s="375">
        <v>2.6315789473684209E-2</v>
      </c>
      <c r="P145" s="373"/>
      <c r="Q145" s="374"/>
      <c r="R145" s="375"/>
      <c r="S145" s="375"/>
      <c r="U145" s="373"/>
      <c r="V145" s="374"/>
      <c r="W145" s="375"/>
      <c r="X145" s="375"/>
      <c r="Z145" s="373"/>
      <c r="AA145" s="374"/>
      <c r="AB145" s="375"/>
      <c r="AC145" s="375"/>
      <c r="AE145" s="373"/>
      <c r="AF145" s="374"/>
      <c r="AG145" s="375"/>
      <c r="AH145" s="375"/>
      <c r="AJ145" s="373"/>
      <c r="AK145" s="374"/>
      <c r="AL145" s="375"/>
      <c r="AM145" s="375"/>
      <c r="AO145" s="373"/>
      <c r="AP145" s="374"/>
      <c r="AQ145" s="375"/>
      <c r="AR145" s="375"/>
      <c r="AT145" s="373"/>
      <c r="AU145" s="374"/>
      <c r="AV145" s="375"/>
      <c r="AW145" s="375"/>
      <c r="AY145" s="373"/>
      <c r="AZ145" s="374"/>
      <c r="BA145" s="375"/>
      <c r="BB145" s="375"/>
      <c r="BD145" s="373"/>
      <c r="BE145" s="374"/>
      <c r="BF145" s="375"/>
      <c r="BG145" s="375"/>
      <c r="BI145" s="373"/>
      <c r="BJ145" s="374"/>
      <c r="BK145" s="375"/>
      <c r="BL145" s="375"/>
      <c r="BN145" s="373"/>
      <c r="BO145" s="374"/>
      <c r="BP145" s="375"/>
      <c r="BQ145" s="375"/>
      <c r="BS145" s="373"/>
      <c r="BT145" s="374"/>
      <c r="BU145" s="375"/>
      <c r="BV145" s="375"/>
      <c r="BX145" s="373"/>
      <c r="BY145" s="374"/>
      <c r="BZ145" s="375"/>
      <c r="CA145" s="375"/>
      <c r="CC145" s="373"/>
      <c r="CD145" s="374"/>
      <c r="CE145" s="375"/>
      <c r="CF145" s="375"/>
      <c r="CH145" s="373"/>
      <c r="CI145" s="374"/>
      <c r="CJ145" s="375"/>
      <c r="CK145" s="375"/>
      <c r="CM145" s="373"/>
      <c r="CN145" s="374"/>
      <c r="CO145" s="375"/>
      <c r="CP145" s="375"/>
      <c r="CR145" s="373"/>
      <c r="CS145" s="374"/>
      <c r="CT145" s="375"/>
      <c r="CU145" s="375"/>
      <c r="CW145" s="373"/>
      <c r="CX145" s="374"/>
      <c r="CY145" s="375"/>
      <c r="CZ145" s="375"/>
      <c r="DB145" s="373"/>
      <c r="DC145" s="374"/>
      <c r="DD145" s="375"/>
      <c r="DE145" s="375"/>
      <c r="DG145" s="373"/>
      <c r="DH145" s="374"/>
      <c r="DI145" s="375"/>
      <c r="DJ145" s="375"/>
      <c r="DL145" s="373"/>
      <c r="DM145" s="374"/>
      <c r="DN145" s="375"/>
      <c r="DO145" s="375"/>
      <c r="DQ145" s="373"/>
      <c r="DR145" s="374"/>
      <c r="DS145" s="375"/>
      <c r="DT145" s="375"/>
      <c r="DV145" s="373"/>
      <c r="DW145" s="374"/>
      <c r="DX145" s="375"/>
      <c r="DY145" s="375"/>
      <c r="EA145" s="373"/>
      <c r="EB145" s="374"/>
      <c r="EC145" s="375"/>
      <c r="ED145" s="375"/>
      <c r="EF145" s="373"/>
      <c r="EG145" s="374"/>
      <c r="EH145" s="375"/>
      <c r="EI145" s="375"/>
      <c r="EK145" s="373"/>
      <c r="EL145" s="374"/>
      <c r="EM145" s="375"/>
      <c r="EN145" s="375"/>
      <c r="EP145" s="373"/>
      <c r="EQ145" s="374"/>
      <c r="ER145" s="375"/>
      <c r="ES145" s="375"/>
      <c r="EU145" s="373"/>
      <c r="EV145" s="374"/>
      <c r="EW145" s="375"/>
      <c r="EX145" s="375"/>
      <c r="EZ145" s="373"/>
      <c r="FA145" s="374"/>
      <c r="FB145" s="375"/>
      <c r="FC145" s="375"/>
      <c r="FE145" s="373"/>
      <c r="FF145" s="374"/>
      <c r="FG145" s="375"/>
      <c r="FH145" s="375"/>
      <c r="FJ145" s="373"/>
      <c r="FK145" s="374"/>
      <c r="FL145" s="375"/>
      <c r="FM145" s="375"/>
      <c r="FO145" s="373"/>
      <c r="FP145" s="374"/>
      <c r="FQ145" s="375"/>
      <c r="FR145" s="375"/>
      <c r="FT145" s="373"/>
      <c r="FU145" s="374"/>
      <c r="FV145" s="375"/>
      <c r="FW145" s="375"/>
      <c r="FY145" s="373"/>
      <c r="FZ145" s="374"/>
      <c r="GA145" s="375"/>
      <c r="GB145" s="375"/>
      <c r="GD145" s="373"/>
      <c r="GE145" s="374"/>
      <c r="GF145" s="375"/>
      <c r="GG145" s="375"/>
      <c r="GI145" s="373"/>
      <c r="GJ145" s="374"/>
      <c r="GK145" s="375"/>
      <c r="GL145" s="375"/>
      <c r="GN145" s="373"/>
      <c r="GO145" s="374"/>
      <c r="GP145" s="375"/>
      <c r="GQ145" s="375"/>
      <c r="GS145" s="373"/>
      <c r="GT145" s="374"/>
      <c r="GU145" s="375"/>
      <c r="GV145" s="375"/>
      <c r="GX145" s="373"/>
      <c r="GY145" s="374"/>
      <c r="GZ145" s="375"/>
      <c r="HA145" s="375"/>
      <c r="HC145" s="373"/>
      <c r="HD145" s="374"/>
      <c r="HE145" s="375"/>
      <c r="HF145" s="375"/>
      <c r="HH145" s="373"/>
      <c r="HI145" s="374"/>
      <c r="HJ145" s="375"/>
      <c r="HK145" s="375"/>
      <c r="HM145" s="373"/>
      <c r="HN145" s="374"/>
      <c r="HO145" s="375"/>
      <c r="HP145" s="375"/>
      <c r="HR145" s="373"/>
      <c r="HS145" s="374"/>
      <c r="HT145" s="375"/>
      <c r="HU145" s="375"/>
      <c r="HW145" s="373"/>
      <c r="HX145" s="374"/>
      <c r="HY145" s="375"/>
      <c r="HZ145" s="375"/>
      <c r="IB145" s="373"/>
      <c r="IC145" s="374"/>
      <c r="ID145" s="375"/>
      <c r="IE145" s="375"/>
      <c r="IG145" s="373"/>
      <c r="IH145" s="374"/>
      <c r="II145" s="375"/>
      <c r="IJ145" s="375"/>
      <c r="IL145" s="373"/>
      <c r="IM145" s="374"/>
      <c r="IN145" s="375"/>
      <c r="IO145" s="375"/>
      <c r="IQ145" s="373"/>
      <c r="IR145" s="374"/>
      <c r="IS145" s="375"/>
      <c r="IT145" s="375"/>
      <c r="IV145" s="373"/>
    </row>
    <row r="146" spans="1:256" s="376" customFormat="1" x14ac:dyDescent="0.2">
      <c r="A146" s="373"/>
      <c r="B146" s="374"/>
      <c r="C146" s="375"/>
      <c r="D146" s="375"/>
      <c r="F146" s="373"/>
      <c r="G146" s="374"/>
      <c r="H146" s="375"/>
      <c r="I146" s="375"/>
      <c r="K146" s="373">
        <v>144</v>
      </c>
      <c r="L146" s="374" t="s">
        <v>329</v>
      </c>
      <c r="M146" s="375">
        <v>5.2631578947368425</v>
      </c>
      <c r="N146" s="375">
        <v>2.6315789473684209E-2</v>
      </c>
      <c r="P146" s="373"/>
      <c r="Q146" s="374"/>
      <c r="R146" s="375"/>
      <c r="S146" s="375"/>
      <c r="U146" s="373"/>
      <c r="V146" s="374"/>
      <c r="W146" s="375"/>
      <c r="X146" s="375"/>
      <c r="Z146" s="373"/>
      <c r="AA146" s="374"/>
      <c r="AB146" s="375"/>
      <c r="AC146" s="375"/>
      <c r="AE146" s="373"/>
      <c r="AF146" s="374"/>
      <c r="AG146" s="375"/>
      <c r="AH146" s="375"/>
      <c r="AJ146" s="373"/>
      <c r="AK146" s="374"/>
      <c r="AL146" s="375"/>
      <c r="AM146" s="375"/>
      <c r="AO146" s="373"/>
      <c r="AP146" s="374"/>
      <c r="AQ146" s="375"/>
      <c r="AR146" s="375"/>
      <c r="AT146" s="373"/>
      <c r="AU146" s="374"/>
      <c r="AV146" s="375"/>
      <c r="AW146" s="375"/>
      <c r="AY146" s="373"/>
      <c r="AZ146" s="374"/>
      <c r="BA146" s="375"/>
      <c r="BB146" s="375"/>
      <c r="BD146" s="373"/>
      <c r="BE146" s="374"/>
      <c r="BF146" s="375"/>
      <c r="BG146" s="375"/>
      <c r="BI146" s="373"/>
      <c r="BJ146" s="374"/>
      <c r="BK146" s="375"/>
      <c r="BL146" s="375"/>
      <c r="BN146" s="373"/>
      <c r="BO146" s="374"/>
      <c r="BP146" s="375"/>
      <c r="BQ146" s="375"/>
      <c r="BS146" s="373"/>
      <c r="BT146" s="374"/>
      <c r="BU146" s="375"/>
      <c r="BV146" s="375"/>
      <c r="BX146" s="373"/>
      <c r="BY146" s="374"/>
      <c r="BZ146" s="375"/>
      <c r="CA146" s="375"/>
      <c r="CC146" s="373"/>
      <c r="CD146" s="374"/>
      <c r="CE146" s="375"/>
      <c r="CF146" s="375"/>
      <c r="CH146" s="373"/>
      <c r="CI146" s="374"/>
      <c r="CJ146" s="375"/>
      <c r="CK146" s="375"/>
      <c r="CM146" s="373"/>
      <c r="CN146" s="374"/>
      <c r="CO146" s="375"/>
      <c r="CP146" s="375"/>
      <c r="CR146" s="373"/>
      <c r="CS146" s="374"/>
      <c r="CT146" s="375"/>
      <c r="CU146" s="375"/>
      <c r="CW146" s="373"/>
      <c r="CX146" s="374"/>
      <c r="CY146" s="375"/>
      <c r="CZ146" s="375"/>
      <c r="DB146" s="373"/>
      <c r="DC146" s="374"/>
      <c r="DD146" s="375"/>
      <c r="DE146" s="375"/>
      <c r="DG146" s="373"/>
      <c r="DH146" s="374"/>
      <c r="DI146" s="375"/>
      <c r="DJ146" s="375"/>
      <c r="DL146" s="373"/>
      <c r="DM146" s="374"/>
      <c r="DN146" s="375"/>
      <c r="DO146" s="375"/>
      <c r="DQ146" s="373"/>
      <c r="DR146" s="374"/>
      <c r="DS146" s="375"/>
      <c r="DT146" s="375"/>
      <c r="DV146" s="373"/>
      <c r="DW146" s="374"/>
      <c r="DX146" s="375"/>
      <c r="DY146" s="375"/>
      <c r="EA146" s="373"/>
      <c r="EB146" s="374"/>
      <c r="EC146" s="375"/>
      <c r="ED146" s="375"/>
      <c r="EF146" s="373"/>
      <c r="EG146" s="374"/>
      <c r="EH146" s="375"/>
      <c r="EI146" s="375"/>
      <c r="EK146" s="373"/>
      <c r="EL146" s="374"/>
      <c r="EM146" s="375"/>
      <c r="EN146" s="375"/>
      <c r="EP146" s="373"/>
      <c r="EQ146" s="374"/>
      <c r="ER146" s="375"/>
      <c r="ES146" s="375"/>
      <c r="EU146" s="373"/>
      <c r="EV146" s="374"/>
      <c r="EW146" s="375"/>
      <c r="EX146" s="375"/>
      <c r="EZ146" s="373"/>
      <c r="FA146" s="374"/>
      <c r="FB146" s="375"/>
      <c r="FC146" s="375"/>
      <c r="FE146" s="373"/>
      <c r="FF146" s="374"/>
      <c r="FG146" s="375"/>
      <c r="FH146" s="375"/>
      <c r="FJ146" s="373"/>
      <c r="FK146" s="374"/>
      <c r="FL146" s="375"/>
      <c r="FM146" s="375"/>
      <c r="FO146" s="373"/>
      <c r="FP146" s="374"/>
      <c r="FQ146" s="375"/>
      <c r="FR146" s="375"/>
      <c r="FT146" s="373"/>
      <c r="FU146" s="374"/>
      <c r="FV146" s="375"/>
      <c r="FW146" s="375"/>
      <c r="FY146" s="373"/>
      <c r="FZ146" s="374"/>
      <c r="GA146" s="375"/>
      <c r="GB146" s="375"/>
      <c r="GD146" s="373"/>
      <c r="GE146" s="374"/>
      <c r="GF146" s="375"/>
      <c r="GG146" s="375"/>
      <c r="GI146" s="373"/>
      <c r="GJ146" s="374"/>
      <c r="GK146" s="375"/>
      <c r="GL146" s="375"/>
      <c r="GN146" s="373"/>
      <c r="GO146" s="374"/>
      <c r="GP146" s="375"/>
      <c r="GQ146" s="375"/>
      <c r="GS146" s="373"/>
      <c r="GT146" s="374"/>
      <c r="GU146" s="375"/>
      <c r="GV146" s="375"/>
      <c r="GX146" s="373"/>
      <c r="GY146" s="374"/>
      <c r="GZ146" s="375"/>
      <c r="HA146" s="375"/>
      <c r="HC146" s="373"/>
      <c r="HD146" s="374"/>
      <c r="HE146" s="375"/>
      <c r="HF146" s="375"/>
      <c r="HH146" s="373"/>
      <c r="HI146" s="374"/>
      <c r="HJ146" s="375"/>
      <c r="HK146" s="375"/>
      <c r="HM146" s="373"/>
      <c r="HN146" s="374"/>
      <c r="HO146" s="375"/>
      <c r="HP146" s="375"/>
      <c r="HR146" s="373"/>
      <c r="HS146" s="374"/>
      <c r="HT146" s="375"/>
      <c r="HU146" s="375"/>
      <c r="HW146" s="373"/>
      <c r="HX146" s="374"/>
      <c r="HY146" s="375"/>
      <c r="HZ146" s="375"/>
      <c r="IB146" s="373"/>
      <c r="IC146" s="374"/>
      <c r="ID146" s="375"/>
      <c r="IE146" s="375"/>
      <c r="IG146" s="373"/>
      <c r="IH146" s="374"/>
      <c r="II146" s="375"/>
      <c r="IJ146" s="375"/>
      <c r="IL146" s="373"/>
      <c r="IM146" s="374"/>
      <c r="IN146" s="375"/>
      <c r="IO146" s="375"/>
      <c r="IQ146" s="373"/>
      <c r="IR146" s="374"/>
      <c r="IS146" s="375"/>
      <c r="IT146" s="375"/>
      <c r="IV146" s="373"/>
    </row>
    <row r="147" spans="1:256" s="376" customFormat="1" x14ac:dyDescent="0.2">
      <c r="A147" s="373"/>
      <c r="B147" s="374"/>
      <c r="C147" s="375"/>
      <c r="D147" s="375"/>
      <c r="F147" s="373"/>
      <c r="G147" s="374"/>
      <c r="H147" s="375"/>
      <c r="I147" s="375"/>
      <c r="K147" s="373">
        <v>145</v>
      </c>
      <c r="L147" s="374" t="s">
        <v>433</v>
      </c>
      <c r="M147" s="375">
        <v>5.2631578947368425</v>
      </c>
      <c r="N147" s="375">
        <v>2.6315789473684209E-2</v>
      </c>
      <c r="P147" s="373"/>
      <c r="Q147" s="374"/>
      <c r="R147" s="375"/>
      <c r="S147" s="375"/>
      <c r="U147" s="373"/>
      <c r="V147" s="374"/>
      <c r="W147" s="375"/>
      <c r="X147" s="375"/>
      <c r="Z147" s="373"/>
      <c r="AA147" s="374"/>
      <c r="AB147" s="375"/>
      <c r="AC147" s="375"/>
      <c r="AE147" s="373"/>
      <c r="AF147" s="374"/>
      <c r="AG147" s="375"/>
      <c r="AH147" s="375"/>
      <c r="AJ147" s="373"/>
      <c r="AK147" s="374"/>
      <c r="AL147" s="375"/>
      <c r="AM147" s="375"/>
      <c r="AO147" s="373"/>
      <c r="AP147" s="374"/>
      <c r="AQ147" s="375"/>
      <c r="AR147" s="375"/>
      <c r="AT147" s="373"/>
      <c r="AU147" s="374"/>
      <c r="AV147" s="375"/>
      <c r="AW147" s="375"/>
      <c r="AY147" s="373"/>
      <c r="AZ147" s="374"/>
      <c r="BA147" s="375"/>
      <c r="BB147" s="375"/>
      <c r="BD147" s="373"/>
      <c r="BE147" s="374"/>
      <c r="BF147" s="375"/>
      <c r="BG147" s="375"/>
      <c r="BI147" s="373"/>
      <c r="BJ147" s="374"/>
      <c r="BK147" s="375"/>
      <c r="BL147" s="375"/>
      <c r="BN147" s="373"/>
      <c r="BO147" s="374"/>
      <c r="BP147" s="375"/>
      <c r="BQ147" s="375"/>
      <c r="BS147" s="373"/>
      <c r="BT147" s="374"/>
      <c r="BU147" s="375"/>
      <c r="BV147" s="375"/>
      <c r="BX147" s="373"/>
      <c r="BY147" s="374"/>
      <c r="BZ147" s="375"/>
      <c r="CA147" s="375"/>
      <c r="CC147" s="373"/>
      <c r="CD147" s="374"/>
      <c r="CE147" s="375"/>
      <c r="CF147" s="375"/>
      <c r="CH147" s="373"/>
      <c r="CI147" s="374"/>
      <c r="CJ147" s="375"/>
      <c r="CK147" s="375"/>
      <c r="CM147" s="373"/>
      <c r="CN147" s="374"/>
      <c r="CO147" s="375"/>
      <c r="CP147" s="375"/>
      <c r="CR147" s="373"/>
      <c r="CS147" s="374"/>
      <c r="CT147" s="375"/>
      <c r="CU147" s="375"/>
      <c r="CW147" s="373"/>
      <c r="CX147" s="374"/>
      <c r="CY147" s="375"/>
      <c r="CZ147" s="375"/>
      <c r="DB147" s="373"/>
      <c r="DC147" s="374"/>
      <c r="DD147" s="375"/>
      <c r="DE147" s="375"/>
      <c r="DG147" s="373"/>
      <c r="DH147" s="374"/>
      <c r="DI147" s="375"/>
      <c r="DJ147" s="375"/>
      <c r="DL147" s="373"/>
      <c r="DM147" s="374"/>
      <c r="DN147" s="375"/>
      <c r="DO147" s="375"/>
      <c r="DQ147" s="373"/>
      <c r="DR147" s="374"/>
      <c r="DS147" s="375"/>
      <c r="DT147" s="375"/>
      <c r="DV147" s="373"/>
      <c r="DW147" s="374"/>
      <c r="DX147" s="375"/>
      <c r="DY147" s="375"/>
      <c r="EA147" s="373"/>
      <c r="EB147" s="374"/>
      <c r="EC147" s="375"/>
      <c r="ED147" s="375"/>
      <c r="EF147" s="373"/>
      <c r="EG147" s="374"/>
      <c r="EH147" s="375"/>
      <c r="EI147" s="375"/>
      <c r="EK147" s="373"/>
      <c r="EL147" s="374"/>
      <c r="EM147" s="375"/>
      <c r="EN147" s="375"/>
      <c r="EP147" s="373"/>
      <c r="EQ147" s="374"/>
      <c r="ER147" s="375"/>
      <c r="ES147" s="375"/>
      <c r="EU147" s="373"/>
      <c r="EV147" s="374"/>
      <c r="EW147" s="375"/>
      <c r="EX147" s="375"/>
      <c r="EZ147" s="373"/>
      <c r="FA147" s="374"/>
      <c r="FB147" s="375"/>
      <c r="FC147" s="375"/>
      <c r="FE147" s="373"/>
      <c r="FF147" s="374"/>
      <c r="FG147" s="375"/>
      <c r="FH147" s="375"/>
      <c r="FJ147" s="373"/>
      <c r="FK147" s="374"/>
      <c r="FL147" s="375"/>
      <c r="FM147" s="375"/>
      <c r="FO147" s="373"/>
      <c r="FP147" s="374"/>
      <c r="FQ147" s="375"/>
      <c r="FR147" s="375"/>
      <c r="FT147" s="373"/>
      <c r="FU147" s="374"/>
      <c r="FV147" s="375"/>
      <c r="FW147" s="375"/>
      <c r="FY147" s="373"/>
      <c r="FZ147" s="374"/>
      <c r="GA147" s="375"/>
      <c r="GB147" s="375"/>
      <c r="GD147" s="373"/>
      <c r="GE147" s="374"/>
      <c r="GF147" s="375"/>
      <c r="GG147" s="375"/>
      <c r="GI147" s="373"/>
      <c r="GJ147" s="374"/>
      <c r="GK147" s="375"/>
      <c r="GL147" s="375"/>
      <c r="GN147" s="373"/>
      <c r="GO147" s="374"/>
      <c r="GP147" s="375"/>
      <c r="GQ147" s="375"/>
      <c r="GS147" s="373"/>
      <c r="GT147" s="374"/>
      <c r="GU147" s="375"/>
      <c r="GV147" s="375"/>
      <c r="GX147" s="373"/>
      <c r="GY147" s="374"/>
      <c r="GZ147" s="375"/>
      <c r="HA147" s="375"/>
      <c r="HC147" s="373"/>
      <c r="HD147" s="374"/>
      <c r="HE147" s="375"/>
      <c r="HF147" s="375"/>
      <c r="HH147" s="373"/>
      <c r="HI147" s="374"/>
      <c r="HJ147" s="375"/>
      <c r="HK147" s="375"/>
      <c r="HM147" s="373"/>
      <c r="HN147" s="374"/>
      <c r="HO147" s="375"/>
      <c r="HP147" s="375"/>
      <c r="HR147" s="373"/>
      <c r="HS147" s="374"/>
      <c r="HT147" s="375"/>
      <c r="HU147" s="375"/>
      <c r="HW147" s="373"/>
      <c r="HX147" s="374"/>
      <c r="HY147" s="375"/>
      <c r="HZ147" s="375"/>
      <c r="IB147" s="373"/>
      <c r="IC147" s="374"/>
      <c r="ID147" s="375"/>
      <c r="IE147" s="375"/>
      <c r="IG147" s="373"/>
      <c r="IH147" s="374"/>
      <c r="II147" s="375"/>
      <c r="IJ147" s="375"/>
      <c r="IL147" s="373"/>
      <c r="IM147" s="374"/>
      <c r="IN147" s="375"/>
      <c r="IO147" s="375"/>
      <c r="IQ147" s="373"/>
      <c r="IR147" s="374"/>
      <c r="IS147" s="375"/>
      <c r="IT147" s="375"/>
      <c r="IV147" s="373"/>
    </row>
    <row r="148" spans="1:256" s="376" customFormat="1" x14ac:dyDescent="0.2">
      <c r="A148" s="373"/>
      <c r="B148" s="374"/>
      <c r="C148" s="375"/>
      <c r="D148" s="375"/>
      <c r="F148" s="373"/>
      <c r="G148" s="374"/>
      <c r="H148" s="375"/>
      <c r="I148" s="375"/>
      <c r="K148" s="373">
        <v>146</v>
      </c>
      <c r="L148" s="374" t="s">
        <v>396</v>
      </c>
      <c r="M148" s="375">
        <v>5.2631578947368425</v>
      </c>
      <c r="N148" s="375">
        <v>2.6315789473684209E-2</v>
      </c>
      <c r="P148" s="373"/>
      <c r="Q148" s="374"/>
      <c r="R148" s="375"/>
      <c r="S148" s="375"/>
      <c r="U148" s="373"/>
      <c r="V148" s="374"/>
      <c r="W148" s="375"/>
      <c r="X148" s="375"/>
      <c r="Z148" s="373"/>
      <c r="AA148" s="374"/>
      <c r="AB148" s="375"/>
      <c r="AC148" s="375"/>
      <c r="AE148" s="373"/>
      <c r="AF148" s="374"/>
      <c r="AG148" s="375"/>
      <c r="AH148" s="375"/>
      <c r="AJ148" s="373"/>
      <c r="AK148" s="374"/>
      <c r="AL148" s="375"/>
      <c r="AM148" s="375"/>
      <c r="AO148" s="373"/>
      <c r="AP148" s="374"/>
      <c r="AQ148" s="375"/>
      <c r="AR148" s="375"/>
      <c r="AT148" s="373"/>
      <c r="AU148" s="374"/>
      <c r="AV148" s="375"/>
      <c r="AW148" s="375"/>
      <c r="AY148" s="373"/>
      <c r="AZ148" s="374"/>
      <c r="BA148" s="375"/>
      <c r="BB148" s="375"/>
      <c r="BD148" s="373"/>
      <c r="BE148" s="374"/>
      <c r="BF148" s="375"/>
      <c r="BG148" s="375"/>
      <c r="BI148" s="373"/>
      <c r="BJ148" s="374"/>
      <c r="BK148" s="375"/>
      <c r="BL148" s="375"/>
      <c r="BN148" s="373"/>
      <c r="BO148" s="374"/>
      <c r="BP148" s="375"/>
      <c r="BQ148" s="375"/>
      <c r="BS148" s="373"/>
      <c r="BT148" s="374"/>
      <c r="BU148" s="375"/>
      <c r="BV148" s="375"/>
      <c r="BX148" s="373"/>
      <c r="BY148" s="374"/>
      <c r="BZ148" s="375"/>
      <c r="CA148" s="375"/>
      <c r="CC148" s="373"/>
      <c r="CD148" s="374"/>
      <c r="CE148" s="375"/>
      <c r="CF148" s="375"/>
      <c r="CH148" s="373"/>
      <c r="CI148" s="374"/>
      <c r="CJ148" s="375"/>
      <c r="CK148" s="375"/>
      <c r="CM148" s="373"/>
      <c r="CN148" s="374"/>
      <c r="CO148" s="375"/>
      <c r="CP148" s="375"/>
      <c r="CR148" s="373"/>
      <c r="CS148" s="374"/>
      <c r="CT148" s="375"/>
      <c r="CU148" s="375"/>
      <c r="CW148" s="373"/>
      <c r="CX148" s="374"/>
      <c r="CY148" s="375"/>
      <c r="CZ148" s="375"/>
      <c r="DB148" s="373"/>
      <c r="DC148" s="374"/>
      <c r="DD148" s="375"/>
      <c r="DE148" s="375"/>
      <c r="DG148" s="373"/>
      <c r="DH148" s="374"/>
      <c r="DI148" s="375"/>
      <c r="DJ148" s="375"/>
      <c r="DL148" s="373"/>
      <c r="DM148" s="374"/>
      <c r="DN148" s="375"/>
      <c r="DO148" s="375"/>
      <c r="DQ148" s="373"/>
      <c r="DR148" s="374"/>
      <c r="DS148" s="375"/>
      <c r="DT148" s="375"/>
      <c r="DV148" s="373"/>
      <c r="DW148" s="374"/>
      <c r="DX148" s="375"/>
      <c r="DY148" s="375"/>
      <c r="EA148" s="373"/>
      <c r="EB148" s="374"/>
      <c r="EC148" s="375"/>
      <c r="ED148" s="375"/>
      <c r="EF148" s="373"/>
      <c r="EG148" s="374"/>
      <c r="EH148" s="375"/>
      <c r="EI148" s="375"/>
      <c r="EK148" s="373"/>
      <c r="EL148" s="374"/>
      <c r="EM148" s="375"/>
      <c r="EN148" s="375"/>
      <c r="EP148" s="373"/>
      <c r="EQ148" s="374"/>
      <c r="ER148" s="375"/>
      <c r="ES148" s="375"/>
      <c r="EU148" s="373"/>
      <c r="EV148" s="374"/>
      <c r="EW148" s="375"/>
      <c r="EX148" s="375"/>
      <c r="EZ148" s="373"/>
      <c r="FA148" s="374"/>
      <c r="FB148" s="375"/>
      <c r="FC148" s="375"/>
      <c r="FE148" s="373"/>
      <c r="FF148" s="374"/>
      <c r="FG148" s="375"/>
      <c r="FH148" s="375"/>
      <c r="FJ148" s="373"/>
      <c r="FK148" s="374"/>
      <c r="FL148" s="375"/>
      <c r="FM148" s="375"/>
      <c r="FO148" s="373"/>
      <c r="FP148" s="374"/>
      <c r="FQ148" s="375"/>
      <c r="FR148" s="375"/>
      <c r="FT148" s="373"/>
      <c r="FU148" s="374"/>
      <c r="FV148" s="375"/>
      <c r="FW148" s="375"/>
      <c r="FY148" s="373"/>
      <c r="FZ148" s="374"/>
      <c r="GA148" s="375"/>
      <c r="GB148" s="375"/>
      <c r="GD148" s="373"/>
      <c r="GE148" s="374"/>
      <c r="GF148" s="375"/>
      <c r="GG148" s="375"/>
      <c r="GI148" s="373"/>
      <c r="GJ148" s="374"/>
      <c r="GK148" s="375"/>
      <c r="GL148" s="375"/>
      <c r="GN148" s="373"/>
      <c r="GO148" s="374"/>
      <c r="GP148" s="375"/>
      <c r="GQ148" s="375"/>
      <c r="GS148" s="373"/>
      <c r="GT148" s="374"/>
      <c r="GU148" s="375"/>
      <c r="GV148" s="375"/>
      <c r="GX148" s="373"/>
      <c r="GY148" s="374"/>
      <c r="GZ148" s="375"/>
      <c r="HA148" s="375"/>
      <c r="HC148" s="373"/>
      <c r="HD148" s="374"/>
      <c r="HE148" s="375"/>
      <c r="HF148" s="375"/>
      <c r="HH148" s="373"/>
      <c r="HI148" s="374"/>
      <c r="HJ148" s="375"/>
      <c r="HK148" s="375"/>
      <c r="HM148" s="373"/>
      <c r="HN148" s="374"/>
      <c r="HO148" s="375"/>
      <c r="HP148" s="375"/>
      <c r="HR148" s="373"/>
      <c r="HS148" s="374"/>
      <c r="HT148" s="375"/>
      <c r="HU148" s="375"/>
      <c r="HW148" s="373"/>
      <c r="HX148" s="374"/>
      <c r="HY148" s="375"/>
      <c r="HZ148" s="375"/>
      <c r="IB148" s="373"/>
      <c r="IC148" s="374"/>
      <c r="ID148" s="375"/>
      <c r="IE148" s="375"/>
      <c r="IG148" s="373"/>
      <c r="IH148" s="374"/>
      <c r="II148" s="375"/>
      <c r="IJ148" s="375"/>
      <c r="IL148" s="373"/>
      <c r="IM148" s="374"/>
      <c r="IN148" s="375"/>
      <c r="IO148" s="375"/>
      <c r="IQ148" s="373"/>
      <c r="IR148" s="374"/>
      <c r="IS148" s="375"/>
      <c r="IT148" s="375"/>
      <c r="IV148" s="373"/>
    </row>
    <row r="149" spans="1:256" s="376" customFormat="1" x14ac:dyDescent="0.2">
      <c r="A149" s="373"/>
      <c r="B149" s="374"/>
      <c r="C149" s="375"/>
      <c r="D149" s="375"/>
      <c r="F149" s="373"/>
      <c r="G149" s="374"/>
      <c r="H149" s="375"/>
      <c r="I149" s="375"/>
      <c r="K149" s="373">
        <v>147</v>
      </c>
      <c r="L149" s="374" t="s">
        <v>450</v>
      </c>
      <c r="M149" s="375">
        <v>5.2631578947368425</v>
      </c>
      <c r="N149" s="375">
        <v>2.6315789473684209E-2</v>
      </c>
      <c r="P149" s="373"/>
      <c r="Q149" s="374"/>
      <c r="R149" s="375"/>
      <c r="S149" s="375"/>
      <c r="U149" s="373"/>
      <c r="V149" s="374"/>
      <c r="W149" s="375"/>
      <c r="X149" s="375"/>
      <c r="Z149" s="373"/>
      <c r="AA149" s="374"/>
      <c r="AB149" s="375"/>
      <c r="AC149" s="375"/>
      <c r="AE149" s="373"/>
      <c r="AF149" s="374"/>
      <c r="AG149" s="375"/>
      <c r="AH149" s="375"/>
      <c r="AJ149" s="373"/>
      <c r="AK149" s="374"/>
      <c r="AL149" s="375"/>
      <c r="AM149" s="375"/>
      <c r="AO149" s="373"/>
      <c r="AP149" s="374"/>
      <c r="AQ149" s="375"/>
      <c r="AR149" s="375"/>
      <c r="AT149" s="373"/>
      <c r="AU149" s="374"/>
      <c r="AV149" s="375"/>
      <c r="AW149" s="375"/>
      <c r="AY149" s="373"/>
      <c r="AZ149" s="374"/>
      <c r="BA149" s="375"/>
      <c r="BB149" s="375"/>
      <c r="BD149" s="373"/>
      <c r="BE149" s="374"/>
      <c r="BF149" s="375"/>
      <c r="BG149" s="375"/>
      <c r="BI149" s="373"/>
      <c r="BJ149" s="374"/>
      <c r="BK149" s="375"/>
      <c r="BL149" s="375"/>
      <c r="BN149" s="373"/>
      <c r="BO149" s="374"/>
      <c r="BP149" s="375"/>
      <c r="BQ149" s="375"/>
      <c r="BS149" s="373"/>
      <c r="BT149" s="374"/>
      <c r="BU149" s="375"/>
      <c r="BV149" s="375"/>
      <c r="BX149" s="373"/>
      <c r="BY149" s="374"/>
      <c r="BZ149" s="375"/>
      <c r="CA149" s="375"/>
      <c r="CC149" s="373"/>
      <c r="CD149" s="374"/>
      <c r="CE149" s="375"/>
      <c r="CF149" s="375"/>
      <c r="CH149" s="373"/>
      <c r="CI149" s="374"/>
      <c r="CJ149" s="375"/>
      <c r="CK149" s="375"/>
      <c r="CM149" s="373"/>
      <c r="CN149" s="374"/>
      <c r="CO149" s="375"/>
      <c r="CP149" s="375"/>
      <c r="CR149" s="373"/>
      <c r="CS149" s="374"/>
      <c r="CT149" s="375"/>
      <c r="CU149" s="375"/>
      <c r="CW149" s="373"/>
      <c r="CX149" s="374"/>
      <c r="CY149" s="375"/>
      <c r="CZ149" s="375"/>
      <c r="DB149" s="373"/>
      <c r="DC149" s="374"/>
      <c r="DD149" s="375"/>
      <c r="DE149" s="375"/>
      <c r="DG149" s="373"/>
      <c r="DH149" s="374"/>
      <c r="DI149" s="375"/>
      <c r="DJ149" s="375"/>
      <c r="DL149" s="373"/>
      <c r="DM149" s="374"/>
      <c r="DN149" s="375"/>
      <c r="DO149" s="375"/>
      <c r="DQ149" s="373"/>
      <c r="DR149" s="374"/>
      <c r="DS149" s="375"/>
      <c r="DT149" s="375"/>
      <c r="DV149" s="373"/>
      <c r="DW149" s="374"/>
      <c r="DX149" s="375"/>
      <c r="DY149" s="375"/>
      <c r="EA149" s="373"/>
      <c r="EB149" s="374"/>
      <c r="EC149" s="375"/>
      <c r="ED149" s="375"/>
      <c r="EF149" s="373"/>
      <c r="EG149" s="374"/>
      <c r="EH149" s="375"/>
      <c r="EI149" s="375"/>
      <c r="EK149" s="373"/>
      <c r="EL149" s="374"/>
      <c r="EM149" s="375"/>
      <c r="EN149" s="375"/>
      <c r="EP149" s="373"/>
      <c r="EQ149" s="374"/>
      <c r="ER149" s="375"/>
      <c r="ES149" s="375"/>
      <c r="EU149" s="373"/>
      <c r="EV149" s="374"/>
      <c r="EW149" s="375"/>
      <c r="EX149" s="375"/>
      <c r="EZ149" s="373"/>
      <c r="FA149" s="374"/>
      <c r="FB149" s="375"/>
      <c r="FC149" s="375"/>
      <c r="FE149" s="373"/>
      <c r="FF149" s="374"/>
      <c r="FG149" s="375"/>
      <c r="FH149" s="375"/>
      <c r="FJ149" s="373"/>
      <c r="FK149" s="374"/>
      <c r="FL149" s="375"/>
      <c r="FM149" s="375"/>
      <c r="FO149" s="373"/>
      <c r="FP149" s="374"/>
      <c r="FQ149" s="375"/>
      <c r="FR149" s="375"/>
      <c r="FT149" s="373"/>
      <c r="FU149" s="374"/>
      <c r="FV149" s="375"/>
      <c r="FW149" s="375"/>
      <c r="FY149" s="373"/>
      <c r="FZ149" s="374"/>
      <c r="GA149" s="375"/>
      <c r="GB149" s="375"/>
      <c r="GD149" s="373"/>
      <c r="GE149" s="374"/>
      <c r="GF149" s="375"/>
      <c r="GG149" s="375"/>
      <c r="GI149" s="373"/>
      <c r="GJ149" s="374"/>
      <c r="GK149" s="375"/>
      <c r="GL149" s="375"/>
      <c r="GN149" s="373"/>
      <c r="GO149" s="374"/>
      <c r="GP149" s="375"/>
      <c r="GQ149" s="375"/>
      <c r="GS149" s="373"/>
      <c r="GT149" s="374"/>
      <c r="GU149" s="375"/>
      <c r="GV149" s="375"/>
      <c r="GX149" s="373"/>
      <c r="GY149" s="374"/>
      <c r="GZ149" s="375"/>
      <c r="HA149" s="375"/>
      <c r="HC149" s="373"/>
      <c r="HD149" s="374"/>
      <c r="HE149" s="375"/>
      <c r="HF149" s="375"/>
      <c r="HH149" s="373"/>
      <c r="HI149" s="374"/>
      <c r="HJ149" s="375"/>
      <c r="HK149" s="375"/>
      <c r="HM149" s="373"/>
      <c r="HN149" s="374"/>
      <c r="HO149" s="375"/>
      <c r="HP149" s="375"/>
      <c r="HR149" s="373"/>
      <c r="HS149" s="374"/>
      <c r="HT149" s="375"/>
      <c r="HU149" s="375"/>
      <c r="HW149" s="373"/>
      <c r="HX149" s="374"/>
      <c r="HY149" s="375"/>
      <c r="HZ149" s="375"/>
      <c r="IB149" s="373"/>
      <c r="IC149" s="374"/>
      <c r="ID149" s="375"/>
      <c r="IE149" s="375"/>
      <c r="IG149" s="373"/>
      <c r="IH149" s="374"/>
      <c r="II149" s="375"/>
      <c r="IJ149" s="375"/>
      <c r="IL149" s="373"/>
      <c r="IM149" s="374"/>
      <c r="IN149" s="375"/>
      <c r="IO149" s="375"/>
      <c r="IQ149" s="373"/>
      <c r="IR149" s="374"/>
      <c r="IS149" s="375"/>
      <c r="IT149" s="375"/>
      <c r="IV149" s="373"/>
    </row>
    <row r="150" spans="1:256" s="376" customFormat="1" x14ac:dyDescent="0.2">
      <c r="A150" s="373"/>
      <c r="B150" s="374"/>
      <c r="C150" s="375"/>
      <c r="D150" s="375"/>
      <c r="F150" s="373"/>
      <c r="G150" s="374"/>
      <c r="H150" s="375"/>
      <c r="I150" s="375"/>
      <c r="K150" s="382">
        <v>148</v>
      </c>
      <c r="L150" s="383" t="s">
        <v>2716</v>
      </c>
      <c r="M150" s="384">
        <v>5.2631578947368425</v>
      </c>
      <c r="N150" s="384">
        <v>2.6315789473684209E-2</v>
      </c>
      <c r="P150" s="373"/>
      <c r="Q150" s="374"/>
      <c r="R150" s="375"/>
      <c r="S150" s="375"/>
      <c r="U150" s="373"/>
      <c r="V150" s="374"/>
      <c r="W150" s="375"/>
      <c r="X150" s="375"/>
      <c r="Z150" s="373"/>
      <c r="AA150" s="374"/>
      <c r="AB150" s="375"/>
      <c r="AC150" s="375"/>
      <c r="AE150" s="373"/>
      <c r="AF150" s="374"/>
      <c r="AG150" s="375"/>
      <c r="AH150" s="375"/>
      <c r="AJ150" s="373"/>
      <c r="AK150" s="374"/>
      <c r="AL150" s="375"/>
      <c r="AM150" s="375"/>
      <c r="AO150" s="373"/>
      <c r="AP150" s="374"/>
      <c r="AQ150" s="375"/>
      <c r="AR150" s="375"/>
      <c r="AT150" s="373"/>
      <c r="AU150" s="374"/>
      <c r="AV150" s="375"/>
      <c r="AW150" s="375"/>
      <c r="AY150" s="373"/>
      <c r="AZ150" s="374"/>
      <c r="BA150" s="375"/>
      <c r="BB150" s="375"/>
      <c r="BD150" s="373"/>
      <c r="BE150" s="374"/>
      <c r="BF150" s="375"/>
      <c r="BG150" s="375"/>
      <c r="BI150" s="373"/>
      <c r="BJ150" s="374"/>
      <c r="BK150" s="375"/>
      <c r="BL150" s="375"/>
      <c r="BN150" s="373"/>
      <c r="BO150" s="374"/>
      <c r="BP150" s="375"/>
      <c r="BQ150" s="375"/>
      <c r="BS150" s="373"/>
      <c r="BT150" s="374"/>
      <c r="BU150" s="375"/>
      <c r="BV150" s="375"/>
      <c r="BX150" s="373"/>
      <c r="BY150" s="374"/>
      <c r="BZ150" s="375"/>
      <c r="CA150" s="375"/>
      <c r="CC150" s="373"/>
      <c r="CD150" s="374"/>
      <c r="CE150" s="375"/>
      <c r="CF150" s="375"/>
      <c r="CH150" s="373"/>
      <c r="CI150" s="374"/>
      <c r="CJ150" s="375"/>
      <c r="CK150" s="375"/>
      <c r="CM150" s="373"/>
      <c r="CN150" s="374"/>
      <c r="CO150" s="375"/>
      <c r="CP150" s="375"/>
      <c r="CR150" s="373"/>
      <c r="CS150" s="374"/>
      <c r="CT150" s="375"/>
      <c r="CU150" s="375"/>
      <c r="CW150" s="373"/>
      <c r="CX150" s="374"/>
      <c r="CY150" s="375"/>
      <c r="CZ150" s="375"/>
      <c r="DB150" s="373"/>
      <c r="DC150" s="374"/>
      <c r="DD150" s="375"/>
      <c r="DE150" s="375"/>
      <c r="DG150" s="373"/>
      <c r="DH150" s="374"/>
      <c r="DI150" s="375"/>
      <c r="DJ150" s="375"/>
      <c r="DL150" s="373"/>
      <c r="DM150" s="374"/>
      <c r="DN150" s="375"/>
      <c r="DO150" s="375"/>
      <c r="DQ150" s="373"/>
      <c r="DR150" s="374"/>
      <c r="DS150" s="375"/>
      <c r="DT150" s="375"/>
      <c r="DV150" s="373"/>
      <c r="DW150" s="374"/>
      <c r="DX150" s="375"/>
      <c r="DY150" s="375"/>
      <c r="EA150" s="373"/>
      <c r="EB150" s="374"/>
      <c r="EC150" s="375"/>
      <c r="ED150" s="375"/>
      <c r="EF150" s="373"/>
      <c r="EG150" s="374"/>
      <c r="EH150" s="375"/>
      <c r="EI150" s="375"/>
      <c r="EK150" s="373"/>
      <c r="EL150" s="374"/>
      <c r="EM150" s="375"/>
      <c r="EN150" s="375"/>
      <c r="EP150" s="373"/>
      <c r="EQ150" s="374"/>
      <c r="ER150" s="375"/>
      <c r="ES150" s="375"/>
      <c r="EU150" s="373"/>
      <c r="EV150" s="374"/>
      <c r="EW150" s="375"/>
      <c r="EX150" s="375"/>
      <c r="EZ150" s="373"/>
      <c r="FA150" s="374"/>
      <c r="FB150" s="375"/>
      <c r="FC150" s="375"/>
      <c r="FE150" s="373"/>
      <c r="FF150" s="374"/>
      <c r="FG150" s="375"/>
      <c r="FH150" s="375"/>
      <c r="FJ150" s="373"/>
      <c r="FK150" s="374"/>
      <c r="FL150" s="375"/>
      <c r="FM150" s="375"/>
      <c r="FO150" s="373"/>
      <c r="FP150" s="374"/>
      <c r="FQ150" s="375"/>
      <c r="FR150" s="375"/>
      <c r="FT150" s="373"/>
      <c r="FU150" s="374"/>
      <c r="FV150" s="375"/>
      <c r="FW150" s="375"/>
      <c r="FY150" s="373"/>
      <c r="FZ150" s="374"/>
      <c r="GA150" s="375"/>
      <c r="GB150" s="375"/>
      <c r="GD150" s="373"/>
      <c r="GE150" s="374"/>
      <c r="GF150" s="375"/>
      <c r="GG150" s="375"/>
      <c r="GI150" s="373"/>
      <c r="GJ150" s="374"/>
      <c r="GK150" s="375"/>
      <c r="GL150" s="375"/>
      <c r="GN150" s="373"/>
      <c r="GO150" s="374"/>
      <c r="GP150" s="375"/>
      <c r="GQ150" s="375"/>
      <c r="GS150" s="373"/>
      <c r="GT150" s="374"/>
      <c r="GU150" s="375"/>
      <c r="GV150" s="375"/>
      <c r="GX150" s="373"/>
      <c r="GY150" s="374"/>
      <c r="GZ150" s="375"/>
      <c r="HA150" s="375"/>
      <c r="HC150" s="373"/>
      <c r="HD150" s="374"/>
      <c r="HE150" s="375"/>
      <c r="HF150" s="375"/>
      <c r="HH150" s="373"/>
      <c r="HI150" s="374"/>
      <c r="HJ150" s="375"/>
      <c r="HK150" s="375"/>
      <c r="HM150" s="373"/>
      <c r="HN150" s="374"/>
      <c r="HO150" s="375"/>
      <c r="HP150" s="375"/>
      <c r="HR150" s="373"/>
      <c r="HS150" s="374"/>
      <c r="HT150" s="375"/>
      <c r="HU150" s="375"/>
      <c r="HW150" s="373"/>
      <c r="HX150" s="374"/>
      <c r="HY150" s="375"/>
      <c r="HZ150" s="375"/>
      <c r="IB150" s="373"/>
      <c r="IC150" s="374"/>
      <c r="ID150" s="375"/>
      <c r="IE150" s="375"/>
      <c r="IG150" s="373"/>
      <c r="IH150" s="374"/>
      <c r="II150" s="375"/>
      <c r="IJ150" s="375"/>
      <c r="IL150" s="373"/>
      <c r="IM150" s="374"/>
      <c r="IN150" s="375"/>
      <c r="IO150" s="375"/>
      <c r="IQ150" s="373"/>
      <c r="IR150" s="374"/>
      <c r="IS150" s="375"/>
      <c r="IT150" s="375"/>
      <c r="IV150" s="373"/>
    </row>
    <row r="151" spans="1:256" s="376" customFormat="1" x14ac:dyDescent="0.2">
      <c r="A151" s="373"/>
      <c r="B151" s="374"/>
      <c r="C151" s="375"/>
      <c r="D151" s="375"/>
      <c r="F151" s="373"/>
      <c r="G151" s="374"/>
      <c r="H151" s="375"/>
      <c r="I151" s="375"/>
      <c r="K151" s="373">
        <v>149</v>
      </c>
      <c r="L151" s="374" t="s">
        <v>2659</v>
      </c>
      <c r="M151" s="375">
        <v>5.2631578947368425</v>
      </c>
      <c r="N151" s="375">
        <v>2.6315789473684209E-2</v>
      </c>
      <c r="P151" s="373"/>
      <c r="Q151" s="374"/>
      <c r="R151" s="375"/>
      <c r="S151" s="375"/>
      <c r="U151" s="373"/>
      <c r="V151" s="374"/>
      <c r="W151" s="375"/>
      <c r="X151" s="375"/>
      <c r="Z151" s="373"/>
      <c r="AA151" s="374"/>
      <c r="AB151" s="375"/>
      <c r="AC151" s="375"/>
      <c r="AE151" s="373"/>
      <c r="AF151" s="374"/>
      <c r="AG151" s="375"/>
      <c r="AH151" s="375"/>
      <c r="AJ151" s="373"/>
      <c r="AK151" s="374"/>
      <c r="AL151" s="375"/>
      <c r="AM151" s="375"/>
      <c r="AO151" s="373"/>
      <c r="AP151" s="374"/>
      <c r="AQ151" s="375"/>
      <c r="AR151" s="375"/>
      <c r="AT151" s="373"/>
      <c r="AU151" s="374"/>
      <c r="AV151" s="375"/>
      <c r="AW151" s="375"/>
      <c r="AY151" s="373"/>
      <c r="AZ151" s="374"/>
      <c r="BA151" s="375"/>
      <c r="BB151" s="375"/>
      <c r="BD151" s="373"/>
      <c r="BE151" s="374"/>
      <c r="BF151" s="375"/>
      <c r="BG151" s="375"/>
      <c r="BI151" s="373"/>
      <c r="BJ151" s="374"/>
      <c r="BK151" s="375"/>
      <c r="BL151" s="375"/>
      <c r="BN151" s="373"/>
      <c r="BO151" s="374"/>
      <c r="BP151" s="375"/>
      <c r="BQ151" s="375"/>
      <c r="BS151" s="373"/>
      <c r="BT151" s="374"/>
      <c r="BU151" s="375"/>
      <c r="BV151" s="375"/>
      <c r="BX151" s="373"/>
      <c r="BY151" s="374"/>
      <c r="BZ151" s="375"/>
      <c r="CA151" s="375"/>
      <c r="CC151" s="373"/>
      <c r="CD151" s="374"/>
      <c r="CE151" s="375"/>
      <c r="CF151" s="375"/>
      <c r="CH151" s="373"/>
      <c r="CI151" s="374"/>
      <c r="CJ151" s="375"/>
      <c r="CK151" s="375"/>
      <c r="CM151" s="373"/>
      <c r="CN151" s="374"/>
      <c r="CO151" s="375"/>
      <c r="CP151" s="375"/>
      <c r="CR151" s="373"/>
      <c r="CS151" s="374"/>
      <c r="CT151" s="375"/>
      <c r="CU151" s="375"/>
      <c r="CW151" s="373"/>
      <c r="CX151" s="374"/>
      <c r="CY151" s="375"/>
      <c r="CZ151" s="375"/>
      <c r="DB151" s="373"/>
      <c r="DC151" s="374"/>
      <c r="DD151" s="375"/>
      <c r="DE151" s="375"/>
      <c r="DG151" s="373"/>
      <c r="DH151" s="374"/>
      <c r="DI151" s="375"/>
      <c r="DJ151" s="375"/>
      <c r="DL151" s="373"/>
      <c r="DM151" s="374"/>
      <c r="DN151" s="375"/>
      <c r="DO151" s="375"/>
      <c r="DQ151" s="373"/>
      <c r="DR151" s="374"/>
      <c r="DS151" s="375"/>
      <c r="DT151" s="375"/>
      <c r="DV151" s="373"/>
      <c r="DW151" s="374"/>
      <c r="DX151" s="375"/>
      <c r="DY151" s="375"/>
      <c r="EA151" s="373"/>
      <c r="EB151" s="374"/>
      <c r="EC151" s="375"/>
      <c r="ED151" s="375"/>
      <c r="EF151" s="373"/>
      <c r="EG151" s="374"/>
      <c r="EH151" s="375"/>
      <c r="EI151" s="375"/>
      <c r="EK151" s="373"/>
      <c r="EL151" s="374"/>
      <c r="EM151" s="375"/>
      <c r="EN151" s="375"/>
      <c r="EP151" s="373"/>
      <c r="EQ151" s="374"/>
      <c r="ER151" s="375"/>
      <c r="ES151" s="375"/>
      <c r="EU151" s="373"/>
      <c r="EV151" s="374"/>
      <c r="EW151" s="375"/>
      <c r="EX151" s="375"/>
      <c r="EZ151" s="373"/>
      <c r="FA151" s="374"/>
      <c r="FB151" s="375"/>
      <c r="FC151" s="375"/>
      <c r="FE151" s="373"/>
      <c r="FF151" s="374"/>
      <c r="FG151" s="375"/>
      <c r="FH151" s="375"/>
      <c r="FJ151" s="373"/>
      <c r="FK151" s="374"/>
      <c r="FL151" s="375"/>
      <c r="FM151" s="375"/>
      <c r="FO151" s="373"/>
      <c r="FP151" s="374"/>
      <c r="FQ151" s="375"/>
      <c r="FR151" s="375"/>
      <c r="FT151" s="373"/>
      <c r="FU151" s="374"/>
      <c r="FV151" s="375"/>
      <c r="FW151" s="375"/>
      <c r="FY151" s="373"/>
      <c r="FZ151" s="374"/>
      <c r="GA151" s="375"/>
      <c r="GB151" s="375"/>
      <c r="GD151" s="373"/>
      <c r="GE151" s="374"/>
      <c r="GF151" s="375"/>
      <c r="GG151" s="375"/>
      <c r="GI151" s="373"/>
      <c r="GJ151" s="374"/>
      <c r="GK151" s="375"/>
      <c r="GL151" s="375"/>
      <c r="GN151" s="373"/>
      <c r="GO151" s="374"/>
      <c r="GP151" s="375"/>
      <c r="GQ151" s="375"/>
      <c r="GS151" s="373"/>
      <c r="GT151" s="374"/>
      <c r="GU151" s="375"/>
      <c r="GV151" s="375"/>
      <c r="GX151" s="373"/>
      <c r="GY151" s="374"/>
      <c r="GZ151" s="375"/>
      <c r="HA151" s="375"/>
      <c r="HC151" s="373"/>
      <c r="HD151" s="374"/>
      <c r="HE151" s="375"/>
      <c r="HF151" s="375"/>
      <c r="HH151" s="373"/>
      <c r="HI151" s="374"/>
      <c r="HJ151" s="375"/>
      <c r="HK151" s="375"/>
      <c r="HM151" s="373"/>
      <c r="HN151" s="374"/>
      <c r="HO151" s="375"/>
      <c r="HP151" s="375"/>
      <c r="HR151" s="373"/>
      <c r="HS151" s="374"/>
      <c r="HT151" s="375"/>
      <c r="HU151" s="375"/>
      <c r="HW151" s="373"/>
      <c r="HX151" s="374"/>
      <c r="HY151" s="375"/>
      <c r="HZ151" s="375"/>
      <c r="IB151" s="373"/>
      <c r="IC151" s="374"/>
      <c r="ID151" s="375"/>
      <c r="IE151" s="375"/>
      <c r="IG151" s="373"/>
      <c r="IH151" s="374"/>
      <c r="II151" s="375"/>
      <c r="IJ151" s="375"/>
      <c r="IL151" s="373"/>
      <c r="IM151" s="374"/>
      <c r="IN151" s="375"/>
      <c r="IO151" s="375"/>
      <c r="IQ151" s="373"/>
      <c r="IR151" s="374"/>
      <c r="IS151" s="375"/>
      <c r="IT151" s="375"/>
      <c r="IV151" s="373"/>
    </row>
    <row r="152" spans="1:256" s="376" customFormat="1" x14ac:dyDescent="0.2">
      <c r="A152" s="373"/>
      <c r="B152" s="374"/>
      <c r="C152" s="375"/>
      <c r="D152" s="375"/>
      <c r="F152" s="373"/>
      <c r="G152" s="374"/>
      <c r="H152" s="375"/>
      <c r="I152" s="375"/>
      <c r="K152" s="373">
        <v>150</v>
      </c>
      <c r="L152" s="374" t="s">
        <v>2622</v>
      </c>
      <c r="M152" s="375">
        <v>5.2631578947368425</v>
      </c>
      <c r="N152" s="375">
        <v>2.6315789473684209E-2</v>
      </c>
      <c r="P152" s="373"/>
      <c r="Q152" s="374"/>
      <c r="R152" s="375"/>
      <c r="S152" s="375"/>
      <c r="U152" s="373"/>
      <c r="V152" s="374"/>
      <c r="W152" s="375"/>
      <c r="X152" s="375"/>
      <c r="Z152" s="373"/>
      <c r="AA152" s="374"/>
      <c r="AB152" s="375"/>
      <c r="AC152" s="375"/>
      <c r="AE152" s="373"/>
      <c r="AF152" s="374"/>
      <c r="AG152" s="375"/>
      <c r="AH152" s="375"/>
      <c r="AJ152" s="373"/>
      <c r="AK152" s="374"/>
      <c r="AL152" s="375"/>
      <c r="AM152" s="375"/>
      <c r="AO152" s="373"/>
      <c r="AP152" s="374"/>
      <c r="AQ152" s="375"/>
      <c r="AR152" s="375"/>
      <c r="AT152" s="373"/>
      <c r="AU152" s="374"/>
      <c r="AV152" s="375"/>
      <c r="AW152" s="375"/>
      <c r="AY152" s="373"/>
      <c r="AZ152" s="374"/>
      <c r="BA152" s="375"/>
      <c r="BB152" s="375"/>
      <c r="BD152" s="373"/>
      <c r="BE152" s="374"/>
      <c r="BF152" s="375"/>
      <c r="BG152" s="375"/>
      <c r="BI152" s="373"/>
      <c r="BJ152" s="374"/>
      <c r="BK152" s="375"/>
      <c r="BL152" s="375"/>
      <c r="BN152" s="373"/>
      <c r="BO152" s="374"/>
      <c r="BP152" s="375"/>
      <c r="BQ152" s="375"/>
      <c r="BS152" s="373"/>
      <c r="BT152" s="374"/>
      <c r="BU152" s="375"/>
      <c r="BV152" s="375"/>
      <c r="BX152" s="373"/>
      <c r="BY152" s="374"/>
      <c r="BZ152" s="375"/>
      <c r="CA152" s="375"/>
      <c r="CC152" s="373"/>
      <c r="CD152" s="374"/>
      <c r="CE152" s="375"/>
      <c r="CF152" s="375"/>
      <c r="CH152" s="373"/>
      <c r="CI152" s="374"/>
      <c r="CJ152" s="375"/>
      <c r="CK152" s="375"/>
      <c r="CM152" s="373"/>
      <c r="CN152" s="374"/>
      <c r="CO152" s="375"/>
      <c r="CP152" s="375"/>
      <c r="CR152" s="373"/>
      <c r="CS152" s="374"/>
      <c r="CT152" s="375"/>
      <c r="CU152" s="375"/>
      <c r="CW152" s="373"/>
      <c r="CX152" s="374"/>
      <c r="CY152" s="375"/>
      <c r="CZ152" s="375"/>
      <c r="DB152" s="373"/>
      <c r="DC152" s="374"/>
      <c r="DD152" s="375"/>
      <c r="DE152" s="375"/>
      <c r="DG152" s="373"/>
      <c r="DH152" s="374"/>
      <c r="DI152" s="375"/>
      <c r="DJ152" s="375"/>
      <c r="DL152" s="373"/>
      <c r="DM152" s="374"/>
      <c r="DN152" s="375"/>
      <c r="DO152" s="375"/>
      <c r="DQ152" s="373"/>
      <c r="DR152" s="374"/>
      <c r="DS152" s="375"/>
      <c r="DT152" s="375"/>
      <c r="DV152" s="373"/>
      <c r="DW152" s="374"/>
      <c r="DX152" s="375"/>
      <c r="DY152" s="375"/>
      <c r="EA152" s="373"/>
      <c r="EB152" s="374"/>
      <c r="EC152" s="375"/>
      <c r="ED152" s="375"/>
      <c r="EF152" s="373"/>
      <c r="EG152" s="374"/>
      <c r="EH152" s="375"/>
      <c r="EI152" s="375"/>
      <c r="EK152" s="373"/>
      <c r="EL152" s="374"/>
      <c r="EM152" s="375"/>
      <c r="EN152" s="375"/>
      <c r="EP152" s="373"/>
      <c r="EQ152" s="374"/>
      <c r="ER152" s="375"/>
      <c r="ES152" s="375"/>
      <c r="EU152" s="373"/>
      <c r="EV152" s="374"/>
      <c r="EW152" s="375"/>
      <c r="EX152" s="375"/>
      <c r="EZ152" s="373"/>
      <c r="FA152" s="374"/>
      <c r="FB152" s="375"/>
      <c r="FC152" s="375"/>
      <c r="FE152" s="373"/>
      <c r="FF152" s="374"/>
      <c r="FG152" s="375"/>
      <c r="FH152" s="375"/>
      <c r="FJ152" s="373"/>
      <c r="FK152" s="374"/>
      <c r="FL152" s="375"/>
      <c r="FM152" s="375"/>
      <c r="FO152" s="373"/>
      <c r="FP152" s="374"/>
      <c r="FQ152" s="375"/>
      <c r="FR152" s="375"/>
      <c r="FT152" s="373"/>
      <c r="FU152" s="374"/>
      <c r="FV152" s="375"/>
      <c r="FW152" s="375"/>
      <c r="FY152" s="373"/>
      <c r="FZ152" s="374"/>
      <c r="GA152" s="375"/>
      <c r="GB152" s="375"/>
      <c r="GD152" s="373"/>
      <c r="GE152" s="374"/>
      <c r="GF152" s="375"/>
      <c r="GG152" s="375"/>
      <c r="GI152" s="373"/>
      <c r="GJ152" s="374"/>
      <c r="GK152" s="375"/>
      <c r="GL152" s="375"/>
      <c r="GN152" s="373"/>
      <c r="GO152" s="374"/>
      <c r="GP152" s="375"/>
      <c r="GQ152" s="375"/>
      <c r="GS152" s="373"/>
      <c r="GT152" s="374"/>
      <c r="GU152" s="375"/>
      <c r="GV152" s="375"/>
      <c r="GX152" s="373"/>
      <c r="GY152" s="374"/>
      <c r="GZ152" s="375"/>
      <c r="HA152" s="375"/>
      <c r="HC152" s="373"/>
      <c r="HD152" s="374"/>
      <c r="HE152" s="375"/>
      <c r="HF152" s="375"/>
      <c r="HH152" s="373"/>
      <c r="HI152" s="374"/>
      <c r="HJ152" s="375"/>
      <c r="HK152" s="375"/>
      <c r="HM152" s="373"/>
      <c r="HN152" s="374"/>
      <c r="HO152" s="375"/>
      <c r="HP152" s="375"/>
      <c r="HR152" s="373"/>
      <c r="HS152" s="374"/>
      <c r="HT152" s="375"/>
      <c r="HU152" s="375"/>
      <c r="HW152" s="373"/>
      <c r="HX152" s="374"/>
      <c r="HY152" s="375"/>
      <c r="HZ152" s="375"/>
      <c r="IB152" s="373"/>
      <c r="IC152" s="374"/>
      <c r="ID152" s="375"/>
      <c r="IE152" s="375"/>
      <c r="IG152" s="373"/>
      <c r="IH152" s="374"/>
      <c r="II152" s="375"/>
      <c r="IJ152" s="375"/>
      <c r="IL152" s="373"/>
      <c r="IM152" s="374"/>
      <c r="IN152" s="375"/>
      <c r="IO152" s="375"/>
      <c r="IQ152" s="373"/>
      <c r="IR152" s="374"/>
      <c r="IS152" s="375"/>
      <c r="IT152" s="375"/>
      <c r="IV152" s="373"/>
    </row>
    <row r="153" spans="1:256" s="376" customFormat="1" x14ac:dyDescent="0.2">
      <c r="A153" s="373"/>
      <c r="B153" s="374"/>
      <c r="C153" s="375"/>
      <c r="D153" s="375"/>
      <c r="F153" s="373"/>
      <c r="G153" s="374"/>
      <c r="H153" s="375"/>
      <c r="I153" s="375"/>
      <c r="K153" s="373">
        <v>151</v>
      </c>
      <c r="L153" s="374" t="s">
        <v>598</v>
      </c>
      <c r="M153" s="375">
        <v>5.2631578947368425</v>
      </c>
      <c r="N153" s="375">
        <v>2.6315789473684209E-2</v>
      </c>
      <c r="P153" s="373"/>
      <c r="Q153" s="374"/>
      <c r="R153" s="375"/>
      <c r="S153" s="375"/>
      <c r="U153" s="373"/>
      <c r="V153" s="374"/>
      <c r="W153" s="375"/>
      <c r="X153" s="375"/>
      <c r="Z153" s="373"/>
      <c r="AA153" s="374"/>
      <c r="AB153" s="375"/>
      <c r="AC153" s="375"/>
      <c r="AE153" s="373"/>
      <c r="AF153" s="374"/>
      <c r="AG153" s="375"/>
      <c r="AH153" s="375"/>
      <c r="AJ153" s="373"/>
      <c r="AK153" s="374"/>
      <c r="AL153" s="375"/>
      <c r="AM153" s="375"/>
      <c r="AO153" s="373"/>
      <c r="AP153" s="374"/>
      <c r="AQ153" s="375"/>
      <c r="AR153" s="375"/>
      <c r="AT153" s="373"/>
      <c r="AU153" s="374"/>
      <c r="AV153" s="375"/>
      <c r="AW153" s="375"/>
      <c r="AY153" s="373"/>
      <c r="AZ153" s="374"/>
      <c r="BA153" s="375"/>
      <c r="BB153" s="375"/>
      <c r="BD153" s="373"/>
      <c r="BE153" s="374"/>
      <c r="BF153" s="375"/>
      <c r="BG153" s="375"/>
      <c r="BI153" s="373"/>
      <c r="BJ153" s="374"/>
      <c r="BK153" s="375"/>
      <c r="BL153" s="375"/>
      <c r="BN153" s="373"/>
      <c r="BO153" s="374"/>
      <c r="BP153" s="375"/>
      <c r="BQ153" s="375"/>
      <c r="BS153" s="373"/>
      <c r="BT153" s="374"/>
      <c r="BU153" s="375"/>
      <c r="BV153" s="375"/>
      <c r="BX153" s="373"/>
      <c r="BY153" s="374"/>
      <c r="BZ153" s="375"/>
      <c r="CA153" s="375"/>
      <c r="CC153" s="373"/>
      <c r="CD153" s="374"/>
      <c r="CE153" s="375"/>
      <c r="CF153" s="375"/>
      <c r="CH153" s="373"/>
      <c r="CI153" s="374"/>
      <c r="CJ153" s="375"/>
      <c r="CK153" s="375"/>
      <c r="CM153" s="373"/>
      <c r="CN153" s="374"/>
      <c r="CO153" s="375"/>
      <c r="CP153" s="375"/>
      <c r="CR153" s="373"/>
      <c r="CS153" s="374"/>
      <c r="CT153" s="375"/>
      <c r="CU153" s="375"/>
      <c r="CW153" s="373"/>
      <c r="CX153" s="374"/>
      <c r="CY153" s="375"/>
      <c r="CZ153" s="375"/>
      <c r="DB153" s="373"/>
      <c r="DC153" s="374"/>
      <c r="DD153" s="375"/>
      <c r="DE153" s="375"/>
      <c r="DG153" s="373"/>
      <c r="DH153" s="374"/>
      <c r="DI153" s="375"/>
      <c r="DJ153" s="375"/>
      <c r="DL153" s="373"/>
      <c r="DM153" s="374"/>
      <c r="DN153" s="375"/>
      <c r="DO153" s="375"/>
      <c r="DQ153" s="373"/>
      <c r="DR153" s="374"/>
      <c r="DS153" s="375"/>
      <c r="DT153" s="375"/>
      <c r="DV153" s="373"/>
      <c r="DW153" s="374"/>
      <c r="DX153" s="375"/>
      <c r="DY153" s="375"/>
      <c r="EA153" s="373"/>
      <c r="EB153" s="374"/>
      <c r="EC153" s="375"/>
      <c r="ED153" s="375"/>
      <c r="EF153" s="373"/>
      <c r="EG153" s="374"/>
      <c r="EH153" s="375"/>
      <c r="EI153" s="375"/>
      <c r="EK153" s="373"/>
      <c r="EL153" s="374"/>
      <c r="EM153" s="375"/>
      <c r="EN153" s="375"/>
      <c r="EP153" s="373"/>
      <c r="EQ153" s="374"/>
      <c r="ER153" s="375"/>
      <c r="ES153" s="375"/>
      <c r="EU153" s="373"/>
      <c r="EV153" s="374"/>
      <c r="EW153" s="375"/>
      <c r="EX153" s="375"/>
      <c r="EZ153" s="373"/>
      <c r="FA153" s="374"/>
      <c r="FB153" s="375"/>
      <c r="FC153" s="375"/>
      <c r="FE153" s="373"/>
      <c r="FF153" s="374"/>
      <c r="FG153" s="375"/>
      <c r="FH153" s="375"/>
      <c r="FJ153" s="373"/>
      <c r="FK153" s="374"/>
      <c r="FL153" s="375"/>
      <c r="FM153" s="375"/>
      <c r="FO153" s="373"/>
      <c r="FP153" s="374"/>
      <c r="FQ153" s="375"/>
      <c r="FR153" s="375"/>
      <c r="FT153" s="373"/>
      <c r="FU153" s="374"/>
      <c r="FV153" s="375"/>
      <c r="FW153" s="375"/>
      <c r="FY153" s="373"/>
      <c r="FZ153" s="374"/>
      <c r="GA153" s="375"/>
      <c r="GB153" s="375"/>
      <c r="GD153" s="373"/>
      <c r="GE153" s="374"/>
      <c r="GF153" s="375"/>
      <c r="GG153" s="375"/>
      <c r="GI153" s="373"/>
      <c r="GJ153" s="374"/>
      <c r="GK153" s="375"/>
      <c r="GL153" s="375"/>
      <c r="GN153" s="373"/>
      <c r="GO153" s="374"/>
      <c r="GP153" s="375"/>
      <c r="GQ153" s="375"/>
      <c r="GS153" s="373"/>
      <c r="GT153" s="374"/>
      <c r="GU153" s="375"/>
      <c r="GV153" s="375"/>
      <c r="GX153" s="373"/>
      <c r="GY153" s="374"/>
      <c r="GZ153" s="375"/>
      <c r="HA153" s="375"/>
      <c r="HC153" s="373"/>
      <c r="HD153" s="374"/>
      <c r="HE153" s="375"/>
      <c r="HF153" s="375"/>
      <c r="HH153" s="373"/>
      <c r="HI153" s="374"/>
      <c r="HJ153" s="375"/>
      <c r="HK153" s="375"/>
      <c r="HM153" s="373"/>
      <c r="HN153" s="374"/>
      <c r="HO153" s="375"/>
      <c r="HP153" s="375"/>
      <c r="HR153" s="373"/>
      <c r="HS153" s="374"/>
      <c r="HT153" s="375"/>
      <c r="HU153" s="375"/>
      <c r="HW153" s="373"/>
      <c r="HX153" s="374"/>
      <c r="HY153" s="375"/>
      <c r="HZ153" s="375"/>
      <c r="IB153" s="373"/>
      <c r="IC153" s="374"/>
      <c r="ID153" s="375"/>
      <c r="IE153" s="375"/>
      <c r="IG153" s="373"/>
      <c r="IH153" s="374"/>
      <c r="II153" s="375"/>
      <c r="IJ153" s="375"/>
      <c r="IL153" s="373"/>
      <c r="IM153" s="374"/>
      <c r="IN153" s="375"/>
      <c r="IO153" s="375"/>
      <c r="IQ153" s="373"/>
      <c r="IR153" s="374"/>
      <c r="IS153" s="375"/>
      <c r="IT153" s="375"/>
      <c r="IV153" s="373"/>
    </row>
    <row r="154" spans="1:256" s="376" customFormat="1" x14ac:dyDescent="0.2">
      <c r="A154" s="373"/>
      <c r="B154" s="374"/>
      <c r="C154" s="375"/>
      <c r="D154" s="375"/>
      <c r="F154" s="373"/>
      <c r="G154" s="374"/>
      <c r="H154" s="375"/>
      <c r="I154" s="375"/>
      <c r="K154" s="382">
        <v>152</v>
      </c>
      <c r="L154" s="383" t="s">
        <v>531</v>
      </c>
      <c r="M154" s="384">
        <v>5.2631578947368425</v>
      </c>
      <c r="N154" s="384">
        <v>2.6315789473684209E-2</v>
      </c>
      <c r="P154" s="373"/>
      <c r="Q154" s="374"/>
      <c r="R154" s="375"/>
      <c r="S154" s="375"/>
      <c r="U154" s="373"/>
      <c r="V154" s="374"/>
      <c r="W154" s="375"/>
      <c r="X154" s="375"/>
      <c r="Z154" s="373"/>
      <c r="AA154" s="374"/>
      <c r="AB154" s="375"/>
      <c r="AC154" s="375"/>
      <c r="AE154" s="373"/>
      <c r="AF154" s="374"/>
      <c r="AG154" s="375"/>
      <c r="AH154" s="375"/>
      <c r="AJ154" s="373"/>
      <c r="AK154" s="374"/>
      <c r="AL154" s="375"/>
      <c r="AM154" s="375"/>
      <c r="AO154" s="373"/>
      <c r="AP154" s="374"/>
      <c r="AQ154" s="375"/>
      <c r="AR154" s="375"/>
      <c r="AT154" s="373"/>
      <c r="AU154" s="374"/>
      <c r="AV154" s="375"/>
      <c r="AW154" s="375"/>
      <c r="AY154" s="373"/>
      <c r="AZ154" s="374"/>
      <c r="BA154" s="375"/>
      <c r="BB154" s="375"/>
      <c r="BD154" s="373"/>
      <c r="BE154" s="374"/>
      <c r="BF154" s="375"/>
      <c r="BG154" s="375"/>
      <c r="BI154" s="373"/>
      <c r="BJ154" s="374"/>
      <c r="BK154" s="375"/>
      <c r="BL154" s="375"/>
      <c r="BN154" s="373"/>
      <c r="BO154" s="374"/>
      <c r="BP154" s="375"/>
      <c r="BQ154" s="375"/>
      <c r="BS154" s="373"/>
      <c r="BT154" s="374"/>
      <c r="BU154" s="375"/>
      <c r="BV154" s="375"/>
      <c r="BX154" s="373"/>
      <c r="BY154" s="374"/>
      <c r="BZ154" s="375"/>
      <c r="CA154" s="375"/>
      <c r="CC154" s="373"/>
      <c r="CD154" s="374"/>
      <c r="CE154" s="375"/>
      <c r="CF154" s="375"/>
      <c r="CH154" s="373"/>
      <c r="CI154" s="374"/>
      <c r="CJ154" s="375"/>
      <c r="CK154" s="375"/>
      <c r="CM154" s="373"/>
      <c r="CN154" s="374"/>
      <c r="CO154" s="375"/>
      <c r="CP154" s="375"/>
      <c r="CR154" s="373"/>
      <c r="CS154" s="374"/>
      <c r="CT154" s="375"/>
      <c r="CU154" s="375"/>
      <c r="CW154" s="373"/>
      <c r="CX154" s="374"/>
      <c r="CY154" s="375"/>
      <c r="CZ154" s="375"/>
      <c r="DB154" s="373"/>
      <c r="DC154" s="374"/>
      <c r="DD154" s="375"/>
      <c r="DE154" s="375"/>
      <c r="DG154" s="373"/>
      <c r="DH154" s="374"/>
      <c r="DI154" s="375"/>
      <c r="DJ154" s="375"/>
      <c r="DL154" s="373"/>
      <c r="DM154" s="374"/>
      <c r="DN154" s="375"/>
      <c r="DO154" s="375"/>
      <c r="DQ154" s="373"/>
      <c r="DR154" s="374"/>
      <c r="DS154" s="375"/>
      <c r="DT154" s="375"/>
      <c r="DV154" s="373"/>
      <c r="DW154" s="374"/>
      <c r="DX154" s="375"/>
      <c r="DY154" s="375"/>
      <c r="EA154" s="373"/>
      <c r="EB154" s="374"/>
      <c r="EC154" s="375"/>
      <c r="ED154" s="375"/>
      <c r="EF154" s="373"/>
      <c r="EG154" s="374"/>
      <c r="EH154" s="375"/>
      <c r="EI154" s="375"/>
      <c r="EK154" s="373"/>
      <c r="EL154" s="374"/>
      <c r="EM154" s="375"/>
      <c r="EN154" s="375"/>
      <c r="EP154" s="373"/>
      <c r="EQ154" s="374"/>
      <c r="ER154" s="375"/>
      <c r="ES154" s="375"/>
      <c r="EU154" s="373"/>
      <c r="EV154" s="374"/>
      <c r="EW154" s="375"/>
      <c r="EX154" s="375"/>
      <c r="EZ154" s="373"/>
      <c r="FA154" s="374"/>
      <c r="FB154" s="375"/>
      <c r="FC154" s="375"/>
      <c r="FE154" s="373"/>
      <c r="FF154" s="374"/>
      <c r="FG154" s="375"/>
      <c r="FH154" s="375"/>
      <c r="FJ154" s="373"/>
      <c r="FK154" s="374"/>
      <c r="FL154" s="375"/>
      <c r="FM154" s="375"/>
      <c r="FO154" s="373"/>
      <c r="FP154" s="374"/>
      <c r="FQ154" s="375"/>
      <c r="FR154" s="375"/>
      <c r="FT154" s="373"/>
      <c r="FU154" s="374"/>
      <c r="FV154" s="375"/>
      <c r="FW154" s="375"/>
      <c r="FY154" s="373"/>
      <c r="FZ154" s="374"/>
      <c r="GA154" s="375"/>
      <c r="GB154" s="375"/>
      <c r="GD154" s="373"/>
      <c r="GE154" s="374"/>
      <c r="GF154" s="375"/>
      <c r="GG154" s="375"/>
      <c r="GI154" s="373"/>
      <c r="GJ154" s="374"/>
      <c r="GK154" s="375"/>
      <c r="GL154" s="375"/>
      <c r="GN154" s="373"/>
      <c r="GO154" s="374"/>
      <c r="GP154" s="375"/>
      <c r="GQ154" s="375"/>
      <c r="GS154" s="373"/>
      <c r="GT154" s="374"/>
      <c r="GU154" s="375"/>
      <c r="GV154" s="375"/>
      <c r="GX154" s="373"/>
      <c r="GY154" s="374"/>
      <c r="GZ154" s="375"/>
      <c r="HA154" s="375"/>
      <c r="HC154" s="373"/>
      <c r="HD154" s="374"/>
      <c r="HE154" s="375"/>
      <c r="HF154" s="375"/>
      <c r="HH154" s="373"/>
      <c r="HI154" s="374"/>
      <c r="HJ154" s="375"/>
      <c r="HK154" s="375"/>
      <c r="HM154" s="373"/>
      <c r="HN154" s="374"/>
      <c r="HO154" s="375"/>
      <c r="HP154" s="375"/>
      <c r="HR154" s="373"/>
      <c r="HS154" s="374"/>
      <c r="HT154" s="375"/>
      <c r="HU154" s="375"/>
      <c r="HW154" s="373"/>
      <c r="HX154" s="374"/>
      <c r="HY154" s="375"/>
      <c r="HZ154" s="375"/>
      <c r="IB154" s="373"/>
      <c r="IC154" s="374"/>
      <c r="ID154" s="375"/>
      <c r="IE154" s="375"/>
      <c r="IG154" s="373"/>
      <c r="IH154" s="374"/>
      <c r="II154" s="375"/>
      <c r="IJ154" s="375"/>
      <c r="IL154" s="373"/>
      <c r="IM154" s="374"/>
      <c r="IN154" s="375"/>
      <c r="IO154" s="375"/>
      <c r="IQ154" s="373"/>
      <c r="IR154" s="374"/>
      <c r="IS154" s="375"/>
      <c r="IT154" s="375"/>
      <c r="IV154" s="373"/>
    </row>
    <row r="155" spans="1:256" s="376" customFormat="1" x14ac:dyDescent="0.2">
      <c r="A155" s="373"/>
      <c r="B155" s="374"/>
      <c r="C155" s="375"/>
      <c r="D155" s="375"/>
      <c r="F155" s="373"/>
      <c r="G155" s="374"/>
      <c r="H155" s="375"/>
      <c r="I155" s="375"/>
      <c r="K155" s="373">
        <v>153</v>
      </c>
      <c r="L155" s="374" t="s">
        <v>589</v>
      </c>
      <c r="M155" s="375">
        <v>5.2631578947368425</v>
      </c>
      <c r="N155" s="375">
        <v>2.6315789473684209E-2</v>
      </c>
      <c r="P155" s="373"/>
      <c r="Q155" s="374"/>
      <c r="R155" s="375"/>
      <c r="S155" s="375"/>
      <c r="U155" s="373"/>
      <c r="V155" s="374"/>
      <c r="W155" s="375"/>
      <c r="X155" s="375"/>
      <c r="Z155" s="373"/>
      <c r="AA155" s="374"/>
      <c r="AB155" s="375"/>
      <c r="AC155" s="375"/>
      <c r="AE155" s="373"/>
      <c r="AF155" s="374"/>
      <c r="AG155" s="375"/>
      <c r="AH155" s="375"/>
      <c r="AJ155" s="373"/>
      <c r="AK155" s="374"/>
      <c r="AL155" s="375"/>
      <c r="AM155" s="375"/>
      <c r="AO155" s="373"/>
      <c r="AP155" s="374"/>
      <c r="AQ155" s="375"/>
      <c r="AR155" s="375"/>
      <c r="AT155" s="373"/>
      <c r="AU155" s="374"/>
      <c r="AV155" s="375"/>
      <c r="AW155" s="375"/>
      <c r="AY155" s="373"/>
      <c r="AZ155" s="374"/>
      <c r="BA155" s="375"/>
      <c r="BB155" s="375"/>
      <c r="BD155" s="373"/>
      <c r="BE155" s="374"/>
      <c r="BF155" s="375"/>
      <c r="BG155" s="375"/>
      <c r="BI155" s="373"/>
      <c r="BJ155" s="374"/>
      <c r="BK155" s="375"/>
      <c r="BL155" s="375"/>
      <c r="BN155" s="373"/>
      <c r="BO155" s="374"/>
      <c r="BP155" s="375"/>
      <c r="BQ155" s="375"/>
      <c r="BS155" s="373"/>
      <c r="BT155" s="374"/>
      <c r="BU155" s="375"/>
      <c r="BV155" s="375"/>
      <c r="BX155" s="373"/>
      <c r="BY155" s="374"/>
      <c r="BZ155" s="375"/>
      <c r="CA155" s="375"/>
      <c r="CC155" s="373"/>
      <c r="CD155" s="374"/>
      <c r="CE155" s="375"/>
      <c r="CF155" s="375"/>
      <c r="CH155" s="373"/>
      <c r="CI155" s="374"/>
      <c r="CJ155" s="375"/>
      <c r="CK155" s="375"/>
      <c r="CM155" s="373"/>
      <c r="CN155" s="374"/>
      <c r="CO155" s="375"/>
      <c r="CP155" s="375"/>
      <c r="CR155" s="373"/>
      <c r="CS155" s="374"/>
      <c r="CT155" s="375"/>
      <c r="CU155" s="375"/>
      <c r="CW155" s="373"/>
      <c r="CX155" s="374"/>
      <c r="CY155" s="375"/>
      <c r="CZ155" s="375"/>
      <c r="DB155" s="373"/>
      <c r="DC155" s="374"/>
      <c r="DD155" s="375"/>
      <c r="DE155" s="375"/>
      <c r="DG155" s="373"/>
      <c r="DH155" s="374"/>
      <c r="DI155" s="375"/>
      <c r="DJ155" s="375"/>
      <c r="DL155" s="373"/>
      <c r="DM155" s="374"/>
      <c r="DN155" s="375"/>
      <c r="DO155" s="375"/>
      <c r="DQ155" s="373"/>
      <c r="DR155" s="374"/>
      <c r="DS155" s="375"/>
      <c r="DT155" s="375"/>
      <c r="DV155" s="373"/>
      <c r="DW155" s="374"/>
      <c r="DX155" s="375"/>
      <c r="DY155" s="375"/>
      <c r="EA155" s="373"/>
      <c r="EB155" s="374"/>
      <c r="EC155" s="375"/>
      <c r="ED155" s="375"/>
      <c r="EF155" s="373"/>
      <c r="EG155" s="374"/>
      <c r="EH155" s="375"/>
      <c r="EI155" s="375"/>
      <c r="EK155" s="373"/>
      <c r="EL155" s="374"/>
      <c r="EM155" s="375"/>
      <c r="EN155" s="375"/>
      <c r="EP155" s="373"/>
      <c r="EQ155" s="374"/>
      <c r="ER155" s="375"/>
      <c r="ES155" s="375"/>
      <c r="EU155" s="373"/>
      <c r="EV155" s="374"/>
      <c r="EW155" s="375"/>
      <c r="EX155" s="375"/>
      <c r="EZ155" s="373"/>
      <c r="FA155" s="374"/>
      <c r="FB155" s="375"/>
      <c r="FC155" s="375"/>
      <c r="FE155" s="373"/>
      <c r="FF155" s="374"/>
      <c r="FG155" s="375"/>
      <c r="FH155" s="375"/>
      <c r="FJ155" s="373"/>
      <c r="FK155" s="374"/>
      <c r="FL155" s="375"/>
      <c r="FM155" s="375"/>
      <c r="FO155" s="373"/>
      <c r="FP155" s="374"/>
      <c r="FQ155" s="375"/>
      <c r="FR155" s="375"/>
      <c r="FT155" s="373"/>
      <c r="FU155" s="374"/>
      <c r="FV155" s="375"/>
      <c r="FW155" s="375"/>
      <c r="FY155" s="373"/>
      <c r="FZ155" s="374"/>
      <c r="GA155" s="375"/>
      <c r="GB155" s="375"/>
      <c r="GD155" s="373"/>
      <c r="GE155" s="374"/>
      <c r="GF155" s="375"/>
      <c r="GG155" s="375"/>
      <c r="GI155" s="373"/>
      <c r="GJ155" s="374"/>
      <c r="GK155" s="375"/>
      <c r="GL155" s="375"/>
      <c r="GN155" s="373"/>
      <c r="GO155" s="374"/>
      <c r="GP155" s="375"/>
      <c r="GQ155" s="375"/>
      <c r="GS155" s="373"/>
      <c r="GT155" s="374"/>
      <c r="GU155" s="375"/>
      <c r="GV155" s="375"/>
      <c r="GX155" s="373"/>
      <c r="GY155" s="374"/>
      <c r="GZ155" s="375"/>
      <c r="HA155" s="375"/>
      <c r="HC155" s="373"/>
      <c r="HD155" s="374"/>
      <c r="HE155" s="375"/>
      <c r="HF155" s="375"/>
      <c r="HH155" s="373"/>
      <c r="HI155" s="374"/>
      <c r="HJ155" s="375"/>
      <c r="HK155" s="375"/>
      <c r="HM155" s="373"/>
      <c r="HN155" s="374"/>
      <c r="HO155" s="375"/>
      <c r="HP155" s="375"/>
      <c r="HR155" s="373"/>
      <c r="HS155" s="374"/>
      <c r="HT155" s="375"/>
      <c r="HU155" s="375"/>
      <c r="HW155" s="373"/>
      <c r="HX155" s="374"/>
      <c r="HY155" s="375"/>
      <c r="HZ155" s="375"/>
      <c r="IB155" s="373"/>
      <c r="IC155" s="374"/>
      <c r="ID155" s="375"/>
      <c r="IE155" s="375"/>
      <c r="IG155" s="373"/>
      <c r="IH155" s="374"/>
      <c r="II155" s="375"/>
      <c r="IJ155" s="375"/>
      <c r="IL155" s="373"/>
      <c r="IM155" s="374"/>
      <c r="IN155" s="375"/>
      <c r="IO155" s="375"/>
      <c r="IQ155" s="373"/>
      <c r="IR155" s="374"/>
      <c r="IS155" s="375"/>
      <c r="IT155" s="375"/>
      <c r="IV155" s="373"/>
    </row>
    <row r="156" spans="1:256" s="376" customFormat="1" x14ac:dyDescent="0.2">
      <c r="A156" s="373"/>
      <c r="B156" s="374"/>
      <c r="C156" s="375"/>
      <c r="D156" s="375"/>
      <c r="F156" s="373"/>
      <c r="G156" s="374"/>
      <c r="H156" s="375"/>
      <c r="I156" s="375"/>
      <c r="K156" s="382">
        <v>154</v>
      </c>
      <c r="L156" s="383" t="s">
        <v>2626</v>
      </c>
      <c r="M156" s="384">
        <v>5.2631578947368425</v>
      </c>
      <c r="N156" s="384">
        <v>2.6315789473684209E-2</v>
      </c>
      <c r="P156" s="373"/>
      <c r="Q156" s="374"/>
      <c r="R156" s="375"/>
      <c r="S156" s="375"/>
      <c r="U156" s="373"/>
      <c r="V156" s="374"/>
      <c r="W156" s="375"/>
      <c r="X156" s="375"/>
      <c r="Z156" s="373"/>
      <c r="AA156" s="374"/>
      <c r="AB156" s="375"/>
      <c r="AC156" s="375"/>
      <c r="AE156" s="373"/>
      <c r="AF156" s="374"/>
      <c r="AG156" s="375"/>
      <c r="AH156" s="375"/>
      <c r="AJ156" s="373"/>
      <c r="AK156" s="374"/>
      <c r="AL156" s="375"/>
      <c r="AM156" s="375"/>
      <c r="AO156" s="373"/>
      <c r="AP156" s="374"/>
      <c r="AQ156" s="375"/>
      <c r="AR156" s="375"/>
      <c r="AT156" s="373"/>
      <c r="AU156" s="374"/>
      <c r="AV156" s="375"/>
      <c r="AW156" s="375"/>
      <c r="AY156" s="373"/>
      <c r="AZ156" s="374"/>
      <c r="BA156" s="375"/>
      <c r="BB156" s="375"/>
      <c r="BD156" s="373"/>
      <c r="BE156" s="374"/>
      <c r="BF156" s="375"/>
      <c r="BG156" s="375"/>
      <c r="BI156" s="373"/>
      <c r="BJ156" s="374"/>
      <c r="BK156" s="375"/>
      <c r="BL156" s="375"/>
      <c r="BN156" s="373"/>
      <c r="BO156" s="374"/>
      <c r="BP156" s="375"/>
      <c r="BQ156" s="375"/>
      <c r="BS156" s="373"/>
      <c r="BT156" s="374"/>
      <c r="BU156" s="375"/>
      <c r="BV156" s="375"/>
      <c r="BX156" s="373"/>
      <c r="BY156" s="374"/>
      <c r="BZ156" s="375"/>
      <c r="CA156" s="375"/>
      <c r="CC156" s="373"/>
      <c r="CD156" s="374"/>
      <c r="CE156" s="375"/>
      <c r="CF156" s="375"/>
      <c r="CH156" s="373"/>
      <c r="CI156" s="374"/>
      <c r="CJ156" s="375"/>
      <c r="CK156" s="375"/>
      <c r="CM156" s="373"/>
      <c r="CN156" s="374"/>
      <c r="CO156" s="375"/>
      <c r="CP156" s="375"/>
      <c r="CR156" s="373"/>
      <c r="CS156" s="374"/>
      <c r="CT156" s="375"/>
      <c r="CU156" s="375"/>
      <c r="CW156" s="373"/>
      <c r="CX156" s="374"/>
      <c r="CY156" s="375"/>
      <c r="CZ156" s="375"/>
      <c r="DB156" s="373"/>
      <c r="DC156" s="374"/>
      <c r="DD156" s="375"/>
      <c r="DE156" s="375"/>
      <c r="DG156" s="373"/>
      <c r="DH156" s="374"/>
      <c r="DI156" s="375"/>
      <c r="DJ156" s="375"/>
      <c r="DL156" s="373"/>
      <c r="DM156" s="374"/>
      <c r="DN156" s="375"/>
      <c r="DO156" s="375"/>
      <c r="DQ156" s="373"/>
      <c r="DR156" s="374"/>
      <c r="DS156" s="375"/>
      <c r="DT156" s="375"/>
      <c r="DV156" s="373"/>
      <c r="DW156" s="374"/>
      <c r="DX156" s="375"/>
      <c r="DY156" s="375"/>
      <c r="EA156" s="373"/>
      <c r="EB156" s="374"/>
      <c r="EC156" s="375"/>
      <c r="ED156" s="375"/>
      <c r="EF156" s="373"/>
      <c r="EG156" s="374"/>
      <c r="EH156" s="375"/>
      <c r="EI156" s="375"/>
      <c r="EK156" s="373"/>
      <c r="EL156" s="374"/>
      <c r="EM156" s="375"/>
      <c r="EN156" s="375"/>
      <c r="EP156" s="373"/>
      <c r="EQ156" s="374"/>
      <c r="ER156" s="375"/>
      <c r="ES156" s="375"/>
      <c r="EU156" s="373"/>
      <c r="EV156" s="374"/>
      <c r="EW156" s="375"/>
      <c r="EX156" s="375"/>
      <c r="EZ156" s="373"/>
      <c r="FA156" s="374"/>
      <c r="FB156" s="375"/>
      <c r="FC156" s="375"/>
      <c r="FE156" s="373"/>
      <c r="FF156" s="374"/>
      <c r="FG156" s="375"/>
      <c r="FH156" s="375"/>
      <c r="FJ156" s="373"/>
      <c r="FK156" s="374"/>
      <c r="FL156" s="375"/>
      <c r="FM156" s="375"/>
      <c r="FO156" s="373"/>
      <c r="FP156" s="374"/>
      <c r="FQ156" s="375"/>
      <c r="FR156" s="375"/>
      <c r="FT156" s="373"/>
      <c r="FU156" s="374"/>
      <c r="FV156" s="375"/>
      <c r="FW156" s="375"/>
      <c r="FY156" s="373"/>
      <c r="FZ156" s="374"/>
      <c r="GA156" s="375"/>
      <c r="GB156" s="375"/>
      <c r="GD156" s="373"/>
      <c r="GE156" s="374"/>
      <c r="GF156" s="375"/>
      <c r="GG156" s="375"/>
      <c r="GI156" s="373"/>
      <c r="GJ156" s="374"/>
      <c r="GK156" s="375"/>
      <c r="GL156" s="375"/>
      <c r="GN156" s="373"/>
      <c r="GO156" s="374"/>
      <c r="GP156" s="375"/>
      <c r="GQ156" s="375"/>
      <c r="GS156" s="373"/>
      <c r="GT156" s="374"/>
      <c r="GU156" s="375"/>
      <c r="GV156" s="375"/>
      <c r="GX156" s="373"/>
      <c r="GY156" s="374"/>
      <c r="GZ156" s="375"/>
      <c r="HA156" s="375"/>
      <c r="HC156" s="373"/>
      <c r="HD156" s="374"/>
      <c r="HE156" s="375"/>
      <c r="HF156" s="375"/>
      <c r="HH156" s="373"/>
      <c r="HI156" s="374"/>
      <c r="HJ156" s="375"/>
      <c r="HK156" s="375"/>
      <c r="HM156" s="373"/>
      <c r="HN156" s="374"/>
      <c r="HO156" s="375"/>
      <c r="HP156" s="375"/>
      <c r="HR156" s="373"/>
      <c r="HS156" s="374"/>
      <c r="HT156" s="375"/>
      <c r="HU156" s="375"/>
      <c r="HW156" s="373"/>
      <c r="HX156" s="374"/>
      <c r="HY156" s="375"/>
      <c r="HZ156" s="375"/>
      <c r="IB156" s="373"/>
      <c r="IC156" s="374"/>
      <c r="ID156" s="375"/>
      <c r="IE156" s="375"/>
      <c r="IG156" s="373"/>
      <c r="IH156" s="374"/>
      <c r="II156" s="375"/>
      <c r="IJ156" s="375"/>
      <c r="IL156" s="373"/>
      <c r="IM156" s="374"/>
      <c r="IN156" s="375"/>
      <c r="IO156" s="375"/>
      <c r="IQ156" s="373"/>
      <c r="IR156" s="374"/>
      <c r="IS156" s="375"/>
      <c r="IT156" s="375"/>
      <c r="IV156" s="373"/>
    </row>
    <row r="157" spans="1:256" s="376" customFormat="1" x14ac:dyDescent="0.2">
      <c r="A157" s="373"/>
      <c r="B157" s="374"/>
      <c r="C157" s="375"/>
      <c r="D157" s="375"/>
      <c r="F157" s="373"/>
      <c r="G157" s="374"/>
      <c r="H157" s="375"/>
      <c r="I157" s="375"/>
      <c r="K157" s="373">
        <v>155</v>
      </c>
      <c r="L157" s="374" t="s">
        <v>2577</v>
      </c>
      <c r="M157" s="375">
        <v>5.2631578947368425</v>
      </c>
      <c r="N157" s="375">
        <v>2.6315789473684209E-2</v>
      </c>
      <c r="P157" s="373"/>
      <c r="Q157" s="374"/>
      <c r="R157" s="375"/>
      <c r="S157" s="375"/>
      <c r="U157" s="373"/>
      <c r="V157" s="374"/>
      <c r="W157" s="375"/>
      <c r="X157" s="375"/>
      <c r="Z157" s="373"/>
      <c r="AA157" s="374"/>
      <c r="AB157" s="375"/>
      <c r="AC157" s="375"/>
      <c r="AE157" s="373"/>
      <c r="AF157" s="374"/>
      <c r="AG157" s="375"/>
      <c r="AH157" s="375"/>
      <c r="AJ157" s="373"/>
      <c r="AK157" s="374"/>
      <c r="AL157" s="375"/>
      <c r="AM157" s="375"/>
      <c r="AO157" s="373"/>
      <c r="AP157" s="374"/>
      <c r="AQ157" s="375"/>
      <c r="AR157" s="375"/>
      <c r="AT157" s="373"/>
      <c r="AU157" s="374"/>
      <c r="AV157" s="375"/>
      <c r="AW157" s="375"/>
      <c r="AY157" s="373"/>
      <c r="AZ157" s="374"/>
      <c r="BA157" s="375"/>
      <c r="BB157" s="375"/>
      <c r="BD157" s="373"/>
      <c r="BE157" s="374"/>
      <c r="BF157" s="375"/>
      <c r="BG157" s="375"/>
      <c r="BI157" s="373"/>
      <c r="BJ157" s="374"/>
      <c r="BK157" s="375"/>
      <c r="BL157" s="375"/>
      <c r="BN157" s="373"/>
      <c r="BO157" s="374"/>
      <c r="BP157" s="375"/>
      <c r="BQ157" s="375"/>
      <c r="BS157" s="373"/>
      <c r="BT157" s="374"/>
      <c r="BU157" s="375"/>
      <c r="BV157" s="375"/>
      <c r="BX157" s="373"/>
      <c r="BY157" s="374"/>
      <c r="BZ157" s="375"/>
      <c r="CA157" s="375"/>
      <c r="CC157" s="373"/>
      <c r="CD157" s="374"/>
      <c r="CE157" s="375"/>
      <c r="CF157" s="375"/>
      <c r="CH157" s="373"/>
      <c r="CI157" s="374"/>
      <c r="CJ157" s="375"/>
      <c r="CK157" s="375"/>
      <c r="CM157" s="373"/>
      <c r="CN157" s="374"/>
      <c r="CO157" s="375"/>
      <c r="CP157" s="375"/>
      <c r="CR157" s="373"/>
      <c r="CS157" s="374"/>
      <c r="CT157" s="375"/>
      <c r="CU157" s="375"/>
      <c r="CW157" s="373"/>
      <c r="CX157" s="374"/>
      <c r="CY157" s="375"/>
      <c r="CZ157" s="375"/>
      <c r="DB157" s="373"/>
      <c r="DC157" s="374"/>
      <c r="DD157" s="375"/>
      <c r="DE157" s="375"/>
      <c r="DG157" s="373"/>
      <c r="DH157" s="374"/>
      <c r="DI157" s="375"/>
      <c r="DJ157" s="375"/>
      <c r="DL157" s="373"/>
      <c r="DM157" s="374"/>
      <c r="DN157" s="375"/>
      <c r="DO157" s="375"/>
      <c r="DQ157" s="373"/>
      <c r="DR157" s="374"/>
      <c r="DS157" s="375"/>
      <c r="DT157" s="375"/>
      <c r="DV157" s="373"/>
      <c r="DW157" s="374"/>
      <c r="DX157" s="375"/>
      <c r="DY157" s="375"/>
      <c r="EA157" s="373"/>
      <c r="EB157" s="374"/>
      <c r="EC157" s="375"/>
      <c r="ED157" s="375"/>
      <c r="EF157" s="373"/>
      <c r="EG157" s="374"/>
      <c r="EH157" s="375"/>
      <c r="EI157" s="375"/>
      <c r="EK157" s="373"/>
      <c r="EL157" s="374"/>
      <c r="EM157" s="375"/>
      <c r="EN157" s="375"/>
      <c r="EP157" s="373"/>
      <c r="EQ157" s="374"/>
      <c r="ER157" s="375"/>
      <c r="ES157" s="375"/>
      <c r="EU157" s="373"/>
      <c r="EV157" s="374"/>
      <c r="EW157" s="375"/>
      <c r="EX157" s="375"/>
      <c r="EZ157" s="373"/>
      <c r="FA157" s="374"/>
      <c r="FB157" s="375"/>
      <c r="FC157" s="375"/>
      <c r="FE157" s="373"/>
      <c r="FF157" s="374"/>
      <c r="FG157" s="375"/>
      <c r="FH157" s="375"/>
      <c r="FJ157" s="373"/>
      <c r="FK157" s="374"/>
      <c r="FL157" s="375"/>
      <c r="FM157" s="375"/>
      <c r="FO157" s="373"/>
      <c r="FP157" s="374"/>
      <c r="FQ157" s="375"/>
      <c r="FR157" s="375"/>
      <c r="FT157" s="373"/>
      <c r="FU157" s="374"/>
      <c r="FV157" s="375"/>
      <c r="FW157" s="375"/>
      <c r="FY157" s="373"/>
      <c r="FZ157" s="374"/>
      <c r="GA157" s="375"/>
      <c r="GB157" s="375"/>
      <c r="GD157" s="373"/>
      <c r="GE157" s="374"/>
      <c r="GF157" s="375"/>
      <c r="GG157" s="375"/>
      <c r="GI157" s="373"/>
      <c r="GJ157" s="374"/>
      <c r="GK157" s="375"/>
      <c r="GL157" s="375"/>
      <c r="GN157" s="373"/>
      <c r="GO157" s="374"/>
      <c r="GP157" s="375"/>
      <c r="GQ157" s="375"/>
      <c r="GS157" s="373"/>
      <c r="GT157" s="374"/>
      <c r="GU157" s="375"/>
      <c r="GV157" s="375"/>
      <c r="GX157" s="373"/>
      <c r="GY157" s="374"/>
      <c r="GZ157" s="375"/>
      <c r="HA157" s="375"/>
      <c r="HC157" s="373"/>
      <c r="HD157" s="374"/>
      <c r="HE157" s="375"/>
      <c r="HF157" s="375"/>
      <c r="HH157" s="373"/>
      <c r="HI157" s="374"/>
      <c r="HJ157" s="375"/>
      <c r="HK157" s="375"/>
      <c r="HM157" s="373"/>
      <c r="HN157" s="374"/>
      <c r="HO157" s="375"/>
      <c r="HP157" s="375"/>
      <c r="HR157" s="373"/>
      <c r="HS157" s="374"/>
      <c r="HT157" s="375"/>
      <c r="HU157" s="375"/>
      <c r="HW157" s="373"/>
      <c r="HX157" s="374"/>
      <c r="HY157" s="375"/>
      <c r="HZ157" s="375"/>
      <c r="IB157" s="373"/>
      <c r="IC157" s="374"/>
      <c r="ID157" s="375"/>
      <c r="IE157" s="375"/>
      <c r="IG157" s="373"/>
      <c r="IH157" s="374"/>
      <c r="II157" s="375"/>
      <c r="IJ157" s="375"/>
      <c r="IL157" s="373"/>
      <c r="IM157" s="374"/>
      <c r="IN157" s="375"/>
      <c r="IO157" s="375"/>
      <c r="IQ157" s="373"/>
      <c r="IR157" s="374"/>
      <c r="IS157" s="375"/>
      <c r="IT157" s="375"/>
      <c r="IV157" s="373"/>
    </row>
    <row r="158" spans="1:256" s="376" customFormat="1" x14ac:dyDescent="0.2">
      <c r="A158" s="373"/>
      <c r="B158" s="374"/>
      <c r="C158" s="375"/>
      <c r="D158" s="375"/>
      <c r="F158" s="373"/>
      <c r="G158" s="374"/>
      <c r="H158" s="375"/>
      <c r="I158" s="375"/>
      <c r="K158" s="382">
        <v>156</v>
      </c>
      <c r="L158" s="383" t="s">
        <v>2723</v>
      </c>
      <c r="M158" s="384">
        <v>5.2631578947368425</v>
      </c>
      <c r="N158" s="384">
        <v>2.6315789473684209E-2</v>
      </c>
      <c r="P158" s="373"/>
      <c r="Q158" s="374"/>
      <c r="R158" s="375"/>
      <c r="S158" s="375"/>
      <c r="U158" s="373"/>
      <c r="V158" s="374"/>
      <c r="W158" s="375"/>
      <c r="X158" s="375"/>
      <c r="Z158" s="373"/>
      <c r="AA158" s="374"/>
      <c r="AB158" s="375"/>
      <c r="AC158" s="375"/>
      <c r="AE158" s="373"/>
      <c r="AF158" s="374"/>
      <c r="AG158" s="375"/>
      <c r="AH158" s="375"/>
      <c r="AJ158" s="373"/>
      <c r="AK158" s="374"/>
      <c r="AL158" s="375"/>
      <c r="AM158" s="375"/>
      <c r="AO158" s="373"/>
      <c r="AP158" s="374"/>
      <c r="AQ158" s="375"/>
      <c r="AR158" s="375"/>
      <c r="AT158" s="373"/>
      <c r="AU158" s="374"/>
      <c r="AV158" s="375"/>
      <c r="AW158" s="375"/>
      <c r="AY158" s="373"/>
      <c r="AZ158" s="374"/>
      <c r="BA158" s="375"/>
      <c r="BB158" s="375"/>
      <c r="BD158" s="373"/>
      <c r="BE158" s="374"/>
      <c r="BF158" s="375"/>
      <c r="BG158" s="375"/>
      <c r="BI158" s="373"/>
      <c r="BJ158" s="374"/>
      <c r="BK158" s="375"/>
      <c r="BL158" s="375"/>
      <c r="BN158" s="373"/>
      <c r="BO158" s="374"/>
      <c r="BP158" s="375"/>
      <c r="BQ158" s="375"/>
      <c r="BS158" s="373"/>
      <c r="BT158" s="374"/>
      <c r="BU158" s="375"/>
      <c r="BV158" s="375"/>
      <c r="BX158" s="373"/>
      <c r="BY158" s="374"/>
      <c r="BZ158" s="375"/>
      <c r="CA158" s="375"/>
      <c r="CC158" s="373"/>
      <c r="CD158" s="374"/>
      <c r="CE158" s="375"/>
      <c r="CF158" s="375"/>
      <c r="CH158" s="373"/>
      <c r="CI158" s="374"/>
      <c r="CJ158" s="375"/>
      <c r="CK158" s="375"/>
      <c r="CM158" s="373"/>
      <c r="CN158" s="374"/>
      <c r="CO158" s="375"/>
      <c r="CP158" s="375"/>
      <c r="CR158" s="373"/>
      <c r="CS158" s="374"/>
      <c r="CT158" s="375"/>
      <c r="CU158" s="375"/>
      <c r="CW158" s="373"/>
      <c r="CX158" s="374"/>
      <c r="CY158" s="375"/>
      <c r="CZ158" s="375"/>
      <c r="DB158" s="373"/>
      <c r="DC158" s="374"/>
      <c r="DD158" s="375"/>
      <c r="DE158" s="375"/>
      <c r="DG158" s="373"/>
      <c r="DH158" s="374"/>
      <c r="DI158" s="375"/>
      <c r="DJ158" s="375"/>
      <c r="DL158" s="373"/>
      <c r="DM158" s="374"/>
      <c r="DN158" s="375"/>
      <c r="DO158" s="375"/>
      <c r="DQ158" s="373"/>
      <c r="DR158" s="374"/>
      <c r="DS158" s="375"/>
      <c r="DT158" s="375"/>
      <c r="DV158" s="373"/>
      <c r="DW158" s="374"/>
      <c r="DX158" s="375"/>
      <c r="DY158" s="375"/>
      <c r="EA158" s="373"/>
      <c r="EB158" s="374"/>
      <c r="EC158" s="375"/>
      <c r="ED158" s="375"/>
      <c r="EF158" s="373"/>
      <c r="EG158" s="374"/>
      <c r="EH158" s="375"/>
      <c r="EI158" s="375"/>
      <c r="EK158" s="373"/>
      <c r="EL158" s="374"/>
      <c r="EM158" s="375"/>
      <c r="EN158" s="375"/>
      <c r="EP158" s="373"/>
      <c r="EQ158" s="374"/>
      <c r="ER158" s="375"/>
      <c r="ES158" s="375"/>
      <c r="EU158" s="373"/>
      <c r="EV158" s="374"/>
      <c r="EW158" s="375"/>
      <c r="EX158" s="375"/>
      <c r="EZ158" s="373"/>
      <c r="FA158" s="374"/>
      <c r="FB158" s="375"/>
      <c r="FC158" s="375"/>
      <c r="FE158" s="373"/>
      <c r="FF158" s="374"/>
      <c r="FG158" s="375"/>
      <c r="FH158" s="375"/>
      <c r="FJ158" s="373"/>
      <c r="FK158" s="374"/>
      <c r="FL158" s="375"/>
      <c r="FM158" s="375"/>
      <c r="FO158" s="373"/>
      <c r="FP158" s="374"/>
      <c r="FQ158" s="375"/>
      <c r="FR158" s="375"/>
      <c r="FT158" s="373"/>
      <c r="FU158" s="374"/>
      <c r="FV158" s="375"/>
      <c r="FW158" s="375"/>
      <c r="FY158" s="373"/>
      <c r="FZ158" s="374"/>
      <c r="GA158" s="375"/>
      <c r="GB158" s="375"/>
      <c r="GD158" s="373"/>
      <c r="GE158" s="374"/>
      <c r="GF158" s="375"/>
      <c r="GG158" s="375"/>
      <c r="GI158" s="373"/>
      <c r="GJ158" s="374"/>
      <c r="GK158" s="375"/>
      <c r="GL158" s="375"/>
      <c r="GN158" s="373"/>
      <c r="GO158" s="374"/>
      <c r="GP158" s="375"/>
      <c r="GQ158" s="375"/>
      <c r="GS158" s="373"/>
      <c r="GT158" s="374"/>
      <c r="GU158" s="375"/>
      <c r="GV158" s="375"/>
      <c r="GX158" s="373"/>
      <c r="GY158" s="374"/>
      <c r="GZ158" s="375"/>
      <c r="HA158" s="375"/>
      <c r="HC158" s="373"/>
      <c r="HD158" s="374"/>
      <c r="HE158" s="375"/>
      <c r="HF158" s="375"/>
      <c r="HH158" s="373"/>
      <c r="HI158" s="374"/>
      <c r="HJ158" s="375"/>
      <c r="HK158" s="375"/>
      <c r="HM158" s="373"/>
      <c r="HN158" s="374"/>
      <c r="HO158" s="375"/>
      <c r="HP158" s="375"/>
      <c r="HR158" s="373"/>
      <c r="HS158" s="374"/>
      <c r="HT158" s="375"/>
      <c r="HU158" s="375"/>
      <c r="HW158" s="373"/>
      <c r="HX158" s="374"/>
      <c r="HY158" s="375"/>
      <c r="HZ158" s="375"/>
      <c r="IB158" s="373"/>
      <c r="IC158" s="374"/>
      <c r="ID158" s="375"/>
      <c r="IE158" s="375"/>
      <c r="IG158" s="373"/>
      <c r="IH158" s="374"/>
      <c r="II158" s="375"/>
      <c r="IJ158" s="375"/>
      <c r="IL158" s="373"/>
      <c r="IM158" s="374"/>
      <c r="IN158" s="375"/>
      <c r="IO158" s="375"/>
      <c r="IQ158" s="373"/>
      <c r="IR158" s="374"/>
      <c r="IS158" s="375"/>
      <c r="IT158" s="375"/>
      <c r="IV158" s="373"/>
    </row>
    <row r="159" spans="1:256" s="376" customFormat="1" x14ac:dyDescent="0.2">
      <c r="A159" s="373"/>
      <c r="B159" s="374"/>
      <c r="C159" s="375"/>
      <c r="D159" s="375"/>
      <c r="F159" s="373"/>
      <c r="G159" s="374"/>
      <c r="H159" s="375"/>
      <c r="I159" s="375"/>
      <c r="K159" s="382">
        <v>157</v>
      </c>
      <c r="L159" s="383" t="s">
        <v>2718</v>
      </c>
      <c r="M159" s="384">
        <v>5.2631578947368425</v>
      </c>
      <c r="N159" s="384">
        <v>2.6315789473684209E-2</v>
      </c>
      <c r="P159" s="373"/>
      <c r="Q159" s="374"/>
      <c r="R159" s="375"/>
      <c r="S159" s="375"/>
      <c r="U159" s="373"/>
      <c r="V159" s="374"/>
      <c r="W159" s="375"/>
      <c r="X159" s="375"/>
      <c r="Z159" s="373"/>
      <c r="AA159" s="374"/>
      <c r="AB159" s="375"/>
      <c r="AC159" s="375"/>
      <c r="AE159" s="373"/>
      <c r="AF159" s="374"/>
      <c r="AG159" s="375"/>
      <c r="AH159" s="375"/>
      <c r="AJ159" s="373"/>
      <c r="AK159" s="374"/>
      <c r="AL159" s="375"/>
      <c r="AM159" s="375"/>
      <c r="AO159" s="373"/>
      <c r="AP159" s="374"/>
      <c r="AQ159" s="375"/>
      <c r="AR159" s="375"/>
      <c r="AT159" s="373"/>
      <c r="AU159" s="374"/>
      <c r="AV159" s="375"/>
      <c r="AW159" s="375"/>
      <c r="AY159" s="373"/>
      <c r="AZ159" s="374"/>
      <c r="BA159" s="375"/>
      <c r="BB159" s="375"/>
      <c r="BD159" s="373"/>
      <c r="BE159" s="374"/>
      <c r="BF159" s="375"/>
      <c r="BG159" s="375"/>
      <c r="BI159" s="373"/>
      <c r="BJ159" s="374"/>
      <c r="BK159" s="375"/>
      <c r="BL159" s="375"/>
      <c r="BN159" s="373"/>
      <c r="BO159" s="374"/>
      <c r="BP159" s="375"/>
      <c r="BQ159" s="375"/>
      <c r="BS159" s="373"/>
      <c r="BT159" s="374"/>
      <c r="BU159" s="375"/>
      <c r="BV159" s="375"/>
      <c r="BX159" s="373"/>
      <c r="BY159" s="374"/>
      <c r="BZ159" s="375"/>
      <c r="CA159" s="375"/>
      <c r="CC159" s="373"/>
      <c r="CD159" s="374"/>
      <c r="CE159" s="375"/>
      <c r="CF159" s="375"/>
      <c r="CH159" s="373"/>
      <c r="CI159" s="374"/>
      <c r="CJ159" s="375"/>
      <c r="CK159" s="375"/>
      <c r="CM159" s="373"/>
      <c r="CN159" s="374"/>
      <c r="CO159" s="375"/>
      <c r="CP159" s="375"/>
      <c r="CR159" s="373"/>
      <c r="CS159" s="374"/>
      <c r="CT159" s="375"/>
      <c r="CU159" s="375"/>
      <c r="CW159" s="373"/>
      <c r="CX159" s="374"/>
      <c r="CY159" s="375"/>
      <c r="CZ159" s="375"/>
      <c r="DB159" s="373"/>
      <c r="DC159" s="374"/>
      <c r="DD159" s="375"/>
      <c r="DE159" s="375"/>
      <c r="DG159" s="373"/>
      <c r="DH159" s="374"/>
      <c r="DI159" s="375"/>
      <c r="DJ159" s="375"/>
      <c r="DL159" s="373"/>
      <c r="DM159" s="374"/>
      <c r="DN159" s="375"/>
      <c r="DO159" s="375"/>
      <c r="DQ159" s="373"/>
      <c r="DR159" s="374"/>
      <c r="DS159" s="375"/>
      <c r="DT159" s="375"/>
      <c r="DV159" s="373"/>
      <c r="DW159" s="374"/>
      <c r="DX159" s="375"/>
      <c r="DY159" s="375"/>
      <c r="EA159" s="373"/>
      <c r="EB159" s="374"/>
      <c r="EC159" s="375"/>
      <c r="ED159" s="375"/>
      <c r="EF159" s="373"/>
      <c r="EG159" s="374"/>
      <c r="EH159" s="375"/>
      <c r="EI159" s="375"/>
      <c r="EK159" s="373"/>
      <c r="EL159" s="374"/>
      <c r="EM159" s="375"/>
      <c r="EN159" s="375"/>
      <c r="EP159" s="373"/>
      <c r="EQ159" s="374"/>
      <c r="ER159" s="375"/>
      <c r="ES159" s="375"/>
      <c r="EU159" s="373"/>
      <c r="EV159" s="374"/>
      <c r="EW159" s="375"/>
      <c r="EX159" s="375"/>
      <c r="EZ159" s="373"/>
      <c r="FA159" s="374"/>
      <c r="FB159" s="375"/>
      <c r="FC159" s="375"/>
      <c r="FE159" s="373"/>
      <c r="FF159" s="374"/>
      <c r="FG159" s="375"/>
      <c r="FH159" s="375"/>
      <c r="FJ159" s="373"/>
      <c r="FK159" s="374"/>
      <c r="FL159" s="375"/>
      <c r="FM159" s="375"/>
      <c r="FO159" s="373"/>
      <c r="FP159" s="374"/>
      <c r="FQ159" s="375"/>
      <c r="FR159" s="375"/>
      <c r="FT159" s="373"/>
      <c r="FU159" s="374"/>
      <c r="FV159" s="375"/>
      <c r="FW159" s="375"/>
      <c r="FY159" s="373"/>
      <c r="FZ159" s="374"/>
      <c r="GA159" s="375"/>
      <c r="GB159" s="375"/>
      <c r="GD159" s="373"/>
      <c r="GE159" s="374"/>
      <c r="GF159" s="375"/>
      <c r="GG159" s="375"/>
      <c r="GI159" s="373"/>
      <c r="GJ159" s="374"/>
      <c r="GK159" s="375"/>
      <c r="GL159" s="375"/>
      <c r="GN159" s="373"/>
      <c r="GO159" s="374"/>
      <c r="GP159" s="375"/>
      <c r="GQ159" s="375"/>
      <c r="GS159" s="373"/>
      <c r="GT159" s="374"/>
      <c r="GU159" s="375"/>
      <c r="GV159" s="375"/>
      <c r="GX159" s="373"/>
      <c r="GY159" s="374"/>
      <c r="GZ159" s="375"/>
      <c r="HA159" s="375"/>
      <c r="HC159" s="373"/>
      <c r="HD159" s="374"/>
      <c r="HE159" s="375"/>
      <c r="HF159" s="375"/>
      <c r="HH159" s="373"/>
      <c r="HI159" s="374"/>
      <c r="HJ159" s="375"/>
      <c r="HK159" s="375"/>
      <c r="HM159" s="373"/>
      <c r="HN159" s="374"/>
      <c r="HO159" s="375"/>
      <c r="HP159" s="375"/>
      <c r="HR159" s="373"/>
      <c r="HS159" s="374"/>
      <c r="HT159" s="375"/>
      <c r="HU159" s="375"/>
      <c r="HW159" s="373"/>
      <c r="HX159" s="374"/>
      <c r="HY159" s="375"/>
      <c r="HZ159" s="375"/>
      <c r="IB159" s="373"/>
      <c r="IC159" s="374"/>
      <c r="ID159" s="375"/>
      <c r="IE159" s="375"/>
      <c r="IG159" s="373"/>
      <c r="IH159" s="374"/>
      <c r="II159" s="375"/>
      <c r="IJ159" s="375"/>
      <c r="IL159" s="373"/>
      <c r="IM159" s="374"/>
      <c r="IN159" s="375"/>
      <c r="IO159" s="375"/>
      <c r="IQ159" s="373"/>
      <c r="IR159" s="374"/>
      <c r="IS159" s="375"/>
      <c r="IT159" s="375"/>
      <c r="IV159" s="373"/>
    </row>
    <row r="160" spans="1:256" s="376" customFormat="1" x14ac:dyDescent="0.2">
      <c r="A160" s="373"/>
      <c r="B160" s="374"/>
      <c r="C160" s="375"/>
      <c r="D160" s="375"/>
      <c r="F160" s="373"/>
      <c r="G160" s="374"/>
      <c r="H160" s="375"/>
      <c r="I160" s="375"/>
      <c r="K160" s="373"/>
      <c r="L160" s="374"/>
      <c r="M160" s="375"/>
      <c r="N160" s="375"/>
      <c r="P160" s="373"/>
      <c r="Q160" s="374"/>
      <c r="R160" s="375"/>
      <c r="S160" s="375"/>
      <c r="U160" s="373"/>
      <c r="V160" s="374"/>
      <c r="W160" s="375"/>
      <c r="X160" s="375"/>
      <c r="Z160" s="373"/>
      <c r="AA160" s="374"/>
      <c r="AB160" s="375"/>
      <c r="AC160" s="375"/>
      <c r="AE160" s="373"/>
      <c r="AF160" s="374"/>
      <c r="AG160" s="375"/>
      <c r="AH160" s="375"/>
      <c r="AJ160" s="373"/>
      <c r="AK160" s="374"/>
      <c r="AL160" s="375"/>
      <c r="AM160" s="375"/>
      <c r="AO160" s="373"/>
      <c r="AP160" s="374"/>
      <c r="AQ160" s="375"/>
      <c r="AR160" s="375"/>
      <c r="AT160" s="373"/>
      <c r="AU160" s="374"/>
      <c r="AV160" s="375"/>
      <c r="AW160" s="375"/>
      <c r="AY160" s="373"/>
      <c r="AZ160" s="374"/>
      <c r="BA160" s="375"/>
      <c r="BB160" s="375"/>
      <c r="BD160" s="373"/>
      <c r="BE160" s="374"/>
      <c r="BF160" s="375"/>
      <c r="BG160" s="375"/>
      <c r="BI160" s="373"/>
      <c r="BJ160" s="374"/>
      <c r="BK160" s="375"/>
      <c r="BL160" s="375"/>
      <c r="BN160" s="373"/>
      <c r="BO160" s="374"/>
      <c r="BP160" s="375"/>
      <c r="BQ160" s="375"/>
      <c r="BS160" s="373"/>
      <c r="BT160" s="374"/>
      <c r="BU160" s="375"/>
      <c r="BV160" s="375"/>
      <c r="BX160" s="373"/>
      <c r="BY160" s="374"/>
      <c r="BZ160" s="375"/>
      <c r="CA160" s="375"/>
      <c r="CC160" s="373"/>
      <c r="CD160" s="374"/>
      <c r="CE160" s="375"/>
      <c r="CF160" s="375"/>
      <c r="CH160" s="373"/>
      <c r="CI160" s="374"/>
      <c r="CJ160" s="375"/>
      <c r="CK160" s="375"/>
      <c r="CM160" s="373"/>
      <c r="CN160" s="374"/>
      <c r="CO160" s="375"/>
      <c r="CP160" s="375"/>
      <c r="CR160" s="373"/>
      <c r="CS160" s="374"/>
      <c r="CT160" s="375"/>
      <c r="CU160" s="375"/>
      <c r="CW160" s="373"/>
      <c r="CX160" s="374"/>
      <c r="CY160" s="375"/>
      <c r="CZ160" s="375"/>
      <c r="DB160" s="373"/>
      <c r="DC160" s="374"/>
      <c r="DD160" s="375"/>
      <c r="DE160" s="375"/>
      <c r="DG160" s="373"/>
      <c r="DH160" s="374"/>
      <c r="DI160" s="375"/>
      <c r="DJ160" s="375"/>
      <c r="DL160" s="373"/>
      <c r="DM160" s="374"/>
      <c r="DN160" s="375"/>
      <c r="DO160" s="375"/>
      <c r="DQ160" s="373"/>
      <c r="DR160" s="374"/>
      <c r="DS160" s="375"/>
      <c r="DT160" s="375"/>
      <c r="DV160" s="373"/>
      <c r="DW160" s="374"/>
      <c r="DX160" s="375"/>
      <c r="DY160" s="375"/>
      <c r="EA160" s="373"/>
      <c r="EB160" s="374"/>
      <c r="EC160" s="375"/>
      <c r="ED160" s="375"/>
      <c r="EF160" s="373"/>
      <c r="EG160" s="374"/>
      <c r="EH160" s="375"/>
      <c r="EI160" s="375"/>
      <c r="EK160" s="373"/>
      <c r="EL160" s="374"/>
      <c r="EM160" s="375"/>
      <c r="EN160" s="375"/>
      <c r="EP160" s="373"/>
      <c r="EQ160" s="374"/>
      <c r="ER160" s="375"/>
      <c r="ES160" s="375"/>
      <c r="EU160" s="373"/>
      <c r="EV160" s="374"/>
      <c r="EW160" s="375"/>
      <c r="EX160" s="375"/>
      <c r="EZ160" s="373"/>
      <c r="FA160" s="374"/>
      <c r="FB160" s="375"/>
      <c r="FC160" s="375"/>
      <c r="FE160" s="373"/>
      <c r="FF160" s="374"/>
      <c r="FG160" s="375"/>
      <c r="FH160" s="375"/>
      <c r="FJ160" s="373"/>
      <c r="FK160" s="374"/>
      <c r="FL160" s="375"/>
      <c r="FM160" s="375"/>
      <c r="FO160" s="373"/>
      <c r="FP160" s="374"/>
      <c r="FQ160" s="375"/>
      <c r="FR160" s="375"/>
      <c r="FT160" s="373"/>
      <c r="FU160" s="374"/>
      <c r="FV160" s="375"/>
      <c r="FW160" s="375"/>
      <c r="FY160" s="373"/>
      <c r="FZ160" s="374"/>
      <c r="GA160" s="375"/>
      <c r="GB160" s="375"/>
      <c r="GD160" s="373"/>
      <c r="GE160" s="374"/>
      <c r="GF160" s="375"/>
      <c r="GG160" s="375"/>
      <c r="GI160" s="373"/>
      <c r="GJ160" s="374"/>
      <c r="GK160" s="375"/>
      <c r="GL160" s="375"/>
      <c r="GN160" s="373"/>
      <c r="GO160" s="374"/>
      <c r="GP160" s="375"/>
      <c r="GQ160" s="375"/>
      <c r="GS160" s="373"/>
      <c r="GT160" s="374"/>
      <c r="GU160" s="375"/>
      <c r="GV160" s="375"/>
      <c r="GX160" s="373"/>
      <c r="GY160" s="374"/>
      <c r="GZ160" s="375"/>
      <c r="HA160" s="375"/>
      <c r="HC160" s="373"/>
      <c r="HD160" s="374"/>
      <c r="HE160" s="375"/>
      <c r="HF160" s="375"/>
      <c r="HH160" s="373"/>
      <c r="HI160" s="374"/>
      <c r="HJ160" s="375"/>
      <c r="HK160" s="375"/>
      <c r="HM160" s="373"/>
      <c r="HN160" s="374"/>
      <c r="HO160" s="375"/>
      <c r="HP160" s="375"/>
      <c r="HR160" s="373"/>
      <c r="HS160" s="374"/>
      <c r="HT160" s="375"/>
      <c r="HU160" s="375"/>
      <c r="HW160" s="373"/>
      <c r="HX160" s="374"/>
      <c r="HY160" s="375"/>
      <c r="HZ160" s="375"/>
      <c r="IB160" s="373"/>
      <c r="IC160" s="374"/>
      <c r="ID160" s="375"/>
      <c r="IE160" s="375"/>
      <c r="IG160" s="373"/>
      <c r="IH160" s="374"/>
      <c r="II160" s="375"/>
      <c r="IJ160" s="375"/>
      <c r="IL160" s="373"/>
      <c r="IM160" s="374"/>
      <c r="IN160" s="375"/>
      <c r="IO160" s="375"/>
      <c r="IQ160" s="373"/>
      <c r="IR160" s="374"/>
      <c r="IS160" s="375"/>
      <c r="IT160" s="375"/>
      <c r="IV160" s="373"/>
    </row>
    <row r="161" spans="1:256" s="376" customFormat="1" x14ac:dyDescent="0.2">
      <c r="A161" s="373"/>
      <c r="B161" s="374"/>
      <c r="C161" s="375"/>
      <c r="D161" s="375"/>
      <c r="F161" s="373"/>
      <c r="G161" s="374"/>
      <c r="H161" s="375"/>
      <c r="I161" s="375"/>
      <c r="K161" s="373"/>
      <c r="L161" s="374"/>
      <c r="M161" s="375"/>
      <c r="N161" s="375"/>
      <c r="P161" s="373"/>
      <c r="Q161" s="374"/>
      <c r="R161" s="375"/>
      <c r="S161" s="375"/>
      <c r="U161" s="373"/>
      <c r="V161" s="374"/>
      <c r="W161" s="375"/>
      <c r="X161" s="375"/>
      <c r="Z161" s="373"/>
      <c r="AA161" s="374"/>
      <c r="AB161" s="375"/>
      <c r="AC161" s="375"/>
      <c r="AE161" s="373"/>
      <c r="AF161" s="374"/>
      <c r="AG161" s="375"/>
      <c r="AH161" s="375"/>
      <c r="AJ161" s="373"/>
      <c r="AK161" s="374"/>
      <c r="AL161" s="375"/>
      <c r="AM161" s="375"/>
      <c r="AO161" s="373"/>
      <c r="AP161" s="374"/>
      <c r="AQ161" s="375"/>
      <c r="AR161" s="375"/>
      <c r="AT161" s="373"/>
      <c r="AU161" s="374"/>
      <c r="AV161" s="375"/>
      <c r="AW161" s="375"/>
      <c r="AY161" s="373"/>
      <c r="AZ161" s="374"/>
      <c r="BA161" s="375"/>
      <c r="BB161" s="375"/>
      <c r="BD161" s="373"/>
      <c r="BE161" s="374"/>
      <c r="BF161" s="375"/>
      <c r="BG161" s="375"/>
      <c r="BI161" s="373"/>
      <c r="BJ161" s="374"/>
      <c r="BK161" s="375"/>
      <c r="BL161" s="375"/>
      <c r="BN161" s="373"/>
      <c r="BO161" s="374"/>
      <c r="BP161" s="375"/>
      <c r="BQ161" s="375"/>
      <c r="BS161" s="373"/>
      <c r="BT161" s="374"/>
      <c r="BU161" s="375"/>
      <c r="BV161" s="375"/>
      <c r="BX161" s="373"/>
      <c r="BY161" s="374"/>
      <c r="BZ161" s="375"/>
      <c r="CA161" s="375"/>
      <c r="CC161" s="373"/>
      <c r="CD161" s="374"/>
      <c r="CE161" s="375"/>
      <c r="CF161" s="375"/>
      <c r="CH161" s="373"/>
      <c r="CI161" s="374"/>
      <c r="CJ161" s="375"/>
      <c r="CK161" s="375"/>
      <c r="CM161" s="373"/>
      <c r="CN161" s="374"/>
      <c r="CO161" s="375"/>
      <c r="CP161" s="375"/>
      <c r="CR161" s="373"/>
      <c r="CS161" s="374"/>
      <c r="CT161" s="375"/>
      <c r="CU161" s="375"/>
      <c r="CW161" s="373"/>
      <c r="CX161" s="374"/>
      <c r="CY161" s="375"/>
      <c r="CZ161" s="375"/>
      <c r="DB161" s="373"/>
      <c r="DC161" s="374"/>
      <c r="DD161" s="375"/>
      <c r="DE161" s="375"/>
      <c r="DG161" s="373"/>
      <c r="DH161" s="374"/>
      <c r="DI161" s="375"/>
      <c r="DJ161" s="375"/>
      <c r="DL161" s="373"/>
      <c r="DM161" s="374"/>
      <c r="DN161" s="375"/>
      <c r="DO161" s="375"/>
      <c r="DQ161" s="373"/>
      <c r="DR161" s="374"/>
      <c r="DS161" s="375"/>
      <c r="DT161" s="375"/>
      <c r="DV161" s="373"/>
      <c r="DW161" s="374"/>
      <c r="DX161" s="375"/>
      <c r="DY161" s="375"/>
      <c r="EA161" s="373"/>
      <c r="EB161" s="374"/>
      <c r="EC161" s="375"/>
      <c r="ED161" s="375"/>
      <c r="EF161" s="373"/>
      <c r="EG161" s="374"/>
      <c r="EH161" s="375"/>
      <c r="EI161" s="375"/>
      <c r="EK161" s="373"/>
      <c r="EL161" s="374"/>
      <c r="EM161" s="375"/>
      <c r="EN161" s="375"/>
      <c r="EP161" s="373"/>
      <c r="EQ161" s="374"/>
      <c r="ER161" s="375"/>
      <c r="ES161" s="375"/>
      <c r="EU161" s="373"/>
      <c r="EV161" s="374"/>
      <c r="EW161" s="375"/>
      <c r="EX161" s="375"/>
      <c r="EZ161" s="373"/>
      <c r="FA161" s="374"/>
      <c r="FB161" s="375"/>
      <c r="FC161" s="375"/>
      <c r="FE161" s="373"/>
      <c r="FF161" s="374"/>
      <c r="FG161" s="375"/>
      <c r="FH161" s="375"/>
      <c r="FJ161" s="373"/>
      <c r="FK161" s="374"/>
      <c r="FL161" s="375"/>
      <c r="FM161" s="375"/>
      <c r="FO161" s="373"/>
      <c r="FP161" s="374"/>
      <c r="FQ161" s="375"/>
      <c r="FR161" s="375"/>
      <c r="FT161" s="373"/>
      <c r="FU161" s="374"/>
      <c r="FV161" s="375"/>
      <c r="FW161" s="375"/>
      <c r="FY161" s="373"/>
      <c r="FZ161" s="374"/>
      <c r="GA161" s="375"/>
      <c r="GB161" s="375"/>
      <c r="GD161" s="373"/>
      <c r="GE161" s="374"/>
      <c r="GF161" s="375"/>
      <c r="GG161" s="375"/>
      <c r="GI161" s="373"/>
      <c r="GJ161" s="374"/>
      <c r="GK161" s="375"/>
      <c r="GL161" s="375"/>
      <c r="GN161" s="373"/>
      <c r="GO161" s="374"/>
      <c r="GP161" s="375"/>
      <c r="GQ161" s="375"/>
      <c r="GS161" s="373"/>
      <c r="GT161" s="374"/>
      <c r="GU161" s="375"/>
      <c r="GV161" s="375"/>
      <c r="GX161" s="373"/>
      <c r="GY161" s="374"/>
      <c r="GZ161" s="375"/>
      <c r="HA161" s="375"/>
      <c r="HC161" s="373"/>
      <c r="HD161" s="374"/>
      <c r="HE161" s="375"/>
      <c r="HF161" s="375"/>
      <c r="HH161" s="373"/>
      <c r="HI161" s="374"/>
      <c r="HJ161" s="375"/>
      <c r="HK161" s="375"/>
      <c r="HM161" s="373"/>
      <c r="HN161" s="374"/>
      <c r="HO161" s="375"/>
      <c r="HP161" s="375"/>
      <c r="HR161" s="373"/>
      <c r="HS161" s="374"/>
      <c r="HT161" s="375"/>
      <c r="HU161" s="375"/>
      <c r="HW161" s="373"/>
      <c r="HX161" s="374"/>
      <c r="HY161" s="375"/>
      <c r="HZ161" s="375"/>
      <c r="IB161" s="373"/>
      <c r="IC161" s="374"/>
      <c r="ID161" s="375"/>
      <c r="IE161" s="375"/>
      <c r="IG161" s="373"/>
      <c r="IH161" s="374"/>
      <c r="II161" s="375"/>
      <c r="IJ161" s="375"/>
      <c r="IL161" s="373"/>
      <c r="IM161" s="374"/>
      <c r="IN161" s="375"/>
      <c r="IO161" s="375"/>
      <c r="IQ161" s="373"/>
      <c r="IR161" s="374"/>
      <c r="IS161" s="375"/>
      <c r="IT161" s="375"/>
      <c r="IV161" s="373"/>
    </row>
    <row r="162" spans="1:256" s="376" customFormat="1" x14ac:dyDescent="0.2">
      <c r="A162" s="373"/>
      <c r="B162" s="374"/>
      <c r="C162" s="375"/>
      <c r="D162" s="375"/>
      <c r="F162" s="373"/>
      <c r="G162" s="374"/>
      <c r="H162" s="375"/>
      <c r="I162" s="375"/>
      <c r="K162" s="373"/>
      <c r="L162" s="374"/>
      <c r="M162" s="375"/>
      <c r="N162" s="375"/>
      <c r="P162" s="373"/>
      <c r="Q162" s="374"/>
      <c r="R162" s="375"/>
      <c r="S162" s="375"/>
      <c r="U162" s="373"/>
      <c r="V162" s="374"/>
      <c r="W162" s="375"/>
      <c r="X162" s="375"/>
      <c r="Z162" s="373"/>
      <c r="AA162" s="374"/>
      <c r="AB162" s="375"/>
      <c r="AC162" s="375"/>
      <c r="AE162" s="373"/>
      <c r="AF162" s="374"/>
      <c r="AG162" s="375"/>
      <c r="AH162" s="375"/>
      <c r="AJ162" s="373"/>
      <c r="AK162" s="374"/>
      <c r="AL162" s="375"/>
      <c r="AM162" s="375"/>
      <c r="AO162" s="373"/>
      <c r="AP162" s="374"/>
      <c r="AQ162" s="375"/>
      <c r="AR162" s="375"/>
      <c r="AT162" s="373"/>
      <c r="AU162" s="374"/>
      <c r="AV162" s="375"/>
      <c r="AW162" s="375"/>
      <c r="AY162" s="373"/>
      <c r="AZ162" s="374"/>
      <c r="BA162" s="375"/>
      <c r="BB162" s="375"/>
      <c r="BD162" s="373"/>
      <c r="BE162" s="374"/>
      <c r="BF162" s="375"/>
      <c r="BG162" s="375"/>
      <c r="BI162" s="373"/>
      <c r="BJ162" s="374"/>
      <c r="BK162" s="375"/>
      <c r="BL162" s="375"/>
      <c r="BN162" s="373"/>
      <c r="BO162" s="374"/>
      <c r="BP162" s="375"/>
      <c r="BQ162" s="375"/>
      <c r="BS162" s="373"/>
      <c r="BT162" s="374"/>
      <c r="BU162" s="375"/>
      <c r="BV162" s="375"/>
      <c r="BX162" s="373"/>
      <c r="BY162" s="374"/>
      <c r="BZ162" s="375"/>
      <c r="CA162" s="375"/>
      <c r="CC162" s="373"/>
      <c r="CD162" s="374"/>
      <c r="CE162" s="375"/>
      <c r="CF162" s="375"/>
      <c r="CH162" s="373"/>
      <c r="CI162" s="374"/>
      <c r="CJ162" s="375"/>
      <c r="CK162" s="375"/>
      <c r="CM162" s="373"/>
      <c r="CN162" s="374"/>
      <c r="CO162" s="375"/>
      <c r="CP162" s="375"/>
      <c r="CR162" s="373"/>
      <c r="CS162" s="374"/>
      <c r="CT162" s="375"/>
      <c r="CU162" s="375"/>
      <c r="CW162" s="373"/>
      <c r="CX162" s="374"/>
      <c r="CY162" s="375"/>
      <c r="CZ162" s="375"/>
      <c r="DB162" s="373"/>
      <c r="DC162" s="374"/>
      <c r="DD162" s="375"/>
      <c r="DE162" s="375"/>
      <c r="DG162" s="373"/>
      <c r="DH162" s="374"/>
      <c r="DI162" s="375"/>
      <c r="DJ162" s="375"/>
      <c r="DL162" s="373"/>
      <c r="DM162" s="374"/>
      <c r="DN162" s="375"/>
      <c r="DO162" s="375"/>
      <c r="DQ162" s="373"/>
      <c r="DR162" s="374"/>
      <c r="DS162" s="375"/>
      <c r="DT162" s="375"/>
      <c r="DV162" s="373"/>
      <c r="DW162" s="374"/>
      <c r="DX162" s="375"/>
      <c r="DY162" s="375"/>
      <c r="EA162" s="373"/>
      <c r="EB162" s="374"/>
      <c r="EC162" s="375"/>
      <c r="ED162" s="375"/>
      <c r="EF162" s="373"/>
      <c r="EG162" s="374"/>
      <c r="EH162" s="375"/>
      <c r="EI162" s="375"/>
      <c r="EK162" s="373"/>
      <c r="EL162" s="374"/>
      <c r="EM162" s="375"/>
      <c r="EN162" s="375"/>
      <c r="EP162" s="373"/>
      <c r="EQ162" s="374"/>
      <c r="ER162" s="375"/>
      <c r="ES162" s="375"/>
      <c r="EU162" s="373"/>
      <c r="EV162" s="374"/>
      <c r="EW162" s="375"/>
      <c r="EX162" s="375"/>
      <c r="EZ162" s="373"/>
      <c r="FA162" s="374"/>
      <c r="FB162" s="375"/>
      <c r="FC162" s="375"/>
      <c r="FE162" s="373"/>
      <c r="FF162" s="374"/>
      <c r="FG162" s="375"/>
      <c r="FH162" s="375"/>
      <c r="FJ162" s="373"/>
      <c r="FK162" s="374"/>
      <c r="FL162" s="375"/>
      <c r="FM162" s="375"/>
      <c r="FO162" s="373"/>
      <c r="FP162" s="374"/>
      <c r="FQ162" s="375"/>
      <c r="FR162" s="375"/>
      <c r="FT162" s="373"/>
      <c r="FU162" s="374"/>
      <c r="FV162" s="375"/>
      <c r="FW162" s="375"/>
      <c r="FY162" s="373"/>
      <c r="FZ162" s="374"/>
      <c r="GA162" s="375"/>
      <c r="GB162" s="375"/>
      <c r="GD162" s="373"/>
      <c r="GE162" s="374"/>
      <c r="GF162" s="375"/>
      <c r="GG162" s="375"/>
      <c r="GI162" s="373"/>
      <c r="GJ162" s="374"/>
      <c r="GK162" s="375"/>
      <c r="GL162" s="375"/>
      <c r="GN162" s="373"/>
      <c r="GO162" s="374"/>
      <c r="GP162" s="375"/>
      <c r="GQ162" s="375"/>
      <c r="GS162" s="373"/>
      <c r="GT162" s="374"/>
      <c r="GU162" s="375"/>
      <c r="GV162" s="375"/>
      <c r="GX162" s="373"/>
      <c r="GY162" s="374"/>
      <c r="GZ162" s="375"/>
      <c r="HA162" s="375"/>
      <c r="HC162" s="373"/>
      <c r="HD162" s="374"/>
      <c r="HE162" s="375"/>
      <c r="HF162" s="375"/>
      <c r="HH162" s="373"/>
      <c r="HI162" s="374"/>
      <c r="HJ162" s="375"/>
      <c r="HK162" s="375"/>
      <c r="HM162" s="373"/>
      <c r="HN162" s="374"/>
      <c r="HO162" s="375"/>
      <c r="HP162" s="375"/>
      <c r="HR162" s="373"/>
      <c r="HS162" s="374"/>
      <c r="HT162" s="375"/>
      <c r="HU162" s="375"/>
      <c r="HW162" s="373"/>
      <c r="HX162" s="374"/>
      <c r="HY162" s="375"/>
      <c r="HZ162" s="375"/>
      <c r="IB162" s="373"/>
      <c r="IC162" s="374"/>
      <c r="ID162" s="375"/>
      <c r="IE162" s="375"/>
      <c r="IG162" s="373"/>
      <c r="IH162" s="374"/>
      <c r="II162" s="375"/>
      <c r="IJ162" s="375"/>
      <c r="IL162" s="373"/>
      <c r="IM162" s="374"/>
      <c r="IN162" s="375"/>
      <c r="IO162" s="375"/>
      <c r="IQ162" s="373"/>
      <c r="IR162" s="374"/>
      <c r="IS162" s="375"/>
      <c r="IT162" s="375"/>
      <c r="IV162" s="373"/>
    </row>
    <row r="163" spans="1:256" s="376" customFormat="1" x14ac:dyDescent="0.2">
      <c r="A163" s="373"/>
      <c r="B163" s="374"/>
      <c r="C163" s="375"/>
      <c r="D163" s="375"/>
      <c r="F163" s="373"/>
      <c r="G163" s="374"/>
      <c r="H163" s="375"/>
      <c r="I163" s="375"/>
      <c r="K163" s="373"/>
      <c r="L163" s="374"/>
      <c r="M163" s="375"/>
      <c r="N163" s="375"/>
      <c r="P163" s="373"/>
      <c r="Q163" s="374"/>
      <c r="R163" s="375"/>
      <c r="S163" s="375"/>
      <c r="U163" s="373"/>
      <c r="V163" s="374"/>
      <c r="W163" s="375"/>
      <c r="X163" s="375"/>
      <c r="Z163" s="373"/>
      <c r="AA163" s="374"/>
      <c r="AB163" s="375"/>
      <c r="AC163" s="375"/>
      <c r="AE163" s="373"/>
      <c r="AF163" s="374"/>
      <c r="AG163" s="375"/>
      <c r="AH163" s="375"/>
      <c r="AJ163" s="373"/>
      <c r="AK163" s="374"/>
      <c r="AL163" s="375"/>
      <c r="AM163" s="375"/>
      <c r="AO163" s="373"/>
      <c r="AP163" s="374"/>
      <c r="AQ163" s="375"/>
      <c r="AR163" s="375"/>
      <c r="AT163" s="373"/>
      <c r="AU163" s="374"/>
      <c r="AV163" s="375"/>
      <c r="AW163" s="375"/>
      <c r="AY163" s="373"/>
      <c r="AZ163" s="374"/>
      <c r="BA163" s="375"/>
      <c r="BB163" s="375"/>
      <c r="BD163" s="373"/>
      <c r="BE163" s="374"/>
      <c r="BF163" s="375"/>
      <c r="BG163" s="375"/>
      <c r="BI163" s="373"/>
      <c r="BJ163" s="374"/>
      <c r="BK163" s="375"/>
      <c r="BL163" s="375"/>
      <c r="BN163" s="373"/>
      <c r="BO163" s="374"/>
      <c r="BP163" s="375"/>
      <c r="BQ163" s="375"/>
      <c r="BS163" s="373"/>
      <c r="BT163" s="374"/>
      <c r="BU163" s="375"/>
      <c r="BV163" s="375"/>
      <c r="BX163" s="373"/>
      <c r="BY163" s="374"/>
      <c r="BZ163" s="375"/>
      <c r="CA163" s="375"/>
      <c r="CC163" s="373"/>
      <c r="CD163" s="374"/>
      <c r="CE163" s="375"/>
      <c r="CF163" s="375"/>
      <c r="CH163" s="373"/>
      <c r="CI163" s="374"/>
      <c r="CJ163" s="375"/>
      <c r="CK163" s="375"/>
      <c r="CM163" s="373"/>
      <c r="CN163" s="374"/>
      <c r="CO163" s="375"/>
      <c r="CP163" s="375"/>
      <c r="CR163" s="373"/>
      <c r="CS163" s="374"/>
      <c r="CT163" s="375"/>
      <c r="CU163" s="375"/>
      <c r="CW163" s="373"/>
      <c r="CX163" s="374"/>
      <c r="CY163" s="375"/>
      <c r="CZ163" s="375"/>
      <c r="DB163" s="373"/>
      <c r="DC163" s="374"/>
      <c r="DD163" s="375"/>
      <c r="DE163" s="375"/>
      <c r="DG163" s="373"/>
      <c r="DH163" s="374"/>
      <c r="DI163" s="375"/>
      <c r="DJ163" s="375"/>
      <c r="DL163" s="373"/>
      <c r="DM163" s="374"/>
      <c r="DN163" s="375"/>
      <c r="DO163" s="375"/>
      <c r="DQ163" s="373"/>
      <c r="DR163" s="374"/>
      <c r="DS163" s="375"/>
      <c r="DT163" s="375"/>
      <c r="DV163" s="373"/>
      <c r="DW163" s="374"/>
      <c r="DX163" s="375"/>
      <c r="DY163" s="375"/>
      <c r="EA163" s="373"/>
      <c r="EB163" s="374"/>
      <c r="EC163" s="375"/>
      <c r="ED163" s="375"/>
      <c r="EF163" s="373"/>
      <c r="EG163" s="374"/>
      <c r="EH163" s="375"/>
      <c r="EI163" s="375"/>
      <c r="EK163" s="373"/>
      <c r="EL163" s="374"/>
      <c r="EM163" s="375"/>
      <c r="EN163" s="375"/>
      <c r="EP163" s="373"/>
      <c r="EQ163" s="374"/>
      <c r="ER163" s="375"/>
      <c r="ES163" s="375"/>
      <c r="EU163" s="373"/>
      <c r="EV163" s="374"/>
      <c r="EW163" s="375"/>
      <c r="EX163" s="375"/>
      <c r="EZ163" s="373"/>
      <c r="FA163" s="374"/>
      <c r="FB163" s="375"/>
      <c r="FC163" s="375"/>
      <c r="FE163" s="373"/>
      <c r="FF163" s="374"/>
      <c r="FG163" s="375"/>
      <c r="FH163" s="375"/>
      <c r="FJ163" s="373"/>
      <c r="FK163" s="374"/>
      <c r="FL163" s="375"/>
      <c r="FM163" s="375"/>
      <c r="FO163" s="373"/>
      <c r="FP163" s="374"/>
      <c r="FQ163" s="375"/>
      <c r="FR163" s="375"/>
      <c r="FT163" s="373"/>
      <c r="FU163" s="374"/>
      <c r="FV163" s="375"/>
      <c r="FW163" s="375"/>
      <c r="FY163" s="373"/>
      <c r="FZ163" s="374"/>
      <c r="GA163" s="375"/>
      <c r="GB163" s="375"/>
      <c r="GD163" s="373"/>
      <c r="GE163" s="374"/>
      <c r="GF163" s="375"/>
      <c r="GG163" s="375"/>
      <c r="GI163" s="373"/>
      <c r="GJ163" s="374"/>
      <c r="GK163" s="375"/>
      <c r="GL163" s="375"/>
      <c r="GN163" s="373"/>
      <c r="GO163" s="374"/>
      <c r="GP163" s="375"/>
      <c r="GQ163" s="375"/>
      <c r="GS163" s="373"/>
      <c r="GT163" s="374"/>
      <c r="GU163" s="375"/>
      <c r="GV163" s="375"/>
      <c r="GX163" s="373"/>
      <c r="GY163" s="374"/>
      <c r="GZ163" s="375"/>
      <c r="HA163" s="375"/>
      <c r="HC163" s="373"/>
      <c r="HD163" s="374"/>
      <c r="HE163" s="375"/>
      <c r="HF163" s="375"/>
      <c r="HH163" s="373"/>
      <c r="HI163" s="374"/>
      <c r="HJ163" s="375"/>
      <c r="HK163" s="375"/>
      <c r="HM163" s="373"/>
      <c r="HN163" s="374"/>
      <c r="HO163" s="375"/>
      <c r="HP163" s="375"/>
      <c r="HR163" s="373"/>
      <c r="HS163" s="374"/>
      <c r="HT163" s="375"/>
      <c r="HU163" s="375"/>
      <c r="HW163" s="373"/>
      <c r="HX163" s="374"/>
      <c r="HY163" s="375"/>
      <c r="HZ163" s="375"/>
      <c r="IB163" s="373"/>
      <c r="IC163" s="374"/>
      <c r="ID163" s="375"/>
      <c r="IE163" s="375"/>
      <c r="IG163" s="373"/>
      <c r="IH163" s="374"/>
      <c r="II163" s="375"/>
      <c r="IJ163" s="375"/>
      <c r="IL163" s="373"/>
      <c r="IM163" s="374"/>
      <c r="IN163" s="375"/>
      <c r="IO163" s="375"/>
      <c r="IQ163" s="373"/>
      <c r="IR163" s="374"/>
      <c r="IS163" s="375"/>
      <c r="IT163" s="375"/>
      <c r="IV163" s="373"/>
    </row>
    <row r="164" spans="1:256" s="376" customFormat="1" x14ac:dyDescent="0.2">
      <c r="A164" s="373"/>
      <c r="B164" s="374"/>
      <c r="C164" s="375"/>
      <c r="D164" s="375"/>
      <c r="F164" s="373"/>
      <c r="G164" s="374"/>
      <c r="H164" s="375"/>
      <c r="I164" s="375"/>
      <c r="K164" s="373"/>
      <c r="L164" s="374"/>
      <c r="M164" s="375"/>
      <c r="N164" s="375"/>
      <c r="P164" s="373"/>
      <c r="Q164" s="374"/>
      <c r="R164" s="375"/>
      <c r="S164" s="375"/>
      <c r="U164" s="373"/>
      <c r="V164" s="374"/>
      <c r="W164" s="375"/>
      <c r="X164" s="375"/>
      <c r="Z164" s="373"/>
      <c r="AA164" s="374"/>
      <c r="AB164" s="375"/>
      <c r="AC164" s="375"/>
      <c r="AE164" s="373"/>
      <c r="AF164" s="374"/>
      <c r="AG164" s="375"/>
      <c r="AH164" s="375"/>
      <c r="AJ164" s="373"/>
      <c r="AK164" s="374"/>
      <c r="AL164" s="375"/>
      <c r="AM164" s="375"/>
      <c r="AO164" s="373"/>
      <c r="AP164" s="374"/>
      <c r="AQ164" s="375"/>
      <c r="AR164" s="375"/>
      <c r="AT164" s="373"/>
      <c r="AU164" s="374"/>
      <c r="AV164" s="375"/>
      <c r="AW164" s="375"/>
      <c r="AY164" s="373"/>
      <c r="AZ164" s="374"/>
      <c r="BA164" s="375"/>
      <c r="BB164" s="375"/>
      <c r="BD164" s="373"/>
      <c r="BE164" s="374"/>
      <c r="BF164" s="375"/>
      <c r="BG164" s="375"/>
      <c r="BI164" s="373"/>
      <c r="BJ164" s="374"/>
      <c r="BK164" s="375"/>
      <c r="BL164" s="375"/>
      <c r="BN164" s="373"/>
      <c r="BO164" s="374"/>
      <c r="BP164" s="375"/>
      <c r="BQ164" s="375"/>
      <c r="BS164" s="373"/>
      <c r="BT164" s="374"/>
      <c r="BU164" s="375"/>
      <c r="BV164" s="375"/>
      <c r="BX164" s="373"/>
      <c r="BY164" s="374"/>
      <c r="BZ164" s="375"/>
      <c r="CA164" s="375"/>
      <c r="CC164" s="373"/>
      <c r="CD164" s="374"/>
      <c r="CE164" s="375"/>
      <c r="CF164" s="375"/>
      <c r="CH164" s="373"/>
      <c r="CI164" s="374"/>
      <c r="CJ164" s="375"/>
      <c r="CK164" s="375"/>
      <c r="CM164" s="373"/>
      <c r="CN164" s="374"/>
      <c r="CO164" s="375"/>
      <c r="CP164" s="375"/>
      <c r="CR164" s="373"/>
      <c r="CS164" s="374"/>
      <c r="CT164" s="375"/>
      <c r="CU164" s="375"/>
      <c r="CW164" s="373"/>
      <c r="CX164" s="374"/>
      <c r="CY164" s="375"/>
      <c r="CZ164" s="375"/>
      <c r="DB164" s="373"/>
      <c r="DC164" s="374"/>
      <c r="DD164" s="375"/>
      <c r="DE164" s="375"/>
      <c r="DG164" s="373"/>
      <c r="DH164" s="374"/>
      <c r="DI164" s="375"/>
      <c r="DJ164" s="375"/>
      <c r="DL164" s="373"/>
      <c r="DM164" s="374"/>
      <c r="DN164" s="375"/>
      <c r="DO164" s="375"/>
      <c r="DQ164" s="373"/>
      <c r="DR164" s="374"/>
      <c r="DS164" s="375"/>
      <c r="DT164" s="375"/>
      <c r="DV164" s="373"/>
      <c r="DW164" s="374"/>
      <c r="DX164" s="375"/>
      <c r="DY164" s="375"/>
      <c r="EA164" s="373"/>
      <c r="EB164" s="374"/>
      <c r="EC164" s="375"/>
      <c r="ED164" s="375"/>
      <c r="EF164" s="373"/>
      <c r="EG164" s="374"/>
      <c r="EH164" s="375"/>
      <c r="EI164" s="375"/>
      <c r="EK164" s="373"/>
      <c r="EL164" s="374"/>
      <c r="EM164" s="375"/>
      <c r="EN164" s="375"/>
      <c r="EP164" s="373"/>
      <c r="EQ164" s="374"/>
      <c r="ER164" s="375"/>
      <c r="ES164" s="375"/>
      <c r="EU164" s="373"/>
      <c r="EV164" s="374"/>
      <c r="EW164" s="375"/>
      <c r="EX164" s="375"/>
      <c r="EZ164" s="373"/>
      <c r="FA164" s="374"/>
      <c r="FB164" s="375"/>
      <c r="FC164" s="375"/>
      <c r="FE164" s="373"/>
      <c r="FF164" s="374"/>
      <c r="FG164" s="375"/>
      <c r="FH164" s="375"/>
      <c r="FJ164" s="373"/>
      <c r="FK164" s="374"/>
      <c r="FL164" s="375"/>
      <c r="FM164" s="375"/>
      <c r="FO164" s="373"/>
      <c r="FP164" s="374"/>
      <c r="FQ164" s="375"/>
      <c r="FR164" s="375"/>
      <c r="FT164" s="373"/>
      <c r="FU164" s="374"/>
      <c r="FV164" s="375"/>
      <c r="FW164" s="375"/>
      <c r="FY164" s="373"/>
      <c r="FZ164" s="374"/>
      <c r="GA164" s="375"/>
      <c r="GB164" s="375"/>
      <c r="GD164" s="373"/>
      <c r="GE164" s="374"/>
      <c r="GF164" s="375"/>
      <c r="GG164" s="375"/>
      <c r="GI164" s="373"/>
      <c r="GJ164" s="374"/>
      <c r="GK164" s="375"/>
      <c r="GL164" s="375"/>
      <c r="GN164" s="373"/>
      <c r="GO164" s="374"/>
      <c r="GP164" s="375"/>
      <c r="GQ164" s="375"/>
      <c r="GS164" s="373"/>
      <c r="GT164" s="374"/>
      <c r="GU164" s="375"/>
      <c r="GV164" s="375"/>
      <c r="GX164" s="373"/>
      <c r="GY164" s="374"/>
      <c r="GZ164" s="375"/>
      <c r="HA164" s="375"/>
      <c r="HC164" s="373"/>
      <c r="HD164" s="374"/>
      <c r="HE164" s="375"/>
      <c r="HF164" s="375"/>
      <c r="HH164" s="373"/>
      <c r="HI164" s="374"/>
      <c r="HJ164" s="375"/>
      <c r="HK164" s="375"/>
      <c r="HM164" s="373"/>
      <c r="HN164" s="374"/>
      <c r="HO164" s="375"/>
      <c r="HP164" s="375"/>
      <c r="HR164" s="373"/>
      <c r="HS164" s="374"/>
      <c r="HT164" s="375"/>
      <c r="HU164" s="375"/>
      <c r="HW164" s="373"/>
      <c r="HX164" s="374"/>
      <c r="HY164" s="375"/>
      <c r="HZ164" s="375"/>
      <c r="IB164" s="373"/>
      <c r="IC164" s="374"/>
      <c r="ID164" s="375"/>
      <c r="IE164" s="375"/>
      <c r="IG164" s="373"/>
      <c r="IH164" s="374"/>
      <c r="II164" s="375"/>
      <c r="IJ164" s="375"/>
      <c r="IL164" s="373"/>
      <c r="IM164" s="374"/>
      <c r="IN164" s="375"/>
      <c r="IO164" s="375"/>
      <c r="IQ164" s="373"/>
      <c r="IR164" s="374"/>
      <c r="IS164" s="375"/>
      <c r="IT164" s="375"/>
      <c r="IV164" s="373"/>
    </row>
    <row r="337" spans="1:256" s="387" customFormat="1" x14ac:dyDescent="0.2">
      <c r="A337" s="385"/>
      <c r="B337" s="386"/>
      <c r="C337" s="375"/>
      <c r="D337" s="375"/>
      <c r="F337" s="385"/>
      <c r="G337" s="386"/>
      <c r="H337" s="375"/>
      <c r="I337" s="375"/>
      <c r="K337" s="385"/>
      <c r="L337" s="386"/>
      <c r="M337" s="375"/>
      <c r="N337" s="375"/>
      <c r="P337" s="385"/>
      <c r="Q337" s="386"/>
      <c r="R337" s="375"/>
      <c r="S337" s="375"/>
      <c r="U337" s="385"/>
      <c r="V337" s="386"/>
      <c r="W337" s="375"/>
      <c r="X337" s="375"/>
      <c r="Z337" s="385"/>
      <c r="AA337" s="386"/>
      <c r="AB337" s="375"/>
      <c r="AC337" s="375"/>
      <c r="AE337" s="385"/>
      <c r="AF337" s="386"/>
      <c r="AG337" s="375"/>
      <c r="AH337" s="375"/>
      <c r="AJ337" s="385"/>
      <c r="AK337" s="386"/>
      <c r="AL337" s="375"/>
      <c r="AM337" s="375"/>
      <c r="AO337" s="385"/>
      <c r="AP337" s="386"/>
      <c r="AQ337" s="375"/>
      <c r="AR337" s="375"/>
      <c r="AT337" s="385"/>
      <c r="AU337" s="386"/>
      <c r="AV337" s="375"/>
      <c r="AW337" s="375"/>
      <c r="AY337" s="385"/>
      <c r="AZ337" s="386"/>
      <c r="BA337" s="375"/>
      <c r="BB337" s="375"/>
      <c r="BD337" s="385"/>
      <c r="BE337" s="386"/>
      <c r="BF337" s="375"/>
      <c r="BG337" s="375"/>
      <c r="BI337" s="385"/>
      <c r="BJ337" s="386"/>
      <c r="BK337" s="375"/>
      <c r="BL337" s="375"/>
      <c r="BN337" s="385"/>
      <c r="BO337" s="386"/>
      <c r="BP337" s="375"/>
      <c r="BQ337" s="375"/>
      <c r="BS337" s="385"/>
      <c r="BT337" s="386"/>
      <c r="BU337" s="375"/>
      <c r="BV337" s="375"/>
      <c r="BX337" s="385"/>
      <c r="BY337" s="386"/>
      <c r="BZ337" s="375"/>
      <c r="CA337" s="375"/>
      <c r="CC337" s="385"/>
      <c r="CD337" s="386"/>
      <c r="CE337" s="375"/>
      <c r="CF337" s="375"/>
      <c r="CH337" s="385"/>
      <c r="CI337" s="386"/>
      <c r="CJ337" s="375"/>
      <c r="CK337" s="375"/>
      <c r="CM337" s="385"/>
      <c r="CN337" s="386"/>
      <c r="CO337" s="375"/>
      <c r="CP337" s="375"/>
      <c r="CR337" s="385"/>
      <c r="CS337" s="386"/>
      <c r="CT337" s="375"/>
      <c r="CU337" s="375"/>
      <c r="CW337" s="385"/>
      <c r="CX337" s="386"/>
      <c r="CY337" s="375"/>
      <c r="CZ337" s="375"/>
      <c r="DB337" s="385"/>
      <c r="DC337" s="386"/>
      <c r="DD337" s="375"/>
      <c r="DE337" s="375"/>
      <c r="DG337" s="385"/>
      <c r="DH337" s="386"/>
      <c r="DI337" s="375"/>
      <c r="DJ337" s="375"/>
      <c r="DL337" s="385"/>
      <c r="DM337" s="386"/>
      <c r="DN337" s="375"/>
      <c r="DO337" s="375"/>
      <c r="DQ337" s="385"/>
      <c r="DR337" s="386"/>
      <c r="DS337" s="375"/>
      <c r="DT337" s="375"/>
      <c r="DV337" s="385"/>
      <c r="DW337" s="386"/>
      <c r="DX337" s="375"/>
      <c r="DY337" s="375"/>
      <c r="EA337" s="385"/>
      <c r="EB337" s="386"/>
      <c r="EC337" s="375"/>
      <c r="ED337" s="375"/>
      <c r="EF337" s="385"/>
      <c r="EG337" s="386"/>
      <c r="EH337" s="375"/>
      <c r="EI337" s="375"/>
      <c r="EK337" s="385"/>
      <c r="EL337" s="386"/>
      <c r="EM337" s="375"/>
      <c r="EN337" s="375"/>
      <c r="EP337" s="385"/>
      <c r="EQ337" s="386"/>
      <c r="ER337" s="375"/>
      <c r="ES337" s="375"/>
      <c r="EU337" s="385"/>
      <c r="EV337" s="386"/>
      <c r="EW337" s="375"/>
      <c r="EX337" s="375"/>
      <c r="EZ337" s="385"/>
      <c r="FA337" s="386"/>
      <c r="FB337" s="375"/>
      <c r="FC337" s="375"/>
      <c r="FE337" s="385"/>
      <c r="FF337" s="386"/>
      <c r="FG337" s="375"/>
      <c r="FH337" s="375"/>
      <c r="FJ337" s="385"/>
      <c r="FK337" s="386"/>
      <c r="FL337" s="375"/>
      <c r="FM337" s="375"/>
      <c r="FO337" s="385"/>
      <c r="FP337" s="386"/>
      <c r="FQ337" s="375"/>
      <c r="FR337" s="375"/>
      <c r="FT337" s="385"/>
      <c r="FU337" s="386"/>
      <c r="FV337" s="375"/>
      <c r="FW337" s="375"/>
      <c r="FY337" s="385"/>
      <c r="FZ337" s="386"/>
      <c r="GA337" s="375"/>
      <c r="GB337" s="375"/>
      <c r="GD337" s="385"/>
      <c r="GE337" s="386"/>
      <c r="GF337" s="375"/>
      <c r="GG337" s="375"/>
      <c r="GI337" s="385"/>
      <c r="GJ337" s="386"/>
      <c r="GK337" s="375"/>
      <c r="GL337" s="375"/>
      <c r="GN337" s="385"/>
      <c r="GO337" s="386"/>
      <c r="GP337" s="375"/>
      <c r="GQ337" s="375"/>
      <c r="GS337" s="385"/>
      <c r="GT337" s="386"/>
      <c r="GU337" s="375"/>
      <c r="GV337" s="375"/>
      <c r="GX337" s="385"/>
      <c r="GY337" s="386"/>
      <c r="GZ337" s="375"/>
      <c r="HA337" s="375"/>
      <c r="HC337" s="385"/>
      <c r="HD337" s="386"/>
      <c r="HE337" s="375"/>
      <c r="HF337" s="375"/>
      <c r="HH337" s="385"/>
      <c r="HI337" s="386"/>
      <c r="HJ337" s="375"/>
      <c r="HK337" s="375"/>
      <c r="HM337" s="385"/>
      <c r="HN337" s="386"/>
      <c r="HO337" s="375"/>
      <c r="HP337" s="375"/>
      <c r="HR337" s="385"/>
      <c r="HS337" s="386"/>
      <c r="HT337" s="375"/>
      <c r="HU337" s="375"/>
      <c r="HW337" s="385"/>
      <c r="HX337" s="386"/>
      <c r="HY337" s="375"/>
      <c r="HZ337" s="375"/>
      <c r="IB337" s="385"/>
      <c r="IC337" s="386"/>
      <c r="ID337" s="375"/>
      <c r="IE337" s="375"/>
      <c r="IG337" s="385"/>
      <c r="IH337" s="386"/>
      <c r="II337" s="375"/>
      <c r="IJ337" s="375"/>
      <c r="IL337" s="385"/>
      <c r="IM337" s="386"/>
      <c r="IN337" s="375"/>
      <c r="IO337" s="375"/>
      <c r="IQ337" s="385"/>
      <c r="IR337" s="386"/>
      <c r="IS337" s="375"/>
      <c r="IT337" s="375"/>
      <c r="IV337" s="385"/>
    </row>
    <row r="338" spans="1:256" s="387" customFormat="1" x14ac:dyDescent="0.2">
      <c r="A338" s="385"/>
      <c r="B338" s="386"/>
      <c r="C338" s="375"/>
      <c r="D338" s="375"/>
      <c r="F338" s="385"/>
      <c r="G338" s="386"/>
      <c r="H338" s="375"/>
      <c r="I338" s="375"/>
      <c r="K338" s="385"/>
      <c r="L338" s="386"/>
      <c r="M338" s="375"/>
      <c r="N338" s="375"/>
      <c r="P338" s="385"/>
      <c r="Q338" s="386"/>
      <c r="R338" s="375"/>
      <c r="S338" s="375"/>
      <c r="U338" s="385"/>
      <c r="V338" s="386"/>
      <c r="W338" s="375"/>
      <c r="X338" s="375"/>
      <c r="Z338" s="385"/>
      <c r="AA338" s="386"/>
      <c r="AB338" s="375"/>
      <c r="AC338" s="375"/>
      <c r="AE338" s="385"/>
      <c r="AF338" s="386"/>
      <c r="AG338" s="375"/>
      <c r="AH338" s="375"/>
      <c r="AJ338" s="385"/>
      <c r="AK338" s="386"/>
      <c r="AL338" s="375"/>
      <c r="AM338" s="375"/>
      <c r="AO338" s="385"/>
      <c r="AP338" s="386"/>
      <c r="AQ338" s="375"/>
      <c r="AR338" s="375"/>
      <c r="AT338" s="385"/>
      <c r="AU338" s="386"/>
      <c r="AV338" s="375"/>
      <c r="AW338" s="375"/>
      <c r="AY338" s="385"/>
      <c r="AZ338" s="386"/>
      <c r="BA338" s="375"/>
      <c r="BB338" s="375"/>
      <c r="BD338" s="385"/>
      <c r="BE338" s="386"/>
      <c r="BF338" s="375"/>
      <c r="BG338" s="375"/>
      <c r="BI338" s="385"/>
      <c r="BJ338" s="386"/>
      <c r="BK338" s="375"/>
      <c r="BL338" s="375"/>
      <c r="BN338" s="385"/>
      <c r="BO338" s="386"/>
      <c r="BP338" s="375"/>
      <c r="BQ338" s="375"/>
      <c r="BS338" s="385"/>
      <c r="BT338" s="386"/>
      <c r="BU338" s="375"/>
      <c r="BV338" s="375"/>
      <c r="BX338" s="385"/>
      <c r="BY338" s="386"/>
      <c r="BZ338" s="375"/>
      <c r="CA338" s="375"/>
      <c r="CC338" s="385"/>
      <c r="CD338" s="386"/>
      <c r="CE338" s="375"/>
      <c r="CF338" s="375"/>
      <c r="CH338" s="385"/>
      <c r="CI338" s="386"/>
      <c r="CJ338" s="375"/>
      <c r="CK338" s="375"/>
      <c r="CM338" s="385"/>
      <c r="CN338" s="386"/>
      <c r="CO338" s="375"/>
      <c r="CP338" s="375"/>
      <c r="CR338" s="385"/>
      <c r="CS338" s="386"/>
      <c r="CT338" s="375"/>
      <c r="CU338" s="375"/>
      <c r="CW338" s="385"/>
      <c r="CX338" s="386"/>
      <c r="CY338" s="375"/>
      <c r="CZ338" s="375"/>
      <c r="DB338" s="385"/>
      <c r="DC338" s="386"/>
      <c r="DD338" s="375"/>
      <c r="DE338" s="375"/>
      <c r="DG338" s="385"/>
      <c r="DH338" s="386"/>
      <c r="DI338" s="375"/>
      <c r="DJ338" s="375"/>
      <c r="DL338" s="385"/>
      <c r="DM338" s="386"/>
      <c r="DN338" s="375"/>
      <c r="DO338" s="375"/>
      <c r="DQ338" s="385"/>
      <c r="DR338" s="386"/>
      <c r="DS338" s="375"/>
      <c r="DT338" s="375"/>
      <c r="DV338" s="385"/>
      <c r="DW338" s="386"/>
      <c r="DX338" s="375"/>
      <c r="DY338" s="375"/>
      <c r="EA338" s="385"/>
      <c r="EB338" s="386"/>
      <c r="EC338" s="375"/>
      <c r="ED338" s="375"/>
      <c r="EF338" s="385"/>
      <c r="EG338" s="386"/>
      <c r="EH338" s="375"/>
      <c r="EI338" s="375"/>
      <c r="EK338" s="385"/>
      <c r="EL338" s="386"/>
      <c r="EM338" s="375"/>
      <c r="EN338" s="375"/>
      <c r="EP338" s="385"/>
      <c r="EQ338" s="386"/>
      <c r="ER338" s="375"/>
      <c r="ES338" s="375"/>
      <c r="EU338" s="385"/>
      <c r="EV338" s="386"/>
      <c r="EW338" s="375"/>
      <c r="EX338" s="375"/>
      <c r="EZ338" s="385"/>
      <c r="FA338" s="386"/>
      <c r="FB338" s="375"/>
      <c r="FC338" s="375"/>
      <c r="FE338" s="385"/>
      <c r="FF338" s="386"/>
      <c r="FG338" s="375"/>
      <c r="FH338" s="375"/>
      <c r="FJ338" s="385"/>
      <c r="FK338" s="386"/>
      <c r="FL338" s="375"/>
      <c r="FM338" s="375"/>
      <c r="FO338" s="385"/>
      <c r="FP338" s="386"/>
      <c r="FQ338" s="375"/>
      <c r="FR338" s="375"/>
      <c r="FT338" s="385"/>
      <c r="FU338" s="386"/>
      <c r="FV338" s="375"/>
      <c r="FW338" s="375"/>
      <c r="FY338" s="385"/>
      <c r="FZ338" s="386"/>
      <c r="GA338" s="375"/>
      <c r="GB338" s="375"/>
      <c r="GD338" s="385"/>
      <c r="GE338" s="386"/>
      <c r="GF338" s="375"/>
      <c r="GG338" s="375"/>
      <c r="GI338" s="385"/>
      <c r="GJ338" s="386"/>
      <c r="GK338" s="375"/>
      <c r="GL338" s="375"/>
      <c r="GN338" s="385"/>
      <c r="GO338" s="386"/>
      <c r="GP338" s="375"/>
      <c r="GQ338" s="375"/>
      <c r="GS338" s="385"/>
      <c r="GT338" s="386"/>
      <c r="GU338" s="375"/>
      <c r="GV338" s="375"/>
      <c r="GX338" s="385"/>
      <c r="GY338" s="386"/>
      <c r="GZ338" s="375"/>
      <c r="HA338" s="375"/>
      <c r="HC338" s="385"/>
      <c r="HD338" s="386"/>
      <c r="HE338" s="375"/>
      <c r="HF338" s="375"/>
      <c r="HH338" s="385"/>
      <c r="HI338" s="386"/>
      <c r="HJ338" s="375"/>
      <c r="HK338" s="375"/>
      <c r="HM338" s="385"/>
      <c r="HN338" s="386"/>
      <c r="HO338" s="375"/>
      <c r="HP338" s="375"/>
      <c r="HR338" s="385"/>
      <c r="HS338" s="386"/>
      <c r="HT338" s="375"/>
      <c r="HU338" s="375"/>
      <c r="HW338" s="385"/>
      <c r="HX338" s="386"/>
      <c r="HY338" s="375"/>
      <c r="HZ338" s="375"/>
      <c r="IB338" s="385"/>
      <c r="IC338" s="386"/>
      <c r="ID338" s="375"/>
      <c r="IE338" s="375"/>
      <c r="IG338" s="385"/>
      <c r="IH338" s="386"/>
      <c r="II338" s="375"/>
      <c r="IJ338" s="375"/>
      <c r="IL338" s="385"/>
      <c r="IM338" s="386"/>
      <c r="IN338" s="375"/>
      <c r="IO338" s="375"/>
      <c r="IQ338" s="385"/>
      <c r="IR338" s="386"/>
      <c r="IS338" s="375"/>
      <c r="IT338" s="375"/>
      <c r="IV338" s="385"/>
    </row>
    <row r="339" spans="1:256" s="387" customFormat="1" x14ac:dyDescent="0.2">
      <c r="A339" s="385"/>
      <c r="B339" s="386"/>
      <c r="C339" s="375"/>
      <c r="D339" s="375"/>
      <c r="F339" s="385"/>
      <c r="G339" s="386"/>
      <c r="H339" s="375"/>
      <c r="I339" s="375"/>
      <c r="K339" s="385"/>
      <c r="L339" s="386"/>
      <c r="M339" s="375"/>
      <c r="N339" s="375"/>
      <c r="P339" s="385"/>
      <c r="Q339" s="386"/>
      <c r="R339" s="375"/>
      <c r="S339" s="375"/>
      <c r="U339" s="385"/>
      <c r="V339" s="386"/>
      <c r="W339" s="375"/>
      <c r="X339" s="375"/>
      <c r="Z339" s="385"/>
      <c r="AA339" s="386"/>
      <c r="AB339" s="375"/>
      <c r="AC339" s="375"/>
      <c r="AE339" s="385"/>
      <c r="AF339" s="386"/>
      <c r="AG339" s="375"/>
      <c r="AH339" s="375"/>
      <c r="AJ339" s="385"/>
      <c r="AK339" s="386"/>
      <c r="AL339" s="375"/>
      <c r="AM339" s="375"/>
      <c r="AO339" s="385"/>
      <c r="AP339" s="386"/>
      <c r="AQ339" s="375"/>
      <c r="AR339" s="375"/>
      <c r="AT339" s="385"/>
      <c r="AU339" s="386"/>
      <c r="AV339" s="375"/>
      <c r="AW339" s="375"/>
      <c r="AY339" s="385"/>
      <c r="AZ339" s="386"/>
      <c r="BA339" s="375"/>
      <c r="BB339" s="375"/>
      <c r="BD339" s="385"/>
      <c r="BE339" s="386"/>
      <c r="BF339" s="375"/>
      <c r="BG339" s="375"/>
      <c r="BI339" s="385"/>
      <c r="BJ339" s="386"/>
      <c r="BK339" s="375"/>
      <c r="BL339" s="375"/>
      <c r="BN339" s="385"/>
      <c r="BO339" s="386"/>
      <c r="BP339" s="375"/>
      <c r="BQ339" s="375"/>
      <c r="BS339" s="385"/>
      <c r="BT339" s="386"/>
      <c r="BU339" s="375"/>
      <c r="BV339" s="375"/>
      <c r="BX339" s="385"/>
      <c r="BY339" s="386"/>
      <c r="BZ339" s="375"/>
      <c r="CA339" s="375"/>
      <c r="CC339" s="385"/>
      <c r="CD339" s="386"/>
      <c r="CE339" s="375"/>
      <c r="CF339" s="375"/>
      <c r="CH339" s="385"/>
      <c r="CI339" s="386"/>
      <c r="CJ339" s="375"/>
      <c r="CK339" s="375"/>
      <c r="CM339" s="385"/>
      <c r="CN339" s="386"/>
      <c r="CO339" s="375"/>
      <c r="CP339" s="375"/>
      <c r="CR339" s="385"/>
      <c r="CS339" s="386"/>
      <c r="CT339" s="375"/>
      <c r="CU339" s="375"/>
      <c r="CW339" s="385"/>
      <c r="CX339" s="386"/>
      <c r="CY339" s="375"/>
      <c r="CZ339" s="375"/>
      <c r="DB339" s="385"/>
      <c r="DC339" s="386"/>
      <c r="DD339" s="375"/>
      <c r="DE339" s="375"/>
      <c r="DG339" s="385"/>
      <c r="DH339" s="386"/>
      <c r="DI339" s="375"/>
      <c r="DJ339" s="375"/>
      <c r="DL339" s="385"/>
      <c r="DM339" s="386"/>
      <c r="DN339" s="375"/>
      <c r="DO339" s="375"/>
      <c r="DQ339" s="385"/>
      <c r="DR339" s="386"/>
      <c r="DS339" s="375"/>
      <c r="DT339" s="375"/>
      <c r="DV339" s="385"/>
      <c r="DW339" s="386"/>
      <c r="DX339" s="375"/>
      <c r="DY339" s="375"/>
      <c r="EA339" s="385"/>
      <c r="EB339" s="386"/>
      <c r="EC339" s="375"/>
      <c r="ED339" s="375"/>
      <c r="EF339" s="385"/>
      <c r="EG339" s="386"/>
      <c r="EH339" s="375"/>
      <c r="EI339" s="375"/>
      <c r="EK339" s="385"/>
      <c r="EL339" s="386"/>
      <c r="EM339" s="375"/>
      <c r="EN339" s="375"/>
      <c r="EP339" s="385"/>
      <c r="EQ339" s="386"/>
      <c r="ER339" s="375"/>
      <c r="ES339" s="375"/>
      <c r="EU339" s="385"/>
      <c r="EV339" s="386"/>
      <c r="EW339" s="375"/>
      <c r="EX339" s="375"/>
      <c r="EZ339" s="385"/>
      <c r="FA339" s="386"/>
      <c r="FB339" s="375"/>
      <c r="FC339" s="375"/>
      <c r="FE339" s="385"/>
      <c r="FF339" s="386"/>
      <c r="FG339" s="375"/>
      <c r="FH339" s="375"/>
      <c r="FJ339" s="385"/>
      <c r="FK339" s="386"/>
      <c r="FL339" s="375"/>
      <c r="FM339" s="375"/>
      <c r="FO339" s="385"/>
      <c r="FP339" s="386"/>
      <c r="FQ339" s="375"/>
      <c r="FR339" s="375"/>
      <c r="FT339" s="385"/>
      <c r="FU339" s="386"/>
      <c r="FV339" s="375"/>
      <c r="FW339" s="375"/>
      <c r="FY339" s="385"/>
      <c r="FZ339" s="386"/>
      <c r="GA339" s="375"/>
      <c r="GB339" s="375"/>
      <c r="GD339" s="385"/>
      <c r="GE339" s="386"/>
      <c r="GF339" s="375"/>
      <c r="GG339" s="375"/>
      <c r="GI339" s="385"/>
      <c r="GJ339" s="386"/>
      <c r="GK339" s="375"/>
      <c r="GL339" s="375"/>
      <c r="GN339" s="385"/>
      <c r="GO339" s="386"/>
      <c r="GP339" s="375"/>
      <c r="GQ339" s="375"/>
      <c r="GS339" s="385"/>
      <c r="GT339" s="386"/>
      <c r="GU339" s="375"/>
      <c r="GV339" s="375"/>
      <c r="GX339" s="385"/>
      <c r="GY339" s="386"/>
      <c r="GZ339" s="375"/>
      <c r="HA339" s="375"/>
      <c r="HC339" s="385"/>
      <c r="HD339" s="386"/>
      <c r="HE339" s="375"/>
      <c r="HF339" s="375"/>
      <c r="HH339" s="385"/>
      <c r="HI339" s="386"/>
      <c r="HJ339" s="375"/>
      <c r="HK339" s="375"/>
      <c r="HM339" s="385"/>
      <c r="HN339" s="386"/>
      <c r="HO339" s="375"/>
      <c r="HP339" s="375"/>
      <c r="HR339" s="385"/>
      <c r="HS339" s="386"/>
      <c r="HT339" s="375"/>
      <c r="HU339" s="375"/>
      <c r="HW339" s="385"/>
      <c r="HX339" s="386"/>
      <c r="HY339" s="375"/>
      <c r="HZ339" s="375"/>
      <c r="IB339" s="385"/>
      <c r="IC339" s="386"/>
      <c r="ID339" s="375"/>
      <c r="IE339" s="375"/>
      <c r="IG339" s="385"/>
      <c r="IH339" s="386"/>
      <c r="II339" s="375"/>
      <c r="IJ339" s="375"/>
      <c r="IL339" s="385"/>
      <c r="IM339" s="386"/>
      <c r="IN339" s="375"/>
      <c r="IO339" s="375"/>
      <c r="IQ339" s="385"/>
      <c r="IR339" s="386"/>
      <c r="IS339" s="375"/>
      <c r="IT339" s="375"/>
      <c r="IV339" s="385"/>
    </row>
    <row r="340" spans="1:256" s="387" customFormat="1" x14ac:dyDescent="0.2">
      <c r="A340" s="385"/>
      <c r="B340" s="386"/>
      <c r="C340" s="375"/>
      <c r="D340" s="375"/>
      <c r="F340" s="385"/>
      <c r="G340" s="386"/>
      <c r="H340" s="375"/>
      <c r="I340" s="375"/>
      <c r="K340" s="385"/>
      <c r="L340" s="386"/>
      <c r="M340" s="375"/>
      <c r="N340" s="375"/>
      <c r="P340" s="385"/>
      <c r="Q340" s="386"/>
      <c r="R340" s="375"/>
      <c r="S340" s="375"/>
      <c r="U340" s="385"/>
      <c r="V340" s="386"/>
      <c r="W340" s="375"/>
      <c r="X340" s="375"/>
      <c r="Z340" s="385"/>
      <c r="AA340" s="386"/>
      <c r="AB340" s="375"/>
      <c r="AC340" s="375"/>
      <c r="AE340" s="385"/>
      <c r="AF340" s="386"/>
      <c r="AG340" s="375"/>
      <c r="AH340" s="375"/>
      <c r="AJ340" s="385"/>
      <c r="AK340" s="386"/>
      <c r="AL340" s="375"/>
      <c r="AM340" s="375"/>
      <c r="AO340" s="385"/>
      <c r="AP340" s="386"/>
      <c r="AQ340" s="375"/>
      <c r="AR340" s="375"/>
      <c r="AT340" s="385"/>
      <c r="AU340" s="386"/>
      <c r="AV340" s="375"/>
      <c r="AW340" s="375"/>
      <c r="AY340" s="385"/>
      <c r="AZ340" s="386"/>
      <c r="BA340" s="375"/>
      <c r="BB340" s="375"/>
      <c r="BD340" s="385"/>
      <c r="BE340" s="386"/>
      <c r="BF340" s="375"/>
      <c r="BG340" s="375"/>
      <c r="BI340" s="385"/>
      <c r="BJ340" s="386"/>
      <c r="BK340" s="375"/>
      <c r="BL340" s="375"/>
      <c r="BN340" s="385"/>
      <c r="BO340" s="386"/>
      <c r="BP340" s="375"/>
      <c r="BQ340" s="375"/>
      <c r="BS340" s="385"/>
      <c r="BT340" s="386"/>
      <c r="BU340" s="375"/>
      <c r="BV340" s="375"/>
      <c r="BX340" s="385"/>
      <c r="BY340" s="386"/>
      <c r="BZ340" s="375"/>
      <c r="CA340" s="375"/>
      <c r="CC340" s="385"/>
      <c r="CD340" s="386"/>
      <c r="CE340" s="375"/>
      <c r="CF340" s="375"/>
      <c r="CH340" s="385"/>
      <c r="CI340" s="386"/>
      <c r="CJ340" s="375"/>
      <c r="CK340" s="375"/>
      <c r="CM340" s="385"/>
      <c r="CN340" s="386"/>
      <c r="CO340" s="375"/>
      <c r="CP340" s="375"/>
      <c r="CR340" s="385"/>
      <c r="CS340" s="386"/>
      <c r="CT340" s="375"/>
      <c r="CU340" s="375"/>
      <c r="CW340" s="385"/>
      <c r="CX340" s="386"/>
      <c r="CY340" s="375"/>
      <c r="CZ340" s="375"/>
      <c r="DB340" s="385"/>
      <c r="DC340" s="386"/>
      <c r="DD340" s="375"/>
      <c r="DE340" s="375"/>
      <c r="DG340" s="385"/>
      <c r="DH340" s="386"/>
      <c r="DI340" s="375"/>
      <c r="DJ340" s="375"/>
      <c r="DL340" s="385"/>
      <c r="DM340" s="386"/>
      <c r="DN340" s="375"/>
      <c r="DO340" s="375"/>
      <c r="DQ340" s="385"/>
      <c r="DR340" s="386"/>
      <c r="DS340" s="375"/>
      <c r="DT340" s="375"/>
      <c r="DV340" s="385"/>
      <c r="DW340" s="386"/>
      <c r="DX340" s="375"/>
      <c r="DY340" s="375"/>
      <c r="EA340" s="385"/>
      <c r="EB340" s="386"/>
      <c r="EC340" s="375"/>
      <c r="ED340" s="375"/>
      <c r="EF340" s="385"/>
      <c r="EG340" s="386"/>
      <c r="EH340" s="375"/>
      <c r="EI340" s="375"/>
      <c r="EK340" s="385"/>
      <c r="EL340" s="386"/>
      <c r="EM340" s="375"/>
      <c r="EN340" s="375"/>
      <c r="EP340" s="385"/>
      <c r="EQ340" s="386"/>
      <c r="ER340" s="375"/>
      <c r="ES340" s="375"/>
      <c r="EU340" s="385"/>
      <c r="EV340" s="386"/>
      <c r="EW340" s="375"/>
      <c r="EX340" s="375"/>
      <c r="EZ340" s="385"/>
      <c r="FA340" s="386"/>
      <c r="FB340" s="375"/>
      <c r="FC340" s="375"/>
      <c r="FE340" s="385"/>
      <c r="FF340" s="386"/>
      <c r="FG340" s="375"/>
      <c r="FH340" s="375"/>
      <c r="FJ340" s="385"/>
      <c r="FK340" s="386"/>
      <c r="FL340" s="375"/>
      <c r="FM340" s="375"/>
      <c r="FO340" s="385"/>
      <c r="FP340" s="386"/>
      <c r="FQ340" s="375"/>
      <c r="FR340" s="375"/>
      <c r="FT340" s="385"/>
      <c r="FU340" s="386"/>
      <c r="FV340" s="375"/>
      <c r="FW340" s="375"/>
      <c r="FY340" s="385"/>
      <c r="FZ340" s="386"/>
      <c r="GA340" s="375"/>
      <c r="GB340" s="375"/>
      <c r="GD340" s="385"/>
      <c r="GE340" s="386"/>
      <c r="GF340" s="375"/>
      <c r="GG340" s="375"/>
      <c r="GI340" s="385"/>
      <c r="GJ340" s="386"/>
      <c r="GK340" s="375"/>
      <c r="GL340" s="375"/>
      <c r="GN340" s="385"/>
      <c r="GO340" s="386"/>
      <c r="GP340" s="375"/>
      <c r="GQ340" s="375"/>
      <c r="GS340" s="385"/>
      <c r="GT340" s="386"/>
      <c r="GU340" s="375"/>
      <c r="GV340" s="375"/>
      <c r="GX340" s="385"/>
      <c r="GY340" s="386"/>
      <c r="GZ340" s="375"/>
      <c r="HA340" s="375"/>
      <c r="HC340" s="385"/>
      <c r="HD340" s="386"/>
      <c r="HE340" s="375"/>
      <c r="HF340" s="375"/>
      <c r="HH340" s="385"/>
      <c r="HI340" s="386"/>
      <c r="HJ340" s="375"/>
      <c r="HK340" s="375"/>
      <c r="HM340" s="385"/>
      <c r="HN340" s="386"/>
      <c r="HO340" s="375"/>
      <c r="HP340" s="375"/>
      <c r="HR340" s="385"/>
      <c r="HS340" s="386"/>
      <c r="HT340" s="375"/>
      <c r="HU340" s="375"/>
      <c r="HW340" s="385"/>
      <c r="HX340" s="386"/>
      <c r="HY340" s="375"/>
      <c r="HZ340" s="375"/>
      <c r="IB340" s="385"/>
      <c r="IC340" s="386"/>
      <c r="ID340" s="375"/>
      <c r="IE340" s="375"/>
      <c r="IG340" s="385"/>
      <c r="IH340" s="386"/>
      <c r="II340" s="375"/>
      <c r="IJ340" s="375"/>
      <c r="IL340" s="385"/>
      <c r="IM340" s="386"/>
      <c r="IN340" s="375"/>
      <c r="IO340" s="375"/>
      <c r="IQ340" s="385"/>
      <c r="IR340" s="386"/>
      <c r="IS340" s="375"/>
      <c r="IT340" s="375"/>
      <c r="IV340" s="385"/>
    </row>
    <row r="341" spans="1:256" s="387" customFormat="1" x14ac:dyDescent="0.2">
      <c r="A341" s="385"/>
      <c r="B341" s="386"/>
      <c r="C341" s="375"/>
      <c r="D341" s="375"/>
      <c r="F341" s="385"/>
      <c r="G341" s="386"/>
      <c r="H341" s="375"/>
      <c r="I341" s="375"/>
      <c r="K341" s="385"/>
      <c r="L341" s="386"/>
      <c r="M341" s="375"/>
      <c r="N341" s="375"/>
      <c r="P341" s="385"/>
      <c r="Q341" s="386"/>
      <c r="R341" s="375"/>
      <c r="S341" s="375"/>
      <c r="U341" s="385"/>
      <c r="V341" s="386"/>
      <c r="W341" s="375"/>
      <c r="X341" s="375"/>
      <c r="Z341" s="385"/>
      <c r="AA341" s="386"/>
      <c r="AB341" s="375"/>
      <c r="AC341" s="375"/>
      <c r="AE341" s="385"/>
      <c r="AF341" s="386"/>
      <c r="AG341" s="375"/>
      <c r="AH341" s="375"/>
      <c r="AJ341" s="385"/>
      <c r="AK341" s="386"/>
      <c r="AL341" s="375"/>
      <c r="AM341" s="375"/>
      <c r="AO341" s="385"/>
      <c r="AP341" s="386"/>
      <c r="AQ341" s="375"/>
      <c r="AR341" s="375"/>
      <c r="AT341" s="385"/>
      <c r="AU341" s="386"/>
      <c r="AV341" s="375"/>
      <c r="AW341" s="375"/>
      <c r="AY341" s="385"/>
      <c r="AZ341" s="386"/>
      <c r="BA341" s="375"/>
      <c r="BB341" s="375"/>
      <c r="BD341" s="385"/>
      <c r="BE341" s="386"/>
      <c r="BF341" s="375"/>
      <c r="BG341" s="375"/>
      <c r="BI341" s="385"/>
      <c r="BJ341" s="386"/>
      <c r="BK341" s="375"/>
      <c r="BL341" s="375"/>
      <c r="BN341" s="385"/>
      <c r="BO341" s="386"/>
      <c r="BP341" s="375"/>
      <c r="BQ341" s="375"/>
      <c r="BS341" s="385"/>
      <c r="BT341" s="386"/>
      <c r="BU341" s="375"/>
      <c r="BV341" s="375"/>
      <c r="BX341" s="385"/>
      <c r="BY341" s="386"/>
      <c r="BZ341" s="375"/>
      <c r="CA341" s="375"/>
      <c r="CC341" s="385"/>
      <c r="CD341" s="386"/>
      <c r="CE341" s="375"/>
      <c r="CF341" s="375"/>
      <c r="CH341" s="385"/>
      <c r="CI341" s="386"/>
      <c r="CJ341" s="375"/>
      <c r="CK341" s="375"/>
      <c r="CM341" s="385"/>
      <c r="CN341" s="386"/>
      <c r="CO341" s="375"/>
      <c r="CP341" s="375"/>
      <c r="CR341" s="385"/>
      <c r="CS341" s="386"/>
      <c r="CT341" s="375"/>
      <c r="CU341" s="375"/>
      <c r="CW341" s="385"/>
      <c r="CX341" s="386"/>
      <c r="CY341" s="375"/>
      <c r="CZ341" s="375"/>
      <c r="DB341" s="385"/>
      <c r="DC341" s="386"/>
      <c r="DD341" s="375"/>
      <c r="DE341" s="375"/>
      <c r="DG341" s="385"/>
      <c r="DH341" s="386"/>
      <c r="DI341" s="375"/>
      <c r="DJ341" s="375"/>
      <c r="DL341" s="385"/>
      <c r="DM341" s="386"/>
      <c r="DN341" s="375"/>
      <c r="DO341" s="375"/>
      <c r="DQ341" s="385"/>
      <c r="DR341" s="386"/>
      <c r="DS341" s="375"/>
      <c r="DT341" s="375"/>
      <c r="DV341" s="385"/>
      <c r="DW341" s="386"/>
      <c r="DX341" s="375"/>
      <c r="DY341" s="375"/>
      <c r="EA341" s="385"/>
      <c r="EB341" s="386"/>
      <c r="EC341" s="375"/>
      <c r="ED341" s="375"/>
      <c r="EF341" s="385"/>
      <c r="EG341" s="386"/>
      <c r="EH341" s="375"/>
      <c r="EI341" s="375"/>
      <c r="EK341" s="385"/>
      <c r="EL341" s="386"/>
      <c r="EM341" s="375"/>
      <c r="EN341" s="375"/>
      <c r="EP341" s="385"/>
      <c r="EQ341" s="386"/>
      <c r="ER341" s="375"/>
      <c r="ES341" s="375"/>
      <c r="EU341" s="385"/>
      <c r="EV341" s="386"/>
      <c r="EW341" s="375"/>
      <c r="EX341" s="375"/>
      <c r="EZ341" s="385"/>
      <c r="FA341" s="386"/>
      <c r="FB341" s="375"/>
      <c r="FC341" s="375"/>
      <c r="FE341" s="385"/>
      <c r="FF341" s="386"/>
      <c r="FG341" s="375"/>
      <c r="FH341" s="375"/>
      <c r="FJ341" s="385"/>
      <c r="FK341" s="386"/>
      <c r="FL341" s="375"/>
      <c r="FM341" s="375"/>
      <c r="FO341" s="385"/>
      <c r="FP341" s="386"/>
      <c r="FQ341" s="375"/>
      <c r="FR341" s="375"/>
      <c r="FT341" s="385"/>
      <c r="FU341" s="386"/>
      <c r="FV341" s="375"/>
      <c r="FW341" s="375"/>
      <c r="FY341" s="385"/>
      <c r="FZ341" s="386"/>
      <c r="GA341" s="375"/>
      <c r="GB341" s="375"/>
      <c r="GD341" s="385"/>
      <c r="GE341" s="386"/>
      <c r="GF341" s="375"/>
      <c r="GG341" s="375"/>
      <c r="GI341" s="385"/>
      <c r="GJ341" s="386"/>
      <c r="GK341" s="375"/>
      <c r="GL341" s="375"/>
      <c r="GN341" s="385"/>
      <c r="GO341" s="386"/>
      <c r="GP341" s="375"/>
      <c r="GQ341" s="375"/>
      <c r="GS341" s="385"/>
      <c r="GT341" s="386"/>
      <c r="GU341" s="375"/>
      <c r="GV341" s="375"/>
      <c r="GX341" s="385"/>
      <c r="GY341" s="386"/>
      <c r="GZ341" s="375"/>
      <c r="HA341" s="375"/>
      <c r="HC341" s="385"/>
      <c r="HD341" s="386"/>
      <c r="HE341" s="375"/>
      <c r="HF341" s="375"/>
      <c r="HH341" s="385"/>
      <c r="HI341" s="386"/>
      <c r="HJ341" s="375"/>
      <c r="HK341" s="375"/>
      <c r="HM341" s="385"/>
      <c r="HN341" s="386"/>
      <c r="HO341" s="375"/>
      <c r="HP341" s="375"/>
      <c r="HR341" s="385"/>
      <c r="HS341" s="386"/>
      <c r="HT341" s="375"/>
      <c r="HU341" s="375"/>
      <c r="HW341" s="385"/>
      <c r="HX341" s="386"/>
      <c r="HY341" s="375"/>
      <c r="HZ341" s="375"/>
      <c r="IB341" s="385"/>
      <c r="IC341" s="386"/>
      <c r="ID341" s="375"/>
      <c r="IE341" s="375"/>
      <c r="IG341" s="385"/>
      <c r="IH341" s="386"/>
      <c r="II341" s="375"/>
      <c r="IJ341" s="375"/>
      <c r="IL341" s="385"/>
      <c r="IM341" s="386"/>
      <c r="IN341" s="375"/>
      <c r="IO341" s="375"/>
      <c r="IQ341" s="385"/>
      <c r="IR341" s="386"/>
      <c r="IS341" s="375"/>
      <c r="IT341" s="375"/>
      <c r="IV341" s="385"/>
    </row>
    <row r="342" spans="1:256" s="387" customFormat="1" x14ac:dyDescent="0.2">
      <c r="A342" s="385"/>
      <c r="B342" s="386"/>
      <c r="C342" s="375"/>
      <c r="D342" s="375"/>
      <c r="F342" s="385"/>
      <c r="G342" s="386"/>
      <c r="H342" s="375"/>
      <c r="I342" s="375"/>
      <c r="K342" s="385"/>
      <c r="L342" s="386"/>
      <c r="M342" s="375"/>
      <c r="N342" s="375"/>
      <c r="P342" s="385"/>
      <c r="Q342" s="386"/>
      <c r="R342" s="375"/>
      <c r="S342" s="375"/>
      <c r="U342" s="385"/>
      <c r="V342" s="386"/>
      <c r="W342" s="375"/>
      <c r="X342" s="375"/>
      <c r="Z342" s="385"/>
      <c r="AA342" s="386"/>
      <c r="AB342" s="375"/>
      <c r="AC342" s="375"/>
      <c r="AE342" s="385"/>
      <c r="AF342" s="386"/>
      <c r="AG342" s="375"/>
      <c r="AH342" s="375"/>
      <c r="AJ342" s="385"/>
      <c r="AK342" s="386"/>
      <c r="AL342" s="375"/>
      <c r="AM342" s="375"/>
      <c r="AO342" s="385"/>
      <c r="AP342" s="386"/>
      <c r="AQ342" s="375"/>
      <c r="AR342" s="375"/>
      <c r="AT342" s="385"/>
      <c r="AU342" s="386"/>
      <c r="AV342" s="375"/>
      <c r="AW342" s="375"/>
      <c r="AY342" s="385"/>
      <c r="AZ342" s="386"/>
      <c r="BA342" s="375"/>
      <c r="BB342" s="375"/>
      <c r="BD342" s="385"/>
      <c r="BE342" s="386"/>
      <c r="BF342" s="375"/>
      <c r="BG342" s="375"/>
      <c r="BI342" s="385"/>
      <c r="BJ342" s="386"/>
      <c r="BK342" s="375"/>
      <c r="BL342" s="375"/>
      <c r="BN342" s="385"/>
      <c r="BO342" s="386"/>
      <c r="BP342" s="375"/>
      <c r="BQ342" s="375"/>
      <c r="BS342" s="385"/>
      <c r="BT342" s="386"/>
      <c r="BU342" s="375"/>
      <c r="BV342" s="375"/>
      <c r="BX342" s="385"/>
      <c r="BY342" s="386"/>
      <c r="BZ342" s="375"/>
      <c r="CA342" s="375"/>
      <c r="CC342" s="385"/>
      <c r="CD342" s="386"/>
      <c r="CE342" s="375"/>
      <c r="CF342" s="375"/>
      <c r="CH342" s="385"/>
      <c r="CI342" s="386"/>
      <c r="CJ342" s="375"/>
      <c r="CK342" s="375"/>
      <c r="CM342" s="385"/>
      <c r="CN342" s="386"/>
      <c r="CO342" s="375"/>
      <c r="CP342" s="375"/>
      <c r="CR342" s="385"/>
      <c r="CS342" s="386"/>
      <c r="CT342" s="375"/>
      <c r="CU342" s="375"/>
      <c r="CW342" s="385"/>
      <c r="CX342" s="386"/>
      <c r="CY342" s="375"/>
      <c r="CZ342" s="375"/>
      <c r="DB342" s="385"/>
      <c r="DC342" s="386"/>
      <c r="DD342" s="375"/>
      <c r="DE342" s="375"/>
      <c r="DG342" s="385"/>
      <c r="DH342" s="386"/>
      <c r="DI342" s="375"/>
      <c r="DJ342" s="375"/>
      <c r="DL342" s="385"/>
      <c r="DM342" s="386"/>
      <c r="DN342" s="375"/>
      <c r="DO342" s="375"/>
      <c r="DQ342" s="385"/>
      <c r="DR342" s="386"/>
      <c r="DS342" s="375"/>
      <c r="DT342" s="375"/>
      <c r="DV342" s="385"/>
      <c r="DW342" s="386"/>
      <c r="DX342" s="375"/>
      <c r="DY342" s="375"/>
      <c r="EA342" s="385"/>
      <c r="EB342" s="386"/>
      <c r="EC342" s="375"/>
      <c r="ED342" s="375"/>
      <c r="EF342" s="385"/>
      <c r="EG342" s="386"/>
      <c r="EH342" s="375"/>
      <c r="EI342" s="375"/>
      <c r="EK342" s="385"/>
      <c r="EL342" s="386"/>
      <c r="EM342" s="375"/>
      <c r="EN342" s="375"/>
      <c r="EP342" s="385"/>
      <c r="EQ342" s="386"/>
      <c r="ER342" s="375"/>
      <c r="ES342" s="375"/>
      <c r="EU342" s="385"/>
      <c r="EV342" s="386"/>
      <c r="EW342" s="375"/>
      <c r="EX342" s="375"/>
      <c r="EZ342" s="385"/>
      <c r="FA342" s="386"/>
      <c r="FB342" s="375"/>
      <c r="FC342" s="375"/>
      <c r="FE342" s="385"/>
      <c r="FF342" s="386"/>
      <c r="FG342" s="375"/>
      <c r="FH342" s="375"/>
      <c r="FJ342" s="385"/>
      <c r="FK342" s="386"/>
      <c r="FL342" s="375"/>
      <c r="FM342" s="375"/>
      <c r="FO342" s="385"/>
      <c r="FP342" s="386"/>
      <c r="FQ342" s="375"/>
      <c r="FR342" s="375"/>
      <c r="FT342" s="385"/>
      <c r="FU342" s="386"/>
      <c r="FV342" s="375"/>
      <c r="FW342" s="375"/>
      <c r="FY342" s="385"/>
      <c r="FZ342" s="386"/>
      <c r="GA342" s="375"/>
      <c r="GB342" s="375"/>
      <c r="GD342" s="385"/>
      <c r="GE342" s="386"/>
      <c r="GF342" s="375"/>
      <c r="GG342" s="375"/>
      <c r="GI342" s="385"/>
      <c r="GJ342" s="386"/>
      <c r="GK342" s="375"/>
      <c r="GL342" s="375"/>
      <c r="GN342" s="385"/>
      <c r="GO342" s="386"/>
      <c r="GP342" s="375"/>
      <c r="GQ342" s="375"/>
      <c r="GS342" s="385"/>
      <c r="GT342" s="386"/>
      <c r="GU342" s="375"/>
      <c r="GV342" s="375"/>
      <c r="GX342" s="385"/>
      <c r="GY342" s="386"/>
      <c r="GZ342" s="375"/>
      <c r="HA342" s="375"/>
      <c r="HC342" s="385"/>
      <c r="HD342" s="386"/>
      <c r="HE342" s="375"/>
      <c r="HF342" s="375"/>
      <c r="HH342" s="385"/>
      <c r="HI342" s="386"/>
      <c r="HJ342" s="375"/>
      <c r="HK342" s="375"/>
      <c r="HM342" s="385"/>
      <c r="HN342" s="386"/>
      <c r="HO342" s="375"/>
      <c r="HP342" s="375"/>
      <c r="HR342" s="385"/>
      <c r="HS342" s="386"/>
      <c r="HT342" s="375"/>
      <c r="HU342" s="375"/>
      <c r="HW342" s="385"/>
      <c r="HX342" s="386"/>
      <c r="HY342" s="375"/>
      <c r="HZ342" s="375"/>
      <c r="IB342" s="385"/>
      <c r="IC342" s="386"/>
      <c r="ID342" s="375"/>
      <c r="IE342" s="375"/>
      <c r="IG342" s="385"/>
      <c r="IH342" s="386"/>
      <c r="II342" s="375"/>
      <c r="IJ342" s="375"/>
      <c r="IL342" s="385"/>
      <c r="IM342" s="386"/>
      <c r="IN342" s="375"/>
      <c r="IO342" s="375"/>
      <c r="IQ342" s="385"/>
      <c r="IR342" s="386"/>
      <c r="IS342" s="375"/>
      <c r="IT342" s="375"/>
      <c r="IV342" s="385"/>
    </row>
    <row r="343" spans="1:256" s="387" customFormat="1" x14ac:dyDescent="0.2">
      <c r="A343" s="385"/>
      <c r="B343" s="386"/>
      <c r="C343" s="375"/>
      <c r="D343" s="375"/>
      <c r="F343" s="385"/>
      <c r="G343" s="386"/>
      <c r="H343" s="375"/>
      <c r="I343" s="375"/>
      <c r="K343" s="385"/>
      <c r="L343" s="386"/>
      <c r="M343" s="375"/>
      <c r="N343" s="375"/>
      <c r="P343" s="385"/>
      <c r="Q343" s="386"/>
      <c r="R343" s="375"/>
      <c r="S343" s="375"/>
      <c r="U343" s="385"/>
      <c r="V343" s="386"/>
      <c r="W343" s="375"/>
      <c r="X343" s="375"/>
      <c r="Z343" s="385"/>
      <c r="AA343" s="386"/>
      <c r="AB343" s="375"/>
      <c r="AC343" s="375"/>
      <c r="AE343" s="385"/>
      <c r="AF343" s="386"/>
      <c r="AG343" s="375"/>
      <c r="AH343" s="375"/>
      <c r="AJ343" s="385"/>
      <c r="AK343" s="386"/>
      <c r="AL343" s="375"/>
      <c r="AM343" s="375"/>
      <c r="AO343" s="385"/>
      <c r="AP343" s="386"/>
      <c r="AQ343" s="375"/>
      <c r="AR343" s="375"/>
      <c r="AT343" s="385"/>
      <c r="AU343" s="386"/>
      <c r="AV343" s="375"/>
      <c r="AW343" s="375"/>
      <c r="AY343" s="385"/>
      <c r="AZ343" s="386"/>
      <c r="BA343" s="375"/>
      <c r="BB343" s="375"/>
      <c r="BD343" s="385"/>
      <c r="BE343" s="386"/>
      <c r="BF343" s="375"/>
      <c r="BG343" s="375"/>
      <c r="BI343" s="385"/>
      <c r="BJ343" s="386"/>
      <c r="BK343" s="375"/>
      <c r="BL343" s="375"/>
      <c r="BN343" s="385"/>
      <c r="BO343" s="386"/>
      <c r="BP343" s="375"/>
      <c r="BQ343" s="375"/>
      <c r="BS343" s="385"/>
      <c r="BT343" s="386"/>
      <c r="BU343" s="375"/>
      <c r="BV343" s="375"/>
      <c r="BX343" s="385"/>
      <c r="BY343" s="386"/>
      <c r="BZ343" s="375"/>
      <c r="CA343" s="375"/>
      <c r="CC343" s="385"/>
      <c r="CD343" s="386"/>
      <c r="CE343" s="375"/>
      <c r="CF343" s="375"/>
      <c r="CH343" s="385"/>
      <c r="CI343" s="386"/>
      <c r="CJ343" s="375"/>
      <c r="CK343" s="375"/>
      <c r="CM343" s="385"/>
      <c r="CN343" s="386"/>
      <c r="CO343" s="375"/>
      <c r="CP343" s="375"/>
      <c r="CR343" s="385"/>
      <c r="CS343" s="386"/>
      <c r="CT343" s="375"/>
      <c r="CU343" s="375"/>
      <c r="CW343" s="385"/>
      <c r="CX343" s="386"/>
      <c r="CY343" s="375"/>
      <c r="CZ343" s="375"/>
      <c r="DB343" s="385"/>
      <c r="DC343" s="386"/>
      <c r="DD343" s="375"/>
      <c r="DE343" s="375"/>
      <c r="DG343" s="385"/>
      <c r="DH343" s="386"/>
      <c r="DI343" s="375"/>
      <c r="DJ343" s="375"/>
      <c r="DL343" s="385"/>
      <c r="DM343" s="386"/>
      <c r="DN343" s="375"/>
      <c r="DO343" s="375"/>
      <c r="DQ343" s="385"/>
      <c r="DR343" s="386"/>
      <c r="DS343" s="375"/>
      <c r="DT343" s="375"/>
      <c r="DV343" s="385"/>
      <c r="DW343" s="386"/>
      <c r="DX343" s="375"/>
      <c r="DY343" s="375"/>
      <c r="EA343" s="385"/>
      <c r="EB343" s="386"/>
      <c r="EC343" s="375"/>
      <c r="ED343" s="375"/>
      <c r="EF343" s="385"/>
      <c r="EG343" s="386"/>
      <c r="EH343" s="375"/>
      <c r="EI343" s="375"/>
      <c r="EK343" s="385"/>
      <c r="EL343" s="386"/>
      <c r="EM343" s="375"/>
      <c r="EN343" s="375"/>
      <c r="EP343" s="385"/>
      <c r="EQ343" s="386"/>
      <c r="ER343" s="375"/>
      <c r="ES343" s="375"/>
      <c r="EU343" s="385"/>
      <c r="EV343" s="386"/>
      <c r="EW343" s="375"/>
      <c r="EX343" s="375"/>
      <c r="EZ343" s="385"/>
      <c r="FA343" s="386"/>
      <c r="FB343" s="375"/>
      <c r="FC343" s="375"/>
      <c r="FE343" s="385"/>
      <c r="FF343" s="386"/>
      <c r="FG343" s="375"/>
      <c r="FH343" s="375"/>
      <c r="FJ343" s="385"/>
      <c r="FK343" s="386"/>
      <c r="FL343" s="375"/>
      <c r="FM343" s="375"/>
      <c r="FO343" s="385"/>
      <c r="FP343" s="386"/>
      <c r="FQ343" s="375"/>
      <c r="FR343" s="375"/>
      <c r="FT343" s="385"/>
      <c r="FU343" s="386"/>
      <c r="FV343" s="375"/>
      <c r="FW343" s="375"/>
      <c r="FY343" s="385"/>
      <c r="FZ343" s="386"/>
      <c r="GA343" s="375"/>
      <c r="GB343" s="375"/>
      <c r="GD343" s="385"/>
      <c r="GE343" s="386"/>
      <c r="GF343" s="375"/>
      <c r="GG343" s="375"/>
      <c r="GI343" s="385"/>
      <c r="GJ343" s="386"/>
      <c r="GK343" s="375"/>
      <c r="GL343" s="375"/>
      <c r="GN343" s="385"/>
      <c r="GO343" s="386"/>
      <c r="GP343" s="375"/>
      <c r="GQ343" s="375"/>
      <c r="GS343" s="385"/>
      <c r="GT343" s="386"/>
      <c r="GU343" s="375"/>
      <c r="GV343" s="375"/>
      <c r="GX343" s="385"/>
      <c r="GY343" s="386"/>
      <c r="GZ343" s="375"/>
      <c r="HA343" s="375"/>
      <c r="HC343" s="385"/>
      <c r="HD343" s="386"/>
      <c r="HE343" s="375"/>
      <c r="HF343" s="375"/>
      <c r="HH343" s="385"/>
      <c r="HI343" s="386"/>
      <c r="HJ343" s="375"/>
      <c r="HK343" s="375"/>
      <c r="HM343" s="385"/>
      <c r="HN343" s="386"/>
      <c r="HO343" s="375"/>
      <c r="HP343" s="375"/>
      <c r="HR343" s="385"/>
      <c r="HS343" s="386"/>
      <c r="HT343" s="375"/>
      <c r="HU343" s="375"/>
      <c r="HW343" s="385"/>
      <c r="HX343" s="386"/>
      <c r="HY343" s="375"/>
      <c r="HZ343" s="375"/>
      <c r="IB343" s="385"/>
      <c r="IC343" s="386"/>
      <c r="ID343" s="375"/>
      <c r="IE343" s="375"/>
      <c r="IG343" s="385"/>
      <c r="IH343" s="386"/>
      <c r="II343" s="375"/>
      <c r="IJ343" s="375"/>
      <c r="IL343" s="385"/>
      <c r="IM343" s="386"/>
      <c r="IN343" s="375"/>
      <c r="IO343" s="375"/>
      <c r="IQ343" s="385"/>
      <c r="IR343" s="386"/>
      <c r="IS343" s="375"/>
      <c r="IT343" s="375"/>
      <c r="IV343" s="385"/>
    </row>
    <row r="344" spans="1:256" s="387" customFormat="1" x14ac:dyDescent="0.2">
      <c r="A344" s="385"/>
      <c r="B344" s="386"/>
      <c r="C344" s="375"/>
      <c r="D344" s="375"/>
      <c r="F344" s="385"/>
      <c r="G344" s="386"/>
      <c r="H344" s="375"/>
      <c r="I344" s="375"/>
      <c r="K344" s="385"/>
      <c r="L344" s="386"/>
      <c r="M344" s="375"/>
      <c r="N344" s="375"/>
      <c r="P344" s="385"/>
      <c r="Q344" s="386"/>
      <c r="R344" s="375"/>
      <c r="S344" s="375"/>
      <c r="U344" s="385"/>
      <c r="V344" s="386"/>
      <c r="W344" s="375"/>
      <c r="X344" s="375"/>
      <c r="Z344" s="385"/>
      <c r="AA344" s="386"/>
      <c r="AB344" s="375"/>
      <c r="AC344" s="375"/>
      <c r="AE344" s="385"/>
      <c r="AF344" s="386"/>
      <c r="AG344" s="375"/>
      <c r="AH344" s="375"/>
      <c r="AJ344" s="385"/>
      <c r="AK344" s="386"/>
      <c r="AL344" s="375"/>
      <c r="AM344" s="375"/>
      <c r="AO344" s="385"/>
      <c r="AP344" s="386"/>
      <c r="AQ344" s="375"/>
      <c r="AR344" s="375"/>
      <c r="AT344" s="385"/>
      <c r="AU344" s="386"/>
      <c r="AV344" s="375"/>
      <c r="AW344" s="375"/>
      <c r="AY344" s="385"/>
      <c r="AZ344" s="386"/>
      <c r="BA344" s="375"/>
      <c r="BB344" s="375"/>
      <c r="BD344" s="385"/>
      <c r="BE344" s="386"/>
      <c r="BF344" s="375"/>
      <c r="BG344" s="375"/>
      <c r="BI344" s="385"/>
      <c r="BJ344" s="386"/>
      <c r="BK344" s="375"/>
      <c r="BL344" s="375"/>
      <c r="BN344" s="385"/>
      <c r="BO344" s="386"/>
      <c r="BP344" s="375"/>
      <c r="BQ344" s="375"/>
      <c r="BS344" s="385"/>
      <c r="BT344" s="386"/>
      <c r="BU344" s="375"/>
      <c r="BV344" s="375"/>
      <c r="BX344" s="385"/>
      <c r="BY344" s="386"/>
      <c r="BZ344" s="375"/>
      <c r="CA344" s="375"/>
      <c r="CC344" s="385"/>
      <c r="CD344" s="386"/>
      <c r="CE344" s="375"/>
      <c r="CF344" s="375"/>
      <c r="CH344" s="385"/>
      <c r="CI344" s="386"/>
      <c r="CJ344" s="375"/>
      <c r="CK344" s="375"/>
      <c r="CM344" s="385"/>
      <c r="CN344" s="386"/>
      <c r="CO344" s="375"/>
      <c r="CP344" s="375"/>
      <c r="CR344" s="385"/>
      <c r="CS344" s="386"/>
      <c r="CT344" s="375"/>
      <c r="CU344" s="375"/>
      <c r="CW344" s="385"/>
      <c r="CX344" s="386"/>
      <c r="CY344" s="375"/>
      <c r="CZ344" s="375"/>
      <c r="DB344" s="385"/>
      <c r="DC344" s="386"/>
      <c r="DD344" s="375"/>
      <c r="DE344" s="375"/>
      <c r="DG344" s="385"/>
      <c r="DH344" s="386"/>
      <c r="DI344" s="375"/>
      <c r="DJ344" s="375"/>
      <c r="DL344" s="385"/>
      <c r="DM344" s="386"/>
      <c r="DN344" s="375"/>
      <c r="DO344" s="375"/>
      <c r="DQ344" s="385"/>
      <c r="DR344" s="386"/>
      <c r="DS344" s="375"/>
      <c r="DT344" s="375"/>
      <c r="DV344" s="385"/>
      <c r="DW344" s="386"/>
      <c r="DX344" s="375"/>
      <c r="DY344" s="375"/>
      <c r="EA344" s="385"/>
      <c r="EB344" s="386"/>
      <c r="EC344" s="375"/>
      <c r="ED344" s="375"/>
      <c r="EF344" s="385"/>
      <c r="EG344" s="386"/>
      <c r="EH344" s="375"/>
      <c r="EI344" s="375"/>
      <c r="EK344" s="385"/>
      <c r="EL344" s="386"/>
      <c r="EM344" s="375"/>
      <c r="EN344" s="375"/>
      <c r="EP344" s="385"/>
      <c r="EQ344" s="386"/>
      <c r="ER344" s="375"/>
      <c r="ES344" s="375"/>
      <c r="EU344" s="385"/>
      <c r="EV344" s="386"/>
      <c r="EW344" s="375"/>
      <c r="EX344" s="375"/>
      <c r="EZ344" s="385"/>
      <c r="FA344" s="386"/>
      <c r="FB344" s="375"/>
      <c r="FC344" s="375"/>
      <c r="FE344" s="385"/>
      <c r="FF344" s="386"/>
      <c r="FG344" s="375"/>
      <c r="FH344" s="375"/>
      <c r="FJ344" s="385"/>
      <c r="FK344" s="386"/>
      <c r="FL344" s="375"/>
      <c r="FM344" s="375"/>
      <c r="FO344" s="385"/>
      <c r="FP344" s="386"/>
      <c r="FQ344" s="375"/>
      <c r="FR344" s="375"/>
      <c r="FT344" s="385"/>
      <c r="FU344" s="386"/>
      <c r="FV344" s="375"/>
      <c r="FW344" s="375"/>
      <c r="FY344" s="385"/>
      <c r="FZ344" s="386"/>
      <c r="GA344" s="375"/>
      <c r="GB344" s="375"/>
      <c r="GD344" s="385"/>
      <c r="GE344" s="386"/>
      <c r="GF344" s="375"/>
      <c r="GG344" s="375"/>
      <c r="GI344" s="385"/>
      <c r="GJ344" s="386"/>
      <c r="GK344" s="375"/>
      <c r="GL344" s="375"/>
      <c r="GN344" s="385"/>
      <c r="GO344" s="386"/>
      <c r="GP344" s="375"/>
      <c r="GQ344" s="375"/>
      <c r="GS344" s="385"/>
      <c r="GT344" s="386"/>
      <c r="GU344" s="375"/>
      <c r="GV344" s="375"/>
      <c r="GX344" s="385"/>
      <c r="GY344" s="386"/>
      <c r="GZ344" s="375"/>
      <c r="HA344" s="375"/>
      <c r="HC344" s="385"/>
      <c r="HD344" s="386"/>
      <c r="HE344" s="375"/>
      <c r="HF344" s="375"/>
      <c r="HH344" s="385"/>
      <c r="HI344" s="386"/>
      <c r="HJ344" s="375"/>
      <c r="HK344" s="375"/>
      <c r="HM344" s="385"/>
      <c r="HN344" s="386"/>
      <c r="HO344" s="375"/>
      <c r="HP344" s="375"/>
      <c r="HR344" s="385"/>
      <c r="HS344" s="386"/>
      <c r="HT344" s="375"/>
      <c r="HU344" s="375"/>
      <c r="HW344" s="385"/>
      <c r="HX344" s="386"/>
      <c r="HY344" s="375"/>
      <c r="HZ344" s="375"/>
      <c r="IB344" s="385"/>
      <c r="IC344" s="386"/>
      <c r="ID344" s="375"/>
      <c r="IE344" s="375"/>
      <c r="IG344" s="385"/>
      <c r="IH344" s="386"/>
      <c r="II344" s="375"/>
      <c r="IJ344" s="375"/>
      <c r="IL344" s="385"/>
      <c r="IM344" s="386"/>
      <c r="IN344" s="375"/>
      <c r="IO344" s="375"/>
      <c r="IQ344" s="385"/>
      <c r="IR344" s="386"/>
      <c r="IS344" s="375"/>
      <c r="IT344" s="375"/>
      <c r="IV344" s="385"/>
    </row>
    <row r="345" spans="1:256" s="387" customFormat="1" x14ac:dyDescent="0.2">
      <c r="A345" s="385"/>
      <c r="B345" s="386"/>
      <c r="C345" s="375"/>
      <c r="D345" s="375"/>
      <c r="F345" s="385"/>
      <c r="G345" s="386"/>
      <c r="H345" s="375"/>
      <c r="I345" s="375"/>
      <c r="K345" s="385"/>
      <c r="L345" s="386"/>
      <c r="M345" s="375"/>
      <c r="N345" s="375"/>
      <c r="P345" s="385"/>
      <c r="Q345" s="386"/>
      <c r="R345" s="375"/>
      <c r="S345" s="375"/>
      <c r="U345" s="385"/>
      <c r="V345" s="386"/>
      <c r="W345" s="375"/>
      <c r="X345" s="375"/>
      <c r="Z345" s="385"/>
      <c r="AA345" s="386"/>
      <c r="AB345" s="375"/>
      <c r="AC345" s="375"/>
      <c r="AE345" s="385"/>
      <c r="AF345" s="386"/>
      <c r="AG345" s="375"/>
      <c r="AH345" s="375"/>
      <c r="AJ345" s="385"/>
      <c r="AK345" s="386"/>
      <c r="AL345" s="375"/>
      <c r="AM345" s="375"/>
      <c r="AO345" s="385"/>
      <c r="AP345" s="386"/>
      <c r="AQ345" s="375"/>
      <c r="AR345" s="375"/>
      <c r="AT345" s="385"/>
      <c r="AU345" s="386"/>
      <c r="AV345" s="375"/>
      <c r="AW345" s="375"/>
      <c r="AY345" s="385"/>
      <c r="AZ345" s="386"/>
      <c r="BA345" s="375"/>
      <c r="BB345" s="375"/>
      <c r="BD345" s="385"/>
      <c r="BE345" s="386"/>
      <c r="BF345" s="375"/>
      <c r="BG345" s="375"/>
      <c r="BI345" s="385"/>
      <c r="BJ345" s="386"/>
      <c r="BK345" s="375"/>
      <c r="BL345" s="375"/>
      <c r="BN345" s="385"/>
      <c r="BO345" s="386"/>
      <c r="BP345" s="375"/>
      <c r="BQ345" s="375"/>
      <c r="BS345" s="385"/>
      <c r="BT345" s="386"/>
      <c r="BU345" s="375"/>
      <c r="BV345" s="375"/>
      <c r="BX345" s="385"/>
      <c r="BY345" s="386"/>
      <c r="BZ345" s="375"/>
      <c r="CA345" s="375"/>
      <c r="CC345" s="385"/>
      <c r="CD345" s="386"/>
      <c r="CE345" s="375"/>
      <c r="CF345" s="375"/>
      <c r="CH345" s="385"/>
      <c r="CI345" s="386"/>
      <c r="CJ345" s="375"/>
      <c r="CK345" s="375"/>
      <c r="CM345" s="385"/>
      <c r="CN345" s="386"/>
      <c r="CO345" s="375"/>
      <c r="CP345" s="375"/>
      <c r="CR345" s="385"/>
      <c r="CS345" s="386"/>
      <c r="CT345" s="375"/>
      <c r="CU345" s="375"/>
      <c r="CW345" s="385"/>
      <c r="CX345" s="386"/>
      <c r="CY345" s="375"/>
      <c r="CZ345" s="375"/>
      <c r="DB345" s="385"/>
      <c r="DC345" s="386"/>
      <c r="DD345" s="375"/>
      <c r="DE345" s="375"/>
      <c r="DG345" s="385"/>
      <c r="DH345" s="386"/>
      <c r="DI345" s="375"/>
      <c r="DJ345" s="375"/>
      <c r="DL345" s="385"/>
      <c r="DM345" s="386"/>
      <c r="DN345" s="375"/>
      <c r="DO345" s="375"/>
      <c r="DQ345" s="385"/>
      <c r="DR345" s="386"/>
      <c r="DS345" s="375"/>
      <c r="DT345" s="375"/>
      <c r="DV345" s="385"/>
      <c r="DW345" s="386"/>
      <c r="DX345" s="375"/>
      <c r="DY345" s="375"/>
      <c r="EA345" s="385"/>
      <c r="EB345" s="386"/>
      <c r="EC345" s="375"/>
      <c r="ED345" s="375"/>
      <c r="EF345" s="385"/>
      <c r="EG345" s="386"/>
      <c r="EH345" s="375"/>
      <c r="EI345" s="375"/>
      <c r="EK345" s="385"/>
      <c r="EL345" s="386"/>
      <c r="EM345" s="375"/>
      <c r="EN345" s="375"/>
      <c r="EP345" s="385"/>
      <c r="EQ345" s="386"/>
      <c r="ER345" s="375"/>
      <c r="ES345" s="375"/>
      <c r="EU345" s="385"/>
      <c r="EV345" s="386"/>
      <c r="EW345" s="375"/>
      <c r="EX345" s="375"/>
      <c r="EZ345" s="385"/>
      <c r="FA345" s="386"/>
      <c r="FB345" s="375"/>
      <c r="FC345" s="375"/>
      <c r="FE345" s="385"/>
      <c r="FF345" s="386"/>
      <c r="FG345" s="375"/>
      <c r="FH345" s="375"/>
      <c r="FJ345" s="385"/>
      <c r="FK345" s="386"/>
      <c r="FL345" s="375"/>
      <c r="FM345" s="375"/>
      <c r="FO345" s="385"/>
      <c r="FP345" s="386"/>
      <c r="FQ345" s="375"/>
      <c r="FR345" s="375"/>
      <c r="FT345" s="385"/>
      <c r="FU345" s="386"/>
      <c r="FV345" s="375"/>
      <c r="FW345" s="375"/>
      <c r="FY345" s="385"/>
      <c r="FZ345" s="386"/>
      <c r="GA345" s="375"/>
      <c r="GB345" s="375"/>
      <c r="GD345" s="385"/>
      <c r="GE345" s="386"/>
      <c r="GF345" s="375"/>
      <c r="GG345" s="375"/>
      <c r="GI345" s="385"/>
      <c r="GJ345" s="386"/>
      <c r="GK345" s="375"/>
      <c r="GL345" s="375"/>
      <c r="GN345" s="385"/>
      <c r="GO345" s="386"/>
      <c r="GP345" s="375"/>
      <c r="GQ345" s="375"/>
      <c r="GS345" s="385"/>
      <c r="GT345" s="386"/>
      <c r="GU345" s="375"/>
      <c r="GV345" s="375"/>
      <c r="GX345" s="385"/>
      <c r="GY345" s="386"/>
      <c r="GZ345" s="375"/>
      <c r="HA345" s="375"/>
      <c r="HC345" s="385"/>
      <c r="HD345" s="386"/>
      <c r="HE345" s="375"/>
      <c r="HF345" s="375"/>
      <c r="HH345" s="385"/>
      <c r="HI345" s="386"/>
      <c r="HJ345" s="375"/>
      <c r="HK345" s="375"/>
      <c r="HM345" s="385"/>
      <c r="HN345" s="386"/>
      <c r="HO345" s="375"/>
      <c r="HP345" s="375"/>
      <c r="HR345" s="385"/>
      <c r="HS345" s="386"/>
      <c r="HT345" s="375"/>
      <c r="HU345" s="375"/>
      <c r="HW345" s="385"/>
      <c r="HX345" s="386"/>
      <c r="HY345" s="375"/>
      <c r="HZ345" s="375"/>
      <c r="IB345" s="385"/>
      <c r="IC345" s="386"/>
      <c r="ID345" s="375"/>
      <c r="IE345" s="375"/>
      <c r="IG345" s="385"/>
      <c r="IH345" s="386"/>
      <c r="II345" s="375"/>
      <c r="IJ345" s="375"/>
      <c r="IL345" s="385"/>
      <c r="IM345" s="386"/>
      <c r="IN345" s="375"/>
      <c r="IO345" s="375"/>
      <c r="IQ345" s="385"/>
      <c r="IR345" s="386"/>
      <c r="IS345" s="375"/>
      <c r="IT345" s="375"/>
      <c r="IV345" s="385"/>
    </row>
    <row r="346" spans="1:256" s="387" customFormat="1" x14ac:dyDescent="0.2">
      <c r="A346" s="385"/>
      <c r="B346" s="386"/>
      <c r="C346" s="375"/>
      <c r="D346" s="375"/>
      <c r="F346" s="385"/>
      <c r="G346" s="386"/>
      <c r="H346" s="375"/>
      <c r="I346" s="375"/>
      <c r="K346" s="385"/>
      <c r="L346" s="386"/>
      <c r="M346" s="375"/>
      <c r="N346" s="375"/>
      <c r="P346" s="385"/>
      <c r="Q346" s="386"/>
      <c r="R346" s="375"/>
      <c r="S346" s="375"/>
      <c r="U346" s="385"/>
      <c r="V346" s="386"/>
      <c r="W346" s="375"/>
      <c r="X346" s="375"/>
      <c r="Z346" s="385"/>
      <c r="AA346" s="386"/>
      <c r="AB346" s="375"/>
      <c r="AC346" s="375"/>
      <c r="AE346" s="385"/>
      <c r="AF346" s="386"/>
      <c r="AG346" s="375"/>
      <c r="AH346" s="375"/>
      <c r="AJ346" s="385"/>
      <c r="AK346" s="386"/>
      <c r="AL346" s="375"/>
      <c r="AM346" s="375"/>
      <c r="AO346" s="385"/>
      <c r="AP346" s="386"/>
      <c r="AQ346" s="375"/>
      <c r="AR346" s="375"/>
      <c r="AT346" s="385"/>
      <c r="AU346" s="386"/>
      <c r="AV346" s="375"/>
      <c r="AW346" s="375"/>
      <c r="AY346" s="385"/>
      <c r="AZ346" s="386"/>
      <c r="BA346" s="375"/>
      <c r="BB346" s="375"/>
      <c r="BD346" s="385"/>
      <c r="BE346" s="386"/>
      <c r="BF346" s="375"/>
      <c r="BG346" s="375"/>
      <c r="BI346" s="385"/>
      <c r="BJ346" s="386"/>
      <c r="BK346" s="375"/>
      <c r="BL346" s="375"/>
      <c r="BN346" s="385"/>
      <c r="BO346" s="386"/>
      <c r="BP346" s="375"/>
      <c r="BQ346" s="375"/>
      <c r="BS346" s="385"/>
      <c r="BT346" s="386"/>
      <c r="BU346" s="375"/>
      <c r="BV346" s="375"/>
      <c r="BX346" s="385"/>
      <c r="BY346" s="386"/>
      <c r="BZ346" s="375"/>
      <c r="CA346" s="375"/>
      <c r="CC346" s="385"/>
      <c r="CD346" s="386"/>
      <c r="CE346" s="375"/>
      <c r="CF346" s="375"/>
      <c r="CH346" s="385"/>
      <c r="CI346" s="386"/>
      <c r="CJ346" s="375"/>
      <c r="CK346" s="375"/>
      <c r="CM346" s="385"/>
      <c r="CN346" s="386"/>
      <c r="CO346" s="375"/>
      <c r="CP346" s="375"/>
      <c r="CR346" s="385"/>
      <c r="CS346" s="386"/>
      <c r="CT346" s="375"/>
      <c r="CU346" s="375"/>
      <c r="CW346" s="385"/>
      <c r="CX346" s="386"/>
      <c r="CY346" s="375"/>
      <c r="CZ346" s="375"/>
      <c r="DB346" s="385"/>
      <c r="DC346" s="386"/>
      <c r="DD346" s="375"/>
      <c r="DE346" s="375"/>
      <c r="DG346" s="385"/>
      <c r="DH346" s="386"/>
      <c r="DI346" s="375"/>
      <c r="DJ346" s="375"/>
      <c r="DL346" s="385"/>
      <c r="DM346" s="386"/>
      <c r="DN346" s="375"/>
      <c r="DO346" s="375"/>
      <c r="DQ346" s="385"/>
      <c r="DR346" s="386"/>
      <c r="DS346" s="375"/>
      <c r="DT346" s="375"/>
      <c r="DV346" s="385"/>
      <c r="DW346" s="386"/>
      <c r="DX346" s="375"/>
      <c r="DY346" s="375"/>
      <c r="EA346" s="385"/>
      <c r="EB346" s="386"/>
      <c r="EC346" s="375"/>
      <c r="ED346" s="375"/>
      <c r="EF346" s="385"/>
      <c r="EG346" s="386"/>
      <c r="EH346" s="375"/>
      <c r="EI346" s="375"/>
      <c r="EK346" s="385"/>
      <c r="EL346" s="386"/>
      <c r="EM346" s="375"/>
      <c r="EN346" s="375"/>
      <c r="EP346" s="385"/>
      <c r="EQ346" s="386"/>
      <c r="ER346" s="375"/>
      <c r="ES346" s="375"/>
      <c r="EU346" s="385"/>
      <c r="EV346" s="386"/>
      <c r="EW346" s="375"/>
      <c r="EX346" s="375"/>
      <c r="EZ346" s="385"/>
      <c r="FA346" s="386"/>
      <c r="FB346" s="375"/>
      <c r="FC346" s="375"/>
      <c r="FE346" s="385"/>
      <c r="FF346" s="386"/>
      <c r="FG346" s="375"/>
      <c r="FH346" s="375"/>
      <c r="FJ346" s="385"/>
      <c r="FK346" s="386"/>
      <c r="FL346" s="375"/>
      <c r="FM346" s="375"/>
      <c r="FO346" s="385"/>
      <c r="FP346" s="386"/>
      <c r="FQ346" s="375"/>
      <c r="FR346" s="375"/>
      <c r="FT346" s="385"/>
      <c r="FU346" s="386"/>
      <c r="FV346" s="375"/>
      <c r="FW346" s="375"/>
      <c r="FY346" s="385"/>
      <c r="FZ346" s="386"/>
      <c r="GA346" s="375"/>
      <c r="GB346" s="375"/>
      <c r="GD346" s="385"/>
      <c r="GE346" s="386"/>
      <c r="GF346" s="375"/>
      <c r="GG346" s="375"/>
      <c r="GI346" s="385"/>
      <c r="GJ346" s="386"/>
      <c r="GK346" s="375"/>
      <c r="GL346" s="375"/>
      <c r="GN346" s="385"/>
      <c r="GO346" s="386"/>
      <c r="GP346" s="375"/>
      <c r="GQ346" s="375"/>
      <c r="GS346" s="385"/>
      <c r="GT346" s="386"/>
      <c r="GU346" s="375"/>
      <c r="GV346" s="375"/>
      <c r="GX346" s="385"/>
      <c r="GY346" s="386"/>
      <c r="GZ346" s="375"/>
      <c r="HA346" s="375"/>
      <c r="HC346" s="385"/>
      <c r="HD346" s="386"/>
      <c r="HE346" s="375"/>
      <c r="HF346" s="375"/>
      <c r="HH346" s="385"/>
      <c r="HI346" s="386"/>
      <c r="HJ346" s="375"/>
      <c r="HK346" s="375"/>
      <c r="HM346" s="385"/>
      <c r="HN346" s="386"/>
      <c r="HO346" s="375"/>
      <c r="HP346" s="375"/>
      <c r="HR346" s="385"/>
      <c r="HS346" s="386"/>
      <c r="HT346" s="375"/>
      <c r="HU346" s="375"/>
      <c r="HW346" s="385"/>
      <c r="HX346" s="386"/>
      <c r="HY346" s="375"/>
      <c r="HZ346" s="375"/>
      <c r="IB346" s="385"/>
      <c r="IC346" s="386"/>
      <c r="ID346" s="375"/>
      <c r="IE346" s="375"/>
      <c r="IG346" s="385"/>
      <c r="IH346" s="386"/>
      <c r="II346" s="375"/>
      <c r="IJ346" s="375"/>
      <c r="IL346" s="385"/>
      <c r="IM346" s="386"/>
      <c r="IN346" s="375"/>
      <c r="IO346" s="375"/>
      <c r="IQ346" s="385"/>
      <c r="IR346" s="386"/>
      <c r="IS346" s="375"/>
      <c r="IT346" s="375"/>
      <c r="IV346" s="385"/>
    </row>
    <row r="347" spans="1:256" s="387" customFormat="1" x14ac:dyDescent="0.2">
      <c r="A347" s="385"/>
      <c r="B347" s="386"/>
      <c r="C347" s="375"/>
      <c r="D347" s="375"/>
      <c r="F347" s="385"/>
      <c r="G347" s="386"/>
      <c r="H347" s="375"/>
      <c r="I347" s="375"/>
      <c r="K347" s="385"/>
      <c r="L347" s="386"/>
      <c r="M347" s="375"/>
      <c r="N347" s="375"/>
      <c r="P347" s="385"/>
      <c r="Q347" s="386"/>
      <c r="R347" s="375"/>
      <c r="S347" s="375"/>
      <c r="U347" s="385"/>
      <c r="V347" s="386"/>
      <c r="W347" s="375"/>
      <c r="X347" s="375"/>
      <c r="Z347" s="385"/>
      <c r="AA347" s="386"/>
      <c r="AB347" s="375"/>
      <c r="AC347" s="375"/>
      <c r="AE347" s="385"/>
      <c r="AF347" s="386"/>
      <c r="AG347" s="375"/>
      <c r="AH347" s="375"/>
      <c r="AJ347" s="385"/>
      <c r="AK347" s="386"/>
      <c r="AL347" s="375"/>
      <c r="AM347" s="375"/>
      <c r="AO347" s="385"/>
      <c r="AP347" s="386"/>
      <c r="AQ347" s="375"/>
      <c r="AR347" s="375"/>
      <c r="AT347" s="385"/>
      <c r="AU347" s="386"/>
      <c r="AV347" s="375"/>
      <c r="AW347" s="375"/>
      <c r="AY347" s="385"/>
      <c r="AZ347" s="386"/>
      <c r="BA347" s="375"/>
      <c r="BB347" s="375"/>
      <c r="BD347" s="385"/>
      <c r="BE347" s="386"/>
      <c r="BF347" s="375"/>
      <c r="BG347" s="375"/>
      <c r="BI347" s="385"/>
      <c r="BJ347" s="386"/>
      <c r="BK347" s="375"/>
      <c r="BL347" s="375"/>
      <c r="BN347" s="385"/>
      <c r="BO347" s="386"/>
      <c r="BP347" s="375"/>
      <c r="BQ347" s="375"/>
      <c r="BS347" s="385"/>
      <c r="BT347" s="386"/>
      <c r="BU347" s="375"/>
      <c r="BV347" s="375"/>
      <c r="BX347" s="385"/>
      <c r="BY347" s="386"/>
      <c r="BZ347" s="375"/>
      <c r="CA347" s="375"/>
      <c r="CC347" s="385"/>
      <c r="CD347" s="386"/>
      <c r="CE347" s="375"/>
      <c r="CF347" s="375"/>
      <c r="CH347" s="385"/>
      <c r="CI347" s="386"/>
      <c r="CJ347" s="375"/>
      <c r="CK347" s="375"/>
      <c r="CM347" s="385"/>
      <c r="CN347" s="386"/>
      <c r="CO347" s="375"/>
      <c r="CP347" s="375"/>
      <c r="CR347" s="385"/>
      <c r="CS347" s="386"/>
      <c r="CT347" s="375"/>
      <c r="CU347" s="375"/>
      <c r="CW347" s="385"/>
      <c r="CX347" s="386"/>
      <c r="CY347" s="375"/>
      <c r="CZ347" s="375"/>
      <c r="DB347" s="385"/>
      <c r="DC347" s="386"/>
      <c r="DD347" s="375"/>
      <c r="DE347" s="375"/>
      <c r="DG347" s="385"/>
      <c r="DH347" s="386"/>
      <c r="DI347" s="375"/>
      <c r="DJ347" s="375"/>
      <c r="DL347" s="385"/>
      <c r="DM347" s="386"/>
      <c r="DN347" s="375"/>
      <c r="DO347" s="375"/>
      <c r="DQ347" s="385"/>
      <c r="DR347" s="386"/>
      <c r="DS347" s="375"/>
      <c r="DT347" s="375"/>
      <c r="DV347" s="385"/>
      <c r="DW347" s="386"/>
      <c r="DX347" s="375"/>
      <c r="DY347" s="375"/>
      <c r="EA347" s="385"/>
      <c r="EB347" s="386"/>
      <c r="EC347" s="375"/>
      <c r="ED347" s="375"/>
      <c r="EF347" s="385"/>
      <c r="EG347" s="386"/>
      <c r="EH347" s="375"/>
      <c r="EI347" s="375"/>
      <c r="EK347" s="385"/>
      <c r="EL347" s="386"/>
      <c r="EM347" s="375"/>
      <c r="EN347" s="375"/>
      <c r="EP347" s="385"/>
      <c r="EQ347" s="386"/>
      <c r="ER347" s="375"/>
      <c r="ES347" s="375"/>
      <c r="EU347" s="385"/>
      <c r="EV347" s="386"/>
      <c r="EW347" s="375"/>
      <c r="EX347" s="375"/>
      <c r="EZ347" s="385"/>
      <c r="FA347" s="386"/>
      <c r="FB347" s="375"/>
      <c r="FC347" s="375"/>
      <c r="FE347" s="385"/>
      <c r="FF347" s="386"/>
      <c r="FG347" s="375"/>
      <c r="FH347" s="375"/>
      <c r="FJ347" s="385"/>
      <c r="FK347" s="386"/>
      <c r="FL347" s="375"/>
      <c r="FM347" s="375"/>
      <c r="FO347" s="385"/>
      <c r="FP347" s="386"/>
      <c r="FQ347" s="375"/>
      <c r="FR347" s="375"/>
      <c r="FT347" s="385"/>
      <c r="FU347" s="386"/>
      <c r="FV347" s="375"/>
      <c r="FW347" s="375"/>
      <c r="FY347" s="385"/>
      <c r="FZ347" s="386"/>
      <c r="GA347" s="375"/>
      <c r="GB347" s="375"/>
      <c r="GD347" s="385"/>
      <c r="GE347" s="386"/>
      <c r="GF347" s="375"/>
      <c r="GG347" s="375"/>
      <c r="GI347" s="385"/>
      <c r="GJ347" s="386"/>
      <c r="GK347" s="375"/>
      <c r="GL347" s="375"/>
      <c r="GN347" s="385"/>
      <c r="GO347" s="386"/>
      <c r="GP347" s="375"/>
      <c r="GQ347" s="375"/>
      <c r="GS347" s="385"/>
      <c r="GT347" s="386"/>
      <c r="GU347" s="375"/>
      <c r="GV347" s="375"/>
      <c r="GX347" s="385"/>
      <c r="GY347" s="386"/>
      <c r="GZ347" s="375"/>
      <c r="HA347" s="375"/>
      <c r="HC347" s="385"/>
      <c r="HD347" s="386"/>
      <c r="HE347" s="375"/>
      <c r="HF347" s="375"/>
      <c r="HH347" s="385"/>
      <c r="HI347" s="386"/>
      <c r="HJ347" s="375"/>
      <c r="HK347" s="375"/>
      <c r="HM347" s="385"/>
      <c r="HN347" s="386"/>
      <c r="HO347" s="375"/>
      <c r="HP347" s="375"/>
      <c r="HR347" s="385"/>
      <c r="HS347" s="386"/>
      <c r="HT347" s="375"/>
      <c r="HU347" s="375"/>
      <c r="HW347" s="385"/>
      <c r="HX347" s="386"/>
      <c r="HY347" s="375"/>
      <c r="HZ347" s="375"/>
      <c r="IB347" s="385"/>
      <c r="IC347" s="386"/>
      <c r="ID347" s="375"/>
      <c r="IE347" s="375"/>
      <c r="IG347" s="385"/>
      <c r="IH347" s="386"/>
      <c r="II347" s="375"/>
      <c r="IJ347" s="375"/>
      <c r="IL347" s="385"/>
      <c r="IM347" s="386"/>
      <c r="IN347" s="375"/>
      <c r="IO347" s="375"/>
      <c r="IQ347" s="385"/>
      <c r="IR347" s="386"/>
      <c r="IS347" s="375"/>
      <c r="IT347" s="375"/>
      <c r="IV347" s="385"/>
    </row>
    <row r="348" spans="1:256" s="387" customFormat="1" x14ac:dyDescent="0.2">
      <c r="A348" s="385"/>
      <c r="B348" s="386"/>
      <c r="C348" s="375"/>
      <c r="D348" s="375"/>
      <c r="F348" s="385"/>
      <c r="G348" s="386"/>
      <c r="H348" s="375"/>
      <c r="I348" s="375"/>
      <c r="K348" s="385"/>
      <c r="L348" s="386"/>
      <c r="M348" s="375"/>
      <c r="N348" s="375"/>
      <c r="P348" s="385"/>
      <c r="Q348" s="386"/>
      <c r="R348" s="375"/>
      <c r="S348" s="375"/>
      <c r="U348" s="385"/>
      <c r="V348" s="386"/>
      <c r="W348" s="375"/>
      <c r="X348" s="375"/>
      <c r="Z348" s="385"/>
      <c r="AA348" s="386"/>
      <c r="AB348" s="375"/>
      <c r="AC348" s="375"/>
      <c r="AE348" s="385"/>
      <c r="AF348" s="386"/>
      <c r="AG348" s="375"/>
      <c r="AH348" s="375"/>
      <c r="AJ348" s="385"/>
      <c r="AK348" s="386"/>
      <c r="AL348" s="375"/>
      <c r="AM348" s="375"/>
      <c r="AO348" s="385"/>
      <c r="AP348" s="386"/>
      <c r="AQ348" s="375"/>
      <c r="AR348" s="375"/>
      <c r="AT348" s="385"/>
      <c r="AU348" s="386"/>
      <c r="AV348" s="375"/>
      <c r="AW348" s="375"/>
      <c r="AY348" s="385"/>
      <c r="AZ348" s="386"/>
      <c r="BA348" s="375"/>
      <c r="BB348" s="375"/>
      <c r="BD348" s="385"/>
      <c r="BE348" s="386"/>
      <c r="BF348" s="375"/>
      <c r="BG348" s="375"/>
      <c r="BI348" s="385"/>
      <c r="BJ348" s="386"/>
      <c r="BK348" s="375"/>
      <c r="BL348" s="375"/>
      <c r="BN348" s="385"/>
      <c r="BO348" s="386"/>
      <c r="BP348" s="375"/>
      <c r="BQ348" s="375"/>
      <c r="BS348" s="385"/>
      <c r="BT348" s="386"/>
      <c r="BU348" s="375"/>
      <c r="BV348" s="375"/>
      <c r="BX348" s="385"/>
      <c r="BY348" s="386"/>
      <c r="BZ348" s="375"/>
      <c r="CA348" s="375"/>
      <c r="CC348" s="385"/>
      <c r="CD348" s="386"/>
      <c r="CE348" s="375"/>
      <c r="CF348" s="375"/>
      <c r="CH348" s="385"/>
      <c r="CI348" s="386"/>
      <c r="CJ348" s="375"/>
      <c r="CK348" s="375"/>
      <c r="CM348" s="385"/>
      <c r="CN348" s="386"/>
      <c r="CO348" s="375"/>
      <c r="CP348" s="375"/>
      <c r="CR348" s="385"/>
      <c r="CS348" s="386"/>
      <c r="CT348" s="375"/>
      <c r="CU348" s="375"/>
      <c r="CW348" s="385"/>
      <c r="CX348" s="386"/>
      <c r="CY348" s="375"/>
      <c r="CZ348" s="375"/>
      <c r="DB348" s="385"/>
      <c r="DC348" s="386"/>
      <c r="DD348" s="375"/>
      <c r="DE348" s="375"/>
      <c r="DG348" s="385"/>
      <c r="DH348" s="386"/>
      <c r="DI348" s="375"/>
      <c r="DJ348" s="375"/>
      <c r="DL348" s="385"/>
      <c r="DM348" s="386"/>
      <c r="DN348" s="375"/>
      <c r="DO348" s="375"/>
      <c r="DQ348" s="385"/>
      <c r="DR348" s="386"/>
      <c r="DS348" s="375"/>
      <c r="DT348" s="375"/>
      <c r="DV348" s="385"/>
      <c r="DW348" s="386"/>
      <c r="DX348" s="375"/>
      <c r="DY348" s="375"/>
      <c r="EA348" s="385"/>
      <c r="EB348" s="386"/>
      <c r="EC348" s="375"/>
      <c r="ED348" s="375"/>
      <c r="EF348" s="385"/>
      <c r="EG348" s="386"/>
      <c r="EH348" s="375"/>
      <c r="EI348" s="375"/>
      <c r="EK348" s="385"/>
      <c r="EL348" s="386"/>
      <c r="EM348" s="375"/>
      <c r="EN348" s="375"/>
      <c r="EP348" s="385"/>
      <c r="EQ348" s="386"/>
      <c r="ER348" s="375"/>
      <c r="ES348" s="375"/>
      <c r="EU348" s="385"/>
      <c r="EV348" s="386"/>
      <c r="EW348" s="375"/>
      <c r="EX348" s="375"/>
      <c r="EZ348" s="385"/>
      <c r="FA348" s="386"/>
      <c r="FB348" s="375"/>
      <c r="FC348" s="375"/>
      <c r="FE348" s="385"/>
      <c r="FF348" s="386"/>
      <c r="FG348" s="375"/>
      <c r="FH348" s="375"/>
      <c r="FJ348" s="385"/>
      <c r="FK348" s="386"/>
      <c r="FL348" s="375"/>
      <c r="FM348" s="375"/>
      <c r="FO348" s="385"/>
      <c r="FP348" s="386"/>
      <c r="FQ348" s="375"/>
      <c r="FR348" s="375"/>
      <c r="FT348" s="385"/>
      <c r="FU348" s="386"/>
      <c r="FV348" s="375"/>
      <c r="FW348" s="375"/>
      <c r="FY348" s="385"/>
      <c r="FZ348" s="386"/>
      <c r="GA348" s="375"/>
      <c r="GB348" s="375"/>
      <c r="GD348" s="385"/>
      <c r="GE348" s="386"/>
      <c r="GF348" s="375"/>
      <c r="GG348" s="375"/>
      <c r="GI348" s="385"/>
      <c r="GJ348" s="386"/>
      <c r="GK348" s="375"/>
      <c r="GL348" s="375"/>
      <c r="GN348" s="385"/>
      <c r="GO348" s="386"/>
      <c r="GP348" s="375"/>
      <c r="GQ348" s="375"/>
      <c r="GS348" s="385"/>
      <c r="GT348" s="386"/>
      <c r="GU348" s="375"/>
      <c r="GV348" s="375"/>
      <c r="GX348" s="385"/>
      <c r="GY348" s="386"/>
      <c r="GZ348" s="375"/>
      <c r="HA348" s="375"/>
      <c r="HC348" s="385"/>
      <c r="HD348" s="386"/>
      <c r="HE348" s="375"/>
      <c r="HF348" s="375"/>
      <c r="HH348" s="385"/>
      <c r="HI348" s="386"/>
      <c r="HJ348" s="375"/>
      <c r="HK348" s="375"/>
      <c r="HM348" s="385"/>
      <c r="HN348" s="386"/>
      <c r="HO348" s="375"/>
      <c r="HP348" s="375"/>
      <c r="HR348" s="385"/>
      <c r="HS348" s="386"/>
      <c r="HT348" s="375"/>
      <c r="HU348" s="375"/>
      <c r="HW348" s="385"/>
      <c r="HX348" s="386"/>
      <c r="HY348" s="375"/>
      <c r="HZ348" s="375"/>
      <c r="IB348" s="385"/>
      <c r="IC348" s="386"/>
      <c r="ID348" s="375"/>
      <c r="IE348" s="375"/>
      <c r="IG348" s="385"/>
      <c r="IH348" s="386"/>
      <c r="II348" s="375"/>
      <c r="IJ348" s="375"/>
      <c r="IL348" s="385"/>
      <c r="IM348" s="386"/>
      <c r="IN348" s="375"/>
      <c r="IO348" s="375"/>
      <c r="IQ348" s="385"/>
      <c r="IR348" s="386"/>
      <c r="IS348" s="375"/>
      <c r="IT348" s="375"/>
      <c r="IV348" s="385"/>
    </row>
    <row r="349" spans="1:256" s="387" customFormat="1" x14ac:dyDescent="0.2">
      <c r="A349" s="385"/>
      <c r="B349" s="386"/>
      <c r="C349" s="375"/>
      <c r="D349" s="375"/>
      <c r="F349" s="385"/>
      <c r="G349" s="386"/>
      <c r="H349" s="375"/>
      <c r="I349" s="375"/>
      <c r="K349" s="385"/>
      <c r="L349" s="386"/>
      <c r="M349" s="375"/>
      <c r="N349" s="375"/>
      <c r="P349" s="385"/>
      <c r="Q349" s="386"/>
      <c r="R349" s="375"/>
      <c r="S349" s="375"/>
      <c r="U349" s="385"/>
      <c r="V349" s="386"/>
      <c r="W349" s="375"/>
      <c r="X349" s="375"/>
      <c r="Z349" s="385"/>
      <c r="AA349" s="386"/>
      <c r="AB349" s="375"/>
      <c r="AC349" s="375"/>
      <c r="AE349" s="385"/>
      <c r="AF349" s="386"/>
      <c r="AG349" s="375"/>
      <c r="AH349" s="375"/>
      <c r="AJ349" s="385"/>
      <c r="AK349" s="386"/>
      <c r="AL349" s="375"/>
      <c r="AM349" s="375"/>
      <c r="AO349" s="385"/>
      <c r="AP349" s="386"/>
      <c r="AQ349" s="375"/>
      <c r="AR349" s="375"/>
      <c r="AT349" s="385"/>
      <c r="AU349" s="386"/>
      <c r="AV349" s="375"/>
      <c r="AW349" s="375"/>
      <c r="AY349" s="385"/>
      <c r="AZ349" s="386"/>
      <c r="BA349" s="375"/>
      <c r="BB349" s="375"/>
      <c r="BD349" s="385"/>
      <c r="BE349" s="386"/>
      <c r="BF349" s="375"/>
      <c r="BG349" s="375"/>
      <c r="BI349" s="385"/>
      <c r="BJ349" s="386"/>
      <c r="BK349" s="375"/>
      <c r="BL349" s="375"/>
      <c r="BN349" s="385"/>
      <c r="BO349" s="386"/>
      <c r="BP349" s="375"/>
      <c r="BQ349" s="375"/>
      <c r="BS349" s="385"/>
      <c r="BT349" s="386"/>
      <c r="BU349" s="375"/>
      <c r="BV349" s="375"/>
      <c r="BX349" s="385"/>
      <c r="BY349" s="386"/>
      <c r="BZ349" s="375"/>
      <c r="CA349" s="375"/>
      <c r="CC349" s="385"/>
      <c r="CD349" s="386"/>
      <c r="CE349" s="375"/>
      <c r="CF349" s="375"/>
      <c r="CH349" s="385"/>
      <c r="CI349" s="386"/>
      <c r="CJ349" s="375"/>
      <c r="CK349" s="375"/>
      <c r="CM349" s="385"/>
      <c r="CN349" s="386"/>
      <c r="CO349" s="375"/>
      <c r="CP349" s="375"/>
      <c r="CR349" s="385"/>
      <c r="CS349" s="386"/>
      <c r="CT349" s="375"/>
      <c r="CU349" s="375"/>
      <c r="CW349" s="385"/>
      <c r="CX349" s="386"/>
      <c r="CY349" s="375"/>
      <c r="CZ349" s="375"/>
      <c r="DB349" s="385"/>
      <c r="DC349" s="386"/>
      <c r="DD349" s="375"/>
      <c r="DE349" s="375"/>
      <c r="DG349" s="385"/>
      <c r="DH349" s="386"/>
      <c r="DI349" s="375"/>
      <c r="DJ349" s="375"/>
      <c r="DL349" s="385"/>
      <c r="DM349" s="386"/>
      <c r="DN349" s="375"/>
      <c r="DO349" s="375"/>
      <c r="DQ349" s="385"/>
      <c r="DR349" s="386"/>
      <c r="DS349" s="375"/>
      <c r="DT349" s="375"/>
      <c r="DV349" s="385"/>
      <c r="DW349" s="386"/>
      <c r="DX349" s="375"/>
      <c r="DY349" s="375"/>
      <c r="EA349" s="385"/>
      <c r="EB349" s="386"/>
      <c r="EC349" s="375"/>
      <c r="ED349" s="375"/>
      <c r="EF349" s="385"/>
      <c r="EG349" s="386"/>
      <c r="EH349" s="375"/>
      <c r="EI349" s="375"/>
      <c r="EK349" s="385"/>
      <c r="EL349" s="386"/>
      <c r="EM349" s="375"/>
      <c r="EN349" s="375"/>
      <c r="EP349" s="385"/>
      <c r="EQ349" s="386"/>
      <c r="ER349" s="375"/>
      <c r="ES349" s="375"/>
      <c r="EU349" s="385"/>
      <c r="EV349" s="386"/>
      <c r="EW349" s="375"/>
      <c r="EX349" s="375"/>
      <c r="EZ349" s="385"/>
      <c r="FA349" s="386"/>
      <c r="FB349" s="375"/>
      <c r="FC349" s="375"/>
      <c r="FE349" s="385"/>
      <c r="FF349" s="386"/>
      <c r="FG349" s="375"/>
      <c r="FH349" s="375"/>
      <c r="FJ349" s="385"/>
      <c r="FK349" s="386"/>
      <c r="FL349" s="375"/>
      <c r="FM349" s="375"/>
      <c r="FO349" s="385"/>
      <c r="FP349" s="386"/>
      <c r="FQ349" s="375"/>
      <c r="FR349" s="375"/>
      <c r="FT349" s="385"/>
      <c r="FU349" s="386"/>
      <c r="FV349" s="375"/>
      <c r="FW349" s="375"/>
      <c r="FY349" s="385"/>
      <c r="FZ349" s="386"/>
      <c r="GA349" s="375"/>
      <c r="GB349" s="375"/>
      <c r="GD349" s="385"/>
      <c r="GE349" s="386"/>
      <c r="GF349" s="375"/>
      <c r="GG349" s="375"/>
      <c r="GI349" s="385"/>
      <c r="GJ349" s="386"/>
      <c r="GK349" s="375"/>
      <c r="GL349" s="375"/>
      <c r="GN349" s="385"/>
      <c r="GO349" s="386"/>
      <c r="GP349" s="375"/>
      <c r="GQ349" s="375"/>
      <c r="GS349" s="385"/>
      <c r="GT349" s="386"/>
      <c r="GU349" s="375"/>
      <c r="GV349" s="375"/>
      <c r="GX349" s="385"/>
      <c r="GY349" s="386"/>
      <c r="GZ349" s="375"/>
      <c r="HA349" s="375"/>
      <c r="HC349" s="385"/>
      <c r="HD349" s="386"/>
      <c r="HE349" s="375"/>
      <c r="HF349" s="375"/>
      <c r="HH349" s="385"/>
      <c r="HI349" s="386"/>
      <c r="HJ349" s="375"/>
      <c r="HK349" s="375"/>
      <c r="HM349" s="385"/>
      <c r="HN349" s="386"/>
      <c r="HO349" s="375"/>
      <c r="HP349" s="375"/>
      <c r="HR349" s="385"/>
      <c r="HS349" s="386"/>
      <c r="HT349" s="375"/>
      <c r="HU349" s="375"/>
      <c r="HW349" s="385"/>
      <c r="HX349" s="386"/>
      <c r="HY349" s="375"/>
      <c r="HZ349" s="375"/>
      <c r="IB349" s="385"/>
      <c r="IC349" s="386"/>
      <c r="ID349" s="375"/>
      <c r="IE349" s="375"/>
      <c r="IG349" s="385"/>
      <c r="IH349" s="386"/>
      <c r="II349" s="375"/>
      <c r="IJ349" s="375"/>
      <c r="IL349" s="385"/>
      <c r="IM349" s="386"/>
      <c r="IN349" s="375"/>
      <c r="IO349" s="375"/>
      <c r="IQ349" s="385"/>
      <c r="IR349" s="386"/>
      <c r="IS349" s="375"/>
      <c r="IT349" s="375"/>
      <c r="IV349" s="385"/>
    </row>
    <row r="350" spans="1:256" s="387" customFormat="1" x14ac:dyDescent="0.2">
      <c r="A350" s="385"/>
      <c r="B350" s="386"/>
      <c r="C350" s="375"/>
      <c r="D350" s="375"/>
      <c r="F350" s="385"/>
      <c r="G350" s="386"/>
      <c r="H350" s="375"/>
      <c r="I350" s="375"/>
      <c r="K350" s="385"/>
      <c r="L350" s="386"/>
      <c r="M350" s="375"/>
      <c r="N350" s="375"/>
      <c r="P350" s="385"/>
      <c r="Q350" s="386"/>
      <c r="R350" s="375"/>
      <c r="S350" s="375"/>
      <c r="U350" s="385"/>
      <c r="V350" s="386"/>
      <c r="W350" s="375"/>
      <c r="X350" s="375"/>
      <c r="Z350" s="385"/>
      <c r="AA350" s="386"/>
      <c r="AB350" s="375"/>
      <c r="AC350" s="375"/>
      <c r="AE350" s="385"/>
      <c r="AF350" s="386"/>
      <c r="AG350" s="375"/>
      <c r="AH350" s="375"/>
      <c r="AJ350" s="385"/>
      <c r="AK350" s="386"/>
      <c r="AL350" s="375"/>
      <c r="AM350" s="375"/>
      <c r="AO350" s="385"/>
      <c r="AP350" s="386"/>
      <c r="AQ350" s="375"/>
      <c r="AR350" s="375"/>
      <c r="AT350" s="385"/>
      <c r="AU350" s="386"/>
      <c r="AV350" s="375"/>
      <c r="AW350" s="375"/>
      <c r="AY350" s="385"/>
      <c r="AZ350" s="386"/>
      <c r="BA350" s="375"/>
      <c r="BB350" s="375"/>
      <c r="BD350" s="385"/>
      <c r="BE350" s="386"/>
      <c r="BF350" s="375"/>
      <c r="BG350" s="375"/>
      <c r="BI350" s="385"/>
      <c r="BJ350" s="386"/>
      <c r="BK350" s="375"/>
      <c r="BL350" s="375"/>
      <c r="BN350" s="385"/>
      <c r="BO350" s="386"/>
      <c r="BP350" s="375"/>
      <c r="BQ350" s="375"/>
      <c r="BS350" s="385"/>
      <c r="BT350" s="386"/>
      <c r="BU350" s="375"/>
      <c r="BV350" s="375"/>
      <c r="BX350" s="385"/>
      <c r="BY350" s="386"/>
      <c r="BZ350" s="375"/>
      <c r="CA350" s="375"/>
      <c r="CC350" s="385"/>
      <c r="CD350" s="386"/>
      <c r="CE350" s="375"/>
      <c r="CF350" s="375"/>
      <c r="CH350" s="385"/>
      <c r="CI350" s="386"/>
      <c r="CJ350" s="375"/>
      <c r="CK350" s="375"/>
      <c r="CM350" s="385"/>
      <c r="CN350" s="386"/>
      <c r="CO350" s="375"/>
      <c r="CP350" s="375"/>
      <c r="CR350" s="385"/>
      <c r="CS350" s="386"/>
      <c r="CT350" s="375"/>
      <c r="CU350" s="375"/>
      <c r="CW350" s="385"/>
      <c r="CX350" s="386"/>
      <c r="CY350" s="375"/>
      <c r="CZ350" s="375"/>
      <c r="DB350" s="385"/>
      <c r="DC350" s="386"/>
      <c r="DD350" s="375"/>
      <c r="DE350" s="375"/>
      <c r="DG350" s="385"/>
      <c r="DH350" s="386"/>
      <c r="DI350" s="375"/>
      <c r="DJ350" s="375"/>
      <c r="DL350" s="385"/>
      <c r="DM350" s="386"/>
      <c r="DN350" s="375"/>
      <c r="DO350" s="375"/>
      <c r="DQ350" s="385"/>
      <c r="DR350" s="386"/>
      <c r="DS350" s="375"/>
      <c r="DT350" s="375"/>
      <c r="DV350" s="385"/>
      <c r="DW350" s="386"/>
      <c r="DX350" s="375"/>
      <c r="DY350" s="375"/>
      <c r="EA350" s="385"/>
      <c r="EB350" s="386"/>
      <c r="EC350" s="375"/>
      <c r="ED350" s="375"/>
      <c r="EF350" s="385"/>
      <c r="EG350" s="386"/>
      <c r="EH350" s="375"/>
      <c r="EI350" s="375"/>
      <c r="EK350" s="385"/>
      <c r="EL350" s="386"/>
      <c r="EM350" s="375"/>
      <c r="EN350" s="375"/>
      <c r="EP350" s="385"/>
      <c r="EQ350" s="386"/>
      <c r="ER350" s="375"/>
      <c r="ES350" s="375"/>
      <c r="EU350" s="385"/>
      <c r="EV350" s="386"/>
      <c r="EW350" s="375"/>
      <c r="EX350" s="375"/>
      <c r="EZ350" s="385"/>
      <c r="FA350" s="386"/>
      <c r="FB350" s="375"/>
      <c r="FC350" s="375"/>
      <c r="FE350" s="385"/>
      <c r="FF350" s="386"/>
      <c r="FG350" s="375"/>
      <c r="FH350" s="375"/>
      <c r="FJ350" s="385"/>
      <c r="FK350" s="386"/>
      <c r="FL350" s="375"/>
      <c r="FM350" s="375"/>
      <c r="FO350" s="385"/>
      <c r="FP350" s="386"/>
      <c r="FQ350" s="375"/>
      <c r="FR350" s="375"/>
      <c r="FT350" s="385"/>
      <c r="FU350" s="386"/>
      <c r="FV350" s="375"/>
      <c r="FW350" s="375"/>
      <c r="FY350" s="385"/>
      <c r="FZ350" s="386"/>
      <c r="GA350" s="375"/>
      <c r="GB350" s="375"/>
      <c r="GD350" s="385"/>
      <c r="GE350" s="386"/>
      <c r="GF350" s="375"/>
      <c r="GG350" s="375"/>
      <c r="GI350" s="385"/>
      <c r="GJ350" s="386"/>
      <c r="GK350" s="375"/>
      <c r="GL350" s="375"/>
      <c r="GN350" s="385"/>
      <c r="GO350" s="386"/>
      <c r="GP350" s="375"/>
      <c r="GQ350" s="375"/>
      <c r="GS350" s="385"/>
      <c r="GT350" s="386"/>
      <c r="GU350" s="375"/>
      <c r="GV350" s="375"/>
      <c r="GX350" s="385"/>
      <c r="GY350" s="386"/>
      <c r="GZ350" s="375"/>
      <c r="HA350" s="375"/>
      <c r="HC350" s="385"/>
      <c r="HD350" s="386"/>
      <c r="HE350" s="375"/>
      <c r="HF350" s="375"/>
      <c r="HH350" s="385"/>
      <c r="HI350" s="386"/>
      <c r="HJ350" s="375"/>
      <c r="HK350" s="375"/>
      <c r="HM350" s="385"/>
      <c r="HN350" s="386"/>
      <c r="HO350" s="375"/>
      <c r="HP350" s="375"/>
      <c r="HR350" s="385"/>
      <c r="HS350" s="386"/>
      <c r="HT350" s="375"/>
      <c r="HU350" s="375"/>
      <c r="HW350" s="385"/>
      <c r="HX350" s="386"/>
      <c r="HY350" s="375"/>
      <c r="HZ350" s="375"/>
      <c r="IB350" s="385"/>
      <c r="IC350" s="386"/>
      <c r="ID350" s="375"/>
      <c r="IE350" s="375"/>
      <c r="IG350" s="385"/>
      <c r="IH350" s="386"/>
      <c r="II350" s="375"/>
      <c r="IJ350" s="375"/>
      <c r="IL350" s="385"/>
      <c r="IM350" s="386"/>
      <c r="IN350" s="375"/>
      <c r="IO350" s="375"/>
      <c r="IQ350" s="385"/>
      <c r="IR350" s="386"/>
      <c r="IS350" s="375"/>
      <c r="IT350" s="375"/>
      <c r="IV350" s="385"/>
    </row>
    <row r="351" spans="1:256" s="387" customFormat="1" x14ac:dyDescent="0.2">
      <c r="A351" s="385"/>
      <c r="B351" s="386"/>
      <c r="C351" s="375"/>
      <c r="D351" s="375"/>
      <c r="F351" s="385"/>
      <c r="G351" s="386"/>
      <c r="H351" s="375"/>
      <c r="I351" s="375"/>
      <c r="K351" s="385"/>
      <c r="L351" s="386"/>
      <c r="M351" s="375"/>
      <c r="N351" s="375"/>
      <c r="P351" s="385"/>
      <c r="Q351" s="386"/>
      <c r="R351" s="375"/>
      <c r="S351" s="375"/>
      <c r="U351" s="385"/>
      <c r="V351" s="386"/>
      <c r="W351" s="375"/>
      <c r="X351" s="375"/>
      <c r="Z351" s="385"/>
      <c r="AA351" s="386"/>
      <c r="AB351" s="375"/>
      <c r="AC351" s="375"/>
      <c r="AE351" s="385"/>
      <c r="AF351" s="386"/>
      <c r="AG351" s="375"/>
      <c r="AH351" s="375"/>
      <c r="AJ351" s="385"/>
      <c r="AK351" s="386"/>
      <c r="AL351" s="375"/>
      <c r="AM351" s="375"/>
      <c r="AO351" s="385"/>
      <c r="AP351" s="386"/>
      <c r="AQ351" s="375"/>
      <c r="AR351" s="375"/>
      <c r="AT351" s="385"/>
      <c r="AU351" s="386"/>
      <c r="AV351" s="375"/>
      <c r="AW351" s="375"/>
      <c r="AY351" s="385"/>
      <c r="AZ351" s="386"/>
      <c r="BA351" s="375"/>
      <c r="BB351" s="375"/>
      <c r="BD351" s="385"/>
      <c r="BE351" s="386"/>
      <c r="BF351" s="375"/>
      <c r="BG351" s="375"/>
      <c r="BI351" s="385"/>
      <c r="BJ351" s="386"/>
      <c r="BK351" s="375"/>
      <c r="BL351" s="375"/>
      <c r="BN351" s="385"/>
      <c r="BO351" s="386"/>
      <c r="BP351" s="375"/>
      <c r="BQ351" s="375"/>
      <c r="BS351" s="385"/>
      <c r="BT351" s="386"/>
      <c r="BU351" s="375"/>
      <c r="BV351" s="375"/>
      <c r="BX351" s="385"/>
      <c r="BY351" s="386"/>
      <c r="BZ351" s="375"/>
      <c r="CA351" s="375"/>
      <c r="CC351" s="385"/>
      <c r="CD351" s="386"/>
      <c r="CE351" s="375"/>
      <c r="CF351" s="375"/>
      <c r="CH351" s="385"/>
      <c r="CI351" s="386"/>
      <c r="CJ351" s="375"/>
      <c r="CK351" s="375"/>
      <c r="CM351" s="385"/>
      <c r="CN351" s="386"/>
      <c r="CO351" s="375"/>
      <c r="CP351" s="375"/>
      <c r="CR351" s="385"/>
      <c r="CS351" s="386"/>
      <c r="CT351" s="375"/>
      <c r="CU351" s="375"/>
      <c r="CW351" s="385"/>
      <c r="CX351" s="386"/>
      <c r="CY351" s="375"/>
      <c r="CZ351" s="375"/>
      <c r="DB351" s="385"/>
      <c r="DC351" s="386"/>
      <c r="DD351" s="375"/>
      <c r="DE351" s="375"/>
      <c r="DG351" s="385"/>
      <c r="DH351" s="386"/>
      <c r="DI351" s="375"/>
      <c r="DJ351" s="375"/>
      <c r="DL351" s="385"/>
      <c r="DM351" s="386"/>
      <c r="DN351" s="375"/>
      <c r="DO351" s="375"/>
      <c r="DQ351" s="385"/>
      <c r="DR351" s="386"/>
      <c r="DS351" s="375"/>
      <c r="DT351" s="375"/>
      <c r="DV351" s="385"/>
      <c r="DW351" s="386"/>
      <c r="DX351" s="375"/>
      <c r="DY351" s="375"/>
      <c r="EA351" s="385"/>
      <c r="EB351" s="386"/>
      <c r="EC351" s="375"/>
      <c r="ED351" s="375"/>
      <c r="EF351" s="385"/>
      <c r="EG351" s="386"/>
      <c r="EH351" s="375"/>
      <c r="EI351" s="375"/>
      <c r="EK351" s="385"/>
      <c r="EL351" s="386"/>
      <c r="EM351" s="375"/>
      <c r="EN351" s="375"/>
      <c r="EP351" s="385"/>
      <c r="EQ351" s="386"/>
      <c r="ER351" s="375"/>
      <c r="ES351" s="375"/>
      <c r="EU351" s="385"/>
      <c r="EV351" s="386"/>
      <c r="EW351" s="375"/>
      <c r="EX351" s="375"/>
      <c r="EZ351" s="385"/>
      <c r="FA351" s="386"/>
      <c r="FB351" s="375"/>
      <c r="FC351" s="375"/>
      <c r="FE351" s="385"/>
      <c r="FF351" s="386"/>
      <c r="FG351" s="375"/>
      <c r="FH351" s="375"/>
      <c r="FJ351" s="385"/>
      <c r="FK351" s="386"/>
      <c r="FL351" s="375"/>
      <c r="FM351" s="375"/>
      <c r="FO351" s="385"/>
      <c r="FP351" s="386"/>
      <c r="FQ351" s="375"/>
      <c r="FR351" s="375"/>
      <c r="FT351" s="385"/>
      <c r="FU351" s="386"/>
      <c r="FV351" s="375"/>
      <c r="FW351" s="375"/>
      <c r="FY351" s="385"/>
      <c r="FZ351" s="386"/>
      <c r="GA351" s="375"/>
      <c r="GB351" s="375"/>
      <c r="GD351" s="385"/>
      <c r="GE351" s="386"/>
      <c r="GF351" s="375"/>
      <c r="GG351" s="375"/>
      <c r="GI351" s="385"/>
      <c r="GJ351" s="386"/>
      <c r="GK351" s="375"/>
      <c r="GL351" s="375"/>
      <c r="GN351" s="385"/>
      <c r="GO351" s="386"/>
      <c r="GP351" s="375"/>
      <c r="GQ351" s="375"/>
      <c r="GS351" s="385"/>
      <c r="GT351" s="386"/>
      <c r="GU351" s="375"/>
      <c r="GV351" s="375"/>
      <c r="GX351" s="385"/>
      <c r="GY351" s="386"/>
      <c r="GZ351" s="375"/>
      <c r="HA351" s="375"/>
      <c r="HC351" s="385"/>
      <c r="HD351" s="386"/>
      <c r="HE351" s="375"/>
      <c r="HF351" s="375"/>
      <c r="HH351" s="385"/>
      <c r="HI351" s="386"/>
      <c r="HJ351" s="375"/>
      <c r="HK351" s="375"/>
      <c r="HM351" s="385"/>
      <c r="HN351" s="386"/>
      <c r="HO351" s="375"/>
      <c r="HP351" s="375"/>
      <c r="HR351" s="385"/>
      <c r="HS351" s="386"/>
      <c r="HT351" s="375"/>
      <c r="HU351" s="375"/>
      <c r="HW351" s="385"/>
      <c r="HX351" s="386"/>
      <c r="HY351" s="375"/>
      <c r="HZ351" s="375"/>
      <c r="IB351" s="385"/>
      <c r="IC351" s="386"/>
      <c r="ID351" s="375"/>
      <c r="IE351" s="375"/>
      <c r="IG351" s="385"/>
      <c r="IH351" s="386"/>
      <c r="II351" s="375"/>
      <c r="IJ351" s="375"/>
      <c r="IL351" s="385"/>
      <c r="IM351" s="386"/>
      <c r="IN351" s="375"/>
      <c r="IO351" s="375"/>
      <c r="IQ351" s="385"/>
      <c r="IR351" s="386"/>
      <c r="IS351" s="375"/>
      <c r="IT351" s="375"/>
      <c r="IV351" s="385"/>
    </row>
    <row r="352" spans="1:256" s="387" customFormat="1" x14ac:dyDescent="0.2">
      <c r="A352" s="385"/>
      <c r="B352" s="386"/>
      <c r="C352" s="375"/>
      <c r="D352" s="375"/>
      <c r="F352" s="385"/>
      <c r="G352" s="386"/>
      <c r="H352" s="375"/>
      <c r="I352" s="375"/>
      <c r="K352" s="385"/>
      <c r="L352" s="386"/>
      <c r="M352" s="375"/>
      <c r="N352" s="375"/>
      <c r="P352" s="385"/>
      <c r="Q352" s="386"/>
      <c r="R352" s="375"/>
      <c r="S352" s="375"/>
      <c r="U352" s="385"/>
      <c r="V352" s="386"/>
      <c r="W352" s="375"/>
      <c r="X352" s="375"/>
      <c r="Z352" s="385"/>
      <c r="AA352" s="386"/>
      <c r="AB352" s="375"/>
      <c r="AC352" s="375"/>
      <c r="AE352" s="385"/>
      <c r="AF352" s="386"/>
      <c r="AG352" s="375"/>
      <c r="AH352" s="375"/>
      <c r="AJ352" s="385"/>
      <c r="AK352" s="386"/>
      <c r="AL352" s="375"/>
      <c r="AM352" s="375"/>
      <c r="AO352" s="385"/>
      <c r="AP352" s="386"/>
      <c r="AQ352" s="375"/>
      <c r="AR352" s="375"/>
      <c r="AT352" s="385"/>
      <c r="AU352" s="386"/>
      <c r="AV352" s="375"/>
      <c r="AW352" s="375"/>
      <c r="AY352" s="385"/>
      <c r="AZ352" s="386"/>
      <c r="BA352" s="375"/>
      <c r="BB352" s="375"/>
      <c r="BD352" s="385"/>
      <c r="BE352" s="386"/>
      <c r="BF352" s="375"/>
      <c r="BG352" s="375"/>
      <c r="BI352" s="385"/>
      <c r="BJ352" s="386"/>
      <c r="BK352" s="375"/>
      <c r="BL352" s="375"/>
      <c r="BN352" s="385"/>
      <c r="BO352" s="386"/>
      <c r="BP352" s="375"/>
      <c r="BQ352" s="375"/>
      <c r="BS352" s="385"/>
      <c r="BT352" s="386"/>
      <c r="BU352" s="375"/>
      <c r="BV352" s="375"/>
      <c r="BX352" s="385"/>
      <c r="BY352" s="386"/>
      <c r="BZ352" s="375"/>
      <c r="CA352" s="375"/>
      <c r="CC352" s="385"/>
      <c r="CD352" s="386"/>
      <c r="CE352" s="375"/>
      <c r="CF352" s="375"/>
      <c r="CH352" s="385"/>
      <c r="CI352" s="386"/>
      <c r="CJ352" s="375"/>
      <c r="CK352" s="375"/>
      <c r="CM352" s="385"/>
      <c r="CN352" s="386"/>
      <c r="CO352" s="375"/>
      <c r="CP352" s="375"/>
      <c r="CR352" s="385"/>
      <c r="CS352" s="386"/>
      <c r="CT352" s="375"/>
      <c r="CU352" s="375"/>
      <c r="CW352" s="385"/>
      <c r="CX352" s="386"/>
      <c r="CY352" s="375"/>
      <c r="CZ352" s="375"/>
      <c r="DB352" s="385"/>
      <c r="DC352" s="386"/>
      <c r="DD352" s="375"/>
      <c r="DE352" s="375"/>
      <c r="DG352" s="385"/>
      <c r="DH352" s="386"/>
      <c r="DI352" s="375"/>
      <c r="DJ352" s="375"/>
      <c r="DL352" s="385"/>
      <c r="DM352" s="386"/>
      <c r="DN352" s="375"/>
      <c r="DO352" s="375"/>
      <c r="DQ352" s="385"/>
      <c r="DR352" s="386"/>
      <c r="DS352" s="375"/>
      <c r="DT352" s="375"/>
      <c r="DV352" s="385"/>
      <c r="DW352" s="386"/>
      <c r="DX352" s="375"/>
      <c r="DY352" s="375"/>
      <c r="EA352" s="385"/>
      <c r="EB352" s="386"/>
      <c r="EC352" s="375"/>
      <c r="ED352" s="375"/>
      <c r="EF352" s="385"/>
      <c r="EG352" s="386"/>
      <c r="EH352" s="375"/>
      <c r="EI352" s="375"/>
      <c r="EK352" s="385"/>
      <c r="EL352" s="386"/>
      <c r="EM352" s="375"/>
      <c r="EN352" s="375"/>
      <c r="EP352" s="385"/>
      <c r="EQ352" s="386"/>
      <c r="ER352" s="375"/>
      <c r="ES352" s="375"/>
      <c r="EU352" s="385"/>
      <c r="EV352" s="386"/>
      <c r="EW352" s="375"/>
      <c r="EX352" s="375"/>
      <c r="EZ352" s="385"/>
      <c r="FA352" s="386"/>
      <c r="FB352" s="375"/>
      <c r="FC352" s="375"/>
      <c r="FE352" s="385"/>
      <c r="FF352" s="386"/>
      <c r="FG352" s="375"/>
      <c r="FH352" s="375"/>
      <c r="FJ352" s="385"/>
      <c r="FK352" s="386"/>
      <c r="FL352" s="375"/>
      <c r="FM352" s="375"/>
      <c r="FO352" s="385"/>
      <c r="FP352" s="386"/>
      <c r="FQ352" s="375"/>
      <c r="FR352" s="375"/>
      <c r="FT352" s="385"/>
      <c r="FU352" s="386"/>
      <c r="FV352" s="375"/>
      <c r="FW352" s="375"/>
      <c r="FY352" s="385"/>
      <c r="FZ352" s="386"/>
      <c r="GA352" s="375"/>
      <c r="GB352" s="375"/>
      <c r="GD352" s="385"/>
      <c r="GE352" s="386"/>
      <c r="GF352" s="375"/>
      <c r="GG352" s="375"/>
      <c r="GI352" s="385"/>
      <c r="GJ352" s="386"/>
      <c r="GK352" s="375"/>
      <c r="GL352" s="375"/>
      <c r="GN352" s="385"/>
      <c r="GO352" s="386"/>
      <c r="GP352" s="375"/>
      <c r="GQ352" s="375"/>
      <c r="GS352" s="385"/>
      <c r="GT352" s="386"/>
      <c r="GU352" s="375"/>
      <c r="GV352" s="375"/>
      <c r="GX352" s="385"/>
      <c r="GY352" s="386"/>
      <c r="GZ352" s="375"/>
      <c r="HA352" s="375"/>
      <c r="HC352" s="385"/>
      <c r="HD352" s="386"/>
      <c r="HE352" s="375"/>
      <c r="HF352" s="375"/>
      <c r="HH352" s="385"/>
      <c r="HI352" s="386"/>
      <c r="HJ352" s="375"/>
      <c r="HK352" s="375"/>
      <c r="HM352" s="385"/>
      <c r="HN352" s="386"/>
      <c r="HO352" s="375"/>
      <c r="HP352" s="375"/>
      <c r="HR352" s="385"/>
      <c r="HS352" s="386"/>
      <c r="HT352" s="375"/>
      <c r="HU352" s="375"/>
      <c r="HW352" s="385"/>
      <c r="HX352" s="386"/>
      <c r="HY352" s="375"/>
      <c r="HZ352" s="375"/>
      <c r="IB352" s="385"/>
      <c r="IC352" s="386"/>
      <c r="ID352" s="375"/>
      <c r="IE352" s="375"/>
      <c r="IG352" s="385"/>
      <c r="IH352" s="386"/>
      <c r="II352" s="375"/>
      <c r="IJ352" s="375"/>
      <c r="IL352" s="385"/>
      <c r="IM352" s="386"/>
      <c r="IN352" s="375"/>
      <c r="IO352" s="375"/>
      <c r="IQ352" s="385"/>
      <c r="IR352" s="386"/>
      <c r="IS352" s="375"/>
      <c r="IT352" s="375"/>
      <c r="IV352" s="385"/>
    </row>
    <row r="353" spans="1:256" s="387" customFormat="1" x14ac:dyDescent="0.2">
      <c r="A353" s="385"/>
      <c r="B353" s="386"/>
      <c r="C353" s="375"/>
      <c r="D353" s="375"/>
      <c r="F353" s="385"/>
      <c r="G353" s="386"/>
      <c r="H353" s="375"/>
      <c r="I353" s="375"/>
      <c r="K353" s="385"/>
      <c r="L353" s="386"/>
      <c r="M353" s="375"/>
      <c r="N353" s="375"/>
      <c r="P353" s="385"/>
      <c r="Q353" s="386"/>
      <c r="R353" s="375"/>
      <c r="S353" s="375"/>
      <c r="U353" s="385"/>
      <c r="V353" s="386"/>
      <c r="W353" s="375"/>
      <c r="X353" s="375"/>
      <c r="Z353" s="385"/>
      <c r="AA353" s="386"/>
      <c r="AB353" s="375"/>
      <c r="AC353" s="375"/>
      <c r="AE353" s="385"/>
      <c r="AF353" s="386"/>
      <c r="AG353" s="375"/>
      <c r="AH353" s="375"/>
      <c r="AJ353" s="385"/>
      <c r="AK353" s="386"/>
      <c r="AL353" s="375"/>
      <c r="AM353" s="375"/>
      <c r="AO353" s="385"/>
      <c r="AP353" s="386"/>
      <c r="AQ353" s="375"/>
      <c r="AR353" s="375"/>
      <c r="AT353" s="385"/>
      <c r="AU353" s="386"/>
      <c r="AV353" s="375"/>
      <c r="AW353" s="375"/>
      <c r="AY353" s="385"/>
      <c r="AZ353" s="386"/>
      <c r="BA353" s="375"/>
      <c r="BB353" s="375"/>
      <c r="BD353" s="385"/>
      <c r="BE353" s="386"/>
      <c r="BF353" s="375"/>
      <c r="BG353" s="375"/>
      <c r="BI353" s="385"/>
      <c r="BJ353" s="386"/>
      <c r="BK353" s="375"/>
      <c r="BL353" s="375"/>
      <c r="BN353" s="385"/>
      <c r="BO353" s="386"/>
      <c r="BP353" s="375"/>
      <c r="BQ353" s="375"/>
      <c r="BS353" s="385"/>
      <c r="BT353" s="386"/>
      <c r="BU353" s="375"/>
      <c r="BV353" s="375"/>
      <c r="BX353" s="385"/>
      <c r="BY353" s="386"/>
      <c r="BZ353" s="375"/>
      <c r="CA353" s="375"/>
      <c r="CC353" s="385"/>
      <c r="CD353" s="386"/>
      <c r="CE353" s="375"/>
      <c r="CF353" s="375"/>
      <c r="CH353" s="385"/>
      <c r="CI353" s="386"/>
      <c r="CJ353" s="375"/>
      <c r="CK353" s="375"/>
      <c r="CM353" s="385"/>
      <c r="CN353" s="386"/>
      <c r="CO353" s="375"/>
      <c r="CP353" s="375"/>
      <c r="CR353" s="385"/>
      <c r="CS353" s="386"/>
      <c r="CT353" s="375"/>
      <c r="CU353" s="375"/>
      <c r="CW353" s="385"/>
      <c r="CX353" s="386"/>
      <c r="CY353" s="375"/>
      <c r="CZ353" s="375"/>
      <c r="DB353" s="385"/>
      <c r="DC353" s="386"/>
      <c r="DD353" s="375"/>
      <c r="DE353" s="375"/>
      <c r="DG353" s="385"/>
      <c r="DH353" s="386"/>
      <c r="DI353" s="375"/>
      <c r="DJ353" s="375"/>
      <c r="DL353" s="385"/>
      <c r="DM353" s="386"/>
      <c r="DN353" s="375"/>
      <c r="DO353" s="375"/>
      <c r="DQ353" s="385"/>
      <c r="DR353" s="386"/>
      <c r="DS353" s="375"/>
      <c r="DT353" s="375"/>
      <c r="DV353" s="385"/>
      <c r="DW353" s="386"/>
      <c r="DX353" s="375"/>
      <c r="DY353" s="375"/>
      <c r="EA353" s="385"/>
      <c r="EB353" s="386"/>
      <c r="EC353" s="375"/>
      <c r="ED353" s="375"/>
      <c r="EF353" s="385"/>
      <c r="EG353" s="386"/>
      <c r="EH353" s="375"/>
      <c r="EI353" s="375"/>
      <c r="EK353" s="385"/>
      <c r="EL353" s="386"/>
      <c r="EM353" s="375"/>
      <c r="EN353" s="375"/>
      <c r="EP353" s="385"/>
      <c r="EQ353" s="386"/>
      <c r="ER353" s="375"/>
      <c r="ES353" s="375"/>
      <c r="EU353" s="385"/>
      <c r="EV353" s="386"/>
      <c r="EW353" s="375"/>
      <c r="EX353" s="375"/>
      <c r="EZ353" s="385"/>
      <c r="FA353" s="386"/>
      <c r="FB353" s="375"/>
      <c r="FC353" s="375"/>
      <c r="FE353" s="385"/>
      <c r="FF353" s="386"/>
      <c r="FG353" s="375"/>
      <c r="FH353" s="375"/>
      <c r="FJ353" s="385"/>
      <c r="FK353" s="386"/>
      <c r="FL353" s="375"/>
      <c r="FM353" s="375"/>
      <c r="FO353" s="385"/>
      <c r="FP353" s="386"/>
      <c r="FQ353" s="375"/>
      <c r="FR353" s="375"/>
      <c r="FT353" s="385"/>
      <c r="FU353" s="386"/>
      <c r="FV353" s="375"/>
      <c r="FW353" s="375"/>
      <c r="FY353" s="385"/>
      <c r="FZ353" s="386"/>
      <c r="GA353" s="375"/>
      <c r="GB353" s="375"/>
      <c r="GD353" s="385"/>
      <c r="GE353" s="386"/>
      <c r="GF353" s="375"/>
      <c r="GG353" s="375"/>
      <c r="GI353" s="385"/>
      <c r="GJ353" s="386"/>
      <c r="GK353" s="375"/>
      <c r="GL353" s="375"/>
      <c r="GN353" s="385"/>
      <c r="GO353" s="386"/>
      <c r="GP353" s="375"/>
      <c r="GQ353" s="375"/>
      <c r="GS353" s="385"/>
      <c r="GT353" s="386"/>
      <c r="GU353" s="375"/>
      <c r="GV353" s="375"/>
      <c r="GX353" s="385"/>
      <c r="GY353" s="386"/>
      <c r="GZ353" s="375"/>
      <c r="HA353" s="375"/>
      <c r="HC353" s="385"/>
      <c r="HD353" s="386"/>
      <c r="HE353" s="375"/>
      <c r="HF353" s="375"/>
      <c r="HH353" s="385"/>
      <c r="HI353" s="386"/>
      <c r="HJ353" s="375"/>
      <c r="HK353" s="375"/>
      <c r="HM353" s="385"/>
      <c r="HN353" s="386"/>
      <c r="HO353" s="375"/>
      <c r="HP353" s="375"/>
      <c r="HR353" s="385"/>
      <c r="HS353" s="386"/>
      <c r="HT353" s="375"/>
      <c r="HU353" s="375"/>
      <c r="HW353" s="385"/>
      <c r="HX353" s="386"/>
      <c r="HY353" s="375"/>
      <c r="HZ353" s="375"/>
      <c r="IB353" s="385"/>
      <c r="IC353" s="386"/>
      <c r="ID353" s="375"/>
      <c r="IE353" s="375"/>
      <c r="IG353" s="385"/>
      <c r="IH353" s="386"/>
      <c r="II353" s="375"/>
      <c r="IJ353" s="375"/>
      <c r="IL353" s="385"/>
      <c r="IM353" s="386"/>
      <c r="IN353" s="375"/>
      <c r="IO353" s="375"/>
      <c r="IQ353" s="385"/>
      <c r="IR353" s="386"/>
      <c r="IS353" s="375"/>
      <c r="IT353" s="375"/>
      <c r="IV353" s="385"/>
    </row>
    <row r="354" spans="1:256" s="387" customFormat="1" x14ac:dyDescent="0.2">
      <c r="A354" s="385"/>
      <c r="B354" s="386"/>
      <c r="C354" s="375"/>
      <c r="D354" s="375"/>
      <c r="F354" s="385"/>
      <c r="G354" s="386"/>
      <c r="H354" s="375"/>
      <c r="I354" s="375"/>
      <c r="K354" s="385"/>
      <c r="L354" s="386"/>
      <c r="M354" s="375"/>
      <c r="N354" s="375"/>
      <c r="P354" s="385"/>
      <c r="Q354" s="386"/>
      <c r="R354" s="375"/>
      <c r="S354" s="375"/>
      <c r="U354" s="385"/>
      <c r="V354" s="386"/>
      <c r="W354" s="375"/>
      <c r="X354" s="375"/>
      <c r="Z354" s="385"/>
      <c r="AA354" s="386"/>
      <c r="AB354" s="375"/>
      <c r="AC354" s="375"/>
      <c r="AE354" s="385"/>
      <c r="AF354" s="386"/>
      <c r="AG354" s="375"/>
      <c r="AH354" s="375"/>
      <c r="AJ354" s="385"/>
      <c r="AK354" s="386"/>
      <c r="AL354" s="375"/>
      <c r="AM354" s="375"/>
      <c r="AO354" s="385"/>
      <c r="AP354" s="386"/>
      <c r="AQ354" s="375"/>
      <c r="AR354" s="375"/>
      <c r="AT354" s="385"/>
      <c r="AU354" s="386"/>
      <c r="AV354" s="375"/>
      <c r="AW354" s="375"/>
      <c r="AY354" s="385"/>
      <c r="AZ354" s="386"/>
      <c r="BA354" s="375"/>
      <c r="BB354" s="375"/>
      <c r="BD354" s="385"/>
      <c r="BE354" s="386"/>
      <c r="BF354" s="375"/>
      <c r="BG354" s="375"/>
      <c r="BI354" s="385"/>
      <c r="BJ354" s="386"/>
      <c r="BK354" s="375"/>
      <c r="BL354" s="375"/>
      <c r="BN354" s="385"/>
      <c r="BO354" s="386"/>
      <c r="BP354" s="375"/>
      <c r="BQ354" s="375"/>
      <c r="BS354" s="385"/>
      <c r="BT354" s="386"/>
      <c r="BU354" s="375"/>
      <c r="BV354" s="375"/>
      <c r="BX354" s="385"/>
      <c r="BY354" s="386"/>
      <c r="BZ354" s="375"/>
      <c r="CA354" s="375"/>
      <c r="CC354" s="385"/>
      <c r="CD354" s="386"/>
      <c r="CE354" s="375"/>
      <c r="CF354" s="375"/>
      <c r="CH354" s="385"/>
      <c r="CI354" s="386"/>
      <c r="CJ354" s="375"/>
      <c r="CK354" s="375"/>
      <c r="CM354" s="385"/>
      <c r="CN354" s="386"/>
      <c r="CO354" s="375"/>
      <c r="CP354" s="375"/>
      <c r="CR354" s="385"/>
      <c r="CS354" s="386"/>
      <c r="CT354" s="375"/>
      <c r="CU354" s="375"/>
      <c r="CW354" s="385"/>
      <c r="CX354" s="386"/>
      <c r="CY354" s="375"/>
      <c r="CZ354" s="375"/>
      <c r="DB354" s="385"/>
      <c r="DC354" s="386"/>
      <c r="DD354" s="375"/>
      <c r="DE354" s="375"/>
      <c r="DG354" s="385"/>
      <c r="DH354" s="386"/>
      <c r="DI354" s="375"/>
      <c r="DJ354" s="375"/>
      <c r="DL354" s="385"/>
      <c r="DM354" s="386"/>
      <c r="DN354" s="375"/>
      <c r="DO354" s="375"/>
      <c r="DQ354" s="385"/>
      <c r="DR354" s="386"/>
      <c r="DS354" s="375"/>
      <c r="DT354" s="375"/>
      <c r="DV354" s="385"/>
      <c r="DW354" s="386"/>
      <c r="DX354" s="375"/>
      <c r="DY354" s="375"/>
      <c r="EA354" s="385"/>
      <c r="EB354" s="386"/>
      <c r="EC354" s="375"/>
      <c r="ED354" s="375"/>
      <c r="EF354" s="385"/>
      <c r="EG354" s="386"/>
      <c r="EH354" s="375"/>
      <c r="EI354" s="375"/>
      <c r="EK354" s="385"/>
      <c r="EL354" s="386"/>
      <c r="EM354" s="375"/>
      <c r="EN354" s="375"/>
      <c r="EP354" s="385"/>
      <c r="EQ354" s="386"/>
      <c r="ER354" s="375"/>
      <c r="ES354" s="375"/>
      <c r="EU354" s="385"/>
      <c r="EV354" s="386"/>
      <c r="EW354" s="375"/>
      <c r="EX354" s="375"/>
      <c r="EZ354" s="385"/>
      <c r="FA354" s="386"/>
      <c r="FB354" s="375"/>
      <c r="FC354" s="375"/>
      <c r="FE354" s="385"/>
      <c r="FF354" s="386"/>
      <c r="FG354" s="375"/>
      <c r="FH354" s="375"/>
      <c r="FJ354" s="385"/>
      <c r="FK354" s="386"/>
      <c r="FL354" s="375"/>
      <c r="FM354" s="375"/>
      <c r="FO354" s="385"/>
      <c r="FP354" s="386"/>
      <c r="FQ354" s="375"/>
      <c r="FR354" s="375"/>
      <c r="FT354" s="385"/>
      <c r="FU354" s="386"/>
      <c r="FV354" s="375"/>
      <c r="FW354" s="375"/>
      <c r="FY354" s="385"/>
      <c r="FZ354" s="386"/>
      <c r="GA354" s="375"/>
      <c r="GB354" s="375"/>
      <c r="GD354" s="385"/>
      <c r="GE354" s="386"/>
      <c r="GF354" s="375"/>
      <c r="GG354" s="375"/>
      <c r="GI354" s="385"/>
      <c r="GJ354" s="386"/>
      <c r="GK354" s="375"/>
      <c r="GL354" s="375"/>
      <c r="GN354" s="385"/>
      <c r="GO354" s="386"/>
      <c r="GP354" s="375"/>
      <c r="GQ354" s="375"/>
      <c r="GS354" s="385"/>
      <c r="GT354" s="386"/>
      <c r="GU354" s="375"/>
      <c r="GV354" s="375"/>
      <c r="GX354" s="385"/>
      <c r="GY354" s="386"/>
      <c r="GZ354" s="375"/>
      <c r="HA354" s="375"/>
      <c r="HC354" s="385"/>
      <c r="HD354" s="386"/>
      <c r="HE354" s="375"/>
      <c r="HF354" s="375"/>
      <c r="HH354" s="385"/>
      <c r="HI354" s="386"/>
      <c r="HJ354" s="375"/>
      <c r="HK354" s="375"/>
      <c r="HM354" s="385"/>
      <c r="HN354" s="386"/>
      <c r="HO354" s="375"/>
      <c r="HP354" s="375"/>
      <c r="HR354" s="385"/>
      <c r="HS354" s="386"/>
      <c r="HT354" s="375"/>
      <c r="HU354" s="375"/>
      <c r="HW354" s="385"/>
      <c r="HX354" s="386"/>
      <c r="HY354" s="375"/>
      <c r="HZ354" s="375"/>
      <c r="IB354" s="385"/>
      <c r="IC354" s="386"/>
      <c r="ID354" s="375"/>
      <c r="IE354" s="375"/>
      <c r="IG354" s="385"/>
      <c r="IH354" s="386"/>
      <c r="II354" s="375"/>
      <c r="IJ354" s="375"/>
      <c r="IL354" s="385"/>
      <c r="IM354" s="386"/>
      <c r="IN354" s="375"/>
      <c r="IO354" s="375"/>
      <c r="IQ354" s="385"/>
      <c r="IR354" s="386"/>
      <c r="IS354" s="375"/>
      <c r="IT354" s="375"/>
      <c r="IV354" s="385"/>
    </row>
    <row r="355" spans="1:256" s="387" customFormat="1" x14ac:dyDescent="0.2">
      <c r="A355" s="385"/>
      <c r="B355" s="386"/>
      <c r="C355" s="375"/>
      <c r="D355" s="375"/>
      <c r="F355" s="385"/>
      <c r="G355" s="386"/>
      <c r="H355" s="375"/>
      <c r="I355" s="375"/>
      <c r="K355" s="385"/>
      <c r="L355" s="386"/>
      <c r="M355" s="375"/>
      <c r="N355" s="375"/>
      <c r="P355" s="385"/>
      <c r="Q355" s="386"/>
      <c r="R355" s="375"/>
      <c r="S355" s="375"/>
      <c r="U355" s="385"/>
      <c r="V355" s="386"/>
      <c r="W355" s="375"/>
      <c r="X355" s="375"/>
      <c r="Z355" s="385"/>
      <c r="AA355" s="386"/>
      <c r="AB355" s="375"/>
      <c r="AC355" s="375"/>
      <c r="AE355" s="385"/>
      <c r="AF355" s="386"/>
      <c r="AG355" s="375"/>
      <c r="AH355" s="375"/>
      <c r="AJ355" s="385"/>
      <c r="AK355" s="386"/>
      <c r="AL355" s="375"/>
      <c r="AM355" s="375"/>
      <c r="AO355" s="385"/>
      <c r="AP355" s="386"/>
      <c r="AQ355" s="375"/>
      <c r="AR355" s="375"/>
      <c r="AT355" s="385"/>
      <c r="AU355" s="386"/>
      <c r="AV355" s="375"/>
      <c r="AW355" s="375"/>
      <c r="AY355" s="385"/>
      <c r="AZ355" s="386"/>
      <c r="BA355" s="375"/>
      <c r="BB355" s="375"/>
      <c r="BD355" s="385"/>
      <c r="BE355" s="386"/>
      <c r="BF355" s="375"/>
      <c r="BG355" s="375"/>
      <c r="BI355" s="385"/>
      <c r="BJ355" s="386"/>
      <c r="BK355" s="375"/>
      <c r="BL355" s="375"/>
      <c r="BN355" s="385"/>
      <c r="BO355" s="386"/>
      <c r="BP355" s="375"/>
      <c r="BQ355" s="375"/>
      <c r="BS355" s="385"/>
      <c r="BT355" s="386"/>
      <c r="BU355" s="375"/>
      <c r="BV355" s="375"/>
      <c r="BX355" s="385"/>
      <c r="BY355" s="386"/>
      <c r="BZ355" s="375"/>
      <c r="CA355" s="375"/>
      <c r="CC355" s="385"/>
      <c r="CD355" s="386"/>
      <c r="CE355" s="375"/>
      <c r="CF355" s="375"/>
      <c r="CH355" s="385"/>
      <c r="CI355" s="386"/>
      <c r="CJ355" s="375"/>
      <c r="CK355" s="375"/>
      <c r="CM355" s="385"/>
      <c r="CN355" s="386"/>
      <c r="CO355" s="375"/>
      <c r="CP355" s="375"/>
      <c r="CR355" s="385"/>
      <c r="CS355" s="386"/>
      <c r="CT355" s="375"/>
      <c r="CU355" s="375"/>
      <c r="CW355" s="385"/>
      <c r="CX355" s="386"/>
      <c r="CY355" s="375"/>
      <c r="CZ355" s="375"/>
      <c r="DB355" s="385"/>
      <c r="DC355" s="386"/>
      <c r="DD355" s="375"/>
      <c r="DE355" s="375"/>
      <c r="DG355" s="385"/>
      <c r="DH355" s="386"/>
      <c r="DI355" s="375"/>
      <c r="DJ355" s="375"/>
      <c r="DL355" s="385"/>
      <c r="DM355" s="386"/>
      <c r="DN355" s="375"/>
      <c r="DO355" s="375"/>
      <c r="DQ355" s="385"/>
      <c r="DR355" s="386"/>
      <c r="DS355" s="375"/>
      <c r="DT355" s="375"/>
      <c r="DV355" s="385"/>
      <c r="DW355" s="386"/>
      <c r="DX355" s="375"/>
      <c r="DY355" s="375"/>
      <c r="EA355" s="385"/>
      <c r="EB355" s="386"/>
      <c r="EC355" s="375"/>
      <c r="ED355" s="375"/>
      <c r="EF355" s="385"/>
      <c r="EG355" s="386"/>
      <c r="EH355" s="375"/>
      <c r="EI355" s="375"/>
      <c r="EK355" s="385"/>
      <c r="EL355" s="386"/>
      <c r="EM355" s="375"/>
      <c r="EN355" s="375"/>
      <c r="EP355" s="385"/>
      <c r="EQ355" s="386"/>
      <c r="ER355" s="375"/>
      <c r="ES355" s="375"/>
      <c r="EU355" s="385"/>
      <c r="EV355" s="386"/>
      <c r="EW355" s="375"/>
      <c r="EX355" s="375"/>
      <c r="EZ355" s="385"/>
      <c r="FA355" s="386"/>
      <c r="FB355" s="375"/>
      <c r="FC355" s="375"/>
      <c r="FE355" s="385"/>
      <c r="FF355" s="386"/>
      <c r="FG355" s="375"/>
      <c r="FH355" s="375"/>
      <c r="FJ355" s="385"/>
      <c r="FK355" s="386"/>
      <c r="FL355" s="375"/>
      <c r="FM355" s="375"/>
      <c r="FO355" s="385"/>
      <c r="FP355" s="386"/>
      <c r="FQ355" s="375"/>
      <c r="FR355" s="375"/>
      <c r="FT355" s="385"/>
      <c r="FU355" s="386"/>
      <c r="FV355" s="375"/>
      <c r="FW355" s="375"/>
      <c r="FY355" s="385"/>
      <c r="FZ355" s="386"/>
      <c r="GA355" s="375"/>
      <c r="GB355" s="375"/>
      <c r="GD355" s="385"/>
      <c r="GE355" s="386"/>
      <c r="GF355" s="375"/>
      <c r="GG355" s="375"/>
      <c r="GI355" s="385"/>
      <c r="GJ355" s="386"/>
      <c r="GK355" s="375"/>
      <c r="GL355" s="375"/>
      <c r="GN355" s="385"/>
      <c r="GO355" s="386"/>
      <c r="GP355" s="375"/>
      <c r="GQ355" s="375"/>
      <c r="GS355" s="385"/>
      <c r="GT355" s="386"/>
      <c r="GU355" s="375"/>
      <c r="GV355" s="375"/>
      <c r="GX355" s="385"/>
      <c r="GY355" s="386"/>
      <c r="GZ355" s="375"/>
      <c r="HA355" s="375"/>
      <c r="HC355" s="385"/>
      <c r="HD355" s="386"/>
      <c r="HE355" s="375"/>
      <c r="HF355" s="375"/>
      <c r="HH355" s="385"/>
      <c r="HI355" s="386"/>
      <c r="HJ355" s="375"/>
      <c r="HK355" s="375"/>
      <c r="HM355" s="385"/>
      <c r="HN355" s="386"/>
      <c r="HO355" s="375"/>
      <c r="HP355" s="375"/>
      <c r="HR355" s="385"/>
      <c r="HS355" s="386"/>
      <c r="HT355" s="375"/>
      <c r="HU355" s="375"/>
      <c r="HW355" s="385"/>
      <c r="HX355" s="386"/>
      <c r="HY355" s="375"/>
      <c r="HZ355" s="375"/>
      <c r="IB355" s="385"/>
      <c r="IC355" s="386"/>
      <c r="ID355" s="375"/>
      <c r="IE355" s="375"/>
      <c r="IG355" s="385"/>
      <c r="IH355" s="386"/>
      <c r="II355" s="375"/>
      <c r="IJ355" s="375"/>
      <c r="IL355" s="385"/>
      <c r="IM355" s="386"/>
      <c r="IN355" s="375"/>
      <c r="IO355" s="375"/>
      <c r="IQ355" s="385"/>
      <c r="IR355" s="386"/>
      <c r="IS355" s="375"/>
      <c r="IT355" s="375"/>
      <c r="IV355" s="385"/>
    </row>
    <row r="356" spans="1:256" s="387" customFormat="1" x14ac:dyDescent="0.2">
      <c r="A356" s="385"/>
      <c r="B356" s="386"/>
      <c r="C356" s="375"/>
      <c r="D356" s="375"/>
      <c r="F356" s="385"/>
      <c r="G356" s="386"/>
      <c r="H356" s="375"/>
      <c r="I356" s="375"/>
      <c r="K356" s="385"/>
      <c r="L356" s="386"/>
      <c r="M356" s="375"/>
      <c r="N356" s="375"/>
      <c r="P356" s="385"/>
      <c r="Q356" s="386"/>
      <c r="R356" s="375"/>
      <c r="S356" s="375"/>
      <c r="U356" s="385"/>
      <c r="V356" s="386"/>
      <c r="W356" s="375"/>
      <c r="X356" s="375"/>
      <c r="Z356" s="385"/>
      <c r="AA356" s="386"/>
      <c r="AB356" s="375"/>
      <c r="AC356" s="375"/>
      <c r="AE356" s="385"/>
      <c r="AF356" s="386"/>
      <c r="AG356" s="375"/>
      <c r="AH356" s="375"/>
      <c r="AJ356" s="385"/>
      <c r="AK356" s="386"/>
      <c r="AL356" s="375"/>
      <c r="AM356" s="375"/>
      <c r="AO356" s="385"/>
      <c r="AP356" s="386"/>
      <c r="AQ356" s="375"/>
      <c r="AR356" s="375"/>
      <c r="AT356" s="385"/>
      <c r="AU356" s="386"/>
      <c r="AV356" s="375"/>
      <c r="AW356" s="375"/>
      <c r="AY356" s="385"/>
      <c r="AZ356" s="386"/>
      <c r="BA356" s="375"/>
      <c r="BB356" s="375"/>
      <c r="BD356" s="385"/>
      <c r="BE356" s="386"/>
      <c r="BF356" s="375"/>
      <c r="BG356" s="375"/>
      <c r="BI356" s="385"/>
      <c r="BJ356" s="386"/>
      <c r="BK356" s="375"/>
      <c r="BL356" s="375"/>
      <c r="BN356" s="385"/>
      <c r="BO356" s="386"/>
      <c r="BP356" s="375"/>
      <c r="BQ356" s="375"/>
      <c r="BS356" s="385"/>
      <c r="BT356" s="386"/>
      <c r="BU356" s="375"/>
      <c r="BV356" s="375"/>
      <c r="BX356" s="385"/>
      <c r="BY356" s="386"/>
      <c r="BZ356" s="375"/>
      <c r="CA356" s="375"/>
      <c r="CC356" s="385"/>
      <c r="CD356" s="386"/>
      <c r="CE356" s="375"/>
      <c r="CF356" s="375"/>
      <c r="CH356" s="385"/>
      <c r="CI356" s="386"/>
      <c r="CJ356" s="375"/>
      <c r="CK356" s="375"/>
      <c r="CM356" s="385"/>
      <c r="CN356" s="386"/>
      <c r="CO356" s="375"/>
      <c r="CP356" s="375"/>
      <c r="CR356" s="385"/>
      <c r="CS356" s="386"/>
      <c r="CT356" s="375"/>
      <c r="CU356" s="375"/>
      <c r="CW356" s="385"/>
      <c r="CX356" s="386"/>
      <c r="CY356" s="375"/>
      <c r="CZ356" s="375"/>
      <c r="DB356" s="385"/>
      <c r="DC356" s="386"/>
      <c r="DD356" s="375"/>
      <c r="DE356" s="375"/>
      <c r="DG356" s="385"/>
      <c r="DH356" s="386"/>
      <c r="DI356" s="375"/>
      <c r="DJ356" s="375"/>
      <c r="DL356" s="385"/>
      <c r="DM356" s="386"/>
      <c r="DN356" s="375"/>
      <c r="DO356" s="375"/>
      <c r="DQ356" s="385"/>
      <c r="DR356" s="386"/>
      <c r="DS356" s="375"/>
      <c r="DT356" s="375"/>
      <c r="DV356" s="385"/>
      <c r="DW356" s="386"/>
      <c r="DX356" s="375"/>
      <c r="DY356" s="375"/>
      <c r="EA356" s="385"/>
      <c r="EB356" s="386"/>
      <c r="EC356" s="375"/>
      <c r="ED356" s="375"/>
      <c r="EF356" s="385"/>
      <c r="EG356" s="386"/>
      <c r="EH356" s="375"/>
      <c r="EI356" s="375"/>
      <c r="EK356" s="385"/>
      <c r="EL356" s="386"/>
      <c r="EM356" s="375"/>
      <c r="EN356" s="375"/>
      <c r="EP356" s="385"/>
      <c r="EQ356" s="386"/>
      <c r="ER356" s="375"/>
      <c r="ES356" s="375"/>
      <c r="EU356" s="385"/>
      <c r="EV356" s="386"/>
      <c r="EW356" s="375"/>
      <c r="EX356" s="375"/>
      <c r="EZ356" s="385"/>
      <c r="FA356" s="386"/>
      <c r="FB356" s="375"/>
      <c r="FC356" s="375"/>
      <c r="FE356" s="385"/>
      <c r="FF356" s="386"/>
      <c r="FG356" s="375"/>
      <c r="FH356" s="375"/>
      <c r="FJ356" s="385"/>
      <c r="FK356" s="386"/>
      <c r="FL356" s="375"/>
      <c r="FM356" s="375"/>
      <c r="FO356" s="385"/>
      <c r="FP356" s="386"/>
      <c r="FQ356" s="375"/>
      <c r="FR356" s="375"/>
      <c r="FT356" s="385"/>
      <c r="FU356" s="386"/>
      <c r="FV356" s="375"/>
      <c r="FW356" s="375"/>
      <c r="FY356" s="385"/>
      <c r="FZ356" s="386"/>
      <c r="GA356" s="375"/>
      <c r="GB356" s="375"/>
      <c r="GD356" s="385"/>
      <c r="GE356" s="386"/>
      <c r="GF356" s="375"/>
      <c r="GG356" s="375"/>
      <c r="GI356" s="385"/>
      <c r="GJ356" s="386"/>
      <c r="GK356" s="375"/>
      <c r="GL356" s="375"/>
      <c r="GN356" s="385"/>
      <c r="GO356" s="386"/>
      <c r="GP356" s="375"/>
      <c r="GQ356" s="375"/>
      <c r="GS356" s="385"/>
      <c r="GT356" s="386"/>
      <c r="GU356" s="375"/>
      <c r="GV356" s="375"/>
      <c r="GX356" s="385"/>
      <c r="GY356" s="386"/>
      <c r="GZ356" s="375"/>
      <c r="HA356" s="375"/>
      <c r="HC356" s="385"/>
      <c r="HD356" s="386"/>
      <c r="HE356" s="375"/>
      <c r="HF356" s="375"/>
      <c r="HH356" s="385"/>
      <c r="HI356" s="386"/>
      <c r="HJ356" s="375"/>
      <c r="HK356" s="375"/>
      <c r="HM356" s="385"/>
      <c r="HN356" s="386"/>
      <c r="HO356" s="375"/>
      <c r="HP356" s="375"/>
      <c r="HR356" s="385"/>
      <c r="HS356" s="386"/>
      <c r="HT356" s="375"/>
      <c r="HU356" s="375"/>
      <c r="HW356" s="385"/>
      <c r="HX356" s="386"/>
      <c r="HY356" s="375"/>
      <c r="HZ356" s="375"/>
      <c r="IB356" s="385"/>
      <c r="IC356" s="386"/>
      <c r="ID356" s="375"/>
      <c r="IE356" s="375"/>
      <c r="IG356" s="385"/>
      <c r="IH356" s="386"/>
      <c r="II356" s="375"/>
      <c r="IJ356" s="375"/>
      <c r="IL356" s="385"/>
      <c r="IM356" s="386"/>
      <c r="IN356" s="375"/>
      <c r="IO356" s="375"/>
      <c r="IQ356" s="385"/>
      <c r="IR356" s="386"/>
      <c r="IS356" s="375"/>
      <c r="IT356" s="375"/>
      <c r="IV356" s="385"/>
    </row>
    <row r="357" spans="1:256" s="387" customFormat="1" x14ac:dyDescent="0.2">
      <c r="A357" s="385"/>
      <c r="B357" s="386"/>
      <c r="C357" s="375"/>
      <c r="D357" s="375"/>
      <c r="F357" s="385"/>
      <c r="G357" s="386"/>
      <c r="H357" s="375"/>
      <c r="I357" s="375"/>
      <c r="K357" s="385"/>
      <c r="L357" s="386"/>
      <c r="M357" s="375"/>
      <c r="N357" s="375"/>
      <c r="P357" s="385"/>
      <c r="Q357" s="386"/>
      <c r="R357" s="375"/>
      <c r="S357" s="375"/>
      <c r="U357" s="385"/>
      <c r="V357" s="386"/>
      <c r="W357" s="375"/>
      <c r="X357" s="375"/>
      <c r="Z357" s="385"/>
      <c r="AA357" s="386"/>
      <c r="AB357" s="375"/>
      <c r="AC357" s="375"/>
      <c r="AE357" s="385"/>
      <c r="AF357" s="386"/>
      <c r="AG357" s="375"/>
      <c r="AH357" s="375"/>
      <c r="AJ357" s="385"/>
      <c r="AK357" s="386"/>
      <c r="AL357" s="375"/>
      <c r="AM357" s="375"/>
      <c r="AO357" s="385"/>
      <c r="AP357" s="386"/>
      <c r="AQ357" s="375"/>
      <c r="AR357" s="375"/>
      <c r="AT357" s="385"/>
      <c r="AU357" s="386"/>
      <c r="AV357" s="375"/>
      <c r="AW357" s="375"/>
      <c r="AY357" s="385"/>
      <c r="AZ357" s="386"/>
      <c r="BA357" s="375"/>
      <c r="BB357" s="375"/>
      <c r="BD357" s="385"/>
      <c r="BE357" s="386"/>
      <c r="BF357" s="375"/>
      <c r="BG357" s="375"/>
      <c r="BI357" s="385"/>
      <c r="BJ357" s="386"/>
      <c r="BK357" s="375"/>
      <c r="BL357" s="375"/>
      <c r="BN357" s="385"/>
      <c r="BO357" s="386"/>
      <c r="BP357" s="375"/>
      <c r="BQ357" s="375"/>
      <c r="BS357" s="385"/>
      <c r="BT357" s="386"/>
      <c r="BU357" s="375"/>
      <c r="BV357" s="375"/>
      <c r="BX357" s="385"/>
      <c r="BY357" s="386"/>
      <c r="BZ357" s="375"/>
      <c r="CA357" s="375"/>
      <c r="CC357" s="385"/>
      <c r="CD357" s="386"/>
      <c r="CE357" s="375"/>
      <c r="CF357" s="375"/>
      <c r="CH357" s="385"/>
      <c r="CI357" s="386"/>
      <c r="CJ357" s="375"/>
      <c r="CK357" s="375"/>
      <c r="CM357" s="385"/>
      <c r="CN357" s="386"/>
      <c r="CO357" s="375"/>
      <c r="CP357" s="375"/>
      <c r="CR357" s="385"/>
      <c r="CS357" s="386"/>
      <c r="CT357" s="375"/>
      <c r="CU357" s="375"/>
      <c r="CW357" s="385"/>
      <c r="CX357" s="386"/>
      <c r="CY357" s="375"/>
      <c r="CZ357" s="375"/>
      <c r="DB357" s="385"/>
      <c r="DC357" s="386"/>
      <c r="DD357" s="375"/>
      <c r="DE357" s="375"/>
      <c r="DG357" s="385"/>
      <c r="DH357" s="386"/>
      <c r="DI357" s="375"/>
      <c r="DJ357" s="375"/>
      <c r="DL357" s="385"/>
      <c r="DM357" s="386"/>
      <c r="DN357" s="375"/>
      <c r="DO357" s="375"/>
      <c r="DQ357" s="385"/>
      <c r="DR357" s="386"/>
      <c r="DS357" s="375"/>
      <c r="DT357" s="375"/>
      <c r="DV357" s="385"/>
      <c r="DW357" s="386"/>
      <c r="DX357" s="375"/>
      <c r="DY357" s="375"/>
      <c r="EA357" s="385"/>
      <c r="EB357" s="386"/>
      <c r="EC357" s="375"/>
      <c r="ED357" s="375"/>
      <c r="EF357" s="385"/>
      <c r="EG357" s="386"/>
      <c r="EH357" s="375"/>
      <c r="EI357" s="375"/>
      <c r="EK357" s="385"/>
      <c r="EL357" s="386"/>
      <c r="EM357" s="375"/>
      <c r="EN357" s="375"/>
      <c r="EP357" s="385"/>
      <c r="EQ357" s="386"/>
      <c r="ER357" s="375"/>
      <c r="ES357" s="375"/>
      <c r="EU357" s="385"/>
      <c r="EV357" s="386"/>
      <c r="EW357" s="375"/>
      <c r="EX357" s="375"/>
      <c r="EZ357" s="385"/>
      <c r="FA357" s="386"/>
      <c r="FB357" s="375"/>
      <c r="FC357" s="375"/>
      <c r="FE357" s="385"/>
      <c r="FF357" s="386"/>
      <c r="FG357" s="375"/>
      <c r="FH357" s="375"/>
      <c r="FJ357" s="385"/>
      <c r="FK357" s="386"/>
      <c r="FL357" s="375"/>
      <c r="FM357" s="375"/>
      <c r="FO357" s="385"/>
      <c r="FP357" s="386"/>
      <c r="FQ357" s="375"/>
      <c r="FR357" s="375"/>
      <c r="FT357" s="385"/>
      <c r="FU357" s="386"/>
      <c r="FV357" s="375"/>
      <c r="FW357" s="375"/>
      <c r="FY357" s="385"/>
      <c r="FZ357" s="386"/>
      <c r="GA357" s="375"/>
      <c r="GB357" s="375"/>
      <c r="GD357" s="385"/>
      <c r="GE357" s="386"/>
      <c r="GF357" s="375"/>
      <c r="GG357" s="375"/>
      <c r="GI357" s="385"/>
      <c r="GJ357" s="386"/>
      <c r="GK357" s="375"/>
      <c r="GL357" s="375"/>
      <c r="GN357" s="385"/>
      <c r="GO357" s="386"/>
      <c r="GP357" s="375"/>
      <c r="GQ357" s="375"/>
      <c r="GS357" s="385"/>
      <c r="GT357" s="386"/>
      <c r="GU357" s="375"/>
      <c r="GV357" s="375"/>
      <c r="GX357" s="385"/>
      <c r="GY357" s="386"/>
      <c r="GZ357" s="375"/>
      <c r="HA357" s="375"/>
      <c r="HC357" s="385"/>
      <c r="HD357" s="386"/>
      <c r="HE357" s="375"/>
      <c r="HF357" s="375"/>
      <c r="HH357" s="385"/>
      <c r="HI357" s="386"/>
      <c r="HJ357" s="375"/>
      <c r="HK357" s="375"/>
      <c r="HM357" s="385"/>
      <c r="HN357" s="386"/>
      <c r="HO357" s="375"/>
      <c r="HP357" s="375"/>
      <c r="HR357" s="385"/>
      <c r="HS357" s="386"/>
      <c r="HT357" s="375"/>
      <c r="HU357" s="375"/>
      <c r="HW357" s="385"/>
      <c r="HX357" s="386"/>
      <c r="HY357" s="375"/>
      <c r="HZ357" s="375"/>
      <c r="IB357" s="385"/>
      <c r="IC357" s="386"/>
      <c r="ID357" s="375"/>
      <c r="IE357" s="375"/>
      <c r="IG357" s="385"/>
      <c r="IH357" s="386"/>
      <c r="II357" s="375"/>
      <c r="IJ357" s="375"/>
      <c r="IL357" s="385"/>
      <c r="IM357" s="386"/>
      <c r="IN357" s="375"/>
      <c r="IO357" s="375"/>
      <c r="IQ357" s="385"/>
      <c r="IR357" s="386"/>
      <c r="IS357" s="375"/>
      <c r="IT357" s="375"/>
      <c r="IV357" s="385"/>
    </row>
    <row r="358" spans="1:256" s="387" customFormat="1" x14ac:dyDescent="0.2">
      <c r="A358" s="385"/>
      <c r="B358" s="386"/>
      <c r="C358" s="375"/>
      <c r="D358" s="375"/>
      <c r="F358" s="385"/>
      <c r="G358" s="386"/>
      <c r="H358" s="375"/>
      <c r="I358" s="375"/>
      <c r="K358" s="385"/>
      <c r="L358" s="386"/>
      <c r="M358" s="375"/>
      <c r="N358" s="375"/>
      <c r="P358" s="385"/>
      <c r="Q358" s="386"/>
      <c r="R358" s="375"/>
      <c r="S358" s="375"/>
      <c r="U358" s="385"/>
      <c r="V358" s="386"/>
      <c r="W358" s="375"/>
      <c r="X358" s="375"/>
      <c r="Z358" s="385"/>
      <c r="AA358" s="386"/>
      <c r="AB358" s="375"/>
      <c r="AC358" s="375"/>
      <c r="AE358" s="385"/>
      <c r="AF358" s="386"/>
      <c r="AG358" s="375"/>
      <c r="AH358" s="375"/>
      <c r="AJ358" s="385"/>
      <c r="AK358" s="386"/>
      <c r="AL358" s="375"/>
      <c r="AM358" s="375"/>
      <c r="AO358" s="385"/>
      <c r="AP358" s="386"/>
      <c r="AQ358" s="375"/>
      <c r="AR358" s="375"/>
      <c r="AT358" s="385"/>
      <c r="AU358" s="386"/>
      <c r="AV358" s="375"/>
      <c r="AW358" s="375"/>
      <c r="AY358" s="385"/>
      <c r="AZ358" s="386"/>
      <c r="BA358" s="375"/>
      <c r="BB358" s="375"/>
      <c r="BD358" s="385"/>
      <c r="BE358" s="386"/>
      <c r="BF358" s="375"/>
      <c r="BG358" s="375"/>
      <c r="BI358" s="385"/>
      <c r="BJ358" s="386"/>
      <c r="BK358" s="375"/>
      <c r="BL358" s="375"/>
      <c r="BN358" s="385"/>
      <c r="BO358" s="386"/>
      <c r="BP358" s="375"/>
      <c r="BQ358" s="375"/>
      <c r="BS358" s="385"/>
      <c r="BT358" s="386"/>
      <c r="BU358" s="375"/>
      <c r="BV358" s="375"/>
      <c r="BX358" s="385"/>
      <c r="BY358" s="386"/>
      <c r="BZ358" s="375"/>
      <c r="CA358" s="375"/>
      <c r="CC358" s="385"/>
      <c r="CD358" s="386"/>
      <c r="CE358" s="375"/>
      <c r="CF358" s="375"/>
      <c r="CH358" s="385"/>
      <c r="CI358" s="386"/>
      <c r="CJ358" s="375"/>
      <c r="CK358" s="375"/>
      <c r="CM358" s="385"/>
      <c r="CN358" s="386"/>
      <c r="CO358" s="375"/>
      <c r="CP358" s="375"/>
      <c r="CR358" s="385"/>
      <c r="CS358" s="386"/>
      <c r="CT358" s="375"/>
      <c r="CU358" s="375"/>
      <c r="CW358" s="385"/>
      <c r="CX358" s="386"/>
      <c r="CY358" s="375"/>
      <c r="CZ358" s="375"/>
      <c r="DB358" s="385"/>
      <c r="DC358" s="386"/>
      <c r="DD358" s="375"/>
      <c r="DE358" s="375"/>
      <c r="DG358" s="385"/>
      <c r="DH358" s="386"/>
      <c r="DI358" s="375"/>
      <c r="DJ358" s="375"/>
      <c r="DL358" s="385"/>
      <c r="DM358" s="386"/>
      <c r="DN358" s="375"/>
      <c r="DO358" s="375"/>
      <c r="DQ358" s="385"/>
      <c r="DR358" s="386"/>
      <c r="DS358" s="375"/>
      <c r="DT358" s="375"/>
      <c r="DV358" s="385"/>
      <c r="DW358" s="386"/>
      <c r="DX358" s="375"/>
      <c r="DY358" s="375"/>
      <c r="EA358" s="385"/>
      <c r="EB358" s="386"/>
      <c r="EC358" s="375"/>
      <c r="ED358" s="375"/>
      <c r="EF358" s="385"/>
      <c r="EG358" s="386"/>
      <c r="EH358" s="375"/>
      <c r="EI358" s="375"/>
      <c r="EK358" s="385"/>
      <c r="EL358" s="386"/>
      <c r="EM358" s="375"/>
      <c r="EN358" s="375"/>
      <c r="EP358" s="385"/>
      <c r="EQ358" s="386"/>
      <c r="ER358" s="375"/>
      <c r="ES358" s="375"/>
      <c r="EU358" s="385"/>
      <c r="EV358" s="386"/>
      <c r="EW358" s="375"/>
      <c r="EX358" s="375"/>
      <c r="EZ358" s="385"/>
      <c r="FA358" s="386"/>
      <c r="FB358" s="375"/>
      <c r="FC358" s="375"/>
      <c r="FE358" s="385"/>
      <c r="FF358" s="386"/>
      <c r="FG358" s="375"/>
      <c r="FH358" s="375"/>
      <c r="FJ358" s="385"/>
      <c r="FK358" s="386"/>
      <c r="FL358" s="375"/>
      <c r="FM358" s="375"/>
      <c r="FO358" s="385"/>
      <c r="FP358" s="386"/>
      <c r="FQ358" s="375"/>
      <c r="FR358" s="375"/>
      <c r="FT358" s="385"/>
      <c r="FU358" s="386"/>
      <c r="FV358" s="375"/>
      <c r="FW358" s="375"/>
      <c r="FY358" s="385"/>
      <c r="FZ358" s="386"/>
      <c r="GA358" s="375"/>
      <c r="GB358" s="375"/>
      <c r="GD358" s="385"/>
      <c r="GE358" s="386"/>
      <c r="GF358" s="375"/>
      <c r="GG358" s="375"/>
      <c r="GI358" s="385"/>
      <c r="GJ358" s="386"/>
      <c r="GK358" s="375"/>
      <c r="GL358" s="375"/>
      <c r="GN358" s="385"/>
      <c r="GO358" s="386"/>
      <c r="GP358" s="375"/>
      <c r="GQ358" s="375"/>
      <c r="GS358" s="385"/>
      <c r="GT358" s="386"/>
      <c r="GU358" s="375"/>
      <c r="GV358" s="375"/>
      <c r="GX358" s="385"/>
      <c r="GY358" s="386"/>
      <c r="GZ358" s="375"/>
      <c r="HA358" s="375"/>
      <c r="HC358" s="385"/>
      <c r="HD358" s="386"/>
      <c r="HE358" s="375"/>
      <c r="HF358" s="375"/>
      <c r="HH358" s="385"/>
      <c r="HI358" s="386"/>
      <c r="HJ358" s="375"/>
      <c r="HK358" s="375"/>
      <c r="HM358" s="385"/>
      <c r="HN358" s="386"/>
      <c r="HO358" s="375"/>
      <c r="HP358" s="375"/>
      <c r="HR358" s="385"/>
      <c r="HS358" s="386"/>
      <c r="HT358" s="375"/>
      <c r="HU358" s="375"/>
      <c r="HW358" s="385"/>
      <c r="HX358" s="386"/>
      <c r="HY358" s="375"/>
      <c r="HZ358" s="375"/>
      <c r="IB358" s="385"/>
      <c r="IC358" s="386"/>
      <c r="ID358" s="375"/>
      <c r="IE358" s="375"/>
      <c r="IG358" s="385"/>
      <c r="IH358" s="386"/>
      <c r="II358" s="375"/>
      <c r="IJ358" s="375"/>
      <c r="IL358" s="385"/>
      <c r="IM358" s="386"/>
      <c r="IN358" s="375"/>
      <c r="IO358" s="375"/>
      <c r="IQ358" s="385"/>
      <c r="IR358" s="386"/>
      <c r="IS358" s="375"/>
      <c r="IT358" s="375"/>
      <c r="IV358" s="385"/>
    </row>
    <row r="359" spans="1:256" s="387" customFormat="1" x14ac:dyDescent="0.2">
      <c r="A359" s="385"/>
      <c r="B359" s="386"/>
      <c r="C359" s="375"/>
      <c r="D359" s="375"/>
      <c r="F359" s="385"/>
      <c r="G359" s="386"/>
      <c r="H359" s="375"/>
      <c r="I359" s="375"/>
      <c r="K359" s="385"/>
      <c r="L359" s="386"/>
      <c r="M359" s="375"/>
      <c r="N359" s="375"/>
      <c r="P359" s="385"/>
      <c r="Q359" s="386"/>
      <c r="R359" s="375"/>
      <c r="S359" s="375"/>
      <c r="U359" s="385"/>
      <c r="V359" s="386"/>
      <c r="W359" s="375"/>
      <c r="X359" s="375"/>
      <c r="Z359" s="385"/>
      <c r="AA359" s="386"/>
      <c r="AB359" s="375"/>
      <c r="AC359" s="375"/>
      <c r="AE359" s="385"/>
      <c r="AF359" s="386"/>
      <c r="AG359" s="375"/>
      <c r="AH359" s="375"/>
      <c r="AJ359" s="385"/>
      <c r="AK359" s="386"/>
      <c r="AL359" s="375"/>
      <c r="AM359" s="375"/>
      <c r="AO359" s="385"/>
      <c r="AP359" s="386"/>
      <c r="AQ359" s="375"/>
      <c r="AR359" s="375"/>
      <c r="AT359" s="385"/>
      <c r="AU359" s="386"/>
      <c r="AV359" s="375"/>
      <c r="AW359" s="375"/>
      <c r="AY359" s="385"/>
      <c r="AZ359" s="386"/>
      <c r="BA359" s="375"/>
      <c r="BB359" s="375"/>
      <c r="BD359" s="385"/>
      <c r="BE359" s="386"/>
      <c r="BF359" s="375"/>
      <c r="BG359" s="375"/>
      <c r="BI359" s="385"/>
      <c r="BJ359" s="386"/>
      <c r="BK359" s="375"/>
      <c r="BL359" s="375"/>
      <c r="BN359" s="385"/>
      <c r="BO359" s="386"/>
      <c r="BP359" s="375"/>
      <c r="BQ359" s="375"/>
      <c r="BS359" s="385"/>
      <c r="BT359" s="386"/>
      <c r="BU359" s="375"/>
      <c r="BV359" s="375"/>
      <c r="BX359" s="385"/>
      <c r="BY359" s="386"/>
      <c r="BZ359" s="375"/>
      <c r="CA359" s="375"/>
      <c r="CC359" s="385"/>
      <c r="CD359" s="386"/>
      <c r="CE359" s="375"/>
      <c r="CF359" s="375"/>
      <c r="CH359" s="385"/>
      <c r="CI359" s="386"/>
      <c r="CJ359" s="375"/>
      <c r="CK359" s="375"/>
      <c r="CM359" s="385"/>
      <c r="CN359" s="386"/>
      <c r="CO359" s="375"/>
      <c r="CP359" s="375"/>
      <c r="CR359" s="385"/>
      <c r="CS359" s="386"/>
      <c r="CT359" s="375"/>
      <c r="CU359" s="375"/>
      <c r="CW359" s="385"/>
      <c r="CX359" s="386"/>
      <c r="CY359" s="375"/>
      <c r="CZ359" s="375"/>
      <c r="DB359" s="385"/>
      <c r="DC359" s="386"/>
      <c r="DD359" s="375"/>
      <c r="DE359" s="375"/>
      <c r="DG359" s="385"/>
      <c r="DH359" s="386"/>
      <c r="DI359" s="375"/>
      <c r="DJ359" s="375"/>
      <c r="DL359" s="385"/>
      <c r="DM359" s="386"/>
      <c r="DN359" s="375"/>
      <c r="DO359" s="375"/>
      <c r="DQ359" s="385"/>
      <c r="DR359" s="386"/>
      <c r="DS359" s="375"/>
      <c r="DT359" s="375"/>
      <c r="DV359" s="385"/>
      <c r="DW359" s="386"/>
      <c r="DX359" s="375"/>
      <c r="DY359" s="375"/>
      <c r="EA359" s="385"/>
      <c r="EB359" s="386"/>
      <c r="EC359" s="375"/>
      <c r="ED359" s="375"/>
      <c r="EF359" s="385"/>
      <c r="EG359" s="386"/>
      <c r="EH359" s="375"/>
      <c r="EI359" s="375"/>
      <c r="EK359" s="385"/>
      <c r="EL359" s="386"/>
      <c r="EM359" s="375"/>
      <c r="EN359" s="375"/>
      <c r="EP359" s="385"/>
      <c r="EQ359" s="386"/>
      <c r="ER359" s="375"/>
      <c r="ES359" s="375"/>
      <c r="EU359" s="385"/>
      <c r="EV359" s="386"/>
      <c r="EW359" s="375"/>
      <c r="EX359" s="375"/>
      <c r="EZ359" s="385"/>
      <c r="FA359" s="386"/>
      <c r="FB359" s="375"/>
      <c r="FC359" s="375"/>
      <c r="FE359" s="385"/>
      <c r="FF359" s="386"/>
      <c r="FG359" s="375"/>
      <c r="FH359" s="375"/>
      <c r="FJ359" s="385"/>
      <c r="FK359" s="386"/>
      <c r="FL359" s="375"/>
      <c r="FM359" s="375"/>
      <c r="FO359" s="385"/>
      <c r="FP359" s="386"/>
      <c r="FQ359" s="375"/>
      <c r="FR359" s="375"/>
      <c r="FT359" s="385"/>
      <c r="FU359" s="386"/>
      <c r="FV359" s="375"/>
      <c r="FW359" s="375"/>
      <c r="FY359" s="385"/>
      <c r="FZ359" s="386"/>
      <c r="GA359" s="375"/>
      <c r="GB359" s="375"/>
      <c r="GD359" s="385"/>
      <c r="GE359" s="386"/>
      <c r="GF359" s="375"/>
      <c r="GG359" s="375"/>
      <c r="GI359" s="385"/>
      <c r="GJ359" s="386"/>
      <c r="GK359" s="375"/>
      <c r="GL359" s="375"/>
      <c r="GN359" s="385"/>
      <c r="GO359" s="386"/>
      <c r="GP359" s="375"/>
      <c r="GQ359" s="375"/>
      <c r="GS359" s="385"/>
      <c r="GT359" s="386"/>
      <c r="GU359" s="375"/>
      <c r="GV359" s="375"/>
      <c r="GX359" s="385"/>
      <c r="GY359" s="386"/>
      <c r="GZ359" s="375"/>
      <c r="HA359" s="375"/>
      <c r="HC359" s="385"/>
      <c r="HD359" s="386"/>
      <c r="HE359" s="375"/>
      <c r="HF359" s="375"/>
      <c r="HH359" s="385"/>
      <c r="HI359" s="386"/>
      <c r="HJ359" s="375"/>
      <c r="HK359" s="375"/>
      <c r="HM359" s="385"/>
      <c r="HN359" s="386"/>
      <c r="HO359" s="375"/>
      <c r="HP359" s="375"/>
      <c r="HR359" s="385"/>
      <c r="HS359" s="386"/>
      <c r="HT359" s="375"/>
      <c r="HU359" s="375"/>
      <c r="HW359" s="385"/>
      <c r="HX359" s="386"/>
      <c r="HY359" s="375"/>
      <c r="HZ359" s="375"/>
      <c r="IB359" s="385"/>
      <c r="IC359" s="386"/>
      <c r="ID359" s="375"/>
      <c r="IE359" s="375"/>
      <c r="IG359" s="385"/>
      <c r="IH359" s="386"/>
      <c r="II359" s="375"/>
      <c r="IJ359" s="375"/>
      <c r="IL359" s="385"/>
      <c r="IM359" s="386"/>
      <c r="IN359" s="375"/>
      <c r="IO359" s="375"/>
      <c r="IQ359" s="385"/>
      <c r="IR359" s="386"/>
      <c r="IS359" s="375"/>
      <c r="IT359" s="375"/>
      <c r="IV359" s="385"/>
    </row>
    <row r="360" spans="1:256" s="387" customFormat="1" x14ac:dyDescent="0.2">
      <c r="A360" s="385"/>
      <c r="B360" s="386"/>
      <c r="C360" s="375"/>
      <c r="D360" s="375"/>
      <c r="F360" s="385"/>
      <c r="G360" s="386"/>
      <c r="H360" s="375"/>
      <c r="I360" s="375"/>
      <c r="K360" s="385"/>
      <c r="L360" s="386"/>
      <c r="M360" s="375"/>
      <c r="N360" s="375"/>
      <c r="P360" s="385"/>
      <c r="Q360" s="386"/>
      <c r="R360" s="375"/>
      <c r="S360" s="375"/>
      <c r="U360" s="385"/>
      <c r="V360" s="386"/>
      <c r="W360" s="375"/>
      <c r="X360" s="375"/>
      <c r="Z360" s="385"/>
      <c r="AA360" s="386"/>
      <c r="AB360" s="375"/>
      <c r="AC360" s="375"/>
      <c r="AE360" s="385"/>
      <c r="AF360" s="386"/>
      <c r="AG360" s="375"/>
      <c r="AH360" s="375"/>
      <c r="AJ360" s="385"/>
      <c r="AK360" s="386"/>
      <c r="AL360" s="375"/>
      <c r="AM360" s="375"/>
      <c r="AO360" s="385"/>
      <c r="AP360" s="386"/>
      <c r="AQ360" s="375"/>
      <c r="AR360" s="375"/>
      <c r="AT360" s="385"/>
      <c r="AU360" s="386"/>
      <c r="AV360" s="375"/>
      <c r="AW360" s="375"/>
      <c r="AY360" s="385"/>
      <c r="AZ360" s="386"/>
      <c r="BA360" s="375"/>
      <c r="BB360" s="375"/>
      <c r="BD360" s="385"/>
      <c r="BE360" s="386"/>
      <c r="BF360" s="375"/>
      <c r="BG360" s="375"/>
      <c r="BI360" s="385"/>
      <c r="BJ360" s="386"/>
      <c r="BK360" s="375"/>
      <c r="BL360" s="375"/>
      <c r="BN360" s="385"/>
      <c r="BO360" s="386"/>
      <c r="BP360" s="375"/>
      <c r="BQ360" s="375"/>
      <c r="BS360" s="385"/>
      <c r="BT360" s="386"/>
      <c r="BU360" s="375"/>
      <c r="BV360" s="375"/>
      <c r="BX360" s="385"/>
      <c r="BY360" s="386"/>
      <c r="BZ360" s="375"/>
      <c r="CA360" s="375"/>
      <c r="CC360" s="385"/>
      <c r="CD360" s="386"/>
      <c r="CE360" s="375"/>
      <c r="CF360" s="375"/>
      <c r="CH360" s="385"/>
      <c r="CI360" s="386"/>
      <c r="CJ360" s="375"/>
      <c r="CK360" s="375"/>
      <c r="CM360" s="385"/>
      <c r="CN360" s="386"/>
      <c r="CO360" s="375"/>
      <c r="CP360" s="375"/>
      <c r="CR360" s="385"/>
      <c r="CS360" s="386"/>
      <c r="CT360" s="375"/>
      <c r="CU360" s="375"/>
      <c r="CW360" s="385"/>
      <c r="CX360" s="386"/>
      <c r="CY360" s="375"/>
      <c r="CZ360" s="375"/>
      <c r="DB360" s="385"/>
      <c r="DC360" s="386"/>
      <c r="DD360" s="375"/>
      <c r="DE360" s="375"/>
      <c r="DG360" s="385"/>
      <c r="DH360" s="386"/>
      <c r="DI360" s="375"/>
      <c r="DJ360" s="375"/>
      <c r="DL360" s="385"/>
      <c r="DM360" s="386"/>
      <c r="DN360" s="375"/>
      <c r="DO360" s="375"/>
      <c r="DQ360" s="385"/>
      <c r="DR360" s="386"/>
      <c r="DS360" s="375"/>
      <c r="DT360" s="375"/>
      <c r="DV360" s="385"/>
      <c r="DW360" s="386"/>
      <c r="DX360" s="375"/>
      <c r="DY360" s="375"/>
      <c r="EA360" s="385"/>
      <c r="EB360" s="386"/>
      <c r="EC360" s="375"/>
      <c r="ED360" s="375"/>
      <c r="EF360" s="385"/>
      <c r="EG360" s="386"/>
      <c r="EH360" s="375"/>
      <c r="EI360" s="375"/>
      <c r="EK360" s="385"/>
      <c r="EL360" s="386"/>
      <c r="EM360" s="375"/>
      <c r="EN360" s="375"/>
      <c r="EP360" s="385"/>
      <c r="EQ360" s="386"/>
      <c r="ER360" s="375"/>
      <c r="ES360" s="375"/>
      <c r="EU360" s="385"/>
      <c r="EV360" s="386"/>
      <c r="EW360" s="375"/>
      <c r="EX360" s="375"/>
      <c r="EZ360" s="385"/>
      <c r="FA360" s="386"/>
      <c r="FB360" s="375"/>
      <c r="FC360" s="375"/>
      <c r="FE360" s="385"/>
      <c r="FF360" s="386"/>
      <c r="FG360" s="375"/>
      <c r="FH360" s="375"/>
      <c r="FJ360" s="385"/>
      <c r="FK360" s="386"/>
      <c r="FL360" s="375"/>
      <c r="FM360" s="375"/>
      <c r="FO360" s="385"/>
      <c r="FP360" s="386"/>
      <c r="FQ360" s="375"/>
      <c r="FR360" s="375"/>
      <c r="FT360" s="385"/>
      <c r="FU360" s="386"/>
      <c r="FV360" s="375"/>
      <c r="FW360" s="375"/>
      <c r="FY360" s="385"/>
      <c r="FZ360" s="386"/>
      <c r="GA360" s="375"/>
      <c r="GB360" s="375"/>
      <c r="GD360" s="385"/>
      <c r="GE360" s="386"/>
      <c r="GF360" s="375"/>
      <c r="GG360" s="375"/>
      <c r="GI360" s="385"/>
      <c r="GJ360" s="386"/>
      <c r="GK360" s="375"/>
      <c r="GL360" s="375"/>
      <c r="GN360" s="385"/>
      <c r="GO360" s="386"/>
      <c r="GP360" s="375"/>
      <c r="GQ360" s="375"/>
      <c r="GS360" s="385"/>
      <c r="GT360" s="386"/>
      <c r="GU360" s="375"/>
      <c r="GV360" s="375"/>
      <c r="GX360" s="385"/>
      <c r="GY360" s="386"/>
      <c r="GZ360" s="375"/>
      <c r="HA360" s="375"/>
      <c r="HC360" s="385"/>
      <c r="HD360" s="386"/>
      <c r="HE360" s="375"/>
      <c r="HF360" s="375"/>
      <c r="HH360" s="385"/>
      <c r="HI360" s="386"/>
      <c r="HJ360" s="375"/>
      <c r="HK360" s="375"/>
      <c r="HM360" s="385"/>
      <c r="HN360" s="386"/>
      <c r="HO360" s="375"/>
      <c r="HP360" s="375"/>
      <c r="HR360" s="385"/>
      <c r="HS360" s="386"/>
      <c r="HT360" s="375"/>
      <c r="HU360" s="375"/>
      <c r="HW360" s="385"/>
      <c r="HX360" s="386"/>
      <c r="HY360" s="375"/>
      <c r="HZ360" s="375"/>
      <c r="IB360" s="385"/>
      <c r="IC360" s="386"/>
      <c r="ID360" s="375"/>
      <c r="IE360" s="375"/>
      <c r="IG360" s="385"/>
      <c r="IH360" s="386"/>
      <c r="II360" s="375"/>
      <c r="IJ360" s="375"/>
      <c r="IL360" s="385"/>
      <c r="IM360" s="386"/>
      <c r="IN360" s="375"/>
      <c r="IO360" s="375"/>
      <c r="IQ360" s="385"/>
      <c r="IR360" s="386"/>
      <c r="IS360" s="375"/>
      <c r="IT360" s="375"/>
      <c r="IV360" s="385"/>
    </row>
    <row r="361" spans="1:256" s="387" customFormat="1" x14ac:dyDescent="0.2">
      <c r="A361" s="385"/>
      <c r="B361" s="386"/>
      <c r="C361" s="375"/>
      <c r="D361" s="375"/>
      <c r="F361" s="385"/>
      <c r="G361" s="386"/>
      <c r="H361" s="375"/>
      <c r="I361" s="375"/>
      <c r="K361" s="385"/>
      <c r="L361" s="386"/>
      <c r="M361" s="375"/>
      <c r="N361" s="375"/>
      <c r="P361" s="385"/>
      <c r="Q361" s="386"/>
      <c r="R361" s="375"/>
      <c r="S361" s="375"/>
      <c r="U361" s="385"/>
      <c r="V361" s="386"/>
      <c r="W361" s="375"/>
      <c r="X361" s="375"/>
      <c r="Z361" s="385"/>
      <c r="AA361" s="386"/>
      <c r="AB361" s="375"/>
      <c r="AC361" s="375"/>
      <c r="AE361" s="385"/>
      <c r="AF361" s="386"/>
      <c r="AG361" s="375"/>
      <c r="AH361" s="375"/>
      <c r="AJ361" s="385"/>
      <c r="AK361" s="386"/>
      <c r="AL361" s="375"/>
      <c r="AM361" s="375"/>
      <c r="AO361" s="385"/>
      <c r="AP361" s="386"/>
      <c r="AQ361" s="375"/>
      <c r="AR361" s="375"/>
      <c r="AT361" s="385"/>
      <c r="AU361" s="386"/>
      <c r="AV361" s="375"/>
      <c r="AW361" s="375"/>
      <c r="AY361" s="385"/>
      <c r="AZ361" s="386"/>
      <c r="BA361" s="375"/>
      <c r="BB361" s="375"/>
      <c r="BD361" s="385"/>
      <c r="BE361" s="386"/>
      <c r="BF361" s="375"/>
      <c r="BG361" s="375"/>
      <c r="BI361" s="385"/>
      <c r="BJ361" s="386"/>
      <c r="BK361" s="375"/>
      <c r="BL361" s="375"/>
      <c r="BN361" s="385"/>
      <c r="BO361" s="386"/>
      <c r="BP361" s="375"/>
      <c r="BQ361" s="375"/>
      <c r="BS361" s="385"/>
      <c r="BT361" s="386"/>
      <c r="BU361" s="375"/>
      <c r="BV361" s="375"/>
      <c r="BX361" s="385"/>
      <c r="BY361" s="386"/>
      <c r="BZ361" s="375"/>
      <c r="CA361" s="375"/>
      <c r="CC361" s="385"/>
      <c r="CD361" s="386"/>
      <c r="CE361" s="375"/>
      <c r="CF361" s="375"/>
      <c r="CH361" s="385"/>
      <c r="CI361" s="386"/>
      <c r="CJ361" s="375"/>
      <c r="CK361" s="375"/>
      <c r="CM361" s="385"/>
      <c r="CN361" s="386"/>
      <c r="CO361" s="375"/>
      <c r="CP361" s="375"/>
      <c r="CR361" s="385"/>
      <c r="CS361" s="386"/>
      <c r="CT361" s="375"/>
      <c r="CU361" s="375"/>
      <c r="CW361" s="385"/>
      <c r="CX361" s="386"/>
      <c r="CY361" s="375"/>
      <c r="CZ361" s="375"/>
      <c r="DB361" s="385"/>
      <c r="DC361" s="386"/>
      <c r="DD361" s="375"/>
      <c r="DE361" s="375"/>
      <c r="DG361" s="385"/>
      <c r="DH361" s="386"/>
      <c r="DI361" s="375"/>
      <c r="DJ361" s="375"/>
      <c r="DL361" s="385"/>
      <c r="DM361" s="386"/>
      <c r="DN361" s="375"/>
      <c r="DO361" s="375"/>
      <c r="DQ361" s="385"/>
      <c r="DR361" s="386"/>
      <c r="DS361" s="375"/>
      <c r="DT361" s="375"/>
      <c r="DV361" s="385"/>
      <c r="DW361" s="386"/>
      <c r="DX361" s="375"/>
      <c r="DY361" s="375"/>
      <c r="EA361" s="385"/>
      <c r="EB361" s="386"/>
      <c r="EC361" s="375"/>
      <c r="ED361" s="375"/>
      <c r="EF361" s="385"/>
      <c r="EG361" s="386"/>
      <c r="EH361" s="375"/>
      <c r="EI361" s="375"/>
      <c r="EK361" s="385"/>
      <c r="EL361" s="386"/>
      <c r="EM361" s="375"/>
      <c r="EN361" s="375"/>
      <c r="EP361" s="385"/>
      <c r="EQ361" s="386"/>
      <c r="ER361" s="375"/>
      <c r="ES361" s="375"/>
      <c r="EU361" s="385"/>
      <c r="EV361" s="386"/>
      <c r="EW361" s="375"/>
      <c r="EX361" s="375"/>
      <c r="EZ361" s="385"/>
      <c r="FA361" s="386"/>
      <c r="FB361" s="375"/>
      <c r="FC361" s="375"/>
      <c r="FE361" s="385"/>
      <c r="FF361" s="386"/>
      <c r="FG361" s="375"/>
      <c r="FH361" s="375"/>
      <c r="FJ361" s="385"/>
      <c r="FK361" s="386"/>
      <c r="FL361" s="375"/>
      <c r="FM361" s="375"/>
      <c r="FO361" s="385"/>
      <c r="FP361" s="386"/>
      <c r="FQ361" s="375"/>
      <c r="FR361" s="375"/>
      <c r="FT361" s="385"/>
      <c r="FU361" s="386"/>
      <c r="FV361" s="375"/>
      <c r="FW361" s="375"/>
      <c r="FY361" s="385"/>
      <c r="FZ361" s="386"/>
      <c r="GA361" s="375"/>
      <c r="GB361" s="375"/>
      <c r="GD361" s="385"/>
      <c r="GE361" s="386"/>
      <c r="GF361" s="375"/>
      <c r="GG361" s="375"/>
      <c r="GI361" s="385"/>
      <c r="GJ361" s="386"/>
      <c r="GK361" s="375"/>
      <c r="GL361" s="375"/>
      <c r="GN361" s="385"/>
      <c r="GO361" s="386"/>
      <c r="GP361" s="375"/>
      <c r="GQ361" s="375"/>
      <c r="GS361" s="385"/>
      <c r="GT361" s="386"/>
      <c r="GU361" s="375"/>
      <c r="GV361" s="375"/>
      <c r="GX361" s="385"/>
      <c r="GY361" s="386"/>
      <c r="GZ361" s="375"/>
      <c r="HA361" s="375"/>
      <c r="HC361" s="385"/>
      <c r="HD361" s="386"/>
      <c r="HE361" s="375"/>
      <c r="HF361" s="375"/>
      <c r="HH361" s="385"/>
      <c r="HI361" s="386"/>
      <c r="HJ361" s="375"/>
      <c r="HK361" s="375"/>
      <c r="HM361" s="385"/>
      <c r="HN361" s="386"/>
      <c r="HO361" s="375"/>
      <c r="HP361" s="375"/>
      <c r="HR361" s="385"/>
      <c r="HS361" s="386"/>
      <c r="HT361" s="375"/>
      <c r="HU361" s="375"/>
      <c r="HW361" s="385"/>
      <c r="HX361" s="386"/>
      <c r="HY361" s="375"/>
      <c r="HZ361" s="375"/>
      <c r="IB361" s="385"/>
      <c r="IC361" s="386"/>
      <c r="ID361" s="375"/>
      <c r="IE361" s="375"/>
      <c r="IG361" s="385"/>
      <c r="IH361" s="386"/>
      <c r="II361" s="375"/>
      <c r="IJ361" s="375"/>
      <c r="IL361" s="385"/>
      <c r="IM361" s="386"/>
      <c r="IN361" s="375"/>
      <c r="IO361" s="375"/>
      <c r="IQ361" s="385"/>
      <c r="IR361" s="386"/>
      <c r="IS361" s="375"/>
      <c r="IT361" s="375"/>
      <c r="IV361" s="385"/>
    </row>
    <row r="362" spans="1:256" s="387" customFormat="1" x14ac:dyDescent="0.2">
      <c r="A362" s="385"/>
      <c r="B362" s="386"/>
      <c r="C362" s="375"/>
      <c r="D362" s="375"/>
      <c r="F362" s="385"/>
      <c r="G362" s="386"/>
      <c r="H362" s="375"/>
      <c r="I362" s="375"/>
      <c r="K362" s="385"/>
      <c r="L362" s="386"/>
      <c r="M362" s="375"/>
      <c r="N362" s="375"/>
      <c r="P362" s="385"/>
      <c r="Q362" s="386"/>
      <c r="R362" s="375"/>
      <c r="S362" s="375"/>
      <c r="U362" s="385"/>
      <c r="V362" s="386"/>
      <c r="W362" s="375"/>
      <c r="X362" s="375"/>
      <c r="Z362" s="385"/>
      <c r="AA362" s="386"/>
      <c r="AB362" s="375"/>
      <c r="AC362" s="375"/>
      <c r="AE362" s="385"/>
      <c r="AF362" s="386"/>
      <c r="AG362" s="375"/>
      <c r="AH362" s="375"/>
      <c r="AJ362" s="385"/>
      <c r="AK362" s="386"/>
      <c r="AL362" s="375"/>
      <c r="AM362" s="375"/>
      <c r="AO362" s="385"/>
      <c r="AP362" s="386"/>
      <c r="AQ362" s="375"/>
      <c r="AR362" s="375"/>
      <c r="AT362" s="385"/>
      <c r="AU362" s="386"/>
      <c r="AV362" s="375"/>
      <c r="AW362" s="375"/>
      <c r="AY362" s="385"/>
      <c r="AZ362" s="386"/>
      <c r="BA362" s="375"/>
      <c r="BB362" s="375"/>
      <c r="BD362" s="385"/>
      <c r="BE362" s="386"/>
      <c r="BF362" s="375"/>
      <c r="BG362" s="375"/>
      <c r="BI362" s="385"/>
      <c r="BJ362" s="386"/>
      <c r="BK362" s="375"/>
      <c r="BL362" s="375"/>
      <c r="BN362" s="385"/>
      <c r="BO362" s="386"/>
      <c r="BP362" s="375"/>
      <c r="BQ362" s="375"/>
      <c r="BS362" s="385"/>
      <c r="BT362" s="386"/>
      <c r="BU362" s="375"/>
      <c r="BV362" s="375"/>
      <c r="BX362" s="385"/>
      <c r="BY362" s="386"/>
      <c r="BZ362" s="375"/>
      <c r="CA362" s="375"/>
      <c r="CC362" s="385"/>
      <c r="CD362" s="386"/>
      <c r="CE362" s="375"/>
      <c r="CF362" s="375"/>
      <c r="CH362" s="385"/>
      <c r="CI362" s="386"/>
      <c r="CJ362" s="375"/>
      <c r="CK362" s="375"/>
      <c r="CM362" s="385"/>
      <c r="CN362" s="386"/>
      <c r="CO362" s="375"/>
      <c r="CP362" s="375"/>
      <c r="CR362" s="385"/>
      <c r="CS362" s="386"/>
      <c r="CT362" s="375"/>
      <c r="CU362" s="375"/>
      <c r="CW362" s="385"/>
      <c r="CX362" s="386"/>
      <c r="CY362" s="375"/>
      <c r="CZ362" s="375"/>
      <c r="DB362" s="385"/>
      <c r="DC362" s="386"/>
      <c r="DD362" s="375"/>
      <c r="DE362" s="375"/>
      <c r="DG362" s="385"/>
      <c r="DH362" s="386"/>
      <c r="DI362" s="375"/>
      <c r="DJ362" s="375"/>
      <c r="DL362" s="385"/>
      <c r="DM362" s="386"/>
      <c r="DN362" s="375"/>
      <c r="DO362" s="375"/>
      <c r="DQ362" s="385"/>
      <c r="DR362" s="386"/>
      <c r="DS362" s="375"/>
      <c r="DT362" s="375"/>
      <c r="DV362" s="385"/>
      <c r="DW362" s="386"/>
      <c r="DX362" s="375"/>
      <c r="DY362" s="375"/>
      <c r="EA362" s="385"/>
      <c r="EB362" s="386"/>
      <c r="EC362" s="375"/>
      <c r="ED362" s="375"/>
      <c r="EF362" s="385"/>
      <c r="EG362" s="386"/>
      <c r="EH362" s="375"/>
      <c r="EI362" s="375"/>
      <c r="EK362" s="385"/>
      <c r="EL362" s="386"/>
      <c r="EM362" s="375"/>
      <c r="EN362" s="375"/>
      <c r="EP362" s="385"/>
      <c r="EQ362" s="386"/>
      <c r="ER362" s="375"/>
      <c r="ES362" s="375"/>
      <c r="EU362" s="385"/>
      <c r="EV362" s="386"/>
      <c r="EW362" s="375"/>
      <c r="EX362" s="375"/>
      <c r="EZ362" s="385"/>
      <c r="FA362" s="386"/>
      <c r="FB362" s="375"/>
      <c r="FC362" s="375"/>
      <c r="FE362" s="385"/>
      <c r="FF362" s="386"/>
      <c r="FG362" s="375"/>
      <c r="FH362" s="375"/>
      <c r="FJ362" s="385"/>
      <c r="FK362" s="386"/>
      <c r="FL362" s="375"/>
      <c r="FM362" s="375"/>
      <c r="FO362" s="385"/>
      <c r="FP362" s="386"/>
      <c r="FQ362" s="375"/>
      <c r="FR362" s="375"/>
      <c r="FT362" s="385"/>
      <c r="FU362" s="386"/>
      <c r="FV362" s="375"/>
      <c r="FW362" s="375"/>
      <c r="FY362" s="385"/>
      <c r="FZ362" s="386"/>
      <c r="GA362" s="375"/>
      <c r="GB362" s="375"/>
      <c r="GD362" s="385"/>
      <c r="GE362" s="386"/>
      <c r="GF362" s="375"/>
      <c r="GG362" s="375"/>
      <c r="GI362" s="385"/>
      <c r="GJ362" s="386"/>
      <c r="GK362" s="375"/>
      <c r="GL362" s="375"/>
      <c r="GN362" s="385"/>
      <c r="GO362" s="386"/>
      <c r="GP362" s="375"/>
      <c r="GQ362" s="375"/>
      <c r="GS362" s="385"/>
      <c r="GT362" s="386"/>
      <c r="GU362" s="375"/>
      <c r="GV362" s="375"/>
      <c r="GX362" s="385"/>
      <c r="GY362" s="386"/>
      <c r="GZ362" s="375"/>
      <c r="HA362" s="375"/>
      <c r="HC362" s="385"/>
      <c r="HD362" s="386"/>
      <c r="HE362" s="375"/>
      <c r="HF362" s="375"/>
      <c r="HH362" s="385"/>
      <c r="HI362" s="386"/>
      <c r="HJ362" s="375"/>
      <c r="HK362" s="375"/>
      <c r="HM362" s="385"/>
      <c r="HN362" s="386"/>
      <c r="HO362" s="375"/>
      <c r="HP362" s="375"/>
      <c r="HR362" s="385"/>
      <c r="HS362" s="386"/>
      <c r="HT362" s="375"/>
      <c r="HU362" s="375"/>
      <c r="HW362" s="385"/>
      <c r="HX362" s="386"/>
      <c r="HY362" s="375"/>
      <c r="HZ362" s="375"/>
      <c r="IB362" s="385"/>
      <c r="IC362" s="386"/>
      <c r="ID362" s="375"/>
      <c r="IE362" s="375"/>
      <c r="IG362" s="385"/>
      <c r="IH362" s="386"/>
      <c r="II362" s="375"/>
      <c r="IJ362" s="375"/>
      <c r="IL362" s="385"/>
      <c r="IM362" s="386"/>
      <c r="IN362" s="375"/>
      <c r="IO362" s="375"/>
      <c r="IQ362" s="385"/>
      <c r="IR362" s="386"/>
      <c r="IS362" s="375"/>
      <c r="IT362" s="375"/>
      <c r="IV362" s="385"/>
    </row>
    <row r="363" spans="1:256" s="387" customFormat="1" x14ac:dyDescent="0.2">
      <c r="A363" s="385"/>
      <c r="B363" s="386"/>
      <c r="C363" s="375"/>
      <c r="D363" s="375"/>
      <c r="F363" s="385"/>
      <c r="G363" s="386"/>
      <c r="H363" s="375"/>
      <c r="I363" s="375"/>
      <c r="K363" s="385"/>
      <c r="L363" s="386"/>
      <c r="M363" s="375"/>
      <c r="N363" s="375"/>
      <c r="P363" s="385"/>
      <c r="Q363" s="386"/>
      <c r="R363" s="375"/>
      <c r="S363" s="375"/>
      <c r="U363" s="385"/>
      <c r="V363" s="386"/>
      <c r="W363" s="375"/>
      <c r="X363" s="375"/>
      <c r="Z363" s="385"/>
      <c r="AA363" s="386"/>
      <c r="AB363" s="375"/>
      <c r="AC363" s="375"/>
      <c r="AE363" s="385"/>
      <c r="AF363" s="386"/>
      <c r="AG363" s="375"/>
      <c r="AH363" s="375"/>
      <c r="AJ363" s="385"/>
      <c r="AK363" s="386"/>
      <c r="AL363" s="375"/>
      <c r="AM363" s="375"/>
      <c r="AO363" s="385"/>
      <c r="AP363" s="386"/>
      <c r="AQ363" s="375"/>
      <c r="AR363" s="375"/>
      <c r="AT363" s="385"/>
      <c r="AU363" s="386"/>
      <c r="AV363" s="375"/>
      <c r="AW363" s="375"/>
      <c r="AY363" s="385"/>
      <c r="AZ363" s="386"/>
      <c r="BA363" s="375"/>
      <c r="BB363" s="375"/>
      <c r="BD363" s="385"/>
      <c r="BE363" s="386"/>
      <c r="BF363" s="375"/>
      <c r="BG363" s="375"/>
      <c r="BI363" s="385"/>
      <c r="BJ363" s="386"/>
      <c r="BK363" s="375"/>
      <c r="BL363" s="375"/>
      <c r="BN363" s="385"/>
      <c r="BO363" s="386"/>
      <c r="BP363" s="375"/>
      <c r="BQ363" s="375"/>
      <c r="BS363" s="385"/>
      <c r="BT363" s="386"/>
      <c r="BU363" s="375"/>
      <c r="BV363" s="375"/>
      <c r="BX363" s="385"/>
      <c r="BY363" s="386"/>
      <c r="BZ363" s="375"/>
      <c r="CA363" s="375"/>
      <c r="CC363" s="385"/>
      <c r="CD363" s="386"/>
      <c r="CE363" s="375"/>
      <c r="CF363" s="375"/>
      <c r="CH363" s="385"/>
      <c r="CI363" s="386"/>
      <c r="CJ363" s="375"/>
      <c r="CK363" s="375"/>
      <c r="CM363" s="385"/>
      <c r="CN363" s="386"/>
      <c r="CO363" s="375"/>
      <c r="CP363" s="375"/>
      <c r="CR363" s="385"/>
      <c r="CS363" s="386"/>
      <c r="CT363" s="375"/>
      <c r="CU363" s="375"/>
      <c r="CW363" s="385"/>
      <c r="CX363" s="386"/>
      <c r="CY363" s="375"/>
      <c r="CZ363" s="375"/>
      <c r="DB363" s="385"/>
      <c r="DC363" s="386"/>
      <c r="DD363" s="375"/>
      <c r="DE363" s="375"/>
      <c r="DG363" s="385"/>
      <c r="DH363" s="386"/>
      <c r="DI363" s="375"/>
      <c r="DJ363" s="375"/>
      <c r="DL363" s="385"/>
      <c r="DM363" s="386"/>
      <c r="DN363" s="375"/>
      <c r="DO363" s="375"/>
      <c r="DQ363" s="385"/>
      <c r="DR363" s="386"/>
      <c r="DS363" s="375"/>
      <c r="DT363" s="375"/>
      <c r="DV363" s="385"/>
      <c r="DW363" s="386"/>
      <c r="DX363" s="375"/>
      <c r="DY363" s="375"/>
      <c r="EA363" s="385"/>
      <c r="EB363" s="386"/>
      <c r="EC363" s="375"/>
      <c r="ED363" s="375"/>
      <c r="EF363" s="385"/>
      <c r="EG363" s="386"/>
      <c r="EH363" s="375"/>
      <c r="EI363" s="375"/>
      <c r="EK363" s="385"/>
      <c r="EL363" s="386"/>
      <c r="EM363" s="375"/>
      <c r="EN363" s="375"/>
      <c r="EP363" s="385"/>
      <c r="EQ363" s="386"/>
      <c r="ER363" s="375"/>
      <c r="ES363" s="375"/>
      <c r="EU363" s="385"/>
      <c r="EV363" s="386"/>
      <c r="EW363" s="375"/>
      <c r="EX363" s="375"/>
      <c r="EZ363" s="385"/>
      <c r="FA363" s="386"/>
      <c r="FB363" s="375"/>
      <c r="FC363" s="375"/>
      <c r="FE363" s="385"/>
      <c r="FF363" s="386"/>
      <c r="FG363" s="375"/>
      <c r="FH363" s="375"/>
      <c r="FJ363" s="385"/>
      <c r="FK363" s="386"/>
      <c r="FL363" s="375"/>
      <c r="FM363" s="375"/>
      <c r="FO363" s="385"/>
      <c r="FP363" s="386"/>
      <c r="FQ363" s="375"/>
      <c r="FR363" s="375"/>
      <c r="FT363" s="385"/>
      <c r="FU363" s="386"/>
      <c r="FV363" s="375"/>
      <c r="FW363" s="375"/>
      <c r="FY363" s="385"/>
      <c r="FZ363" s="386"/>
      <c r="GA363" s="375"/>
      <c r="GB363" s="375"/>
      <c r="GD363" s="385"/>
      <c r="GE363" s="386"/>
      <c r="GF363" s="375"/>
      <c r="GG363" s="375"/>
      <c r="GI363" s="385"/>
      <c r="GJ363" s="386"/>
      <c r="GK363" s="375"/>
      <c r="GL363" s="375"/>
      <c r="GN363" s="385"/>
      <c r="GO363" s="386"/>
      <c r="GP363" s="375"/>
      <c r="GQ363" s="375"/>
      <c r="GS363" s="385"/>
      <c r="GT363" s="386"/>
      <c r="GU363" s="375"/>
      <c r="GV363" s="375"/>
      <c r="GX363" s="385"/>
      <c r="GY363" s="386"/>
      <c r="GZ363" s="375"/>
      <c r="HA363" s="375"/>
      <c r="HC363" s="385"/>
      <c r="HD363" s="386"/>
      <c r="HE363" s="375"/>
      <c r="HF363" s="375"/>
      <c r="HH363" s="385"/>
      <c r="HI363" s="386"/>
      <c r="HJ363" s="375"/>
      <c r="HK363" s="375"/>
      <c r="HM363" s="385"/>
      <c r="HN363" s="386"/>
      <c r="HO363" s="375"/>
      <c r="HP363" s="375"/>
      <c r="HR363" s="385"/>
      <c r="HS363" s="386"/>
      <c r="HT363" s="375"/>
      <c r="HU363" s="375"/>
      <c r="HW363" s="385"/>
      <c r="HX363" s="386"/>
      <c r="HY363" s="375"/>
      <c r="HZ363" s="375"/>
      <c r="IB363" s="385"/>
      <c r="IC363" s="386"/>
      <c r="ID363" s="375"/>
      <c r="IE363" s="375"/>
      <c r="IG363" s="385"/>
      <c r="IH363" s="386"/>
      <c r="II363" s="375"/>
      <c r="IJ363" s="375"/>
      <c r="IL363" s="385"/>
      <c r="IM363" s="386"/>
      <c r="IN363" s="375"/>
      <c r="IO363" s="375"/>
      <c r="IQ363" s="385"/>
      <c r="IR363" s="386"/>
      <c r="IS363" s="375"/>
      <c r="IT363" s="375"/>
      <c r="IV363" s="385"/>
    </row>
    <row r="364" spans="1:256" s="387" customFormat="1" x14ac:dyDescent="0.2">
      <c r="A364" s="385"/>
      <c r="B364" s="386"/>
      <c r="C364" s="375"/>
      <c r="D364" s="375"/>
      <c r="F364" s="385"/>
      <c r="G364" s="386"/>
      <c r="H364" s="375"/>
      <c r="I364" s="375"/>
      <c r="K364" s="385"/>
      <c r="L364" s="386"/>
      <c r="M364" s="375"/>
      <c r="N364" s="375"/>
      <c r="P364" s="385"/>
      <c r="Q364" s="386"/>
      <c r="R364" s="375"/>
      <c r="S364" s="375"/>
      <c r="U364" s="385"/>
      <c r="V364" s="386"/>
      <c r="W364" s="375"/>
      <c r="X364" s="375"/>
      <c r="Z364" s="385"/>
      <c r="AA364" s="386"/>
      <c r="AB364" s="375"/>
      <c r="AC364" s="375"/>
      <c r="AE364" s="385"/>
      <c r="AF364" s="386"/>
      <c r="AG364" s="375"/>
      <c r="AH364" s="375"/>
      <c r="AJ364" s="385"/>
      <c r="AK364" s="386"/>
      <c r="AL364" s="375"/>
      <c r="AM364" s="375"/>
      <c r="AO364" s="385"/>
      <c r="AP364" s="386"/>
      <c r="AQ364" s="375"/>
      <c r="AR364" s="375"/>
      <c r="AT364" s="385"/>
      <c r="AU364" s="386"/>
      <c r="AV364" s="375"/>
      <c r="AW364" s="375"/>
      <c r="AY364" s="385"/>
      <c r="AZ364" s="386"/>
      <c r="BA364" s="375"/>
      <c r="BB364" s="375"/>
      <c r="BD364" s="385"/>
      <c r="BE364" s="386"/>
      <c r="BF364" s="375"/>
      <c r="BG364" s="375"/>
      <c r="BI364" s="385"/>
      <c r="BJ364" s="386"/>
      <c r="BK364" s="375"/>
      <c r="BL364" s="375"/>
      <c r="BN364" s="385"/>
      <c r="BO364" s="386"/>
      <c r="BP364" s="375"/>
      <c r="BQ364" s="375"/>
      <c r="BS364" s="385"/>
      <c r="BT364" s="386"/>
      <c r="BU364" s="375"/>
      <c r="BV364" s="375"/>
      <c r="BX364" s="385"/>
      <c r="BY364" s="386"/>
      <c r="BZ364" s="375"/>
      <c r="CA364" s="375"/>
      <c r="CC364" s="385"/>
      <c r="CD364" s="386"/>
      <c r="CE364" s="375"/>
      <c r="CF364" s="375"/>
      <c r="CH364" s="385"/>
      <c r="CI364" s="386"/>
      <c r="CJ364" s="375"/>
      <c r="CK364" s="375"/>
      <c r="CM364" s="385"/>
      <c r="CN364" s="386"/>
      <c r="CO364" s="375"/>
      <c r="CP364" s="375"/>
      <c r="CR364" s="385"/>
      <c r="CS364" s="386"/>
      <c r="CT364" s="375"/>
      <c r="CU364" s="375"/>
      <c r="CW364" s="385"/>
      <c r="CX364" s="386"/>
      <c r="CY364" s="375"/>
      <c r="CZ364" s="375"/>
      <c r="DB364" s="385"/>
      <c r="DC364" s="386"/>
      <c r="DD364" s="375"/>
      <c r="DE364" s="375"/>
      <c r="DG364" s="385"/>
      <c r="DH364" s="386"/>
      <c r="DI364" s="375"/>
      <c r="DJ364" s="375"/>
      <c r="DL364" s="385"/>
      <c r="DM364" s="386"/>
      <c r="DN364" s="375"/>
      <c r="DO364" s="375"/>
      <c r="DQ364" s="385"/>
      <c r="DR364" s="386"/>
      <c r="DS364" s="375"/>
      <c r="DT364" s="375"/>
      <c r="DV364" s="385"/>
      <c r="DW364" s="386"/>
      <c r="DX364" s="375"/>
      <c r="DY364" s="375"/>
      <c r="EA364" s="385"/>
      <c r="EB364" s="386"/>
      <c r="EC364" s="375"/>
      <c r="ED364" s="375"/>
      <c r="EF364" s="385"/>
      <c r="EG364" s="386"/>
      <c r="EH364" s="375"/>
      <c r="EI364" s="375"/>
      <c r="EK364" s="385"/>
      <c r="EL364" s="386"/>
      <c r="EM364" s="375"/>
      <c r="EN364" s="375"/>
      <c r="EP364" s="385"/>
      <c r="EQ364" s="386"/>
      <c r="ER364" s="375"/>
      <c r="ES364" s="375"/>
      <c r="EU364" s="385"/>
      <c r="EV364" s="386"/>
      <c r="EW364" s="375"/>
      <c r="EX364" s="375"/>
      <c r="EZ364" s="385"/>
      <c r="FA364" s="386"/>
      <c r="FB364" s="375"/>
      <c r="FC364" s="375"/>
      <c r="FE364" s="385"/>
      <c r="FF364" s="386"/>
      <c r="FG364" s="375"/>
      <c r="FH364" s="375"/>
      <c r="FJ364" s="385"/>
      <c r="FK364" s="386"/>
      <c r="FL364" s="375"/>
      <c r="FM364" s="375"/>
      <c r="FO364" s="385"/>
      <c r="FP364" s="386"/>
      <c r="FQ364" s="375"/>
      <c r="FR364" s="375"/>
      <c r="FT364" s="385"/>
      <c r="FU364" s="386"/>
      <c r="FV364" s="375"/>
      <c r="FW364" s="375"/>
      <c r="FY364" s="385"/>
      <c r="FZ364" s="386"/>
      <c r="GA364" s="375"/>
      <c r="GB364" s="375"/>
      <c r="GD364" s="385"/>
      <c r="GE364" s="386"/>
      <c r="GF364" s="375"/>
      <c r="GG364" s="375"/>
      <c r="GI364" s="385"/>
      <c r="GJ364" s="386"/>
      <c r="GK364" s="375"/>
      <c r="GL364" s="375"/>
      <c r="GN364" s="385"/>
      <c r="GO364" s="386"/>
      <c r="GP364" s="375"/>
      <c r="GQ364" s="375"/>
      <c r="GS364" s="385"/>
      <c r="GT364" s="386"/>
      <c r="GU364" s="375"/>
      <c r="GV364" s="375"/>
      <c r="GX364" s="385"/>
      <c r="GY364" s="386"/>
      <c r="GZ364" s="375"/>
      <c r="HA364" s="375"/>
      <c r="HC364" s="385"/>
      <c r="HD364" s="386"/>
      <c r="HE364" s="375"/>
      <c r="HF364" s="375"/>
      <c r="HH364" s="385"/>
      <c r="HI364" s="386"/>
      <c r="HJ364" s="375"/>
      <c r="HK364" s="375"/>
      <c r="HM364" s="385"/>
      <c r="HN364" s="386"/>
      <c r="HO364" s="375"/>
      <c r="HP364" s="375"/>
      <c r="HR364" s="385"/>
      <c r="HS364" s="386"/>
      <c r="HT364" s="375"/>
      <c r="HU364" s="375"/>
      <c r="HW364" s="385"/>
      <c r="HX364" s="386"/>
      <c r="HY364" s="375"/>
      <c r="HZ364" s="375"/>
      <c r="IB364" s="385"/>
      <c r="IC364" s="386"/>
      <c r="ID364" s="375"/>
      <c r="IE364" s="375"/>
      <c r="IG364" s="385"/>
      <c r="IH364" s="386"/>
      <c r="II364" s="375"/>
      <c r="IJ364" s="375"/>
      <c r="IL364" s="385"/>
      <c r="IM364" s="386"/>
      <c r="IN364" s="375"/>
      <c r="IO364" s="375"/>
      <c r="IQ364" s="385"/>
      <c r="IR364" s="386"/>
      <c r="IS364" s="375"/>
      <c r="IT364" s="375"/>
      <c r="IV364" s="385"/>
    </row>
    <row r="365" spans="1:256" s="387" customFormat="1" x14ac:dyDescent="0.2">
      <c r="A365" s="385"/>
      <c r="B365" s="386"/>
      <c r="C365" s="375"/>
      <c r="D365" s="375"/>
      <c r="F365" s="385"/>
      <c r="G365" s="386"/>
      <c r="H365" s="375"/>
      <c r="I365" s="375"/>
      <c r="K365" s="385"/>
      <c r="L365" s="386"/>
      <c r="M365" s="375"/>
      <c r="N365" s="375"/>
      <c r="P365" s="385"/>
      <c r="Q365" s="386"/>
      <c r="R365" s="375"/>
      <c r="S365" s="375"/>
      <c r="U365" s="385"/>
      <c r="V365" s="386"/>
      <c r="W365" s="375"/>
      <c r="X365" s="375"/>
      <c r="Z365" s="385"/>
      <c r="AA365" s="386"/>
      <c r="AB365" s="375"/>
      <c r="AC365" s="375"/>
      <c r="AE365" s="385"/>
      <c r="AF365" s="386"/>
      <c r="AG365" s="375"/>
      <c r="AH365" s="375"/>
      <c r="AJ365" s="385"/>
      <c r="AK365" s="386"/>
      <c r="AL365" s="375"/>
      <c r="AM365" s="375"/>
      <c r="AO365" s="385"/>
      <c r="AP365" s="386"/>
      <c r="AQ365" s="375"/>
      <c r="AR365" s="375"/>
      <c r="AT365" s="385"/>
      <c r="AU365" s="386"/>
      <c r="AV365" s="375"/>
      <c r="AW365" s="375"/>
      <c r="AY365" s="385"/>
      <c r="AZ365" s="386"/>
      <c r="BA365" s="375"/>
      <c r="BB365" s="375"/>
      <c r="BD365" s="385"/>
      <c r="BE365" s="386"/>
      <c r="BF365" s="375"/>
      <c r="BG365" s="375"/>
      <c r="BI365" s="385"/>
      <c r="BJ365" s="386"/>
      <c r="BK365" s="375"/>
      <c r="BL365" s="375"/>
      <c r="BN365" s="385"/>
      <c r="BO365" s="386"/>
      <c r="BP365" s="375"/>
      <c r="BQ365" s="375"/>
      <c r="BS365" s="385"/>
      <c r="BT365" s="386"/>
      <c r="BU365" s="375"/>
      <c r="BV365" s="375"/>
      <c r="BX365" s="385"/>
      <c r="BY365" s="386"/>
      <c r="BZ365" s="375"/>
      <c r="CA365" s="375"/>
      <c r="CC365" s="385"/>
      <c r="CD365" s="386"/>
      <c r="CE365" s="375"/>
      <c r="CF365" s="375"/>
      <c r="CH365" s="385"/>
      <c r="CI365" s="386"/>
      <c r="CJ365" s="375"/>
      <c r="CK365" s="375"/>
      <c r="CM365" s="385"/>
      <c r="CN365" s="386"/>
      <c r="CO365" s="375"/>
      <c r="CP365" s="375"/>
      <c r="CR365" s="385"/>
      <c r="CS365" s="386"/>
      <c r="CT365" s="375"/>
      <c r="CU365" s="375"/>
      <c r="CW365" s="385"/>
      <c r="CX365" s="386"/>
      <c r="CY365" s="375"/>
      <c r="CZ365" s="375"/>
      <c r="DB365" s="385"/>
      <c r="DC365" s="386"/>
      <c r="DD365" s="375"/>
      <c r="DE365" s="375"/>
      <c r="DG365" s="385"/>
      <c r="DH365" s="386"/>
      <c r="DI365" s="375"/>
      <c r="DJ365" s="375"/>
      <c r="DL365" s="385"/>
      <c r="DM365" s="386"/>
      <c r="DN365" s="375"/>
      <c r="DO365" s="375"/>
      <c r="DQ365" s="385"/>
      <c r="DR365" s="386"/>
      <c r="DS365" s="375"/>
      <c r="DT365" s="375"/>
      <c r="DV365" s="385"/>
      <c r="DW365" s="386"/>
      <c r="DX365" s="375"/>
      <c r="DY365" s="375"/>
      <c r="EA365" s="385"/>
      <c r="EB365" s="386"/>
      <c r="EC365" s="375"/>
      <c r="ED365" s="375"/>
      <c r="EF365" s="385"/>
      <c r="EG365" s="386"/>
      <c r="EH365" s="375"/>
      <c r="EI365" s="375"/>
      <c r="EK365" s="385"/>
      <c r="EL365" s="386"/>
      <c r="EM365" s="375"/>
      <c r="EN365" s="375"/>
      <c r="EP365" s="385"/>
      <c r="EQ365" s="386"/>
      <c r="ER365" s="375"/>
      <c r="ES365" s="375"/>
      <c r="EU365" s="385"/>
      <c r="EV365" s="386"/>
      <c r="EW365" s="375"/>
      <c r="EX365" s="375"/>
      <c r="EZ365" s="385"/>
      <c r="FA365" s="386"/>
      <c r="FB365" s="375"/>
      <c r="FC365" s="375"/>
      <c r="FE365" s="385"/>
      <c r="FF365" s="386"/>
      <c r="FG365" s="375"/>
      <c r="FH365" s="375"/>
      <c r="FJ365" s="385"/>
      <c r="FK365" s="386"/>
      <c r="FL365" s="375"/>
      <c r="FM365" s="375"/>
      <c r="FO365" s="385"/>
      <c r="FP365" s="386"/>
      <c r="FQ365" s="375"/>
      <c r="FR365" s="375"/>
      <c r="FT365" s="385"/>
      <c r="FU365" s="386"/>
      <c r="FV365" s="375"/>
      <c r="FW365" s="375"/>
      <c r="FY365" s="385"/>
      <c r="FZ365" s="386"/>
      <c r="GA365" s="375"/>
      <c r="GB365" s="375"/>
      <c r="GD365" s="385"/>
      <c r="GE365" s="386"/>
      <c r="GF365" s="375"/>
      <c r="GG365" s="375"/>
      <c r="GI365" s="385"/>
      <c r="GJ365" s="386"/>
      <c r="GK365" s="375"/>
      <c r="GL365" s="375"/>
      <c r="GN365" s="385"/>
      <c r="GO365" s="386"/>
      <c r="GP365" s="375"/>
      <c r="GQ365" s="375"/>
      <c r="GS365" s="385"/>
      <c r="GT365" s="386"/>
      <c r="GU365" s="375"/>
      <c r="GV365" s="375"/>
      <c r="GX365" s="385"/>
      <c r="GY365" s="386"/>
      <c r="GZ365" s="375"/>
      <c r="HA365" s="375"/>
      <c r="HC365" s="385"/>
      <c r="HD365" s="386"/>
      <c r="HE365" s="375"/>
      <c r="HF365" s="375"/>
      <c r="HH365" s="385"/>
      <c r="HI365" s="386"/>
      <c r="HJ365" s="375"/>
      <c r="HK365" s="375"/>
      <c r="HM365" s="385"/>
      <c r="HN365" s="386"/>
      <c r="HO365" s="375"/>
      <c r="HP365" s="375"/>
      <c r="HR365" s="385"/>
      <c r="HS365" s="386"/>
      <c r="HT365" s="375"/>
      <c r="HU365" s="375"/>
      <c r="HW365" s="385"/>
      <c r="HX365" s="386"/>
      <c r="HY365" s="375"/>
      <c r="HZ365" s="375"/>
      <c r="IB365" s="385"/>
      <c r="IC365" s="386"/>
      <c r="ID365" s="375"/>
      <c r="IE365" s="375"/>
      <c r="IG365" s="385"/>
      <c r="IH365" s="386"/>
      <c r="II365" s="375"/>
      <c r="IJ365" s="375"/>
      <c r="IL365" s="385"/>
      <c r="IM365" s="386"/>
      <c r="IN365" s="375"/>
      <c r="IO365" s="375"/>
      <c r="IQ365" s="385"/>
      <c r="IR365" s="386"/>
      <c r="IS365" s="375"/>
      <c r="IT365" s="375"/>
      <c r="IV365" s="385"/>
    </row>
    <row r="366" spans="1:256" s="387" customFormat="1" x14ac:dyDescent="0.2">
      <c r="A366" s="385"/>
      <c r="B366" s="386"/>
      <c r="C366" s="375"/>
      <c r="D366" s="375"/>
      <c r="F366" s="385"/>
      <c r="G366" s="386"/>
      <c r="H366" s="375"/>
      <c r="I366" s="375"/>
      <c r="K366" s="385"/>
      <c r="L366" s="386"/>
      <c r="M366" s="375"/>
      <c r="N366" s="375"/>
      <c r="P366" s="385"/>
      <c r="Q366" s="386"/>
      <c r="R366" s="375"/>
      <c r="S366" s="375"/>
      <c r="U366" s="385"/>
      <c r="V366" s="386"/>
      <c r="W366" s="375"/>
      <c r="X366" s="375"/>
      <c r="Z366" s="385"/>
      <c r="AA366" s="386"/>
      <c r="AB366" s="375"/>
      <c r="AC366" s="375"/>
      <c r="AE366" s="385"/>
      <c r="AF366" s="386"/>
      <c r="AG366" s="375"/>
      <c r="AH366" s="375"/>
      <c r="AJ366" s="385"/>
      <c r="AK366" s="386"/>
      <c r="AL366" s="375"/>
      <c r="AM366" s="375"/>
      <c r="AO366" s="385"/>
      <c r="AP366" s="386"/>
      <c r="AQ366" s="375"/>
      <c r="AR366" s="375"/>
      <c r="AT366" s="385"/>
      <c r="AU366" s="386"/>
      <c r="AV366" s="375"/>
      <c r="AW366" s="375"/>
      <c r="AY366" s="385"/>
      <c r="AZ366" s="386"/>
      <c r="BA366" s="375"/>
      <c r="BB366" s="375"/>
      <c r="BD366" s="385"/>
      <c r="BE366" s="386"/>
      <c r="BF366" s="375"/>
      <c r="BG366" s="375"/>
      <c r="BI366" s="385"/>
      <c r="BJ366" s="386"/>
      <c r="BK366" s="375"/>
      <c r="BL366" s="375"/>
      <c r="BN366" s="385"/>
      <c r="BO366" s="386"/>
      <c r="BP366" s="375"/>
      <c r="BQ366" s="375"/>
      <c r="BS366" s="385"/>
      <c r="BT366" s="386"/>
      <c r="BU366" s="375"/>
      <c r="BV366" s="375"/>
      <c r="BX366" s="385"/>
      <c r="BY366" s="386"/>
      <c r="BZ366" s="375"/>
      <c r="CA366" s="375"/>
      <c r="CC366" s="385"/>
      <c r="CD366" s="386"/>
      <c r="CE366" s="375"/>
      <c r="CF366" s="375"/>
      <c r="CH366" s="385"/>
      <c r="CI366" s="386"/>
      <c r="CJ366" s="375"/>
      <c r="CK366" s="375"/>
      <c r="CM366" s="385"/>
      <c r="CN366" s="386"/>
      <c r="CO366" s="375"/>
      <c r="CP366" s="375"/>
      <c r="CR366" s="385"/>
      <c r="CS366" s="386"/>
      <c r="CT366" s="375"/>
      <c r="CU366" s="375"/>
      <c r="CW366" s="385"/>
      <c r="CX366" s="386"/>
      <c r="CY366" s="375"/>
      <c r="CZ366" s="375"/>
      <c r="DB366" s="385"/>
      <c r="DC366" s="386"/>
      <c r="DD366" s="375"/>
      <c r="DE366" s="375"/>
      <c r="DG366" s="385"/>
      <c r="DH366" s="386"/>
      <c r="DI366" s="375"/>
      <c r="DJ366" s="375"/>
      <c r="DL366" s="385"/>
      <c r="DM366" s="386"/>
      <c r="DN366" s="375"/>
      <c r="DO366" s="375"/>
      <c r="DQ366" s="385"/>
      <c r="DR366" s="386"/>
      <c r="DS366" s="375"/>
      <c r="DT366" s="375"/>
      <c r="DV366" s="385"/>
      <c r="DW366" s="386"/>
      <c r="DX366" s="375"/>
      <c r="DY366" s="375"/>
      <c r="EA366" s="385"/>
      <c r="EB366" s="386"/>
      <c r="EC366" s="375"/>
      <c r="ED366" s="375"/>
      <c r="EF366" s="385"/>
      <c r="EG366" s="386"/>
      <c r="EH366" s="375"/>
      <c r="EI366" s="375"/>
      <c r="EK366" s="385"/>
      <c r="EL366" s="386"/>
      <c r="EM366" s="375"/>
      <c r="EN366" s="375"/>
      <c r="EP366" s="385"/>
      <c r="EQ366" s="386"/>
      <c r="ER366" s="375"/>
      <c r="ES366" s="375"/>
      <c r="EU366" s="385"/>
      <c r="EV366" s="386"/>
      <c r="EW366" s="375"/>
      <c r="EX366" s="375"/>
      <c r="EZ366" s="385"/>
      <c r="FA366" s="386"/>
      <c r="FB366" s="375"/>
      <c r="FC366" s="375"/>
      <c r="FE366" s="385"/>
      <c r="FF366" s="386"/>
      <c r="FG366" s="375"/>
      <c r="FH366" s="375"/>
      <c r="FJ366" s="385"/>
      <c r="FK366" s="386"/>
      <c r="FL366" s="375"/>
      <c r="FM366" s="375"/>
      <c r="FO366" s="385"/>
      <c r="FP366" s="386"/>
      <c r="FQ366" s="375"/>
      <c r="FR366" s="375"/>
      <c r="FT366" s="385"/>
      <c r="FU366" s="386"/>
      <c r="FV366" s="375"/>
      <c r="FW366" s="375"/>
      <c r="FY366" s="385"/>
      <c r="FZ366" s="386"/>
      <c r="GA366" s="375"/>
      <c r="GB366" s="375"/>
      <c r="GD366" s="385"/>
      <c r="GE366" s="386"/>
      <c r="GF366" s="375"/>
      <c r="GG366" s="375"/>
      <c r="GI366" s="385"/>
      <c r="GJ366" s="386"/>
      <c r="GK366" s="375"/>
      <c r="GL366" s="375"/>
      <c r="GN366" s="385"/>
      <c r="GO366" s="386"/>
      <c r="GP366" s="375"/>
      <c r="GQ366" s="375"/>
      <c r="GS366" s="385"/>
      <c r="GT366" s="386"/>
      <c r="GU366" s="375"/>
      <c r="GV366" s="375"/>
      <c r="GX366" s="385"/>
      <c r="GY366" s="386"/>
      <c r="GZ366" s="375"/>
      <c r="HA366" s="375"/>
      <c r="HC366" s="385"/>
      <c r="HD366" s="386"/>
      <c r="HE366" s="375"/>
      <c r="HF366" s="375"/>
      <c r="HH366" s="385"/>
      <c r="HI366" s="386"/>
      <c r="HJ366" s="375"/>
      <c r="HK366" s="375"/>
      <c r="HM366" s="385"/>
      <c r="HN366" s="386"/>
      <c r="HO366" s="375"/>
      <c r="HP366" s="375"/>
      <c r="HR366" s="385"/>
      <c r="HS366" s="386"/>
      <c r="HT366" s="375"/>
      <c r="HU366" s="375"/>
      <c r="HW366" s="385"/>
      <c r="HX366" s="386"/>
      <c r="HY366" s="375"/>
      <c r="HZ366" s="375"/>
      <c r="IB366" s="385"/>
      <c r="IC366" s="386"/>
      <c r="ID366" s="375"/>
      <c r="IE366" s="375"/>
      <c r="IG366" s="385"/>
      <c r="IH366" s="386"/>
      <c r="II366" s="375"/>
      <c r="IJ366" s="375"/>
      <c r="IL366" s="385"/>
      <c r="IM366" s="386"/>
      <c r="IN366" s="375"/>
      <c r="IO366" s="375"/>
      <c r="IQ366" s="385"/>
      <c r="IR366" s="386"/>
      <c r="IS366" s="375"/>
      <c r="IT366" s="375"/>
      <c r="IV366" s="385"/>
    </row>
    <row r="367" spans="1:256" s="387" customFormat="1" x14ac:dyDescent="0.2">
      <c r="A367" s="385"/>
      <c r="B367" s="386"/>
      <c r="C367" s="375"/>
      <c r="D367" s="375"/>
      <c r="F367" s="385"/>
      <c r="G367" s="386"/>
      <c r="H367" s="375"/>
      <c r="I367" s="375"/>
      <c r="K367" s="385"/>
      <c r="L367" s="386"/>
      <c r="M367" s="375"/>
      <c r="N367" s="375"/>
      <c r="P367" s="385"/>
      <c r="Q367" s="386"/>
      <c r="R367" s="375"/>
      <c r="S367" s="375"/>
      <c r="U367" s="385"/>
      <c r="V367" s="386"/>
      <c r="W367" s="375"/>
      <c r="X367" s="375"/>
      <c r="Z367" s="385"/>
      <c r="AA367" s="386"/>
      <c r="AB367" s="375"/>
      <c r="AC367" s="375"/>
      <c r="AE367" s="385"/>
      <c r="AF367" s="386"/>
      <c r="AG367" s="375"/>
      <c r="AH367" s="375"/>
      <c r="AJ367" s="385"/>
      <c r="AK367" s="386"/>
      <c r="AL367" s="375"/>
      <c r="AM367" s="375"/>
      <c r="AO367" s="385"/>
      <c r="AP367" s="386"/>
      <c r="AQ367" s="375"/>
      <c r="AR367" s="375"/>
      <c r="AT367" s="385"/>
      <c r="AU367" s="386"/>
      <c r="AV367" s="375"/>
      <c r="AW367" s="375"/>
      <c r="AY367" s="385"/>
      <c r="AZ367" s="386"/>
      <c r="BA367" s="375"/>
      <c r="BB367" s="375"/>
      <c r="BD367" s="385"/>
      <c r="BE367" s="386"/>
      <c r="BF367" s="375"/>
      <c r="BG367" s="375"/>
      <c r="BI367" s="385"/>
      <c r="BJ367" s="386"/>
      <c r="BK367" s="375"/>
      <c r="BL367" s="375"/>
      <c r="BN367" s="385"/>
      <c r="BO367" s="386"/>
      <c r="BP367" s="375"/>
      <c r="BQ367" s="375"/>
      <c r="BS367" s="385"/>
      <c r="BT367" s="386"/>
      <c r="BU367" s="375"/>
      <c r="BV367" s="375"/>
      <c r="BX367" s="385"/>
      <c r="BY367" s="386"/>
      <c r="BZ367" s="375"/>
      <c r="CA367" s="375"/>
      <c r="CC367" s="385"/>
      <c r="CD367" s="386"/>
      <c r="CE367" s="375"/>
      <c r="CF367" s="375"/>
      <c r="CH367" s="385"/>
      <c r="CI367" s="386"/>
      <c r="CJ367" s="375"/>
      <c r="CK367" s="375"/>
      <c r="CM367" s="385"/>
      <c r="CN367" s="386"/>
      <c r="CO367" s="375"/>
      <c r="CP367" s="375"/>
      <c r="CR367" s="385"/>
      <c r="CS367" s="386"/>
      <c r="CT367" s="375"/>
      <c r="CU367" s="375"/>
      <c r="CW367" s="385"/>
      <c r="CX367" s="386"/>
      <c r="CY367" s="375"/>
      <c r="CZ367" s="375"/>
      <c r="DB367" s="385"/>
      <c r="DC367" s="386"/>
      <c r="DD367" s="375"/>
      <c r="DE367" s="375"/>
      <c r="DG367" s="385"/>
      <c r="DH367" s="386"/>
      <c r="DI367" s="375"/>
      <c r="DJ367" s="375"/>
      <c r="DL367" s="385"/>
      <c r="DM367" s="386"/>
      <c r="DN367" s="375"/>
      <c r="DO367" s="375"/>
      <c r="DQ367" s="385"/>
      <c r="DR367" s="386"/>
      <c r="DS367" s="375"/>
      <c r="DT367" s="375"/>
      <c r="DV367" s="385"/>
      <c r="DW367" s="386"/>
      <c r="DX367" s="375"/>
      <c r="DY367" s="375"/>
      <c r="EA367" s="385"/>
      <c r="EB367" s="386"/>
      <c r="EC367" s="375"/>
      <c r="ED367" s="375"/>
      <c r="EF367" s="385"/>
      <c r="EG367" s="386"/>
      <c r="EH367" s="375"/>
      <c r="EI367" s="375"/>
      <c r="EK367" s="385"/>
      <c r="EL367" s="386"/>
      <c r="EM367" s="375"/>
      <c r="EN367" s="375"/>
      <c r="EP367" s="385"/>
      <c r="EQ367" s="386"/>
      <c r="ER367" s="375"/>
      <c r="ES367" s="375"/>
      <c r="EU367" s="385"/>
      <c r="EV367" s="386"/>
      <c r="EW367" s="375"/>
      <c r="EX367" s="375"/>
      <c r="EZ367" s="385"/>
      <c r="FA367" s="386"/>
      <c r="FB367" s="375"/>
      <c r="FC367" s="375"/>
      <c r="FE367" s="385"/>
      <c r="FF367" s="386"/>
      <c r="FG367" s="375"/>
      <c r="FH367" s="375"/>
      <c r="FJ367" s="385"/>
      <c r="FK367" s="386"/>
      <c r="FL367" s="375"/>
      <c r="FM367" s="375"/>
      <c r="FO367" s="385"/>
      <c r="FP367" s="386"/>
      <c r="FQ367" s="375"/>
      <c r="FR367" s="375"/>
      <c r="FT367" s="385"/>
      <c r="FU367" s="386"/>
      <c r="FV367" s="375"/>
      <c r="FW367" s="375"/>
      <c r="FY367" s="385"/>
      <c r="FZ367" s="386"/>
      <c r="GA367" s="375"/>
      <c r="GB367" s="375"/>
      <c r="GD367" s="385"/>
      <c r="GE367" s="386"/>
      <c r="GF367" s="375"/>
      <c r="GG367" s="375"/>
      <c r="GI367" s="385"/>
      <c r="GJ367" s="386"/>
      <c r="GK367" s="375"/>
      <c r="GL367" s="375"/>
      <c r="GN367" s="385"/>
      <c r="GO367" s="386"/>
      <c r="GP367" s="375"/>
      <c r="GQ367" s="375"/>
      <c r="GS367" s="385"/>
      <c r="GT367" s="386"/>
      <c r="GU367" s="375"/>
      <c r="GV367" s="375"/>
      <c r="GX367" s="385"/>
      <c r="GY367" s="386"/>
      <c r="GZ367" s="375"/>
      <c r="HA367" s="375"/>
      <c r="HC367" s="385"/>
      <c r="HD367" s="386"/>
      <c r="HE367" s="375"/>
      <c r="HF367" s="375"/>
      <c r="HH367" s="385"/>
      <c r="HI367" s="386"/>
      <c r="HJ367" s="375"/>
      <c r="HK367" s="375"/>
      <c r="HM367" s="385"/>
      <c r="HN367" s="386"/>
      <c r="HO367" s="375"/>
      <c r="HP367" s="375"/>
      <c r="HR367" s="385"/>
      <c r="HS367" s="386"/>
      <c r="HT367" s="375"/>
      <c r="HU367" s="375"/>
      <c r="HW367" s="385"/>
      <c r="HX367" s="386"/>
      <c r="HY367" s="375"/>
      <c r="HZ367" s="375"/>
      <c r="IB367" s="385"/>
      <c r="IC367" s="386"/>
      <c r="ID367" s="375"/>
      <c r="IE367" s="375"/>
      <c r="IG367" s="385"/>
      <c r="IH367" s="386"/>
      <c r="II367" s="375"/>
      <c r="IJ367" s="375"/>
      <c r="IL367" s="385"/>
      <c r="IM367" s="386"/>
      <c r="IN367" s="375"/>
      <c r="IO367" s="375"/>
      <c r="IQ367" s="385"/>
      <c r="IR367" s="386"/>
      <c r="IS367" s="375"/>
      <c r="IT367" s="375"/>
      <c r="IV367" s="385"/>
    </row>
    <row r="368" spans="1:256" s="387" customFormat="1" x14ac:dyDescent="0.2">
      <c r="A368" s="385"/>
      <c r="B368" s="386"/>
      <c r="C368" s="375"/>
      <c r="D368" s="375"/>
      <c r="F368" s="385"/>
      <c r="G368" s="386"/>
      <c r="H368" s="375"/>
      <c r="I368" s="375"/>
      <c r="K368" s="385"/>
      <c r="L368" s="386"/>
      <c r="M368" s="375"/>
      <c r="N368" s="375"/>
      <c r="P368" s="385"/>
      <c r="Q368" s="386"/>
      <c r="R368" s="375"/>
      <c r="S368" s="375"/>
      <c r="U368" s="385"/>
      <c r="V368" s="386"/>
      <c r="W368" s="375"/>
      <c r="X368" s="375"/>
      <c r="Z368" s="385"/>
      <c r="AA368" s="386"/>
      <c r="AB368" s="375"/>
      <c r="AC368" s="375"/>
      <c r="AE368" s="385"/>
      <c r="AF368" s="386"/>
      <c r="AG368" s="375"/>
      <c r="AH368" s="375"/>
      <c r="AJ368" s="385"/>
      <c r="AK368" s="386"/>
      <c r="AL368" s="375"/>
      <c r="AM368" s="375"/>
      <c r="AO368" s="385"/>
      <c r="AP368" s="386"/>
      <c r="AQ368" s="375"/>
      <c r="AR368" s="375"/>
      <c r="AT368" s="385"/>
      <c r="AU368" s="386"/>
      <c r="AV368" s="375"/>
      <c r="AW368" s="375"/>
      <c r="AY368" s="385"/>
      <c r="AZ368" s="386"/>
      <c r="BA368" s="375"/>
      <c r="BB368" s="375"/>
      <c r="BD368" s="385"/>
      <c r="BE368" s="386"/>
      <c r="BF368" s="375"/>
      <c r="BG368" s="375"/>
      <c r="BI368" s="385"/>
      <c r="BJ368" s="386"/>
      <c r="BK368" s="375"/>
      <c r="BL368" s="375"/>
      <c r="BN368" s="385"/>
      <c r="BO368" s="386"/>
      <c r="BP368" s="375"/>
      <c r="BQ368" s="375"/>
      <c r="BS368" s="385"/>
      <c r="BT368" s="386"/>
      <c r="BU368" s="375"/>
      <c r="BV368" s="375"/>
      <c r="BX368" s="385"/>
      <c r="BY368" s="386"/>
      <c r="BZ368" s="375"/>
      <c r="CA368" s="375"/>
      <c r="CC368" s="385"/>
      <c r="CD368" s="386"/>
      <c r="CE368" s="375"/>
      <c r="CF368" s="375"/>
      <c r="CH368" s="385"/>
      <c r="CI368" s="386"/>
      <c r="CJ368" s="375"/>
      <c r="CK368" s="375"/>
      <c r="CM368" s="385"/>
      <c r="CN368" s="386"/>
      <c r="CO368" s="375"/>
      <c r="CP368" s="375"/>
      <c r="CR368" s="385"/>
      <c r="CS368" s="386"/>
      <c r="CT368" s="375"/>
      <c r="CU368" s="375"/>
      <c r="CW368" s="385"/>
      <c r="CX368" s="386"/>
      <c r="CY368" s="375"/>
      <c r="CZ368" s="375"/>
      <c r="DB368" s="385"/>
      <c r="DC368" s="386"/>
      <c r="DD368" s="375"/>
      <c r="DE368" s="375"/>
      <c r="DG368" s="385"/>
      <c r="DH368" s="386"/>
      <c r="DI368" s="375"/>
      <c r="DJ368" s="375"/>
      <c r="DL368" s="385"/>
      <c r="DM368" s="386"/>
      <c r="DN368" s="375"/>
      <c r="DO368" s="375"/>
      <c r="DQ368" s="385"/>
      <c r="DR368" s="386"/>
      <c r="DS368" s="375"/>
      <c r="DT368" s="375"/>
      <c r="DV368" s="385"/>
      <c r="DW368" s="386"/>
      <c r="DX368" s="375"/>
      <c r="DY368" s="375"/>
      <c r="EA368" s="385"/>
      <c r="EB368" s="386"/>
      <c r="EC368" s="375"/>
      <c r="ED368" s="375"/>
      <c r="EF368" s="385"/>
      <c r="EG368" s="386"/>
      <c r="EH368" s="375"/>
      <c r="EI368" s="375"/>
      <c r="EK368" s="385"/>
      <c r="EL368" s="386"/>
      <c r="EM368" s="375"/>
      <c r="EN368" s="375"/>
      <c r="EP368" s="385"/>
      <c r="EQ368" s="386"/>
      <c r="ER368" s="375"/>
      <c r="ES368" s="375"/>
      <c r="EU368" s="385"/>
      <c r="EV368" s="386"/>
      <c r="EW368" s="375"/>
      <c r="EX368" s="375"/>
      <c r="EZ368" s="385"/>
      <c r="FA368" s="386"/>
      <c r="FB368" s="375"/>
      <c r="FC368" s="375"/>
      <c r="FE368" s="385"/>
      <c r="FF368" s="386"/>
      <c r="FG368" s="375"/>
      <c r="FH368" s="375"/>
      <c r="FJ368" s="385"/>
      <c r="FK368" s="386"/>
      <c r="FL368" s="375"/>
      <c r="FM368" s="375"/>
      <c r="FO368" s="385"/>
      <c r="FP368" s="386"/>
      <c r="FQ368" s="375"/>
      <c r="FR368" s="375"/>
      <c r="FT368" s="385"/>
      <c r="FU368" s="386"/>
      <c r="FV368" s="375"/>
      <c r="FW368" s="375"/>
      <c r="FY368" s="385"/>
      <c r="FZ368" s="386"/>
      <c r="GA368" s="375"/>
      <c r="GB368" s="375"/>
      <c r="GD368" s="385"/>
      <c r="GE368" s="386"/>
      <c r="GF368" s="375"/>
      <c r="GG368" s="375"/>
      <c r="GI368" s="385"/>
      <c r="GJ368" s="386"/>
      <c r="GK368" s="375"/>
      <c r="GL368" s="375"/>
      <c r="GN368" s="385"/>
      <c r="GO368" s="386"/>
      <c r="GP368" s="375"/>
      <c r="GQ368" s="375"/>
      <c r="GS368" s="385"/>
      <c r="GT368" s="386"/>
      <c r="GU368" s="375"/>
      <c r="GV368" s="375"/>
      <c r="GX368" s="385"/>
      <c r="GY368" s="386"/>
      <c r="GZ368" s="375"/>
      <c r="HA368" s="375"/>
      <c r="HC368" s="385"/>
      <c r="HD368" s="386"/>
      <c r="HE368" s="375"/>
      <c r="HF368" s="375"/>
      <c r="HH368" s="385"/>
      <c r="HI368" s="386"/>
      <c r="HJ368" s="375"/>
      <c r="HK368" s="375"/>
      <c r="HM368" s="385"/>
      <c r="HN368" s="386"/>
      <c r="HO368" s="375"/>
      <c r="HP368" s="375"/>
      <c r="HR368" s="385"/>
      <c r="HS368" s="386"/>
      <c r="HT368" s="375"/>
      <c r="HU368" s="375"/>
      <c r="HW368" s="385"/>
      <c r="HX368" s="386"/>
      <c r="HY368" s="375"/>
      <c r="HZ368" s="375"/>
      <c r="IB368" s="385"/>
      <c r="IC368" s="386"/>
      <c r="ID368" s="375"/>
      <c r="IE368" s="375"/>
      <c r="IG368" s="385"/>
      <c r="IH368" s="386"/>
      <c r="II368" s="375"/>
      <c r="IJ368" s="375"/>
      <c r="IL368" s="385"/>
      <c r="IM368" s="386"/>
      <c r="IN368" s="375"/>
      <c r="IO368" s="375"/>
      <c r="IQ368" s="385"/>
      <c r="IR368" s="386"/>
      <c r="IS368" s="375"/>
      <c r="IT368" s="375"/>
      <c r="IV368" s="385"/>
    </row>
    <row r="369" spans="1:256" s="387" customFormat="1" x14ac:dyDescent="0.2">
      <c r="A369" s="385"/>
      <c r="B369" s="386"/>
      <c r="C369" s="375"/>
      <c r="D369" s="375"/>
      <c r="F369" s="385"/>
      <c r="G369" s="386"/>
      <c r="H369" s="375"/>
      <c r="I369" s="375"/>
      <c r="K369" s="385"/>
      <c r="L369" s="386"/>
      <c r="M369" s="375"/>
      <c r="N369" s="375"/>
      <c r="P369" s="385"/>
      <c r="Q369" s="386"/>
      <c r="R369" s="375"/>
      <c r="S369" s="375"/>
      <c r="U369" s="385"/>
      <c r="V369" s="386"/>
      <c r="W369" s="375"/>
      <c r="X369" s="375"/>
      <c r="Z369" s="385"/>
      <c r="AA369" s="386"/>
      <c r="AB369" s="375"/>
      <c r="AC369" s="375"/>
      <c r="AE369" s="385"/>
      <c r="AF369" s="386"/>
      <c r="AG369" s="375"/>
      <c r="AH369" s="375"/>
      <c r="AJ369" s="385"/>
      <c r="AK369" s="386"/>
      <c r="AL369" s="375"/>
      <c r="AM369" s="375"/>
      <c r="AO369" s="385"/>
      <c r="AP369" s="386"/>
      <c r="AQ369" s="375"/>
      <c r="AR369" s="375"/>
      <c r="AT369" s="385"/>
      <c r="AU369" s="386"/>
      <c r="AV369" s="375"/>
      <c r="AW369" s="375"/>
      <c r="AY369" s="385"/>
      <c r="AZ369" s="386"/>
      <c r="BA369" s="375"/>
      <c r="BB369" s="375"/>
      <c r="BD369" s="385"/>
      <c r="BE369" s="386"/>
      <c r="BF369" s="375"/>
      <c r="BG369" s="375"/>
      <c r="BI369" s="385"/>
      <c r="BJ369" s="386"/>
      <c r="BK369" s="375"/>
      <c r="BL369" s="375"/>
      <c r="BN369" s="385"/>
      <c r="BO369" s="386"/>
      <c r="BP369" s="375"/>
      <c r="BQ369" s="375"/>
      <c r="BS369" s="385"/>
      <c r="BT369" s="386"/>
      <c r="BU369" s="375"/>
      <c r="BV369" s="375"/>
      <c r="BX369" s="385"/>
      <c r="BY369" s="386"/>
      <c r="BZ369" s="375"/>
      <c r="CA369" s="375"/>
      <c r="CC369" s="385"/>
      <c r="CD369" s="386"/>
      <c r="CE369" s="375"/>
      <c r="CF369" s="375"/>
      <c r="CH369" s="385"/>
      <c r="CI369" s="386"/>
      <c r="CJ369" s="375"/>
      <c r="CK369" s="375"/>
      <c r="CM369" s="385"/>
      <c r="CN369" s="386"/>
      <c r="CO369" s="375"/>
      <c r="CP369" s="375"/>
      <c r="CR369" s="385"/>
      <c r="CS369" s="386"/>
      <c r="CT369" s="375"/>
      <c r="CU369" s="375"/>
      <c r="CW369" s="385"/>
      <c r="CX369" s="386"/>
      <c r="CY369" s="375"/>
      <c r="CZ369" s="375"/>
      <c r="DB369" s="385"/>
      <c r="DC369" s="386"/>
      <c r="DD369" s="375"/>
      <c r="DE369" s="375"/>
      <c r="DG369" s="385"/>
      <c r="DH369" s="386"/>
      <c r="DI369" s="375"/>
      <c r="DJ369" s="375"/>
      <c r="DL369" s="385"/>
      <c r="DM369" s="386"/>
      <c r="DN369" s="375"/>
      <c r="DO369" s="375"/>
      <c r="DQ369" s="385"/>
      <c r="DR369" s="386"/>
      <c r="DS369" s="375"/>
      <c r="DT369" s="375"/>
      <c r="DV369" s="385"/>
      <c r="DW369" s="386"/>
      <c r="DX369" s="375"/>
      <c r="DY369" s="375"/>
      <c r="EA369" s="385"/>
      <c r="EB369" s="386"/>
      <c r="EC369" s="375"/>
      <c r="ED369" s="375"/>
      <c r="EF369" s="385"/>
      <c r="EG369" s="386"/>
      <c r="EH369" s="375"/>
      <c r="EI369" s="375"/>
      <c r="EK369" s="385"/>
      <c r="EL369" s="386"/>
      <c r="EM369" s="375"/>
      <c r="EN369" s="375"/>
      <c r="EP369" s="385"/>
      <c r="EQ369" s="386"/>
      <c r="ER369" s="375"/>
      <c r="ES369" s="375"/>
      <c r="EU369" s="385"/>
      <c r="EV369" s="386"/>
      <c r="EW369" s="375"/>
      <c r="EX369" s="375"/>
      <c r="EZ369" s="385"/>
      <c r="FA369" s="386"/>
      <c r="FB369" s="375"/>
      <c r="FC369" s="375"/>
      <c r="FE369" s="385"/>
      <c r="FF369" s="386"/>
      <c r="FG369" s="375"/>
      <c r="FH369" s="375"/>
      <c r="FJ369" s="385"/>
      <c r="FK369" s="386"/>
      <c r="FL369" s="375"/>
      <c r="FM369" s="375"/>
      <c r="FO369" s="385"/>
      <c r="FP369" s="386"/>
      <c r="FQ369" s="375"/>
      <c r="FR369" s="375"/>
      <c r="FT369" s="385"/>
      <c r="FU369" s="386"/>
      <c r="FV369" s="375"/>
      <c r="FW369" s="375"/>
      <c r="FY369" s="385"/>
      <c r="FZ369" s="386"/>
      <c r="GA369" s="375"/>
      <c r="GB369" s="375"/>
      <c r="GD369" s="385"/>
      <c r="GE369" s="386"/>
      <c r="GF369" s="375"/>
      <c r="GG369" s="375"/>
      <c r="GI369" s="385"/>
      <c r="GJ369" s="386"/>
      <c r="GK369" s="375"/>
      <c r="GL369" s="375"/>
      <c r="GN369" s="385"/>
      <c r="GO369" s="386"/>
      <c r="GP369" s="375"/>
      <c r="GQ369" s="375"/>
      <c r="GS369" s="385"/>
      <c r="GT369" s="386"/>
      <c r="GU369" s="375"/>
      <c r="GV369" s="375"/>
      <c r="GX369" s="385"/>
      <c r="GY369" s="386"/>
      <c r="GZ369" s="375"/>
      <c r="HA369" s="375"/>
      <c r="HC369" s="385"/>
      <c r="HD369" s="386"/>
      <c r="HE369" s="375"/>
      <c r="HF369" s="375"/>
      <c r="HH369" s="385"/>
      <c r="HI369" s="386"/>
      <c r="HJ369" s="375"/>
      <c r="HK369" s="375"/>
      <c r="HM369" s="385"/>
      <c r="HN369" s="386"/>
      <c r="HO369" s="375"/>
      <c r="HP369" s="375"/>
      <c r="HR369" s="385"/>
      <c r="HS369" s="386"/>
      <c r="HT369" s="375"/>
      <c r="HU369" s="375"/>
      <c r="HW369" s="385"/>
      <c r="HX369" s="386"/>
      <c r="HY369" s="375"/>
      <c r="HZ369" s="375"/>
      <c r="IB369" s="385"/>
      <c r="IC369" s="386"/>
      <c r="ID369" s="375"/>
      <c r="IE369" s="375"/>
      <c r="IG369" s="385"/>
      <c r="IH369" s="386"/>
      <c r="II369" s="375"/>
      <c r="IJ369" s="375"/>
      <c r="IL369" s="385"/>
      <c r="IM369" s="386"/>
      <c r="IN369" s="375"/>
      <c r="IO369" s="375"/>
      <c r="IQ369" s="385"/>
      <c r="IR369" s="386"/>
      <c r="IS369" s="375"/>
      <c r="IT369" s="375"/>
      <c r="IV369" s="385"/>
    </row>
    <row r="370" spans="1:256" s="387" customFormat="1" x14ac:dyDescent="0.2">
      <c r="A370" s="385"/>
      <c r="B370" s="386"/>
      <c r="C370" s="375"/>
      <c r="D370" s="375"/>
      <c r="F370" s="385"/>
      <c r="G370" s="386"/>
      <c r="H370" s="375"/>
      <c r="I370" s="375"/>
      <c r="K370" s="385"/>
      <c r="L370" s="386"/>
      <c r="M370" s="375"/>
      <c r="N370" s="375"/>
      <c r="P370" s="385"/>
      <c r="Q370" s="386"/>
      <c r="R370" s="375"/>
      <c r="S370" s="375"/>
      <c r="U370" s="385"/>
      <c r="V370" s="386"/>
      <c r="W370" s="375"/>
      <c r="X370" s="375"/>
      <c r="Z370" s="385"/>
      <c r="AA370" s="386"/>
      <c r="AB370" s="375"/>
      <c r="AC370" s="375"/>
      <c r="AE370" s="385"/>
      <c r="AF370" s="386"/>
      <c r="AG370" s="375"/>
      <c r="AH370" s="375"/>
      <c r="AJ370" s="385"/>
      <c r="AK370" s="386"/>
      <c r="AL370" s="375"/>
      <c r="AM370" s="375"/>
      <c r="AO370" s="385"/>
      <c r="AP370" s="386"/>
      <c r="AQ370" s="375"/>
      <c r="AR370" s="375"/>
      <c r="AT370" s="385"/>
      <c r="AU370" s="386"/>
      <c r="AV370" s="375"/>
      <c r="AW370" s="375"/>
      <c r="AY370" s="385"/>
      <c r="AZ370" s="386"/>
      <c r="BA370" s="375"/>
      <c r="BB370" s="375"/>
      <c r="BD370" s="385"/>
      <c r="BE370" s="386"/>
      <c r="BF370" s="375"/>
      <c r="BG370" s="375"/>
      <c r="BI370" s="385"/>
      <c r="BJ370" s="386"/>
      <c r="BK370" s="375"/>
      <c r="BL370" s="375"/>
      <c r="BN370" s="385"/>
      <c r="BO370" s="386"/>
      <c r="BP370" s="375"/>
      <c r="BQ370" s="375"/>
      <c r="BS370" s="385"/>
      <c r="BT370" s="386"/>
      <c r="BU370" s="375"/>
      <c r="BV370" s="375"/>
      <c r="BX370" s="385"/>
      <c r="BY370" s="386"/>
      <c r="BZ370" s="375"/>
      <c r="CA370" s="375"/>
      <c r="CC370" s="385"/>
      <c r="CD370" s="386"/>
      <c r="CE370" s="375"/>
      <c r="CF370" s="375"/>
      <c r="CH370" s="385"/>
      <c r="CI370" s="386"/>
      <c r="CJ370" s="375"/>
      <c r="CK370" s="375"/>
      <c r="CM370" s="385"/>
      <c r="CN370" s="386"/>
      <c r="CO370" s="375"/>
      <c r="CP370" s="375"/>
      <c r="CR370" s="385"/>
      <c r="CS370" s="386"/>
      <c r="CT370" s="375"/>
      <c r="CU370" s="375"/>
      <c r="CW370" s="385"/>
      <c r="CX370" s="386"/>
      <c r="CY370" s="375"/>
      <c r="CZ370" s="375"/>
      <c r="DB370" s="385"/>
      <c r="DC370" s="386"/>
      <c r="DD370" s="375"/>
      <c r="DE370" s="375"/>
      <c r="DG370" s="385"/>
      <c r="DH370" s="386"/>
      <c r="DI370" s="375"/>
      <c r="DJ370" s="375"/>
      <c r="DL370" s="385"/>
      <c r="DM370" s="386"/>
      <c r="DN370" s="375"/>
      <c r="DO370" s="375"/>
      <c r="DQ370" s="385"/>
      <c r="DR370" s="386"/>
      <c r="DS370" s="375"/>
      <c r="DT370" s="375"/>
      <c r="DV370" s="385"/>
      <c r="DW370" s="386"/>
      <c r="DX370" s="375"/>
      <c r="DY370" s="375"/>
      <c r="EA370" s="385"/>
      <c r="EB370" s="386"/>
      <c r="EC370" s="375"/>
      <c r="ED370" s="375"/>
      <c r="EF370" s="385"/>
      <c r="EG370" s="386"/>
      <c r="EH370" s="375"/>
      <c r="EI370" s="375"/>
      <c r="EK370" s="385"/>
      <c r="EL370" s="386"/>
      <c r="EM370" s="375"/>
      <c r="EN370" s="375"/>
      <c r="EP370" s="385"/>
      <c r="EQ370" s="386"/>
      <c r="ER370" s="375"/>
      <c r="ES370" s="375"/>
      <c r="EU370" s="385"/>
      <c r="EV370" s="386"/>
      <c r="EW370" s="375"/>
      <c r="EX370" s="375"/>
      <c r="EZ370" s="385"/>
      <c r="FA370" s="386"/>
      <c r="FB370" s="375"/>
      <c r="FC370" s="375"/>
      <c r="FE370" s="385"/>
      <c r="FF370" s="386"/>
      <c r="FG370" s="375"/>
      <c r="FH370" s="375"/>
      <c r="FJ370" s="385"/>
      <c r="FK370" s="386"/>
      <c r="FL370" s="375"/>
      <c r="FM370" s="375"/>
      <c r="FO370" s="385"/>
      <c r="FP370" s="386"/>
      <c r="FQ370" s="375"/>
      <c r="FR370" s="375"/>
      <c r="FT370" s="385"/>
      <c r="FU370" s="386"/>
      <c r="FV370" s="375"/>
      <c r="FW370" s="375"/>
      <c r="FY370" s="385"/>
      <c r="FZ370" s="386"/>
      <c r="GA370" s="375"/>
      <c r="GB370" s="375"/>
      <c r="GD370" s="385"/>
      <c r="GE370" s="386"/>
      <c r="GF370" s="375"/>
      <c r="GG370" s="375"/>
      <c r="GI370" s="385"/>
      <c r="GJ370" s="386"/>
      <c r="GK370" s="375"/>
      <c r="GL370" s="375"/>
      <c r="GN370" s="385"/>
      <c r="GO370" s="386"/>
      <c r="GP370" s="375"/>
      <c r="GQ370" s="375"/>
      <c r="GS370" s="385"/>
      <c r="GT370" s="386"/>
      <c r="GU370" s="375"/>
      <c r="GV370" s="375"/>
      <c r="GX370" s="385"/>
      <c r="GY370" s="386"/>
      <c r="GZ370" s="375"/>
      <c r="HA370" s="375"/>
      <c r="HC370" s="385"/>
      <c r="HD370" s="386"/>
      <c r="HE370" s="375"/>
      <c r="HF370" s="375"/>
      <c r="HH370" s="385"/>
      <c r="HI370" s="386"/>
      <c r="HJ370" s="375"/>
      <c r="HK370" s="375"/>
      <c r="HM370" s="385"/>
      <c r="HN370" s="386"/>
      <c r="HO370" s="375"/>
      <c r="HP370" s="375"/>
      <c r="HR370" s="385"/>
      <c r="HS370" s="386"/>
      <c r="HT370" s="375"/>
      <c r="HU370" s="375"/>
      <c r="HW370" s="385"/>
      <c r="HX370" s="386"/>
      <c r="HY370" s="375"/>
      <c r="HZ370" s="375"/>
      <c r="IB370" s="385"/>
      <c r="IC370" s="386"/>
      <c r="ID370" s="375"/>
      <c r="IE370" s="375"/>
      <c r="IG370" s="385"/>
      <c r="IH370" s="386"/>
      <c r="II370" s="375"/>
      <c r="IJ370" s="375"/>
      <c r="IL370" s="385"/>
      <c r="IM370" s="386"/>
      <c r="IN370" s="375"/>
      <c r="IO370" s="375"/>
      <c r="IQ370" s="385"/>
      <c r="IR370" s="386"/>
      <c r="IS370" s="375"/>
      <c r="IT370" s="375"/>
      <c r="IV370" s="385"/>
    </row>
    <row r="371" spans="1:256" s="387" customFormat="1" x14ac:dyDescent="0.2">
      <c r="A371" s="385"/>
      <c r="B371" s="386"/>
      <c r="C371" s="375"/>
      <c r="D371" s="375"/>
      <c r="F371" s="385"/>
      <c r="G371" s="386"/>
      <c r="H371" s="375"/>
      <c r="I371" s="375"/>
      <c r="K371" s="385"/>
      <c r="L371" s="386"/>
      <c r="M371" s="375"/>
      <c r="N371" s="375"/>
      <c r="P371" s="385"/>
      <c r="Q371" s="386"/>
      <c r="R371" s="375"/>
      <c r="S371" s="375"/>
      <c r="U371" s="385"/>
      <c r="V371" s="386"/>
      <c r="W371" s="375"/>
      <c r="X371" s="375"/>
      <c r="Z371" s="385"/>
      <c r="AA371" s="386"/>
      <c r="AB371" s="375"/>
      <c r="AC371" s="375"/>
      <c r="AE371" s="385"/>
      <c r="AF371" s="386"/>
      <c r="AG371" s="375"/>
      <c r="AH371" s="375"/>
      <c r="AJ371" s="385"/>
      <c r="AK371" s="386"/>
      <c r="AL371" s="375"/>
      <c r="AM371" s="375"/>
      <c r="AO371" s="385"/>
      <c r="AP371" s="386"/>
      <c r="AQ371" s="375"/>
      <c r="AR371" s="375"/>
      <c r="AT371" s="385"/>
      <c r="AU371" s="386"/>
      <c r="AV371" s="375"/>
      <c r="AW371" s="375"/>
      <c r="AY371" s="385"/>
      <c r="AZ371" s="386"/>
      <c r="BA371" s="375"/>
      <c r="BB371" s="375"/>
      <c r="BD371" s="385"/>
      <c r="BE371" s="386"/>
      <c r="BF371" s="375"/>
      <c r="BG371" s="375"/>
      <c r="BI371" s="385"/>
      <c r="BJ371" s="386"/>
      <c r="BK371" s="375"/>
      <c r="BL371" s="375"/>
      <c r="BN371" s="385"/>
      <c r="BO371" s="386"/>
      <c r="BP371" s="375"/>
      <c r="BQ371" s="375"/>
      <c r="BS371" s="385"/>
      <c r="BT371" s="386"/>
      <c r="BU371" s="375"/>
      <c r="BV371" s="375"/>
      <c r="BX371" s="385"/>
      <c r="BY371" s="386"/>
      <c r="BZ371" s="375"/>
      <c r="CA371" s="375"/>
      <c r="CC371" s="385"/>
      <c r="CD371" s="386"/>
      <c r="CE371" s="375"/>
      <c r="CF371" s="375"/>
      <c r="CH371" s="385"/>
      <c r="CI371" s="386"/>
      <c r="CJ371" s="375"/>
      <c r="CK371" s="375"/>
      <c r="CM371" s="385"/>
      <c r="CN371" s="386"/>
      <c r="CO371" s="375"/>
      <c r="CP371" s="375"/>
      <c r="CR371" s="385"/>
      <c r="CS371" s="386"/>
      <c r="CT371" s="375"/>
      <c r="CU371" s="375"/>
      <c r="CW371" s="385"/>
      <c r="CX371" s="386"/>
      <c r="CY371" s="375"/>
      <c r="CZ371" s="375"/>
      <c r="DB371" s="385"/>
      <c r="DC371" s="386"/>
      <c r="DD371" s="375"/>
      <c r="DE371" s="375"/>
      <c r="DG371" s="385"/>
      <c r="DH371" s="386"/>
      <c r="DI371" s="375"/>
      <c r="DJ371" s="375"/>
      <c r="DL371" s="385"/>
      <c r="DM371" s="386"/>
      <c r="DN371" s="375"/>
      <c r="DO371" s="375"/>
      <c r="DQ371" s="385"/>
      <c r="DR371" s="386"/>
      <c r="DS371" s="375"/>
      <c r="DT371" s="375"/>
      <c r="DV371" s="385"/>
      <c r="DW371" s="386"/>
      <c r="DX371" s="375"/>
      <c r="DY371" s="375"/>
      <c r="EA371" s="385"/>
      <c r="EB371" s="386"/>
      <c r="EC371" s="375"/>
      <c r="ED371" s="375"/>
      <c r="EF371" s="385"/>
      <c r="EG371" s="386"/>
      <c r="EH371" s="375"/>
      <c r="EI371" s="375"/>
      <c r="EK371" s="385"/>
      <c r="EL371" s="386"/>
      <c r="EM371" s="375"/>
      <c r="EN371" s="375"/>
      <c r="EP371" s="385"/>
      <c r="EQ371" s="386"/>
      <c r="ER371" s="375"/>
      <c r="ES371" s="375"/>
      <c r="EU371" s="385"/>
      <c r="EV371" s="386"/>
      <c r="EW371" s="375"/>
      <c r="EX371" s="375"/>
      <c r="EZ371" s="385"/>
      <c r="FA371" s="386"/>
      <c r="FB371" s="375"/>
      <c r="FC371" s="375"/>
      <c r="FE371" s="385"/>
      <c r="FF371" s="386"/>
      <c r="FG371" s="375"/>
      <c r="FH371" s="375"/>
      <c r="FJ371" s="385"/>
      <c r="FK371" s="386"/>
      <c r="FL371" s="375"/>
      <c r="FM371" s="375"/>
      <c r="FO371" s="385"/>
      <c r="FP371" s="386"/>
      <c r="FQ371" s="375"/>
      <c r="FR371" s="375"/>
      <c r="FT371" s="385"/>
      <c r="FU371" s="386"/>
      <c r="FV371" s="375"/>
      <c r="FW371" s="375"/>
      <c r="FY371" s="385"/>
      <c r="FZ371" s="386"/>
      <c r="GA371" s="375"/>
      <c r="GB371" s="375"/>
      <c r="GD371" s="385"/>
      <c r="GE371" s="386"/>
      <c r="GF371" s="375"/>
      <c r="GG371" s="375"/>
      <c r="GI371" s="385"/>
      <c r="GJ371" s="386"/>
      <c r="GK371" s="375"/>
      <c r="GL371" s="375"/>
      <c r="GN371" s="385"/>
      <c r="GO371" s="386"/>
      <c r="GP371" s="375"/>
      <c r="GQ371" s="375"/>
      <c r="GS371" s="385"/>
      <c r="GT371" s="386"/>
      <c r="GU371" s="375"/>
      <c r="GV371" s="375"/>
      <c r="GX371" s="385"/>
      <c r="GY371" s="386"/>
      <c r="GZ371" s="375"/>
      <c r="HA371" s="375"/>
      <c r="HC371" s="385"/>
      <c r="HD371" s="386"/>
      <c r="HE371" s="375"/>
      <c r="HF371" s="375"/>
      <c r="HH371" s="385"/>
      <c r="HI371" s="386"/>
      <c r="HJ371" s="375"/>
      <c r="HK371" s="375"/>
      <c r="HM371" s="385"/>
      <c r="HN371" s="386"/>
      <c r="HO371" s="375"/>
      <c r="HP371" s="375"/>
      <c r="HR371" s="385"/>
      <c r="HS371" s="386"/>
      <c r="HT371" s="375"/>
      <c r="HU371" s="375"/>
      <c r="HW371" s="385"/>
      <c r="HX371" s="386"/>
      <c r="HY371" s="375"/>
      <c r="HZ371" s="375"/>
      <c r="IB371" s="385"/>
      <c r="IC371" s="386"/>
      <c r="ID371" s="375"/>
      <c r="IE371" s="375"/>
      <c r="IG371" s="385"/>
      <c r="IH371" s="386"/>
      <c r="II371" s="375"/>
      <c r="IJ371" s="375"/>
      <c r="IL371" s="385"/>
      <c r="IM371" s="386"/>
      <c r="IN371" s="375"/>
      <c r="IO371" s="375"/>
      <c r="IQ371" s="385"/>
      <c r="IR371" s="386"/>
      <c r="IS371" s="375"/>
      <c r="IT371" s="375"/>
      <c r="IV371" s="385"/>
    </row>
    <row r="372" spans="1:256" s="387" customFormat="1" x14ac:dyDescent="0.2">
      <c r="A372" s="385"/>
      <c r="B372" s="386"/>
      <c r="C372" s="375"/>
      <c r="D372" s="375"/>
      <c r="F372" s="385"/>
      <c r="G372" s="386"/>
      <c r="H372" s="375"/>
      <c r="I372" s="375"/>
      <c r="K372" s="385"/>
      <c r="L372" s="386"/>
      <c r="M372" s="375"/>
      <c r="N372" s="375"/>
      <c r="P372" s="385"/>
      <c r="Q372" s="386"/>
      <c r="R372" s="375"/>
      <c r="S372" s="375"/>
      <c r="U372" s="385"/>
      <c r="V372" s="386"/>
      <c r="W372" s="375"/>
      <c r="X372" s="375"/>
      <c r="Z372" s="385"/>
      <c r="AA372" s="386"/>
      <c r="AB372" s="375"/>
      <c r="AC372" s="375"/>
      <c r="AE372" s="385"/>
      <c r="AF372" s="386"/>
      <c r="AG372" s="375"/>
      <c r="AH372" s="375"/>
      <c r="AJ372" s="385"/>
      <c r="AK372" s="386"/>
      <c r="AL372" s="375"/>
      <c r="AM372" s="375"/>
      <c r="AO372" s="385"/>
      <c r="AP372" s="386"/>
      <c r="AQ372" s="375"/>
      <c r="AR372" s="375"/>
      <c r="AT372" s="385"/>
      <c r="AU372" s="386"/>
      <c r="AV372" s="375"/>
      <c r="AW372" s="375"/>
      <c r="AY372" s="385"/>
      <c r="AZ372" s="386"/>
      <c r="BA372" s="375"/>
      <c r="BB372" s="375"/>
      <c r="BD372" s="385"/>
      <c r="BE372" s="386"/>
      <c r="BF372" s="375"/>
      <c r="BG372" s="375"/>
      <c r="BI372" s="385"/>
      <c r="BJ372" s="386"/>
      <c r="BK372" s="375"/>
      <c r="BL372" s="375"/>
      <c r="BN372" s="385"/>
      <c r="BO372" s="386"/>
      <c r="BP372" s="375"/>
      <c r="BQ372" s="375"/>
      <c r="BS372" s="385"/>
      <c r="BT372" s="386"/>
      <c r="BU372" s="375"/>
      <c r="BV372" s="375"/>
      <c r="BX372" s="385"/>
      <c r="BY372" s="386"/>
      <c r="BZ372" s="375"/>
      <c r="CA372" s="375"/>
      <c r="CC372" s="385"/>
      <c r="CD372" s="386"/>
      <c r="CE372" s="375"/>
      <c r="CF372" s="375"/>
      <c r="CH372" s="385"/>
      <c r="CI372" s="386"/>
      <c r="CJ372" s="375"/>
      <c r="CK372" s="375"/>
      <c r="CM372" s="385"/>
      <c r="CN372" s="386"/>
      <c r="CO372" s="375"/>
      <c r="CP372" s="375"/>
      <c r="CR372" s="385"/>
      <c r="CS372" s="386"/>
      <c r="CT372" s="375"/>
      <c r="CU372" s="375"/>
      <c r="CW372" s="385"/>
      <c r="CX372" s="386"/>
      <c r="CY372" s="375"/>
      <c r="CZ372" s="375"/>
      <c r="DB372" s="385"/>
      <c r="DC372" s="386"/>
      <c r="DD372" s="375"/>
      <c r="DE372" s="375"/>
      <c r="DG372" s="385"/>
      <c r="DH372" s="386"/>
      <c r="DI372" s="375"/>
      <c r="DJ372" s="375"/>
      <c r="DL372" s="385"/>
      <c r="DM372" s="386"/>
      <c r="DN372" s="375"/>
      <c r="DO372" s="375"/>
      <c r="DQ372" s="385"/>
      <c r="DR372" s="386"/>
      <c r="DS372" s="375"/>
      <c r="DT372" s="375"/>
      <c r="DV372" s="385"/>
      <c r="DW372" s="386"/>
      <c r="DX372" s="375"/>
      <c r="DY372" s="375"/>
      <c r="EA372" s="385"/>
      <c r="EB372" s="386"/>
      <c r="EC372" s="375"/>
      <c r="ED372" s="375"/>
      <c r="EF372" s="385"/>
      <c r="EG372" s="386"/>
      <c r="EH372" s="375"/>
      <c r="EI372" s="375"/>
      <c r="EK372" s="385"/>
      <c r="EL372" s="386"/>
      <c r="EM372" s="375"/>
      <c r="EN372" s="375"/>
      <c r="EP372" s="385"/>
      <c r="EQ372" s="386"/>
      <c r="ER372" s="375"/>
      <c r="ES372" s="375"/>
      <c r="EU372" s="385"/>
      <c r="EV372" s="386"/>
      <c r="EW372" s="375"/>
      <c r="EX372" s="375"/>
      <c r="EZ372" s="385"/>
      <c r="FA372" s="386"/>
      <c r="FB372" s="375"/>
      <c r="FC372" s="375"/>
      <c r="FE372" s="385"/>
      <c r="FF372" s="386"/>
      <c r="FG372" s="375"/>
      <c r="FH372" s="375"/>
      <c r="FJ372" s="385"/>
      <c r="FK372" s="386"/>
      <c r="FL372" s="375"/>
      <c r="FM372" s="375"/>
      <c r="FO372" s="385"/>
      <c r="FP372" s="386"/>
      <c r="FQ372" s="375"/>
      <c r="FR372" s="375"/>
      <c r="FT372" s="385"/>
      <c r="FU372" s="386"/>
      <c r="FV372" s="375"/>
      <c r="FW372" s="375"/>
      <c r="FY372" s="385"/>
      <c r="FZ372" s="386"/>
      <c r="GA372" s="375"/>
      <c r="GB372" s="375"/>
      <c r="GD372" s="385"/>
      <c r="GE372" s="386"/>
      <c r="GF372" s="375"/>
      <c r="GG372" s="375"/>
      <c r="GI372" s="385"/>
      <c r="GJ372" s="386"/>
      <c r="GK372" s="375"/>
      <c r="GL372" s="375"/>
      <c r="GN372" s="385"/>
      <c r="GO372" s="386"/>
      <c r="GP372" s="375"/>
      <c r="GQ372" s="375"/>
      <c r="GS372" s="385"/>
      <c r="GT372" s="386"/>
      <c r="GU372" s="375"/>
      <c r="GV372" s="375"/>
      <c r="GX372" s="385"/>
      <c r="GY372" s="386"/>
      <c r="GZ372" s="375"/>
      <c r="HA372" s="375"/>
      <c r="HC372" s="385"/>
      <c r="HD372" s="386"/>
      <c r="HE372" s="375"/>
      <c r="HF372" s="375"/>
      <c r="HH372" s="385"/>
      <c r="HI372" s="386"/>
      <c r="HJ372" s="375"/>
      <c r="HK372" s="375"/>
      <c r="HM372" s="385"/>
      <c r="HN372" s="386"/>
      <c r="HO372" s="375"/>
      <c r="HP372" s="375"/>
      <c r="HR372" s="385"/>
      <c r="HS372" s="386"/>
      <c r="HT372" s="375"/>
      <c r="HU372" s="375"/>
      <c r="HW372" s="385"/>
      <c r="HX372" s="386"/>
      <c r="HY372" s="375"/>
      <c r="HZ372" s="375"/>
      <c r="IB372" s="385"/>
      <c r="IC372" s="386"/>
      <c r="ID372" s="375"/>
      <c r="IE372" s="375"/>
      <c r="IG372" s="385"/>
      <c r="IH372" s="386"/>
      <c r="II372" s="375"/>
      <c r="IJ372" s="375"/>
      <c r="IL372" s="385"/>
      <c r="IM372" s="386"/>
      <c r="IN372" s="375"/>
      <c r="IO372" s="375"/>
      <c r="IQ372" s="385"/>
      <c r="IR372" s="386"/>
      <c r="IS372" s="375"/>
      <c r="IT372" s="375"/>
      <c r="IV372" s="385"/>
    </row>
    <row r="373" spans="1:256" s="387" customFormat="1" x14ac:dyDescent="0.2">
      <c r="A373" s="385"/>
      <c r="B373" s="386"/>
      <c r="C373" s="375"/>
      <c r="D373" s="375"/>
      <c r="F373" s="385"/>
      <c r="G373" s="386"/>
      <c r="H373" s="375"/>
      <c r="I373" s="375"/>
      <c r="K373" s="385"/>
      <c r="L373" s="386"/>
      <c r="M373" s="375"/>
      <c r="N373" s="375"/>
      <c r="P373" s="385"/>
      <c r="Q373" s="386"/>
      <c r="R373" s="375"/>
      <c r="S373" s="375"/>
      <c r="U373" s="385"/>
      <c r="V373" s="386"/>
      <c r="W373" s="375"/>
      <c r="X373" s="375"/>
      <c r="Z373" s="385"/>
      <c r="AA373" s="386"/>
      <c r="AB373" s="375"/>
      <c r="AC373" s="375"/>
      <c r="AE373" s="385"/>
      <c r="AF373" s="386"/>
      <c r="AG373" s="375"/>
      <c r="AH373" s="375"/>
      <c r="AJ373" s="385"/>
      <c r="AK373" s="386"/>
      <c r="AL373" s="375"/>
      <c r="AM373" s="375"/>
      <c r="AO373" s="385"/>
      <c r="AP373" s="386"/>
      <c r="AQ373" s="375"/>
      <c r="AR373" s="375"/>
      <c r="AT373" s="385"/>
      <c r="AU373" s="386"/>
      <c r="AV373" s="375"/>
      <c r="AW373" s="375"/>
      <c r="AY373" s="385"/>
      <c r="AZ373" s="386"/>
      <c r="BA373" s="375"/>
      <c r="BB373" s="375"/>
      <c r="BD373" s="385"/>
      <c r="BE373" s="386"/>
      <c r="BF373" s="375"/>
      <c r="BG373" s="375"/>
      <c r="BI373" s="385"/>
      <c r="BJ373" s="386"/>
      <c r="BK373" s="375"/>
      <c r="BL373" s="375"/>
      <c r="BN373" s="385"/>
      <c r="BO373" s="386"/>
      <c r="BP373" s="375"/>
      <c r="BQ373" s="375"/>
      <c r="BS373" s="385"/>
      <c r="BT373" s="386"/>
      <c r="BU373" s="375"/>
      <c r="BV373" s="375"/>
      <c r="BX373" s="385"/>
      <c r="BY373" s="386"/>
      <c r="BZ373" s="375"/>
      <c r="CA373" s="375"/>
      <c r="CC373" s="385"/>
      <c r="CD373" s="386"/>
      <c r="CE373" s="375"/>
      <c r="CF373" s="375"/>
      <c r="CH373" s="385"/>
      <c r="CI373" s="386"/>
      <c r="CJ373" s="375"/>
      <c r="CK373" s="375"/>
      <c r="CM373" s="385"/>
      <c r="CN373" s="386"/>
      <c r="CO373" s="375"/>
      <c r="CP373" s="375"/>
      <c r="CR373" s="385"/>
      <c r="CS373" s="386"/>
      <c r="CT373" s="375"/>
      <c r="CU373" s="375"/>
      <c r="CW373" s="385"/>
      <c r="CX373" s="386"/>
      <c r="CY373" s="375"/>
      <c r="CZ373" s="375"/>
      <c r="DB373" s="385"/>
      <c r="DC373" s="386"/>
      <c r="DD373" s="375"/>
      <c r="DE373" s="375"/>
      <c r="DG373" s="385"/>
      <c r="DH373" s="386"/>
      <c r="DI373" s="375"/>
      <c r="DJ373" s="375"/>
      <c r="DL373" s="385"/>
      <c r="DM373" s="386"/>
      <c r="DN373" s="375"/>
      <c r="DO373" s="375"/>
      <c r="DQ373" s="385"/>
      <c r="DR373" s="386"/>
      <c r="DS373" s="375"/>
      <c r="DT373" s="375"/>
      <c r="DV373" s="385"/>
      <c r="DW373" s="386"/>
      <c r="DX373" s="375"/>
      <c r="DY373" s="375"/>
      <c r="EA373" s="385"/>
      <c r="EB373" s="386"/>
      <c r="EC373" s="375"/>
      <c r="ED373" s="375"/>
      <c r="EF373" s="385"/>
      <c r="EG373" s="386"/>
      <c r="EH373" s="375"/>
      <c r="EI373" s="375"/>
      <c r="EK373" s="385"/>
      <c r="EL373" s="386"/>
      <c r="EM373" s="375"/>
      <c r="EN373" s="375"/>
      <c r="EP373" s="385"/>
      <c r="EQ373" s="386"/>
      <c r="ER373" s="375"/>
      <c r="ES373" s="375"/>
      <c r="EU373" s="385"/>
      <c r="EV373" s="386"/>
      <c r="EW373" s="375"/>
      <c r="EX373" s="375"/>
      <c r="EZ373" s="385"/>
      <c r="FA373" s="386"/>
      <c r="FB373" s="375"/>
      <c r="FC373" s="375"/>
      <c r="FE373" s="385"/>
      <c r="FF373" s="386"/>
      <c r="FG373" s="375"/>
      <c r="FH373" s="375"/>
      <c r="FJ373" s="385"/>
      <c r="FK373" s="386"/>
      <c r="FL373" s="375"/>
      <c r="FM373" s="375"/>
      <c r="FO373" s="385"/>
      <c r="FP373" s="386"/>
      <c r="FQ373" s="375"/>
      <c r="FR373" s="375"/>
      <c r="FT373" s="385"/>
      <c r="FU373" s="386"/>
      <c r="FV373" s="375"/>
      <c r="FW373" s="375"/>
      <c r="FY373" s="385"/>
      <c r="FZ373" s="386"/>
      <c r="GA373" s="375"/>
      <c r="GB373" s="375"/>
      <c r="GD373" s="385"/>
      <c r="GE373" s="386"/>
      <c r="GF373" s="375"/>
      <c r="GG373" s="375"/>
      <c r="GI373" s="385"/>
      <c r="GJ373" s="386"/>
      <c r="GK373" s="375"/>
      <c r="GL373" s="375"/>
      <c r="GN373" s="385"/>
      <c r="GO373" s="386"/>
      <c r="GP373" s="375"/>
      <c r="GQ373" s="375"/>
      <c r="GS373" s="385"/>
      <c r="GT373" s="386"/>
      <c r="GU373" s="375"/>
      <c r="GV373" s="375"/>
      <c r="GX373" s="385"/>
      <c r="GY373" s="386"/>
      <c r="GZ373" s="375"/>
      <c r="HA373" s="375"/>
      <c r="HC373" s="385"/>
      <c r="HD373" s="386"/>
      <c r="HE373" s="375"/>
      <c r="HF373" s="375"/>
      <c r="HH373" s="385"/>
      <c r="HI373" s="386"/>
      <c r="HJ373" s="375"/>
      <c r="HK373" s="375"/>
      <c r="HM373" s="385"/>
      <c r="HN373" s="386"/>
      <c r="HO373" s="375"/>
      <c r="HP373" s="375"/>
      <c r="HR373" s="385"/>
      <c r="HS373" s="386"/>
      <c r="HT373" s="375"/>
      <c r="HU373" s="375"/>
      <c r="HW373" s="385"/>
      <c r="HX373" s="386"/>
      <c r="HY373" s="375"/>
      <c r="HZ373" s="375"/>
      <c r="IB373" s="385"/>
      <c r="IC373" s="386"/>
      <c r="ID373" s="375"/>
      <c r="IE373" s="375"/>
      <c r="IG373" s="385"/>
      <c r="IH373" s="386"/>
      <c r="II373" s="375"/>
      <c r="IJ373" s="375"/>
      <c r="IL373" s="385"/>
      <c r="IM373" s="386"/>
      <c r="IN373" s="375"/>
      <c r="IO373" s="375"/>
      <c r="IQ373" s="385"/>
      <c r="IR373" s="386"/>
      <c r="IS373" s="375"/>
      <c r="IT373" s="375"/>
      <c r="IV373" s="385"/>
    </row>
    <row r="374" spans="1:256" s="387" customFormat="1" x14ac:dyDescent="0.2">
      <c r="A374" s="385"/>
      <c r="B374" s="386"/>
      <c r="C374" s="375"/>
      <c r="D374" s="375"/>
      <c r="F374" s="385"/>
      <c r="G374" s="386"/>
      <c r="H374" s="375"/>
      <c r="I374" s="375"/>
      <c r="K374" s="385"/>
      <c r="L374" s="386"/>
      <c r="M374" s="375"/>
      <c r="N374" s="375"/>
      <c r="P374" s="385"/>
      <c r="Q374" s="386"/>
      <c r="R374" s="375"/>
      <c r="S374" s="375"/>
      <c r="U374" s="385"/>
      <c r="V374" s="386"/>
      <c r="W374" s="375"/>
      <c r="X374" s="375"/>
      <c r="Z374" s="385"/>
      <c r="AA374" s="386"/>
      <c r="AB374" s="375"/>
      <c r="AC374" s="375"/>
      <c r="AE374" s="385"/>
      <c r="AF374" s="386"/>
      <c r="AG374" s="375"/>
      <c r="AH374" s="375"/>
      <c r="AJ374" s="385"/>
      <c r="AK374" s="386"/>
      <c r="AL374" s="375"/>
      <c r="AM374" s="375"/>
      <c r="AO374" s="385"/>
      <c r="AP374" s="386"/>
      <c r="AQ374" s="375"/>
      <c r="AR374" s="375"/>
      <c r="AT374" s="385"/>
      <c r="AU374" s="386"/>
      <c r="AV374" s="375"/>
      <c r="AW374" s="375"/>
      <c r="AY374" s="385"/>
      <c r="AZ374" s="386"/>
      <c r="BA374" s="375"/>
      <c r="BB374" s="375"/>
      <c r="BD374" s="385"/>
      <c r="BE374" s="386"/>
      <c r="BF374" s="375"/>
      <c r="BG374" s="375"/>
      <c r="BI374" s="385"/>
      <c r="BJ374" s="386"/>
      <c r="BK374" s="375"/>
      <c r="BL374" s="375"/>
      <c r="BN374" s="385"/>
      <c r="BO374" s="386"/>
      <c r="BP374" s="375"/>
      <c r="BQ374" s="375"/>
      <c r="BS374" s="385"/>
      <c r="BT374" s="386"/>
      <c r="BU374" s="375"/>
      <c r="BV374" s="375"/>
      <c r="BX374" s="385"/>
      <c r="BY374" s="386"/>
      <c r="BZ374" s="375"/>
      <c r="CA374" s="375"/>
      <c r="CC374" s="385"/>
      <c r="CD374" s="386"/>
      <c r="CE374" s="375"/>
      <c r="CF374" s="375"/>
      <c r="CH374" s="385"/>
      <c r="CI374" s="386"/>
      <c r="CJ374" s="375"/>
      <c r="CK374" s="375"/>
      <c r="CM374" s="385"/>
      <c r="CN374" s="386"/>
      <c r="CO374" s="375"/>
      <c r="CP374" s="375"/>
      <c r="CR374" s="385"/>
      <c r="CS374" s="386"/>
      <c r="CT374" s="375"/>
      <c r="CU374" s="375"/>
      <c r="CW374" s="385"/>
      <c r="CX374" s="386"/>
      <c r="CY374" s="375"/>
      <c r="CZ374" s="375"/>
      <c r="DB374" s="385"/>
      <c r="DC374" s="386"/>
      <c r="DD374" s="375"/>
      <c r="DE374" s="375"/>
      <c r="DG374" s="385"/>
      <c r="DH374" s="386"/>
      <c r="DI374" s="375"/>
      <c r="DJ374" s="375"/>
      <c r="DL374" s="385"/>
      <c r="DM374" s="386"/>
      <c r="DN374" s="375"/>
      <c r="DO374" s="375"/>
      <c r="DQ374" s="385"/>
      <c r="DR374" s="386"/>
      <c r="DS374" s="375"/>
      <c r="DT374" s="375"/>
      <c r="DV374" s="385"/>
      <c r="DW374" s="386"/>
      <c r="DX374" s="375"/>
      <c r="DY374" s="375"/>
      <c r="EA374" s="385"/>
      <c r="EB374" s="386"/>
      <c r="EC374" s="375"/>
      <c r="ED374" s="375"/>
      <c r="EF374" s="385"/>
      <c r="EG374" s="386"/>
      <c r="EH374" s="375"/>
      <c r="EI374" s="375"/>
      <c r="EK374" s="385"/>
      <c r="EL374" s="386"/>
      <c r="EM374" s="375"/>
      <c r="EN374" s="375"/>
      <c r="EP374" s="385"/>
      <c r="EQ374" s="386"/>
      <c r="ER374" s="375"/>
      <c r="ES374" s="375"/>
      <c r="EU374" s="385"/>
      <c r="EV374" s="386"/>
      <c r="EW374" s="375"/>
      <c r="EX374" s="375"/>
      <c r="EZ374" s="385"/>
      <c r="FA374" s="386"/>
      <c r="FB374" s="375"/>
      <c r="FC374" s="375"/>
      <c r="FE374" s="385"/>
      <c r="FF374" s="386"/>
      <c r="FG374" s="375"/>
      <c r="FH374" s="375"/>
      <c r="FJ374" s="385"/>
      <c r="FK374" s="386"/>
      <c r="FL374" s="375"/>
      <c r="FM374" s="375"/>
      <c r="FO374" s="385"/>
      <c r="FP374" s="386"/>
      <c r="FQ374" s="375"/>
      <c r="FR374" s="375"/>
      <c r="FT374" s="385"/>
      <c r="FU374" s="386"/>
      <c r="FV374" s="375"/>
      <c r="FW374" s="375"/>
      <c r="FY374" s="385"/>
      <c r="FZ374" s="386"/>
      <c r="GA374" s="375"/>
      <c r="GB374" s="375"/>
      <c r="GD374" s="385"/>
      <c r="GE374" s="386"/>
      <c r="GF374" s="375"/>
      <c r="GG374" s="375"/>
      <c r="GI374" s="385"/>
      <c r="GJ374" s="386"/>
      <c r="GK374" s="375"/>
      <c r="GL374" s="375"/>
      <c r="GN374" s="385"/>
      <c r="GO374" s="386"/>
      <c r="GP374" s="375"/>
      <c r="GQ374" s="375"/>
      <c r="GS374" s="385"/>
      <c r="GT374" s="386"/>
      <c r="GU374" s="375"/>
      <c r="GV374" s="375"/>
      <c r="GX374" s="385"/>
      <c r="GY374" s="386"/>
      <c r="GZ374" s="375"/>
      <c r="HA374" s="375"/>
      <c r="HC374" s="385"/>
      <c r="HD374" s="386"/>
      <c r="HE374" s="375"/>
      <c r="HF374" s="375"/>
      <c r="HH374" s="385"/>
      <c r="HI374" s="386"/>
      <c r="HJ374" s="375"/>
      <c r="HK374" s="375"/>
      <c r="HM374" s="385"/>
      <c r="HN374" s="386"/>
      <c r="HO374" s="375"/>
      <c r="HP374" s="375"/>
      <c r="HR374" s="385"/>
      <c r="HS374" s="386"/>
      <c r="HT374" s="375"/>
      <c r="HU374" s="375"/>
      <c r="HW374" s="385"/>
      <c r="HX374" s="386"/>
      <c r="HY374" s="375"/>
      <c r="HZ374" s="375"/>
      <c r="IB374" s="385"/>
      <c r="IC374" s="386"/>
      <c r="ID374" s="375"/>
      <c r="IE374" s="375"/>
      <c r="IG374" s="385"/>
      <c r="IH374" s="386"/>
      <c r="II374" s="375"/>
      <c r="IJ374" s="375"/>
      <c r="IL374" s="385"/>
      <c r="IM374" s="386"/>
      <c r="IN374" s="375"/>
      <c r="IO374" s="375"/>
      <c r="IQ374" s="385"/>
      <c r="IR374" s="386"/>
      <c r="IS374" s="375"/>
      <c r="IT374" s="375"/>
      <c r="IV374" s="385"/>
    </row>
    <row r="375" spans="1:256" s="387" customFormat="1" x14ac:dyDescent="0.2">
      <c r="A375" s="385"/>
      <c r="B375" s="386"/>
      <c r="C375" s="375"/>
      <c r="D375" s="375"/>
      <c r="F375" s="385"/>
      <c r="G375" s="386"/>
      <c r="H375" s="375"/>
      <c r="I375" s="375"/>
      <c r="K375" s="385"/>
      <c r="L375" s="386"/>
      <c r="M375" s="375"/>
      <c r="N375" s="375"/>
      <c r="P375" s="385"/>
      <c r="Q375" s="386"/>
      <c r="R375" s="375"/>
      <c r="S375" s="375"/>
      <c r="U375" s="385"/>
      <c r="V375" s="386"/>
      <c r="W375" s="375"/>
      <c r="X375" s="375"/>
      <c r="Z375" s="385"/>
      <c r="AA375" s="386"/>
      <c r="AB375" s="375"/>
      <c r="AC375" s="375"/>
      <c r="AE375" s="385"/>
      <c r="AF375" s="386"/>
      <c r="AG375" s="375"/>
      <c r="AH375" s="375"/>
      <c r="AJ375" s="385"/>
      <c r="AK375" s="386"/>
      <c r="AL375" s="375"/>
      <c r="AM375" s="375"/>
      <c r="AO375" s="385"/>
      <c r="AP375" s="386"/>
      <c r="AQ375" s="375"/>
      <c r="AR375" s="375"/>
      <c r="AT375" s="385"/>
      <c r="AU375" s="386"/>
      <c r="AV375" s="375"/>
      <c r="AW375" s="375"/>
      <c r="AY375" s="385"/>
      <c r="AZ375" s="386"/>
      <c r="BA375" s="375"/>
      <c r="BB375" s="375"/>
      <c r="BD375" s="385"/>
      <c r="BE375" s="386"/>
      <c r="BF375" s="375"/>
      <c r="BG375" s="375"/>
      <c r="BI375" s="385"/>
      <c r="BJ375" s="386"/>
      <c r="BK375" s="375"/>
      <c r="BL375" s="375"/>
      <c r="BN375" s="385"/>
      <c r="BO375" s="386"/>
      <c r="BP375" s="375"/>
      <c r="BQ375" s="375"/>
      <c r="BS375" s="385"/>
      <c r="BT375" s="386"/>
      <c r="BU375" s="375"/>
      <c r="BV375" s="375"/>
      <c r="BX375" s="385"/>
      <c r="BY375" s="386"/>
      <c r="BZ375" s="375"/>
      <c r="CA375" s="375"/>
      <c r="CC375" s="385"/>
      <c r="CD375" s="386"/>
      <c r="CE375" s="375"/>
      <c r="CF375" s="375"/>
      <c r="CH375" s="385"/>
      <c r="CI375" s="386"/>
      <c r="CJ375" s="375"/>
      <c r="CK375" s="375"/>
      <c r="CM375" s="385"/>
      <c r="CN375" s="386"/>
      <c r="CO375" s="375"/>
      <c r="CP375" s="375"/>
      <c r="CR375" s="385"/>
      <c r="CS375" s="386"/>
      <c r="CT375" s="375"/>
      <c r="CU375" s="375"/>
      <c r="CW375" s="385"/>
      <c r="CX375" s="386"/>
      <c r="CY375" s="375"/>
      <c r="CZ375" s="375"/>
      <c r="DB375" s="385"/>
      <c r="DC375" s="386"/>
      <c r="DD375" s="375"/>
      <c r="DE375" s="375"/>
      <c r="DG375" s="385"/>
      <c r="DH375" s="386"/>
      <c r="DI375" s="375"/>
      <c r="DJ375" s="375"/>
      <c r="DL375" s="385"/>
      <c r="DM375" s="386"/>
      <c r="DN375" s="375"/>
      <c r="DO375" s="375"/>
      <c r="DQ375" s="385"/>
      <c r="DR375" s="386"/>
      <c r="DS375" s="375"/>
      <c r="DT375" s="375"/>
      <c r="DV375" s="385"/>
      <c r="DW375" s="386"/>
      <c r="DX375" s="375"/>
      <c r="DY375" s="375"/>
      <c r="EA375" s="385"/>
      <c r="EB375" s="386"/>
      <c r="EC375" s="375"/>
      <c r="ED375" s="375"/>
      <c r="EF375" s="385"/>
      <c r="EG375" s="386"/>
      <c r="EH375" s="375"/>
      <c r="EI375" s="375"/>
      <c r="EK375" s="385"/>
      <c r="EL375" s="386"/>
      <c r="EM375" s="375"/>
      <c r="EN375" s="375"/>
      <c r="EP375" s="385"/>
      <c r="EQ375" s="386"/>
      <c r="ER375" s="375"/>
      <c r="ES375" s="375"/>
      <c r="EU375" s="385"/>
      <c r="EV375" s="386"/>
      <c r="EW375" s="375"/>
      <c r="EX375" s="375"/>
      <c r="EZ375" s="385"/>
      <c r="FA375" s="386"/>
      <c r="FB375" s="375"/>
      <c r="FC375" s="375"/>
      <c r="FE375" s="385"/>
      <c r="FF375" s="386"/>
      <c r="FG375" s="375"/>
      <c r="FH375" s="375"/>
      <c r="FJ375" s="385"/>
      <c r="FK375" s="386"/>
      <c r="FL375" s="375"/>
      <c r="FM375" s="375"/>
      <c r="FO375" s="385"/>
      <c r="FP375" s="386"/>
      <c r="FQ375" s="375"/>
      <c r="FR375" s="375"/>
      <c r="FT375" s="385"/>
      <c r="FU375" s="386"/>
      <c r="FV375" s="375"/>
      <c r="FW375" s="375"/>
      <c r="FY375" s="385"/>
      <c r="FZ375" s="386"/>
      <c r="GA375" s="375"/>
      <c r="GB375" s="375"/>
      <c r="GD375" s="385"/>
      <c r="GE375" s="386"/>
      <c r="GF375" s="375"/>
      <c r="GG375" s="375"/>
      <c r="GI375" s="385"/>
      <c r="GJ375" s="386"/>
      <c r="GK375" s="375"/>
      <c r="GL375" s="375"/>
      <c r="GN375" s="385"/>
      <c r="GO375" s="386"/>
      <c r="GP375" s="375"/>
      <c r="GQ375" s="375"/>
      <c r="GS375" s="385"/>
      <c r="GT375" s="386"/>
      <c r="GU375" s="375"/>
      <c r="GV375" s="375"/>
      <c r="GX375" s="385"/>
      <c r="GY375" s="386"/>
      <c r="GZ375" s="375"/>
      <c r="HA375" s="375"/>
      <c r="HC375" s="385"/>
      <c r="HD375" s="386"/>
      <c r="HE375" s="375"/>
      <c r="HF375" s="375"/>
      <c r="HH375" s="385"/>
      <c r="HI375" s="386"/>
      <c r="HJ375" s="375"/>
      <c r="HK375" s="375"/>
      <c r="HM375" s="385"/>
      <c r="HN375" s="386"/>
      <c r="HO375" s="375"/>
      <c r="HP375" s="375"/>
      <c r="HR375" s="385"/>
      <c r="HS375" s="386"/>
      <c r="HT375" s="375"/>
      <c r="HU375" s="375"/>
      <c r="HW375" s="385"/>
      <c r="HX375" s="386"/>
      <c r="HY375" s="375"/>
      <c r="HZ375" s="375"/>
      <c r="IB375" s="385"/>
      <c r="IC375" s="386"/>
      <c r="ID375" s="375"/>
      <c r="IE375" s="375"/>
      <c r="IG375" s="385"/>
      <c r="IH375" s="386"/>
      <c r="II375" s="375"/>
      <c r="IJ375" s="375"/>
      <c r="IL375" s="385"/>
      <c r="IM375" s="386"/>
      <c r="IN375" s="375"/>
      <c r="IO375" s="375"/>
      <c r="IQ375" s="385"/>
      <c r="IR375" s="386"/>
      <c r="IS375" s="375"/>
      <c r="IT375" s="375"/>
      <c r="IV375" s="385"/>
    </row>
    <row r="376" spans="1:256" s="387" customFormat="1" x14ac:dyDescent="0.2">
      <c r="A376" s="385"/>
      <c r="B376" s="386"/>
      <c r="C376" s="375"/>
      <c r="D376" s="375"/>
      <c r="F376" s="385"/>
      <c r="G376" s="386"/>
      <c r="H376" s="375"/>
      <c r="I376" s="375"/>
      <c r="K376" s="385"/>
      <c r="L376" s="386"/>
      <c r="M376" s="375"/>
      <c r="N376" s="375"/>
      <c r="P376" s="385"/>
      <c r="Q376" s="386"/>
      <c r="R376" s="375"/>
      <c r="S376" s="375"/>
      <c r="U376" s="385"/>
      <c r="V376" s="386"/>
      <c r="W376" s="375"/>
      <c r="X376" s="375"/>
      <c r="Z376" s="385"/>
      <c r="AA376" s="386"/>
      <c r="AB376" s="375"/>
      <c r="AC376" s="375"/>
      <c r="AE376" s="385"/>
      <c r="AF376" s="386"/>
      <c r="AG376" s="375"/>
      <c r="AH376" s="375"/>
      <c r="AJ376" s="385"/>
      <c r="AK376" s="386"/>
      <c r="AL376" s="375"/>
      <c r="AM376" s="375"/>
      <c r="AO376" s="385"/>
      <c r="AP376" s="386"/>
      <c r="AQ376" s="375"/>
      <c r="AR376" s="375"/>
      <c r="AT376" s="385"/>
      <c r="AU376" s="386"/>
      <c r="AV376" s="375"/>
      <c r="AW376" s="375"/>
      <c r="AY376" s="385"/>
      <c r="AZ376" s="386"/>
      <c r="BA376" s="375"/>
      <c r="BB376" s="375"/>
      <c r="BD376" s="385"/>
      <c r="BE376" s="386"/>
      <c r="BF376" s="375"/>
      <c r="BG376" s="375"/>
      <c r="BI376" s="385"/>
      <c r="BJ376" s="386"/>
      <c r="BK376" s="375"/>
      <c r="BL376" s="375"/>
      <c r="BN376" s="385"/>
      <c r="BO376" s="386"/>
      <c r="BP376" s="375"/>
      <c r="BQ376" s="375"/>
      <c r="BS376" s="385"/>
      <c r="BT376" s="386"/>
      <c r="BU376" s="375"/>
      <c r="BV376" s="375"/>
      <c r="BX376" s="385"/>
      <c r="BY376" s="386"/>
      <c r="BZ376" s="375"/>
      <c r="CA376" s="375"/>
      <c r="CC376" s="385"/>
      <c r="CD376" s="386"/>
      <c r="CE376" s="375"/>
      <c r="CF376" s="375"/>
      <c r="CH376" s="385"/>
      <c r="CI376" s="386"/>
      <c r="CJ376" s="375"/>
      <c r="CK376" s="375"/>
      <c r="CM376" s="385"/>
      <c r="CN376" s="386"/>
      <c r="CO376" s="375"/>
      <c r="CP376" s="375"/>
      <c r="CR376" s="385"/>
      <c r="CS376" s="386"/>
      <c r="CT376" s="375"/>
      <c r="CU376" s="375"/>
      <c r="CW376" s="385"/>
      <c r="CX376" s="386"/>
      <c r="CY376" s="375"/>
      <c r="CZ376" s="375"/>
      <c r="DB376" s="385"/>
      <c r="DC376" s="386"/>
      <c r="DD376" s="375"/>
      <c r="DE376" s="375"/>
      <c r="DG376" s="385"/>
      <c r="DH376" s="386"/>
      <c r="DI376" s="375"/>
      <c r="DJ376" s="375"/>
      <c r="DL376" s="385"/>
      <c r="DM376" s="386"/>
      <c r="DN376" s="375"/>
      <c r="DO376" s="375"/>
      <c r="DQ376" s="385"/>
      <c r="DR376" s="386"/>
      <c r="DS376" s="375"/>
      <c r="DT376" s="375"/>
      <c r="DV376" s="385"/>
      <c r="DW376" s="386"/>
      <c r="DX376" s="375"/>
      <c r="DY376" s="375"/>
      <c r="EA376" s="385"/>
      <c r="EB376" s="386"/>
      <c r="EC376" s="375"/>
      <c r="ED376" s="375"/>
      <c r="EF376" s="385"/>
      <c r="EG376" s="386"/>
      <c r="EH376" s="375"/>
      <c r="EI376" s="375"/>
      <c r="EK376" s="385"/>
      <c r="EL376" s="386"/>
      <c r="EM376" s="375"/>
      <c r="EN376" s="375"/>
      <c r="EP376" s="385"/>
      <c r="EQ376" s="386"/>
      <c r="ER376" s="375"/>
      <c r="ES376" s="375"/>
      <c r="EU376" s="385"/>
      <c r="EV376" s="386"/>
      <c r="EW376" s="375"/>
      <c r="EX376" s="375"/>
      <c r="EZ376" s="385"/>
      <c r="FA376" s="386"/>
      <c r="FB376" s="375"/>
      <c r="FC376" s="375"/>
      <c r="FE376" s="385"/>
      <c r="FF376" s="386"/>
      <c r="FG376" s="375"/>
      <c r="FH376" s="375"/>
      <c r="FJ376" s="385"/>
      <c r="FK376" s="386"/>
      <c r="FL376" s="375"/>
      <c r="FM376" s="375"/>
      <c r="FO376" s="385"/>
      <c r="FP376" s="386"/>
      <c r="FQ376" s="375"/>
      <c r="FR376" s="375"/>
      <c r="FT376" s="385"/>
      <c r="FU376" s="386"/>
      <c r="FV376" s="375"/>
      <c r="FW376" s="375"/>
      <c r="FY376" s="385"/>
      <c r="FZ376" s="386"/>
      <c r="GA376" s="375"/>
      <c r="GB376" s="375"/>
      <c r="GD376" s="385"/>
      <c r="GE376" s="386"/>
      <c r="GF376" s="375"/>
      <c r="GG376" s="375"/>
      <c r="GI376" s="385"/>
      <c r="GJ376" s="386"/>
      <c r="GK376" s="375"/>
      <c r="GL376" s="375"/>
      <c r="GN376" s="385"/>
      <c r="GO376" s="386"/>
      <c r="GP376" s="375"/>
      <c r="GQ376" s="375"/>
      <c r="GS376" s="385"/>
      <c r="GT376" s="386"/>
      <c r="GU376" s="375"/>
      <c r="GV376" s="375"/>
      <c r="GX376" s="385"/>
      <c r="GY376" s="386"/>
      <c r="GZ376" s="375"/>
      <c r="HA376" s="375"/>
      <c r="HC376" s="385"/>
      <c r="HD376" s="386"/>
      <c r="HE376" s="375"/>
      <c r="HF376" s="375"/>
      <c r="HH376" s="385"/>
      <c r="HI376" s="386"/>
      <c r="HJ376" s="375"/>
      <c r="HK376" s="375"/>
      <c r="HM376" s="385"/>
      <c r="HN376" s="386"/>
      <c r="HO376" s="375"/>
      <c r="HP376" s="375"/>
      <c r="HR376" s="385"/>
      <c r="HS376" s="386"/>
      <c r="HT376" s="375"/>
      <c r="HU376" s="375"/>
      <c r="HW376" s="385"/>
      <c r="HX376" s="386"/>
      <c r="HY376" s="375"/>
      <c r="HZ376" s="375"/>
      <c r="IB376" s="385"/>
      <c r="IC376" s="386"/>
      <c r="ID376" s="375"/>
      <c r="IE376" s="375"/>
      <c r="IG376" s="385"/>
      <c r="IH376" s="386"/>
      <c r="II376" s="375"/>
      <c r="IJ376" s="375"/>
      <c r="IL376" s="385"/>
      <c r="IM376" s="386"/>
      <c r="IN376" s="375"/>
      <c r="IO376" s="375"/>
      <c r="IQ376" s="385"/>
      <c r="IR376" s="386"/>
      <c r="IS376" s="375"/>
      <c r="IT376" s="375"/>
      <c r="IV376" s="385"/>
    </row>
    <row r="377" spans="1:256" s="387" customFormat="1" x14ac:dyDescent="0.2">
      <c r="A377" s="385"/>
      <c r="B377" s="386"/>
      <c r="C377" s="375"/>
      <c r="D377" s="375"/>
      <c r="F377" s="385"/>
      <c r="G377" s="386"/>
      <c r="H377" s="375"/>
      <c r="I377" s="375"/>
      <c r="K377" s="385"/>
      <c r="L377" s="386"/>
      <c r="M377" s="375"/>
      <c r="N377" s="375"/>
      <c r="P377" s="385"/>
      <c r="Q377" s="386"/>
      <c r="R377" s="375"/>
      <c r="S377" s="375"/>
      <c r="U377" s="385"/>
      <c r="V377" s="386"/>
      <c r="W377" s="375"/>
      <c r="X377" s="375"/>
      <c r="Z377" s="385"/>
      <c r="AA377" s="386"/>
      <c r="AB377" s="375"/>
      <c r="AC377" s="375"/>
      <c r="AE377" s="385"/>
      <c r="AF377" s="386"/>
      <c r="AG377" s="375"/>
      <c r="AH377" s="375"/>
      <c r="AJ377" s="385"/>
      <c r="AK377" s="386"/>
      <c r="AL377" s="375"/>
      <c r="AM377" s="375"/>
      <c r="AO377" s="385"/>
      <c r="AP377" s="386"/>
      <c r="AQ377" s="375"/>
      <c r="AR377" s="375"/>
      <c r="AT377" s="385"/>
      <c r="AU377" s="386"/>
      <c r="AV377" s="375"/>
      <c r="AW377" s="375"/>
      <c r="AY377" s="385"/>
      <c r="AZ377" s="386"/>
      <c r="BA377" s="375"/>
      <c r="BB377" s="375"/>
      <c r="BD377" s="385"/>
      <c r="BE377" s="386"/>
      <c r="BF377" s="375"/>
      <c r="BG377" s="375"/>
      <c r="BI377" s="385"/>
      <c r="BJ377" s="386"/>
      <c r="BK377" s="375"/>
      <c r="BL377" s="375"/>
      <c r="BN377" s="385"/>
      <c r="BO377" s="386"/>
      <c r="BP377" s="375"/>
      <c r="BQ377" s="375"/>
      <c r="BS377" s="385"/>
      <c r="BT377" s="386"/>
      <c r="BU377" s="375"/>
      <c r="BV377" s="375"/>
      <c r="BX377" s="385"/>
      <c r="BY377" s="386"/>
      <c r="BZ377" s="375"/>
      <c r="CA377" s="375"/>
      <c r="CC377" s="385"/>
      <c r="CD377" s="386"/>
      <c r="CE377" s="375"/>
      <c r="CF377" s="375"/>
      <c r="CH377" s="385"/>
      <c r="CI377" s="386"/>
      <c r="CJ377" s="375"/>
      <c r="CK377" s="375"/>
      <c r="CM377" s="385"/>
      <c r="CN377" s="386"/>
      <c r="CO377" s="375"/>
      <c r="CP377" s="375"/>
      <c r="CR377" s="385"/>
      <c r="CS377" s="386"/>
      <c r="CT377" s="375"/>
      <c r="CU377" s="375"/>
      <c r="CW377" s="385"/>
      <c r="CX377" s="386"/>
      <c r="CY377" s="375"/>
      <c r="CZ377" s="375"/>
      <c r="DB377" s="385"/>
      <c r="DC377" s="386"/>
      <c r="DD377" s="375"/>
      <c r="DE377" s="375"/>
      <c r="DG377" s="385"/>
      <c r="DH377" s="386"/>
      <c r="DI377" s="375"/>
      <c r="DJ377" s="375"/>
      <c r="DL377" s="385"/>
      <c r="DM377" s="386"/>
      <c r="DN377" s="375"/>
      <c r="DO377" s="375"/>
      <c r="DQ377" s="385"/>
      <c r="DR377" s="386"/>
      <c r="DS377" s="375"/>
      <c r="DT377" s="375"/>
      <c r="DV377" s="385"/>
      <c r="DW377" s="386"/>
      <c r="DX377" s="375"/>
      <c r="DY377" s="375"/>
      <c r="EA377" s="385"/>
      <c r="EB377" s="386"/>
      <c r="EC377" s="375"/>
      <c r="ED377" s="375"/>
      <c r="EF377" s="385"/>
      <c r="EG377" s="386"/>
      <c r="EH377" s="375"/>
      <c r="EI377" s="375"/>
      <c r="EK377" s="385"/>
      <c r="EL377" s="386"/>
      <c r="EM377" s="375"/>
      <c r="EN377" s="375"/>
      <c r="EP377" s="385"/>
      <c r="EQ377" s="386"/>
      <c r="ER377" s="375"/>
      <c r="ES377" s="375"/>
      <c r="EU377" s="385"/>
      <c r="EV377" s="386"/>
      <c r="EW377" s="375"/>
      <c r="EX377" s="375"/>
      <c r="EZ377" s="385"/>
      <c r="FA377" s="386"/>
      <c r="FB377" s="375"/>
      <c r="FC377" s="375"/>
      <c r="FE377" s="385"/>
      <c r="FF377" s="386"/>
      <c r="FG377" s="375"/>
      <c r="FH377" s="375"/>
      <c r="FJ377" s="385"/>
      <c r="FK377" s="386"/>
      <c r="FL377" s="375"/>
      <c r="FM377" s="375"/>
      <c r="FO377" s="385"/>
      <c r="FP377" s="386"/>
      <c r="FQ377" s="375"/>
      <c r="FR377" s="375"/>
      <c r="FT377" s="385"/>
      <c r="FU377" s="386"/>
      <c r="FV377" s="375"/>
      <c r="FW377" s="375"/>
      <c r="FY377" s="385"/>
      <c r="FZ377" s="386"/>
      <c r="GA377" s="375"/>
      <c r="GB377" s="375"/>
      <c r="GD377" s="385"/>
      <c r="GE377" s="386"/>
      <c r="GF377" s="375"/>
      <c r="GG377" s="375"/>
      <c r="GI377" s="385"/>
      <c r="GJ377" s="386"/>
      <c r="GK377" s="375"/>
      <c r="GL377" s="375"/>
      <c r="GN377" s="385"/>
      <c r="GO377" s="386"/>
      <c r="GP377" s="375"/>
      <c r="GQ377" s="375"/>
      <c r="GS377" s="385"/>
      <c r="GT377" s="386"/>
      <c r="GU377" s="375"/>
      <c r="GV377" s="375"/>
      <c r="GX377" s="385"/>
      <c r="GY377" s="386"/>
      <c r="GZ377" s="375"/>
      <c r="HA377" s="375"/>
      <c r="HC377" s="385"/>
      <c r="HD377" s="386"/>
      <c r="HE377" s="375"/>
      <c r="HF377" s="375"/>
      <c r="HH377" s="385"/>
      <c r="HI377" s="386"/>
      <c r="HJ377" s="375"/>
      <c r="HK377" s="375"/>
      <c r="HM377" s="385"/>
      <c r="HN377" s="386"/>
      <c r="HO377" s="375"/>
      <c r="HP377" s="375"/>
      <c r="HR377" s="385"/>
      <c r="HS377" s="386"/>
      <c r="HT377" s="375"/>
      <c r="HU377" s="375"/>
      <c r="HW377" s="385"/>
      <c r="HX377" s="386"/>
      <c r="HY377" s="375"/>
      <c r="HZ377" s="375"/>
      <c r="IB377" s="385"/>
      <c r="IC377" s="386"/>
      <c r="ID377" s="375"/>
      <c r="IE377" s="375"/>
      <c r="IG377" s="385"/>
      <c r="IH377" s="386"/>
      <c r="II377" s="375"/>
      <c r="IJ377" s="375"/>
      <c r="IL377" s="385"/>
      <c r="IM377" s="386"/>
      <c r="IN377" s="375"/>
      <c r="IO377" s="375"/>
      <c r="IQ377" s="385"/>
      <c r="IR377" s="386"/>
      <c r="IS377" s="375"/>
      <c r="IT377" s="375"/>
      <c r="IV377" s="385"/>
    </row>
    <row r="378" spans="1:256" s="387" customFormat="1" x14ac:dyDescent="0.2">
      <c r="A378" s="385"/>
      <c r="B378" s="386"/>
      <c r="C378" s="375"/>
      <c r="D378" s="375"/>
      <c r="F378" s="385"/>
      <c r="G378" s="386"/>
      <c r="H378" s="375"/>
      <c r="I378" s="375"/>
      <c r="K378" s="385"/>
      <c r="L378" s="386"/>
      <c r="M378" s="375"/>
      <c r="N378" s="375"/>
      <c r="P378" s="385"/>
      <c r="Q378" s="386"/>
      <c r="R378" s="375"/>
      <c r="S378" s="375"/>
      <c r="U378" s="385"/>
      <c r="V378" s="386"/>
      <c r="W378" s="375"/>
      <c r="X378" s="375"/>
      <c r="Z378" s="385"/>
      <c r="AA378" s="386"/>
      <c r="AB378" s="375"/>
      <c r="AC378" s="375"/>
      <c r="AE378" s="385"/>
      <c r="AF378" s="386"/>
      <c r="AG378" s="375"/>
      <c r="AH378" s="375"/>
      <c r="AJ378" s="385"/>
      <c r="AK378" s="386"/>
      <c r="AL378" s="375"/>
      <c r="AM378" s="375"/>
      <c r="AO378" s="385"/>
      <c r="AP378" s="386"/>
      <c r="AQ378" s="375"/>
      <c r="AR378" s="375"/>
      <c r="AT378" s="385"/>
      <c r="AU378" s="386"/>
      <c r="AV378" s="375"/>
      <c r="AW378" s="375"/>
      <c r="AY378" s="385"/>
      <c r="AZ378" s="386"/>
      <c r="BA378" s="375"/>
      <c r="BB378" s="375"/>
      <c r="BD378" s="385"/>
      <c r="BE378" s="386"/>
      <c r="BF378" s="375"/>
      <c r="BG378" s="375"/>
      <c r="BI378" s="385"/>
      <c r="BJ378" s="386"/>
      <c r="BK378" s="375"/>
      <c r="BL378" s="375"/>
      <c r="BN378" s="385"/>
      <c r="BO378" s="386"/>
      <c r="BP378" s="375"/>
      <c r="BQ378" s="375"/>
      <c r="BS378" s="385"/>
      <c r="BT378" s="386"/>
      <c r="BU378" s="375"/>
      <c r="BV378" s="375"/>
      <c r="BX378" s="385"/>
      <c r="BY378" s="386"/>
      <c r="BZ378" s="375"/>
      <c r="CA378" s="375"/>
      <c r="CC378" s="385"/>
      <c r="CD378" s="386"/>
      <c r="CE378" s="375"/>
      <c r="CF378" s="375"/>
      <c r="CH378" s="385"/>
      <c r="CI378" s="386"/>
      <c r="CJ378" s="375"/>
      <c r="CK378" s="375"/>
      <c r="CM378" s="385"/>
      <c r="CN378" s="386"/>
      <c r="CO378" s="375"/>
      <c r="CP378" s="375"/>
      <c r="CR378" s="385"/>
      <c r="CS378" s="386"/>
      <c r="CT378" s="375"/>
      <c r="CU378" s="375"/>
      <c r="CW378" s="385"/>
      <c r="CX378" s="386"/>
      <c r="CY378" s="375"/>
      <c r="CZ378" s="375"/>
      <c r="DB378" s="385"/>
      <c r="DC378" s="386"/>
      <c r="DD378" s="375"/>
      <c r="DE378" s="375"/>
      <c r="DG378" s="385"/>
      <c r="DH378" s="386"/>
      <c r="DI378" s="375"/>
      <c r="DJ378" s="375"/>
      <c r="DL378" s="385"/>
      <c r="DM378" s="386"/>
      <c r="DN378" s="375"/>
      <c r="DO378" s="375"/>
      <c r="DQ378" s="385"/>
      <c r="DR378" s="386"/>
      <c r="DS378" s="375"/>
      <c r="DT378" s="375"/>
      <c r="DV378" s="385"/>
      <c r="DW378" s="386"/>
      <c r="DX378" s="375"/>
      <c r="DY378" s="375"/>
      <c r="EA378" s="385"/>
      <c r="EB378" s="386"/>
      <c r="EC378" s="375"/>
      <c r="ED378" s="375"/>
      <c r="EF378" s="385"/>
      <c r="EG378" s="386"/>
      <c r="EH378" s="375"/>
      <c r="EI378" s="375"/>
      <c r="EK378" s="385"/>
      <c r="EL378" s="386"/>
      <c r="EM378" s="375"/>
      <c r="EN378" s="375"/>
      <c r="EP378" s="385"/>
      <c r="EQ378" s="386"/>
      <c r="ER378" s="375"/>
      <c r="ES378" s="375"/>
      <c r="EU378" s="385"/>
      <c r="EV378" s="386"/>
      <c r="EW378" s="375"/>
      <c r="EX378" s="375"/>
      <c r="EZ378" s="385"/>
      <c r="FA378" s="386"/>
      <c r="FB378" s="375"/>
      <c r="FC378" s="375"/>
      <c r="FE378" s="385"/>
      <c r="FF378" s="386"/>
      <c r="FG378" s="375"/>
      <c r="FH378" s="375"/>
      <c r="FJ378" s="385"/>
      <c r="FK378" s="386"/>
      <c r="FL378" s="375"/>
      <c r="FM378" s="375"/>
      <c r="FO378" s="385"/>
      <c r="FP378" s="386"/>
      <c r="FQ378" s="375"/>
      <c r="FR378" s="375"/>
      <c r="FT378" s="385"/>
      <c r="FU378" s="386"/>
      <c r="FV378" s="375"/>
      <c r="FW378" s="375"/>
      <c r="FY378" s="385"/>
      <c r="FZ378" s="386"/>
      <c r="GA378" s="375"/>
      <c r="GB378" s="375"/>
      <c r="GD378" s="385"/>
      <c r="GE378" s="386"/>
      <c r="GF378" s="375"/>
      <c r="GG378" s="375"/>
      <c r="GI378" s="385"/>
      <c r="GJ378" s="386"/>
      <c r="GK378" s="375"/>
      <c r="GL378" s="375"/>
      <c r="GN378" s="385"/>
      <c r="GO378" s="386"/>
      <c r="GP378" s="375"/>
      <c r="GQ378" s="375"/>
      <c r="GS378" s="385"/>
      <c r="GT378" s="386"/>
      <c r="GU378" s="375"/>
      <c r="GV378" s="375"/>
      <c r="GX378" s="385"/>
      <c r="GY378" s="386"/>
      <c r="GZ378" s="375"/>
      <c r="HA378" s="375"/>
      <c r="HC378" s="385"/>
      <c r="HD378" s="386"/>
      <c r="HE378" s="375"/>
      <c r="HF378" s="375"/>
      <c r="HH378" s="385"/>
      <c r="HI378" s="386"/>
      <c r="HJ378" s="375"/>
      <c r="HK378" s="375"/>
      <c r="HM378" s="385"/>
      <c r="HN378" s="386"/>
      <c r="HO378" s="375"/>
      <c r="HP378" s="375"/>
      <c r="HR378" s="385"/>
      <c r="HS378" s="386"/>
      <c r="HT378" s="375"/>
      <c r="HU378" s="375"/>
      <c r="HW378" s="385"/>
      <c r="HX378" s="386"/>
      <c r="HY378" s="375"/>
      <c r="HZ378" s="375"/>
      <c r="IB378" s="385"/>
      <c r="IC378" s="386"/>
      <c r="ID378" s="375"/>
      <c r="IE378" s="375"/>
      <c r="IG378" s="385"/>
      <c r="IH378" s="386"/>
      <c r="II378" s="375"/>
      <c r="IJ378" s="375"/>
      <c r="IL378" s="385"/>
      <c r="IM378" s="386"/>
      <c r="IN378" s="375"/>
      <c r="IO378" s="375"/>
      <c r="IQ378" s="385"/>
      <c r="IR378" s="386"/>
      <c r="IS378" s="375"/>
      <c r="IT378" s="375"/>
      <c r="IV378" s="385"/>
    </row>
    <row r="379" spans="1:256" s="387" customFormat="1" x14ac:dyDescent="0.2">
      <c r="A379" s="385"/>
      <c r="B379" s="386"/>
      <c r="C379" s="375"/>
      <c r="D379" s="375"/>
      <c r="F379" s="385"/>
      <c r="G379" s="386"/>
      <c r="H379" s="375"/>
      <c r="I379" s="375"/>
      <c r="K379" s="385"/>
      <c r="L379" s="386"/>
      <c r="M379" s="375"/>
      <c r="N379" s="375"/>
      <c r="P379" s="385"/>
      <c r="Q379" s="386"/>
      <c r="R379" s="375"/>
      <c r="S379" s="375"/>
      <c r="U379" s="385"/>
      <c r="V379" s="386"/>
      <c r="W379" s="375"/>
      <c r="X379" s="375"/>
      <c r="Z379" s="385"/>
      <c r="AA379" s="386"/>
      <c r="AB379" s="375"/>
      <c r="AC379" s="375"/>
      <c r="AE379" s="385"/>
      <c r="AF379" s="386"/>
      <c r="AG379" s="375"/>
      <c r="AH379" s="375"/>
      <c r="AJ379" s="385"/>
      <c r="AK379" s="386"/>
      <c r="AL379" s="375"/>
      <c r="AM379" s="375"/>
      <c r="AO379" s="385"/>
      <c r="AP379" s="386"/>
      <c r="AQ379" s="375"/>
      <c r="AR379" s="375"/>
      <c r="AT379" s="385"/>
      <c r="AU379" s="386"/>
      <c r="AV379" s="375"/>
      <c r="AW379" s="375"/>
      <c r="AY379" s="385"/>
      <c r="AZ379" s="386"/>
      <c r="BA379" s="375"/>
      <c r="BB379" s="375"/>
      <c r="BD379" s="385"/>
      <c r="BE379" s="386"/>
      <c r="BF379" s="375"/>
      <c r="BG379" s="375"/>
      <c r="BI379" s="385"/>
      <c r="BJ379" s="386"/>
      <c r="BK379" s="375"/>
      <c r="BL379" s="375"/>
      <c r="BN379" s="385"/>
      <c r="BO379" s="386"/>
      <c r="BP379" s="375"/>
      <c r="BQ379" s="375"/>
      <c r="BS379" s="385"/>
      <c r="BT379" s="386"/>
      <c r="BU379" s="375"/>
      <c r="BV379" s="375"/>
      <c r="BX379" s="385"/>
      <c r="BY379" s="386"/>
      <c r="BZ379" s="375"/>
      <c r="CA379" s="375"/>
      <c r="CC379" s="385"/>
      <c r="CD379" s="386"/>
      <c r="CE379" s="375"/>
      <c r="CF379" s="375"/>
      <c r="CH379" s="385"/>
      <c r="CI379" s="386"/>
      <c r="CJ379" s="375"/>
      <c r="CK379" s="375"/>
      <c r="CM379" s="385"/>
      <c r="CN379" s="386"/>
      <c r="CO379" s="375"/>
      <c r="CP379" s="375"/>
      <c r="CR379" s="385"/>
      <c r="CS379" s="386"/>
      <c r="CT379" s="375"/>
      <c r="CU379" s="375"/>
      <c r="CW379" s="385"/>
      <c r="CX379" s="386"/>
      <c r="CY379" s="375"/>
      <c r="CZ379" s="375"/>
      <c r="DB379" s="385"/>
      <c r="DC379" s="386"/>
      <c r="DD379" s="375"/>
      <c r="DE379" s="375"/>
      <c r="DG379" s="385"/>
      <c r="DH379" s="386"/>
      <c r="DI379" s="375"/>
      <c r="DJ379" s="375"/>
      <c r="DL379" s="385"/>
      <c r="DM379" s="386"/>
      <c r="DN379" s="375"/>
      <c r="DO379" s="375"/>
      <c r="DQ379" s="385"/>
      <c r="DR379" s="386"/>
      <c r="DS379" s="375"/>
      <c r="DT379" s="375"/>
      <c r="DV379" s="385"/>
      <c r="DW379" s="386"/>
      <c r="DX379" s="375"/>
      <c r="DY379" s="375"/>
      <c r="EA379" s="385"/>
      <c r="EB379" s="386"/>
      <c r="EC379" s="375"/>
      <c r="ED379" s="375"/>
      <c r="EF379" s="385"/>
      <c r="EG379" s="386"/>
      <c r="EH379" s="375"/>
      <c r="EI379" s="375"/>
      <c r="EK379" s="385"/>
      <c r="EL379" s="386"/>
      <c r="EM379" s="375"/>
      <c r="EN379" s="375"/>
      <c r="EP379" s="385"/>
      <c r="EQ379" s="386"/>
      <c r="ER379" s="375"/>
      <c r="ES379" s="375"/>
      <c r="EU379" s="385"/>
      <c r="EV379" s="386"/>
      <c r="EW379" s="375"/>
      <c r="EX379" s="375"/>
      <c r="EZ379" s="385"/>
      <c r="FA379" s="386"/>
      <c r="FB379" s="375"/>
      <c r="FC379" s="375"/>
      <c r="FE379" s="385"/>
      <c r="FF379" s="386"/>
      <c r="FG379" s="375"/>
      <c r="FH379" s="375"/>
      <c r="FJ379" s="385"/>
      <c r="FK379" s="386"/>
      <c r="FL379" s="375"/>
      <c r="FM379" s="375"/>
      <c r="FO379" s="385"/>
      <c r="FP379" s="386"/>
      <c r="FQ379" s="375"/>
      <c r="FR379" s="375"/>
      <c r="FT379" s="385"/>
      <c r="FU379" s="386"/>
      <c r="FV379" s="375"/>
      <c r="FW379" s="375"/>
      <c r="FY379" s="385"/>
      <c r="FZ379" s="386"/>
      <c r="GA379" s="375"/>
      <c r="GB379" s="375"/>
      <c r="GD379" s="385"/>
      <c r="GE379" s="386"/>
      <c r="GF379" s="375"/>
      <c r="GG379" s="375"/>
      <c r="GI379" s="385"/>
      <c r="GJ379" s="386"/>
      <c r="GK379" s="375"/>
      <c r="GL379" s="375"/>
      <c r="GN379" s="385"/>
      <c r="GO379" s="386"/>
      <c r="GP379" s="375"/>
      <c r="GQ379" s="375"/>
      <c r="GS379" s="385"/>
      <c r="GT379" s="386"/>
      <c r="GU379" s="375"/>
      <c r="GV379" s="375"/>
      <c r="GX379" s="385"/>
      <c r="GY379" s="386"/>
      <c r="GZ379" s="375"/>
      <c r="HA379" s="375"/>
      <c r="HC379" s="385"/>
      <c r="HD379" s="386"/>
      <c r="HE379" s="375"/>
      <c r="HF379" s="375"/>
      <c r="HH379" s="385"/>
      <c r="HI379" s="386"/>
      <c r="HJ379" s="375"/>
      <c r="HK379" s="375"/>
      <c r="HM379" s="385"/>
      <c r="HN379" s="386"/>
      <c r="HO379" s="375"/>
      <c r="HP379" s="375"/>
      <c r="HR379" s="385"/>
      <c r="HS379" s="386"/>
      <c r="HT379" s="375"/>
      <c r="HU379" s="375"/>
      <c r="HW379" s="385"/>
      <c r="HX379" s="386"/>
      <c r="HY379" s="375"/>
      <c r="HZ379" s="375"/>
      <c r="IB379" s="385"/>
      <c r="IC379" s="386"/>
      <c r="ID379" s="375"/>
      <c r="IE379" s="375"/>
      <c r="IG379" s="385"/>
      <c r="IH379" s="386"/>
      <c r="II379" s="375"/>
      <c r="IJ379" s="375"/>
      <c r="IL379" s="385"/>
      <c r="IM379" s="386"/>
      <c r="IN379" s="375"/>
      <c r="IO379" s="375"/>
      <c r="IQ379" s="385"/>
      <c r="IR379" s="386"/>
      <c r="IS379" s="375"/>
      <c r="IT379" s="375"/>
      <c r="IV379" s="385"/>
    </row>
    <row r="380" spans="1:256" s="387" customFormat="1" x14ac:dyDescent="0.2">
      <c r="A380" s="385"/>
      <c r="B380" s="386"/>
      <c r="C380" s="375"/>
      <c r="D380" s="375"/>
      <c r="F380" s="385"/>
      <c r="G380" s="386"/>
      <c r="H380" s="375"/>
      <c r="I380" s="375"/>
      <c r="K380" s="385"/>
      <c r="L380" s="386"/>
      <c r="M380" s="375"/>
      <c r="N380" s="375"/>
      <c r="P380" s="385"/>
      <c r="Q380" s="386"/>
      <c r="R380" s="375"/>
      <c r="S380" s="375"/>
      <c r="U380" s="385"/>
      <c r="V380" s="386"/>
      <c r="W380" s="375"/>
      <c r="X380" s="375"/>
      <c r="Z380" s="385"/>
      <c r="AA380" s="386"/>
      <c r="AB380" s="375"/>
      <c r="AC380" s="375"/>
      <c r="AE380" s="385"/>
      <c r="AF380" s="386"/>
      <c r="AG380" s="375"/>
      <c r="AH380" s="375"/>
      <c r="AJ380" s="385"/>
      <c r="AK380" s="386"/>
      <c r="AL380" s="375"/>
      <c r="AM380" s="375"/>
      <c r="AO380" s="385"/>
      <c r="AP380" s="386"/>
      <c r="AQ380" s="375"/>
      <c r="AR380" s="375"/>
      <c r="AT380" s="385"/>
      <c r="AU380" s="386"/>
      <c r="AV380" s="375"/>
      <c r="AW380" s="375"/>
      <c r="AY380" s="385"/>
      <c r="AZ380" s="386"/>
      <c r="BA380" s="375"/>
      <c r="BB380" s="375"/>
      <c r="BD380" s="385"/>
      <c r="BE380" s="386"/>
      <c r="BF380" s="375"/>
      <c r="BG380" s="375"/>
      <c r="BI380" s="385"/>
      <c r="BJ380" s="386"/>
      <c r="BK380" s="375"/>
      <c r="BL380" s="375"/>
      <c r="BN380" s="385"/>
      <c r="BO380" s="386"/>
      <c r="BP380" s="375"/>
      <c r="BQ380" s="375"/>
      <c r="BS380" s="385"/>
      <c r="BT380" s="386"/>
      <c r="BU380" s="375"/>
      <c r="BV380" s="375"/>
      <c r="BX380" s="385"/>
      <c r="BY380" s="386"/>
      <c r="BZ380" s="375"/>
      <c r="CA380" s="375"/>
      <c r="CC380" s="385"/>
      <c r="CD380" s="386"/>
      <c r="CE380" s="375"/>
      <c r="CF380" s="375"/>
      <c r="CH380" s="385"/>
      <c r="CI380" s="386"/>
      <c r="CJ380" s="375"/>
      <c r="CK380" s="375"/>
      <c r="CM380" s="385"/>
      <c r="CN380" s="386"/>
      <c r="CO380" s="375"/>
      <c r="CP380" s="375"/>
      <c r="CR380" s="385"/>
      <c r="CS380" s="386"/>
      <c r="CT380" s="375"/>
      <c r="CU380" s="375"/>
      <c r="CW380" s="385"/>
      <c r="CX380" s="386"/>
      <c r="CY380" s="375"/>
      <c r="CZ380" s="375"/>
      <c r="DB380" s="385"/>
      <c r="DC380" s="386"/>
      <c r="DD380" s="375"/>
      <c r="DE380" s="375"/>
      <c r="DG380" s="385"/>
      <c r="DH380" s="386"/>
      <c r="DI380" s="375"/>
      <c r="DJ380" s="375"/>
      <c r="DL380" s="385"/>
      <c r="DM380" s="386"/>
      <c r="DN380" s="375"/>
      <c r="DO380" s="375"/>
      <c r="DQ380" s="385"/>
      <c r="DR380" s="386"/>
      <c r="DS380" s="375"/>
      <c r="DT380" s="375"/>
      <c r="DV380" s="385"/>
      <c r="DW380" s="386"/>
      <c r="DX380" s="375"/>
      <c r="DY380" s="375"/>
      <c r="EA380" s="385"/>
      <c r="EB380" s="386"/>
      <c r="EC380" s="375"/>
      <c r="ED380" s="375"/>
      <c r="EF380" s="385"/>
      <c r="EG380" s="386"/>
      <c r="EH380" s="375"/>
      <c r="EI380" s="375"/>
      <c r="EK380" s="385"/>
      <c r="EL380" s="386"/>
      <c r="EM380" s="375"/>
      <c r="EN380" s="375"/>
      <c r="EP380" s="385"/>
      <c r="EQ380" s="386"/>
      <c r="ER380" s="375"/>
      <c r="ES380" s="375"/>
      <c r="EU380" s="385"/>
      <c r="EV380" s="386"/>
      <c r="EW380" s="375"/>
      <c r="EX380" s="375"/>
      <c r="EZ380" s="385"/>
      <c r="FA380" s="386"/>
      <c r="FB380" s="375"/>
      <c r="FC380" s="375"/>
      <c r="FE380" s="385"/>
      <c r="FF380" s="386"/>
      <c r="FG380" s="375"/>
      <c r="FH380" s="375"/>
      <c r="FJ380" s="385"/>
      <c r="FK380" s="386"/>
      <c r="FL380" s="375"/>
      <c r="FM380" s="375"/>
      <c r="FO380" s="385"/>
      <c r="FP380" s="386"/>
      <c r="FQ380" s="375"/>
      <c r="FR380" s="375"/>
      <c r="FT380" s="385"/>
      <c r="FU380" s="386"/>
      <c r="FV380" s="375"/>
      <c r="FW380" s="375"/>
      <c r="FY380" s="385"/>
      <c r="FZ380" s="386"/>
      <c r="GA380" s="375"/>
      <c r="GB380" s="375"/>
      <c r="GD380" s="385"/>
      <c r="GE380" s="386"/>
      <c r="GF380" s="375"/>
      <c r="GG380" s="375"/>
      <c r="GI380" s="385"/>
      <c r="GJ380" s="386"/>
      <c r="GK380" s="375"/>
      <c r="GL380" s="375"/>
      <c r="GN380" s="385"/>
      <c r="GO380" s="386"/>
      <c r="GP380" s="375"/>
      <c r="GQ380" s="375"/>
      <c r="GS380" s="385"/>
      <c r="GT380" s="386"/>
      <c r="GU380" s="375"/>
      <c r="GV380" s="375"/>
      <c r="GX380" s="385"/>
      <c r="GY380" s="386"/>
      <c r="GZ380" s="375"/>
      <c r="HA380" s="375"/>
      <c r="HC380" s="385"/>
      <c r="HD380" s="386"/>
      <c r="HE380" s="375"/>
      <c r="HF380" s="375"/>
      <c r="HH380" s="385"/>
      <c r="HI380" s="386"/>
      <c r="HJ380" s="375"/>
      <c r="HK380" s="375"/>
      <c r="HM380" s="385"/>
      <c r="HN380" s="386"/>
      <c r="HO380" s="375"/>
      <c r="HP380" s="375"/>
      <c r="HR380" s="385"/>
      <c r="HS380" s="386"/>
      <c r="HT380" s="375"/>
      <c r="HU380" s="375"/>
      <c r="HW380" s="385"/>
      <c r="HX380" s="386"/>
      <c r="HY380" s="375"/>
      <c r="HZ380" s="375"/>
      <c r="IB380" s="385"/>
      <c r="IC380" s="386"/>
      <c r="ID380" s="375"/>
      <c r="IE380" s="375"/>
      <c r="IG380" s="385"/>
      <c r="IH380" s="386"/>
      <c r="II380" s="375"/>
      <c r="IJ380" s="375"/>
      <c r="IL380" s="385"/>
      <c r="IM380" s="386"/>
      <c r="IN380" s="375"/>
      <c r="IO380" s="375"/>
      <c r="IQ380" s="385"/>
      <c r="IR380" s="386"/>
      <c r="IS380" s="375"/>
      <c r="IT380" s="375"/>
      <c r="IV380" s="385"/>
    </row>
    <row r="381" spans="1:256" s="387" customFormat="1" x14ac:dyDescent="0.2">
      <c r="A381" s="385"/>
      <c r="B381" s="386"/>
      <c r="C381" s="375"/>
      <c r="D381" s="375"/>
      <c r="F381" s="385"/>
      <c r="G381" s="386"/>
      <c r="H381" s="375"/>
      <c r="I381" s="375"/>
      <c r="K381" s="385"/>
      <c r="L381" s="386"/>
      <c r="M381" s="375"/>
      <c r="N381" s="375"/>
      <c r="P381" s="385"/>
      <c r="Q381" s="386"/>
      <c r="R381" s="375"/>
      <c r="S381" s="375"/>
      <c r="U381" s="385"/>
      <c r="V381" s="386"/>
      <c r="W381" s="375"/>
      <c r="X381" s="375"/>
      <c r="Z381" s="385"/>
      <c r="AA381" s="386"/>
      <c r="AB381" s="375"/>
      <c r="AC381" s="375"/>
      <c r="AE381" s="385"/>
      <c r="AF381" s="386"/>
      <c r="AG381" s="375"/>
      <c r="AH381" s="375"/>
      <c r="AJ381" s="385"/>
      <c r="AK381" s="386"/>
      <c r="AL381" s="375"/>
      <c r="AM381" s="375"/>
      <c r="AO381" s="385"/>
      <c r="AP381" s="386"/>
      <c r="AQ381" s="375"/>
      <c r="AR381" s="375"/>
      <c r="AT381" s="385"/>
      <c r="AU381" s="386"/>
      <c r="AV381" s="375"/>
      <c r="AW381" s="375"/>
      <c r="AY381" s="385"/>
      <c r="AZ381" s="386"/>
      <c r="BA381" s="375"/>
      <c r="BB381" s="375"/>
      <c r="BD381" s="385"/>
      <c r="BE381" s="386"/>
      <c r="BF381" s="375"/>
      <c r="BG381" s="375"/>
      <c r="BI381" s="385"/>
      <c r="BJ381" s="386"/>
      <c r="BK381" s="375"/>
      <c r="BL381" s="375"/>
      <c r="BN381" s="385"/>
      <c r="BO381" s="386"/>
      <c r="BP381" s="375"/>
      <c r="BQ381" s="375"/>
      <c r="BS381" s="385"/>
      <c r="BT381" s="386"/>
      <c r="BU381" s="375"/>
      <c r="BV381" s="375"/>
      <c r="BX381" s="385"/>
      <c r="BY381" s="386"/>
      <c r="BZ381" s="375"/>
      <c r="CA381" s="375"/>
      <c r="CC381" s="385"/>
      <c r="CD381" s="386"/>
      <c r="CE381" s="375"/>
      <c r="CF381" s="375"/>
      <c r="CH381" s="385"/>
      <c r="CI381" s="386"/>
      <c r="CJ381" s="375"/>
      <c r="CK381" s="375"/>
      <c r="CM381" s="385"/>
      <c r="CN381" s="386"/>
      <c r="CO381" s="375"/>
      <c r="CP381" s="375"/>
      <c r="CR381" s="385"/>
      <c r="CS381" s="386"/>
      <c r="CT381" s="375"/>
      <c r="CU381" s="375"/>
      <c r="CW381" s="385"/>
      <c r="CX381" s="386"/>
      <c r="CY381" s="375"/>
      <c r="CZ381" s="375"/>
      <c r="DB381" s="385"/>
      <c r="DC381" s="386"/>
      <c r="DD381" s="375"/>
      <c r="DE381" s="375"/>
      <c r="DG381" s="385"/>
      <c r="DH381" s="386"/>
      <c r="DI381" s="375"/>
      <c r="DJ381" s="375"/>
      <c r="DL381" s="385"/>
      <c r="DM381" s="386"/>
      <c r="DN381" s="375"/>
      <c r="DO381" s="375"/>
      <c r="DQ381" s="385"/>
      <c r="DR381" s="386"/>
      <c r="DS381" s="375"/>
      <c r="DT381" s="375"/>
      <c r="DV381" s="385"/>
      <c r="DW381" s="386"/>
      <c r="DX381" s="375"/>
      <c r="DY381" s="375"/>
      <c r="EA381" s="385"/>
      <c r="EB381" s="386"/>
      <c r="EC381" s="375"/>
      <c r="ED381" s="375"/>
      <c r="EF381" s="385"/>
      <c r="EG381" s="386"/>
      <c r="EH381" s="375"/>
      <c r="EI381" s="375"/>
      <c r="EK381" s="385"/>
      <c r="EL381" s="386"/>
      <c r="EM381" s="375"/>
      <c r="EN381" s="375"/>
      <c r="EP381" s="385"/>
      <c r="EQ381" s="386"/>
      <c r="ER381" s="375"/>
      <c r="ES381" s="375"/>
      <c r="EU381" s="385"/>
      <c r="EV381" s="386"/>
      <c r="EW381" s="375"/>
      <c r="EX381" s="375"/>
      <c r="EZ381" s="385"/>
      <c r="FA381" s="386"/>
      <c r="FB381" s="375"/>
      <c r="FC381" s="375"/>
      <c r="FE381" s="385"/>
      <c r="FF381" s="386"/>
      <c r="FG381" s="375"/>
      <c r="FH381" s="375"/>
      <c r="FJ381" s="385"/>
      <c r="FK381" s="386"/>
      <c r="FL381" s="375"/>
      <c r="FM381" s="375"/>
      <c r="FO381" s="385"/>
      <c r="FP381" s="386"/>
      <c r="FQ381" s="375"/>
      <c r="FR381" s="375"/>
      <c r="FT381" s="385"/>
      <c r="FU381" s="386"/>
      <c r="FV381" s="375"/>
      <c r="FW381" s="375"/>
      <c r="FY381" s="385"/>
      <c r="FZ381" s="386"/>
      <c r="GA381" s="375"/>
      <c r="GB381" s="375"/>
      <c r="GD381" s="385"/>
      <c r="GE381" s="386"/>
      <c r="GF381" s="375"/>
      <c r="GG381" s="375"/>
      <c r="GI381" s="385"/>
      <c r="GJ381" s="386"/>
      <c r="GK381" s="375"/>
      <c r="GL381" s="375"/>
      <c r="GN381" s="385"/>
      <c r="GO381" s="386"/>
      <c r="GP381" s="375"/>
      <c r="GQ381" s="375"/>
      <c r="GS381" s="385"/>
      <c r="GT381" s="386"/>
      <c r="GU381" s="375"/>
      <c r="GV381" s="375"/>
      <c r="GX381" s="385"/>
      <c r="GY381" s="386"/>
      <c r="GZ381" s="375"/>
      <c r="HA381" s="375"/>
      <c r="HC381" s="385"/>
      <c r="HD381" s="386"/>
      <c r="HE381" s="375"/>
      <c r="HF381" s="375"/>
      <c r="HH381" s="385"/>
      <c r="HI381" s="386"/>
      <c r="HJ381" s="375"/>
      <c r="HK381" s="375"/>
      <c r="HM381" s="385"/>
      <c r="HN381" s="386"/>
      <c r="HO381" s="375"/>
      <c r="HP381" s="375"/>
      <c r="HR381" s="385"/>
      <c r="HS381" s="386"/>
      <c r="HT381" s="375"/>
      <c r="HU381" s="375"/>
      <c r="HW381" s="385"/>
      <c r="HX381" s="386"/>
      <c r="HY381" s="375"/>
      <c r="HZ381" s="375"/>
      <c r="IB381" s="385"/>
      <c r="IC381" s="386"/>
      <c r="ID381" s="375"/>
      <c r="IE381" s="375"/>
      <c r="IG381" s="385"/>
      <c r="IH381" s="386"/>
      <c r="II381" s="375"/>
      <c r="IJ381" s="375"/>
      <c r="IL381" s="385"/>
      <c r="IM381" s="386"/>
      <c r="IN381" s="375"/>
      <c r="IO381" s="375"/>
      <c r="IQ381" s="385"/>
      <c r="IR381" s="386"/>
      <c r="IS381" s="375"/>
      <c r="IT381" s="375"/>
      <c r="IV381" s="385"/>
    </row>
    <row r="382" spans="1:256" s="387" customFormat="1" x14ac:dyDescent="0.2">
      <c r="A382" s="385"/>
      <c r="B382" s="386"/>
      <c r="C382" s="375"/>
      <c r="D382" s="375"/>
      <c r="F382" s="385"/>
      <c r="G382" s="386"/>
      <c r="H382" s="375"/>
      <c r="I382" s="375"/>
      <c r="K382" s="385"/>
      <c r="L382" s="386"/>
      <c r="M382" s="375"/>
      <c r="N382" s="375"/>
      <c r="P382" s="385"/>
      <c r="Q382" s="386"/>
      <c r="R382" s="375"/>
      <c r="S382" s="375"/>
      <c r="U382" s="385"/>
      <c r="V382" s="386"/>
      <c r="W382" s="375"/>
      <c r="X382" s="375"/>
      <c r="Z382" s="385"/>
      <c r="AA382" s="386"/>
      <c r="AB382" s="375"/>
      <c r="AC382" s="375"/>
      <c r="AE382" s="385"/>
      <c r="AF382" s="386"/>
      <c r="AG382" s="375"/>
      <c r="AH382" s="375"/>
      <c r="AJ382" s="385"/>
      <c r="AK382" s="386"/>
      <c r="AL382" s="375"/>
      <c r="AM382" s="375"/>
      <c r="AO382" s="385"/>
      <c r="AP382" s="386"/>
      <c r="AQ382" s="375"/>
      <c r="AR382" s="375"/>
      <c r="AT382" s="385"/>
      <c r="AU382" s="386"/>
      <c r="AV382" s="375"/>
      <c r="AW382" s="375"/>
      <c r="AY382" s="385"/>
      <c r="AZ382" s="386"/>
      <c r="BA382" s="375"/>
      <c r="BB382" s="375"/>
      <c r="BD382" s="385"/>
      <c r="BE382" s="386"/>
      <c r="BF382" s="375"/>
      <c r="BG382" s="375"/>
      <c r="BI382" s="385"/>
      <c r="BJ382" s="386"/>
      <c r="BK382" s="375"/>
      <c r="BL382" s="375"/>
      <c r="BN382" s="385"/>
      <c r="BO382" s="386"/>
      <c r="BP382" s="375"/>
      <c r="BQ382" s="375"/>
      <c r="BS382" s="385"/>
      <c r="BT382" s="386"/>
      <c r="BU382" s="375"/>
      <c r="BV382" s="375"/>
      <c r="BX382" s="385"/>
      <c r="BY382" s="386"/>
      <c r="BZ382" s="375"/>
      <c r="CA382" s="375"/>
      <c r="CC382" s="385"/>
      <c r="CD382" s="386"/>
      <c r="CE382" s="375"/>
      <c r="CF382" s="375"/>
      <c r="CH382" s="385"/>
      <c r="CI382" s="386"/>
      <c r="CJ382" s="375"/>
      <c r="CK382" s="375"/>
      <c r="CM382" s="385"/>
      <c r="CN382" s="386"/>
      <c r="CO382" s="375"/>
      <c r="CP382" s="375"/>
      <c r="CR382" s="385"/>
      <c r="CS382" s="386"/>
      <c r="CT382" s="375"/>
      <c r="CU382" s="375"/>
      <c r="CW382" s="385"/>
      <c r="CX382" s="386"/>
      <c r="CY382" s="375"/>
      <c r="CZ382" s="375"/>
      <c r="DB382" s="385"/>
      <c r="DC382" s="386"/>
      <c r="DD382" s="375"/>
      <c r="DE382" s="375"/>
      <c r="DG382" s="385"/>
      <c r="DH382" s="386"/>
      <c r="DI382" s="375"/>
      <c r="DJ382" s="375"/>
      <c r="DL382" s="385"/>
      <c r="DM382" s="386"/>
      <c r="DN382" s="375"/>
      <c r="DO382" s="375"/>
      <c r="DQ382" s="385"/>
      <c r="DR382" s="386"/>
      <c r="DS382" s="375"/>
      <c r="DT382" s="375"/>
      <c r="DV382" s="385"/>
      <c r="DW382" s="386"/>
      <c r="DX382" s="375"/>
      <c r="DY382" s="375"/>
      <c r="EA382" s="385"/>
      <c r="EB382" s="386"/>
      <c r="EC382" s="375"/>
      <c r="ED382" s="375"/>
      <c r="EF382" s="385"/>
      <c r="EG382" s="386"/>
      <c r="EH382" s="375"/>
      <c r="EI382" s="375"/>
      <c r="EK382" s="385"/>
      <c r="EL382" s="386"/>
      <c r="EM382" s="375"/>
      <c r="EN382" s="375"/>
      <c r="EP382" s="385"/>
      <c r="EQ382" s="386"/>
      <c r="ER382" s="375"/>
      <c r="ES382" s="375"/>
      <c r="EU382" s="385"/>
      <c r="EV382" s="386"/>
      <c r="EW382" s="375"/>
      <c r="EX382" s="375"/>
      <c r="EZ382" s="385"/>
      <c r="FA382" s="386"/>
      <c r="FB382" s="375"/>
      <c r="FC382" s="375"/>
      <c r="FE382" s="385"/>
      <c r="FF382" s="386"/>
      <c r="FG382" s="375"/>
      <c r="FH382" s="375"/>
      <c r="FJ382" s="385"/>
      <c r="FK382" s="386"/>
      <c r="FL382" s="375"/>
      <c r="FM382" s="375"/>
      <c r="FO382" s="385"/>
      <c r="FP382" s="386"/>
      <c r="FQ382" s="375"/>
      <c r="FR382" s="375"/>
      <c r="FT382" s="385"/>
      <c r="FU382" s="386"/>
      <c r="FV382" s="375"/>
      <c r="FW382" s="375"/>
      <c r="FY382" s="385"/>
      <c r="FZ382" s="386"/>
      <c r="GA382" s="375"/>
      <c r="GB382" s="375"/>
      <c r="GD382" s="385"/>
      <c r="GE382" s="386"/>
      <c r="GF382" s="375"/>
      <c r="GG382" s="375"/>
      <c r="GI382" s="385"/>
      <c r="GJ382" s="386"/>
      <c r="GK382" s="375"/>
      <c r="GL382" s="375"/>
      <c r="GN382" s="385"/>
      <c r="GO382" s="386"/>
      <c r="GP382" s="375"/>
      <c r="GQ382" s="375"/>
      <c r="GS382" s="385"/>
      <c r="GT382" s="386"/>
      <c r="GU382" s="375"/>
      <c r="GV382" s="375"/>
      <c r="GX382" s="385"/>
      <c r="GY382" s="386"/>
      <c r="GZ382" s="375"/>
      <c r="HA382" s="375"/>
      <c r="HC382" s="385"/>
      <c r="HD382" s="386"/>
      <c r="HE382" s="375"/>
      <c r="HF382" s="375"/>
      <c r="HH382" s="385"/>
      <c r="HI382" s="386"/>
      <c r="HJ382" s="375"/>
      <c r="HK382" s="375"/>
      <c r="HM382" s="385"/>
      <c r="HN382" s="386"/>
      <c r="HO382" s="375"/>
      <c r="HP382" s="375"/>
      <c r="HR382" s="385"/>
      <c r="HS382" s="386"/>
      <c r="HT382" s="375"/>
      <c r="HU382" s="375"/>
      <c r="HW382" s="385"/>
      <c r="HX382" s="386"/>
      <c r="HY382" s="375"/>
      <c r="HZ382" s="375"/>
      <c r="IB382" s="385"/>
      <c r="IC382" s="386"/>
      <c r="ID382" s="375"/>
      <c r="IE382" s="375"/>
      <c r="IG382" s="385"/>
      <c r="IH382" s="386"/>
      <c r="II382" s="375"/>
      <c r="IJ382" s="375"/>
      <c r="IL382" s="385"/>
      <c r="IM382" s="386"/>
      <c r="IN382" s="375"/>
      <c r="IO382" s="375"/>
      <c r="IQ382" s="385"/>
      <c r="IR382" s="386"/>
      <c r="IS382" s="375"/>
      <c r="IT382" s="375"/>
      <c r="IV382" s="385"/>
    </row>
    <row r="383" spans="1:256" s="387" customFormat="1" x14ac:dyDescent="0.2">
      <c r="A383" s="385"/>
      <c r="B383" s="386"/>
      <c r="C383" s="375"/>
      <c r="D383" s="375"/>
      <c r="F383" s="385"/>
      <c r="G383" s="386"/>
      <c r="H383" s="375"/>
      <c r="I383" s="375"/>
      <c r="K383" s="385"/>
      <c r="L383" s="386"/>
      <c r="M383" s="375"/>
      <c r="N383" s="375"/>
      <c r="P383" s="385"/>
      <c r="Q383" s="386"/>
      <c r="R383" s="375"/>
      <c r="S383" s="375"/>
      <c r="U383" s="385"/>
      <c r="V383" s="386"/>
      <c r="W383" s="375"/>
      <c r="X383" s="375"/>
      <c r="Z383" s="385"/>
      <c r="AA383" s="386"/>
      <c r="AB383" s="375"/>
      <c r="AC383" s="375"/>
      <c r="AE383" s="385"/>
      <c r="AF383" s="386"/>
      <c r="AG383" s="375"/>
      <c r="AH383" s="375"/>
      <c r="AJ383" s="385"/>
      <c r="AK383" s="386"/>
      <c r="AL383" s="375"/>
      <c r="AM383" s="375"/>
      <c r="AO383" s="385"/>
      <c r="AP383" s="386"/>
      <c r="AQ383" s="375"/>
      <c r="AR383" s="375"/>
      <c r="AT383" s="385"/>
      <c r="AU383" s="386"/>
      <c r="AV383" s="375"/>
      <c r="AW383" s="375"/>
      <c r="AY383" s="385"/>
      <c r="AZ383" s="386"/>
      <c r="BA383" s="375"/>
      <c r="BB383" s="375"/>
      <c r="BD383" s="385"/>
      <c r="BE383" s="386"/>
      <c r="BF383" s="375"/>
      <c r="BG383" s="375"/>
      <c r="BI383" s="385"/>
      <c r="BJ383" s="386"/>
      <c r="BK383" s="375"/>
      <c r="BL383" s="375"/>
      <c r="BN383" s="385"/>
      <c r="BO383" s="386"/>
      <c r="BP383" s="375"/>
      <c r="BQ383" s="375"/>
      <c r="BS383" s="385"/>
      <c r="BT383" s="386"/>
      <c r="BU383" s="375"/>
      <c r="BV383" s="375"/>
      <c r="BX383" s="385"/>
      <c r="BY383" s="386"/>
      <c r="BZ383" s="375"/>
      <c r="CA383" s="375"/>
      <c r="CC383" s="385"/>
      <c r="CD383" s="386"/>
      <c r="CE383" s="375"/>
      <c r="CF383" s="375"/>
      <c r="CH383" s="385"/>
      <c r="CI383" s="386"/>
      <c r="CJ383" s="375"/>
      <c r="CK383" s="375"/>
      <c r="CM383" s="385"/>
      <c r="CN383" s="386"/>
      <c r="CO383" s="375"/>
      <c r="CP383" s="375"/>
      <c r="CR383" s="385"/>
      <c r="CS383" s="386"/>
      <c r="CT383" s="375"/>
      <c r="CU383" s="375"/>
      <c r="CW383" s="385"/>
      <c r="CX383" s="386"/>
      <c r="CY383" s="375"/>
      <c r="CZ383" s="375"/>
      <c r="DB383" s="385"/>
      <c r="DC383" s="386"/>
      <c r="DD383" s="375"/>
      <c r="DE383" s="375"/>
      <c r="DG383" s="385"/>
      <c r="DH383" s="386"/>
      <c r="DI383" s="375"/>
      <c r="DJ383" s="375"/>
      <c r="DL383" s="385"/>
      <c r="DM383" s="386"/>
      <c r="DN383" s="375"/>
      <c r="DO383" s="375"/>
      <c r="DQ383" s="385"/>
      <c r="DR383" s="386"/>
      <c r="DS383" s="375"/>
      <c r="DT383" s="375"/>
      <c r="DV383" s="385"/>
      <c r="DW383" s="386"/>
      <c r="DX383" s="375"/>
      <c r="DY383" s="375"/>
      <c r="EA383" s="385"/>
      <c r="EB383" s="386"/>
      <c r="EC383" s="375"/>
      <c r="ED383" s="375"/>
      <c r="EF383" s="385"/>
      <c r="EG383" s="386"/>
      <c r="EH383" s="375"/>
      <c r="EI383" s="375"/>
      <c r="EK383" s="385"/>
      <c r="EL383" s="386"/>
      <c r="EM383" s="375"/>
      <c r="EN383" s="375"/>
      <c r="EP383" s="385"/>
      <c r="EQ383" s="386"/>
      <c r="ER383" s="375"/>
      <c r="ES383" s="375"/>
      <c r="EU383" s="385"/>
      <c r="EV383" s="386"/>
      <c r="EW383" s="375"/>
      <c r="EX383" s="375"/>
      <c r="EZ383" s="385"/>
      <c r="FA383" s="386"/>
      <c r="FB383" s="375"/>
      <c r="FC383" s="375"/>
      <c r="FE383" s="385"/>
      <c r="FF383" s="386"/>
      <c r="FG383" s="375"/>
      <c r="FH383" s="375"/>
      <c r="FJ383" s="385"/>
      <c r="FK383" s="386"/>
      <c r="FL383" s="375"/>
      <c r="FM383" s="375"/>
      <c r="FO383" s="385"/>
      <c r="FP383" s="386"/>
      <c r="FQ383" s="375"/>
      <c r="FR383" s="375"/>
      <c r="FT383" s="385"/>
      <c r="FU383" s="386"/>
      <c r="FV383" s="375"/>
      <c r="FW383" s="375"/>
      <c r="FY383" s="385"/>
      <c r="FZ383" s="386"/>
      <c r="GA383" s="375"/>
      <c r="GB383" s="375"/>
      <c r="GD383" s="385"/>
      <c r="GE383" s="386"/>
      <c r="GF383" s="375"/>
      <c r="GG383" s="375"/>
      <c r="GI383" s="385"/>
      <c r="GJ383" s="386"/>
      <c r="GK383" s="375"/>
      <c r="GL383" s="375"/>
      <c r="GN383" s="385"/>
      <c r="GO383" s="386"/>
      <c r="GP383" s="375"/>
      <c r="GQ383" s="375"/>
      <c r="GS383" s="385"/>
      <c r="GT383" s="386"/>
      <c r="GU383" s="375"/>
      <c r="GV383" s="375"/>
      <c r="GX383" s="385"/>
      <c r="GY383" s="386"/>
      <c r="GZ383" s="375"/>
      <c r="HA383" s="375"/>
      <c r="HC383" s="385"/>
      <c r="HD383" s="386"/>
      <c r="HE383" s="375"/>
      <c r="HF383" s="375"/>
      <c r="HH383" s="385"/>
      <c r="HI383" s="386"/>
      <c r="HJ383" s="375"/>
      <c r="HK383" s="375"/>
      <c r="HM383" s="385"/>
      <c r="HN383" s="386"/>
      <c r="HO383" s="375"/>
      <c r="HP383" s="375"/>
      <c r="HR383" s="385"/>
      <c r="HS383" s="386"/>
      <c r="HT383" s="375"/>
      <c r="HU383" s="375"/>
      <c r="HW383" s="385"/>
      <c r="HX383" s="386"/>
      <c r="HY383" s="375"/>
      <c r="HZ383" s="375"/>
      <c r="IB383" s="385"/>
      <c r="IC383" s="386"/>
      <c r="ID383" s="375"/>
      <c r="IE383" s="375"/>
      <c r="IG383" s="385"/>
      <c r="IH383" s="386"/>
      <c r="II383" s="375"/>
      <c r="IJ383" s="375"/>
      <c r="IL383" s="385"/>
      <c r="IM383" s="386"/>
      <c r="IN383" s="375"/>
      <c r="IO383" s="375"/>
      <c r="IQ383" s="385"/>
      <c r="IR383" s="386"/>
      <c r="IS383" s="375"/>
      <c r="IT383" s="375"/>
      <c r="IV383" s="385"/>
    </row>
    <row r="384" spans="1:256" s="387" customFormat="1" x14ac:dyDescent="0.2">
      <c r="A384" s="385"/>
      <c r="B384" s="386"/>
      <c r="C384" s="375"/>
      <c r="D384" s="375"/>
      <c r="F384" s="385"/>
      <c r="G384" s="386"/>
      <c r="H384" s="375"/>
      <c r="I384" s="375"/>
      <c r="K384" s="385"/>
      <c r="L384" s="386"/>
      <c r="M384" s="375"/>
      <c r="N384" s="375"/>
      <c r="P384" s="385"/>
      <c r="Q384" s="386"/>
      <c r="R384" s="375"/>
      <c r="S384" s="375"/>
      <c r="U384" s="385"/>
      <c r="V384" s="386"/>
      <c r="W384" s="375"/>
      <c r="X384" s="375"/>
      <c r="Z384" s="385"/>
      <c r="AA384" s="386"/>
      <c r="AB384" s="375"/>
      <c r="AC384" s="375"/>
      <c r="AE384" s="385"/>
      <c r="AF384" s="386"/>
      <c r="AG384" s="375"/>
      <c r="AH384" s="375"/>
      <c r="AJ384" s="385"/>
      <c r="AK384" s="386"/>
      <c r="AL384" s="375"/>
      <c r="AM384" s="375"/>
      <c r="AO384" s="385"/>
      <c r="AP384" s="386"/>
      <c r="AQ384" s="375"/>
      <c r="AR384" s="375"/>
      <c r="AT384" s="385"/>
      <c r="AU384" s="386"/>
      <c r="AV384" s="375"/>
      <c r="AW384" s="375"/>
      <c r="AY384" s="385"/>
      <c r="AZ384" s="386"/>
      <c r="BA384" s="375"/>
      <c r="BB384" s="375"/>
      <c r="BD384" s="385"/>
      <c r="BE384" s="386"/>
      <c r="BF384" s="375"/>
      <c r="BG384" s="375"/>
      <c r="BI384" s="385"/>
      <c r="BJ384" s="386"/>
      <c r="BK384" s="375"/>
      <c r="BL384" s="375"/>
      <c r="BN384" s="385"/>
      <c r="BO384" s="386"/>
      <c r="BP384" s="375"/>
      <c r="BQ384" s="375"/>
      <c r="BS384" s="385"/>
      <c r="BT384" s="386"/>
      <c r="BU384" s="375"/>
      <c r="BV384" s="375"/>
      <c r="BX384" s="385"/>
      <c r="BY384" s="386"/>
      <c r="BZ384" s="375"/>
      <c r="CA384" s="375"/>
      <c r="CC384" s="385"/>
      <c r="CD384" s="386"/>
      <c r="CE384" s="375"/>
      <c r="CF384" s="375"/>
      <c r="CH384" s="385"/>
      <c r="CI384" s="386"/>
      <c r="CJ384" s="375"/>
      <c r="CK384" s="375"/>
      <c r="CM384" s="385"/>
      <c r="CN384" s="386"/>
      <c r="CO384" s="375"/>
      <c r="CP384" s="375"/>
      <c r="CR384" s="385"/>
      <c r="CS384" s="386"/>
      <c r="CT384" s="375"/>
      <c r="CU384" s="375"/>
      <c r="CW384" s="385"/>
      <c r="CX384" s="386"/>
      <c r="CY384" s="375"/>
      <c r="CZ384" s="375"/>
      <c r="DB384" s="385"/>
      <c r="DC384" s="386"/>
      <c r="DD384" s="375"/>
      <c r="DE384" s="375"/>
      <c r="DG384" s="385"/>
      <c r="DH384" s="386"/>
      <c r="DI384" s="375"/>
      <c r="DJ384" s="375"/>
      <c r="DL384" s="385"/>
      <c r="DM384" s="386"/>
      <c r="DN384" s="375"/>
      <c r="DO384" s="375"/>
      <c r="DQ384" s="385"/>
      <c r="DR384" s="386"/>
      <c r="DS384" s="375"/>
      <c r="DT384" s="375"/>
      <c r="DV384" s="385"/>
      <c r="DW384" s="386"/>
      <c r="DX384" s="375"/>
      <c r="DY384" s="375"/>
      <c r="EA384" s="385"/>
      <c r="EB384" s="386"/>
      <c r="EC384" s="375"/>
      <c r="ED384" s="375"/>
      <c r="EF384" s="385"/>
      <c r="EG384" s="386"/>
      <c r="EH384" s="375"/>
      <c r="EI384" s="375"/>
      <c r="EK384" s="385"/>
      <c r="EL384" s="386"/>
      <c r="EM384" s="375"/>
      <c r="EN384" s="375"/>
      <c r="EP384" s="385"/>
      <c r="EQ384" s="386"/>
      <c r="ER384" s="375"/>
      <c r="ES384" s="375"/>
      <c r="EU384" s="385"/>
      <c r="EV384" s="386"/>
      <c r="EW384" s="375"/>
      <c r="EX384" s="375"/>
      <c r="EZ384" s="385"/>
      <c r="FA384" s="386"/>
      <c r="FB384" s="375"/>
      <c r="FC384" s="375"/>
      <c r="FE384" s="385"/>
      <c r="FF384" s="386"/>
      <c r="FG384" s="375"/>
      <c r="FH384" s="375"/>
      <c r="FJ384" s="385"/>
      <c r="FK384" s="386"/>
      <c r="FL384" s="375"/>
      <c r="FM384" s="375"/>
      <c r="FO384" s="385"/>
      <c r="FP384" s="386"/>
      <c r="FQ384" s="375"/>
      <c r="FR384" s="375"/>
      <c r="FT384" s="385"/>
      <c r="FU384" s="386"/>
      <c r="FV384" s="375"/>
      <c r="FW384" s="375"/>
      <c r="FY384" s="385"/>
      <c r="FZ384" s="386"/>
      <c r="GA384" s="375"/>
      <c r="GB384" s="375"/>
      <c r="GD384" s="385"/>
      <c r="GE384" s="386"/>
      <c r="GF384" s="375"/>
      <c r="GG384" s="375"/>
      <c r="GI384" s="385"/>
      <c r="GJ384" s="386"/>
      <c r="GK384" s="375"/>
      <c r="GL384" s="375"/>
      <c r="GN384" s="385"/>
      <c r="GO384" s="386"/>
      <c r="GP384" s="375"/>
      <c r="GQ384" s="375"/>
      <c r="GS384" s="385"/>
      <c r="GT384" s="386"/>
      <c r="GU384" s="375"/>
      <c r="GV384" s="375"/>
      <c r="GX384" s="385"/>
      <c r="GY384" s="386"/>
      <c r="GZ384" s="375"/>
      <c r="HA384" s="375"/>
      <c r="HC384" s="385"/>
      <c r="HD384" s="386"/>
      <c r="HE384" s="375"/>
      <c r="HF384" s="375"/>
      <c r="HH384" s="385"/>
      <c r="HI384" s="386"/>
      <c r="HJ384" s="375"/>
      <c r="HK384" s="375"/>
      <c r="HM384" s="385"/>
      <c r="HN384" s="386"/>
      <c r="HO384" s="375"/>
      <c r="HP384" s="375"/>
      <c r="HR384" s="385"/>
      <c r="HS384" s="386"/>
      <c r="HT384" s="375"/>
      <c r="HU384" s="375"/>
      <c r="HW384" s="385"/>
      <c r="HX384" s="386"/>
      <c r="HY384" s="375"/>
      <c r="HZ384" s="375"/>
      <c r="IB384" s="385"/>
      <c r="IC384" s="386"/>
      <c r="ID384" s="375"/>
      <c r="IE384" s="375"/>
      <c r="IG384" s="385"/>
      <c r="IH384" s="386"/>
      <c r="II384" s="375"/>
      <c r="IJ384" s="375"/>
      <c r="IL384" s="385"/>
      <c r="IM384" s="386"/>
      <c r="IN384" s="375"/>
      <c r="IO384" s="375"/>
      <c r="IQ384" s="385"/>
      <c r="IR384" s="386"/>
      <c r="IS384" s="375"/>
      <c r="IT384" s="375"/>
      <c r="IV384" s="385"/>
    </row>
    <row r="385" spans="1:256" s="387" customFormat="1" x14ac:dyDescent="0.2">
      <c r="A385" s="385"/>
      <c r="B385" s="386"/>
      <c r="C385" s="375"/>
      <c r="D385" s="375"/>
      <c r="F385" s="385"/>
      <c r="G385" s="386"/>
      <c r="H385" s="375"/>
      <c r="I385" s="375"/>
      <c r="K385" s="385"/>
      <c r="L385" s="386"/>
      <c r="M385" s="375"/>
      <c r="N385" s="375"/>
      <c r="P385" s="385"/>
      <c r="Q385" s="386"/>
      <c r="R385" s="375"/>
      <c r="S385" s="375"/>
      <c r="U385" s="385"/>
      <c r="V385" s="386"/>
      <c r="W385" s="375"/>
      <c r="X385" s="375"/>
      <c r="Z385" s="385"/>
      <c r="AA385" s="386"/>
      <c r="AB385" s="375"/>
      <c r="AC385" s="375"/>
      <c r="AE385" s="385"/>
      <c r="AF385" s="386"/>
      <c r="AG385" s="375"/>
      <c r="AH385" s="375"/>
      <c r="AJ385" s="385"/>
      <c r="AK385" s="386"/>
      <c r="AL385" s="375"/>
      <c r="AM385" s="375"/>
      <c r="AO385" s="385"/>
      <c r="AP385" s="386"/>
      <c r="AQ385" s="375"/>
      <c r="AR385" s="375"/>
      <c r="AT385" s="385"/>
      <c r="AU385" s="386"/>
      <c r="AV385" s="375"/>
      <c r="AW385" s="375"/>
      <c r="AY385" s="385"/>
      <c r="AZ385" s="386"/>
      <c r="BA385" s="375"/>
      <c r="BB385" s="375"/>
      <c r="BD385" s="385"/>
      <c r="BE385" s="386"/>
      <c r="BF385" s="375"/>
      <c r="BG385" s="375"/>
      <c r="BI385" s="385"/>
      <c r="BJ385" s="386"/>
      <c r="BK385" s="375"/>
      <c r="BL385" s="375"/>
      <c r="BN385" s="385"/>
      <c r="BO385" s="386"/>
      <c r="BP385" s="375"/>
      <c r="BQ385" s="375"/>
      <c r="BS385" s="385"/>
      <c r="BT385" s="386"/>
      <c r="BU385" s="375"/>
      <c r="BV385" s="375"/>
      <c r="BX385" s="385"/>
      <c r="BY385" s="386"/>
      <c r="BZ385" s="375"/>
      <c r="CA385" s="375"/>
      <c r="CC385" s="385"/>
      <c r="CD385" s="386"/>
      <c r="CE385" s="375"/>
      <c r="CF385" s="375"/>
      <c r="CH385" s="385"/>
      <c r="CI385" s="386"/>
      <c r="CJ385" s="375"/>
      <c r="CK385" s="375"/>
      <c r="CM385" s="385"/>
      <c r="CN385" s="386"/>
      <c r="CO385" s="375"/>
      <c r="CP385" s="375"/>
      <c r="CR385" s="385"/>
      <c r="CS385" s="386"/>
      <c r="CT385" s="375"/>
      <c r="CU385" s="375"/>
      <c r="CW385" s="385"/>
      <c r="CX385" s="386"/>
      <c r="CY385" s="375"/>
      <c r="CZ385" s="375"/>
      <c r="DB385" s="385"/>
      <c r="DC385" s="386"/>
      <c r="DD385" s="375"/>
      <c r="DE385" s="375"/>
      <c r="DG385" s="385"/>
      <c r="DH385" s="386"/>
      <c r="DI385" s="375"/>
      <c r="DJ385" s="375"/>
      <c r="DL385" s="385"/>
      <c r="DM385" s="386"/>
      <c r="DN385" s="375"/>
      <c r="DO385" s="375"/>
      <c r="DQ385" s="385"/>
      <c r="DR385" s="386"/>
      <c r="DS385" s="375"/>
      <c r="DT385" s="375"/>
      <c r="DV385" s="385"/>
      <c r="DW385" s="386"/>
      <c r="DX385" s="375"/>
      <c r="DY385" s="375"/>
      <c r="EA385" s="385"/>
      <c r="EB385" s="386"/>
      <c r="EC385" s="375"/>
      <c r="ED385" s="375"/>
      <c r="EF385" s="385"/>
      <c r="EG385" s="386"/>
      <c r="EH385" s="375"/>
      <c r="EI385" s="375"/>
      <c r="EK385" s="385"/>
      <c r="EL385" s="386"/>
      <c r="EM385" s="375"/>
      <c r="EN385" s="375"/>
      <c r="EP385" s="385"/>
      <c r="EQ385" s="386"/>
      <c r="ER385" s="375"/>
      <c r="ES385" s="375"/>
      <c r="EU385" s="385"/>
      <c r="EV385" s="386"/>
      <c r="EW385" s="375"/>
      <c r="EX385" s="375"/>
      <c r="EZ385" s="385"/>
      <c r="FA385" s="386"/>
      <c r="FB385" s="375"/>
      <c r="FC385" s="375"/>
      <c r="FE385" s="385"/>
      <c r="FF385" s="386"/>
      <c r="FG385" s="375"/>
      <c r="FH385" s="375"/>
      <c r="FJ385" s="385"/>
      <c r="FK385" s="386"/>
      <c r="FL385" s="375"/>
      <c r="FM385" s="375"/>
      <c r="FO385" s="385"/>
      <c r="FP385" s="386"/>
      <c r="FQ385" s="375"/>
      <c r="FR385" s="375"/>
      <c r="FT385" s="385"/>
      <c r="FU385" s="386"/>
      <c r="FV385" s="375"/>
      <c r="FW385" s="375"/>
      <c r="FY385" s="385"/>
      <c r="FZ385" s="386"/>
      <c r="GA385" s="375"/>
      <c r="GB385" s="375"/>
      <c r="GD385" s="385"/>
      <c r="GE385" s="386"/>
      <c r="GF385" s="375"/>
      <c r="GG385" s="375"/>
      <c r="GI385" s="385"/>
      <c r="GJ385" s="386"/>
      <c r="GK385" s="375"/>
      <c r="GL385" s="375"/>
      <c r="GN385" s="385"/>
      <c r="GO385" s="386"/>
      <c r="GP385" s="375"/>
      <c r="GQ385" s="375"/>
      <c r="GS385" s="385"/>
      <c r="GT385" s="386"/>
      <c r="GU385" s="375"/>
      <c r="GV385" s="375"/>
      <c r="GX385" s="385"/>
      <c r="GY385" s="386"/>
      <c r="GZ385" s="375"/>
      <c r="HA385" s="375"/>
      <c r="HC385" s="385"/>
      <c r="HD385" s="386"/>
      <c r="HE385" s="375"/>
      <c r="HF385" s="375"/>
      <c r="HH385" s="385"/>
      <c r="HI385" s="386"/>
      <c r="HJ385" s="375"/>
      <c r="HK385" s="375"/>
      <c r="HM385" s="385"/>
      <c r="HN385" s="386"/>
      <c r="HO385" s="375"/>
      <c r="HP385" s="375"/>
      <c r="HR385" s="385"/>
      <c r="HS385" s="386"/>
      <c r="HT385" s="375"/>
      <c r="HU385" s="375"/>
      <c r="HW385" s="385"/>
      <c r="HX385" s="386"/>
      <c r="HY385" s="375"/>
      <c r="HZ385" s="375"/>
      <c r="IB385" s="385"/>
      <c r="IC385" s="386"/>
      <c r="ID385" s="375"/>
      <c r="IE385" s="375"/>
      <c r="IG385" s="385"/>
      <c r="IH385" s="386"/>
      <c r="II385" s="375"/>
      <c r="IJ385" s="375"/>
      <c r="IL385" s="385"/>
      <c r="IM385" s="386"/>
      <c r="IN385" s="375"/>
      <c r="IO385" s="375"/>
      <c r="IQ385" s="385"/>
      <c r="IR385" s="386"/>
      <c r="IS385" s="375"/>
      <c r="IT385" s="375"/>
      <c r="IV385" s="385"/>
    </row>
    <row r="386" spans="1:256" s="387" customFormat="1" x14ac:dyDescent="0.2">
      <c r="A386" s="385"/>
      <c r="B386" s="386"/>
      <c r="C386" s="375"/>
      <c r="D386" s="375"/>
      <c r="F386" s="385"/>
      <c r="G386" s="386"/>
      <c r="H386" s="375"/>
      <c r="I386" s="375"/>
      <c r="K386" s="385"/>
      <c r="L386" s="386"/>
      <c r="M386" s="375"/>
      <c r="N386" s="375"/>
      <c r="P386" s="385"/>
      <c r="Q386" s="386"/>
      <c r="R386" s="375"/>
      <c r="S386" s="375"/>
      <c r="U386" s="385"/>
      <c r="V386" s="386"/>
      <c r="W386" s="375"/>
      <c r="X386" s="375"/>
      <c r="Z386" s="385"/>
      <c r="AA386" s="386"/>
      <c r="AB386" s="375"/>
      <c r="AC386" s="375"/>
      <c r="AE386" s="385"/>
      <c r="AF386" s="386"/>
      <c r="AG386" s="375"/>
      <c r="AH386" s="375"/>
      <c r="AJ386" s="385"/>
      <c r="AK386" s="386"/>
      <c r="AL386" s="375"/>
      <c r="AM386" s="375"/>
      <c r="AO386" s="385"/>
      <c r="AP386" s="386"/>
      <c r="AQ386" s="375"/>
      <c r="AR386" s="375"/>
      <c r="AT386" s="385"/>
      <c r="AU386" s="386"/>
      <c r="AV386" s="375"/>
      <c r="AW386" s="375"/>
      <c r="AY386" s="385"/>
      <c r="AZ386" s="386"/>
      <c r="BA386" s="375"/>
      <c r="BB386" s="375"/>
      <c r="BD386" s="385"/>
      <c r="BE386" s="386"/>
      <c r="BF386" s="375"/>
      <c r="BG386" s="375"/>
      <c r="BI386" s="385"/>
      <c r="BJ386" s="386"/>
      <c r="BK386" s="375"/>
      <c r="BL386" s="375"/>
      <c r="BN386" s="385"/>
      <c r="BO386" s="386"/>
      <c r="BP386" s="375"/>
      <c r="BQ386" s="375"/>
      <c r="BS386" s="385"/>
      <c r="BT386" s="386"/>
      <c r="BU386" s="375"/>
      <c r="BV386" s="375"/>
      <c r="BX386" s="385"/>
      <c r="BY386" s="386"/>
      <c r="BZ386" s="375"/>
      <c r="CA386" s="375"/>
      <c r="CC386" s="385"/>
      <c r="CD386" s="386"/>
      <c r="CE386" s="375"/>
      <c r="CF386" s="375"/>
      <c r="CH386" s="385"/>
      <c r="CI386" s="386"/>
      <c r="CJ386" s="375"/>
      <c r="CK386" s="375"/>
      <c r="CM386" s="385"/>
      <c r="CN386" s="386"/>
      <c r="CO386" s="375"/>
      <c r="CP386" s="375"/>
      <c r="CR386" s="385"/>
      <c r="CS386" s="386"/>
      <c r="CT386" s="375"/>
      <c r="CU386" s="375"/>
      <c r="CW386" s="385"/>
      <c r="CX386" s="386"/>
      <c r="CY386" s="375"/>
      <c r="CZ386" s="375"/>
      <c r="DB386" s="385"/>
      <c r="DC386" s="386"/>
      <c r="DD386" s="375"/>
      <c r="DE386" s="375"/>
      <c r="DG386" s="385"/>
      <c r="DH386" s="386"/>
      <c r="DI386" s="375"/>
      <c r="DJ386" s="375"/>
      <c r="DL386" s="385"/>
      <c r="DM386" s="386"/>
      <c r="DN386" s="375"/>
      <c r="DO386" s="375"/>
      <c r="DQ386" s="385"/>
      <c r="DR386" s="386"/>
      <c r="DS386" s="375"/>
      <c r="DT386" s="375"/>
      <c r="DV386" s="385"/>
      <c r="DW386" s="386"/>
      <c r="DX386" s="375"/>
      <c r="DY386" s="375"/>
      <c r="EA386" s="385"/>
      <c r="EB386" s="386"/>
      <c r="EC386" s="375"/>
      <c r="ED386" s="375"/>
      <c r="EF386" s="385"/>
      <c r="EG386" s="386"/>
      <c r="EH386" s="375"/>
      <c r="EI386" s="375"/>
      <c r="EK386" s="385"/>
      <c r="EL386" s="386"/>
      <c r="EM386" s="375"/>
      <c r="EN386" s="375"/>
      <c r="EP386" s="385"/>
      <c r="EQ386" s="386"/>
      <c r="ER386" s="375"/>
      <c r="ES386" s="375"/>
      <c r="EU386" s="385"/>
      <c r="EV386" s="386"/>
      <c r="EW386" s="375"/>
      <c r="EX386" s="375"/>
      <c r="EZ386" s="385"/>
      <c r="FA386" s="386"/>
      <c r="FB386" s="375"/>
      <c r="FC386" s="375"/>
      <c r="FE386" s="385"/>
      <c r="FF386" s="386"/>
      <c r="FG386" s="375"/>
      <c r="FH386" s="375"/>
      <c r="FJ386" s="385"/>
      <c r="FK386" s="386"/>
      <c r="FL386" s="375"/>
      <c r="FM386" s="375"/>
      <c r="FO386" s="385"/>
      <c r="FP386" s="386"/>
      <c r="FQ386" s="375"/>
      <c r="FR386" s="375"/>
      <c r="FT386" s="385"/>
      <c r="FU386" s="386"/>
      <c r="FV386" s="375"/>
      <c r="FW386" s="375"/>
      <c r="FY386" s="385"/>
      <c r="FZ386" s="386"/>
      <c r="GA386" s="375"/>
      <c r="GB386" s="375"/>
      <c r="GD386" s="385"/>
      <c r="GE386" s="386"/>
      <c r="GF386" s="375"/>
      <c r="GG386" s="375"/>
      <c r="GI386" s="385"/>
      <c r="GJ386" s="386"/>
      <c r="GK386" s="375"/>
      <c r="GL386" s="375"/>
      <c r="GN386" s="385"/>
      <c r="GO386" s="386"/>
      <c r="GP386" s="375"/>
      <c r="GQ386" s="375"/>
      <c r="GS386" s="385"/>
      <c r="GT386" s="386"/>
      <c r="GU386" s="375"/>
      <c r="GV386" s="375"/>
      <c r="GX386" s="385"/>
      <c r="GY386" s="386"/>
      <c r="GZ386" s="375"/>
      <c r="HA386" s="375"/>
      <c r="HC386" s="385"/>
      <c r="HD386" s="386"/>
      <c r="HE386" s="375"/>
      <c r="HF386" s="375"/>
      <c r="HH386" s="385"/>
      <c r="HI386" s="386"/>
      <c r="HJ386" s="375"/>
      <c r="HK386" s="375"/>
      <c r="HM386" s="385"/>
      <c r="HN386" s="386"/>
      <c r="HO386" s="375"/>
      <c r="HP386" s="375"/>
      <c r="HR386" s="385"/>
      <c r="HS386" s="386"/>
      <c r="HT386" s="375"/>
      <c r="HU386" s="375"/>
      <c r="HW386" s="385"/>
      <c r="HX386" s="386"/>
      <c r="HY386" s="375"/>
      <c r="HZ386" s="375"/>
      <c r="IB386" s="385"/>
      <c r="IC386" s="386"/>
      <c r="ID386" s="375"/>
      <c r="IE386" s="375"/>
      <c r="IG386" s="385"/>
      <c r="IH386" s="386"/>
      <c r="II386" s="375"/>
      <c r="IJ386" s="375"/>
      <c r="IL386" s="385"/>
      <c r="IM386" s="386"/>
      <c r="IN386" s="375"/>
      <c r="IO386" s="375"/>
      <c r="IQ386" s="385"/>
      <c r="IR386" s="386"/>
      <c r="IS386" s="375"/>
      <c r="IT386" s="375"/>
      <c r="IV386" s="385"/>
    </row>
    <row r="387" spans="1:256" s="387" customFormat="1" x14ac:dyDescent="0.2">
      <c r="A387" s="385"/>
      <c r="B387" s="386"/>
      <c r="C387" s="375"/>
      <c r="D387" s="375"/>
      <c r="F387" s="385"/>
      <c r="G387" s="386"/>
      <c r="H387" s="375"/>
      <c r="I387" s="375"/>
      <c r="K387" s="385"/>
      <c r="L387" s="386"/>
      <c r="M387" s="375"/>
      <c r="N387" s="375"/>
      <c r="P387" s="385"/>
      <c r="Q387" s="386"/>
      <c r="R387" s="375"/>
      <c r="S387" s="375"/>
      <c r="U387" s="385"/>
      <c r="V387" s="386"/>
      <c r="W387" s="375"/>
      <c r="X387" s="375"/>
      <c r="Z387" s="385"/>
      <c r="AA387" s="386"/>
      <c r="AB387" s="375"/>
      <c r="AC387" s="375"/>
      <c r="AE387" s="385"/>
      <c r="AF387" s="386"/>
      <c r="AG387" s="375"/>
      <c r="AH387" s="375"/>
      <c r="AJ387" s="385"/>
      <c r="AK387" s="386"/>
      <c r="AL387" s="375"/>
      <c r="AM387" s="375"/>
      <c r="AO387" s="385"/>
      <c r="AP387" s="386"/>
      <c r="AQ387" s="375"/>
      <c r="AR387" s="375"/>
      <c r="AT387" s="385"/>
      <c r="AU387" s="386"/>
      <c r="AV387" s="375"/>
      <c r="AW387" s="375"/>
      <c r="AY387" s="385"/>
      <c r="AZ387" s="386"/>
      <c r="BA387" s="375"/>
      <c r="BB387" s="375"/>
      <c r="BD387" s="385"/>
      <c r="BE387" s="386"/>
      <c r="BF387" s="375"/>
      <c r="BG387" s="375"/>
      <c r="BI387" s="385"/>
      <c r="BJ387" s="386"/>
      <c r="BK387" s="375"/>
      <c r="BL387" s="375"/>
      <c r="BN387" s="385"/>
      <c r="BO387" s="386"/>
      <c r="BP387" s="375"/>
      <c r="BQ387" s="375"/>
      <c r="BS387" s="385"/>
      <c r="BT387" s="386"/>
      <c r="BU387" s="375"/>
      <c r="BV387" s="375"/>
      <c r="BX387" s="385"/>
      <c r="BY387" s="386"/>
      <c r="BZ387" s="375"/>
      <c r="CA387" s="375"/>
      <c r="CC387" s="385"/>
      <c r="CD387" s="386"/>
      <c r="CE387" s="375"/>
      <c r="CF387" s="375"/>
      <c r="CH387" s="385"/>
      <c r="CI387" s="386"/>
      <c r="CJ387" s="375"/>
      <c r="CK387" s="375"/>
      <c r="CM387" s="385"/>
      <c r="CN387" s="386"/>
      <c r="CO387" s="375"/>
      <c r="CP387" s="375"/>
      <c r="CR387" s="385"/>
      <c r="CS387" s="386"/>
      <c r="CT387" s="375"/>
      <c r="CU387" s="375"/>
      <c r="CW387" s="385"/>
      <c r="CX387" s="386"/>
      <c r="CY387" s="375"/>
      <c r="CZ387" s="375"/>
      <c r="DB387" s="385"/>
      <c r="DC387" s="386"/>
      <c r="DD387" s="375"/>
      <c r="DE387" s="375"/>
      <c r="DG387" s="385"/>
      <c r="DH387" s="386"/>
      <c r="DI387" s="375"/>
      <c r="DJ387" s="375"/>
      <c r="DL387" s="385"/>
      <c r="DM387" s="386"/>
      <c r="DN387" s="375"/>
      <c r="DO387" s="375"/>
      <c r="DQ387" s="385"/>
      <c r="DR387" s="386"/>
      <c r="DS387" s="375"/>
      <c r="DT387" s="375"/>
      <c r="DV387" s="385"/>
      <c r="DW387" s="386"/>
      <c r="DX387" s="375"/>
      <c r="DY387" s="375"/>
      <c r="EA387" s="385"/>
      <c r="EB387" s="386"/>
      <c r="EC387" s="375"/>
      <c r="ED387" s="375"/>
      <c r="EF387" s="385"/>
      <c r="EG387" s="386"/>
      <c r="EH387" s="375"/>
      <c r="EI387" s="375"/>
      <c r="EK387" s="385"/>
      <c r="EL387" s="386"/>
      <c r="EM387" s="375"/>
      <c r="EN387" s="375"/>
      <c r="EP387" s="385"/>
      <c r="EQ387" s="386"/>
      <c r="ER387" s="375"/>
      <c r="ES387" s="375"/>
      <c r="EU387" s="385"/>
      <c r="EV387" s="386"/>
      <c r="EW387" s="375"/>
      <c r="EX387" s="375"/>
      <c r="EZ387" s="385"/>
      <c r="FA387" s="386"/>
      <c r="FB387" s="375"/>
      <c r="FC387" s="375"/>
      <c r="FE387" s="385"/>
      <c r="FF387" s="386"/>
      <c r="FG387" s="375"/>
      <c r="FH387" s="375"/>
      <c r="FJ387" s="385"/>
      <c r="FK387" s="386"/>
      <c r="FL387" s="375"/>
      <c r="FM387" s="375"/>
      <c r="FO387" s="385"/>
      <c r="FP387" s="386"/>
      <c r="FQ387" s="375"/>
      <c r="FR387" s="375"/>
      <c r="FT387" s="385"/>
      <c r="FU387" s="386"/>
      <c r="FV387" s="375"/>
      <c r="FW387" s="375"/>
      <c r="FY387" s="385"/>
      <c r="FZ387" s="386"/>
      <c r="GA387" s="375"/>
      <c r="GB387" s="375"/>
      <c r="GD387" s="385"/>
      <c r="GE387" s="386"/>
      <c r="GF387" s="375"/>
      <c r="GG387" s="375"/>
      <c r="GI387" s="385"/>
      <c r="GJ387" s="386"/>
      <c r="GK387" s="375"/>
      <c r="GL387" s="375"/>
      <c r="GN387" s="385"/>
      <c r="GO387" s="386"/>
      <c r="GP387" s="375"/>
      <c r="GQ387" s="375"/>
      <c r="GS387" s="385"/>
      <c r="GT387" s="386"/>
      <c r="GU387" s="375"/>
      <c r="GV387" s="375"/>
      <c r="GX387" s="385"/>
      <c r="GY387" s="386"/>
      <c r="GZ387" s="375"/>
      <c r="HA387" s="375"/>
      <c r="HC387" s="385"/>
      <c r="HD387" s="386"/>
      <c r="HE387" s="375"/>
      <c r="HF387" s="375"/>
      <c r="HH387" s="385"/>
      <c r="HI387" s="386"/>
      <c r="HJ387" s="375"/>
      <c r="HK387" s="375"/>
      <c r="HM387" s="385"/>
      <c r="HN387" s="386"/>
      <c r="HO387" s="375"/>
      <c r="HP387" s="375"/>
      <c r="HR387" s="385"/>
      <c r="HS387" s="386"/>
      <c r="HT387" s="375"/>
      <c r="HU387" s="375"/>
      <c r="HW387" s="385"/>
      <c r="HX387" s="386"/>
      <c r="HY387" s="375"/>
      <c r="HZ387" s="375"/>
      <c r="IB387" s="385"/>
      <c r="IC387" s="386"/>
      <c r="ID387" s="375"/>
      <c r="IE387" s="375"/>
      <c r="IG387" s="385"/>
      <c r="IH387" s="386"/>
      <c r="II387" s="375"/>
      <c r="IJ387" s="375"/>
      <c r="IL387" s="385"/>
      <c r="IM387" s="386"/>
      <c r="IN387" s="375"/>
      <c r="IO387" s="375"/>
      <c r="IQ387" s="385"/>
      <c r="IR387" s="386"/>
      <c r="IS387" s="375"/>
      <c r="IT387" s="375"/>
      <c r="IV387" s="385"/>
    </row>
    <row r="388" spans="1:256" s="387" customFormat="1" x14ac:dyDescent="0.2">
      <c r="A388" s="385"/>
      <c r="B388" s="386"/>
      <c r="C388" s="375"/>
      <c r="D388" s="375"/>
      <c r="F388" s="385"/>
      <c r="G388" s="386"/>
      <c r="H388" s="375"/>
      <c r="I388" s="375"/>
      <c r="K388" s="385"/>
      <c r="L388" s="386"/>
      <c r="M388" s="375"/>
      <c r="N388" s="375"/>
      <c r="P388" s="385"/>
      <c r="Q388" s="386"/>
      <c r="R388" s="375"/>
      <c r="S388" s="375"/>
      <c r="U388" s="385"/>
      <c r="V388" s="386"/>
      <c r="W388" s="375"/>
      <c r="X388" s="375"/>
      <c r="Z388" s="385"/>
      <c r="AA388" s="386"/>
      <c r="AB388" s="375"/>
      <c r="AC388" s="375"/>
      <c r="AE388" s="385"/>
      <c r="AF388" s="386"/>
      <c r="AG388" s="375"/>
      <c r="AH388" s="375"/>
      <c r="AJ388" s="385"/>
      <c r="AK388" s="386"/>
      <c r="AL388" s="375"/>
      <c r="AM388" s="375"/>
      <c r="AO388" s="385"/>
      <c r="AP388" s="386"/>
      <c r="AQ388" s="375"/>
      <c r="AR388" s="375"/>
      <c r="AT388" s="385"/>
      <c r="AU388" s="386"/>
      <c r="AV388" s="375"/>
      <c r="AW388" s="375"/>
      <c r="AY388" s="385"/>
      <c r="AZ388" s="386"/>
      <c r="BA388" s="375"/>
      <c r="BB388" s="375"/>
      <c r="BD388" s="385"/>
      <c r="BE388" s="386"/>
      <c r="BF388" s="375"/>
      <c r="BG388" s="375"/>
      <c r="BI388" s="385"/>
      <c r="BJ388" s="386"/>
      <c r="BK388" s="375"/>
      <c r="BL388" s="375"/>
      <c r="BN388" s="385"/>
      <c r="BO388" s="386"/>
      <c r="BP388" s="375"/>
      <c r="BQ388" s="375"/>
      <c r="BS388" s="385"/>
      <c r="BT388" s="386"/>
      <c r="BU388" s="375"/>
      <c r="BV388" s="375"/>
      <c r="BX388" s="385"/>
      <c r="BY388" s="386"/>
      <c r="BZ388" s="375"/>
      <c r="CA388" s="375"/>
      <c r="CC388" s="385"/>
      <c r="CD388" s="386"/>
      <c r="CE388" s="375"/>
      <c r="CF388" s="375"/>
      <c r="CH388" s="385"/>
      <c r="CI388" s="386"/>
      <c r="CJ388" s="375"/>
      <c r="CK388" s="375"/>
      <c r="CM388" s="385"/>
      <c r="CN388" s="386"/>
      <c r="CO388" s="375"/>
      <c r="CP388" s="375"/>
      <c r="CR388" s="385"/>
      <c r="CS388" s="386"/>
      <c r="CT388" s="375"/>
      <c r="CU388" s="375"/>
      <c r="CW388" s="385"/>
      <c r="CX388" s="386"/>
      <c r="CY388" s="375"/>
      <c r="CZ388" s="375"/>
      <c r="DB388" s="385"/>
      <c r="DC388" s="386"/>
      <c r="DD388" s="375"/>
      <c r="DE388" s="375"/>
      <c r="DG388" s="385"/>
      <c r="DH388" s="386"/>
      <c r="DI388" s="375"/>
      <c r="DJ388" s="375"/>
      <c r="DL388" s="385"/>
      <c r="DM388" s="386"/>
      <c r="DN388" s="375"/>
      <c r="DO388" s="375"/>
      <c r="DQ388" s="385"/>
      <c r="DR388" s="386"/>
      <c r="DS388" s="375"/>
      <c r="DT388" s="375"/>
      <c r="DV388" s="385"/>
      <c r="DW388" s="386"/>
      <c r="DX388" s="375"/>
      <c r="DY388" s="375"/>
      <c r="EA388" s="385"/>
      <c r="EB388" s="386"/>
      <c r="EC388" s="375"/>
      <c r="ED388" s="375"/>
      <c r="EF388" s="385"/>
      <c r="EG388" s="386"/>
      <c r="EH388" s="375"/>
      <c r="EI388" s="375"/>
      <c r="EK388" s="385"/>
      <c r="EL388" s="386"/>
      <c r="EM388" s="375"/>
      <c r="EN388" s="375"/>
      <c r="EP388" s="385"/>
      <c r="EQ388" s="386"/>
      <c r="ER388" s="375"/>
      <c r="ES388" s="375"/>
      <c r="EU388" s="385"/>
      <c r="EV388" s="386"/>
      <c r="EW388" s="375"/>
      <c r="EX388" s="375"/>
      <c r="EZ388" s="385"/>
      <c r="FA388" s="386"/>
      <c r="FB388" s="375"/>
      <c r="FC388" s="375"/>
      <c r="FE388" s="385"/>
      <c r="FF388" s="386"/>
      <c r="FG388" s="375"/>
      <c r="FH388" s="375"/>
      <c r="FJ388" s="385"/>
      <c r="FK388" s="386"/>
      <c r="FL388" s="375"/>
      <c r="FM388" s="375"/>
      <c r="FO388" s="385"/>
      <c r="FP388" s="386"/>
      <c r="FQ388" s="375"/>
      <c r="FR388" s="375"/>
      <c r="FT388" s="385"/>
      <c r="FU388" s="386"/>
      <c r="FV388" s="375"/>
      <c r="FW388" s="375"/>
      <c r="FY388" s="385"/>
      <c r="FZ388" s="386"/>
      <c r="GA388" s="375"/>
      <c r="GB388" s="375"/>
      <c r="GD388" s="385"/>
      <c r="GE388" s="386"/>
      <c r="GF388" s="375"/>
      <c r="GG388" s="375"/>
      <c r="GI388" s="385"/>
      <c r="GJ388" s="386"/>
      <c r="GK388" s="375"/>
      <c r="GL388" s="375"/>
      <c r="GN388" s="385"/>
      <c r="GO388" s="386"/>
      <c r="GP388" s="375"/>
      <c r="GQ388" s="375"/>
      <c r="GS388" s="385"/>
      <c r="GT388" s="386"/>
      <c r="GU388" s="375"/>
      <c r="GV388" s="375"/>
      <c r="GX388" s="385"/>
      <c r="GY388" s="386"/>
      <c r="GZ388" s="375"/>
      <c r="HA388" s="375"/>
      <c r="HC388" s="385"/>
      <c r="HD388" s="386"/>
      <c r="HE388" s="375"/>
      <c r="HF388" s="375"/>
      <c r="HH388" s="385"/>
      <c r="HI388" s="386"/>
      <c r="HJ388" s="375"/>
      <c r="HK388" s="375"/>
      <c r="HM388" s="385"/>
      <c r="HN388" s="386"/>
      <c r="HO388" s="375"/>
      <c r="HP388" s="375"/>
      <c r="HR388" s="385"/>
      <c r="HS388" s="386"/>
      <c r="HT388" s="375"/>
      <c r="HU388" s="375"/>
      <c r="HW388" s="385"/>
      <c r="HX388" s="386"/>
      <c r="HY388" s="375"/>
      <c r="HZ388" s="375"/>
      <c r="IB388" s="385"/>
      <c r="IC388" s="386"/>
      <c r="ID388" s="375"/>
      <c r="IE388" s="375"/>
      <c r="IG388" s="385"/>
      <c r="IH388" s="386"/>
      <c r="II388" s="375"/>
      <c r="IJ388" s="375"/>
      <c r="IL388" s="385"/>
      <c r="IM388" s="386"/>
      <c r="IN388" s="375"/>
      <c r="IO388" s="375"/>
      <c r="IQ388" s="385"/>
      <c r="IR388" s="386"/>
      <c r="IS388" s="375"/>
      <c r="IT388" s="375"/>
      <c r="IV388" s="385"/>
    </row>
    <row r="389" spans="1:256" s="387" customFormat="1" x14ac:dyDescent="0.2">
      <c r="A389" s="385"/>
      <c r="B389" s="386"/>
      <c r="C389" s="375"/>
      <c r="D389" s="375"/>
      <c r="F389" s="385"/>
      <c r="G389" s="386"/>
      <c r="H389" s="375"/>
      <c r="I389" s="375"/>
      <c r="K389" s="385"/>
      <c r="L389" s="386"/>
      <c r="M389" s="375"/>
      <c r="N389" s="375"/>
      <c r="P389" s="385"/>
      <c r="Q389" s="386"/>
      <c r="R389" s="375"/>
      <c r="S389" s="375"/>
      <c r="U389" s="385"/>
      <c r="V389" s="386"/>
      <c r="W389" s="375"/>
      <c r="X389" s="375"/>
      <c r="Z389" s="385"/>
      <c r="AA389" s="386"/>
      <c r="AB389" s="375"/>
      <c r="AC389" s="375"/>
      <c r="AE389" s="385"/>
      <c r="AF389" s="386"/>
      <c r="AG389" s="375"/>
      <c r="AH389" s="375"/>
      <c r="AJ389" s="385"/>
      <c r="AK389" s="386"/>
      <c r="AL389" s="375"/>
      <c r="AM389" s="375"/>
      <c r="AO389" s="385"/>
      <c r="AP389" s="386"/>
      <c r="AQ389" s="375"/>
      <c r="AR389" s="375"/>
      <c r="AT389" s="385"/>
      <c r="AU389" s="386"/>
      <c r="AV389" s="375"/>
      <c r="AW389" s="375"/>
      <c r="AY389" s="385"/>
      <c r="AZ389" s="386"/>
      <c r="BA389" s="375"/>
      <c r="BB389" s="375"/>
      <c r="BD389" s="385"/>
      <c r="BE389" s="386"/>
      <c r="BF389" s="375"/>
      <c r="BG389" s="375"/>
      <c r="BI389" s="385"/>
      <c r="BJ389" s="386"/>
      <c r="BK389" s="375"/>
      <c r="BL389" s="375"/>
      <c r="BN389" s="385"/>
      <c r="BO389" s="386"/>
      <c r="BP389" s="375"/>
      <c r="BQ389" s="375"/>
      <c r="BS389" s="385"/>
      <c r="BT389" s="386"/>
      <c r="BU389" s="375"/>
      <c r="BV389" s="375"/>
      <c r="BX389" s="385"/>
      <c r="BY389" s="386"/>
      <c r="BZ389" s="375"/>
      <c r="CA389" s="375"/>
      <c r="CC389" s="385"/>
      <c r="CD389" s="386"/>
      <c r="CE389" s="375"/>
      <c r="CF389" s="375"/>
      <c r="CH389" s="385"/>
      <c r="CI389" s="386"/>
      <c r="CJ389" s="375"/>
      <c r="CK389" s="375"/>
      <c r="CM389" s="385"/>
      <c r="CN389" s="386"/>
      <c r="CO389" s="375"/>
      <c r="CP389" s="375"/>
      <c r="CR389" s="385"/>
      <c r="CS389" s="386"/>
      <c r="CT389" s="375"/>
      <c r="CU389" s="375"/>
      <c r="CW389" s="385"/>
      <c r="CX389" s="386"/>
      <c r="CY389" s="375"/>
      <c r="CZ389" s="375"/>
      <c r="DB389" s="385"/>
      <c r="DC389" s="386"/>
      <c r="DD389" s="375"/>
      <c r="DE389" s="375"/>
      <c r="DG389" s="385"/>
      <c r="DH389" s="386"/>
      <c r="DI389" s="375"/>
      <c r="DJ389" s="375"/>
      <c r="DL389" s="385"/>
      <c r="DM389" s="386"/>
      <c r="DN389" s="375"/>
      <c r="DO389" s="375"/>
      <c r="DQ389" s="385"/>
      <c r="DR389" s="386"/>
      <c r="DS389" s="375"/>
      <c r="DT389" s="375"/>
      <c r="DV389" s="385"/>
      <c r="DW389" s="386"/>
      <c r="DX389" s="375"/>
      <c r="DY389" s="375"/>
      <c r="EA389" s="385"/>
      <c r="EB389" s="386"/>
      <c r="EC389" s="375"/>
      <c r="ED389" s="375"/>
      <c r="EF389" s="385"/>
      <c r="EG389" s="386"/>
      <c r="EH389" s="375"/>
      <c r="EI389" s="375"/>
      <c r="EK389" s="385"/>
      <c r="EL389" s="386"/>
      <c r="EM389" s="375"/>
      <c r="EN389" s="375"/>
      <c r="EP389" s="385"/>
      <c r="EQ389" s="386"/>
      <c r="ER389" s="375"/>
      <c r="ES389" s="375"/>
      <c r="EU389" s="385"/>
      <c r="EV389" s="386"/>
      <c r="EW389" s="375"/>
      <c r="EX389" s="375"/>
      <c r="EZ389" s="385"/>
      <c r="FA389" s="386"/>
      <c r="FB389" s="375"/>
      <c r="FC389" s="375"/>
      <c r="FE389" s="385"/>
      <c r="FF389" s="386"/>
      <c r="FG389" s="375"/>
      <c r="FH389" s="375"/>
      <c r="FJ389" s="385"/>
      <c r="FK389" s="386"/>
      <c r="FL389" s="375"/>
      <c r="FM389" s="375"/>
      <c r="FO389" s="385"/>
      <c r="FP389" s="386"/>
      <c r="FQ389" s="375"/>
      <c r="FR389" s="375"/>
      <c r="FT389" s="385"/>
      <c r="FU389" s="386"/>
      <c r="FV389" s="375"/>
      <c r="FW389" s="375"/>
      <c r="FY389" s="385"/>
      <c r="FZ389" s="386"/>
      <c r="GA389" s="375"/>
      <c r="GB389" s="375"/>
      <c r="GD389" s="385"/>
      <c r="GE389" s="386"/>
      <c r="GF389" s="375"/>
      <c r="GG389" s="375"/>
      <c r="GI389" s="385"/>
      <c r="GJ389" s="386"/>
      <c r="GK389" s="375"/>
      <c r="GL389" s="375"/>
      <c r="GN389" s="385"/>
      <c r="GO389" s="386"/>
      <c r="GP389" s="375"/>
      <c r="GQ389" s="375"/>
      <c r="GS389" s="385"/>
      <c r="GT389" s="386"/>
      <c r="GU389" s="375"/>
      <c r="GV389" s="375"/>
      <c r="GX389" s="385"/>
      <c r="GY389" s="386"/>
      <c r="GZ389" s="375"/>
      <c r="HA389" s="375"/>
      <c r="HC389" s="385"/>
      <c r="HD389" s="386"/>
      <c r="HE389" s="375"/>
      <c r="HF389" s="375"/>
      <c r="HH389" s="385"/>
      <c r="HI389" s="386"/>
      <c r="HJ389" s="375"/>
      <c r="HK389" s="375"/>
      <c r="HM389" s="385"/>
      <c r="HN389" s="386"/>
      <c r="HO389" s="375"/>
      <c r="HP389" s="375"/>
      <c r="HR389" s="385"/>
      <c r="HS389" s="386"/>
      <c r="HT389" s="375"/>
      <c r="HU389" s="375"/>
      <c r="HW389" s="385"/>
      <c r="HX389" s="386"/>
      <c r="HY389" s="375"/>
      <c r="HZ389" s="375"/>
      <c r="IB389" s="385"/>
      <c r="IC389" s="386"/>
      <c r="ID389" s="375"/>
      <c r="IE389" s="375"/>
      <c r="IG389" s="385"/>
      <c r="IH389" s="386"/>
      <c r="II389" s="375"/>
      <c r="IJ389" s="375"/>
      <c r="IL389" s="385"/>
      <c r="IM389" s="386"/>
      <c r="IN389" s="375"/>
      <c r="IO389" s="375"/>
      <c r="IQ389" s="385"/>
      <c r="IR389" s="386"/>
      <c r="IS389" s="375"/>
      <c r="IT389" s="375"/>
      <c r="IV389" s="385"/>
    </row>
    <row r="390" spans="1:256" s="387" customFormat="1" x14ac:dyDescent="0.2">
      <c r="A390" s="385"/>
      <c r="B390" s="386"/>
      <c r="C390" s="375"/>
      <c r="D390" s="375"/>
      <c r="F390" s="385"/>
      <c r="G390" s="386"/>
      <c r="H390" s="375"/>
      <c r="I390" s="375"/>
      <c r="K390" s="385"/>
      <c r="L390" s="386"/>
      <c r="M390" s="375"/>
      <c r="N390" s="375"/>
      <c r="P390" s="385"/>
      <c r="Q390" s="386"/>
      <c r="R390" s="375"/>
      <c r="S390" s="375"/>
      <c r="U390" s="385"/>
      <c r="V390" s="386"/>
      <c r="W390" s="375"/>
      <c r="X390" s="375"/>
      <c r="Z390" s="385"/>
      <c r="AA390" s="386"/>
      <c r="AB390" s="375"/>
      <c r="AC390" s="375"/>
      <c r="AE390" s="385"/>
      <c r="AF390" s="386"/>
      <c r="AG390" s="375"/>
      <c r="AH390" s="375"/>
      <c r="AJ390" s="385"/>
      <c r="AK390" s="386"/>
      <c r="AL390" s="375"/>
      <c r="AM390" s="375"/>
      <c r="AO390" s="385"/>
      <c r="AP390" s="386"/>
      <c r="AQ390" s="375"/>
      <c r="AR390" s="375"/>
      <c r="AT390" s="385"/>
      <c r="AU390" s="386"/>
      <c r="AV390" s="375"/>
      <c r="AW390" s="375"/>
      <c r="AY390" s="385"/>
      <c r="AZ390" s="386"/>
      <c r="BA390" s="375"/>
      <c r="BB390" s="375"/>
      <c r="BD390" s="385"/>
      <c r="BE390" s="386"/>
      <c r="BF390" s="375"/>
      <c r="BG390" s="375"/>
      <c r="BI390" s="385"/>
      <c r="BJ390" s="386"/>
      <c r="BK390" s="375"/>
      <c r="BL390" s="375"/>
      <c r="BN390" s="385"/>
      <c r="BO390" s="386"/>
      <c r="BP390" s="375"/>
      <c r="BQ390" s="375"/>
      <c r="BS390" s="385"/>
      <c r="BT390" s="386"/>
      <c r="BU390" s="375"/>
      <c r="BV390" s="375"/>
      <c r="BX390" s="385"/>
      <c r="BY390" s="386"/>
      <c r="BZ390" s="375"/>
      <c r="CA390" s="375"/>
      <c r="CC390" s="385"/>
      <c r="CD390" s="386"/>
      <c r="CE390" s="375"/>
      <c r="CF390" s="375"/>
      <c r="CH390" s="385"/>
      <c r="CI390" s="386"/>
      <c r="CJ390" s="375"/>
      <c r="CK390" s="375"/>
      <c r="CM390" s="385"/>
      <c r="CN390" s="386"/>
      <c r="CO390" s="375"/>
      <c r="CP390" s="375"/>
      <c r="CR390" s="385"/>
      <c r="CS390" s="386"/>
      <c r="CT390" s="375"/>
      <c r="CU390" s="375"/>
      <c r="CW390" s="385"/>
      <c r="CX390" s="386"/>
      <c r="CY390" s="375"/>
      <c r="CZ390" s="375"/>
      <c r="DB390" s="385"/>
      <c r="DC390" s="386"/>
      <c r="DD390" s="375"/>
      <c r="DE390" s="375"/>
      <c r="DG390" s="385"/>
      <c r="DH390" s="386"/>
      <c r="DI390" s="375"/>
      <c r="DJ390" s="375"/>
      <c r="DL390" s="385"/>
      <c r="DM390" s="386"/>
      <c r="DN390" s="375"/>
      <c r="DO390" s="375"/>
      <c r="DQ390" s="385"/>
      <c r="DR390" s="386"/>
      <c r="DS390" s="375"/>
      <c r="DT390" s="375"/>
      <c r="DV390" s="385"/>
      <c r="DW390" s="386"/>
      <c r="DX390" s="375"/>
      <c r="DY390" s="375"/>
      <c r="EA390" s="385"/>
      <c r="EB390" s="386"/>
      <c r="EC390" s="375"/>
      <c r="ED390" s="375"/>
      <c r="EF390" s="385"/>
      <c r="EG390" s="386"/>
      <c r="EH390" s="375"/>
      <c r="EI390" s="375"/>
      <c r="EK390" s="385"/>
      <c r="EL390" s="386"/>
      <c r="EM390" s="375"/>
      <c r="EN390" s="375"/>
      <c r="EP390" s="385"/>
      <c r="EQ390" s="386"/>
      <c r="ER390" s="375"/>
      <c r="ES390" s="375"/>
      <c r="EU390" s="385"/>
      <c r="EV390" s="386"/>
      <c r="EW390" s="375"/>
      <c r="EX390" s="375"/>
      <c r="EZ390" s="385"/>
      <c r="FA390" s="386"/>
      <c r="FB390" s="375"/>
      <c r="FC390" s="375"/>
      <c r="FE390" s="385"/>
      <c r="FF390" s="386"/>
      <c r="FG390" s="375"/>
      <c r="FH390" s="375"/>
      <c r="FJ390" s="385"/>
      <c r="FK390" s="386"/>
      <c r="FL390" s="375"/>
      <c r="FM390" s="375"/>
      <c r="FO390" s="385"/>
      <c r="FP390" s="386"/>
      <c r="FQ390" s="375"/>
      <c r="FR390" s="375"/>
      <c r="FT390" s="385"/>
      <c r="FU390" s="386"/>
      <c r="FV390" s="375"/>
      <c r="FW390" s="375"/>
      <c r="FY390" s="385"/>
      <c r="FZ390" s="386"/>
      <c r="GA390" s="375"/>
      <c r="GB390" s="375"/>
      <c r="GD390" s="385"/>
      <c r="GE390" s="386"/>
      <c r="GF390" s="375"/>
      <c r="GG390" s="375"/>
      <c r="GI390" s="385"/>
      <c r="GJ390" s="386"/>
      <c r="GK390" s="375"/>
      <c r="GL390" s="375"/>
      <c r="GN390" s="385"/>
      <c r="GO390" s="386"/>
      <c r="GP390" s="375"/>
      <c r="GQ390" s="375"/>
      <c r="GS390" s="385"/>
      <c r="GT390" s="386"/>
      <c r="GU390" s="375"/>
      <c r="GV390" s="375"/>
      <c r="GX390" s="385"/>
      <c r="GY390" s="386"/>
      <c r="GZ390" s="375"/>
      <c r="HA390" s="375"/>
      <c r="HC390" s="385"/>
      <c r="HD390" s="386"/>
      <c r="HE390" s="375"/>
      <c r="HF390" s="375"/>
      <c r="HH390" s="385"/>
      <c r="HI390" s="386"/>
      <c r="HJ390" s="375"/>
      <c r="HK390" s="375"/>
      <c r="HM390" s="385"/>
      <c r="HN390" s="386"/>
      <c r="HO390" s="375"/>
      <c r="HP390" s="375"/>
      <c r="HR390" s="385"/>
      <c r="HS390" s="386"/>
      <c r="HT390" s="375"/>
      <c r="HU390" s="375"/>
      <c r="HW390" s="385"/>
      <c r="HX390" s="386"/>
      <c r="HY390" s="375"/>
      <c r="HZ390" s="375"/>
      <c r="IB390" s="385"/>
      <c r="IC390" s="386"/>
      <c r="ID390" s="375"/>
      <c r="IE390" s="375"/>
      <c r="IG390" s="385"/>
      <c r="IH390" s="386"/>
      <c r="II390" s="375"/>
      <c r="IJ390" s="375"/>
      <c r="IL390" s="385"/>
      <c r="IM390" s="386"/>
      <c r="IN390" s="375"/>
      <c r="IO390" s="375"/>
      <c r="IQ390" s="385"/>
      <c r="IR390" s="386"/>
      <c r="IS390" s="375"/>
      <c r="IT390" s="375"/>
      <c r="IV390" s="385"/>
    </row>
    <row r="391" spans="1:256" s="387" customFormat="1" x14ac:dyDescent="0.2">
      <c r="A391" s="385"/>
      <c r="B391" s="386"/>
      <c r="C391" s="375"/>
      <c r="D391" s="375"/>
      <c r="F391" s="385"/>
      <c r="G391" s="386"/>
      <c r="H391" s="375"/>
      <c r="I391" s="375"/>
      <c r="K391" s="385"/>
      <c r="L391" s="386"/>
      <c r="M391" s="375"/>
      <c r="N391" s="375"/>
      <c r="P391" s="385"/>
      <c r="Q391" s="386"/>
      <c r="R391" s="375"/>
      <c r="S391" s="375"/>
      <c r="U391" s="385"/>
      <c r="V391" s="386"/>
      <c r="W391" s="375"/>
      <c r="X391" s="375"/>
      <c r="Z391" s="385"/>
      <c r="AA391" s="386"/>
      <c r="AB391" s="375"/>
      <c r="AC391" s="375"/>
      <c r="AE391" s="385"/>
      <c r="AF391" s="386"/>
      <c r="AG391" s="375"/>
      <c r="AH391" s="375"/>
      <c r="AJ391" s="385"/>
      <c r="AK391" s="386"/>
      <c r="AL391" s="375"/>
      <c r="AM391" s="375"/>
      <c r="AO391" s="385"/>
      <c r="AP391" s="386"/>
      <c r="AQ391" s="375"/>
      <c r="AR391" s="375"/>
      <c r="AT391" s="385"/>
      <c r="AU391" s="386"/>
      <c r="AV391" s="375"/>
      <c r="AW391" s="375"/>
      <c r="AY391" s="385"/>
      <c r="AZ391" s="386"/>
      <c r="BA391" s="375"/>
      <c r="BB391" s="375"/>
      <c r="BD391" s="385"/>
      <c r="BE391" s="386"/>
      <c r="BF391" s="375"/>
      <c r="BG391" s="375"/>
      <c r="BI391" s="385"/>
      <c r="BJ391" s="386"/>
      <c r="BK391" s="375"/>
      <c r="BL391" s="375"/>
      <c r="BN391" s="385"/>
      <c r="BO391" s="386"/>
      <c r="BP391" s="375"/>
      <c r="BQ391" s="375"/>
      <c r="BS391" s="385"/>
      <c r="BT391" s="386"/>
      <c r="BU391" s="375"/>
      <c r="BV391" s="375"/>
      <c r="BX391" s="385"/>
      <c r="BY391" s="386"/>
      <c r="BZ391" s="375"/>
      <c r="CA391" s="375"/>
      <c r="CC391" s="385"/>
      <c r="CD391" s="386"/>
      <c r="CE391" s="375"/>
      <c r="CF391" s="375"/>
      <c r="CH391" s="385"/>
      <c r="CI391" s="386"/>
      <c r="CJ391" s="375"/>
      <c r="CK391" s="375"/>
      <c r="CM391" s="385"/>
      <c r="CN391" s="386"/>
      <c r="CO391" s="375"/>
      <c r="CP391" s="375"/>
      <c r="CR391" s="385"/>
      <c r="CS391" s="386"/>
      <c r="CT391" s="375"/>
      <c r="CU391" s="375"/>
      <c r="CW391" s="385"/>
      <c r="CX391" s="386"/>
      <c r="CY391" s="375"/>
      <c r="CZ391" s="375"/>
      <c r="DB391" s="385"/>
      <c r="DC391" s="386"/>
      <c r="DD391" s="375"/>
      <c r="DE391" s="375"/>
      <c r="DG391" s="385"/>
      <c r="DH391" s="386"/>
      <c r="DI391" s="375"/>
      <c r="DJ391" s="375"/>
      <c r="DL391" s="385"/>
      <c r="DM391" s="386"/>
      <c r="DN391" s="375"/>
      <c r="DO391" s="375"/>
      <c r="DQ391" s="385"/>
      <c r="DR391" s="386"/>
      <c r="DS391" s="375"/>
      <c r="DT391" s="375"/>
      <c r="DV391" s="385"/>
      <c r="DW391" s="386"/>
      <c r="DX391" s="375"/>
      <c r="DY391" s="375"/>
      <c r="EA391" s="385"/>
      <c r="EB391" s="386"/>
      <c r="EC391" s="375"/>
      <c r="ED391" s="375"/>
      <c r="EF391" s="385"/>
      <c r="EG391" s="386"/>
      <c r="EH391" s="375"/>
      <c r="EI391" s="375"/>
      <c r="EK391" s="385"/>
      <c r="EL391" s="386"/>
      <c r="EM391" s="375"/>
      <c r="EN391" s="375"/>
      <c r="EP391" s="385"/>
      <c r="EQ391" s="386"/>
      <c r="ER391" s="375"/>
      <c r="ES391" s="375"/>
      <c r="EU391" s="385"/>
      <c r="EV391" s="386"/>
      <c r="EW391" s="375"/>
      <c r="EX391" s="375"/>
      <c r="EZ391" s="385"/>
      <c r="FA391" s="386"/>
      <c r="FB391" s="375"/>
      <c r="FC391" s="375"/>
      <c r="FE391" s="385"/>
      <c r="FF391" s="386"/>
      <c r="FG391" s="375"/>
      <c r="FH391" s="375"/>
      <c r="FJ391" s="385"/>
      <c r="FK391" s="386"/>
      <c r="FL391" s="375"/>
      <c r="FM391" s="375"/>
      <c r="FO391" s="385"/>
      <c r="FP391" s="386"/>
      <c r="FQ391" s="375"/>
      <c r="FR391" s="375"/>
      <c r="FT391" s="385"/>
      <c r="FU391" s="386"/>
      <c r="FV391" s="375"/>
      <c r="FW391" s="375"/>
      <c r="FY391" s="385"/>
      <c r="FZ391" s="386"/>
      <c r="GA391" s="375"/>
      <c r="GB391" s="375"/>
      <c r="GD391" s="385"/>
      <c r="GE391" s="386"/>
      <c r="GF391" s="375"/>
      <c r="GG391" s="375"/>
      <c r="GI391" s="385"/>
      <c r="GJ391" s="386"/>
      <c r="GK391" s="375"/>
      <c r="GL391" s="375"/>
      <c r="GN391" s="385"/>
      <c r="GO391" s="386"/>
      <c r="GP391" s="375"/>
      <c r="GQ391" s="375"/>
      <c r="GS391" s="385"/>
      <c r="GT391" s="386"/>
      <c r="GU391" s="375"/>
      <c r="GV391" s="375"/>
      <c r="GX391" s="385"/>
      <c r="GY391" s="386"/>
      <c r="GZ391" s="375"/>
      <c r="HA391" s="375"/>
      <c r="HC391" s="385"/>
      <c r="HD391" s="386"/>
      <c r="HE391" s="375"/>
      <c r="HF391" s="375"/>
      <c r="HH391" s="385"/>
      <c r="HI391" s="386"/>
      <c r="HJ391" s="375"/>
      <c r="HK391" s="375"/>
      <c r="HM391" s="385"/>
      <c r="HN391" s="386"/>
      <c r="HO391" s="375"/>
      <c r="HP391" s="375"/>
      <c r="HR391" s="385"/>
      <c r="HS391" s="386"/>
      <c r="HT391" s="375"/>
      <c r="HU391" s="375"/>
      <c r="HW391" s="385"/>
      <c r="HX391" s="386"/>
      <c r="HY391" s="375"/>
      <c r="HZ391" s="375"/>
      <c r="IB391" s="385"/>
      <c r="IC391" s="386"/>
      <c r="ID391" s="375"/>
      <c r="IE391" s="375"/>
      <c r="IG391" s="385"/>
      <c r="IH391" s="386"/>
      <c r="II391" s="375"/>
      <c r="IJ391" s="375"/>
      <c r="IL391" s="385"/>
      <c r="IM391" s="386"/>
      <c r="IN391" s="375"/>
      <c r="IO391" s="375"/>
      <c r="IQ391" s="385"/>
      <c r="IR391" s="386"/>
      <c r="IS391" s="375"/>
      <c r="IT391" s="375"/>
      <c r="IV391" s="385"/>
    </row>
    <row r="392" spans="1:256" s="387" customFormat="1" x14ac:dyDescent="0.2">
      <c r="A392" s="385"/>
      <c r="B392" s="386"/>
      <c r="C392" s="375"/>
      <c r="D392" s="375"/>
      <c r="F392" s="385"/>
      <c r="G392" s="386"/>
      <c r="H392" s="375"/>
      <c r="I392" s="375"/>
      <c r="K392" s="385"/>
      <c r="L392" s="386"/>
      <c r="M392" s="375"/>
      <c r="N392" s="375"/>
      <c r="P392" s="385"/>
      <c r="Q392" s="386"/>
      <c r="R392" s="375"/>
      <c r="S392" s="375"/>
      <c r="U392" s="385"/>
      <c r="V392" s="386"/>
      <c r="W392" s="375"/>
      <c r="X392" s="375"/>
      <c r="Z392" s="385"/>
      <c r="AA392" s="386"/>
      <c r="AB392" s="375"/>
      <c r="AC392" s="375"/>
      <c r="AE392" s="385"/>
      <c r="AF392" s="386"/>
      <c r="AG392" s="375"/>
      <c r="AH392" s="375"/>
      <c r="AJ392" s="385"/>
      <c r="AK392" s="386"/>
      <c r="AL392" s="375"/>
      <c r="AM392" s="375"/>
      <c r="AO392" s="385"/>
      <c r="AP392" s="386"/>
      <c r="AQ392" s="375"/>
      <c r="AR392" s="375"/>
      <c r="AT392" s="385"/>
      <c r="AU392" s="386"/>
      <c r="AV392" s="375"/>
      <c r="AW392" s="375"/>
      <c r="AY392" s="385"/>
      <c r="AZ392" s="386"/>
      <c r="BA392" s="375"/>
      <c r="BB392" s="375"/>
      <c r="BD392" s="385"/>
      <c r="BE392" s="386"/>
      <c r="BF392" s="375"/>
      <c r="BG392" s="375"/>
      <c r="BI392" s="385"/>
      <c r="BJ392" s="386"/>
      <c r="BK392" s="375"/>
      <c r="BL392" s="375"/>
      <c r="BN392" s="385"/>
      <c r="BO392" s="386"/>
      <c r="BP392" s="375"/>
      <c r="BQ392" s="375"/>
      <c r="BS392" s="385"/>
      <c r="BT392" s="386"/>
      <c r="BU392" s="375"/>
      <c r="BV392" s="375"/>
      <c r="BX392" s="385"/>
      <c r="BY392" s="386"/>
      <c r="BZ392" s="375"/>
      <c r="CA392" s="375"/>
      <c r="CC392" s="385"/>
      <c r="CD392" s="386"/>
      <c r="CE392" s="375"/>
      <c r="CF392" s="375"/>
      <c r="CH392" s="385"/>
      <c r="CI392" s="386"/>
      <c r="CJ392" s="375"/>
      <c r="CK392" s="375"/>
      <c r="CM392" s="385"/>
      <c r="CN392" s="386"/>
      <c r="CO392" s="375"/>
      <c r="CP392" s="375"/>
      <c r="CR392" s="385"/>
      <c r="CS392" s="386"/>
      <c r="CT392" s="375"/>
      <c r="CU392" s="375"/>
      <c r="CW392" s="385"/>
      <c r="CX392" s="386"/>
      <c r="CY392" s="375"/>
      <c r="CZ392" s="375"/>
      <c r="DB392" s="385"/>
      <c r="DC392" s="386"/>
      <c r="DD392" s="375"/>
      <c r="DE392" s="375"/>
      <c r="DG392" s="385"/>
      <c r="DH392" s="386"/>
      <c r="DI392" s="375"/>
      <c r="DJ392" s="375"/>
      <c r="DL392" s="385"/>
      <c r="DM392" s="386"/>
      <c r="DN392" s="375"/>
      <c r="DO392" s="375"/>
      <c r="DQ392" s="385"/>
      <c r="DR392" s="386"/>
      <c r="DS392" s="375"/>
      <c r="DT392" s="375"/>
      <c r="DV392" s="385"/>
      <c r="DW392" s="386"/>
      <c r="DX392" s="375"/>
      <c r="DY392" s="375"/>
      <c r="EA392" s="385"/>
      <c r="EB392" s="386"/>
      <c r="EC392" s="375"/>
      <c r="ED392" s="375"/>
      <c r="EF392" s="385"/>
      <c r="EG392" s="386"/>
      <c r="EH392" s="375"/>
      <c r="EI392" s="375"/>
      <c r="EK392" s="385"/>
      <c r="EL392" s="386"/>
      <c r="EM392" s="375"/>
      <c r="EN392" s="375"/>
      <c r="EP392" s="385"/>
      <c r="EQ392" s="386"/>
      <c r="ER392" s="375"/>
      <c r="ES392" s="375"/>
      <c r="EU392" s="385"/>
      <c r="EV392" s="386"/>
      <c r="EW392" s="375"/>
      <c r="EX392" s="375"/>
      <c r="EZ392" s="385"/>
      <c r="FA392" s="386"/>
      <c r="FB392" s="375"/>
      <c r="FC392" s="375"/>
      <c r="FE392" s="385"/>
      <c r="FF392" s="386"/>
      <c r="FG392" s="375"/>
      <c r="FH392" s="375"/>
      <c r="FJ392" s="385"/>
      <c r="FK392" s="386"/>
      <c r="FL392" s="375"/>
      <c r="FM392" s="375"/>
      <c r="FO392" s="385"/>
      <c r="FP392" s="386"/>
      <c r="FQ392" s="375"/>
      <c r="FR392" s="375"/>
      <c r="FT392" s="385"/>
      <c r="FU392" s="386"/>
      <c r="FV392" s="375"/>
      <c r="FW392" s="375"/>
      <c r="FY392" s="385"/>
      <c r="FZ392" s="386"/>
      <c r="GA392" s="375"/>
      <c r="GB392" s="375"/>
      <c r="GD392" s="385"/>
      <c r="GE392" s="386"/>
      <c r="GF392" s="375"/>
      <c r="GG392" s="375"/>
      <c r="GI392" s="385"/>
      <c r="GJ392" s="386"/>
      <c r="GK392" s="375"/>
      <c r="GL392" s="375"/>
      <c r="GN392" s="385"/>
      <c r="GO392" s="386"/>
      <c r="GP392" s="375"/>
      <c r="GQ392" s="375"/>
      <c r="GS392" s="385"/>
      <c r="GT392" s="386"/>
      <c r="GU392" s="375"/>
      <c r="GV392" s="375"/>
      <c r="GX392" s="385"/>
      <c r="GY392" s="386"/>
      <c r="GZ392" s="375"/>
      <c r="HA392" s="375"/>
      <c r="HC392" s="385"/>
      <c r="HD392" s="386"/>
      <c r="HE392" s="375"/>
      <c r="HF392" s="375"/>
      <c r="HH392" s="385"/>
      <c r="HI392" s="386"/>
      <c r="HJ392" s="375"/>
      <c r="HK392" s="375"/>
      <c r="HM392" s="385"/>
      <c r="HN392" s="386"/>
      <c r="HO392" s="375"/>
      <c r="HP392" s="375"/>
      <c r="HR392" s="385"/>
      <c r="HS392" s="386"/>
      <c r="HT392" s="375"/>
      <c r="HU392" s="375"/>
      <c r="HW392" s="385"/>
      <c r="HX392" s="386"/>
      <c r="HY392" s="375"/>
      <c r="HZ392" s="375"/>
      <c r="IB392" s="385"/>
      <c r="IC392" s="386"/>
      <c r="ID392" s="375"/>
      <c r="IE392" s="375"/>
      <c r="IG392" s="385"/>
      <c r="IH392" s="386"/>
      <c r="II392" s="375"/>
      <c r="IJ392" s="375"/>
      <c r="IL392" s="385"/>
      <c r="IM392" s="386"/>
      <c r="IN392" s="375"/>
      <c r="IO392" s="375"/>
      <c r="IQ392" s="385"/>
      <c r="IR392" s="386"/>
      <c r="IS392" s="375"/>
      <c r="IT392" s="375"/>
      <c r="IV392" s="385"/>
    </row>
    <row r="393" spans="1:256" s="387" customFormat="1" x14ac:dyDescent="0.2">
      <c r="A393" s="385"/>
      <c r="B393" s="386"/>
      <c r="C393" s="375"/>
      <c r="D393" s="375"/>
      <c r="F393" s="385"/>
      <c r="G393" s="386"/>
      <c r="H393" s="375"/>
      <c r="I393" s="375"/>
      <c r="K393" s="385"/>
      <c r="L393" s="386"/>
      <c r="M393" s="375"/>
      <c r="N393" s="375"/>
      <c r="P393" s="385"/>
      <c r="Q393" s="386"/>
      <c r="R393" s="375"/>
      <c r="S393" s="375"/>
      <c r="U393" s="385"/>
      <c r="V393" s="386"/>
      <c r="W393" s="375"/>
      <c r="X393" s="375"/>
      <c r="Z393" s="385"/>
      <c r="AA393" s="386"/>
      <c r="AB393" s="375"/>
      <c r="AC393" s="375"/>
      <c r="AE393" s="385"/>
      <c r="AF393" s="386"/>
      <c r="AG393" s="375"/>
      <c r="AH393" s="375"/>
      <c r="AJ393" s="385"/>
      <c r="AK393" s="386"/>
      <c r="AL393" s="375"/>
      <c r="AM393" s="375"/>
      <c r="AO393" s="385"/>
      <c r="AP393" s="386"/>
      <c r="AQ393" s="375"/>
      <c r="AR393" s="375"/>
      <c r="AT393" s="385"/>
      <c r="AU393" s="386"/>
      <c r="AV393" s="375"/>
      <c r="AW393" s="375"/>
      <c r="AY393" s="385"/>
      <c r="AZ393" s="386"/>
      <c r="BA393" s="375"/>
      <c r="BB393" s="375"/>
      <c r="BD393" s="385"/>
      <c r="BE393" s="386"/>
      <c r="BF393" s="375"/>
      <c r="BG393" s="375"/>
      <c r="BI393" s="385"/>
      <c r="BJ393" s="386"/>
      <c r="BK393" s="375"/>
      <c r="BL393" s="375"/>
      <c r="BN393" s="385"/>
      <c r="BO393" s="386"/>
      <c r="BP393" s="375"/>
      <c r="BQ393" s="375"/>
      <c r="BS393" s="385"/>
      <c r="BT393" s="386"/>
      <c r="BU393" s="375"/>
      <c r="BV393" s="375"/>
      <c r="BX393" s="385"/>
      <c r="BY393" s="386"/>
      <c r="BZ393" s="375"/>
      <c r="CA393" s="375"/>
      <c r="CC393" s="385"/>
      <c r="CD393" s="386"/>
      <c r="CE393" s="375"/>
      <c r="CF393" s="375"/>
      <c r="CH393" s="385"/>
      <c r="CI393" s="386"/>
      <c r="CJ393" s="375"/>
      <c r="CK393" s="375"/>
      <c r="CM393" s="385"/>
      <c r="CN393" s="386"/>
      <c r="CO393" s="375"/>
      <c r="CP393" s="375"/>
      <c r="CR393" s="385"/>
      <c r="CS393" s="386"/>
      <c r="CT393" s="375"/>
      <c r="CU393" s="375"/>
      <c r="CW393" s="385"/>
      <c r="CX393" s="386"/>
      <c r="CY393" s="375"/>
      <c r="CZ393" s="375"/>
      <c r="DB393" s="385"/>
      <c r="DC393" s="386"/>
      <c r="DD393" s="375"/>
      <c r="DE393" s="375"/>
      <c r="DG393" s="385"/>
      <c r="DH393" s="386"/>
      <c r="DI393" s="375"/>
      <c r="DJ393" s="375"/>
      <c r="DL393" s="385"/>
      <c r="DM393" s="386"/>
      <c r="DN393" s="375"/>
      <c r="DO393" s="375"/>
      <c r="DQ393" s="385"/>
      <c r="DR393" s="386"/>
      <c r="DS393" s="375"/>
      <c r="DT393" s="375"/>
      <c r="DV393" s="385"/>
      <c r="DW393" s="386"/>
      <c r="DX393" s="375"/>
      <c r="DY393" s="375"/>
      <c r="EA393" s="385"/>
      <c r="EB393" s="386"/>
      <c r="EC393" s="375"/>
      <c r="ED393" s="375"/>
      <c r="EF393" s="385"/>
      <c r="EG393" s="386"/>
      <c r="EH393" s="375"/>
      <c r="EI393" s="375"/>
      <c r="EK393" s="385"/>
      <c r="EL393" s="386"/>
      <c r="EM393" s="375"/>
      <c r="EN393" s="375"/>
      <c r="EP393" s="385"/>
      <c r="EQ393" s="386"/>
      <c r="ER393" s="375"/>
      <c r="ES393" s="375"/>
      <c r="EU393" s="385"/>
      <c r="EV393" s="386"/>
      <c r="EW393" s="375"/>
      <c r="EX393" s="375"/>
      <c r="EZ393" s="385"/>
      <c r="FA393" s="386"/>
      <c r="FB393" s="375"/>
      <c r="FC393" s="375"/>
      <c r="FE393" s="385"/>
      <c r="FF393" s="386"/>
      <c r="FG393" s="375"/>
      <c r="FH393" s="375"/>
      <c r="FJ393" s="385"/>
      <c r="FK393" s="386"/>
      <c r="FL393" s="375"/>
      <c r="FM393" s="375"/>
      <c r="FO393" s="385"/>
      <c r="FP393" s="386"/>
      <c r="FQ393" s="375"/>
      <c r="FR393" s="375"/>
      <c r="FT393" s="385"/>
      <c r="FU393" s="386"/>
      <c r="FV393" s="375"/>
      <c r="FW393" s="375"/>
      <c r="FY393" s="385"/>
      <c r="FZ393" s="386"/>
      <c r="GA393" s="375"/>
      <c r="GB393" s="375"/>
      <c r="GD393" s="385"/>
      <c r="GE393" s="386"/>
      <c r="GF393" s="375"/>
      <c r="GG393" s="375"/>
      <c r="GI393" s="385"/>
      <c r="GJ393" s="386"/>
      <c r="GK393" s="375"/>
      <c r="GL393" s="375"/>
      <c r="GN393" s="385"/>
      <c r="GO393" s="386"/>
      <c r="GP393" s="375"/>
      <c r="GQ393" s="375"/>
      <c r="GS393" s="385"/>
      <c r="GT393" s="386"/>
      <c r="GU393" s="375"/>
      <c r="GV393" s="375"/>
      <c r="GX393" s="385"/>
      <c r="GY393" s="386"/>
      <c r="GZ393" s="375"/>
      <c r="HA393" s="375"/>
      <c r="HC393" s="385"/>
      <c r="HD393" s="386"/>
      <c r="HE393" s="375"/>
      <c r="HF393" s="375"/>
      <c r="HH393" s="385"/>
      <c r="HI393" s="386"/>
      <c r="HJ393" s="375"/>
      <c r="HK393" s="375"/>
      <c r="HM393" s="385"/>
      <c r="HN393" s="386"/>
      <c r="HO393" s="375"/>
      <c r="HP393" s="375"/>
      <c r="HR393" s="385"/>
      <c r="HS393" s="386"/>
      <c r="HT393" s="375"/>
      <c r="HU393" s="375"/>
      <c r="HW393" s="385"/>
      <c r="HX393" s="386"/>
      <c r="HY393" s="375"/>
      <c r="HZ393" s="375"/>
      <c r="IB393" s="385"/>
      <c r="IC393" s="386"/>
      <c r="ID393" s="375"/>
      <c r="IE393" s="375"/>
      <c r="IG393" s="385"/>
      <c r="IH393" s="386"/>
      <c r="II393" s="375"/>
      <c r="IJ393" s="375"/>
      <c r="IL393" s="385"/>
      <c r="IM393" s="386"/>
      <c r="IN393" s="375"/>
      <c r="IO393" s="375"/>
      <c r="IQ393" s="385"/>
      <c r="IR393" s="386"/>
      <c r="IS393" s="375"/>
      <c r="IT393" s="375"/>
      <c r="IV393" s="385"/>
    </row>
    <row r="394" spans="1:256" s="387" customFormat="1" x14ac:dyDescent="0.2">
      <c r="A394" s="385"/>
      <c r="B394" s="386"/>
      <c r="C394" s="375"/>
      <c r="D394" s="375"/>
      <c r="F394" s="385"/>
      <c r="G394" s="386"/>
      <c r="H394" s="375"/>
      <c r="I394" s="375"/>
      <c r="K394" s="385"/>
      <c r="L394" s="386"/>
      <c r="M394" s="375"/>
      <c r="N394" s="375"/>
      <c r="P394" s="385"/>
      <c r="Q394" s="386"/>
      <c r="R394" s="375"/>
      <c r="S394" s="375"/>
      <c r="U394" s="385"/>
      <c r="V394" s="386"/>
      <c r="W394" s="375"/>
      <c r="X394" s="375"/>
      <c r="Z394" s="385"/>
      <c r="AA394" s="386"/>
      <c r="AB394" s="375"/>
      <c r="AC394" s="375"/>
      <c r="AE394" s="385"/>
      <c r="AF394" s="386"/>
      <c r="AG394" s="375"/>
      <c r="AH394" s="375"/>
      <c r="AJ394" s="385"/>
      <c r="AK394" s="386"/>
      <c r="AL394" s="375"/>
      <c r="AM394" s="375"/>
      <c r="AO394" s="385"/>
      <c r="AP394" s="386"/>
      <c r="AQ394" s="375"/>
      <c r="AR394" s="375"/>
      <c r="AT394" s="385"/>
      <c r="AU394" s="386"/>
      <c r="AV394" s="375"/>
      <c r="AW394" s="375"/>
      <c r="AY394" s="385"/>
      <c r="AZ394" s="386"/>
      <c r="BA394" s="375"/>
      <c r="BB394" s="375"/>
      <c r="BD394" s="385"/>
      <c r="BE394" s="386"/>
      <c r="BF394" s="375"/>
      <c r="BG394" s="375"/>
      <c r="BI394" s="385"/>
      <c r="BJ394" s="386"/>
      <c r="BK394" s="375"/>
      <c r="BL394" s="375"/>
      <c r="BN394" s="385"/>
      <c r="BO394" s="386"/>
      <c r="BP394" s="375"/>
      <c r="BQ394" s="375"/>
      <c r="BS394" s="385"/>
      <c r="BT394" s="386"/>
      <c r="BU394" s="375"/>
      <c r="BV394" s="375"/>
      <c r="BX394" s="385"/>
      <c r="BY394" s="386"/>
      <c r="BZ394" s="375"/>
      <c r="CA394" s="375"/>
      <c r="CC394" s="385"/>
      <c r="CD394" s="386"/>
      <c r="CE394" s="375"/>
      <c r="CF394" s="375"/>
      <c r="CH394" s="385"/>
      <c r="CI394" s="386"/>
      <c r="CJ394" s="375"/>
      <c r="CK394" s="375"/>
      <c r="CM394" s="385"/>
      <c r="CN394" s="386"/>
      <c r="CO394" s="375"/>
      <c r="CP394" s="375"/>
      <c r="CR394" s="385"/>
      <c r="CS394" s="386"/>
      <c r="CT394" s="375"/>
      <c r="CU394" s="375"/>
      <c r="CW394" s="385"/>
      <c r="CX394" s="386"/>
      <c r="CY394" s="375"/>
      <c r="CZ394" s="375"/>
      <c r="DB394" s="385"/>
      <c r="DC394" s="386"/>
      <c r="DD394" s="375"/>
      <c r="DE394" s="375"/>
      <c r="DG394" s="385"/>
      <c r="DH394" s="386"/>
      <c r="DI394" s="375"/>
      <c r="DJ394" s="375"/>
      <c r="DL394" s="385"/>
      <c r="DM394" s="386"/>
      <c r="DN394" s="375"/>
      <c r="DO394" s="375"/>
      <c r="DQ394" s="385"/>
      <c r="DR394" s="386"/>
      <c r="DS394" s="375"/>
      <c r="DT394" s="375"/>
      <c r="DV394" s="385"/>
      <c r="DW394" s="386"/>
      <c r="DX394" s="375"/>
      <c r="DY394" s="375"/>
      <c r="EA394" s="385"/>
      <c r="EB394" s="386"/>
      <c r="EC394" s="375"/>
      <c r="ED394" s="375"/>
      <c r="EF394" s="385"/>
      <c r="EG394" s="386"/>
      <c r="EH394" s="375"/>
      <c r="EI394" s="375"/>
      <c r="EK394" s="385"/>
      <c r="EL394" s="386"/>
      <c r="EM394" s="375"/>
      <c r="EN394" s="375"/>
      <c r="EP394" s="385"/>
      <c r="EQ394" s="386"/>
      <c r="ER394" s="375"/>
      <c r="ES394" s="375"/>
      <c r="EU394" s="385"/>
      <c r="EV394" s="386"/>
      <c r="EW394" s="375"/>
      <c r="EX394" s="375"/>
      <c r="EZ394" s="385"/>
      <c r="FA394" s="386"/>
      <c r="FB394" s="375"/>
      <c r="FC394" s="375"/>
      <c r="FE394" s="385"/>
      <c r="FF394" s="386"/>
      <c r="FG394" s="375"/>
      <c r="FH394" s="375"/>
      <c r="FJ394" s="385"/>
      <c r="FK394" s="386"/>
      <c r="FL394" s="375"/>
      <c r="FM394" s="375"/>
      <c r="FO394" s="385"/>
      <c r="FP394" s="386"/>
      <c r="FQ394" s="375"/>
      <c r="FR394" s="375"/>
      <c r="FT394" s="385"/>
      <c r="FU394" s="386"/>
      <c r="FV394" s="375"/>
      <c r="FW394" s="375"/>
      <c r="FY394" s="385"/>
      <c r="FZ394" s="386"/>
      <c r="GA394" s="375"/>
      <c r="GB394" s="375"/>
      <c r="GD394" s="385"/>
      <c r="GE394" s="386"/>
      <c r="GF394" s="375"/>
      <c r="GG394" s="375"/>
      <c r="GI394" s="385"/>
      <c r="GJ394" s="386"/>
      <c r="GK394" s="375"/>
      <c r="GL394" s="375"/>
      <c r="GN394" s="385"/>
      <c r="GO394" s="386"/>
      <c r="GP394" s="375"/>
      <c r="GQ394" s="375"/>
      <c r="GS394" s="385"/>
      <c r="GT394" s="386"/>
      <c r="GU394" s="375"/>
      <c r="GV394" s="375"/>
      <c r="GX394" s="385"/>
      <c r="GY394" s="386"/>
      <c r="GZ394" s="375"/>
      <c r="HA394" s="375"/>
      <c r="HC394" s="385"/>
      <c r="HD394" s="386"/>
      <c r="HE394" s="375"/>
      <c r="HF394" s="375"/>
      <c r="HH394" s="385"/>
      <c r="HI394" s="386"/>
      <c r="HJ394" s="375"/>
      <c r="HK394" s="375"/>
      <c r="HM394" s="385"/>
      <c r="HN394" s="386"/>
      <c r="HO394" s="375"/>
      <c r="HP394" s="375"/>
      <c r="HR394" s="385"/>
      <c r="HS394" s="386"/>
      <c r="HT394" s="375"/>
      <c r="HU394" s="375"/>
      <c r="HW394" s="385"/>
      <c r="HX394" s="386"/>
      <c r="HY394" s="375"/>
      <c r="HZ394" s="375"/>
      <c r="IB394" s="385"/>
      <c r="IC394" s="386"/>
      <c r="ID394" s="375"/>
      <c r="IE394" s="375"/>
      <c r="IG394" s="385"/>
      <c r="IH394" s="386"/>
      <c r="II394" s="375"/>
      <c r="IJ394" s="375"/>
      <c r="IL394" s="385"/>
      <c r="IM394" s="386"/>
      <c r="IN394" s="375"/>
      <c r="IO394" s="375"/>
      <c r="IQ394" s="385"/>
      <c r="IR394" s="386"/>
      <c r="IS394" s="375"/>
      <c r="IT394" s="375"/>
      <c r="IV394" s="385"/>
    </row>
    <row r="395" spans="1:256" s="387" customFormat="1" x14ac:dyDescent="0.2">
      <c r="A395" s="385"/>
      <c r="B395" s="386"/>
      <c r="C395" s="375"/>
      <c r="D395" s="375"/>
      <c r="F395" s="385"/>
      <c r="G395" s="386"/>
      <c r="H395" s="375"/>
      <c r="I395" s="375"/>
      <c r="K395" s="385"/>
      <c r="L395" s="386"/>
      <c r="M395" s="375"/>
      <c r="N395" s="375"/>
      <c r="P395" s="385"/>
      <c r="Q395" s="386"/>
      <c r="R395" s="375"/>
      <c r="S395" s="375"/>
      <c r="U395" s="385"/>
      <c r="V395" s="386"/>
      <c r="W395" s="375"/>
      <c r="X395" s="375"/>
      <c r="Z395" s="385"/>
      <c r="AA395" s="386"/>
      <c r="AB395" s="375"/>
      <c r="AC395" s="375"/>
      <c r="AE395" s="385"/>
      <c r="AF395" s="386"/>
      <c r="AG395" s="375"/>
      <c r="AH395" s="375"/>
      <c r="AJ395" s="385"/>
      <c r="AK395" s="386"/>
      <c r="AL395" s="375"/>
      <c r="AM395" s="375"/>
      <c r="AO395" s="385"/>
      <c r="AP395" s="386"/>
      <c r="AQ395" s="375"/>
      <c r="AR395" s="375"/>
      <c r="AT395" s="385"/>
      <c r="AU395" s="386"/>
      <c r="AV395" s="375"/>
      <c r="AW395" s="375"/>
      <c r="AY395" s="385"/>
      <c r="AZ395" s="386"/>
      <c r="BA395" s="375"/>
      <c r="BB395" s="375"/>
      <c r="BD395" s="385"/>
      <c r="BE395" s="386"/>
      <c r="BF395" s="375"/>
      <c r="BG395" s="375"/>
      <c r="BI395" s="385"/>
      <c r="BJ395" s="386"/>
      <c r="BK395" s="375"/>
      <c r="BL395" s="375"/>
      <c r="BN395" s="385"/>
      <c r="BO395" s="386"/>
      <c r="BP395" s="375"/>
      <c r="BQ395" s="375"/>
      <c r="BS395" s="385"/>
      <c r="BT395" s="386"/>
      <c r="BU395" s="375"/>
      <c r="BV395" s="375"/>
      <c r="BX395" s="385"/>
      <c r="BY395" s="386"/>
      <c r="BZ395" s="375"/>
      <c r="CA395" s="375"/>
      <c r="CC395" s="385"/>
      <c r="CD395" s="386"/>
      <c r="CE395" s="375"/>
      <c r="CF395" s="375"/>
      <c r="CH395" s="385"/>
      <c r="CI395" s="386"/>
      <c r="CJ395" s="375"/>
      <c r="CK395" s="375"/>
      <c r="CM395" s="385"/>
      <c r="CN395" s="386"/>
      <c r="CO395" s="375"/>
      <c r="CP395" s="375"/>
      <c r="CR395" s="385"/>
      <c r="CS395" s="386"/>
      <c r="CT395" s="375"/>
      <c r="CU395" s="375"/>
      <c r="CW395" s="385"/>
      <c r="CX395" s="386"/>
      <c r="CY395" s="375"/>
      <c r="CZ395" s="375"/>
      <c r="DB395" s="385"/>
      <c r="DC395" s="386"/>
      <c r="DD395" s="375"/>
      <c r="DE395" s="375"/>
      <c r="DG395" s="385"/>
      <c r="DH395" s="386"/>
      <c r="DI395" s="375"/>
      <c r="DJ395" s="375"/>
      <c r="DL395" s="385"/>
      <c r="DM395" s="386"/>
      <c r="DN395" s="375"/>
      <c r="DO395" s="375"/>
      <c r="DQ395" s="385"/>
      <c r="DR395" s="386"/>
      <c r="DS395" s="375"/>
      <c r="DT395" s="375"/>
      <c r="DV395" s="385"/>
      <c r="DW395" s="386"/>
      <c r="DX395" s="375"/>
      <c r="DY395" s="375"/>
      <c r="EA395" s="385"/>
      <c r="EB395" s="386"/>
      <c r="EC395" s="375"/>
      <c r="ED395" s="375"/>
      <c r="EF395" s="385"/>
      <c r="EG395" s="386"/>
      <c r="EH395" s="375"/>
      <c r="EI395" s="375"/>
      <c r="EK395" s="385"/>
      <c r="EL395" s="386"/>
      <c r="EM395" s="375"/>
      <c r="EN395" s="375"/>
      <c r="EP395" s="385"/>
      <c r="EQ395" s="386"/>
      <c r="ER395" s="375"/>
      <c r="ES395" s="375"/>
      <c r="EU395" s="385"/>
      <c r="EV395" s="386"/>
      <c r="EW395" s="375"/>
      <c r="EX395" s="375"/>
      <c r="EZ395" s="385"/>
      <c r="FA395" s="386"/>
      <c r="FB395" s="375"/>
      <c r="FC395" s="375"/>
      <c r="FE395" s="385"/>
      <c r="FF395" s="386"/>
      <c r="FG395" s="375"/>
      <c r="FH395" s="375"/>
      <c r="FJ395" s="385"/>
      <c r="FK395" s="386"/>
      <c r="FL395" s="375"/>
      <c r="FM395" s="375"/>
      <c r="FO395" s="385"/>
      <c r="FP395" s="386"/>
      <c r="FQ395" s="375"/>
      <c r="FR395" s="375"/>
      <c r="FT395" s="385"/>
      <c r="FU395" s="386"/>
      <c r="FV395" s="375"/>
      <c r="FW395" s="375"/>
      <c r="FY395" s="385"/>
      <c r="FZ395" s="386"/>
      <c r="GA395" s="375"/>
      <c r="GB395" s="375"/>
      <c r="GD395" s="385"/>
      <c r="GE395" s="386"/>
      <c r="GF395" s="375"/>
      <c r="GG395" s="375"/>
      <c r="GI395" s="385"/>
      <c r="GJ395" s="386"/>
      <c r="GK395" s="375"/>
      <c r="GL395" s="375"/>
      <c r="GN395" s="385"/>
      <c r="GO395" s="386"/>
      <c r="GP395" s="375"/>
      <c r="GQ395" s="375"/>
      <c r="GS395" s="385"/>
      <c r="GT395" s="386"/>
      <c r="GU395" s="375"/>
      <c r="GV395" s="375"/>
      <c r="GX395" s="385"/>
      <c r="GY395" s="386"/>
      <c r="GZ395" s="375"/>
      <c r="HA395" s="375"/>
      <c r="HC395" s="385"/>
      <c r="HD395" s="386"/>
      <c r="HE395" s="375"/>
      <c r="HF395" s="375"/>
      <c r="HH395" s="385"/>
      <c r="HI395" s="386"/>
      <c r="HJ395" s="375"/>
      <c r="HK395" s="375"/>
      <c r="HM395" s="385"/>
      <c r="HN395" s="386"/>
      <c r="HO395" s="375"/>
      <c r="HP395" s="375"/>
      <c r="HR395" s="385"/>
      <c r="HS395" s="386"/>
      <c r="HT395" s="375"/>
      <c r="HU395" s="375"/>
      <c r="HW395" s="385"/>
      <c r="HX395" s="386"/>
      <c r="HY395" s="375"/>
      <c r="HZ395" s="375"/>
      <c r="IB395" s="385"/>
      <c r="IC395" s="386"/>
      <c r="ID395" s="375"/>
      <c r="IE395" s="375"/>
      <c r="IG395" s="385"/>
      <c r="IH395" s="386"/>
      <c r="II395" s="375"/>
      <c r="IJ395" s="375"/>
      <c r="IL395" s="385"/>
      <c r="IM395" s="386"/>
      <c r="IN395" s="375"/>
      <c r="IO395" s="375"/>
      <c r="IQ395" s="385"/>
      <c r="IR395" s="386"/>
      <c r="IS395" s="375"/>
      <c r="IT395" s="375"/>
      <c r="IV395" s="385"/>
    </row>
    <row r="396" spans="1:256" s="387" customFormat="1" x14ac:dyDescent="0.2">
      <c r="A396" s="385"/>
      <c r="B396" s="386"/>
      <c r="C396" s="375"/>
      <c r="D396" s="375"/>
      <c r="F396" s="385"/>
      <c r="G396" s="386"/>
      <c r="H396" s="375"/>
      <c r="I396" s="375"/>
      <c r="K396" s="385"/>
      <c r="L396" s="386"/>
      <c r="M396" s="375"/>
      <c r="N396" s="375"/>
      <c r="P396" s="385"/>
      <c r="Q396" s="386"/>
      <c r="R396" s="375"/>
      <c r="S396" s="375"/>
      <c r="U396" s="385"/>
      <c r="V396" s="386"/>
      <c r="W396" s="375"/>
      <c r="X396" s="375"/>
      <c r="Z396" s="385"/>
      <c r="AA396" s="386"/>
      <c r="AB396" s="375"/>
      <c r="AC396" s="375"/>
      <c r="AE396" s="385"/>
      <c r="AF396" s="386"/>
      <c r="AG396" s="375"/>
      <c r="AH396" s="375"/>
      <c r="AJ396" s="385"/>
      <c r="AK396" s="386"/>
      <c r="AL396" s="375"/>
      <c r="AM396" s="375"/>
      <c r="AO396" s="385"/>
      <c r="AP396" s="386"/>
      <c r="AQ396" s="375"/>
      <c r="AR396" s="375"/>
      <c r="AT396" s="385"/>
      <c r="AU396" s="386"/>
      <c r="AV396" s="375"/>
      <c r="AW396" s="375"/>
      <c r="AY396" s="385"/>
      <c r="AZ396" s="386"/>
      <c r="BA396" s="375"/>
      <c r="BB396" s="375"/>
      <c r="BD396" s="385"/>
      <c r="BE396" s="386"/>
      <c r="BF396" s="375"/>
      <c r="BG396" s="375"/>
      <c r="BI396" s="385"/>
      <c r="BJ396" s="386"/>
      <c r="BK396" s="375"/>
      <c r="BL396" s="375"/>
      <c r="BN396" s="385"/>
      <c r="BO396" s="386"/>
      <c r="BP396" s="375"/>
      <c r="BQ396" s="375"/>
      <c r="BS396" s="385"/>
      <c r="BT396" s="386"/>
      <c r="BU396" s="375"/>
      <c r="BV396" s="375"/>
      <c r="BX396" s="385"/>
      <c r="BY396" s="386"/>
      <c r="BZ396" s="375"/>
      <c r="CA396" s="375"/>
      <c r="CC396" s="385"/>
      <c r="CD396" s="386"/>
      <c r="CE396" s="375"/>
      <c r="CF396" s="375"/>
      <c r="CH396" s="385"/>
      <c r="CI396" s="386"/>
      <c r="CJ396" s="375"/>
      <c r="CK396" s="375"/>
      <c r="CM396" s="385"/>
      <c r="CN396" s="386"/>
      <c r="CO396" s="375"/>
      <c r="CP396" s="375"/>
      <c r="CR396" s="385"/>
      <c r="CS396" s="386"/>
      <c r="CT396" s="375"/>
      <c r="CU396" s="375"/>
      <c r="CW396" s="385"/>
      <c r="CX396" s="386"/>
      <c r="CY396" s="375"/>
      <c r="CZ396" s="375"/>
      <c r="DB396" s="385"/>
      <c r="DC396" s="386"/>
      <c r="DD396" s="375"/>
      <c r="DE396" s="375"/>
      <c r="DG396" s="385"/>
      <c r="DH396" s="386"/>
      <c r="DI396" s="375"/>
      <c r="DJ396" s="375"/>
      <c r="DL396" s="385"/>
      <c r="DM396" s="386"/>
      <c r="DN396" s="375"/>
      <c r="DO396" s="375"/>
      <c r="DQ396" s="385"/>
      <c r="DR396" s="386"/>
      <c r="DS396" s="375"/>
      <c r="DT396" s="375"/>
      <c r="DV396" s="385"/>
      <c r="DW396" s="386"/>
      <c r="DX396" s="375"/>
      <c r="DY396" s="375"/>
      <c r="EA396" s="385"/>
      <c r="EB396" s="386"/>
      <c r="EC396" s="375"/>
      <c r="ED396" s="375"/>
      <c r="EF396" s="385"/>
      <c r="EG396" s="386"/>
      <c r="EH396" s="375"/>
      <c r="EI396" s="375"/>
      <c r="EK396" s="385"/>
      <c r="EL396" s="386"/>
      <c r="EM396" s="375"/>
      <c r="EN396" s="375"/>
      <c r="EP396" s="385"/>
      <c r="EQ396" s="386"/>
      <c r="ER396" s="375"/>
      <c r="ES396" s="375"/>
      <c r="EU396" s="385"/>
      <c r="EV396" s="386"/>
      <c r="EW396" s="375"/>
      <c r="EX396" s="375"/>
      <c r="EZ396" s="385"/>
      <c r="FA396" s="386"/>
      <c r="FB396" s="375"/>
      <c r="FC396" s="375"/>
      <c r="FE396" s="385"/>
      <c r="FF396" s="386"/>
      <c r="FG396" s="375"/>
      <c r="FH396" s="375"/>
      <c r="FJ396" s="385"/>
      <c r="FK396" s="386"/>
      <c r="FL396" s="375"/>
      <c r="FM396" s="375"/>
      <c r="FO396" s="385"/>
      <c r="FP396" s="386"/>
      <c r="FQ396" s="375"/>
      <c r="FR396" s="375"/>
      <c r="FT396" s="385"/>
      <c r="FU396" s="386"/>
      <c r="FV396" s="375"/>
      <c r="FW396" s="375"/>
      <c r="FY396" s="385"/>
      <c r="FZ396" s="386"/>
      <c r="GA396" s="375"/>
      <c r="GB396" s="375"/>
      <c r="GD396" s="385"/>
      <c r="GE396" s="386"/>
      <c r="GF396" s="375"/>
      <c r="GG396" s="375"/>
      <c r="GI396" s="385"/>
      <c r="GJ396" s="386"/>
      <c r="GK396" s="375"/>
      <c r="GL396" s="375"/>
      <c r="GN396" s="385"/>
      <c r="GO396" s="386"/>
      <c r="GP396" s="375"/>
      <c r="GQ396" s="375"/>
      <c r="GS396" s="385"/>
      <c r="GT396" s="386"/>
      <c r="GU396" s="375"/>
      <c r="GV396" s="375"/>
      <c r="GX396" s="385"/>
      <c r="GY396" s="386"/>
      <c r="GZ396" s="375"/>
      <c r="HA396" s="375"/>
      <c r="HC396" s="385"/>
      <c r="HD396" s="386"/>
      <c r="HE396" s="375"/>
      <c r="HF396" s="375"/>
      <c r="HH396" s="385"/>
      <c r="HI396" s="386"/>
      <c r="HJ396" s="375"/>
      <c r="HK396" s="375"/>
      <c r="HM396" s="385"/>
      <c r="HN396" s="386"/>
      <c r="HO396" s="375"/>
      <c r="HP396" s="375"/>
      <c r="HR396" s="385"/>
      <c r="HS396" s="386"/>
      <c r="HT396" s="375"/>
      <c r="HU396" s="375"/>
      <c r="HW396" s="385"/>
      <c r="HX396" s="386"/>
      <c r="HY396" s="375"/>
      <c r="HZ396" s="375"/>
      <c r="IB396" s="385"/>
      <c r="IC396" s="386"/>
      <c r="ID396" s="375"/>
      <c r="IE396" s="375"/>
      <c r="IG396" s="385"/>
      <c r="IH396" s="386"/>
      <c r="II396" s="375"/>
      <c r="IJ396" s="375"/>
      <c r="IL396" s="385"/>
      <c r="IM396" s="386"/>
      <c r="IN396" s="375"/>
      <c r="IO396" s="375"/>
      <c r="IQ396" s="385"/>
      <c r="IR396" s="386"/>
      <c r="IS396" s="375"/>
      <c r="IT396" s="375"/>
      <c r="IV396" s="385"/>
    </row>
    <row r="397" spans="1:256" s="387" customFormat="1" x14ac:dyDescent="0.2">
      <c r="A397" s="385"/>
      <c r="B397" s="386"/>
      <c r="C397" s="375"/>
      <c r="D397" s="375"/>
      <c r="F397" s="385"/>
      <c r="G397" s="386"/>
      <c r="H397" s="375"/>
      <c r="I397" s="375"/>
      <c r="K397" s="385"/>
      <c r="L397" s="386"/>
      <c r="M397" s="375"/>
      <c r="N397" s="375"/>
      <c r="P397" s="385"/>
      <c r="Q397" s="386"/>
      <c r="R397" s="375"/>
      <c r="S397" s="375"/>
      <c r="U397" s="385"/>
      <c r="V397" s="386"/>
      <c r="W397" s="375"/>
      <c r="X397" s="375"/>
      <c r="Z397" s="385"/>
      <c r="AA397" s="386"/>
      <c r="AB397" s="375"/>
      <c r="AC397" s="375"/>
      <c r="AE397" s="385"/>
      <c r="AF397" s="386"/>
      <c r="AG397" s="375"/>
      <c r="AH397" s="375"/>
      <c r="AJ397" s="385"/>
      <c r="AK397" s="386"/>
      <c r="AL397" s="375"/>
      <c r="AM397" s="375"/>
      <c r="AO397" s="385"/>
      <c r="AP397" s="386"/>
      <c r="AQ397" s="375"/>
      <c r="AR397" s="375"/>
      <c r="AT397" s="385"/>
      <c r="AU397" s="386"/>
      <c r="AV397" s="375"/>
      <c r="AW397" s="375"/>
      <c r="AY397" s="385"/>
      <c r="AZ397" s="386"/>
      <c r="BA397" s="375"/>
      <c r="BB397" s="375"/>
      <c r="BD397" s="385"/>
      <c r="BE397" s="386"/>
      <c r="BF397" s="375"/>
      <c r="BG397" s="375"/>
      <c r="BI397" s="385"/>
      <c r="BJ397" s="386"/>
      <c r="BK397" s="375"/>
      <c r="BL397" s="375"/>
      <c r="BN397" s="385"/>
      <c r="BO397" s="386"/>
      <c r="BP397" s="375"/>
      <c r="BQ397" s="375"/>
      <c r="BS397" s="385"/>
      <c r="BT397" s="386"/>
      <c r="BU397" s="375"/>
      <c r="BV397" s="375"/>
      <c r="BX397" s="385"/>
      <c r="BY397" s="386"/>
      <c r="BZ397" s="375"/>
      <c r="CA397" s="375"/>
      <c r="CC397" s="385"/>
      <c r="CD397" s="386"/>
      <c r="CE397" s="375"/>
      <c r="CF397" s="375"/>
      <c r="CH397" s="385"/>
      <c r="CI397" s="386"/>
      <c r="CJ397" s="375"/>
      <c r="CK397" s="375"/>
      <c r="CM397" s="385"/>
      <c r="CN397" s="386"/>
      <c r="CO397" s="375"/>
      <c r="CP397" s="375"/>
      <c r="CR397" s="385"/>
      <c r="CS397" s="386"/>
      <c r="CT397" s="375"/>
      <c r="CU397" s="375"/>
      <c r="CW397" s="385"/>
      <c r="CX397" s="386"/>
      <c r="CY397" s="375"/>
      <c r="CZ397" s="375"/>
      <c r="DB397" s="385"/>
      <c r="DC397" s="386"/>
      <c r="DD397" s="375"/>
      <c r="DE397" s="375"/>
      <c r="DG397" s="385"/>
      <c r="DH397" s="386"/>
      <c r="DI397" s="375"/>
      <c r="DJ397" s="375"/>
      <c r="DL397" s="385"/>
      <c r="DM397" s="386"/>
      <c r="DN397" s="375"/>
      <c r="DO397" s="375"/>
      <c r="DQ397" s="385"/>
      <c r="DR397" s="386"/>
      <c r="DS397" s="375"/>
      <c r="DT397" s="375"/>
      <c r="DV397" s="385"/>
      <c r="DW397" s="386"/>
      <c r="DX397" s="375"/>
      <c r="DY397" s="375"/>
      <c r="EA397" s="385"/>
      <c r="EB397" s="386"/>
      <c r="EC397" s="375"/>
      <c r="ED397" s="375"/>
      <c r="EF397" s="385"/>
      <c r="EG397" s="386"/>
      <c r="EH397" s="375"/>
      <c r="EI397" s="375"/>
      <c r="EK397" s="385"/>
      <c r="EL397" s="386"/>
      <c r="EM397" s="375"/>
      <c r="EN397" s="375"/>
      <c r="EP397" s="385"/>
      <c r="EQ397" s="386"/>
      <c r="ER397" s="375"/>
      <c r="ES397" s="375"/>
      <c r="EU397" s="385"/>
      <c r="EV397" s="386"/>
      <c r="EW397" s="375"/>
      <c r="EX397" s="375"/>
      <c r="EZ397" s="385"/>
      <c r="FA397" s="386"/>
      <c r="FB397" s="375"/>
      <c r="FC397" s="375"/>
      <c r="FE397" s="385"/>
      <c r="FF397" s="386"/>
      <c r="FG397" s="375"/>
      <c r="FH397" s="375"/>
      <c r="FJ397" s="385"/>
      <c r="FK397" s="386"/>
      <c r="FL397" s="375"/>
      <c r="FM397" s="375"/>
      <c r="FO397" s="385"/>
      <c r="FP397" s="386"/>
      <c r="FQ397" s="375"/>
      <c r="FR397" s="375"/>
      <c r="FT397" s="385"/>
      <c r="FU397" s="386"/>
      <c r="FV397" s="375"/>
      <c r="FW397" s="375"/>
      <c r="FY397" s="385"/>
      <c r="FZ397" s="386"/>
      <c r="GA397" s="375"/>
      <c r="GB397" s="375"/>
      <c r="GD397" s="385"/>
      <c r="GE397" s="386"/>
      <c r="GF397" s="375"/>
      <c r="GG397" s="375"/>
      <c r="GI397" s="385"/>
      <c r="GJ397" s="386"/>
      <c r="GK397" s="375"/>
      <c r="GL397" s="375"/>
      <c r="GN397" s="385"/>
      <c r="GO397" s="386"/>
      <c r="GP397" s="375"/>
      <c r="GQ397" s="375"/>
      <c r="GS397" s="385"/>
      <c r="GT397" s="386"/>
      <c r="GU397" s="375"/>
      <c r="GV397" s="375"/>
      <c r="GX397" s="385"/>
      <c r="GY397" s="386"/>
      <c r="GZ397" s="375"/>
      <c r="HA397" s="375"/>
      <c r="HC397" s="385"/>
      <c r="HD397" s="386"/>
      <c r="HE397" s="375"/>
      <c r="HF397" s="375"/>
      <c r="HH397" s="385"/>
      <c r="HI397" s="386"/>
      <c r="HJ397" s="375"/>
      <c r="HK397" s="375"/>
      <c r="HM397" s="385"/>
      <c r="HN397" s="386"/>
      <c r="HO397" s="375"/>
      <c r="HP397" s="375"/>
      <c r="HR397" s="385"/>
      <c r="HS397" s="386"/>
      <c r="HT397" s="375"/>
      <c r="HU397" s="375"/>
      <c r="HW397" s="385"/>
      <c r="HX397" s="386"/>
      <c r="HY397" s="375"/>
      <c r="HZ397" s="375"/>
      <c r="IB397" s="385"/>
      <c r="IC397" s="386"/>
      <c r="ID397" s="375"/>
      <c r="IE397" s="375"/>
      <c r="IG397" s="385"/>
      <c r="IH397" s="386"/>
      <c r="II397" s="375"/>
      <c r="IJ397" s="375"/>
      <c r="IL397" s="385"/>
      <c r="IM397" s="386"/>
      <c r="IN397" s="375"/>
      <c r="IO397" s="375"/>
      <c r="IQ397" s="385"/>
      <c r="IR397" s="386"/>
      <c r="IS397" s="375"/>
      <c r="IT397" s="375"/>
      <c r="IV397" s="385"/>
    </row>
    <row r="398" spans="1:256" s="387" customFormat="1" x14ac:dyDescent="0.2">
      <c r="A398" s="385"/>
      <c r="B398" s="386"/>
      <c r="C398" s="375"/>
      <c r="D398" s="375"/>
      <c r="F398" s="385"/>
      <c r="G398" s="386"/>
      <c r="H398" s="375"/>
      <c r="I398" s="375"/>
      <c r="K398" s="385"/>
      <c r="L398" s="386"/>
      <c r="M398" s="375"/>
      <c r="N398" s="375"/>
      <c r="P398" s="385"/>
      <c r="Q398" s="386"/>
      <c r="R398" s="375"/>
      <c r="S398" s="375"/>
      <c r="U398" s="385"/>
      <c r="V398" s="386"/>
      <c r="W398" s="375"/>
      <c r="X398" s="375"/>
      <c r="Z398" s="385"/>
      <c r="AA398" s="386"/>
      <c r="AB398" s="375"/>
      <c r="AC398" s="375"/>
      <c r="AE398" s="385"/>
      <c r="AF398" s="386"/>
      <c r="AG398" s="375"/>
      <c r="AH398" s="375"/>
      <c r="AJ398" s="385"/>
      <c r="AK398" s="386"/>
      <c r="AL398" s="375"/>
      <c r="AM398" s="375"/>
      <c r="AO398" s="385"/>
      <c r="AP398" s="386"/>
      <c r="AQ398" s="375"/>
      <c r="AR398" s="375"/>
      <c r="AT398" s="385"/>
      <c r="AU398" s="386"/>
      <c r="AV398" s="375"/>
      <c r="AW398" s="375"/>
      <c r="AY398" s="385"/>
      <c r="AZ398" s="386"/>
      <c r="BA398" s="375"/>
      <c r="BB398" s="375"/>
      <c r="BD398" s="385"/>
      <c r="BE398" s="386"/>
      <c r="BF398" s="375"/>
      <c r="BG398" s="375"/>
      <c r="BI398" s="385"/>
      <c r="BJ398" s="386"/>
      <c r="BK398" s="375"/>
      <c r="BL398" s="375"/>
      <c r="BN398" s="385"/>
      <c r="BO398" s="386"/>
      <c r="BP398" s="375"/>
      <c r="BQ398" s="375"/>
      <c r="BS398" s="385"/>
      <c r="BT398" s="386"/>
      <c r="BU398" s="375"/>
      <c r="BV398" s="375"/>
      <c r="BX398" s="385"/>
      <c r="BY398" s="386"/>
      <c r="BZ398" s="375"/>
      <c r="CA398" s="375"/>
      <c r="CC398" s="385"/>
      <c r="CD398" s="386"/>
      <c r="CE398" s="375"/>
      <c r="CF398" s="375"/>
      <c r="CH398" s="385"/>
      <c r="CI398" s="386"/>
      <c r="CJ398" s="375"/>
      <c r="CK398" s="375"/>
      <c r="CM398" s="385"/>
      <c r="CN398" s="386"/>
      <c r="CO398" s="375"/>
      <c r="CP398" s="375"/>
      <c r="CR398" s="385"/>
      <c r="CS398" s="386"/>
      <c r="CT398" s="375"/>
      <c r="CU398" s="375"/>
      <c r="CW398" s="385"/>
      <c r="CX398" s="386"/>
      <c r="CY398" s="375"/>
      <c r="CZ398" s="375"/>
      <c r="DB398" s="385"/>
      <c r="DC398" s="386"/>
      <c r="DD398" s="375"/>
      <c r="DE398" s="375"/>
      <c r="DG398" s="385"/>
      <c r="DH398" s="386"/>
      <c r="DI398" s="375"/>
      <c r="DJ398" s="375"/>
      <c r="DL398" s="385"/>
      <c r="DM398" s="386"/>
      <c r="DN398" s="375"/>
      <c r="DO398" s="375"/>
      <c r="DQ398" s="385"/>
      <c r="DR398" s="386"/>
      <c r="DS398" s="375"/>
      <c r="DT398" s="375"/>
      <c r="DV398" s="385"/>
      <c r="DW398" s="386"/>
      <c r="DX398" s="375"/>
      <c r="DY398" s="375"/>
      <c r="EA398" s="385"/>
      <c r="EB398" s="386"/>
      <c r="EC398" s="375"/>
      <c r="ED398" s="375"/>
      <c r="EF398" s="385"/>
      <c r="EG398" s="386"/>
      <c r="EH398" s="375"/>
      <c r="EI398" s="375"/>
      <c r="EK398" s="385"/>
      <c r="EL398" s="386"/>
      <c r="EM398" s="375"/>
      <c r="EN398" s="375"/>
      <c r="EP398" s="385"/>
      <c r="EQ398" s="386"/>
      <c r="ER398" s="375"/>
      <c r="ES398" s="375"/>
      <c r="EU398" s="385"/>
      <c r="EV398" s="386"/>
      <c r="EW398" s="375"/>
      <c r="EX398" s="375"/>
      <c r="EZ398" s="385"/>
      <c r="FA398" s="386"/>
      <c r="FB398" s="375"/>
      <c r="FC398" s="375"/>
      <c r="FE398" s="385"/>
      <c r="FF398" s="386"/>
      <c r="FG398" s="375"/>
      <c r="FH398" s="375"/>
      <c r="FJ398" s="385"/>
      <c r="FK398" s="386"/>
      <c r="FL398" s="375"/>
      <c r="FM398" s="375"/>
      <c r="FO398" s="385"/>
      <c r="FP398" s="386"/>
      <c r="FQ398" s="375"/>
      <c r="FR398" s="375"/>
      <c r="FT398" s="385"/>
      <c r="FU398" s="386"/>
      <c r="FV398" s="375"/>
      <c r="FW398" s="375"/>
      <c r="FY398" s="385"/>
      <c r="FZ398" s="386"/>
      <c r="GA398" s="375"/>
      <c r="GB398" s="375"/>
      <c r="GD398" s="385"/>
      <c r="GE398" s="386"/>
      <c r="GF398" s="375"/>
      <c r="GG398" s="375"/>
      <c r="GI398" s="385"/>
      <c r="GJ398" s="386"/>
      <c r="GK398" s="375"/>
      <c r="GL398" s="375"/>
      <c r="GN398" s="385"/>
      <c r="GO398" s="386"/>
      <c r="GP398" s="375"/>
      <c r="GQ398" s="375"/>
      <c r="GS398" s="385"/>
      <c r="GT398" s="386"/>
      <c r="GU398" s="375"/>
      <c r="GV398" s="375"/>
      <c r="GX398" s="385"/>
      <c r="GY398" s="386"/>
      <c r="GZ398" s="375"/>
      <c r="HA398" s="375"/>
      <c r="HC398" s="385"/>
      <c r="HD398" s="386"/>
      <c r="HE398" s="375"/>
      <c r="HF398" s="375"/>
      <c r="HH398" s="385"/>
      <c r="HI398" s="386"/>
      <c r="HJ398" s="375"/>
      <c r="HK398" s="375"/>
      <c r="HM398" s="385"/>
      <c r="HN398" s="386"/>
      <c r="HO398" s="375"/>
      <c r="HP398" s="375"/>
      <c r="HR398" s="385"/>
      <c r="HS398" s="386"/>
      <c r="HT398" s="375"/>
      <c r="HU398" s="375"/>
      <c r="HW398" s="385"/>
      <c r="HX398" s="386"/>
      <c r="HY398" s="375"/>
      <c r="HZ398" s="375"/>
      <c r="IB398" s="385"/>
      <c r="IC398" s="386"/>
      <c r="ID398" s="375"/>
      <c r="IE398" s="375"/>
      <c r="IG398" s="385"/>
      <c r="IH398" s="386"/>
      <c r="II398" s="375"/>
      <c r="IJ398" s="375"/>
      <c r="IL398" s="385"/>
      <c r="IM398" s="386"/>
      <c r="IN398" s="375"/>
      <c r="IO398" s="375"/>
      <c r="IQ398" s="385"/>
      <c r="IR398" s="386"/>
      <c r="IS398" s="375"/>
      <c r="IT398" s="375"/>
      <c r="IV398" s="385"/>
    </row>
    <row r="399" spans="1:256" s="387" customFormat="1" x14ac:dyDescent="0.2">
      <c r="A399" s="385"/>
      <c r="B399" s="386"/>
      <c r="C399" s="375"/>
      <c r="D399" s="375"/>
      <c r="F399" s="385"/>
      <c r="G399" s="386"/>
      <c r="H399" s="375"/>
      <c r="I399" s="375"/>
      <c r="K399" s="385"/>
      <c r="L399" s="386"/>
      <c r="M399" s="375"/>
      <c r="N399" s="375"/>
      <c r="P399" s="385"/>
      <c r="Q399" s="386"/>
      <c r="R399" s="375"/>
      <c r="S399" s="375"/>
      <c r="U399" s="385"/>
      <c r="V399" s="386"/>
      <c r="W399" s="375"/>
      <c r="X399" s="375"/>
      <c r="Z399" s="385"/>
      <c r="AA399" s="386"/>
      <c r="AB399" s="375"/>
      <c r="AC399" s="375"/>
      <c r="AE399" s="385"/>
      <c r="AF399" s="386"/>
      <c r="AG399" s="375"/>
      <c r="AH399" s="375"/>
      <c r="AJ399" s="385"/>
      <c r="AK399" s="386"/>
      <c r="AL399" s="375"/>
      <c r="AM399" s="375"/>
      <c r="AO399" s="385"/>
      <c r="AP399" s="386"/>
      <c r="AQ399" s="375"/>
      <c r="AR399" s="375"/>
      <c r="AT399" s="385"/>
      <c r="AU399" s="386"/>
      <c r="AV399" s="375"/>
      <c r="AW399" s="375"/>
      <c r="AY399" s="385"/>
      <c r="AZ399" s="386"/>
      <c r="BA399" s="375"/>
      <c r="BB399" s="375"/>
      <c r="BD399" s="385"/>
      <c r="BE399" s="386"/>
      <c r="BF399" s="375"/>
      <c r="BG399" s="375"/>
      <c r="BI399" s="385"/>
      <c r="BJ399" s="386"/>
      <c r="BK399" s="375"/>
      <c r="BL399" s="375"/>
      <c r="BN399" s="385"/>
      <c r="BO399" s="386"/>
      <c r="BP399" s="375"/>
      <c r="BQ399" s="375"/>
      <c r="BS399" s="385"/>
      <c r="BT399" s="386"/>
      <c r="BU399" s="375"/>
      <c r="BV399" s="375"/>
      <c r="BX399" s="385"/>
      <c r="BY399" s="386"/>
      <c r="BZ399" s="375"/>
      <c r="CA399" s="375"/>
      <c r="CC399" s="385"/>
      <c r="CD399" s="386"/>
      <c r="CE399" s="375"/>
      <c r="CF399" s="375"/>
      <c r="CH399" s="385"/>
      <c r="CI399" s="386"/>
      <c r="CJ399" s="375"/>
      <c r="CK399" s="375"/>
      <c r="CM399" s="385"/>
      <c r="CN399" s="386"/>
      <c r="CO399" s="375"/>
      <c r="CP399" s="375"/>
      <c r="CR399" s="385"/>
      <c r="CS399" s="386"/>
      <c r="CT399" s="375"/>
      <c r="CU399" s="375"/>
      <c r="CW399" s="385"/>
      <c r="CX399" s="386"/>
      <c r="CY399" s="375"/>
      <c r="CZ399" s="375"/>
      <c r="DB399" s="385"/>
      <c r="DC399" s="386"/>
      <c r="DD399" s="375"/>
      <c r="DE399" s="375"/>
      <c r="DG399" s="385"/>
      <c r="DH399" s="386"/>
      <c r="DI399" s="375"/>
      <c r="DJ399" s="375"/>
      <c r="DL399" s="385"/>
      <c r="DM399" s="386"/>
      <c r="DN399" s="375"/>
      <c r="DO399" s="375"/>
      <c r="DQ399" s="385"/>
      <c r="DR399" s="386"/>
      <c r="DS399" s="375"/>
      <c r="DT399" s="375"/>
      <c r="DV399" s="385"/>
      <c r="DW399" s="386"/>
      <c r="DX399" s="375"/>
      <c r="DY399" s="375"/>
      <c r="EA399" s="385"/>
      <c r="EB399" s="386"/>
      <c r="EC399" s="375"/>
      <c r="ED399" s="375"/>
      <c r="EF399" s="385"/>
      <c r="EG399" s="386"/>
      <c r="EH399" s="375"/>
      <c r="EI399" s="375"/>
      <c r="EK399" s="385"/>
      <c r="EL399" s="386"/>
      <c r="EM399" s="375"/>
      <c r="EN399" s="375"/>
      <c r="EP399" s="385"/>
      <c r="EQ399" s="386"/>
      <c r="ER399" s="375"/>
      <c r="ES399" s="375"/>
      <c r="EU399" s="385"/>
      <c r="EV399" s="386"/>
      <c r="EW399" s="375"/>
      <c r="EX399" s="375"/>
      <c r="EZ399" s="385"/>
      <c r="FA399" s="386"/>
      <c r="FB399" s="375"/>
      <c r="FC399" s="375"/>
      <c r="FE399" s="385"/>
      <c r="FF399" s="386"/>
      <c r="FG399" s="375"/>
      <c r="FH399" s="375"/>
      <c r="FJ399" s="385"/>
      <c r="FK399" s="386"/>
      <c r="FL399" s="375"/>
      <c r="FM399" s="375"/>
      <c r="FO399" s="385"/>
      <c r="FP399" s="386"/>
      <c r="FQ399" s="375"/>
      <c r="FR399" s="375"/>
      <c r="FT399" s="385"/>
      <c r="FU399" s="386"/>
      <c r="FV399" s="375"/>
      <c r="FW399" s="375"/>
      <c r="FY399" s="385"/>
      <c r="FZ399" s="386"/>
      <c r="GA399" s="375"/>
      <c r="GB399" s="375"/>
      <c r="GD399" s="385"/>
      <c r="GE399" s="386"/>
      <c r="GF399" s="375"/>
      <c r="GG399" s="375"/>
      <c r="GI399" s="385"/>
      <c r="GJ399" s="386"/>
      <c r="GK399" s="375"/>
      <c r="GL399" s="375"/>
      <c r="GN399" s="385"/>
      <c r="GO399" s="386"/>
      <c r="GP399" s="375"/>
      <c r="GQ399" s="375"/>
      <c r="GS399" s="385"/>
      <c r="GT399" s="386"/>
      <c r="GU399" s="375"/>
      <c r="GV399" s="375"/>
      <c r="GX399" s="385"/>
      <c r="GY399" s="386"/>
      <c r="GZ399" s="375"/>
      <c r="HA399" s="375"/>
      <c r="HC399" s="385"/>
      <c r="HD399" s="386"/>
      <c r="HE399" s="375"/>
      <c r="HF399" s="375"/>
      <c r="HH399" s="385"/>
      <c r="HI399" s="386"/>
      <c r="HJ399" s="375"/>
      <c r="HK399" s="375"/>
      <c r="HM399" s="385"/>
      <c r="HN399" s="386"/>
      <c r="HO399" s="375"/>
      <c r="HP399" s="375"/>
      <c r="HR399" s="385"/>
      <c r="HS399" s="386"/>
      <c r="HT399" s="375"/>
      <c r="HU399" s="375"/>
      <c r="HW399" s="385"/>
      <c r="HX399" s="386"/>
      <c r="HY399" s="375"/>
      <c r="HZ399" s="375"/>
      <c r="IB399" s="385"/>
      <c r="IC399" s="386"/>
      <c r="ID399" s="375"/>
      <c r="IE399" s="375"/>
      <c r="IG399" s="385"/>
      <c r="IH399" s="386"/>
      <c r="II399" s="375"/>
      <c r="IJ399" s="375"/>
      <c r="IL399" s="385"/>
      <c r="IM399" s="386"/>
      <c r="IN399" s="375"/>
      <c r="IO399" s="375"/>
      <c r="IQ399" s="385"/>
      <c r="IR399" s="386"/>
      <c r="IS399" s="375"/>
      <c r="IT399" s="375"/>
      <c r="IV399" s="385"/>
    </row>
    <row r="400" spans="1:256" s="387" customFormat="1" x14ac:dyDescent="0.2">
      <c r="A400" s="385"/>
      <c r="B400" s="386"/>
      <c r="C400" s="375"/>
      <c r="D400" s="375"/>
      <c r="F400" s="385"/>
      <c r="G400" s="386"/>
      <c r="H400" s="375"/>
      <c r="I400" s="375"/>
      <c r="K400" s="385"/>
      <c r="L400" s="386"/>
      <c r="M400" s="375"/>
      <c r="N400" s="375"/>
      <c r="P400" s="385"/>
      <c r="Q400" s="386"/>
      <c r="R400" s="375"/>
      <c r="S400" s="375"/>
      <c r="U400" s="385"/>
      <c r="V400" s="386"/>
      <c r="W400" s="375"/>
      <c r="X400" s="375"/>
      <c r="Z400" s="385"/>
      <c r="AA400" s="386"/>
      <c r="AB400" s="375"/>
      <c r="AC400" s="375"/>
      <c r="AE400" s="385"/>
      <c r="AF400" s="386"/>
      <c r="AG400" s="375"/>
      <c r="AH400" s="375"/>
      <c r="AJ400" s="385"/>
      <c r="AK400" s="386"/>
      <c r="AL400" s="375"/>
      <c r="AM400" s="375"/>
      <c r="AO400" s="385"/>
      <c r="AP400" s="386"/>
      <c r="AQ400" s="375"/>
      <c r="AR400" s="375"/>
      <c r="AT400" s="385"/>
      <c r="AU400" s="386"/>
      <c r="AV400" s="375"/>
      <c r="AW400" s="375"/>
      <c r="AY400" s="385"/>
      <c r="AZ400" s="386"/>
      <c r="BA400" s="375"/>
      <c r="BB400" s="375"/>
      <c r="BD400" s="385"/>
      <c r="BE400" s="386"/>
      <c r="BF400" s="375"/>
      <c r="BG400" s="375"/>
      <c r="BI400" s="385"/>
      <c r="BJ400" s="386"/>
      <c r="BK400" s="375"/>
      <c r="BL400" s="375"/>
      <c r="BN400" s="385"/>
      <c r="BO400" s="386"/>
      <c r="BP400" s="375"/>
      <c r="BQ400" s="375"/>
      <c r="BS400" s="385"/>
      <c r="BT400" s="386"/>
      <c r="BU400" s="375"/>
      <c r="BV400" s="375"/>
      <c r="BX400" s="385"/>
      <c r="BY400" s="386"/>
      <c r="BZ400" s="375"/>
      <c r="CA400" s="375"/>
      <c r="CC400" s="385"/>
      <c r="CD400" s="386"/>
      <c r="CE400" s="375"/>
      <c r="CF400" s="375"/>
      <c r="CH400" s="385"/>
      <c r="CI400" s="386"/>
      <c r="CJ400" s="375"/>
      <c r="CK400" s="375"/>
      <c r="CM400" s="385"/>
      <c r="CN400" s="386"/>
      <c r="CO400" s="375"/>
      <c r="CP400" s="375"/>
      <c r="CR400" s="385"/>
      <c r="CS400" s="386"/>
      <c r="CT400" s="375"/>
      <c r="CU400" s="375"/>
      <c r="CW400" s="385"/>
      <c r="CX400" s="386"/>
      <c r="CY400" s="375"/>
      <c r="CZ400" s="375"/>
      <c r="DB400" s="385"/>
      <c r="DC400" s="386"/>
      <c r="DD400" s="375"/>
      <c r="DE400" s="375"/>
      <c r="DG400" s="385"/>
      <c r="DH400" s="386"/>
      <c r="DI400" s="375"/>
      <c r="DJ400" s="375"/>
      <c r="DL400" s="385"/>
      <c r="DM400" s="386"/>
      <c r="DN400" s="375"/>
      <c r="DO400" s="375"/>
      <c r="DQ400" s="385"/>
      <c r="DR400" s="386"/>
      <c r="DS400" s="375"/>
      <c r="DT400" s="375"/>
      <c r="DV400" s="385"/>
      <c r="DW400" s="386"/>
      <c r="DX400" s="375"/>
      <c r="DY400" s="375"/>
      <c r="EA400" s="385"/>
      <c r="EB400" s="386"/>
      <c r="EC400" s="375"/>
      <c r="ED400" s="375"/>
      <c r="EF400" s="385"/>
      <c r="EG400" s="386"/>
      <c r="EH400" s="375"/>
      <c r="EI400" s="375"/>
      <c r="EK400" s="385"/>
      <c r="EL400" s="386"/>
      <c r="EM400" s="375"/>
      <c r="EN400" s="375"/>
      <c r="EP400" s="385"/>
      <c r="EQ400" s="386"/>
      <c r="ER400" s="375"/>
      <c r="ES400" s="375"/>
      <c r="EU400" s="385"/>
      <c r="EV400" s="386"/>
      <c r="EW400" s="375"/>
      <c r="EX400" s="375"/>
      <c r="EZ400" s="385"/>
      <c r="FA400" s="386"/>
      <c r="FB400" s="375"/>
      <c r="FC400" s="375"/>
      <c r="FE400" s="385"/>
      <c r="FF400" s="386"/>
      <c r="FG400" s="375"/>
      <c r="FH400" s="375"/>
      <c r="FJ400" s="385"/>
      <c r="FK400" s="386"/>
      <c r="FL400" s="375"/>
      <c r="FM400" s="375"/>
      <c r="FO400" s="385"/>
      <c r="FP400" s="386"/>
      <c r="FQ400" s="375"/>
      <c r="FR400" s="375"/>
      <c r="FT400" s="385"/>
      <c r="FU400" s="386"/>
      <c r="FV400" s="375"/>
      <c r="FW400" s="375"/>
      <c r="FY400" s="385"/>
      <c r="FZ400" s="386"/>
      <c r="GA400" s="375"/>
      <c r="GB400" s="375"/>
      <c r="GD400" s="385"/>
      <c r="GE400" s="386"/>
      <c r="GF400" s="375"/>
      <c r="GG400" s="375"/>
      <c r="GI400" s="385"/>
      <c r="GJ400" s="386"/>
      <c r="GK400" s="375"/>
      <c r="GL400" s="375"/>
      <c r="GN400" s="385"/>
      <c r="GO400" s="386"/>
      <c r="GP400" s="375"/>
      <c r="GQ400" s="375"/>
      <c r="GS400" s="385"/>
      <c r="GT400" s="386"/>
      <c r="GU400" s="375"/>
      <c r="GV400" s="375"/>
      <c r="GX400" s="385"/>
      <c r="GY400" s="386"/>
      <c r="GZ400" s="375"/>
      <c r="HA400" s="375"/>
      <c r="HC400" s="385"/>
      <c r="HD400" s="386"/>
      <c r="HE400" s="375"/>
      <c r="HF400" s="375"/>
      <c r="HH400" s="385"/>
      <c r="HI400" s="386"/>
      <c r="HJ400" s="375"/>
      <c r="HK400" s="375"/>
      <c r="HM400" s="385"/>
      <c r="HN400" s="386"/>
      <c r="HO400" s="375"/>
      <c r="HP400" s="375"/>
      <c r="HR400" s="385"/>
      <c r="HS400" s="386"/>
      <c r="HT400" s="375"/>
      <c r="HU400" s="375"/>
      <c r="HW400" s="385"/>
      <c r="HX400" s="386"/>
      <c r="HY400" s="375"/>
      <c r="HZ400" s="375"/>
      <c r="IB400" s="385"/>
      <c r="IC400" s="386"/>
      <c r="ID400" s="375"/>
      <c r="IE400" s="375"/>
      <c r="IG400" s="385"/>
      <c r="IH400" s="386"/>
      <c r="II400" s="375"/>
      <c r="IJ400" s="375"/>
      <c r="IL400" s="385"/>
      <c r="IM400" s="386"/>
      <c r="IN400" s="375"/>
      <c r="IO400" s="375"/>
      <c r="IQ400" s="385"/>
      <c r="IR400" s="386"/>
      <c r="IS400" s="375"/>
      <c r="IT400" s="375"/>
      <c r="IV400" s="385"/>
    </row>
    <row r="401" spans="1:256" s="387" customFormat="1" x14ac:dyDescent="0.2">
      <c r="A401" s="385"/>
      <c r="B401" s="386"/>
      <c r="C401" s="375"/>
      <c r="D401" s="375"/>
      <c r="F401" s="385"/>
      <c r="G401" s="386"/>
      <c r="H401" s="375"/>
      <c r="I401" s="375"/>
      <c r="K401" s="385"/>
      <c r="L401" s="386"/>
      <c r="M401" s="375"/>
      <c r="N401" s="375"/>
      <c r="P401" s="385"/>
      <c r="Q401" s="386"/>
      <c r="R401" s="375"/>
      <c r="S401" s="375"/>
      <c r="U401" s="385"/>
      <c r="V401" s="386"/>
      <c r="W401" s="375"/>
      <c r="X401" s="375"/>
      <c r="Z401" s="385"/>
      <c r="AA401" s="386"/>
      <c r="AB401" s="375"/>
      <c r="AC401" s="375"/>
      <c r="AE401" s="385"/>
      <c r="AF401" s="386"/>
      <c r="AG401" s="375"/>
      <c r="AH401" s="375"/>
      <c r="AJ401" s="385"/>
      <c r="AK401" s="386"/>
      <c r="AL401" s="375"/>
      <c r="AM401" s="375"/>
      <c r="AO401" s="385"/>
      <c r="AP401" s="386"/>
      <c r="AQ401" s="375"/>
      <c r="AR401" s="375"/>
      <c r="AT401" s="385"/>
      <c r="AU401" s="386"/>
      <c r="AV401" s="375"/>
      <c r="AW401" s="375"/>
      <c r="AY401" s="385"/>
      <c r="AZ401" s="386"/>
      <c r="BA401" s="375"/>
      <c r="BB401" s="375"/>
      <c r="BD401" s="385"/>
      <c r="BE401" s="386"/>
      <c r="BF401" s="375"/>
      <c r="BG401" s="375"/>
      <c r="BI401" s="385"/>
      <c r="BJ401" s="386"/>
      <c r="BK401" s="375"/>
      <c r="BL401" s="375"/>
      <c r="BN401" s="385"/>
      <c r="BO401" s="386"/>
      <c r="BP401" s="375"/>
      <c r="BQ401" s="375"/>
      <c r="BS401" s="385"/>
      <c r="BT401" s="386"/>
      <c r="BU401" s="375"/>
      <c r="BV401" s="375"/>
      <c r="BX401" s="385"/>
      <c r="BY401" s="386"/>
      <c r="BZ401" s="375"/>
      <c r="CA401" s="375"/>
      <c r="CC401" s="385"/>
      <c r="CD401" s="386"/>
      <c r="CE401" s="375"/>
      <c r="CF401" s="375"/>
      <c r="CH401" s="385"/>
      <c r="CI401" s="386"/>
      <c r="CJ401" s="375"/>
      <c r="CK401" s="375"/>
      <c r="CM401" s="385"/>
      <c r="CN401" s="386"/>
      <c r="CO401" s="375"/>
      <c r="CP401" s="375"/>
      <c r="CR401" s="385"/>
      <c r="CS401" s="386"/>
      <c r="CT401" s="375"/>
      <c r="CU401" s="375"/>
      <c r="CW401" s="385"/>
      <c r="CX401" s="386"/>
      <c r="CY401" s="375"/>
      <c r="CZ401" s="375"/>
      <c r="DB401" s="385"/>
      <c r="DC401" s="386"/>
      <c r="DD401" s="375"/>
      <c r="DE401" s="375"/>
      <c r="DG401" s="385"/>
      <c r="DH401" s="386"/>
      <c r="DI401" s="375"/>
      <c r="DJ401" s="375"/>
      <c r="DL401" s="385"/>
      <c r="DM401" s="386"/>
      <c r="DN401" s="375"/>
      <c r="DO401" s="375"/>
      <c r="DQ401" s="385"/>
      <c r="DR401" s="386"/>
      <c r="DS401" s="375"/>
      <c r="DT401" s="375"/>
      <c r="DV401" s="385"/>
      <c r="DW401" s="386"/>
      <c r="DX401" s="375"/>
      <c r="DY401" s="375"/>
      <c r="EA401" s="385"/>
      <c r="EB401" s="386"/>
      <c r="EC401" s="375"/>
      <c r="ED401" s="375"/>
      <c r="EF401" s="385"/>
      <c r="EG401" s="386"/>
      <c r="EH401" s="375"/>
      <c r="EI401" s="375"/>
      <c r="EK401" s="385"/>
      <c r="EL401" s="386"/>
      <c r="EM401" s="375"/>
      <c r="EN401" s="375"/>
      <c r="EP401" s="385"/>
      <c r="EQ401" s="386"/>
      <c r="ER401" s="375"/>
      <c r="ES401" s="375"/>
      <c r="EU401" s="385"/>
      <c r="EV401" s="386"/>
      <c r="EW401" s="375"/>
      <c r="EX401" s="375"/>
      <c r="EZ401" s="385"/>
      <c r="FA401" s="386"/>
      <c r="FB401" s="375"/>
      <c r="FC401" s="375"/>
      <c r="FE401" s="385"/>
      <c r="FF401" s="386"/>
      <c r="FG401" s="375"/>
      <c r="FH401" s="375"/>
      <c r="FJ401" s="385"/>
      <c r="FK401" s="386"/>
      <c r="FL401" s="375"/>
      <c r="FM401" s="375"/>
      <c r="FO401" s="385"/>
      <c r="FP401" s="386"/>
      <c r="FQ401" s="375"/>
      <c r="FR401" s="375"/>
      <c r="FT401" s="385"/>
      <c r="FU401" s="386"/>
      <c r="FV401" s="375"/>
      <c r="FW401" s="375"/>
      <c r="FY401" s="385"/>
      <c r="FZ401" s="386"/>
      <c r="GA401" s="375"/>
      <c r="GB401" s="375"/>
      <c r="GD401" s="385"/>
      <c r="GE401" s="386"/>
      <c r="GF401" s="375"/>
      <c r="GG401" s="375"/>
      <c r="GI401" s="385"/>
      <c r="GJ401" s="386"/>
      <c r="GK401" s="375"/>
      <c r="GL401" s="375"/>
      <c r="GN401" s="385"/>
      <c r="GO401" s="386"/>
      <c r="GP401" s="375"/>
      <c r="GQ401" s="375"/>
      <c r="GS401" s="385"/>
      <c r="GT401" s="386"/>
      <c r="GU401" s="375"/>
      <c r="GV401" s="375"/>
      <c r="GX401" s="385"/>
      <c r="GY401" s="386"/>
      <c r="GZ401" s="375"/>
      <c r="HA401" s="375"/>
      <c r="HC401" s="385"/>
      <c r="HD401" s="386"/>
      <c r="HE401" s="375"/>
      <c r="HF401" s="375"/>
      <c r="HH401" s="385"/>
      <c r="HI401" s="386"/>
      <c r="HJ401" s="375"/>
      <c r="HK401" s="375"/>
      <c r="HM401" s="385"/>
      <c r="HN401" s="386"/>
      <c r="HO401" s="375"/>
      <c r="HP401" s="375"/>
      <c r="HR401" s="385"/>
      <c r="HS401" s="386"/>
      <c r="HT401" s="375"/>
      <c r="HU401" s="375"/>
      <c r="HW401" s="385"/>
      <c r="HX401" s="386"/>
      <c r="HY401" s="375"/>
      <c r="HZ401" s="375"/>
      <c r="IB401" s="385"/>
      <c r="IC401" s="386"/>
      <c r="ID401" s="375"/>
      <c r="IE401" s="375"/>
      <c r="IG401" s="385"/>
      <c r="IH401" s="386"/>
      <c r="II401" s="375"/>
      <c r="IJ401" s="375"/>
      <c r="IL401" s="385"/>
      <c r="IM401" s="386"/>
      <c r="IN401" s="375"/>
      <c r="IO401" s="375"/>
      <c r="IQ401" s="385"/>
      <c r="IR401" s="386"/>
      <c r="IS401" s="375"/>
      <c r="IT401" s="375"/>
      <c r="IV401" s="385"/>
    </row>
    <row r="402" spans="1:256" s="387" customFormat="1" x14ac:dyDescent="0.2">
      <c r="A402" s="385"/>
      <c r="B402" s="386"/>
      <c r="C402" s="375"/>
      <c r="D402" s="375"/>
      <c r="F402" s="385"/>
      <c r="G402" s="386"/>
      <c r="H402" s="375"/>
      <c r="I402" s="375"/>
      <c r="K402" s="385"/>
      <c r="L402" s="386"/>
      <c r="M402" s="375"/>
      <c r="N402" s="375"/>
      <c r="P402" s="385"/>
      <c r="Q402" s="386"/>
      <c r="R402" s="375"/>
      <c r="S402" s="375"/>
      <c r="U402" s="385"/>
      <c r="V402" s="386"/>
      <c r="W402" s="375"/>
      <c r="X402" s="375"/>
      <c r="Z402" s="385"/>
      <c r="AA402" s="386"/>
      <c r="AB402" s="375"/>
      <c r="AC402" s="375"/>
      <c r="AE402" s="385"/>
      <c r="AF402" s="386"/>
      <c r="AG402" s="375"/>
      <c r="AH402" s="375"/>
      <c r="AJ402" s="385"/>
      <c r="AK402" s="386"/>
      <c r="AL402" s="375"/>
      <c r="AM402" s="375"/>
      <c r="AO402" s="385"/>
      <c r="AP402" s="386"/>
      <c r="AQ402" s="375"/>
      <c r="AR402" s="375"/>
      <c r="AT402" s="385"/>
      <c r="AU402" s="386"/>
      <c r="AV402" s="375"/>
      <c r="AW402" s="375"/>
      <c r="AY402" s="385"/>
      <c r="AZ402" s="386"/>
      <c r="BA402" s="375"/>
      <c r="BB402" s="375"/>
      <c r="BD402" s="385"/>
      <c r="BE402" s="386"/>
      <c r="BF402" s="375"/>
      <c r="BG402" s="375"/>
      <c r="BI402" s="385"/>
      <c r="BJ402" s="386"/>
      <c r="BK402" s="375"/>
      <c r="BL402" s="375"/>
      <c r="BN402" s="385"/>
      <c r="BO402" s="386"/>
      <c r="BP402" s="375"/>
      <c r="BQ402" s="375"/>
      <c r="BS402" s="385"/>
      <c r="BT402" s="386"/>
      <c r="BU402" s="375"/>
      <c r="BV402" s="375"/>
      <c r="BX402" s="385"/>
      <c r="BY402" s="386"/>
      <c r="BZ402" s="375"/>
      <c r="CA402" s="375"/>
      <c r="CC402" s="385"/>
      <c r="CD402" s="386"/>
      <c r="CE402" s="375"/>
      <c r="CF402" s="375"/>
      <c r="CH402" s="385"/>
      <c r="CI402" s="386"/>
      <c r="CJ402" s="375"/>
      <c r="CK402" s="375"/>
      <c r="CM402" s="385"/>
      <c r="CN402" s="386"/>
      <c r="CO402" s="375"/>
      <c r="CP402" s="375"/>
      <c r="CR402" s="385"/>
      <c r="CS402" s="386"/>
      <c r="CT402" s="375"/>
      <c r="CU402" s="375"/>
      <c r="CW402" s="385"/>
      <c r="CX402" s="386"/>
      <c r="CY402" s="375"/>
      <c r="CZ402" s="375"/>
      <c r="DB402" s="385"/>
      <c r="DC402" s="386"/>
      <c r="DD402" s="375"/>
      <c r="DE402" s="375"/>
      <c r="DG402" s="385"/>
      <c r="DH402" s="386"/>
      <c r="DI402" s="375"/>
      <c r="DJ402" s="375"/>
      <c r="DL402" s="385"/>
      <c r="DM402" s="386"/>
      <c r="DN402" s="375"/>
      <c r="DO402" s="375"/>
      <c r="DQ402" s="385"/>
      <c r="DR402" s="386"/>
      <c r="DS402" s="375"/>
      <c r="DT402" s="375"/>
      <c r="DV402" s="385"/>
      <c r="DW402" s="386"/>
      <c r="DX402" s="375"/>
      <c r="DY402" s="375"/>
      <c r="EA402" s="385"/>
      <c r="EB402" s="386"/>
      <c r="EC402" s="375"/>
      <c r="ED402" s="375"/>
      <c r="EF402" s="385"/>
      <c r="EG402" s="386"/>
      <c r="EH402" s="375"/>
      <c r="EI402" s="375"/>
      <c r="EK402" s="385"/>
      <c r="EL402" s="386"/>
      <c r="EM402" s="375"/>
      <c r="EN402" s="375"/>
      <c r="EP402" s="385"/>
      <c r="EQ402" s="386"/>
      <c r="ER402" s="375"/>
      <c r="ES402" s="375"/>
      <c r="EU402" s="385"/>
      <c r="EV402" s="386"/>
      <c r="EW402" s="375"/>
      <c r="EX402" s="375"/>
      <c r="EZ402" s="385"/>
      <c r="FA402" s="386"/>
      <c r="FB402" s="375"/>
      <c r="FC402" s="375"/>
      <c r="FE402" s="385"/>
      <c r="FF402" s="386"/>
      <c r="FG402" s="375"/>
      <c r="FH402" s="375"/>
      <c r="FJ402" s="385"/>
      <c r="FK402" s="386"/>
      <c r="FL402" s="375"/>
      <c r="FM402" s="375"/>
      <c r="FO402" s="385"/>
      <c r="FP402" s="386"/>
      <c r="FQ402" s="375"/>
      <c r="FR402" s="375"/>
      <c r="FT402" s="385"/>
      <c r="FU402" s="386"/>
      <c r="FV402" s="375"/>
      <c r="FW402" s="375"/>
      <c r="FY402" s="385"/>
      <c r="FZ402" s="386"/>
      <c r="GA402" s="375"/>
      <c r="GB402" s="375"/>
      <c r="GD402" s="385"/>
      <c r="GE402" s="386"/>
      <c r="GF402" s="375"/>
      <c r="GG402" s="375"/>
      <c r="GI402" s="385"/>
      <c r="GJ402" s="386"/>
      <c r="GK402" s="375"/>
      <c r="GL402" s="375"/>
      <c r="GN402" s="385"/>
      <c r="GO402" s="386"/>
      <c r="GP402" s="375"/>
      <c r="GQ402" s="375"/>
      <c r="GS402" s="385"/>
      <c r="GT402" s="386"/>
      <c r="GU402" s="375"/>
      <c r="GV402" s="375"/>
      <c r="GX402" s="385"/>
      <c r="GY402" s="386"/>
      <c r="GZ402" s="375"/>
      <c r="HA402" s="375"/>
      <c r="HC402" s="385"/>
      <c r="HD402" s="386"/>
      <c r="HE402" s="375"/>
      <c r="HF402" s="375"/>
      <c r="HH402" s="385"/>
      <c r="HI402" s="386"/>
      <c r="HJ402" s="375"/>
      <c r="HK402" s="375"/>
      <c r="HM402" s="385"/>
      <c r="HN402" s="386"/>
      <c r="HO402" s="375"/>
      <c r="HP402" s="375"/>
      <c r="HR402" s="385"/>
      <c r="HS402" s="386"/>
      <c r="HT402" s="375"/>
      <c r="HU402" s="375"/>
      <c r="HW402" s="385"/>
      <c r="HX402" s="386"/>
      <c r="HY402" s="375"/>
      <c r="HZ402" s="375"/>
      <c r="IB402" s="385"/>
      <c r="IC402" s="386"/>
      <c r="ID402" s="375"/>
      <c r="IE402" s="375"/>
      <c r="IG402" s="385"/>
      <c r="IH402" s="386"/>
      <c r="II402" s="375"/>
      <c r="IJ402" s="375"/>
      <c r="IL402" s="385"/>
      <c r="IM402" s="386"/>
      <c r="IN402" s="375"/>
      <c r="IO402" s="375"/>
      <c r="IQ402" s="385"/>
      <c r="IR402" s="386"/>
      <c r="IS402" s="375"/>
      <c r="IT402" s="375"/>
      <c r="IV402" s="385"/>
    </row>
    <row r="403" spans="1:256" s="387" customFormat="1" x14ac:dyDescent="0.2">
      <c r="A403" s="385"/>
      <c r="B403" s="386"/>
      <c r="C403" s="375"/>
      <c r="D403" s="375"/>
      <c r="F403" s="385"/>
      <c r="G403" s="386"/>
      <c r="H403" s="375"/>
      <c r="I403" s="375"/>
      <c r="K403" s="385"/>
      <c r="L403" s="386"/>
      <c r="M403" s="375"/>
      <c r="N403" s="375"/>
      <c r="P403" s="385"/>
      <c r="Q403" s="386"/>
      <c r="R403" s="375"/>
      <c r="S403" s="375"/>
      <c r="U403" s="385"/>
      <c r="V403" s="386"/>
      <c r="W403" s="375"/>
      <c r="X403" s="375"/>
      <c r="Z403" s="385"/>
      <c r="AA403" s="386"/>
      <c r="AB403" s="375"/>
      <c r="AC403" s="375"/>
      <c r="AE403" s="385"/>
      <c r="AF403" s="386"/>
      <c r="AG403" s="375"/>
      <c r="AH403" s="375"/>
      <c r="AJ403" s="385"/>
      <c r="AK403" s="386"/>
      <c r="AL403" s="375"/>
      <c r="AM403" s="375"/>
      <c r="AO403" s="385"/>
      <c r="AP403" s="386"/>
      <c r="AQ403" s="375"/>
      <c r="AR403" s="375"/>
      <c r="AT403" s="385"/>
      <c r="AU403" s="386"/>
      <c r="AV403" s="375"/>
      <c r="AW403" s="375"/>
      <c r="AY403" s="385"/>
      <c r="AZ403" s="386"/>
      <c r="BA403" s="375"/>
      <c r="BB403" s="375"/>
      <c r="BD403" s="385"/>
      <c r="BE403" s="386"/>
      <c r="BF403" s="375"/>
      <c r="BG403" s="375"/>
      <c r="BI403" s="385"/>
      <c r="BJ403" s="386"/>
      <c r="BK403" s="375"/>
      <c r="BL403" s="375"/>
      <c r="BN403" s="385"/>
      <c r="BO403" s="386"/>
      <c r="BP403" s="375"/>
      <c r="BQ403" s="375"/>
      <c r="BS403" s="385"/>
      <c r="BT403" s="386"/>
      <c r="BU403" s="375"/>
      <c r="BV403" s="375"/>
      <c r="BX403" s="385"/>
      <c r="BY403" s="386"/>
      <c r="BZ403" s="375"/>
      <c r="CA403" s="375"/>
      <c r="CC403" s="385"/>
      <c r="CD403" s="386"/>
      <c r="CE403" s="375"/>
      <c r="CF403" s="375"/>
      <c r="CH403" s="385"/>
      <c r="CI403" s="386"/>
      <c r="CJ403" s="375"/>
      <c r="CK403" s="375"/>
      <c r="CM403" s="385"/>
      <c r="CN403" s="386"/>
      <c r="CO403" s="375"/>
      <c r="CP403" s="375"/>
      <c r="CR403" s="385"/>
      <c r="CS403" s="386"/>
      <c r="CT403" s="375"/>
      <c r="CU403" s="375"/>
      <c r="CW403" s="385"/>
      <c r="CX403" s="386"/>
      <c r="CY403" s="375"/>
      <c r="CZ403" s="375"/>
      <c r="DB403" s="385"/>
      <c r="DC403" s="386"/>
      <c r="DD403" s="375"/>
      <c r="DE403" s="375"/>
      <c r="DG403" s="385"/>
      <c r="DH403" s="386"/>
      <c r="DI403" s="375"/>
      <c r="DJ403" s="375"/>
      <c r="DL403" s="385"/>
      <c r="DM403" s="386"/>
      <c r="DN403" s="375"/>
      <c r="DO403" s="375"/>
      <c r="DQ403" s="385"/>
      <c r="DR403" s="386"/>
      <c r="DS403" s="375"/>
      <c r="DT403" s="375"/>
      <c r="DV403" s="385"/>
      <c r="DW403" s="386"/>
      <c r="DX403" s="375"/>
      <c r="DY403" s="375"/>
      <c r="EA403" s="385"/>
      <c r="EB403" s="386"/>
      <c r="EC403" s="375"/>
      <c r="ED403" s="375"/>
      <c r="EF403" s="385"/>
      <c r="EG403" s="386"/>
      <c r="EH403" s="375"/>
      <c r="EI403" s="375"/>
      <c r="EK403" s="385"/>
      <c r="EL403" s="386"/>
      <c r="EM403" s="375"/>
      <c r="EN403" s="375"/>
      <c r="EP403" s="385"/>
      <c r="EQ403" s="386"/>
      <c r="ER403" s="375"/>
      <c r="ES403" s="375"/>
      <c r="EU403" s="385"/>
      <c r="EV403" s="386"/>
      <c r="EW403" s="375"/>
      <c r="EX403" s="375"/>
      <c r="EZ403" s="385"/>
      <c r="FA403" s="386"/>
      <c r="FB403" s="375"/>
      <c r="FC403" s="375"/>
      <c r="FE403" s="385"/>
      <c r="FF403" s="386"/>
      <c r="FG403" s="375"/>
      <c r="FH403" s="375"/>
      <c r="FJ403" s="385"/>
      <c r="FK403" s="386"/>
      <c r="FL403" s="375"/>
      <c r="FM403" s="375"/>
      <c r="FO403" s="385"/>
      <c r="FP403" s="386"/>
      <c r="FQ403" s="375"/>
      <c r="FR403" s="375"/>
      <c r="FT403" s="385"/>
      <c r="FU403" s="386"/>
      <c r="FV403" s="375"/>
      <c r="FW403" s="375"/>
      <c r="FY403" s="385"/>
      <c r="FZ403" s="386"/>
      <c r="GA403" s="375"/>
      <c r="GB403" s="375"/>
      <c r="GD403" s="385"/>
      <c r="GE403" s="386"/>
      <c r="GF403" s="375"/>
      <c r="GG403" s="375"/>
      <c r="GI403" s="385"/>
      <c r="GJ403" s="386"/>
      <c r="GK403" s="375"/>
      <c r="GL403" s="375"/>
      <c r="GN403" s="385"/>
      <c r="GO403" s="386"/>
      <c r="GP403" s="375"/>
      <c r="GQ403" s="375"/>
      <c r="GS403" s="385"/>
      <c r="GT403" s="386"/>
      <c r="GU403" s="375"/>
      <c r="GV403" s="375"/>
      <c r="GX403" s="385"/>
      <c r="GY403" s="386"/>
      <c r="GZ403" s="375"/>
      <c r="HA403" s="375"/>
      <c r="HC403" s="385"/>
      <c r="HD403" s="386"/>
      <c r="HE403" s="375"/>
      <c r="HF403" s="375"/>
      <c r="HH403" s="385"/>
      <c r="HI403" s="386"/>
      <c r="HJ403" s="375"/>
      <c r="HK403" s="375"/>
      <c r="HM403" s="385"/>
      <c r="HN403" s="386"/>
      <c r="HO403" s="375"/>
      <c r="HP403" s="375"/>
      <c r="HR403" s="385"/>
      <c r="HS403" s="386"/>
      <c r="HT403" s="375"/>
      <c r="HU403" s="375"/>
      <c r="HW403" s="385"/>
      <c r="HX403" s="386"/>
      <c r="HY403" s="375"/>
      <c r="HZ403" s="375"/>
      <c r="IB403" s="385"/>
      <c r="IC403" s="386"/>
      <c r="ID403" s="375"/>
      <c r="IE403" s="375"/>
      <c r="IG403" s="385"/>
      <c r="IH403" s="386"/>
      <c r="II403" s="375"/>
      <c r="IJ403" s="375"/>
      <c r="IL403" s="385"/>
      <c r="IM403" s="386"/>
      <c r="IN403" s="375"/>
      <c r="IO403" s="375"/>
      <c r="IQ403" s="385"/>
      <c r="IR403" s="386"/>
      <c r="IS403" s="375"/>
      <c r="IT403" s="375"/>
      <c r="IV403" s="385"/>
    </row>
    <row r="404" spans="1:256" s="387" customFormat="1" x14ac:dyDescent="0.2">
      <c r="A404" s="385"/>
      <c r="B404" s="386"/>
      <c r="C404" s="375"/>
      <c r="D404" s="375"/>
      <c r="F404" s="385"/>
      <c r="G404" s="386"/>
      <c r="H404" s="375"/>
      <c r="I404" s="375"/>
      <c r="K404" s="385"/>
      <c r="L404" s="386"/>
      <c r="M404" s="375"/>
      <c r="N404" s="375"/>
      <c r="P404" s="385"/>
      <c r="Q404" s="386"/>
      <c r="R404" s="375"/>
      <c r="S404" s="375"/>
      <c r="U404" s="385"/>
      <c r="V404" s="386"/>
      <c r="W404" s="375"/>
      <c r="X404" s="375"/>
      <c r="Z404" s="385"/>
      <c r="AA404" s="386"/>
      <c r="AB404" s="375"/>
      <c r="AC404" s="375"/>
      <c r="AE404" s="385"/>
      <c r="AF404" s="386"/>
      <c r="AG404" s="375"/>
      <c r="AH404" s="375"/>
      <c r="AJ404" s="385"/>
      <c r="AK404" s="386"/>
      <c r="AL404" s="375"/>
      <c r="AM404" s="375"/>
      <c r="AO404" s="385"/>
      <c r="AP404" s="386"/>
      <c r="AQ404" s="375"/>
      <c r="AR404" s="375"/>
      <c r="AT404" s="385"/>
      <c r="AU404" s="386"/>
      <c r="AV404" s="375"/>
      <c r="AW404" s="375"/>
      <c r="AY404" s="385"/>
      <c r="AZ404" s="386"/>
      <c r="BA404" s="375"/>
      <c r="BB404" s="375"/>
      <c r="BD404" s="385"/>
      <c r="BE404" s="386"/>
      <c r="BF404" s="375"/>
      <c r="BG404" s="375"/>
      <c r="BI404" s="385"/>
      <c r="BJ404" s="386"/>
      <c r="BK404" s="375"/>
      <c r="BL404" s="375"/>
      <c r="BN404" s="385"/>
      <c r="BO404" s="386"/>
      <c r="BP404" s="375"/>
      <c r="BQ404" s="375"/>
      <c r="BS404" s="385"/>
      <c r="BT404" s="386"/>
      <c r="BU404" s="375"/>
      <c r="BV404" s="375"/>
      <c r="BX404" s="385"/>
      <c r="BY404" s="386"/>
      <c r="BZ404" s="375"/>
      <c r="CA404" s="375"/>
      <c r="CC404" s="385"/>
      <c r="CD404" s="386"/>
      <c r="CE404" s="375"/>
      <c r="CF404" s="375"/>
      <c r="CH404" s="385"/>
      <c r="CI404" s="386"/>
      <c r="CJ404" s="375"/>
      <c r="CK404" s="375"/>
      <c r="CM404" s="385"/>
      <c r="CN404" s="386"/>
      <c r="CO404" s="375"/>
      <c r="CP404" s="375"/>
      <c r="CR404" s="385"/>
      <c r="CS404" s="386"/>
      <c r="CT404" s="375"/>
      <c r="CU404" s="375"/>
      <c r="CW404" s="385"/>
      <c r="CX404" s="386"/>
      <c r="CY404" s="375"/>
      <c r="CZ404" s="375"/>
      <c r="DB404" s="385"/>
      <c r="DC404" s="386"/>
      <c r="DD404" s="375"/>
      <c r="DE404" s="375"/>
      <c r="DG404" s="385"/>
      <c r="DH404" s="386"/>
      <c r="DI404" s="375"/>
      <c r="DJ404" s="375"/>
      <c r="DL404" s="385"/>
      <c r="DM404" s="386"/>
      <c r="DN404" s="375"/>
      <c r="DO404" s="375"/>
      <c r="DQ404" s="385"/>
      <c r="DR404" s="386"/>
      <c r="DS404" s="375"/>
      <c r="DT404" s="375"/>
      <c r="DV404" s="385"/>
      <c r="DW404" s="386"/>
      <c r="DX404" s="375"/>
      <c r="DY404" s="375"/>
      <c r="EA404" s="385"/>
      <c r="EB404" s="386"/>
      <c r="EC404" s="375"/>
      <c r="ED404" s="375"/>
      <c r="EF404" s="385"/>
      <c r="EG404" s="386"/>
      <c r="EH404" s="375"/>
      <c r="EI404" s="375"/>
      <c r="EK404" s="385"/>
      <c r="EL404" s="386"/>
      <c r="EM404" s="375"/>
      <c r="EN404" s="375"/>
      <c r="EP404" s="385"/>
      <c r="EQ404" s="386"/>
      <c r="ER404" s="375"/>
      <c r="ES404" s="375"/>
      <c r="EU404" s="385"/>
      <c r="EV404" s="386"/>
      <c r="EW404" s="375"/>
      <c r="EX404" s="375"/>
      <c r="EZ404" s="385"/>
      <c r="FA404" s="386"/>
      <c r="FB404" s="375"/>
      <c r="FC404" s="375"/>
      <c r="FE404" s="385"/>
      <c r="FF404" s="386"/>
      <c r="FG404" s="375"/>
      <c r="FH404" s="375"/>
      <c r="FJ404" s="385"/>
      <c r="FK404" s="386"/>
      <c r="FL404" s="375"/>
      <c r="FM404" s="375"/>
      <c r="FO404" s="385"/>
      <c r="FP404" s="386"/>
      <c r="FQ404" s="375"/>
      <c r="FR404" s="375"/>
      <c r="FT404" s="385"/>
      <c r="FU404" s="386"/>
      <c r="FV404" s="375"/>
      <c r="FW404" s="375"/>
      <c r="FY404" s="385"/>
      <c r="FZ404" s="386"/>
      <c r="GA404" s="375"/>
      <c r="GB404" s="375"/>
      <c r="GD404" s="385"/>
      <c r="GE404" s="386"/>
      <c r="GF404" s="375"/>
      <c r="GG404" s="375"/>
      <c r="GI404" s="385"/>
      <c r="GJ404" s="386"/>
      <c r="GK404" s="375"/>
      <c r="GL404" s="375"/>
      <c r="GN404" s="385"/>
      <c r="GO404" s="386"/>
      <c r="GP404" s="375"/>
      <c r="GQ404" s="375"/>
      <c r="GS404" s="385"/>
      <c r="GT404" s="386"/>
      <c r="GU404" s="375"/>
      <c r="GV404" s="375"/>
      <c r="GX404" s="385"/>
      <c r="GY404" s="386"/>
      <c r="GZ404" s="375"/>
      <c r="HA404" s="375"/>
      <c r="HC404" s="385"/>
      <c r="HD404" s="386"/>
      <c r="HE404" s="375"/>
      <c r="HF404" s="375"/>
      <c r="HH404" s="385"/>
      <c r="HI404" s="386"/>
      <c r="HJ404" s="375"/>
      <c r="HK404" s="375"/>
      <c r="HM404" s="385"/>
      <c r="HN404" s="386"/>
      <c r="HO404" s="375"/>
      <c r="HP404" s="375"/>
      <c r="HR404" s="385"/>
      <c r="HS404" s="386"/>
      <c r="HT404" s="375"/>
      <c r="HU404" s="375"/>
      <c r="HW404" s="385"/>
      <c r="HX404" s="386"/>
      <c r="HY404" s="375"/>
      <c r="HZ404" s="375"/>
      <c r="IB404" s="385"/>
      <c r="IC404" s="386"/>
      <c r="ID404" s="375"/>
      <c r="IE404" s="375"/>
      <c r="IG404" s="385"/>
      <c r="IH404" s="386"/>
      <c r="II404" s="375"/>
      <c r="IJ404" s="375"/>
      <c r="IL404" s="385"/>
      <c r="IM404" s="386"/>
      <c r="IN404" s="375"/>
      <c r="IO404" s="375"/>
      <c r="IQ404" s="385"/>
      <c r="IR404" s="386"/>
      <c r="IS404" s="375"/>
      <c r="IT404" s="375"/>
      <c r="IV404" s="385"/>
    </row>
    <row r="405" spans="1:256" s="387" customFormat="1" x14ac:dyDescent="0.2">
      <c r="A405" s="385"/>
      <c r="B405" s="386"/>
      <c r="C405" s="375"/>
      <c r="D405" s="375"/>
      <c r="F405" s="385"/>
      <c r="G405" s="386"/>
      <c r="H405" s="375"/>
      <c r="I405" s="375"/>
      <c r="K405" s="385"/>
      <c r="L405" s="386"/>
      <c r="M405" s="375"/>
      <c r="N405" s="375"/>
      <c r="P405" s="385"/>
      <c r="Q405" s="386"/>
      <c r="R405" s="375"/>
      <c r="S405" s="375"/>
      <c r="U405" s="385"/>
      <c r="V405" s="386"/>
      <c r="W405" s="375"/>
      <c r="X405" s="375"/>
      <c r="Z405" s="385"/>
      <c r="AA405" s="386"/>
      <c r="AB405" s="375"/>
      <c r="AC405" s="375"/>
      <c r="AE405" s="385"/>
      <c r="AF405" s="386"/>
      <c r="AG405" s="375"/>
      <c r="AH405" s="375"/>
      <c r="AJ405" s="385"/>
      <c r="AK405" s="386"/>
      <c r="AL405" s="375"/>
      <c r="AM405" s="375"/>
      <c r="AO405" s="385"/>
      <c r="AP405" s="386"/>
      <c r="AQ405" s="375"/>
      <c r="AR405" s="375"/>
      <c r="AT405" s="385"/>
      <c r="AU405" s="386"/>
      <c r="AV405" s="375"/>
      <c r="AW405" s="375"/>
      <c r="AY405" s="385"/>
      <c r="AZ405" s="386"/>
      <c r="BA405" s="375"/>
      <c r="BB405" s="375"/>
      <c r="BD405" s="385"/>
      <c r="BE405" s="386"/>
      <c r="BF405" s="375"/>
      <c r="BG405" s="375"/>
      <c r="BI405" s="385"/>
      <c r="BJ405" s="386"/>
      <c r="BK405" s="375"/>
      <c r="BL405" s="375"/>
      <c r="BN405" s="385"/>
      <c r="BO405" s="386"/>
      <c r="BP405" s="375"/>
      <c r="BQ405" s="375"/>
      <c r="BS405" s="385"/>
      <c r="BT405" s="386"/>
      <c r="BU405" s="375"/>
      <c r="BV405" s="375"/>
      <c r="BX405" s="385"/>
      <c r="BY405" s="386"/>
      <c r="BZ405" s="375"/>
      <c r="CA405" s="375"/>
      <c r="CC405" s="385"/>
      <c r="CD405" s="386"/>
      <c r="CE405" s="375"/>
      <c r="CF405" s="375"/>
      <c r="CH405" s="385"/>
      <c r="CI405" s="386"/>
      <c r="CJ405" s="375"/>
      <c r="CK405" s="375"/>
      <c r="CM405" s="385"/>
      <c r="CN405" s="386"/>
      <c r="CO405" s="375"/>
      <c r="CP405" s="375"/>
      <c r="CR405" s="385"/>
      <c r="CS405" s="386"/>
      <c r="CT405" s="375"/>
      <c r="CU405" s="375"/>
      <c r="CW405" s="385"/>
      <c r="CX405" s="386"/>
      <c r="CY405" s="375"/>
      <c r="CZ405" s="375"/>
      <c r="DB405" s="385"/>
      <c r="DC405" s="386"/>
      <c r="DD405" s="375"/>
      <c r="DE405" s="375"/>
      <c r="DG405" s="385"/>
      <c r="DH405" s="386"/>
      <c r="DI405" s="375"/>
      <c r="DJ405" s="375"/>
      <c r="DL405" s="385"/>
      <c r="DM405" s="386"/>
      <c r="DN405" s="375"/>
      <c r="DO405" s="375"/>
      <c r="DQ405" s="385"/>
      <c r="DR405" s="386"/>
      <c r="DS405" s="375"/>
      <c r="DT405" s="375"/>
      <c r="DV405" s="385"/>
      <c r="DW405" s="386"/>
      <c r="DX405" s="375"/>
      <c r="DY405" s="375"/>
      <c r="EA405" s="385"/>
      <c r="EB405" s="386"/>
      <c r="EC405" s="375"/>
      <c r="ED405" s="375"/>
      <c r="EF405" s="385"/>
      <c r="EG405" s="386"/>
      <c r="EH405" s="375"/>
      <c r="EI405" s="375"/>
      <c r="EK405" s="385"/>
      <c r="EL405" s="386"/>
      <c r="EM405" s="375"/>
      <c r="EN405" s="375"/>
      <c r="EP405" s="385"/>
      <c r="EQ405" s="386"/>
      <c r="ER405" s="375"/>
      <c r="ES405" s="375"/>
      <c r="EU405" s="385"/>
      <c r="EV405" s="386"/>
      <c r="EW405" s="375"/>
      <c r="EX405" s="375"/>
      <c r="EZ405" s="385"/>
      <c r="FA405" s="386"/>
      <c r="FB405" s="375"/>
      <c r="FC405" s="375"/>
      <c r="FE405" s="385"/>
      <c r="FF405" s="386"/>
      <c r="FG405" s="375"/>
      <c r="FH405" s="375"/>
      <c r="FJ405" s="385"/>
      <c r="FK405" s="386"/>
      <c r="FL405" s="375"/>
      <c r="FM405" s="375"/>
      <c r="FO405" s="385"/>
      <c r="FP405" s="386"/>
      <c r="FQ405" s="375"/>
      <c r="FR405" s="375"/>
      <c r="FT405" s="385"/>
      <c r="FU405" s="386"/>
      <c r="FV405" s="375"/>
      <c r="FW405" s="375"/>
      <c r="FY405" s="385"/>
      <c r="FZ405" s="386"/>
      <c r="GA405" s="375"/>
      <c r="GB405" s="375"/>
      <c r="GD405" s="385"/>
      <c r="GE405" s="386"/>
      <c r="GF405" s="375"/>
      <c r="GG405" s="375"/>
      <c r="GI405" s="385"/>
      <c r="GJ405" s="386"/>
      <c r="GK405" s="375"/>
      <c r="GL405" s="375"/>
      <c r="GN405" s="385"/>
      <c r="GO405" s="386"/>
      <c r="GP405" s="375"/>
      <c r="GQ405" s="375"/>
      <c r="GS405" s="385"/>
      <c r="GT405" s="386"/>
      <c r="GU405" s="375"/>
      <c r="GV405" s="375"/>
      <c r="GX405" s="385"/>
      <c r="GY405" s="386"/>
      <c r="GZ405" s="375"/>
      <c r="HA405" s="375"/>
      <c r="HC405" s="385"/>
      <c r="HD405" s="386"/>
      <c r="HE405" s="375"/>
      <c r="HF405" s="375"/>
      <c r="HH405" s="385"/>
      <c r="HI405" s="386"/>
      <c r="HJ405" s="375"/>
      <c r="HK405" s="375"/>
      <c r="HM405" s="385"/>
      <c r="HN405" s="386"/>
      <c r="HO405" s="375"/>
      <c r="HP405" s="375"/>
      <c r="HR405" s="385"/>
      <c r="HS405" s="386"/>
      <c r="HT405" s="375"/>
      <c r="HU405" s="375"/>
      <c r="HW405" s="385"/>
      <c r="HX405" s="386"/>
      <c r="HY405" s="375"/>
      <c r="HZ405" s="375"/>
      <c r="IB405" s="385"/>
      <c r="IC405" s="386"/>
      <c r="ID405" s="375"/>
      <c r="IE405" s="375"/>
      <c r="IG405" s="385"/>
      <c r="IH405" s="386"/>
      <c r="II405" s="375"/>
      <c r="IJ405" s="375"/>
      <c r="IL405" s="385"/>
      <c r="IM405" s="386"/>
      <c r="IN405" s="375"/>
      <c r="IO405" s="375"/>
      <c r="IQ405" s="385"/>
      <c r="IR405" s="386"/>
      <c r="IS405" s="375"/>
      <c r="IT405" s="375"/>
      <c r="IV405" s="385"/>
    </row>
    <row r="406" spans="1:256" s="387" customFormat="1" x14ac:dyDescent="0.2">
      <c r="A406" s="385"/>
      <c r="B406" s="386"/>
      <c r="C406" s="375"/>
      <c r="D406" s="375"/>
      <c r="F406" s="385"/>
      <c r="G406" s="386"/>
      <c r="H406" s="375"/>
      <c r="I406" s="375"/>
      <c r="K406" s="385"/>
      <c r="L406" s="386"/>
      <c r="M406" s="375"/>
      <c r="N406" s="375"/>
      <c r="P406" s="385"/>
      <c r="Q406" s="386"/>
      <c r="R406" s="375"/>
      <c r="S406" s="375"/>
      <c r="U406" s="385"/>
      <c r="V406" s="386"/>
      <c r="W406" s="375"/>
      <c r="X406" s="375"/>
      <c r="Z406" s="385"/>
      <c r="AA406" s="386"/>
      <c r="AB406" s="375"/>
      <c r="AC406" s="375"/>
      <c r="AE406" s="385"/>
      <c r="AF406" s="386"/>
      <c r="AG406" s="375"/>
      <c r="AH406" s="375"/>
      <c r="AJ406" s="385"/>
      <c r="AK406" s="386"/>
      <c r="AL406" s="375"/>
      <c r="AM406" s="375"/>
      <c r="AO406" s="385"/>
      <c r="AP406" s="386"/>
      <c r="AQ406" s="375"/>
      <c r="AR406" s="375"/>
      <c r="AT406" s="385"/>
      <c r="AU406" s="386"/>
      <c r="AV406" s="375"/>
      <c r="AW406" s="375"/>
      <c r="AY406" s="385"/>
      <c r="AZ406" s="386"/>
      <c r="BA406" s="375"/>
      <c r="BB406" s="375"/>
      <c r="BD406" s="385"/>
      <c r="BE406" s="386"/>
      <c r="BF406" s="375"/>
      <c r="BG406" s="375"/>
      <c r="BI406" s="385"/>
      <c r="BJ406" s="386"/>
      <c r="BK406" s="375"/>
      <c r="BL406" s="375"/>
      <c r="BN406" s="385"/>
      <c r="BO406" s="386"/>
      <c r="BP406" s="375"/>
      <c r="BQ406" s="375"/>
      <c r="BS406" s="385"/>
      <c r="BT406" s="386"/>
      <c r="BU406" s="375"/>
      <c r="BV406" s="375"/>
      <c r="BX406" s="385"/>
      <c r="BY406" s="386"/>
      <c r="BZ406" s="375"/>
      <c r="CA406" s="375"/>
      <c r="CC406" s="385"/>
      <c r="CD406" s="386"/>
      <c r="CE406" s="375"/>
      <c r="CF406" s="375"/>
      <c r="CH406" s="385"/>
      <c r="CI406" s="386"/>
      <c r="CJ406" s="375"/>
      <c r="CK406" s="375"/>
      <c r="CM406" s="385"/>
      <c r="CN406" s="386"/>
      <c r="CO406" s="375"/>
      <c r="CP406" s="375"/>
      <c r="CR406" s="385"/>
      <c r="CS406" s="386"/>
      <c r="CT406" s="375"/>
      <c r="CU406" s="375"/>
      <c r="CW406" s="385"/>
      <c r="CX406" s="386"/>
      <c r="CY406" s="375"/>
      <c r="CZ406" s="375"/>
      <c r="DB406" s="385"/>
      <c r="DC406" s="386"/>
      <c r="DD406" s="375"/>
      <c r="DE406" s="375"/>
      <c r="DG406" s="385"/>
      <c r="DH406" s="386"/>
      <c r="DI406" s="375"/>
      <c r="DJ406" s="375"/>
      <c r="DL406" s="385"/>
      <c r="DM406" s="386"/>
      <c r="DN406" s="375"/>
      <c r="DO406" s="375"/>
      <c r="DQ406" s="385"/>
      <c r="DR406" s="386"/>
      <c r="DS406" s="375"/>
      <c r="DT406" s="375"/>
      <c r="DV406" s="385"/>
      <c r="DW406" s="386"/>
      <c r="DX406" s="375"/>
      <c r="DY406" s="375"/>
      <c r="EA406" s="385"/>
      <c r="EB406" s="386"/>
      <c r="EC406" s="375"/>
      <c r="ED406" s="375"/>
      <c r="EF406" s="385"/>
      <c r="EG406" s="386"/>
      <c r="EH406" s="375"/>
      <c r="EI406" s="375"/>
      <c r="EK406" s="385"/>
      <c r="EL406" s="386"/>
      <c r="EM406" s="375"/>
      <c r="EN406" s="375"/>
      <c r="EP406" s="385"/>
      <c r="EQ406" s="386"/>
      <c r="ER406" s="375"/>
      <c r="ES406" s="375"/>
      <c r="EU406" s="385"/>
      <c r="EV406" s="386"/>
      <c r="EW406" s="375"/>
      <c r="EX406" s="375"/>
      <c r="EZ406" s="385"/>
      <c r="FA406" s="386"/>
      <c r="FB406" s="375"/>
      <c r="FC406" s="375"/>
      <c r="FE406" s="385"/>
      <c r="FF406" s="386"/>
      <c r="FG406" s="375"/>
      <c r="FH406" s="375"/>
      <c r="FJ406" s="385"/>
      <c r="FK406" s="386"/>
      <c r="FL406" s="375"/>
      <c r="FM406" s="375"/>
      <c r="FO406" s="385"/>
      <c r="FP406" s="386"/>
      <c r="FQ406" s="375"/>
      <c r="FR406" s="375"/>
      <c r="FT406" s="385"/>
      <c r="FU406" s="386"/>
      <c r="FV406" s="375"/>
      <c r="FW406" s="375"/>
      <c r="FY406" s="385"/>
      <c r="FZ406" s="386"/>
      <c r="GA406" s="375"/>
      <c r="GB406" s="375"/>
      <c r="GD406" s="385"/>
      <c r="GE406" s="386"/>
      <c r="GF406" s="375"/>
      <c r="GG406" s="375"/>
      <c r="GI406" s="385"/>
      <c r="GJ406" s="386"/>
      <c r="GK406" s="375"/>
      <c r="GL406" s="375"/>
      <c r="GN406" s="385"/>
      <c r="GO406" s="386"/>
      <c r="GP406" s="375"/>
      <c r="GQ406" s="375"/>
      <c r="GS406" s="385"/>
      <c r="GT406" s="386"/>
      <c r="GU406" s="375"/>
      <c r="GV406" s="375"/>
      <c r="GX406" s="385"/>
      <c r="GY406" s="386"/>
      <c r="GZ406" s="375"/>
      <c r="HA406" s="375"/>
      <c r="HC406" s="385"/>
      <c r="HD406" s="386"/>
      <c r="HE406" s="375"/>
      <c r="HF406" s="375"/>
      <c r="HH406" s="385"/>
      <c r="HI406" s="386"/>
      <c r="HJ406" s="375"/>
      <c r="HK406" s="375"/>
      <c r="HM406" s="385"/>
      <c r="HN406" s="386"/>
      <c r="HO406" s="375"/>
      <c r="HP406" s="375"/>
      <c r="HR406" s="385"/>
      <c r="HS406" s="386"/>
      <c r="HT406" s="375"/>
      <c r="HU406" s="375"/>
      <c r="HW406" s="385"/>
      <c r="HX406" s="386"/>
      <c r="HY406" s="375"/>
      <c r="HZ406" s="375"/>
      <c r="IB406" s="385"/>
      <c r="IC406" s="386"/>
      <c r="ID406" s="375"/>
      <c r="IE406" s="375"/>
      <c r="IG406" s="385"/>
      <c r="IH406" s="386"/>
      <c r="II406" s="375"/>
      <c r="IJ406" s="375"/>
      <c r="IL406" s="385"/>
      <c r="IM406" s="386"/>
      <c r="IN406" s="375"/>
      <c r="IO406" s="375"/>
      <c r="IQ406" s="385"/>
      <c r="IR406" s="386"/>
      <c r="IS406" s="375"/>
      <c r="IT406" s="375"/>
      <c r="IV406" s="385"/>
    </row>
    <row r="407" spans="1:256" s="387" customFormat="1" x14ac:dyDescent="0.2">
      <c r="A407" s="385"/>
      <c r="B407" s="386"/>
      <c r="C407" s="375"/>
      <c r="D407" s="375"/>
      <c r="F407" s="385"/>
      <c r="G407" s="386"/>
      <c r="H407" s="375"/>
      <c r="I407" s="375"/>
      <c r="K407" s="385"/>
      <c r="L407" s="386"/>
      <c r="M407" s="375"/>
      <c r="N407" s="375"/>
      <c r="P407" s="385"/>
      <c r="Q407" s="386"/>
      <c r="R407" s="375"/>
      <c r="S407" s="375"/>
      <c r="U407" s="385"/>
      <c r="V407" s="386"/>
      <c r="W407" s="375"/>
      <c r="X407" s="375"/>
      <c r="Z407" s="385"/>
      <c r="AA407" s="386"/>
      <c r="AB407" s="375"/>
      <c r="AC407" s="375"/>
      <c r="AE407" s="385"/>
      <c r="AF407" s="386"/>
      <c r="AG407" s="375"/>
      <c r="AH407" s="375"/>
      <c r="AJ407" s="385"/>
      <c r="AK407" s="386"/>
      <c r="AL407" s="375"/>
      <c r="AM407" s="375"/>
      <c r="AO407" s="385"/>
      <c r="AP407" s="386"/>
      <c r="AQ407" s="375"/>
      <c r="AR407" s="375"/>
      <c r="AT407" s="385"/>
      <c r="AU407" s="386"/>
      <c r="AV407" s="375"/>
      <c r="AW407" s="375"/>
      <c r="AY407" s="385"/>
      <c r="AZ407" s="386"/>
      <c r="BA407" s="375"/>
      <c r="BB407" s="375"/>
      <c r="BD407" s="385"/>
      <c r="BE407" s="386"/>
      <c r="BF407" s="375"/>
      <c r="BG407" s="375"/>
      <c r="BI407" s="385"/>
      <c r="BJ407" s="386"/>
      <c r="BK407" s="375"/>
      <c r="BL407" s="375"/>
      <c r="BN407" s="385"/>
      <c r="BO407" s="386"/>
      <c r="BP407" s="375"/>
      <c r="BQ407" s="375"/>
      <c r="BS407" s="385"/>
      <c r="BT407" s="386"/>
      <c r="BU407" s="375"/>
      <c r="BV407" s="375"/>
      <c r="BX407" s="385"/>
      <c r="BY407" s="386"/>
      <c r="BZ407" s="375"/>
      <c r="CA407" s="375"/>
      <c r="CC407" s="385"/>
      <c r="CD407" s="386"/>
      <c r="CE407" s="375"/>
      <c r="CF407" s="375"/>
      <c r="CH407" s="385"/>
      <c r="CI407" s="386"/>
      <c r="CJ407" s="375"/>
      <c r="CK407" s="375"/>
      <c r="CM407" s="385"/>
      <c r="CN407" s="386"/>
      <c r="CO407" s="375"/>
      <c r="CP407" s="375"/>
      <c r="CR407" s="385"/>
      <c r="CS407" s="386"/>
      <c r="CT407" s="375"/>
      <c r="CU407" s="375"/>
      <c r="CW407" s="385"/>
      <c r="CX407" s="386"/>
      <c r="CY407" s="375"/>
      <c r="CZ407" s="375"/>
      <c r="DB407" s="385"/>
      <c r="DC407" s="386"/>
      <c r="DD407" s="375"/>
      <c r="DE407" s="375"/>
      <c r="DG407" s="385"/>
      <c r="DH407" s="386"/>
      <c r="DI407" s="375"/>
      <c r="DJ407" s="375"/>
      <c r="DL407" s="385"/>
      <c r="DM407" s="386"/>
      <c r="DN407" s="375"/>
      <c r="DO407" s="375"/>
      <c r="DQ407" s="385"/>
      <c r="DR407" s="386"/>
      <c r="DS407" s="375"/>
      <c r="DT407" s="375"/>
      <c r="DV407" s="385"/>
      <c r="DW407" s="386"/>
      <c r="DX407" s="375"/>
      <c r="DY407" s="375"/>
      <c r="EA407" s="385"/>
      <c r="EB407" s="386"/>
      <c r="EC407" s="375"/>
      <c r="ED407" s="375"/>
      <c r="EF407" s="385"/>
      <c r="EG407" s="386"/>
      <c r="EH407" s="375"/>
      <c r="EI407" s="375"/>
      <c r="EK407" s="385"/>
      <c r="EL407" s="386"/>
      <c r="EM407" s="375"/>
      <c r="EN407" s="375"/>
      <c r="EP407" s="385"/>
      <c r="EQ407" s="386"/>
      <c r="ER407" s="375"/>
      <c r="ES407" s="375"/>
      <c r="EU407" s="385"/>
      <c r="EV407" s="386"/>
      <c r="EW407" s="375"/>
      <c r="EX407" s="375"/>
      <c r="EZ407" s="385"/>
      <c r="FA407" s="386"/>
      <c r="FB407" s="375"/>
      <c r="FC407" s="375"/>
      <c r="FE407" s="385"/>
      <c r="FF407" s="386"/>
      <c r="FG407" s="375"/>
      <c r="FH407" s="375"/>
      <c r="FJ407" s="385"/>
      <c r="FK407" s="386"/>
      <c r="FL407" s="375"/>
      <c r="FM407" s="375"/>
      <c r="FO407" s="385"/>
      <c r="FP407" s="386"/>
      <c r="FQ407" s="375"/>
      <c r="FR407" s="375"/>
      <c r="FT407" s="385"/>
      <c r="FU407" s="386"/>
      <c r="FV407" s="375"/>
      <c r="FW407" s="375"/>
      <c r="FY407" s="385"/>
      <c r="FZ407" s="386"/>
      <c r="GA407" s="375"/>
      <c r="GB407" s="375"/>
      <c r="GD407" s="385"/>
      <c r="GE407" s="386"/>
      <c r="GF407" s="375"/>
      <c r="GG407" s="375"/>
      <c r="GI407" s="385"/>
      <c r="GJ407" s="386"/>
      <c r="GK407" s="375"/>
      <c r="GL407" s="375"/>
      <c r="GN407" s="385"/>
      <c r="GO407" s="386"/>
      <c r="GP407" s="375"/>
      <c r="GQ407" s="375"/>
      <c r="GS407" s="385"/>
      <c r="GT407" s="386"/>
      <c r="GU407" s="375"/>
      <c r="GV407" s="375"/>
      <c r="GX407" s="385"/>
      <c r="GY407" s="386"/>
      <c r="GZ407" s="375"/>
      <c r="HA407" s="375"/>
      <c r="HC407" s="385"/>
      <c r="HD407" s="386"/>
      <c r="HE407" s="375"/>
      <c r="HF407" s="375"/>
      <c r="HH407" s="385"/>
      <c r="HI407" s="386"/>
      <c r="HJ407" s="375"/>
      <c r="HK407" s="375"/>
      <c r="HM407" s="385"/>
      <c r="HN407" s="386"/>
      <c r="HO407" s="375"/>
      <c r="HP407" s="375"/>
      <c r="HR407" s="385"/>
      <c r="HS407" s="386"/>
      <c r="HT407" s="375"/>
      <c r="HU407" s="375"/>
      <c r="HW407" s="385"/>
      <c r="HX407" s="386"/>
      <c r="HY407" s="375"/>
      <c r="HZ407" s="375"/>
      <c r="IB407" s="385"/>
      <c r="IC407" s="386"/>
      <c r="ID407" s="375"/>
      <c r="IE407" s="375"/>
      <c r="IG407" s="385"/>
      <c r="IH407" s="386"/>
      <c r="II407" s="375"/>
      <c r="IJ407" s="375"/>
      <c r="IL407" s="385"/>
      <c r="IM407" s="386"/>
      <c r="IN407" s="375"/>
      <c r="IO407" s="375"/>
      <c r="IQ407" s="385"/>
      <c r="IR407" s="386"/>
      <c r="IS407" s="375"/>
      <c r="IT407" s="375"/>
      <c r="IV407" s="385"/>
    </row>
    <row r="408" spans="1:256" s="387" customFormat="1" x14ac:dyDescent="0.2">
      <c r="A408" s="385"/>
      <c r="B408" s="386"/>
      <c r="C408" s="375"/>
      <c r="D408" s="375"/>
      <c r="F408" s="385"/>
      <c r="G408" s="386"/>
      <c r="H408" s="375"/>
      <c r="I408" s="375"/>
      <c r="K408" s="385"/>
      <c r="L408" s="386"/>
      <c r="M408" s="375"/>
      <c r="N408" s="375"/>
      <c r="P408" s="385"/>
      <c r="Q408" s="386"/>
      <c r="R408" s="375"/>
      <c r="S408" s="375"/>
      <c r="U408" s="385"/>
      <c r="V408" s="386"/>
      <c r="W408" s="375"/>
      <c r="X408" s="375"/>
      <c r="Z408" s="385"/>
      <c r="AA408" s="386"/>
      <c r="AB408" s="375"/>
      <c r="AC408" s="375"/>
      <c r="AE408" s="385"/>
      <c r="AF408" s="386"/>
      <c r="AG408" s="375"/>
      <c r="AH408" s="375"/>
      <c r="AJ408" s="385"/>
      <c r="AK408" s="386"/>
      <c r="AL408" s="375"/>
      <c r="AM408" s="375"/>
      <c r="AO408" s="385"/>
      <c r="AP408" s="386"/>
      <c r="AQ408" s="375"/>
      <c r="AR408" s="375"/>
      <c r="AT408" s="385"/>
      <c r="AU408" s="386"/>
      <c r="AV408" s="375"/>
      <c r="AW408" s="375"/>
      <c r="AY408" s="385"/>
      <c r="AZ408" s="386"/>
      <c r="BA408" s="375"/>
      <c r="BB408" s="375"/>
      <c r="BD408" s="385"/>
      <c r="BE408" s="386"/>
      <c r="BF408" s="375"/>
      <c r="BG408" s="375"/>
      <c r="BI408" s="385"/>
      <c r="BJ408" s="386"/>
      <c r="BK408" s="375"/>
      <c r="BL408" s="375"/>
      <c r="BN408" s="385"/>
      <c r="BO408" s="386"/>
      <c r="BP408" s="375"/>
      <c r="BQ408" s="375"/>
      <c r="BS408" s="385"/>
      <c r="BT408" s="386"/>
      <c r="BU408" s="375"/>
      <c r="BV408" s="375"/>
      <c r="BX408" s="385"/>
      <c r="BY408" s="386"/>
      <c r="BZ408" s="375"/>
      <c r="CA408" s="375"/>
      <c r="CC408" s="385"/>
      <c r="CD408" s="386"/>
      <c r="CE408" s="375"/>
      <c r="CF408" s="375"/>
      <c r="CH408" s="385"/>
      <c r="CI408" s="386"/>
      <c r="CJ408" s="375"/>
      <c r="CK408" s="375"/>
      <c r="CM408" s="385"/>
      <c r="CN408" s="386"/>
      <c r="CO408" s="375"/>
      <c r="CP408" s="375"/>
      <c r="CR408" s="385"/>
      <c r="CS408" s="386"/>
      <c r="CT408" s="375"/>
      <c r="CU408" s="375"/>
      <c r="CW408" s="385"/>
      <c r="CX408" s="386"/>
      <c r="CY408" s="375"/>
      <c r="CZ408" s="375"/>
      <c r="DB408" s="385"/>
      <c r="DC408" s="386"/>
      <c r="DD408" s="375"/>
      <c r="DE408" s="375"/>
      <c r="DG408" s="385"/>
      <c r="DH408" s="386"/>
      <c r="DI408" s="375"/>
      <c r="DJ408" s="375"/>
      <c r="DL408" s="385"/>
      <c r="DM408" s="386"/>
      <c r="DN408" s="375"/>
      <c r="DO408" s="375"/>
      <c r="DQ408" s="385"/>
      <c r="DR408" s="386"/>
      <c r="DS408" s="375"/>
      <c r="DT408" s="375"/>
      <c r="DV408" s="385"/>
      <c r="DW408" s="386"/>
      <c r="DX408" s="375"/>
      <c r="DY408" s="375"/>
      <c r="EA408" s="385"/>
      <c r="EB408" s="386"/>
      <c r="EC408" s="375"/>
      <c r="ED408" s="375"/>
      <c r="EF408" s="385"/>
      <c r="EG408" s="386"/>
      <c r="EH408" s="375"/>
      <c r="EI408" s="375"/>
      <c r="EK408" s="385"/>
      <c r="EL408" s="386"/>
      <c r="EM408" s="375"/>
      <c r="EN408" s="375"/>
      <c r="EP408" s="385"/>
      <c r="EQ408" s="386"/>
      <c r="ER408" s="375"/>
      <c r="ES408" s="375"/>
      <c r="EU408" s="385"/>
      <c r="EV408" s="386"/>
      <c r="EW408" s="375"/>
      <c r="EX408" s="375"/>
      <c r="EZ408" s="385"/>
      <c r="FA408" s="386"/>
      <c r="FB408" s="375"/>
      <c r="FC408" s="375"/>
      <c r="FE408" s="385"/>
      <c r="FF408" s="386"/>
      <c r="FG408" s="375"/>
      <c r="FH408" s="375"/>
      <c r="FJ408" s="385"/>
      <c r="FK408" s="386"/>
      <c r="FL408" s="375"/>
      <c r="FM408" s="375"/>
      <c r="FO408" s="385"/>
      <c r="FP408" s="386"/>
      <c r="FQ408" s="375"/>
      <c r="FR408" s="375"/>
      <c r="FT408" s="385"/>
      <c r="FU408" s="386"/>
      <c r="FV408" s="375"/>
      <c r="FW408" s="375"/>
      <c r="FY408" s="385"/>
      <c r="FZ408" s="386"/>
      <c r="GA408" s="375"/>
      <c r="GB408" s="375"/>
      <c r="GD408" s="385"/>
      <c r="GE408" s="386"/>
      <c r="GF408" s="375"/>
      <c r="GG408" s="375"/>
      <c r="GI408" s="385"/>
      <c r="GJ408" s="386"/>
      <c r="GK408" s="375"/>
      <c r="GL408" s="375"/>
      <c r="GN408" s="385"/>
      <c r="GO408" s="386"/>
      <c r="GP408" s="375"/>
      <c r="GQ408" s="375"/>
      <c r="GS408" s="385"/>
      <c r="GT408" s="386"/>
      <c r="GU408" s="375"/>
      <c r="GV408" s="375"/>
      <c r="GX408" s="385"/>
      <c r="GY408" s="386"/>
      <c r="GZ408" s="375"/>
      <c r="HA408" s="375"/>
      <c r="HC408" s="385"/>
      <c r="HD408" s="386"/>
      <c r="HE408" s="375"/>
      <c r="HF408" s="375"/>
      <c r="HH408" s="385"/>
      <c r="HI408" s="386"/>
      <c r="HJ408" s="375"/>
      <c r="HK408" s="375"/>
      <c r="HM408" s="385"/>
      <c r="HN408" s="386"/>
      <c r="HO408" s="375"/>
      <c r="HP408" s="375"/>
      <c r="HR408" s="385"/>
      <c r="HS408" s="386"/>
      <c r="HT408" s="375"/>
      <c r="HU408" s="375"/>
      <c r="HW408" s="385"/>
      <c r="HX408" s="386"/>
      <c r="HY408" s="375"/>
      <c r="HZ408" s="375"/>
      <c r="IB408" s="385"/>
      <c r="IC408" s="386"/>
      <c r="ID408" s="375"/>
      <c r="IE408" s="375"/>
      <c r="IG408" s="385"/>
      <c r="IH408" s="386"/>
      <c r="II408" s="375"/>
      <c r="IJ408" s="375"/>
      <c r="IL408" s="385"/>
      <c r="IM408" s="386"/>
      <c r="IN408" s="375"/>
      <c r="IO408" s="375"/>
      <c r="IQ408" s="385"/>
      <c r="IR408" s="386"/>
      <c r="IS408" s="375"/>
      <c r="IT408" s="375"/>
      <c r="IV408" s="385"/>
    </row>
    <row r="409" spans="1:256" s="387" customFormat="1" x14ac:dyDescent="0.2">
      <c r="A409" s="385"/>
      <c r="B409" s="386"/>
      <c r="C409" s="375"/>
      <c r="D409" s="375"/>
      <c r="F409" s="385"/>
      <c r="G409" s="386"/>
      <c r="H409" s="375"/>
      <c r="I409" s="375"/>
      <c r="K409" s="385"/>
      <c r="L409" s="386"/>
      <c r="M409" s="375"/>
      <c r="N409" s="375"/>
      <c r="P409" s="385"/>
      <c r="Q409" s="386"/>
      <c r="R409" s="375"/>
      <c r="S409" s="375"/>
      <c r="U409" s="385"/>
      <c r="V409" s="386"/>
      <c r="W409" s="375"/>
      <c r="X409" s="375"/>
      <c r="Z409" s="385"/>
      <c r="AA409" s="386"/>
      <c r="AB409" s="375"/>
      <c r="AC409" s="375"/>
      <c r="AE409" s="385"/>
      <c r="AF409" s="386"/>
      <c r="AG409" s="375"/>
      <c r="AH409" s="375"/>
      <c r="AJ409" s="385"/>
      <c r="AK409" s="386"/>
      <c r="AL409" s="375"/>
      <c r="AM409" s="375"/>
      <c r="AO409" s="385"/>
      <c r="AP409" s="386"/>
      <c r="AQ409" s="375"/>
      <c r="AR409" s="375"/>
      <c r="AT409" s="385"/>
      <c r="AU409" s="386"/>
      <c r="AV409" s="375"/>
      <c r="AW409" s="375"/>
      <c r="AY409" s="385"/>
      <c r="AZ409" s="386"/>
      <c r="BA409" s="375"/>
      <c r="BB409" s="375"/>
      <c r="BD409" s="385"/>
      <c r="BE409" s="386"/>
      <c r="BF409" s="375"/>
      <c r="BG409" s="375"/>
      <c r="BI409" s="385"/>
      <c r="BJ409" s="386"/>
      <c r="BK409" s="375"/>
      <c r="BL409" s="375"/>
      <c r="BN409" s="385"/>
      <c r="BO409" s="386"/>
      <c r="BP409" s="375"/>
      <c r="BQ409" s="375"/>
      <c r="BS409" s="385"/>
      <c r="BT409" s="386"/>
      <c r="BU409" s="375"/>
      <c r="BV409" s="375"/>
      <c r="BX409" s="385"/>
      <c r="BY409" s="386"/>
      <c r="BZ409" s="375"/>
      <c r="CA409" s="375"/>
      <c r="CC409" s="385"/>
      <c r="CD409" s="386"/>
      <c r="CE409" s="375"/>
      <c r="CF409" s="375"/>
      <c r="CH409" s="385"/>
      <c r="CI409" s="386"/>
      <c r="CJ409" s="375"/>
      <c r="CK409" s="375"/>
      <c r="CM409" s="385"/>
      <c r="CN409" s="386"/>
      <c r="CO409" s="375"/>
      <c r="CP409" s="375"/>
      <c r="CR409" s="385"/>
      <c r="CS409" s="386"/>
      <c r="CT409" s="375"/>
      <c r="CU409" s="375"/>
      <c r="CW409" s="385"/>
      <c r="CX409" s="386"/>
      <c r="CY409" s="375"/>
      <c r="CZ409" s="375"/>
      <c r="DB409" s="385"/>
      <c r="DC409" s="386"/>
      <c r="DD409" s="375"/>
      <c r="DE409" s="375"/>
      <c r="DG409" s="385"/>
      <c r="DH409" s="386"/>
      <c r="DI409" s="375"/>
      <c r="DJ409" s="375"/>
      <c r="DL409" s="385"/>
      <c r="DM409" s="386"/>
      <c r="DN409" s="375"/>
      <c r="DO409" s="375"/>
      <c r="DQ409" s="385"/>
      <c r="DR409" s="386"/>
      <c r="DS409" s="375"/>
      <c r="DT409" s="375"/>
      <c r="DV409" s="385"/>
      <c r="DW409" s="386"/>
      <c r="DX409" s="375"/>
      <c r="DY409" s="375"/>
      <c r="EA409" s="385"/>
      <c r="EB409" s="386"/>
      <c r="EC409" s="375"/>
      <c r="ED409" s="375"/>
      <c r="EF409" s="385"/>
      <c r="EG409" s="386"/>
      <c r="EH409" s="375"/>
      <c r="EI409" s="375"/>
      <c r="EK409" s="385"/>
      <c r="EL409" s="386"/>
      <c r="EM409" s="375"/>
      <c r="EN409" s="375"/>
      <c r="EP409" s="385"/>
      <c r="EQ409" s="386"/>
      <c r="ER409" s="375"/>
      <c r="ES409" s="375"/>
      <c r="EU409" s="385"/>
      <c r="EV409" s="386"/>
      <c r="EW409" s="375"/>
      <c r="EX409" s="375"/>
      <c r="EZ409" s="385"/>
      <c r="FA409" s="386"/>
      <c r="FB409" s="375"/>
      <c r="FC409" s="375"/>
      <c r="FE409" s="385"/>
      <c r="FF409" s="386"/>
      <c r="FG409" s="375"/>
      <c r="FH409" s="375"/>
      <c r="FJ409" s="385"/>
      <c r="FK409" s="386"/>
      <c r="FL409" s="375"/>
      <c r="FM409" s="375"/>
      <c r="FO409" s="385"/>
      <c r="FP409" s="386"/>
      <c r="FQ409" s="375"/>
      <c r="FR409" s="375"/>
      <c r="FT409" s="385"/>
      <c r="FU409" s="386"/>
      <c r="FV409" s="375"/>
      <c r="FW409" s="375"/>
      <c r="FY409" s="385"/>
      <c r="FZ409" s="386"/>
      <c r="GA409" s="375"/>
      <c r="GB409" s="375"/>
      <c r="GD409" s="385"/>
      <c r="GE409" s="386"/>
      <c r="GF409" s="375"/>
      <c r="GG409" s="375"/>
      <c r="GI409" s="385"/>
      <c r="GJ409" s="386"/>
      <c r="GK409" s="375"/>
      <c r="GL409" s="375"/>
      <c r="GN409" s="385"/>
      <c r="GO409" s="386"/>
      <c r="GP409" s="375"/>
      <c r="GQ409" s="375"/>
      <c r="GS409" s="385"/>
      <c r="GT409" s="386"/>
      <c r="GU409" s="375"/>
      <c r="GV409" s="375"/>
      <c r="GX409" s="385"/>
      <c r="GY409" s="386"/>
      <c r="GZ409" s="375"/>
      <c r="HA409" s="375"/>
      <c r="HC409" s="385"/>
      <c r="HD409" s="386"/>
      <c r="HE409" s="375"/>
      <c r="HF409" s="375"/>
      <c r="HH409" s="385"/>
      <c r="HI409" s="386"/>
      <c r="HJ409" s="375"/>
      <c r="HK409" s="375"/>
      <c r="HM409" s="385"/>
      <c r="HN409" s="386"/>
      <c r="HO409" s="375"/>
      <c r="HP409" s="375"/>
      <c r="HR409" s="385"/>
      <c r="HS409" s="386"/>
      <c r="HT409" s="375"/>
      <c r="HU409" s="375"/>
      <c r="HW409" s="385"/>
      <c r="HX409" s="386"/>
      <c r="HY409" s="375"/>
      <c r="HZ409" s="375"/>
      <c r="IB409" s="385"/>
      <c r="IC409" s="386"/>
      <c r="ID409" s="375"/>
      <c r="IE409" s="375"/>
      <c r="IG409" s="385"/>
      <c r="IH409" s="386"/>
      <c r="II409" s="375"/>
      <c r="IJ409" s="375"/>
      <c r="IL409" s="385"/>
      <c r="IM409" s="386"/>
      <c r="IN409" s="375"/>
      <c r="IO409" s="375"/>
      <c r="IQ409" s="385"/>
      <c r="IR409" s="386"/>
      <c r="IS409" s="375"/>
      <c r="IT409" s="375"/>
      <c r="IV409" s="385"/>
    </row>
    <row r="410" spans="1:256" s="387" customFormat="1" x14ac:dyDescent="0.2">
      <c r="A410" s="385"/>
      <c r="B410" s="386"/>
      <c r="C410" s="375"/>
      <c r="D410" s="375"/>
      <c r="F410" s="385"/>
      <c r="G410" s="386"/>
      <c r="H410" s="375"/>
      <c r="I410" s="375"/>
      <c r="K410" s="385"/>
      <c r="L410" s="386"/>
      <c r="M410" s="375"/>
      <c r="N410" s="375"/>
      <c r="P410" s="385"/>
      <c r="Q410" s="386"/>
      <c r="R410" s="375"/>
      <c r="S410" s="375"/>
      <c r="U410" s="385"/>
      <c r="V410" s="386"/>
      <c r="W410" s="375"/>
      <c r="X410" s="375"/>
      <c r="Z410" s="385"/>
      <c r="AA410" s="386"/>
      <c r="AB410" s="375"/>
      <c r="AC410" s="375"/>
      <c r="AE410" s="385"/>
      <c r="AF410" s="386"/>
      <c r="AG410" s="375"/>
      <c r="AH410" s="375"/>
      <c r="AJ410" s="385"/>
      <c r="AK410" s="386"/>
      <c r="AL410" s="375"/>
      <c r="AM410" s="375"/>
      <c r="AO410" s="385"/>
      <c r="AP410" s="386"/>
      <c r="AQ410" s="375"/>
      <c r="AR410" s="375"/>
      <c r="AT410" s="385"/>
      <c r="AU410" s="386"/>
      <c r="AV410" s="375"/>
      <c r="AW410" s="375"/>
      <c r="AY410" s="385"/>
      <c r="AZ410" s="386"/>
      <c r="BA410" s="375"/>
      <c r="BB410" s="375"/>
      <c r="BD410" s="385"/>
      <c r="BE410" s="386"/>
      <c r="BF410" s="375"/>
      <c r="BG410" s="375"/>
      <c r="BI410" s="385"/>
      <c r="BJ410" s="386"/>
      <c r="BK410" s="375"/>
      <c r="BL410" s="375"/>
      <c r="BN410" s="385"/>
      <c r="BO410" s="386"/>
      <c r="BP410" s="375"/>
      <c r="BQ410" s="375"/>
      <c r="BS410" s="385"/>
      <c r="BT410" s="386"/>
      <c r="BU410" s="375"/>
      <c r="BV410" s="375"/>
      <c r="BX410" s="385"/>
      <c r="BY410" s="386"/>
      <c r="BZ410" s="375"/>
      <c r="CA410" s="375"/>
      <c r="CC410" s="385"/>
      <c r="CD410" s="386"/>
      <c r="CE410" s="375"/>
      <c r="CF410" s="375"/>
      <c r="CH410" s="385"/>
      <c r="CI410" s="386"/>
      <c r="CJ410" s="375"/>
      <c r="CK410" s="375"/>
      <c r="CM410" s="385"/>
      <c r="CN410" s="386"/>
      <c r="CO410" s="375"/>
      <c r="CP410" s="375"/>
      <c r="CR410" s="385"/>
      <c r="CS410" s="386"/>
      <c r="CT410" s="375"/>
      <c r="CU410" s="375"/>
      <c r="CW410" s="385"/>
      <c r="CX410" s="386"/>
      <c r="CY410" s="375"/>
      <c r="CZ410" s="375"/>
      <c r="DB410" s="385"/>
      <c r="DC410" s="386"/>
      <c r="DD410" s="375"/>
      <c r="DE410" s="375"/>
      <c r="DG410" s="385"/>
      <c r="DH410" s="386"/>
      <c r="DI410" s="375"/>
      <c r="DJ410" s="375"/>
      <c r="DL410" s="385"/>
      <c r="DM410" s="386"/>
      <c r="DN410" s="375"/>
      <c r="DO410" s="375"/>
      <c r="DQ410" s="385"/>
      <c r="DR410" s="386"/>
      <c r="DS410" s="375"/>
      <c r="DT410" s="375"/>
      <c r="DV410" s="385"/>
      <c r="DW410" s="386"/>
      <c r="DX410" s="375"/>
      <c r="DY410" s="375"/>
      <c r="EA410" s="385"/>
      <c r="EB410" s="386"/>
      <c r="EC410" s="375"/>
      <c r="ED410" s="375"/>
      <c r="EF410" s="385"/>
      <c r="EG410" s="386"/>
      <c r="EH410" s="375"/>
      <c r="EI410" s="375"/>
      <c r="EK410" s="385"/>
      <c r="EL410" s="386"/>
      <c r="EM410" s="375"/>
      <c r="EN410" s="375"/>
      <c r="EP410" s="385"/>
      <c r="EQ410" s="386"/>
      <c r="ER410" s="375"/>
      <c r="ES410" s="375"/>
      <c r="EU410" s="385"/>
      <c r="EV410" s="386"/>
      <c r="EW410" s="375"/>
      <c r="EX410" s="375"/>
      <c r="EZ410" s="385"/>
      <c r="FA410" s="386"/>
      <c r="FB410" s="375"/>
      <c r="FC410" s="375"/>
      <c r="FE410" s="385"/>
      <c r="FF410" s="386"/>
      <c r="FG410" s="375"/>
      <c r="FH410" s="375"/>
      <c r="FJ410" s="385"/>
      <c r="FK410" s="386"/>
      <c r="FL410" s="375"/>
      <c r="FM410" s="375"/>
      <c r="FO410" s="385"/>
      <c r="FP410" s="386"/>
      <c r="FQ410" s="375"/>
      <c r="FR410" s="375"/>
      <c r="FT410" s="385"/>
      <c r="FU410" s="386"/>
      <c r="FV410" s="375"/>
      <c r="FW410" s="375"/>
      <c r="FY410" s="385"/>
      <c r="FZ410" s="386"/>
      <c r="GA410" s="375"/>
      <c r="GB410" s="375"/>
      <c r="GD410" s="385"/>
      <c r="GE410" s="386"/>
      <c r="GF410" s="375"/>
      <c r="GG410" s="375"/>
      <c r="GI410" s="385"/>
      <c r="GJ410" s="386"/>
      <c r="GK410" s="375"/>
      <c r="GL410" s="375"/>
      <c r="GN410" s="385"/>
      <c r="GO410" s="386"/>
      <c r="GP410" s="375"/>
      <c r="GQ410" s="375"/>
      <c r="GS410" s="385"/>
      <c r="GT410" s="386"/>
      <c r="GU410" s="375"/>
      <c r="GV410" s="375"/>
      <c r="GX410" s="385"/>
      <c r="GY410" s="386"/>
      <c r="GZ410" s="375"/>
      <c r="HA410" s="375"/>
      <c r="HC410" s="385"/>
      <c r="HD410" s="386"/>
      <c r="HE410" s="375"/>
      <c r="HF410" s="375"/>
      <c r="HH410" s="385"/>
      <c r="HI410" s="386"/>
      <c r="HJ410" s="375"/>
      <c r="HK410" s="375"/>
      <c r="HM410" s="385"/>
      <c r="HN410" s="386"/>
      <c r="HO410" s="375"/>
      <c r="HP410" s="375"/>
      <c r="HR410" s="385"/>
      <c r="HS410" s="386"/>
      <c r="HT410" s="375"/>
      <c r="HU410" s="375"/>
      <c r="HW410" s="385"/>
      <c r="HX410" s="386"/>
      <c r="HY410" s="375"/>
      <c r="HZ410" s="375"/>
      <c r="IB410" s="385"/>
      <c r="IC410" s="386"/>
      <c r="ID410" s="375"/>
      <c r="IE410" s="375"/>
      <c r="IG410" s="385"/>
      <c r="IH410" s="386"/>
      <c r="II410" s="375"/>
      <c r="IJ410" s="375"/>
      <c r="IL410" s="385"/>
      <c r="IM410" s="386"/>
      <c r="IN410" s="375"/>
      <c r="IO410" s="375"/>
      <c r="IQ410" s="385"/>
      <c r="IR410" s="386"/>
      <c r="IS410" s="375"/>
      <c r="IT410" s="375"/>
      <c r="IV410" s="385"/>
    </row>
    <row r="411" spans="1:256" s="387" customFormat="1" x14ac:dyDescent="0.2">
      <c r="A411" s="385"/>
      <c r="B411" s="386"/>
      <c r="C411" s="375"/>
      <c r="D411" s="375"/>
      <c r="F411" s="385"/>
      <c r="G411" s="386"/>
      <c r="H411" s="375"/>
      <c r="I411" s="375"/>
      <c r="K411" s="385"/>
      <c r="L411" s="386"/>
      <c r="M411" s="375"/>
      <c r="N411" s="375"/>
      <c r="P411" s="385"/>
      <c r="Q411" s="386"/>
      <c r="R411" s="375"/>
      <c r="S411" s="375"/>
      <c r="U411" s="385"/>
      <c r="V411" s="386"/>
      <c r="W411" s="375"/>
      <c r="X411" s="375"/>
      <c r="Z411" s="385"/>
      <c r="AA411" s="386"/>
      <c r="AB411" s="375"/>
      <c r="AC411" s="375"/>
      <c r="AE411" s="385"/>
      <c r="AF411" s="386"/>
      <c r="AG411" s="375"/>
      <c r="AH411" s="375"/>
      <c r="AJ411" s="385"/>
      <c r="AK411" s="386"/>
      <c r="AL411" s="375"/>
      <c r="AM411" s="375"/>
      <c r="AO411" s="385"/>
      <c r="AP411" s="386"/>
      <c r="AQ411" s="375"/>
      <c r="AR411" s="375"/>
      <c r="AT411" s="385"/>
      <c r="AU411" s="386"/>
      <c r="AV411" s="375"/>
      <c r="AW411" s="375"/>
      <c r="AY411" s="385"/>
      <c r="AZ411" s="386"/>
      <c r="BA411" s="375"/>
      <c r="BB411" s="375"/>
      <c r="BD411" s="385"/>
      <c r="BE411" s="386"/>
      <c r="BF411" s="375"/>
      <c r="BG411" s="375"/>
      <c r="BI411" s="385"/>
      <c r="BJ411" s="386"/>
      <c r="BK411" s="375"/>
      <c r="BL411" s="375"/>
      <c r="BN411" s="385"/>
      <c r="BO411" s="386"/>
      <c r="BP411" s="375"/>
      <c r="BQ411" s="375"/>
      <c r="BS411" s="385"/>
      <c r="BT411" s="386"/>
      <c r="BU411" s="375"/>
      <c r="BV411" s="375"/>
      <c r="BX411" s="385"/>
      <c r="BY411" s="386"/>
      <c r="BZ411" s="375"/>
      <c r="CA411" s="375"/>
      <c r="CC411" s="385"/>
      <c r="CD411" s="386"/>
      <c r="CE411" s="375"/>
      <c r="CF411" s="375"/>
      <c r="CH411" s="385"/>
      <c r="CI411" s="386"/>
      <c r="CJ411" s="375"/>
      <c r="CK411" s="375"/>
      <c r="CM411" s="385"/>
      <c r="CN411" s="386"/>
      <c r="CO411" s="375"/>
      <c r="CP411" s="375"/>
      <c r="CR411" s="385"/>
      <c r="CS411" s="386"/>
      <c r="CT411" s="375"/>
      <c r="CU411" s="375"/>
      <c r="CW411" s="385"/>
      <c r="CX411" s="386"/>
      <c r="CY411" s="375"/>
      <c r="CZ411" s="375"/>
      <c r="DB411" s="385"/>
      <c r="DC411" s="386"/>
      <c r="DD411" s="375"/>
      <c r="DE411" s="375"/>
      <c r="DG411" s="385"/>
      <c r="DH411" s="386"/>
      <c r="DI411" s="375"/>
      <c r="DJ411" s="375"/>
      <c r="DL411" s="385"/>
      <c r="DM411" s="386"/>
      <c r="DN411" s="375"/>
      <c r="DO411" s="375"/>
      <c r="DQ411" s="385"/>
      <c r="DR411" s="386"/>
      <c r="DS411" s="375"/>
      <c r="DT411" s="375"/>
      <c r="DV411" s="385"/>
      <c r="DW411" s="386"/>
      <c r="DX411" s="375"/>
      <c r="DY411" s="375"/>
      <c r="EA411" s="385"/>
      <c r="EB411" s="386"/>
      <c r="EC411" s="375"/>
      <c r="ED411" s="375"/>
      <c r="EF411" s="385"/>
      <c r="EG411" s="386"/>
      <c r="EH411" s="375"/>
      <c r="EI411" s="375"/>
      <c r="EK411" s="385"/>
      <c r="EL411" s="386"/>
      <c r="EM411" s="375"/>
      <c r="EN411" s="375"/>
      <c r="EP411" s="385"/>
      <c r="EQ411" s="386"/>
      <c r="ER411" s="375"/>
      <c r="ES411" s="375"/>
      <c r="EU411" s="385"/>
      <c r="EV411" s="386"/>
      <c r="EW411" s="375"/>
      <c r="EX411" s="375"/>
      <c r="EZ411" s="385"/>
      <c r="FA411" s="386"/>
      <c r="FB411" s="375"/>
      <c r="FC411" s="375"/>
      <c r="FE411" s="385"/>
      <c r="FF411" s="386"/>
      <c r="FG411" s="375"/>
      <c r="FH411" s="375"/>
      <c r="FJ411" s="385"/>
      <c r="FK411" s="386"/>
      <c r="FL411" s="375"/>
      <c r="FM411" s="375"/>
      <c r="FO411" s="385"/>
      <c r="FP411" s="386"/>
      <c r="FQ411" s="375"/>
      <c r="FR411" s="375"/>
      <c r="FT411" s="385"/>
      <c r="FU411" s="386"/>
      <c r="FV411" s="375"/>
      <c r="FW411" s="375"/>
      <c r="FY411" s="385"/>
      <c r="FZ411" s="386"/>
      <c r="GA411" s="375"/>
      <c r="GB411" s="375"/>
      <c r="GD411" s="385"/>
      <c r="GE411" s="386"/>
      <c r="GF411" s="375"/>
      <c r="GG411" s="375"/>
      <c r="GI411" s="385"/>
      <c r="GJ411" s="386"/>
      <c r="GK411" s="375"/>
      <c r="GL411" s="375"/>
      <c r="GN411" s="385"/>
      <c r="GO411" s="386"/>
      <c r="GP411" s="375"/>
      <c r="GQ411" s="375"/>
      <c r="GS411" s="385"/>
      <c r="GT411" s="386"/>
      <c r="GU411" s="375"/>
      <c r="GV411" s="375"/>
      <c r="GX411" s="385"/>
      <c r="GY411" s="386"/>
      <c r="GZ411" s="375"/>
      <c r="HA411" s="375"/>
      <c r="HC411" s="385"/>
      <c r="HD411" s="386"/>
      <c r="HE411" s="375"/>
      <c r="HF411" s="375"/>
      <c r="HH411" s="385"/>
      <c r="HI411" s="386"/>
      <c r="HJ411" s="375"/>
      <c r="HK411" s="375"/>
      <c r="HM411" s="385"/>
      <c r="HN411" s="386"/>
      <c r="HO411" s="375"/>
      <c r="HP411" s="375"/>
      <c r="HR411" s="385"/>
      <c r="HS411" s="386"/>
      <c r="HT411" s="375"/>
      <c r="HU411" s="375"/>
      <c r="HW411" s="385"/>
      <c r="HX411" s="386"/>
      <c r="HY411" s="375"/>
      <c r="HZ411" s="375"/>
      <c r="IB411" s="385"/>
      <c r="IC411" s="386"/>
      <c r="ID411" s="375"/>
      <c r="IE411" s="375"/>
      <c r="IG411" s="385"/>
      <c r="IH411" s="386"/>
      <c r="II411" s="375"/>
      <c r="IJ411" s="375"/>
      <c r="IL411" s="385"/>
      <c r="IM411" s="386"/>
      <c r="IN411" s="375"/>
      <c r="IO411" s="375"/>
      <c r="IQ411" s="385"/>
      <c r="IR411" s="386"/>
      <c r="IS411" s="375"/>
      <c r="IT411" s="375"/>
      <c r="IV411" s="385"/>
    </row>
    <row r="412" spans="1:256" s="387" customFormat="1" x14ac:dyDescent="0.2">
      <c r="A412" s="385"/>
      <c r="B412" s="386"/>
      <c r="C412" s="375"/>
      <c r="D412" s="375"/>
      <c r="F412" s="385"/>
      <c r="G412" s="386"/>
      <c r="H412" s="375"/>
      <c r="I412" s="375"/>
      <c r="K412" s="385"/>
      <c r="L412" s="386"/>
      <c r="M412" s="375"/>
      <c r="N412" s="375"/>
      <c r="P412" s="385"/>
      <c r="Q412" s="386"/>
      <c r="R412" s="375"/>
      <c r="S412" s="375"/>
      <c r="U412" s="385"/>
      <c r="V412" s="386"/>
      <c r="W412" s="375"/>
      <c r="X412" s="375"/>
      <c r="Z412" s="385"/>
      <c r="AA412" s="386"/>
      <c r="AB412" s="375"/>
      <c r="AC412" s="375"/>
      <c r="AE412" s="385"/>
      <c r="AF412" s="386"/>
      <c r="AG412" s="375"/>
      <c r="AH412" s="375"/>
      <c r="AJ412" s="385"/>
      <c r="AK412" s="386"/>
      <c r="AL412" s="375"/>
      <c r="AM412" s="375"/>
      <c r="AO412" s="385"/>
      <c r="AP412" s="386"/>
      <c r="AQ412" s="375"/>
      <c r="AR412" s="375"/>
      <c r="AT412" s="385"/>
      <c r="AU412" s="386"/>
      <c r="AV412" s="375"/>
      <c r="AW412" s="375"/>
      <c r="AY412" s="385"/>
      <c r="AZ412" s="386"/>
      <c r="BA412" s="375"/>
      <c r="BB412" s="375"/>
      <c r="BD412" s="385"/>
      <c r="BE412" s="386"/>
      <c r="BF412" s="375"/>
      <c r="BG412" s="375"/>
      <c r="BI412" s="385"/>
      <c r="BJ412" s="386"/>
      <c r="BK412" s="375"/>
      <c r="BL412" s="375"/>
      <c r="BN412" s="385"/>
      <c r="BO412" s="386"/>
      <c r="BP412" s="375"/>
      <c r="BQ412" s="375"/>
      <c r="BS412" s="385"/>
      <c r="BT412" s="386"/>
      <c r="BU412" s="375"/>
      <c r="BV412" s="375"/>
      <c r="BX412" s="385"/>
      <c r="BY412" s="386"/>
      <c r="BZ412" s="375"/>
      <c r="CA412" s="375"/>
      <c r="CC412" s="385"/>
      <c r="CD412" s="386"/>
      <c r="CE412" s="375"/>
      <c r="CF412" s="375"/>
      <c r="CH412" s="385"/>
      <c r="CI412" s="386"/>
      <c r="CJ412" s="375"/>
      <c r="CK412" s="375"/>
      <c r="CM412" s="385"/>
      <c r="CN412" s="386"/>
      <c r="CO412" s="375"/>
      <c r="CP412" s="375"/>
      <c r="CR412" s="385"/>
      <c r="CS412" s="386"/>
      <c r="CT412" s="375"/>
      <c r="CU412" s="375"/>
      <c r="CW412" s="385"/>
      <c r="CX412" s="386"/>
      <c r="CY412" s="375"/>
      <c r="CZ412" s="375"/>
      <c r="DB412" s="385"/>
      <c r="DC412" s="386"/>
      <c r="DD412" s="375"/>
      <c r="DE412" s="375"/>
      <c r="DG412" s="385"/>
      <c r="DH412" s="386"/>
      <c r="DI412" s="375"/>
      <c r="DJ412" s="375"/>
      <c r="DL412" s="385"/>
      <c r="DM412" s="386"/>
      <c r="DN412" s="375"/>
      <c r="DO412" s="375"/>
      <c r="DQ412" s="385"/>
      <c r="DR412" s="386"/>
      <c r="DS412" s="375"/>
      <c r="DT412" s="375"/>
      <c r="DV412" s="385"/>
      <c r="DW412" s="386"/>
      <c r="DX412" s="375"/>
      <c r="DY412" s="375"/>
      <c r="EA412" s="385"/>
      <c r="EB412" s="386"/>
      <c r="EC412" s="375"/>
      <c r="ED412" s="375"/>
      <c r="EF412" s="385"/>
      <c r="EG412" s="386"/>
      <c r="EH412" s="375"/>
      <c r="EI412" s="375"/>
      <c r="EK412" s="385"/>
      <c r="EL412" s="386"/>
      <c r="EM412" s="375"/>
      <c r="EN412" s="375"/>
      <c r="EP412" s="385"/>
      <c r="EQ412" s="386"/>
      <c r="ER412" s="375"/>
      <c r="ES412" s="375"/>
      <c r="EU412" s="385"/>
      <c r="EV412" s="386"/>
      <c r="EW412" s="375"/>
      <c r="EX412" s="375"/>
      <c r="EZ412" s="385"/>
      <c r="FA412" s="386"/>
      <c r="FB412" s="375"/>
      <c r="FC412" s="375"/>
      <c r="FE412" s="385"/>
      <c r="FF412" s="386"/>
      <c r="FG412" s="375"/>
      <c r="FH412" s="375"/>
      <c r="FJ412" s="385"/>
      <c r="FK412" s="386"/>
      <c r="FL412" s="375"/>
      <c r="FM412" s="375"/>
      <c r="FO412" s="385"/>
      <c r="FP412" s="386"/>
      <c r="FQ412" s="375"/>
      <c r="FR412" s="375"/>
      <c r="FT412" s="385"/>
      <c r="FU412" s="386"/>
      <c r="FV412" s="375"/>
      <c r="FW412" s="375"/>
      <c r="FY412" s="385"/>
      <c r="FZ412" s="386"/>
      <c r="GA412" s="375"/>
      <c r="GB412" s="375"/>
      <c r="GD412" s="385"/>
      <c r="GE412" s="386"/>
      <c r="GF412" s="375"/>
      <c r="GG412" s="375"/>
      <c r="GI412" s="385"/>
      <c r="GJ412" s="386"/>
      <c r="GK412" s="375"/>
      <c r="GL412" s="375"/>
      <c r="GN412" s="385"/>
      <c r="GO412" s="386"/>
      <c r="GP412" s="375"/>
      <c r="GQ412" s="375"/>
      <c r="GS412" s="385"/>
      <c r="GT412" s="386"/>
      <c r="GU412" s="375"/>
      <c r="GV412" s="375"/>
      <c r="GX412" s="385"/>
      <c r="GY412" s="386"/>
      <c r="GZ412" s="375"/>
      <c r="HA412" s="375"/>
      <c r="HC412" s="385"/>
      <c r="HD412" s="386"/>
      <c r="HE412" s="375"/>
      <c r="HF412" s="375"/>
      <c r="HH412" s="385"/>
      <c r="HI412" s="386"/>
      <c r="HJ412" s="375"/>
      <c r="HK412" s="375"/>
      <c r="HM412" s="385"/>
      <c r="HN412" s="386"/>
      <c r="HO412" s="375"/>
      <c r="HP412" s="375"/>
      <c r="HR412" s="385"/>
      <c r="HS412" s="386"/>
      <c r="HT412" s="375"/>
      <c r="HU412" s="375"/>
      <c r="HW412" s="385"/>
      <c r="HX412" s="386"/>
      <c r="HY412" s="375"/>
      <c r="HZ412" s="375"/>
      <c r="IB412" s="385"/>
      <c r="IC412" s="386"/>
      <c r="ID412" s="375"/>
      <c r="IE412" s="375"/>
      <c r="IG412" s="385"/>
      <c r="IH412" s="386"/>
      <c r="II412" s="375"/>
      <c r="IJ412" s="375"/>
      <c r="IL412" s="385"/>
      <c r="IM412" s="386"/>
      <c r="IN412" s="375"/>
      <c r="IO412" s="375"/>
      <c r="IQ412" s="385"/>
      <c r="IR412" s="386"/>
      <c r="IS412" s="375"/>
      <c r="IT412" s="375"/>
      <c r="IV412" s="385"/>
    </row>
    <row r="413" spans="1:256" s="387" customFormat="1" x14ac:dyDescent="0.2">
      <c r="A413" s="385"/>
      <c r="B413" s="386"/>
      <c r="C413" s="375"/>
      <c r="D413" s="375"/>
      <c r="F413" s="385"/>
      <c r="G413" s="386"/>
      <c r="H413" s="375"/>
      <c r="I413" s="375"/>
      <c r="K413" s="385"/>
      <c r="L413" s="386"/>
      <c r="M413" s="375"/>
      <c r="N413" s="375"/>
      <c r="P413" s="385"/>
      <c r="Q413" s="386"/>
      <c r="R413" s="375"/>
      <c r="S413" s="375"/>
      <c r="U413" s="385"/>
      <c r="V413" s="386"/>
      <c r="W413" s="375"/>
      <c r="X413" s="375"/>
      <c r="Z413" s="385"/>
      <c r="AA413" s="386"/>
      <c r="AB413" s="375"/>
      <c r="AC413" s="375"/>
      <c r="AE413" s="385"/>
      <c r="AF413" s="386"/>
      <c r="AG413" s="375"/>
      <c r="AH413" s="375"/>
      <c r="AJ413" s="385"/>
      <c r="AK413" s="386"/>
      <c r="AL413" s="375"/>
      <c r="AM413" s="375"/>
      <c r="AO413" s="385"/>
      <c r="AP413" s="386"/>
      <c r="AQ413" s="375"/>
      <c r="AR413" s="375"/>
      <c r="AT413" s="385"/>
      <c r="AU413" s="386"/>
      <c r="AV413" s="375"/>
      <c r="AW413" s="375"/>
      <c r="AY413" s="385"/>
      <c r="AZ413" s="386"/>
      <c r="BA413" s="375"/>
      <c r="BB413" s="375"/>
      <c r="BD413" s="385"/>
      <c r="BE413" s="386"/>
      <c r="BF413" s="375"/>
      <c r="BG413" s="375"/>
      <c r="BI413" s="385"/>
      <c r="BJ413" s="386"/>
      <c r="BK413" s="375"/>
      <c r="BL413" s="375"/>
      <c r="BN413" s="385"/>
      <c r="BO413" s="386"/>
      <c r="BP413" s="375"/>
      <c r="BQ413" s="375"/>
      <c r="BS413" s="385"/>
      <c r="BT413" s="386"/>
      <c r="BU413" s="375"/>
      <c r="BV413" s="375"/>
      <c r="BX413" s="385"/>
      <c r="BY413" s="386"/>
      <c r="BZ413" s="375"/>
      <c r="CA413" s="375"/>
      <c r="CC413" s="385"/>
      <c r="CD413" s="386"/>
      <c r="CE413" s="375"/>
      <c r="CF413" s="375"/>
      <c r="CH413" s="385"/>
      <c r="CI413" s="386"/>
      <c r="CJ413" s="375"/>
      <c r="CK413" s="375"/>
      <c r="CM413" s="385"/>
      <c r="CN413" s="386"/>
      <c r="CO413" s="375"/>
      <c r="CP413" s="375"/>
      <c r="CR413" s="385"/>
      <c r="CS413" s="386"/>
      <c r="CT413" s="375"/>
      <c r="CU413" s="375"/>
      <c r="CW413" s="385"/>
      <c r="CX413" s="386"/>
      <c r="CY413" s="375"/>
      <c r="CZ413" s="375"/>
      <c r="DB413" s="385"/>
      <c r="DC413" s="386"/>
      <c r="DD413" s="375"/>
      <c r="DE413" s="375"/>
      <c r="DG413" s="385"/>
      <c r="DH413" s="386"/>
      <c r="DI413" s="375"/>
      <c r="DJ413" s="375"/>
      <c r="DL413" s="385"/>
      <c r="DM413" s="386"/>
      <c r="DN413" s="375"/>
      <c r="DO413" s="375"/>
      <c r="DQ413" s="385"/>
      <c r="DR413" s="386"/>
      <c r="DS413" s="375"/>
      <c r="DT413" s="375"/>
      <c r="DV413" s="385"/>
      <c r="DW413" s="386"/>
      <c r="DX413" s="375"/>
      <c r="DY413" s="375"/>
      <c r="EA413" s="385"/>
      <c r="EB413" s="386"/>
      <c r="EC413" s="375"/>
      <c r="ED413" s="375"/>
      <c r="EF413" s="385"/>
      <c r="EG413" s="386"/>
      <c r="EH413" s="375"/>
      <c r="EI413" s="375"/>
      <c r="EK413" s="385"/>
      <c r="EL413" s="386"/>
      <c r="EM413" s="375"/>
      <c r="EN413" s="375"/>
      <c r="EP413" s="385"/>
      <c r="EQ413" s="386"/>
      <c r="ER413" s="375"/>
      <c r="ES413" s="375"/>
      <c r="EU413" s="385"/>
      <c r="EV413" s="386"/>
      <c r="EW413" s="375"/>
      <c r="EX413" s="375"/>
      <c r="EZ413" s="385"/>
      <c r="FA413" s="386"/>
      <c r="FB413" s="375"/>
      <c r="FC413" s="375"/>
      <c r="FE413" s="385"/>
      <c r="FF413" s="386"/>
      <c r="FG413" s="375"/>
      <c r="FH413" s="375"/>
      <c r="FJ413" s="385"/>
      <c r="FK413" s="386"/>
      <c r="FL413" s="375"/>
      <c r="FM413" s="375"/>
      <c r="FO413" s="385"/>
      <c r="FP413" s="386"/>
      <c r="FQ413" s="375"/>
      <c r="FR413" s="375"/>
      <c r="FT413" s="385"/>
      <c r="FU413" s="386"/>
      <c r="FV413" s="375"/>
      <c r="FW413" s="375"/>
      <c r="FY413" s="385"/>
      <c r="FZ413" s="386"/>
      <c r="GA413" s="375"/>
      <c r="GB413" s="375"/>
      <c r="GD413" s="385"/>
      <c r="GE413" s="386"/>
      <c r="GF413" s="375"/>
      <c r="GG413" s="375"/>
      <c r="GI413" s="385"/>
      <c r="GJ413" s="386"/>
      <c r="GK413" s="375"/>
      <c r="GL413" s="375"/>
      <c r="GN413" s="385"/>
      <c r="GO413" s="386"/>
      <c r="GP413" s="375"/>
      <c r="GQ413" s="375"/>
      <c r="GS413" s="385"/>
      <c r="GT413" s="386"/>
      <c r="GU413" s="375"/>
      <c r="GV413" s="375"/>
      <c r="GX413" s="385"/>
      <c r="GY413" s="386"/>
      <c r="GZ413" s="375"/>
      <c r="HA413" s="375"/>
      <c r="HC413" s="385"/>
      <c r="HD413" s="386"/>
      <c r="HE413" s="375"/>
      <c r="HF413" s="375"/>
      <c r="HH413" s="385"/>
      <c r="HI413" s="386"/>
      <c r="HJ413" s="375"/>
      <c r="HK413" s="375"/>
      <c r="HM413" s="385"/>
      <c r="HN413" s="386"/>
      <c r="HO413" s="375"/>
      <c r="HP413" s="375"/>
      <c r="HR413" s="385"/>
      <c r="HS413" s="386"/>
      <c r="HT413" s="375"/>
      <c r="HU413" s="375"/>
      <c r="HW413" s="385"/>
      <c r="HX413" s="386"/>
      <c r="HY413" s="375"/>
      <c r="HZ413" s="375"/>
      <c r="IB413" s="385"/>
      <c r="IC413" s="386"/>
      <c r="ID413" s="375"/>
      <c r="IE413" s="375"/>
      <c r="IG413" s="385"/>
      <c r="IH413" s="386"/>
      <c r="II413" s="375"/>
      <c r="IJ413" s="375"/>
      <c r="IL413" s="385"/>
      <c r="IM413" s="386"/>
      <c r="IN413" s="375"/>
      <c r="IO413" s="375"/>
      <c r="IQ413" s="385"/>
      <c r="IR413" s="386"/>
      <c r="IS413" s="375"/>
      <c r="IT413" s="375"/>
      <c r="IV413" s="385"/>
    </row>
    <row r="414" spans="1:256" s="387" customFormat="1" x14ac:dyDescent="0.2">
      <c r="A414" s="385"/>
      <c r="B414" s="386"/>
      <c r="C414" s="375"/>
      <c r="D414" s="375"/>
      <c r="F414" s="385"/>
      <c r="G414" s="386"/>
      <c r="H414" s="375"/>
      <c r="I414" s="375"/>
      <c r="K414" s="385"/>
      <c r="L414" s="386"/>
      <c r="M414" s="375"/>
      <c r="N414" s="375"/>
      <c r="P414" s="385"/>
      <c r="Q414" s="386"/>
      <c r="R414" s="375"/>
      <c r="S414" s="375"/>
      <c r="U414" s="385"/>
      <c r="V414" s="386"/>
      <c r="W414" s="375"/>
      <c r="X414" s="375"/>
      <c r="Z414" s="385"/>
      <c r="AA414" s="386"/>
      <c r="AB414" s="375"/>
      <c r="AC414" s="375"/>
      <c r="AE414" s="385"/>
      <c r="AF414" s="386"/>
      <c r="AG414" s="375"/>
      <c r="AH414" s="375"/>
      <c r="AJ414" s="385"/>
      <c r="AK414" s="386"/>
      <c r="AL414" s="375"/>
      <c r="AM414" s="375"/>
      <c r="AO414" s="385"/>
      <c r="AP414" s="386"/>
      <c r="AQ414" s="375"/>
      <c r="AR414" s="375"/>
      <c r="AT414" s="385"/>
      <c r="AU414" s="386"/>
      <c r="AV414" s="375"/>
      <c r="AW414" s="375"/>
      <c r="AY414" s="385"/>
      <c r="AZ414" s="386"/>
      <c r="BA414" s="375"/>
      <c r="BB414" s="375"/>
      <c r="BD414" s="385"/>
      <c r="BE414" s="386"/>
      <c r="BF414" s="375"/>
      <c r="BG414" s="375"/>
      <c r="BI414" s="385"/>
      <c r="BJ414" s="386"/>
      <c r="BK414" s="375"/>
      <c r="BL414" s="375"/>
      <c r="BN414" s="385"/>
      <c r="BO414" s="386"/>
      <c r="BP414" s="375"/>
      <c r="BQ414" s="375"/>
      <c r="BS414" s="385"/>
      <c r="BT414" s="386"/>
      <c r="BU414" s="375"/>
      <c r="BV414" s="375"/>
      <c r="BX414" s="385"/>
      <c r="BY414" s="386"/>
      <c r="BZ414" s="375"/>
      <c r="CA414" s="375"/>
      <c r="CC414" s="385"/>
      <c r="CD414" s="386"/>
      <c r="CE414" s="375"/>
      <c r="CF414" s="375"/>
      <c r="CH414" s="385"/>
      <c r="CI414" s="386"/>
      <c r="CJ414" s="375"/>
      <c r="CK414" s="375"/>
      <c r="CM414" s="385"/>
      <c r="CN414" s="386"/>
      <c r="CO414" s="375"/>
      <c r="CP414" s="375"/>
      <c r="CR414" s="385"/>
      <c r="CS414" s="386"/>
      <c r="CT414" s="375"/>
      <c r="CU414" s="375"/>
      <c r="CW414" s="385"/>
      <c r="CX414" s="386"/>
      <c r="CY414" s="375"/>
      <c r="CZ414" s="375"/>
      <c r="DB414" s="385"/>
      <c r="DC414" s="386"/>
      <c r="DD414" s="375"/>
      <c r="DE414" s="375"/>
      <c r="DG414" s="385"/>
      <c r="DH414" s="386"/>
      <c r="DI414" s="375"/>
      <c r="DJ414" s="375"/>
      <c r="DL414" s="385"/>
      <c r="DM414" s="386"/>
      <c r="DN414" s="375"/>
      <c r="DO414" s="375"/>
      <c r="DQ414" s="385"/>
      <c r="DR414" s="386"/>
      <c r="DS414" s="375"/>
      <c r="DT414" s="375"/>
      <c r="DV414" s="385"/>
      <c r="DW414" s="386"/>
      <c r="DX414" s="375"/>
      <c r="DY414" s="375"/>
      <c r="EA414" s="385"/>
      <c r="EB414" s="386"/>
      <c r="EC414" s="375"/>
      <c r="ED414" s="375"/>
      <c r="EF414" s="385"/>
      <c r="EG414" s="386"/>
      <c r="EH414" s="375"/>
      <c r="EI414" s="375"/>
      <c r="EK414" s="385"/>
      <c r="EL414" s="386"/>
      <c r="EM414" s="375"/>
      <c r="EN414" s="375"/>
      <c r="EP414" s="385"/>
      <c r="EQ414" s="386"/>
      <c r="ER414" s="375"/>
      <c r="ES414" s="375"/>
      <c r="EU414" s="385"/>
      <c r="EV414" s="386"/>
      <c r="EW414" s="375"/>
      <c r="EX414" s="375"/>
      <c r="EZ414" s="385"/>
      <c r="FA414" s="386"/>
      <c r="FB414" s="375"/>
      <c r="FC414" s="375"/>
      <c r="FE414" s="385"/>
      <c r="FF414" s="386"/>
      <c r="FG414" s="375"/>
      <c r="FH414" s="375"/>
      <c r="FJ414" s="385"/>
      <c r="FK414" s="386"/>
      <c r="FL414" s="375"/>
      <c r="FM414" s="375"/>
      <c r="FO414" s="385"/>
      <c r="FP414" s="386"/>
      <c r="FQ414" s="375"/>
      <c r="FR414" s="375"/>
      <c r="FT414" s="385"/>
      <c r="FU414" s="386"/>
      <c r="FV414" s="375"/>
      <c r="FW414" s="375"/>
      <c r="FY414" s="385"/>
      <c r="FZ414" s="386"/>
      <c r="GA414" s="375"/>
      <c r="GB414" s="375"/>
      <c r="GD414" s="385"/>
      <c r="GE414" s="386"/>
      <c r="GF414" s="375"/>
      <c r="GG414" s="375"/>
      <c r="GI414" s="385"/>
      <c r="GJ414" s="386"/>
      <c r="GK414" s="375"/>
      <c r="GL414" s="375"/>
      <c r="GN414" s="385"/>
      <c r="GO414" s="386"/>
      <c r="GP414" s="375"/>
      <c r="GQ414" s="375"/>
      <c r="GS414" s="385"/>
      <c r="GT414" s="386"/>
      <c r="GU414" s="375"/>
      <c r="GV414" s="375"/>
      <c r="GX414" s="385"/>
      <c r="GY414" s="386"/>
      <c r="GZ414" s="375"/>
      <c r="HA414" s="375"/>
      <c r="HC414" s="385"/>
      <c r="HD414" s="386"/>
      <c r="HE414" s="375"/>
      <c r="HF414" s="375"/>
      <c r="HH414" s="385"/>
      <c r="HI414" s="386"/>
      <c r="HJ414" s="375"/>
      <c r="HK414" s="375"/>
      <c r="HM414" s="385"/>
      <c r="HN414" s="386"/>
      <c r="HO414" s="375"/>
      <c r="HP414" s="375"/>
      <c r="HR414" s="385"/>
      <c r="HS414" s="386"/>
      <c r="HT414" s="375"/>
      <c r="HU414" s="375"/>
      <c r="HW414" s="385"/>
      <c r="HX414" s="386"/>
      <c r="HY414" s="375"/>
      <c r="HZ414" s="375"/>
      <c r="IB414" s="385"/>
      <c r="IC414" s="386"/>
      <c r="ID414" s="375"/>
      <c r="IE414" s="375"/>
      <c r="IG414" s="385"/>
      <c r="IH414" s="386"/>
      <c r="II414" s="375"/>
      <c r="IJ414" s="375"/>
      <c r="IL414" s="385"/>
      <c r="IM414" s="386"/>
      <c r="IN414" s="375"/>
      <c r="IO414" s="375"/>
      <c r="IQ414" s="385"/>
      <c r="IR414" s="386"/>
      <c r="IS414" s="375"/>
      <c r="IT414" s="375"/>
      <c r="IV414" s="385"/>
    </row>
    <row r="415" spans="1:256" s="387" customFormat="1" x14ac:dyDescent="0.2">
      <c r="A415" s="385"/>
      <c r="B415" s="386"/>
      <c r="C415" s="375"/>
      <c r="D415" s="375"/>
      <c r="F415" s="385"/>
      <c r="G415" s="386"/>
      <c r="H415" s="375"/>
      <c r="I415" s="375"/>
      <c r="K415" s="385"/>
      <c r="L415" s="386"/>
      <c r="M415" s="375"/>
      <c r="N415" s="375"/>
      <c r="P415" s="385"/>
      <c r="Q415" s="386"/>
      <c r="R415" s="375"/>
      <c r="S415" s="375"/>
      <c r="U415" s="385"/>
      <c r="V415" s="386"/>
      <c r="W415" s="375"/>
      <c r="X415" s="375"/>
      <c r="Z415" s="385"/>
      <c r="AA415" s="386"/>
      <c r="AB415" s="375"/>
      <c r="AC415" s="375"/>
      <c r="AE415" s="385"/>
      <c r="AF415" s="386"/>
      <c r="AG415" s="375"/>
      <c r="AH415" s="375"/>
      <c r="AJ415" s="385"/>
      <c r="AK415" s="386"/>
      <c r="AL415" s="375"/>
      <c r="AM415" s="375"/>
      <c r="AO415" s="385"/>
      <c r="AP415" s="386"/>
      <c r="AQ415" s="375"/>
      <c r="AR415" s="375"/>
      <c r="AT415" s="385"/>
      <c r="AU415" s="386"/>
      <c r="AV415" s="375"/>
      <c r="AW415" s="375"/>
      <c r="AY415" s="385"/>
      <c r="AZ415" s="386"/>
      <c r="BA415" s="375"/>
      <c r="BB415" s="375"/>
      <c r="BD415" s="385"/>
      <c r="BE415" s="386"/>
      <c r="BF415" s="375"/>
      <c r="BG415" s="375"/>
      <c r="BI415" s="385"/>
      <c r="BJ415" s="386"/>
      <c r="BK415" s="375"/>
      <c r="BL415" s="375"/>
      <c r="BN415" s="385"/>
      <c r="BO415" s="386"/>
      <c r="BP415" s="375"/>
      <c r="BQ415" s="375"/>
      <c r="BS415" s="385"/>
      <c r="BT415" s="386"/>
      <c r="BU415" s="375"/>
      <c r="BV415" s="375"/>
      <c r="BX415" s="385"/>
      <c r="BY415" s="386"/>
      <c r="BZ415" s="375"/>
      <c r="CA415" s="375"/>
      <c r="CC415" s="385"/>
      <c r="CD415" s="386"/>
      <c r="CE415" s="375"/>
      <c r="CF415" s="375"/>
      <c r="CH415" s="385"/>
      <c r="CI415" s="386"/>
      <c r="CJ415" s="375"/>
      <c r="CK415" s="375"/>
      <c r="CM415" s="385"/>
      <c r="CN415" s="386"/>
      <c r="CO415" s="375"/>
      <c r="CP415" s="375"/>
      <c r="CR415" s="385"/>
      <c r="CS415" s="386"/>
      <c r="CT415" s="375"/>
      <c r="CU415" s="375"/>
      <c r="CW415" s="385"/>
      <c r="CX415" s="386"/>
      <c r="CY415" s="375"/>
      <c r="CZ415" s="375"/>
      <c r="DB415" s="385"/>
      <c r="DC415" s="386"/>
      <c r="DD415" s="375"/>
      <c r="DE415" s="375"/>
      <c r="DG415" s="385"/>
      <c r="DH415" s="386"/>
      <c r="DI415" s="375"/>
      <c r="DJ415" s="375"/>
      <c r="DL415" s="385"/>
      <c r="DM415" s="386"/>
      <c r="DN415" s="375"/>
      <c r="DO415" s="375"/>
      <c r="DQ415" s="385"/>
      <c r="DR415" s="386"/>
      <c r="DS415" s="375"/>
      <c r="DT415" s="375"/>
      <c r="DV415" s="385"/>
      <c r="DW415" s="386"/>
      <c r="DX415" s="375"/>
      <c r="DY415" s="375"/>
      <c r="EA415" s="385"/>
      <c r="EB415" s="386"/>
      <c r="EC415" s="375"/>
      <c r="ED415" s="375"/>
      <c r="EF415" s="385"/>
      <c r="EG415" s="386"/>
      <c r="EH415" s="375"/>
      <c r="EI415" s="375"/>
      <c r="EK415" s="385"/>
      <c r="EL415" s="386"/>
      <c r="EM415" s="375"/>
      <c r="EN415" s="375"/>
      <c r="EP415" s="385"/>
      <c r="EQ415" s="386"/>
      <c r="ER415" s="375"/>
      <c r="ES415" s="375"/>
      <c r="EU415" s="385"/>
      <c r="EV415" s="386"/>
      <c r="EW415" s="375"/>
      <c r="EX415" s="375"/>
      <c r="EZ415" s="385"/>
      <c r="FA415" s="386"/>
      <c r="FB415" s="375"/>
      <c r="FC415" s="375"/>
      <c r="FE415" s="385"/>
      <c r="FF415" s="386"/>
      <c r="FG415" s="375"/>
      <c r="FH415" s="375"/>
      <c r="FJ415" s="385"/>
      <c r="FK415" s="386"/>
      <c r="FL415" s="375"/>
      <c r="FM415" s="375"/>
      <c r="FO415" s="385"/>
      <c r="FP415" s="386"/>
      <c r="FQ415" s="375"/>
      <c r="FR415" s="375"/>
      <c r="FT415" s="385"/>
      <c r="FU415" s="386"/>
      <c r="FV415" s="375"/>
      <c r="FW415" s="375"/>
      <c r="FY415" s="385"/>
      <c r="FZ415" s="386"/>
      <c r="GA415" s="375"/>
      <c r="GB415" s="375"/>
      <c r="GD415" s="385"/>
      <c r="GE415" s="386"/>
      <c r="GF415" s="375"/>
      <c r="GG415" s="375"/>
      <c r="GI415" s="385"/>
      <c r="GJ415" s="386"/>
      <c r="GK415" s="375"/>
      <c r="GL415" s="375"/>
      <c r="GN415" s="385"/>
      <c r="GO415" s="386"/>
      <c r="GP415" s="375"/>
      <c r="GQ415" s="375"/>
      <c r="GS415" s="385"/>
      <c r="GT415" s="386"/>
      <c r="GU415" s="375"/>
      <c r="GV415" s="375"/>
      <c r="GX415" s="385"/>
      <c r="GY415" s="386"/>
      <c r="GZ415" s="375"/>
      <c r="HA415" s="375"/>
      <c r="HC415" s="385"/>
      <c r="HD415" s="386"/>
      <c r="HE415" s="375"/>
      <c r="HF415" s="375"/>
      <c r="HH415" s="385"/>
      <c r="HI415" s="386"/>
      <c r="HJ415" s="375"/>
      <c r="HK415" s="375"/>
      <c r="HM415" s="385"/>
      <c r="HN415" s="386"/>
      <c r="HO415" s="375"/>
      <c r="HP415" s="375"/>
      <c r="HR415" s="385"/>
      <c r="HS415" s="386"/>
      <c r="HT415" s="375"/>
      <c r="HU415" s="375"/>
      <c r="HW415" s="385"/>
      <c r="HX415" s="386"/>
      <c r="HY415" s="375"/>
      <c r="HZ415" s="375"/>
      <c r="IB415" s="385"/>
      <c r="IC415" s="386"/>
      <c r="ID415" s="375"/>
      <c r="IE415" s="375"/>
      <c r="IG415" s="385"/>
      <c r="IH415" s="386"/>
      <c r="II415" s="375"/>
      <c r="IJ415" s="375"/>
      <c r="IL415" s="385"/>
      <c r="IM415" s="386"/>
      <c r="IN415" s="375"/>
      <c r="IO415" s="375"/>
      <c r="IQ415" s="385"/>
      <c r="IR415" s="386"/>
      <c r="IS415" s="375"/>
      <c r="IT415" s="375"/>
      <c r="IV415" s="385"/>
    </row>
    <row r="416" spans="1:256" s="387" customFormat="1" x14ac:dyDescent="0.2">
      <c r="A416" s="385"/>
      <c r="B416" s="386"/>
      <c r="C416" s="375"/>
      <c r="D416" s="375"/>
      <c r="F416" s="385"/>
      <c r="G416" s="386"/>
      <c r="H416" s="375"/>
      <c r="I416" s="375"/>
      <c r="K416" s="385"/>
      <c r="L416" s="386"/>
      <c r="M416" s="375"/>
      <c r="N416" s="375"/>
      <c r="P416" s="385"/>
      <c r="Q416" s="386"/>
      <c r="R416" s="375"/>
      <c r="S416" s="375"/>
      <c r="U416" s="385"/>
      <c r="V416" s="386"/>
      <c r="W416" s="375"/>
      <c r="X416" s="375"/>
      <c r="Z416" s="385"/>
      <c r="AA416" s="386"/>
      <c r="AB416" s="375"/>
      <c r="AC416" s="375"/>
      <c r="AE416" s="385"/>
      <c r="AF416" s="386"/>
      <c r="AG416" s="375"/>
      <c r="AH416" s="375"/>
      <c r="AJ416" s="385"/>
      <c r="AK416" s="386"/>
      <c r="AL416" s="375"/>
      <c r="AM416" s="375"/>
      <c r="AO416" s="385"/>
      <c r="AP416" s="386"/>
      <c r="AQ416" s="375"/>
      <c r="AR416" s="375"/>
      <c r="AT416" s="385"/>
      <c r="AU416" s="386"/>
      <c r="AV416" s="375"/>
      <c r="AW416" s="375"/>
      <c r="AY416" s="385"/>
      <c r="AZ416" s="386"/>
      <c r="BA416" s="375"/>
      <c r="BB416" s="375"/>
      <c r="BD416" s="385"/>
      <c r="BE416" s="386"/>
      <c r="BF416" s="375"/>
      <c r="BG416" s="375"/>
      <c r="BI416" s="385"/>
      <c r="BJ416" s="386"/>
      <c r="BK416" s="375"/>
      <c r="BL416" s="375"/>
      <c r="BN416" s="385"/>
      <c r="BO416" s="386"/>
      <c r="BP416" s="375"/>
      <c r="BQ416" s="375"/>
      <c r="BS416" s="385"/>
      <c r="BT416" s="386"/>
      <c r="BU416" s="375"/>
      <c r="BV416" s="375"/>
      <c r="BX416" s="385"/>
      <c r="BY416" s="386"/>
      <c r="BZ416" s="375"/>
      <c r="CA416" s="375"/>
      <c r="CC416" s="385"/>
      <c r="CD416" s="386"/>
      <c r="CE416" s="375"/>
      <c r="CF416" s="375"/>
      <c r="CH416" s="385"/>
      <c r="CI416" s="386"/>
      <c r="CJ416" s="375"/>
      <c r="CK416" s="375"/>
      <c r="CM416" s="385"/>
      <c r="CN416" s="386"/>
      <c r="CO416" s="375"/>
      <c r="CP416" s="375"/>
      <c r="CR416" s="385"/>
      <c r="CS416" s="386"/>
      <c r="CT416" s="375"/>
      <c r="CU416" s="375"/>
      <c r="CW416" s="385"/>
      <c r="CX416" s="386"/>
      <c r="CY416" s="375"/>
      <c r="CZ416" s="375"/>
      <c r="DB416" s="385"/>
      <c r="DC416" s="386"/>
      <c r="DD416" s="375"/>
      <c r="DE416" s="375"/>
      <c r="DG416" s="385"/>
      <c r="DH416" s="386"/>
      <c r="DI416" s="375"/>
      <c r="DJ416" s="375"/>
      <c r="DL416" s="385"/>
      <c r="DM416" s="386"/>
      <c r="DN416" s="375"/>
      <c r="DO416" s="375"/>
      <c r="DQ416" s="385"/>
      <c r="DR416" s="386"/>
      <c r="DS416" s="375"/>
      <c r="DT416" s="375"/>
      <c r="DV416" s="385"/>
      <c r="DW416" s="386"/>
      <c r="DX416" s="375"/>
      <c r="DY416" s="375"/>
      <c r="EA416" s="385"/>
      <c r="EB416" s="386"/>
      <c r="EC416" s="375"/>
      <c r="ED416" s="375"/>
      <c r="EF416" s="385"/>
      <c r="EG416" s="386"/>
      <c r="EH416" s="375"/>
      <c r="EI416" s="375"/>
      <c r="EK416" s="385"/>
      <c r="EL416" s="386"/>
      <c r="EM416" s="375"/>
      <c r="EN416" s="375"/>
      <c r="EP416" s="385"/>
      <c r="EQ416" s="386"/>
      <c r="ER416" s="375"/>
      <c r="ES416" s="375"/>
      <c r="EU416" s="385"/>
      <c r="EV416" s="386"/>
      <c r="EW416" s="375"/>
      <c r="EX416" s="375"/>
      <c r="EZ416" s="385"/>
      <c r="FA416" s="386"/>
      <c r="FB416" s="375"/>
      <c r="FC416" s="375"/>
      <c r="FE416" s="385"/>
      <c r="FF416" s="386"/>
      <c r="FG416" s="375"/>
      <c r="FH416" s="375"/>
      <c r="FJ416" s="385"/>
      <c r="FK416" s="386"/>
      <c r="FL416" s="375"/>
      <c r="FM416" s="375"/>
      <c r="FO416" s="385"/>
      <c r="FP416" s="386"/>
      <c r="FQ416" s="375"/>
      <c r="FR416" s="375"/>
      <c r="FT416" s="385"/>
      <c r="FU416" s="386"/>
      <c r="FV416" s="375"/>
      <c r="FW416" s="375"/>
      <c r="FY416" s="385"/>
      <c r="FZ416" s="386"/>
      <c r="GA416" s="375"/>
      <c r="GB416" s="375"/>
      <c r="GD416" s="385"/>
      <c r="GE416" s="386"/>
      <c r="GF416" s="375"/>
      <c r="GG416" s="375"/>
      <c r="GI416" s="385"/>
      <c r="GJ416" s="386"/>
      <c r="GK416" s="375"/>
      <c r="GL416" s="375"/>
      <c r="GN416" s="385"/>
      <c r="GO416" s="386"/>
      <c r="GP416" s="375"/>
      <c r="GQ416" s="375"/>
      <c r="GS416" s="385"/>
      <c r="GT416" s="386"/>
      <c r="GU416" s="375"/>
      <c r="GV416" s="375"/>
      <c r="GX416" s="385"/>
      <c r="GY416" s="386"/>
      <c r="GZ416" s="375"/>
      <c r="HA416" s="375"/>
      <c r="HC416" s="385"/>
      <c r="HD416" s="386"/>
      <c r="HE416" s="375"/>
      <c r="HF416" s="375"/>
      <c r="HH416" s="385"/>
      <c r="HI416" s="386"/>
      <c r="HJ416" s="375"/>
      <c r="HK416" s="375"/>
      <c r="HM416" s="385"/>
      <c r="HN416" s="386"/>
      <c r="HO416" s="375"/>
      <c r="HP416" s="375"/>
      <c r="HR416" s="385"/>
      <c r="HS416" s="386"/>
      <c r="HT416" s="375"/>
      <c r="HU416" s="375"/>
      <c r="HW416" s="385"/>
      <c r="HX416" s="386"/>
      <c r="HY416" s="375"/>
      <c r="HZ416" s="375"/>
      <c r="IB416" s="385"/>
      <c r="IC416" s="386"/>
      <c r="ID416" s="375"/>
      <c r="IE416" s="375"/>
      <c r="IG416" s="385"/>
      <c r="IH416" s="386"/>
      <c r="II416" s="375"/>
      <c r="IJ416" s="375"/>
      <c r="IL416" s="385"/>
      <c r="IM416" s="386"/>
      <c r="IN416" s="375"/>
      <c r="IO416" s="375"/>
      <c r="IQ416" s="385"/>
      <c r="IR416" s="386"/>
      <c r="IS416" s="375"/>
      <c r="IT416" s="375"/>
      <c r="IV416" s="385"/>
    </row>
    <row r="417" spans="1:256" s="387" customFormat="1" x14ac:dyDescent="0.2">
      <c r="A417" s="385"/>
      <c r="B417" s="386"/>
      <c r="C417" s="375"/>
      <c r="D417" s="375"/>
      <c r="F417" s="385"/>
      <c r="G417" s="386"/>
      <c r="H417" s="375"/>
      <c r="I417" s="375"/>
      <c r="K417" s="385"/>
      <c r="L417" s="386"/>
      <c r="M417" s="375"/>
      <c r="N417" s="375"/>
      <c r="P417" s="385"/>
      <c r="Q417" s="386"/>
      <c r="R417" s="375"/>
      <c r="S417" s="375"/>
      <c r="U417" s="385"/>
      <c r="V417" s="386"/>
      <c r="W417" s="375"/>
      <c r="X417" s="375"/>
      <c r="Z417" s="385"/>
      <c r="AA417" s="386"/>
      <c r="AB417" s="375"/>
      <c r="AC417" s="375"/>
      <c r="AE417" s="385"/>
      <c r="AF417" s="386"/>
      <c r="AG417" s="375"/>
      <c r="AH417" s="375"/>
      <c r="AJ417" s="385"/>
      <c r="AK417" s="386"/>
      <c r="AL417" s="375"/>
      <c r="AM417" s="375"/>
      <c r="AO417" s="385"/>
      <c r="AP417" s="386"/>
      <c r="AQ417" s="375"/>
      <c r="AR417" s="375"/>
      <c r="AT417" s="385"/>
      <c r="AU417" s="386"/>
      <c r="AV417" s="375"/>
      <c r="AW417" s="375"/>
      <c r="AY417" s="385"/>
      <c r="AZ417" s="386"/>
      <c r="BA417" s="375"/>
      <c r="BB417" s="375"/>
      <c r="BD417" s="385"/>
      <c r="BE417" s="386"/>
      <c r="BF417" s="375"/>
      <c r="BG417" s="375"/>
      <c r="BI417" s="385"/>
      <c r="BJ417" s="386"/>
      <c r="BK417" s="375"/>
      <c r="BL417" s="375"/>
      <c r="BN417" s="385"/>
      <c r="BO417" s="386"/>
      <c r="BP417" s="375"/>
      <c r="BQ417" s="375"/>
      <c r="BS417" s="385"/>
      <c r="BT417" s="386"/>
      <c r="BU417" s="375"/>
      <c r="BV417" s="375"/>
      <c r="BX417" s="385"/>
      <c r="BY417" s="386"/>
      <c r="BZ417" s="375"/>
      <c r="CA417" s="375"/>
      <c r="CC417" s="385"/>
      <c r="CD417" s="386"/>
      <c r="CE417" s="375"/>
      <c r="CF417" s="375"/>
      <c r="CH417" s="385"/>
      <c r="CI417" s="386"/>
      <c r="CJ417" s="375"/>
      <c r="CK417" s="375"/>
      <c r="CM417" s="385"/>
      <c r="CN417" s="386"/>
      <c r="CO417" s="375"/>
      <c r="CP417" s="375"/>
      <c r="CR417" s="385"/>
      <c r="CS417" s="386"/>
      <c r="CT417" s="375"/>
      <c r="CU417" s="375"/>
      <c r="CW417" s="385"/>
      <c r="CX417" s="386"/>
      <c r="CY417" s="375"/>
      <c r="CZ417" s="375"/>
      <c r="DB417" s="385"/>
      <c r="DC417" s="386"/>
      <c r="DD417" s="375"/>
      <c r="DE417" s="375"/>
      <c r="DG417" s="385"/>
      <c r="DH417" s="386"/>
      <c r="DI417" s="375"/>
      <c r="DJ417" s="375"/>
      <c r="DL417" s="385"/>
      <c r="DM417" s="386"/>
      <c r="DN417" s="375"/>
      <c r="DO417" s="375"/>
      <c r="DQ417" s="385"/>
      <c r="DR417" s="386"/>
      <c r="DS417" s="375"/>
      <c r="DT417" s="375"/>
      <c r="DV417" s="385"/>
      <c r="DW417" s="386"/>
      <c r="DX417" s="375"/>
      <c r="DY417" s="375"/>
      <c r="EA417" s="385"/>
      <c r="EB417" s="386"/>
      <c r="EC417" s="375"/>
      <c r="ED417" s="375"/>
      <c r="EF417" s="385"/>
      <c r="EG417" s="386"/>
      <c r="EH417" s="375"/>
      <c r="EI417" s="375"/>
      <c r="EK417" s="385"/>
      <c r="EL417" s="386"/>
      <c r="EM417" s="375"/>
      <c r="EN417" s="375"/>
      <c r="EP417" s="385"/>
      <c r="EQ417" s="386"/>
      <c r="ER417" s="375"/>
      <c r="ES417" s="375"/>
      <c r="EU417" s="385"/>
      <c r="EV417" s="386"/>
      <c r="EW417" s="375"/>
      <c r="EX417" s="375"/>
      <c r="EZ417" s="385"/>
      <c r="FA417" s="386"/>
      <c r="FB417" s="375"/>
      <c r="FC417" s="375"/>
      <c r="FE417" s="385"/>
      <c r="FF417" s="386"/>
      <c r="FG417" s="375"/>
      <c r="FH417" s="375"/>
      <c r="FJ417" s="385"/>
      <c r="FK417" s="386"/>
      <c r="FL417" s="375"/>
      <c r="FM417" s="375"/>
      <c r="FO417" s="385"/>
      <c r="FP417" s="386"/>
      <c r="FQ417" s="375"/>
      <c r="FR417" s="375"/>
      <c r="FT417" s="385"/>
      <c r="FU417" s="386"/>
      <c r="FV417" s="375"/>
      <c r="FW417" s="375"/>
      <c r="FY417" s="385"/>
      <c r="FZ417" s="386"/>
      <c r="GA417" s="375"/>
      <c r="GB417" s="375"/>
      <c r="GD417" s="385"/>
      <c r="GE417" s="386"/>
      <c r="GF417" s="375"/>
      <c r="GG417" s="375"/>
      <c r="GI417" s="385"/>
      <c r="GJ417" s="386"/>
      <c r="GK417" s="375"/>
      <c r="GL417" s="375"/>
      <c r="GN417" s="385"/>
      <c r="GO417" s="386"/>
      <c r="GP417" s="375"/>
      <c r="GQ417" s="375"/>
      <c r="GS417" s="385"/>
      <c r="GT417" s="386"/>
      <c r="GU417" s="375"/>
      <c r="GV417" s="375"/>
      <c r="GX417" s="385"/>
      <c r="GY417" s="386"/>
      <c r="GZ417" s="375"/>
      <c r="HA417" s="375"/>
      <c r="HC417" s="385"/>
      <c r="HD417" s="386"/>
      <c r="HE417" s="375"/>
      <c r="HF417" s="375"/>
      <c r="HH417" s="385"/>
      <c r="HI417" s="386"/>
      <c r="HJ417" s="375"/>
      <c r="HK417" s="375"/>
      <c r="HM417" s="385"/>
      <c r="HN417" s="386"/>
      <c r="HO417" s="375"/>
      <c r="HP417" s="375"/>
      <c r="HR417" s="385"/>
      <c r="HS417" s="386"/>
      <c r="HT417" s="375"/>
      <c r="HU417" s="375"/>
      <c r="HW417" s="385"/>
      <c r="HX417" s="386"/>
      <c r="HY417" s="375"/>
      <c r="HZ417" s="375"/>
      <c r="IB417" s="385"/>
      <c r="IC417" s="386"/>
      <c r="ID417" s="375"/>
      <c r="IE417" s="375"/>
      <c r="IG417" s="385"/>
      <c r="IH417" s="386"/>
      <c r="II417" s="375"/>
      <c r="IJ417" s="375"/>
      <c r="IL417" s="385"/>
      <c r="IM417" s="386"/>
      <c r="IN417" s="375"/>
      <c r="IO417" s="375"/>
      <c r="IQ417" s="385"/>
      <c r="IR417" s="386"/>
      <c r="IS417" s="375"/>
      <c r="IT417" s="375"/>
      <c r="IV417" s="385"/>
    </row>
    <row r="418" spans="1:256" s="387" customFormat="1" x14ac:dyDescent="0.2">
      <c r="A418" s="385"/>
      <c r="B418" s="386"/>
      <c r="C418" s="375"/>
      <c r="D418" s="375"/>
      <c r="F418" s="385"/>
      <c r="G418" s="386"/>
      <c r="H418" s="375"/>
      <c r="I418" s="375"/>
      <c r="K418" s="385"/>
      <c r="L418" s="386"/>
      <c r="M418" s="375"/>
      <c r="N418" s="375"/>
      <c r="P418" s="385"/>
      <c r="Q418" s="386"/>
      <c r="R418" s="375"/>
      <c r="S418" s="375"/>
      <c r="U418" s="385"/>
      <c r="V418" s="386"/>
      <c r="W418" s="375"/>
      <c r="X418" s="375"/>
      <c r="Z418" s="385"/>
      <c r="AA418" s="386"/>
      <c r="AB418" s="375"/>
      <c r="AC418" s="375"/>
      <c r="AE418" s="385"/>
      <c r="AF418" s="386"/>
      <c r="AG418" s="375"/>
      <c r="AH418" s="375"/>
      <c r="AJ418" s="385"/>
      <c r="AK418" s="386"/>
      <c r="AL418" s="375"/>
      <c r="AM418" s="375"/>
      <c r="AO418" s="385"/>
      <c r="AP418" s="386"/>
      <c r="AQ418" s="375"/>
      <c r="AR418" s="375"/>
      <c r="AT418" s="385"/>
      <c r="AU418" s="386"/>
      <c r="AV418" s="375"/>
      <c r="AW418" s="375"/>
      <c r="AY418" s="385"/>
      <c r="AZ418" s="386"/>
      <c r="BA418" s="375"/>
      <c r="BB418" s="375"/>
      <c r="BD418" s="385"/>
      <c r="BE418" s="386"/>
      <c r="BF418" s="375"/>
      <c r="BG418" s="375"/>
      <c r="BI418" s="385"/>
      <c r="BJ418" s="386"/>
      <c r="BK418" s="375"/>
      <c r="BL418" s="375"/>
      <c r="BN418" s="385"/>
      <c r="BO418" s="386"/>
      <c r="BP418" s="375"/>
      <c r="BQ418" s="375"/>
      <c r="BS418" s="385"/>
      <c r="BT418" s="386"/>
      <c r="BU418" s="375"/>
      <c r="BV418" s="375"/>
      <c r="BX418" s="385"/>
      <c r="BY418" s="386"/>
      <c r="BZ418" s="375"/>
      <c r="CA418" s="375"/>
      <c r="CC418" s="385"/>
      <c r="CD418" s="386"/>
      <c r="CE418" s="375"/>
      <c r="CF418" s="375"/>
      <c r="CH418" s="385"/>
      <c r="CI418" s="386"/>
      <c r="CJ418" s="375"/>
      <c r="CK418" s="375"/>
      <c r="CM418" s="385"/>
      <c r="CN418" s="386"/>
      <c r="CO418" s="375"/>
      <c r="CP418" s="375"/>
      <c r="CR418" s="385"/>
      <c r="CS418" s="386"/>
      <c r="CT418" s="375"/>
      <c r="CU418" s="375"/>
      <c r="CW418" s="385"/>
      <c r="CX418" s="386"/>
      <c r="CY418" s="375"/>
      <c r="CZ418" s="375"/>
      <c r="DB418" s="385"/>
      <c r="DC418" s="386"/>
      <c r="DD418" s="375"/>
      <c r="DE418" s="375"/>
      <c r="DG418" s="385"/>
      <c r="DH418" s="386"/>
      <c r="DI418" s="375"/>
      <c r="DJ418" s="375"/>
      <c r="DL418" s="385"/>
      <c r="DM418" s="386"/>
      <c r="DN418" s="375"/>
      <c r="DO418" s="375"/>
      <c r="DQ418" s="385"/>
      <c r="DR418" s="386"/>
      <c r="DS418" s="375"/>
      <c r="DT418" s="375"/>
      <c r="DV418" s="385"/>
      <c r="DW418" s="386"/>
      <c r="DX418" s="375"/>
      <c r="DY418" s="375"/>
      <c r="EA418" s="385"/>
      <c r="EB418" s="386"/>
      <c r="EC418" s="375"/>
      <c r="ED418" s="375"/>
      <c r="EF418" s="385"/>
      <c r="EG418" s="386"/>
      <c r="EH418" s="375"/>
      <c r="EI418" s="375"/>
      <c r="EK418" s="385"/>
      <c r="EL418" s="386"/>
      <c r="EM418" s="375"/>
      <c r="EN418" s="375"/>
      <c r="EP418" s="385"/>
      <c r="EQ418" s="386"/>
      <c r="ER418" s="375"/>
      <c r="ES418" s="375"/>
      <c r="EU418" s="385"/>
      <c r="EV418" s="386"/>
      <c r="EW418" s="375"/>
      <c r="EX418" s="375"/>
      <c r="EZ418" s="385"/>
      <c r="FA418" s="386"/>
      <c r="FB418" s="375"/>
      <c r="FC418" s="375"/>
      <c r="FE418" s="385"/>
      <c r="FF418" s="386"/>
      <c r="FG418" s="375"/>
      <c r="FH418" s="375"/>
      <c r="FJ418" s="385"/>
      <c r="FK418" s="386"/>
      <c r="FL418" s="375"/>
      <c r="FM418" s="375"/>
      <c r="FO418" s="385"/>
      <c r="FP418" s="386"/>
      <c r="FQ418" s="375"/>
      <c r="FR418" s="375"/>
      <c r="FT418" s="385"/>
      <c r="FU418" s="386"/>
      <c r="FV418" s="375"/>
      <c r="FW418" s="375"/>
      <c r="FY418" s="385"/>
      <c r="FZ418" s="386"/>
      <c r="GA418" s="375"/>
      <c r="GB418" s="375"/>
      <c r="GD418" s="385"/>
      <c r="GE418" s="386"/>
      <c r="GF418" s="375"/>
      <c r="GG418" s="375"/>
      <c r="GI418" s="385"/>
      <c r="GJ418" s="386"/>
      <c r="GK418" s="375"/>
      <c r="GL418" s="375"/>
      <c r="GN418" s="385"/>
      <c r="GO418" s="386"/>
      <c r="GP418" s="375"/>
      <c r="GQ418" s="375"/>
      <c r="GS418" s="385"/>
      <c r="GT418" s="386"/>
      <c r="GU418" s="375"/>
      <c r="GV418" s="375"/>
      <c r="GX418" s="385"/>
      <c r="GY418" s="386"/>
      <c r="GZ418" s="375"/>
      <c r="HA418" s="375"/>
      <c r="HC418" s="385"/>
      <c r="HD418" s="386"/>
      <c r="HE418" s="375"/>
      <c r="HF418" s="375"/>
      <c r="HH418" s="385"/>
      <c r="HI418" s="386"/>
      <c r="HJ418" s="375"/>
      <c r="HK418" s="375"/>
      <c r="HM418" s="385"/>
      <c r="HN418" s="386"/>
      <c r="HO418" s="375"/>
      <c r="HP418" s="375"/>
      <c r="HR418" s="385"/>
      <c r="HS418" s="386"/>
      <c r="HT418" s="375"/>
      <c r="HU418" s="375"/>
      <c r="HW418" s="385"/>
      <c r="HX418" s="386"/>
      <c r="HY418" s="375"/>
      <c r="HZ418" s="375"/>
      <c r="IB418" s="385"/>
      <c r="IC418" s="386"/>
      <c r="ID418" s="375"/>
      <c r="IE418" s="375"/>
      <c r="IG418" s="385"/>
      <c r="IH418" s="386"/>
      <c r="II418" s="375"/>
      <c r="IJ418" s="375"/>
      <c r="IL418" s="385"/>
      <c r="IM418" s="386"/>
      <c r="IN418" s="375"/>
      <c r="IO418" s="375"/>
      <c r="IQ418" s="385"/>
      <c r="IR418" s="386"/>
      <c r="IS418" s="375"/>
      <c r="IT418" s="375"/>
      <c r="IV418" s="385"/>
    </row>
    <row r="419" spans="1:256" s="387" customFormat="1" x14ac:dyDescent="0.2">
      <c r="A419" s="385"/>
      <c r="B419" s="386"/>
      <c r="C419" s="375"/>
      <c r="D419" s="375"/>
      <c r="F419" s="385"/>
      <c r="G419" s="386"/>
      <c r="H419" s="375"/>
      <c r="I419" s="375"/>
      <c r="K419" s="385"/>
      <c r="L419" s="386"/>
      <c r="M419" s="375"/>
      <c r="N419" s="375"/>
      <c r="P419" s="385"/>
      <c r="Q419" s="386"/>
      <c r="R419" s="375"/>
      <c r="S419" s="375"/>
      <c r="U419" s="385"/>
      <c r="V419" s="386"/>
      <c r="W419" s="375"/>
      <c r="X419" s="375"/>
      <c r="Z419" s="385"/>
      <c r="AA419" s="386"/>
      <c r="AB419" s="375"/>
      <c r="AC419" s="375"/>
      <c r="AE419" s="385"/>
      <c r="AF419" s="386"/>
      <c r="AG419" s="375"/>
      <c r="AH419" s="375"/>
      <c r="AJ419" s="385"/>
      <c r="AK419" s="386"/>
      <c r="AL419" s="375"/>
      <c r="AM419" s="375"/>
      <c r="AO419" s="385"/>
      <c r="AP419" s="386"/>
      <c r="AQ419" s="375"/>
      <c r="AR419" s="375"/>
      <c r="AT419" s="385"/>
      <c r="AU419" s="386"/>
      <c r="AV419" s="375"/>
      <c r="AW419" s="375"/>
      <c r="AY419" s="385"/>
      <c r="AZ419" s="386"/>
      <c r="BA419" s="375"/>
      <c r="BB419" s="375"/>
      <c r="BD419" s="385"/>
      <c r="BE419" s="386"/>
      <c r="BF419" s="375"/>
      <c r="BG419" s="375"/>
      <c r="BI419" s="385"/>
      <c r="BJ419" s="386"/>
      <c r="BK419" s="375"/>
      <c r="BL419" s="375"/>
      <c r="BN419" s="385"/>
      <c r="BO419" s="386"/>
      <c r="BP419" s="375"/>
      <c r="BQ419" s="375"/>
      <c r="BS419" s="385"/>
      <c r="BT419" s="386"/>
      <c r="BU419" s="375"/>
      <c r="BV419" s="375"/>
      <c r="BX419" s="385"/>
      <c r="BY419" s="386"/>
      <c r="BZ419" s="375"/>
      <c r="CA419" s="375"/>
      <c r="CC419" s="385"/>
      <c r="CD419" s="386"/>
      <c r="CE419" s="375"/>
      <c r="CF419" s="375"/>
      <c r="CH419" s="385"/>
      <c r="CI419" s="386"/>
      <c r="CJ419" s="375"/>
      <c r="CK419" s="375"/>
      <c r="CM419" s="385"/>
      <c r="CN419" s="386"/>
      <c r="CO419" s="375"/>
      <c r="CP419" s="375"/>
      <c r="CR419" s="385"/>
      <c r="CS419" s="386"/>
      <c r="CT419" s="375"/>
      <c r="CU419" s="375"/>
      <c r="CW419" s="385"/>
      <c r="CX419" s="386"/>
      <c r="CY419" s="375"/>
      <c r="CZ419" s="375"/>
      <c r="DB419" s="385"/>
      <c r="DC419" s="386"/>
      <c r="DD419" s="375"/>
      <c r="DE419" s="375"/>
      <c r="DG419" s="385"/>
      <c r="DH419" s="386"/>
      <c r="DI419" s="375"/>
      <c r="DJ419" s="375"/>
      <c r="DL419" s="385"/>
      <c r="DM419" s="386"/>
      <c r="DN419" s="375"/>
      <c r="DO419" s="375"/>
      <c r="DQ419" s="385"/>
      <c r="DR419" s="386"/>
      <c r="DS419" s="375"/>
      <c r="DT419" s="375"/>
      <c r="DV419" s="385"/>
      <c r="DW419" s="386"/>
      <c r="DX419" s="375"/>
      <c r="DY419" s="375"/>
      <c r="EA419" s="385"/>
      <c r="EB419" s="386"/>
      <c r="EC419" s="375"/>
      <c r="ED419" s="375"/>
      <c r="EF419" s="385"/>
      <c r="EG419" s="386"/>
      <c r="EH419" s="375"/>
      <c r="EI419" s="375"/>
      <c r="EK419" s="385"/>
      <c r="EL419" s="386"/>
      <c r="EM419" s="375"/>
      <c r="EN419" s="375"/>
      <c r="EP419" s="385"/>
      <c r="EQ419" s="386"/>
      <c r="ER419" s="375"/>
      <c r="ES419" s="375"/>
      <c r="EU419" s="385"/>
      <c r="EV419" s="386"/>
      <c r="EW419" s="375"/>
      <c r="EX419" s="375"/>
      <c r="EZ419" s="385"/>
      <c r="FA419" s="386"/>
      <c r="FB419" s="375"/>
      <c r="FC419" s="375"/>
      <c r="FE419" s="385"/>
      <c r="FF419" s="386"/>
      <c r="FG419" s="375"/>
      <c r="FH419" s="375"/>
      <c r="FJ419" s="385"/>
      <c r="FK419" s="386"/>
      <c r="FL419" s="375"/>
      <c r="FM419" s="375"/>
      <c r="FO419" s="385"/>
      <c r="FP419" s="386"/>
      <c r="FQ419" s="375"/>
      <c r="FR419" s="375"/>
      <c r="FT419" s="385"/>
      <c r="FU419" s="386"/>
      <c r="FV419" s="375"/>
      <c r="FW419" s="375"/>
      <c r="FY419" s="385"/>
      <c r="FZ419" s="386"/>
      <c r="GA419" s="375"/>
      <c r="GB419" s="375"/>
      <c r="GD419" s="385"/>
      <c r="GE419" s="386"/>
      <c r="GF419" s="375"/>
      <c r="GG419" s="375"/>
      <c r="GI419" s="385"/>
      <c r="GJ419" s="386"/>
      <c r="GK419" s="375"/>
      <c r="GL419" s="375"/>
      <c r="GN419" s="385"/>
      <c r="GO419" s="386"/>
      <c r="GP419" s="375"/>
      <c r="GQ419" s="375"/>
      <c r="GS419" s="385"/>
      <c r="GT419" s="386"/>
      <c r="GU419" s="375"/>
      <c r="GV419" s="375"/>
      <c r="GX419" s="385"/>
      <c r="GY419" s="386"/>
      <c r="GZ419" s="375"/>
      <c r="HA419" s="375"/>
      <c r="HC419" s="385"/>
      <c r="HD419" s="386"/>
      <c r="HE419" s="375"/>
      <c r="HF419" s="375"/>
      <c r="HH419" s="385"/>
      <c r="HI419" s="386"/>
      <c r="HJ419" s="375"/>
      <c r="HK419" s="375"/>
      <c r="HM419" s="385"/>
      <c r="HN419" s="386"/>
      <c r="HO419" s="375"/>
      <c r="HP419" s="375"/>
      <c r="HR419" s="385"/>
      <c r="HS419" s="386"/>
      <c r="HT419" s="375"/>
      <c r="HU419" s="375"/>
      <c r="HW419" s="385"/>
      <c r="HX419" s="386"/>
      <c r="HY419" s="375"/>
      <c r="HZ419" s="375"/>
      <c r="IB419" s="385"/>
      <c r="IC419" s="386"/>
      <c r="ID419" s="375"/>
      <c r="IE419" s="375"/>
      <c r="IG419" s="385"/>
      <c r="IH419" s="386"/>
      <c r="II419" s="375"/>
      <c r="IJ419" s="375"/>
      <c r="IL419" s="385"/>
      <c r="IM419" s="386"/>
      <c r="IN419" s="375"/>
      <c r="IO419" s="375"/>
      <c r="IQ419" s="385"/>
      <c r="IR419" s="386"/>
      <c r="IS419" s="375"/>
      <c r="IT419" s="375"/>
      <c r="IV419" s="385"/>
    </row>
    <row r="420" spans="1:256" s="387" customFormat="1" x14ac:dyDescent="0.2">
      <c r="A420" s="385"/>
      <c r="B420" s="386"/>
      <c r="C420" s="375"/>
      <c r="D420" s="375"/>
      <c r="F420" s="385"/>
      <c r="G420" s="386"/>
      <c r="H420" s="375"/>
      <c r="I420" s="375"/>
      <c r="K420" s="385"/>
      <c r="L420" s="386"/>
      <c r="M420" s="375"/>
      <c r="N420" s="375"/>
      <c r="P420" s="385"/>
      <c r="Q420" s="386"/>
      <c r="R420" s="375"/>
      <c r="S420" s="375"/>
      <c r="U420" s="385"/>
      <c r="V420" s="386"/>
      <c r="W420" s="375"/>
      <c r="X420" s="375"/>
      <c r="Z420" s="385"/>
      <c r="AA420" s="386"/>
      <c r="AB420" s="375"/>
      <c r="AC420" s="375"/>
      <c r="AE420" s="385"/>
      <c r="AF420" s="386"/>
      <c r="AG420" s="375"/>
      <c r="AH420" s="375"/>
      <c r="AJ420" s="385"/>
      <c r="AK420" s="386"/>
      <c r="AL420" s="375"/>
      <c r="AM420" s="375"/>
      <c r="AO420" s="385"/>
      <c r="AP420" s="386"/>
      <c r="AQ420" s="375"/>
      <c r="AR420" s="375"/>
      <c r="AT420" s="385"/>
      <c r="AU420" s="386"/>
      <c r="AV420" s="375"/>
      <c r="AW420" s="375"/>
      <c r="AY420" s="385"/>
      <c r="AZ420" s="386"/>
      <c r="BA420" s="375"/>
      <c r="BB420" s="375"/>
      <c r="BD420" s="385"/>
      <c r="BE420" s="386"/>
      <c r="BF420" s="375"/>
      <c r="BG420" s="375"/>
      <c r="BI420" s="385"/>
      <c r="BJ420" s="386"/>
      <c r="BK420" s="375"/>
      <c r="BL420" s="375"/>
      <c r="BN420" s="385"/>
      <c r="BO420" s="386"/>
      <c r="BP420" s="375"/>
      <c r="BQ420" s="375"/>
      <c r="BS420" s="385"/>
      <c r="BT420" s="386"/>
      <c r="BU420" s="375"/>
      <c r="BV420" s="375"/>
      <c r="BX420" s="385"/>
      <c r="BY420" s="386"/>
      <c r="BZ420" s="375"/>
      <c r="CA420" s="375"/>
      <c r="CC420" s="385"/>
      <c r="CD420" s="386"/>
      <c r="CE420" s="375"/>
      <c r="CF420" s="375"/>
      <c r="CH420" s="385"/>
      <c r="CI420" s="386"/>
      <c r="CJ420" s="375"/>
      <c r="CK420" s="375"/>
      <c r="CM420" s="385"/>
      <c r="CN420" s="386"/>
      <c r="CO420" s="375"/>
      <c r="CP420" s="375"/>
      <c r="CR420" s="385"/>
      <c r="CS420" s="386"/>
      <c r="CT420" s="375"/>
      <c r="CU420" s="375"/>
      <c r="CW420" s="385"/>
      <c r="CX420" s="386"/>
      <c r="CY420" s="375"/>
      <c r="CZ420" s="375"/>
      <c r="DB420" s="385"/>
      <c r="DC420" s="386"/>
      <c r="DD420" s="375"/>
      <c r="DE420" s="375"/>
      <c r="DG420" s="385"/>
      <c r="DH420" s="386"/>
      <c r="DI420" s="375"/>
      <c r="DJ420" s="375"/>
      <c r="DL420" s="385"/>
      <c r="DM420" s="386"/>
      <c r="DN420" s="375"/>
      <c r="DO420" s="375"/>
      <c r="DQ420" s="385"/>
      <c r="DR420" s="386"/>
      <c r="DS420" s="375"/>
      <c r="DT420" s="375"/>
      <c r="DV420" s="385"/>
      <c r="DW420" s="386"/>
      <c r="DX420" s="375"/>
      <c r="DY420" s="375"/>
      <c r="EA420" s="385"/>
      <c r="EB420" s="386"/>
      <c r="EC420" s="375"/>
      <c r="ED420" s="375"/>
      <c r="EF420" s="385"/>
      <c r="EG420" s="386"/>
      <c r="EH420" s="375"/>
      <c r="EI420" s="375"/>
      <c r="EK420" s="385"/>
      <c r="EL420" s="386"/>
      <c r="EM420" s="375"/>
      <c r="EN420" s="375"/>
      <c r="EP420" s="385"/>
      <c r="EQ420" s="386"/>
      <c r="ER420" s="375"/>
      <c r="ES420" s="375"/>
      <c r="EU420" s="385"/>
      <c r="EV420" s="386"/>
      <c r="EW420" s="375"/>
      <c r="EX420" s="375"/>
      <c r="EZ420" s="385"/>
      <c r="FA420" s="386"/>
      <c r="FB420" s="375"/>
      <c r="FC420" s="375"/>
      <c r="FE420" s="385"/>
      <c r="FF420" s="386"/>
      <c r="FG420" s="375"/>
      <c r="FH420" s="375"/>
      <c r="FJ420" s="385"/>
      <c r="FK420" s="386"/>
      <c r="FL420" s="375"/>
      <c r="FM420" s="375"/>
      <c r="FO420" s="385"/>
      <c r="FP420" s="386"/>
      <c r="FQ420" s="375"/>
      <c r="FR420" s="375"/>
      <c r="FT420" s="385"/>
      <c r="FU420" s="386"/>
      <c r="FV420" s="375"/>
      <c r="FW420" s="375"/>
      <c r="FY420" s="385"/>
      <c r="FZ420" s="386"/>
      <c r="GA420" s="375"/>
      <c r="GB420" s="375"/>
      <c r="GD420" s="385"/>
      <c r="GE420" s="386"/>
      <c r="GF420" s="375"/>
      <c r="GG420" s="375"/>
      <c r="GI420" s="385"/>
      <c r="GJ420" s="386"/>
      <c r="GK420" s="375"/>
      <c r="GL420" s="375"/>
      <c r="GN420" s="385"/>
      <c r="GO420" s="386"/>
      <c r="GP420" s="375"/>
      <c r="GQ420" s="375"/>
      <c r="GS420" s="385"/>
      <c r="GT420" s="386"/>
      <c r="GU420" s="375"/>
      <c r="GV420" s="375"/>
      <c r="GX420" s="385"/>
      <c r="GY420" s="386"/>
      <c r="GZ420" s="375"/>
      <c r="HA420" s="375"/>
      <c r="HC420" s="385"/>
      <c r="HD420" s="386"/>
      <c r="HE420" s="375"/>
      <c r="HF420" s="375"/>
      <c r="HH420" s="385"/>
      <c r="HI420" s="386"/>
      <c r="HJ420" s="375"/>
      <c r="HK420" s="375"/>
      <c r="HM420" s="385"/>
      <c r="HN420" s="386"/>
      <c r="HO420" s="375"/>
      <c r="HP420" s="375"/>
      <c r="HR420" s="385"/>
      <c r="HS420" s="386"/>
      <c r="HT420" s="375"/>
      <c r="HU420" s="375"/>
      <c r="HW420" s="385"/>
      <c r="HX420" s="386"/>
      <c r="HY420" s="375"/>
      <c r="HZ420" s="375"/>
      <c r="IB420" s="385"/>
      <c r="IC420" s="386"/>
      <c r="ID420" s="375"/>
      <c r="IE420" s="375"/>
      <c r="IG420" s="385"/>
      <c r="IH420" s="386"/>
      <c r="II420" s="375"/>
      <c r="IJ420" s="375"/>
      <c r="IL420" s="385"/>
      <c r="IM420" s="386"/>
      <c r="IN420" s="375"/>
      <c r="IO420" s="375"/>
      <c r="IQ420" s="385"/>
      <c r="IR420" s="386"/>
      <c r="IS420" s="375"/>
      <c r="IT420" s="375"/>
      <c r="IV420" s="385"/>
    </row>
    <row r="421" spans="1:256" s="387" customFormat="1" x14ac:dyDescent="0.2">
      <c r="A421" s="385"/>
      <c r="B421" s="386"/>
      <c r="C421" s="375"/>
      <c r="D421" s="375"/>
      <c r="F421" s="385"/>
      <c r="G421" s="386"/>
      <c r="H421" s="375"/>
      <c r="I421" s="375"/>
      <c r="K421" s="385"/>
      <c r="L421" s="386"/>
      <c r="M421" s="375"/>
      <c r="N421" s="375"/>
      <c r="P421" s="385"/>
      <c r="Q421" s="386"/>
      <c r="R421" s="375"/>
      <c r="S421" s="375"/>
      <c r="U421" s="385"/>
      <c r="V421" s="386"/>
      <c r="W421" s="375"/>
      <c r="X421" s="375"/>
      <c r="Z421" s="385"/>
      <c r="AA421" s="386"/>
      <c r="AB421" s="375"/>
      <c r="AC421" s="375"/>
      <c r="AE421" s="385"/>
      <c r="AF421" s="386"/>
      <c r="AG421" s="375"/>
      <c r="AH421" s="375"/>
      <c r="AJ421" s="385"/>
      <c r="AK421" s="386"/>
      <c r="AL421" s="375"/>
      <c r="AM421" s="375"/>
      <c r="AO421" s="385"/>
      <c r="AP421" s="386"/>
      <c r="AQ421" s="375"/>
      <c r="AR421" s="375"/>
      <c r="AT421" s="385"/>
      <c r="AU421" s="386"/>
      <c r="AV421" s="375"/>
      <c r="AW421" s="375"/>
      <c r="AY421" s="385"/>
      <c r="AZ421" s="386"/>
      <c r="BA421" s="375"/>
      <c r="BB421" s="375"/>
      <c r="BD421" s="385"/>
      <c r="BE421" s="386"/>
      <c r="BF421" s="375"/>
      <c r="BG421" s="375"/>
      <c r="BI421" s="385"/>
      <c r="BJ421" s="386"/>
      <c r="BK421" s="375"/>
      <c r="BL421" s="375"/>
      <c r="BN421" s="385"/>
      <c r="BO421" s="386"/>
      <c r="BP421" s="375"/>
      <c r="BQ421" s="375"/>
      <c r="BS421" s="385"/>
      <c r="BT421" s="386"/>
      <c r="BU421" s="375"/>
      <c r="BV421" s="375"/>
      <c r="BX421" s="385"/>
      <c r="BY421" s="386"/>
      <c r="BZ421" s="375"/>
      <c r="CA421" s="375"/>
      <c r="CC421" s="385"/>
      <c r="CD421" s="386"/>
      <c r="CE421" s="375"/>
      <c r="CF421" s="375"/>
      <c r="CH421" s="385"/>
      <c r="CI421" s="386"/>
      <c r="CJ421" s="375"/>
      <c r="CK421" s="375"/>
      <c r="CM421" s="385"/>
      <c r="CN421" s="386"/>
      <c r="CO421" s="375"/>
      <c r="CP421" s="375"/>
      <c r="CR421" s="385"/>
      <c r="CS421" s="386"/>
      <c r="CT421" s="375"/>
      <c r="CU421" s="375"/>
      <c r="CW421" s="385"/>
      <c r="CX421" s="386"/>
      <c r="CY421" s="375"/>
      <c r="CZ421" s="375"/>
      <c r="DB421" s="385"/>
      <c r="DC421" s="386"/>
      <c r="DD421" s="375"/>
      <c r="DE421" s="375"/>
      <c r="DG421" s="385"/>
      <c r="DH421" s="386"/>
      <c r="DI421" s="375"/>
      <c r="DJ421" s="375"/>
      <c r="DL421" s="385"/>
      <c r="DM421" s="386"/>
      <c r="DN421" s="375"/>
      <c r="DO421" s="375"/>
      <c r="DQ421" s="385"/>
      <c r="DR421" s="386"/>
      <c r="DS421" s="375"/>
      <c r="DT421" s="375"/>
      <c r="DV421" s="385"/>
      <c r="DW421" s="386"/>
      <c r="DX421" s="375"/>
      <c r="DY421" s="375"/>
      <c r="EA421" s="385"/>
      <c r="EB421" s="386"/>
      <c r="EC421" s="375"/>
      <c r="ED421" s="375"/>
      <c r="EF421" s="385"/>
      <c r="EG421" s="386"/>
      <c r="EH421" s="375"/>
      <c r="EI421" s="375"/>
      <c r="EK421" s="385"/>
      <c r="EL421" s="386"/>
      <c r="EM421" s="375"/>
      <c r="EN421" s="375"/>
      <c r="EP421" s="385"/>
      <c r="EQ421" s="386"/>
      <c r="ER421" s="375"/>
      <c r="ES421" s="375"/>
      <c r="EU421" s="385"/>
      <c r="EV421" s="386"/>
      <c r="EW421" s="375"/>
      <c r="EX421" s="375"/>
      <c r="EZ421" s="385"/>
      <c r="FA421" s="386"/>
      <c r="FB421" s="375"/>
      <c r="FC421" s="375"/>
      <c r="FE421" s="385"/>
      <c r="FF421" s="386"/>
      <c r="FG421" s="375"/>
      <c r="FH421" s="375"/>
      <c r="FJ421" s="385"/>
      <c r="FK421" s="386"/>
      <c r="FL421" s="375"/>
      <c r="FM421" s="375"/>
      <c r="FO421" s="385"/>
      <c r="FP421" s="386"/>
      <c r="FQ421" s="375"/>
      <c r="FR421" s="375"/>
      <c r="FT421" s="385"/>
      <c r="FU421" s="386"/>
      <c r="FV421" s="375"/>
      <c r="FW421" s="375"/>
      <c r="FY421" s="385"/>
      <c r="FZ421" s="386"/>
      <c r="GA421" s="375"/>
      <c r="GB421" s="375"/>
      <c r="GD421" s="385"/>
      <c r="GE421" s="386"/>
      <c r="GF421" s="375"/>
      <c r="GG421" s="375"/>
      <c r="GI421" s="385"/>
      <c r="GJ421" s="386"/>
      <c r="GK421" s="375"/>
      <c r="GL421" s="375"/>
      <c r="GN421" s="385"/>
      <c r="GO421" s="386"/>
      <c r="GP421" s="375"/>
      <c r="GQ421" s="375"/>
      <c r="GS421" s="385"/>
      <c r="GT421" s="386"/>
      <c r="GU421" s="375"/>
      <c r="GV421" s="375"/>
      <c r="GX421" s="385"/>
      <c r="GY421" s="386"/>
      <c r="GZ421" s="375"/>
      <c r="HA421" s="375"/>
      <c r="HC421" s="385"/>
      <c r="HD421" s="386"/>
      <c r="HE421" s="375"/>
      <c r="HF421" s="375"/>
      <c r="HH421" s="385"/>
      <c r="HI421" s="386"/>
      <c r="HJ421" s="375"/>
      <c r="HK421" s="375"/>
      <c r="HM421" s="385"/>
      <c r="HN421" s="386"/>
      <c r="HO421" s="375"/>
      <c r="HP421" s="375"/>
      <c r="HR421" s="385"/>
      <c r="HS421" s="386"/>
      <c r="HT421" s="375"/>
      <c r="HU421" s="375"/>
      <c r="HW421" s="385"/>
      <c r="HX421" s="386"/>
      <c r="HY421" s="375"/>
      <c r="HZ421" s="375"/>
      <c r="IB421" s="385"/>
      <c r="IC421" s="386"/>
      <c r="ID421" s="375"/>
      <c r="IE421" s="375"/>
      <c r="IG421" s="385"/>
      <c r="IH421" s="386"/>
      <c r="II421" s="375"/>
      <c r="IJ421" s="375"/>
      <c r="IL421" s="385"/>
      <c r="IM421" s="386"/>
      <c r="IN421" s="375"/>
      <c r="IO421" s="375"/>
      <c r="IQ421" s="385"/>
      <c r="IR421" s="386"/>
      <c r="IS421" s="375"/>
      <c r="IT421" s="375"/>
      <c r="IV421" s="385"/>
    </row>
    <row r="422" spans="1:256" s="387" customFormat="1" x14ac:dyDescent="0.2">
      <c r="A422" s="385"/>
      <c r="B422" s="386"/>
      <c r="C422" s="375"/>
      <c r="D422" s="375"/>
      <c r="F422" s="385"/>
      <c r="G422" s="386"/>
      <c r="H422" s="375"/>
      <c r="I422" s="375"/>
      <c r="K422" s="385"/>
      <c r="L422" s="386"/>
      <c r="M422" s="375"/>
      <c r="N422" s="375"/>
      <c r="P422" s="385"/>
      <c r="Q422" s="386"/>
      <c r="R422" s="375"/>
      <c r="S422" s="375"/>
      <c r="U422" s="385"/>
      <c r="V422" s="386"/>
      <c r="W422" s="375"/>
      <c r="X422" s="375"/>
      <c r="Z422" s="385"/>
      <c r="AA422" s="386"/>
      <c r="AB422" s="375"/>
      <c r="AC422" s="375"/>
      <c r="AE422" s="385"/>
      <c r="AF422" s="386"/>
      <c r="AG422" s="375"/>
      <c r="AH422" s="375"/>
      <c r="AJ422" s="385"/>
      <c r="AK422" s="386"/>
      <c r="AL422" s="375"/>
      <c r="AM422" s="375"/>
      <c r="AO422" s="385"/>
      <c r="AP422" s="386"/>
      <c r="AQ422" s="375"/>
      <c r="AR422" s="375"/>
      <c r="AT422" s="385"/>
      <c r="AU422" s="386"/>
      <c r="AV422" s="375"/>
      <c r="AW422" s="375"/>
      <c r="AY422" s="385"/>
      <c r="AZ422" s="386"/>
      <c r="BA422" s="375"/>
      <c r="BB422" s="375"/>
      <c r="BD422" s="385"/>
      <c r="BE422" s="386"/>
      <c r="BF422" s="375"/>
      <c r="BG422" s="375"/>
      <c r="BI422" s="385"/>
      <c r="BJ422" s="386"/>
      <c r="BK422" s="375"/>
      <c r="BL422" s="375"/>
      <c r="BN422" s="385"/>
      <c r="BO422" s="386"/>
      <c r="BP422" s="375"/>
      <c r="BQ422" s="375"/>
      <c r="BS422" s="385"/>
      <c r="BT422" s="386"/>
      <c r="BU422" s="375"/>
      <c r="BV422" s="375"/>
      <c r="BX422" s="385"/>
      <c r="BY422" s="386"/>
      <c r="BZ422" s="375"/>
      <c r="CA422" s="375"/>
      <c r="CC422" s="385"/>
      <c r="CD422" s="386"/>
      <c r="CE422" s="375"/>
      <c r="CF422" s="375"/>
      <c r="CH422" s="385"/>
      <c r="CI422" s="386"/>
      <c r="CJ422" s="375"/>
      <c r="CK422" s="375"/>
      <c r="CM422" s="385"/>
      <c r="CN422" s="386"/>
      <c r="CO422" s="375"/>
      <c r="CP422" s="375"/>
      <c r="CR422" s="385"/>
      <c r="CS422" s="386"/>
      <c r="CT422" s="375"/>
      <c r="CU422" s="375"/>
      <c r="CW422" s="385"/>
      <c r="CX422" s="386"/>
      <c r="CY422" s="375"/>
      <c r="CZ422" s="375"/>
      <c r="DB422" s="385"/>
      <c r="DC422" s="386"/>
      <c r="DD422" s="375"/>
      <c r="DE422" s="375"/>
      <c r="DG422" s="385"/>
      <c r="DH422" s="386"/>
      <c r="DI422" s="375"/>
      <c r="DJ422" s="375"/>
      <c r="DL422" s="385"/>
      <c r="DM422" s="386"/>
      <c r="DN422" s="375"/>
      <c r="DO422" s="375"/>
      <c r="DQ422" s="385"/>
      <c r="DR422" s="386"/>
      <c r="DS422" s="375"/>
      <c r="DT422" s="375"/>
      <c r="DV422" s="385"/>
      <c r="DW422" s="386"/>
      <c r="DX422" s="375"/>
      <c r="DY422" s="375"/>
      <c r="EA422" s="385"/>
      <c r="EB422" s="386"/>
      <c r="EC422" s="375"/>
      <c r="ED422" s="375"/>
      <c r="EF422" s="385"/>
      <c r="EG422" s="386"/>
      <c r="EH422" s="375"/>
      <c r="EI422" s="375"/>
      <c r="EK422" s="385"/>
      <c r="EL422" s="386"/>
      <c r="EM422" s="375"/>
      <c r="EN422" s="375"/>
      <c r="EP422" s="385"/>
      <c r="EQ422" s="386"/>
      <c r="ER422" s="375"/>
      <c r="ES422" s="375"/>
      <c r="EU422" s="385"/>
      <c r="EV422" s="386"/>
      <c r="EW422" s="375"/>
      <c r="EX422" s="375"/>
      <c r="EZ422" s="385"/>
      <c r="FA422" s="386"/>
      <c r="FB422" s="375"/>
      <c r="FC422" s="375"/>
      <c r="FE422" s="385"/>
      <c r="FF422" s="386"/>
      <c r="FG422" s="375"/>
      <c r="FH422" s="375"/>
      <c r="FJ422" s="385"/>
      <c r="FK422" s="386"/>
      <c r="FL422" s="375"/>
      <c r="FM422" s="375"/>
      <c r="FO422" s="385"/>
      <c r="FP422" s="386"/>
      <c r="FQ422" s="375"/>
      <c r="FR422" s="375"/>
      <c r="FT422" s="385"/>
      <c r="FU422" s="386"/>
      <c r="FV422" s="375"/>
      <c r="FW422" s="375"/>
      <c r="FY422" s="385"/>
      <c r="FZ422" s="386"/>
      <c r="GA422" s="375"/>
      <c r="GB422" s="375"/>
      <c r="GD422" s="385"/>
      <c r="GE422" s="386"/>
      <c r="GF422" s="375"/>
      <c r="GG422" s="375"/>
      <c r="GI422" s="385"/>
      <c r="GJ422" s="386"/>
      <c r="GK422" s="375"/>
      <c r="GL422" s="375"/>
      <c r="GN422" s="385"/>
      <c r="GO422" s="386"/>
      <c r="GP422" s="375"/>
      <c r="GQ422" s="375"/>
      <c r="GS422" s="385"/>
      <c r="GT422" s="386"/>
      <c r="GU422" s="375"/>
      <c r="GV422" s="375"/>
      <c r="GX422" s="385"/>
      <c r="GY422" s="386"/>
      <c r="GZ422" s="375"/>
      <c r="HA422" s="375"/>
      <c r="HC422" s="385"/>
      <c r="HD422" s="386"/>
      <c r="HE422" s="375"/>
      <c r="HF422" s="375"/>
      <c r="HH422" s="385"/>
      <c r="HI422" s="386"/>
      <c r="HJ422" s="375"/>
      <c r="HK422" s="375"/>
      <c r="HM422" s="385"/>
      <c r="HN422" s="386"/>
      <c r="HO422" s="375"/>
      <c r="HP422" s="375"/>
      <c r="HR422" s="385"/>
      <c r="HS422" s="386"/>
      <c r="HT422" s="375"/>
      <c r="HU422" s="375"/>
      <c r="HW422" s="385"/>
      <c r="HX422" s="386"/>
      <c r="HY422" s="375"/>
      <c r="HZ422" s="375"/>
      <c r="IB422" s="385"/>
      <c r="IC422" s="386"/>
      <c r="ID422" s="375"/>
      <c r="IE422" s="375"/>
      <c r="IG422" s="385"/>
      <c r="IH422" s="386"/>
      <c r="II422" s="375"/>
      <c r="IJ422" s="375"/>
      <c r="IL422" s="385"/>
      <c r="IM422" s="386"/>
      <c r="IN422" s="375"/>
      <c r="IO422" s="375"/>
      <c r="IQ422" s="385"/>
      <c r="IR422" s="386"/>
      <c r="IS422" s="375"/>
      <c r="IT422" s="375"/>
      <c r="IV422" s="385"/>
    </row>
    <row r="423" spans="1:256" s="387" customFormat="1" x14ac:dyDescent="0.2">
      <c r="A423" s="385"/>
      <c r="B423" s="386"/>
      <c r="C423" s="375"/>
      <c r="D423" s="375"/>
      <c r="F423" s="385"/>
      <c r="G423" s="386"/>
      <c r="H423" s="375"/>
      <c r="I423" s="375"/>
      <c r="K423" s="385"/>
      <c r="L423" s="386"/>
      <c r="M423" s="375"/>
      <c r="N423" s="375"/>
      <c r="P423" s="385"/>
      <c r="Q423" s="386"/>
      <c r="R423" s="375"/>
      <c r="S423" s="375"/>
      <c r="U423" s="385"/>
      <c r="V423" s="386"/>
      <c r="W423" s="375"/>
      <c r="X423" s="375"/>
      <c r="Z423" s="385"/>
      <c r="AA423" s="386"/>
      <c r="AB423" s="375"/>
      <c r="AC423" s="375"/>
      <c r="AE423" s="385"/>
      <c r="AF423" s="386"/>
      <c r="AG423" s="375"/>
      <c r="AH423" s="375"/>
      <c r="AJ423" s="385"/>
      <c r="AK423" s="386"/>
      <c r="AL423" s="375"/>
      <c r="AM423" s="375"/>
      <c r="AO423" s="385"/>
      <c r="AP423" s="386"/>
      <c r="AQ423" s="375"/>
      <c r="AR423" s="375"/>
      <c r="AT423" s="385"/>
      <c r="AU423" s="386"/>
      <c r="AV423" s="375"/>
      <c r="AW423" s="375"/>
      <c r="AY423" s="385"/>
      <c r="AZ423" s="386"/>
      <c r="BA423" s="375"/>
      <c r="BB423" s="375"/>
      <c r="BD423" s="385"/>
      <c r="BE423" s="386"/>
      <c r="BF423" s="375"/>
      <c r="BG423" s="375"/>
      <c r="BI423" s="385"/>
      <c r="BJ423" s="386"/>
      <c r="BK423" s="375"/>
      <c r="BL423" s="375"/>
      <c r="BN423" s="385"/>
      <c r="BO423" s="386"/>
      <c r="BP423" s="375"/>
      <c r="BQ423" s="375"/>
      <c r="BS423" s="385"/>
      <c r="BT423" s="386"/>
      <c r="BU423" s="375"/>
      <c r="BV423" s="375"/>
      <c r="BX423" s="385"/>
      <c r="BY423" s="386"/>
      <c r="BZ423" s="375"/>
      <c r="CA423" s="375"/>
      <c r="CC423" s="385"/>
      <c r="CD423" s="386"/>
      <c r="CE423" s="375"/>
      <c r="CF423" s="375"/>
      <c r="CH423" s="385"/>
      <c r="CI423" s="386"/>
      <c r="CJ423" s="375"/>
      <c r="CK423" s="375"/>
      <c r="CM423" s="385"/>
      <c r="CN423" s="386"/>
      <c r="CO423" s="375"/>
      <c r="CP423" s="375"/>
      <c r="CR423" s="385"/>
      <c r="CS423" s="386"/>
      <c r="CT423" s="375"/>
      <c r="CU423" s="375"/>
      <c r="CW423" s="385"/>
      <c r="CX423" s="386"/>
      <c r="CY423" s="375"/>
      <c r="CZ423" s="375"/>
      <c r="DB423" s="385"/>
      <c r="DC423" s="386"/>
      <c r="DD423" s="375"/>
      <c r="DE423" s="375"/>
      <c r="DG423" s="385"/>
      <c r="DH423" s="386"/>
      <c r="DI423" s="375"/>
      <c r="DJ423" s="375"/>
      <c r="DL423" s="385"/>
      <c r="DM423" s="386"/>
      <c r="DN423" s="375"/>
      <c r="DO423" s="375"/>
      <c r="DQ423" s="385"/>
      <c r="DR423" s="386"/>
      <c r="DS423" s="375"/>
      <c r="DT423" s="375"/>
      <c r="DV423" s="385"/>
      <c r="DW423" s="386"/>
      <c r="DX423" s="375"/>
      <c r="DY423" s="375"/>
      <c r="EA423" s="385"/>
      <c r="EB423" s="386"/>
      <c r="EC423" s="375"/>
      <c r="ED423" s="375"/>
      <c r="EF423" s="385"/>
      <c r="EG423" s="386"/>
      <c r="EH423" s="375"/>
      <c r="EI423" s="375"/>
      <c r="EK423" s="385"/>
      <c r="EL423" s="386"/>
      <c r="EM423" s="375"/>
      <c r="EN423" s="375"/>
      <c r="EP423" s="385"/>
      <c r="EQ423" s="386"/>
      <c r="ER423" s="375"/>
      <c r="ES423" s="375"/>
      <c r="EU423" s="385"/>
      <c r="EV423" s="386"/>
      <c r="EW423" s="375"/>
      <c r="EX423" s="375"/>
      <c r="EZ423" s="385"/>
      <c r="FA423" s="386"/>
      <c r="FB423" s="375"/>
      <c r="FC423" s="375"/>
      <c r="FE423" s="385"/>
      <c r="FF423" s="386"/>
      <c r="FG423" s="375"/>
      <c r="FH423" s="375"/>
      <c r="FJ423" s="385"/>
      <c r="FK423" s="386"/>
      <c r="FL423" s="375"/>
      <c r="FM423" s="375"/>
      <c r="FO423" s="385"/>
      <c r="FP423" s="386"/>
      <c r="FQ423" s="375"/>
      <c r="FR423" s="375"/>
      <c r="FT423" s="385"/>
      <c r="FU423" s="386"/>
      <c r="FV423" s="375"/>
      <c r="FW423" s="375"/>
      <c r="FY423" s="385"/>
      <c r="FZ423" s="386"/>
      <c r="GA423" s="375"/>
      <c r="GB423" s="375"/>
      <c r="GD423" s="385"/>
      <c r="GE423" s="386"/>
      <c r="GF423" s="375"/>
      <c r="GG423" s="375"/>
      <c r="GI423" s="385"/>
      <c r="GJ423" s="386"/>
      <c r="GK423" s="375"/>
      <c r="GL423" s="375"/>
      <c r="GN423" s="385"/>
      <c r="GO423" s="386"/>
      <c r="GP423" s="375"/>
      <c r="GQ423" s="375"/>
      <c r="GS423" s="385"/>
      <c r="GT423" s="386"/>
      <c r="GU423" s="375"/>
      <c r="GV423" s="375"/>
      <c r="GX423" s="385"/>
      <c r="GY423" s="386"/>
      <c r="GZ423" s="375"/>
      <c r="HA423" s="375"/>
      <c r="HC423" s="385"/>
      <c r="HD423" s="386"/>
      <c r="HE423" s="375"/>
      <c r="HF423" s="375"/>
      <c r="HH423" s="385"/>
      <c r="HI423" s="386"/>
      <c r="HJ423" s="375"/>
      <c r="HK423" s="375"/>
      <c r="HM423" s="385"/>
      <c r="HN423" s="386"/>
      <c r="HO423" s="375"/>
      <c r="HP423" s="375"/>
      <c r="HR423" s="385"/>
      <c r="HS423" s="386"/>
      <c r="HT423" s="375"/>
      <c r="HU423" s="375"/>
      <c r="HW423" s="385"/>
      <c r="HX423" s="386"/>
      <c r="HY423" s="375"/>
      <c r="HZ423" s="375"/>
      <c r="IB423" s="385"/>
      <c r="IC423" s="386"/>
      <c r="ID423" s="375"/>
      <c r="IE423" s="375"/>
      <c r="IG423" s="385"/>
      <c r="IH423" s="386"/>
      <c r="II423" s="375"/>
      <c r="IJ423" s="375"/>
      <c r="IL423" s="385"/>
      <c r="IM423" s="386"/>
      <c r="IN423" s="375"/>
      <c r="IO423" s="375"/>
      <c r="IQ423" s="385"/>
      <c r="IR423" s="386"/>
      <c r="IS423" s="375"/>
      <c r="IT423" s="375"/>
      <c r="IV423" s="385"/>
    </row>
    <row r="424" spans="1:256" s="387" customFormat="1" x14ac:dyDescent="0.2">
      <c r="A424" s="385"/>
      <c r="B424" s="386"/>
      <c r="C424" s="375"/>
      <c r="D424" s="375"/>
      <c r="F424" s="385"/>
      <c r="G424" s="386"/>
      <c r="H424" s="375"/>
      <c r="I424" s="375"/>
      <c r="K424" s="385"/>
      <c r="L424" s="386"/>
      <c r="M424" s="375"/>
      <c r="N424" s="375"/>
      <c r="P424" s="385"/>
      <c r="Q424" s="386"/>
      <c r="R424" s="375"/>
      <c r="S424" s="375"/>
      <c r="U424" s="385"/>
      <c r="V424" s="386"/>
      <c r="W424" s="375"/>
      <c r="X424" s="375"/>
      <c r="Z424" s="385"/>
      <c r="AA424" s="386"/>
      <c r="AB424" s="375"/>
      <c r="AC424" s="375"/>
      <c r="AE424" s="385"/>
      <c r="AF424" s="386"/>
      <c r="AG424" s="375"/>
      <c r="AH424" s="375"/>
      <c r="AJ424" s="385"/>
      <c r="AK424" s="386"/>
      <c r="AL424" s="375"/>
      <c r="AM424" s="375"/>
      <c r="AO424" s="385"/>
      <c r="AP424" s="386"/>
      <c r="AQ424" s="375"/>
      <c r="AR424" s="375"/>
      <c r="AT424" s="385"/>
      <c r="AU424" s="386"/>
      <c r="AV424" s="375"/>
      <c r="AW424" s="375"/>
      <c r="AY424" s="385"/>
      <c r="AZ424" s="386"/>
      <c r="BA424" s="375"/>
      <c r="BB424" s="375"/>
      <c r="BD424" s="385"/>
      <c r="BE424" s="386"/>
      <c r="BF424" s="375"/>
      <c r="BG424" s="375"/>
      <c r="BI424" s="385"/>
      <c r="BJ424" s="386"/>
      <c r="BK424" s="375"/>
      <c r="BL424" s="375"/>
      <c r="BN424" s="385"/>
      <c r="BO424" s="386"/>
      <c r="BP424" s="375"/>
      <c r="BQ424" s="375"/>
      <c r="BS424" s="385"/>
      <c r="BT424" s="386"/>
      <c r="BU424" s="375"/>
      <c r="BV424" s="375"/>
      <c r="BX424" s="385"/>
      <c r="BY424" s="386"/>
      <c r="BZ424" s="375"/>
      <c r="CA424" s="375"/>
      <c r="CC424" s="385"/>
      <c r="CD424" s="386"/>
      <c r="CE424" s="375"/>
      <c r="CF424" s="375"/>
      <c r="CH424" s="385"/>
      <c r="CI424" s="386"/>
      <c r="CJ424" s="375"/>
      <c r="CK424" s="375"/>
      <c r="CM424" s="385"/>
      <c r="CN424" s="386"/>
      <c r="CO424" s="375"/>
      <c r="CP424" s="375"/>
      <c r="CR424" s="385"/>
      <c r="CS424" s="386"/>
      <c r="CT424" s="375"/>
      <c r="CU424" s="375"/>
      <c r="CW424" s="385"/>
      <c r="CX424" s="386"/>
      <c r="CY424" s="375"/>
      <c r="CZ424" s="375"/>
      <c r="DB424" s="385"/>
      <c r="DC424" s="386"/>
      <c r="DD424" s="375"/>
      <c r="DE424" s="375"/>
      <c r="DG424" s="385"/>
      <c r="DH424" s="386"/>
      <c r="DI424" s="375"/>
      <c r="DJ424" s="375"/>
      <c r="DL424" s="385"/>
      <c r="DM424" s="386"/>
      <c r="DN424" s="375"/>
      <c r="DO424" s="375"/>
      <c r="DQ424" s="385"/>
      <c r="DR424" s="386"/>
      <c r="DS424" s="375"/>
      <c r="DT424" s="375"/>
      <c r="DV424" s="385"/>
      <c r="DW424" s="386"/>
      <c r="DX424" s="375"/>
      <c r="DY424" s="375"/>
      <c r="EA424" s="385"/>
      <c r="EB424" s="386"/>
      <c r="EC424" s="375"/>
      <c r="ED424" s="375"/>
      <c r="EF424" s="385"/>
      <c r="EG424" s="386"/>
      <c r="EH424" s="375"/>
      <c r="EI424" s="375"/>
      <c r="EK424" s="385"/>
      <c r="EL424" s="386"/>
      <c r="EM424" s="375"/>
      <c r="EN424" s="375"/>
      <c r="EP424" s="385"/>
      <c r="EQ424" s="386"/>
      <c r="ER424" s="375"/>
      <c r="ES424" s="375"/>
      <c r="EU424" s="385"/>
      <c r="EV424" s="386"/>
      <c r="EW424" s="375"/>
      <c r="EX424" s="375"/>
      <c r="EZ424" s="385"/>
      <c r="FA424" s="386"/>
      <c r="FB424" s="375"/>
      <c r="FC424" s="375"/>
      <c r="FE424" s="385"/>
      <c r="FF424" s="386"/>
      <c r="FG424" s="375"/>
      <c r="FH424" s="375"/>
      <c r="FJ424" s="385"/>
      <c r="FK424" s="386"/>
      <c r="FL424" s="375"/>
      <c r="FM424" s="375"/>
      <c r="FO424" s="385"/>
      <c r="FP424" s="386"/>
      <c r="FQ424" s="375"/>
      <c r="FR424" s="375"/>
      <c r="FT424" s="385"/>
      <c r="FU424" s="386"/>
      <c r="FV424" s="375"/>
      <c r="FW424" s="375"/>
      <c r="FY424" s="385"/>
      <c r="FZ424" s="386"/>
      <c r="GA424" s="375"/>
      <c r="GB424" s="375"/>
      <c r="GD424" s="385"/>
      <c r="GE424" s="386"/>
      <c r="GF424" s="375"/>
      <c r="GG424" s="375"/>
      <c r="GI424" s="385"/>
      <c r="GJ424" s="386"/>
      <c r="GK424" s="375"/>
      <c r="GL424" s="375"/>
      <c r="GN424" s="385"/>
      <c r="GO424" s="386"/>
      <c r="GP424" s="375"/>
      <c r="GQ424" s="375"/>
      <c r="GS424" s="385"/>
      <c r="GT424" s="386"/>
      <c r="GU424" s="375"/>
      <c r="GV424" s="375"/>
      <c r="GX424" s="385"/>
      <c r="GY424" s="386"/>
      <c r="GZ424" s="375"/>
      <c r="HA424" s="375"/>
      <c r="HC424" s="385"/>
      <c r="HD424" s="386"/>
      <c r="HE424" s="375"/>
      <c r="HF424" s="375"/>
      <c r="HH424" s="385"/>
      <c r="HI424" s="386"/>
      <c r="HJ424" s="375"/>
      <c r="HK424" s="375"/>
      <c r="HM424" s="385"/>
      <c r="HN424" s="386"/>
      <c r="HO424" s="375"/>
      <c r="HP424" s="375"/>
      <c r="HR424" s="385"/>
      <c r="HS424" s="386"/>
      <c r="HT424" s="375"/>
      <c r="HU424" s="375"/>
      <c r="HW424" s="385"/>
      <c r="HX424" s="386"/>
      <c r="HY424" s="375"/>
      <c r="HZ424" s="375"/>
      <c r="IB424" s="385"/>
      <c r="IC424" s="386"/>
      <c r="ID424" s="375"/>
      <c r="IE424" s="375"/>
      <c r="IG424" s="385"/>
      <c r="IH424" s="386"/>
      <c r="II424" s="375"/>
      <c r="IJ424" s="375"/>
      <c r="IL424" s="385"/>
      <c r="IM424" s="386"/>
      <c r="IN424" s="375"/>
      <c r="IO424" s="375"/>
      <c r="IQ424" s="385"/>
      <c r="IR424" s="386"/>
      <c r="IS424" s="375"/>
      <c r="IT424" s="375"/>
      <c r="IV424" s="385"/>
    </row>
    <row r="425" spans="1:256" s="387" customFormat="1" x14ac:dyDescent="0.2">
      <c r="A425" s="385"/>
      <c r="B425" s="386"/>
      <c r="C425" s="375"/>
      <c r="D425" s="375"/>
      <c r="F425" s="385"/>
      <c r="G425" s="386"/>
      <c r="H425" s="375"/>
      <c r="I425" s="375"/>
      <c r="K425" s="385"/>
      <c r="L425" s="386"/>
      <c r="M425" s="375"/>
      <c r="N425" s="375"/>
      <c r="P425" s="385"/>
      <c r="Q425" s="386"/>
      <c r="R425" s="375"/>
      <c r="S425" s="375"/>
      <c r="U425" s="385"/>
      <c r="V425" s="386"/>
      <c r="W425" s="375"/>
      <c r="X425" s="375"/>
      <c r="Z425" s="385"/>
      <c r="AA425" s="386"/>
      <c r="AB425" s="375"/>
      <c r="AC425" s="375"/>
      <c r="AE425" s="385"/>
      <c r="AF425" s="386"/>
      <c r="AG425" s="375"/>
      <c r="AH425" s="375"/>
      <c r="AJ425" s="385"/>
      <c r="AK425" s="386"/>
      <c r="AL425" s="375"/>
      <c r="AM425" s="375"/>
      <c r="AO425" s="385"/>
      <c r="AP425" s="386"/>
      <c r="AQ425" s="375"/>
      <c r="AR425" s="375"/>
      <c r="AT425" s="385"/>
      <c r="AU425" s="386"/>
      <c r="AV425" s="375"/>
      <c r="AW425" s="375"/>
      <c r="AY425" s="385"/>
      <c r="AZ425" s="386"/>
      <c r="BA425" s="375"/>
      <c r="BB425" s="375"/>
      <c r="BD425" s="385"/>
      <c r="BE425" s="386"/>
      <c r="BF425" s="375"/>
      <c r="BG425" s="375"/>
      <c r="BI425" s="385"/>
      <c r="BJ425" s="386"/>
      <c r="BK425" s="375"/>
      <c r="BL425" s="375"/>
      <c r="BN425" s="385"/>
      <c r="BO425" s="386"/>
      <c r="BP425" s="375"/>
      <c r="BQ425" s="375"/>
      <c r="BS425" s="385"/>
      <c r="BT425" s="386"/>
      <c r="BU425" s="375"/>
      <c r="BV425" s="375"/>
      <c r="BX425" s="385"/>
      <c r="BY425" s="386"/>
      <c r="BZ425" s="375"/>
      <c r="CA425" s="375"/>
      <c r="CC425" s="385"/>
      <c r="CD425" s="386"/>
      <c r="CE425" s="375"/>
      <c r="CF425" s="375"/>
      <c r="CH425" s="385"/>
      <c r="CI425" s="386"/>
      <c r="CJ425" s="375"/>
      <c r="CK425" s="375"/>
      <c r="CM425" s="385"/>
      <c r="CN425" s="386"/>
      <c r="CO425" s="375"/>
      <c r="CP425" s="375"/>
      <c r="CR425" s="385"/>
      <c r="CS425" s="386"/>
      <c r="CT425" s="375"/>
      <c r="CU425" s="375"/>
      <c r="CW425" s="385"/>
      <c r="CX425" s="386"/>
      <c r="CY425" s="375"/>
      <c r="CZ425" s="375"/>
      <c r="DB425" s="385"/>
      <c r="DC425" s="386"/>
      <c r="DD425" s="375"/>
      <c r="DE425" s="375"/>
      <c r="DG425" s="385"/>
      <c r="DH425" s="386"/>
      <c r="DI425" s="375"/>
      <c r="DJ425" s="375"/>
      <c r="DL425" s="385"/>
      <c r="DM425" s="386"/>
      <c r="DN425" s="375"/>
      <c r="DO425" s="375"/>
      <c r="DQ425" s="385"/>
      <c r="DR425" s="386"/>
      <c r="DS425" s="375"/>
      <c r="DT425" s="375"/>
      <c r="DV425" s="385"/>
      <c r="DW425" s="386"/>
      <c r="DX425" s="375"/>
      <c r="DY425" s="375"/>
      <c r="EA425" s="385"/>
      <c r="EB425" s="386"/>
      <c r="EC425" s="375"/>
      <c r="ED425" s="375"/>
      <c r="EF425" s="385"/>
      <c r="EG425" s="386"/>
      <c r="EH425" s="375"/>
      <c r="EI425" s="375"/>
      <c r="EK425" s="385"/>
      <c r="EL425" s="386"/>
      <c r="EM425" s="375"/>
      <c r="EN425" s="375"/>
      <c r="EP425" s="385"/>
      <c r="EQ425" s="386"/>
      <c r="ER425" s="375"/>
      <c r="ES425" s="375"/>
      <c r="EU425" s="385"/>
      <c r="EV425" s="386"/>
      <c r="EW425" s="375"/>
      <c r="EX425" s="375"/>
      <c r="EZ425" s="385"/>
      <c r="FA425" s="386"/>
      <c r="FB425" s="375"/>
      <c r="FC425" s="375"/>
      <c r="FE425" s="385"/>
      <c r="FF425" s="386"/>
      <c r="FG425" s="375"/>
      <c r="FH425" s="375"/>
      <c r="FJ425" s="385"/>
      <c r="FK425" s="386"/>
      <c r="FL425" s="375"/>
      <c r="FM425" s="375"/>
      <c r="FO425" s="385"/>
      <c r="FP425" s="386"/>
      <c r="FQ425" s="375"/>
      <c r="FR425" s="375"/>
      <c r="FT425" s="385"/>
      <c r="FU425" s="386"/>
      <c r="FV425" s="375"/>
      <c r="FW425" s="375"/>
      <c r="FY425" s="385"/>
      <c r="FZ425" s="386"/>
      <c r="GA425" s="375"/>
      <c r="GB425" s="375"/>
      <c r="GD425" s="385"/>
      <c r="GE425" s="386"/>
      <c r="GF425" s="375"/>
      <c r="GG425" s="375"/>
      <c r="GI425" s="385"/>
      <c r="GJ425" s="386"/>
      <c r="GK425" s="375"/>
      <c r="GL425" s="375"/>
      <c r="GN425" s="385"/>
      <c r="GO425" s="386"/>
      <c r="GP425" s="375"/>
      <c r="GQ425" s="375"/>
      <c r="GS425" s="385"/>
      <c r="GT425" s="386"/>
      <c r="GU425" s="375"/>
      <c r="GV425" s="375"/>
      <c r="GX425" s="385"/>
      <c r="GY425" s="386"/>
      <c r="GZ425" s="375"/>
      <c r="HA425" s="375"/>
      <c r="HC425" s="385"/>
      <c r="HD425" s="386"/>
      <c r="HE425" s="375"/>
      <c r="HF425" s="375"/>
      <c r="HH425" s="385"/>
      <c r="HI425" s="386"/>
      <c r="HJ425" s="375"/>
      <c r="HK425" s="375"/>
      <c r="HM425" s="385"/>
      <c r="HN425" s="386"/>
      <c r="HO425" s="375"/>
      <c r="HP425" s="375"/>
      <c r="HR425" s="385"/>
      <c r="HS425" s="386"/>
      <c r="HT425" s="375"/>
      <c r="HU425" s="375"/>
      <c r="HW425" s="385"/>
      <c r="HX425" s="386"/>
      <c r="HY425" s="375"/>
      <c r="HZ425" s="375"/>
      <c r="IB425" s="385"/>
      <c r="IC425" s="386"/>
      <c r="ID425" s="375"/>
      <c r="IE425" s="375"/>
      <c r="IG425" s="385"/>
      <c r="IH425" s="386"/>
      <c r="II425" s="375"/>
      <c r="IJ425" s="375"/>
      <c r="IL425" s="385"/>
      <c r="IM425" s="386"/>
      <c r="IN425" s="375"/>
      <c r="IO425" s="375"/>
      <c r="IQ425" s="385"/>
      <c r="IR425" s="386"/>
      <c r="IS425" s="375"/>
      <c r="IT425" s="375"/>
      <c r="IV425" s="385"/>
    </row>
    <row r="426" spans="1:256" s="387" customFormat="1" x14ac:dyDescent="0.2">
      <c r="A426" s="385"/>
      <c r="B426" s="386"/>
      <c r="C426" s="375"/>
      <c r="D426" s="375"/>
      <c r="F426" s="385"/>
      <c r="G426" s="386"/>
      <c r="H426" s="375"/>
      <c r="I426" s="375"/>
      <c r="K426" s="385"/>
      <c r="L426" s="386"/>
      <c r="M426" s="375"/>
      <c r="N426" s="375"/>
      <c r="P426" s="385"/>
      <c r="Q426" s="386"/>
      <c r="R426" s="375"/>
      <c r="S426" s="375"/>
      <c r="U426" s="385"/>
      <c r="V426" s="386"/>
      <c r="W426" s="375"/>
      <c r="X426" s="375"/>
      <c r="Z426" s="385"/>
      <c r="AA426" s="386"/>
      <c r="AB426" s="375"/>
      <c r="AC426" s="375"/>
      <c r="AE426" s="385"/>
      <c r="AF426" s="386"/>
      <c r="AG426" s="375"/>
      <c r="AH426" s="375"/>
      <c r="AJ426" s="385"/>
      <c r="AK426" s="386"/>
      <c r="AL426" s="375"/>
      <c r="AM426" s="375"/>
      <c r="AO426" s="385"/>
      <c r="AP426" s="386"/>
      <c r="AQ426" s="375"/>
      <c r="AR426" s="375"/>
      <c r="AT426" s="385"/>
      <c r="AU426" s="386"/>
      <c r="AV426" s="375"/>
      <c r="AW426" s="375"/>
      <c r="AY426" s="385"/>
      <c r="AZ426" s="386"/>
      <c r="BA426" s="375"/>
      <c r="BB426" s="375"/>
      <c r="BD426" s="385"/>
      <c r="BE426" s="386"/>
      <c r="BF426" s="375"/>
      <c r="BG426" s="375"/>
      <c r="BI426" s="385"/>
      <c r="BJ426" s="386"/>
      <c r="BK426" s="375"/>
      <c r="BL426" s="375"/>
      <c r="BN426" s="385"/>
      <c r="BO426" s="386"/>
      <c r="BP426" s="375"/>
      <c r="BQ426" s="375"/>
      <c r="BS426" s="385"/>
      <c r="BT426" s="386"/>
      <c r="BU426" s="375"/>
      <c r="BV426" s="375"/>
      <c r="BX426" s="385"/>
      <c r="BY426" s="386"/>
      <c r="BZ426" s="375"/>
      <c r="CA426" s="375"/>
      <c r="CC426" s="385"/>
      <c r="CD426" s="386"/>
      <c r="CE426" s="375"/>
      <c r="CF426" s="375"/>
      <c r="CH426" s="385"/>
      <c r="CI426" s="386"/>
      <c r="CJ426" s="375"/>
      <c r="CK426" s="375"/>
      <c r="CM426" s="385"/>
      <c r="CN426" s="386"/>
      <c r="CO426" s="375"/>
      <c r="CP426" s="375"/>
      <c r="CR426" s="385"/>
      <c r="CS426" s="386"/>
      <c r="CT426" s="375"/>
      <c r="CU426" s="375"/>
      <c r="CW426" s="385"/>
      <c r="CX426" s="386"/>
      <c r="CY426" s="375"/>
      <c r="CZ426" s="375"/>
      <c r="DB426" s="385"/>
      <c r="DC426" s="386"/>
      <c r="DD426" s="375"/>
      <c r="DE426" s="375"/>
      <c r="DG426" s="385"/>
      <c r="DH426" s="386"/>
      <c r="DI426" s="375"/>
      <c r="DJ426" s="375"/>
      <c r="DL426" s="385"/>
      <c r="DM426" s="386"/>
      <c r="DN426" s="375"/>
      <c r="DO426" s="375"/>
      <c r="DQ426" s="385"/>
      <c r="DR426" s="386"/>
      <c r="DS426" s="375"/>
      <c r="DT426" s="375"/>
      <c r="DV426" s="385"/>
      <c r="DW426" s="386"/>
      <c r="DX426" s="375"/>
      <c r="DY426" s="375"/>
      <c r="EA426" s="385"/>
      <c r="EB426" s="386"/>
      <c r="EC426" s="375"/>
      <c r="ED426" s="375"/>
      <c r="EF426" s="385"/>
      <c r="EG426" s="386"/>
      <c r="EH426" s="375"/>
      <c r="EI426" s="375"/>
      <c r="EK426" s="385"/>
      <c r="EL426" s="386"/>
      <c r="EM426" s="375"/>
      <c r="EN426" s="375"/>
      <c r="EP426" s="385"/>
      <c r="EQ426" s="386"/>
      <c r="ER426" s="375"/>
      <c r="ES426" s="375"/>
      <c r="EU426" s="385"/>
      <c r="EV426" s="386"/>
      <c r="EW426" s="375"/>
      <c r="EX426" s="375"/>
      <c r="EZ426" s="385"/>
      <c r="FA426" s="386"/>
      <c r="FB426" s="375"/>
      <c r="FC426" s="375"/>
      <c r="FE426" s="385"/>
      <c r="FF426" s="386"/>
      <c r="FG426" s="375"/>
      <c r="FH426" s="375"/>
      <c r="FJ426" s="385"/>
      <c r="FK426" s="386"/>
      <c r="FL426" s="375"/>
      <c r="FM426" s="375"/>
      <c r="FO426" s="385"/>
      <c r="FP426" s="386"/>
      <c r="FQ426" s="375"/>
      <c r="FR426" s="375"/>
      <c r="FT426" s="385"/>
      <c r="FU426" s="386"/>
      <c r="FV426" s="375"/>
      <c r="FW426" s="375"/>
      <c r="FY426" s="385"/>
      <c r="FZ426" s="386"/>
      <c r="GA426" s="375"/>
      <c r="GB426" s="375"/>
      <c r="GD426" s="385"/>
      <c r="GE426" s="386"/>
      <c r="GF426" s="375"/>
      <c r="GG426" s="375"/>
      <c r="GI426" s="385"/>
      <c r="GJ426" s="386"/>
      <c r="GK426" s="375"/>
      <c r="GL426" s="375"/>
      <c r="GN426" s="385"/>
      <c r="GO426" s="386"/>
      <c r="GP426" s="375"/>
      <c r="GQ426" s="375"/>
      <c r="GS426" s="385"/>
      <c r="GT426" s="386"/>
      <c r="GU426" s="375"/>
      <c r="GV426" s="375"/>
      <c r="GX426" s="385"/>
      <c r="GY426" s="386"/>
      <c r="GZ426" s="375"/>
      <c r="HA426" s="375"/>
      <c r="HC426" s="385"/>
      <c r="HD426" s="386"/>
      <c r="HE426" s="375"/>
      <c r="HF426" s="375"/>
      <c r="HH426" s="385"/>
      <c r="HI426" s="386"/>
      <c r="HJ426" s="375"/>
      <c r="HK426" s="375"/>
      <c r="HM426" s="385"/>
      <c r="HN426" s="386"/>
      <c r="HO426" s="375"/>
      <c r="HP426" s="375"/>
      <c r="HR426" s="385"/>
      <c r="HS426" s="386"/>
      <c r="HT426" s="375"/>
      <c r="HU426" s="375"/>
      <c r="HW426" s="385"/>
      <c r="HX426" s="386"/>
      <c r="HY426" s="375"/>
      <c r="HZ426" s="375"/>
      <c r="IB426" s="385"/>
      <c r="IC426" s="386"/>
      <c r="ID426" s="375"/>
      <c r="IE426" s="375"/>
      <c r="IG426" s="385"/>
      <c r="IH426" s="386"/>
      <c r="II426" s="375"/>
      <c r="IJ426" s="375"/>
      <c r="IL426" s="385"/>
      <c r="IM426" s="386"/>
      <c r="IN426" s="375"/>
      <c r="IO426" s="375"/>
      <c r="IQ426" s="385"/>
      <c r="IR426" s="386"/>
      <c r="IS426" s="375"/>
      <c r="IT426" s="375"/>
      <c r="IV426" s="385"/>
    </row>
    <row r="427" spans="1:256" s="387" customFormat="1" x14ac:dyDescent="0.2">
      <c r="A427" s="385"/>
      <c r="B427" s="386"/>
      <c r="C427" s="375"/>
      <c r="D427" s="375"/>
      <c r="F427" s="385"/>
      <c r="G427" s="386"/>
      <c r="H427" s="375"/>
      <c r="I427" s="375"/>
      <c r="K427" s="385"/>
      <c r="L427" s="386"/>
      <c r="M427" s="375"/>
      <c r="N427" s="375"/>
      <c r="P427" s="385"/>
      <c r="Q427" s="386"/>
      <c r="R427" s="375"/>
      <c r="S427" s="375"/>
      <c r="U427" s="385"/>
      <c r="V427" s="386"/>
      <c r="W427" s="375"/>
      <c r="X427" s="375"/>
      <c r="Z427" s="385"/>
      <c r="AA427" s="386"/>
      <c r="AB427" s="375"/>
      <c r="AC427" s="375"/>
      <c r="AE427" s="385"/>
      <c r="AF427" s="386"/>
      <c r="AG427" s="375"/>
      <c r="AH427" s="375"/>
      <c r="AJ427" s="385"/>
      <c r="AK427" s="386"/>
      <c r="AL427" s="375"/>
      <c r="AM427" s="375"/>
      <c r="AO427" s="385"/>
      <c r="AP427" s="386"/>
      <c r="AQ427" s="375"/>
      <c r="AR427" s="375"/>
      <c r="AT427" s="385"/>
      <c r="AU427" s="386"/>
      <c r="AV427" s="375"/>
      <c r="AW427" s="375"/>
      <c r="AY427" s="385"/>
      <c r="AZ427" s="386"/>
      <c r="BA427" s="375"/>
      <c r="BB427" s="375"/>
      <c r="BD427" s="385"/>
      <c r="BE427" s="386"/>
      <c r="BF427" s="375"/>
      <c r="BG427" s="375"/>
      <c r="BI427" s="385"/>
      <c r="BJ427" s="386"/>
      <c r="BK427" s="375"/>
      <c r="BL427" s="375"/>
      <c r="BN427" s="385"/>
      <c r="BO427" s="386"/>
      <c r="BP427" s="375"/>
      <c r="BQ427" s="375"/>
      <c r="BS427" s="385"/>
      <c r="BT427" s="386"/>
      <c r="BU427" s="375"/>
      <c r="BV427" s="375"/>
      <c r="BX427" s="385"/>
      <c r="BY427" s="386"/>
      <c r="BZ427" s="375"/>
      <c r="CA427" s="375"/>
      <c r="CC427" s="385"/>
      <c r="CD427" s="386"/>
      <c r="CE427" s="375"/>
      <c r="CF427" s="375"/>
      <c r="CH427" s="385"/>
      <c r="CI427" s="386"/>
      <c r="CJ427" s="375"/>
      <c r="CK427" s="375"/>
      <c r="CM427" s="385"/>
      <c r="CN427" s="386"/>
      <c r="CO427" s="375"/>
      <c r="CP427" s="375"/>
      <c r="CR427" s="385"/>
      <c r="CS427" s="386"/>
      <c r="CT427" s="375"/>
      <c r="CU427" s="375"/>
      <c r="CW427" s="385"/>
      <c r="CX427" s="386"/>
      <c r="CY427" s="375"/>
      <c r="CZ427" s="375"/>
      <c r="DB427" s="385"/>
      <c r="DC427" s="386"/>
      <c r="DD427" s="375"/>
      <c r="DE427" s="375"/>
      <c r="DG427" s="385"/>
      <c r="DH427" s="386"/>
      <c r="DI427" s="375"/>
      <c r="DJ427" s="375"/>
      <c r="DL427" s="385"/>
      <c r="DM427" s="386"/>
      <c r="DN427" s="375"/>
      <c r="DO427" s="375"/>
      <c r="DQ427" s="385"/>
      <c r="DR427" s="386"/>
      <c r="DS427" s="375"/>
      <c r="DT427" s="375"/>
      <c r="DV427" s="385"/>
      <c r="DW427" s="386"/>
      <c r="DX427" s="375"/>
      <c r="DY427" s="375"/>
      <c r="EA427" s="385"/>
      <c r="EB427" s="386"/>
      <c r="EC427" s="375"/>
      <c r="ED427" s="375"/>
      <c r="EF427" s="385"/>
      <c r="EG427" s="386"/>
      <c r="EH427" s="375"/>
      <c r="EI427" s="375"/>
      <c r="EK427" s="385"/>
      <c r="EL427" s="386"/>
      <c r="EM427" s="375"/>
      <c r="EN427" s="375"/>
      <c r="EP427" s="385"/>
      <c r="EQ427" s="386"/>
      <c r="ER427" s="375"/>
      <c r="ES427" s="375"/>
      <c r="EU427" s="385"/>
      <c r="EV427" s="386"/>
      <c r="EW427" s="375"/>
      <c r="EX427" s="375"/>
      <c r="EZ427" s="385"/>
      <c r="FA427" s="386"/>
      <c r="FB427" s="375"/>
      <c r="FC427" s="375"/>
      <c r="FE427" s="385"/>
      <c r="FF427" s="386"/>
      <c r="FG427" s="375"/>
      <c r="FH427" s="375"/>
      <c r="FJ427" s="385"/>
      <c r="FK427" s="386"/>
      <c r="FL427" s="375"/>
      <c r="FM427" s="375"/>
      <c r="FO427" s="385"/>
      <c r="FP427" s="386"/>
      <c r="FQ427" s="375"/>
      <c r="FR427" s="375"/>
      <c r="FT427" s="385"/>
      <c r="FU427" s="386"/>
      <c r="FV427" s="375"/>
      <c r="FW427" s="375"/>
      <c r="FY427" s="385"/>
      <c r="FZ427" s="386"/>
      <c r="GA427" s="375"/>
      <c r="GB427" s="375"/>
      <c r="GD427" s="385"/>
      <c r="GE427" s="386"/>
      <c r="GF427" s="375"/>
      <c r="GG427" s="375"/>
      <c r="GI427" s="385"/>
      <c r="GJ427" s="386"/>
      <c r="GK427" s="375"/>
      <c r="GL427" s="375"/>
      <c r="GN427" s="385"/>
      <c r="GO427" s="386"/>
      <c r="GP427" s="375"/>
      <c r="GQ427" s="375"/>
      <c r="GS427" s="385"/>
      <c r="GT427" s="386"/>
      <c r="GU427" s="375"/>
      <c r="GV427" s="375"/>
      <c r="GX427" s="385"/>
      <c r="GY427" s="386"/>
      <c r="GZ427" s="375"/>
      <c r="HA427" s="375"/>
      <c r="HC427" s="385"/>
      <c r="HD427" s="386"/>
      <c r="HE427" s="375"/>
      <c r="HF427" s="375"/>
      <c r="HH427" s="385"/>
      <c r="HI427" s="386"/>
      <c r="HJ427" s="375"/>
      <c r="HK427" s="375"/>
      <c r="HM427" s="385"/>
      <c r="HN427" s="386"/>
      <c r="HO427" s="375"/>
      <c r="HP427" s="375"/>
      <c r="HR427" s="385"/>
      <c r="HS427" s="386"/>
      <c r="HT427" s="375"/>
      <c r="HU427" s="375"/>
      <c r="HW427" s="385"/>
      <c r="HX427" s="386"/>
      <c r="HY427" s="375"/>
      <c r="HZ427" s="375"/>
      <c r="IB427" s="385"/>
      <c r="IC427" s="386"/>
      <c r="ID427" s="375"/>
      <c r="IE427" s="375"/>
      <c r="IG427" s="385"/>
      <c r="IH427" s="386"/>
      <c r="II427" s="375"/>
      <c r="IJ427" s="375"/>
      <c r="IL427" s="385"/>
      <c r="IM427" s="386"/>
      <c r="IN427" s="375"/>
      <c r="IO427" s="375"/>
      <c r="IQ427" s="385"/>
      <c r="IR427" s="386"/>
      <c r="IS427" s="375"/>
      <c r="IT427" s="375"/>
      <c r="IV427" s="385"/>
    </row>
    <row r="428" spans="1:256" s="387" customFormat="1" x14ac:dyDescent="0.2">
      <c r="A428" s="385"/>
      <c r="B428" s="386"/>
      <c r="C428" s="375"/>
      <c r="D428" s="375"/>
      <c r="F428" s="385"/>
      <c r="G428" s="386"/>
      <c r="H428" s="375"/>
      <c r="I428" s="375"/>
      <c r="K428" s="385"/>
      <c r="L428" s="386"/>
      <c r="M428" s="375"/>
      <c r="N428" s="375"/>
      <c r="P428" s="385"/>
      <c r="Q428" s="386"/>
      <c r="R428" s="375"/>
      <c r="S428" s="375"/>
      <c r="U428" s="385"/>
      <c r="V428" s="386"/>
      <c r="W428" s="375"/>
      <c r="X428" s="375"/>
      <c r="Z428" s="385"/>
      <c r="AA428" s="386"/>
      <c r="AB428" s="375"/>
      <c r="AC428" s="375"/>
      <c r="AE428" s="385"/>
      <c r="AF428" s="386"/>
      <c r="AG428" s="375"/>
      <c r="AH428" s="375"/>
      <c r="AJ428" s="385"/>
      <c r="AK428" s="386"/>
      <c r="AL428" s="375"/>
      <c r="AM428" s="375"/>
      <c r="AO428" s="385"/>
      <c r="AP428" s="386"/>
      <c r="AQ428" s="375"/>
      <c r="AR428" s="375"/>
      <c r="AT428" s="385"/>
      <c r="AU428" s="386"/>
      <c r="AV428" s="375"/>
      <c r="AW428" s="375"/>
      <c r="AY428" s="385"/>
      <c r="AZ428" s="386"/>
      <c r="BA428" s="375"/>
      <c r="BB428" s="375"/>
      <c r="BD428" s="385"/>
      <c r="BE428" s="386"/>
      <c r="BF428" s="375"/>
      <c r="BG428" s="375"/>
      <c r="BI428" s="385"/>
      <c r="BJ428" s="386"/>
      <c r="BK428" s="375"/>
      <c r="BL428" s="375"/>
      <c r="BN428" s="385"/>
      <c r="BO428" s="386"/>
      <c r="BP428" s="375"/>
      <c r="BQ428" s="375"/>
      <c r="BS428" s="385"/>
      <c r="BT428" s="386"/>
      <c r="BU428" s="375"/>
      <c r="BV428" s="375"/>
      <c r="BX428" s="385"/>
      <c r="BY428" s="386"/>
      <c r="BZ428" s="375"/>
      <c r="CA428" s="375"/>
      <c r="CC428" s="385"/>
      <c r="CD428" s="386"/>
      <c r="CE428" s="375"/>
      <c r="CF428" s="375"/>
      <c r="CH428" s="385"/>
      <c r="CI428" s="386"/>
      <c r="CJ428" s="375"/>
      <c r="CK428" s="375"/>
      <c r="CM428" s="385"/>
      <c r="CN428" s="386"/>
      <c r="CO428" s="375"/>
      <c r="CP428" s="375"/>
      <c r="CR428" s="385"/>
      <c r="CS428" s="386"/>
      <c r="CT428" s="375"/>
      <c r="CU428" s="375"/>
      <c r="CW428" s="385"/>
      <c r="CX428" s="386"/>
      <c r="CY428" s="375"/>
      <c r="CZ428" s="375"/>
      <c r="DB428" s="385"/>
      <c r="DC428" s="386"/>
      <c r="DD428" s="375"/>
      <c r="DE428" s="375"/>
      <c r="DG428" s="385"/>
      <c r="DH428" s="386"/>
      <c r="DI428" s="375"/>
      <c r="DJ428" s="375"/>
      <c r="DL428" s="385"/>
      <c r="DM428" s="386"/>
      <c r="DN428" s="375"/>
      <c r="DO428" s="375"/>
      <c r="DQ428" s="385"/>
      <c r="DR428" s="386"/>
      <c r="DS428" s="375"/>
      <c r="DT428" s="375"/>
      <c r="DV428" s="385"/>
      <c r="DW428" s="386"/>
      <c r="DX428" s="375"/>
      <c r="DY428" s="375"/>
      <c r="EA428" s="385"/>
      <c r="EB428" s="386"/>
      <c r="EC428" s="375"/>
      <c r="ED428" s="375"/>
      <c r="EF428" s="385"/>
      <c r="EG428" s="386"/>
      <c r="EH428" s="375"/>
      <c r="EI428" s="375"/>
      <c r="EK428" s="385"/>
      <c r="EL428" s="386"/>
      <c r="EM428" s="375"/>
      <c r="EN428" s="375"/>
      <c r="EP428" s="385"/>
      <c r="EQ428" s="386"/>
      <c r="ER428" s="375"/>
      <c r="ES428" s="375"/>
      <c r="EU428" s="385"/>
      <c r="EV428" s="386"/>
      <c r="EW428" s="375"/>
      <c r="EX428" s="375"/>
      <c r="EZ428" s="385"/>
      <c r="FA428" s="386"/>
      <c r="FB428" s="375"/>
      <c r="FC428" s="375"/>
      <c r="FE428" s="385"/>
      <c r="FF428" s="386"/>
      <c r="FG428" s="375"/>
      <c r="FH428" s="375"/>
      <c r="FJ428" s="385"/>
      <c r="FK428" s="386"/>
      <c r="FL428" s="375"/>
      <c r="FM428" s="375"/>
      <c r="FO428" s="385"/>
      <c r="FP428" s="386"/>
      <c r="FQ428" s="375"/>
      <c r="FR428" s="375"/>
      <c r="FT428" s="385"/>
      <c r="FU428" s="386"/>
      <c r="FV428" s="375"/>
      <c r="FW428" s="375"/>
      <c r="FY428" s="385"/>
      <c r="FZ428" s="386"/>
      <c r="GA428" s="375"/>
      <c r="GB428" s="375"/>
      <c r="GD428" s="385"/>
      <c r="GE428" s="386"/>
      <c r="GF428" s="375"/>
      <c r="GG428" s="375"/>
      <c r="GI428" s="385"/>
      <c r="GJ428" s="386"/>
      <c r="GK428" s="375"/>
      <c r="GL428" s="375"/>
      <c r="GN428" s="385"/>
      <c r="GO428" s="386"/>
      <c r="GP428" s="375"/>
      <c r="GQ428" s="375"/>
      <c r="GS428" s="385"/>
      <c r="GT428" s="386"/>
      <c r="GU428" s="375"/>
      <c r="GV428" s="375"/>
      <c r="GX428" s="385"/>
      <c r="GY428" s="386"/>
      <c r="GZ428" s="375"/>
      <c r="HA428" s="375"/>
      <c r="HC428" s="385"/>
      <c r="HD428" s="386"/>
      <c r="HE428" s="375"/>
      <c r="HF428" s="375"/>
      <c r="HH428" s="385"/>
      <c r="HI428" s="386"/>
      <c r="HJ428" s="375"/>
      <c r="HK428" s="375"/>
      <c r="HM428" s="385"/>
      <c r="HN428" s="386"/>
      <c r="HO428" s="375"/>
      <c r="HP428" s="375"/>
      <c r="HR428" s="385"/>
      <c r="HS428" s="386"/>
      <c r="HT428" s="375"/>
      <c r="HU428" s="375"/>
      <c r="HW428" s="385"/>
      <c r="HX428" s="386"/>
      <c r="HY428" s="375"/>
      <c r="HZ428" s="375"/>
      <c r="IB428" s="385"/>
      <c r="IC428" s="386"/>
      <c r="ID428" s="375"/>
      <c r="IE428" s="375"/>
      <c r="IG428" s="385"/>
      <c r="IH428" s="386"/>
      <c r="II428" s="375"/>
      <c r="IJ428" s="375"/>
      <c r="IL428" s="385"/>
      <c r="IM428" s="386"/>
      <c r="IN428" s="375"/>
      <c r="IO428" s="375"/>
      <c r="IQ428" s="385"/>
      <c r="IR428" s="386"/>
      <c r="IS428" s="375"/>
      <c r="IT428" s="375"/>
      <c r="IV428" s="385"/>
    </row>
    <row r="429" spans="1:256" s="387" customFormat="1" x14ac:dyDescent="0.2">
      <c r="A429" s="385"/>
      <c r="B429" s="386"/>
      <c r="C429" s="375"/>
      <c r="D429" s="375"/>
      <c r="F429" s="385"/>
      <c r="G429" s="386"/>
      <c r="H429" s="375"/>
      <c r="I429" s="375"/>
      <c r="K429" s="385"/>
      <c r="L429" s="386"/>
      <c r="M429" s="375"/>
      <c r="N429" s="375"/>
      <c r="P429" s="385"/>
      <c r="Q429" s="386"/>
      <c r="R429" s="375"/>
      <c r="S429" s="375"/>
      <c r="U429" s="385"/>
      <c r="V429" s="386"/>
      <c r="W429" s="375"/>
      <c r="X429" s="375"/>
      <c r="Z429" s="385"/>
      <c r="AA429" s="386"/>
      <c r="AB429" s="375"/>
      <c r="AC429" s="375"/>
      <c r="AE429" s="385"/>
      <c r="AF429" s="386"/>
      <c r="AG429" s="375"/>
      <c r="AH429" s="375"/>
      <c r="AJ429" s="385"/>
      <c r="AK429" s="386"/>
      <c r="AL429" s="375"/>
      <c r="AM429" s="375"/>
      <c r="AO429" s="385"/>
      <c r="AP429" s="386"/>
      <c r="AQ429" s="375"/>
      <c r="AR429" s="375"/>
      <c r="AT429" s="385"/>
      <c r="AU429" s="386"/>
      <c r="AV429" s="375"/>
      <c r="AW429" s="375"/>
      <c r="AY429" s="385"/>
      <c r="AZ429" s="386"/>
      <c r="BA429" s="375"/>
      <c r="BB429" s="375"/>
      <c r="BD429" s="385"/>
      <c r="BE429" s="386"/>
      <c r="BF429" s="375"/>
      <c r="BG429" s="375"/>
      <c r="BI429" s="385"/>
      <c r="BJ429" s="386"/>
      <c r="BK429" s="375"/>
      <c r="BL429" s="375"/>
      <c r="BN429" s="385"/>
      <c r="BO429" s="386"/>
      <c r="BP429" s="375"/>
      <c r="BQ429" s="375"/>
      <c r="BS429" s="385"/>
      <c r="BT429" s="386"/>
      <c r="BU429" s="375"/>
      <c r="BV429" s="375"/>
      <c r="BX429" s="385"/>
      <c r="BY429" s="386"/>
      <c r="BZ429" s="375"/>
      <c r="CA429" s="375"/>
      <c r="CC429" s="385"/>
      <c r="CD429" s="386"/>
      <c r="CE429" s="375"/>
      <c r="CF429" s="375"/>
      <c r="CH429" s="385"/>
      <c r="CI429" s="386"/>
      <c r="CJ429" s="375"/>
      <c r="CK429" s="375"/>
      <c r="CM429" s="385"/>
      <c r="CN429" s="386"/>
      <c r="CO429" s="375"/>
      <c r="CP429" s="375"/>
      <c r="CR429" s="385"/>
      <c r="CS429" s="386"/>
      <c r="CT429" s="375"/>
      <c r="CU429" s="375"/>
      <c r="CW429" s="385"/>
      <c r="CX429" s="386"/>
      <c r="CY429" s="375"/>
      <c r="CZ429" s="375"/>
      <c r="DB429" s="385"/>
      <c r="DC429" s="386"/>
      <c r="DD429" s="375"/>
      <c r="DE429" s="375"/>
      <c r="DG429" s="385"/>
      <c r="DH429" s="386"/>
      <c r="DI429" s="375"/>
      <c r="DJ429" s="375"/>
      <c r="DL429" s="385"/>
      <c r="DM429" s="386"/>
      <c r="DN429" s="375"/>
      <c r="DO429" s="375"/>
      <c r="DQ429" s="385"/>
      <c r="DR429" s="386"/>
      <c r="DS429" s="375"/>
      <c r="DT429" s="375"/>
      <c r="DV429" s="385"/>
      <c r="DW429" s="386"/>
      <c r="DX429" s="375"/>
      <c r="DY429" s="375"/>
      <c r="EA429" s="385"/>
      <c r="EB429" s="386"/>
      <c r="EC429" s="375"/>
      <c r="ED429" s="375"/>
      <c r="EF429" s="385"/>
      <c r="EG429" s="386"/>
      <c r="EH429" s="375"/>
      <c r="EI429" s="375"/>
      <c r="EK429" s="385"/>
      <c r="EL429" s="386"/>
      <c r="EM429" s="375"/>
      <c r="EN429" s="375"/>
      <c r="EP429" s="385"/>
      <c r="EQ429" s="386"/>
      <c r="ER429" s="375"/>
      <c r="ES429" s="375"/>
      <c r="EU429" s="385"/>
      <c r="EV429" s="386"/>
      <c r="EW429" s="375"/>
      <c r="EX429" s="375"/>
      <c r="EZ429" s="385"/>
      <c r="FA429" s="386"/>
      <c r="FB429" s="375"/>
      <c r="FC429" s="375"/>
      <c r="FE429" s="385"/>
      <c r="FF429" s="386"/>
      <c r="FG429" s="375"/>
      <c r="FH429" s="375"/>
      <c r="FJ429" s="385"/>
      <c r="FK429" s="386"/>
      <c r="FL429" s="375"/>
      <c r="FM429" s="375"/>
      <c r="FO429" s="385"/>
      <c r="FP429" s="386"/>
      <c r="FQ429" s="375"/>
      <c r="FR429" s="375"/>
      <c r="FT429" s="385"/>
      <c r="FU429" s="386"/>
      <c r="FV429" s="375"/>
      <c r="FW429" s="375"/>
      <c r="FY429" s="385"/>
      <c r="FZ429" s="386"/>
      <c r="GA429" s="375"/>
      <c r="GB429" s="375"/>
      <c r="GD429" s="385"/>
      <c r="GE429" s="386"/>
      <c r="GF429" s="375"/>
      <c r="GG429" s="375"/>
      <c r="GI429" s="385"/>
      <c r="GJ429" s="386"/>
      <c r="GK429" s="375"/>
      <c r="GL429" s="375"/>
      <c r="GN429" s="385"/>
      <c r="GO429" s="386"/>
      <c r="GP429" s="375"/>
      <c r="GQ429" s="375"/>
      <c r="GS429" s="385"/>
      <c r="GT429" s="386"/>
      <c r="GU429" s="375"/>
      <c r="GV429" s="375"/>
      <c r="GX429" s="385"/>
      <c r="GY429" s="386"/>
      <c r="GZ429" s="375"/>
      <c r="HA429" s="375"/>
      <c r="HC429" s="385"/>
      <c r="HD429" s="386"/>
      <c r="HE429" s="375"/>
      <c r="HF429" s="375"/>
      <c r="HH429" s="385"/>
      <c r="HI429" s="386"/>
      <c r="HJ429" s="375"/>
      <c r="HK429" s="375"/>
      <c r="HM429" s="385"/>
      <c r="HN429" s="386"/>
      <c r="HO429" s="375"/>
      <c r="HP429" s="375"/>
      <c r="HR429" s="385"/>
      <c r="HS429" s="386"/>
      <c r="HT429" s="375"/>
      <c r="HU429" s="375"/>
      <c r="HW429" s="385"/>
      <c r="HX429" s="386"/>
      <c r="HY429" s="375"/>
      <c r="HZ429" s="375"/>
      <c r="IB429" s="385"/>
      <c r="IC429" s="386"/>
      <c r="ID429" s="375"/>
      <c r="IE429" s="375"/>
      <c r="IG429" s="385"/>
      <c r="IH429" s="386"/>
      <c r="II429" s="375"/>
      <c r="IJ429" s="375"/>
      <c r="IL429" s="385"/>
      <c r="IM429" s="386"/>
      <c r="IN429" s="375"/>
      <c r="IO429" s="375"/>
      <c r="IQ429" s="385"/>
      <c r="IR429" s="386"/>
      <c r="IS429" s="375"/>
      <c r="IT429" s="375"/>
      <c r="IV429" s="385"/>
    </row>
    <row r="430" spans="1:256" s="387" customFormat="1" x14ac:dyDescent="0.2">
      <c r="A430" s="385"/>
      <c r="B430" s="386"/>
      <c r="C430" s="375"/>
      <c r="D430" s="375"/>
      <c r="F430" s="385"/>
      <c r="G430" s="386"/>
      <c r="H430" s="375"/>
      <c r="I430" s="375"/>
      <c r="K430" s="385"/>
      <c r="L430" s="386"/>
      <c r="M430" s="375"/>
      <c r="N430" s="375"/>
      <c r="P430" s="385"/>
      <c r="Q430" s="386"/>
      <c r="R430" s="375"/>
      <c r="S430" s="375"/>
      <c r="U430" s="385"/>
      <c r="V430" s="386"/>
      <c r="W430" s="375"/>
      <c r="X430" s="375"/>
      <c r="Z430" s="385"/>
      <c r="AA430" s="386"/>
      <c r="AB430" s="375"/>
      <c r="AC430" s="375"/>
      <c r="AE430" s="385"/>
      <c r="AF430" s="386"/>
      <c r="AG430" s="375"/>
      <c r="AH430" s="375"/>
      <c r="AJ430" s="385"/>
      <c r="AK430" s="386"/>
      <c r="AL430" s="375"/>
      <c r="AM430" s="375"/>
      <c r="AO430" s="385"/>
      <c r="AP430" s="386"/>
      <c r="AQ430" s="375"/>
      <c r="AR430" s="375"/>
      <c r="AT430" s="385"/>
      <c r="AU430" s="386"/>
      <c r="AV430" s="375"/>
      <c r="AW430" s="375"/>
      <c r="AY430" s="385"/>
      <c r="AZ430" s="386"/>
      <c r="BA430" s="375"/>
      <c r="BB430" s="375"/>
      <c r="BD430" s="385"/>
      <c r="BE430" s="386"/>
      <c r="BF430" s="375"/>
      <c r="BG430" s="375"/>
      <c r="BI430" s="385"/>
      <c r="BJ430" s="386"/>
      <c r="BK430" s="375"/>
      <c r="BL430" s="375"/>
      <c r="BN430" s="385"/>
      <c r="BO430" s="386"/>
      <c r="BP430" s="375"/>
      <c r="BQ430" s="375"/>
      <c r="BS430" s="385"/>
      <c r="BT430" s="386"/>
      <c r="BU430" s="375"/>
      <c r="BV430" s="375"/>
      <c r="BX430" s="385"/>
      <c r="BY430" s="386"/>
      <c r="BZ430" s="375"/>
      <c r="CA430" s="375"/>
      <c r="CC430" s="385"/>
      <c r="CD430" s="386"/>
      <c r="CE430" s="375"/>
      <c r="CF430" s="375"/>
      <c r="CH430" s="385"/>
      <c r="CI430" s="386"/>
      <c r="CJ430" s="375"/>
      <c r="CK430" s="375"/>
      <c r="CM430" s="385"/>
      <c r="CN430" s="386"/>
      <c r="CO430" s="375"/>
      <c r="CP430" s="375"/>
      <c r="CR430" s="385"/>
      <c r="CS430" s="386"/>
      <c r="CT430" s="375"/>
      <c r="CU430" s="375"/>
      <c r="CW430" s="385"/>
      <c r="CX430" s="386"/>
      <c r="CY430" s="375"/>
      <c r="CZ430" s="375"/>
      <c r="DB430" s="385"/>
      <c r="DC430" s="386"/>
      <c r="DD430" s="375"/>
      <c r="DE430" s="375"/>
      <c r="DG430" s="385"/>
      <c r="DH430" s="386"/>
      <c r="DI430" s="375"/>
      <c r="DJ430" s="375"/>
      <c r="DL430" s="385"/>
      <c r="DM430" s="386"/>
      <c r="DN430" s="375"/>
      <c r="DO430" s="375"/>
      <c r="DQ430" s="385"/>
      <c r="DR430" s="386"/>
      <c r="DS430" s="375"/>
      <c r="DT430" s="375"/>
      <c r="DV430" s="385"/>
      <c r="DW430" s="386"/>
      <c r="DX430" s="375"/>
      <c r="DY430" s="375"/>
      <c r="EA430" s="385"/>
      <c r="EB430" s="386"/>
      <c r="EC430" s="375"/>
      <c r="ED430" s="375"/>
      <c r="EF430" s="385"/>
      <c r="EG430" s="386"/>
      <c r="EH430" s="375"/>
      <c r="EI430" s="375"/>
      <c r="EK430" s="385"/>
      <c r="EL430" s="386"/>
      <c r="EM430" s="375"/>
      <c r="EN430" s="375"/>
      <c r="EP430" s="385"/>
      <c r="EQ430" s="386"/>
      <c r="ER430" s="375"/>
      <c r="ES430" s="375"/>
      <c r="EU430" s="385"/>
      <c r="EV430" s="386"/>
      <c r="EW430" s="375"/>
      <c r="EX430" s="375"/>
      <c r="EZ430" s="385"/>
      <c r="FA430" s="386"/>
      <c r="FB430" s="375"/>
      <c r="FC430" s="375"/>
      <c r="FE430" s="385"/>
      <c r="FF430" s="386"/>
      <c r="FG430" s="375"/>
      <c r="FH430" s="375"/>
      <c r="FJ430" s="385"/>
      <c r="FK430" s="386"/>
      <c r="FL430" s="375"/>
      <c r="FM430" s="375"/>
      <c r="FO430" s="385"/>
      <c r="FP430" s="386"/>
      <c r="FQ430" s="375"/>
      <c r="FR430" s="375"/>
      <c r="FT430" s="385"/>
      <c r="FU430" s="386"/>
      <c r="FV430" s="375"/>
      <c r="FW430" s="375"/>
      <c r="FY430" s="385"/>
      <c r="FZ430" s="386"/>
      <c r="GA430" s="375"/>
      <c r="GB430" s="375"/>
      <c r="GD430" s="385"/>
      <c r="GE430" s="386"/>
      <c r="GF430" s="375"/>
      <c r="GG430" s="375"/>
      <c r="GI430" s="385"/>
      <c r="GJ430" s="386"/>
      <c r="GK430" s="375"/>
      <c r="GL430" s="375"/>
      <c r="GN430" s="385"/>
      <c r="GO430" s="386"/>
      <c r="GP430" s="375"/>
      <c r="GQ430" s="375"/>
      <c r="GS430" s="385"/>
      <c r="GT430" s="386"/>
      <c r="GU430" s="375"/>
      <c r="GV430" s="375"/>
      <c r="GX430" s="385"/>
      <c r="GY430" s="386"/>
      <c r="GZ430" s="375"/>
      <c r="HA430" s="375"/>
      <c r="HC430" s="385"/>
      <c r="HD430" s="386"/>
      <c r="HE430" s="375"/>
      <c r="HF430" s="375"/>
      <c r="HH430" s="385"/>
      <c r="HI430" s="386"/>
      <c r="HJ430" s="375"/>
      <c r="HK430" s="375"/>
      <c r="HM430" s="385"/>
      <c r="HN430" s="386"/>
      <c r="HO430" s="375"/>
      <c r="HP430" s="375"/>
      <c r="HR430" s="385"/>
      <c r="HS430" s="386"/>
      <c r="HT430" s="375"/>
      <c r="HU430" s="375"/>
      <c r="HW430" s="385"/>
      <c r="HX430" s="386"/>
      <c r="HY430" s="375"/>
      <c r="HZ430" s="375"/>
      <c r="IB430" s="385"/>
      <c r="IC430" s="386"/>
      <c r="ID430" s="375"/>
      <c r="IE430" s="375"/>
      <c r="IG430" s="385"/>
      <c r="IH430" s="386"/>
      <c r="II430" s="375"/>
      <c r="IJ430" s="375"/>
      <c r="IL430" s="385"/>
      <c r="IM430" s="386"/>
      <c r="IN430" s="375"/>
      <c r="IO430" s="375"/>
      <c r="IQ430" s="385"/>
      <c r="IR430" s="386"/>
      <c r="IS430" s="375"/>
      <c r="IT430" s="375"/>
      <c r="IV430" s="385"/>
    </row>
    <row r="431" spans="1:256" s="387" customFormat="1" x14ac:dyDescent="0.2">
      <c r="A431" s="385"/>
      <c r="B431" s="386"/>
      <c r="C431" s="375"/>
      <c r="D431" s="375"/>
      <c r="F431" s="385"/>
      <c r="G431" s="386"/>
      <c r="H431" s="375"/>
      <c r="I431" s="375"/>
      <c r="K431" s="385"/>
      <c r="L431" s="386"/>
      <c r="M431" s="375"/>
      <c r="N431" s="375"/>
      <c r="P431" s="385"/>
      <c r="Q431" s="386"/>
      <c r="R431" s="375"/>
      <c r="S431" s="375"/>
      <c r="U431" s="385"/>
      <c r="V431" s="386"/>
      <c r="W431" s="375"/>
      <c r="X431" s="375"/>
      <c r="Z431" s="385"/>
      <c r="AA431" s="386"/>
      <c r="AB431" s="375"/>
      <c r="AC431" s="375"/>
      <c r="AE431" s="385"/>
      <c r="AF431" s="386"/>
      <c r="AG431" s="375"/>
      <c r="AH431" s="375"/>
      <c r="AJ431" s="385"/>
      <c r="AK431" s="386"/>
      <c r="AL431" s="375"/>
      <c r="AM431" s="375"/>
      <c r="AO431" s="385"/>
      <c r="AP431" s="386"/>
      <c r="AQ431" s="375"/>
      <c r="AR431" s="375"/>
      <c r="AT431" s="385"/>
      <c r="AU431" s="386"/>
      <c r="AV431" s="375"/>
      <c r="AW431" s="375"/>
      <c r="AY431" s="385"/>
      <c r="AZ431" s="386"/>
      <c r="BA431" s="375"/>
      <c r="BB431" s="375"/>
      <c r="BD431" s="385"/>
      <c r="BE431" s="386"/>
      <c r="BF431" s="375"/>
      <c r="BG431" s="375"/>
      <c r="BI431" s="385"/>
      <c r="BJ431" s="386"/>
      <c r="BK431" s="375"/>
      <c r="BL431" s="375"/>
      <c r="BN431" s="385"/>
      <c r="BO431" s="386"/>
      <c r="BP431" s="375"/>
      <c r="BQ431" s="375"/>
      <c r="BS431" s="385"/>
      <c r="BT431" s="386"/>
      <c r="BU431" s="375"/>
      <c r="BV431" s="375"/>
      <c r="BX431" s="385"/>
      <c r="BY431" s="386"/>
      <c r="BZ431" s="375"/>
      <c r="CA431" s="375"/>
      <c r="CC431" s="385"/>
      <c r="CD431" s="386"/>
      <c r="CE431" s="375"/>
      <c r="CF431" s="375"/>
      <c r="CH431" s="385"/>
      <c r="CI431" s="386"/>
      <c r="CJ431" s="375"/>
      <c r="CK431" s="375"/>
      <c r="CM431" s="385"/>
      <c r="CN431" s="386"/>
      <c r="CO431" s="375"/>
      <c r="CP431" s="375"/>
      <c r="CR431" s="385"/>
      <c r="CS431" s="386"/>
      <c r="CT431" s="375"/>
      <c r="CU431" s="375"/>
      <c r="CW431" s="385"/>
      <c r="CX431" s="386"/>
      <c r="CY431" s="375"/>
      <c r="CZ431" s="375"/>
      <c r="DB431" s="385"/>
      <c r="DC431" s="386"/>
      <c r="DD431" s="375"/>
      <c r="DE431" s="375"/>
      <c r="DG431" s="385"/>
      <c r="DH431" s="386"/>
      <c r="DI431" s="375"/>
      <c r="DJ431" s="375"/>
      <c r="DL431" s="385"/>
      <c r="DM431" s="386"/>
      <c r="DN431" s="375"/>
      <c r="DO431" s="375"/>
      <c r="DQ431" s="385"/>
      <c r="DR431" s="386"/>
      <c r="DS431" s="375"/>
      <c r="DT431" s="375"/>
      <c r="DV431" s="385"/>
      <c r="DW431" s="386"/>
      <c r="DX431" s="375"/>
      <c r="DY431" s="375"/>
      <c r="EA431" s="385"/>
      <c r="EB431" s="386"/>
      <c r="EC431" s="375"/>
      <c r="ED431" s="375"/>
      <c r="EF431" s="385"/>
      <c r="EG431" s="386"/>
      <c r="EH431" s="375"/>
      <c r="EI431" s="375"/>
      <c r="EK431" s="385"/>
      <c r="EL431" s="386"/>
      <c r="EM431" s="375"/>
      <c r="EN431" s="375"/>
      <c r="EP431" s="385"/>
      <c r="EQ431" s="386"/>
      <c r="ER431" s="375"/>
      <c r="ES431" s="375"/>
      <c r="EU431" s="385"/>
      <c r="EV431" s="386"/>
      <c r="EW431" s="375"/>
      <c r="EX431" s="375"/>
      <c r="EZ431" s="385"/>
      <c r="FA431" s="386"/>
      <c r="FB431" s="375"/>
      <c r="FC431" s="375"/>
      <c r="FE431" s="385"/>
      <c r="FF431" s="386"/>
      <c r="FG431" s="375"/>
      <c r="FH431" s="375"/>
      <c r="FJ431" s="385"/>
      <c r="FK431" s="386"/>
      <c r="FL431" s="375"/>
      <c r="FM431" s="375"/>
      <c r="FO431" s="385"/>
      <c r="FP431" s="386"/>
      <c r="FQ431" s="375"/>
      <c r="FR431" s="375"/>
      <c r="FT431" s="385"/>
      <c r="FU431" s="386"/>
      <c r="FV431" s="375"/>
      <c r="FW431" s="375"/>
      <c r="FY431" s="385"/>
      <c r="FZ431" s="386"/>
      <c r="GA431" s="375"/>
      <c r="GB431" s="375"/>
      <c r="GD431" s="385"/>
      <c r="GE431" s="386"/>
      <c r="GF431" s="375"/>
      <c r="GG431" s="375"/>
      <c r="GI431" s="385"/>
      <c r="GJ431" s="386"/>
      <c r="GK431" s="375"/>
      <c r="GL431" s="375"/>
      <c r="GN431" s="385"/>
      <c r="GO431" s="386"/>
      <c r="GP431" s="375"/>
      <c r="GQ431" s="375"/>
      <c r="GS431" s="385"/>
      <c r="GT431" s="386"/>
      <c r="GU431" s="375"/>
      <c r="GV431" s="375"/>
      <c r="GX431" s="385"/>
      <c r="GY431" s="386"/>
      <c r="GZ431" s="375"/>
      <c r="HA431" s="375"/>
      <c r="HC431" s="385"/>
      <c r="HD431" s="386"/>
      <c r="HE431" s="375"/>
      <c r="HF431" s="375"/>
      <c r="HH431" s="385"/>
      <c r="HI431" s="386"/>
      <c r="HJ431" s="375"/>
      <c r="HK431" s="375"/>
      <c r="HM431" s="385"/>
      <c r="HN431" s="386"/>
      <c r="HO431" s="375"/>
      <c r="HP431" s="375"/>
      <c r="HR431" s="385"/>
      <c r="HS431" s="386"/>
      <c r="HT431" s="375"/>
      <c r="HU431" s="375"/>
      <c r="HW431" s="385"/>
      <c r="HX431" s="386"/>
      <c r="HY431" s="375"/>
      <c r="HZ431" s="375"/>
      <c r="IB431" s="385"/>
      <c r="IC431" s="386"/>
      <c r="ID431" s="375"/>
      <c r="IE431" s="375"/>
      <c r="IG431" s="385"/>
      <c r="IH431" s="386"/>
      <c r="II431" s="375"/>
      <c r="IJ431" s="375"/>
      <c r="IL431" s="385"/>
      <c r="IM431" s="386"/>
      <c r="IN431" s="375"/>
      <c r="IO431" s="375"/>
      <c r="IQ431" s="385"/>
      <c r="IR431" s="386"/>
      <c r="IS431" s="375"/>
      <c r="IT431" s="375"/>
      <c r="IV431" s="385"/>
    </row>
    <row r="432" spans="1:256" s="387" customFormat="1" x14ac:dyDescent="0.2">
      <c r="A432" s="385"/>
      <c r="B432" s="386"/>
      <c r="C432" s="375"/>
      <c r="D432" s="375"/>
      <c r="F432" s="385"/>
      <c r="G432" s="386"/>
      <c r="H432" s="375"/>
      <c r="I432" s="375"/>
      <c r="K432" s="385"/>
      <c r="L432" s="386"/>
      <c r="M432" s="375"/>
      <c r="N432" s="375"/>
      <c r="P432" s="385"/>
      <c r="Q432" s="386"/>
      <c r="R432" s="375"/>
      <c r="S432" s="375"/>
      <c r="U432" s="385"/>
      <c r="V432" s="386"/>
      <c r="W432" s="375"/>
      <c r="X432" s="375"/>
      <c r="Z432" s="385"/>
      <c r="AA432" s="386"/>
      <c r="AB432" s="375"/>
      <c r="AC432" s="375"/>
      <c r="AE432" s="385"/>
      <c r="AF432" s="386"/>
      <c r="AG432" s="375"/>
      <c r="AH432" s="375"/>
      <c r="AJ432" s="385"/>
      <c r="AK432" s="386"/>
      <c r="AL432" s="375"/>
      <c r="AM432" s="375"/>
      <c r="AO432" s="385"/>
      <c r="AP432" s="386"/>
      <c r="AQ432" s="375"/>
      <c r="AR432" s="375"/>
      <c r="AT432" s="385"/>
      <c r="AU432" s="386"/>
      <c r="AV432" s="375"/>
      <c r="AW432" s="375"/>
      <c r="AY432" s="385"/>
      <c r="AZ432" s="386"/>
      <c r="BA432" s="375"/>
      <c r="BB432" s="375"/>
      <c r="BD432" s="385"/>
      <c r="BE432" s="386"/>
      <c r="BF432" s="375"/>
      <c r="BG432" s="375"/>
      <c r="BI432" s="385"/>
      <c r="BJ432" s="386"/>
      <c r="BK432" s="375"/>
      <c r="BL432" s="375"/>
      <c r="BN432" s="385"/>
      <c r="BO432" s="386"/>
      <c r="BP432" s="375"/>
      <c r="BQ432" s="375"/>
      <c r="BS432" s="385"/>
      <c r="BT432" s="386"/>
      <c r="BU432" s="375"/>
      <c r="BV432" s="375"/>
      <c r="BX432" s="385"/>
      <c r="BY432" s="386"/>
      <c r="BZ432" s="375"/>
      <c r="CA432" s="375"/>
      <c r="CC432" s="385"/>
      <c r="CD432" s="386"/>
      <c r="CE432" s="375"/>
      <c r="CF432" s="375"/>
      <c r="CH432" s="385"/>
      <c r="CI432" s="386"/>
      <c r="CJ432" s="375"/>
      <c r="CK432" s="375"/>
      <c r="CM432" s="385"/>
      <c r="CN432" s="386"/>
      <c r="CO432" s="375"/>
      <c r="CP432" s="375"/>
      <c r="CR432" s="385"/>
      <c r="CS432" s="386"/>
      <c r="CT432" s="375"/>
      <c r="CU432" s="375"/>
      <c r="CW432" s="385"/>
      <c r="CX432" s="386"/>
      <c r="CY432" s="375"/>
      <c r="CZ432" s="375"/>
      <c r="DB432" s="385"/>
      <c r="DC432" s="386"/>
      <c r="DD432" s="375"/>
      <c r="DE432" s="375"/>
      <c r="DG432" s="385"/>
      <c r="DH432" s="386"/>
      <c r="DI432" s="375"/>
      <c r="DJ432" s="375"/>
      <c r="DL432" s="385"/>
      <c r="DM432" s="386"/>
      <c r="DN432" s="375"/>
      <c r="DO432" s="375"/>
      <c r="DQ432" s="385"/>
      <c r="DR432" s="386"/>
      <c r="DS432" s="375"/>
      <c r="DT432" s="375"/>
      <c r="DV432" s="385"/>
      <c r="DW432" s="386"/>
      <c r="DX432" s="375"/>
      <c r="DY432" s="375"/>
      <c r="EA432" s="385"/>
      <c r="EB432" s="386"/>
      <c r="EC432" s="375"/>
      <c r="ED432" s="375"/>
      <c r="EF432" s="385"/>
      <c r="EG432" s="386"/>
      <c r="EH432" s="375"/>
      <c r="EI432" s="375"/>
      <c r="EK432" s="385"/>
      <c r="EL432" s="386"/>
      <c r="EM432" s="375"/>
      <c r="EN432" s="375"/>
      <c r="EP432" s="385"/>
      <c r="EQ432" s="386"/>
      <c r="ER432" s="375"/>
      <c r="ES432" s="375"/>
      <c r="EU432" s="385"/>
      <c r="EV432" s="386"/>
      <c r="EW432" s="375"/>
      <c r="EX432" s="375"/>
      <c r="EZ432" s="385"/>
      <c r="FA432" s="386"/>
      <c r="FB432" s="375"/>
      <c r="FC432" s="375"/>
      <c r="FE432" s="385"/>
      <c r="FF432" s="386"/>
      <c r="FG432" s="375"/>
      <c r="FH432" s="375"/>
      <c r="FJ432" s="385"/>
      <c r="FK432" s="386"/>
      <c r="FL432" s="375"/>
      <c r="FM432" s="375"/>
      <c r="FO432" s="385"/>
      <c r="FP432" s="386"/>
      <c r="FQ432" s="375"/>
      <c r="FR432" s="375"/>
      <c r="FT432" s="385"/>
      <c r="FU432" s="386"/>
      <c r="FV432" s="375"/>
      <c r="FW432" s="375"/>
      <c r="FY432" s="385"/>
      <c r="FZ432" s="386"/>
      <c r="GA432" s="375"/>
      <c r="GB432" s="375"/>
      <c r="GD432" s="385"/>
      <c r="GE432" s="386"/>
      <c r="GF432" s="375"/>
      <c r="GG432" s="375"/>
      <c r="GI432" s="385"/>
      <c r="GJ432" s="386"/>
      <c r="GK432" s="375"/>
      <c r="GL432" s="375"/>
      <c r="GN432" s="385"/>
      <c r="GO432" s="386"/>
      <c r="GP432" s="375"/>
      <c r="GQ432" s="375"/>
      <c r="GS432" s="385"/>
      <c r="GT432" s="386"/>
      <c r="GU432" s="375"/>
      <c r="GV432" s="375"/>
      <c r="GX432" s="385"/>
      <c r="GY432" s="386"/>
      <c r="GZ432" s="375"/>
      <c r="HA432" s="375"/>
      <c r="HC432" s="385"/>
      <c r="HD432" s="386"/>
      <c r="HE432" s="375"/>
      <c r="HF432" s="375"/>
      <c r="HH432" s="385"/>
      <c r="HI432" s="386"/>
      <c r="HJ432" s="375"/>
      <c r="HK432" s="375"/>
      <c r="HM432" s="385"/>
      <c r="HN432" s="386"/>
      <c r="HO432" s="375"/>
      <c r="HP432" s="375"/>
      <c r="HR432" s="385"/>
      <c r="HS432" s="386"/>
      <c r="HT432" s="375"/>
      <c r="HU432" s="375"/>
      <c r="HW432" s="385"/>
      <c r="HX432" s="386"/>
      <c r="HY432" s="375"/>
      <c r="HZ432" s="375"/>
      <c r="IB432" s="385"/>
      <c r="IC432" s="386"/>
      <c r="ID432" s="375"/>
      <c r="IE432" s="375"/>
      <c r="IG432" s="385"/>
      <c r="IH432" s="386"/>
      <c r="II432" s="375"/>
      <c r="IJ432" s="375"/>
      <c r="IL432" s="385"/>
      <c r="IM432" s="386"/>
      <c r="IN432" s="375"/>
      <c r="IO432" s="375"/>
      <c r="IQ432" s="385"/>
      <c r="IR432" s="386"/>
      <c r="IS432" s="375"/>
      <c r="IT432" s="375"/>
      <c r="IV432" s="385"/>
    </row>
    <row r="433" spans="1:256" s="387" customFormat="1" x14ac:dyDescent="0.2">
      <c r="A433" s="385"/>
      <c r="B433" s="386"/>
      <c r="C433" s="375"/>
      <c r="D433" s="375"/>
      <c r="F433" s="385"/>
      <c r="G433" s="386"/>
      <c r="H433" s="375"/>
      <c r="I433" s="375"/>
      <c r="K433" s="385"/>
      <c r="L433" s="386"/>
      <c r="M433" s="375"/>
      <c r="N433" s="375"/>
      <c r="P433" s="385"/>
      <c r="Q433" s="386"/>
      <c r="R433" s="375"/>
      <c r="S433" s="375"/>
      <c r="U433" s="385"/>
      <c r="V433" s="386"/>
      <c r="W433" s="375"/>
      <c r="X433" s="375"/>
      <c r="Z433" s="385"/>
      <c r="AA433" s="386"/>
      <c r="AB433" s="375"/>
      <c r="AC433" s="375"/>
      <c r="AE433" s="385"/>
      <c r="AF433" s="386"/>
      <c r="AG433" s="375"/>
      <c r="AH433" s="375"/>
      <c r="AJ433" s="385"/>
      <c r="AK433" s="386"/>
      <c r="AL433" s="375"/>
      <c r="AM433" s="375"/>
      <c r="AO433" s="385"/>
      <c r="AP433" s="386"/>
      <c r="AQ433" s="375"/>
      <c r="AR433" s="375"/>
      <c r="AT433" s="385"/>
      <c r="AU433" s="386"/>
      <c r="AV433" s="375"/>
      <c r="AW433" s="375"/>
      <c r="AY433" s="385"/>
      <c r="AZ433" s="386"/>
      <c r="BA433" s="375"/>
      <c r="BB433" s="375"/>
      <c r="BD433" s="385"/>
      <c r="BE433" s="386"/>
      <c r="BF433" s="375"/>
      <c r="BG433" s="375"/>
      <c r="BI433" s="385"/>
      <c r="BJ433" s="386"/>
      <c r="BK433" s="375"/>
      <c r="BL433" s="375"/>
      <c r="BN433" s="385"/>
      <c r="BO433" s="386"/>
      <c r="BP433" s="375"/>
      <c r="BQ433" s="375"/>
      <c r="BS433" s="385"/>
      <c r="BT433" s="386"/>
      <c r="BU433" s="375"/>
      <c r="BV433" s="375"/>
      <c r="BX433" s="385"/>
      <c r="BY433" s="386"/>
      <c r="BZ433" s="375"/>
      <c r="CA433" s="375"/>
      <c r="CC433" s="385"/>
      <c r="CD433" s="386"/>
      <c r="CE433" s="375"/>
      <c r="CF433" s="375"/>
      <c r="CH433" s="385"/>
      <c r="CI433" s="386"/>
      <c r="CJ433" s="375"/>
      <c r="CK433" s="375"/>
      <c r="CM433" s="385"/>
      <c r="CN433" s="386"/>
      <c r="CO433" s="375"/>
      <c r="CP433" s="375"/>
      <c r="CR433" s="385"/>
      <c r="CS433" s="386"/>
      <c r="CT433" s="375"/>
      <c r="CU433" s="375"/>
      <c r="CW433" s="385"/>
      <c r="CX433" s="386"/>
      <c r="CY433" s="375"/>
      <c r="CZ433" s="375"/>
      <c r="DB433" s="385"/>
      <c r="DC433" s="386"/>
      <c r="DD433" s="375"/>
      <c r="DE433" s="375"/>
      <c r="DG433" s="385"/>
      <c r="DH433" s="386"/>
      <c r="DI433" s="375"/>
      <c r="DJ433" s="375"/>
      <c r="DL433" s="385"/>
      <c r="DM433" s="386"/>
      <c r="DN433" s="375"/>
      <c r="DO433" s="375"/>
      <c r="DQ433" s="385"/>
      <c r="DR433" s="386"/>
      <c r="DS433" s="375"/>
      <c r="DT433" s="375"/>
      <c r="DV433" s="385"/>
      <c r="DW433" s="386"/>
      <c r="DX433" s="375"/>
      <c r="DY433" s="375"/>
      <c r="EA433" s="385"/>
      <c r="EB433" s="386"/>
      <c r="EC433" s="375"/>
      <c r="ED433" s="375"/>
      <c r="EF433" s="385"/>
      <c r="EG433" s="386"/>
      <c r="EH433" s="375"/>
      <c r="EI433" s="375"/>
      <c r="EK433" s="385"/>
      <c r="EL433" s="386"/>
      <c r="EM433" s="375"/>
      <c r="EN433" s="375"/>
      <c r="EP433" s="385"/>
      <c r="EQ433" s="386"/>
      <c r="ER433" s="375"/>
      <c r="ES433" s="375"/>
      <c r="EU433" s="385"/>
      <c r="EV433" s="386"/>
      <c r="EW433" s="375"/>
      <c r="EX433" s="375"/>
      <c r="EZ433" s="385"/>
      <c r="FA433" s="386"/>
      <c r="FB433" s="375"/>
      <c r="FC433" s="375"/>
      <c r="FE433" s="385"/>
      <c r="FF433" s="386"/>
      <c r="FG433" s="375"/>
      <c r="FH433" s="375"/>
      <c r="FJ433" s="385"/>
      <c r="FK433" s="386"/>
      <c r="FL433" s="375"/>
      <c r="FM433" s="375"/>
      <c r="FO433" s="385"/>
      <c r="FP433" s="386"/>
      <c r="FQ433" s="375"/>
      <c r="FR433" s="375"/>
      <c r="FT433" s="385"/>
      <c r="FU433" s="386"/>
      <c r="FV433" s="375"/>
      <c r="FW433" s="375"/>
      <c r="FY433" s="385"/>
      <c r="FZ433" s="386"/>
      <c r="GA433" s="375"/>
      <c r="GB433" s="375"/>
      <c r="GD433" s="385"/>
      <c r="GE433" s="386"/>
      <c r="GF433" s="375"/>
      <c r="GG433" s="375"/>
      <c r="GI433" s="385"/>
      <c r="GJ433" s="386"/>
      <c r="GK433" s="375"/>
      <c r="GL433" s="375"/>
      <c r="GN433" s="385"/>
      <c r="GO433" s="386"/>
      <c r="GP433" s="375"/>
      <c r="GQ433" s="375"/>
      <c r="GS433" s="385"/>
      <c r="GT433" s="386"/>
      <c r="GU433" s="375"/>
      <c r="GV433" s="375"/>
      <c r="GX433" s="385"/>
      <c r="GY433" s="386"/>
      <c r="GZ433" s="375"/>
      <c r="HA433" s="375"/>
      <c r="HC433" s="385"/>
      <c r="HD433" s="386"/>
      <c r="HE433" s="375"/>
      <c r="HF433" s="375"/>
      <c r="HH433" s="385"/>
      <c r="HI433" s="386"/>
      <c r="HJ433" s="375"/>
      <c r="HK433" s="375"/>
      <c r="HM433" s="385"/>
      <c r="HN433" s="386"/>
      <c r="HO433" s="375"/>
      <c r="HP433" s="375"/>
      <c r="HR433" s="385"/>
      <c r="HS433" s="386"/>
      <c r="HT433" s="375"/>
      <c r="HU433" s="375"/>
      <c r="HW433" s="385"/>
      <c r="HX433" s="386"/>
      <c r="HY433" s="375"/>
      <c r="HZ433" s="375"/>
      <c r="IB433" s="385"/>
      <c r="IC433" s="386"/>
      <c r="ID433" s="375"/>
      <c r="IE433" s="375"/>
      <c r="IG433" s="385"/>
      <c r="IH433" s="386"/>
      <c r="II433" s="375"/>
      <c r="IJ433" s="375"/>
      <c r="IL433" s="385"/>
      <c r="IM433" s="386"/>
      <c r="IN433" s="375"/>
      <c r="IO433" s="375"/>
      <c r="IQ433" s="385"/>
      <c r="IR433" s="386"/>
      <c r="IS433" s="375"/>
      <c r="IT433" s="375"/>
      <c r="IV433" s="385"/>
    </row>
    <row r="434" spans="1:256" s="387" customFormat="1" x14ac:dyDescent="0.2">
      <c r="A434" s="385"/>
      <c r="B434" s="386"/>
      <c r="C434" s="375"/>
      <c r="D434" s="375"/>
      <c r="F434" s="385"/>
      <c r="G434" s="386"/>
      <c r="H434" s="375"/>
      <c r="I434" s="375"/>
      <c r="K434" s="385"/>
      <c r="L434" s="386"/>
      <c r="M434" s="375"/>
      <c r="N434" s="375"/>
      <c r="P434" s="385"/>
      <c r="Q434" s="386"/>
      <c r="R434" s="375"/>
      <c r="S434" s="375"/>
      <c r="U434" s="385"/>
      <c r="V434" s="386"/>
      <c r="W434" s="375"/>
      <c r="X434" s="375"/>
      <c r="Z434" s="385"/>
      <c r="AA434" s="386"/>
      <c r="AB434" s="375"/>
      <c r="AC434" s="375"/>
      <c r="AE434" s="385"/>
      <c r="AF434" s="386"/>
      <c r="AG434" s="375"/>
      <c r="AH434" s="375"/>
      <c r="AJ434" s="385"/>
      <c r="AK434" s="386"/>
      <c r="AL434" s="375"/>
      <c r="AM434" s="375"/>
      <c r="AO434" s="385"/>
      <c r="AP434" s="386"/>
      <c r="AQ434" s="375"/>
      <c r="AR434" s="375"/>
      <c r="AT434" s="385"/>
      <c r="AU434" s="386"/>
      <c r="AV434" s="375"/>
      <c r="AW434" s="375"/>
      <c r="AY434" s="385"/>
      <c r="AZ434" s="386"/>
      <c r="BA434" s="375"/>
      <c r="BB434" s="375"/>
      <c r="BD434" s="385"/>
      <c r="BE434" s="386"/>
      <c r="BF434" s="375"/>
      <c r="BG434" s="375"/>
      <c r="BI434" s="385"/>
      <c r="BJ434" s="386"/>
      <c r="BK434" s="375"/>
      <c r="BL434" s="375"/>
      <c r="BN434" s="385"/>
      <c r="BO434" s="386"/>
      <c r="BP434" s="375"/>
      <c r="BQ434" s="375"/>
      <c r="BS434" s="385"/>
      <c r="BT434" s="386"/>
      <c r="BU434" s="375"/>
      <c r="BV434" s="375"/>
      <c r="BX434" s="385"/>
      <c r="BY434" s="386"/>
      <c r="BZ434" s="375"/>
      <c r="CA434" s="375"/>
      <c r="CC434" s="385"/>
      <c r="CD434" s="386"/>
      <c r="CE434" s="375"/>
      <c r="CF434" s="375"/>
      <c r="CH434" s="385"/>
      <c r="CI434" s="386"/>
      <c r="CJ434" s="375"/>
      <c r="CK434" s="375"/>
      <c r="CM434" s="385"/>
      <c r="CN434" s="386"/>
      <c r="CO434" s="375"/>
      <c r="CP434" s="375"/>
      <c r="CR434" s="385"/>
      <c r="CS434" s="386"/>
      <c r="CT434" s="375"/>
      <c r="CU434" s="375"/>
      <c r="CW434" s="385"/>
      <c r="CX434" s="386"/>
      <c r="CY434" s="375"/>
      <c r="CZ434" s="375"/>
      <c r="DB434" s="385"/>
      <c r="DC434" s="386"/>
      <c r="DD434" s="375"/>
      <c r="DE434" s="375"/>
      <c r="DG434" s="385"/>
      <c r="DH434" s="386"/>
      <c r="DI434" s="375"/>
      <c r="DJ434" s="375"/>
      <c r="DL434" s="385"/>
      <c r="DM434" s="386"/>
      <c r="DN434" s="375"/>
      <c r="DO434" s="375"/>
      <c r="DQ434" s="385"/>
      <c r="DR434" s="386"/>
      <c r="DS434" s="375"/>
      <c r="DT434" s="375"/>
      <c r="DV434" s="385"/>
      <c r="DW434" s="386"/>
      <c r="DX434" s="375"/>
      <c r="DY434" s="375"/>
      <c r="EA434" s="385"/>
      <c r="EB434" s="386"/>
      <c r="EC434" s="375"/>
      <c r="ED434" s="375"/>
      <c r="EF434" s="385"/>
      <c r="EG434" s="386"/>
      <c r="EH434" s="375"/>
      <c r="EI434" s="375"/>
      <c r="EK434" s="385"/>
      <c r="EL434" s="386"/>
      <c r="EM434" s="375"/>
      <c r="EN434" s="375"/>
      <c r="EP434" s="385"/>
      <c r="EQ434" s="386"/>
      <c r="ER434" s="375"/>
      <c r="ES434" s="375"/>
      <c r="EU434" s="385"/>
      <c r="EV434" s="386"/>
      <c r="EW434" s="375"/>
      <c r="EX434" s="375"/>
      <c r="EZ434" s="385"/>
      <c r="FA434" s="386"/>
      <c r="FB434" s="375"/>
      <c r="FC434" s="375"/>
      <c r="FE434" s="385"/>
      <c r="FF434" s="386"/>
      <c r="FG434" s="375"/>
      <c r="FH434" s="375"/>
      <c r="FJ434" s="385"/>
      <c r="FK434" s="386"/>
      <c r="FL434" s="375"/>
      <c r="FM434" s="375"/>
      <c r="FO434" s="385"/>
      <c r="FP434" s="386"/>
      <c r="FQ434" s="375"/>
      <c r="FR434" s="375"/>
      <c r="FT434" s="385"/>
      <c r="FU434" s="386"/>
      <c r="FV434" s="375"/>
      <c r="FW434" s="375"/>
      <c r="FY434" s="385"/>
      <c r="FZ434" s="386"/>
      <c r="GA434" s="375"/>
      <c r="GB434" s="375"/>
      <c r="GD434" s="385"/>
      <c r="GE434" s="386"/>
      <c r="GF434" s="375"/>
      <c r="GG434" s="375"/>
      <c r="GI434" s="385"/>
      <c r="GJ434" s="386"/>
      <c r="GK434" s="375"/>
      <c r="GL434" s="375"/>
      <c r="GN434" s="385"/>
      <c r="GO434" s="386"/>
      <c r="GP434" s="375"/>
      <c r="GQ434" s="375"/>
      <c r="GS434" s="385"/>
      <c r="GT434" s="386"/>
      <c r="GU434" s="375"/>
      <c r="GV434" s="375"/>
      <c r="GX434" s="385"/>
      <c r="GY434" s="386"/>
      <c r="GZ434" s="375"/>
      <c r="HA434" s="375"/>
      <c r="HC434" s="385"/>
      <c r="HD434" s="386"/>
      <c r="HE434" s="375"/>
      <c r="HF434" s="375"/>
      <c r="HH434" s="385"/>
      <c r="HI434" s="386"/>
      <c r="HJ434" s="375"/>
      <c r="HK434" s="375"/>
      <c r="HM434" s="385"/>
      <c r="HN434" s="386"/>
      <c r="HO434" s="375"/>
      <c r="HP434" s="375"/>
      <c r="HR434" s="385"/>
      <c r="HS434" s="386"/>
      <c r="HT434" s="375"/>
      <c r="HU434" s="375"/>
      <c r="HW434" s="385"/>
      <c r="HX434" s="386"/>
      <c r="HY434" s="375"/>
      <c r="HZ434" s="375"/>
      <c r="IB434" s="385"/>
      <c r="IC434" s="386"/>
      <c r="ID434" s="375"/>
      <c r="IE434" s="375"/>
      <c r="IG434" s="385"/>
      <c r="IH434" s="386"/>
      <c r="II434" s="375"/>
      <c r="IJ434" s="375"/>
      <c r="IL434" s="385"/>
      <c r="IM434" s="386"/>
      <c r="IN434" s="375"/>
      <c r="IO434" s="375"/>
      <c r="IQ434" s="385"/>
      <c r="IR434" s="386"/>
      <c r="IS434" s="375"/>
      <c r="IT434" s="375"/>
      <c r="IV434" s="385"/>
    </row>
    <row r="435" spans="1:256" s="387" customFormat="1" x14ac:dyDescent="0.2">
      <c r="A435" s="385"/>
      <c r="B435" s="386"/>
      <c r="C435" s="375"/>
      <c r="D435" s="375"/>
      <c r="F435" s="385"/>
      <c r="G435" s="386"/>
      <c r="H435" s="375"/>
      <c r="I435" s="375"/>
      <c r="K435" s="385"/>
      <c r="L435" s="386"/>
      <c r="M435" s="375"/>
      <c r="N435" s="375"/>
      <c r="P435" s="385"/>
      <c r="Q435" s="386"/>
      <c r="R435" s="375"/>
      <c r="S435" s="375"/>
      <c r="U435" s="385"/>
      <c r="V435" s="386"/>
      <c r="W435" s="375"/>
      <c r="X435" s="375"/>
      <c r="Z435" s="385"/>
      <c r="AA435" s="386"/>
      <c r="AB435" s="375"/>
      <c r="AC435" s="375"/>
      <c r="AE435" s="385"/>
      <c r="AF435" s="386"/>
      <c r="AG435" s="375"/>
      <c r="AH435" s="375"/>
      <c r="AJ435" s="385"/>
      <c r="AK435" s="386"/>
      <c r="AL435" s="375"/>
      <c r="AM435" s="375"/>
      <c r="AO435" s="385"/>
      <c r="AP435" s="386"/>
      <c r="AQ435" s="375"/>
      <c r="AR435" s="375"/>
      <c r="AT435" s="385"/>
      <c r="AU435" s="386"/>
      <c r="AV435" s="375"/>
      <c r="AW435" s="375"/>
      <c r="AY435" s="385"/>
      <c r="AZ435" s="386"/>
      <c r="BA435" s="375"/>
      <c r="BB435" s="375"/>
      <c r="BD435" s="385"/>
      <c r="BE435" s="386"/>
      <c r="BF435" s="375"/>
      <c r="BG435" s="375"/>
      <c r="BI435" s="385"/>
      <c r="BJ435" s="386"/>
      <c r="BK435" s="375"/>
      <c r="BL435" s="375"/>
      <c r="BN435" s="385"/>
      <c r="BO435" s="386"/>
      <c r="BP435" s="375"/>
      <c r="BQ435" s="375"/>
      <c r="BS435" s="385"/>
      <c r="BT435" s="386"/>
      <c r="BU435" s="375"/>
      <c r="BV435" s="375"/>
      <c r="BX435" s="385"/>
      <c r="BY435" s="386"/>
      <c r="BZ435" s="375"/>
      <c r="CA435" s="375"/>
      <c r="CC435" s="385"/>
      <c r="CD435" s="386"/>
      <c r="CE435" s="375"/>
      <c r="CF435" s="375"/>
      <c r="CH435" s="385"/>
      <c r="CI435" s="386"/>
      <c r="CJ435" s="375"/>
      <c r="CK435" s="375"/>
      <c r="CM435" s="385"/>
      <c r="CN435" s="386"/>
      <c r="CO435" s="375"/>
      <c r="CP435" s="375"/>
      <c r="CR435" s="385"/>
      <c r="CS435" s="386"/>
      <c r="CT435" s="375"/>
      <c r="CU435" s="375"/>
      <c r="CW435" s="385"/>
      <c r="CX435" s="386"/>
      <c r="CY435" s="375"/>
      <c r="CZ435" s="375"/>
      <c r="DB435" s="385"/>
      <c r="DC435" s="386"/>
      <c r="DD435" s="375"/>
      <c r="DE435" s="375"/>
      <c r="DG435" s="385"/>
      <c r="DH435" s="386"/>
      <c r="DI435" s="375"/>
      <c r="DJ435" s="375"/>
      <c r="DL435" s="385"/>
      <c r="DM435" s="386"/>
      <c r="DN435" s="375"/>
      <c r="DO435" s="375"/>
      <c r="DQ435" s="385"/>
      <c r="DR435" s="386"/>
      <c r="DS435" s="375"/>
      <c r="DT435" s="375"/>
      <c r="DV435" s="385"/>
      <c r="DW435" s="386"/>
      <c r="DX435" s="375"/>
      <c r="DY435" s="375"/>
      <c r="EA435" s="385"/>
      <c r="EB435" s="386"/>
      <c r="EC435" s="375"/>
      <c r="ED435" s="375"/>
      <c r="EF435" s="385"/>
      <c r="EG435" s="386"/>
      <c r="EH435" s="375"/>
      <c r="EI435" s="375"/>
      <c r="EK435" s="385"/>
      <c r="EL435" s="386"/>
      <c r="EM435" s="375"/>
      <c r="EN435" s="375"/>
      <c r="EP435" s="385"/>
      <c r="EQ435" s="386"/>
      <c r="ER435" s="375"/>
      <c r="ES435" s="375"/>
      <c r="EU435" s="385"/>
      <c r="EV435" s="386"/>
      <c r="EW435" s="375"/>
      <c r="EX435" s="375"/>
      <c r="EZ435" s="385"/>
      <c r="FA435" s="386"/>
      <c r="FB435" s="375"/>
      <c r="FC435" s="375"/>
      <c r="FE435" s="385"/>
      <c r="FF435" s="386"/>
      <c r="FG435" s="375"/>
      <c r="FH435" s="375"/>
      <c r="FJ435" s="385"/>
      <c r="FK435" s="386"/>
      <c r="FL435" s="375"/>
      <c r="FM435" s="375"/>
      <c r="FO435" s="385"/>
      <c r="FP435" s="386"/>
      <c r="FQ435" s="375"/>
      <c r="FR435" s="375"/>
      <c r="FT435" s="385"/>
      <c r="FU435" s="386"/>
      <c r="FV435" s="375"/>
      <c r="FW435" s="375"/>
      <c r="FY435" s="385"/>
      <c r="FZ435" s="386"/>
      <c r="GA435" s="375"/>
      <c r="GB435" s="375"/>
      <c r="GD435" s="385"/>
      <c r="GE435" s="386"/>
      <c r="GF435" s="375"/>
      <c r="GG435" s="375"/>
      <c r="GI435" s="385"/>
      <c r="GJ435" s="386"/>
      <c r="GK435" s="375"/>
      <c r="GL435" s="375"/>
      <c r="GN435" s="385"/>
      <c r="GO435" s="386"/>
      <c r="GP435" s="375"/>
      <c r="GQ435" s="375"/>
      <c r="GS435" s="385"/>
      <c r="GT435" s="386"/>
      <c r="GU435" s="375"/>
      <c r="GV435" s="375"/>
      <c r="GX435" s="385"/>
      <c r="GY435" s="386"/>
      <c r="GZ435" s="375"/>
      <c r="HA435" s="375"/>
      <c r="HC435" s="385"/>
      <c r="HD435" s="386"/>
      <c r="HE435" s="375"/>
      <c r="HF435" s="375"/>
      <c r="HH435" s="385"/>
      <c r="HI435" s="386"/>
      <c r="HJ435" s="375"/>
      <c r="HK435" s="375"/>
      <c r="HM435" s="385"/>
      <c r="HN435" s="386"/>
      <c r="HO435" s="375"/>
      <c r="HP435" s="375"/>
      <c r="HR435" s="385"/>
      <c r="HS435" s="386"/>
      <c r="HT435" s="375"/>
      <c r="HU435" s="375"/>
      <c r="HW435" s="385"/>
      <c r="HX435" s="386"/>
      <c r="HY435" s="375"/>
      <c r="HZ435" s="375"/>
      <c r="IB435" s="385"/>
      <c r="IC435" s="386"/>
      <c r="ID435" s="375"/>
      <c r="IE435" s="375"/>
      <c r="IG435" s="385"/>
      <c r="IH435" s="386"/>
      <c r="II435" s="375"/>
      <c r="IJ435" s="375"/>
      <c r="IL435" s="385"/>
      <c r="IM435" s="386"/>
      <c r="IN435" s="375"/>
      <c r="IO435" s="375"/>
      <c r="IQ435" s="385"/>
      <c r="IR435" s="386"/>
      <c r="IS435" s="375"/>
      <c r="IT435" s="375"/>
      <c r="IV435" s="385"/>
    </row>
    <row r="436" spans="1:256" s="387" customFormat="1" x14ac:dyDescent="0.2">
      <c r="A436" s="385"/>
      <c r="B436" s="386"/>
      <c r="C436" s="375"/>
      <c r="D436" s="375"/>
      <c r="F436" s="385"/>
      <c r="G436" s="386"/>
      <c r="H436" s="375"/>
      <c r="I436" s="375"/>
      <c r="K436" s="385"/>
      <c r="L436" s="386"/>
      <c r="M436" s="375"/>
      <c r="N436" s="375"/>
      <c r="P436" s="385"/>
      <c r="Q436" s="386"/>
      <c r="R436" s="375"/>
      <c r="S436" s="375"/>
      <c r="U436" s="385"/>
      <c r="V436" s="386"/>
      <c r="W436" s="375"/>
      <c r="X436" s="375"/>
      <c r="Z436" s="385"/>
      <c r="AA436" s="386"/>
      <c r="AB436" s="375"/>
      <c r="AC436" s="375"/>
      <c r="AE436" s="385"/>
      <c r="AF436" s="386"/>
      <c r="AG436" s="375"/>
      <c r="AH436" s="375"/>
      <c r="AJ436" s="385"/>
      <c r="AK436" s="386"/>
      <c r="AL436" s="375"/>
      <c r="AM436" s="375"/>
      <c r="AO436" s="385"/>
      <c r="AP436" s="386"/>
      <c r="AQ436" s="375"/>
      <c r="AR436" s="375"/>
      <c r="AT436" s="385"/>
      <c r="AU436" s="386"/>
      <c r="AV436" s="375"/>
      <c r="AW436" s="375"/>
      <c r="AY436" s="385"/>
      <c r="AZ436" s="386"/>
      <c r="BA436" s="375"/>
      <c r="BB436" s="375"/>
      <c r="BD436" s="385"/>
      <c r="BE436" s="386"/>
      <c r="BF436" s="375"/>
      <c r="BG436" s="375"/>
      <c r="BI436" s="385"/>
      <c r="BJ436" s="386"/>
      <c r="BK436" s="375"/>
      <c r="BL436" s="375"/>
      <c r="BN436" s="385"/>
      <c r="BO436" s="386"/>
      <c r="BP436" s="375"/>
      <c r="BQ436" s="375"/>
      <c r="BS436" s="385"/>
      <c r="BT436" s="386"/>
      <c r="BU436" s="375"/>
      <c r="BV436" s="375"/>
      <c r="BX436" s="385"/>
      <c r="BY436" s="386"/>
      <c r="BZ436" s="375"/>
      <c r="CA436" s="375"/>
      <c r="CC436" s="385"/>
      <c r="CD436" s="386"/>
      <c r="CE436" s="375"/>
      <c r="CF436" s="375"/>
      <c r="CH436" s="385"/>
      <c r="CI436" s="386"/>
      <c r="CJ436" s="375"/>
      <c r="CK436" s="375"/>
      <c r="CM436" s="385"/>
      <c r="CN436" s="386"/>
      <c r="CO436" s="375"/>
      <c r="CP436" s="375"/>
      <c r="CR436" s="385"/>
      <c r="CS436" s="386"/>
      <c r="CT436" s="375"/>
      <c r="CU436" s="375"/>
      <c r="CW436" s="385"/>
      <c r="CX436" s="386"/>
      <c r="CY436" s="375"/>
      <c r="CZ436" s="375"/>
      <c r="DB436" s="385"/>
      <c r="DC436" s="386"/>
      <c r="DD436" s="375"/>
      <c r="DE436" s="375"/>
      <c r="DG436" s="385"/>
      <c r="DH436" s="386"/>
      <c r="DI436" s="375"/>
      <c r="DJ436" s="375"/>
      <c r="DL436" s="385"/>
      <c r="DM436" s="386"/>
      <c r="DN436" s="375"/>
      <c r="DO436" s="375"/>
      <c r="DQ436" s="385"/>
      <c r="DR436" s="386"/>
      <c r="DS436" s="375"/>
      <c r="DT436" s="375"/>
      <c r="DV436" s="385"/>
      <c r="DW436" s="386"/>
      <c r="DX436" s="375"/>
      <c r="DY436" s="375"/>
      <c r="EA436" s="385"/>
      <c r="EB436" s="386"/>
      <c r="EC436" s="375"/>
      <c r="ED436" s="375"/>
      <c r="EF436" s="385"/>
      <c r="EG436" s="386"/>
      <c r="EH436" s="375"/>
      <c r="EI436" s="375"/>
      <c r="EK436" s="385"/>
      <c r="EL436" s="386"/>
      <c r="EM436" s="375"/>
      <c r="EN436" s="375"/>
      <c r="EP436" s="385"/>
      <c r="EQ436" s="386"/>
      <c r="ER436" s="375"/>
      <c r="ES436" s="375"/>
      <c r="EU436" s="385"/>
      <c r="EV436" s="386"/>
      <c r="EW436" s="375"/>
      <c r="EX436" s="375"/>
      <c r="EZ436" s="385"/>
      <c r="FA436" s="386"/>
      <c r="FB436" s="375"/>
      <c r="FC436" s="375"/>
      <c r="FE436" s="385"/>
      <c r="FF436" s="386"/>
      <c r="FG436" s="375"/>
      <c r="FH436" s="375"/>
      <c r="FJ436" s="385"/>
      <c r="FK436" s="386"/>
      <c r="FL436" s="375"/>
      <c r="FM436" s="375"/>
      <c r="FO436" s="385"/>
      <c r="FP436" s="386"/>
      <c r="FQ436" s="375"/>
      <c r="FR436" s="375"/>
      <c r="FT436" s="385"/>
      <c r="FU436" s="386"/>
      <c r="FV436" s="375"/>
      <c r="FW436" s="375"/>
      <c r="FY436" s="385"/>
      <c r="FZ436" s="386"/>
      <c r="GA436" s="375"/>
      <c r="GB436" s="375"/>
      <c r="GD436" s="385"/>
      <c r="GE436" s="386"/>
      <c r="GF436" s="375"/>
      <c r="GG436" s="375"/>
      <c r="GI436" s="385"/>
      <c r="GJ436" s="386"/>
      <c r="GK436" s="375"/>
      <c r="GL436" s="375"/>
      <c r="GN436" s="385"/>
      <c r="GO436" s="386"/>
      <c r="GP436" s="375"/>
      <c r="GQ436" s="375"/>
      <c r="GS436" s="385"/>
      <c r="GT436" s="386"/>
      <c r="GU436" s="375"/>
      <c r="GV436" s="375"/>
      <c r="GX436" s="385"/>
      <c r="GY436" s="386"/>
      <c r="GZ436" s="375"/>
      <c r="HA436" s="375"/>
      <c r="HC436" s="385"/>
      <c r="HD436" s="386"/>
      <c r="HE436" s="375"/>
      <c r="HF436" s="375"/>
      <c r="HH436" s="385"/>
      <c r="HI436" s="386"/>
      <c r="HJ436" s="375"/>
      <c r="HK436" s="375"/>
      <c r="HM436" s="385"/>
      <c r="HN436" s="386"/>
      <c r="HO436" s="375"/>
      <c r="HP436" s="375"/>
      <c r="HR436" s="385"/>
      <c r="HS436" s="386"/>
      <c r="HT436" s="375"/>
      <c r="HU436" s="375"/>
      <c r="HW436" s="385"/>
      <c r="HX436" s="386"/>
      <c r="HY436" s="375"/>
      <c r="HZ436" s="375"/>
      <c r="IB436" s="385"/>
      <c r="IC436" s="386"/>
      <c r="ID436" s="375"/>
      <c r="IE436" s="375"/>
      <c r="IG436" s="385"/>
      <c r="IH436" s="386"/>
      <c r="II436" s="375"/>
      <c r="IJ436" s="375"/>
      <c r="IL436" s="385"/>
      <c r="IM436" s="386"/>
      <c r="IN436" s="375"/>
      <c r="IO436" s="375"/>
      <c r="IQ436" s="385"/>
      <c r="IR436" s="386"/>
      <c r="IS436" s="375"/>
      <c r="IT436" s="375"/>
      <c r="IV436" s="385"/>
    </row>
    <row r="437" spans="1:256" s="387" customFormat="1" x14ac:dyDescent="0.2">
      <c r="A437" s="385"/>
      <c r="B437" s="386"/>
      <c r="C437" s="375"/>
      <c r="D437" s="375"/>
      <c r="F437" s="385"/>
      <c r="G437" s="386"/>
      <c r="H437" s="375"/>
      <c r="I437" s="375"/>
      <c r="K437" s="385"/>
      <c r="L437" s="386"/>
      <c r="M437" s="375"/>
      <c r="N437" s="375"/>
      <c r="P437" s="385"/>
      <c r="Q437" s="386"/>
      <c r="R437" s="375"/>
      <c r="S437" s="375"/>
      <c r="U437" s="385"/>
      <c r="V437" s="386"/>
      <c r="W437" s="375"/>
      <c r="X437" s="375"/>
      <c r="Z437" s="385"/>
      <c r="AA437" s="386"/>
      <c r="AB437" s="375"/>
      <c r="AC437" s="375"/>
      <c r="AE437" s="385"/>
      <c r="AF437" s="386"/>
      <c r="AG437" s="375"/>
      <c r="AH437" s="375"/>
      <c r="AJ437" s="385"/>
      <c r="AK437" s="386"/>
      <c r="AL437" s="375"/>
      <c r="AM437" s="375"/>
      <c r="AO437" s="385"/>
      <c r="AP437" s="386"/>
      <c r="AQ437" s="375"/>
      <c r="AR437" s="375"/>
      <c r="AT437" s="385"/>
      <c r="AU437" s="386"/>
      <c r="AV437" s="375"/>
      <c r="AW437" s="375"/>
      <c r="AY437" s="385"/>
      <c r="AZ437" s="386"/>
      <c r="BA437" s="375"/>
      <c r="BB437" s="375"/>
      <c r="BD437" s="385"/>
      <c r="BE437" s="386"/>
      <c r="BF437" s="375"/>
      <c r="BG437" s="375"/>
      <c r="BI437" s="385"/>
      <c r="BJ437" s="386"/>
      <c r="BK437" s="375"/>
      <c r="BL437" s="375"/>
      <c r="BN437" s="385"/>
      <c r="BO437" s="386"/>
      <c r="BP437" s="375"/>
      <c r="BQ437" s="375"/>
      <c r="BS437" s="385"/>
      <c r="BT437" s="386"/>
      <c r="BU437" s="375"/>
      <c r="BV437" s="375"/>
      <c r="BX437" s="385"/>
      <c r="BY437" s="386"/>
      <c r="BZ437" s="375"/>
      <c r="CA437" s="375"/>
      <c r="CC437" s="385"/>
      <c r="CD437" s="386"/>
      <c r="CE437" s="375"/>
      <c r="CF437" s="375"/>
      <c r="CH437" s="385"/>
      <c r="CI437" s="386"/>
      <c r="CJ437" s="375"/>
      <c r="CK437" s="375"/>
      <c r="CM437" s="385"/>
      <c r="CN437" s="386"/>
      <c r="CO437" s="375"/>
      <c r="CP437" s="375"/>
      <c r="CR437" s="385"/>
      <c r="CS437" s="386"/>
      <c r="CT437" s="375"/>
      <c r="CU437" s="375"/>
      <c r="CW437" s="385"/>
      <c r="CX437" s="386"/>
      <c r="CY437" s="375"/>
      <c r="CZ437" s="375"/>
      <c r="DB437" s="385"/>
      <c r="DC437" s="386"/>
      <c r="DD437" s="375"/>
      <c r="DE437" s="375"/>
      <c r="DG437" s="385"/>
      <c r="DH437" s="386"/>
      <c r="DI437" s="375"/>
      <c r="DJ437" s="375"/>
      <c r="DL437" s="385"/>
      <c r="DM437" s="386"/>
      <c r="DN437" s="375"/>
      <c r="DO437" s="375"/>
      <c r="DQ437" s="385"/>
      <c r="DR437" s="386"/>
      <c r="DS437" s="375"/>
      <c r="DT437" s="375"/>
      <c r="DV437" s="385"/>
      <c r="DW437" s="386"/>
      <c r="DX437" s="375"/>
      <c r="DY437" s="375"/>
      <c r="EA437" s="385"/>
      <c r="EB437" s="386"/>
      <c r="EC437" s="375"/>
      <c r="ED437" s="375"/>
      <c r="EF437" s="385"/>
      <c r="EG437" s="386"/>
      <c r="EH437" s="375"/>
      <c r="EI437" s="375"/>
      <c r="EK437" s="385"/>
      <c r="EL437" s="386"/>
      <c r="EM437" s="375"/>
      <c r="EN437" s="375"/>
      <c r="EP437" s="385"/>
      <c r="EQ437" s="386"/>
      <c r="ER437" s="375"/>
      <c r="ES437" s="375"/>
      <c r="EU437" s="385"/>
      <c r="EV437" s="386"/>
      <c r="EW437" s="375"/>
      <c r="EX437" s="375"/>
      <c r="EZ437" s="385"/>
      <c r="FA437" s="386"/>
      <c r="FB437" s="375"/>
      <c r="FC437" s="375"/>
      <c r="FE437" s="385"/>
      <c r="FF437" s="386"/>
      <c r="FG437" s="375"/>
      <c r="FH437" s="375"/>
      <c r="FJ437" s="385"/>
      <c r="FK437" s="386"/>
      <c r="FL437" s="375"/>
      <c r="FM437" s="375"/>
      <c r="FO437" s="385"/>
      <c r="FP437" s="386"/>
      <c r="FQ437" s="375"/>
      <c r="FR437" s="375"/>
      <c r="FT437" s="385"/>
      <c r="FU437" s="386"/>
      <c r="FV437" s="375"/>
      <c r="FW437" s="375"/>
      <c r="FY437" s="385"/>
      <c r="FZ437" s="386"/>
      <c r="GA437" s="375"/>
      <c r="GB437" s="375"/>
      <c r="GD437" s="385"/>
      <c r="GE437" s="386"/>
      <c r="GF437" s="375"/>
      <c r="GG437" s="375"/>
      <c r="GI437" s="385"/>
      <c r="GJ437" s="386"/>
      <c r="GK437" s="375"/>
      <c r="GL437" s="375"/>
      <c r="GN437" s="385"/>
      <c r="GO437" s="386"/>
      <c r="GP437" s="375"/>
      <c r="GQ437" s="375"/>
      <c r="GS437" s="385"/>
      <c r="GT437" s="386"/>
      <c r="GU437" s="375"/>
      <c r="GV437" s="375"/>
      <c r="GX437" s="385"/>
      <c r="GY437" s="386"/>
      <c r="GZ437" s="375"/>
      <c r="HA437" s="375"/>
      <c r="HC437" s="385"/>
      <c r="HD437" s="386"/>
      <c r="HE437" s="375"/>
      <c r="HF437" s="375"/>
      <c r="HH437" s="385"/>
      <c r="HI437" s="386"/>
      <c r="HJ437" s="375"/>
      <c r="HK437" s="375"/>
      <c r="HM437" s="385"/>
      <c r="HN437" s="386"/>
      <c r="HO437" s="375"/>
      <c r="HP437" s="375"/>
      <c r="HR437" s="385"/>
      <c r="HS437" s="386"/>
      <c r="HT437" s="375"/>
      <c r="HU437" s="375"/>
      <c r="HW437" s="385"/>
      <c r="HX437" s="386"/>
      <c r="HY437" s="375"/>
      <c r="HZ437" s="375"/>
      <c r="IB437" s="385"/>
      <c r="IC437" s="386"/>
      <c r="ID437" s="375"/>
      <c r="IE437" s="375"/>
      <c r="IG437" s="385"/>
      <c r="IH437" s="386"/>
      <c r="II437" s="375"/>
      <c r="IJ437" s="375"/>
      <c r="IL437" s="385"/>
      <c r="IM437" s="386"/>
      <c r="IN437" s="375"/>
      <c r="IO437" s="375"/>
      <c r="IQ437" s="385"/>
      <c r="IR437" s="386"/>
      <c r="IS437" s="375"/>
      <c r="IT437" s="375"/>
      <c r="IV437" s="385"/>
    </row>
    <row r="438" spans="1:256" s="387" customFormat="1" x14ac:dyDescent="0.2">
      <c r="A438" s="385"/>
      <c r="B438" s="386"/>
      <c r="C438" s="375"/>
      <c r="D438" s="375"/>
      <c r="F438" s="385"/>
      <c r="G438" s="386"/>
      <c r="H438" s="375"/>
      <c r="I438" s="375"/>
      <c r="K438" s="385"/>
      <c r="L438" s="386"/>
      <c r="M438" s="375"/>
      <c r="N438" s="375"/>
      <c r="P438" s="385"/>
      <c r="Q438" s="386"/>
      <c r="R438" s="375"/>
      <c r="S438" s="375"/>
      <c r="U438" s="385"/>
      <c r="V438" s="386"/>
      <c r="W438" s="375"/>
      <c r="X438" s="375"/>
      <c r="Z438" s="385"/>
      <c r="AA438" s="386"/>
      <c r="AB438" s="375"/>
      <c r="AC438" s="375"/>
      <c r="AE438" s="385"/>
      <c r="AF438" s="386"/>
      <c r="AG438" s="375"/>
      <c r="AH438" s="375"/>
      <c r="AJ438" s="385"/>
      <c r="AK438" s="386"/>
      <c r="AL438" s="375"/>
      <c r="AM438" s="375"/>
      <c r="AO438" s="385"/>
      <c r="AP438" s="386"/>
      <c r="AQ438" s="375"/>
      <c r="AR438" s="375"/>
      <c r="AT438" s="385"/>
      <c r="AU438" s="386"/>
      <c r="AV438" s="375"/>
      <c r="AW438" s="375"/>
      <c r="AY438" s="385"/>
      <c r="AZ438" s="386"/>
      <c r="BA438" s="375"/>
      <c r="BB438" s="375"/>
      <c r="BD438" s="385"/>
      <c r="BE438" s="386"/>
      <c r="BF438" s="375"/>
      <c r="BG438" s="375"/>
      <c r="BI438" s="385"/>
      <c r="BJ438" s="386"/>
      <c r="BK438" s="375"/>
      <c r="BL438" s="375"/>
      <c r="BN438" s="385"/>
      <c r="BO438" s="386"/>
      <c r="BP438" s="375"/>
      <c r="BQ438" s="375"/>
      <c r="BS438" s="385"/>
      <c r="BT438" s="386"/>
      <c r="BU438" s="375"/>
      <c r="BV438" s="375"/>
      <c r="BX438" s="385"/>
      <c r="BY438" s="386"/>
      <c r="BZ438" s="375"/>
      <c r="CA438" s="375"/>
      <c r="CC438" s="385"/>
      <c r="CD438" s="386"/>
      <c r="CE438" s="375"/>
      <c r="CF438" s="375"/>
      <c r="CH438" s="385"/>
      <c r="CI438" s="386"/>
      <c r="CJ438" s="375"/>
      <c r="CK438" s="375"/>
      <c r="CM438" s="385"/>
      <c r="CN438" s="386"/>
      <c r="CO438" s="375"/>
      <c r="CP438" s="375"/>
      <c r="CR438" s="385"/>
      <c r="CS438" s="386"/>
      <c r="CT438" s="375"/>
      <c r="CU438" s="375"/>
      <c r="CW438" s="385"/>
      <c r="CX438" s="386"/>
      <c r="CY438" s="375"/>
      <c r="CZ438" s="375"/>
      <c r="DB438" s="385"/>
      <c r="DC438" s="386"/>
      <c r="DD438" s="375"/>
      <c r="DE438" s="375"/>
      <c r="DG438" s="385"/>
      <c r="DH438" s="386"/>
      <c r="DI438" s="375"/>
      <c r="DJ438" s="375"/>
      <c r="DL438" s="385"/>
      <c r="DM438" s="386"/>
      <c r="DN438" s="375"/>
      <c r="DO438" s="375"/>
      <c r="DQ438" s="385"/>
      <c r="DR438" s="386"/>
      <c r="DS438" s="375"/>
      <c r="DT438" s="375"/>
      <c r="DV438" s="385"/>
      <c r="DW438" s="386"/>
      <c r="DX438" s="375"/>
      <c r="DY438" s="375"/>
      <c r="EA438" s="385"/>
      <c r="EB438" s="386"/>
      <c r="EC438" s="375"/>
      <c r="ED438" s="375"/>
      <c r="EF438" s="385"/>
      <c r="EG438" s="386"/>
      <c r="EH438" s="375"/>
      <c r="EI438" s="375"/>
      <c r="EK438" s="385"/>
      <c r="EL438" s="386"/>
      <c r="EM438" s="375"/>
      <c r="EN438" s="375"/>
      <c r="EP438" s="385"/>
      <c r="EQ438" s="386"/>
      <c r="ER438" s="375"/>
      <c r="ES438" s="375"/>
      <c r="EU438" s="385"/>
      <c r="EV438" s="386"/>
      <c r="EW438" s="375"/>
      <c r="EX438" s="375"/>
      <c r="EZ438" s="385"/>
      <c r="FA438" s="386"/>
      <c r="FB438" s="375"/>
      <c r="FC438" s="375"/>
      <c r="FE438" s="385"/>
      <c r="FF438" s="386"/>
      <c r="FG438" s="375"/>
      <c r="FH438" s="375"/>
      <c r="FJ438" s="385"/>
      <c r="FK438" s="386"/>
      <c r="FL438" s="375"/>
      <c r="FM438" s="375"/>
      <c r="FO438" s="385"/>
      <c r="FP438" s="386"/>
      <c r="FQ438" s="375"/>
      <c r="FR438" s="375"/>
      <c r="FT438" s="385"/>
      <c r="FU438" s="386"/>
      <c r="FV438" s="375"/>
      <c r="FW438" s="375"/>
      <c r="FY438" s="385"/>
      <c r="FZ438" s="386"/>
      <c r="GA438" s="375"/>
      <c r="GB438" s="375"/>
      <c r="GD438" s="385"/>
      <c r="GE438" s="386"/>
      <c r="GF438" s="375"/>
      <c r="GG438" s="375"/>
      <c r="GI438" s="385"/>
      <c r="GJ438" s="386"/>
      <c r="GK438" s="375"/>
      <c r="GL438" s="375"/>
      <c r="GN438" s="385"/>
      <c r="GO438" s="386"/>
      <c r="GP438" s="375"/>
      <c r="GQ438" s="375"/>
      <c r="GS438" s="385"/>
      <c r="GT438" s="386"/>
      <c r="GU438" s="375"/>
      <c r="GV438" s="375"/>
      <c r="GX438" s="385"/>
      <c r="GY438" s="386"/>
      <c r="GZ438" s="375"/>
      <c r="HA438" s="375"/>
      <c r="HC438" s="385"/>
      <c r="HD438" s="386"/>
      <c r="HE438" s="375"/>
      <c r="HF438" s="375"/>
      <c r="HH438" s="385"/>
      <c r="HI438" s="386"/>
      <c r="HJ438" s="375"/>
      <c r="HK438" s="375"/>
      <c r="HM438" s="385"/>
      <c r="HN438" s="386"/>
      <c r="HO438" s="375"/>
      <c r="HP438" s="375"/>
      <c r="HR438" s="385"/>
      <c r="HS438" s="386"/>
      <c r="HT438" s="375"/>
      <c r="HU438" s="375"/>
      <c r="HW438" s="385"/>
      <c r="HX438" s="386"/>
      <c r="HY438" s="375"/>
      <c r="HZ438" s="375"/>
      <c r="IB438" s="385"/>
      <c r="IC438" s="386"/>
      <c r="ID438" s="375"/>
      <c r="IE438" s="375"/>
      <c r="IG438" s="385"/>
      <c r="IH438" s="386"/>
      <c r="II438" s="375"/>
      <c r="IJ438" s="375"/>
      <c r="IL438" s="385"/>
      <c r="IM438" s="386"/>
      <c r="IN438" s="375"/>
      <c r="IO438" s="375"/>
      <c r="IQ438" s="385"/>
      <c r="IR438" s="386"/>
      <c r="IS438" s="375"/>
      <c r="IT438" s="375"/>
      <c r="IV438" s="385"/>
    </row>
    <row r="439" spans="1:256" s="387" customFormat="1" x14ac:dyDescent="0.2">
      <c r="A439" s="385"/>
      <c r="B439" s="386"/>
      <c r="C439" s="375"/>
      <c r="D439" s="375"/>
      <c r="F439" s="385"/>
      <c r="G439" s="386"/>
      <c r="H439" s="375"/>
      <c r="I439" s="375"/>
      <c r="K439" s="385"/>
      <c r="L439" s="386"/>
      <c r="M439" s="375"/>
      <c r="N439" s="375"/>
      <c r="P439" s="385"/>
      <c r="Q439" s="386"/>
      <c r="R439" s="375"/>
      <c r="S439" s="375"/>
      <c r="U439" s="385"/>
      <c r="V439" s="386"/>
      <c r="W439" s="375"/>
      <c r="X439" s="375"/>
      <c r="Z439" s="385"/>
      <c r="AA439" s="386"/>
      <c r="AB439" s="375"/>
      <c r="AC439" s="375"/>
      <c r="AE439" s="385"/>
      <c r="AF439" s="386"/>
      <c r="AG439" s="375"/>
      <c r="AH439" s="375"/>
      <c r="AJ439" s="385"/>
      <c r="AK439" s="386"/>
      <c r="AL439" s="375"/>
      <c r="AM439" s="375"/>
      <c r="AO439" s="385"/>
      <c r="AP439" s="386"/>
      <c r="AQ439" s="375"/>
      <c r="AR439" s="375"/>
      <c r="AT439" s="385"/>
      <c r="AU439" s="386"/>
      <c r="AV439" s="375"/>
      <c r="AW439" s="375"/>
      <c r="AY439" s="385"/>
      <c r="AZ439" s="386"/>
      <c r="BA439" s="375"/>
      <c r="BB439" s="375"/>
      <c r="BD439" s="385"/>
      <c r="BE439" s="386"/>
      <c r="BF439" s="375"/>
      <c r="BG439" s="375"/>
      <c r="BI439" s="385"/>
      <c r="BJ439" s="386"/>
      <c r="BK439" s="375"/>
      <c r="BL439" s="375"/>
      <c r="BN439" s="385"/>
      <c r="BO439" s="386"/>
      <c r="BP439" s="375"/>
      <c r="BQ439" s="375"/>
      <c r="BS439" s="385"/>
      <c r="BT439" s="386"/>
      <c r="BU439" s="375"/>
      <c r="BV439" s="375"/>
      <c r="BX439" s="385"/>
      <c r="BY439" s="386"/>
      <c r="BZ439" s="375"/>
      <c r="CA439" s="375"/>
      <c r="CC439" s="385"/>
      <c r="CD439" s="386"/>
      <c r="CE439" s="375"/>
      <c r="CF439" s="375"/>
      <c r="CH439" s="385"/>
      <c r="CI439" s="386"/>
      <c r="CJ439" s="375"/>
      <c r="CK439" s="375"/>
      <c r="CM439" s="385"/>
      <c r="CN439" s="386"/>
      <c r="CO439" s="375"/>
      <c r="CP439" s="375"/>
      <c r="CR439" s="385"/>
      <c r="CS439" s="386"/>
      <c r="CT439" s="375"/>
      <c r="CU439" s="375"/>
      <c r="CW439" s="385"/>
      <c r="CX439" s="386"/>
      <c r="CY439" s="375"/>
      <c r="CZ439" s="375"/>
      <c r="DB439" s="385"/>
      <c r="DC439" s="386"/>
      <c r="DD439" s="375"/>
      <c r="DE439" s="375"/>
      <c r="DG439" s="385"/>
      <c r="DH439" s="386"/>
      <c r="DI439" s="375"/>
      <c r="DJ439" s="375"/>
      <c r="DL439" s="385"/>
      <c r="DM439" s="386"/>
      <c r="DN439" s="375"/>
      <c r="DO439" s="375"/>
      <c r="DQ439" s="385"/>
      <c r="DR439" s="386"/>
      <c r="DS439" s="375"/>
      <c r="DT439" s="375"/>
      <c r="DV439" s="385"/>
      <c r="DW439" s="386"/>
      <c r="DX439" s="375"/>
      <c r="DY439" s="375"/>
      <c r="EA439" s="385"/>
      <c r="EB439" s="386"/>
      <c r="EC439" s="375"/>
      <c r="ED439" s="375"/>
      <c r="EF439" s="385"/>
      <c r="EG439" s="386"/>
      <c r="EH439" s="375"/>
      <c r="EI439" s="375"/>
      <c r="EK439" s="385"/>
      <c r="EL439" s="386"/>
      <c r="EM439" s="375"/>
      <c r="EN439" s="375"/>
      <c r="EP439" s="385"/>
      <c r="EQ439" s="386"/>
      <c r="ER439" s="375"/>
      <c r="ES439" s="375"/>
      <c r="EU439" s="385"/>
      <c r="EV439" s="386"/>
      <c r="EW439" s="375"/>
      <c r="EX439" s="375"/>
      <c r="EZ439" s="385"/>
      <c r="FA439" s="386"/>
      <c r="FB439" s="375"/>
      <c r="FC439" s="375"/>
      <c r="FE439" s="385"/>
      <c r="FF439" s="386"/>
      <c r="FG439" s="375"/>
      <c r="FH439" s="375"/>
      <c r="FJ439" s="385"/>
      <c r="FK439" s="386"/>
      <c r="FL439" s="375"/>
      <c r="FM439" s="375"/>
      <c r="FO439" s="385"/>
      <c r="FP439" s="386"/>
      <c r="FQ439" s="375"/>
      <c r="FR439" s="375"/>
      <c r="FT439" s="385"/>
      <c r="FU439" s="386"/>
      <c r="FV439" s="375"/>
      <c r="FW439" s="375"/>
      <c r="FY439" s="385"/>
      <c r="FZ439" s="386"/>
      <c r="GA439" s="375"/>
      <c r="GB439" s="375"/>
      <c r="GD439" s="385"/>
      <c r="GE439" s="386"/>
      <c r="GF439" s="375"/>
      <c r="GG439" s="375"/>
      <c r="GI439" s="385"/>
      <c r="GJ439" s="386"/>
      <c r="GK439" s="375"/>
      <c r="GL439" s="375"/>
      <c r="GN439" s="385"/>
      <c r="GO439" s="386"/>
      <c r="GP439" s="375"/>
      <c r="GQ439" s="375"/>
      <c r="GS439" s="385"/>
      <c r="GT439" s="386"/>
      <c r="GU439" s="375"/>
      <c r="GV439" s="375"/>
      <c r="GX439" s="385"/>
      <c r="GY439" s="386"/>
      <c r="GZ439" s="375"/>
      <c r="HA439" s="375"/>
      <c r="HC439" s="385"/>
      <c r="HD439" s="386"/>
      <c r="HE439" s="375"/>
      <c r="HF439" s="375"/>
      <c r="HH439" s="385"/>
      <c r="HI439" s="386"/>
      <c r="HJ439" s="375"/>
      <c r="HK439" s="375"/>
      <c r="HM439" s="385"/>
      <c r="HN439" s="386"/>
      <c r="HO439" s="375"/>
      <c r="HP439" s="375"/>
      <c r="HR439" s="385"/>
      <c r="HS439" s="386"/>
      <c r="HT439" s="375"/>
      <c r="HU439" s="375"/>
      <c r="HW439" s="385"/>
      <c r="HX439" s="386"/>
      <c r="HY439" s="375"/>
      <c r="HZ439" s="375"/>
      <c r="IB439" s="385"/>
      <c r="IC439" s="386"/>
      <c r="ID439" s="375"/>
      <c r="IE439" s="375"/>
      <c r="IG439" s="385"/>
      <c r="IH439" s="386"/>
      <c r="II439" s="375"/>
      <c r="IJ439" s="375"/>
      <c r="IL439" s="385"/>
      <c r="IM439" s="386"/>
      <c r="IN439" s="375"/>
      <c r="IO439" s="375"/>
      <c r="IQ439" s="385"/>
      <c r="IR439" s="386"/>
      <c r="IS439" s="375"/>
      <c r="IT439" s="375"/>
      <c r="IV439" s="385"/>
    </row>
    <row r="440" spans="1:256" s="387" customFormat="1" x14ac:dyDescent="0.2">
      <c r="A440" s="385"/>
      <c r="B440" s="386"/>
      <c r="C440" s="375"/>
      <c r="D440" s="375"/>
      <c r="F440" s="385"/>
      <c r="G440" s="386"/>
      <c r="H440" s="375"/>
      <c r="I440" s="375"/>
      <c r="K440" s="385"/>
      <c r="L440" s="386"/>
      <c r="M440" s="375"/>
      <c r="N440" s="375"/>
      <c r="P440" s="385"/>
      <c r="Q440" s="386"/>
      <c r="R440" s="375"/>
      <c r="S440" s="375"/>
      <c r="U440" s="385"/>
      <c r="V440" s="386"/>
      <c r="W440" s="375"/>
      <c r="X440" s="375"/>
      <c r="Z440" s="385"/>
      <c r="AA440" s="386"/>
      <c r="AB440" s="375"/>
      <c r="AC440" s="375"/>
      <c r="AE440" s="385"/>
      <c r="AF440" s="386"/>
      <c r="AG440" s="375"/>
      <c r="AH440" s="375"/>
      <c r="AJ440" s="385"/>
      <c r="AK440" s="386"/>
      <c r="AL440" s="375"/>
      <c r="AM440" s="375"/>
      <c r="AO440" s="385"/>
      <c r="AP440" s="386"/>
      <c r="AQ440" s="375"/>
      <c r="AR440" s="375"/>
      <c r="AT440" s="385"/>
      <c r="AU440" s="386"/>
      <c r="AV440" s="375"/>
      <c r="AW440" s="375"/>
      <c r="AY440" s="385"/>
      <c r="AZ440" s="386"/>
      <c r="BA440" s="375"/>
      <c r="BB440" s="375"/>
      <c r="BD440" s="385"/>
      <c r="BE440" s="386"/>
      <c r="BF440" s="375"/>
      <c r="BG440" s="375"/>
      <c r="BI440" s="385"/>
      <c r="BJ440" s="386"/>
      <c r="BK440" s="375"/>
      <c r="BL440" s="375"/>
      <c r="BN440" s="385"/>
      <c r="BO440" s="386"/>
      <c r="BP440" s="375"/>
      <c r="BQ440" s="375"/>
      <c r="BS440" s="385"/>
      <c r="BT440" s="386"/>
      <c r="BU440" s="375"/>
      <c r="BV440" s="375"/>
      <c r="BX440" s="385"/>
      <c r="BY440" s="386"/>
      <c r="BZ440" s="375"/>
      <c r="CA440" s="375"/>
      <c r="CC440" s="385"/>
      <c r="CD440" s="386"/>
      <c r="CE440" s="375"/>
      <c r="CF440" s="375"/>
      <c r="CH440" s="385"/>
      <c r="CI440" s="386"/>
      <c r="CJ440" s="375"/>
      <c r="CK440" s="375"/>
      <c r="CM440" s="385"/>
      <c r="CN440" s="386"/>
      <c r="CO440" s="375"/>
      <c r="CP440" s="375"/>
      <c r="CR440" s="385"/>
      <c r="CS440" s="386"/>
      <c r="CT440" s="375"/>
      <c r="CU440" s="375"/>
      <c r="CW440" s="385"/>
      <c r="CX440" s="386"/>
      <c r="CY440" s="375"/>
      <c r="CZ440" s="375"/>
      <c r="DB440" s="385"/>
      <c r="DC440" s="386"/>
      <c r="DD440" s="375"/>
      <c r="DE440" s="375"/>
      <c r="DG440" s="385"/>
      <c r="DH440" s="386"/>
      <c r="DI440" s="375"/>
      <c r="DJ440" s="375"/>
      <c r="DL440" s="385"/>
      <c r="DM440" s="386"/>
      <c r="DN440" s="375"/>
      <c r="DO440" s="375"/>
      <c r="DQ440" s="385"/>
      <c r="DR440" s="386"/>
      <c r="DS440" s="375"/>
      <c r="DT440" s="375"/>
      <c r="DV440" s="385"/>
      <c r="DW440" s="386"/>
      <c r="DX440" s="375"/>
      <c r="DY440" s="375"/>
      <c r="EA440" s="385"/>
      <c r="EB440" s="386"/>
      <c r="EC440" s="375"/>
      <c r="ED440" s="375"/>
      <c r="EF440" s="385"/>
      <c r="EG440" s="386"/>
      <c r="EH440" s="375"/>
      <c r="EI440" s="375"/>
      <c r="EK440" s="385"/>
      <c r="EL440" s="386"/>
      <c r="EM440" s="375"/>
      <c r="EN440" s="375"/>
      <c r="EP440" s="385"/>
      <c r="EQ440" s="386"/>
      <c r="ER440" s="375"/>
      <c r="ES440" s="375"/>
      <c r="EU440" s="385"/>
      <c r="EV440" s="386"/>
      <c r="EW440" s="375"/>
      <c r="EX440" s="375"/>
      <c r="EZ440" s="385"/>
      <c r="FA440" s="386"/>
      <c r="FB440" s="375"/>
      <c r="FC440" s="375"/>
      <c r="FE440" s="385"/>
      <c r="FF440" s="386"/>
      <c r="FG440" s="375"/>
      <c r="FH440" s="375"/>
      <c r="FJ440" s="385"/>
      <c r="FK440" s="386"/>
      <c r="FL440" s="375"/>
      <c r="FM440" s="375"/>
      <c r="FO440" s="385"/>
      <c r="FP440" s="386"/>
      <c r="FQ440" s="375"/>
      <c r="FR440" s="375"/>
      <c r="FT440" s="385"/>
      <c r="FU440" s="386"/>
      <c r="FV440" s="375"/>
      <c r="FW440" s="375"/>
      <c r="FY440" s="385"/>
      <c r="FZ440" s="386"/>
      <c r="GA440" s="375"/>
      <c r="GB440" s="375"/>
      <c r="GD440" s="385"/>
      <c r="GE440" s="386"/>
      <c r="GF440" s="375"/>
      <c r="GG440" s="375"/>
      <c r="GI440" s="385"/>
      <c r="GJ440" s="386"/>
      <c r="GK440" s="375"/>
      <c r="GL440" s="375"/>
      <c r="GN440" s="385"/>
      <c r="GO440" s="386"/>
      <c r="GP440" s="375"/>
      <c r="GQ440" s="375"/>
      <c r="GS440" s="385"/>
      <c r="GT440" s="386"/>
      <c r="GU440" s="375"/>
      <c r="GV440" s="375"/>
      <c r="GX440" s="385"/>
      <c r="GY440" s="386"/>
      <c r="GZ440" s="375"/>
      <c r="HA440" s="375"/>
      <c r="HC440" s="385"/>
      <c r="HD440" s="386"/>
      <c r="HE440" s="375"/>
      <c r="HF440" s="375"/>
      <c r="HH440" s="385"/>
      <c r="HI440" s="386"/>
      <c r="HJ440" s="375"/>
      <c r="HK440" s="375"/>
      <c r="HM440" s="385"/>
      <c r="HN440" s="386"/>
      <c r="HO440" s="375"/>
      <c r="HP440" s="375"/>
      <c r="HR440" s="385"/>
      <c r="HS440" s="386"/>
      <c r="HT440" s="375"/>
      <c r="HU440" s="375"/>
      <c r="HW440" s="385"/>
      <c r="HX440" s="386"/>
      <c r="HY440" s="375"/>
      <c r="HZ440" s="375"/>
      <c r="IB440" s="385"/>
      <c r="IC440" s="386"/>
      <c r="ID440" s="375"/>
      <c r="IE440" s="375"/>
      <c r="IG440" s="385"/>
      <c r="IH440" s="386"/>
      <c r="II440" s="375"/>
      <c r="IJ440" s="375"/>
      <c r="IL440" s="385"/>
      <c r="IM440" s="386"/>
      <c r="IN440" s="375"/>
      <c r="IO440" s="375"/>
      <c r="IQ440" s="385"/>
      <c r="IR440" s="386"/>
      <c r="IS440" s="375"/>
      <c r="IT440" s="375"/>
      <c r="IV440" s="385"/>
    </row>
    <row r="441" spans="1:256" s="387" customFormat="1" x14ac:dyDescent="0.2">
      <c r="A441" s="385"/>
      <c r="B441" s="386"/>
      <c r="C441" s="375"/>
      <c r="D441" s="375"/>
      <c r="F441" s="385"/>
      <c r="G441" s="386"/>
      <c r="H441" s="375"/>
      <c r="I441" s="375"/>
      <c r="K441" s="385"/>
      <c r="L441" s="386"/>
      <c r="M441" s="375"/>
      <c r="N441" s="375"/>
      <c r="P441" s="385"/>
      <c r="Q441" s="386"/>
      <c r="R441" s="375"/>
      <c r="S441" s="375"/>
      <c r="U441" s="385"/>
      <c r="V441" s="386"/>
      <c r="W441" s="375"/>
      <c r="X441" s="375"/>
      <c r="Z441" s="385"/>
      <c r="AA441" s="386"/>
      <c r="AB441" s="375"/>
      <c r="AC441" s="375"/>
      <c r="AE441" s="385"/>
      <c r="AF441" s="386"/>
      <c r="AG441" s="375"/>
      <c r="AH441" s="375"/>
      <c r="AJ441" s="385"/>
      <c r="AK441" s="386"/>
      <c r="AL441" s="375"/>
      <c r="AM441" s="375"/>
      <c r="AO441" s="385"/>
      <c r="AP441" s="386"/>
      <c r="AQ441" s="375"/>
      <c r="AR441" s="375"/>
      <c r="AT441" s="385"/>
      <c r="AU441" s="386"/>
      <c r="AV441" s="375"/>
      <c r="AW441" s="375"/>
      <c r="AY441" s="385"/>
      <c r="AZ441" s="386"/>
      <c r="BA441" s="375"/>
      <c r="BB441" s="375"/>
      <c r="BD441" s="385"/>
      <c r="BE441" s="386"/>
      <c r="BF441" s="375"/>
      <c r="BG441" s="375"/>
      <c r="BI441" s="385"/>
      <c r="BJ441" s="386"/>
      <c r="BK441" s="375"/>
      <c r="BL441" s="375"/>
      <c r="BN441" s="385"/>
      <c r="BO441" s="386"/>
      <c r="BP441" s="375"/>
      <c r="BQ441" s="375"/>
      <c r="BS441" s="385"/>
      <c r="BT441" s="386"/>
      <c r="BU441" s="375"/>
      <c r="BV441" s="375"/>
      <c r="BX441" s="385"/>
      <c r="BY441" s="386"/>
      <c r="BZ441" s="375"/>
      <c r="CA441" s="375"/>
      <c r="CC441" s="385"/>
      <c r="CD441" s="386"/>
      <c r="CE441" s="375"/>
      <c r="CF441" s="375"/>
      <c r="CH441" s="385"/>
      <c r="CI441" s="386"/>
      <c r="CJ441" s="375"/>
      <c r="CK441" s="375"/>
      <c r="CM441" s="385"/>
      <c r="CN441" s="386"/>
      <c r="CO441" s="375"/>
      <c r="CP441" s="375"/>
      <c r="CR441" s="385"/>
      <c r="CS441" s="386"/>
      <c r="CT441" s="375"/>
      <c r="CU441" s="375"/>
      <c r="CW441" s="385"/>
      <c r="CX441" s="386"/>
      <c r="CY441" s="375"/>
      <c r="CZ441" s="375"/>
      <c r="DB441" s="385"/>
      <c r="DC441" s="386"/>
      <c r="DD441" s="375"/>
      <c r="DE441" s="375"/>
      <c r="DG441" s="385"/>
      <c r="DH441" s="386"/>
      <c r="DI441" s="375"/>
      <c r="DJ441" s="375"/>
      <c r="DL441" s="385"/>
      <c r="DM441" s="386"/>
      <c r="DN441" s="375"/>
      <c r="DO441" s="375"/>
      <c r="DQ441" s="385"/>
      <c r="DR441" s="386"/>
      <c r="DS441" s="375"/>
      <c r="DT441" s="375"/>
      <c r="DV441" s="385"/>
      <c r="DW441" s="386"/>
      <c r="DX441" s="375"/>
      <c r="DY441" s="375"/>
      <c r="EA441" s="385"/>
      <c r="EB441" s="386"/>
      <c r="EC441" s="375"/>
      <c r="ED441" s="375"/>
      <c r="EF441" s="385"/>
      <c r="EG441" s="386"/>
      <c r="EH441" s="375"/>
      <c r="EI441" s="375"/>
      <c r="EK441" s="385"/>
      <c r="EL441" s="386"/>
      <c r="EM441" s="375"/>
      <c r="EN441" s="375"/>
      <c r="EP441" s="385"/>
      <c r="EQ441" s="386"/>
      <c r="ER441" s="375"/>
      <c r="ES441" s="375"/>
      <c r="EU441" s="385"/>
      <c r="EV441" s="386"/>
      <c r="EW441" s="375"/>
      <c r="EX441" s="375"/>
      <c r="EZ441" s="385"/>
      <c r="FA441" s="386"/>
      <c r="FB441" s="375"/>
      <c r="FC441" s="375"/>
      <c r="FE441" s="385"/>
      <c r="FF441" s="386"/>
      <c r="FG441" s="375"/>
      <c r="FH441" s="375"/>
      <c r="FJ441" s="385"/>
      <c r="FK441" s="386"/>
      <c r="FL441" s="375"/>
      <c r="FM441" s="375"/>
      <c r="FO441" s="385"/>
      <c r="FP441" s="386"/>
      <c r="FQ441" s="375"/>
      <c r="FR441" s="375"/>
      <c r="FT441" s="385"/>
      <c r="FU441" s="386"/>
      <c r="FV441" s="375"/>
      <c r="FW441" s="375"/>
      <c r="FY441" s="385"/>
      <c r="FZ441" s="386"/>
      <c r="GA441" s="375"/>
      <c r="GB441" s="375"/>
      <c r="GD441" s="385"/>
      <c r="GE441" s="386"/>
      <c r="GF441" s="375"/>
      <c r="GG441" s="375"/>
      <c r="GI441" s="385"/>
      <c r="GJ441" s="386"/>
      <c r="GK441" s="375"/>
      <c r="GL441" s="375"/>
      <c r="GN441" s="385"/>
      <c r="GO441" s="386"/>
      <c r="GP441" s="375"/>
      <c r="GQ441" s="375"/>
      <c r="GS441" s="385"/>
      <c r="GT441" s="386"/>
      <c r="GU441" s="375"/>
      <c r="GV441" s="375"/>
      <c r="GX441" s="385"/>
      <c r="GY441" s="386"/>
      <c r="GZ441" s="375"/>
      <c r="HA441" s="375"/>
      <c r="HC441" s="385"/>
      <c r="HD441" s="386"/>
      <c r="HE441" s="375"/>
      <c r="HF441" s="375"/>
      <c r="HH441" s="385"/>
      <c r="HI441" s="386"/>
      <c r="HJ441" s="375"/>
      <c r="HK441" s="375"/>
      <c r="HM441" s="385"/>
      <c r="HN441" s="386"/>
      <c r="HO441" s="375"/>
      <c r="HP441" s="375"/>
      <c r="HR441" s="385"/>
      <c r="HS441" s="386"/>
      <c r="HT441" s="375"/>
      <c r="HU441" s="375"/>
      <c r="HW441" s="385"/>
      <c r="HX441" s="386"/>
      <c r="HY441" s="375"/>
      <c r="HZ441" s="375"/>
      <c r="IB441" s="385"/>
      <c r="IC441" s="386"/>
      <c r="ID441" s="375"/>
      <c r="IE441" s="375"/>
      <c r="IG441" s="385"/>
      <c r="IH441" s="386"/>
      <c r="II441" s="375"/>
      <c r="IJ441" s="375"/>
      <c r="IL441" s="385"/>
      <c r="IM441" s="386"/>
      <c r="IN441" s="375"/>
      <c r="IO441" s="375"/>
      <c r="IQ441" s="385"/>
      <c r="IR441" s="386"/>
      <c r="IS441" s="375"/>
      <c r="IT441" s="375"/>
      <c r="IV441" s="385"/>
    </row>
    <row r="442" spans="1:256" s="387" customFormat="1" x14ac:dyDescent="0.2">
      <c r="A442" s="385"/>
      <c r="B442" s="386"/>
      <c r="C442" s="375"/>
      <c r="D442" s="375"/>
      <c r="F442" s="385"/>
      <c r="G442" s="386"/>
      <c r="H442" s="375"/>
      <c r="I442" s="375"/>
      <c r="K442" s="385"/>
      <c r="L442" s="386"/>
      <c r="M442" s="375"/>
      <c r="N442" s="375"/>
      <c r="P442" s="385"/>
      <c r="Q442" s="386"/>
      <c r="R442" s="375"/>
      <c r="S442" s="375"/>
      <c r="U442" s="385"/>
      <c r="V442" s="386"/>
      <c r="W442" s="375"/>
      <c r="X442" s="375"/>
      <c r="Z442" s="385"/>
      <c r="AA442" s="386"/>
      <c r="AB442" s="375"/>
      <c r="AC442" s="375"/>
      <c r="AE442" s="385"/>
      <c r="AF442" s="386"/>
      <c r="AG442" s="375"/>
      <c r="AH442" s="375"/>
      <c r="AJ442" s="385"/>
      <c r="AK442" s="386"/>
      <c r="AL442" s="375"/>
      <c r="AM442" s="375"/>
      <c r="AO442" s="385"/>
      <c r="AP442" s="386"/>
      <c r="AQ442" s="375"/>
      <c r="AR442" s="375"/>
      <c r="AT442" s="385"/>
      <c r="AU442" s="386"/>
      <c r="AV442" s="375"/>
      <c r="AW442" s="375"/>
      <c r="AY442" s="385"/>
      <c r="AZ442" s="386"/>
      <c r="BA442" s="375"/>
      <c r="BB442" s="375"/>
      <c r="BD442" s="385"/>
      <c r="BE442" s="386"/>
      <c r="BF442" s="375"/>
      <c r="BG442" s="375"/>
      <c r="BI442" s="385"/>
      <c r="BJ442" s="386"/>
      <c r="BK442" s="375"/>
      <c r="BL442" s="375"/>
      <c r="BN442" s="385"/>
      <c r="BO442" s="386"/>
      <c r="BP442" s="375"/>
      <c r="BQ442" s="375"/>
      <c r="BS442" s="385"/>
      <c r="BT442" s="386"/>
      <c r="BU442" s="375"/>
      <c r="BV442" s="375"/>
      <c r="BX442" s="385"/>
      <c r="BY442" s="386"/>
      <c r="BZ442" s="375"/>
      <c r="CA442" s="375"/>
      <c r="CC442" s="385"/>
      <c r="CD442" s="386"/>
      <c r="CE442" s="375"/>
      <c r="CF442" s="375"/>
      <c r="CH442" s="385"/>
      <c r="CI442" s="386"/>
      <c r="CJ442" s="375"/>
      <c r="CK442" s="375"/>
      <c r="CM442" s="385"/>
      <c r="CN442" s="386"/>
      <c r="CO442" s="375"/>
      <c r="CP442" s="375"/>
      <c r="CR442" s="385"/>
      <c r="CS442" s="386"/>
      <c r="CT442" s="375"/>
      <c r="CU442" s="375"/>
      <c r="CW442" s="385"/>
      <c r="CX442" s="386"/>
      <c r="CY442" s="375"/>
      <c r="CZ442" s="375"/>
      <c r="DB442" s="385"/>
      <c r="DC442" s="386"/>
      <c r="DD442" s="375"/>
      <c r="DE442" s="375"/>
      <c r="DG442" s="385"/>
      <c r="DH442" s="386"/>
      <c r="DI442" s="375"/>
      <c r="DJ442" s="375"/>
      <c r="DL442" s="385"/>
      <c r="DM442" s="386"/>
      <c r="DN442" s="375"/>
      <c r="DO442" s="375"/>
      <c r="DQ442" s="385"/>
      <c r="DR442" s="386"/>
      <c r="DS442" s="375"/>
      <c r="DT442" s="375"/>
      <c r="DV442" s="385"/>
      <c r="DW442" s="386"/>
      <c r="DX442" s="375"/>
      <c r="DY442" s="375"/>
      <c r="EA442" s="385"/>
      <c r="EB442" s="386"/>
      <c r="EC442" s="375"/>
      <c r="ED442" s="375"/>
      <c r="EF442" s="385"/>
      <c r="EG442" s="386"/>
      <c r="EH442" s="375"/>
      <c r="EI442" s="375"/>
      <c r="EK442" s="385"/>
      <c r="EL442" s="386"/>
      <c r="EM442" s="375"/>
      <c r="EN442" s="375"/>
      <c r="EP442" s="385"/>
      <c r="EQ442" s="386"/>
      <c r="ER442" s="375"/>
      <c r="ES442" s="375"/>
      <c r="EU442" s="385"/>
      <c r="EV442" s="386"/>
      <c r="EW442" s="375"/>
      <c r="EX442" s="375"/>
      <c r="EZ442" s="385"/>
      <c r="FA442" s="386"/>
      <c r="FB442" s="375"/>
      <c r="FC442" s="375"/>
      <c r="FE442" s="385"/>
      <c r="FF442" s="386"/>
      <c r="FG442" s="375"/>
      <c r="FH442" s="375"/>
      <c r="FJ442" s="385"/>
      <c r="FK442" s="386"/>
      <c r="FL442" s="375"/>
      <c r="FM442" s="375"/>
      <c r="FO442" s="385"/>
      <c r="FP442" s="386"/>
      <c r="FQ442" s="375"/>
      <c r="FR442" s="375"/>
      <c r="FT442" s="385"/>
      <c r="FU442" s="386"/>
      <c r="FV442" s="375"/>
      <c r="FW442" s="375"/>
      <c r="FY442" s="385"/>
      <c r="FZ442" s="386"/>
      <c r="GA442" s="375"/>
      <c r="GB442" s="375"/>
      <c r="GD442" s="385"/>
      <c r="GE442" s="386"/>
      <c r="GF442" s="375"/>
      <c r="GG442" s="375"/>
      <c r="GI442" s="385"/>
      <c r="GJ442" s="386"/>
      <c r="GK442" s="375"/>
      <c r="GL442" s="375"/>
      <c r="GN442" s="385"/>
      <c r="GO442" s="386"/>
      <c r="GP442" s="375"/>
      <c r="GQ442" s="375"/>
      <c r="GS442" s="385"/>
      <c r="GT442" s="386"/>
      <c r="GU442" s="375"/>
      <c r="GV442" s="375"/>
      <c r="GX442" s="385"/>
      <c r="GY442" s="386"/>
      <c r="GZ442" s="375"/>
      <c r="HA442" s="375"/>
      <c r="HC442" s="385"/>
      <c r="HD442" s="386"/>
      <c r="HE442" s="375"/>
      <c r="HF442" s="375"/>
      <c r="HH442" s="385"/>
      <c r="HI442" s="386"/>
      <c r="HJ442" s="375"/>
      <c r="HK442" s="375"/>
      <c r="HM442" s="385"/>
      <c r="HN442" s="386"/>
      <c r="HO442" s="375"/>
      <c r="HP442" s="375"/>
      <c r="HR442" s="385"/>
      <c r="HS442" s="386"/>
      <c r="HT442" s="375"/>
      <c r="HU442" s="375"/>
      <c r="HW442" s="385"/>
      <c r="HX442" s="386"/>
      <c r="HY442" s="375"/>
      <c r="HZ442" s="375"/>
      <c r="IB442" s="385"/>
      <c r="IC442" s="386"/>
      <c r="ID442" s="375"/>
      <c r="IE442" s="375"/>
      <c r="IG442" s="385"/>
      <c r="IH442" s="386"/>
      <c r="II442" s="375"/>
      <c r="IJ442" s="375"/>
      <c r="IL442" s="385"/>
      <c r="IM442" s="386"/>
      <c r="IN442" s="375"/>
      <c r="IO442" s="375"/>
      <c r="IQ442" s="385"/>
      <c r="IR442" s="386"/>
      <c r="IS442" s="375"/>
      <c r="IT442" s="375"/>
      <c r="IV442" s="385"/>
    </row>
    <row r="443" spans="1:256" s="387" customFormat="1" x14ac:dyDescent="0.2">
      <c r="A443" s="385"/>
      <c r="B443" s="386"/>
      <c r="C443" s="375"/>
      <c r="D443" s="375"/>
      <c r="F443" s="385"/>
      <c r="G443" s="386"/>
      <c r="H443" s="375"/>
      <c r="I443" s="375"/>
      <c r="K443" s="385"/>
      <c r="L443" s="386"/>
      <c r="M443" s="375"/>
      <c r="N443" s="375"/>
      <c r="P443" s="385"/>
      <c r="Q443" s="386"/>
      <c r="R443" s="375"/>
      <c r="S443" s="375"/>
      <c r="U443" s="385"/>
      <c r="V443" s="386"/>
      <c r="W443" s="375"/>
      <c r="X443" s="375"/>
      <c r="Z443" s="385"/>
      <c r="AA443" s="386"/>
      <c r="AB443" s="375"/>
      <c r="AC443" s="375"/>
      <c r="AE443" s="385"/>
      <c r="AF443" s="386"/>
      <c r="AG443" s="375"/>
      <c r="AH443" s="375"/>
      <c r="AJ443" s="385"/>
      <c r="AK443" s="386"/>
      <c r="AL443" s="375"/>
      <c r="AM443" s="375"/>
      <c r="AO443" s="385"/>
      <c r="AP443" s="386"/>
      <c r="AQ443" s="375"/>
      <c r="AR443" s="375"/>
      <c r="AT443" s="385"/>
      <c r="AU443" s="386"/>
      <c r="AV443" s="375"/>
      <c r="AW443" s="375"/>
      <c r="AY443" s="385"/>
      <c r="AZ443" s="386"/>
      <c r="BA443" s="375"/>
      <c r="BB443" s="375"/>
      <c r="BD443" s="385"/>
      <c r="BE443" s="386"/>
      <c r="BF443" s="375"/>
      <c r="BG443" s="375"/>
      <c r="BI443" s="385"/>
      <c r="BJ443" s="386"/>
      <c r="BK443" s="375"/>
      <c r="BL443" s="375"/>
      <c r="BN443" s="385"/>
      <c r="BO443" s="386"/>
      <c r="BP443" s="375"/>
      <c r="BQ443" s="375"/>
      <c r="BS443" s="385"/>
      <c r="BT443" s="386"/>
      <c r="BU443" s="375"/>
      <c r="BV443" s="375"/>
      <c r="BX443" s="385"/>
      <c r="BY443" s="386"/>
      <c r="BZ443" s="375"/>
      <c r="CA443" s="375"/>
      <c r="CC443" s="385"/>
      <c r="CD443" s="386"/>
      <c r="CE443" s="375"/>
      <c r="CF443" s="375"/>
      <c r="CH443" s="385"/>
      <c r="CI443" s="386"/>
      <c r="CJ443" s="375"/>
      <c r="CK443" s="375"/>
      <c r="CM443" s="385"/>
      <c r="CN443" s="386"/>
      <c r="CO443" s="375"/>
      <c r="CP443" s="375"/>
      <c r="CR443" s="385"/>
      <c r="CS443" s="386"/>
      <c r="CT443" s="375"/>
      <c r="CU443" s="375"/>
      <c r="CW443" s="385"/>
      <c r="CX443" s="386"/>
      <c r="CY443" s="375"/>
      <c r="CZ443" s="375"/>
      <c r="DB443" s="385"/>
      <c r="DC443" s="386"/>
      <c r="DD443" s="375"/>
      <c r="DE443" s="375"/>
      <c r="DG443" s="385"/>
      <c r="DH443" s="386"/>
      <c r="DI443" s="375"/>
      <c r="DJ443" s="375"/>
      <c r="DL443" s="385"/>
      <c r="DM443" s="386"/>
      <c r="DN443" s="375"/>
      <c r="DO443" s="375"/>
      <c r="DQ443" s="385"/>
      <c r="DR443" s="386"/>
      <c r="DS443" s="375"/>
      <c r="DT443" s="375"/>
      <c r="DV443" s="385"/>
      <c r="DW443" s="386"/>
      <c r="DX443" s="375"/>
      <c r="DY443" s="375"/>
      <c r="EA443" s="385"/>
      <c r="EB443" s="386"/>
      <c r="EC443" s="375"/>
      <c r="ED443" s="375"/>
      <c r="EF443" s="385"/>
      <c r="EG443" s="386"/>
      <c r="EH443" s="375"/>
      <c r="EI443" s="375"/>
      <c r="EK443" s="385"/>
      <c r="EL443" s="386"/>
      <c r="EM443" s="375"/>
      <c r="EN443" s="375"/>
      <c r="EP443" s="385"/>
      <c r="EQ443" s="386"/>
      <c r="ER443" s="375"/>
      <c r="ES443" s="375"/>
      <c r="EU443" s="385"/>
      <c r="EV443" s="386"/>
      <c r="EW443" s="375"/>
      <c r="EX443" s="375"/>
      <c r="EZ443" s="385"/>
      <c r="FA443" s="386"/>
      <c r="FB443" s="375"/>
      <c r="FC443" s="375"/>
      <c r="FE443" s="385"/>
      <c r="FF443" s="386"/>
      <c r="FG443" s="375"/>
      <c r="FH443" s="375"/>
      <c r="FJ443" s="385"/>
      <c r="FK443" s="386"/>
      <c r="FL443" s="375"/>
      <c r="FM443" s="375"/>
      <c r="FO443" s="385"/>
      <c r="FP443" s="386"/>
      <c r="FQ443" s="375"/>
      <c r="FR443" s="375"/>
      <c r="FT443" s="385"/>
      <c r="FU443" s="386"/>
      <c r="FV443" s="375"/>
      <c r="FW443" s="375"/>
      <c r="FY443" s="385"/>
      <c r="FZ443" s="386"/>
      <c r="GA443" s="375"/>
      <c r="GB443" s="375"/>
      <c r="GD443" s="385"/>
      <c r="GE443" s="386"/>
      <c r="GF443" s="375"/>
      <c r="GG443" s="375"/>
      <c r="GI443" s="385"/>
      <c r="GJ443" s="386"/>
      <c r="GK443" s="375"/>
      <c r="GL443" s="375"/>
      <c r="GN443" s="385"/>
      <c r="GO443" s="386"/>
      <c r="GP443" s="375"/>
      <c r="GQ443" s="375"/>
      <c r="GS443" s="385"/>
      <c r="GT443" s="386"/>
      <c r="GU443" s="375"/>
      <c r="GV443" s="375"/>
      <c r="GX443" s="385"/>
      <c r="GY443" s="386"/>
      <c r="GZ443" s="375"/>
      <c r="HA443" s="375"/>
      <c r="HC443" s="385"/>
      <c r="HD443" s="386"/>
      <c r="HE443" s="375"/>
      <c r="HF443" s="375"/>
      <c r="HH443" s="385"/>
      <c r="HI443" s="386"/>
      <c r="HJ443" s="375"/>
      <c r="HK443" s="375"/>
      <c r="HM443" s="385"/>
      <c r="HN443" s="386"/>
      <c r="HO443" s="375"/>
      <c r="HP443" s="375"/>
      <c r="HR443" s="385"/>
      <c r="HS443" s="386"/>
      <c r="HT443" s="375"/>
      <c r="HU443" s="375"/>
      <c r="HW443" s="385"/>
      <c r="HX443" s="386"/>
      <c r="HY443" s="375"/>
      <c r="HZ443" s="375"/>
      <c r="IB443" s="385"/>
      <c r="IC443" s="386"/>
      <c r="ID443" s="375"/>
      <c r="IE443" s="375"/>
      <c r="IG443" s="385"/>
      <c r="IH443" s="386"/>
      <c r="II443" s="375"/>
      <c r="IJ443" s="375"/>
      <c r="IL443" s="385"/>
      <c r="IM443" s="386"/>
      <c r="IN443" s="375"/>
      <c r="IO443" s="375"/>
      <c r="IQ443" s="385"/>
      <c r="IR443" s="386"/>
      <c r="IS443" s="375"/>
      <c r="IT443" s="375"/>
      <c r="IV443" s="385"/>
    </row>
    <row r="444" spans="1:256" s="387" customFormat="1" x14ac:dyDescent="0.2">
      <c r="A444" s="385"/>
      <c r="B444" s="386"/>
      <c r="C444" s="375"/>
      <c r="D444" s="375"/>
      <c r="F444" s="385"/>
      <c r="G444" s="386"/>
      <c r="H444" s="375"/>
      <c r="I444" s="375"/>
      <c r="K444" s="385"/>
      <c r="L444" s="386"/>
      <c r="M444" s="375"/>
      <c r="N444" s="375"/>
      <c r="P444" s="385"/>
      <c r="Q444" s="386"/>
      <c r="R444" s="375"/>
      <c r="S444" s="375"/>
      <c r="U444" s="385"/>
      <c r="V444" s="386"/>
      <c r="W444" s="375"/>
      <c r="X444" s="375"/>
      <c r="Z444" s="385"/>
      <c r="AA444" s="386"/>
      <c r="AB444" s="375"/>
      <c r="AC444" s="375"/>
      <c r="AE444" s="385"/>
      <c r="AF444" s="386"/>
      <c r="AG444" s="375"/>
      <c r="AH444" s="375"/>
      <c r="AJ444" s="385"/>
      <c r="AK444" s="386"/>
      <c r="AL444" s="375"/>
      <c r="AM444" s="375"/>
      <c r="AO444" s="385"/>
      <c r="AP444" s="386"/>
      <c r="AQ444" s="375"/>
      <c r="AR444" s="375"/>
      <c r="AT444" s="385"/>
      <c r="AU444" s="386"/>
      <c r="AV444" s="375"/>
      <c r="AW444" s="375"/>
      <c r="AY444" s="385"/>
      <c r="AZ444" s="386"/>
      <c r="BA444" s="375"/>
      <c r="BB444" s="375"/>
      <c r="BD444" s="385"/>
      <c r="BE444" s="386"/>
      <c r="BF444" s="375"/>
      <c r="BG444" s="375"/>
      <c r="BI444" s="385"/>
      <c r="BJ444" s="386"/>
      <c r="BK444" s="375"/>
      <c r="BL444" s="375"/>
      <c r="BN444" s="385"/>
      <c r="BO444" s="386"/>
      <c r="BP444" s="375"/>
      <c r="BQ444" s="375"/>
      <c r="BS444" s="385"/>
      <c r="BT444" s="386"/>
      <c r="BU444" s="375"/>
      <c r="BV444" s="375"/>
      <c r="BX444" s="385"/>
      <c r="BY444" s="386"/>
      <c r="BZ444" s="375"/>
      <c r="CA444" s="375"/>
      <c r="CC444" s="385"/>
      <c r="CD444" s="386"/>
      <c r="CE444" s="375"/>
      <c r="CF444" s="375"/>
      <c r="CH444" s="385"/>
      <c r="CI444" s="386"/>
      <c r="CJ444" s="375"/>
      <c r="CK444" s="375"/>
      <c r="CM444" s="385"/>
      <c r="CN444" s="386"/>
      <c r="CO444" s="375"/>
      <c r="CP444" s="375"/>
      <c r="CR444" s="385"/>
      <c r="CS444" s="386"/>
      <c r="CT444" s="375"/>
      <c r="CU444" s="375"/>
      <c r="CW444" s="385"/>
      <c r="CX444" s="386"/>
      <c r="CY444" s="375"/>
      <c r="CZ444" s="375"/>
      <c r="DB444" s="385"/>
      <c r="DC444" s="386"/>
      <c r="DD444" s="375"/>
      <c r="DE444" s="375"/>
      <c r="DG444" s="385"/>
      <c r="DH444" s="386"/>
      <c r="DI444" s="375"/>
      <c r="DJ444" s="375"/>
      <c r="DL444" s="385"/>
      <c r="DM444" s="386"/>
      <c r="DN444" s="375"/>
      <c r="DO444" s="375"/>
      <c r="DQ444" s="385"/>
      <c r="DR444" s="386"/>
      <c r="DS444" s="375"/>
      <c r="DT444" s="375"/>
      <c r="DV444" s="385"/>
      <c r="DW444" s="386"/>
      <c r="DX444" s="375"/>
      <c r="DY444" s="375"/>
      <c r="EA444" s="385"/>
      <c r="EB444" s="386"/>
      <c r="EC444" s="375"/>
      <c r="ED444" s="375"/>
      <c r="EF444" s="385"/>
      <c r="EG444" s="386"/>
      <c r="EH444" s="375"/>
      <c r="EI444" s="375"/>
      <c r="EK444" s="385"/>
      <c r="EL444" s="386"/>
      <c r="EM444" s="375"/>
      <c r="EN444" s="375"/>
      <c r="EP444" s="385"/>
      <c r="EQ444" s="386"/>
      <c r="ER444" s="375"/>
      <c r="ES444" s="375"/>
      <c r="EU444" s="385"/>
      <c r="EV444" s="386"/>
      <c r="EW444" s="375"/>
      <c r="EX444" s="375"/>
      <c r="EZ444" s="385"/>
      <c r="FA444" s="386"/>
      <c r="FB444" s="375"/>
      <c r="FC444" s="375"/>
      <c r="FE444" s="385"/>
      <c r="FF444" s="386"/>
      <c r="FG444" s="375"/>
      <c r="FH444" s="375"/>
      <c r="FJ444" s="385"/>
      <c r="FK444" s="386"/>
      <c r="FL444" s="375"/>
      <c r="FM444" s="375"/>
      <c r="FO444" s="385"/>
      <c r="FP444" s="386"/>
      <c r="FQ444" s="375"/>
      <c r="FR444" s="375"/>
      <c r="FT444" s="385"/>
      <c r="FU444" s="386"/>
      <c r="FV444" s="375"/>
      <c r="FW444" s="375"/>
      <c r="FY444" s="385"/>
      <c r="FZ444" s="386"/>
      <c r="GA444" s="375"/>
      <c r="GB444" s="375"/>
      <c r="GD444" s="385"/>
      <c r="GE444" s="386"/>
      <c r="GF444" s="375"/>
      <c r="GG444" s="375"/>
      <c r="GI444" s="385"/>
      <c r="GJ444" s="386"/>
      <c r="GK444" s="375"/>
      <c r="GL444" s="375"/>
      <c r="GN444" s="385"/>
      <c r="GO444" s="386"/>
      <c r="GP444" s="375"/>
      <c r="GQ444" s="375"/>
      <c r="GS444" s="385"/>
      <c r="GT444" s="386"/>
      <c r="GU444" s="375"/>
      <c r="GV444" s="375"/>
      <c r="GX444" s="385"/>
      <c r="GY444" s="386"/>
      <c r="GZ444" s="375"/>
      <c r="HA444" s="375"/>
      <c r="HC444" s="385"/>
      <c r="HD444" s="386"/>
      <c r="HE444" s="375"/>
      <c r="HF444" s="375"/>
      <c r="HH444" s="385"/>
      <c r="HI444" s="386"/>
      <c r="HJ444" s="375"/>
      <c r="HK444" s="375"/>
      <c r="HM444" s="385"/>
      <c r="HN444" s="386"/>
      <c r="HO444" s="375"/>
      <c r="HP444" s="375"/>
      <c r="HR444" s="385"/>
      <c r="HS444" s="386"/>
      <c r="HT444" s="375"/>
      <c r="HU444" s="375"/>
      <c r="HW444" s="385"/>
      <c r="HX444" s="386"/>
      <c r="HY444" s="375"/>
      <c r="HZ444" s="375"/>
      <c r="IB444" s="385"/>
      <c r="IC444" s="386"/>
      <c r="ID444" s="375"/>
      <c r="IE444" s="375"/>
      <c r="IG444" s="385"/>
      <c r="IH444" s="386"/>
      <c r="II444" s="375"/>
      <c r="IJ444" s="375"/>
      <c r="IL444" s="385"/>
      <c r="IM444" s="386"/>
      <c r="IN444" s="375"/>
      <c r="IO444" s="375"/>
      <c r="IQ444" s="385"/>
      <c r="IR444" s="386"/>
      <c r="IS444" s="375"/>
      <c r="IT444" s="375"/>
      <c r="IV444" s="385"/>
    </row>
    <row r="445" spans="1:256" s="387" customFormat="1" x14ac:dyDescent="0.2">
      <c r="A445" s="385"/>
      <c r="B445" s="386"/>
      <c r="C445" s="375"/>
      <c r="D445" s="375"/>
      <c r="F445" s="385"/>
      <c r="G445" s="386"/>
      <c r="H445" s="375"/>
      <c r="I445" s="375"/>
      <c r="K445" s="385"/>
      <c r="L445" s="386"/>
      <c r="M445" s="375"/>
      <c r="N445" s="375"/>
      <c r="P445" s="385"/>
      <c r="Q445" s="386"/>
      <c r="R445" s="375"/>
      <c r="S445" s="375"/>
      <c r="U445" s="385"/>
      <c r="V445" s="386"/>
      <c r="W445" s="375"/>
      <c r="X445" s="375"/>
      <c r="Z445" s="385"/>
      <c r="AA445" s="386"/>
      <c r="AB445" s="375"/>
      <c r="AC445" s="375"/>
      <c r="AE445" s="385"/>
      <c r="AF445" s="386"/>
      <c r="AG445" s="375"/>
      <c r="AH445" s="375"/>
      <c r="AJ445" s="385"/>
      <c r="AK445" s="386"/>
      <c r="AL445" s="375"/>
      <c r="AM445" s="375"/>
      <c r="AO445" s="385"/>
      <c r="AP445" s="386"/>
      <c r="AQ445" s="375"/>
      <c r="AR445" s="375"/>
      <c r="AT445" s="385"/>
      <c r="AU445" s="386"/>
      <c r="AV445" s="375"/>
      <c r="AW445" s="375"/>
      <c r="AY445" s="385"/>
      <c r="AZ445" s="386"/>
      <c r="BA445" s="375"/>
      <c r="BB445" s="375"/>
      <c r="BD445" s="385"/>
      <c r="BE445" s="386"/>
      <c r="BF445" s="375"/>
      <c r="BG445" s="375"/>
      <c r="BI445" s="385"/>
      <c r="BJ445" s="386"/>
      <c r="BK445" s="375"/>
      <c r="BL445" s="375"/>
      <c r="BN445" s="385"/>
      <c r="BO445" s="386"/>
      <c r="BP445" s="375"/>
      <c r="BQ445" s="375"/>
      <c r="BS445" s="385"/>
      <c r="BT445" s="386"/>
      <c r="BU445" s="375"/>
      <c r="BV445" s="375"/>
      <c r="BX445" s="385"/>
      <c r="BY445" s="386"/>
      <c r="BZ445" s="375"/>
      <c r="CA445" s="375"/>
      <c r="CC445" s="385"/>
      <c r="CD445" s="386"/>
      <c r="CE445" s="375"/>
      <c r="CF445" s="375"/>
      <c r="CH445" s="385"/>
      <c r="CI445" s="386"/>
      <c r="CJ445" s="375"/>
      <c r="CK445" s="375"/>
      <c r="CM445" s="385"/>
      <c r="CN445" s="386"/>
      <c r="CO445" s="375"/>
      <c r="CP445" s="375"/>
      <c r="CR445" s="385"/>
      <c r="CS445" s="386"/>
      <c r="CT445" s="375"/>
      <c r="CU445" s="375"/>
      <c r="CW445" s="385"/>
      <c r="CX445" s="386"/>
      <c r="CY445" s="375"/>
      <c r="CZ445" s="375"/>
      <c r="DB445" s="385"/>
      <c r="DC445" s="386"/>
      <c r="DD445" s="375"/>
      <c r="DE445" s="375"/>
      <c r="DG445" s="385"/>
      <c r="DH445" s="386"/>
      <c r="DI445" s="375"/>
      <c r="DJ445" s="375"/>
      <c r="DL445" s="385"/>
      <c r="DM445" s="386"/>
      <c r="DN445" s="375"/>
      <c r="DO445" s="375"/>
      <c r="DQ445" s="385"/>
      <c r="DR445" s="386"/>
      <c r="DS445" s="375"/>
      <c r="DT445" s="375"/>
      <c r="DV445" s="385"/>
      <c r="DW445" s="386"/>
      <c r="DX445" s="375"/>
      <c r="DY445" s="375"/>
      <c r="EA445" s="385"/>
      <c r="EB445" s="386"/>
      <c r="EC445" s="375"/>
      <c r="ED445" s="375"/>
      <c r="EF445" s="385"/>
      <c r="EG445" s="386"/>
      <c r="EH445" s="375"/>
      <c r="EI445" s="375"/>
      <c r="EK445" s="385"/>
      <c r="EL445" s="386"/>
      <c r="EM445" s="375"/>
      <c r="EN445" s="375"/>
      <c r="EP445" s="385"/>
      <c r="EQ445" s="386"/>
      <c r="ER445" s="375"/>
      <c r="ES445" s="375"/>
      <c r="EU445" s="385"/>
      <c r="EV445" s="386"/>
      <c r="EW445" s="375"/>
      <c r="EX445" s="375"/>
      <c r="EZ445" s="385"/>
      <c r="FA445" s="386"/>
      <c r="FB445" s="375"/>
      <c r="FC445" s="375"/>
      <c r="FE445" s="385"/>
      <c r="FF445" s="386"/>
      <c r="FG445" s="375"/>
      <c r="FH445" s="375"/>
      <c r="FJ445" s="385"/>
      <c r="FK445" s="386"/>
      <c r="FL445" s="375"/>
      <c r="FM445" s="375"/>
      <c r="FO445" s="385"/>
      <c r="FP445" s="386"/>
      <c r="FQ445" s="375"/>
      <c r="FR445" s="375"/>
      <c r="FT445" s="385"/>
      <c r="FU445" s="386"/>
      <c r="FV445" s="375"/>
      <c r="FW445" s="375"/>
      <c r="FY445" s="385"/>
      <c r="FZ445" s="386"/>
      <c r="GA445" s="375"/>
      <c r="GB445" s="375"/>
      <c r="GD445" s="385"/>
      <c r="GE445" s="386"/>
      <c r="GF445" s="375"/>
      <c r="GG445" s="375"/>
      <c r="GI445" s="385"/>
      <c r="GJ445" s="386"/>
      <c r="GK445" s="375"/>
      <c r="GL445" s="375"/>
      <c r="GN445" s="385"/>
      <c r="GO445" s="386"/>
      <c r="GP445" s="375"/>
      <c r="GQ445" s="375"/>
      <c r="GS445" s="385"/>
      <c r="GT445" s="386"/>
      <c r="GU445" s="375"/>
      <c r="GV445" s="375"/>
      <c r="GX445" s="385"/>
      <c r="GY445" s="386"/>
      <c r="GZ445" s="375"/>
      <c r="HA445" s="375"/>
      <c r="HC445" s="385"/>
      <c r="HD445" s="386"/>
      <c r="HE445" s="375"/>
      <c r="HF445" s="375"/>
      <c r="HH445" s="385"/>
      <c r="HI445" s="386"/>
      <c r="HJ445" s="375"/>
      <c r="HK445" s="375"/>
      <c r="HM445" s="385"/>
      <c r="HN445" s="386"/>
      <c r="HO445" s="375"/>
      <c r="HP445" s="375"/>
      <c r="HR445" s="385"/>
      <c r="HS445" s="386"/>
      <c r="HT445" s="375"/>
      <c r="HU445" s="375"/>
      <c r="HW445" s="385"/>
      <c r="HX445" s="386"/>
      <c r="HY445" s="375"/>
      <c r="HZ445" s="375"/>
      <c r="IB445" s="385"/>
      <c r="IC445" s="386"/>
      <c r="ID445" s="375"/>
      <c r="IE445" s="375"/>
      <c r="IG445" s="385"/>
      <c r="IH445" s="386"/>
      <c r="II445" s="375"/>
      <c r="IJ445" s="375"/>
      <c r="IL445" s="385"/>
      <c r="IM445" s="386"/>
      <c r="IN445" s="375"/>
      <c r="IO445" s="375"/>
      <c r="IQ445" s="385"/>
      <c r="IR445" s="386"/>
      <c r="IS445" s="375"/>
      <c r="IT445" s="375"/>
      <c r="IV445" s="385"/>
    </row>
    <row r="446" spans="1:256" s="387" customFormat="1" x14ac:dyDescent="0.2">
      <c r="A446" s="385"/>
      <c r="B446" s="386"/>
      <c r="C446" s="375"/>
      <c r="D446" s="375"/>
      <c r="F446" s="385"/>
      <c r="G446" s="386"/>
      <c r="H446" s="375"/>
      <c r="I446" s="375"/>
      <c r="K446" s="385"/>
      <c r="L446" s="386"/>
      <c r="M446" s="375"/>
      <c r="N446" s="375"/>
      <c r="P446" s="385"/>
      <c r="Q446" s="386"/>
      <c r="R446" s="375"/>
      <c r="S446" s="375"/>
      <c r="U446" s="385"/>
      <c r="V446" s="386"/>
      <c r="W446" s="375"/>
      <c r="X446" s="375"/>
      <c r="Z446" s="385"/>
      <c r="AA446" s="386"/>
      <c r="AB446" s="375"/>
      <c r="AC446" s="375"/>
      <c r="AE446" s="385"/>
      <c r="AF446" s="386"/>
      <c r="AG446" s="375"/>
      <c r="AH446" s="375"/>
      <c r="AJ446" s="385"/>
      <c r="AK446" s="386"/>
      <c r="AL446" s="375"/>
      <c r="AM446" s="375"/>
      <c r="AO446" s="385"/>
      <c r="AP446" s="386"/>
      <c r="AQ446" s="375"/>
      <c r="AR446" s="375"/>
      <c r="AT446" s="385"/>
      <c r="AU446" s="386"/>
      <c r="AV446" s="375"/>
      <c r="AW446" s="375"/>
      <c r="AY446" s="385"/>
      <c r="AZ446" s="386"/>
      <c r="BA446" s="375"/>
      <c r="BB446" s="375"/>
      <c r="BD446" s="385"/>
      <c r="BE446" s="386"/>
      <c r="BF446" s="375"/>
      <c r="BG446" s="375"/>
      <c r="BI446" s="385"/>
      <c r="BJ446" s="386"/>
      <c r="BK446" s="375"/>
      <c r="BL446" s="375"/>
      <c r="BN446" s="385"/>
      <c r="BO446" s="386"/>
      <c r="BP446" s="375"/>
      <c r="BQ446" s="375"/>
      <c r="BS446" s="385"/>
      <c r="BT446" s="386"/>
      <c r="BU446" s="375"/>
      <c r="BV446" s="375"/>
      <c r="BX446" s="385"/>
      <c r="BY446" s="386"/>
      <c r="BZ446" s="375"/>
      <c r="CA446" s="375"/>
      <c r="CC446" s="385"/>
      <c r="CD446" s="386"/>
      <c r="CE446" s="375"/>
      <c r="CF446" s="375"/>
      <c r="CH446" s="385"/>
      <c r="CI446" s="386"/>
      <c r="CJ446" s="375"/>
      <c r="CK446" s="375"/>
      <c r="CM446" s="385"/>
      <c r="CN446" s="386"/>
      <c r="CO446" s="375"/>
      <c r="CP446" s="375"/>
      <c r="CR446" s="385"/>
      <c r="CS446" s="386"/>
      <c r="CT446" s="375"/>
      <c r="CU446" s="375"/>
      <c r="CW446" s="385"/>
      <c r="CX446" s="386"/>
      <c r="CY446" s="375"/>
      <c r="CZ446" s="375"/>
      <c r="DB446" s="385"/>
      <c r="DC446" s="386"/>
      <c r="DD446" s="375"/>
      <c r="DE446" s="375"/>
      <c r="DG446" s="385"/>
      <c r="DH446" s="386"/>
      <c r="DI446" s="375"/>
      <c r="DJ446" s="375"/>
      <c r="DL446" s="385"/>
      <c r="DM446" s="386"/>
      <c r="DN446" s="375"/>
      <c r="DO446" s="375"/>
      <c r="DQ446" s="385"/>
      <c r="DR446" s="386"/>
      <c r="DS446" s="375"/>
      <c r="DT446" s="375"/>
      <c r="DV446" s="385"/>
      <c r="DW446" s="386"/>
      <c r="DX446" s="375"/>
      <c r="DY446" s="375"/>
      <c r="EA446" s="385"/>
      <c r="EB446" s="386"/>
      <c r="EC446" s="375"/>
      <c r="ED446" s="375"/>
      <c r="EF446" s="385"/>
      <c r="EG446" s="386"/>
      <c r="EH446" s="375"/>
      <c r="EI446" s="375"/>
      <c r="EK446" s="385"/>
      <c r="EL446" s="386"/>
      <c r="EM446" s="375"/>
      <c r="EN446" s="375"/>
      <c r="EP446" s="385"/>
      <c r="EQ446" s="386"/>
      <c r="ER446" s="375"/>
      <c r="ES446" s="375"/>
      <c r="EU446" s="385"/>
      <c r="EV446" s="386"/>
      <c r="EW446" s="375"/>
      <c r="EX446" s="375"/>
      <c r="EZ446" s="385"/>
      <c r="FA446" s="386"/>
      <c r="FB446" s="375"/>
      <c r="FC446" s="375"/>
      <c r="FE446" s="385"/>
      <c r="FF446" s="386"/>
      <c r="FG446" s="375"/>
      <c r="FH446" s="375"/>
      <c r="FJ446" s="385"/>
      <c r="FK446" s="386"/>
      <c r="FL446" s="375"/>
      <c r="FM446" s="375"/>
      <c r="FO446" s="385"/>
      <c r="FP446" s="386"/>
      <c r="FQ446" s="375"/>
      <c r="FR446" s="375"/>
      <c r="FT446" s="385"/>
      <c r="FU446" s="386"/>
      <c r="FV446" s="375"/>
      <c r="FW446" s="375"/>
      <c r="FY446" s="385"/>
      <c r="FZ446" s="386"/>
      <c r="GA446" s="375"/>
      <c r="GB446" s="375"/>
      <c r="GD446" s="385"/>
      <c r="GE446" s="386"/>
      <c r="GF446" s="375"/>
      <c r="GG446" s="375"/>
      <c r="GI446" s="385"/>
      <c r="GJ446" s="386"/>
      <c r="GK446" s="375"/>
      <c r="GL446" s="375"/>
      <c r="GN446" s="385"/>
      <c r="GO446" s="386"/>
      <c r="GP446" s="375"/>
      <c r="GQ446" s="375"/>
      <c r="GS446" s="385"/>
      <c r="GT446" s="386"/>
      <c r="GU446" s="375"/>
      <c r="GV446" s="375"/>
      <c r="GX446" s="385"/>
      <c r="GY446" s="386"/>
      <c r="GZ446" s="375"/>
      <c r="HA446" s="375"/>
      <c r="HC446" s="385"/>
      <c r="HD446" s="386"/>
      <c r="HE446" s="375"/>
      <c r="HF446" s="375"/>
      <c r="HH446" s="385"/>
      <c r="HI446" s="386"/>
      <c r="HJ446" s="375"/>
      <c r="HK446" s="375"/>
      <c r="HM446" s="385"/>
      <c r="HN446" s="386"/>
      <c r="HO446" s="375"/>
      <c r="HP446" s="375"/>
      <c r="HR446" s="385"/>
      <c r="HS446" s="386"/>
      <c r="HT446" s="375"/>
      <c r="HU446" s="375"/>
      <c r="HW446" s="385"/>
      <c r="HX446" s="386"/>
      <c r="HY446" s="375"/>
      <c r="HZ446" s="375"/>
      <c r="IB446" s="385"/>
      <c r="IC446" s="386"/>
      <c r="ID446" s="375"/>
      <c r="IE446" s="375"/>
      <c r="IG446" s="385"/>
      <c r="IH446" s="386"/>
      <c r="II446" s="375"/>
      <c r="IJ446" s="375"/>
      <c r="IL446" s="385"/>
      <c r="IM446" s="386"/>
      <c r="IN446" s="375"/>
      <c r="IO446" s="375"/>
      <c r="IQ446" s="385"/>
      <c r="IR446" s="386"/>
      <c r="IS446" s="375"/>
      <c r="IT446" s="375"/>
      <c r="IV446" s="385"/>
    </row>
    <row r="447" spans="1:256" s="387" customFormat="1" x14ac:dyDescent="0.2">
      <c r="A447" s="385"/>
      <c r="B447" s="386"/>
      <c r="C447" s="375"/>
      <c r="D447" s="375"/>
      <c r="F447" s="385"/>
      <c r="G447" s="386"/>
      <c r="H447" s="375"/>
      <c r="I447" s="375"/>
      <c r="K447" s="385"/>
      <c r="L447" s="386"/>
      <c r="M447" s="375"/>
      <c r="N447" s="375"/>
      <c r="P447" s="385"/>
      <c r="Q447" s="386"/>
      <c r="R447" s="375"/>
      <c r="S447" s="375"/>
      <c r="U447" s="385"/>
      <c r="V447" s="386"/>
      <c r="W447" s="375"/>
      <c r="X447" s="375"/>
      <c r="Z447" s="385"/>
      <c r="AA447" s="386"/>
      <c r="AB447" s="375"/>
      <c r="AC447" s="375"/>
      <c r="AE447" s="385"/>
      <c r="AF447" s="386"/>
      <c r="AG447" s="375"/>
      <c r="AH447" s="375"/>
      <c r="AJ447" s="385"/>
      <c r="AK447" s="386"/>
      <c r="AL447" s="375"/>
      <c r="AM447" s="375"/>
      <c r="AO447" s="385"/>
      <c r="AP447" s="386"/>
      <c r="AQ447" s="375"/>
      <c r="AR447" s="375"/>
      <c r="AT447" s="385"/>
      <c r="AU447" s="386"/>
      <c r="AV447" s="375"/>
      <c r="AW447" s="375"/>
      <c r="AY447" s="385"/>
      <c r="AZ447" s="386"/>
      <c r="BA447" s="375"/>
      <c r="BB447" s="375"/>
      <c r="BD447" s="385"/>
      <c r="BE447" s="386"/>
      <c r="BF447" s="375"/>
      <c r="BG447" s="375"/>
      <c r="BI447" s="385"/>
      <c r="BJ447" s="386"/>
      <c r="BK447" s="375"/>
      <c r="BL447" s="375"/>
      <c r="BN447" s="385"/>
      <c r="BO447" s="386"/>
      <c r="BP447" s="375"/>
      <c r="BQ447" s="375"/>
      <c r="BS447" s="385"/>
      <c r="BT447" s="386"/>
      <c r="BU447" s="375"/>
      <c r="BV447" s="375"/>
      <c r="BX447" s="385"/>
      <c r="BY447" s="386"/>
      <c r="BZ447" s="375"/>
      <c r="CA447" s="375"/>
      <c r="CC447" s="385"/>
      <c r="CD447" s="386"/>
      <c r="CE447" s="375"/>
      <c r="CF447" s="375"/>
      <c r="CH447" s="385"/>
      <c r="CI447" s="386"/>
      <c r="CJ447" s="375"/>
      <c r="CK447" s="375"/>
      <c r="CM447" s="385"/>
      <c r="CN447" s="386"/>
      <c r="CO447" s="375"/>
      <c r="CP447" s="375"/>
      <c r="CR447" s="385"/>
      <c r="CS447" s="386"/>
      <c r="CT447" s="375"/>
      <c r="CU447" s="375"/>
      <c r="CW447" s="385"/>
      <c r="CX447" s="386"/>
      <c r="CY447" s="375"/>
      <c r="CZ447" s="375"/>
      <c r="DB447" s="385"/>
      <c r="DC447" s="386"/>
      <c r="DD447" s="375"/>
      <c r="DE447" s="375"/>
      <c r="DG447" s="385"/>
      <c r="DH447" s="386"/>
      <c r="DI447" s="375"/>
      <c r="DJ447" s="375"/>
      <c r="DL447" s="385"/>
      <c r="DM447" s="386"/>
      <c r="DN447" s="375"/>
      <c r="DO447" s="375"/>
      <c r="DQ447" s="385"/>
      <c r="DR447" s="386"/>
      <c r="DS447" s="375"/>
      <c r="DT447" s="375"/>
      <c r="DV447" s="385"/>
      <c r="DW447" s="386"/>
      <c r="DX447" s="375"/>
      <c r="DY447" s="375"/>
      <c r="EA447" s="385"/>
      <c r="EB447" s="386"/>
      <c r="EC447" s="375"/>
      <c r="ED447" s="375"/>
      <c r="EF447" s="385"/>
      <c r="EG447" s="386"/>
      <c r="EH447" s="375"/>
      <c r="EI447" s="375"/>
      <c r="EK447" s="385"/>
      <c r="EL447" s="386"/>
      <c r="EM447" s="375"/>
      <c r="EN447" s="375"/>
      <c r="EP447" s="385"/>
      <c r="EQ447" s="386"/>
      <c r="ER447" s="375"/>
      <c r="ES447" s="375"/>
      <c r="EU447" s="385"/>
      <c r="EV447" s="386"/>
      <c r="EW447" s="375"/>
      <c r="EX447" s="375"/>
      <c r="EZ447" s="385"/>
      <c r="FA447" s="386"/>
      <c r="FB447" s="375"/>
      <c r="FC447" s="375"/>
      <c r="FE447" s="385"/>
      <c r="FF447" s="386"/>
      <c r="FG447" s="375"/>
      <c r="FH447" s="375"/>
      <c r="FJ447" s="385"/>
      <c r="FK447" s="386"/>
      <c r="FL447" s="375"/>
      <c r="FM447" s="375"/>
      <c r="FO447" s="385"/>
      <c r="FP447" s="386"/>
      <c r="FQ447" s="375"/>
      <c r="FR447" s="375"/>
      <c r="FT447" s="385"/>
      <c r="FU447" s="386"/>
      <c r="FV447" s="375"/>
      <c r="FW447" s="375"/>
      <c r="FY447" s="385"/>
      <c r="FZ447" s="386"/>
      <c r="GA447" s="375"/>
      <c r="GB447" s="375"/>
      <c r="GD447" s="385"/>
      <c r="GE447" s="386"/>
      <c r="GF447" s="375"/>
      <c r="GG447" s="375"/>
      <c r="GI447" s="385"/>
      <c r="GJ447" s="386"/>
      <c r="GK447" s="375"/>
      <c r="GL447" s="375"/>
      <c r="GN447" s="385"/>
      <c r="GO447" s="386"/>
      <c r="GP447" s="375"/>
      <c r="GQ447" s="375"/>
      <c r="GS447" s="385"/>
      <c r="GT447" s="386"/>
      <c r="GU447" s="375"/>
      <c r="GV447" s="375"/>
      <c r="GX447" s="385"/>
      <c r="GY447" s="386"/>
      <c r="GZ447" s="375"/>
      <c r="HA447" s="375"/>
      <c r="HC447" s="385"/>
      <c r="HD447" s="386"/>
      <c r="HE447" s="375"/>
      <c r="HF447" s="375"/>
      <c r="HH447" s="385"/>
      <c r="HI447" s="386"/>
      <c r="HJ447" s="375"/>
      <c r="HK447" s="375"/>
      <c r="HM447" s="385"/>
      <c r="HN447" s="386"/>
      <c r="HO447" s="375"/>
      <c r="HP447" s="375"/>
      <c r="HR447" s="385"/>
      <c r="HS447" s="386"/>
      <c r="HT447" s="375"/>
      <c r="HU447" s="375"/>
      <c r="HW447" s="385"/>
      <c r="HX447" s="386"/>
      <c r="HY447" s="375"/>
      <c r="HZ447" s="375"/>
      <c r="IB447" s="385"/>
      <c r="IC447" s="386"/>
      <c r="ID447" s="375"/>
      <c r="IE447" s="375"/>
      <c r="IG447" s="385"/>
      <c r="IH447" s="386"/>
      <c r="II447" s="375"/>
      <c r="IJ447" s="375"/>
      <c r="IL447" s="385"/>
      <c r="IM447" s="386"/>
      <c r="IN447" s="375"/>
      <c r="IO447" s="375"/>
      <c r="IQ447" s="385"/>
      <c r="IR447" s="386"/>
      <c r="IS447" s="375"/>
      <c r="IT447" s="375"/>
      <c r="IV447" s="385"/>
    </row>
    <row r="448" spans="1:256" s="387" customFormat="1" x14ac:dyDescent="0.2">
      <c r="A448" s="385"/>
      <c r="B448" s="386"/>
      <c r="C448" s="375"/>
      <c r="D448" s="375"/>
      <c r="F448" s="385"/>
      <c r="G448" s="386"/>
      <c r="H448" s="375"/>
      <c r="I448" s="375"/>
      <c r="K448" s="385"/>
      <c r="L448" s="386"/>
      <c r="M448" s="375"/>
      <c r="N448" s="375"/>
      <c r="P448" s="385"/>
      <c r="Q448" s="386"/>
      <c r="R448" s="375"/>
      <c r="S448" s="375"/>
      <c r="U448" s="385"/>
      <c r="V448" s="386"/>
      <c r="W448" s="375"/>
      <c r="X448" s="375"/>
      <c r="Z448" s="385"/>
      <c r="AA448" s="386"/>
      <c r="AB448" s="375"/>
      <c r="AC448" s="375"/>
      <c r="AE448" s="385"/>
      <c r="AF448" s="386"/>
      <c r="AG448" s="375"/>
      <c r="AH448" s="375"/>
      <c r="AJ448" s="385"/>
      <c r="AK448" s="386"/>
      <c r="AL448" s="375"/>
      <c r="AM448" s="375"/>
      <c r="AO448" s="385"/>
      <c r="AP448" s="386"/>
      <c r="AQ448" s="375"/>
      <c r="AR448" s="375"/>
      <c r="AT448" s="385"/>
      <c r="AU448" s="386"/>
      <c r="AV448" s="375"/>
      <c r="AW448" s="375"/>
      <c r="AY448" s="385"/>
      <c r="AZ448" s="386"/>
      <c r="BA448" s="375"/>
      <c r="BB448" s="375"/>
      <c r="BD448" s="385"/>
      <c r="BE448" s="386"/>
      <c r="BF448" s="375"/>
      <c r="BG448" s="375"/>
      <c r="BI448" s="385"/>
      <c r="BJ448" s="386"/>
      <c r="BK448" s="375"/>
      <c r="BL448" s="375"/>
      <c r="BN448" s="385"/>
      <c r="BO448" s="386"/>
      <c r="BP448" s="375"/>
      <c r="BQ448" s="375"/>
      <c r="BS448" s="385"/>
      <c r="BT448" s="386"/>
      <c r="BU448" s="375"/>
      <c r="BV448" s="375"/>
      <c r="BX448" s="385"/>
      <c r="BY448" s="386"/>
      <c r="BZ448" s="375"/>
      <c r="CA448" s="375"/>
      <c r="CC448" s="385"/>
      <c r="CD448" s="386"/>
      <c r="CE448" s="375"/>
      <c r="CF448" s="375"/>
      <c r="CH448" s="385"/>
      <c r="CI448" s="386"/>
      <c r="CJ448" s="375"/>
      <c r="CK448" s="375"/>
      <c r="CM448" s="385"/>
      <c r="CN448" s="386"/>
      <c r="CO448" s="375"/>
      <c r="CP448" s="375"/>
      <c r="CR448" s="385"/>
      <c r="CS448" s="386"/>
      <c r="CT448" s="375"/>
      <c r="CU448" s="375"/>
      <c r="CW448" s="385"/>
      <c r="CX448" s="386"/>
      <c r="CY448" s="375"/>
      <c r="CZ448" s="375"/>
      <c r="DB448" s="385"/>
      <c r="DC448" s="386"/>
      <c r="DD448" s="375"/>
      <c r="DE448" s="375"/>
      <c r="DG448" s="385"/>
      <c r="DH448" s="386"/>
      <c r="DI448" s="375"/>
      <c r="DJ448" s="375"/>
      <c r="DL448" s="385"/>
      <c r="DM448" s="386"/>
      <c r="DN448" s="375"/>
      <c r="DO448" s="375"/>
      <c r="DQ448" s="385"/>
      <c r="DR448" s="386"/>
      <c r="DS448" s="375"/>
      <c r="DT448" s="375"/>
      <c r="DV448" s="385"/>
      <c r="DW448" s="386"/>
      <c r="DX448" s="375"/>
      <c r="DY448" s="375"/>
      <c r="EA448" s="385"/>
      <c r="EB448" s="386"/>
      <c r="EC448" s="375"/>
      <c r="ED448" s="375"/>
      <c r="EF448" s="385"/>
      <c r="EG448" s="386"/>
      <c r="EH448" s="375"/>
      <c r="EI448" s="375"/>
      <c r="EK448" s="385"/>
      <c r="EL448" s="386"/>
      <c r="EM448" s="375"/>
      <c r="EN448" s="375"/>
      <c r="EP448" s="385"/>
      <c r="EQ448" s="386"/>
      <c r="ER448" s="375"/>
      <c r="ES448" s="375"/>
      <c r="EU448" s="385"/>
      <c r="EV448" s="386"/>
      <c r="EW448" s="375"/>
      <c r="EX448" s="375"/>
      <c r="EZ448" s="385"/>
      <c r="FA448" s="386"/>
      <c r="FB448" s="375"/>
      <c r="FC448" s="375"/>
      <c r="FE448" s="385"/>
      <c r="FF448" s="386"/>
      <c r="FG448" s="375"/>
      <c r="FH448" s="375"/>
      <c r="FJ448" s="385"/>
      <c r="FK448" s="386"/>
      <c r="FL448" s="375"/>
      <c r="FM448" s="375"/>
      <c r="FO448" s="385"/>
      <c r="FP448" s="386"/>
      <c r="FQ448" s="375"/>
      <c r="FR448" s="375"/>
      <c r="FT448" s="385"/>
      <c r="FU448" s="386"/>
      <c r="FV448" s="375"/>
      <c r="FW448" s="375"/>
      <c r="FY448" s="385"/>
      <c r="FZ448" s="386"/>
      <c r="GA448" s="375"/>
      <c r="GB448" s="375"/>
      <c r="GD448" s="385"/>
      <c r="GE448" s="386"/>
      <c r="GF448" s="375"/>
      <c r="GG448" s="375"/>
      <c r="GI448" s="385"/>
      <c r="GJ448" s="386"/>
      <c r="GK448" s="375"/>
      <c r="GL448" s="375"/>
      <c r="GN448" s="385"/>
      <c r="GO448" s="386"/>
      <c r="GP448" s="375"/>
      <c r="GQ448" s="375"/>
      <c r="GS448" s="385"/>
      <c r="GT448" s="386"/>
      <c r="GU448" s="375"/>
      <c r="GV448" s="375"/>
      <c r="GX448" s="385"/>
      <c r="GY448" s="386"/>
      <c r="GZ448" s="375"/>
      <c r="HA448" s="375"/>
      <c r="HC448" s="385"/>
      <c r="HD448" s="386"/>
      <c r="HE448" s="375"/>
      <c r="HF448" s="375"/>
      <c r="HH448" s="385"/>
      <c r="HI448" s="386"/>
      <c r="HJ448" s="375"/>
      <c r="HK448" s="375"/>
      <c r="HM448" s="385"/>
      <c r="HN448" s="386"/>
      <c r="HO448" s="375"/>
      <c r="HP448" s="375"/>
      <c r="HR448" s="385"/>
      <c r="HS448" s="386"/>
      <c r="HT448" s="375"/>
      <c r="HU448" s="375"/>
      <c r="HW448" s="385"/>
      <c r="HX448" s="386"/>
      <c r="HY448" s="375"/>
      <c r="HZ448" s="375"/>
      <c r="IB448" s="385"/>
      <c r="IC448" s="386"/>
      <c r="ID448" s="375"/>
      <c r="IE448" s="375"/>
      <c r="IG448" s="385"/>
      <c r="IH448" s="386"/>
      <c r="II448" s="375"/>
      <c r="IJ448" s="375"/>
      <c r="IL448" s="385"/>
      <c r="IM448" s="386"/>
      <c r="IN448" s="375"/>
      <c r="IO448" s="375"/>
      <c r="IQ448" s="385"/>
      <c r="IR448" s="386"/>
      <c r="IS448" s="375"/>
      <c r="IT448" s="375"/>
      <c r="IV448" s="385"/>
    </row>
    <row r="449" spans="1:256" s="387" customFormat="1" x14ac:dyDescent="0.2">
      <c r="A449" s="385"/>
      <c r="B449" s="386"/>
      <c r="C449" s="375"/>
      <c r="D449" s="375"/>
      <c r="F449" s="385"/>
      <c r="G449" s="386"/>
      <c r="H449" s="375"/>
      <c r="I449" s="375"/>
      <c r="K449" s="385"/>
      <c r="L449" s="386"/>
      <c r="M449" s="375"/>
      <c r="N449" s="375"/>
      <c r="P449" s="385"/>
      <c r="Q449" s="386"/>
      <c r="R449" s="375"/>
      <c r="S449" s="375"/>
      <c r="U449" s="385"/>
      <c r="V449" s="386"/>
      <c r="W449" s="375"/>
      <c r="X449" s="375"/>
      <c r="Z449" s="385"/>
      <c r="AA449" s="386"/>
      <c r="AB449" s="375"/>
      <c r="AC449" s="375"/>
      <c r="AE449" s="385"/>
      <c r="AF449" s="386"/>
      <c r="AG449" s="375"/>
      <c r="AH449" s="375"/>
      <c r="AJ449" s="385"/>
      <c r="AK449" s="386"/>
      <c r="AL449" s="375"/>
      <c r="AM449" s="375"/>
      <c r="AO449" s="385"/>
      <c r="AP449" s="386"/>
      <c r="AQ449" s="375"/>
      <c r="AR449" s="375"/>
      <c r="AT449" s="385"/>
      <c r="AU449" s="386"/>
      <c r="AV449" s="375"/>
      <c r="AW449" s="375"/>
      <c r="AY449" s="385"/>
      <c r="AZ449" s="386"/>
      <c r="BA449" s="375"/>
      <c r="BB449" s="375"/>
      <c r="BD449" s="385"/>
      <c r="BE449" s="386"/>
      <c r="BF449" s="375"/>
      <c r="BG449" s="375"/>
      <c r="BI449" s="385"/>
      <c r="BJ449" s="386"/>
      <c r="BK449" s="375"/>
      <c r="BL449" s="375"/>
      <c r="BN449" s="385"/>
      <c r="BO449" s="386"/>
      <c r="BP449" s="375"/>
      <c r="BQ449" s="375"/>
      <c r="BS449" s="385"/>
      <c r="BT449" s="386"/>
      <c r="BU449" s="375"/>
      <c r="BV449" s="375"/>
      <c r="BX449" s="385"/>
      <c r="BY449" s="386"/>
      <c r="BZ449" s="375"/>
      <c r="CA449" s="375"/>
      <c r="CC449" s="385"/>
      <c r="CD449" s="386"/>
      <c r="CE449" s="375"/>
      <c r="CF449" s="375"/>
      <c r="CH449" s="385"/>
      <c r="CI449" s="386"/>
      <c r="CJ449" s="375"/>
      <c r="CK449" s="375"/>
      <c r="CM449" s="385"/>
      <c r="CN449" s="386"/>
      <c r="CO449" s="375"/>
      <c r="CP449" s="375"/>
      <c r="CR449" s="385"/>
      <c r="CS449" s="386"/>
      <c r="CT449" s="375"/>
      <c r="CU449" s="375"/>
      <c r="CW449" s="385"/>
      <c r="CX449" s="386"/>
      <c r="CY449" s="375"/>
      <c r="CZ449" s="375"/>
      <c r="DB449" s="385"/>
      <c r="DC449" s="386"/>
      <c r="DD449" s="375"/>
      <c r="DE449" s="375"/>
      <c r="DG449" s="385"/>
      <c r="DH449" s="386"/>
      <c r="DI449" s="375"/>
      <c r="DJ449" s="375"/>
      <c r="DL449" s="385"/>
      <c r="DM449" s="386"/>
      <c r="DN449" s="375"/>
      <c r="DO449" s="375"/>
      <c r="DQ449" s="385"/>
      <c r="DR449" s="386"/>
      <c r="DS449" s="375"/>
      <c r="DT449" s="375"/>
      <c r="DV449" s="385"/>
      <c r="DW449" s="386"/>
      <c r="DX449" s="375"/>
      <c r="DY449" s="375"/>
      <c r="EA449" s="385"/>
      <c r="EB449" s="386"/>
      <c r="EC449" s="375"/>
      <c r="ED449" s="375"/>
      <c r="EF449" s="385"/>
      <c r="EG449" s="386"/>
      <c r="EH449" s="375"/>
      <c r="EI449" s="375"/>
      <c r="EK449" s="385"/>
      <c r="EL449" s="386"/>
      <c r="EM449" s="375"/>
      <c r="EN449" s="375"/>
      <c r="EP449" s="385"/>
      <c r="EQ449" s="386"/>
      <c r="ER449" s="375"/>
      <c r="ES449" s="375"/>
      <c r="EU449" s="385"/>
      <c r="EV449" s="386"/>
      <c r="EW449" s="375"/>
      <c r="EX449" s="375"/>
      <c r="EZ449" s="385"/>
      <c r="FA449" s="386"/>
      <c r="FB449" s="375"/>
      <c r="FC449" s="375"/>
      <c r="FE449" s="385"/>
      <c r="FF449" s="386"/>
      <c r="FG449" s="375"/>
      <c r="FH449" s="375"/>
      <c r="FJ449" s="385"/>
      <c r="FK449" s="386"/>
      <c r="FL449" s="375"/>
      <c r="FM449" s="375"/>
      <c r="FO449" s="385"/>
      <c r="FP449" s="386"/>
      <c r="FQ449" s="375"/>
      <c r="FR449" s="375"/>
      <c r="FT449" s="385"/>
      <c r="FU449" s="386"/>
      <c r="FV449" s="375"/>
      <c r="FW449" s="375"/>
      <c r="FY449" s="385"/>
      <c r="FZ449" s="386"/>
      <c r="GA449" s="375"/>
      <c r="GB449" s="375"/>
      <c r="GD449" s="385"/>
      <c r="GE449" s="386"/>
      <c r="GF449" s="375"/>
      <c r="GG449" s="375"/>
      <c r="GI449" s="385"/>
      <c r="GJ449" s="386"/>
      <c r="GK449" s="375"/>
      <c r="GL449" s="375"/>
      <c r="GN449" s="385"/>
      <c r="GO449" s="386"/>
      <c r="GP449" s="375"/>
      <c r="GQ449" s="375"/>
      <c r="GS449" s="385"/>
      <c r="GT449" s="386"/>
      <c r="GU449" s="375"/>
      <c r="GV449" s="375"/>
      <c r="GX449" s="385"/>
      <c r="GY449" s="386"/>
      <c r="GZ449" s="375"/>
      <c r="HA449" s="375"/>
      <c r="HC449" s="385"/>
      <c r="HD449" s="386"/>
      <c r="HE449" s="375"/>
      <c r="HF449" s="375"/>
      <c r="HH449" s="385"/>
      <c r="HI449" s="386"/>
      <c r="HJ449" s="375"/>
      <c r="HK449" s="375"/>
      <c r="HM449" s="385"/>
      <c r="HN449" s="386"/>
      <c r="HO449" s="375"/>
      <c r="HP449" s="375"/>
      <c r="HR449" s="385"/>
      <c r="HS449" s="386"/>
      <c r="HT449" s="375"/>
      <c r="HU449" s="375"/>
      <c r="HW449" s="385"/>
      <c r="HX449" s="386"/>
      <c r="HY449" s="375"/>
      <c r="HZ449" s="375"/>
      <c r="IB449" s="385"/>
      <c r="IC449" s="386"/>
      <c r="ID449" s="375"/>
      <c r="IE449" s="375"/>
      <c r="IG449" s="385"/>
      <c r="IH449" s="386"/>
      <c r="II449" s="375"/>
      <c r="IJ449" s="375"/>
      <c r="IL449" s="385"/>
      <c r="IM449" s="386"/>
      <c r="IN449" s="375"/>
      <c r="IO449" s="375"/>
      <c r="IQ449" s="385"/>
      <c r="IR449" s="386"/>
      <c r="IS449" s="375"/>
      <c r="IT449" s="375"/>
      <c r="IV449" s="385"/>
    </row>
    <row r="450" spans="1:256" s="387" customFormat="1" x14ac:dyDescent="0.2">
      <c r="A450" s="385"/>
      <c r="B450" s="386"/>
      <c r="C450" s="375"/>
      <c r="D450" s="375"/>
      <c r="F450" s="385"/>
      <c r="G450" s="386"/>
      <c r="H450" s="375"/>
      <c r="I450" s="375"/>
      <c r="K450" s="385"/>
      <c r="L450" s="386"/>
      <c r="M450" s="375"/>
      <c r="N450" s="375"/>
      <c r="P450" s="385"/>
      <c r="Q450" s="386"/>
      <c r="R450" s="375"/>
      <c r="S450" s="375"/>
      <c r="U450" s="385"/>
      <c r="V450" s="386"/>
      <c r="W450" s="375"/>
      <c r="X450" s="375"/>
      <c r="Z450" s="385"/>
      <c r="AA450" s="386"/>
      <c r="AB450" s="375"/>
      <c r="AC450" s="375"/>
      <c r="AE450" s="385"/>
      <c r="AF450" s="386"/>
      <c r="AG450" s="375"/>
      <c r="AH450" s="375"/>
      <c r="AJ450" s="385"/>
      <c r="AK450" s="386"/>
      <c r="AL450" s="375"/>
      <c r="AM450" s="375"/>
      <c r="AO450" s="385"/>
      <c r="AP450" s="386"/>
      <c r="AQ450" s="375"/>
      <c r="AR450" s="375"/>
      <c r="AT450" s="385"/>
      <c r="AU450" s="386"/>
      <c r="AV450" s="375"/>
      <c r="AW450" s="375"/>
      <c r="AY450" s="385"/>
      <c r="AZ450" s="386"/>
      <c r="BA450" s="375"/>
      <c r="BB450" s="375"/>
      <c r="BD450" s="385"/>
      <c r="BE450" s="386"/>
      <c r="BF450" s="375"/>
      <c r="BG450" s="375"/>
      <c r="BI450" s="385"/>
      <c r="BJ450" s="386"/>
      <c r="BK450" s="375"/>
      <c r="BL450" s="375"/>
      <c r="BN450" s="385"/>
      <c r="BO450" s="386"/>
      <c r="BP450" s="375"/>
      <c r="BQ450" s="375"/>
      <c r="BS450" s="385"/>
      <c r="BT450" s="386"/>
      <c r="BU450" s="375"/>
      <c r="BV450" s="375"/>
      <c r="BX450" s="385"/>
      <c r="BY450" s="386"/>
      <c r="BZ450" s="375"/>
      <c r="CA450" s="375"/>
      <c r="CC450" s="385"/>
      <c r="CD450" s="386"/>
      <c r="CE450" s="375"/>
      <c r="CF450" s="375"/>
      <c r="CH450" s="385"/>
      <c r="CI450" s="386"/>
      <c r="CJ450" s="375"/>
      <c r="CK450" s="375"/>
      <c r="CM450" s="385"/>
      <c r="CN450" s="386"/>
      <c r="CO450" s="375"/>
      <c r="CP450" s="375"/>
      <c r="CR450" s="385"/>
      <c r="CS450" s="386"/>
      <c r="CT450" s="375"/>
      <c r="CU450" s="375"/>
      <c r="CW450" s="385"/>
      <c r="CX450" s="386"/>
      <c r="CY450" s="375"/>
      <c r="CZ450" s="375"/>
      <c r="DB450" s="385"/>
      <c r="DC450" s="386"/>
      <c r="DD450" s="375"/>
      <c r="DE450" s="375"/>
      <c r="DG450" s="385"/>
      <c r="DH450" s="386"/>
      <c r="DI450" s="375"/>
      <c r="DJ450" s="375"/>
      <c r="DL450" s="385"/>
      <c r="DM450" s="386"/>
      <c r="DN450" s="375"/>
      <c r="DO450" s="375"/>
      <c r="DQ450" s="385"/>
      <c r="DR450" s="386"/>
      <c r="DS450" s="375"/>
      <c r="DT450" s="375"/>
      <c r="DV450" s="385"/>
      <c r="DW450" s="386"/>
      <c r="DX450" s="375"/>
      <c r="DY450" s="375"/>
      <c r="EA450" s="385"/>
      <c r="EB450" s="386"/>
      <c r="EC450" s="375"/>
      <c r="ED450" s="375"/>
      <c r="EF450" s="385"/>
      <c r="EG450" s="386"/>
      <c r="EH450" s="375"/>
      <c r="EI450" s="375"/>
      <c r="EK450" s="385"/>
      <c r="EL450" s="386"/>
      <c r="EM450" s="375"/>
      <c r="EN450" s="375"/>
      <c r="EP450" s="385"/>
      <c r="EQ450" s="386"/>
      <c r="ER450" s="375"/>
      <c r="ES450" s="375"/>
      <c r="EU450" s="385"/>
      <c r="EV450" s="386"/>
      <c r="EW450" s="375"/>
      <c r="EX450" s="375"/>
      <c r="EZ450" s="385"/>
      <c r="FA450" s="386"/>
      <c r="FB450" s="375"/>
      <c r="FC450" s="375"/>
      <c r="FE450" s="385"/>
      <c r="FF450" s="386"/>
      <c r="FG450" s="375"/>
      <c r="FH450" s="375"/>
      <c r="FJ450" s="385"/>
      <c r="FK450" s="386"/>
      <c r="FL450" s="375"/>
      <c r="FM450" s="375"/>
      <c r="FO450" s="385"/>
      <c r="FP450" s="386"/>
      <c r="FQ450" s="375"/>
      <c r="FR450" s="375"/>
      <c r="FT450" s="385"/>
      <c r="FU450" s="386"/>
      <c r="FV450" s="375"/>
      <c r="FW450" s="375"/>
      <c r="FY450" s="385"/>
      <c r="FZ450" s="386"/>
      <c r="GA450" s="375"/>
      <c r="GB450" s="375"/>
      <c r="GD450" s="385"/>
      <c r="GE450" s="386"/>
      <c r="GF450" s="375"/>
      <c r="GG450" s="375"/>
      <c r="GI450" s="385"/>
      <c r="GJ450" s="386"/>
      <c r="GK450" s="375"/>
      <c r="GL450" s="375"/>
      <c r="GN450" s="385"/>
      <c r="GO450" s="386"/>
      <c r="GP450" s="375"/>
      <c r="GQ450" s="375"/>
      <c r="GS450" s="385"/>
      <c r="GT450" s="386"/>
      <c r="GU450" s="375"/>
      <c r="GV450" s="375"/>
      <c r="GX450" s="385"/>
      <c r="GY450" s="386"/>
      <c r="GZ450" s="375"/>
      <c r="HA450" s="375"/>
      <c r="HC450" s="385"/>
      <c r="HD450" s="386"/>
      <c r="HE450" s="375"/>
      <c r="HF450" s="375"/>
      <c r="HH450" s="385"/>
      <c r="HI450" s="386"/>
      <c r="HJ450" s="375"/>
      <c r="HK450" s="375"/>
      <c r="HM450" s="385"/>
      <c r="HN450" s="386"/>
      <c r="HO450" s="375"/>
      <c r="HP450" s="375"/>
      <c r="HR450" s="385"/>
      <c r="HS450" s="386"/>
      <c r="HT450" s="375"/>
      <c r="HU450" s="375"/>
      <c r="HW450" s="385"/>
      <c r="HX450" s="386"/>
      <c r="HY450" s="375"/>
      <c r="HZ450" s="375"/>
      <c r="IB450" s="385"/>
      <c r="IC450" s="386"/>
      <c r="ID450" s="375"/>
      <c r="IE450" s="375"/>
      <c r="IG450" s="385"/>
      <c r="IH450" s="386"/>
      <c r="II450" s="375"/>
      <c r="IJ450" s="375"/>
      <c r="IL450" s="385"/>
      <c r="IM450" s="386"/>
      <c r="IN450" s="375"/>
      <c r="IO450" s="375"/>
      <c r="IQ450" s="385"/>
      <c r="IR450" s="386"/>
      <c r="IS450" s="375"/>
      <c r="IT450" s="375"/>
      <c r="IV450" s="385"/>
    </row>
    <row r="451" spans="1:256" s="387" customFormat="1" x14ac:dyDescent="0.2">
      <c r="A451" s="385"/>
      <c r="B451" s="386"/>
      <c r="C451" s="375"/>
      <c r="D451" s="375"/>
      <c r="F451" s="385"/>
      <c r="G451" s="386"/>
      <c r="H451" s="375"/>
      <c r="I451" s="375"/>
      <c r="K451" s="385"/>
      <c r="L451" s="386"/>
      <c r="M451" s="375"/>
      <c r="N451" s="375"/>
      <c r="P451" s="385"/>
      <c r="Q451" s="386"/>
      <c r="R451" s="375"/>
      <c r="S451" s="375"/>
      <c r="U451" s="385"/>
      <c r="V451" s="386"/>
      <c r="W451" s="375"/>
      <c r="X451" s="375"/>
      <c r="Z451" s="385"/>
      <c r="AA451" s="386"/>
      <c r="AB451" s="375"/>
      <c r="AC451" s="375"/>
      <c r="AE451" s="385"/>
      <c r="AF451" s="386"/>
      <c r="AG451" s="375"/>
      <c r="AH451" s="375"/>
      <c r="AJ451" s="385"/>
      <c r="AK451" s="386"/>
      <c r="AL451" s="375"/>
      <c r="AM451" s="375"/>
      <c r="AO451" s="385"/>
      <c r="AP451" s="386"/>
      <c r="AQ451" s="375"/>
      <c r="AR451" s="375"/>
      <c r="AT451" s="385"/>
      <c r="AU451" s="386"/>
      <c r="AV451" s="375"/>
      <c r="AW451" s="375"/>
      <c r="AY451" s="385"/>
      <c r="AZ451" s="386"/>
      <c r="BA451" s="375"/>
      <c r="BB451" s="375"/>
      <c r="BD451" s="385"/>
      <c r="BE451" s="386"/>
      <c r="BF451" s="375"/>
      <c r="BG451" s="375"/>
      <c r="BI451" s="385"/>
      <c r="BJ451" s="386"/>
      <c r="BK451" s="375"/>
      <c r="BL451" s="375"/>
      <c r="BN451" s="385"/>
      <c r="BO451" s="386"/>
      <c r="BP451" s="375"/>
      <c r="BQ451" s="375"/>
      <c r="BS451" s="385"/>
      <c r="BT451" s="386"/>
      <c r="BU451" s="375"/>
      <c r="BV451" s="375"/>
      <c r="BX451" s="385"/>
      <c r="BY451" s="386"/>
      <c r="BZ451" s="375"/>
      <c r="CA451" s="375"/>
      <c r="CC451" s="385"/>
      <c r="CD451" s="386"/>
      <c r="CE451" s="375"/>
      <c r="CF451" s="375"/>
      <c r="CH451" s="385"/>
      <c r="CI451" s="386"/>
      <c r="CJ451" s="375"/>
      <c r="CK451" s="375"/>
      <c r="CM451" s="385"/>
      <c r="CN451" s="386"/>
      <c r="CO451" s="375"/>
      <c r="CP451" s="375"/>
      <c r="CR451" s="385"/>
      <c r="CS451" s="386"/>
      <c r="CT451" s="375"/>
      <c r="CU451" s="375"/>
      <c r="CW451" s="385"/>
      <c r="CX451" s="386"/>
      <c r="CY451" s="375"/>
      <c r="CZ451" s="375"/>
      <c r="DB451" s="385"/>
      <c r="DC451" s="386"/>
      <c r="DD451" s="375"/>
      <c r="DE451" s="375"/>
      <c r="DG451" s="385"/>
      <c r="DH451" s="386"/>
      <c r="DI451" s="375"/>
      <c r="DJ451" s="375"/>
      <c r="DL451" s="385"/>
      <c r="DM451" s="386"/>
      <c r="DN451" s="375"/>
      <c r="DO451" s="375"/>
      <c r="DQ451" s="385"/>
      <c r="DR451" s="386"/>
      <c r="DS451" s="375"/>
      <c r="DT451" s="375"/>
      <c r="DV451" s="385"/>
      <c r="DW451" s="386"/>
      <c r="DX451" s="375"/>
      <c r="DY451" s="375"/>
      <c r="EA451" s="385"/>
      <c r="EB451" s="386"/>
      <c r="EC451" s="375"/>
      <c r="ED451" s="375"/>
      <c r="EF451" s="385"/>
      <c r="EG451" s="386"/>
      <c r="EH451" s="375"/>
      <c r="EI451" s="375"/>
      <c r="EK451" s="385"/>
      <c r="EL451" s="386"/>
      <c r="EM451" s="375"/>
      <c r="EN451" s="375"/>
      <c r="EP451" s="385"/>
      <c r="EQ451" s="386"/>
      <c r="ER451" s="375"/>
      <c r="ES451" s="375"/>
      <c r="EU451" s="385"/>
      <c r="EV451" s="386"/>
      <c r="EW451" s="375"/>
      <c r="EX451" s="375"/>
      <c r="EZ451" s="385"/>
      <c r="FA451" s="386"/>
      <c r="FB451" s="375"/>
      <c r="FC451" s="375"/>
      <c r="FE451" s="385"/>
      <c r="FF451" s="386"/>
      <c r="FG451" s="375"/>
      <c r="FH451" s="375"/>
      <c r="FJ451" s="385"/>
      <c r="FK451" s="386"/>
      <c r="FL451" s="375"/>
      <c r="FM451" s="375"/>
      <c r="FO451" s="385"/>
      <c r="FP451" s="386"/>
      <c r="FQ451" s="375"/>
      <c r="FR451" s="375"/>
      <c r="FT451" s="385"/>
      <c r="FU451" s="386"/>
      <c r="FV451" s="375"/>
      <c r="FW451" s="375"/>
      <c r="FY451" s="385"/>
      <c r="FZ451" s="386"/>
      <c r="GA451" s="375"/>
      <c r="GB451" s="375"/>
      <c r="GD451" s="385"/>
      <c r="GE451" s="386"/>
      <c r="GF451" s="375"/>
      <c r="GG451" s="375"/>
      <c r="GI451" s="385"/>
      <c r="GJ451" s="386"/>
      <c r="GK451" s="375"/>
      <c r="GL451" s="375"/>
      <c r="GN451" s="385"/>
      <c r="GO451" s="386"/>
      <c r="GP451" s="375"/>
      <c r="GQ451" s="375"/>
      <c r="GS451" s="385"/>
      <c r="GT451" s="386"/>
      <c r="GU451" s="375"/>
      <c r="GV451" s="375"/>
      <c r="GX451" s="385"/>
      <c r="GY451" s="386"/>
      <c r="GZ451" s="375"/>
      <c r="HA451" s="375"/>
      <c r="HC451" s="385"/>
      <c r="HD451" s="386"/>
      <c r="HE451" s="375"/>
      <c r="HF451" s="375"/>
      <c r="HH451" s="385"/>
      <c r="HI451" s="386"/>
      <c r="HJ451" s="375"/>
      <c r="HK451" s="375"/>
      <c r="HM451" s="385"/>
      <c r="HN451" s="386"/>
      <c r="HO451" s="375"/>
      <c r="HP451" s="375"/>
      <c r="HR451" s="385"/>
      <c r="HS451" s="386"/>
      <c r="HT451" s="375"/>
      <c r="HU451" s="375"/>
      <c r="HW451" s="385"/>
      <c r="HX451" s="386"/>
      <c r="HY451" s="375"/>
      <c r="HZ451" s="375"/>
      <c r="IB451" s="385"/>
      <c r="IC451" s="386"/>
      <c r="ID451" s="375"/>
      <c r="IE451" s="375"/>
      <c r="IG451" s="385"/>
      <c r="IH451" s="386"/>
      <c r="II451" s="375"/>
      <c r="IJ451" s="375"/>
      <c r="IL451" s="385"/>
      <c r="IM451" s="386"/>
      <c r="IN451" s="375"/>
      <c r="IO451" s="375"/>
      <c r="IQ451" s="385"/>
      <c r="IR451" s="386"/>
      <c r="IS451" s="375"/>
      <c r="IT451" s="375"/>
      <c r="IV451" s="385"/>
    </row>
    <row r="452" spans="1:256" s="387" customFormat="1" x14ac:dyDescent="0.2">
      <c r="A452" s="385"/>
      <c r="B452" s="386"/>
      <c r="C452" s="375"/>
      <c r="D452" s="375"/>
      <c r="F452" s="385"/>
      <c r="G452" s="386"/>
      <c r="H452" s="375"/>
      <c r="I452" s="375"/>
      <c r="K452" s="385"/>
      <c r="L452" s="386"/>
      <c r="M452" s="375"/>
      <c r="N452" s="375"/>
      <c r="P452" s="385"/>
      <c r="Q452" s="386"/>
      <c r="R452" s="375"/>
      <c r="S452" s="375"/>
      <c r="U452" s="385"/>
      <c r="V452" s="386"/>
      <c r="W452" s="375"/>
      <c r="X452" s="375"/>
      <c r="Z452" s="385"/>
      <c r="AA452" s="386"/>
      <c r="AB452" s="375"/>
      <c r="AC452" s="375"/>
      <c r="AE452" s="385"/>
      <c r="AF452" s="386"/>
      <c r="AG452" s="375"/>
      <c r="AH452" s="375"/>
      <c r="AJ452" s="385"/>
      <c r="AK452" s="386"/>
      <c r="AL452" s="375"/>
      <c r="AM452" s="375"/>
      <c r="AO452" s="385"/>
      <c r="AP452" s="386"/>
      <c r="AQ452" s="375"/>
      <c r="AR452" s="375"/>
      <c r="AT452" s="385"/>
      <c r="AU452" s="386"/>
      <c r="AV452" s="375"/>
      <c r="AW452" s="375"/>
      <c r="AY452" s="385"/>
      <c r="AZ452" s="386"/>
      <c r="BA452" s="375"/>
      <c r="BB452" s="375"/>
      <c r="BD452" s="385"/>
      <c r="BE452" s="386"/>
      <c r="BF452" s="375"/>
      <c r="BG452" s="375"/>
      <c r="BI452" s="385"/>
      <c r="BJ452" s="386"/>
      <c r="BK452" s="375"/>
      <c r="BL452" s="375"/>
      <c r="BN452" s="385"/>
      <c r="BO452" s="386"/>
      <c r="BP452" s="375"/>
      <c r="BQ452" s="375"/>
      <c r="BS452" s="385"/>
      <c r="BT452" s="386"/>
      <c r="BU452" s="375"/>
      <c r="BV452" s="375"/>
      <c r="BX452" s="385"/>
      <c r="BY452" s="386"/>
      <c r="BZ452" s="375"/>
      <c r="CA452" s="375"/>
      <c r="CC452" s="385"/>
      <c r="CD452" s="386"/>
      <c r="CE452" s="375"/>
      <c r="CF452" s="375"/>
      <c r="CH452" s="385"/>
      <c r="CI452" s="386"/>
      <c r="CJ452" s="375"/>
      <c r="CK452" s="375"/>
      <c r="CM452" s="385"/>
      <c r="CN452" s="386"/>
      <c r="CO452" s="375"/>
      <c r="CP452" s="375"/>
      <c r="CR452" s="385"/>
      <c r="CS452" s="386"/>
      <c r="CT452" s="375"/>
      <c r="CU452" s="375"/>
      <c r="CW452" s="385"/>
      <c r="CX452" s="386"/>
      <c r="CY452" s="375"/>
      <c r="CZ452" s="375"/>
      <c r="DB452" s="385"/>
      <c r="DC452" s="386"/>
      <c r="DD452" s="375"/>
      <c r="DE452" s="375"/>
      <c r="DG452" s="385"/>
      <c r="DH452" s="386"/>
      <c r="DI452" s="375"/>
      <c r="DJ452" s="375"/>
      <c r="DL452" s="385"/>
      <c r="DM452" s="386"/>
      <c r="DN452" s="375"/>
      <c r="DO452" s="375"/>
      <c r="DQ452" s="385"/>
      <c r="DR452" s="386"/>
      <c r="DS452" s="375"/>
      <c r="DT452" s="375"/>
      <c r="DV452" s="385"/>
      <c r="DW452" s="386"/>
      <c r="DX452" s="375"/>
      <c r="DY452" s="375"/>
      <c r="EA452" s="385"/>
      <c r="EB452" s="386"/>
      <c r="EC452" s="375"/>
      <c r="ED452" s="375"/>
      <c r="EF452" s="385"/>
      <c r="EG452" s="386"/>
      <c r="EH452" s="375"/>
      <c r="EI452" s="375"/>
      <c r="EK452" s="385"/>
      <c r="EL452" s="386"/>
      <c r="EM452" s="375"/>
      <c r="EN452" s="375"/>
      <c r="EP452" s="385"/>
      <c r="EQ452" s="386"/>
      <c r="ER452" s="375"/>
      <c r="ES452" s="375"/>
      <c r="EU452" s="385"/>
      <c r="EV452" s="386"/>
      <c r="EW452" s="375"/>
      <c r="EX452" s="375"/>
      <c r="EZ452" s="385"/>
      <c r="FA452" s="386"/>
      <c r="FB452" s="375"/>
      <c r="FC452" s="375"/>
      <c r="FE452" s="385"/>
      <c r="FF452" s="386"/>
      <c r="FG452" s="375"/>
      <c r="FH452" s="375"/>
      <c r="FJ452" s="385"/>
      <c r="FK452" s="386"/>
      <c r="FL452" s="375"/>
      <c r="FM452" s="375"/>
      <c r="FO452" s="385"/>
      <c r="FP452" s="386"/>
      <c r="FQ452" s="375"/>
      <c r="FR452" s="375"/>
      <c r="FT452" s="385"/>
      <c r="FU452" s="386"/>
      <c r="FV452" s="375"/>
      <c r="FW452" s="375"/>
      <c r="FY452" s="385"/>
      <c r="FZ452" s="386"/>
      <c r="GA452" s="375"/>
      <c r="GB452" s="375"/>
      <c r="GD452" s="385"/>
      <c r="GE452" s="386"/>
      <c r="GF452" s="375"/>
      <c r="GG452" s="375"/>
      <c r="GI452" s="385"/>
      <c r="GJ452" s="386"/>
      <c r="GK452" s="375"/>
      <c r="GL452" s="375"/>
      <c r="GN452" s="385"/>
      <c r="GO452" s="386"/>
      <c r="GP452" s="375"/>
      <c r="GQ452" s="375"/>
      <c r="GS452" s="385"/>
      <c r="GT452" s="386"/>
      <c r="GU452" s="375"/>
      <c r="GV452" s="375"/>
      <c r="GX452" s="385"/>
      <c r="GY452" s="386"/>
      <c r="GZ452" s="375"/>
      <c r="HA452" s="375"/>
      <c r="HC452" s="385"/>
      <c r="HD452" s="386"/>
      <c r="HE452" s="375"/>
      <c r="HF452" s="375"/>
      <c r="HH452" s="385"/>
      <c r="HI452" s="386"/>
      <c r="HJ452" s="375"/>
      <c r="HK452" s="375"/>
      <c r="HM452" s="385"/>
      <c r="HN452" s="386"/>
      <c r="HO452" s="375"/>
      <c r="HP452" s="375"/>
      <c r="HR452" s="385"/>
      <c r="HS452" s="386"/>
      <c r="HT452" s="375"/>
      <c r="HU452" s="375"/>
      <c r="HW452" s="385"/>
      <c r="HX452" s="386"/>
      <c r="HY452" s="375"/>
      <c r="HZ452" s="375"/>
      <c r="IB452" s="385"/>
      <c r="IC452" s="386"/>
      <c r="ID452" s="375"/>
      <c r="IE452" s="375"/>
      <c r="IG452" s="385"/>
      <c r="IH452" s="386"/>
      <c r="II452" s="375"/>
      <c r="IJ452" s="375"/>
      <c r="IL452" s="385"/>
      <c r="IM452" s="386"/>
      <c r="IN452" s="375"/>
      <c r="IO452" s="375"/>
      <c r="IQ452" s="385"/>
      <c r="IR452" s="386"/>
      <c r="IS452" s="375"/>
      <c r="IT452" s="375"/>
      <c r="IV452" s="385"/>
    </row>
    <row r="453" spans="1:256" s="387" customFormat="1" x14ac:dyDescent="0.2">
      <c r="A453" s="385"/>
      <c r="B453" s="386"/>
      <c r="C453" s="375"/>
      <c r="D453" s="375"/>
      <c r="F453" s="385"/>
      <c r="G453" s="386"/>
      <c r="H453" s="375"/>
      <c r="I453" s="375"/>
      <c r="K453" s="385"/>
      <c r="L453" s="386"/>
      <c r="M453" s="375"/>
      <c r="N453" s="375"/>
      <c r="P453" s="385"/>
      <c r="Q453" s="386"/>
      <c r="R453" s="375"/>
      <c r="S453" s="375"/>
      <c r="U453" s="385"/>
      <c r="V453" s="386"/>
      <c r="W453" s="375"/>
      <c r="X453" s="375"/>
      <c r="Z453" s="385"/>
      <c r="AA453" s="386"/>
      <c r="AB453" s="375"/>
      <c r="AC453" s="375"/>
      <c r="AE453" s="385"/>
      <c r="AF453" s="386"/>
      <c r="AG453" s="375"/>
      <c r="AH453" s="375"/>
      <c r="AJ453" s="385"/>
      <c r="AK453" s="386"/>
      <c r="AL453" s="375"/>
      <c r="AM453" s="375"/>
      <c r="AO453" s="385"/>
      <c r="AP453" s="386"/>
      <c r="AQ453" s="375"/>
      <c r="AR453" s="375"/>
      <c r="AT453" s="385"/>
      <c r="AU453" s="386"/>
      <c r="AV453" s="375"/>
      <c r="AW453" s="375"/>
      <c r="AY453" s="385"/>
      <c r="AZ453" s="386"/>
      <c r="BA453" s="375"/>
      <c r="BB453" s="375"/>
      <c r="BD453" s="385"/>
      <c r="BE453" s="386"/>
      <c r="BF453" s="375"/>
      <c r="BG453" s="375"/>
      <c r="BI453" s="385"/>
      <c r="BJ453" s="386"/>
      <c r="BK453" s="375"/>
      <c r="BL453" s="375"/>
      <c r="BN453" s="385"/>
      <c r="BO453" s="386"/>
      <c r="BP453" s="375"/>
      <c r="BQ453" s="375"/>
      <c r="BS453" s="385"/>
      <c r="BT453" s="386"/>
      <c r="BU453" s="375"/>
      <c r="BV453" s="375"/>
      <c r="BX453" s="385"/>
      <c r="BY453" s="386"/>
      <c r="BZ453" s="375"/>
      <c r="CA453" s="375"/>
      <c r="CC453" s="385"/>
      <c r="CD453" s="386"/>
      <c r="CE453" s="375"/>
      <c r="CF453" s="375"/>
      <c r="CH453" s="385"/>
      <c r="CI453" s="386"/>
      <c r="CJ453" s="375"/>
      <c r="CK453" s="375"/>
      <c r="CM453" s="385"/>
      <c r="CN453" s="386"/>
      <c r="CO453" s="375"/>
      <c r="CP453" s="375"/>
      <c r="CR453" s="385"/>
      <c r="CS453" s="386"/>
      <c r="CT453" s="375"/>
      <c r="CU453" s="375"/>
      <c r="CW453" s="385"/>
      <c r="CX453" s="386"/>
      <c r="CY453" s="375"/>
      <c r="CZ453" s="375"/>
      <c r="DB453" s="385"/>
      <c r="DC453" s="386"/>
      <c r="DD453" s="375"/>
      <c r="DE453" s="375"/>
      <c r="DG453" s="385"/>
      <c r="DH453" s="386"/>
      <c r="DI453" s="375"/>
      <c r="DJ453" s="375"/>
      <c r="DL453" s="385"/>
      <c r="DM453" s="386"/>
      <c r="DN453" s="375"/>
      <c r="DO453" s="375"/>
      <c r="DQ453" s="385"/>
      <c r="DR453" s="386"/>
      <c r="DS453" s="375"/>
      <c r="DT453" s="375"/>
      <c r="DV453" s="385"/>
      <c r="DW453" s="386"/>
      <c r="DX453" s="375"/>
      <c r="DY453" s="375"/>
      <c r="EA453" s="385"/>
      <c r="EB453" s="386"/>
      <c r="EC453" s="375"/>
      <c r="ED453" s="375"/>
      <c r="EF453" s="385"/>
      <c r="EG453" s="386"/>
      <c r="EH453" s="375"/>
      <c r="EI453" s="375"/>
      <c r="EK453" s="385"/>
      <c r="EL453" s="386"/>
      <c r="EM453" s="375"/>
      <c r="EN453" s="375"/>
      <c r="EP453" s="385"/>
      <c r="EQ453" s="386"/>
      <c r="ER453" s="375"/>
      <c r="ES453" s="375"/>
      <c r="EU453" s="385"/>
      <c r="EV453" s="386"/>
      <c r="EW453" s="375"/>
      <c r="EX453" s="375"/>
      <c r="EZ453" s="385"/>
      <c r="FA453" s="386"/>
      <c r="FB453" s="375"/>
      <c r="FC453" s="375"/>
      <c r="FE453" s="385"/>
      <c r="FF453" s="386"/>
      <c r="FG453" s="375"/>
      <c r="FH453" s="375"/>
      <c r="FJ453" s="385"/>
      <c r="FK453" s="386"/>
      <c r="FL453" s="375"/>
      <c r="FM453" s="375"/>
      <c r="FO453" s="385"/>
      <c r="FP453" s="386"/>
      <c r="FQ453" s="375"/>
      <c r="FR453" s="375"/>
      <c r="FT453" s="385"/>
      <c r="FU453" s="386"/>
      <c r="FV453" s="375"/>
      <c r="FW453" s="375"/>
      <c r="FY453" s="385"/>
      <c r="FZ453" s="386"/>
      <c r="GA453" s="375"/>
      <c r="GB453" s="375"/>
      <c r="GD453" s="385"/>
      <c r="GE453" s="386"/>
      <c r="GF453" s="375"/>
      <c r="GG453" s="375"/>
      <c r="GI453" s="385"/>
      <c r="GJ453" s="386"/>
      <c r="GK453" s="375"/>
      <c r="GL453" s="375"/>
      <c r="GN453" s="385"/>
      <c r="GO453" s="386"/>
      <c r="GP453" s="375"/>
      <c r="GQ453" s="375"/>
      <c r="GS453" s="385"/>
      <c r="GT453" s="386"/>
      <c r="GU453" s="375"/>
      <c r="GV453" s="375"/>
      <c r="GX453" s="385"/>
      <c r="GY453" s="386"/>
      <c r="GZ453" s="375"/>
      <c r="HA453" s="375"/>
      <c r="HC453" s="385"/>
      <c r="HD453" s="386"/>
      <c r="HE453" s="375"/>
      <c r="HF453" s="375"/>
      <c r="HH453" s="385"/>
      <c r="HI453" s="386"/>
      <c r="HJ453" s="375"/>
      <c r="HK453" s="375"/>
      <c r="HM453" s="385"/>
      <c r="HN453" s="386"/>
      <c r="HO453" s="375"/>
      <c r="HP453" s="375"/>
      <c r="HR453" s="385"/>
      <c r="HS453" s="386"/>
      <c r="HT453" s="375"/>
      <c r="HU453" s="375"/>
      <c r="HW453" s="385"/>
      <c r="HX453" s="386"/>
      <c r="HY453" s="375"/>
      <c r="HZ453" s="375"/>
      <c r="IB453" s="385"/>
      <c r="IC453" s="386"/>
      <c r="ID453" s="375"/>
      <c r="IE453" s="375"/>
      <c r="IG453" s="385"/>
      <c r="IH453" s="386"/>
      <c r="II453" s="375"/>
      <c r="IJ453" s="375"/>
      <c r="IL453" s="385"/>
      <c r="IM453" s="386"/>
      <c r="IN453" s="375"/>
      <c r="IO453" s="375"/>
      <c r="IQ453" s="385"/>
      <c r="IR453" s="386"/>
      <c r="IS453" s="375"/>
      <c r="IT453" s="375"/>
      <c r="IV453" s="385"/>
    </row>
    <row r="454" spans="1:256" s="387" customFormat="1" x14ac:dyDescent="0.2">
      <c r="A454" s="385"/>
      <c r="B454" s="386"/>
      <c r="C454" s="375"/>
      <c r="D454" s="375"/>
      <c r="F454" s="385"/>
      <c r="G454" s="386"/>
      <c r="H454" s="375"/>
      <c r="I454" s="375"/>
      <c r="K454" s="385"/>
      <c r="L454" s="386"/>
      <c r="M454" s="375"/>
      <c r="N454" s="375"/>
      <c r="P454" s="385"/>
      <c r="Q454" s="386"/>
      <c r="R454" s="375"/>
      <c r="S454" s="375"/>
      <c r="U454" s="385"/>
      <c r="V454" s="386"/>
      <c r="W454" s="375"/>
      <c r="X454" s="375"/>
      <c r="Z454" s="385"/>
      <c r="AA454" s="386"/>
      <c r="AB454" s="375"/>
      <c r="AC454" s="375"/>
      <c r="AE454" s="385"/>
      <c r="AF454" s="386"/>
      <c r="AG454" s="375"/>
      <c r="AH454" s="375"/>
      <c r="AJ454" s="385"/>
      <c r="AK454" s="386"/>
      <c r="AL454" s="375"/>
      <c r="AM454" s="375"/>
      <c r="AO454" s="385"/>
      <c r="AP454" s="386"/>
      <c r="AQ454" s="375"/>
      <c r="AR454" s="375"/>
      <c r="AT454" s="385"/>
      <c r="AU454" s="386"/>
      <c r="AV454" s="375"/>
      <c r="AW454" s="375"/>
      <c r="AY454" s="385"/>
      <c r="AZ454" s="386"/>
      <c r="BA454" s="375"/>
      <c r="BB454" s="375"/>
      <c r="BD454" s="385"/>
      <c r="BE454" s="386"/>
      <c r="BF454" s="375"/>
      <c r="BG454" s="375"/>
      <c r="BI454" s="385"/>
      <c r="BJ454" s="386"/>
      <c r="BK454" s="375"/>
      <c r="BL454" s="375"/>
      <c r="BN454" s="385"/>
      <c r="BO454" s="386"/>
      <c r="BP454" s="375"/>
      <c r="BQ454" s="375"/>
      <c r="BS454" s="385"/>
      <c r="BT454" s="386"/>
      <c r="BU454" s="375"/>
      <c r="BV454" s="375"/>
      <c r="BX454" s="385"/>
      <c r="BY454" s="386"/>
      <c r="BZ454" s="375"/>
      <c r="CA454" s="375"/>
      <c r="CC454" s="385"/>
      <c r="CD454" s="386"/>
      <c r="CE454" s="375"/>
      <c r="CF454" s="375"/>
      <c r="CH454" s="385"/>
      <c r="CI454" s="386"/>
      <c r="CJ454" s="375"/>
      <c r="CK454" s="375"/>
      <c r="CM454" s="385"/>
      <c r="CN454" s="386"/>
      <c r="CO454" s="375"/>
      <c r="CP454" s="375"/>
      <c r="CR454" s="385"/>
      <c r="CS454" s="386"/>
      <c r="CT454" s="375"/>
      <c r="CU454" s="375"/>
      <c r="CW454" s="385"/>
      <c r="CX454" s="386"/>
      <c r="CY454" s="375"/>
      <c r="CZ454" s="375"/>
      <c r="DB454" s="385"/>
      <c r="DC454" s="386"/>
      <c r="DD454" s="375"/>
      <c r="DE454" s="375"/>
      <c r="DG454" s="385"/>
      <c r="DH454" s="386"/>
      <c r="DI454" s="375"/>
      <c r="DJ454" s="375"/>
      <c r="DL454" s="385"/>
      <c r="DM454" s="386"/>
      <c r="DN454" s="375"/>
      <c r="DO454" s="375"/>
      <c r="DQ454" s="385"/>
      <c r="DR454" s="386"/>
      <c r="DS454" s="375"/>
      <c r="DT454" s="375"/>
      <c r="DV454" s="385"/>
      <c r="DW454" s="386"/>
      <c r="DX454" s="375"/>
      <c r="DY454" s="375"/>
      <c r="EA454" s="385"/>
      <c r="EB454" s="386"/>
      <c r="EC454" s="375"/>
      <c r="ED454" s="375"/>
      <c r="EF454" s="385"/>
      <c r="EG454" s="386"/>
      <c r="EH454" s="375"/>
      <c r="EI454" s="375"/>
      <c r="EK454" s="385"/>
      <c r="EL454" s="386"/>
      <c r="EM454" s="375"/>
      <c r="EN454" s="375"/>
      <c r="EP454" s="385"/>
      <c r="EQ454" s="386"/>
      <c r="ER454" s="375"/>
      <c r="ES454" s="375"/>
      <c r="EU454" s="385"/>
      <c r="EV454" s="386"/>
      <c r="EW454" s="375"/>
      <c r="EX454" s="375"/>
      <c r="EZ454" s="385"/>
      <c r="FA454" s="386"/>
      <c r="FB454" s="375"/>
      <c r="FC454" s="375"/>
      <c r="FE454" s="385"/>
      <c r="FF454" s="386"/>
      <c r="FG454" s="375"/>
      <c r="FH454" s="375"/>
      <c r="FJ454" s="385"/>
      <c r="FK454" s="386"/>
      <c r="FL454" s="375"/>
      <c r="FM454" s="375"/>
      <c r="FO454" s="385"/>
      <c r="FP454" s="386"/>
      <c r="FQ454" s="375"/>
      <c r="FR454" s="375"/>
      <c r="FT454" s="385"/>
      <c r="FU454" s="386"/>
      <c r="FV454" s="375"/>
      <c r="FW454" s="375"/>
      <c r="FY454" s="385"/>
      <c r="FZ454" s="386"/>
      <c r="GA454" s="375"/>
      <c r="GB454" s="375"/>
      <c r="GD454" s="385"/>
      <c r="GE454" s="386"/>
      <c r="GF454" s="375"/>
      <c r="GG454" s="375"/>
      <c r="GI454" s="385"/>
      <c r="GJ454" s="386"/>
      <c r="GK454" s="375"/>
      <c r="GL454" s="375"/>
      <c r="GN454" s="385"/>
      <c r="GO454" s="386"/>
      <c r="GP454" s="375"/>
      <c r="GQ454" s="375"/>
      <c r="GS454" s="385"/>
      <c r="GT454" s="386"/>
      <c r="GU454" s="375"/>
      <c r="GV454" s="375"/>
      <c r="GX454" s="385"/>
      <c r="GY454" s="386"/>
      <c r="GZ454" s="375"/>
      <c r="HA454" s="375"/>
      <c r="HC454" s="385"/>
      <c r="HD454" s="386"/>
      <c r="HE454" s="375"/>
      <c r="HF454" s="375"/>
      <c r="HH454" s="385"/>
      <c r="HI454" s="386"/>
      <c r="HJ454" s="375"/>
      <c r="HK454" s="375"/>
      <c r="HM454" s="385"/>
      <c r="HN454" s="386"/>
      <c r="HO454" s="375"/>
      <c r="HP454" s="375"/>
      <c r="HR454" s="385"/>
      <c r="HS454" s="386"/>
      <c r="HT454" s="375"/>
      <c r="HU454" s="375"/>
      <c r="HW454" s="385"/>
      <c r="HX454" s="386"/>
      <c r="HY454" s="375"/>
      <c r="HZ454" s="375"/>
      <c r="IB454" s="385"/>
      <c r="IC454" s="386"/>
      <c r="ID454" s="375"/>
      <c r="IE454" s="375"/>
      <c r="IG454" s="385"/>
      <c r="IH454" s="386"/>
      <c r="II454" s="375"/>
      <c r="IJ454" s="375"/>
      <c r="IL454" s="385"/>
      <c r="IM454" s="386"/>
      <c r="IN454" s="375"/>
      <c r="IO454" s="375"/>
      <c r="IQ454" s="385"/>
      <c r="IR454" s="386"/>
      <c r="IS454" s="375"/>
      <c r="IT454" s="375"/>
      <c r="IV454" s="385"/>
    </row>
    <row r="455" spans="1:256" s="387" customFormat="1" x14ac:dyDescent="0.2">
      <c r="A455" s="385"/>
      <c r="B455" s="386"/>
      <c r="C455" s="375"/>
      <c r="D455" s="375"/>
      <c r="F455" s="385"/>
      <c r="G455" s="386"/>
      <c r="H455" s="375"/>
      <c r="I455" s="375"/>
      <c r="K455" s="385"/>
      <c r="L455" s="386"/>
      <c r="M455" s="375"/>
      <c r="N455" s="375"/>
      <c r="P455" s="385"/>
      <c r="Q455" s="386"/>
      <c r="R455" s="375"/>
      <c r="S455" s="375"/>
      <c r="U455" s="385"/>
      <c r="V455" s="386"/>
      <c r="W455" s="375"/>
      <c r="X455" s="375"/>
      <c r="Z455" s="385"/>
      <c r="AA455" s="386"/>
      <c r="AB455" s="375"/>
      <c r="AC455" s="375"/>
      <c r="AE455" s="385"/>
      <c r="AF455" s="386"/>
      <c r="AG455" s="375"/>
      <c r="AH455" s="375"/>
      <c r="AJ455" s="385"/>
      <c r="AK455" s="386"/>
      <c r="AL455" s="375"/>
      <c r="AM455" s="375"/>
      <c r="AO455" s="385"/>
      <c r="AP455" s="386"/>
      <c r="AQ455" s="375"/>
      <c r="AR455" s="375"/>
      <c r="AT455" s="385"/>
      <c r="AU455" s="386"/>
      <c r="AV455" s="375"/>
      <c r="AW455" s="375"/>
      <c r="AY455" s="385"/>
      <c r="AZ455" s="386"/>
      <c r="BA455" s="375"/>
      <c r="BB455" s="375"/>
      <c r="BD455" s="385"/>
      <c r="BE455" s="386"/>
      <c r="BF455" s="375"/>
      <c r="BG455" s="375"/>
      <c r="BI455" s="385"/>
      <c r="BJ455" s="386"/>
      <c r="BK455" s="375"/>
      <c r="BL455" s="375"/>
      <c r="BN455" s="385"/>
      <c r="BO455" s="386"/>
      <c r="BP455" s="375"/>
      <c r="BQ455" s="375"/>
      <c r="BS455" s="385"/>
      <c r="BT455" s="386"/>
      <c r="BU455" s="375"/>
      <c r="BV455" s="375"/>
      <c r="BX455" s="385"/>
      <c r="BY455" s="386"/>
      <c r="BZ455" s="375"/>
      <c r="CA455" s="375"/>
      <c r="CC455" s="385"/>
      <c r="CD455" s="386"/>
      <c r="CE455" s="375"/>
      <c r="CF455" s="375"/>
      <c r="CH455" s="385"/>
      <c r="CI455" s="386"/>
      <c r="CJ455" s="375"/>
      <c r="CK455" s="375"/>
      <c r="CM455" s="385"/>
      <c r="CN455" s="386"/>
      <c r="CO455" s="375"/>
      <c r="CP455" s="375"/>
      <c r="CR455" s="385"/>
      <c r="CS455" s="386"/>
      <c r="CT455" s="375"/>
      <c r="CU455" s="375"/>
      <c r="CW455" s="385"/>
      <c r="CX455" s="386"/>
      <c r="CY455" s="375"/>
      <c r="CZ455" s="375"/>
      <c r="DB455" s="385"/>
      <c r="DC455" s="386"/>
      <c r="DD455" s="375"/>
      <c r="DE455" s="375"/>
      <c r="DG455" s="385"/>
      <c r="DH455" s="386"/>
      <c r="DI455" s="375"/>
      <c r="DJ455" s="375"/>
      <c r="DL455" s="385"/>
      <c r="DM455" s="386"/>
      <c r="DN455" s="375"/>
      <c r="DO455" s="375"/>
      <c r="DQ455" s="385"/>
      <c r="DR455" s="386"/>
      <c r="DS455" s="375"/>
      <c r="DT455" s="375"/>
      <c r="DV455" s="385"/>
      <c r="DW455" s="386"/>
      <c r="DX455" s="375"/>
      <c r="DY455" s="375"/>
      <c r="EA455" s="385"/>
      <c r="EB455" s="386"/>
      <c r="EC455" s="375"/>
      <c r="ED455" s="375"/>
      <c r="EF455" s="385"/>
      <c r="EG455" s="386"/>
      <c r="EH455" s="375"/>
      <c r="EI455" s="375"/>
      <c r="EK455" s="385"/>
      <c r="EL455" s="386"/>
      <c r="EM455" s="375"/>
      <c r="EN455" s="375"/>
      <c r="EP455" s="385"/>
      <c r="EQ455" s="386"/>
      <c r="ER455" s="375"/>
      <c r="ES455" s="375"/>
      <c r="EU455" s="385"/>
      <c r="EV455" s="386"/>
      <c r="EW455" s="375"/>
      <c r="EX455" s="375"/>
      <c r="EZ455" s="385"/>
      <c r="FA455" s="386"/>
      <c r="FB455" s="375"/>
      <c r="FC455" s="375"/>
      <c r="FE455" s="385"/>
      <c r="FF455" s="386"/>
      <c r="FG455" s="375"/>
      <c r="FH455" s="375"/>
      <c r="FJ455" s="385"/>
      <c r="FK455" s="386"/>
      <c r="FL455" s="375"/>
      <c r="FM455" s="375"/>
      <c r="FO455" s="385"/>
      <c r="FP455" s="386"/>
      <c r="FQ455" s="375"/>
      <c r="FR455" s="375"/>
      <c r="FT455" s="385"/>
      <c r="FU455" s="386"/>
      <c r="FV455" s="375"/>
      <c r="FW455" s="375"/>
      <c r="FY455" s="385"/>
      <c r="FZ455" s="386"/>
      <c r="GA455" s="375"/>
      <c r="GB455" s="375"/>
      <c r="GD455" s="385"/>
      <c r="GE455" s="386"/>
      <c r="GF455" s="375"/>
      <c r="GG455" s="375"/>
      <c r="GI455" s="385"/>
      <c r="GJ455" s="386"/>
      <c r="GK455" s="375"/>
      <c r="GL455" s="375"/>
      <c r="GN455" s="385"/>
      <c r="GO455" s="386"/>
      <c r="GP455" s="375"/>
      <c r="GQ455" s="375"/>
      <c r="GS455" s="385"/>
      <c r="GT455" s="386"/>
      <c r="GU455" s="375"/>
      <c r="GV455" s="375"/>
      <c r="GX455" s="385"/>
      <c r="GY455" s="386"/>
      <c r="GZ455" s="375"/>
      <c r="HA455" s="375"/>
      <c r="HC455" s="385"/>
      <c r="HD455" s="386"/>
      <c r="HE455" s="375"/>
      <c r="HF455" s="375"/>
      <c r="HH455" s="385"/>
      <c r="HI455" s="386"/>
      <c r="HJ455" s="375"/>
      <c r="HK455" s="375"/>
      <c r="HM455" s="385"/>
      <c r="HN455" s="386"/>
      <c r="HO455" s="375"/>
      <c r="HP455" s="375"/>
      <c r="HR455" s="385"/>
      <c r="HS455" s="386"/>
      <c r="HT455" s="375"/>
      <c r="HU455" s="375"/>
      <c r="HW455" s="385"/>
      <c r="HX455" s="386"/>
      <c r="HY455" s="375"/>
      <c r="HZ455" s="375"/>
      <c r="IB455" s="385"/>
      <c r="IC455" s="386"/>
      <c r="ID455" s="375"/>
      <c r="IE455" s="375"/>
      <c r="IG455" s="385"/>
      <c r="IH455" s="386"/>
      <c r="II455" s="375"/>
      <c r="IJ455" s="375"/>
      <c r="IL455" s="385"/>
      <c r="IM455" s="386"/>
      <c r="IN455" s="375"/>
      <c r="IO455" s="375"/>
      <c r="IQ455" s="385"/>
      <c r="IR455" s="386"/>
      <c r="IS455" s="375"/>
      <c r="IT455" s="375"/>
      <c r="IV455" s="385"/>
    </row>
    <row r="456" spans="1:256" s="387" customFormat="1" x14ac:dyDescent="0.2">
      <c r="A456" s="385"/>
      <c r="B456" s="386"/>
      <c r="C456" s="375"/>
      <c r="D456" s="375"/>
      <c r="F456" s="385"/>
      <c r="G456" s="386"/>
      <c r="H456" s="375"/>
      <c r="I456" s="375"/>
      <c r="K456" s="385"/>
      <c r="L456" s="386"/>
      <c r="M456" s="375"/>
      <c r="N456" s="375"/>
      <c r="P456" s="385"/>
      <c r="Q456" s="386"/>
      <c r="R456" s="375"/>
      <c r="S456" s="375"/>
      <c r="U456" s="385"/>
      <c r="V456" s="386"/>
      <c r="W456" s="375"/>
      <c r="X456" s="375"/>
      <c r="Z456" s="385"/>
      <c r="AA456" s="386"/>
      <c r="AB456" s="375"/>
      <c r="AC456" s="375"/>
      <c r="AE456" s="385"/>
      <c r="AF456" s="386"/>
      <c r="AG456" s="375"/>
      <c r="AH456" s="375"/>
      <c r="AJ456" s="385"/>
      <c r="AK456" s="386"/>
      <c r="AL456" s="375"/>
      <c r="AM456" s="375"/>
      <c r="AO456" s="385"/>
      <c r="AP456" s="386"/>
      <c r="AQ456" s="375"/>
      <c r="AR456" s="375"/>
      <c r="AT456" s="385"/>
      <c r="AU456" s="386"/>
      <c r="AV456" s="375"/>
      <c r="AW456" s="375"/>
      <c r="AY456" s="385"/>
      <c r="AZ456" s="386"/>
      <c r="BA456" s="375"/>
      <c r="BB456" s="375"/>
      <c r="BD456" s="385"/>
      <c r="BE456" s="386"/>
      <c r="BF456" s="375"/>
      <c r="BG456" s="375"/>
      <c r="BI456" s="385"/>
      <c r="BJ456" s="386"/>
      <c r="BK456" s="375"/>
      <c r="BL456" s="375"/>
      <c r="BN456" s="385"/>
      <c r="BO456" s="386"/>
      <c r="BP456" s="375"/>
      <c r="BQ456" s="375"/>
      <c r="BS456" s="385"/>
      <c r="BT456" s="386"/>
      <c r="BU456" s="375"/>
      <c r="BV456" s="375"/>
      <c r="BX456" s="385"/>
      <c r="BY456" s="386"/>
      <c r="BZ456" s="375"/>
      <c r="CA456" s="375"/>
      <c r="CC456" s="385"/>
      <c r="CD456" s="386"/>
      <c r="CE456" s="375"/>
      <c r="CF456" s="375"/>
      <c r="CH456" s="385"/>
      <c r="CI456" s="386"/>
      <c r="CJ456" s="375"/>
      <c r="CK456" s="375"/>
      <c r="CM456" s="385"/>
      <c r="CN456" s="386"/>
      <c r="CO456" s="375"/>
      <c r="CP456" s="375"/>
      <c r="CR456" s="385"/>
      <c r="CS456" s="386"/>
      <c r="CT456" s="375"/>
      <c r="CU456" s="375"/>
      <c r="CW456" s="385"/>
      <c r="CX456" s="386"/>
      <c r="CY456" s="375"/>
      <c r="CZ456" s="375"/>
      <c r="DB456" s="385"/>
      <c r="DC456" s="386"/>
      <c r="DD456" s="375"/>
      <c r="DE456" s="375"/>
      <c r="DG456" s="385"/>
      <c r="DH456" s="386"/>
      <c r="DI456" s="375"/>
      <c r="DJ456" s="375"/>
      <c r="DL456" s="385"/>
      <c r="DM456" s="386"/>
      <c r="DN456" s="375"/>
      <c r="DO456" s="375"/>
      <c r="DQ456" s="385"/>
      <c r="DR456" s="386"/>
      <c r="DS456" s="375"/>
      <c r="DT456" s="375"/>
      <c r="DV456" s="385"/>
      <c r="DW456" s="386"/>
      <c r="DX456" s="375"/>
      <c r="DY456" s="375"/>
      <c r="EA456" s="385"/>
      <c r="EB456" s="386"/>
      <c r="EC456" s="375"/>
      <c r="ED456" s="375"/>
      <c r="EF456" s="385"/>
      <c r="EG456" s="386"/>
      <c r="EH456" s="375"/>
      <c r="EI456" s="375"/>
      <c r="EK456" s="385"/>
      <c r="EL456" s="386"/>
      <c r="EM456" s="375"/>
      <c r="EN456" s="375"/>
      <c r="EP456" s="385"/>
      <c r="EQ456" s="386"/>
      <c r="ER456" s="375"/>
      <c r="ES456" s="375"/>
      <c r="EU456" s="385"/>
      <c r="EV456" s="386"/>
      <c r="EW456" s="375"/>
      <c r="EX456" s="375"/>
      <c r="EZ456" s="385"/>
      <c r="FA456" s="386"/>
      <c r="FB456" s="375"/>
      <c r="FC456" s="375"/>
      <c r="FE456" s="385"/>
      <c r="FF456" s="386"/>
      <c r="FG456" s="375"/>
      <c r="FH456" s="375"/>
      <c r="FJ456" s="385"/>
      <c r="FK456" s="386"/>
      <c r="FL456" s="375"/>
      <c r="FM456" s="375"/>
      <c r="FO456" s="385"/>
      <c r="FP456" s="386"/>
      <c r="FQ456" s="375"/>
      <c r="FR456" s="375"/>
      <c r="FT456" s="385"/>
      <c r="FU456" s="386"/>
      <c r="FV456" s="375"/>
      <c r="FW456" s="375"/>
      <c r="FY456" s="385"/>
      <c r="FZ456" s="386"/>
      <c r="GA456" s="375"/>
      <c r="GB456" s="375"/>
      <c r="GD456" s="385"/>
      <c r="GE456" s="386"/>
      <c r="GF456" s="375"/>
      <c r="GG456" s="375"/>
      <c r="GI456" s="385"/>
      <c r="GJ456" s="386"/>
      <c r="GK456" s="375"/>
      <c r="GL456" s="375"/>
      <c r="GN456" s="385"/>
      <c r="GO456" s="386"/>
      <c r="GP456" s="375"/>
      <c r="GQ456" s="375"/>
      <c r="GS456" s="385"/>
      <c r="GT456" s="386"/>
      <c r="GU456" s="375"/>
      <c r="GV456" s="375"/>
      <c r="GX456" s="385"/>
      <c r="GY456" s="386"/>
      <c r="GZ456" s="375"/>
      <c r="HA456" s="375"/>
      <c r="HC456" s="385"/>
      <c r="HD456" s="386"/>
      <c r="HE456" s="375"/>
      <c r="HF456" s="375"/>
      <c r="HH456" s="385"/>
      <c r="HI456" s="386"/>
      <c r="HJ456" s="375"/>
      <c r="HK456" s="375"/>
      <c r="HM456" s="385"/>
      <c r="HN456" s="386"/>
      <c r="HO456" s="375"/>
      <c r="HP456" s="375"/>
      <c r="HR456" s="385"/>
      <c r="HS456" s="386"/>
      <c r="HT456" s="375"/>
      <c r="HU456" s="375"/>
      <c r="HW456" s="385"/>
      <c r="HX456" s="386"/>
      <c r="HY456" s="375"/>
      <c r="HZ456" s="375"/>
      <c r="IB456" s="385"/>
      <c r="IC456" s="386"/>
      <c r="ID456" s="375"/>
      <c r="IE456" s="375"/>
      <c r="IG456" s="385"/>
      <c r="IH456" s="386"/>
      <c r="II456" s="375"/>
      <c r="IJ456" s="375"/>
      <c r="IL456" s="385"/>
      <c r="IM456" s="386"/>
      <c r="IN456" s="375"/>
      <c r="IO456" s="375"/>
      <c r="IQ456" s="385"/>
      <c r="IR456" s="386"/>
      <c r="IS456" s="375"/>
      <c r="IT456" s="375"/>
      <c r="IV456" s="385"/>
    </row>
    <row r="457" spans="1:256" s="387" customFormat="1" x14ac:dyDescent="0.2">
      <c r="A457" s="385"/>
      <c r="B457" s="386"/>
      <c r="C457" s="375"/>
      <c r="D457" s="375"/>
      <c r="F457" s="385"/>
      <c r="G457" s="386"/>
      <c r="H457" s="375"/>
      <c r="I457" s="375"/>
      <c r="K457" s="385"/>
      <c r="L457" s="386"/>
      <c r="M457" s="375"/>
      <c r="N457" s="375"/>
      <c r="P457" s="385"/>
      <c r="Q457" s="386"/>
      <c r="R457" s="375"/>
      <c r="S457" s="375"/>
      <c r="U457" s="385"/>
      <c r="V457" s="386"/>
      <c r="W457" s="375"/>
      <c r="X457" s="375"/>
      <c r="Z457" s="385"/>
      <c r="AA457" s="386"/>
      <c r="AB457" s="375"/>
      <c r="AC457" s="375"/>
      <c r="AE457" s="385"/>
      <c r="AF457" s="386"/>
      <c r="AG457" s="375"/>
      <c r="AH457" s="375"/>
      <c r="AJ457" s="385"/>
      <c r="AK457" s="386"/>
      <c r="AL457" s="375"/>
      <c r="AM457" s="375"/>
      <c r="AO457" s="385"/>
      <c r="AP457" s="386"/>
      <c r="AQ457" s="375"/>
      <c r="AR457" s="375"/>
      <c r="AT457" s="385"/>
      <c r="AU457" s="386"/>
      <c r="AV457" s="375"/>
      <c r="AW457" s="375"/>
      <c r="AY457" s="385"/>
      <c r="AZ457" s="386"/>
      <c r="BA457" s="375"/>
      <c r="BB457" s="375"/>
      <c r="BD457" s="385"/>
      <c r="BE457" s="386"/>
      <c r="BF457" s="375"/>
      <c r="BG457" s="375"/>
      <c r="BI457" s="385"/>
      <c r="BJ457" s="386"/>
      <c r="BK457" s="375"/>
      <c r="BL457" s="375"/>
      <c r="BN457" s="385"/>
      <c r="BO457" s="386"/>
      <c r="BP457" s="375"/>
      <c r="BQ457" s="375"/>
      <c r="BS457" s="385"/>
      <c r="BT457" s="386"/>
      <c r="BU457" s="375"/>
      <c r="BV457" s="375"/>
      <c r="BX457" s="385"/>
      <c r="BY457" s="386"/>
      <c r="BZ457" s="375"/>
      <c r="CA457" s="375"/>
      <c r="CC457" s="385"/>
      <c r="CD457" s="386"/>
      <c r="CE457" s="375"/>
      <c r="CF457" s="375"/>
      <c r="CH457" s="385"/>
      <c r="CI457" s="386"/>
      <c r="CJ457" s="375"/>
      <c r="CK457" s="375"/>
      <c r="CM457" s="385"/>
      <c r="CN457" s="386"/>
      <c r="CO457" s="375"/>
      <c r="CP457" s="375"/>
      <c r="CR457" s="385"/>
      <c r="CS457" s="386"/>
      <c r="CT457" s="375"/>
      <c r="CU457" s="375"/>
      <c r="CW457" s="385"/>
      <c r="CX457" s="386"/>
      <c r="CY457" s="375"/>
      <c r="CZ457" s="375"/>
      <c r="DB457" s="385"/>
      <c r="DC457" s="386"/>
      <c r="DD457" s="375"/>
      <c r="DE457" s="375"/>
      <c r="DG457" s="385"/>
      <c r="DH457" s="386"/>
      <c r="DI457" s="375"/>
      <c r="DJ457" s="375"/>
      <c r="DL457" s="385"/>
      <c r="DM457" s="386"/>
      <c r="DN457" s="375"/>
      <c r="DO457" s="375"/>
      <c r="DQ457" s="385"/>
      <c r="DR457" s="386"/>
      <c r="DS457" s="375"/>
      <c r="DT457" s="375"/>
      <c r="DV457" s="385"/>
      <c r="DW457" s="386"/>
      <c r="DX457" s="375"/>
      <c r="DY457" s="375"/>
      <c r="EA457" s="385"/>
      <c r="EB457" s="386"/>
      <c r="EC457" s="375"/>
      <c r="ED457" s="375"/>
      <c r="EF457" s="385"/>
      <c r="EG457" s="386"/>
      <c r="EH457" s="375"/>
      <c r="EI457" s="375"/>
      <c r="EK457" s="385"/>
      <c r="EL457" s="386"/>
      <c r="EM457" s="375"/>
      <c r="EN457" s="375"/>
      <c r="EP457" s="385"/>
      <c r="EQ457" s="386"/>
      <c r="ER457" s="375"/>
      <c r="ES457" s="375"/>
      <c r="EU457" s="385"/>
      <c r="EV457" s="386"/>
      <c r="EW457" s="375"/>
      <c r="EX457" s="375"/>
      <c r="EZ457" s="385"/>
      <c r="FA457" s="386"/>
      <c r="FB457" s="375"/>
      <c r="FC457" s="375"/>
      <c r="FE457" s="385"/>
      <c r="FF457" s="386"/>
      <c r="FG457" s="375"/>
      <c r="FH457" s="375"/>
      <c r="FJ457" s="385"/>
      <c r="FK457" s="386"/>
      <c r="FL457" s="375"/>
      <c r="FM457" s="375"/>
      <c r="FO457" s="385"/>
      <c r="FP457" s="386"/>
      <c r="FQ457" s="375"/>
      <c r="FR457" s="375"/>
      <c r="FT457" s="385"/>
      <c r="FU457" s="386"/>
      <c r="FV457" s="375"/>
      <c r="FW457" s="375"/>
      <c r="FY457" s="385"/>
      <c r="FZ457" s="386"/>
      <c r="GA457" s="375"/>
      <c r="GB457" s="375"/>
      <c r="GD457" s="385"/>
      <c r="GE457" s="386"/>
      <c r="GF457" s="375"/>
      <c r="GG457" s="375"/>
      <c r="GI457" s="385"/>
      <c r="GJ457" s="386"/>
      <c r="GK457" s="375"/>
      <c r="GL457" s="375"/>
      <c r="GN457" s="385"/>
      <c r="GO457" s="386"/>
      <c r="GP457" s="375"/>
      <c r="GQ457" s="375"/>
      <c r="GS457" s="385"/>
      <c r="GT457" s="386"/>
      <c r="GU457" s="375"/>
      <c r="GV457" s="375"/>
      <c r="GX457" s="385"/>
      <c r="GY457" s="386"/>
      <c r="GZ457" s="375"/>
      <c r="HA457" s="375"/>
      <c r="HC457" s="385"/>
      <c r="HD457" s="386"/>
      <c r="HE457" s="375"/>
      <c r="HF457" s="375"/>
      <c r="HH457" s="385"/>
      <c r="HI457" s="386"/>
      <c r="HJ457" s="375"/>
      <c r="HK457" s="375"/>
      <c r="HM457" s="385"/>
      <c r="HN457" s="386"/>
      <c r="HO457" s="375"/>
      <c r="HP457" s="375"/>
      <c r="HR457" s="385"/>
      <c r="HS457" s="386"/>
      <c r="HT457" s="375"/>
      <c r="HU457" s="375"/>
      <c r="HW457" s="385"/>
      <c r="HX457" s="386"/>
      <c r="HY457" s="375"/>
      <c r="HZ457" s="375"/>
      <c r="IB457" s="385"/>
      <c r="IC457" s="386"/>
      <c r="ID457" s="375"/>
      <c r="IE457" s="375"/>
      <c r="IG457" s="385"/>
      <c r="IH457" s="386"/>
      <c r="II457" s="375"/>
      <c r="IJ457" s="375"/>
      <c r="IL457" s="385"/>
      <c r="IM457" s="386"/>
      <c r="IN457" s="375"/>
      <c r="IO457" s="375"/>
      <c r="IQ457" s="385"/>
      <c r="IR457" s="386"/>
      <c r="IS457" s="375"/>
      <c r="IT457" s="375"/>
      <c r="IV457" s="385"/>
    </row>
    <row r="458" spans="1:256" s="387" customFormat="1" x14ac:dyDescent="0.2">
      <c r="A458" s="385"/>
      <c r="B458" s="386"/>
      <c r="C458" s="375"/>
      <c r="D458" s="375"/>
      <c r="F458" s="385"/>
      <c r="G458" s="386"/>
      <c r="H458" s="375"/>
      <c r="I458" s="375"/>
      <c r="K458" s="385"/>
      <c r="L458" s="386"/>
      <c r="M458" s="375"/>
      <c r="N458" s="375"/>
      <c r="P458" s="385"/>
      <c r="Q458" s="386"/>
      <c r="R458" s="375"/>
      <c r="S458" s="375"/>
      <c r="U458" s="385"/>
      <c r="V458" s="386"/>
      <c r="W458" s="375"/>
      <c r="X458" s="375"/>
      <c r="Z458" s="385"/>
      <c r="AA458" s="386"/>
      <c r="AB458" s="375"/>
      <c r="AC458" s="375"/>
      <c r="AE458" s="385"/>
      <c r="AF458" s="386"/>
      <c r="AG458" s="375"/>
      <c r="AH458" s="375"/>
      <c r="AJ458" s="385"/>
      <c r="AK458" s="386"/>
      <c r="AL458" s="375"/>
      <c r="AM458" s="375"/>
      <c r="AO458" s="385"/>
      <c r="AP458" s="386"/>
      <c r="AQ458" s="375"/>
      <c r="AR458" s="375"/>
      <c r="AT458" s="385"/>
      <c r="AU458" s="386"/>
      <c r="AV458" s="375"/>
      <c r="AW458" s="375"/>
      <c r="AY458" s="385"/>
      <c r="AZ458" s="386"/>
      <c r="BA458" s="375"/>
      <c r="BB458" s="375"/>
      <c r="BD458" s="385"/>
      <c r="BE458" s="386"/>
      <c r="BF458" s="375"/>
      <c r="BG458" s="375"/>
      <c r="BI458" s="385"/>
      <c r="BJ458" s="386"/>
      <c r="BK458" s="375"/>
      <c r="BL458" s="375"/>
      <c r="BN458" s="385"/>
      <c r="BO458" s="386"/>
      <c r="BP458" s="375"/>
      <c r="BQ458" s="375"/>
      <c r="BS458" s="385"/>
      <c r="BT458" s="386"/>
      <c r="BU458" s="375"/>
      <c r="BV458" s="375"/>
      <c r="BX458" s="385"/>
      <c r="BY458" s="386"/>
      <c r="BZ458" s="375"/>
      <c r="CA458" s="375"/>
      <c r="CC458" s="385"/>
      <c r="CD458" s="386"/>
      <c r="CE458" s="375"/>
      <c r="CF458" s="375"/>
      <c r="CH458" s="385"/>
      <c r="CI458" s="386"/>
      <c r="CJ458" s="375"/>
      <c r="CK458" s="375"/>
      <c r="CM458" s="385"/>
      <c r="CN458" s="386"/>
      <c r="CO458" s="375"/>
      <c r="CP458" s="375"/>
      <c r="CR458" s="385"/>
      <c r="CS458" s="386"/>
      <c r="CT458" s="375"/>
      <c r="CU458" s="375"/>
      <c r="CW458" s="385"/>
      <c r="CX458" s="386"/>
      <c r="CY458" s="375"/>
      <c r="CZ458" s="375"/>
      <c r="DB458" s="385"/>
      <c r="DC458" s="386"/>
      <c r="DD458" s="375"/>
      <c r="DE458" s="375"/>
      <c r="DG458" s="385"/>
      <c r="DH458" s="386"/>
      <c r="DI458" s="375"/>
      <c r="DJ458" s="375"/>
      <c r="DL458" s="385"/>
      <c r="DM458" s="386"/>
      <c r="DN458" s="375"/>
      <c r="DO458" s="375"/>
      <c r="DQ458" s="385"/>
      <c r="DR458" s="386"/>
      <c r="DS458" s="375"/>
      <c r="DT458" s="375"/>
      <c r="DV458" s="385"/>
      <c r="DW458" s="386"/>
      <c r="DX458" s="375"/>
      <c r="DY458" s="375"/>
      <c r="EA458" s="385"/>
      <c r="EB458" s="386"/>
      <c r="EC458" s="375"/>
      <c r="ED458" s="375"/>
      <c r="EF458" s="385"/>
      <c r="EG458" s="386"/>
      <c r="EH458" s="375"/>
      <c r="EI458" s="375"/>
      <c r="EK458" s="385"/>
      <c r="EL458" s="386"/>
      <c r="EM458" s="375"/>
      <c r="EN458" s="375"/>
      <c r="EP458" s="385"/>
      <c r="EQ458" s="386"/>
      <c r="ER458" s="375"/>
      <c r="ES458" s="375"/>
      <c r="EU458" s="385"/>
      <c r="EV458" s="386"/>
      <c r="EW458" s="375"/>
      <c r="EX458" s="375"/>
      <c r="EZ458" s="385"/>
      <c r="FA458" s="386"/>
      <c r="FB458" s="375"/>
      <c r="FC458" s="375"/>
      <c r="FE458" s="385"/>
      <c r="FF458" s="386"/>
      <c r="FG458" s="375"/>
      <c r="FH458" s="375"/>
      <c r="FJ458" s="385"/>
      <c r="FK458" s="386"/>
      <c r="FL458" s="375"/>
      <c r="FM458" s="375"/>
      <c r="FO458" s="385"/>
      <c r="FP458" s="386"/>
      <c r="FQ458" s="375"/>
      <c r="FR458" s="375"/>
      <c r="FT458" s="385"/>
      <c r="FU458" s="386"/>
      <c r="FV458" s="375"/>
      <c r="FW458" s="375"/>
      <c r="FY458" s="385"/>
      <c r="FZ458" s="386"/>
      <c r="GA458" s="375"/>
      <c r="GB458" s="375"/>
      <c r="GD458" s="385"/>
      <c r="GE458" s="386"/>
      <c r="GF458" s="375"/>
      <c r="GG458" s="375"/>
      <c r="GI458" s="385"/>
      <c r="GJ458" s="386"/>
      <c r="GK458" s="375"/>
      <c r="GL458" s="375"/>
      <c r="GN458" s="385"/>
      <c r="GO458" s="386"/>
      <c r="GP458" s="375"/>
      <c r="GQ458" s="375"/>
      <c r="GS458" s="385"/>
      <c r="GT458" s="386"/>
      <c r="GU458" s="375"/>
      <c r="GV458" s="375"/>
      <c r="GX458" s="385"/>
      <c r="GY458" s="386"/>
      <c r="GZ458" s="375"/>
      <c r="HA458" s="375"/>
      <c r="HC458" s="385"/>
      <c r="HD458" s="386"/>
      <c r="HE458" s="375"/>
      <c r="HF458" s="375"/>
      <c r="HH458" s="385"/>
      <c r="HI458" s="386"/>
      <c r="HJ458" s="375"/>
      <c r="HK458" s="375"/>
      <c r="HM458" s="385"/>
      <c r="HN458" s="386"/>
      <c r="HO458" s="375"/>
      <c r="HP458" s="375"/>
      <c r="HR458" s="385"/>
      <c r="HS458" s="386"/>
      <c r="HT458" s="375"/>
      <c r="HU458" s="375"/>
      <c r="HW458" s="385"/>
      <c r="HX458" s="386"/>
      <c r="HY458" s="375"/>
      <c r="HZ458" s="375"/>
      <c r="IB458" s="385"/>
      <c r="IC458" s="386"/>
      <c r="ID458" s="375"/>
      <c r="IE458" s="375"/>
      <c r="IG458" s="385"/>
      <c r="IH458" s="386"/>
      <c r="II458" s="375"/>
      <c r="IJ458" s="375"/>
      <c r="IL458" s="385"/>
      <c r="IM458" s="386"/>
      <c r="IN458" s="375"/>
      <c r="IO458" s="375"/>
      <c r="IQ458" s="385"/>
      <c r="IR458" s="386"/>
      <c r="IS458" s="375"/>
      <c r="IT458" s="375"/>
      <c r="IV458" s="385"/>
    </row>
    <row r="459" spans="1:256" s="387" customFormat="1" x14ac:dyDescent="0.2">
      <c r="A459" s="385"/>
      <c r="B459" s="386"/>
      <c r="C459" s="375"/>
      <c r="D459" s="375"/>
      <c r="F459" s="385"/>
      <c r="G459" s="386"/>
      <c r="H459" s="375"/>
      <c r="I459" s="375"/>
      <c r="K459" s="385"/>
      <c r="L459" s="386"/>
      <c r="M459" s="375"/>
      <c r="N459" s="375"/>
      <c r="P459" s="385"/>
      <c r="Q459" s="386"/>
      <c r="R459" s="375"/>
      <c r="S459" s="375"/>
      <c r="U459" s="385"/>
      <c r="V459" s="386"/>
      <c r="W459" s="375"/>
      <c r="X459" s="375"/>
      <c r="Z459" s="385"/>
      <c r="AA459" s="386"/>
      <c r="AB459" s="375"/>
      <c r="AC459" s="375"/>
      <c r="AE459" s="385"/>
      <c r="AF459" s="386"/>
      <c r="AG459" s="375"/>
      <c r="AH459" s="375"/>
      <c r="AJ459" s="385"/>
      <c r="AK459" s="386"/>
      <c r="AL459" s="375"/>
      <c r="AM459" s="375"/>
      <c r="AO459" s="385"/>
      <c r="AP459" s="386"/>
      <c r="AQ459" s="375"/>
      <c r="AR459" s="375"/>
      <c r="AT459" s="385"/>
      <c r="AU459" s="386"/>
      <c r="AV459" s="375"/>
      <c r="AW459" s="375"/>
      <c r="AY459" s="385"/>
      <c r="AZ459" s="386"/>
      <c r="BA459" s="375"/>
      <c r="BB459" s="375"/>
      <c r="BD459" s="385"/>
      <c r="BE459" s="386"/>
      <c r="BF459" s="375"/>
      <c r="BG459" s="375"/>
      <c r="BI459" s="385"/>
      <c r="BJ459" s="386"/>
      <c r="BK459" s="375"/>
      <c r="BL459" s="375"/>
      <c r="BN459" s="385"/>
      <c r="BO459" s="386"/>
      <c r="BP459" s="375"/>
      <c r="BQ459" s="375"/>
      <c r="BS459" s="385"/>
      <c r="BT459" s="386"/>
      <c r="BU459" s="375"/>
      <c r="BV459" s="375"/>
      <c r="BX459" s="385"/>
      <c r="BY459" s="386"/>
      <c r="BZ459" s="375"/>
      <c r="CA459" s="375"/>
      <c r="CC459" s="385"/>
      <c r="CD459" s="386"/>
      <c r="CE459" s="375"/>
      <c r="CF459" s="375"/>
      <c r="CH459" s="385"/>
      <c r="CI459" s="386"/>
      <c r="CJ459" s="375"/>
      <c r="CK459" s="375"/>
      <c r="CM459" s="385"/>
      <c r="CN459" s="386"/>
      <c r="CO459" s="375"/>
      <c r="CP459" s="375"/>
      <c r="CR459" s="385"/>
      <c r="CS459" s="386"/>
      <c r="CT459" s="375"/>
      <c r="CU459" s="375"/>
      <c r="CW459" s="385"/>
      <c r="CX459" s="386"/>
      <c r="CY459" s="375"/>
      <c r="CZ459" s="375"/>
      <c r="DB459" s="385"/>
      <c r="DC459" s="386"/>
      <c r="DD459" s="375"/>
      <c r="DE459" s="375"/>
      <c r="DG459" s="385"/>
      <c r="DH459" s="386"/>
      <c r="DI459" s="375"/>
      <c r="DJ459" s="375"/>
      <c r="DL459" s="385"/>
      <c r="DM459" s="386"/>
      <c r="DN459" s="375"/>
      <c r="DO459" s="375"/>
      <c r="DQ459" s="385"/>
      <c r="DR459" s="386"/>
      <c r="DS459" s="375"/>
      <c r="DT459" s="375"/>
      <c r="DV459" s="385"/>
      <c r="DW459" s="386"/>
      <c r="DX459" s="375"/>
      <c r="DY459" s="375"/>
      <c r="EA459" s="385"/>
      <c r="EB459" s="386"/>
      <c r="EC459" s="375"/>
      <c r="ED459" s="375"/>
      <c r="EF459" s="385"/>
      <c r="EG459" s="386"/>
      <c r="EH459" s="375"/>
      <c r="EI459" s="375"/>
      <c r="EK459" s="385"/>
      <c r="EL459" s="386"/>
      <c r="EM459" s="375"/>
      <c r="EN459" s="375"/>
      <c r="EP459" s="385"/>
      <c r="EQ459" s="386"/>
      <c r="ER459" s="375"/>
      <c r="ES459" s="375"/>
      <c r="EU459" s="385"/>
      <c r="EV459" s="386"/>
      <c r="EW459" s="375"/>
      <c r="EX459" s="375"/>
      <c r="EZ459" s="385"/>
      <c r="FA459" s="386"/>
      <c r="FB459" s="375"/>
      <c r="FC459" s="375"/>
      <c r="FE459" s="385"/>
      <c r="FF459" s="386"/>
      <c r="FG459" s="375"/>
      <c r="FH459" s="375"/>
      <c r="FJ459" s="385"/>
      <c r="FK459" s="386"/>
      <c r="FL459" s="375"/>
      <c r="FM459" s="375"/>
      <c r="FO459" s="385"/>
      <c r="FP459" s="386"/>
      <c r="FQ459" s="375"/>
      <c r="FR459" s="375"/>
      <c r="FT459" s="385"/>
      <c r="FU459" s="386"/>
      <c r="FV459" s="375"/>
      <c r="FW459" s="375"/>
      <c r="FY459" s="385"/>
      <c r="FZ459" s="386"/>
      <c r="GA459" s="375"/>
      <c r="GB459" s="375"/>
      <c r="GD459" s="385"/>
      <c r="GE459" s="386"/>
      <c r="GF459" s="375"/>
      <c r="GG459" s="375"/>
      <c r="GI459" s="385"/>
      <c r="GJ459" s="386"/>
      <c r="GK459" s="375"/>
      <c r="GL459" s="375"/>
      <c r="GN459" s="385"/>
      <c r="GO459" s="386"/>
      <c r="GP459" s="375"/>
      <c r="GQ459" s="375"/>
      <c r="GS459" s="385"/>
      <c r="GT459" s="386"/>
      <c r="GU459" s="375"/>
      <c r="GV459" s="375"/>
      <c r="GX459" s="385"/>
      <c r="GY459" s="386"/>
      <c r="GZ459" s="375"/>
      <c r="HA459" s="375"/>
      <c r="HC459" s="385"/>
      <c r="HD459" s="386"/>
      <c r="HE459" s="375"/>
      <c r="HF459" s="375"/>
      <c r="HH459" s="385"/>
      <c r="HI459" s="386"/>
      <c r="HJ459" s="375"/>
      <c r="HK459" s="375"/>
      <c r="HM459" s="385"/>
      <c r="HN459" s="386"/>
      <c r="HO459" s="375"/>
      <c r="HP459" s="375"/>
      <c r="HR459" s="385"/>
      <c r="HS459" s="386"/>
      <c r="HT459" s="375"/>
      <c r="HU459" s="375"/>
      <c r="HW459" s="385"/>
      <c r="HX459" s="386"/>
      <c r="HY459" s="375"/>
      <c r="HZ459" s="375"/>
      <c r="IB459" s="385"/>
      <c r="IC459" s="386"/>
      <c r="ID459" s="375"/>
      <c r="IE459" s="375"/>
      <c r="IG459" s="385"/>
      <c r="IH459" s="386"/>
      <c r="II459" s="375"/>
      <c r="IJ459" s="375"/>
      <c r="IL459" s="385"/>
      <c r="IM459" s="386"/>
      <c r="IN459" s="375"/>
      <c r="IO459" s="375"/>
      <c r="IQ459" s="385"/>
      <c r="IR459" s="386"/>
      <c r="IS459" s="375"/>
      <c r="IT459" s="375"/>
      <c r="IV459" s="385"/>
    </row>
    <row r="460" spans="1:256" s="387" customFormat="1" x14ac:dyDescent="0.2">
      <c r="A460" s="385"/>
      <c r="B460" s="386"/>
      <c r="C460" s="375"/>
      <c r="D460" s="375"/>
      <c r="F460" s="385"/>
      <c r="G460" s="386"/>
      <c r="H460" s="375"/>
      <c r="I460" s="375"/>
      <c r="K460" s="385"/>
      <c r="L460" s="386"/>
      <c r="M460" s="375"/>
      <c r="N460" s="375"/>
      <c r="P460" s="385"/>
      <c r="Q460" s="386"/>
      <c r="R460" s="375"/>
      <c r="S460" s="375"/>
      <c r="U460" s="385"/>
      <c r="V460" s="386"/>
      <c r="W460" s="375"/>
      <c r="X460" s="375"/>
      <c r="Z460" s="385"/>
      <c r="AA460" s="386"/>
      <c r="AB460" s="375"/>
      <c r="AC460" s="375"/>
      <c r="AE460" s="385"/>
      <c r="AF460" s="386"/>
      <c r="AG460" s="375"/>
      <c r="AH460" s="375"/>
      <c r="AJ460" s="385"/>
      <c r="AK460" s="386"/>
      <c r="AL460" s="375"/>
      <c r="AM460" s="375"/>
      <c r="AO460" s="385"/>
      <c r="AP460" s="386"/>
      <c r="AQ460" s="375"/>
      <c r="AR460" s="375"/>
      <c r="AT460" s="385"/>
      <c r="AU460" s="386"/>
      <c r="AV460" s="375"/>
      <c r="AW460" s="375"/>
      <c r="AY460" s="385"/>
      <c r="AZ460" s="386"/>
      <c r="BA460" s="375"/>
      <c r="BB460" s="375"/>
      <c r="BD460" s="385"/>
      <c r="BE460" s="386"/>
      <c r="BF460" s="375"/>
      <c r="BG460" s="375"/>
      <c r="BI460" s="385"/>
      <c r="BJ460" s="386"/>
      <c r="BK460" s="375"/>
      <c r="BL460" s="375"/>
      <c r="BN460" s="385"/>
      <c r="BO460" s="386"/>
      <c r="BP460" s="375"/>
      <c r="BQ460" s="375"/>
      <c r="BS460" s="385"/>
      <c r="BT460" s="386"/>
      <c r="BU460" s="375"/>
      <c r="BV460" s="375"/>
      <c r="BX460" s="385"/>
      <c r="BY460" s="386"/>
      <c r="BZ460" s="375"/>
      <c r="CA460" s="375"/>
      <c r="CC460" s="385"/>
      <c r="CD460" s="386"/>
      <c r="CE460" s="375"/>
      <c r="CF460" s="375"/>
      <c r="CH460" s="385"/>
      <c r="CI460" s="386"/>
      <c r="CJ460" s="375"/>
      <c r="CK460" s="375"/>
      <c r="CM460" s="385"/>
      <c r="CN460" s="386"/>
      <c r="CO460" s="375"/>
      <c r="CP460" s="375"/>
      <c r="CR460" s="385"/>
      <c r="CS460" s="386"/>
      <c r="CT460" s="375"/>
      <c r="CU460" s="375"/>
      <c r="CW460" s="385"/>
      <c r="CX460" s="386"/>
      <c r="CY460" s="375"/>
      <c r="CZ460" s="375"/>
      <c r="DB460" s="385"/>
      <c r="DC460" s="386"/>
      <c r="DD460" s="375"/>
      <c r="DE460" s="375"/>
      <c r="DG460" s="385"/>
      <c r="DH460" s="386"/>
      <c r="DI460" s="375"/>
      <c r="DJ460" s="375"/>
      <c r="DL460" s="385"/>
      <c r="DM460" s="386"/>
      <c r="DN460" s="375"/>
      <c r="DO460" s="375"/>
      <c r="DQ460" s="385"/>
      <c r="DR460" s="386"/>
      <c r="DS460" s="375"/>
      <c r="DT460" s="375"/>
      <c r="DV460" s="385"/>
      <c r="DW460" s="386"/>
      <c r="DX460" s="375"/>
      <c r="DY460" s="375"/>
      <c r="EA460" s="385"/>
      <c r="EB460" s="386"/>
      <c r="EC460" s="375"/>
      <c r="ED460" s="375"/>
      <c r="EF460" s="385"/>
      <c r="EG460" s="386"/>
      <c r="EH460" s="375"/>
      <c r="EI460" s="375"/>
      <c r="EK460" s="385"/>
      <c r="EL460" s="386"/>
      <c r="EM460" s="375"/>
      <c r="EN460" s="375"/>
      <c r="EP460" s="385"/>
      <c r="EQ460" s="386"/>
      <c r="ER460" s="375"/>
      <c r="ES460" s="375"/>
      <c r="EU460" s="385"/>
      <c r="EV460" s="386"/>
      <c r="EW460" s="375"/>
      <c r="EX460" s="375"/>
      <c r="EZ460" s="385"/>
      <c r="FA460" s="386"/>
      <c r="FB460" s="375"/>
      <c r="FC460" s="375"/>
      <c r="FE460" s="385"/>
      <c r="FF460" s="386"/>
      <c r="FG460" s="375"/>
      <c r="FH460" s="375"/>
      <c r="FJ460" s="385"/>
      <c r="FK460" s="386"/>
      <c r="FL460" s="375"/>
      <c r="FM460" s="375"/>
      <c r="FO460" s="385"/>
      <c r="FP460" s="386"/>
      <c r="FQ460" s="375"/>
      <c r="FR460" s="375"/>
      <c r="FT460" s="385"/>
      <c r="FU460" s="386"/>
      <c r="FV460" s="375"/>
      <c r="FW460" s="375"/>
      <c r="FY460" s="385"/>
      <c r="FZ460" s="386"/>
      <c r="GA460" s="375"/>
      <c r="GB460" s="375"/>
      <c r="GD460" s="385"/>
      <c r="GE460" s="386"/>
      <c r="GF460" s="375"/>
      <c r="GG460" s="375"/>
      <c r="GI460" s="385"/>
      <c r="GJ460" s="386"/>
      <c r="GK460" s="375"/>
      <c r="GL460" s="375"/>
      <c r="GN460" s="385"/>
      <c r="GO460" s="386"/>
      <c r="GP460" s="375"/>
      <c r="GQ460" s="375"/>
      <c r="GS460" s="385"/>
      <c r="GT460" s="386"/>
      <c r="GU460" s="375"/>
      <c r="GV460" s="375"/>
      <c r="GX460" s="385"/>
      <c r="GY460" s="386"/>
      <c r="GZ460" s="375"/>
      <c r="HA460" s="375"/>
      <c r="HC460" s="385"/>
      <c r="HD460" s="386"/>
      <c r="HE460" s="375"/>
      <c r="HF460" s="375"/>
      <c r="HH460" s="385"/>
      <c r="HI460" s="386"/>
      <c r="HJ460" s="375"/>
      <c r="HK460" s="375"/>
      <c r="HM460" s="385"/>
      <c r="HN460" s="386"/>
      <c r="HO460" s="375"/>
      <c r="HP460" s="375"/>
      <c r="HR460" s="385"/>
      <c r="HS460" s="386"/>
      <c r="HT460" s="375"/>
      <c r="HU460" s="375"/>
      <c r="HW460" s="385"/>
      <c r="HX460" s="386"/>
      <c r="HY460" s="375"/>
      <c r="HZ460" s="375"/>
      <c r="IB460" s="385"/>
      <c r="IC460" s="386"/>
      <c r="ID460" s="375"/>
      <c r="IE460" s="375"/>
      <c r="IG460" s="385"/>
      <c r="IH460" s="386"/>
      <c r="II460" s="375"/>
      <c r="IJ460" s="375"/>
      <c r="IL460" s="385"/>
      <c r="IM460" s="386"/>
      <c r="IN460" s="375"/>
      <c r="IO460" s="375"/>
      <c r="IQ460" s="385"/>
      <c r="IR460" s="386"/>
      <c r="IS460" s="375"/>
      <c r="IT460" s="375"/>
      <c r="IV460" s="385"/>
    </row>
    <row r="461" spans="1:256" s="387" customFormat="1" x14ac:dyDescent="0.2">
      <c r="A461" s="385"/>
      <c r="B461" s="386"/>
      <c r="C461" s="375"/>
      <c r="D461" s="375"/>
      <c r="F461" s="385"/>
      <c r="G461" s="386"/>
      <c r="H461" s="375"/>
      <c r="I461" s="375"/>
      <c r="K461" s="385"/>
      <c r="L461" s="386"/>
      <c r="M461" s="375"/>
      <c r="N461" s="375"/>
      <c r="P461" s="385"/>
      <c r="Q461" s="386"/>
      <c r="R461" s="375"/>
      <c r="S461" s="375"/>
      <c r="U461" s="385"/>
      <c r="V461" s="386"/>
      <c r="W461" s="375"/>
      <c r="X461" s="375"/>
      <c r="Z461" s="385"/>
      <c r="AA461" s="386"/>
      <c r="AB461" s="375"/>
      <c r="AC461" s="375"/>
      <c r="AE461" s="385"/>
      <c r="AF461" s="386"/>
      <c r="AG461" s="375"/>
      <c r="AH461" s="375"/>
      <c r="AJ461" s="385"/>
      <c r="AK461" s="386"/>
      <c r="AL461" s="375"/>
      <c r="AM461" s="375"/>
      <c r="AO461" s="385"/>
      <c r="AP461" s="386"/>
      <c r="AQ461" s="375"/>
      <c r="AR461" s="375"/>
      <c r="AT461" s="385"/>
      <c r="AU461" s="386"/>
      <c r="AV461" s="375"/>
      <c r="AW461" s="375"/>
      <c r="AY461" s="385"/>
      <c r="AZ461" s="386"/>
      <c r="BA461" s="375"/>
      <c r="BB461" s="375"/>
      <c r="BD461" s="385"/>
      <c r="BE461" s="386"/>
      <c r="BF461" s="375"/>
      <c r="BG461" s="375"/>
      <c r="BI461" s="385"/>
      <c r="BJ461" s="386"/>
      <c r="BK461" s="375"/>
      <c r="BL461" s="375"/>
      <c r="BN461" s="385"/>
      <c r="BO461" s="386"/>
      <c r="BP461" s="375"/>
      <c r="BQ461" s="375"/>
      <c r="BS461" s="385"/>
      <c r="BT461" s="386"/>
      <c r="BU461" s="375"/>
      <c r="BV461" s="375"/>
      <c r="BX461" s="385"/>
      <c r="BY461" s="386"/>
      <c r="BZ461" s="375"/>
      <c r="CA461" s="375"/>
      <c r="CC461" s="385"/>
      <c r="CD461" s="386"/>
      <c r="CE461" s="375"/>
      <c r="CF461" s="375"/>
      <c r="CH461" s="385"/>
      <c r="CI461" s="386"/>
      <c r="CJ461" s="375"/>
      <c r="CK461" s="375"/>
      <c r="CM461" s="385"/>
      <c r="CN461" s="386"/>
      <c r="CO461" s="375"/>
      <c r="CP461" s="375"/>
      <c r="CR461" s="385"/>
      <c r="CS461" s="386"/>
      <c r="CT461" s="375"/>
      <c r="CU461" s="375"/>
      <c r="CW461" s="385"/>
      <c r="CX461" s="386"/>
      <c r="CY461" s="375"/>
      <c r="CZ461" s="375"/>
      <c r="DB461" s="385"/>
      <c r="DC461" s="386"/>
      <c r="DD461" s="375"/>
      <c r="DE461" s="375"/>
      <c r="DG461" s="385"/>
      <c r="DH461" s="386"/>
      <c r="DI461" s="375"/>
      <c r="DJ461" s="375"/>
      <c r="DL461" s="385"/>
      <c r="DM461" s="386"/>
      <c r="DN461" s="375"/>
      <c r="DO461" s="375"/>
      <c r="DQ461" s="385"/>
      <c r="DR461" s="386"/>
      <c r="DS461" s="375"/>
      <c r="DT461" s="375"/>
      <c r="DV461" s="385"/>
      <c r="DW461" s="386"/>
      <c r="DX461" s="375"/>
      <c r="DY461" s="375"/>
      <c r="EA461" s="385"/>
      <c r="EB461" s="386"/>
      <c r="EC461" s="375"/>
      <c r="ED461" s="375"/>
      <c r="EF461" s="385"/>
      <c r="EG461" s="386"/>
      <c r="EH461" s="375"/>
      <c r="EI461" s="375"/>
      <c r="EK461" s="385"/>
      <c r="EL461" s="386"/>
      <c r="EM461" s="375"/>
      <c r="EN461" s="375"/>
      <c r="EP461" s="385"/>
      <c r="EQ461" s="386"/>
      <c r="ER461" s="375"/>
      <c r="ES461" s="375"/>
      <c r="EU461" s="385"/>
      <c r="EV461" s="386"/>
      <c r="EW461" s="375"/>
      <c r="EX461" s="375"/>
      <c r="EZ461" s="385"/>
      <c r="FA461" s="386"/>
      <c r="FB461" s="375"/>
      <c r="FC461" s="375"/>
      <c r="FE461" s="385"/>
      <c r="FF461" s="386"/>
      <c r="FG461" s="375"/>
      <c r="FH461" s="375"/>
      <c r="FJ461" s="385"/>
      <c r="FK461" s="386"/>
      <c r="FL461" s="375"/>
      <c r="FM461" s="375"/>
      <c r="FO461" s="385"/>
      <c r="FP461" s="386"/>
      <c r="FQ461" s="375"/>
      <c r="FR461" s="375"/>
      <c r="FT461" s="385"/>
      <c r="FU461" s="386"/>
      <c r="FV461" s="375"/>
      <c r="FW461" s="375"/>
      <c r="FY461" s="385"/>
      <c r="FZ461" s="386"/>
      <c r="GA461" s="375"/>
      <c r="GB461" s="375"/>
      <c r="GD461" s="385"/>
      <c r="GE461" s="386"/>
      <c r="GF461" s="375"/>
      <c r="GG461" s="375"/>
      <c r="GI461" s="385"/>
      <c r="GJ461" s="386"/>
      <c r="GK461" s="375"/>
      <c r="GL461" s="375"/>
      <c r="GN461" s="385"/>
      <c r="GO461" s="386"/>
      <c r="GP461" s="375"/>
      <c r="GQ461" s="375"/>
      <c r="GS461" s="385"/>
      <c r="GT461" s="386"/>
      <c r="GU461" s="375"/>
      <c r="GV461" s="375"/>
      <c r="GX461" s="385"/>
      <c r="GY461" s="386"/>
      <c r="GZ461" s="375"/>
      <c r="HA461" s="375"/>
      <c r="HC461" s="385"/>
      <c r="HD461" s="386"/>
      <c r="HE461" s="375"/>
      <c r="HF461" s="375"/>
      <c r="HH461" s="385"/>
      <c r="HI461" s="386"/>
      <c r="HJ461" s="375"/>
      <c r="HK461" s="375"/>
      <c r="HM461" s="385"/>
      <c r="HN461" s="386"/>
      <c r="HO461" s="375"/>
      <c r="HP461" s="375"/>
      <c r="HR461" s="385"/>
      <c r="HS461" s="386"/>
      <c r="HT461" s="375"/>
      <c r="HU461" s="375"/>
      <c r="HW461" s="385"/>
      <c r="HX461" s="386"/>
      <c r="HY461" s="375"/>
      <c r="HZ461" s="375"/>
      <c r="IB461" s="385"/>
      <c r="IC461" s="386"/>
      <c r="ID461" s="375"/>
      <c r="IE461" s="375"/>
      <c r="IG461" s="385"/>
      <c r="IH461" s="386"/>
      <c r="II461" s="375"/>
      <c r="IJ461" s="375"/>
      <c r="IL461" s="385"/>
      <c r="IM461" s="386"/>
      <c r="IN461" s="375"/>
      <c r="IO461" s="375"/>
      <c r="IQ461" s="385"/>
      <c r="IR461" s="386"/>
      <c r="IS461" s="375"/>
      <c r="IT461" s="375"/>
      <c r="IV461" s="385"/>
    </row>
    <row r="462" spans="1:256" s="387" customFormat="1" x14ac:dyDescent="0.2">
      <c r="A462" s="385"/>
      <c r="B462" s="386"/>
      <c r="C462" s="375"/>
      <c r="D462" s="375"/>
      <c r="F462" s="385"/>
      <c r="G462" s="386"/>
      <c r="H462" s="375"/>
      <c r="I462" s="375"/>
      <c r="K462" s="385"/>
      <c r="L462" s="386"/>
      <c r="M462" s="375"/>
      <c r="N462" s="375"/>
      <c r="P462" s="385"/>
      <c r="Q462" s="386"/>
      <c r="R462" s="375"/>
      <c r="S462" s="375"/>
      <c r="U462" s="385"/>
      <c r="V462" s="386"/>
      <c r="W462" s="375"/>
      <c r="X462" s="375"/>
      <c r="Z462" s="385"/>
      <c r="AA462" s="386"/>
      <c r="AB462" s="375"/>
      <c r="AC462" s="375"/>
      <c r="AE462" s="385"/>
      <c r="AF462" s="386"/>
      <c r="AG462" s="375"/>
      <c r="AH462" s="375"/>
      <c r="AJ462" s="385"/>
      <c r="AK462" s="386"/>
      <c r="AL462" s="375"/>
      <c r="AM462" s="375"/>
      <c r="AO462" s="385"/>
      <c r="AP462" s="386"/>
      <c r="AQ462" s="375"/>
      <c r="AR462" s="375"/>
      <c r="AT462" s="385"/>
      <c r="AU462" s="386"/>
      <c r="AV462" s="375"/>
      <c r="AW462" s="375"/>
      <c r="AY462" s="385"/>
      <c r="AZ462" s="386"/>
      <c r="BA462" s="375"/>
      <c r="BB462" s="375"/>
      <c r="BD462" s="385"/>
      <c r="BE462" s="386"/>
      <c r="BF462" s="375"/>
      <c r="BG462" s="375"/>
      <c r="BI462" s="385"/>
      <c r="BJ462" s="386"/>
      <c r="BK462" s="375"/>
      <c r="BL462" s="375"/>
      <c r="BN462" s="385"/>
      <c r="BO462" s="386"/>
      <c r="BP462" s="375"/>
      <c r="BQ462" s="375"/>
      <c r="BS462" s="385"/>
      <c r="BT462" s="386"/>
      <c r="BU462" s="375"/>
      <c r="BV462" s="375"/>
      <c r="BX462" s="385"/>
      <c r="BY462" s="386"/>
      <c r="BZ462" s="375"/>
      <c r="CA462" s="375"/>
      <c r="CC462" s="385"/>
      <c r="CD462" s="386"/>
      <c r="CE462" s="375"/>
      <c r="CF462" s="375"/>
      <c r="CH462" s="385"/>
      <c r="CI462" s="386"/>
      <c r="CJ462" s="375"/>
      <c r="CK462" s="375"/>
      <c r="CM462" s="385"/>
      <c r="CN462" s="386"/>
      <c r="CO462" s="375"/>
      <c r="CP462" s="375"/>
      <c r="CR462" s="385"/>
      <c r="CS462" s="386"/>
      <c r="CT462" s="375"/>
      <c r="CU462" s="375"/>
      <c r="CW462" s="385"/>
      <c r="CX462" s="386"/>
      <c r="CY462" s="375"/>
      <c r="CZ462" s="375"/>
      <c r="DB462" s="385"/>
      <c r="DC462" s="386"/>
      <c r="DD462" s="375"/>
      <c r="DE462" s="375"/>
      <c r="DG462" s="385"/>
      <c r="DH462" s="386"/>
      <c r="DI462" s="375"/>
      <c r="DJ462" s="375"/>
      <c r="DL462" s="385"/>
      <c r="DM462" s="386"/>
      <c r="DN462" s="375"/>
      <c r="DO462" s="375"/>
      <c r="DQ462" s="385"/>
      <c r="DR462" s="386"/>
      <c r="DS462" s="375"/>
      <c r="DT462" s="375"/>
      <c r="DV462" s="385"/>
      <c r="DW462" s="386"/>
      <c r="DX462" s="375"/>
      <c r="DY462" s="375"/>
      <c r="EA462" s="385"/>
      <c r="EB462" s="386"/>
      <c r="EC462" s="375"/>
      <c r="ED462" s="375"/>
      <c r="EF462" s="385"/>
      <c r="EG462" s="386"/>
      <c r="EH462" s="375"/>
      <c r="EI462" s="375"/>
      <c r="EK462" s="385"/>
      <c r="EL462" s="386"/>
      <c r="EM462" s="375"/>
      <c r="EN462" s="375"/>
      <c r="EP462" s="385"/>
      <c r="EQ462" s="386"/>
      <c r="ER462" s="375"/>
      <c r="ES462" s="375"/>
      <c r="EU462" s="385"/>
      <c r="EV462" s="386"/>
      <c r="EW462" s="375"/>
      <c r="EX462" s="375"/>
      <c r="EZ462" s="385"/>
      <c r="FA462" s="386"/>
      <c r="FB462" s="375"/>
      <c r="FC462" s="375"/>
      <c r="FE462" s="385"/>
      <c r="FF462" s="386"/>
      <c r="FG462" s="375"/>
      <c r="FH462" s="375"/>
      <c r="FJ462" s="385"/>
      <c r="FK462" s="386"/>
      <c r="FL462" s="375"/>
      <c r="FM462" s="375"/>
      <c r="FO462" s="385"/>
      <c r="FP462" s="386"/>
      <c r="FQ462" s="375"/>
      <c r="FR462" s="375"/>
      <c r="FT462" s="385"/>
      <c r="FU462" s="386"/>
      <c r="FV462" s="375"/>
      <c r="FW462" s="375"/>
      <c r="FY462" s="385"/>
      <c r="FZ462" s="386"/>
      <c r="GA462" s="375"/>
      <c r="GB462" s="375"/>
      <c r="GD462" s="385"/>
      <c r="GE462" s="386"/>
      <c r="GF462" s="375"/>
      <c r="GG462" s="375"/>
      <c r="GI462" s="385"/>
      <c r="GJ462" s="386"/>
      <c r="GK462" s="375"/>
      <c r="GL462" s="375"/>
      <c r="GN462" s="385"/>
      <c r="GO462" s="386"/>
      <c r="GP462" s="375"/>
      <c r="GQ462" s="375"/>
      <c r="GS462" s="385"/>
      <c r="GT462" s="386"/>
      <c r="GU462" s="375"/>
      <c r="GV462" s="375"/>
      <c r="GX462" s="385"/>
      <c r="GY462" s="386"/>
      <c r="GZ462" s="375"/>
      <c r="HA462" s="375"/>
      <c r="HC462" s="385"/>
      <c r="HD462" s="386"/>
      <c r="HE462" s="375"/>
      <c r="HF462" s="375"/>
      <c r="HH462" s="385"/>
      <c r="HI462" s="386"/>
      <c r="HJ462" s="375"/>
      <c r="HK462" s="375"/>
      <c r="HM462" s="385"/>
      <c r="HN462" s="386"/>
      <c r="HO462" s="375"/>
      <c r="HP462" s="375"/>
      <c r="HR462" s="385"/>
      <c r="HS462" s="386"/>
      <c r="HT462" s="375"/>
      <c r="HU462" s="375"/>
      <c r="HW462" s="385"/>
      <c r="HX462" s="386"/>
      <c r="HY462" s="375"/>
      <c r="HZ462" s="375"/>
      <c r="IB462" s="385"/>
      <c r="IC462" s="386"/>
      <c r="ID462" s="375"/>
      <c r="IE462" s="375"/>
      <c r="IG462" s="385"/>
      <c r="IH462" s="386"/>
      <c r="II462" s="375"/>
      <c r="IJ462" s="375"/>
      <c r="IL462" s="385"/>
      <c r="IM462" s="386"/>
      <c r="IN462" s="375"/>
      <c r="IO462" s="375"/>
      <c r="IQ462" s="385"/>
      <c r="IR462" s="386"/>
      <c r="IS462" s="375"/>
      <c r="IT462" s="375"/>
      <c r="IV462" s="385"/>
    </row>
    <row r="463" spans="1:256" s="387" customFormat="1" x14ac:dyDescent="0.2">
      <c r="A463" s="385"/>
      <c r="B463" s="386"/>
      <c r="C463" s="375"/>
      <c r="D463" s="375"/>
      <c r="F463" s="385"/>
      <c r="G463" s="386"/>
      <c r="H463" s="375"/>
      <c r="I463" s="375"/>
      <c r="K463" s="385"/>
      <c r="L463" s="386"/>
      <c r="M463" s="375"/>
      <c r="N463" s="375"/>
      <c r="P463" s="385"/>
      <c r="Q463" s="386"/>
      <c r="R463" s="375"/>
      <c r="S463" s="375"/>
      <c r="U463" s="385"/>
      <c r="V463" s="386"/>
      <c r="W463" s="375"/>
      <c r="X463" s="375"/>
      <c r="Z463" s="385"/>
      <c r="AA463" s="386"/>
      <c r="AB463" s="375"/>
      <c r="AC463" s="375"/>
      <c r="AE463" s="385"/>
      <c r="AF463" s="386"/>
      <c r="AG463" s="375"/>
      <c r="AH463" s="375"/>
      <c r="AJ463" s="385"/>
      <c r="AK463" s="386"/>
      <c r="AL463" s="375"/>
      <c r="AM463" s="375"/>
      <c r="AO463" s="385"/>
      <c r="AP463" s="386"/>
      <c r="AQ463" s="375"/>
      <c r="AR463" s="375"/>
      <c r="AT463" s="385"/>
      <c r="AU463" s="386"/>
      <c r="AV463" s="375"/>
      <c r="AW463" s="375"/>
      <c r="AY463" s="385"/>
      <c r="AZ463" s="386"/>
      <c r="BA463" s="375"/>
      <c r="BB463" s="375"/>
      <c r="BD463" s="385"/>
      <c r="BE463" s="386"/>
      <c r="BF463" s="375"/>
      <c r="BG463" s="375"/>
      <c r="BI463" s="385"/>
      <c r="BJ463" s="386"/>
      <c r="BK463" s="375"/>
      <c r="BL463" s="375"/>
      <c r="BN463" s="385"/>
      <c r="BO463" s="386"/>
      <c r="BP463" s="375"/>
      <c r="BQ463" s="375"/>
      <c r="BS463" s="385"/>
      <c r="BT463" s="386"/>
      <c r="BU463" s="375"/>
      <c r="BV463" s="375"/>
      <c r="BX463" s="385"/>
      <c r="BY463" s="386"/>
      <c r="BZ463" s="375"/>
      <c r="CA463" s="375"/>
      <c r="CC463" s="385"/>
      <c r="CD463" s="386"/>
      <c r="CE463" s="375"/>
      <c r="CF463" s="375"/>
      <c r="CH463" s="385"/>
      <c r="CI463" s="386"/>
      <c r="CJ463" s="375"/>
      <c r="CK463" s="375"/>
      <c r="CM463" s="385"/>
      <c r="CN463" s="386"/>
      <c r="CO463" s="375"/>
      <c r="CP463" s="375"/>
      <c r="CR463" s="385"/>
      <c r="CS463" s="386"/>
      <c r="CT463" s="375"/>
      <c r="CU463" s="375"/>
      <c r="CW463" s="385"/>
      <c r="CX463" s="386"/>
      <c r="CY463" s="375"/>
      <c r="CZ463" s="375"/>
      <c r="DB463" s="385"/>
      <c r="DC463" s="386"/>
      <c r="DD463" s="375"/>
      <c r="DE463" s="375"/>
      <c r="DG463" s="385"/>
      <c r="DH463" s="386"/>
      <c r="DI463" s="375"/>
      <c r="DJ463" s="375"/>
      <c r="DL463" s="385"/>
      <c r="DM463" s="386"/>
      <c r="DN463" s="375"/>
      <c r="DO463" s="375"/>
      <c r="DQ463" s="385"/>
      <c r="DR463" s="386"/>
      <c r="DS463" s="375"/>
      <c r="DT463" s="375"/>
      <c r="DV463" s="385"/>
      <c r="DW463" s="386"/>
      <c r="DX463" s="375"/>
      <c r="DY463" s="375"/>
      <c r="EA463" s="385"/>
      <c r="EB463" s="386"/>
      <c r="EC463" s="375"/>
      <c r="ED463" s="375"/>
      <c r="EF463" s="385"/>
      <c r="EG463" s="386"/>
      <c r="EH463" s="375"/>
      <c r="EI463" s="375"/>
      <c r="EK463" s="385"/>
      <c r="EL463" s="386"/>
      <c r="EM463" s="375"/>
      <c r="EN463" s="375"/>
      <c r="EP463" s="385"/>
      <c r="EQ463" s="386"/>
      <c r="ER463" s="375"/>
      <c r="ES463" s="375"/>
      <c r="EU463" s="385"/>
      <c r="EV463" s="386"/>
      <c r="EW463" s="375"/>
      <c r="EX463" s="375"/>
      <c r="EZ463" s="385"/>
      <c r="FA463" s="386"/>
      <c r="FB463" s="375"/>
      <c r="FC463" s="375"/>
      <c r="FE463" s="385"/>
      <c r="FF463" s="386"/>
      <c r="FG463" s="375"/>
      <c r="FH463" s="375"/>
      <c r="FJ463" s="385"/>
      <c r="FK463" s="386"/>
      <c r="FL463" s="375"/>
      <c r="FM463" s="375"/>
      <c r="FO463" s="385"/>
      <c r="FP463" s="386"/>
      <c r="FQ463" s="375"/>
      <c r="FR463" s="375"/>
      <c r="FT463" s="385"/>
      <c r="FU463" s="386"/>
      <c r="FV463" s="375"/>
      <c r="FW463" s="375"/>
      <c r="FY463" s="385"/>
      <c r="FZ463" s="386"/>
      <c r="GA463" s="375"/>
      <c r="GB463" s="375"/>
      <c r="GD463" s="385"/>
      <c r="GE463" s="386"/>
      <c r="GF463" s="375"/>
      <c r="GG463" s="375"/>
      <c r="GI463" s="385"/>
      <c r="GJ463" s="386"/>
      <c r="GK463" s="375"/>
      <c r="GL463" s="375"/>
      <c r="GN463" s="385"/>
      <c r="GO463" s="386"/>
      <c r="GP463" s="375"/>
      <c r="GQ463" s="375"/>
      <c r="GS463" s="385"/>
      <c r="GT463" s="386"/>
      <c r="GU463" s="375"/>
      <c r="GV463" s="375"/>
      <c r="GX463" s="385"/>
      <c r="GY463" s="386"/>
      <c r="GZ463" s="375"/>
      <c r="HA463" s="375"/>
      <c r="HC463" s="385"/>
      <c r="HD463" s="386"/>
      <c r="HE463" s="375"/>
      <c r="HF463" s="375"/>
      <c r="HH463" s="385"/>
      <c r="HI463" s="386"/>
      <c r="HJ463" s="375"/>
      <c r="HK463" s="375"/>
      <c r="HM463" s="385"/>
      <c r="HN463" s="386"/>
      <c r="HO463" s="375"/>
      <c r="HP463" s="375"/>
      <c r="HR463" s="385"/>
      <c r="HS463" s="386"/>
      <c r="HT463" s="375"/>
      <c r="HU463" s="375"/>
      <c r="HW463" s="385"/>
      <c r="HX463" s="386"/>
      <c r="HY463" s="375"/>
      <c r="HZ463" s="375"/>
      <c r="IB463" s="385"/>
      <c r="IC463" s="386"/>
      <c r="ID463" s="375"/>
      <c r="IE463" s="375"/>
      <c r="IG463" s="385"/>
      <c r="IH463" s="386"/>
      <c r="II463" s="375"/>
      <c r="IJ463" s="375"/>
      <c r="IL463" s="385"/>
      <c r="IM463" s="386"/>
      <c r="IN463" s="375"/>
      <c r="IO463" s="375"/>
      <c r="IQ463" s="385"/>
      <c r="IR463" s="386"/>
      <c r="IS463" s="375"/>
      <c r="IT463" s="375"/>
      <c r="IV463" s="385"/>
    </row>
    <row r="464" spans="1:256" s="387" customFormat="1" x14ac:dyDescent="0.2">
      <c r="A464" s="385"/>
      <c r="B464" s="386"/>
      <c r="C464" s="375"/>
      <c r="D464" s="375"/>
      <c r="F464" s="385"/>
      <c r="G464" s="386"/>
      <c r="H464" s="375"/>
      <c r="I464" s="375"/>
      <c r="K464" s="385"/>
      <c r="L464" s="386"/>
      <c r="M464" s="375"/>
      <c r="N464" s="375"/>
      <c r="P464" s="385"/>
      <c r="Q464" s="386"/>
      <c r="R464" s="375"/>
      <c r="S464" s="375"/>
      <c r="U464" s="385"/>
      <c r="V464" s="386"/>
      <c r="W464" s="375"/>
      <c r="X464" s="375"/>
      <c r="Z464" s="385"/>
      <c r="AA464" s="386"/>
      <c r="AB464" s="375"/>
      <c r="AC464" s="375"/>
      <c r="AE464" s="385"/>
      <c r="AF464" s="386"/>
      <c r="AG464" s="375"/>
      <c r="AH464" s="375"/>
      <c r="AJ464" s="385"/>
      <c r="AK464" s="386"/>
      <c r="AL464" s="375"/>
      <c r="AM464" s="375"/>
      <c r="AO464" s="385"/>
      <c r="AP464" s="386"/>
      <c r="AQ464" s="375"/>
      <c r="AR464" s="375"/>
      <c r="AT464" s="385"/>
      <c r="AU464" s="386"/>
      <c r="AV464" s="375"/>
      <c r="AW464" s="375"/>
      <c r="AY464" s="385"/>
      <c r="AZ464" s="386"/>
      <c r="BA464" s="375"/>
      <c r="BB464" s="375"/>
      <c r="BD464" s="385"/>
      <c r="BE464" s="386"/>
      <c r="BF464" s="375"/>
      <c r="BG464" s="375"/>
      <c r="BI464" s="385"/>
      <c r="BJ464" s="386"/>
      <c r="BK464" s="375"/>
      <c r="BL464" s="375"/>
      <c r="BN464" s="385"/>
      <c r="BO464" s="386"/>
      <c r="BP464" s="375"/>
      <c r="BQ464" s="375"/>
      <c r="BS464" s="385"/>
      <c r="BT464" s="386"/>
      <c r="BU464" s="375"/>
      <c r="BV464" s="375"/>
      <c r="BX464" s="385"/>
      <c r="BY464" s="386"/>
      <c r="BZ464" s="375"/>
      <c r="CA464" s="375"/>
      <c r="CC464" s="385"/>
      <c r="CD464" s="386"/>
      <c r="CE464" s="375"/>
      <c r="CF464" s="375"/>
      <c r="CH464" s="385"/>
      <c r="CI464" s="386"/>
      <c r="CJ464" s="375"/>
      <c r="CK464" s="375"/>
      <c r="CM464" s="385"/>
      <c r="CN464" s="386"/>
      <c r="CO464" s="375"/>
      <c r="CP464" s="375"/>
      <c r="CR464" s="385"/>
      <c r="CS464" s="386"/>
      <c r="CT464" s="375"/>
      <c r="CU464" s="375"/>
      <c r="CW464" s="385"/>
      <c r="CX464" s="386"/>
      <c r="CY464" s="375"/>
      <c r="CZ464" s="375"/>
      <c r="DB464" s="385"/>
      <c r="DC464" s="386"/>
      <c r="DD464" s="375"/>
      <c r="DE464" s="375"/>
      <c r="DG464" s="385"/>
      <c r="DH464" s="386"/>
      <c r="DI464" s="375"/>
      <c r="DJ464" s="375"/>
      <c r="DL464" s="385"/>
      <c r="DM464" s="386"/>
      <c r="DN464" s="375"/>
      <c r="DO464" s="375"/>
      <c r="DQ464" s="385"/>
      <c r="DR464" s="386"/>
      <c r="DS464" s="375"/>
      <c r="DT464" s="375"/>
      <c r="DV464" s="385"/>
      <c r="DW464" s="386"/>
      <c r="DX464" s="375"/>
      <c r="DY464" s="375"/>
      <c r="EA464" s="385"/>
      <c r="EB464" s="386"/>
      <c r="EC464" s="375"/>
      <c r="ED464" s="375"/>
      <c r="EF464" s="385"/>
      <c r="EG464" s="386"/>
      <c r="EH464" s="375"/>
      <c r="EI464" s="375"/>
      <c r="EK464" s="385"/>
      <c r="EL464" s="386"/>
      <c r="EM464" s="375"/>
      <c r="EN464" s="375"/>
      <c r="EP464" s="385"/>
      <c r="EQ464" s="386"/>
      <c r="ER464" s="375"/>
      <c r="ES464" s="375"/>
      <c r="EU464" s="385"/>
      <c r="EV464" s="386"/>
      <c r="EW464" s="375"/>
      <c r="EX464" s="375"/>
      <c r="EZ464" s="385"/>
      <c r="FA464" s="386"/>
      <c r="FB464" s="375"/>
      <c r="FC464" s="375"/>
      <c r="FE464" s="385"/>
      <c r="FF464" s="386"/>
      <c r="FG464" s="375"/>
      <c r="FH464" s="375"/>
      <c r="FJ464" s="385"/>
      <c r="FK464" s="386"/>
      <c r="FL464" s="375"/>
      <c r="FM464" s="375"/>
      <c r="FO464" s="385"/>
      <c r="FP464" s="386"/>
      <c r="FQ464" s="375"/>
      <c r="FR464" s="375"/>
      <c r="FT464" s="385"/>
      <c r="FU464" s="386"/>
      <c r="FV464" s="375"/>
      <c r="FW464" s="375"/>
      <c r="FY464" s="385"/>
      <c r="FZ464" s="386"/>
      <c r="GA464" s="375"/>
      <c r="GB464" s="375"/>
      <c r="GD464" s="385"/>
      <c r="GE464" s="386"/>
      <c r="GF464" s="375"/>
      <c r="GG464" s="375"/>
      <c r="GI464" s="385"/>
      <c r="GJ464" s="386"/>
      <c r="GK464" s="375"/>
      <c r="GL464" s="375"/>
      <c r="GN464" s="385"/>
      <c r="GO464" s="386"/>
      <c r="GP464" s="375"/>
      <c r="GQ464" s="375"/>
      <c r="GS464" s="385"/>
      <c r="GT464" s="386"/>
      <c r="GU464" s="375"/>
      <c r="GV464" s="375"/>
      <c r="GX464" s="385"/>
      <c r="GY464" s="386"/>
      <c r="GZ464" s="375"/>
      <c r="HA464" s="375"/>
      <c r="HC464" s="385"/>
      <c r="HD464" s="386"/>
      <c r="HE464" s="375"/>
      <c r="HF464" s="375"/>
      <c r="HH464" s="385"/>
      <c r="HI464" s="386"/>
      <c r="HJ464" s="375"/>
      <c r="HK464" s="375"/>
      <c r="HM464" s="385"/>
      <c r="HN464" s="386"/>
      <c r="HO464" s="375"/>
      <c r="HP464" s="375"/>
      <c r="HR464" s="385"/>
      <c r="HS464" s="386"/>
      <c r="HT464" s="375"/>
      <c r="HU464" s="375"/>
      <c r="HW464" s="385"/>
      <c r="HX464" s="386"/>
      <c r="HY464" s="375"/>
      <c r="HZ464" s="375"/>
      <c r="IB464" s="385"/>
      <c r="IC464" s="386"/>
      <c r="ID464" s="375"/>
      <c r="IE464" s="375"/>
      <c r="IG464" s="385"/>
      <c r="IH464" s="386"/>
      <c r="II464" s="375"/>
      <c r="IJ464" s="375"/>
      <c r="IL464" s="385"/>
      <c r="IM464" s="386"/>
      <c r="IN464" s="375"/>
      <c r="IO464" s="375"/>
      <c r="IQ464" s="385"/>
      <c r="IR464" s="386"/>
      <c r="IS464" s="375"/>
      <c r="IT464" s="375"/>
      <c r="IV464" s="385"/>
    </row>
    <row r="465" spans="1:256" s="387" customFormat="1" x14ac:dyDescent="0.2">
      <c r="A465" s="385"/>
      <c r="B465" s="386"/>
      <c r="C465" s="375"/>
      <c r="D465" s="375"/>
      <c r="F465" s="385"/>
      <c r="G465" s="386"/>
      <c r="H465" s="375"/>
      <c r="I465" s="375"/>
      <c r="K465" s="385"/>
      <c r="L465" s="386"/>
      <c r="M465" s="375"/>
      <c r="N465" s="375"/>
      <c r="P465" s="385"/>
      <c r="Q465" s="386"/>
      <c r="R465" s="375"/>
      <c r="S465" s="375"/>
      <c r="U465" s="385"/>
      <c r="V465" s="386"/>
      <c r="W465" s="375"/>
      <c r="X465" s="375"/>
      <c r="Z465" s="385"/>
      <c r="AA465" s="386"/>
      <c r="AB465" s="375"/>
      <c r="AC465" s="375"/>
      <c r="AE465" s="385"/>
      <c r="AF465" s="386"/>
      <c r="AG465" s="375"/>
      <c r="AH465" s="375"/>
      <c r="AJ465" s="385"/>
      <c r="AK465" s="386"/>
      <c r="AL465" s="375"/>
      <c r="AM465" s="375"/>
      <c r="AO465" s="385"/>
      <c r="AP465" s="386"/>
      <c r="AQ465" s="375"/>
      <c r="AR465" s="375"/>
      <c r="AT465" s="385"/>
      <c r="AU465" s="386"/>
      <c r="AV465" s="375"/>
      <c r="AW465" s="375"/>
      <c r="AY465" s="385"/>
      <c r="AZ465" s="386"/>
      <c r="BA465" s="375"/>
      <c r="BB465" s="375"/>
      <c r="BD465" s="385"/>
      <c r="BE465" s="386"/>
      <c r="BF465" s="375"/>
      <c r="BG465" s="375"/>
      <c r="BI465" s="385"/>
      <c r="BJ465" s="386"/>
      <c r="BK465" s="375"/>
      <c r="BL465" s="375"/>
      <c r="BN465" s="385"/>
      <c r="BO465" s="386"/>
      <c r="BP465" s="375"/>
      <c r="BQ465" s="375"/>
      <c r="BS465" s="385"/>
      <c r="BT465" s="386"/>
      <c r="BU465" s="375"/>
      <c r="BV465" s="375"/>
      <c r="BX465" s="385"/>
      <c r="BY465" s="386"/>
      <c r="BZ465" s="375"/>
      <c r="CA465" s="375"/>
      <c r="CC465" s="385"/>
      <c r="CD465" s="386"/>
      <c r="CE465" s="375"/>
      <c r="CF465" s="375"/>
      <c r="CH465" s="385"/>
      <c r="CI465" s="386"/>
      <c r="CJ465" s="375"/>
      <c r="CK465" s="375"/>
      <c r="CM465" s="385"/>
      <c r="CN465" s="386"/>
      <c r="CO465" s="375"/>
      <c r="CP465" s="375"/>
      <c r="CR465" s="385"/>
      <c r="CS465" s="386"/>
      <c r="CT465" s="375"/>
      <c r="CU465" s="375"/>
      <c r="CW465" s="385"/>
      <c r="CX465" s="386"/>
      <c r="CY465" s="375"/>
      <c r="CZ465" s="375"/>
      <c r="DB465" s="385"/>
      <c r="DC465" s="386"/>
      <c r="DD465" s="375"/>
      <c r="DE465" s="375"/>
      <c r="DG465" s="385"/>
      <c r="DH465" s="386"/>
      <c r="DI465" s="375"/>
      <c r="DJ465" s="375"/>
      <c r="DL465" s="385"/>
      <c r="DM465" s="386"/>
      <c r="DN465" s="375"/>
      <c r="DO465" s="375"/>
      <c r="DQ465" s="385"/>
      <c r="DR465" s="386"/>
      <c r="DS465" s="375"/>
      <c r="DT465" s="375"/>
      <c r="DV465" s="385"/>
      <c r="DW465" s="386"/>
      <c r="DX465" s="375"/>
      <c r="DY465" s="375"/>
      <c r="EA465" s="385"/>
      <c r="EB465" s="386"/>
      <c r="EC465" s="375"/>
      <c r="ED465" s="375"/>
      <c r="EF465" s="385"/>
      <c r="EG465" s="386"/>
      <c r="EH465" s="375"/>
      <c r="EI465" s="375"/>
      <c r="EK465" s="385"/>
      <c r="EL465" s="386"/>
      <c r="EM465" s="375"/>
      <c r="EN465" s="375"/>
      <c r="EP465" s="385"/>
      <c r="EQ465" s="386"/>
      <c r="ER465" s="375"/>
      <c r="ES465" s="375"/>
      <c r="EU465" s="385"/>
      <c r="EV465" s="386"/>
      <c r="EW465" s="375"/>
      <c r="EX465" s="375"/>
      <c r="EZ465" s="385"/>
      <c r="FA465" s="386"/>
      <c r="FB465" s="375"/>
      <c r="FC465" s="375"/>
      <c r="FE465" s="385"/>
      <c r="FF465" s="386"/>
      <c r="FG465" s="375"/>
      <c r="FH465" s="375"/>
      <c r="FJ465" s="385"/>
      <c r="FK465" s="386"/>
      <c r="FL465" s="375"/>
      <c r="FM465" s="375"/>
      <c r="FO465" s="385"/>
      <c r="FP465" s="386"/>
      <c r="FQ465" s="375"/>
      <c r="FR465" s="375"/>
      <c r="FT465" s="385"/>
      <c r="FU465" s="386"/>
      <c r="FV465" s="375"/>
      <c r="FW465" s="375"/>
      <c r="FY465" s="385"/>
      <c r="FZ465" s="386"/>
      <c r="GA465" s="375"/>
      <c r="GB465" s="375"/>
      <c r="GD465" s="385"/>
      <c r="GE465" s="386"/>
      <c r="GF465" s="375"/>
      <c r="GG465" s="375"/>
      <c r="GI465" s="385"/>
      <c r="GJ465" s="386"/>
      <c r="GK465" s="375"/>
      <c r="GL465" s="375"/>
      <c r="GN465" s="385"/>
      <c r="GO465" s="386"/>
      <c r="GP465" s="375"/>
      <c r="GQ465" s="375"/>
      <c r="GS465" s="385"/>
      <c r="GT465" s="386"/>
      <c r="GU465" s="375"/>
      <c r="GV465" s="375"/>
      <c r="GX465" s="385"/>
      <c r="GY465" s="386"/>
      <c r="GZ465" s="375"/>
      <c r="HA465" s="375"/>
      <c r="HC465" s="385"/>
      <c r="HD465" s="386"/>
      <c r="HE465" s="375"/>
      <c r="HF465" s="375"/>
      <c r="HH465" s="385"/>
      <c r="HI465" s="386"/>
      <c r="HJ465" s="375"/>
      <c r="HK465" s="375"/>
      <c r="HM465" s="385"/>
      <c r="HN465" s="386"/>
      <c r="HO465" s="375"/>
      <c r="HP465" s="375"/>
      <c r="HR465" s="385"/>
      <c r="HS465" s="386"/>
      <c r="HT465" s="375"/>
      <c r="HU465" s="375"/>
      <c r="HW465" s="385"/>
      <c r="HX465" s="386"/>
      <c r="HY465" s="375"/>
      <c r="HZ465" s="375"/>
      <c r="IB465" s="385"/>
      <c r="IC465" s="386"/>
      <c r="ID465" s="375"/>
      <c r="IE465" s="375"/>
      <c r="IG465" s="385"/>
      <c r="IH465" s="386"/>
      <c r="II465" s="375"/>
      <c r="IJ465" s="375"/>
      <c r="IL465" s="385"/>
      <c r="IM465" s="386"/>
      <c r="IN465" s="375"/>
      <c r="IO465" s="375"/>
      <c r="IQ465" s="385"/>
      <c r="IR465" s="386"/>
      <c r="IS465" s="375"/>
      <c r="IT465" s="375"/>
      <c r="IV465" s="385"/>
    </row>
    <row r="466" spans="1:256" s="387" customFormat="1" x14ac:dyDescent="0.2">
      <c r="A466" s="385"/>
      <c r="B466" s="386"/>
      <c r="C466" s="375"/>
      <c r="D466" s="375"/>
      <c r="F466" s="385"/>
      <c r="G466" s="386"/>
      <c r="H466" s="375"/>
      <c r="I466" s="375"/>
      <c r="K466" s="385"/>
      <c r="L466" s="386"/>
      <c r="M466" s="375"/>
      <c r="N466" s="375"/>
      <c r="P466" s="385"/>
      <c r="Q466" s="386"/>
      <c r="R466" s="375"/>
      <c r="S466" s="375"/>
      <c r="U466" s="385"/>
      <c r="V466" s="386"/>
      <c r="W466" s="375"/>
      <c r="X466" s="375"/>
      <c r="Z466" s="385"/>
      <c r="AA466" s="386"/>
      <c r="AB466" s="375"/>
      <c r="AC466" s="375"/>
      <c r="AE466" s="385"/>
      <c r="AF466" s="386"/>
      <c r="AG466" s="375"/>
      <c r="AH466" s="375"/>
      <c r="AJ466" s="385"/>
      <c r="AK466" s="386"/>
      <c r="AL466" s="375"/>
      <c r="AM466" s="375"/>
      <c r="AO466" s="385"/>
      <c r="AP466" s="386"/>
      <c r="AQ466" s="375"/>
      <c r="AR466" s="375"/>
      <c r="AT466" s="385"/>
      <c r="AU466" s="386"/>
      <c r="AV466" s="375"/>
      <c r="AW466" s="375"/>
      <c r="AY466" s="385"/>
      <c r="AZ466" s="386"/>
      <c r="BA466" s="375"/>
      <c r="BB466" s="375"/>
      <c r="BD466" s="385"/>
      <c r="BE466" s="386"/>
      <c r="BF466" s="375"/>
      <c r="BG466" s="375"/>
      <c r="BI466" s="385"/>
      <c r="BJ466" s="386"/>
      <c r="BK466" s="375"/>
      <c r="BL466" s="375"/>
      <c r="BN466" s="385"/>
      <c r="BO466" s="386"/>
      <c r="BP466" s="375"/>
      <c r="BQ466" s="375"/>
      <c r="BS466" s="385"/>
      <c r="BT466" s="386"/>
      <c r="BU466" s="375"/>
      <c r="BV466" s="375"/>
      <c r="BX466" s="385"/>
      <c r="BY466" s="386"/>
      <c r="BZ466" s="375"/>
      <c r="CA466" s="375"/>
      <c r="CC466" s="385"/>
      <c r="CD466" s="386"/>
      <c r="CE466" s="375"/>
      <c r="CF466" s="375"/>
      <c r="CH466" s="385"/>
      <c r="CI466" s="386"/>
      <c r="CJ466" s="375"/>
      <c r="CK466" s="375"/>
      <c r="CM466" s="385"/>
      <c r="CN466" s="386"/>
      <c r="CO466" s="375"/>
      <c r="CP466" s="375"/>
      <c r="CR466" s="385"/>
      <c r="CS466" s="386"/>
      <c r="CT466" s="375"/>
      <c r="CU466" s="375"/>
      <c r="CW466" s="385"/>
      <c r="CX466" s="386"/>
      <c r="CY466" s="375"/>
      <c r="CZ466" s="375"/>
      <c r="DB466" s="385"/>
      <c r="DC466" s="386"/>
      <c r="DD466" s="375"/>
      <c r="DE466" s="375"/>
      <c r="DG466" s="385"/>
      <c r="DH466" s="386"/>
      <c r="DI466" s="375"/>
      <c r="DJ466" s="375"/>
      <c r="DL466" s="385"/>
      <c r="DM466" s="386"/>
      <c r="DN466" s="375"/>
      <c r="DO466" s="375"/>
      <c r="DQ466" s="385"/>
      <c r="DR466" s="386"/>
      <c r="DS466" s="375"/>
      <c r="DT466" s="375"/>
      <c r="DV466" s="385"/>
      <c r="DW466" s="386"/>
      <c r="DX466" s="375"/>
      <c r="DY466" s="375"/>
      <c r="EA466" s="385"/>
      <c r="EB466" s="386"/>
      <c r="EC466" s="375"/>
      <c r="ED466" s="375"/>
      <c r="EF466" s="385"/>
      <c r="EG466" s="386"/>
      <c r="EH466" s="375"/>
      <c r="EI466" s="375"/>
      <c r="EK466" s="385"/>
      <c r="EL466" s="386"/>
      <c r="EM466" s="375"/>
      <c r="EN466" s="375"/>
      <c r="EP466" s="385"/>
      <c r="EQ466" s="386"/>
      <c r="ER466" s="375"/>
      <c r="ES466" s="375"/>
      <c r="EU466" s="385"/>
      <c r="EV466" s="386"/>
      <c r="EW466" s="375"/>
      <c r="EX466" s="375"/>
      <c r="EZ466" s="385"/>
      <c r="FA466" s="386"/>
      <c r="FB466" s="375"/>
      <c r="FC466" s="375"/>
      <c r="FE466" s="385"/>
      <c r="FF466" s="386"/>
      <c r="FG466" s="375"/>
      <c r="FH466" s="375"/>
      <c r="FJ466" s="385"/>
      <c r="FK466" s="386"/>
      <c r="FL466" s="375"/>
      <c r="FM466" s="375"/>
      <c r="FO466" s="385"/>
      <c r="FP466" s="386"/>
      <c r="FQ466" s="375"/>
      <c r="FR466" s="375"/>
      <c r="FT466" s="385"/>
      <c r="FU466" s="386"/>
      <c r="FV466" s="375"/>
      <c r="FW466" s="375"/>
      <c r="FY466" s="385"/>
      <c r="FZ466" s="386"/>
      <c r="GA466" s="375"/>
      <c r="GB466" s="375"/>
      <c r="GD466" s="385"/>
      <c r="GE466" s="386"/>
      <c r="GF466" s="375"/>
      <c r="GG466" s="375"/>
      <c r="GI466" s="385"/>
      <c r="GJ466" s="386"/>
      <c r="GK466" s="375"/>
      <c r="GL466" s="375"/>
      <c r="GN466" s="385"/>
      <c r="GO466" s="386"/>
      <c r="GP466" s="375"/>
      <c r="GQ466" s="375"/>
      <c r="GS466" s="385"/>
      <c r="GT466" s="386"/>
      <c r="GU466" s="375"/>
      <c r="GV466" s="375"/>
      <c r="GX466" s="385"/>
      <c r="GY466" s="386"/>
      <c r="GZ466" s="375"/>
      <c r="HA466" s="375"/>
      <c r="HC466" s="385"/>
      <c r="HD466" s="386"/>
      <c r="HE466" s="375"/>
      <c r="HF466" s="375"/>
      <c r="HH466" s="385"/>
      <c r="HI466" s="386"/>
      <c r="HJ466" s="375"/>
      <c r="HK466" s="375"/>
      <c r="HM466" s="385"/>
      <c r="HN466" s="386"/>
      <c r="HO466" s="375"/>
      <c r="HP466" s="375"/>
      <c r="HR466" s="385"/>
      <c r="HS466" s="386"/>
      <c r="HT466" s="375"/>
      <c r="HU466" s="375"/>
      <c r="HW466" s="385"/>
      <c r="HX466" s="386"/>
      <c r="HY466" s="375"/>
      <c r="HZ466" s="375"/>
      <c r="IB466" s="385"/>
      <c r="IC466" s="386"/>
      <c r="ID466" s="375"/>
      <c r="IE466" s="375"/>
      <c r="IG466" s="385"/>
      <c r="IH466" s="386"/>
      <c r="II466" s="375"/>
      <c r="IJ466" s="375"/>
      <c r="IL466" s="385"/>
      <c r="IM466" s="386"/>
      <c r="IN466" s="375"/>
      <c r="IO466" s="375"/>
      <c r="IQ466" s="385"/>
      <c r="IR466" s="386"/>
      <c r="IS466" s="375"/>
      <c r="IT466" s="375"/>
      <c r="IV466" s="385"/>
    </row>
    <row r="467" spans="1:256" s="387" customFormat="1" x14ac:dyDescent="0.2">
      <c r="A467" s="385"/>
      <c r="B467" s="386"/>
      <c r="C467" s="375"/>
      <c r="D467" s="375"/>
      <c r="F467" s="385"/>
      <c r="G467" s="386"/>
      <c r="H467" s="375"/>
      <c r="I467" s="375"/>
      <c r="K467" s="385"/>
      <c r="L467" s="386"/>
      <c r="M467" s="375"/>
      <c r="N467" s="375"/>
      <c r="P467" s="385"/>
      <c r="Q467" s="386"/>
      <c r="R467" s="375"/>
      <c r="S467" s="375"/>
      <c r="U467" s="385"/>
      <c r="V467" s="386"/>
      <c r="W467" s="375"/>
      <c r="X467" s="375"/>
      <c r="Z467" s="385"/>
      <c r="AA467" s="386"/>
      <c r="AB467" s="375"/>
      <c r="AC467" s="375"/>
      <c r="AE467" s="385"/>
      <c r="AF467" s="386"/>
      <c r="AG467" s="375"/>
      <c r="AH467" s="375"/>
      <c r="AJ467" s="385"/>
      <c r="AK467" s="386"/>
      <c r="AL467" s="375"/>
      <c r="AM467" s="375"/>
      <c r="AO467" s="385"/>
      <c r="AP467" s="386"/>
      <c r="AQ467" s="375"/>
      <c r="AR467" s="375"/>
      <c r="AT467" s="385"/>
      <c r="AU467" s="386"/>
      <c r="AV467" s="375"/>
      <c r="AW467" s="375"/>
      <c r="AY467" s="385"/>
      <c r="AZ467" s="386"/>
      <c r="BA467" s="375"/>
      <c r="BB467" s="375"/>
      <c r="BD467" s="385"/>
      <c r="BE467" s="386"/>
      <c r="BF467" s="375"/>
      <c r="BG467" s="375"/>
      <c r="BI467" s="385"/>
      <c r="BJ467" s="386"/>
      <c r="BK467" s="375"/>
      <c r="BL467" s="375"/>
      <c r="BN467" s="385"/>
      <c r="BO467" s="386"/>
      <c r="BP467" s="375"/>
      <c r="BQ467" s="375"/>
      <c r="BS467" s="385"/>
      <c r="BT467" s="386"/>
      <c r="BU467" s="375"/>
      <c r="BV467" s="375"/>
      <c r="BX467" s="385"/>
      <c r="BY467" s="386"/>
      <c r="BZ467" s="375"/>
      <c r="CA467" s="375"/>
      <c r="CC467" s="385"/>
      <c r="CD467" s="386"/>
      <c r="CE467" s="375"/>
      <c r="CF467" s="375"/>
      <c r="CH467" s="385"/>
      <c r="CI467" s="386"/>
      <c r="CJ467" s="375"/>
      <c r="CK467" s="375"/>
      <c r="CM467" s="385"/>
      <c r="CN467" s="386"/>
      <c r="CO467" s="375"/>
      <c r="CP467" s="375"/>
      <c r="CR467" s="385"/>
      <c r="CS467" s="386"/>
      <c r="CT467" s="375"/>
      <c r="CU467" s="375"/>
      <c r="CW467" s="385"/>
      <c r="CX467" s="386"/>
      <c r="CY467" s="375"/>
      <c r="CZ467" s="375"/>
      <c r="DB467" s="385"/>
      <c r="DC467" s="386"/>
      <c r="DD467" s="375"/>
      <c r="DE467" s="375"/>
      <c r="DG467" s="385"/>
      <c r="DH467" s="386"/>
      <c r="DI467" s="375"/>
      <c r="DJ467" s="375"/>
      <c r="DL467" s="385"/>
      <c r="DM467" s="386"/>
      <c r="DN467" s="375"/>
      <c r="DO467" s="375"/>
      <c r="DQ467" s="385"/>
      <c r="DR467" s="386"/>
      <c r="DS467" s="375"/>
      <c r="DT467" s="375"/>
      <c r="DV467" s="385"/>
      <c r="DW467" s="386"/>
      <c r="DX467" s="375"/>
      <c r="DY467" s="375"/>
      <c r="EA467" s="385"/>
      <c r="EB467" s="386"/>
      <c r="EC467" s="375"/>
      <c r="ED467" s="375"/>
      <c r="EF467" s="385"/>
      <c r="EG467" s="386"/>
      <c r="EH467" s="375"/>
      <c r="EI467" s="375"/>
      <c r="EK467" s="385"/>
      <c r="EL467" s="386"/>
      <c r="EM467" s="375"/>
      <c r="EN467" s="375"/>
      <c r="EP467" s="385"/>
      <c r="EQ467" s="386"/>
      <c r="ER467" s="375"/>
      <c r="ES467" s="375"/>
      <c r="EU467" s="385"/>
      <c r="EV467" s="386"/>
      <c r="EW467" s="375"/>
      <c r="EX467" s="375"/>
      <c r="EZ467" s="385"/>
      <c r="FA467" s="386"/>
      <c r="FB467" s="375"/>
      <c r="FC467" s="375"/>
      <c r="FE467" s="385"/>
      <c r="FF467" s="386"/>
      <c r="FG467" s="375"/>
      <c r="FH467" s="375"/>
      <c r="FJ467" s="385"/>
      <c r="FK467" s="386"/>
      <c r="FL467" s="375"/>
      <c r="FM467" s="375"/>
      <c r="FO467" s="385"/>
      <c r="FP467" s="386"/>
      <c r="FQ467" s="375"/>
      <c r="FR467" s="375"/>
      <c r="FT467" s="385"/>
      <c r="FU467" s="386"/>
      <c r="FV467" s="375"/>
      <c r="FW467" s="375"/>
      <c r="FY467" s="385"/>
      <c r="FZ467" s="386"/>
      <c r="GA467" s="375"/>
      <c r="GB467" s="375"/>
      <c r="GD467" s="385"/>
      <c r="GE467" s="386"/>
      <c r="GF467" s="375"/>
      <c r="GG467" s="375"/>
      <c r="GI467" s="385"/>
      <c r="GJ467" s="386"/>
      <c r="GK467" s="375"/>
      <c r="GL467" s="375"/>
      <c r="GN467" s="385"/>
      <c r="GO467" s="386"/>
      <c r="GP467" s="375"/>
      <c r="GQ467" s="375"/>
      <c r="GS467" s="385"/>
      <c r="GT467" s="386"/>
      <c r="GU467" s="375"/>
      <c r="GV467" s="375"/>
      <c r="GX467" s="385"/>
      <c r="GY467" s="386"/>
      <c r="GZ467" s="375"/>
      <c r="HA467" s="375"/>
      <c r="HC467" s="385"/>
      <c r="HD467" s="386"/>
      <c r="HE467" s="375"/>
      <c r="HF467" s="375"/>
      <c r="HH467" s="385"/>
      <c r="HI467" s="386"/>
      <c r="HJ467" s="375"/>
      <c r="HK467" s="375"/>
      <c r="HM467" s="385"/>
      <c r="HN467" s="386"/>
      <c r="HO467" s="375"/>
      <c r="HP467" s="375"/>
      <c r="HR467" s="385"/>
      <c r="HS467" s="386"/>
      <c r="HT467" s="375"/>
      <c r="HU467" s="375"/>
      <c r="HW467" s="385"/>
      <c r="HX467" s="386"/>
      <c r="HY467" s="375"/>
      <c r="HZ467" s="375"/>
      <c r="IB467" s="385"/>
      <c r="IC467" s="386"/>
      <c r="ID467" s="375"/>
      <c r="IE467" s="375"/>
      <c r="IG467" s="385"/>
      <c r="IH467" s="386"/>
      <c r="II467" s="375"/>
      <c r="IJ467" s="375"/>
      <c r="IL467" s="385"/>
      <c r="IM467" s="386"/>
      <c r="IN467" s="375"/>
      <c r="IO467" s="375"/>
      <c r="IQ467" s="385"/>
      <c r="IR467" s="386"/>
      <c r="IS467" s="375"/>
      <c r="IT467" s="375"/>
      <c r="IV467" s="385"/>
    </row>
    <row r="468" spans="1:256" s="387" customFormat="1" x14ac:dyDescent="0.2">
      <c r="A468" s="385"/>
      <c r="B468" s="386"/>
      <c r="C468" s="375"/>
      <c r="D468" s="375"/>
      <c r="F468" s="385"/>
      <c r="G468" s="386"/>
      <c r="H468" s="375"/>
      <c r="I468" s="375"/>
      <c r="K468" s="385"/>
      <c r="L468" s="386"/>
      <c r="M468" s="375"/>
      <c r="N468" s="375"/>
      <c r="P468" s="385"/>
      <c r="Q468" s="386"/>
      <c r="R468" s="375"/>
      <c r="S468" s="375"/>
      <c r="U468" s="385"/>
      <c r="V468" s="386"/>
      <c r="W468" s="375"/>
      <c r="X468" s="375"/>
      <c r="Z468" s="385"/>
      <c r="AA468" s="386"/>
      <c r="AB468" s="375"/>
      <c r="AC468" s="375"/>
      <c r="AE468" s="385"/>
      <c r="AF468" s="386"/>
      <c r="AG468" s="375"/>
      <c r="AH468" s="375"/>
      <c r="AJ468" s="385"/>
      <c r="AK468" s="386"/>
      <c r="AL468" s="375"/>
      <c r="AM468" s="375"/>
      <c r="AO468" s="385"/>
      <c r="AP468" s="386"/>
      <c r="AQ468" s="375"/>
      <c r="AR468" s="375"/>
      <c r="AT468" s="385"/>
      <c r="AU468" s="386"/>
      <c r="AV468" s="375"/>
      <c r="AW468" s="375"/>
      <c r="AY468" s="385"/>
      <c r="AZ468" s="386"/>
      <c r="BA468" s="375"/>
      <c r="BB468" s="375"/>
      <c r="BD468" s="385"/>
      <c r="BE468" s="386"/>
      <c r="BF468" s="375"/>
      <c r="BG468" s="375"/>
      <c r="BI468" s="385"/>
      <c r="BJ468" s="386"/>
      <c r="BK468" s="375"/>
      <c r="BL468" s="375"/>
      <c r="BN468" s="385"/>
      <c r="BO468" s="386"/>
      <c r="BP468" s="375"/>
      <c r="BQ468" s="375"/>
      <c r="BS468" s="385"/>
      <c r="BT468" s="386"/>
      <c r="BU468" s="375"/>
      <c r="BV468" s="375"/>
      <c r="BX468" s="385"/>
      <c r="BY468" s="386"/>
      <c r="BZ468" s="375"/>
      <c r="CA468" s="375"/>
      <c r="CC468" s="385"/>
      <c r="CD468" s="386"/>
      <c r="CE468" s="375"/>
      <c r="CF468" s="375"/>
      <c r="CH468" s="385"/>
      <c r="CI468" s="386"/>
      <c r="CJ468" s="375"/>
      <c r="CK468" s="375"/>
      <c r="CM468" s="385"/>
      <c r="CN468" s="386"/>
      <c r="CO468" s="375"/>
      <c r="CP468" s="375"/>
      <c r="CR468" s="385"/>
      <c r="CS468" s="386"/>
      <c r="CT468" s="375"/>
      <c r="CU468" s="375"/>
      <c r="CW468" s="385"/>
      <c r="CX468" s="386"/>
      <c r="CY468" s="375"/>
      <c r="CZ468" s="375"/>
      <c r="DB468" s="385"/>
      <c r="DC468" s="386"/>
      <c r="DD468" s="375"/>
      <c r="DE468" s="375"/>
      <c r="DG468" s="385"/>
      <c r="DH468" s="386"/>
      <c r="DI468" s="375"/>
      <c r="DJ468" s="375"/>
      <c r="DL468" s="385"/>
      <c r="DM468" s="386"/>
      <c r="DN468" s="375"/>
      <c r="DO468" s="375"/>
      <c r="DQ468" s="385"/>
      <c r="DR468" s="386"/>
      <c r="DS468" s="375"/>
      <c r="DT468" s="375"/>
      <c r="DV468" s="385"/>
      <c r="DW468" s="386"/>
      <c r="DX468" s="375"/>
      <c r="DY468" s="375"/>
      <c r="EA468" s="385"/>
      <c r="EB468" s="386"/>
      <c r="EC468" s="375"/>
      <c r="ED468" s="375"/>
      <c r="EF468" s="385"/>
      <c r="EG468" s="386"/>
      <c r="EH468" s="375"/>
      <c r="EI468" s="375"/>
      <c r="EK468" s="385"/>
      <c r="EL468" s="386"/>
      <c r="EM468" s="375"/>
      <c r="EN468" s="375"/>
      <c r="EP468" s="385"/>
      <c r="EQ468" s="386"/>
      <c r="ER468" s="375"/>
      <c r="ES468" s="375"/>
      <c r="EU468" s="385"/>
      <c r="EV468" s="386"/>
      <c r="EW468" s="375"/>
      <c r="EX468" s="375"/>
      <c r="EZ468" s="385"/>
      <c r="FA468" s="386"/>
      <c r="FB468" s="375"/>
      <c r="FC468" s="375"/>
      <c r="FE468" s="385"/>
      <c r="FF468" s="386"/>
      <c r="FG468" s="375"/>
      <c r="FH468" s="375"/>
      <c r="FJ468" s="385"/>
      <c r="FK468" s="386"/>
      <c r="FL468" s="375"/>
      <c r="FM468" s="375"/>
      <c r="FO468" s="385"/>
      <c r="FP468" s="386"/>
      <c r="FQ468" s="375"/>
      <c r="FR468" s="375"/>
      <c r="FT468" s="385"/>
      <c r="FU468" s="386"/>
      <c r="FV468" s="375"/>
      <c r="FW468" s="375"/>
      <c r="FY468" s="385"/>
      <c r="FZ468" s="386"/>
      <c r="GA468" s="375"/>
      <c r="GB468" s="375"/>
      <c r="GD468" s="385"/>
      <c r="GE468" s="386"/>
      <c r="GF468" s="375"/>
      <c r="GG468" s="375"/>
      <c r="GI468" s="385"/>
      <c r="GJ468" s="386"/>
      <c r="GK468" s="375"/>
      <c r="GL468" s="375"/>
      <c r="GN468" s="385"/>
      <c r="GO468" s="386"/>
      <c r="GP468" s="375"/>
      <c r="GQ468" s="375"/>
      <c r="GS468" s="385"/>
      <c r="GT468" s="386"/>
      <c r="GU468" s="375"/>
      <c r="GV468" s="375"/>
      <c r="GX468" s="385"/>
      <c r="GY468" s="386"/>
      <c r="GZ468" s="375"/>
      <c r="HA468" s="375"/>
      <c r="HC468" s="385"/>
      <c r="HD468" s="386"/>
      <c r="HE468" s="375"/>
      <c r="HF468" s="375"/>
      <c r="HH468" s="385"/>
      <c r="HI468" s="386"/>
      <c r="HJ468" s="375"/>
      <c r="HK468" s="375"/>
      <c r="HM468" s="385"/>
      <c r="HN468" s="386"/>
      <c r="HO468" s="375"/>
      <c r="HP468" s="375"/>
      <c r="HR468" s="385"/>
      <c r="HS468" s="386"/>
      <c r="HT468" s="375"/>
      <c r="HU468" s="375"/>
      <c r="HW468" s="385"/>
      <c r="HX468" s="386"/>
      <c r="HY468" s="375"/>
      <c r="HZ468" s="375"/>
      <c r="IB468" s="385"/>
      <c r="IC468" s="386"/>
      <c r="ID468" s="375"/>
      <c r="IE468" s="375"/>
      <c r="IG468" s="385"/>
      <c r="IH468" s="386"/>
      <c r="II468" s="375"/>
      <c r="IJ468" s="375"/>
      <c r="IL468" s="385"/>
      <c r="IM468" s="386"/>
      <c r="IN468" s="375"/>
      <c r="IO468" s="375"/>
      <c r="IQ468" s="385"/>
      <c r="IR468" s="386"/>
      <c r="IS468" s="375"/>
      <c r="IT468" s="375"/>
      <c r="IV468" s="385"/>
    </row>
    <row r="469" spans="1:256" s="387" customFormat="1" x14ac:dyDescent="0.2">
      <c r="A469" s="385"/>
      <c r="B469" s="386"/>
      <c r="C469" s="375"/>
      <c r="D469" s="375"/>
      <c r="F469" s="385"/>
      <c r="G469" s="386"/>
      <c r="H469" s="375"/>
      <c r="I469" s="375"/>
      <c r="K469" s="385"/>
      <c r="L469" s="386"/>
      <c r="M469" s="375"/>
      <c r="N469" s="375"/>
      <c r="P469" s="385"/>
      <c r="Q469" s="386"/>
      <c r="R469" s="375"/>
      <c r="S469" s="375"/>
      <c r="U469" s="385"/>
      <c r="V469" s="386"/>
      <c r="W469" s="375"/>
      <c r="X469" s="375"/>
      <c r="Z469" s="385"/>
      <c r="AA469" s="386"/>
      <c r="AB469" s="375"/>
      <c r="AC469" s="375"/>
      <c r="AE469" s="385"/>
      <c r="AF469" s="386"/>
      <c r="AG469" s="375"/>
      <c r="AH469" s="375"/>
      <c r="AJ469" s="385"/>
      <c r="AK469" s="386"/>
      <c r="AL469" s="375"/>
      <c r="AM469" s="375"/>
      <c r="AO469" s="385"/>
      <c r="AP469" s="386"/>
      <c r="AQ469" s="375"/>
      <c r="AR469" s="375"/>
      <c r="AT469" s="385"/>
      <c r="AU469" s="386"/>
      <c r="AV469" s="375"/>
      <c r="AW469" s="375"/>
      <c r="AY469" s="385"/>
      <c r="AZ469" s="386"/>
      <c r="BA469" s="375"/>
      <c r="BB469" s="375"/>
      <c r="BD469" s="385"/>
      <c r="BE469" s="386"/>
      <c r="BF469" s="375"/>
      <c r="BG469" s="375"/>
      <c r="BI469" s="385"/>
      <c r="BJ469" s="386"/>
      <c r="BK469" s="375"/>
      <c r="BL469" s="375"/>
      <c r="BN469" s="385"/>
      <c r="BO469" s="386"/>
      <c r="BP469" s="375"/>
      <c r="BQ469" s="375"/>
      <c r="BS469" s="385"/>
      <c r="BT469" s="386"/>
      <c r="BU469" s="375"/>
      <c r="BV469" s="375"/>
      <c r="BX469" s="385"/>
      <c r="BY469" s="386"/>
      <c r="BZ469" s="375"/>
      <c r="CA469" s="375"/>
      <c r="CC469" s="385"/>
      <c r="CD469" s="386"/>
      <c r="CE469" s="375"/>
      <c r="CF469" s="375"/>
      <c r="CH469" s="385"/>
      <c r="CI469" s="386"/>
      <c r="CJ469" s="375"/>
      <c r="CK469" s="375"/>
      <c r="CM469" s="385"/>
      <c r="CN469" s="386"/>
      <c r="CO469" s="375"/>
      <c r="CP469" s="375"/>
      <c r="CR469" s="385"/>
      <c r="CS469" s="386"/>
      <c r="CT469" s="375"/>
      <c r="CU469" s="375"/>
      <c r="CW469" s="385"/>
      <c r="CX469" s="386"/>
      <c r="CY469" s="375"/>
      <c r="CZ469" s="375"/>
      <c r="DB469" s="385"/>
      <c r="DC469" s="386"/>
      <c r="DD469" s="375"/>
      <c r="DE469" s="375"/>
      <c r="DG469" s="385"/>
      <c r="DH469" s="386"/>
      <c r="DI469" s="375"/>
      <c r="DJ469" s="375"/>
      <c r="DL469" s="385"/>
      <c r="DM469" s="386"/>
      <c r="DN469" s="375"/>
      <c r="DO469" s="375"/>
      <c r="DQ469" s="385"/>
      <c r="DR469" s="386"/>
      <c r="DS469" s="375"/>
      <c r="DT469" s="375"/>
      <c r="DV469" s="385"/>
      <c r="DW469" s="386"/>
      <c r="DX469" s="375"/>
      <c r="DY469" s="375"/>
      <c r="EA469" s="385"/>
      <c r="EB469" s="386"/>
      <c r="EC469" s="375"/>
      <c r="ED469" s="375"/>
      <c r="EF469" s="385"/>
      <c r="EG469" s="386"/>
      <c r="EH469" s="375"/>
      <c r="EI469" s="375"/>
      <c r="EK469" s="385"/>
      <c r="EL469" s="386"/>
      <c r="EM469" s="375"/>
      <c r="EN469" s="375"/>
      <c r="EP469" s="385"/>
      <c r="EQ469" s="386"/>
      <c r="ER469" s="375"/>
      <c r="ES469" s="375"/>
      <c r="EU469" s="385"/>
      <c r="EV469" s="386"/>
      <c r="EW469" s="375"/>
      <c r="EX469" s="375"/>
      <c r="EZ469" s="385"/>
      <c r="FA469" s="386"/>
      <c r="FB469" s="375"/>
      <c r="FC469" s="375"/>
      <c r="FE469" s="385"/>
      <c r="FF469" s="386"/>
      <c r="FG469" s="375"/>
      <c r="FH469" s="375"/>
      <c r="FJ469" s="385"/>
      <c r="FK469" s="386"/>
      <c r="FL469" s="375"/>
      <c r="FM469" s="375"/>
      <c r="FO469" s="385"/>
      <c r="FP469" s="386"/>
      <c r="FQ469" s="375"/>
      <c r="FR469" s="375"/>
      <c r="FT469" s="385"/>
      <c r="FU469" s="386"/>
      <c r="FV469" s="375"/>
      <c r="FW469" s="375"/>
      <c r="FY469" s="385"/>
      <c r="FZ469" s="386"/>
      <c r="GA469" s="375"/>
      <c r="GB469" s="375"/>
      <c r="GD469" s="385"/>
      <c r="GE469" s="386"/>
      <c r="GF469" s="375"/>
      <c r="GG469" s="375"/>
      <c r="GI469" s="385"/>
      <c r="GJ469" s="386"/>
      <c r="GK469" s="375"/>
      <c r="GL469" s="375"/>
      <c r="GN469" s="385"/>
      <c r="GO469" s="386"/>
      <c r="GP469" s="375"/>
      <c r="GQ469" s="375"/>
      <c r="GS469" s="385"/>
      <c r="GT469" s="386"/>
      <c r="GU469" s="375"/>
      <c r="GV469" s="375"/>
      <c r="GX469" s="385"/>
      <c r="GY469" s="386"/>
      <c r="GZ469" s="375"/>
      <c r="HA469" s="375"/>
      <c r="HC469" s="385"/>
      <c r="HD469" s="386"/>
      <c r="HE469" s="375"/>
      <c r="HF469" s="375"/>
      <c r="HH469" s="385"/>
      <c r="HI469" s="386"/>
      <c r="HJ469" s="375"/>
      <c r="HK469" s="375"/>
      <c r="HM469" s="385"/>
      <c r="HN469" s="386"/>
      <c r="HO469" s="375"/>
      <c r="HP469" s="375"/>
      <c r="HR469" s="385"/>
      <c r="HS469" s="386"/>
      <c r="HT469" s="375"/>
      <c r="HU469" s="375"/>
      <c r="HW469" s="385"/>
      <c r="HX469" s="386"/>
      <c r="HY469" s="375"/>
      <c r="HZ469" s="375"/>
      <c r="IB469" s="385"/>
      <c r="IC469" s="386"/>
      <c r="ID469" s="375"/>
      <c r="IE469" s="375"/>
      <c r="IG469" s="385"/>
      <c r="IH469" s="386"/>
      <c r="II469" s="375"/>
      <c r="IJ469" s="375"/>
      <c r="IL469" s="385"/>
      <c r="IM469" s="386"/>
      <c r="IN469" s="375"/>
      <c r="IO469" s="375"/>
      <c r="IQ469" s="385"/>
      <c r="IR469" s="386"/>
      <c r="IS469" s="375"/>
      <c r="IT469" s="375"/>
      <c r="IV469" s="385"/>
    </row>
    <row r="470" spans="1:256" s="387" customFormat="1" x14ac:dyDescent="0.2">
      <c r="A470" s="385"/>
      <c r="B470" s="386"/>
      <c r="C470" s="375"/>
      <c r="D470" s="375"/>
      <c r="F470" s="385"/>
      <c r="G470" s="386"/>
      <c r="H470" s="375"/>
      <c r="I470" s="375"/>
      <c r="K470" s="385"/>
      <c r="L470" s="386"/>
      <c r="M470" s="375"/>
      <c r="N470" s="375"/>
      <c r="P470" s="385"/>
      <c r="Q470" s="386"/>
      <c r="R470" s="375"/>
      <c r="S470" s="375"/>
      <c r="U470" s="385"/>
      <c r="V470" s="386"/>
      <c r="W470" s="375"/>
      <c r="X470" s="375"/>
      <c r="Z470" s="385"/>
      <c r="AA470" s="386"/>
      <c r="AB470" s="375"/>
      <c r="AC470" s="375"/>
      <c r="AE470" s="385"/>
      <c r="AF470" s="386"/>
      <c r="AG470" s="375"/>
      <c r="AH470" s="375"/>
      <c r="AJ470" s="385"/>
      <c r="AK470" s="386"/>
      <c r="AL470" s="375"/>
      <c r="AM470" s="375"/>
      <c r="AO470" s="385"/>
      <c r="AP470" s="386"/>
      <c r="AQ470" s="375"/>
      <c r="AR470" s="375"/>
      <c r="AT470" s="385"/>
      <c r="AU470" s="386"/>
      <c r="AV470" s="375"/>
      <c r="AW470" s="375"/>
      <c r="AY470" s="385"/>
      <c r="AZ470" s="386"/>
      <c r="BA470" s="375"/>
      <c r="BB470" s="375"/>
      <c r="BD470" s="385"/>
      <c r="BE470" s="386"/>
      <c r="BF470" s="375"/>
      <c r="BG470" s="375"/>
      <c r="BI470" s="385"/>
      <c r="BJ470" s="386"/>
      <c r="BK470" s="375"/>
      <c r="BL470" s="375"/>
      <c r="BN470" s="385"/>
      <c r="BO470" s="386"/>
      <c r="BP470" s="375"/>
      <c r="BQ470" s="375"/>
      <c r="BS470" s="385"/>
      <c r="BT470" s="386"/>
      <c r="BU470" s="375"/>
      <c r="BV470" s="375"/>
      <c r="BX470" s="385"/>
      <c r="BY470" s="386"/>
      <c r="BZ470" s="375"/>
      <c r="CA470" s="375"/>
      <c r="CC470" s="385"/>
      <c r="CD470" s="386"/>
      <c r="CE470" s="375"/>
      <c r="CF470" s="375"/>
      <c r="CH470" s="385"/>
      <c r="CI470" s="386"/>
      <c r="CJ470" s="375"/>
      <c r="CK470" s="375"/>
      <c r="CM470" s="385"/>
      <c r="CN470" s="386"/>
      <c r="CO470" s="375"/>
      <c r="CP470" s="375"/>
      <c r="CR470" s="385"/>
      <c r="CS470" s="386"/>
      <c r="CT470" s="375"/>
      <c r="CU470" s="375"/>
      <c r="CW470" s="385"/>
      <c r="CX470" s="386"/>
      <c r="CY470" s="375"/>
      <c r="CZ470" s="375"/>
      <c r="DB470" s="385"/>
      <c r="DC470" s="386"/>
      <c r="DD470" s="375"/>
      <c r="DE470" s="375"/>
      <c r="DG470" s="385"/>
      <c r="DH470" s="386"/>
      <c r="DI470" s="375"/>
      <c r="DJ470" s="375"/>
      <c r="DL470" s="385"/>
      <c r="DM470" s="386"/>
      <c r="DN470" s="375"/>
      <c r="DO470" s="375"/>
      <c r="DQ470" s="385"/>
      <c r="DR470" s="386"/>
      <c r="DS470" s="375"/>
      <c r="DT470" s="375"/>
      <c r="DV470" s="385"/>
      <c r="DW470" s="386"/>
      <c r="DX470" s="375"/>
      <c r="DY470" s="375"/>
      <c r="EA470" s="385"/>
      <c r="EB470" s="386"/>
      <c r="EC470" s="375"/>
      <c r="ED470" s="375"/>
      <c r="EF470" s="385"/>
      <c r="EG470" s="386"/>
      <c r="EH470" s="375"/>
      <c r="EI470" s="375"/>
      <c r="EK470" s="385"/>
      <c r="EL470" s="386"/>
      <c r="EM470" s="375"/>
      <c r="EN470" s="375"/>
      <c r="EP470" s="385"/>
      <c r="EQ470" s="386"/>
      <c r="ER470" s="375"/>
      <c r="ES470" s="375"/>
      <c r="EU470" s="385"/>
      <c r="EV470" s="386"/>
      <c r="EW470" s="375"/>
      <c r="EX470" s="375"/>
      <c r="EZ470" s="385"/>
      <c r="FA470" s="386"/>
      <c r="FB470" s="375"/>
      <c r="FC470" s="375"/>
      <c r="FE470" s="385"/>
      <c r="FF470" s="386"/>
      <c r="FG470" s="375"/>
      <c r="FH470" s="375"/>
      <c r="FJ470" s="385"/>
      <c r="FK470" s="386"/>
      <c r="FL470" s="375"/>
      <c r="FM470" s="375"/>
      <c r="FO470" s="385"/>
      <c r="FP470" s="386"/>
      <c r="FQ470" s="375"/>
      <c r="FR470" s="375"/>
      <c r="FT470" s="385"/>
      <c r="FU470" s="386"/>
      <c r="FV470" s="375"/>
      <c r="FW470" s="375"/>
      <c r="FY470" s="385"/>
      <c r="FZ470" s="386"/>
      <c r="GA470" s="375"/>
      <c r="GB470" s="375"/>
      <c r="GD470" s="385"/>
      <c r="GE470" s="386"/>
      <c r="GF470" s="375"/>
      <c r="GG470" s="375"/>
      <c r="GI470" s="385"/>
      <c r="GJ470" s="386"/>
      <c r="GK470" s="375"/>
      <c r="GL470" s="375"/>
      <c r="GN470" s="385"/>
      <c r="GO470" s="386"/>
      <c r="GP470" s="375"/>
      <c r="GQ470" s="375"/>
      <c r="GS470" s="385"/>
      <c r="GT470" s="386"/>
      <c r="GU470" s="375"/>
      <c r="GV470" s="375"/>
      <c r="GX470" s="385"/>
      <c r="GY470" s="386"/>
      <c r="GZ470" s="375"/>
      <c r="HA470" s="375"/>
      <c r="HC470" s="385"/>
      <c r="HD470" s="386"/>
      <c r="HE470" s="375"/>
      <c r="HF470" s="375"/>
      <c r="HH470" s="385"/>
      <c r="HI470" s="386"/>
      <c r="HJ470" s="375"/>
      <c r="HK470" s="375"/>
      <c r="HM470" s="385"/>
      <c r="HN470" s="386"/>
      <c r="HO470" s="375"/>
      <c r="HP470" s="375"/>
      <c r="HR470" s="385"/>
      <c r="HS470" s="386"/>
      <c r="HT470" s="375"/>
      <c r="HU470" s="375"/>
      <c r="HW470" s="385"/>
      <c r="HX470" s="386"/>
      <c r="HY470" s="375"/>
      <c r="HZ470" s="375"/>
      <c r="IB470" s="385"/>
      <c r="IC470" s="386"/>
      <c r="ID470" s="375"/>
      <c r="IE470" s="375"/>
      <c r="IG470" s="385"/>
      <c r="IH470" s="386"/>
      <c r="II470" s="375"/>
      <c r="IJ470" s="375"/>
      <c r="IL470" s="385"/>
      <c r="IM470" s="386"/>
      <c r="IN470" s="375"/>
      <c r="IO470" s="375"/>
      <c r="IQ470" s="385"/>
      <c r="IR470" s="386"/>
      <c r="IS470" s="375"/>
      <c r="IT470" s="375"/>
      <c r="IV470" s="385"/>
    </row>
    <row r="471" spans="1:256" s="387" customFormat="1" x14ac:dyDescent="0.2">
      <c r="A471" s="385"/>
      <c r="B471" s="386"/>
      <c r="C471" s="375"/>
      <c r="D471" s="375"/>
      <c r="F471" s="385"/>
      <c r="G471" s="386"/>
      <c r="H471" s="375"/>
      <c r="I471" s="375"/>
      <c r="K471" s="385"/>
      <c r="L471" s="386"/>
      <c r="M471" s="375"/>
      <c r="N471" s="375"/>
      <c r="P471" s="385"/>
      <c r="Q471" s="386"/>
      <c r="R471" s="375"/>
      <c r="S471" s="375"/>
      <c r="U471" s="385"/>
      <c r="V471" s="386"/>
      <c r="W471" s="375"/>
      <c r="X471" s="375"/>
      <c r="Z471" s="385"/>
      <c r="AA471" s="386"/>
      <c r="AB471" s="375"/>
      <c r="AC471" s="375"/>
      <c r="AE471" s="385"/>
      <c r="AF471" s="386"/>
      <c r="AG471" s="375"/>
      <c r="AH471" s="375"/>
      <c r="AJ471" s="385"/>
      <c r="AK471" s="386"/>
      <c r="AL471" s="375"/>
      <c r="AM471" s="375"/>
      <c r="AO471" s="385"/>
      <c r="AP471" s="386"/>
      <c r="AQ471" s="375"/>
      <c r="AR471" s="375"/>
      <c r="AT471" s="385"/>
      <c r="AU471" s="386"/>
      <c r="AV471" s="375"/>
      <c r="AW471" s="375"/>
      <c r="AY471" s="385"/>
      <c r="AZ471" s="386"/>
      <c r="BA471" s="375"/>
      <c r="BB471" s="375"/>
      <c r="BD471" s="385"/>
      <c r="BE471" s="386"/>
      <c r="BF471" s="375"/>
      <c r="BG471" s="375"/>
      <c r="BI471" s="385"/>
      <c r="BJ471" s="386"/>
      <c r="BK471" s="375"/>
      <c r="BL471" s="375"/>
      <c r="BN471" s="385"/>
      <c r="BO471" s="386"/>
      <c r="BP471" s="375"/>
      <c r="BQ471" s="375"/>
      <c r="BS471" s="385"/>
      <c r="BT471" s="386"/>
      <c r="BU471" s="375"/>
      <c r="BV471" s="375"/>
      <c r="BX471" s="385"/>
      <c r="BY471" s="386"/>
      <c r="BZ471" s="375"/>
      <c r="CA471" s="375"/>
      <c r="CC471" s="385"/>
      <c r="CD471" s="386"/>
      <c r="CE471" s="375"/>
      <c r="CF471" s="375"/>
      <c r="CH471" s="385"/>
      <c r="CI471" s="386"/>
      <c r="CJ471" s="375"/>
      <c r="CK471" s="375"/>
      <c r="CM471" s="385"/>
      <c r="CN471" s="386"/>
      <c r="CO471" s="375"/>
      <c r="CP471" s="375"/>
      <c r="CR471" s="385"/>
      <c r="CS471" s="386"/>
      <c r="CT471" s="375"/>
      <c r="CU471" s="375"/>
      <c r="CW471" s="385"/>
      <c r="CX471" s="386"/>
      <c r="CY471" s="375"/>
      <c r="CZ471" s="375"/>
      <c r="DB471" s="385"/>
      <c r="DC471" s="386"/>
      <c r="DD471" s="375"/>
      <c r="DE471" s="375"/>
      <c r="DG471" s="385"/>
      <c r="DH471" s="386"/>
      <c r="DI471" s="375"/>
      <c r="DJ471" s="375"/>
      <c r="DL471" s="385"/>
      <c r="DM471" s="386"/>
      <c r="DN471" s="375"/>
      <c r="DO471" s="375"/>
      <c r="DQ471" s="385"/>
      <c r="DR471" s="386"/>
      <c r="DS471" s="375"/>
      <c r="DT471" s="375"/>
      <c r="DV471" s="385"/>
      <c r="DW471" s="386"/>
      <c r="DX471" s="375"/>
      <c r="DY471" s="375"/>
      <c r="EA471" s="385"/>
      <c r="EB471" s="386"/>
      <c r="EC471" s="375"/>
      <c r="ED471" s="375"/>
      <c r="EF471" s="385"/>
      <c r="EG471" s="386"/>
      <c r="EH471" s="375"/>
      <c r="EI471" s="375"/>
      <c r="EK471" s="385"/>
      <c r="EL471" s="386"/>
      <c r="EM471" s="375"/>
      <c r="EN471" s="375"/>
      <c r="EP471" s="385"/>
      <c r="EQ471" s="386"/>
      <c r="ER471" s="375"/>
      <c r="ES471" s="375"/>
      <c r="EU471" s="385"/>
      <c r="EV471" s="386"/>
      <c r="EW471" s="375"/>
      <c r="EX471" s="375"/>
      <c r="EZ471" s="385"/>
      <c r="FA471" s="386"/>
      <c r="FB471" s="375"/>
      <c r="FC471" s="375"/>
      <c r="FE471" s="385"/>
      <c r="FF471" s="386"/>
      <c r="FG471" s="375"/>
      <c r="FH471" s="375"/>
      <c r="FJ471" s="385"/>
      <c r="FK471" s="386"/>
      <c r="FL471" s="375"/>
      <c r="FM471" s="375"/>
      <c r="FO471" s="385"/>
      <c r="FP471" s="386"/>
      <c r="FQ471" s="375"/>
      <c r="FR471" s="375"/>
      <c r="FT471" s="385"/>
      <c r="FU471" s="386"/>
      <c r="FV471" s="375"/>
      <c r="FW471" s="375"/>
      <c r="FY471" s="385"/>
      <c r="FZ471" s="386"/>
      <c r="GA471" s="375"/>
      <c r="GB471" s="375"/>
      <c r="GD471" s="385"/>
      <c r="GE471" s="386"/>
      <c r="GF471" s="375"/>
      <c r="GG471" s="375"/>
      <c r="GI471" s="385"/>
      <c r="GJ471" s="386"/>
      <c r="GK471" s="375"/>
      <c r="GL471" s="375"/>
      <c r="GN471" s="385"/>
      <c r="GO471" s="386"/>
      <c r="GP471" s="375"/>
      <c r="GQ471" s="375"/>
      <c r="GS471" s="385"/>
      <c r="GT471" s="386"/>
      <c r="GU471" s="375"/>
      <c r="GV471" s="375"/>
      <c r="GX471" s="385"/>
      <c r="GY471" s="386"/>
      <c r="GZ471" s="375"/>
      <c r="HA471" s="375"/>
      <c r="HC471" s="385"/>
      <c r="HD471" s="386"/>
      <c r="HE471" s="375"/>
      <c r="HF471" s="375"/>
      <c r="HH471" s="385"/>
      <c r="HI471" s="386"/>
      <c r="HJ471" s="375"/>
      <c r="HK471" s="375"/>
      <c r="HM471" s="385"/>
      <c r="HN471" s="386"/>
      <c r="HO471" s="375"/>
      <c r="HP471" s="375"/>
      <c r="HR471" s="385"/>
      <c r="HS471" s="386"/>
      <c r="HT471" s="375"/>
      <c r="HU471" s="375"/>
      <c r="HW471" s="385"/>
      <c r="HX471" s="386"/>
      <c r="HY471" s="375"/>
      <c r="HZ471" s="375"/>
      <c r="IB471" s="385"/>
      <c r="IC471" s="386"/>
      <c r="ID471" s="375"/>
      <c r="IE471" s="375"/>
      <c r="IG471" s="385"/>
      <c r="IH471" s="386"/>
      <c r="II471" s="375"/>
      <c r="IJ471" s="375"/>
      <c r="IL471" s="385"/>
      <c r="IM471" s="386"/>
      <c r="IN471" s="375"/>
      <c r="IO471" s="375"/>
      <c r="IQ471" s="385"/>
      <c r="IR471" s="386"/>
      <c r="IS471" s="375"/>
      <c r="IT471" s="375"/>
      <c r="IV471" s="385"/>
    </row>
    <row r="472" spans="1:256" s="387" customFormat="1" x14ac:dyDescent="0.2">
      <c r="A472" s="385"/>
      <c r="B472" s="386"/>
      <c r="C472" s="375"/>
      <c r="D472" s="375"/>
      <c r="F472" s="385"/>
      <c r="G472" s="386"/>
      <c r="H472" s="375"/>
      <c r="I472" s="375"/>
      <c r="K472" s="385"/>
      <c r="L472" s="386"/>
      <c r="M472" s="375"/>
      <c r="N472" s="375"/>
      <c r="P472" s="385"/>
      <c r="Q472" s="386"/>
      <c r="R472" s="375"/>
      <c r="S472" s="375"/>
      <c r="U472" s="385"/>
      <c r="V472" s="386"/>
      <c r="W472" s="375"/>
      <c r="X472" s="375"/>
      <c r="Z472" s="385"/>
      <c r="AA472" s="386"/>
      <c r="AB472" s="375"/>
      <c r="AC472" s="375"/>
      <c r="AE472" s="385"/>
      <c r="AF472" s="386"/>
      <c r="AG472" s="375"/>
      <c r="AH472" s="375"/>
      <c r="AJ472" s="385"/>
      <c r="AK472" s="386"/>
      <c r="AL472" s="375"/>
      <c r="AM472" s="375"/>
      <c r="AO472" s="385"/>
      <c r="AP472" s="386"/>
      <c r="AQ472" s="375"/>
      <c r="AR472" s="375"/>
      <c r="AT472" s="385"/>
      <c r="AU472" s="386"/>
      <c r="AV472" s="375"/>
      <c r="AW472" s="375"/>
      <c r="AY472" s="385"/>
      <c r="AZ472" s="386"/>
      <c r="BA472" s="375"/>
      <c r="BB472" s="375"/>
      <c r="BD472" s="385"/>
      <c r="BE472" s="386"/>
      <c r="BF472" s="375"/>
      <c r="BG472" s="375"/>
      <c r="BI472" s="385"/>
      <c r="BJ472" s="386"/>
      <c r="BK472" s="375"/>
      <c r="BL472" s="375"/>
      <c r="BN472" s="385"/>
      <c r="BO472" s="386"/>
      <c r="BP472" s="375"/>
      <c r="BQ472" s="375"/>
      <c r="BS472" s="385"/>
      <c r="BT472" s="386"/>
      <c r="BU472" s="375"/>
      <c r="BV472" s="375"/>
      <c r="BX472" s="385"/>
      <c r="BY472" s="386"/>
      <c r="BZ472" s="375"/>
      <c r="CA472" s="375"/>
      <c r="CC472" s="385"/>
      <c r="CD472" s="386"/>
      <c r="CE472" s="375"/>
      <c r="CF472" s="375"/>
      <c r="CH472" s="385"/>
      <c r="CI472" s="386"/>
      <c r="CJ472" s="375"/>
      <c r="CK472" s="375"/>
      <c r="CM472" s="385"/>
      <c r="CN472" s="386"/>
      <c r="CO472" s="375"/>
      <c r="CP472" s="375"/>
      <c r="CR472" s="385"/>
      <c r="CS472" s="386"/>
      <c r="CT472" s="375"/>
      <c r="CU472" s="375"/>
      <c r="CW472" s="385"/>
      <c r="CX472" s="386"/>
      <c r="CY472" s="375"/>
      <c r="CZ472" s="375"/>
      <c r="DB472" s="385"/>
      <c r="DC472" s="386"/>
      <c r="DD472" s="375"/>
      <c r="DE472" s="375"/>
      <c r="DG472" s="385"/>
      <c r="DH472" s="386"/>
      <c r="DI472" s="375"/>
      <c r="DJ472" s="375"/>
      <c r="DL472" s="385"/>
      <c r="DM472" s="386"/>
      <c r="DN472" s="375"/>
      <c r="DO472" s="375"/>
      <c r="DQ472" s="385"/>
      <c r="DR472" s="386"/>
      <c r="DS472" s="375"/>
      <c r="DT472" s="375"/>
      <c r="DV472" s="385"/>
      <c r="DW472" s="386"/>
      <c r="DX472" s="375"/>
      <c r="DY472" s="375"/>
      <c r="EA472" s="385"/>
      <c r="EB472" s="386"/>
      <c r="EC472" s="375"/>
      <c r="ED472" s="375"/>
      <c r="EF472" s="385"/>
      <c r="EG472" s="386"/>
      <c r="EH472" s="375"/>
      <c r="EI472" s="375"/>
      <c r="EK472" s="385"/>
      <c r="EL472" s="386"/>
      <c r="EM472" s="375"/>
      <c r="EN472" s="375"/>
      <c r="EP472" s="385"/>
      <c r="EQ472" s="386"/>
      <c r="ER472" s="375"/>
      <c r="ES472" s="375"/>
      <c r="EU472" s="385"/>
      <c r="EV472" s="386"/>
      <c r="EW472" s="375"/>
      <c r="EX472" s="375"/>
      <c r="EZ472" s="385"/>
      <c r="FA472" s="386"/>
      <c r="FB472" s="375"/>
      <c r="FC472" s="375"/>
      <c r="FE472" s="385"/>
      <c r="FF472" s="386"/>
      <c r="FG472" s="375"/>
      <c r="FH472" s="375"/>
      <c r="FJ472" s="385"/>
      <c r="FK472" s="386"/>
      <c r="FL472" s="375"/>
      <c r="FM472" s="375"/>
      <c r="FO472" s="385"/>
      <c r="FP472" s="386"/>
      <c r="FQ472" s="375"/>
      <c r="FR472" s="375"/>
      <c r="FT472" s="385"/>
      <c r="FU472" s="386"/>
      <c r="FV472" s="375"/>
      <c r="FW472" s="375"/>
      <c r="FY472" s="385"/>
      <c r="FZ472" s="386"/>
      <c r="GA472" s="375"/>
      <c r="GB472" s="375"/>
      <c r="GD472" s="385"/>
      <c r="GE472" s="386"/>
      <c r="GF472" s="375"/>
      <c r="GG472" s="375"/>
      <c r="GI472" s="385"/>
      <c r="GJ472" s="386"/>
      <c r="GK472" s="375"/>
      <c r="GL472" s="375"/>
      <c r="GN472" s="385"/>
      <c r="GO472" s="386"/>
      <c r="GP472" s="375"/>
      <c r="GQ472" s="375"/>
      <c r="GS472" s="385"/>
      <c r="GT472" s="386"/>
      <c r="GU472" s="375"/>
      <c r="GV472" s="375"/>
      <c r="GX472" s="385"/>
      <c r="GY472" s="386"/>
      <c r="GZ472" s="375"/>
      <c r="HA472" s="375"/>
      <c r="HC472" s="385"/>
      <c r="HD472" s="386"/>
      <c r="HE472" s="375"/>
      <c r="HF472" s="375"/>
      <c r="HH472" s="385"/>
      <c r="HI472" s="386"/>
      <c r="HJ472" s="375"/>
      <c r="HK472" s="375"/>
      <c r="HM472" s="385"/>
      <c r="HN472" s="386"/>
      <c r="HO472" s="375"/>
      <c r="HP472" s="375"/>
      <c r="HR472" s="385"/>
      <c r="HS472" s="386"/>
      <c r="HT472" s="375"/>
      <c r="HU472" s="375"/>
      <c r="HW472" s="385"/>
      <c r="HX472" s="386"/>
      <c r="HY472" s="375"/>
      <c r="HZ472" s="375"/>
      <c r="IB472" s="385"/>
      <c r="IC472" s="386"/>
      <c r="ID472" s="375"/>
      <c r="IE472" s="375"/>
      <c r="IG472" s="385"/>
      <c r="IH472" s="386"/>
      <c r="II472" s="375"/>
      <c r="IJ472" s="375"/>
      <c r="IL472" s="385"/>
      <c r="IM472" s="386"/>
      <c r="IN472" s="375"/>
      <c r="IO472" s="375"/>
      <c r="IQ472" s="385"/>
      <c r="IR472" s="386"/>
      <c r="IS472" s="375"/>
      <c r="IT472" s="375"/>
      <c r="IV472" s="385"/>
    </row>
    <row r="473" spans="1:256" s="387" customFormat="1" x14ac:dyDescent="0.2">
      <c r="A473" s="385"/>
      <c r="B473" s="386"/>
      <c r="C473" s="375"/>
      <c r="D473" s="375"/>
      <c r="F473" s="385"/>
      <c r="G473" s="386"/>
      <c r="H473" s="375"/>
      <c r="I473" s="375"/>
      <c r="K473" s="385"/>
      <c r="L473" s="386"/>
      <c r="M473" s="375"/>
      <c r="N473" s="375"/>
      <c r="P473" s="385"/>
      <c r="Q473" s="386"/>
      <c r="R473" s="375"/>
      <c r="S473" s="375"/>
      <c r="U473" s="385"/>
      <c r="V473" s="386"/>
      <c r="W473" s="375"/>
      <c r="X473" s="375"/>
      <c r="Z473" s="385"/>
      <c r="AA473" s="386"/>
      <c r="AB473" s="375"/>
      <c r="AC473" s="375"/>
      <c r="AE473" s="385"/>
      <c r="AF473" s="386"/>
      <c r="AG473" s="375"/>
      <c r="AH473" s="375"/>
      <c r="AJ473" s="385"/>
      <c r="AK473" s="386"/>
      <c r="AL473" s="375"/>
      <c r="AM473" s="375"/>
      <c r="AO473" s="385"/>
      <c r="AP473" s="386"/>
      <c r="AQ473" s="375"/>
      <c r="AR473" s="375"/>
      <c r="AT473" s="385"/>
      <c r="AU473" s="386"/>
      <c r="AV473" s="375"/>
      <c r="AW473" s="375"/>
      <c r="AY473" s="385"/>
      <c r="AZ473" s="386"/>
      <c r="BA473" s="375"/>
      <c r="BB473" s="375"/>
      <c r="BD473" s="385"/>
      <c r="BE473" s="386"/>
      <c r="BF473" s="375"/>
      <c r="BG473" s="375"/>
      <c r="BI473" s="385"/>
      <c r="BJ473" s="386"/>
      <c r="BK473" s="375"/>
      <c r="BL473" s="375"/>
      <c r="BN473" s="385"/>
      <c r="BO473" s="386"/>
      <c r="BP473" s="375"/>
      <c r="BQ473" s="375"/>
      <c r="BS473" s="385"/>
      <c r="BT473" s="386"/>
      <c r="BU473" s="375"/>
      <c r="BV473" s="375"/>
      <c r="BX473" s="385"/>
      <c r="BY473" s="386"/>
      <c r="BZ473" s="375"/>
      <c r="CA473" s="375"/>
      <c r="CC473" s="385"/>
      <c r="CD473" s="386"/>
      <c r="CE473" s="375"/>
      <c r="CF473" s="375"/>
      <c r="CH473" s="385"/>
      <c r="CI473" s="386"/>
      <c r="CJ473" s="375"/>
      <c r="CK473" s="375"/>
      <c r="CM473" s="385"/>
      <c r="CN473" s="386"/>
      <c r="CO473" s="375"/>
      <c r="CP473" s="375"/>
      <c r="CR473" s="385"/>
      <c r="CS473" s="386"/>
      <c r="CT473" s="375"/>
      <c r="CU473" s="375"/>
      <c r="CW473" s="385"/>
      <c r="CX473" s="386"/>
      <c r="CY473" s="375"/>
      <c r="CZ473" s="375"/>
      <c r="DB473" s="385"/>
      <c r="DC473" s="386"/>
      <c r="DD473" s="375"/>
      <c r="DE473" s="375"/>
      <c r="DG473" s="385"/>
      <c r="DH473" s="386"/>
      <c r="DI473" s="375"/>
      <c r="DJ473" s="375"/>
      <c r="DL473" s="385"/>
      <c r="DM473" s="386"/>
      <c r="DN473" s="375"/>
      <c r="DO473" s="375"/>
      <c r="DQ473" s="385"/>
      <c r="DR473" s="386"/>
      <c r="DS473" s="375"/>
      <c r="DT473" s="375"/>
      <c r="DV473" s="385"/>
      <c r="DW473" s="386"/>
      <c r="DX473" s="375"/>
      <c r="DY473" s="375"/>
      <c r="EA473" s="385"/>
      <c r="EB473" s="386"/>
      <c r="EC473" s="375"/>
      <c r="ED473" s="375"/>
      <c r="EF473" s="385"/>
      <c r="EG473" s="386"/>
      <c r="EH473" s="375"/>
      <c r="EI473" s="375"/>
      <c r="EK473" s="385"/>
      <c r="EL473" s="386"/>
      <c r="EM473" s="375"/>
      <c r="EN473" s="375"/>
      <c r="EP473" s="385"/>
      <c r="EQ473" s="386"/>
      <c r="ER473" s="375"/>
      <c r="ES473" s="375"/>
      <c r="EU473" s="385"/>
      <c r="EV473" s="386"/>
      <c r="EW473" s="375"/>
      <c r="EX473" s="375"/>
      <c r="EZ473" s="385"/>
      <c r="FA473" s="386"/>
      <c r="FB473" s="375"/>
      <c r="FC473" s="375"/>
      <c r="FE473" s="385"/>
      <c r="FF473" s="386"/>
      <c r="FG473" s="375"/>
      <c r="FH473" s="375"/>
      <c r="FJ473" s="385"/>
      <c r="FK473" s="386"/>
      <c r="FL473" s="375"/>
      <c r="FM473" s="375"/>
      <c r="FO473" s="385"/>
      <c r="FP473" s="386"/>
      <c r="FQ473" s="375"/>
      <c r="FR473" s="375"/>
      <c r="FT473" s="385"/>
      <c r="FU473" s="386"/>
      <c r="FV473" s="375"/>
      <c r="FW473" s="375"/>
      <c r="FY473" s="385"/>
      <c r="FZ473" s="386"/>
      <c r="GA473" s="375"/>
      <c r="GB473" s="375"/>
      <c r="GD473" s="385"/>
      <c r="GE473" s="386"/>
      <c r="GF473" s="375"/>
      <c r="GG473" s="375"/>
      <c r="GI473" s="385"/>
      <c r="GJ473" s="386"/>
      <c r="GK473" s="375"/>
      <c r="GL473" s="375"/>
      <c r="GN473" s="385"/>
      <c r="GO473" s="386"/>
      <c r="GP473" s="375"/>
      <c r="GQ473" s="375"/>
      <c r="GS473" s="385"/>
      <c r="GT473" s="386"/>
      <c r="GU473" s="375"/>
      <c r="GV473" s="375"/>
      <c r="GX473" s="385"/>
      <c r="GY473" s="386"/>
      <c r="GZ473" s="375"/>
      <c r="HA473" s="375"/>
      <c r="HC473" s="385"/>
      <c r="HD473" s="386"/>
      <c r="HE473" s="375"/>
      <c r="HF473" s="375"/>
      <c r="HH473" s="385"/>
      <c r="HI473" s="386"/>
      <c r="HJ473" s="375"/>
      <c r="HK473" s="375"/>
      <c r="HM473" s="385"/>
      <c r="HN473" s="386"/>
      <c r="HO473" s="375"/>
      <c r="HP473" s="375"/>
      <c r="HR473" s="385"/>
      <c r="HS473" s="386"/>
      <c r="HT473" s="375"/>
      <c r="HU473" s="375"/>
      <c r="HW473" s="385"/>
      <c r="HX473" s="386"/>
      <c r="HY473" s="375"/>
      <c r="HZ473" s="375"/>
      <c r="IB473" s="385"/>
      <c r="IC473" s="386"/>
      <c r="ID473" s="375"/>
      <c r="IE473" s="375"/>
      <c r="IG473" s="385"/>
      <c r="IH473" s="386"/>
      <c r="II473" s="375"/>
      <c r="IJ473" s="375"/>
      <c r="IL473" s="385"/>
      <c r="IM473" s="386"/>
      <c r="IN473" s="375"/>
      <c r="IO473" s="375"/>
      <c r="IQ473" s="385"/>
      <c r="IR473" s="386"/>
      <c r="IS473" s="375"/>
      <c r="IT473" s="375"/>
      <c r="IV473" s="385"/>
    </row>
    <row r="474" spans="1:256" s="387" customFormat="1" x14ac:dyDescent="0.2">
      <c r="A474" s="385"/>
      <c r="B474" s="386"/>
      <c r="C474" s="375"/>
      <c r="D474" s="375"/>
      <c r="F474" s="385"/>
      <c r="G474" s="386"/>
      <c r="H474" s="375"/>
      <c r="I474" s="375"/>
      <c r="K474" s="385"/>
      <c r="L474" s="386"/>
      <c r="M474" s="375"/>
      <c r="N474" s="375"/>
      <c r="P474" s="385"/>
      <c r="Q474" s="386"/>
      <c r="R474" s="375"/>
      <c r="S474" s="375"/>
      <c r="U474" s="385"/>
      <c r="V474" s="386"/>
      <c r="W474" s="375"/>
      <c r="X474" s="375"/>
      <c r="Z474" s="385"/>
      <c r="AA474" s="386"/>
      <c r="AB474" s="375"/>
      <c r="AC474" s="375"/>
      <c r="AE474" s="385"/>
      <c r="AF474" s="386"/>
      <c r="AG474" s="375"/>
      <c r="AH474" s="375"/>
      <c r="AJ474" s="385"/>
      <c r="AK474" s="386"/>
      <c r="AL474" s="375"/>
      <c r="AM474" s="375"/>
      <c r="AO474" s="385"/>
      <c r="AP474" s="386"/>
      <c r="AQ474" s="375"/>
      <c r="AR474" s="375"/>
      <c r="AT474" s="385"/>
      <c r="AU474" s="386"/>
      <c r="AV474" s="375"/>
      <c r="AW474" s="375"/>
      <c r="AY474" s="385"/>
      <c r="AZ474" s="386"/>
      <c r="BA474" s="375"/>
      <c r="BB474" s="375"/>
      <c r="BD474" s="385"/>
      <c r="BE474" s="386"/>
      <c r="BF474" s="375"/>
      <c r="BG474" s="375"/>
      <c r="BI474" s="385"/>
      <c r="BJ474" s="386"/>
      <c r="BK474" s="375"/>
      <c r="BL474" s="375"/>
      <c r="BN474" s="385"/>
      <c r="BO474" s="386"/>
      <c r="BP474" s="375"/>
      <c r="BQ474" s="375"/>
      <c r="BS474" s="385"/>
      <c r="BT474" s="386"/>
      <c r="BU474" s="375"/>
      <c r="BV474" s="375"/>
      <c r="BX474" s="385"/>
      <c r="BY474" s="386"/>
      <c r="BZ474" s="375"/>
      <c r="CA474" s="375"/>
      <c r="CC474" s="385"/>
      <c r="CD474" s="386"/>
      <c r="CE474" s="375"/>
      <c r="CF474" s="375"/>
      <c r="CH474" s="385"/>
      <c r="CI474" s="386"/>
      <c r="CJ474" s="375"/>
      <c r="CK474" s="375"/>
      <c r="CM474" s="385"/>
      <c r="CN474" s="386"/>
      <c r="CO474" s="375"/>
      <c r="CP474" s="375"/>
      <c r="CR474" s="385"/>
      <c r="CS474" s="386"/>
      <c r="CT474" s="375"/>
      <c r="CU474" s="375"/>
      <c r="CW474" s="385"/>
      <c r="CX474" s="386"/>
      <c r="CY474" s="375"/>
      <c r="CZ474" s="375"/>
      <c r="DB474" s="385"/>
      <c r="DC474" s="386"/>
      <c r="DD474" s="375"/>
      <c r="DE474" s="375"/>
      <c r="DG474" s="385"/>
      <c r="DH474" s="386"/>
      <c r="DI474" s="375"/>
      <c r="DJ474" s="375"/>
      <c r="DL474" s="385"/>
      <c r="DM474" s="386"/>
      <c r="DN474" s="375"/>
      <c r="DO474" s="375"/>
      <c r="DQ474" s="385"/>
      <c r="DR474" s="386"/>
      <c r="DS474" s="375"/>
      <c r="DT474" s="375"/>
      <c r="DV474" s="385"/>
      <c r="DW474" s="386"/>
      <c r="DX474" s="375"/>
      <c r="DY474" s="375"/>
      <c r="EA474" s="385"/>
      <c r="EB474" s="386"/>
      <c r="EC474" s="375"/>
      <c r="ED474" s="375"/>
      <c r="EF474" s="385"/>
      <c r="EG474" s="386"/>
      <c r="EH474" s="375"/>
      <c r="EI474" s="375"/>
      <c r="EK474" s="385"/>
      <c r="EL474" s="386"/>
      <c r="EM474" s="375"/>
      <c r="EN474" s="375"/>
      <c r="EP474" s="385"/>
      <c r="EQ474" s="386"/>
      <c r="ER474" s="375"/>
      <c r="ES474" s="375"/>
      <c r="EU474" s="385"/>
      <c r="EV474" s="386"/>
      <c r="EW474" s="375"/>
      <c r="EX474" s="375"/>
      <c r="EZ474" s="385"/>
      <c r="FA474" s="386"/>
      <c r="FB474" s="375"/>
      <c r="FC474" s="375"/>
      <c r="FE474" s="385"/>
      <c r="FF474" s="386"/>
      <c r="FG474" s="375"/>
      <c r="FH474" s="375"/>
      <c r="FJ474" s="385"/>
      <c r="FK474" s="386"/>
      <c r="FL474" s="375"/>
      <c r="FM474" s="375"/>
      <c r="FO474" s="385"/>
      <c r="FP474" s="386"/>
      <c r="FQ474" s="375"/>
      <c r="FR474" s="375"/>
      <c r="FT474" s="385"/>
      <c r="FU474" s="386"/>
      <c r="FV474" s="375"/>
      <c r="FW474" s="375"/>
      <c r="FY474" s="385"/>
      <c r="FZ474" s="386"/>
      <c r="GA474" s="375"/>
      <c r="GB474" s="375"/>
      <c r="GD474" s="385"/>
      <c r="GE474" s="386"/>
      <c r="GF474" s="375"/>
      <c r="GG474" s="375"/>
      <c r="GI474" s="385"/>
      <c r="GJ474" s="386"/>
      <c r="GK474" s="375"/>
      <c r="GL474" s="375"/>
      <c r="GN474" s="385"/>
      <c r="GO474" s="386"/>
      <c r="GP474" s="375"/>
      <c r="GQ474" s="375"/>
      <c r="GS474" s="385"/>
      <c r="GT474" s="386"/>
      <c r="GU474" s="375"/>
      <c r="GV474" s="375"/>
      <c r="GX474" s="385"/>
      <c r="GY474" s="386"/>
      <c r="GZ474" s="375"/>
      <c r="HA474" s="375"/>
      <c r="HC474" s="385"/>
      <c r="HD474" s="386"/>
      <c r="HE474" s="375"/>
      <c r="HF474" s="375"/>
      <c r="HH474" s="385"/>
      <c r="HI474" s="386"/>
      <c r="HJ474" s="375"/>
      <c r="HK474" s="375"/>
      <c r="HM474" s="385"/>
      <c r="HN474" s="386"/>
      <c r="HO474" s="375"/>
      <c r="HP474" s="375"/>
      <c r="HR474" s="385"/>
      <c r="HS474" s="386"/>
      <c r="HT474" s="375"/>
      <c r="HU474" s="375"/>
      <c r="HW474" s="385"/>
      <c r="HX474" s="386"/>
      <c r="HY474" s="375"/>
      <c r="HZ474" s="375"/>
      <c r="IB474" s="385"/>
      <c r="IC474" s="386"/>
      <c r="ID474" s="375"/>
      <c r="IE474" s="375"/>
      <c r="IG474" s="385"/>
      <c r="IH474" s="386"/>
      <c r="II474" s="375"/>
      <c r="IJ474" s="375"/>
      <c r="IL474" s="385"/>
      <c r="IM474" s="386"/>
      <c r="IN474" s="375"/>
      <c r="IO474" s="375"/>
      <c r="IQ474" s="385"/>
      <c r="IR474" s="386"/>
      <c r="IS474" s="375"/>
      <c r="IT474" s="375"/>
      <c r="IV474" s="385"/>
    </row>
    <row r="475" spans="1:256" s="387" customFormat="1" x14ac:dyDescent="0.2">
      <c r="A475" s="385"/>
      <c r="B475" s="386"/>
      <c r="C475" s="375"/>
      <c r="D475" s="375"/>
      <c r="F475" s="385"/>
      <c r="G475" s="386"/>
      <c r="H475" s="375"/>
      <c r="I475" s="375"/>
      <c r="K475" s="385"/>
      <c r="L475" s="386"/>
      <c r="M475" s="375"/>
      <c r="N475" s="375"/>
      <c r="P475" s="385"/>
      <c r="Q475" s="386"/>
      <c r="R475" s="375"/>
      <c r="S475" s="375"/>
      <c r="U475" s="385"/>
      <c r="V475" s="386"/>
      <c r="W475" s="375"/>
      <c r="X475" s="375"/>
      <c r="Z475" s="385"/>
      <c r="AA475" s="386"/>
      <c r="AB475" s="375"/>
      <c r="AC475" s="375"/>
      <c r="AE475" s="385"/>
      <c r="AF475" s="386"/>
      <c r="AG475" s="375"/>
      <c r="AH475" s="375"/>
      <c r="AJ475" s="385"/>
      <c r="AK475" s="386"/>
      <c r="AL475" s="375"/>
      <c r="AM475" s="375"/>
      <c r="AO475" s="385"/>
      <c r="AP475" s="386"/>
      <c r="AQ475" s="375"/>
      <c r="AR475" s="375"/>
      <c r="AT475" s="385"/>
      <c r="AU475" s="386"/>
      <c r="AV475" s="375"/>
      <c r="AW475" s="375"/>
      <c r="AY475" s="385"/>
      <c r="AZ475" s="386"/>
      <c r="BA475" s="375"/>
      <c r="BB475" s="375"/>
      <c r="BD475" s="385"/>
      <c r="BE475" s="386"/>
      <c r="BF475" s="375"/>
      <c r="BG475" s="375"/>
      <c r="BI475" s="385"/>
      <c r="BJ475" s="386"/>
      <c r="BK475" s="375"/>
      <c r="BL475" s="375"/>
      <c r="BN475" s="385"/>
      <c r="BO475" s="386"/>
      <c r="BP475" s="375"/>
      <c r="BQ475" s="375"/>
      <c r="BS475" s="385"/>
      <c r="BT475" s="386"/>
      <c r="BU475" s="375"/>
      <c r="BV475" s="375"/>
      <c r="BX475" s="385"/>
      <c r="BY475" s="386"/>
      <c r="BZ475" s="375"/>
      <c r="CA475" s="375"/>
      <c r="CC475" s="385"/>
      <c r="CD475" s="386"/>
      <c r="CE475" s="375"/>
      <c r="CF475" s="375"/>
      <c r="CH475" s="385"/>
      <c r="CI475" s="386"/>
      <c r="CJ475" s="375"/>
      <c r="CK475" s="375"/>
      <c r="CM475" s="385"/>
      <c r="CN475" s="386"/>
      <c r="CO475" s="375"/>
      <c r="CP475" s="375"/>
      <c r="CR475" s="385"/>
      <c r="CS475" s="386"/>
      <c r="CT475" s="375"/>
      <c r="CU475" s="375"/>
      <c r="CW475" s="385"/>
      <c r="CX475" s="386"/>
      <c r="CY475" s="375"/>
      <c r="CZ475" s="375"/>
      <c r="DB475" s="385"/>
      <c r="DC475" s="386"/>
      <c r="DD475" s="375"/>
      <c r="DE475" s="375"/>
      <c r="DG475" s="385"/>
      <c r="DH475" s="386"/>
      <c r="DI475" s="375"/>
      <c r="DJ475" s="375"/>
      <c r="DL475" s="385"/>
      <c r="DM475" s="386"/>
      <c r="DN475" s="375"/>
      <c r="DO475" s="375"/>
      <c r="DQ475" s="385"/>
      <c r="DR475" s="386"/>
      <c r="DS475" s="375"/>
      <c r="DT475" s="375"/>
      <c r="DV475" s="385"/>
      <c r="DW475" s="386"/>
      <c r="DX475" s="375"/>
      <c r="DY475" s="375"/>
      <c r="EA475" s="385"/>
      <c r="EB475" s="386"/>
      <c r="EC475" s="375"/>
      <c r="ED475" s="375"/>
      <c r="EF475" s="385"/>
      <c r="EG475" s="386"/>
      <c r="EH475" s="375"/>
      <c r="EI475" s="375"/>
      <c r="EK475" s="385"/>
      <c r="EL475" s="386"/>
      <c r="EM475" s="375"/>
      <c r="EN475" s="375"/>
      <c r="EP475" s="385"/>
      <c r="EQ475" s="386"/>
      <c r="ER475" s="375"/>
      <c r="ES475" s="375"/>
      <c r="EU475" s="385"/>
      <c r="EV475" s="386"/>
      <c r="EW475" s="375"/>
      <c r="EX475" s="375"/>
      <c r="EZ475" s="385"/>
      <c r="FA475" s="386"/>
      <c r="FB475" s="375"/>
      <c r="FC475" s="375"/>
      <c r="FE475" s="385"/>
      <c r="FF475" s="386"/>
      <c r="FG475" s="375"/>
      <c r="FH475" s="375"/>
      <c r="FJ475" s="385"/>
      <c r="FK475" s="386"/>
      <c r="FL475" s="375"/>
      <c r="FM475" s="375"/>
      <c r="FO475" s="385"/>
      <c r="FP475" s="386"/>
      <c r="FQ475" s="375"/>
      <c r="FR475" s="375"/>
      <c r="FT475" s="385"/>
      <c r="FU475" s="386"/>
      <c r="FV475" s="375"/>
      <c r="FW475" s="375"/>
      <c r="FY475" s="385"/>
      <c r="FZ475" s="386"/>
      <c r="GA475" s="375"/>
      <c r="GB475" s="375"/>
      <c r="GD475" s="385"/>
      <c r="GE475" s="386"/>
      <c r="GF475" s="375"/>
      <c r="GG475" s="375"/>
      <c r="GI475" s="385"/>
      <c r="GJ475" s="386"/>
      <c r="GK475" s="375"/>
      <c r="GL475" s="375"/>
      <c r="GN475" s="385"/>
      <c r="GO475" s="386"/>
      <c r="GP475" s="375"/>
      <c r="GQ475" s="375"/>
      <c r="GS475" s="385"/>
      <c r="GT475" s="386"/>
      <c r="GU475" s="375"/>
      <c r="GV475" s="375"/>
      <c r="GX475" s="385"/>
      <c r="GY475" s="386"/>
      <c r="GZ475" s="375"/>
      <c r="HA475" s="375"/>
      <c r="HC475" s="385"/>
      <c r="HD475" s="386"/>
      <c r="HE475" s="375"/>
      <c r="HF475" s="375"/>
      <c r="HH475" s="385"/>
      <c r="HI475" s="386"/>
      <c r="HJ475" s="375"/>
      <c r="HK475" s="375"/>
      <c r="HM475" s="385"/>
      <c r="HN475" s="386"/>
      <c r="HO475" s="375"/>
      <c r="HP475" s="375"/>
      <c r="HR475" s="385"/>
      <c r="HS475" s="386"/>
      <c r="HT475" s="375"/>
      <c r="HU475" s="375"/>
      <c r="HW475" s="385"/>
      <c r="HX475" s="386"/>
      <c r="HY475" s="375"/>
      <c r="HZ475" s="375"/>
      <c r="IB475" s="385"/>
      <c r="IC475" s="386"/>
      <c r="ID475" s="375"/>
      <c r="IE475" s="375"/>
      <c r="IG475" s="385"/>
      <c r="IH475" s="386"/>
      <c r="II475" s="375"/>
      <c r="IJ475" s="375"/>
      <c r="IL475" s="385"/>
      <c r="IM475" s="386"/>
      <c r="IN475" s="375"/>
      <c r="IO475" s="375"/>
      <c r="IQ475" s="385"/>
      <c r="IR475" s="386"/>
      <c r="IS475" s="375"/>
      <c r="IT475" s="375"/>
      <c r="IV475" s="385"/>
    </row>
    <row r="476" spans="1:256" s="387" customFormat="1" x14ac:dyDescent="0.2">
      <c r="A476" s="385"/>
      <c r="B476" s="386"/>
      <c r="C476" s="375"/>
      <c r="D476" s="375"/>
      <c r="F476" s="385"/>
      <c r="G476" s="386"/>
      <c r="H476" s="375"/>
      <c r="I476" s="375"/>
      <c r="K476" s="385"/>
      <c r="L476" s="386"/>
      <c r="M476" s="375"/>
      <c r="N476" s="375"/>
      <c r="P476" s="385"/>
      <c r="Q476" s="386"/>
      <c r="R476" s="375"/>
      <c r="S476" s="375"/>
      <c r="U476" s="385"/>
      <c r="V476" s="386"/>
      <c r="W476" s="375"/>
      <c r="X476" s="375"/>
      <c r="Z476" s="385"/>
      <c r="AA476" s="386"/>
      <c r="AB476" s="375"/>
      <c r="AC476" s="375"/>
      <c r="AE476" s="385"/>
      <c r="AF476" s="386"/>
      <c r="AG476" s="375"/>
      <c r="AH476" s="375"/>
      <c r="AJ476" s="385"/>
      <c r="AK476" s="386"/>
      <c r="AL476" s="375"/>
      <c r="AM476" s="375"/>
      <c r="AO476" s="385"/>
      <c r="AP476" s="386"/>
      <c r="AQ476" s="375"/>
      <c r="AR476" s="375"/>
      <c r="AT476" s="385"/>
      <c r="AU476" s="386"/>
      <c r="AV476" s="375"/>
      <c r="AW476" s="375"/>
      <c r="AY476" s="385"/>
      <c r="AZ476" s="386"/>
      <c r="BA476" s="375"/>
      <c r="BB476" s="375"/>
      <c r="BD476" s="385"/>
      <c r="BE476" s="386"/>
      <c r="BF476" s="375"/>
      <c r="BG476" s="375"/>
      <c r="BI476" s="385"/>
      <c r="BJ476" s="386"/>
      <c r="BK476" s="375"/>
      <c r="BL476" s="375"/>
      <c r="BN476" s="385"/>
      <c r="BO476" s="386"/>
      <c r="BP476" s="375"/>
      <c r="BQ476" s="375"/>
      <c r="BS476" s="385"/>
      <c r="BT476" s="386"/>
      <c r="BU476" s="375"/>
      <c r="BV476" s="375"/>
      <c r="BX476" s="385"/>
      <c r="BY476" s="386"/>
      <c r="BZ476" s="375"/>
      <c r="CA476" s="375"/>
      <c r="CC476" s="385"/>
      <c r="CD476" s="386"/>
      <c r="CE476" s="375"/>
      <c r="CF476" s="375"/>
      <c r="CH476" s="385"/>
      <c r="CI476" s="386"/>
      <c r="CJ476" s="375"/>
      <c r="CK476" s="375"/>
      <c r="CM476" s="385"/>
      <c r="CN476" s="386"/>
      <c r="CO476" s="375"/>
      <c r="CP476" s="375"/>
      <c r="CR476" s="385"/>
      <c r="CS476" s="386"/>
      <c r="CT476" s="375"/>
      <c r="CU476" s="375"/>
      <c r="CW476" s="385"/>
      <c r="CX476" s="386"/>
      <c r="CY476" s="375"/>
      <c r="CZ476" s="375"/>
      <c r="DB476" s="385"/>
      <c r="DC476" s="386"/>
      <c r="DD476" s="375"/>
      <c r="DE476" s="375"/>
      <c r="DG476" s="385"/>
      <c r="DH476" s="386"/>
      <c r="DI476" s="375"/>
      <c r="DJ476" s="375"/>
      <c r="DL476" s="385"/>
      <c r="DM476" s="386"/>
      <c r="DN476" s="375"/>
      <c r="DO476" s="375"/>
      <c r="DQ476" s="385"/>
      <c r="DR476" s="386"/>
      <c r="DS476" s="375"/>
      <c r="DT476" s="375"/>
      <c r="DV476" s="385"/>
      <c r="DW476" s="386"/>
      <c r="DX476" s="375"/>
      <c r="DY476" s="375"/>
      <c r="EA476" s="385"/>
      <c r="EB476" s="386"/>
      <c r="EC476" s="375"/>
      <c r="ED476" s="375"/>
      <c r="EF476" s="385"/>
      <c r="EG476" s="386"/>
      <c r="EH476" s="375"/>
      <c r="EI476" s="375"/>
      <c r="EK476" s="385"/>
      <c r="EL476" s="386"/>
      <c r="EM476" s="375"/>
      <c r="EN476" s="375"/>
      <c r="EP476" s="385"/>
      <c r="EQ476" s="386"/>
      <c r="ER476" s="375"/>
      <c r="ES476" s="375"/>
      <c r="EU476" s="385"/>
      <c r="EV476" s="386"/>
      <c r="EW476" s="375"/>
      <c r="EX476" s="375"/>
      <c r="EZ476" s="385"/>
      <c r="FA476" s="386"/>
      <c r="FB476" s="375"/>
      <c r="FC476" s="375"/>
      <c r="FE476" s="385"/>
      <c r="FF476" s="386"/>
      <c r="FG476" s="375"/>
      <c r="FH476" s="375"/>
      <c r="FJ476" s="385"/>
      <c r="FK476" s="386"/>
      <c r="FL476" s="375"/>
      <c r="FM476" s="375"/>
      <c r="FO476" s="385"/>
      <c r="FP476" s="386"/>
      <c r="FQ476" s="375"/>
      <c r="FR476" s="375"/>
      <c r="FT476" s="385"/>
      <c r="FU476" s="386"/>
      <c r="FV476" s="375"/>
      <c r="FW476" s="375"/>
      <c r="FY476" s="385"/>
      <c r="FZ476" s="386"/>
      <c r="GA476" s="375"/>
      <c r="GB476" s="375"/>
      <c r="GD476" s="385"/>
      <c r="GE476" s="386"/>
      <c r="GF476" s="375"/>
      <c r="GG476" s="375"/>
      <c r="GI476" s="385"/>
      <c r="GJ476" s="386"/>
      <c r="GK476" s="375"/>
      <c r="GL476" s="375"/>
      <c r="GN476" s="385"/>
      <c r="GO476" s="386"/>
      <c r="GP476" s="375"/>
      <c r="GQ476" s="375"/>
      <c r="GS476" s="385"/>
      <c r="GT476" s="386"/>
      <c r="GU476" s="375"/>
      <c r="GV476" s="375"/>
      <c r="GX476" s="385"/>
      <c r="GY476" s="386"/>
      <c r="GZ476" s="375"/>
      <c r="HA476" s="375"/>
      <c r="HC476" s="385"/>
      <c r="HD476" s="386"/>
      <c r="HE476" s="375"/>
      <c r="HF476" s="375"/>
      <c r="HH476" s="385"/>
      <c r="HI476" s="386"/>
      <c r="HJ476" s="375"/>
      <c r="HK476" s="375"/>
      <c r="HM476" s="385"/>
      <c r="HN476" s="386"/>
      <c r="HO476" s="375"/>
      <c r="HP476" s="375"/>
      <c r="HR476" s="385"/>
      <c r="HS476" s="386"/>
      <c r="HT476" s="375"/>
      <c r="HU476" s="375"/>
      <c r="HW476" s="385"/>
      <c r="HX476" s="386"/>
      <c r="HY476" s="375"/>
      <c r="HZ476" s="375"/>
      <c r="IB476" s="385"/>
      <c r="IC476" s="386"/>
      <c r="ID476" s="375"/>
      <c r="IE476" s="375"/>
      <c r="IG476" s="385"/>
      <c r="IH476" s="386"/>
      <c r="II476" s="375"/>
      <c r="IJ476" s="375"/>
      <c r="IL476" s="385"/>
      <c r="IM476" s="386"/>
      <c r="IN476" s="375"/>
      <c r="IO476" s="375"/>
      <c r="IQ476" s="385"/>
      <c r="IR476" s="386"/>
      <c r="IS476" s="375"/>
      <c r="IT476" s="375"/>
      <c r="IV476" s="385"/>
    </row>
    <row r="477" spans="1:256" s="387" customFormat="1" x14ac:dyDescent="0.2">
      <c r="A477" s="385"/>
      <c r="B477" s="386"/>
      <c r="C477" s="375"/>
      <c r="D477" s="375"/>
      <c r="F477" s="385"/>
      <c r="G477" s="386"/>
      <c r="H477" s="375"/>
      <c r="I477" s="375"/>
      <c r="K477" s="385"/>
      <c r="L477" s="386"/>
      <c r="M477" s="375"/>
      <c r="N477" s="375"/>
      <c r="P477" s="385"/>
      <c r="Q477" s="386"/>
      <c r="R477" s="375"/>
      <c r="S477" s="375"/>
      <c r="U477" s="385"/>
      <c r="V477" s="386"/>
      <c r="W477" s="375"/>
      <c r="X477" s="375"/>
      <c r="Z477" s="385"/>
      <c r="AA477" s="386"/>
      <c r="AB477" s="375"/>
      <c r="AC477" s="375"/>
      <c r="AE477" s="385"/>
      <c r="AF477" s="386"/>
      <c r="AG477" s="375"/>
      <c r="AH477" s="375"/>
      <c r="AJ477" s="385"/>
      <c r="AK477" s="386"/>
      <c r="AL477" s="375"/>
      <c r="AM477" s="375"/>
      <c r="AO477" s="385"/>
      <c r="AP477" s="386"/>
      <c r="AQ477" s="375"/>
      <c r="AR477" s="375"/>
      <c r="AT477" s="385"/>
      <c r="AU477" s="386"/>
      <c r="AV477" s="375"/>
      <c r="AW477" s="375"/>
      <c r="AY477" s="385"/>
      <c r="AZ477" s="386"/>
      <c r="BA477" s="375"/>
      <c r="BB477" s="375"/>
      <c r="BD477" s="385"/>
      <c r="BE477" s="386"/>
      <c r="BF477" s="375"/>
      <c r="BG477" s="375"/>
      <c r="BI477" s="385"/>
      <c r="BJ477" s="386"/>
      <c r="BK477" s="375"/>
      <c r="BL477" s="375"/>
      <c r="BN477" s="385"/>
      <c r="BO477" s="386"/>
      <c r="BP477" s="375"/>
      <c r="BQ477" s="375"/>
      <c r="BS477" s="385"/>
      <c r="BT477" s="386"/>
      <c r="BU477" s="375"/>
      <c r="BV477" s="375"/>
      <c r="BX477" s="385"/>
      <c r="BY477" s="386"/>
      <c r="BZ477" s="375"/>
      <c r="CA477" s="375"/>
      <c r="CC477" s="385"/>
      <c r="CD477" s="386"/>
      <c r="CE477" s="375"/>
      <c r="CF477" s="375"/>
      <c r="CH477" s="385"/>
      <c r="CI477" s="386"/>
      <c r="CJ477" s="375"/>
      <c r="CK477" s="375"/>
      <c r="CM477" s="385"/>
      <c r="CN477" s="386"/>
      <c r="CO477" s="375"/>
      <c r="CP477" s="375"/>
      <c r="CR477" s="385"/>
      <c r="CS477" s="386"/>
      <c r="CT477" s="375"/>
      <c r="CU477" s="375"/>
      <c r="CW477" s="385"/>
      <c r="CX477" s="386"/>
      <c r="CY477" s="375"/>
      <c r="CZ477" s="375"/>
      <c r="DB477" s="385"/>
      <c r="DC477" s="386"/>
      <c r="DD477" s="375"/>
      <c r="DE477" s="375"/>
      <c r="DG477" s="385"/>
      <c r="DH477" s="386"/>
      <c r="DI477" s="375"/>
      <c r="DJ477" s="375"/>
      <c r="DL477" s="385"/>
      <c r="DM477" s="386"/>
      <c r="DN477" s="375"/>
      <c r="DO477" s="375"/>
      <c r="DQ477" s="385"/>
      <c r="DR477" s="386"/>
      <c r="DS477" s="375"/>
      <c r="DT477" s="375"/>
      <c r="DV477" s="385"/>
      <c r="DW477" s="386"/>
      <c r="DX477" s="375"/>
      <c r="DY477" s="375"/>
      <c r="EA477" s="385"/>
      <c r="EB477" s="386"/>
      <c r="EC477" s="375"/>
      <c r="ED477" s="375"/>
      <c r="EF477" s="385"/>
      <c r="EG477" s="386"/>
      <c r="EH477" s="375"/>
      <c r="EI477" s="375"/>
      <c r="EK477" s="385"/>
      <c r="EL477" s="386"/>
      <c r="EM477" s="375"/>
      <c r="EN477" s="375"/>
      <c r="EP477" s="385"/>
      <c r="EQ477" s="386"/>
      <c r="ER477" s="375"/>
      <c r="ES477" s="375"/>
      <c r="EU477" s="385"/>
      <c r="EV477" s="386"/>
      <c r="EW477" s="375"/>
      <c r="EX477" s="375"/>
      <c r="EZ477" s="385"/>
      <c r="FA477" s="386"/>
      <c r="FB477" s="375"/>
      <c r="FC477" s="375"/>
      <c r="FE477" s="385"/>
      <c r="FF477" s="386"/>
      <c r="FG477" s="375"/>
      <c r="FH477" s="375"/>
      <c r="FJ477" s="385"/>
      <c r="FK477" s="386"/>
      <c r="FL477" s="375"/>
      <c r="FM477" s="375"/>
      <c r="FO477" s="385"/>
      <c r="FP477" s="386"/>
      <c r="FQ477" s="375"/>
      <c r="FR477" s="375"/>
      <c r="FT477" s="385"/>
      <c r="FU477" s="386"/>
      <c r="FV477" s="375"/>
      <c r="FW477" s="375"/>
      <c r="FY477" s="385"/>
      <c r="FZ477" s="386"/>
      <c r="GA477" s="375"/>
      <c r="GB477" s="375"/>
      <c r="GD477" s="385"/>
      <c r="GE477" s="386"/>
      <c r="GF477" s="375"/>
      <c r="GG477" s="375"/>
      <c r="GI477" s="385"/>
      <c r="GJ477" s="386"/>
      <c r="GK477" s="375"/>
      <c r="GL477" s="375"/>
      <c r="GN477" s="385"/>
      <c r="GO477" s="386"/>
      <c r="GP477" s="375"/>
      <c r="GQ477" s="375"/>
      <c r="GS477" s="385"/>
      <c r="GT477" s="386"/>
      <c r="GU477" s="375"/>
      <c r="GV477" s="375"/>
      <c r="GX477" s="385"/>
      <c r="GY477" s="386"/>
      <c r="GZ477" s="375"/>
      <c r="HA477" s="375"/>
      <c r="HC477" s="385"/>
      <c r="HD477" s="386"/>
      <c r="HE477" s="375"/>
      <c r="HF477" s="375"/>
      <c r="HH477" s="385"/>
      <c r="HI477" s="386"/>
      <c r="HJ477" s="375"/>
      <c r="HK477" s="375"/>
      <c r="HM477" s="385"/>
      <c r="HN477" s="386"/>
      <c r="HO477" s="375"/>
      <c r="HP477" s="375"/>
      <c r="HR477" s="385"/>
      <c r="HS477" s="386"/>
      <c r="HT477" s="375"/>
      <c r="HU477" s="375"/>
      <c r="HW477" s="385"/>
      <c r="HX477" s="386"/>
      <c r="HY477" s="375"/>
      <c r="HZ477" s="375"/>
      <c r="IB477" s="385"/>
      <c r="IC477" s="386"/>
      <c r="ID477" s="375"/>
      <c r="IE477" s="375"/>
      <c r="IG477" s="385"/>
      <c r="IH477" s="386"/>
      <c r="II477" s="375"/>
      <c r="IJ477" s="375"/>
      <c r="IL477" s="385"/>
      <c r="IM477" s="386"/>
      <c r="IN477" s="375"/>
      <c r="IO477" s="375"/>
      <c r="IQ477" s="385"/>
      <c r="IR477" s="386"/>
      <c r="IS477" s="375"/>
      <c r="IT477" s="375"/>
      <c r="IV477" s="385"/>
    </row>
    <row r="478" spans="1:256" s="387" customFormat="1" x14ac:dyDescent="0.2">
      <c r="A478" s="385"/>
      <c r="B478" s="386"/>
      <c r="C478" s="375"/>
      <c r="D478" s="375"/>
      <c r="F478" s="385"/>
      <c r="G478" s="386"/>
      <c r="H478" s="375"/>
      <c r="I478" s="375"/>
      <c r="K478" s="385"/>
      <c r="L478" s="386"/>
      <c r="M478" s="375"/>
      <c r="N478" s="375"/>
      <c r="P478" s="385"/>
      <c r="Q478" s="386"/>
      <c r="R478" s="375"/>
      <c r="S478" s="375"/>
      <c r="U478" s="385"/>
      <c r="V478" s="386"/>
      <c r="W478" s="375"/>
      <c r="X478" s="375"/>
      <c r="Z478" s="385"/>
      <c r="AA478" s="386"/>
      <c r="AB478" s="375"/>
      <c r="AC478" s="375"/>
      <c r="AE478" s="385"/>
      <c r="AF478" s="386"/>
      <c r="AG478" s="375"/>
      <c r="AH478" s="375"/>
      <c r="AJ478" s="385"/>
      <c r="AK478" s="386"/>
      <c r="AL478" s="375"/>
      <c r="AM478" s="375"/>
      <c r="AO478" s="385"/>
      <c r="AP478" s="386"/>
      <c r="AQ478" s="375"/>
      <c r="AR478" s="375"/>
      <c r="AT478" s="385"/>
      <c r="AU478" s="386"/>
      <c r="AV478" s="375"/>
      <c r="AW478" s="375"/>
      <c r="AY478" s="385"/>
      <c r="AZ478" s="386"/>
      <c r="BA478" s="375"/>
      <c r="BB478" s="375"/>
      <c r="BD478" s="385"/>
      <c r="BE478" s="386"/>
      <c r="BF478" s="375"/>
      <c r="BG478" s="375"/>
      <c r="BI478" s="385"/>
      <c r="BJ478" s="386"/>
      <c r="BK478" s="375"/>
      <c r="BL478" s="375"/>
      <c r="BN478" s="385"/>
      <c r="BO478" s="386"/>
      <c r="BP478" s="375"/>
      <c r="BQ478" s="375"/>
      <c r="BS478" s="385"/>
      <c r="BT478" s="386"/>
      <c r="BU478" s="375"/>
      <c r="BV478" s="375"/>
      <c r="BX478" s="385"/>
      <c r="BY478" s="386"/>
      <c r="BZ478" s="375"/>
      <c r="CA478" s="375"/>
      <c r="CC478" s="385"/>
      <c r="CD478" s="386"/>
      <c r="CE478" s="375"/>
      <c r="CF478" s="375"/>
      <c r="CH478" s="385"/>
      <c r="CI478" s="386"/>
      <c r="CJ478" s="375"/>
      <c r="CK478" s="375"/>
      <c r="CM478" s="385"/>
      <c r="CN478" s="386"/>
      <c r="CO478" s="375"/>
      <c r="CP478" s="375"/>
      <c r="CR478" s="385"/>
      <c r="CS478" s="386"/>
      <c r="CT478" s="375"/>
      <c r="CU478" s="375"/>
      <c r="CW478" s="385"/>
      <c r="CX478" s="386"/>
      <c r="CY478" s="375"/>
      <c r="CZ478" s="375"/>
      <c r="DB478" s="385"/>
      <c r="DC478" s="386"/>
      <c r="DD478" s="375"/>
      <c r="DE478" s="375"/>
      <c r="DG478" s="385"/>
      <c r="DH478" s="386"/>
      <c r="DI478" s="375"/>
      <c r="DJ478" s="375"/>
      <c r="DL478" s="385"/>
      <c r="DM478" s="386"/>
      <c r="DN478" s="375"/>
      <c r="DO478" s="375"/>
      <c r="DQ478" s="385"/>
      <c r="DR478" s="386"/>
      <c r="DS478" s="375"/>
      <c r="DT478" s="375"/>
      <c r="DV478" s="385"/>
      <c r="DW478" s="386"/>
      <c r="DX478" s="375"/>
      <c r="DY478" s="375"/>
      <c r="EA478" s="385"/>
      <c r="EB478" s="386"/>
      <c r="EC478" s="375"/>
      <c r="ED478" s="375"/>
      <c r="EF478" s="385"/>
      <c r="EG478" s="386"/>
      <c r="EH478" s="375"/>
      <c r="EI478" s="375"/>
      <c r="EK478" s="385"/>
      <c r="EL478" s="386"/>
      <c r="EM478" s="375"/>
      <c r="EN478" s="375"/>
      <c r="EP478" s="385"/>
      <c r="EQ478" s="386"/>
      <c r="ER478" s="375"/>
      <c r="ES478" s="375"/>
      <c r="EU478" s="385"/>
      <c r="EV478" s="386"/>
      <c r="EW478" s="375"/>
      <c r="EX478" s="375"/>
      <c r="EZ478" s="385"/>
      <c r="FA478" s="386"/>
      <c r="FB478" s="375"/>
      <c r="FC478" s="375"/>
      <c r="FE478" s="385"/>
      <c r="FF478" s="386"/>
      <c r="FG478" s="375"/>
      <c r="FH478" s="375"/>
      <c r="FJ478" s="385"/>
      <c r="FK478" s="386"/>
      <c r="FL478" s="375"/>
      <c r="FM478" s="375"/>
      <c r="FO478" s="385"/>
      <c r="FP478" s="386"/>
      <c r="FQ478" s="375"/>
      <c r="FR478" s="375"/>
      <c r="FT478" s="385"/>
      <c r="FU478" s="386"/>
      <c r="FV478" s="375"/>
      <c r="FW478" s="375"/>
      <c r="FY478" s="385"/>
      <c r="FZ478" s="386"/>
      <c r="GA478" s="375"/>
      <c r="GB478" s="375"/>
      <c r="GD478" s="385"/>
      <c r="GE478" s="386"/>
      <c r="GF478" s="375"/>
      <c r="GG478" s="375"/>
      <c r="GI478" s="385"/>
      <c r="GJ478" s="386"/>
      <c r="GK478" s="375"/>
      <c r="GL478" s="375"/>
      <c r="GN478" s="385"/>
      <c r="GO478" s="386"/>
      <c r="GP478" s="375"/>
      <c r="GQ478" s="375"/>
      <c r="GS478" s="385"/>
      <c r="GT478" s="386"/>
      <c r="GU478" s="375"/>
      <c r="GV478" s="375"/>
      <c r="GX478" s="385"/>
      <c r="GY478" s="386"/>
      <c r="GZ478" s="375"/>
      <c r="HA478" s="375"/>
      <c r="HC478" s="385"/>
      <c r="HD478" s="386"/>
      <c r="HE478" s="375"/>
      <c r="HF478" s="375"/>
      <c r="HH478" s="385"/>
      <c r="HI478" s="386"/>
      <c r="HJ478" s="375"/>
      <c r="HK478" s="375"/>
      <c r="HM478" s="385"/>
      <c r="HN478" s="386"/>
      <c r="HO478" s="375"/>
      <c r="HP478" s="375"/>
      <c r="HR478" s="385"/>
      <c r="HS478" s="386"/>
      <c r="HT478" s="375"/>
      <c r="HU478" s="375"/>
      <c r="HW478" s="385"/>
      <c r="HX478" s="386"/>
      <c r="HY478" s="375"/>
      <c r="HZ478" s="375"/>
      <c r="IB478" s="385"/>
      <c r="IC478" s="386"/>
      <c r="ID478" s="375"/>
      <c r="IE478" s="375"/>
      <c r="IG478" s="385"/>
      <c r="IH478" s="386"/>
      <c r="II478" s="375"/>
      <c r="IJ478" s="375"/>
      <c r="IL478" s="385"/>
      <c r="IM478" s="386"/>
      <c r="IN478" s="375"/>
      <c r="IO478" s="375"/>
      <c r="IQ478" s="385"/>
      <c r="IR478" s="386"/>
      <c r="IS478" s="375"/>
      <c r="IT478" s="375"/>
      <c r="IV478" s="385"/>
    </row>
    <row r="479" spans="1:256" s="387" customFormat="1" x14ac:dyDescent="0.2">
      <c r="A479" s="385"/>
      <c r="B479" s="386"/>
      <c r="C479" s="375"/>
      <c r="D479" s="375"/>
      <c r="F479" s="385"/>
      <c r="G479" s="386"/>
      <c r="H479" s="375"/>
      <c r="I479" s="375"/>
      <c r="K479" s="385"/>
      <c r="L479" s="386"/>
      <c r="M479" s="375"/>
      <c r="N479" s="375"/>
      <c r="P479" s="385"/>
      <c r="Q479" s="386"/>
      <c r="R479" s="375"/>
      <c r="S479" s="375"/>
      <c r="U479" s="385"/>
      <c r="V479" s="386"/>
      <c r="W479" s="375"/>
      <c r="X479" s="375"/>
      <c r="Z479" s="385"/>
      <c r="AA479" s="386"/>
      <c r="AB479" s="375"/>
      <c r="AC479" s="375"/>
      <c r="AE479" s="385"/>
      <c r="AF479" s="386"/>
      <c r="AG479" s="375"/>
      <c r="AH479" s="375"/>
      <c r="AJ479" s="385"/>
      <c r="AK479" s="386"/>
      <c r="AL479" s="375"/>
      <c r="AM479" s="375"/>
      <c r="AO479" s="385"/>
      <c r="AP479" s="386"/>
      <c r="AQ479" s="375"/>
      <c r="AR479" s="375"/>
      <c r="AT479" s="385"/>
      <c r="AU479" s="386"/>
      <c r="AV479" s="375"/>
      <c r="AW479" s="375"/>
      <c r="AY479" s="385"/>
      <c r="AZ479" s="386"/>
      <c r="BA479" s="375"/>
      <c r="BB479" s="375"/>
      <c r="BD479" s="385"/>
      <c r="BE479" s="386"/>
      <c r="BF479" s="375"/>
      <c r="BG479" s="375"/>
      <c r="BI479" s="385"/>
      <c r="BJ479" s="386"/>
      <c r="BK479" s="375"/>
      <c r="BL479" s="375"/>
      <c r="BN479" s="385"/>
      <c r="BO479" s="386"/>
      <c r="BP479" s="375"/>
      <c r="BQ479" s="375"/>
      <c r="BS479" s="385"/>
      <c r="BT479" s="386"/>
      <c r="BU479" s="375"/>
      <c r="BV479" s="375"/>
      <c r="BX479" s="385"/>
      <c r="BY479" s="386"/>
      <c r="BZ479" s="375"/>
      <c r="CA479" s="375"/>
      <c r="CC479" s="385"/>
      <c r="CD479" s="386"/>
      <c r="CE479" s="375"/>
      <c r="CF479" s="375"/>
      <c r="CH479" s="385"/>
      <c r="CI479" s="386"/>
      <c r="CJ479" s="375"/>
      <c r="CK479" s="375"/>
      <c r="CM479" s="385"/>
      <c r="CN479" s="386"/>
      <c r="CO479" s="375"/>
      <c r="CP479" s="375"/>
      <c r="CR479" s="385"/>
      <c r="CS479" s="386"/>
      <c r="CT479" s="375"/>
      <c r="CU479" s="375"/>
      <c r="CW479" s="385"/>
      <c r="CX479" s="386"/>
      <c r="CY479" s="375"/>
      <c r="CZ479" s="375"/>
      <c r="DB479" s="385"/>
      <c r="DC479" s="386"/>
      <c r="DD479" s="375"/>
      <c r="DE479" s="375"/>
      <c r="DG479" s="385"/>
      <c r="DH479" s="386"/>
      <c r="DI479" s="375"/>
      <c r="DJ479" s="375"/>
      <c r="DL479" s="385"/>
      <c r="DM479" s="386"/>
      <c r="DN479" s="375"/>
      <c r="DO479" s="375"/>
      <c r="DQ479" s="385"/>
      <c r="DR479" s="386"/>
      <c r="DS479" s="375"/>
      <c r="DT479" s="375"/>
      <c r="DV479" s="385"/>
      <c r="DW479" s="386"/>
      <c r="DX479" s="375"/>
      <c r="DY479" s="375"/>
      <c r="EA479" s="385"/>
      <c r="EB479" s="386"/>
      <c r="EC479" s="375"/>
      <c r="ED479" s="375"/>
      <c r="EF479" s="385"/>
      <c r="EG479" s="386"/>
      <c r="EH479" s="375"/>
      <c r="EI479" s="375"/>
      <c r="EK479" s="385"/>
      <c r="EL479" s="386"/>
      <c r="EM479" s="375"/>
      <c r="EN479" s="375"/>
      <c r="EP479" s="385"/>
      <c r="EQ479" s="386"/>
      <c r="ER479" s="375"/>
      <c r="ES479" s="375"/>
      <c r="EU479" s="385"/>
      <c r="EV479" s="386"/>
      <c r="EW479" s="375"/>
      <c r="EX479" s="375"/>
      <c r="EZ479" s="385"/>
      <c r="FA479" s="386"/>
      <c r="FB479" s="375"/>
      <c r="FC479" s="375"/>
      <c r="FE479" s="385"/>
      <c r="FF479" s="386"/>
      <c r="FG479" s="375"/>
      <c r="FH479" s="375"/>
      <c r="FJ479" s="385"/>
      <c r="FK479" s="386"/>
      <c r="FL479" s="375"/>
      <c r="FM479" s="375"/>
      <c r="FO479" s="385"/>
      <c r="FP479" s="386"/>
      <c r="FQ479" s="375"/>
      <c r="FR479" s="375"/>
      <c r="FT479" s="385"/>
      <c r="FU479" s="386"/>
      <c r="FV479" s="375"/>
      <c r="FW479" s="375"/>
      <c r="FY479" s="385"/>
      <c r="FZ479" s="386"/>
      <c r="GA479" s="375"/>
      <c r="GB479" s="375"/>
      <c r="GD479" s="385"/>
      <c r="GE479" s="386"/>
      <c r="GF479" s="375"/>
      <c r="GG479" s="375"/>
      <c r="GI479" s="385"/>
      <c r="GJ479" s="386"/>
      <c r="GK479" s="375"/>
      <c r="GL479" s="375"/>
      <c r="GN479" s="385"/>
      <c r="GO479" s="386"/>
      <c r="GP479" s="375"/>
      <c r="GQ479" s="375"/>
      <c r="GS479" s="385"/>
      <c r="GT479" s="386"/>
      <c r="GU479" s="375"/>
      <c r="GV479" s="375"/>
      <c r="GX479" s="385"/>
      <c r="GY479" s="386"/>
      <c r="GZ479" s="375"/>
      <c r="HA479" s="375"/>
      <c r="HC479" s="385"/>
      <c r="HD479" s="386"/>
      <c r="HE479" s="375"/>
      <c r="HF479" s="375"/>
      <c r="HH479" s="385"/>
      <c r="HI479" s="386"/>
      <c r="HJ479" s="375"/>
      <c r="HK479" s="375"/>
      <c r="HM479" s="385"/>
      <c r="HN479" s="386"/>
      <c r="HO479" s="375"/>
      <c r="HP479" s="375"/>
      <c r="HR479" s="385"/>
      <c r="HS479" s="386"/>
      <c r="HT479" s="375"/>
      <c r="HU479" s="375"/>
      <c r="HW479" s="385"/>
      <c r="HX479" s="386"/>
      <c r="HY479" s="375"/>
      <c r="HZ479" s="375"/>
      <c r="IB479" s="385"/>
      <c r="IC479" s="386"/>
      <c r="ID479" s="375"/>
      <c r="IE479" s="375"/>
      <c r="IG479" s="385"/>
      <c r="IH479" s="386"/>
      <c r="II479" s="375"/>
      <c r="IJ479" s="375"/>
      <c r="IL479" s="385"/>
      <c r="IM479" s="386"/>
      <c r="IN479" s="375"/>
      <c r="IO479" s="375"/>
      <c r="IQ479" s="385"/>
      <c r="IR479" s="386"/>
      <c r="IS479" s="375"/>
      <c r="IT479" s="375"/>
      <c r="IV479" s="385"/>
    </row>
    <row r="480" spans="1:256" s="387" customFormat="1" x14ac:dyDescent="0.2">
      <c r="A480" s="385"/>
      <c r="B480" s="386"/>
      <c r="C480" s="375"/>
      <c r="D480" s="375"/>
      <c r="F480" s="385"/>
      <c r="G480" s="386"/>
      <c r="H480" s="375"/>
      <c r="I480" s="375"/>
      <c r="K480" s="385"/>
      <c r="L480" s="386"/>
      <c r="M480" s="375"/>
      <c r="N480" s="375"/>
      <c r="P480" s="385"/>
      <c r="Q480" s="386"/>
      <c r="R480" s="375"/>
      <c r="S480" s="375"/>
      <c r="U480" s="385"/>
      <c r="V480" s="386"/>
      <c r="W480" s="375"/>
      <c r="X480" s="375"/>
      <c r="Z480" s="385"/>
      <c r="AA480" s="386"/>
      <c r="AB480" s="375"/>
      <c r="AC480" s="375"/>
      <c r="AE480" s="385"/>
      <c r="AF480" s="386"/>
      <c r="AG480" s="375"/>
      <c r="AH480" s="375"/>
      <c r="AJ480" s="385"/>
      <c r="AK480" s="386"/>
      <c r="AL480" s="375"/>
      <c r="AM480" s="375"/>
      <c r="AO480" s="385"/>
      <c r="AP480" s="386"/>
      <c r="AQ480" s="375"/>
      <c r="AR480" s="375"/>
      <c r="AT480" s="385"/>
      <c r="AU480" s="386"/>
      <c r="AV480" s="375"/>
      <c r="AW480" s="375"/>
      <c r="AY480" s="385"/>
      <c r="AZ480" s="386"/>
      <c r="BA480" s="375"/>
      <c r="BB480" s="375"/>
      <c r="BD480" s="385"/>
      <c r="BE480" s="386"/>
      <c r="BF480" s="375"/>
      <c r="BG480" s="375"/>
      <c r="BI480" s="385"/>
      <c r="BJ480" s="386"/>
      <c r="BK480" s="375"/>
      <c r="BL480" s="375"/>
      <c r="BN480" s="385"/>
      <c r="BO480" s="386"/>
      <c r="BP480" s="375"/>
      <c r="BQ480" s="375"/>
      <c r="BS480" s="385"/>
      <c r="BT480" s="386"/>
      <c r="BU480" s="375"/>
      <c r="BV480" s="375"/>
      <c r="BX480" s="385"/>
      <c r="BY480" s="386"/>
      <c r="BZ480" s="375"/>
      <c r="CA480" s="375"/>
      <c r="CC480" s="385"/>
      <c r="CD480" s="386"/>
      <c r="CE480" s="375"/>
      <c r="CF480" s="375"/>
      <c r="CH480" s="385"/>
      <c r="CI480" s="386"/>
      <c r="CJ480" s="375"/>
      <c r="CK480" s="375"/>
      <c r="CM480" s="385"/>
      <c r="CN480" s="386"/>
      <c r="CO480" s="375"/>
      <c r="CP480" s="375"/>
      <c r="CR480" s="385"/>
      <c r="CS480" s="386"/>
      <c r="CT480" s="375"/>
      <c r="CU480" s="375"/>
      <c r="CW480" s="385"/>
      <c r="CX480" s="386"/>
      <c r="CY480" s="375"/>
      <c r="CZ480" s="375"/>
      <c r="DB480" s="385"/>
      <c r="DC480" s="386"/>
      <c r="DD480" s="375"/>
      <c r="DE480" s="375"/>
      <c r="DG480" s="385"/>
      <c r="DH480" s="386"/>
      <c r="DI480" s="375"/>
      <c r="DJ480" s="375"/>
      <c r="DL480" s="385"/>
      <c r="DM480" s="386"/>
      <c r="DN480" s="375"/>
      <c r="DO480" s="375"/>
      <c r="DQ480" s="385"/>
      <c r="DR480" s="386"/>
      <c r="DS480" s="375"/>
      <c r="DT480" s="375"/>
      <c r="DV480" s="385"/>
      <c r="DW480" s="386"/>
      <c r="DX480" s="375"/>
      <c r="DY480" s="375"/>
      <c r="EA480" s="385"/>
      <c r="EB480" s="386"/>
      <c r="EC480" s="375"/>
      <c r="ED480" s="375"/>
      <c r="EF480" s="385"/>
      <c r="EG480" s="386"/>
      <c r="EH480" s="375"/>
      <c r="EI480" s="375"/>
      <c r="EK480" s="385"/>
      <c r="EL480" s="386"/>
      <c r="EM480" s="375"/>
      <c r="EN480" s="375"/>
      <c r="EP480" s="385"/>
      <c r="EQ480" s="386"/>
      <c r="ER480" s="375"/>
      <c r="ES480" s="375"/>
      <c r="EU480" s="385"/>
      <c r="EV480" s="386"/>
      <c r="EW480" s="375"/>
      <c r="EX480" s="375"/>
      <c r="EZ480" s="385"/>
      <c r="FA480" s="386"/>
      <c r="FB480" s="375"/>
      <c r="FC480" s="375"/>
      <c r="FE480" s="385"/>
      <c r="FF480" s="386"/>
      <c r="FG480" s="375"/>
      <c r="FH480" s="375"/>
      <c r="FJ480" s="385"/>
      <c r="FK480" s="386"/>
      <c r="FL480" s="375"/>
      <c r="FM480" s="375"/>
      <c r="FO480" s="385"/>
      <c r="FP480" s="386"/>
      <c r="FQ480" s="375"/>
      <c r="FR480" s="375"/>
      <c r="FT480" s="385"/>
      <c r="FU480" s="386"/>
      <c r="FV480" s="375"/>
      <c r="FW480" s="375"/>
      <c r="FY480" s="385"/>
      <c r="FZ480" s="386"/>
      <c r="GA480" s="375"/>
      <c r="GB480" s="375"/>
      <c r="GD480" s="385"/>
      <c r="GE480" s="386"/>
      <c r="GF480" s="375"/>
      <c r="GG480" s="375"/>
      <c r="GI480" s="385"/>
      <c r="GJ480" s="386"/>
      <c r="GK480" s="375"/>
      <c r="GL480" s="375"/>
      <c r="GN480" s="385"/>
      <c r="GO480" s="386"/>
      <c r="GP480" s="375"/>
      <c r="GQ480" s="375"/>
      <c r="GS480" s="385"/>
      <c r="GT480" s="386"/>
      <c r="GU480" s="375"/>
      <c r="GV480" s="375"/>
      <c r="GX480" s="385"/>
      <c r="GY480" s="386"/>
      <c r="GZ480" s="375"/>
      <c r="HA480" s="375"/>
      <c r="HC480" s="385"/>
      <c r="HD480" s="386"/>
      <c r="HE480" s="375"/>
      <c r="HF480" s="375"/>
      <c r="HH480" s="385"/>
      <c r="HI480" s="386"/>
      <c r="HJ480" s="375"/>
      <c r="HK480" s="375"/>
      <c r="HM480" s="385"/>
      <c r="HN480" s="386"/>
      <c r="HO480" s="375"/>
      <c r="HP480" s="375"/>
      <c r="HR480" s="385"/>
      <c r="HS480" s="386"/>
      <c r="HT480" s="375"/>
      <c r="HU480" s="375"/>
      <c r="HW480" s="385"/>
      <c r="HX480" s="386"/>
      <c r="HY480" s="375"/>
      <c r="HZ480" s="375"/>
      <c r="IB480" s="385"/>
      <c r="IC480" s="386"/>
      <c r="ID480" s="375"/>
      <c r="IE480" s="375"/>
      <c r="IG480" s="385"/>
      <c r="IH480" s="386"/>
      <c r="II480" s="375"/>
      <c r="IJ480" s="375"/>
      <c r="IL480" s="385"/>
      <c r="IM480" s="386"/>
      <c r="IN480" s="375"/>
      <c r="IO480" s="375"/>
      <c r="IQ480" s="385"/>
      <c r="IR480" s="386"/>
      <c r="IS480" s="375"/>
      <c r="IT480" s="375"/>
      <c r="IV480" s="385"/>
    </row>
    <row r="481" spans="1:256" s="387" customFormat="1" x14ac:dyDescent="0.2">
      <c r="A481" s="385"/>
      <c r="B481" s="386"/>
      <c r="C481" s="375"/>
      <c r="D481" s="375"/>
      <c r="F481" s="385"/>
      <c r="G481" s="386"/>
      <c r="H481" s="375"/>
      <c r="I481" s="375"/>
      <c r="K481" s="385"/>
      <c r="L481" s="386"/>
      <c r="M481" s="375"/>
      <c r="N481" s="375"/>
      <c r="P481" s="385"/>
      <c r="Q481" s="386"/>
      <c r="R481" s="375"/>
      <c r="S481" s="375"/>
      <c r="U481" s="385"/>
      <c r="V481" s="386"/>
      <c r="W481" s="375"/>
      <c r="X481" s="375"/>
      <c r="Z481" s="385"/>
      <c r="AA481" s="386"/>
      <c r="AB481" s="375"/>
      <c r="AC481" s="375"/>
      <c r="AE481" s="385"/>
      <c r="AF481" s="386"/>
      <c r="AG481" s="375"/>
      <c r="AH481" s="375"/>
      <c r="AJ481" s="385"/>
      <c r="AK481" s="386"/>
      <c r="AL481" s="375"/>
      <c r="AM481" s="375"/>
      <c r="AO481" s="385"/>
      <c r="AP481" s="386"/>
      <c r="AQ481" s="375"/>
      <c r="AR481" s="375"/>
      <c r="AT481" s="385"/>
      <c r="AU481" s="386"/>
      <c r="AV481" s="375"/>
      <c r="AW481" s="375"/>
      <c r="AY481" s="385"/>
      <c r="AZ481" s="386"/>
      <c r="BA481" s="375"/>
      <c r="BB481" s="375"/>
      <c r="BD481" s="385"/>
      <c r="BE481" s="386"/>
      <c r="BF481" s="375"/>
      <c r="BG481" s="375"/>
      <c r="BI481" s="385"/>
      <c r="BJ481" s="386"/>
      <c r="BK481" s="375"/>
      <c r="BL481" s="375"/>
      <c r="BN481" s="385"/>
      <c r="BO481" s="386"/>
      <c r="BP481" s="375"/>
      <c r="BQ481" s="375"/>
      <c r="BS481" s="385"/>
      <c r="BT481" s="386"/>
      <c r="BU481" s="375"/>
      <c r="BV481" s="375"/>
      <c r="BX481" s="385"/>
      <c r="BY481" s="386"/>
      <c r="BZ481" s="375"/>
      <c r="CA481" s="375"/>
      <c r="CC481" s="385"/>
      <c r="CD481" s="386"/>
      <c r="CE481" s="375"/>
      <c r="CF481" s="375"/>
      <c r="CH481" s="385"/>
      <c r="CI481" s="386"/>
      <c r="CJ481" s="375"/>
      <c r="CK481" s="375"/>
      <c r="CM481" s="385"/>
      <c r="CN481" s="386"/>
      <c r="CO481" s="375"/>
      <c r="CP481" s="375"/>
      <c r="CR481" s="385"/>
      <c r="CS481" s="386"/>
      <c r="CT481" s="375"/>
      <c r="CU481" s="375"/>
      <c r="CW481" s="385"/>
      <c r="CX481" s="386"/>
      <c r="CY481" s="375"/>
      <c r="CZ481" s="375"/>
      <c r="DB481" s="385"/>
      <c r="DC481" s="386"/>
      <c r="DD481" s="375"/>
      <c r="DE481" s="375"/>
      <c r="DG481" s="385"/>
      <c r="DH481" s="386"/>
      <c r="DI481" s="375"/>
      <c r="DJ481" s="375"/>
      <c r="DL481" s="385"/>
      <c r="DM481" s="386"/>
      <c r="DN481" s="375"/>
      <c r="DO481" s="375"/>
      <c r="DQ481" s="385"/>
      <c r="DR481" s="386"/>
      <c r="DS481" s="375"/>
      <c r="DT481" s="375"/>
      <c r="DV481" s="385"/>
      <c r="DW481" s="386"/>
      <c r="DX481" s="375"/>
      <c r="DY481" s="375"/>
      <c r="EA481" s="385"/>
      <c r="EB481" s="386"/>
      <c r="EC481" s="375"/>
      <c r="ED481" s="375"/>
      <c r="EF481" s="385"/>
      <c r="EG481" s="386"/>
      <c r="EH481" s="375"/>
      <c r="EI481" s="375"/>
      <c r="EK481" s="385"/>
      <c r="EL481" s="386"/>
      <c r="EM481" s="375"/>
      <c r="EN481" s="375"/>
      <c r="EP481" s="385"/>
      <c r="EQ481" s="386"/>
      <c r="ER481" s="375"/>
      <c r="ES481" s="375"/>
      <c r="EU481" s="385"/>
      <c r="EV481" s="386"/>
      <c r="EW481" s="375"/>
      <c r="EX481" s="375"/>
      <c r="EZ481" s="385"/>
      <c r="FA481" s="386"/>
      <c r="FB481" s="375"/>
      <c r="FC481" s="375"/>
      <c r="FE481" s="385"/>
      <c r="FF481" s="386"/>
      <c r="FG481" s="375"/>
      <c r="FH481" s="375"/>
      <c r="FJ481" s="385"/>
      <c r="FK481" s="386"/>
      <c r="FL481" s="375"/>
      <c r="FM481" s="375"/>
      <c r="FO481" s="385"/>
      <c r="FP481" s="386"/>
      <c r="FQ481" s="375"/>
      <c r="FR481" s="375"/>
      <c r="FT481" s="385"/>
      <c r="FU481" s="386"/>
      <c r="FV481" s="375"/>
      <c r="FW481" s="375"/>
      <c r="FY481" s="385"/>
      <c r="FZ481" s="386"/>
      <c r="GA481" s="375"/>
      <c r="GB481" s="375"/>
      <c r="GD481" s="385"/>
      <c r="GE481" s="386"/>
      <c r="GF481" s="375"/>
      <c r="GG481" s="375"/>
      <c r="GI481" s="385"/>
      <c r="GJ481" s="386"/>
      <c r="GK481" s="375"/>
      <c r="GL481" s="375"/>
      <c r="GN481" s="385"/>
      <c r="GO481" s="386"/>
      <c r="GP481" s="375"/>
      <c r="GQ481" s="375"/>
      <c r="GS481" s="385"/>
      <c r="GT481" s="386"/>
      <c r="GU481" s="375"/>
      <c r="GV481" s="375"/>
      <c r="GX481" s="385"/>
      <c r="GY481" s="386"/>
      <c r="GZ481" s="375"/>
      <c r="HA481" s="375"/>
      <c r="HC481" s="385"/>
      <c r="HD481" s="386"/>
      <c r="HE481" s="375"/>
      <c r="HF481" s="375"/>
      <c r="HH481" s="385"/>
      <c r="HI481" s="386"/>
      <c r="HJ481" s="375"/>
      <c r="HK481" s="375"/>
      <c r="HM481" s="385"/>
      <c r="HN481" s="386"/>
      <c r="HO481" s="375"/>
      <c r="HP481" s="375"/>
      <c r="HR481" s="385"/>
      <c r="HS481" s="386"/>
      <c r="HT481" s="375"/>
      <c r="HU481" s="375"/>
      <c r="HW481" s="385"/>
      <c r="HX481" s="386"/>
      <c r="HY481" s="375"/>
      <c r="HZ481" s="375"/>
      <c r="IB481" s="385"/>
      <c r="IC481" s="386"/>
      <c r="ID481" s="375"/>
      <c r="IE481" s="375"/>
      <c r="IG481" s="385"/>
      <c r="IH481" s="386"/>
      <c r="II481" s="375"/>
      <c r="IJ481" s="375"/>
      <c r="IL481" s="385"/>
      <c r="IM481" s="386"/>
      <c r="IN481" s="375"/>
      <c r="IO481" s="375"/>
      <c r="IQ481" s="385"/>
      <c r="IR481" s="386"/>
      <c r="IS481" s="375"/>
      <c r="IT481" s="375"/>
      <c r="IV481" s="385"/>
    </row>
    <row r="482" spans="1:256" s="387" customFormat="1" x14ac:dyDescent="0.2">
      <c r="A482" s="385"/>
      <c r="B482" s="386"/>
      <c r="C482" s="375"/>
      <c r="D482" s="375"/>
      <c r="F482" s="385"/>
      <c r="G482" s="386"/>
      <c r="H482" s="375"/>
      <c r="I482" s="375"/>
      <c r="K482" s="385"/>
      <c r="L482" s="386"/>
      <c r="M482" s="375"/>
      <c r="N482" s="375"/>
      <c r="P482" s="385"/>
      <c r="Q482" s="386"/>
      <c r="R482" s="375"/>
      <c r="S482" s="375"/>
      <c r="U482" s="385"/>
      <c r="V482" s="386"/>
      <c r="W482" s="375"/>
      <c r="X482" s="375"/>
      <c r="Z482" s="385"/>
      <c r="AA482" s="386"/>
      <c r="AB482" s="375"/>
      <c r="AC482" s="375"/>
      <c r="AE482" s="385"/>
      <c r="AF482" s="386"/>
      <c r="AG482" s="375"/>
      <c r="AH482" s="375"/>
      <c r="AJ482" s="385"/>
      <c r="AK482" s="386"/>
      <c r="AL482" s="375"/>
      <c r="AM482" s="375"/>
      <c r="AO482" s="385"/>
      <c r="AP482" s="386"/>
      <c r="AQ482" s="375"/>
      <c r="AR482" s="375"/>
      <c r="AT482" s="385"/>
      <c r="AU482" s="386"/>
      <c r="AV482" s="375"/>
      <c r="AW482" s="375"/>
      <c r="AY482" s="385"/>
      <c r="AZ482" s="386"/>
      <c r="BA482" s="375"/>
      <c r="BB482" s="375"/>
      <c r="BD482" s="385"/>
      <c r="BE482" s="386"/>
      <c r="BF482" s="375"/>
      <c r="BG482" s="375"/>
      <c r="BI482" s="385"/>
      <c r="BJ482" s="386"/>
      <c r="BK482" s="375"/>
      <c r="BL482" s="375"/>
      <c r="BN482" s="385"/>
      <c r="BO482" s="386"/>
      <c r="BP482" s="375"/>
      <c r="BQ482" s="375"/>
      <c r="BS482" s="385"/>
      <c r="BT482" s="386"/>
      <c r="BU482" s="375"/>
      <c r="BV482" s="375"/>
      <c r="BX482" s="385"/>
      <c r="BY482" s="386"/>
      <c r="BZ482" s="375"/>
      <c r="CA482" s="375"/>
      <c r="CC482" s="385"/>
      <c r="CD482" s="386"/>
      <c r="CE482" s="375"/>
      <c r="CF482" s="375"/>
      <c r="CH482" s="385"/>
      <c r="CI482" s="386"/>
      <c r="CJ482" s="375"/>
      <c r="CK482" s="375"/>
      <c r="CM482" s="385"/>
      <c r="CN482" s="386"/>
      <c r="CO482" s="375"/>
      <c r="CP482" s="375"/>
      <c r="CR482" s="385"/>
      <c r="CS482" s="386"/>
      <c r="CT482" s="375"/>
      <c r="CU482" s="375"/>
      <c r="CW482" s="385"/>
      <c r="CX482" s="386"/>
      <c r="CY482" s="375"/>
      <c r="CZ482" s="375"/>
      <c r="DB482" s="385"/>
      <c r="DC482" s="386"/>
      <c r="DD482" s="375"/>
      <c r="DE482" s="375"/>
      <c r="DG482" s="385"/>
      <c r="DH482" s="386"/>
      <c r="DI482" s="375"/>
      <c r="DJ482" s="375"/>
      <c r="DL482" s="385"/>
      <c r="DM482" s="386"/>
      <c r="DN482" s="375"/>
      <c r="DO482" s="375"/>
      <c r="DQ482" s="385"/>
      <c r="DR482" s="386"/>
      <c r="DS482" s="375"/>
      <c r="DT482" s="375"/>
      <c r="DV482" s="385"/>
      <c r="DW482" s="386"/>
      <c r="DX482" s="375"/>
      <c r="DY482" s="375"/>
      <c r="EA482" s="385"/>
      <c r="EB482" s="386"/>
      <c r="EC482" s="375"/>
      <c r="ED482" s="375"/>
      <c r="EF482" s="385"/>
      <c r="EG482" s="386"/>
      <c r="EH482" s="375"/>
      <c r="EI482" s="375"/>
      <c r="EK482" s="385"/>
      <c r="EL482" s="386"/>
      <c r="EM482" s="375"/>
      <c r="EN482" s="375"/>
      <c r="EP482" s="385"/>
      <c r="EQ482" s="386"/>
      <c r="ER482" s="375"/>
      <c r="ES482" s="375"/>
      <c r="EU482" s="385"/>
      <c r="EV482" s="386"/>
      <c r="EW482" s="375"/>
      <c r="EX482" s="375"/>
      <c r="EZ482" s="385"/>
      <c r="FA482" s="386"/>
      <c r="FB482" s="375"/>
      <c r="FC482" s="375"/>
      <c r="FE482" s="385"/>
      <c r="FF482" s="386"/>
      <c r="FG482" s="375"/>
      <c r="FH482" s="375"/>
      <c r="FJ482" s="385"/>
      <c r="FK482" s="386"/>
      <c r="FL482" s="375"/>
      <c r="FM482" s="375"/>
      <c r="FO482" s="385"/>
      <c r="FP482" s="386"/>
      <c r="FQ482" s="375"/>
      <c r="FR482" s="375"/>
      <c r="FT482" s="385"/>
      <c r="FU482" s="386"/>
      <c r="FV482" s="375"/>
      <c r="FW482" s="375"/>
      <c r="FY482" s="385"/>
      <c r="FZ482" s="386"/>
      <c r="GA482" s="375"/>
      <c r="GB482" s="375"/>
      <c r="GD482" s="385"/>
      <c r="GE482" s="386"/>
      <c r="GF482" s="375"/>
      <c r="GG482" s="375"/>
      <c r="GI482" s="385"/>
      <c r="GJ482" s="386"/>
      <c r="GK482" s="375"/>
      <c r="GL482" s="375"/>
      <c r="GN482" s="385"/>
      <c r="GO482" s="386"/>
      <c r="GP482" s="375"/>
      <c r="GQ482" s="375"/>
      <c r="GS482" s="385"/>
      <c r="GT482" s="386"/>
      <c r="GU482" s="375"/>
      <c r="GV482" s="375"/>
      <c r="GX482" s="385"/>
      <c r="GY482" s="386"/>
      <c r="GZ482" s="375"/>
      <c r="HA482" s="375"/>
      <c r="HC482" s="385"/>
      <c r="HD482" s="386"/>
      <c r="HE482" s="375"/>
      <c r="HF482" s="375"/>
      <c r="HH482" s="385"/>
      <c r="HI482" s="386"/>
      <c r="HJ482" s="375"/>
      <c r="HK482" s="375"/>
      <c r="HM482" s="385"/>
      <c r="HN482" s="386"/>
      <c r="HO482" s="375"/>
      <c r="HP482" s="375"/>
      <c r="HR482" s="385"/>
      <c r="HS482" s="386"/>
      <c r="HT482" s="375"/>
      <c r="HU482" s="375"/>
      <c r="HW482" s="385"/>
      <c r="HX482" s="386"/>
      <c r="HY482" s="375"/>
      <c r="HZ482" s="375"/>
      <c r="IB482" s="385"/>
      <c r="IC482" s="386"/>
      <c r="ID482" s="375"/>
      <c r="IE482" s="375"/>
      <c r="IG482" s="385"/>
      <c r="IH482" s="386"/>
      <c r="II482" s="375"/>
      <c r="IJ482" s="375"/>
      <c r="IL482" s="385"/>
      <c r="IM482" s="386"/>
      <c r="IN482" s="375"/>
      <c r="IO482" s="375"/>
      <c r="IQ482" s="385"/>
      <c r="IR482" s="386"/>
      <c r="IS482" s="375"/>
      <c r="IT482" s="375"/>
      <c r="IV482" s="385"/>
    </row>
    <row r="483" spans="1:256" s="387" customFormat="1" x14ac:dyDescent="0.2">
      <c r="A483" s="385"/>
      <c r="B483" s="386"/>
      <c r="C483" s="375"/>
      <c r="D483" s="375"/>
      <c r="F483" s="385"/>
      <c r="G483" s="386"/>
      <c r="H483" s="375"/>
      <c r="I483" s="375"/>
      <c r="K483" s="385"/>
      <c r="L483" s="386"/>
      <c r="M483" s="375"/>
      <c r="N483" s="375"/>
      <c r="P483" s="385"/>
      <c r="Q483" s="386"/>
      <c r="R483" s="375"/>
      <c r="S483" s="375"/>
      <c r="U483" s="385"/>
      <c r="V483" s="386"/>
      <c r="W483" s="375"/>
      <c r="X483" s="375"/>
      <c r="Z483" s="385"/>
      <c r="AA483" s="386"/>
      <c r="AB483" s="375"/>
      <c r="AC483" s="375"/>
      <c r="AE483" s="385"/>
      <c r="AF483" s="386"/>
      <c r="AG483" s="375"/>
      <c r="AH483" s="375"/>
      <c r="AJ483" s="385"/>
      <c r="AK483" s="386"/>
      <c r="AL483" s="375"/>
      <c r="AM483" s="375"/>
      <c r="AO483" s="385"/>
      <c r="AP483" s="386"/>
      <c r="AQ483" s="375"/>
      <c r="AR483" s="375"/>
      <c r="AT483" s="385"/>
      <c r="AU483" s="386"/>
      <c r="AV483" s="375"/>
      <c r="AW483" s="375"/>
      <c r="AY483" s="385"/>
      <c r="AZ483" s="386"/>
      <c r="BA483" s="375"/>
      <c r="BB483" s="375"/>
      <c r="BD483" s="385"/>
      <c r="BE483" s="386"/>
      <c r="BF483" s="375"/>
      <c r="BG483" s="375"/>
      <c r="BI483" s="385"/>
      <c r="BJ483" s="386"/>
      <c r="BK483" s="375"/>
      <c r="BL483" s="375"/>
      <c r="BN483" s="385"/>
      <c r="BO483" s="386"/>
      <c r="BP483" s="375"/>
      <c r="BQ483" s="375"/>
      <c r="BS483" s="385"/>
      <c r="BT483" s="386"/>
      <c r="BU483" s="375"/>
      <c r="BV483" s="375"/>
      <c r="BX483" s="385"/>
      <c r="BY483" s="386"/>
      <c r="BZ483" s="375"/>
      <c r="CA483" s="375"/>
      <c r="CC483" s="385"/>
      <c r="CD483" s="386"/>
      <c r="CE483" s="375"/>
      <c r="CF483" s="375"/>
      <c r="CH483" s="385"/>
      <c r="CI483" s="386"/>
      <c r="CJ483" s="375"/>
      <c r="CK483" s="375"/>
      <c r="CM483" s="385"/>
      <c r="CN483" s="386"/>
      <c r="CO483" s="375"/>
      <c r="CP483" s="375"/>
      <c r="CR483" s="385"/>
      <c r="CS483" s="386"/>
      <c r="CT483" s="375"/>
      <c r="CU483" s="375"/>
      <c r="CW483" s="385"/>
      <c r="CX483" s="386"/>
      <c r="CY483" s="375"/>
      <c r="CZ483" s="375"/>
      <c r="DB483" s="385"/>
      <c r="DC483" s="386"/>
      <c r="DD483" s="375"/>
      <c r="DE483" s="375"/>
      <c r="DG483" s="385"/>
      <c r="DH483" s="386"/>
      <c r="DI483" s="375"/>
      <c r="DJ483" s="375"/>
      <c r="DL483" s="385"/>
      <c r="DM483" s="386"/>
      <c r="DN483" s="375"/>
      <c r="DO483" s="375"/>
      <c r="DQ483" s="385"/>
      <c r="DR483" s="386"/>
      <c r="DS483" s="375"/>
      <c r="DT483" s="375"/>
      <c r="DV483" s="385"/>
      <c r="DW483" s="386"/>
      <c r="DX483" s="375"/>
      <c r="DY483" s="375"/>
      <c r="EA483" s="385"/>
      <c r="EB483" s="386"/>
      <c r="EC483" s="375"/>
      <c r="ED483" s="375"/>
      <c r="EF483" s="385"/>
      <c r="EG483" s="386"/>
      <c r="EH483" s="375"/>
      <c r="EI483" s="375"/>
      <c r="EK483" s="385"/>
      <c r="EL483" s="386"/>
      <c r="EM483" s="375"/>
      <c r="EN483" s="375"/>
      <c r="EP483" s="385"/>
      <c r="EQ483" s="386"/>
      <c r="ER483" s="375"/>
      <c r="ES483" s="375"/>
      <c r="EU483" s="385"/>
      <c r="EV483" s="386"/>
      <c r="EW483" s="375"/>
      <c r="EX483" s="375"/>
      <c r="EZ483" s="385"/>
      <c r="FA483" s="386"/>
      <c r="FB483" s="375"/>
      <c r="FC483" s="375"/>
      <c r="FE483" s="385"/>
      <c r="FF483" s="386"/>
      <c r="FG483" s="375"/>
      <c r="FH483" s="375"/>
      <c r="FJ483" s="385"/>
      <c r="FK483" s="386"/>
      <c r="FL483" s="375"/>
      <c r="FM483" s="375"/>
      <c r="FO483" s="385"/>
      <c r="FP483" s="386"/>
      <c r="FQ483" s="375"/>
      <c r="FR483" s="375"/>
      <c r="FT483" s="385"/>
      <c r="FU483" s="386"/>
      <c r="FV483" s="375"/>
      <c r="FW483" s="375"/>
      <c r="FY483" s="385"/>
      <c r="FZ483" s="386"/>
      <c r="GA483" s="375"/>
      <c r="GB483" s="375"/>
      <c r="GD483" s="385"/>
      <c r="GE483" s="386"/>
      <c r="GF483" s="375"/>
      <c r="GG483" s="375"/>
      <c r="GI483" s="385"/>
      <c r="GJ483" s="386"/>
      <c r="GK483" s="375"/>
      <c r="GL483" s="375"/>
      <c r="GN483" s="385"/>
      <c r="GO483" s="386"/>
      <c r="GP483" s="375"/>
      <c r="GQ483" s="375"/>
      <c r="GS483" s="385"/>
      <c r="GT483" s="386"/>
      <c r="GU483" s="375"/>
      <c r="GV483" s="375"/>
      <c r="GX483" s="385"/>
      <c r="GY483" s="386"/>
      <c r="GZ483" s="375"/>
      <c r="HA483" s="375"/>
      <c r="HC483" s="385"/>
      <c r="HD483" s="386"/>
      <c r="HE483" s="375"/>
      <c r="HF483" s="375"/>
      <c r="HH483" s="385"/>
      <c r="HI483" s="386"/>
      <c r="HJ483" s="375"/>
      <c r="HK483" s="375"/>
      <c r="HM483" s="385"/>
      <c r="HN483" s="386"/>
      <c r="HO483" s="375"/>
      <c r="HP483" s="375"/>
      <c r="HR483" s="385"/>
      <c r="HS483" s="386"/>
      <c r="HT483" s="375"/>
      <c r="HU483" s="375"/>
      <c r="HW483" s="385"/>
      <c r="HX483" s="386"/>
      <c r="HY483" s="375"/>
      <c r="HZ483" s="375"/>
      <c r="IB483" s="385"/>
      <c r="IC483" s="386"/>
      <c r="ID483" s="375"/>
      <c r="IE483" s="375"/>
      <c r="IG483" s="385"/>
      <c r="IH483" s="386"/>
      <c r="II483" s="375"/>
      <c r="IJ483" s="375"/>
      <c r="IL483" s="385"/>
      <c r="IM483" s="386"/>
      <c r="IN483" s="375"/>
      <c r="IO483" s="375"/>
      <c r="IQ483" s="385"/>
      <c r="IR483" s="386"/>
      <c r="IS483" s="375"/>
      <c r="IT483" s="375"/>
      <c r="IV483" s="385"/>
    </row>
    <row r="484" spans="1:256" s="387" customFormat="1" x14ac:dyDescent="0.2">
      <c r="A484" s="385"/>
      <c r="B484" s="386"/>
      <c r="C484" s="375"/>
      <c r="D484" s="375"/>
      <c r="F484" s="385"/>
      <c r="G484" s="386"/>
      <c r="H484" s="375"/>
      <c r="I484" s="375"/>
      <c r="K484" s="385"/>
      <c r="L484" s="386"/>
      <c r="M484" s="375"/>
      <c r="N484" s="375"/>
      <c r="P484" s="385"/>
      <c r="Q484" s="386"/>
      <c r="R484" s="375"/>
      <c r="S484" s="375"/>
      <c r="U484" s="385"/>
      <c r="V484" s="386"/>
      <c r="W484" s="375"/>
      <c r="X484" s="375"/>
      <c r="Z484" s="385"/>
      <c r="AA484" s="386"/>
      <c r="AB484" s="375"/>
      <c r="AC484" s="375"/>
      <c r="AE484" s="385"/>
      <c r="AF484" s="386"/>
      <c r="AG484" s="375"/>
      <c r="AH484" s="375"/>
      <c r="AJ484" s="385"/>
      <c r="AK484" s="386"/>
      <c r="AL484" s="375"/>
      <c r="AM484" s="375"/>
      <c r="AO484" s="385"/>
      <c r="AP484" s="386"/>
      <c r="AQ484" s="375"/>
      <c r="AR484" s="375"/>
      <c r="AT484" s="385"/>
      <c r="AU484" s="386"/>
      <c r="AV484" s="375"/>
      <c r="AW484" s="375"/>
      <c r="AY484" s="385"/>
      <c r="AZ484" s="386"/>
      <c r="BA484" s="375"/>
      <c r="BB484" s="375"/>
      <c r="BD484" s="385"/>
      <c r="BE484" s="386"/>
      <c r="BF484" s="375"/>
      <c r="BG484" s="375"/>
      <c r="BI484" s="385"/>
      <c r="BJ484" s="386"/>
      <c r="BK484" s="375"/>
      <c r="BL484" s="375"/>
      <c r="BN484" s="385"/>
      <c r="BO484" s="386"/>
      <c r="BP484" s="375"/>
      <c r="BQ484" s="375"/>
      <c r="BS484" s="385"/>
      <c r="BT484" s="386"/>
      <c r="BU484" s="375"/>
      <c r="BV484" s="375"/>
      <c r="BX484" s="385"/>
      <c r="BY484" s="386"/>
      <c r="BZ484" s="375"/>
      <c r="CA484" s="375"/>
      <c r="CC484" s="385"/>
      <c r="CD484" s="386"/>
      <c r="CE484" s="375"/>
      <c r="CF484" s="375"/>
      <c r="CH484" s="385"/>
      <c r="CI484" s="386"/>
      <c r="CJ484" s="375"/>
      <c r="CK484" s="375"/>
      <c r="CM484" s="385"/>
      <c r="CN484" s="386"/>
      <c r="CO484" s="375"/>
      <c r="CP484" s="375"/>
      <c r="CR484" s="385"/>
      <c r="CS484" s="386"/>
      <c r="CT484" s="375"/>
      <c r="CU484" s="375"/>
      <c r="CW484" s="385"/>
      <c r="CX484" s="386"/>
      <c r="CY484" s="375"/>
      <c r="CZ484" s="375"/>
      <c r="DB484" s="385"/>
      <c r="DC484" s="386"/>
      <c r="DD484" s="375"/>
      <c r="DE484" s="375"/>
      <c r="DG484" s="385"/>
      <c r="DH484" s="386"/>
      <c r="DI484" s="375"/>
      <c r="DJ484" s="375"/>
      <c r="DL484" s="385"/>
      <c r="DM484" s="386"/>
      <c r="DN484" s="375"/>
      <c r="DO484" s="375"/>
      <c r="DQ484" s="385"/>
      <c r="DR484" s="386"/>
      <c r="DS484" s="375"/>
      <c r="DT484" s="375"/>
      <c r="DV484" s="385"/>
      <c r="DW484" s="386"/>
      <c r="DX484" s="375"/>
      <c r="DY484" s="375"/>
      <c r="EA484" s="385"/>
      <c r="EB484" s="386"/>
      <c r="EC484" s="375"/>
      <c r="ED484" s="375"/>
      <c r="EF484" s="385"/>
      <c r="EG484" s="386"/>
      <c r="EH484" s="375"/>
      <c r="EI484" s="375"/>
      <c r="EK484" s="385"/>
      <c r="EL484" s="386"/>
      <c r="EM484" s="375"/>
      <c r="EN484" s="375"/>
      <c r="EP484" s="385"/>
      <c r="EQ484" s="386"/>
      <c r="ER484" s="375"/>
      <c r="ES484" s="375"/>
      <c r="EU484" s="385"/>
      <c r="EV484" s="386"/>
      <c r="EW484" s="375"/>
      <c r="EX484" s="375"/>
      <c r="EZ484" s="385"/>
      <c r="FA484" s="386"/>
      <c r="FB484" s="375"/>
      <c r="FC484" s="375"/>
      <c r="FE484" s="385"/>
      <c r="FF484" s="386"/>
      <c r="FG484" s="375"/>
      <c r="FH484" s="375"/>
      <c r="FJ484" s="385"/>
      <c r="FK484" s="386"/>
      <c r="FL484" s="375"/>
      <c r="FM484" s="375"/>
      <c r="FO484" s="385"/>
      <c r="FP484" s="386"/>
      <c r="FQ484" s="375"/>
      <c r="FR484" s="375"/>
      <c r="FT484" s="385"/>
      <c r="FU484" s="386"/>
      <c r="FV484" s="375"/>
      <c r="FW484" s="375"/>
      <c r="FY484" s="385"/>
      <c r="FZ484" s="386"/>
      <c r="GA484" s="375"/>
      <c r="GB484" s="375"/>
      <c r="GD484" s="385"/>
      <c r="GE484" s="386"/>
      <c r="GF484" s="375"/>
      <c r="GG484" s="375"/>
      <c r="GI484" s="385"/>
      <c r="GJ484" s="386"/>
      <c r="GK484" s="375"/>
      <c r="GL484" s="375"/>
      <c r="GN484" s="385"/>
      <c r="GO484" s="386"/>
      <c r="GP484" s="375"/>
      <c r="GQ484" s="375"/>
      <c r="GS484" s="385"/>
      <c r="GT484" s="386"/>
      <c r="GU484" s="375"/>
      <c r="GV484" s="375"/>
      <c r="GX484" s="385"/>
      <c r="GY484" s="386"/>
      <c r="GZ484" s="375"/>
      <c r="HA484" s="375"/>
      <c r="HC484" s="385"/>
      <c r="HD484" s="386"/>
      <c r="HE484" s="375"/>
      <c r="HF484" s="375"/>
      <c r="HH484" s="385"/>
      <c r="HI484" s="386"/>
      <c r="HJ484" s="375"/>
      <c r="HK484" s="375"/>
      <c r="HM484" s="385"/>
      <c r="HN484" s="386"/>
      <c r="HO484" s="375"/>
      <c r="HP484" s="375"/>
      <c r="HR484" s="385"/>
      <c r="HS484" s="386"/>
      <c r="HT484" s="375"/>
      <c r="HU484" s="375"/>
      <c r="HW484" s="385"/>
      <c r="HX484" s="386"/>
      <c r="HY484" s="375"/>
      <c r="HZ484" s="375"/>
      <c r="IB484" s="385"/>
      <c r="IC484" s="386"/>
      <c r="ID484" s="375"/>
      <c r="IE484" s="375"/>
      <c r="IG484" s="385"/>
      <c r="IH484" s="386"/>
      <c r="II484" s="375"/>
      <c r="IJ484" s="375"/>
      <c r="IL484" s="385"/>
      <c r="IM484" s="386"/>
      <c r="IN484" s="375"/>
      <c r="IO484" s="375"/>
      <c r="IQ484" s="385"/>
      <c r="IR484" s="386"/>
      <c r="IS484" s="375"/>
      <c r="IT484" s="375"/>
      <c r="IV484" s="385"/>
    </row>
    <row r="485" spans="1:256" s="387" customFormat="1" x14ac:dyDescent="0.2">
      <c r="A485" s="385"/>
      <c r="B485" s="386"/>
      <c r="C485" s="375"/>
      <c r="D485" s="375"/>
      <c r="F485" s="385"/>
      <c r="G485" s="386"/>
      <c r="H485" s="375"/>
      <c r="I485" s="375"/>
      <c r="K485" s="385"/>
      <c r="L485" s="386"/>
      <c r="M485" s="375"/>
      <c r="N485" s="375"/>
      <c r="P485" s="385"/>
      <c r="Q485" s="386"/>
      <c r="R485" s="375"/>
      <c r="S485" s="375"/>
      <c r="U485" s="385"/>
      <c r="V485" s="386"/>
      <c r="W485" s="375"/>
      <c r="X485" s="375"/>
      <c r="Z485" s="385"/>
      <c r="AA485" s="386"/>
      <c r="AB485" s="375"/>
      <c r="AC485" s="375"/>
      <c r="AE485" s="385"/>
      <c r="AF485" s="386"/>
      <c r="AG485" s="375"/>
      <c r="AH485" s="375"/>
      <c r="AJ485" s="385"/>
      <c r="AK485" s="386"/>
      <c r="AL485" s="375"/>
      <c r="AM485" s="375"/>
      <c r="AO485" s="385"/>
      <c r="AP485" s="386"/>
      <c r="AQ485" s="375"/>
      <c r="AR485" s="375"/>
      <c r="AT485" s="385"/>
      <c r="AU485" s="386"/>
      <c r="AV485" s="375"/>
      <c r="AW485" s="375"/>
      <c r="AY485" s="385"/>
      <c r="AZ485" s="386"/>
      <c r="BA485" s="375"/>
      <c r="BB485" s="375"/>
      <c r="BD485" s="385"/>
      <c r="BE485" s="386"/>
      <c r="BF485" s="375"/>
      <c r="BG485" s="375"/>
      <c r="BI485" s="385"/>
      <c r="BJ485" s="386"/>
      <c r="BK485" s="375"/>
      <c r="BL485" s="375"/>
      <c r="BN485" s="385"/>
      <c r="BO485" s="386"/>
      <c r="BP485" s="375"/>
      <c r="BQ485" s="375"/>
      <c r="BS485" s="385"/>
      <c r="BT485" s="386"/>
      <c r="BU485" s="375"/>
      <c r="BV485" s="375"/>
      <c r="BX485" s="385"/>
      <c r="BY485" s="386"/>
      <c r="BZ485" s="375"/>
      <c r="CA485" s="375"/>
      <c r="CC485" s="385"/>
      <c r="CD485" s="386"/>
      <c r="CE485" s="375"/>
      <c r="CF485" s="375"/>
      <c r="CH485" s="385"/>
      <c r="CI485" s="386"/>
      <c r="CJ485" s="375"/>
      <c r="CK485" s="375"/>
      <c r="CM485" s="385"/>
      <c r="CN485" s="386"/>
      <c r="CO485" s="375"/>
      <c r="CP485" s="375"/>
      <c r="CR485" s="385"/>
      <c r="CS485" s="386"/>
      <c r="CT485" s="375"/>
      <c r="CU485" s="375"/>
      <c r="CW485" s="385"/>
      <c r="CX485" s="386"/>
      <c r="CY485" s="375"/>
      <c r="CZ485" s="375"/>
      <c r="DB485" s="385"/>
      <c r="DC485" s="386"/>
      <c r="DD485" s="375"/>
      <c r="DE485" s="375"/>
      <c r="DG485" s="385"/>
      <c r="DH485" s="386"/>
      <c r="DI485" s="375"/>
      <c r="DJ485" s="375"/>
      <c r="DL485" s="385"/>
      <c r="DM485" s="386"/>
      <c r="DN485" s="375"/>
      <c r="DO485" s="375"/>
      <c r="DQ485" s="385"/>
      <c r="DR485" s="386"/>
      <c r="DS485" s="375"/>
      <c r="DT485" s="375"/>
      <c r="DV485" s="385"/>
      <c r="DW485" s="386"/>
      <c r="DX485" s="375"/>
      <c r="DY485" s="375"/>
      <c r="EA485" s="385"/>
      <c r="EB485" s="386"/>
      <c r="EC485" s="375"/>
      <c r="ED485" s="375"/>
      <c r="EF485" s="385"/>
      <c r="EG485" s="386"/>
      <c r="EH485" s="375"/>
      <c r="EI485" s="375"/>
      <c r="EK485" s="385"/>
      <c r="EL485" s="386"/>
      <c r="EM485" s="375"/>
      <c r="EN485" s="375"/>
      <c r="EP485" s="385"/>
      <c r="EQ485" s="386"/>
      <c r="ER485" s="375"/>
      <c r="ES485" s="375"/>
      <c r="EU485" s="385"/>
      <c r="EV485" s="386"/>
      <c r="EW485" s="375"/>
      <c r="EX485" s="375"/>
      <c r="EZ485" s="385"/>
      <c r="FA485" s="386"/>
      <c r="FB485" s="375"/>
      <c r="FC485" s="375"/>
      <c r="FE485" s="385"/>
      <c r="FF485" s="386"/>
      <c r="FG485" s="375"/>
      <c r="FH485" s="375"/>
      <c r="FJ485" s="385"/>
      <c r="FK485" s="386"/>
      <c r="FL485" s="375"/>
      <c r="FM485" s="375"/>
      <c r="FO485" s="385"/>
      <c r="FP485" s="386"/>
      <c r="FQ485" s="375"/>
      <c r="FR485" s="375"/>
      <c r="FT485" s="385"/>
      <c r="FU485" s="386"/>
      <c r="FV485" s="375"/>
      <c r="FW485" s="375"/>
      <c r="FY485" s="385"/>
      <c r="FZ485" s="386"/>
      <c r="GA485" s="375"/>
      <c r="GB485" s="375"/>
      <c r="GD485" s="385"/>
      <c r="GE485" s="386"/>
      <c r="GF485" s="375"/>
      <c r="GG485" s="375"/>
      <c r="GI485" s="385"/>
      <c r="GJ485" s="386"/>
      <c r="GK485" s="375"/>
      <c r="GL485" s="375"/>
      <c r="GN485" s="385"/>
      <c r="GO485" s="386"/>
      <c r="GP485" s="375"/>
      <c r="GQ485" s="375"/>
      <c r="GS485" s="385"/>
      <c r="GT485" s="386"/>
      <c r="GU485" s="375"/>
      <c r="GV485" s="375"/>
      <c r="GX485" s="385"/>
      <c r="GY485" s="386"/>
      <c r="GZ485" s="375"/>
      <c r="HA485" s="375"/>
      <c r="HC485" s="385"/>
      <c r="HD485" s="386"/>
      <c r="HE485" s="375"/>
      <c r="HF485" s="375"/>
      <c r="HH485" s="385"/>
      <c r="HI485" s="386"/>
      <c r="HJ485" s="375"/>
      <c r="HK485" s="375"/>
      <c r="HM485" s="385"/>
      <c r="HN485" s="386"/>
      <c r="HO485" s="375"/>
      <c r="HP485" s="375"/>
      <c r="HR485" s="385"/>
      <c r="HS485" s="386"/>
      <c r="HT485" s="375"/>
      <c r="HU485" s="375"/>
      <c r="HW485" s="385"/>
      <c r="HX485" s="386"/>
      <c r="HY485" s="375"/>
      <c r="HZ485" s="375"/>
      <c r="IB485" s="385"/>
      <c r="IC485" s="386"/>
      <c r="ID485" s="375"/>
      <c r="IE485" s="375"/>
      <c r="IG485" s="385"/>
      <c r="IH485" s="386"/>
      <c r="II485" s="375"/>
      <c r="IJ485" s="375"/>
      <c r="IL485" s="385"/>
      <c r="IM485" s="386"/>
      <c r="IN485" s="375"/>
      <c r="IO485" s="375"/>
      <c r="IQ485" s="385"/>
      <c r="IR485" s="386"/>
      <c r="IS485" s="375"/>
      <c r="IT485" s="375"/>
      <c r="IV485" s="385"/>
    </row>
    <row r="486" spans="1:256" s="387" customFormat="1" x14ac:dyDescent="0.2">
      <c r="A486" s="385"/>
      <c r="B486" s="386"/>
      <c r="C486" s="375"/>
      <c r="D486" s="375"/>
      <c r="F486" s="385"/>
      <c r="G486" s="386"/>
      <c r="H486" s="375"/>
      <c r="I486" s="375"/>
      <c r="K486" s="385"/>
      <c r="L486" s="386"/>
      <c r="M486" s="375"/>
      <c r="N486" s="375"/>
      <c r="P486" s="385"/>
      <c r="Q486" s="386"/>
      <c r="R486" s="375"/>
      <c r="S486" s="375"/>
      <c r="U486" s="385"/>
      <c r="V486" s="386"/>
      <c r="W486" s="375"/>
      <c r="X486" s="375"/>
      <c r="Z486" s="385"/>
      <c r="AA486" s="386"/>
      <c r="AB486" s="375"/>
      <c r="AC486" s="375"/>
      <c r="AE486" s="385"/>
      <c r="AF486" s="386"/>
      <c r="AG486" s="375"/>
      <c r="AH486" s="375"/>
      <c r="AJ486" s="385"/>
      <c r="AK486" s="386"/>
      <c r="AL486" s="375"/>
      <c r="AM486" s="375"/>
      <c r="AO486" s="385"/>
      <c r="AP486" s="386"/>
      <c r="AQ486" s="375"/>
      <c r="AR486" s="375"/>
      <c r="AT486" s="385"/>
      <c r="AU486" s="386"/>
      <c r="AV486" s="375"/>
      <c r="AW486" s="375"/>
      <c r="AY486" s="385"/>
      <c r="AZ486" s="386"/>
      <c r="BA486" s="375"/>
      <c r="BB486" s="375"/>
      <c r="BD486" s="385"/>
      <c r="BE486" s="386"/>
      <c r="BF486" s="375"/>
      <c r="BG486" s="375"/>
      <c r="BI486" s="385"/>
      <c r="BJ486" s="386"/>
      <c r="BK486" s="375"/>
      <c r="BL486" s="375"/>
      <c r="BN486" s="385"/>
      <c r="BO486" s="386"/>
      <c r="BP486" s="375"/>
      <c r="BQ486" s="375"/>
      <c r="BS486" s="385"/>
      <c r="BT486" s="386"/>
      <c r="BU486" s="375"/>
      <c r="BV486" s="375"/>
      <c r="BX486" s="385"/>
      <c r="BY486" s="386"/>
      <c r="BZ486" s="375"/>
      <c r="CA486" s="375"/>
      <c r="CC486" s="385"/>
      <c r="CD486" s="386"/>
      <c r="CE486" s="375"/>
      <c r="CF486" s="375"/>
      <c r="CH486" s="385"/>
      <c r="CI486" s="386"/>
      <c r="CJ486" s="375"/>
      <c r="CK486" s="375"/>
      <c r="CM486" s="385"/>
      <c r="CN486" s="386"/>
      <c r="CO486" s="375"/>
      <c r="CP486" s="375"/>
      <c r="CR486" s="385"/>
      <c r="CS486" s="386"/>
      <c r="CT486" s="375"/>
      <c r="CU486" s="375"/>
      <c r="CW486" s="385"/>
      <c r="CX486" s="386"/>
      <c r="CY486" s="375"/>
      <c r="CZ486" s="375"/>
      <c r="DB486" s="385"/>
      <c r="DC486" s="386"/>
      <c r="DD486" s="375"/>
      <c r="DE486" s="375"/>
      <c r="DG486" s="385"/>
      <c r="DH486" s="386"/>
      <c r="DI486" s="375"/>
      <c r="DJ486" s="375"/>
      <c r="DL486" s="385"/>
      <c r="DM486" s="386"/>
      <c r="DN486" s="375"/>
      <c r="DO486" s="375"/>
      <c r="DQ486" s="385"/>
      <c r="DR486" s="386"/>
      <c r="DS486" s="375"/>
      <c r="DT486" s="375"/>
      <c r="DV486" s="385"/>
      <c r="DW486" s="386"/>
      <c r="DX486" s="375"/>
      <c r="DY486" s="375"/>
      <c r="EA486" s="385"/>
      <c r="EB486" s="386"/>
      <c r="EC486" s="375"/>
      <c r="ED486" s="375"/>
      <c r="EF486" s="385"/>
      <c r="EG486" s="386"/>
      <c r="EH486" s="375"/>
      <c r="EI486" s="375"/>
      <c r="EK486" s="385"/>
      <c r="EL486" s="386"/>
      <c r="EM486" s="375"/>
      <c r="EN486" s="375"/>
      <c r="EP486" s="385"/>
      <c r="EQ486" s="386"/>
      <c r="ER486" s="375"/>
      <c r="ES486" s="375"/>
      <c r="EU486" s="385"/>
      <c r="EV486" s="386"/>
      <c r="EW486" s="375"/>
      <c r="EX486" s="375"/>
      <c r="EZ486" s="385"/>
      <c r="FA486" s="386"/>
      <c r="FB486" s="375"/>
      <c r="FC486" s="375"/>
      <c r="FE486" s="385"/>
      <c r="FF486" s="386"/>
      <c r="FG486" s="375"/>
      <c r="FH486" s="375"/>
      <c r="FJ486" s="385"/>
      <c r="FK486" s="386"/>
      <c r="FL486" s="375"/>
      <c r="FM486" s="375"/>
      <c r="FO486" s="385"/>
      <c r="FP486" s="386"/>
      <c r="FQ486" s="375"/>
      <c r="FR486" s="375"/>
      <c r="FT486" s="385"/>
      <c r="FU486" s="386"/>
      <c r="FV486" s="375"/>
      <c r="FW486" s="375"/>
      <c r="FY486" s="385"/>
      <c r="FZ486" s="386"/>
      <c r="GA486" s="375"/>
      <c r="GB486" s="375"/>
      <c r="GD486" s="385"/>
      <c r="GE486" s="386"/>
      <c r="GF486" s="375"/>
      <c r="GG486" s="375"/>
      <c r="GI486" s="385"/>
      <c r="GJ486" s="386"/>
      <c r="GK486" s="375"/>
      <c r="GL486" s="375"/>
      <c r="GN486" s="385"/>
      <c r="GO486" s="386"/>
      <c r="GP486" s="375"/>
      <c r="GQ486" s="375"/>
      <c r="GS486" s="385"/>
      <c r="GT486" s="386"/>
      <c r="GU486" s="375"/>
      <c r="GV486" s="375"/>
      <c r="GX486" s="385"/>
      <c r="GY486" s="386"/>
      <c r="GZ486" s="375"/>
      <c r="HA486" s="375"/>
      <c r="HC486" s="385"/>
      <c r="HD486" s="386"/>
      <c r="HE486" s="375"/>
      <c r="HF486" s="375"/>
      <c r="HH486" s="385"/>
      <c r="HI486" s="386"/>
      <c r="HJ486" s="375"/>
      <c r="HK486" s="375"/>
      <c r="HM486" s="385"/>
      <c r="HN486" s="386"/>
      <c r="HO486" s="375"/>
      <c r="HP486" s="375"/>
      <c r="HR486" s="385"/>
      <c r="HS486" s="386"/>
      <c r="HT486" s="375"/>
      <c r="HU486" s="375"/>
      <c r="HW486" s="385"/>
      <c r="HX486" s="386"/>
      <c r="HY486" s="375"/>
      <c r="HZ486" s="375"/>
      <c r="IB486" s="385"/>
      <c r="IC486" s="386"/>
      <c r="ID486" s="375"/>
      <c r="IE486" s="375"/>
      <c r="IG486" s="385"/>
      <c r="IH486" s="386"/>
      <c r="II486" s="375"/>
      <c r="IJ486" s="375"/>
      <c r="IL486" s="385"/>
      <c r="IM486" s="386"/>
      <c r="IN486" s="375"/>
      <c r="IO486" s="375"/>
      <c r="IQ486" s="385"/>
      <c r="IR486" s="386"/>
      <c r="IS486" s="375"/>
      <c r="IT486" s="375"/>
      <c r="IV486" s="385"/>
    </row>
    <row r="487" spans="1:256" s="387" customFormat="1" x14ac:dyDescent="0.2">
      <c r="A487" s="385"/>
      <c r="B487" s="386"/>
      <c r="C487" s="375"/>
      <c r="D487" s="375"/>
      <c r="F487" s="385"/>
      <c r="G487" s="386"/>
      <c r="H487" s="375"/>
      <c r="I487" s="375"/>
      <c r="K487" s="385"/>
      <c r="L487" s="386"/>
      <c r="M487" s="375"/>
      <c r="N487" s="375"/>
      <c r="P487" s="385"/>
      <c r="Q487" s="386"/>
      <c r="R487" s="375"/>
      <c r="S487" s="375"/>
      <c r="U487" s="385"/>
      <c r="V487" s="386"/>
      <c r="W487" s="375"/>
      <c r="X487" s="375"/>
      <c r="Z487" s="385"/>
      <c r="AA487" s="386"/>
      <c r="AB487" s="375"/>
      <c r="AC487" s="375"/>
      <c r="AE487" s="385"/>
      <c r="AF487" s="386"/>
      <c r="AG487" s="375"/>
      <c r="AH487" s="375"/>
      <c r="AJ487" s="385"/>
      <c r="AK487" s="386"/>
      <c r="AL487" s="375"/>
      <c r="AM487" s="375"/>
      <c r="AO487" s="385"/>
      <c r="AP487" s="386"/>
      <c r="AQ487" s="375"/>
      <c r="AR487" s="375"/>
      <c r="AT487" s="385"/>
      <c r="AU487" s="386"/>
      <c r="AV487" s="375"/>
      <c r="AW487" s="375"/>
      <c r="AY487" s="385"/>
      <c r="AZ487" s="386"/>
      <c r="BA487" s="375"/>
      <c r="BB487" s="375"/>
      <c r="BD487" s="385"/>
      <c r="BE487" s="386"/>
      <c r="BF487" s="375"/>
      <c r="BG487" s="375"/>
      <c r="BI487" s="385"/>
      <c r="BJ487" s="386"/>
      <c r="BK487" s="375"/>
      <c r="BL487" s="375"/>
      <c r="BN487" s="385"/>
      <c r="BO487" s="386"/>
      <c r="BP487" s="375"/>
      <c r="BQ487" s="375"/>
      <c r="BS487" s="385"/>
      <c r="BT487" s="386"/>
      <c r="BU487" s="375"/>
      <c r="BV487" s="375"/>
      <c r="BX487" s="385"/>
      <c r="BY487" s="386"/>
      <c r="BZ487" s="375"/>
      <c r="CA487" s="375"/>
      <c r="CC487" s="385"/>
      <c r="CD487" s="386"/>
      <c r="CE487" s="375"/>
      <c r="CF487" s="375"/>
      <c r="CH487" s="385"/>
      <c r="CI487" s="386"/>
      <c r="CJ487" s="375"/>
      <c r="CK487" s="375"/>
      <c r="CM487" s="385"/>
      <c r="CN487" s="386"/>
      <c r="CO487" s="375"/>
      <c r="CP487" s="375"/>
      <c r="CR487" s="385"/>
      <c r="CS487" s="386"/>
      <c r="CT487" s="375"/>
      <c r="CU487" s="375"/>
      <c r="CW487" s="385"/>
      <c r="CX487" s="386"/>
      <c r="CY487" s="375"/>
      <c r="CZ487" s="375"/>
      <c r="DB487" s="385"/>
      <c r="DC487" s="386"/>
      <c r="DD487" s="375"/>
      <c r="DE487" s="375"/>
      <c r="DG487" s="385"/>
      <c r="DH487" s="386"/>
      <c r="DI487" s="375"/>
      <c r="DJ487" s="375"/>
      <c r="DL487" s="385"/>
      <c r="DM487" s="386"/>
      <c r="DN487" s="375"/>
      <c r="DO487" s="375"/>
      <c r="DQ487" s="385"/>
      <c r="DR487" s="386"/>
      <c r="DS487" s="375"/>
      <c r="DT487" s="375"/>
      <c r="DV487" s="385"/>
      <c r="DW487" s="386"/>
      <c r="DX487" s="375"/>
      <c r="DY487" s="375"/>
      <c r="EA487" s="385"/>
      <c r="EB487" s="386"/>
      <c r="EC487" s="375"/>
      <c r="ED487" s="375"/>
      <c r="EF487" s="385"/>
      <c r="EG487" s="386"/>
      <c r="EH487" s="375"/>
      <c r="EI487" s="375"/>
      <c r="EK487" s="385"/>
      <c r="EL487" s="386"/>
      <c r="EM487" s="375"/>
      <c r="EN487" s="375"/>
      <c r="EP487" s="385"/>
      <c r="EQ487" s="386"/>
      <c r="ER487" s="375"/>
      <c r="ES487" s="375"/>
      <c r="EU487" s="385"/>
      <c r="EV487" s="386"/>
      <c r="EW487" s="375"/>
      <c r="EX487" s="375"/>
      <c r="EZ487" s="385"/>
      <c r="FA487" s="386"/>
      <c r="FB487" s="375"/>
      <c r="FC487" s="375"/>
      <c r="FE487" s="385"/>
      <c r="FF487" s="386"/>
      <c r="FG487" s="375"/>
      <c r="FH487" s="375"/>
      <c r="FJ487" s="385"/>
      <c r="FK487" s="386"/>
      <c r="FL487" s="375"/>
      <c r="FM487" s="375"/>
      <c r="FO487" s="385"/>
      <c r="FP487" s="386"/>
      <c r="FQ487" s="375"/>
      <c r="FR487" s="375"/>
      <c r="FT487" s="385"/>
      <c r="FU487" s="386"/>
      <c r="FV487" s="375"/>
      <c r="FW487" s="375"/>
      <c r="FY487" s="385"/>
      <c r="FZ487" s="386"/>
      <c r="GA487" s="375"/>
      <c r="GB487" s="375"/>
      <c r="GD487" s="385"/>
      <c r="GE487" s="386"/>
      <c r="GF487" s="375"/>
      <c r="GG487" s="375"/>
      <c r="GI487" s="385"/>
      <c r="GJ487" s="386"/>
      <c r="GK487" s="375"/>
      <c r="GL487" s="375"/>
      <c r="GN487" s="385"/>
      <c r="GO487" s="386"/>
      <c r="GP487" s="375"/>
      <c r="GQ487" s="375"/>
      <c r="GS487" s="385"/>
      <c r="GT487" s="386"/>
      <c r="GU487" s="375"/>
      <c r="GV487" s="375"/>
      <c r="GX487" s="385"/>
      <c r="GY487" s="386"/>
      <c r="GZ487" s="375"/>
      <c r="HA487" s="375"/>
      <c r="HC487" s="385"/>
      <c r="HD487" s="386"/>
      <c r="HE487" s="375"/>
      <c r="HF487" s="375"/>
      <c r="HH487" s="385"/>
      <c r="HI487" s="386"/>
      <c r="HJ487" s="375"/>
      <c r="HK487" s="375"/>
      <c r="HM487" s="385"/>
      <c r="HN487" s="386"/>
      <c r="HO487" s="375"/>
      <c r="HP487" s="375"/>
      <c r="HR487" s="385"/>
      <c r="HS487" s="386"/>
      <c r="HT487" s="375"/>
      <c r="HU487" s="375"/>
      <c r="HW487" s="385"/>
      <c r="HX487" s="386"/>
      <c r="HY487" s="375"/>
      <c r="HZ487" s="375"/>
      <c r="IB487" s="385"/>
      <c r="IC487" s="386"/>
      <c r="ID487" s="375"/>
      <c r="IE487" s="375"/>
      <c r="IG487" s="385"/>
      <c r="IH487" s="386"/>
      <c r="II487" s="375"/>
      <c r="IJ487" s="375"/>
      <c r="IL487" s="385"/>
      <c r="IM487" s="386"/>
      <c r="IN487" s="375"/>
      <c r="IO487" s="375"/>
      <c r="IQ487" s="385"/>
      <c r="IR487" s="386"/>
      <c r="IS487" s="375"/>
      <c r="IT487" s="375"/>
      <c r="IV487" s="385"/>
    </row>
    <row r="488" spans="1:256" s="387" customFormat="1" x14ac:dyDescent="0.2">
      <c r="A488" s="385"/>
      <c r="B488" s="386"/>
      <c r="C488" s="375"/>
      <c r="D488" s="375"/>
      <c r="F488" s="385"/>
      <c r="G488" s="386"/>
      <c r="H488" s="375"/>
      <c r="I488" s="375"/>
      <c r="K488" s="385"/>
      <c r="L488" s="386"/>
      <c r="M488" s="375"/>
      <c r="N488" s="375"/>
      <c r="P488" s="385"/>
      <c r="Q488" s="386"/>
      <c r="R488" s="375"/>
      <c r="S488" s="375"/>
      <c r="U488" s="385"/>
      <c r="V488" s="386"/>
      <c r="W488" s="375"/>
      <c r="X488" s="375"/>
      <c r="Z488" s="385"/>
      <c r="AA488" s="386"/>
      <c r="AB488" s="375"/>
      <c r="AC488" s="375"/>
      <c r="AE488" s="385"/>
      <c r="AF488" s="386"/>
      <c r="AG488" s="375"/>
      <c r="AH488" s="375"/>
      <c r="AJ488" s="385"/>
      <c r="AK488" s="386"/>
      <c r="AL488" s="375"/>
      <c r="AM488" s="375"/>
      <c r="AO488" s="385"/>
      <c r="AP488" s="386"/>
      <c r="AQ488" s="375"/>
      <c r="AR488" s="375"/>
      <c r="AT488" s="385"/>
      <c r="AU488" s="386"/>
      <c r="AV488" s="375"/>
      <c r="AW488" s="375"/>
      <c r="AY488" s="385"/>
      <c r="AZ488" s="386"/>
      <c r="BA488" s="375"/>
      <c r="BB488" s="375"/>
      <c r="BD488" s="385"/>
      <c r="BE488" s="386"/>
      <c r="BF488" s="375"/>
      <c r="BG488" s="375"/>
      <c r="BI488" s="385"/>
      <c r="BJ488" s="386"/>
      <c r="BK488" s="375"/>
      <c r="BL488" s="375"/>
      <c r="BN488" s="385"/>
      <c r="BO488" s="386"/>
      <c r="BP488" s="375"/>
      <c r="BQ488" s="375"/>
      <c r="BS488" s="385"/>
      <c r="BT488" s="386"/>
      <c r="BU488" s="375"/>
      <c r="BV488" s="375"/>
      <c r="BX488" s="385"/>
      <c r="BY488" s="386"/>
      <c r="BZ488" s="375"/>
      <c r="CA488" s="375"/>
      <c r="CC488" s="385"/>
      <c r="CD488" s="386"/>
      <c r="CE488" s="375"/>
      <c r="CF488" s="375"/>
      <c r="CH488" s="385"/>
      <c r="CI488" s="386"/>
      <c r="CJ488" s="375"/>
      <c r="CK488" s="375"/>
      <c r="CM488" s="385"/>
      <c r="CN488" s="386"/>
      <c r="CO488" s="375"/>
      <c r="CP488" s="375"/>
      <c r="CR488" s="385"/>
      <c r="CS488" s="386"/>
      <c r="CT488" s="375"/>
      <c r="CU488" s="375"/>
      <c r="CW488" s="385"/>
      <c r="CX488" s="386"/>
      <c r="CY488" s="375"/>
      <c r="CZ488" s="375"/>
      <c r="DB488" s="385"/>
      <c r="DC488" s="386"/>
      <c r="DD488" s="375"/>
      <c r="DE488" s="375"/>
      <c r="DG488" s="385"/>
      <c r="DH488" s="386"/>
      <c r="DI488" s="375"/>
      <c r="DJ488" s="375"/>
      <c r="DL488" s="385"/>
      <c r="DM488" s="386"/>
      <c r="DN488" s="375"/>
      <c r="DO488" s="375"/>
      <c r="DQ488" s="385"/>
      <c r="DR488" s="386"/>
      <c r="DS488" s="375"/>
      <c r="DT488" s="375"/>
      <c r="DV488" s="385"/>
      <c r="DW488" s="386"/>
      <c r="DX488" s="375"/>
      <c r="DY488" s="375"/>
      <c r="EA488" s="385"/>
      <c r="EB488" s="386"/>
      <c r="EC488" s="375"/>
      <c r="ED488" s="375"/>
      <c r="EF488" s="385"/>
      <c r="EG488" s="386"/>
      <c r="EH488" s="375"/>
      <c r="EI488" s="375"/>
      <c r="EK488" s="385"/>
      <c r="EL488" s="386"/>
      <c r="EM488" s="375"/>
      <c r="EN488" s="375"/>
      <c r="EP488" s="385"/>
      <c r="EQ488" s="386"/>
      <c r="ER488" s="375"/>
      <c r="ES488" s="375"/>
      <c r="EU488" s="385"/>
      <c r="EV488" s="386"/>
      <c r="EW488" s="375"/>
      <c r="EX488" s="375"/>
      <c r="EZ488" s="385"/>
      <c r="FA488" s="386"/>
      <c r="FB488" s="375"/>
      <c r="FC488" s="375"/>
      <c r="FE488" s="385"/>
      <c r="FF488" s="386"/>
      <c r="FG488" s="375"/>
      <c r="FH488" s="375"/>
      <c r="FJ488" s="385"/>
      <c r="FK488" s="386"/>
      <c r="FL488" s="375"/>
      <c r="FM488" s="375"/>
      <c r="FO488" s="385"/>
      <c r="FP488" s="386"/>
      <c r="FQ488" s="375"/>
      <c r="FR488" s="375"/>
      <c r="FT488" s="385"/>
      <c r="FU488" s="386"/>
      <c r="FV488" s="375"/>
      <c r="FW488" s="375"/>
      <c r="FY488" s="385"/>
      <c r="FZ488" s="386"/>
      <c r="GA488" s="375"/>
      <c r="GB488" s="375"/>
      <c r="GD488" s="385"/>
      <c r="GE488" s="386"/>
      <c r="GF488" s="375"/>
      <c r="GG488" s="375"/>
      <c r="GI488" s="385"/>
      <c r="GJ488" s="386"/>
      <c r="GK488" s="375"/>
      <c r="GL488" s="375"/>
      <c r="GN488" s="385"/>
      <c r="GO488" s="386"/>
      <c r="GP488" s="375"/>
      <c r="GQ488" s="375"/>
      <c r="GS488" s="385"/>
      <c r="GT488" s="386"/>
      <c r="GU488" s="375"/>
      <c r="GV488" s="375"/>
      <c r="GX488" s="385"/>
      <c r="GY488" s="386"/>
      <c r="GZ488" s="375"/>
      <c r="HA488" s="375"/>
      <c r="HC488" s="385"/>
      <c r="HD488" s="386"/>
      <c r="HE488" s="375"/>
      <c r="HF488" s="375"/>
      <c r="HH488" s="385"/>
      <c r="HI488" s="386"/>
      <c r="HJ488" s="375"/>
      <c r="HK488" s="375"/>
      <c r="HM488" s="385"/>
      <c r="HN488" s="386"/>
      <c r="HO488" s="375"/>
      <c r="HP488" s="375"/>
      <c r="HR488" s="385"/>
      <c r="HS488" s="386"/>
      <c r="HT488" s="375"/>
      <c r="HU488" s="375"/>
      <c r="HW488" s="385"/>
      <c r="HX488" s="386"/>
      <c r="HY488" s="375"/>
      <c r="HZ488" s="375"/>
      <c r="IB488" s="385"/>
      <c r="IC488" s="386"/>
      <c r="ID488" s="375"/>
      <c r="IE488" s="375"/>
      <c r="IG488" s="385"/>
      <c r="IH488" s="386"/>
      <c r="II488" s="375"/>
      <c r="IJ488" s="375"/>
      <c r="IL488" s="385"/>
      <c r="IM488" s="386"/>
      <c r="IN488" s="375"/>
      <c r="IO488" s="375"/>
      <c r="IQ488" s="385"/>
      <c r="IR488" s="386"/>
      <c r="IS488" s="375"/>
      <c r="IT488" s="375"/>
      <c r="IV488" s="385"/>
    </row>
    <row r="489" spans="1:256" s="387" customFormat="1" x14ac:dyDescent="0.2">
      <c r="A489" s="385"/>
      <c r="B489" s="386"/>
      <c r="C489" s="375"/>
      <c r="D489" s="375"/>
      <c r="F489" s="385"/>
      <c r="G489" s="386"/>
      <c r="H489" s="375"/>
      <c r="I489" s="375"/>
      <c r="K489" s="385"/>
      <c r="L489" s="386"/>
      <c r="M489" s="375"/>
      <c r="N489" s="375"/>
      <c r="P489" s="385"/>
      <c r="Q489" s="386"/>
      <c r="R489" s="375"/>
      <c r="S489" s="375"/>
      <c r="U489" s="385"/>
      <c r="V489" s="386"/>
      <c r="W489" s="375"/>
      <c r="X489" s="375"/>
      <c r="Z489" s="385"/>
      <c r="AA489" s="386"/>
      <c r="AB489" s="375"/>
      <c r="AC489" s="375"/>
      <c r="AE489" s="385"/>
      <c r="AF489" s="386"/>
      <c r="AG489" s="375"/>
      <c r="AH489" s="375"/>
      <c r="AJ489" s="385"/>
      <c r="AK489" s="386"/>
      <c r="AL489" s="375"/>
      <c r="AM489" s="375"/>
      <c r="AO489" s="385"/>
      <c r="AP489" s="386"/>
      <c r="AQ489" s="375"/>
      <c r="AR489" s="375"/>
      <c r="AT489" s="385"/>
      <c r="AU489" s="386"/>
      <c r="AV489" s="375"/>
      <c r="AW489" s="375"/>
      <c r="AY489" s="385"/>
      <c r="AZ489" s="386"/>
      <c r="BA489" s="375"/>
      <c r="BB489" s="375"/>
      <c r="BD489" s="385"/>
      <c r="BE489" s="386"/>
      <c r="BF489" s="375"/>
      <c r="BG489" s="375"/>
      <c r="BI489" s="385"/>
      <c r="BJ489" s="386"/>
      <c r="BK489" s="375"/>
      <c r="BL489" s="375"/>
      <c r="BN489" s="385"/>
      <c r="BO489" s="386"/>
      <c r="BP489" s="375"/>
      <c r="BQ489" s="375"/>
      <c r="BS489" s="385"/>
      <c r="BT489" s="386"/>
      <c r="BU489" s="375"/>
      <c r="BV489" s="375"/>
      <c r="BX489" s="385"/>
      <c r="BY489" s="386"/>
      <c r="BZ489" s="375"/>
      <c r="CA489" s="375"/>
      <c r="CC489" s="385"/>
      <c r="CD489" s="386"/>
      <c r="CE489" s="375"/>
      <c r="CF489" s="375"/>
      <c r="CH489" s="385"/>
      <c r="CI489" s="386"/>
      <c r="CJ489" s="375"/>
      <c r="CK489" s="375"/>
      <c r="CM489" s="385"/>
      <c r="CN489" s="386"/>
      <c r="CO489" s="375"/>
      <c r="CP489" s="375"/>
      <c r="CR489" s="385"/>
      <c r="CS489" s="386"/>
      <c r="CT489" s="375"/>
      <c r="CU489" s="375"/>
      <c r="CW489" s="385"/>
      <c r="CX489" s="386"/>
      <c r="CY489" s="375"/>
      <c r="CZ489" s="375"/>
      <c r="DB489" s="385"/>
      <c r="DC489" s="386"/>
      <c r="DD489" s="375"/>
      <c r="DE489" s="375"/>
      <c r="DG489" s="385"/>
      <c r="DH489" s="386"/>
      <c r="DI489" s="375"/>
      <c r="DJ489" s="375"/>
      <c r="DL489" s="385"/>
      <c r="DM489" s="386"/>
      <c r="DN489" s="375"/>
      <c r="DO489" s="375"/>
      <c r="DQ489" s="385"/>
      <c r="DR489" s="386"/>
      <c r="DS489" s="375"/>
      <c r="DT489" s="375"/>
      <c r="DV489" s="385"/>
      <c r="DW489" s="386"/>
      <c r="DX489" s="375"/>
      <c r="DY489" s="375"/>
      <c r="EA489" s="385"/>
      <c r="EB489" s="386"/>
      <c r="EC489" s="375"/>
      <c r="ED489" s="375"/>
      <c r="EF489" s="385"/>
      <c r="EG489" s="386"/>
      <c r="EH489" s="375"/>
      <c r="EI489" s="375"/>
      <c r="EK489" s="385"/>
      <c r="EL489" s="386"/>
      <c r="EM489" s="375"/>
      <c r="EN489" s="375"/>
      <c r="EP489" s="385"/>
      <c r="EQ489" s="386"/>
      <c r="ER489" s="375"/>
      <c r="ES489" s="375"/>
      <c r="EU489" s="385"/>
      <c r="EV489" s="386"/>
      <c r="EW489" s="375"/>
      <c r="EX489" s="375"/>
      <c r="EZ489" s="385"/>
      <c r="FA489" s="386"/>
      <c r="FB489" s="375"/>
      <c r="FC489" s="375"/>
      <c r="FE489" s="385"/>
      <c r="FF489" s="386"/>
      <c r="FG489" s="375"/>
      <c r="FH489" s="375"/>
      <c r="FJ489" s="385"/>
      <c r="FK489" s="386"/>
      <c r="FL489" s="375"/>
      <c r="FM489" s="375"/>
      <c r="FO489" s="385"/>
      <c r="FP489" s="386"/>
      <c r="FQ489" s="375"/>
      <c r="FR489" s="375"/>
      <c r="FT489" s="385"/>
      <c r="FU489" s="386"/>
      <c r="FV489" s="375"/>
      <c r="FW489" s="375"/>
      <c r="FY489" s="385"/>
      <c r="FZ489" s="386"/>
      <c r="GA489" s="375"/>
      <c r="GB489" s="375"/>
      <c r="GD489" s="385"/>
      <c r="GE489" s="386"/>
      <c r="GF489" s="375"/>
      <c r="GG489" s="375"/>
      <c r="GI489" s="385"/>
      <c r="GJ489" s="386"/>
      <c r="GK489" s="375"/>
      <c r="GL489" s="375"/>
      <c r="GN489" s="385"/>
      <c r="GO489" s="386"/>
      <c r="GP489" s="375"/>
      <c r="GQ489" s="375"/>
      <c r="GS489" s="385"/>
      <c r="GT489" s="386"/>
      <c r="GU489" s="375"/>
      <c r="GV489" s="375"/>
      <c r="GX489" s="385"/>
      <c r="GY489" s="386"/>
      <c r="GZ489" s="375"/>
      <c r="HA489" s="375"/>
      <c r="HC489" s="385"/>
      <c r="HD489" s="386"/>
      <c r="HE489" s="375"/>
      <c r="HF489" s="375"/>
      <c r="HH489" s="385"/>
      <c r="HI489" s="386"/>
      <c r="HJ489" s="375"/>
      <c r="HK489" s="375"/>
      <c r="HM489" s="385"/>
      <c r="HN489" s="386"/>
      <c r="HO489" s="375"/>
      <c r="HP489" s="375"/>
      <c r="HR489" s="385"/>
      <c r="HS489" s="386"/>
      <c r="HT489" s="375"/>
      <c r="HU489" s="375"/>
      <c r="HW489" s="385"/>
      <c r="HX489" s="386"/>
      <c r="HY489" s="375"/>
      <c r="HZ489" s="375"/>
      <c r="IB489" s="385"/>
      <c r="IC489" s="386"/>
      <c r="ID489" s="375"/>
      <c r="IE489" s="375"/>
      <c r="IG489" s="385"/>
      <c r="IH489" s="386"/>
      <c r="II489" s="375"/>
      <c r="IJ489" s="375"/>
      <c r="IL489" s="385"/>
      <c r="IM489" s="386"/>
      <c r="IN489" s="375"/>
      <c r="IO489" s="375"/>
      <c r="IQ489" s="385"/>
      <c r="IR489" s="386"/>
      <c r="IS489" s="375"/>
      <c r="IT489" s="375"/>
      <c r="IV489" s="385"/>
    </row>
    <row r="490" spans="1:256" s="387" customFormat="1" x14ac:dyDescent="0.2">
      <c r="A490" s="385"/>
      <c r="B490" s="386"/>
      <c r="C490" s="375"/>
      <c r="D490" s="375"/>
      <c r="F490" s="385"/>
      <c r="G490" s="386"/>
      <c r="H490" s="375"/>
      <c r="I490" s="375"/>
      <c r="K490" s="385"/>
      <c r="L490" s="386"/>
      <c r="M490" s="375"/>
      <c r="N490" s="375"/>
      <c r="P490" s="385"/>
      <c r="Q490" s="386"/>
      <c r="R490" s="375"/>
      <c r="S490" s="375"/>
      <c r="U490" s="385"/>
      <c r="V490" s="386"/>
      <c r="W490" s="375"/>
      <c r="X490" s="375"/>
      <c r="Z490" s="385"/>
      <c r="AA490" s="386"/>
      <c r="AB490" s="375"/>
      <c r="AC490" s="375"/>
      <c r="AE490" s="385"/>
      <c r="AF490" s="386"/>
      <c r="AG490" s="375"/>
      <c r="AH490" s="375"/>
      <c r="AJ490" s="385"/>
      <c r="AK490" s="386"/>
      <c r="AL490" s="375"/>
      <c r="AM490" s="375"/>
      <c r="AO490" s="385"/>
      <c r="AP490" s="386"/>
      <c r="AQ490" s="375"/>
      <c r="AR490" s="375"/>
      <c r="AT490" s="385"/>
      <c r="AU490" s="386"/>
      <c r="AV490" s="375"/>
      <c r="AW490" s="375"/>
      <c r="AY490" s="385"/>
      <c r="AZ490" s="386"/>
      <c r="BA490" s="375"/>
      <c r="BB490" s="375"/>
      <c r="BD490" s="385"/>
      <c r="BE490" s="386"/>
      <c r="BF490" s="375"/>
      <c r="BG490" s="375"/>
      <c r="BI490" s="385"/>
      <c r="BJ490" s="386"/>
      <c r="BK490" s="375"/>
      <c r="BL490" s="375"/>
      <c r="BN490" s="385"/>
      <c r="BO490" s="386"/>
      <c r="BP490" s="375"/>
      <c r="BQ490" s="375"/>
      <c r="BS490" s="385"/>
      <c r="BT490" s="386"/>
      <c r="BU490" s="375"/>
      <c r="BV490" s="375"/>
      <c r="BX490" s="385"/>
      <c r="BY490" s="386"/>
      <c r="BZ490" s="375"/>
      <c r="CA490" s="375"/>
      <c r="CC490" s="385"/>
      <c r="CD490" s="386"/>
      <c r="CE490" s="375"/>
      <c r="CF490" s="375"/>
      <c r="CH490" s="385"/>
      <c r="CI490" s="386"/>
      <c r="CJ490" s="375"/>
      <c r="CK490" s="375"/>
      <c r="CM490" s="385"/>
      <c r="CN490" s="386"/>
      <c r="CO490" s="375"/>
      <c r="CP490" s="375"/>
      <c r="CR490" s="385"/>
      <c r="CS490" s="386"/>
      <c r="CT490" s="375"/>
      <c r="CU490" s="375"/>
      <c r="CW490" s="385"/>
      <c r="CX490" s="386"/>
      <c r="CY490" s="375"/>
      <c r="CZ490" s="375"/>
      <c r="DB490" s="385"/>
      <c r="DC490" s="386"/>
      <c r="DD490" s="375"/>
      <c r="DE490" s="375"/>
      <c r="DG490" s="385"/>
      <c r="DH490" s="386"/>
      <c r="DI490" s="375"/>
      <c r="DJ490" s="375"/>
      <c r="DL490" s="385"/>
      <c r="DM490" s="386"/>
      <c r="DN490" s="375"/>
      <c r="DO490" s="375"/>
      <c r="DQ490" s="385"/>
      <c r="DR490" s="386"/>
      <c r="DS490" s="375"/>
      <c r="DT490" s="375"/>
      <c r="DV490" s="385"/>
      <c r="DW490" s="386"/>
      <c r="DX490" s="375"/>
      <c r="DY490" s="375"/>
      <c r="EA490" s="385"/>
      <c r="EB490" s="386"/>
      <c r="EC490" s="375"/>
      <c r="ED490" s="375"/>
      <c r="EF490" s="385"/>
      <c r="EG490" s="386"/>
      <c r="EH490" s="375"/>
      <c r="EI490" s="375"/>
      <c r="EK490" s="385"/>
      <c r="EL490" s="386"/>
      <c r="EM490" s="375"/>
      <c r="EN490" s="375"/>
      <c r="EP490" s="385"/>
      <c r="EQ490" s="386"/>
      <c r="ER490" s="375"/>
      <c r="ES490" s="375"/>
      <c r="EU490" s="385"/>
      <c r="EV490" s="386"/>
      <c r="EW490" s="375"/>
      <c r="EX490" s="375"/>
      <c r="EZ490" s="385"/>
      <c r="FA490" s="386"/>
      <c r="FB490" s="375"/>
      <c r="FC490" s="375"/>
      <c r="FE490" s="385"/>
      <c r="FF490" s="386"/>
      <c r="FG490" s="375"/>
      <c r="FH490" s="375"/>
      <c r="FJ490" s="385"/>
      <c r="FK490" s="386"/>
      <c r="FL490" s="375"/>
      <c r="FM490" s="375"/>
      <c r="FO490" s="385"/>
      <c r="FP490" s="386"/>
      <c r="FQ490" s="375"/>
      <c r="FR490" s="375"/>
      <c r="FT490" s="385"/>
      <c r="FU490" s="386"/>
      <c r="FV490" s="375"/>
      <c r="FW490" s="375"/>
      <c r="FY490" s="385"/>
      <c r="FZ490" s="386"/>
      <c r="GA490" s="375"/>
      <c r="GB490" s="375"/>
      <c r="GD490" s="385"/>
      <c r="GE490" s="386"/>
      <c r="GF490" s="375"/>
      <c r="GG490" s="375"/>
      <c r="GI490" s="385"/>
      <c r="GJ490" s="386"/>
      <c r="GK490" s="375"/>
      <c r="GL490" s="375"/>
      <c r="GN490" s="385"/>
      <c r="GO490" s="386"/>
      <c r="GP490" s="375"/>
      <c r="GQ490" s="375"/>
      <c r="GS490" s="385"/>
      <c r="GT490" s="386"/>
      <c r="GU490" s="375"/>
      <c r="GV490" s="375"/>
      <c r="GX490" s="385"/>
      <c r="GY490" s="386"/>
      <c r="GZ490" s="375"/>
      <c r="HA490" s="375"/>
      <c r="HC490" s="385"/>
      <c r="HD490" s="386"/>
      <c r="HE490" s="375"/>
      <c r="HF490" s="375"/>
      <c r="HH490" s="385"/>
      <c r="HI490" s="386"/>
      <c r="HJ490" s="375"/>
      <c r="HK490" s="375"/>
      <c r="HM490" s="385"/>
      <c r="HN490" s="386"/>
      <c r="HO490" s="375"/>
      <c r="HP490" s="375"/>
      <c r="HR490" s="385"/>
      <c r="HS490" s="386"/>
      <c r="HT490" s="375"/>
      <c r="HU490" s="375"/>
      <c r="HW490" s="385"/>
      <c r="HX490" s="386"/>
      <c r="HY490" s="375"/>
      <c r="HZ490" s="375"/>
      <c r="IB490" s="385"/>
      <c r="IC490" s="386"/>
      <c r="ID490" s="375"/>
      <c r="IE490" s="375"/>
      <c r="IG490" s="385"/>
      <c r="IH490" s="386"/>
      <c r="II490" s="375"/>
      <c r="IJ490" s="375"/>
      <c r="IL490" s="385"/>
      <c r="IM490" s="386"/>
      <c r="IN490" s="375"/>
      <c r="IO490" s="375"/>
      <c r="IQ490" s="385"/>
      <c r="IR490" s="386"/>
      <c r="IS490" s="375"/>
      <c r="IT490" s="375"/>
      <c r="IV490" s="385"/>
    </row>
    <row r="491" spans="1:256" s="387" customFormat="1" x14ac:dyDescent="0.2">
      <c r="A491" s="385"/>
      <c r="B491" s="386"/>
      <c r="C491" s="375"/>
      <c r="D491" s="375"/>
      <c r="F491" s="385"/>
      <c r="G491" s="386"/>
      <c r="H491" s="375"/>
      <c r="I491" s="375"/>
      <c r="K491" s="385"/>
      <c r="L491" s="386"/>
      <c r="M491" s="375"/>
      <c r="N491" s="375"/>
      <c r="P491" s="385"/>
      <c r="Q491" s="386"/>
      <c r="R491" s="375"/>
      <c r="S491" s="375"/>
      <c r="U491" s="385"/>
      <c r="V491" s="386"/>
      <c r="W491" s="375"/>
      <c r="X491" s="375"/>
      <c r="Z491" s="385"/>
      <c r="AA491" s="386"/>
      <c r="AB491" s="375"/>
      <c r="AC491" s="375"/>
      <c r="AE491" s="385"/>
      <c r="AF491" s="386"/>
      <c r="AG491" s="375"/>
      <c r="AH491" s="375"/>
      <c r="AJ491" s="385"/>
      <c r="AK491" s="386"/>
      <c r="AL491" s="375"/>
      <c r="AM491" s="375"/>
      <c r="AO491" s="385"/>
      <c r="AP491" s="386"/>
      <c r="AQ491" s="375"/>
      <c r="AR491" s="375"/>
      <c r="AT491" s="385"/>
      <c r="AU491" s="386"/>
      <c r="AV491" s="375"/>
      <c r="AW491" s="375"/>
      <c r="AY491" s="385"/>
      <c r="AZ491" s="386"/>
      <c r="BA491" s="375"/>
      <c r="BB491" s="375"/>
      <c r="BD491" s="385"/>
      <c r="BE491" s="386"/>
      <c r="BF491" s="375"/>
      <c r="BG491" s="375"/>
      <c r="BI491" s="385"/>
      <c r="BJ491" s="386"/>
      <c r="BK491" s="375"/>
      <c r="BL491" s="375"/>
      <c r="BN491" s="385"/>
      <c r="BO491" s="386"/>
      <c r="BP491" s="375"/>
      <c r="BQ491" s="375"/>
      <c r="BS491" s="385"/>
      <c r="BT491" s="386"/>
      <c r="BU491" s="375"/>
      <c r="BV491" s="375"/>
      <c r="BX491" s="385"/>
      <c r="BY491" s="386"/>
      <c r="BZ491" s="375"/>
      <c r="CA491" s="375"/>
      <c r="CC491" s="385"/>
      <c r="CD491" s="386"/>
      <c r="CE491" s="375"/>
      <c r="CF491" s="375"/>
      <c r="CH491" s="385"/>
      <c r="CI491" s="386"/>
      <c r="CJ491" s="375"/>
      <c r="CK491" s="375"/>
      <c r="CM491" s="385"/>
      <c r="CN491" s="386"/>
      <c r="CO491" s="375"/>
      <c r="CP491" s="375"/>
      <c r="CR491" s="385"/>
      <c r="CS491" s="386"/>
      <c r="CT491" s="375"/>
      <c r="CU491" s="375"/>
      <c r="CW491" s="385"/>
      <c r="CX491" s="386"/>
      <c r="CY491" s="375"/>
      <c r="CZ491" s="375"/>
      <c r="DB491" s="385"/>
      <c r="DC491" s="386"/>
      <c r="DD491" s="375"/>
      <c r="DE491" s="375"/>
      <c r="DG491" s="385"/>
      <c r="DH491" s="386"/>
      <c r="DI491" s="375"/>
      <c r="DJ491" s="375"/>
      <c r="DL491" s="385"/>
      <c r="DM491" s="386"/>
      <c r="DN491" s="375"/>
      <c r="DO491" s="375"/>
      <c r="DQ491" s="385"/>
      <c r="DR491" s="386"/>
      <c r="DS491" s="375"/>
      <c r="DT491" s="375"/>
      <c r="DV491" s="385"/>
      <c r="DW491" s="386"/>
      <c r="DX491" s="375"/>
      <c r="DY491" s="375"/>
      <c r="EA491" s="385"/>
      <c r="EB491" s="386"/>
      <c r="EC491" s="375"/>
      <c r="ED491" s="375"/>
      <c r="EF491" s="385"/>
      <c r="EG491" s="386"/>
      <c r="EH491" s="375"/>
      <c r="EI491" s="375"/>
      <c r="EK491" s="385"/>
      <c r="EL491" s="386"/>
      <c r="EM491" s="375"/>
      <c r="EN491" s="375"/>
      <c r="EP491" s="385"/>
      <c r="EQ491" s="386"/>
      <c r="ER491" s="375"/>
      <c r="ES491" s="375"/>
      <c r="EU491" s="385"/>
      <c r="EV491" s="386"/>
      <c r="EW491" s="375"/>
      <c r="EX491" s="375"/>
      <c r="EZ491" s="385"/>
      <c r="FA491" s="386"/>
      <c r="FB491" s="375"/>
      <c r="FC491" s="375"/>
      <c r="FE491" s="385"/>
      <c r="FF491" s="386"/>
      <c r="FG491" s="375"/>
      <c r="FH491" s="375"/>
      <c r="FJ491" s="385"/>
      <c r="FK491" s="386"/>
      <c r="FL491" s="375"/>
      <c r="FM491" s="375"/>
      <c r="FO491" s="385"/>
      <c r="FP491" s="386"/>
      <c r="FQ491" s="375"/>
      <c r="FR491" s="375"/>
      <c r="FT491" s="385"/>
      <c r="FU491" s="386"/>
      <c r="FV491" s="375"/>
      <c r="FW491" s="375"/>
      <c r="FY491" s="385"/>
      <c r="FZ491" s="386"/>
      <c r="GA491" s="375"/>
      <c r="GB491" s="375"/>
      <c r="GD491" s="385"/>
      <c r="GE491" s="386"/>
      <c r="GF491" s="375"/>
      <c r="GG491" s="375"/>
      <c r="GI491" s="385"/>
      <c r="GJ491" s="386"/>
      <c r="GK491" s="375"/>
      <c r="GL491" s="375"/>
      <c r="GN491" s="385"/>
      <c r="GO491" s="386"/>
      <c r="GP491" s="375"/>
      <c r="GQ491" s="375"/>
      <c r="GS491" s="385"/>
      <c r="GT491" s="386"/>
      <c r="GU491" s="375"/>
      <c r="GV491" s="375"/>
      <c r="GX491" s="385"/>
      <c r="GY491" s="386"/>
      <c r="GZ491" s="375"/>
      <c r="HA491" s="375"/>
      <c r="HC491" s="385"/>
      <c r="HD491" s="386"/>
      <c r="HE491" s="375"/>
      <c r="HF491" s="375"/>
      <c r="HH491" s="385"/>
      <c r="HI491" s="386"/>
      <c r="HJ491" s="375"/>
      <c r="HK491" s="375"/>
      <c r="HM491" s="385"/>
      <c r="HN491" s="386"/>
      <c r="HO491" s="375"/>
      <c r="HP491" s="375"/>
      <c r="HR491" s="385"/>
      <c r="HS491" s="386"/>
      <c r="HT491" s="375"/>
      <c r="HU491" s="375"/>
      <c r="HW491" s="385"/>
      <c r="HX491" s="386"/>
      <c r="HY491" s="375"/>
      <c r="HZ491" s="375"/>
      <c r="IB491" s="385"/>
      <c r="IC491" s="386"/>
      <c r="ID491" s="375"/>
      <c r="IE491" s="375"/>
      <c r="IG491" s="385"/>
      <c r="IH491" s="386"/>
      <c r="II491" s="375"/>
      <c r="IJ491" s="375"/>
      <c r="IL491" s="385"/>
      <c r="IM491" s="386"/>
      <c r="IN491" s="375"/>
      <c r="IO491" s="375"/>
      <c r="IQ491" s="385"/>
      <c r="IR491" s="386"/>
      <c r="IS491" s="375"/>
      <c r="IT491" s="375"/>
      <c r="IV491" s="385"/>
    </row>
    <row r="492" spans="1:256" s="387" customFormat="1" x14ac:dyDescent="0.2">
      <c r="A492" s="385"/>
      <c r="B492" s="386"/>
      <c r="C492" s="375"/>
      <c r="D492" s="375"/>
      <c r="F492" s="385"/>
      <c r="G492" s="386"/>
      <c r="H492" s="375"/>
      <c r="I492" s="375"/>
      <c r="K492" s="385"/>
      <c r="L492" s="386"/>
      <c r="M492" s="375"/>
      <c r="N492" s="375"/>
      <c r="P492" s="385"/>
      <c r="Q492" s="386"/>
      <c r="R492" s="375"/>
      <c r="S492" s="375"/>
      <c r="U492" s="385"/>
      <c r="V492" s="386"/>
      <c r="W492" s="375"/>
      <c r="X492" s="375"/>
      <c r="Z492" s="385"/>
      <c r="AA492" s="386"/>
      <c r="AB492" s="375"/>
      <c r="AC492" s="375"/>
      <c r="AE492" s="385"/>
      <c r="AF492" s="386"/>
      <c r="AG492" s="375"/>
      <c r="AH492" s="375"/>
      <c r="AJ492" s="385"/>
      <c r="AK492" s="386"/>
      <c r="AL492" s="375"/>
      <c r="AM492" s="375"/>
      <c r="AO492" s="385"/>
      <c r="AP492" s="386"/>
      <c r="AQ492" s="375"/>
      <c r="AR492" s="375"/>
      <c r="AT492" s="385"/>
      <c r="AU492" s="386"/>
      <c r="AV492" s="375"/>
      <c r="AW492" s="375"/>
      <c r="AY492" s="385"/>
      <c r="AZ492" s="386"/>
      <c r="BA492" s="375"/>
      <c r="BB492" s="375"/>
      <c r="BD492" s="385"/>
      <c r="BE492" s="386"/>
      <c r="BF492" s="375"/>
      <c r="BG492" s="375"/>
      <c r="BI492" s="385"/>
      <c r="BJ492" s="386"/>
      <c r="BK492" s="375"/>
      <c r="BL492" s="375"/>
      <c r="BN492" s="385"/>
      <c r="BO492" s="386"/>
      <c r="BP492" s="375"/>
      <c r="BQ492" s="375"/>
      <c r="BS492" s="385"/>
      <c r="BT492" s="386"/>
      <c r="BU492" s="375"/>
      <c r="BV492" s="375"/>
      <c r="BX492" s="385"/>
      <c r="BY492" s="386"/>
      <c r="BZ492" s="375"/>
      <c r="CA492" s="375"/>
      <c r="CC492" s="385"/>
      <c r="CD492" s="386"/>
      <c r="CE492" s="375"/>
      <c r="CF492" s="375"/>
      <c r="CH492" s="385"/>
      <c r="CI492" s="386"/>
      <c r="CJ492" s="375"/>
      <c r="CK492" s="375"/>
      <c r="CM492" s="385"/>
      <c r="CN492" s="386"/>
      <c r="CO492" s="375"/>
      <c r="CP492" s="375"/>
      <c r="CR492" s="385"/>
      <c r="CS492" s="386"/>
      <c r="CT492" s="375"/>
      <c r="CU492" s="375"/>
      <c r="CW492" s="385"/>
      <c r="CX492" s="386"/>
      <c r="CY492" s="375"/>
      <c r="CZ492" s="375"/>
      <c r="DB492" s="385"/>
      <c r="DC492" s="386"/>
      <c r="DD492" s="375"/>
      <c r="DE492" s="375"/>
      <c r="DG492" s="385"/>
      <c r="DH492" s="386"/>
      <c r="DI492" s="375"/>
      <c r="DJ492" s="375"/>
      <c r="DL492" s="385"/>
      <c r="DM492" s="386"/>
      <c r="DN492" s="375"/>
      <c r="DO492" s="375"/>
      <c r="DQ492" s="385"/>
      <c r="DR492" s="386"/>
      <c r="DS492" s="375"/>
      <c r="DT492" s="375"/>
      <c r="DV492" s="385"/>
      <c r="DW492" s="386"/>
      <c r="DX492" s="375"/>
      <c r="DY492" s="375"/>
      <c r="EA492" s="385"/>
      <c r="EB492" s="386"/>
      <c r="EC492" s="375"/>
      <c r="ED492" s="375"/>
      <c r="EF492" s="385"/>
      <c r="EG492" s="386"/>
      <c r="EH492" s="375"/>
      <c r="EI492" s="375"/>
      <c r="EK492" s="385"/>
      <c r="EL492" s="386"/>
      <c r="EM492" s="375"/>
      <c r="EN492" s="375"/>
      <c r="EP492" s="385"/>
      <c r="EQ492" s="386"/>
      <c r="ER492" s="375"/>
      <c r="ES492" s="375"/>
      <c r="EU492" s="385"/>
      <c r="EV492" s="386"/>
      <c r="EW492" s="375"/>
      <c r="EX492" s="375"/>
      <c r="EZ492" s="385"/>
      <c r="FA492" s="386"/>
      <c r="FB492" s="375"/>
      <c r="FC492" s="375"/>
      <c r="FE492" s="385"/>
      <c r="FF492" s="386"/>
      <c r="FG492" s="375"/>
      <c r="FH492" s="375"/>
      <c r="FJ492" s="385"/>
      <c r="FK492" s="386"/>
      <c r="FL492" s="375"/>
      <c r="FM492" s="375"/>
      <c r="FO492" s="385"/>
      <c r="FP492" s="386"/>
      <c r="FQ492" s="375"/>
      <c r="FR492" s="375"/>
      <c r="FT492" s="385"/>
      <c r="FU492" s="386"/>
      <c r="FV492" s="375"/>
      <c r="FW492" s="375"/>
      <c r="FY492" s="385"/>
      <c r="FZ492" s="386"/>
      <c r="GA492" s="375"/>
      <c r="GB492" s="375"/>
      <c r="GD492" s="385"/>
      <c r="GE492" s="386"/>
      <c r="GF492" s="375"/>
      <c r="GG492" s="375"/>
      <c r="GI492" s="385"/>
      <c r="GJ492" s="386"/>
      <c r="GK492" s="375"/>
      <c r="GL492" s="375"/>
      <c r="GN492" s="385"/>
      <c r="GO492" s="386"/>
      <c r="GP492" s="375"/>
      <c r="GQ492" s="375"/>
      <c r="GS492" s="385"/>
      <c r="GT492" s="386"/>
      <c r="GU492" s="375"/>
      <c r="GV492" s="375"/>
      <c r="GX492" s="385"/>
      <c r="GY492" s="386"/>
      <c r="GZ492" s="375"/>
      <c r="HA492" s="375"/>
      <c r="HC492" s="385"/>
      <c r="HD492" s="386"/>
      <c r="HE492" s="375"/>
      <c r="HF492" s="375"/>
      <c r="HH492" s="385"/>
      <c r="HI492" s="386"/>
      <c r="HJ492" s="375"/>
      <c r="HK492" s="375"/>
      <c r="HM492" s="385"/>
      <c r="HN492" s="386"/>
      <c r="HO492" s="375"/>
      <c r="HP492" s="375"/>
      <c r="HR492" s="385"/>
      <c r="HS492" s="386"/>
      <c r="HT492" s="375"/>
      <c r="HU492" s="375"/>
      <c r="HW492" s="385"/>
      <c r="HX492" s="386"/>
      <c r="HY492" s="375"/>
      <c r="HZ492" s="375"/>
      <c r="IB492" s="385"/>
      <c r="IC492" s="386"/>
      <c r="ID492" s="375"/>
      <c r="IE492" s="375"/>
      <c r="IG492" s="385"/>
      <c r="IH492" s="386"/>
      <c r="II492" s="375"/>
      <c r="IJ492" s="375"/>
      <c r="IL492" s="385"/>
      <c r="IM492" s="386"/>
      <c r="IN492" s="375"/>
      <c r="IO492" s="375"/>
      <c r="IQ492" s="385"/>
      <c r="IR492" s="386"/>
      <c r="IS492" s="375"/>
      <c r="IT492" s="375"/>
      <c r="IV492" s="385"/>
    </row>
    <row r="493" spans="1:256" s="387" customFormat="1" x14ac:dyDescent="0.2">
      <c r="A493" s="385"/>
      <c r="B493" s="386"/>
      <c r="C493" s="375"/>
      <c r="D493" s="375"/>
      <c r="F493" s="385"/>
      <c r="G493" s="386"/>
      <c r="H493" s="375"/>
      <c r="I493" s="375"/>
      <c r="K493" s="385"/>
      <c r="L493" s="386"/>
      <c r="M493" s="375"/>
      <c r="N493" s="375"/>
      <c r="P493" s="385"/>
      <c r="Q493" s="386"/>
      <c r="R493" s="375"/>
      <c r="S493" s="375"/>
      <c r="U493" s="385"/>
      <c r="V493" s="386"/>
      <c r="W493" s="375"/>
      <c r="X493" s="375"/>
      <c r="Z493" s="385"/>
      <c r="AA493" s="386"/>
      <c r="AB493" s="375"/>
      <c r="AC493" s="375"/>
      <c r="AE493" s="385"/>
      <c r="AF493" s="386"/>
      <c r="AG493" s="375"/>
      <c r="AH493" s="375"/>
      <c r="AJ493" s="385"/>
      <c r="AK493" s="386"/>
      <c r="AL493" s="375"/>
      <c r="AM493" s="375"/>
      <c r="AO493" s="385"/>
      <c r="AP493" s="386"/>
      <c r="AQ493" s="375"/>
      <c r="AR493" s="375"/>
      <c r="AT493" s="385"/>
      <c r="AU493" s="386"/>
      <c r="AV493" s="375"/>
      <c r="AW493" s="375"/>
      <c r="AY493" s="385"/>
      <c r="AZ493" s="386"/>
      <c r="BA493" s="375"/>
      <c r="BB493" s="375"/>
      <c r="BD493" s="385"/>
      <c r="BE493" s="386"/>
      <c r="BF493" s="375"/>
      <c r="BG493" s="375"/>
      <c r="BI493" s="385"/>
      <c r="BJ493" s="386"/>
      <c r="BK493" s="375"/>
      <c r="BL493" s="375"/>
      <c r="BN493" s="385"/>
      <c r="BO493" s="386"/>
      <c r="BP493" s="375"/>
      <c r="BQ493" s="375"/>
      <c r="BS493" s="385"/>
      <c r="BT493" s="386"/>
      <c r="BU493" s="375"/>
      <c r="BV493" s="375"/>
      <c r="BX493" s="385"/>
      <c r="BY493" s="386"/>
      <c r="BZ493" s="375"/>
      <c r="CA493" s="375"/>
      <c r="CC493" s="385"/>
      <c r="CD493" s="386"/>
      <c r="CE493" s="375"/>
      <c r="CF493" s="375"/>
      <c r="CH493" s="385"/>
      <c r="CI493" s="386"/>
      <c r="CJ493" s="375"/>
      <c r="CK493" s="375"/>
      <c r="CM493" s="385"/>
      <c r="CN493" s="386"/>
      <c r="CO493" s="375"/>
      <c r="CP493" s="375"/>
      <c r="CR493" s="385"/>
      <c r="CS493" s="386"/>
      <c r="CT493" s="375"/>
      <c r="CU493" s="375"/>
      <c r="CW493" s="385"/>
      <c r="CX493" s="386"/>
      <c r="CY493" s="375"/>
      <c r="CZ493" s="375"/>
      <c r="DB493" s="385"/>
      <c r="DC493" s="386"/>
      <c r="DD493" s="375"/>
      <c r="DE493" s="375"/>
      <c r="DG493" s="385"/>
      <c r="DH493" s="386"/>
      <c r="DI493" s="375"/>
      <c r="DJ493" s="375"/>
      <c r="DL493" s="385"/>
      <c r="DM493" s="386"/>
      <c r="DN493" s="375"/>
      <c r="DO493" s="375"/>
      <c r="DQ493" s="385"/>
      <c r="DR493" s="386"/>
      <c r="DS493" s="375"/>
      <c r="DT493" s="375"/>
      <c r="DV493" s="385"/>
      <c r="DW493" s="386"/>
      <c r="DX493" s="375"/>
      <c r="DY493" s="375"/>
      <c r="EA493" s="385"/>
      <c r="EB493" s="386"/>
      <c r="EC493" s="375"/>
      <c r="ED493" s="375"/>
      <c r="EF493" s="385"/>
      <c r="EG493" s="386"/>
      <c r="EH493" s="375"/>
      <c r="EI493" s="375"/>
      <c r="EK493" s="385"/>
      <c r="EL493" s="386"/>
      <c r="EM493" s="375"/>
      <c r="EN493" s="375"/>
      <c r="EP493" s="385"/>
      <c r="EQ493" s="386"/>
      <c r="ER493" s="375"/>
      <c r="ES493" s="375"/>
      <c r="EU493" s="385"/>
      <c r="EV493" s="386"/>
      <c r="EW493" s="375"/>
      <c r="EX493" s="375"/>
      <c r="EZ493" s="385"/>
      <c r="FA493" s="386"/>
      <c r="FB493" s="375"/>
      <c r="FC493" s="375"/>
      <c r="FE493" s="385"/>
      <c r="FF493" s="386"/>
      <c r="FG493" s="375"/>
      <c r="FH493" s="375"/>
      <c r="FJ493" s="385"/>
      <c r="FK493" s="386"/>
      <c r="FL493" s="375"/>
      <c r="FM493" s="375"/>
      <c r="FO493" s="385"/>
      <c r="FP493" s="386"/>
      <c r="FQ493" s="375"/>
      <c r="FR493" s="375"/>
      <c r="FT493" s="385"/>
      <c r="FU493" s="386"/>
      <c r="FV493" s="375"/>
      <c r="FW493" s="375"/>
      <c r="FY493" s="385"/>
      <c r="FZ493" s="386"/>
      <c r="GA493" s="375"/>
      <c r="GB493" s="375"/>
      <c r="GD493" s="385"/>
      <c r="GE493" s="386"/>
      <c r="GF493" s="375"/>
      <c r="GG493" s="375"/>
      <c r="GI493" s="385"/>
      <c r="GJ493" s="386"/>
      <c r="GK493" s="375"/>
      <c r="GL493" s="375"/>
      <c r="GN493" s="385"/>
      <c r="GO493" s="386"/>
      <c r="GP493" s="375"/>
      <c r="GQ493" s="375"/>
      <c r="GS493" s="385"/>
      <c r="GT493" s="386"/>
      <c r="GU493" s="375"/>
      <c r="GV493" s="375"/>
      <c r="GX493" s="385"/>
      <c r="GY493" s="386"/>
      <c r="GZ493" s="375"/>
      <c r="HA493" s="375"/>
      <c r="HC493" s="385"/>
      <c r="HD493" s="386"/>
      <c r="HE493" s="375"/>
      <c r="HF493" s="375"/>
      <c r="HH493" s="385"/>
      <c r="HI493" s="386"/>
      <c r="HJ493" s="375"/>
      <c r="HK493" s="375"/>
      <c r="HM493" s="385"/>
      <c r="HN493" s="386"/>
      <c r="HO493" s="375"/>
      <c r="HP493" s="375"/>
      <c r="HR493" s="385"/>
      <c r="HS493" s="386"/>
      <c r="HT493" s="375"/>
      <c r="HU493" s="375"/>
      <c r="HW493" s="385"/>
      <c r="HX493" s="386"/>
      <c r="HY493" s="375"/>
      <c r="HZ493" s="375"/>
      <c r="IB493" s="385"/>
      <c r="IC493" s="386"/>
      <c r="ID493" s="375"/>
      <c r="IE493" s="375"/>
      <c r="IG493" s="385"/>
      <c r="IH493" s="386"/>
      <c r="II493" s="375"/>
      <c r="IJ493" s="375"/>
      <c r="IL493" s="385"/>
      <c r="IM493" s="386"/>
      <c r="IN493" s="375"/>
      <c r="IO493" s="375"/>
      <c r="IQ493" s="385"/>
      <c r="IR493" s="386"/>
      <c r="IS493" s="375"/>
      <c r="IT493" s="375"/>
      <c r="IV493" s="385"/>
    </row>
    <row r="494" spans="1:256" s="387" customFormat="1" x14ac:dyDescent="0.2">
      <c r="A494" s="385"/>
      <c r="B494" s="386"/>
      <c r="C494" s="375"/>
      <c r="D494" s="375"/>
      <c r="F494" s="385"/>
      <c r="G494" s="386"/>
      <c r="H494" s="375"/>
      <c r="I494" s="375"/>
      <c r="K494" s="385"/>
      <c r="L494" s="386"/>
      <c r="M494" s="375"/>
      <c r="N494" s="375"/>
      <c r="P494" s="385"/>
      <c r="Q494" s="386"/>
      <c r="R494" s="375"/>
      <c r="S494" s="375"/>
      <c r="U494" s="385"/>
      <c r="V494" s="386"/>
      <c r="W494" s="375"/>
      <c r="X494" s="375"/>
      <c r="Z494" s="385"/>
      <c r="AA494" s="386"/>
      <c r="AB494" s="375"/>
      <c r="AC494" s="375"/>
      <c r="AE494" s="385"/>
      <c r="AF494" s="386"/>
      <c r="AG494" s="375"/>
      <c r="AH494" s="375"/>
      <c r="AJ494" s="385"/>
      <c r="AK494" s="386"/>
      <c r="AL494" s="375"/>
      <c r="AM494" s="375"/>
      <c r="AO494" s="385"/>
      <c r="AP494" s="386"/>
      <c r="AQ494" s="375"/>
      <c r="AR494" s="375"/>
      <c r="AT494" s="385"/>
      <c r="AU494" s="386"/>
      <c r="AV494" s="375"/>
      <c r="AW494" s="375"/>
      <c r="AY494" s="385"/>
      <c r="AZ494" s="386"/>
      <c r="BA494" s="375"/>
      <c r="BB494" s="375"/>
      <c r="BD494" s="385"/>
      <c r="BE494" s="386"/>
      <c r="BF494" s="375"/>
      <c r="BG494" s="375"/>
      <c r="BI494" s="385"/>
      <c r="BJ494" s="386"/>
      <c r="BK494" s="375"/>
      <c r="BL494" s="375"/>
      <c r="BN494" s="385"/>
      <c r="BO494" s="386"/>
      <c r="BP494" s="375"/>
      <c r="BQ494" s="375"/>
      <c r="BS494" s="385"/>
      <c r="BT494" s="386"/>
      <c r="BU494" s="375"/>
      <c r="BV494" s="375"/>
      <c r="BX494" s="385"/>
      <c r="BY494" s="386"/>
      <c r="BZ494" s="375"/>
      <c r="CA494" s="375"/>
      <c r="CC494" s="385"/>
      <c r="CD494" s="386"/>
      <c r="CE494" s="375"/>
      <c r="CF494" s="375"/>
      <c r="CH494" s="385"/>
      <c r="CI494" s="386"/>
      <c r="CJ494" s="375"/>
      <c r="CK494" s="375"/>
      <c r="CM494" s="385"/>
      <c r="CN494" s="386"/>
      <c r="CO494" s="375"/>
      <c r="CP494" s="375"/>
      <c r="CR494" s="385"/>
      <c r="CS494" s="386"/>
      <c r="CT494" s="375"/>
      <c r="CU494" s="375"/>
      <c r="CW494" s="385"/>
      <c r="CX494" s="386"/>
      <c r="CY494" s="375"/>
      <c r="CZ494" s="375"/>
      <c r="DB494" s="385"/>
      <c r="DC494" s="386"/>
      <c r="DD494" s="375"/>
      <c r="DE494" s="375"/>
      <c r="DG494" s="385"/>
      <c r="DH494" s="386"/>
      <c r="DI494" s="375"/>
      <c r="DJ494" s="375"/>
      <c r="DL494" s="385"/>
      <c r="DM494" s="386"/>
      <c r="DN494" s="375"/>
      <c r="DO494" s="375"/>
      <c r="DQ494" s="385"/>
      <c r="DR494" s="386"/>
      <c r="DS494" s="375"/>
      <c r="DT494" s="375"/>
      <c r="DV494" s="385"/>
      <c r="DW494" s="386"/>
      <c r="DX494" s="375"/>
      <c r="DY494" s="375"/>
      <c r="EA494" s="385"/>
      <c r="EB494" s="386"/>
      <c r="EC494" s="375"/>
      <c r="ED494" s="375"/>
      <c r="EF494" s="385"/>
      <c r="EG494" s="386"/>
      <c r="EH494" s="375"/>
      <c r="EI494" s="375"/>
      <c r="EK494" s="385"/>
      <c r="EL494" s="386"/>
      <c r="EM494" s="375"/>
      <c r="EN494" s="375"/>
      <c r="EP494" s="385"/>
      <c r="EQ494" s="386"/>
      <c r="ER494" s="375"/>
      <c r="ES494" s="375"/>
      <c r="EU494" s="385"/>
      <c r="EV494" s="386"/>
      <c r="EW494" s="375"/>
      <c r="EX494" s="375"/>
      <c r="EZ494" s="385"/>
      <c r="FA494" s="386"/>
      <c r="FB494" s="375"/>
      <c r="FC494" s="375"/>
      <c r="FE494" s="385"/>
      <c r="FF494" s="386"/>
      <c r="FG494" s="375"/>
      <c r="FH494" s="375"/>
      <c r="FJ494" s="385"/>
      <c r="FK494" s="386"/>
      <c r="FL494" s="375"/>
      <c r="FM494" s="375"/>
      <c r="FO494" s="385"/>
      <c r="FP494" s="386"/>
      <c r="FQ494" s="375"/>
      <c r="FR494" s="375"/>
      <c r="FT494" s="385"/>
      <c r="FU494" s="386"/>
      <c r="FV494" s="375"/>
      <c r="FW494" s="375"/>
      <c r="FY494" s="385"/>
      <c r="FZ494" s="386"/>
      <c r="GA494" s="375"/>
      <c r="GB494" s="375"/>
      <c r="GD494" s="385"/>
      <c r="GE494" s="386"/>
      <c r="GF494" s="375"/>
      <c r="GG494" s="375"/>
      <c r="GI494" s="385"/>
      <c r="GJ494" s="386"/>
      <c r="GK494" s="375"/>
      <c r="GL494" s="375"/>
      <c r="GN494" s="385"/>
      <c r="GO494" s="386"/>
      <c r="GP494" s="375"/>
      <c r="GQ494" s="375"/>
      <c r="GS494" s="385"/>
      <c r="GT494" s="386"/>
      <c r="GU494" s="375"/>
      <c r="GV494" s="375"/>
      <c r="GX494" s="385"/>
      <c r="GY494" s="386"/>
      <c r="GZ494" s="375"/>
      <c r="HA494" s="375"/>
      <c r="HC494" s="385"/>
      <c r="HD494" s="386"/>
      <c r="HE494" s="375"/>
      <c r="HF494" s="375"/>
      <c r="HH494" s="385"/>
      <c r="HI494" s="386"/>
      <c r="HJ494" s="375"/>
      <c r="HK494" s="375"/>
      <c r="HM494" s="385"/>
      <c r="HN494" s="386"/>
      <c r="HO494" s="375"/>
      <c r="HP494" s="375"/>
      <c r="HR494" s="385"/>
      <c r="HS494" s="386"/>
      <c r="HT494" s="375"/>
      <c r="HU494" s="375"/>
      <c r="HW494" s="385"/>
      <c r="HX494" s="386"/>
      <c r="HY494" s="375"/>
      <c r="HZ494" s="375"/>
      <c r="IB494" s="385"/>
      <c r="IC494" s="386"/>
      <c r="ID494" s="375"/>
      <c r="IE494" s="375"/>
      <c r="IG494" s="385"/>
      <c r="IH494" s="386"/>
      <c r="II494" s="375"/>
      <c r="IJ494" s="375"/>
      <c r="IL494" s="385"/>
      <c r="IM494" s="386"/>
      <c r="IN494" s="375"/>
      <c r="IO494" s="375"/>
      <c r="IQ494" s="385"/>
      <c r="IR494" s="386"/>
      <c r="IS494" s="375"/>
      <c r="IT494" s="375"/>
      <c r="IV494" s="385"/>
    </row>
    <row r="495" spans="1:256" s="387" customFormat="1" x14ac:dyDescent="0.2">
      <c r="A495" s="385"/>
      <c r="B495" s="386"/>
      <c r="C495" s="375"/>
      <c r="D495" s="375"/>
      <c r="F495" s="385"/>
      <c r="G495" s="386"/>
      <c r="H495" s="375"/>
      <c r="I495" s="375"/>
      <c r="K495" s="385"/>
      <c r="L495" s="386"/>
      <c r="M495" s="375"/>
      <c r="N495" s="375"/>
      <c r="P495" s="385"/>
      <c r="Q495" s="386"/>
      <c r="R495" s="375"/>
      <c r="S495" s="375"/>
      <c r="U495" s="385"/>
      <c r="V495" s="386"/>
      <c r="W495" s="375"/>
      <c r="X495" s="375"/>
      <c r="Z495" s="385"/>
      <c r="AA495" s="386"/>
      <c r="AB495" s="375"/>
      <c r="AC495" s="375"/>
      <c r="AE495" s="385"/>
      <c r="AF495" s="386"/>
      <c r="AG495" s="375"/>
      <c r="AH495" s="375"/>
      <c r="AJ495" s="385"/>
      <c r="AK495" s="386"/>
      <c r="AL495" s="375"/>
      <c r="AM495" s="375"/>
      <c r="AO495" s="385"/>
      <c r="AP495" s="386"/>
      <c r="AQ495" s="375"/>
      <c r="AR495" s="375"/>
      <c r="AT495" s="385"/>
      <c r="AU495" s="386"/>
      <c r="AV495" s="375"/>
      <c r="AW495" s="375"/>
      <c r="AY495" s="385"/>
      <c r="AZ495" s="386"/>
      <c r="BA495" s="375"/>
      <c r="BB495" s="375"/>
      <c r="BD495" s="385"/>
      <c r="BE495" s="386"/>
      <c r="BF495" s="375"/>
      <c r="BG495" s="375"/>
      <c r="BI495" s="385"/>
      <c r="BJ495" s="386"/>
      <c r="BK495" s="375"/>
      <c r="BL495" s="375"/>
      <c r="BN495" s="385"/>
      <c r="BO495" s="386"/>
      <c r="BP495" s="375"/>
      <c r="BQ495" s="375"/>
      <c r="BS495" s="385"/>
      <c r="BT495" s="386"/>
      <c r="BU495" s="375"/>
      <c r="BV495" s="375"/>
      <c r="BX495" s="385"/>
      <c r="BY495" s="386"/>
      <c r="BZ495" s="375"/>
      <c r="CA495" s="375"/>
      <c r="CC495" s="385"/>
      <c r="CD495" s="386"/>
      <c r="CE495" s="375"/>
      <c r="CF495" s="375"/>
      <c r="CH495" s="385"/>
      <c r="CI495" s="386"/>
      <c r="CJ495" s="375"/>
      <c r="CK495" s="375"/>
      <c r="CM495" s="385"/>
      <c r="CN495" s="386"/>
      <c r="CO495" s="375"/>
      <c r="CP495" s="375"/>
      <c r="CR495" s="385"/>
      <c r="CS495" s="386"/>
      <c r="CT495" s="375"/>
      <c r="CU495" s="375"/>
      <c r="CW495" s="385"/>
      <c r="CX495" s="386"/>
      <c r="CY495" s="375"/>
      <c r="CZ495" s="375"/>
      <c r="DB495" s="385"/>
      <c r="DC495" s="386"/>
      <c r="DD495" s="375"/>
      <c r="DE495" s="375"/>
      <c r="DG495" s="385"/>
      <c r="DH495" s="386"/>
      <c r="DI495" s="375"/>
      <c r="DJ495" s="375"/>
      <c r="DL495" s="385"/>
      <c r="DM495" s="386"/>
      <c r="DN495" s="375"/>
      <c r="DO495" s="375"/>
      <c r="DQ495" s="385"/>
      <c r="DR495" s="386"/>
      <c r="DS495" s="375"/>
      <c r="DT495" s="375"/>
      <c r="DV495" s="385"/>
      <c r="DW495" s="386"/>
      <c r="DX495" s="375"/>
      <c r="DY495" s="375"/>
      <c r="EA495" s="385"/>
      <c r="EB495" s="386"/>
      <c r="EC495" s="375"/>
      <c r="ED495" s="375"/>
      <c r="EF495" s="385"/>
      <c r="EG495" s="386"/>
      <c r="EH495" s="375"/>
      <c r="EI495" s="375"/>
      <c r="EK495" s="385"/>
      <c r="EL495" s="386"/>
      <c r="EM495" s="375"/>
      <c r="EN495" s="375"/>
      <c r="EP495" s="385"/>
      <c r="EQ495" s="386"/>
      <c r="ER495" s="375"/>
      <c r="ES495" s="375"/>
      <c r="EU495" s="385"/>
      <c r="EV495" s="386"/>
      <c r="EW495" s="375"/>
      <c r="EX495" s="375"/>
      <c r="EZ495" s="385"/>
      <c r="FA495" s="386"/>
      <c r="FB495" s="375"/>
      <c r="FC495" s="375"/>
      <c r="FE495" s="385"/>
      <c r="FF495" s="386"/>
      <c r="FG495" s="375"/>
      <c r="FH495" s="375"/>
      <c r="FJ495" s="385"/>
      <c r="FK495" s="386"/>
      <c r="FL495" s="375"/>
      <c r="FM495" s="375"/>
      <c r="FO495" s="385"/>
      <c r="FP495" s="386"/>
      <c r="FQ495" s="375"/>
      <c r="FR495" s="375"/>
      <c r="FT495" s="385"/>
      <c r="FU495" s="386"/>
      <c r="FV495" s="375"/>
      <c r="FW495" s="375"/>
      <c r="FY495" s="385"/>
      <c r="FZ495" s="386"/>
      <c r="GA495" s="375"/>
      <c r="GB495" s="375"/>
      <c r="GD495" s="385"/>
      <c r="GE495" s="386"/>
      <c r="GF495" s="375"/>
      <c r="GG495" s="375"/>
      <c r="GI495" s="385"/>
      <c r="GJ495" s="386"/>
      <c r="GK495" s="375"/>
      <c r="GL495" s="375"/>
      <c r="GN495" s="385"/>
      <c r="GO495" s="386"/>
      <c r="GP495" s="375"/>
      <c r="GQ495" s="375"/>
      <c r="GS495" s="385"/>
      <c r="GT495" s="386"/>
      <c r="GU495" s="375"/>
      <c r="GV495" s="375"/>
      <c r="GX495" s="385"/>
      <c r="GY495" s="386"/>
      <c r="GZ495" s="375"/>
      <c r="HA495" s="375"/>
      <c r="HC495" s="385"/>
      <c r="HD495" s="386"/>
      <c r="HE495" s="375"/>
      <c r="HF495" s="375"/>
      <c r="HH495" s="385"/>
      <c r="HI495" s="386"/>
      <c r="HJ495" s="375"/>
      <c r="HK495" s="375"/>
      <c r="HM495" s="385"/>
      <c r="HN495" s="386"/>
      <c r="HO495" s="375"/>
      <c r="HP495" s="375"/>
      <c r="HR495" s="385"/>
      <c r="HS495" s="386"/>
      <c r="HT495" s="375"/>
      <c r="HU495" s="375"/>
      <c r="HW495" s="385"/>
      <c r="HX495" s="386"/>
      <c r="HY495" s="375"/>
      <c r="HZ495" s="375"/>
      <c r="IB495" s="385"/>
      <c r="IC495" s="386"/>
      <c r="ID495" s="375"/>
      <c r="IE495" s="375"/>
      <c r="IG495" s="385"/>
      <c r="IH495" s="386"/>
      <c r="II495" s="375"/>
      <c r="IJ495" s="375"/>
      <c r="IL495" s="385"/>
      <c r="IM495" s="386"/>
      <c r="IN495" s="375"/>
      <c r="IO495" s="375"/>
      <c r="IQ495" s="385"/>
      <c r="IR495" s="386"/>
      <c r="IS495" s="375"/>
      <c r="IT495" s="375"/>
      <c r="IV495" s="385"/>
    </row>
    <row r="496" spans="1:256" s="387" customFormat="1" x14ac:dyDescent="0.2">
      <c r="A496" s="385"/>
      <c r="B496" s="386"/>
      <c r="C496" s="375"/>
      <c r="D496" s="375"/>
      <c r="F496" s="385"/>
      <c r="G496" s="386"/>
      <c r="H496" s="375"/>
      <c r="I496" s="375"/>
      <c r="K496" s="385"/>
      <c r="L496" s="386"/>
      <c r="M496" s="375"/>
      <c r="N496" s="375"/>
      <c r="P496" s="385"/>
      <c r="Q496" s="386"/>
      <c r="R496" s="375"/>
      <c r="S496" s="375"/>
      <c r="U496" s="385"/>
      <c r="V496" s="386"/>
      <c r="W496" s="375"/>
      <c r="X496" s="375"/>
      <c r="Z496" s="385"/>
      <c r="AA496" s="386"/>
      <c r="AB496" s="375"/>
      <c r="AC496" s="375"/>
      <c r="AE496" s="385"/>
      <c r="AF496" s="386"/>
      <c r="AG496" s="375"/>
      <c r="AH496" s="375"/>
      <c r="AJ496" s="385"/>
      <c r="AK496" s="386"/>
      <c r="AL496" s="375"/>
      <c r="AM496" s="375"/>
      <c r="AO496" s="385"/>
      <c r="AP496" s="386"/>
      <c r="AQ496" s="375"/>
      <c r="AR496" s="375"/>
      <c r="AT496" s="385"/>
      <c r="AU496" s="386"/>
      <c r="AV496" s="375"/>
      <c r="AW496" s="375"/>
      <c r="AY496" s="385"/>
      <c r="AZ496" s="386"/>
      <c r="BA496" s="375"/>
      <c r="BB496" s="375"/>
      <c r="BD496" s="385"/>
      <c r="BE496" s="386"/>
      <c r="BF496" s="375"/>
      <c r="BG496" s="375"/>
      <c r="BI496" s="385"/>
      <c r="BJ496" s="386"/>
      <c r="BK496" s="375"/>
      <c r="BL496" s="375"/>
      <c r="BN496" s="385"/>
      <c r="BO496" s="386"/>
      <c r="BP496" s="375"/>
      <c r="BQ496" s="375"/>
      <c r="BS496" s="385"/>
      <c r="BT496" s="386"/>
      <c r="BU496" s="375"/>
      <c r="BV496" s="375"/>
      <c r="BX496" s="385"/>
      <c r="BY496" s="386"/>
      <c r="BZ496" s="375"/>
      <c r="CA496" s="375"/>
      <c r="CC496" s="385"/>
      <c r="CD496" s="386"/>
      <c r="CE496" s="375"/>
      <c r="CF496" s="375"/>
      <c r="CH496" s="385"/>
      <c r="CI496" s="386"/>
      <c r="CJ496" s="375"/>
      <c r="CK496" s="375"/>
      <c r="CM496" s="385"/>
      <c r="CN496" s="386"/>
      <c r="CO496" s="375"/>
      <c r="CP496" s="375"/>
      <c r="CR496" s="385"/>
      <c r="CS496" s="386"/>
      <c r="CT496" s="375"/>
      <c r="CU496" s="375"/>
      <c r="CW496" s="385"/>
      <c r="CX496" s="386"/>
      <c r="CY496" s="375"/>
      <c r="CZ496" s="375"/>
      <c r="DB496" s="385"/>
      <c r="DC496" s="386"/>
      <c r="DD496" s="375"/>
      <c r="DE496" s="375"/>
      <c r="DG496" s="385"/>
      <c r="DH496" s="386"/>
      <c r="DI496" s="375"/>
      <c r="DJ496" s="375"/>
      <c r="DL496" s="385"/>
      <c r="DM496" s="386"/>
      <c r="DN496" s="375"/>
      <c r="DO496" s="375"/>
      <c r="DQ496" s="385"/>
      <c r="DR496" s="386"/>
      <c r="DS496" s="375"/>
      <c r="DT496" s="375"/>
      <c r="DV496" s="385"/>
      <c r="DW496" s="386"/>
      <c r="DX496" s="375"/>
      <c r="DY496" s="375"/>
      <c r="EA496" s="385"/>
      <c r="EB496" s="386"/>
      <c r="EC496" s="375"/>
      <c r="ED496" s="375"/>
      <c r="EF496" s="385"/>
      <c r="EG496" s="386"/>
      <c r="EH496" s="375"/>
      <c r="EI496" s="375"/>
      <c r="EK496" s="385"/>
      <c r="EL496" s="386"/>
      <c r="EM496" s="375"/>
      <c r="EN496" s="375"/>
      <c r="EP496" s="385"/>
      <c r="EQ496" s="386"/>
      <c r="ER496" s="375"/>
      <c r="ES496" s="375"/>
      <c r="EU496" s="385"/>
      <c r="EV496" s="386"/>
      <c r="EW496" s="375"/>
      <c r="EX496" s="375"/>
      <c r="EZ496" s="385"/>
      <c r="FA496" s="386"/>
      <c r="FB496" s="375"/>
      <c r="FC496" s="375"/>
      <c r="FE496" s="385"/>
      <c r="FF496" s="386"/>
      <c r="FG496" s="375"/>
      <c r="FH496" s="375"/>
      <c r="FJ496" s="385"/>
      <c r="FK496" s="386"/>
      <c r="FL496" s="375"/>
      <c r="FM496" s="375"/>
      <c r="FO496" s="385"/>
      <c r="FP496" s="386"/>
      <c r="FQ496" s="375"/>
      <c r="FR496" s="375"/>
      <c r="FT496" s="385"/>
      <c r="FU496" s="386"/>
      <c r="FV496" s="375"/>
      <c r="FW496" s="375"/>
      <c r="FY496" s="385"/>
      <c r="FZ496" s="386"/>
      <c r="GA496" s="375"/>
      <c r="GB496" s="375"/>
      <c r="GD496" s="385"/>
      <c r="GE496" s="386"/>
      <c r="GF496" s="375"/>
      <c r="GG496" s="375"/>
      <c r="GI496" s="385"/>
      <c r="GJ496" s="386"/>
      <c r="GK496" s="375"/>
      <c r="GL496" s="375"/>
      <c r="GN496" s="385"/>
      <c r="GO496" s="386"/>
      <c r="GP496" s="375"/>
      <c r="GQ496" s="375"/>
      <c r="GS496" s="385"/>
      <c r="GT496" s="386"/>
      <c r="GU496" s="375"/>
      <c r="GV496" s="375"/>
      <c r="GX496" s="385"/>
      <c r="GY496" s="386"/>
      <c r="GZ496" s="375"/>
      <c r="HA496" s="375"/>
      <c r="HC496" s="385"/>
      <c r="HD496" s="386"/>
      <c r="HE496" s="375"/>
      <c r="HF496" s="375"/>
      <c r="HH496" s="385"/>
      <c r="HI496" s="386"/>
      <c r="HJ496" s="375"/>
      <c r="HK496" s="375"/>
      <c r="HM496" s="385"/>
      <c r="HN496" s="386"/>
      <c r="HO496" s="375"/>
      <c r="HP496" s="375"/>
      <c r="HR496" s="385"/>
      <c r="HS496" s="386"/>
      <c r="HT496" s="375"/>
      <c r="HU496" s="375"/>
      <c r="HW496" s="385"/>
      <c r="HX496" s="386"/>
      <c r="HY496" s="375"/>
      <c r="HZ496" s="375"/>
      <c r="IB496" s="385"/>
      <c r="IC496" s="386"/>
      <c r="ID496" s="375"/>
      <c r="IE496" s="375"/>
      <c r="IG496" s="385"/>
      <c r="IH496" s="386"/>
      <c r="II496" s="375"/>
      <c r="IJ496" s="375"/>
      <c r="IL496" s="385"/>
      <c r="IM496" s="386"/>
      <c r="IN496" s="375"/>
      <c r="IO496" s="375"/>
      <c r="IQ496" s="385"/>
      <c r="IR496" s="386"/>
      <c r="IS496" s="375"/>
      <c r="IT496" s="375"/>
      <c r="IV496" s="385"/>
    </row>
    <row r="501" spans="1:256" s="376" customFormat="1" x14ac:dyDescent="0.2">
      <c r="A501" s="373"/>
      <c r="B501" s="374"/>
      <c r="C501" s="375"/>
      <c r="D501" s="375"/>
      <c r="F501" s="373"/>
      <c r="G501" s="374"/>
      <c r="H501" s="375"/>
      <c r="I501" s="375"/>
      <c r="K501" s="373"/>
      <c r="L501" s="374"/>
      <c r="M501" s="375"/>
      <c r="N501" s="375"/>
      <c r="P501" s="373"/>
      <c r="Q501" s="374"/>
      <c r="R501" s="375"/>
      <c r="S501" s="375"/>
      <c r="U501" s="373"/>
      <c r="V501" s="374"/>
      <c r="W501" s="375"/>
      <c r="X501" s="375"/>
      <c r="Z501" s="373"/>
      <c r="AA501" s="374"/>
      <c r="AB501" s="375"/>
      <c r="AC501" s="375"/>
      <c r="AE501" s="373"/>
      <c r="AF501" s="374"/>
      <c r="AG501" s="375"/>
      <c r="AH501" s="375"/>
      <c r="AJ501" s="373"/>
      <c r="AK501" s="374"/>
      <c r="AL501" s="375"/>
      <c r="AM501" s="375"/>
      <c r="AO501" s="373"/>
      <c r="AP501" s="374"/>
      <c r="AQ501" s="375"/>
      <c r="AR501" s="375"/>
      <c r="AT501" s="373"/>
      <c r="AU501" s="374"/>
      <c r="AV501" s="375"/>
      <c r="AW501" s="375"/>
      <c r="AY501" s="373"/>
      <c r="AZ501" s="374"/>
      <c r="BA501" s="375"/>
      <c r="BB501" s="375"/>
      <c r="BD501" s="373"/>
      <c r="BE501" s="374"/>
      <c r="BF501" s="375"/>
      <c r="BG501" s="375"/>
      <c r="BI501" s="373"/>
      <c r="BJ501" s="374"/>
      <c r="BK501" s="375"/>
      <c r="BL501" s="375"/>
      <c r="BN501" s="373"/>
      <c r="BO501" s="374"/>
      <c r="BP501" s="375"/>
      <c r="BQ501" s="375"/>
      <c r="BS501" s="373"/>
      <c r="BT501" s="374"/>
      <c r="BU501" s="375"/>
      <c r="BV501" s="375"/>
      <c r="BX501" s="373"/>
      <c r="BY501" s="374"/>
      <c r="BZ501" s="375"/>
      <c r="CA501" s="375"/>
      <c r="CC501" s="373"/>
      <c r="CD501" s="374"/>
      <c r="CE501" s="375"/>
      <c r="CF501" s="375"/>
      <c r="CH501" s="373"/>
      <c r="CI501" s="374"/>
      <c r="CJ501" s="375"/>
      <c r="CK501" s="375"/>
      <c r="CM501" s="373"/>
      <c r="CN501" s="374"/>
      <c r="CO501" s="375"/>
      <c r="CP501" s="375"/>
      <c r="CR501" s="373"/>
      <c r="CS501" s="374"/>
      <c r="CT501" s="375"/>
      <c r="CU501" s="375"/>
      <c r="CW501" s="373"/>
      <c r="CX501" s="374"/>
      <c r="CY501" s="375"/>
      <c r="CZ501" s="375"/>
      <c r="DB501" s="373"/>
      <c r="DC501" s="374"/>
      <c r="DD501" s="375"/>
      <c r="DE501" s="375"/>
      <c r="DG501" s="373"/>
      <c r="DH501" s="374"/>
      <c r="DI501" s="375"/>
      <c r="DJ501" s="375"/>
      <c r="DL501" s="373"/>
      <c r="DM501" s="374"/>
      <c r="DN501" s="375"/>
      <c r="DO501" s="375"/>
      <c r="DQ501" s="373"/>
      <c r="DR501" s="374"/>
      <c r="DS501" s="375"/>
      <c r="DT501" s="375"/>
      <c r="DV501" s="373"/>
      <c r="DW501" s="374"/>
      <c r="DX501" s="375"/>
      <c r="DY501" s="375"/>
      <c r="EA501" s="373"/>
      <c r="EB501" s="374"/>
      <c r="EC501" s="375"/>
      <c r="ED501" s="375"/>
      <c r="EF501" s="373"/>
      <c r="EG501" s="374"/>
      <c r="EH501" s="375"/>
      <c r="EI501" s="375"/>
      <c r="EK501" s="373"/>
      <c r="EL501" s="374"/>
      <c r="EM501" s="375"/>
      <c r="EN501" s="375"/>
      <c r="EP501" s="373"/>
      <c r="EQ501" s="374"/>
      <c r="ER501" s="375"/>
      <c r="ES501" s="375"/>
      <c r="EU501" s="373"/>
      <c r="EV501" s="374"/>
      <c r="EW501" s="375"/>
      <c r="EX501" s="375"/>
      <c r="EZ501" s="373"/>
      <c r="FA501" s="374"/>
      <c r="FB501" s="375"/>
      <c r="FC501" s="375"/>
      <c r="FE501" s="373"/>
      <c r="FF501" s="374"/>
      <c r="FG501" s="375"/>
      <c r="FH501" s="375"/>
      <c r="FJ501" s="373"/>
      <c r="FK501" s="374"/>
      <c r="FL501" s="375"/>
      <c r="FM501" s="375"/>
      <c r="FO501" s="373"/>
      <c r="FP501" s="374"/>
      <c r="FQ501" s="375"/>
      <c r="FR501" s="375"/>
      <c r="FT501" s="373"/>
      <c r="FU501" s="374"/>
      <c r="FV501" s="375"/>
      <c r="FW501" s="375"/>
      <c r="FY501" s="373"/>
      <c r="FZ501" s="374"/>
      <c r="GA501" s="375"/>
      <c r="GB501" s="375"/>
      <c r="GD501" s="373"/>
      <c r="GE501" s="374"/>
      <c r="GF501" s="375"/>
      <c r="GG501" s="375"/>
      <c r="GI501" s="373"/>
      <c r="GJ501" s="374"/>
      <c r="GK501" s="375"/>
      <c r="GL501" s="375"/>
      <c r="GN501" s="373"/>
      <c r="GO501" s="374"/>
      <c r="GP501" s="375"/>
      <c r="GQ501" s="375"/>
      <c r="GS501" s="373"/>
      <c r="GT501" s="374"/>
      <c r="GU501" s="375"/>
      <c r="GV501" s="375"/>
      <c r="GX501" s="373"/>
      <c r="GY501" s="374"/>
      <c r="GZ501" s="375"/>
      <c r="HA501" s="375"/>
      <c r="HC501" s="373"/>
      <c r="HD501" s="374"/>
      <c r="HE501" s="375"/>
      <c r="HF501" s="375"/>
      <c r="HH501" s="373"/>
      <c r="HI501" s="374"/>
      <c r="HJ501" s="375"/>
      <c r="HK501" s="375"/>
      <c r="HM501" s="373"/>
      <c r="HN501" s="374"/>
      <c r="HO501" s="375"/>
      <c r="HP501" s="375"/>
      <c r="HR501" s="373"/>
      <c r="HS501" s="374"/>
      <c r="HT501" s="375"/>
      <c r="HU501" s="375"/>
      <c r="HW501" s="373"/>
      <c r="HX501" s="374"/>
      <c r="HY501" s="375"/>
      <c r="HZ501" s="375"/>
      <c r="IB501" s="373"/>
      <c r="IC501" s="374"/>
      <c r="ID501" s="375"/>
      <c r="IE501" s="375"/>
      <c r="IG501" s="373"/>
      <c r="IH501" s="374"/>
      <c r="II501" s="375"/>
      <c r="IJ501" s="375"/>
      <c r="IL501" s="373"/>
      <c r="IM501" s="374"/>
      <c r="IN501" s="375"/>
      <c r="IO501" s="375"/>
      <c r="IQ501" s="373"/>
      <c r="IR501" s="374"/>
      <c r="IS501" s="375"/>
      <c r="IT501" s="375"/>
      <c r="IV501" s="373"/>
    </row>
    <row r="502" spans="1:256" s="376" customFormat="1" x14ac:dyDescent="0.2">
      <c r="A502" s="373"/>
      <c r="B502" s="374"/>
      <c r="C502" s="375"/>
      <c r="D502" s="375"/>
      <c r="F502" s="373"/>
      <c r="G502" s="374"/>
      <c r="H502" s="375"/>
      <c r="I502" s="375"/>
      <c r="K502" s="373"/>
      <c r="L502" s="374"/>
      <c r="M502" s="375"/>
      <c r="N502" s="375"/>
      <c r="P502" s="373"/>
      <c r="Q502" s="374"/>
      <c r="R502" s="375"/>
      <c r="S502" s="375"/>
      <c r="U502" s="373"/>
      <c r="V502" s="374"/>
      <c r="W502" s="375"/>
      <c r="X502" s="375"/>
      <c r="Z502" s="373"/>
      <c r="AA502" s="374"/>
      <c r="AB502" s="375"/>
      <c r="AC502" s="375"/>
      <c r="AE502" s="373"/>
      <c r="AF502" s="374"/>
      <c r="AG502" s="375"/>
      <c r="AH502" s="375"/>
      <c r="AJ502" s="373"/>
      <c r="AK502" s="374"/>
      <c r="AL502" s="375"/>
      <c r="AM502" s="375"/>
      <c r="AO502" s="373"/>
      <c r="AP502" s="374"/>
      <c r="AQ502" s="375"/>
      <c r="AR502" s="375"/>
      <c r="AT502" s="373"/>
      <c r="AU502" s="374"/>
      <c r="AV502" s="375"/>
      <c r="AW502" s="375"/>
      <c r="AY502" s="373"/>
      <c r="AZ502" s="374"/>
      <c r="BA502" s="375"/>
      <c r="BB502" s="375"/>
      <c r="BD502" s="373"/>
      <c r="BE502" s="374"/>
      <c r="BF502" s="375"/>
      <c r="BG502" s="375"/>
      <c r="BI502" s="373"/>
      <c r="BJ502" s="374"/>
      <c r="BK502" s="375"/>
      <c r="BL502" s="375"/>
      <c r="BN502" s="373"/>
      <c r="BO502" s="374"/>
      <c r="BP502" s="375"/>
      <c r="BQ502" s="375"/>
      <c r="BS502" s="373"/>
      <c r="BT502" s="374"/>
      <c r="BU502" s="375"/>
      <c r="BV502" s="375"/>
      <c r="BX502" s="373"/>
      <c r="BY502" s="374"/>
      <c r="BZ502" s="375"/>
      <c r="CA502" s="375"/>
      <c r="CC502" s="373"/>
      <c r="CD502" s="374"/>
      <c r="CE502" s="375"/>
      <c r="CF502" s="375"/>
      <c r="CH502" s="373"/>
      <c r="CI502" s="374"/>
      <c r="CJ502" s="375"/>
      <c r="CK502" s="375"/>
      <c r="CM502" s="373"/>
      <c r="CN502" s="374"/>
      <c r="CO502" s="375"/>
      <c r="CP502" s="375"/>
      <c r="CR502" s="373"/>
      <c r="CS502" s="374"/>
      <c r="CT502" s="375"/>
      <c r="CU502" s="375"/>
      <c r="CW502" s="373"/>
      <c r="CX502" s="374"/>
      <c r="CY502" s="375"/>
      <c r="CZ502" s="375"/>
      <c r="DB502" s="373"/>
      <c r="DC502" s="374"/>
      <c r="DD502" s="375"/>
      <c r="DE502" s="375"/>
      <c r="DG502" s="373"/>
      <c r="DH502" s="374"/>
      <c r="DI502" s="375"/>
      <c r="DJ502" s="375"/>
      <c r="DL502" s="373"/>
      <c r="DM502" s="374"/>
      <c r="DN502" s="375"/>
      <c r="DO502" s="375"/>
      <c r="DQ502" s="373"/>
      <c r="DR502" s="374"/>
      <c r="DS502" s="375"/>
      <c r="DT502" s="375"/>
      <c r="DV502" s="373"/>
      <c r="DW502" s="374"/>
      <c r="DX502" s="375"/>
      <c r="DY502" s="375"/>
      <c r="EA502" s="373"/>
      <c r="EB502" s="374"/>
      <c r="EC502" s="375"/>
      <c r="ED502" s="375"/>
      <c r="EF502" s="373"/>
      <c r="EG502" s="374"/>
      <c r="EH502" s="375"/>
      <c r="EI502" s="375"/>
      <c r="EK502" s="373"/>
      <c r="EL502" s="374"/>
      <c r="EM502" s="375"/>
      <c r="EN502" s="375"/>
      <c r="EP502" s="373"/>
      <c r="EQ502" s="374"/>
      <c r="ER502" s="375"/>
      <c r="ES502" s="375"/>
      <c r="EU502" s="373"/>
      <c r="EV502" s="374"/>
      <c r="EW502" s="375"/>
      <c r="EX502" s="375"/>
      <c r="EZ502" s="373"/>
      <c r="FA502" s="374"/>
      <c r="FB502" s="375"/>
      <c r="FC502" s="375"/>
      <c r="FE502" s="373"/>
      <c r="FF502" s="374"/>
      <c r="FG502" s="375"/>
      <c r="FH502" s="375"/>
      <c r="FJ502" s="373"/>
      <c r="FK502" s="374"/>
      <c r="FL502" s="375"/>
      <c r="FM502" s="375"/>
      <c r="FO502" s="373"/>
      <c r="FP502" s="374"/>
      <c r="FQ502" s="375"/>
      <c r="FR502" s="375"/>
      <c r="FT502" s="373"/>
      <c r="FU502" s="374"/>
      <c r="FV502" s="375"/>
      <c r="FW502" s="375"/>
      <c r="FY502" s="373"/>
      <c r="FZ502" s="374"/>
      <c r="GA502" s="375"/>
      <c r="GB502" s="375"/>
      <c r="GD502" s="373"/>
      <c r="GE502" s="374"/>
      <c r="GF502" s="375"/>
      <c r="GG502" s="375"/>
      <c r="GI502" s="373"/>
      <c r="GJ502" s="374"/>
      <c r="GK502" s="375"/>
      <c r="GL502" s="375"/>
      <c r="GN502" s="373"/>
      <c r="GO502" s="374"/>
      <c r="GP502" s="375"/>
      <c r="GQ502" s="375"/>
      <c r="GS502" s="373"/>
      <c r="GT502" s="374"/>
      <c r="GU502" s="375"/>
      <c r="GV502" s="375"/>
      <c r="GX502" s="373"/>
      <c r="GY502" s="374"/>
      <c r="GZ502" s="375"/>
      <c r="HA502" s="375"/>
      <c r="HC502" s="373"/>
      <c r="HD502" s="374"/>
      <c r="HE502" s="375"/>
      <c r="HF502" s="375"/>
      <c r="HH502" s="373"/>
      <c r="HI502" s="374"/>
      <c r="HJ502" s="375"/>
      <c r="HK502" s="375"/>
      <c r="HM502" s="373"/>
      <c r="HN502" s="374"/>
      <c r="HO502" s="375"/>
      <c r="HP502" s="375"/>
      <c r="HR502" s="373"/>
      <c r="HS502" s="374"/>
      <c r="HT502" s="375"/>
      <c r="HU502" s="375"/>
      <c r="HW502" s="373"/>
      <c r="HX502" s="374"/>
      <c r="HY502" s="375"/>
      <c r="HZ502" s="375"/>
      <c r="IB502" s="373"/>
      <c r="IC502" s="374"/>
      <c r="ID502" s="375"/>
      <c r="IE502" s="375"/>
      <c r="IG502" s="373"/>
      <c r="IH502" s="374"/>
      <c r="II502" s="375"/>
      <c r="IJ502" s="375"/>
      <c r="IL502" s="373"/>
      <c r="IM502" s="374"/>
      <c r="IN502" s="375"/>
      <c r="IO502" s="375"/>
      <c r="IQ502" s="373"/>
      <c r="IR502" s="374"/>
      <c r="IS502" s="375"/>
      <c r="IT502" s="375"/>
      <c r="IV502" s="373"/>
    </row>
    <row r="503" spans="1:256" s="376" customFormat="1" x14ac:dyDescent="0.2">
      <c r="A503" s="373"/>
      <c r="B503" s="374"/>
      <c r="C503" s="375"/>
      <c r="D503" s="375"/>
      <c r="F503" s="373"/>
      <c r="G503" s="374"/>
      <c r="H503" s="375"/>
      <c r="I503" s="375"/>
      <c r="K503" s="373"/>
      <c r="L503" s="374"/>
      <c r="M503" s="375"/>
      <c r="N503" s="375"/>
      <c r="P503" s="373"/>
      <c r="Q503" s="374"/>
      <c r="R503" s="375"/>
      <c r="S503" s="375"/>
      <c r="U503" s="373"/>
      <c r="V503" s="374"/>
      <c r="W503" s="375"/>
      <c r="X503" s="375"/>
      <c r="Z503" s="373"/>
      <c r="AA503" s="374"/>
      <c r="AB503" s="375"/>
      <c r="AC503" s="375"/>
      <c r="AE503" s="373"/>
      <c r="AF503" s="374"/>
      <c r="AG503" s="375"/>
      <c r="AH503" s="375"/>
      <c r="AJ503" s="373"/>
      <c r="AK503" s="374"/>
      <c r="AL503" s="375"/>
      <c r="AM503" s="375"/>
      <c r="AO503" s="373"/>
      <c r="AP503" s="374"/>
      <c r="AQ503" s="375"/>
      <c r="AR503" s="375"/>
      <c r="AT503" s="373"/>
      <c r="AU503" s="374"/>
      <c r="AV503" s="375"/>
      <c r="AW503" s="375"/>
      <c r="AY503" s="373"/>
      <c r="AZ503" s="374"/>
      <c r="BA503" s="375"/>
      <c r="BB503" s="375"/>
      <c r="BD503" s="373"/>
      <c r="BE503" s="374"/>
      <c r="BF503" s="375"/>
      <c r="BG503" s="375"/>
      <c r="BI503" s="373"/>
      <c r="BJ503" s="374"/>
      <c r="BK503" s="375"/>
      <c r="BL503" s="375"/>
      <c r="BN503" s="373"/>
      <c r="BO503" s="374"/>
      <c r="BP503" s="375"/>
      <c r="BQ503" s="375"/>
      <c r="BS503" s="373"/>
      <c r="BT503" s="374"/>
      <c r="BU503" s="375"/>
      <c r="BV503" s="375"/>
      <c r="BX503" s="373"/>
      <c r="BY503" s="374"/>
      <c r="BZ503" s="375"/>
      <c r="CA503" s="375"/>
      <c r="CC503" s="373"/>
      <c r="CD503" s="374"/>
      <c r="CE503" s="375"/>
      <c r="CF503" s="375"/>
      <c r="CH503" s="373"/>
      <c r="CI503" s="374"/>
      <c r="CJ503" s="375"/>
      <c r="CK503" s="375"/>
      <c r="CM503" s="373"/>
      <c r="CN503" s="374"/>
      <c r="CO503" s="375"/>
      <c r="CP503" s="375"/>
      <c r="CR503" s="373"/>
      <c r="CS503" s="374"/>
      <c r="CT503" s="375"/>
      <c r="CU503" s="375"/>
      <c r="CW503" s="373"/>
      <c r="CX503" s="374"/>
      <c r="CY503" s="375"/>
      <c r="CZ503" s="375"/>
      <c r="DB503" s="373"/>
      <c r="DC503" s="374"/>
      <c r="DD503" s="375"/>
      <c r="DE503" s="375"/>
      <c r="DG503" s="373"/>
      <c r="DH503" s="374"/>
      <c r="DI503" s="375"/>
      <c r="DJ503" s="375"/>
      <c r="DL503" s="373"/>
      <c r="DM503" s="374"/>
      <c r="DN503" s="375"/>
      <c r="DO503" s="375"/>
      <c r="DQ503" s="373"/>
      <c r="DR503" s="374"/>
      <c r="DS503" s="375"/>
      <c r="DT503" s="375"/>
      <c r="DV503" s="373"/>
      <c r="DW503" s="374"/>
      <c r="DX503" s="375"/>
      <c r="DY503" s="375"/>
      <c r="EA503" s="373"/>
      <c r="EB503" s="374"/>
      <c r="EC503" s="375"/>
      <c r="ED503" s="375"/>
      <c r="EF503" s="373"/>
      <c r="EG503" s="374"/>
      <c r="EH503" s="375"/>
      <c r="EI503" s="375"/>
      <c r="EK503" s="373"/>
      <c r="EL503" s="374"/>
      <c r="EM503" s="375"/>
      <c r="EN503" s="375"/>
      <c r="EP503" s="373"/>
      <c r="EQ503" s="374"/>
      <c r="ER503" s="375"/>
      <c r="ES503" s="375"/>
      <c r="EU503" s="373"/>
      <c r="EV503" s="374"/>
      <c r="EW503" s="375"/>
      <c r="EX503" s="375"/>
      <c r="EZ503" s="373"/>
      <c r="FA503" s="374"/>
      <c r="FB503" s="375"/>
      <c r="FC503" s="375"/>
      <c r="FE503" s="373"/>
      <c r="FF503" s="374"/>
      <c r="FG503" s="375"/>
      <c r="FH503" s="375"/>
      <c r="FJ503" s="373"/>
      <c r="FK503" s="374"/>
      <c r="FL503" s="375"/>
      <c r="FM503" s="375"/>
      <c r="FO503" s="373"/>
      <c r="FP503" s="374"/>
      <c r="FQ503" s="375"/>
      <c r="FR503" s="375"/>
      <c r="FT503" s="373"/>
      <c r="FU503" s="374"/>
      <c r="FV503" s="375"/>
      <c r="FW503" s="375"/>
      <c r="FY503" s="373"/>
      <c r="FZ503" s="374"/>
      <c r="GA503" s="375"/>
      <c r="GB503" s="375"/>
      <c r="GD503" s="373"/>
      <c r="GE503" s="374"/>
      <c r="GF503" s="375"/>
      <c r="GG503" s="375"/>
      <c r="GI503" s="373"/>
      <c r="GJ503" s="374"/>
      <c r="GK503" s="375"/>
      <c r="GL503" s="375"/>
      <c r="GN503" s="373"/>
      <c r="GO503" s="374"/>
      <c r="GP503" s="375"/>
      <c r="GQ503" s="375"/>
      <c r="GS503" s="373"/>
      <c r="GT503" s="374"/>
      <c r="GU503" s="375"/>
      <c r="GV503" s="375"/>
      <c r="GX503" s="373"/>
      <c r="GY503" s="374"/>
      <c r="GZ503" s="375"/>
      <c r="HA503" s="375"/>
      <c r="HC503" s="373"/>
      <c r="HD503" s="374"/>
      <c r="HE503" s="375"/>
      <c r="HF503" s="375"/>
      <c r="HH503" s="373"/>
      <c r="HI503" s="374"/>
      <c r="HJ503" s="375"/>
      <c r="HK503" s="375"/>
      <c r="HM503" s="373"/>
      <c r="HN503" s="374"/>
      <c r="HO503" s="375"/>
      <c r="HP503" s="375"/>
      <c r="HR503" s="373"/>
      <c r="HS503" s="374"/>
      <c r="HT503" s="375"/>
      <c r="HU503" s="375"/>
      <c r="HW503" s="373"/>
      <c r="HX503" s="374"/>
      <c r="HY503" s="375"/>
      <c r="HZ503" s="375"/>
      <c r="IB503" s="373"/>
      <c r="IC503" s="374"/>
      <c r="ID503" s="375"/>
      <c r="IE503" s="375"/>
      <c r="IG503" s="373"/>
      <c r="IH503" s="374"/>
      <c r="II503" s="375"/>
      <c r="IJ503" s="375"/>
      <c r="IL503" s="373"/>
      <c r="IM503" s="374"/>
      <c r="IN503" s="375"/>
      <c r="IO503" s="375"/>
      <c r="IQ503" s="373"/>
      <c r="IR503" s="374"/>
      <c r="IS503" s="375"/>
      <c r="IT503" s="375"/>
      <c r="IV503" s="373"/>
    </row>
    <row r="504" spans="1:256" s="376" customFormat="1" x14ac:dyDescent="0.2">
      <c r="A504" s="373"/>
      <c r="B504" s="374"/>
      <c r="C504" s="375"/>
      <c r="D504" s="375"/>
      <c r="F504" s="373"/>
      <c r="G504" s="374"/>
      <c r="H504" s="375"/>
      <c r="I504" s="375"/>
      <c r="K504" s="373"/>
      <c r="L504" s="374"/>
      <c r="M504" s="375"/>
      <c r="N504" s="375"/>
      <c r="P504" s="373"/>
      <c r="Q504" s="374"/>
      <c r="R504" s="375"/>
      <c r="S504" s="375"/>
      <c r="U504" s="373"/>
      <c r="V504" s="374"/>
      <c r="W504" s="375"/>
      <c r="X504" s="375"/>
      <c r="Z504" s="373"/>
      <c r="AA504" s="374"/>
      <c r="AB504" s="375"/>
      <c r="AC504" s="375"/>
      <c r="AE504" s="373"/>
      <c r="AF504" s="374"/>
      <c r="AG504" s="375"/>
      <c r="AH504" s="375"/>
      <c r="AJ504" s="373"/>
      <c r="AK504" s="374"/>
      <c r="AL504" s="375"/>
      <c r="AM504" s="375"/>
      <c r="AO504" s="373"/>
      <c r="AP504" s="374"/>
      <c r="AQ504" s="375"/>
      <c r="AR504" s="375"/>
      <c r="AT504" s="373"/>
      <c r="AU504" s="374"/>
      <c r="AV504" s="375"/>
      <c r="AW504" s="375"/>
      <c r="AY504" s="373"/>
      <c r="AZ504" s="374"/>
      <c r="BA504" s="375"/>
      <c r="BB504" s="375"/>
      <c r="BD504" s="373"/>
      <c r="BE504" s="374"/>
      <c r="BF504" s="375"/>
      <c r="BG504" s="375"/>
      <c r="BI504" s="373"/>
      <c r="BJ504" s="374"/>
      <c r="BK504" s="375"/>
      <c r="BL504" s="375"/>
      <c r="BN504" s="373"/>
      <c r="BO504" s="374"/>
      <c r="BP504" s="375"/>
      <c r="BQ504" s="375"/>
      <c r="BS504" s="373"/>
      <c r="BT504" s="374"/>
      <c r="BU504" s="375"/>
      <c r="BV504" s="375"/>
      <c r="BX504" s="373"/>
      <c r="BY504" s="374"/>
      <c r="BZ504" s="375"/>
      <c r="CA504" s="375"/>
      <c r="CC504" s="373"/>
      <c r="CD504" s="374"/>
      <c r="CE504" s="375"/>
      <c r="CF504" s="375"/>
      <c r="CH504" s="373"/>
      <c r="CI504" s="374"/>
      <c r="CJ504" s="375"/>
      <c r="CK504" s="375"/>
      <c r="CM504" s="373"/>
      <c r="CN504" s="374"/>
      <c r="CO504" s="375"/>
      <c r="CP504" s="375"/>
      <c r="CR504" s="373"/>
      <c r="CS504" s="374"/>
      <c r="CT504" s="375"/>
      <c r="CU504" s="375"/>
      <c r="CW504" s="373"/>
      <c r="CX504" s="374"/>
      <c r="CY504" s="375"/>
      <c r="CZ504" s="375"/>
      <c r="DB504" s="373"/>
      <c r="DC504" s="374"/>
      <c r="DD504" s="375"/>
      <c r="DE504" s="375"/>
      <c r="DG504" s="373"/>
      <c r="DH504" s="374"/>
      <c r="DI504" s="375"/>
      <c r="DJ504" s="375"/>
      <c r="DL504" s="373"/>
      <c r="DM504" s="374"/>
      <c r="DN504" s="375"/>
      <c r="DO504" s="375"/>
      <c r="DQ504" s="373"/>
      <c r="DR504" s="374"/>
      <c r="DS504" s="375"/>
      <c r="DT504" s="375"/>
      <c r="DV504" s="373"/>
      <c r="DW504" s="374"/>
      <c r="DX504" s="375"/>
      <c r="DY504" s="375"/>
      <c r="EA504" s="373"/>
      <c r="EB504" s="374"/>
      <c r="EC504" s="375"/>
      <c r="ED504" s="375"/>
      <c r="EF504" s="373"/>
      <c r="EG504" s="374"/>
      <c r="EH504" s="375"/>
      <c r="EI504" s="375"/>
      <c r="EK504" s="373"/>
      <c r="EL504" s="374"/>
      <c r="EM504" s="375"/>
      <c r="EN504" s="375"/>
      <c r="EP504" s="373"/>
      <c r="EQ504" s="374"/>
      <c r="ER504" s="375"/>
      <c r="ES504" s="375"/>
      <c r="EU504" s="373"/>
      <c r="EV504" s="374"/>
      <c r="EW504" s="375"/>
      <c r="EX504" s="375"/>
      <c r="EZ504" s="373"/>
      <c r="FA504" s="374"/>
      <c r="FB504" s="375"/>
      <c r="FC504" s="375"/>
      <c r="FE504" s="373"/>
      <c r="FF504" s="374"/>
      <c r="FG504" s="375"/>
      <c r="FH504" s="375"/>
      <c r="FJ504" s="373"/>
      <c r="FK504" s="374"/>
      <c r="FL504" s="375"/>
      <c r="FM504" s="375"/>
      <c r="FO504" s="373"/>
      <c r="FP504" s="374"/>
      <c r="FQ504" s="375"/>
      <c r="FR504" s="375"/>
      <c r="FT504" s="373"/>
      <c r="FU504" s="374"/>
      <c r="FV504" s="375"/>
      <c r="FW504" s="375"/>
      <c r="FY504" s="373"/>
      <c r="FZ504" s="374"/>
      <c r="GA504" s="375"/>
      <c r="GB504" s="375"/>
      <c r="GD504" s="373"/>
      <c r="GE504" s="374"/>
      <c r="GF504" s="375"/>
      <c r="GG504" s="375"/>
      <c r="GI504" s="373"/>
      <c r="GJ504" s="374"/>
      <c r="GK504" s="375"/>
      <c r="GL504" s="375"/>
      <c r="GN504" s="373"/>
      <c r="GO504" s="374"/>
      <c r="GP504" s="375"/>
      <c r="GQ504" s="375"/>
      <c r="GS504" s="373"/>
      <c r="GT504" s="374"/>
      <c r="GU504" s="375"/>
      <c r="GV504" s="375"/>
      <c r="GX504" s="373"/>
      <c r="GY504" s="374"/>
      <c r="GZ504" s="375"/>
      <c r="HA504" s="375"/>
      <c r="HC504" s="373"/>
      <c r="HD504" s="374"/>
      <c r="HE504" s="375"/>
      <c r="HF504" s="375"/>
      <c r="HH504" s="373"/>
      <c r="HI504" s="374"/>
      <c r="HJ504" s="375"/>
      <c r="HK504" s="375"/>
      <c r="HM504" s="373"/>
      <c r="HN504" s="374"/>
      <c r="HO504" s="375"/>
      <c r="HP504" s="375"/>
      <c r="HR504" s="373"/>
      <c r="HS504" s="374"/>
      <c r="HT504" s="375"/>
      <c r="HU504" s="375"/>
      <c r="HW504" s="373"/>
      <c r="HX504" s="374"/>
      <c r="HY504" s="375"/>
      <c r="HZ504" s="375"/>
      <c r="IB504" s="373"/>
      <c r="IC504" s="374"/>
      <c r="ID504" s="375"/>
      <c r="IE504" s="375"/>
      <c r="IG504" s="373"/>
      <c r="IH504" s="374"/>
      <c r="II504" s="375"/>
      <c r="IJ504" s="375"/>
      <c r="IL504" s="373"/>
      <c r="IM504" s="374"/>
      <c r="IN504" s="375"/>
      <c r="IO504" s="375"/>
      <c r="IQ504" s="373"/>
      <c r="IR504" s="374"/>
      <c r="IS504" s="375"/>
      <c r="IT504" s="375"/>
      <c r="IV504" s="373"/>
    </row>
    <row r="505" spans="1:256" s="376" customFormat="1" x14ac:dyDescent="0.2">
      <c r="A505" s="373"/>
      <c r="B505" s="374"/>
      <c r="C505" s="375"/>
      <c r="D505" s="375"/>
      <c r="F505" s="373"/>
      <c r="G505" s="374"/>
      <c r="H505" s="375"/>
      <c r="I505" s="375"/>
      <c r="K505" s="373"/>
      <c r="L505" s="374"/>
      <c r="M505" s="375"/>
      <c r="N505" s="375"/>
      <c r="P505" s="373"/>
      <c r="Q505" s="374"/>
      <c r="R505" s="375"/>
      <c r="S505" s="375"/>
      <c r="U505" s="373"/>
      <c r="V505" s="374"/>
      <c r="W505" s="375"/>
      <c r="X505" s="375"/>
      <c r="Z505" s="373"/>
      <c r="AA505" s="374"/>
      <c r="AB505" s="375"/>
      <c r="AC505" s="375"/>
      <c r="AE505" s="373"/>
      <c r="AF505" s="374"/>
      <c r="AG505" s="375"/>
      <c r="AH505" s="375"/>
      <c r="AJ505" s="373"/>
      <c r="AK505" s="374"/>
      <c r="AL505" s="375"/>
      <c r="AM505" s="375"/>
      <c r="AO505" s="373"/>
      <c r="AP505" s="374"/>
      <c r="AQ505" s="375"/>
      <c r="AR505" s="375"/>
      <c r="AT505" s="373"/>
      <c r="AU505" s="374"/>
      <c r="AV505" s="375"/>
      <c r="AW505" s="375"/>
      <c r="AY505" s="373"/>
      <c r="AZ505" s="374"/>
      <c r="BA505" s="375"/>
      <c r="BB505" s="375"/>
      <c r="BD505" s="373"/>
      <c r="BE505" s="374"/>
      <c r="BF505" s="375"/>
      <c r="BG505" s="375"/>
      <c r="BI505" s="373"/>
      <c r="BJ505" s="374"/>
      <c r="BK505" s="375"/>
      <c r="BL505" s="375"/>
      <c r="BN505" s="373"/>
      <c r="BO505" s="374"/>
      <c r="BP505" s="375"/>
      <c r="BQ505" s="375"/>
      <c r="BS505" s="373"/>
      <c r="BT505" s="374"/>
      <c r="BU505" s="375"/>
      <c r="BV505" s="375"/>
      <c r="BX505" s="373"/>
      <c r="BY505" s="374"/>
      <c r="BZ505" s="375"/>
      <c r="CA505" s="375"/>
      <c r="CC505" s="373"/>
      <c r="CD505" s="374"/>
      <c r="CE505" s="375"/>
      <c r="CF505" s="375"/>
      <c r="CH505" s="373"/>
      <c r="CI505" s="374"/>
      <c r="CJ505" s="375"/>
      <c r="CK505" s="375"/>
      <c r="CM505" s="373"/>
      <c r="CN505" s="374"/>
      <c r="CO505" s="375"/>
      <c r="CP505" s="375"/>
      <c r="CR505" s="373"/>
      <c r="CS505" s="374"/>
      <c r="CT505" s="375"/>
      <c r="CU505" s="375"/>
      <c r="CW505" s="373"/>
      <c r="CX505" s="374"/>
      <c r="CY505" s="375"/>
      <c r="CZ505" s="375"/>
      <c r="DB505" s="373"/>
      <c r="DC505" s="374"/>
      <c r="DD505" s="375"/>
      <c r="DE505" s="375"/>
      <c r="DG505" s="373"/>
      <c r="DH505" s="374"/>
      <c r="DI505" s="375"/>
      <c r="DJ505" s="375"/>
      <c r="DL505" s="373"/>
      <c r="DM505" s="374"/>
      <c r="DN505" s="375"/>
      <c r="DO505" s="375"/>
      <c r="DQ505" s="373"/>
      <c r="DR505" s="374"/>
      <c r="DS505" s="375"/>
      <c r="DT505" s="375"/>
      <c r="DV505" s="373"/>
      <c r="DW505" s="374"/>
      <c r="DX505" s="375"/>
      <c r="DY505" s="375"/>
      <c r="EA505" s="373"/>
      <c r="EB505" s="374"/>
      <c r="EC505" s="375"/>
      <c r="ED505" s="375"/>
      <c r="EF505" s="373"/>
      <c r="EG505" s="374"/>
      <c r="EH505" s="375"/>
      <c r="EI505" s="375"/>
      <c r="EK505" s="373"/>
      <c r="EL505" s="374"/>
      <c r="EM505" s="375"/>
      <c r="EN505" s="375"/>
      <c r="EP505" s="373"/>
      <c r="EQ505" s="374"/>
      <c r="ER505" s="375"/>
      <c r="ES505" s="375"/>
      <c r="EU505" s="373"/>
      <c r="EV505" s="374"/>
      <c r="EW505" s="375"/>
      <c r="EX505" s="375"/>
      <c r="EZ505" s="373"/>
      <c r="FA505" s="374"/>
      <c r="FB505" s="375"/>
      <c r="FC505" s="375"/>
      <c r="FE505" s="373"/>
      <c r="FF505" s="374"/>
      <c r="FG505" s="375"/>
      <c r="FH505" s="375"/>
      <c r="FJ505" s="373"/>
      <c r="FK505" s="374"/>
      <c r="FL505" s="375"/>
      <c r="FM505" s="375"/>
      <c r="FO505" s="373"/>
      <c r="FP505" s="374"/>
      <c r="FQ505" s="375"/>
      <c r="FR505" s="375"/>
      <c r="FT505" s="373"/>
      <c r="FU505" s="374"/>
      <c r="FV505" s="375"/>
      <c r="FW505" s="375"/>
      <c r="FY505" s="373"/>
      <c r="FZ505" s="374"/>
      <c r="GA505" s="375"/>
      <c r="GB505" s="375"/>
      <c r="GD505" s="373"/>
      <c r="GE505" s="374"/>
      <c r="GF505" s="375"/>
      <c r="GG505" s="375"/>
      <c r="GI505" s="373"/>
      <c r="GJ505" s="374"/>
      <c r="GK505" s="375"/>
      <c r="GL505" s="375"/>
      <c r="GN505" s="373"/>
      <c r="GO505" s="374"/>
      <c r="GP505" s="375"/>
      <c r="GQ505" s="375"/>
      <c r="GS505" s="373"/>
      <c r="GT505" s="374"/>
      <c r="GU505" s="375"/>
      <c r="GV505" s="375"/>
      <c r="GX505" s="373"/>
      <c r="GY505" s="374"/>
      <c r="GZ505" s="375"/>
      <c r="HA505" s="375"/>
      <c r="HC505" s="373"/>
      <c r="HD505" s="374"/>
      <c r="HE505" s="375"/>
      <c r="HF505" s="375"/>
      <c r="HH505" s="373"/>
      <c r="HI505" s="374"/>
      <c r="HJ505" s="375"/>
      <c r="HK505" s="375"/>
      <c r="HM505" s="373"/>
      <c r="HN505" s="374"/>
      <c r="HO505" s="375"/>
      <c r="HP505" s="375"/>
      <c r="HR505" s="373"/>
      <c r="HS505" s="374"/>
      <c r="HT505" s="375"/>
      <c r="HU505" s="375"/>
      <c r="HW505" s="373"/>
      <c r="HX505" s="374"/>
      <c r="HY505" s="375"/>
      <c r="HZ505" s="375"/>
      <c r="IB505" s="373"/>
      <c r="IC505" s="374"/>
      <c r="ID505" s="375"/>
      <c r="IE505" s="375"/>
      <c r="IG505" s="373"/>
      <c r="IH505" s="374"/>
      <c r="II505" s="375"/>
      <c r="IJ505" s="375"/>
      <c r="IL505" s="373"/>
      <c r="IM505" s="374"/>
      <c r="IN505" s="375"/>
      <c r="IO505" s="375"/>
      <c r="IQ505" s="373"/>
      <c r="IR505" s="374"/>
      <c r="IS505" s="375"/>
      <c r="IT505" s="375"/>
      <c r="IV505" s="373"/>
    </row>
    <row r="506" spans="1:256" s="376" customFormat="1" x14ac:dyDescent="0.2">
      <c r="A506" s="373"/>
      <c r="B506" s="374"/>
      <c r="C506" s="375"/>
      <c r="D506" s="375"/>
      <c r="F506" s="373"/>
      <c r="G506" s="374"/>
      <c r="H506" s="375"/>
      <c r="I506" s="375"/>
      <c r="K506" s="373"/>
      <c r="L506" s="374"/>
      <c r="M506" s="375"/>
      <c r="N506" s="375"/>
      <c r="P506" s="373"/>
      <c r="Q506" s="374"/>
      <c r="R506" s="375"/>
      <c r="S506" s="375"/>
      <c r="U506" s="373"/>
      <c r="V506" s="374"/>
      <c r="W506" s="375"/>
      <c r="X506" s="375"/>
      <c r="Z506" s="373"/>
      <c r="AA506" s="374"/>
      <c r="AB506" s="375"/>
      <c r="AC506" s="375"/>
      <c r="AE506" s="373"/>
      <c r="AF506" s="374"/>
      <c r="AG506" s="375"/>
      <c r="AH506" s="375"/>
      <c r="AJ506" s="373"/>
      <c r="AK506" s="374"/>
      <c r="AL506" s="375"/>
      <c r="AM506" s="375"/>
      <c r="AO506" s="373"/>
      <c r="AP506" s="374"/>
      <c r="AQ506" s="375"/>
      <c r="AR506" s="375"/>
      <c r="AT506" s="373"/>
      <c r="AU506" s="374"/>
      <c r="AV506" s="375"/>
      <c r="AW506" s="375"/>
      <c r="AY506" s="373"/>
      <c r="AZ506" s="374"/>
      <c r="BA506" s="375"/>
      <c r="BB506" s="375"/>
      <c r="BD506" s="373"/>
      <c r="BE506" s="374"/>
      <c r="BF506" s="375"/>
      <c r="BG506" s="375"/>
      <c r="BI506" s="373"/>
      <c r="BJ506" s="374"/>
      <c r="BK506" s="375"/>
      <c r="BL506" s="375"/>
      <c r="BN506" s="373"/>
      <c r="BO506" s="374"/>
      <c r="BP506" s="375"/>
      <c r="BQ506" s="375"/>
      <c r="BS506" s="373"/>
      <c r="BT506" s="374"/>
      <c r="BU506" s="375"/>
      <c r="BV506" s="375"/>
      <c r="BX506" s="373"/>
      <c r="BY506" s="374"/>
      <c r="BZ506" s="375"/>
      <c r="CA506" s="375"/>
      <c r="CC506" s="373"/>
      <c r="CD506" s="374"/>
      <c r="CE506" s="375"/>
      <c r="CF506" s="375"/>
      <c r="CH506" s="373"/>
      <c r="CI506" s="374"/>
      <c r="CJ506" s="375"/>
      <c r="CK506" s="375"/>
      <c r="CM506" s="373"/>
      <c r="CN506" s="374"/>
      <c r="CO506" s="375"/>
      <c r="CP506" s="375"/>
      <c r="CR506" s="373"/>
      <c r="CS506" s="374"/>
      <c r="CT506" s="375"/>
      <c r="CU506" s="375"/>
      <c r="CW506" s="373"/>
      <c r="CX506" s="374"/>
      <c r="CY506" s="375"/>
      <c r="CZ506" s="375"/>
      <c r="DB506" s="373"/>
      <c r="DC506" s="374"/>
      <c r="DD506" s="375"/>
      <c r="DE506" s="375"/>
      <c r="DG506" s="373"/>
      <c r="DH506" s="374"/>
      <c r="DI506" s="375"/>
      <c r="DJ506" s="375"/>
      <c r="DL506" s="373"/>
      <c r="DM506" s="374"/>
      <c r="DN506" s="375"/>
      <c r="DO506" s="375"/>
      <c r="DQ506" s="373"/>
      <c r="DR506" s="374"/>
      <c r="DS506" s="375"/>
      <c r="DT506" s="375"/>
      <c r="DV506" s="373"/>
      <c r="DW506" s="374"/>
      <c r="DX506" s="375"/>
      <c r="DY506" s="375"/>
      <c r="EA506" s="373"/>
      <c r="EB506" s="374"/>
      <c r="EC506" s="375"/>
      <c r="ED506" s="375"/>
      <c r="EF506" s="373"/>
      <c r="EG506" s="374"/>
      <c r="EH506" s="375"/>
      <c r="EI506" s="375"/>
      <c r="EK506" s="373"/>
      <c r="EL506" s="374"/>
      <c r="EM506" s="375"/>
      <c r="EN506" s="375"/>
      <c r="EP506" s="373"/>
      <c r="EQ506" s="374"/>
      <c r="ER506" s="375"/>
      <c r="ES506" s="375"/>
      <c r="EU506" s="373"/>
      <c r="EV506" s="374"/>
      <c r="EW506" s="375"/>
      <c r="EX506" s="375"/>
      <c r="EZ506" s="373"/>
      <c r="FA506" s="374"/>
      <c r="FB506" s="375"/>
      <c r="FC506" s="375"/>
      <c r="FE506" s="373"/>
      <c r="FF506" s="374"/>
      <c r="FG506" s="375"/>
      <c r="FH506" s="375"/>
      <c r="FJ506" s="373"/>
      <c r="FK506" s="374"/>
      <c r="FL506" s="375"/>
      <c r="FM506" s="375"/>
      <c r="FO506" s="373"/>
      <c r="FP506" s="374"/>
      <c r="FQ506" s="375"/>
      <c r="FR506" s="375"/>
      <c r="FT506" s="373"/>
      <c r="FU506" s="374"/>
      <c r="FV506" s="375"/>
      <c r="FW506" s="375"/>
      <c r="FY506" s="373"/>
      <c r="FZ506" s="374"/>
      <c r="GA506" s="375"/>
      <c r="GB506" s="375"/>
      <c r="GD506" s="373"/>
      <c r="GE506" s="374"/>
      <c r="GF506" s="375"/>
      <c r="GG506" s="375"/>
      <c r="GI506" s="373"/>
      <c r="GJ506" s="374"/>
      <c r="GK506" s="375"/>
      <c r="GL506" s="375"/>
      <c r="GN506" s="373"/>
      <c r="GO506" s="374"/>
      <c r="GP506" s="375"/>
      <c r="GQ506" s="375"/>
      <c r="GS506" s="373"/>
      <c r="GT506" s="374"/>
      <c r="GU506" s="375"/>
      <c r="GV506" s="375"/>
      <c r="GX506" s="373"/>
      <c r="GY506" s="374"/>
      <c r="GZ506" s="375"/>
      <c r="HA506" s="375"/>
      <c r="HC506" s="373"/>
      <c r="HD506" s="374"/>
      <c r="HE506" s="375"/>
      <c r="HF506" s="375"/>
      <c r="HH506" s="373"/>
      <c r="HI506" s="374"/>
      <c r="HJ506" s="375"/>
      <c r="HK506" s="375"/>
      <c r="HM506" s="373"/>
      <c r="HN506" s="374"/>
      <c r="HO506" s="375"/>
      <c r="HP506" s="375"/>
      <c r="HR506" s="373"/>
      <c r="HS506" s="374"/>
      <c r="HT506" s="375"/>
      <c r="HU506" s="375"/>
      <c r="HW506" s="373"/>
      <c r="HX506" s="374"/>
      <c r="HY506" s="375"/>
      <c r="HZ506" s="375"/>
      <c r="IB506" s="373"/>
      <c r="IC506" s="374"/>
      <c r="ID506" s="375"/>
      <c r="IE506" s="375"/>
      <c r="IG506" s="373"/>
      <c r="IH506" s="374"/>
      <c r="II506" s="375"/>
      <c r="IJ506" s="375"/>
      <c r="IL506" s="373"/>
      <c r="IM506" s="374"/>
      <c r="IN506" s="375"/>
      <c r="IO506" s="375"/>
      <c r="IQ506" s="373"/>
      <c r="IR506" s="374"/>
      <c r="IS506" s="375"/>
      <c r="IT506" s="375"/>
      <c r="IV506" s="373"/>
    </row>
    <row r="507" spans="1:256" s="376" customFormat="1" x14ac:dyDescent="0.2">
      <c r="A507" s="373"/>
      <c r="B507" s="374"/>
      <c r="C507" s="375"/>
      <c r="D507" s="375"/>
      <c r="F507" s="373"/>
      <c r="G507" s="374"/>
      <c r="H507" s="375"/>
      <c r="I507" s="375"/>
      <c r="K507" s="373"/>
      <c r="L507" s="374"/>
      <c r="M507" s="375"/>
      <c r="N507" s="375"/>
      <c r="P507" s="373"/>
      <c r="Q507" s="374"/>
      <c r="R507" s="375"/>
      <c r="S507" s="375"/>
      <c r="U507" s="373"/>
      <c r="V507" s="374"/>
      <c r="W507" s="375"/>
      <c r="X507" s="375"/>
      <c r="Z507" s="373"/>
      <c r="AA507" s="374"/>
      <c r="AB507" s="375"/>
      <c r="AC507" s="375"/>
      <c r="AE507" s="373"/>
      <c r="AF507" s="374"/>
      <c r="AG507" s="375"/>
      <c r="AH507" s="375"/>
      <c r="AJ507" s="373"/>
      <c r="AK507" s="374"/>
      <c r="AL507" s="375"/>
      <c r="AM507" s="375"/>
      <c r="AO507" s="373"/>
      <c r="AP507" s="374"/>
      <c r="AQ507" s="375"/>
      <c r="AR507" s="375"/>
      <c r="AT507" s="373"/>
      <c r="AU507" s="374"/>
      <c r="AV507" s="375"/>
      <c r="AW507" s="375"/>
      <c r="AY507" s="373"/>
      <c r="AZ507" s="374"/>
      <c r="BA507" s="375"/>
      <c r="BB507" s="375"/>
      <c r="BD507" s="373"/>
      <c r="BE507" s="374"/>
      <c r="BF507" s="375"/>
      <c r="BG507" s="375"/>
      <c r="BI507" s="373"/>
      <c r="BJ507" s="374"/>
      <c r="BK507" s="375"/>
      <c r="BL507" s="375"/>
      <c r="BN507" s="373"/>
      <c r="BO507" s="374"/>
      <c r="BP507" s="375"/>
      <c r="BQ507" s="375"/>
      <c r="BS507" s="373"/>
      <c r="BT507" s="374"/>
      <c r="BU507" s="375"/>
      <c r="BV507" s="375"/>
      <c r="BX507" s="373"/>
      <c r="BY507" s="374"/>
      <c r="BZ507" s="375"/>
      <c r="CA507" s="375"/>
      <c r="CC507" s="373"/>
      <c r="CD507" s="374"/>
      <c r="CE507" s="375"/>
      <c r="CF507" s="375"/>
      <c r="CH507" s="373"/>
      <c r="CI507" s="374"/>
      <c r="CJ507" s="375"/>
      <c r="CK507" s="375"/>
      <c r="CM507" s="373"/>
      <c r="CN507" s="374"/>
      <c r="CO507" s="375"/>
      <c r="CP507" s="375"/>
      <c r="CR507" s="373"/>
      <c r="CS507" s="374"/>
      <c r="CT507" s="375"/>
      <c r="CU507" s="375"/>
      <c r="CW507" s="373"/>
      <c r="CX507" s="374"/>
      <c r="CY507" s="375"/>
      <c r="CZ507" s="375"/>
      <c r="DB507" s="373"/>
      <c r="DC507" s="374"/>
      <c r="DD507" s="375"/>
      <c r="DE507" s="375"/>
      <c r="DG507" s="373"/>
      <c r="DH507" s="374"/>
      <c r="DI507" s="375"/>
      <c r="DJ507" s="375"/>
      <c r="DL507" s="373"/>
      <c r="DM507" s="374"/>
      <c r="DN507" s="375"/>
      <c r="DO507" s="375"/>
      <c r="DQ507" s="373"/>
      <c r="DR507" s="374"/>
      <c r="DS507" s="375"/>
      <c r="DT507" s="375"/>
      <c r="DV507" s="373"/>
      <c r="DW507" s="374"/>
      <c r="DX507" s="375"/>
      <c r="DY507" s="375"/>
      <c r="EA507" s="373"/>
      <c r="EB507" s="374"/>
      <c r="EC507" s="375"/>
      <c r="ED507" s="375"/>
      <c r="EF507" s="373"/>
      <c r="EG507" s="374"/>
      <c r="EH507" s="375"/>
      <c r="EI507" s="375"/>
      <c r="EK507" s="373"/>
      <c r="EL507" s="374"/>
      <c r="EM507" s="375"/>
      <c r="EN507" s="375"/>
      <c r="EP507" s="373"/>
      <c r="EQ507" s="374"/>
      <c r="ER507" s="375"/>
      <c r="ES507" s="375"/>
      <c r="EU507" s="373"/>
      <c r="EV507" s="374"/>
      <c r="EW507" s="375"/>
      <c r="EX507" s="375"/>
      <c r="EZ507" s="373"/>
      <c r="FA507" s="374"/>
      <c r="FB507" s="375"/>
      <c r="FC507" s="375"/>
      <c r="FE507" s="373"/>
      <c r="FF507" s="374"/>
      <c r="FG507" s="375"/>
      <c r="FH507" s="375"/>
      <c r="FJ507" s="373"/>
      <c r="FK507" s="374"/>
      <c r="FL507" s="375"/>
      <c r="FM507" s="375"/>
      <c r="FO507" s="373"/>
      <c r="FP507" s="374"/>
      <c r="FQ507" s="375"/>
      <c r="FR507" s="375"/>
      <c r="FT507" s="373"/>
      <c r="FU507" s="374"/>
      <c r="FV507" s="375"/>
      <c r="FW507" s="375"/>
      <c r="FY507" s="373"/>
      <c r="FZ507" s="374"/>
      <c r="GA507" s="375"/>
      <c r="GB507" s="375"/>
      <c r="GD507" s="373"/>
      <c r="GE507" s="374"/>
      <c r="GF507" s="375"/>
      <c r="GG507" s="375"/>
      <c r="GI507" s="373"/>
      <c r="GJ507" s="374"/>
      <c r="GK507" s="375"/>
      <c r="GL507" s="375"/>
      <c r="GN507" s="373"/>
      <c r="GO507" s="374"/>
      <c r="GP507" s="375"/>
      <c r="GQ507" s="375"/>
      <c r="GS507" s="373"/>
      <c r="GT507" s="374"/>
      <c r="GU507" s="375"/>
      <c r="GV507" s="375"/>
      <c r="GX507" s="373"/>
      <c r="GY507" s="374"/>
      <c r="GZ507" s="375"/>
      <c r="HA507" s="375"/>
      <c r="HC507" s="373"/>
      <c r="HD507" s="374"/>
      <c r="HE507" s="375"/>
      <c r="HF507" s="375"/>
      <c r="HH507" s="373"/>
      <c r="HI507" s="374"/>
      <c r="HJ507" s="375"/>
      <c r="HK507" s="375"/>
      <c r="HM507" s="373"/>
      <c r="HN507" s="374"/>
      <c r="HO507" s="375"/>
      <c r="HP507" s="375"/>
      <c r="HR507" s="373"/>
      <c r="HS507" s="374"/>
      <c r="HT507" s="375"/>
      <c r="HU507" s="375"/>
      <c r="HW507" s="373"/>
      <c r="HX507" s="374"/>
      <c r="HY507" s="375"/>
      <c r="HZ507" s="375"/>
      <c r="IB507" s="373"/>
      <c r="IC507" s="374"/>
      <c r="ID507" s="375"/>
      <c r="IE507" s="375"/>
      <c r="IG507" s="373"/>
      <c r="IH507" s="374"/>
      <c r="II507" s="375"/>
      <c r="IJ507" s="375"/>
      <c r="IL507" s="373"/>
      <c r="IM507" s="374"/>
      <c r="IN507" s="375"/>
      <c r="IO507" s="375"/>
      <c r="IQ507" s="373"/>
      <c r="IR507" s="374"/>
      <c r="IS507" s="375"/>
      <c r="IT507" s="375"/>
      <c r="IV507" s="373"/>
    </row>
    <row r="508" spans="1:256" s="376" customFormat="1" x14ac:dyDescent="0.2">
      <c r="A508" s="373"/>
      <c r="B508" s="374"/>
      <c r="C508" s="375"/>
      <c r="D508" s="375"/>
      <c r="F508" s="373"/>
      <c r="G508" s="374"/>
      <c r="H508" s="375"/>
      <c r="I508" s="375"/>
      <c r="K508" s="373"/>
      <c r="L508" s="374"/>
      <c r="M508" s="375"/>
      <c r="N508" s="375"/>
      <c r="P508" s="373"/>
      <c r="Q508" s="374"/>
      <c r="R508" s="375"/>
      <c r="S508" s="375"/>
      <c r="U508" s="373"/>
      <c r="V508" s="374"/>
      <c r="W508" s="375"/>
      <c r="X508" s="375"/>
      <c r="Z508" s="373"/>
      <c r="AA508" s="374"/>
      <c r="AB508" s="375"/>
      <c r="AC508" s="375"/>
      <c r="AE508" s="373"/>
      <c r="AF508" s="374"/>
      <c r="AG508" s="375"/>
      <c r="AH508" s="375"/>
      <c r="AJ508" s="373"/>
      <c r="AK508" s="374"/>
      <c r="AL508" s="375"/>
      <c r="AM508" s="375"/>
      <c r="AO508" s="373"/>
      <c r="AP508" s="374"/>
      <c r="AQ508" s="375"/>
      <c r="AR508" s="375"/>
      <c r="AT508" s="373"/>
      <c r="AU508" s="374"/>
      <c r="AV508" s="375"/>
      <c r="AW508" s="375"/>
      <c r="AY508" s="373"/>
      <c r="AZ508" s="374"/>
      <c r="BA508" s="375"/>
      <c r="BB508" s="375"/>
      <c r="BD508" s="373"/>
      <c r="BE508" s="374"/>
      <c r="BF508" s="375"/>
      <c r="BG508" s="375"/>
      <c r="BI508" s="373"/>
      <c r="BJ508" s="374"/>
      <c r="BK508" s="375"/>
      <c r="BL508" s="375"/>
      <c r="BN508" s="373"/>
      <c r="BO508" s="374"/>
      <c r="BP508" s="375"/>
      <c r="BQ508" s="375"/>
      <c r="BS508" s="373"/>
      <c r="BT508" s="374"/>
      <c r="BU508" s="375"/>
      <c r="BV508" s="375"/>
      <c r="BX508" s="373"/>
      <c r="BY508" s="374"/>
      <c r="BZ508" s="375"/>
      <c r="CA508" s="375"/>
      <c r="CC508" s="373"/>
      <c r="CD508" s="374"/>
      <c r="CE508" s="375"/>
      <c r="CF508" s="375"/>
      <c r="CH508" s="373"/>
      <c r="CI508" s="374"/>
      <c r="CJ508" s="375"/>
      <c r="CK508" s="375"/>
      <c r="CM508" s="373"/>
      <c r="CN508" s="374"/>
      <c r="CO508" s="375"/>
      <c r="CP508" s="375"/>
      <c r="CR508" s="373"/>
      <c r="CS508" s="374"/>
      <c r="CT508" s="375"/>
      <c r="CU508" s="375"/>
      <c r="CW508" s="373"/>
      <c r="CX508" s="374"/>
      <c r="CY508" s="375"/>
      <c r="CZ508" s="375"/>
      <c r="DB508" s="373"/>
      <c r="DC508" s="374"/>
      <c r="DD508" s="375"/>
      <c r="DE508" s="375"/>
      <c r="DG508" s="373"/>
      <c r="DH508" s="374"/>
      <c r="DI508" s="375"/>
      <c r="DJ508" s="375"/>
      <c r="DL508" s="373"/>
      <c r="DM508" s="374"/>
      <c r="DN508" s="375"/>
      <c r="DO508" s="375"/>
      <c r="DQ508" s="373"/>
      <c r="DR508" s="374"/>
      <c r="DS508" s="375"/>
      <c r="DT508" s="375"/>
      <c r="DV508" s="373"/>
      <c r="DW508" s="374"/>
      <c r="DX508" s="375"/>
      <c r="DY508" s="375"/>
      <c r="EA508" s="373"/>
      <c r="EB508" s="374"/>
      <c r="EC508" s="375"/>
      <c r="ED508" s="375"/>
      <c r="EF508" s="373"/>
      <c r="EG508" s="374"/>
      <c r="EH508" s="375"/>
      <c r="EI508" s="375"/>
      <c r="EK508" s="373"/>
      <c r="EL508" s="374"/>
      <c r="EM508" s="375"/>
      <c r="EN508" s="375"/>
      <c r="EP508" s="373"/>
      <c r="EQ508" s="374"/>
      <c r="ER508" s="375"/>
      <c r="ES508" s="375"/>
      <c r="EU508" s="373"/>
      <c r="EV508" s="374"/>
      <c r="EW508" s="375"/>
      <c r="EX508" s="375"/>
      <c r="EZ508" s="373"/>
      <c r="FA508" s="374"/>
      <c r="FB508" s="375"/>
      <c r="FC508" s="375"/>
      <c r="FE508" s="373"/>
      <c r="FF508" s="374"/>
      <c r="FG508" s="375"/>
      <c r="FH508" s="375"/>
      <c r="FJ508" s="373"/>
      <c r="FK508" s="374"/>
      <c r="FL508" s="375"/>
      <c r="FM508" s="375"/>
      <c r="FO508" s="373"/>
      <c r="FP508" s="374"/>
      <c r="FQ508" s="375"/>
      <c r="FR508" s="375"/>
      <c r="FT508" s="373"/>
      <c r="FU508" s="374"/>
      <c r="FV508" s="375"/>
      <c r="FW508" s="375"/>
      <c r="FY508" s="373"/>
      <c r="FZ508" s="374"/>
      <c r="GA508" s="375"/>
      <c r="GB508" s="375"/>
      <c r="GD508" s="373"/>
      <c r="GE508" s="374"/>
      <c r="GF508" s="375"/>
      <c r="GG508" s="375"/>
      <c r="GI508" s="373"/>
      <c r="GJ508" s="374"/>
      <c r="GK508" s="375"/>
      <c r="GL508" s="375"/>
      <c r="GN508" s="373"/>
      <c r="GO508" s="374"/>
      <c r="GP508" s="375"/>
      <c r="GQ508" s="375"/>
      <c r="GS508" s="373"/>
      <c r="GT508" s="374"/>
      <c r="GU508" s="375"/>
      <c r="GV508" s="375"/>
      <c r="GX508" s="373"/>
      <c r="GY508" s="374"/>
      <c r="GZ508" s="375"/>
      <c r="HA508" s="375"/>
      <c r="HC508" s="373"/>
      <c r="HD508" s="374"/>
      <c r="HE508" s="375"/>
      <c r="HF508" s="375"/>
      <c r="HH508" s="373"/>
      <c r="HI508" s="374"/>
      <c r="HJ508" s="375"/>
      <c r="HK508" s="375"/>
      <c r="HM508" s="373"/>
      <c r="HN508" s="374"/>
      <c r="HO508" s="375"/>
      <c r="HP508" s="375"/>
      <c r="HR508" s="373"/>
      <c r="HS508" s="374"/>
      <c r="HT508" s="375"/>
      <c r="HU508" s="375"/>
      <c r="HW508" s="373"/>
      <c r="HX508" s="374"/>
      <c r="HY508" s="375"/>
      <c r="HZ508" s="375"/>
      <c r="IB508" s="373"/>
      <c r="IC508" s="374"/>
      <c r="ID508" s="375"/>
      <c r="IE508" s="375"/>
      <c r="IG508" s="373"/>
      <c r="IH508" s="374"/>
      <c r="II508" s="375"/>
      <c r="IJ508" s="375"/>
      <c r="IL508" s="373"/>
      <c r="IM508" s="374"/>
      <c r="IN508" s="375"/>
      <c r="IO508" s="375"/>
      <c r="IQ508" s="373"/>
      <c r="IR508" s="374"/>
      <c r="IS508" s="375"/>
      <c r="IT508" s="375"/>
      <c r="IV508" s="373"/>
    </row>
    <row r="509" spans="1:256" s="376" customFormat="1" x14ac:dyDescent="0.2">
      <c r="A509" s="373"/>
      <c r="B509" s="374"/>
      <c r="C509" s="375"/>
      <c r="D509" s="375"/>
      <c r="F509" s="373"/>
      <c r="G509" s="374"/>
      <c r="H509" s="375"/>
      <c r="I509" s="375"/>
      <c r="K509" s="373"/>
      <c r="L509" s="374"/>
      <c r="M509" s="375"/>
      <c r="N509" s="375"/>
      <c r="P509" s="373"/>
      <c r="Q509" s="374"/>
      <c r="R509" s="375"/>
      <c r="S509" s="375"/>
      <c r="U509" s="373"/>
      <c r="V509" s="374"/>
      <c r="W509" s="375"/>
      <c r="X509" s="375"/>
      <c r="Z509" s="373"/>
      <c r="AA509" s="374"/>
      <c r="AB509" s="375"/>
      <c r="AC509" s="375"/>
      <c r="AE509" s="373"/>
      <c r="AF509" s="374"/>
      <c r="AG509" s="375"/>
      <c r="AH509" s="375"/>
      <c r="AJ509" s="373"/>
      <c r="AK509" s="374"/>
      <c r="AL509" s="375"/>
      <c r="AM509" s="375"/>
      <c r="AO509" s="373"/>
      <c r="AP509" s="374"/>
      <c r="AQ509" s="375"/>
      <c r="AR509" s="375"/>
      <c r="AT509" s="373"/>
      <c r="AU509" s="374"/>
      <c r="AV509" s="375"/>
      <c r="AW509" s="375"/>
      <c r="AY509" s="373"/>
      <c r="AZ509" s="374"/>
      <c r="BA509" s="375"/>
      <c r="BB509" s="375"/>
      <c r="BD509" s="373"/>
      <c r="BE509" s="374"/>
      <c r="BF509" s="375"/>
      <c r="BG509" s="375"/>
      <c r="BI509" s="373"/>
      <c r="BJ509" s="374"/>
      <c r="BK509" s="375"/>
      <c r="BL509" s="375"/>
      <c r="BN509" s="373"/>
      <c r="BO509" s="374"/>
      <c r="BP509" s="375"/>
      <c r="BQ509" s="375"/>
      <c r="BS509" s="373"/>
      <c r="BT509" s="374"/>
      <c r="BU509" s="375"/>
      <c r="BV509" s="375"/>
      <c r="BX509" s="373"/>
      <c r="BY509" s="374"/>
      <c r="BZ509" s="375"/>
      <c r="CA509" s="375"/>
      <c r="CC509" s="373"/>
      <c r="CD509" s="374"/>
      <c r="CE509" s="375"/>
      <c r="CF509" s="375"/>
      <c r="CH509" s="373"/>
      <c r="CI509" s="374"/>
      <c r="CJ509" s="375"/>
      <c r="CK509" s="375"/>
      <c r="CM509" s="373"/>
      <c r="CN509" s="374"/>
      <c r="CO509" s="375"/>
      <c r="CP509" s="375"/>
      <c r="CR509" s="373"/>
      <c r="CS509" s="374"/>
      <c r="CT509" s="375"/>
      <c r="CU509" s="375"/>
      <c r="CW509" s="373"/>
      <c r="CX509" s="374"/>
      <c r="CY509" s="375"/>
      <c r="CZ509" s="375"/>
      <c r="DB509" s="373"/>
      <c r="DC509" s="374"/>
      <c r="DD509" s="375"/>
      <c r="DE509" s="375"/>
      <c r="DG509" s="373"/>
      <c r="DH509" s="374"/>
      <c r="DI509" s="375"/>
      <c r="DJ509" s="375"/>
      <c r="DL509" s="373"/>
      <c r="DM509" s="374"/>
      <c r="DN509" s="375"/>
      <c r="DO509" s="375"/>
      <c r="DQ509" s="373"/>
      <c r="DR509" s="374"/>
      <c r="DS509" s="375"/>
      <c r="DT509" s="375"/>
      <c r="DV509" s="373"/>
      <c r="DW509" s="374"/>
      <c r="DX509" s="375"/>
      <c r="DY509" s="375"/>
      <c r="EA509" s="373"/>
      <c r="EB509" s="374"/>
      <c r="EC509" s="375"/>
      <c r="ED509" s="375"/>
      <c r="EF509" s="373"/>
      <c r="EG509" s="374"/>
      <c r="EH509" s="375"/>
      <c r="EI509" s="375"/>
      <c r="EK509" s="373"/>
      <c r="EL509" s="374"/>
      <c r="EM509" s="375"/>
      <c r="EN509" s="375"/>
      <c r="EP509" s="373"/>
      <c r="EQ509" s="374"/>
      <c r="ER509" s="375"/>
      <c r="ES509" s="375"/>
      <c r="EU509" s="373"/>
      <c r="EV509" s="374"/>
      <c r="EW509" s="375"/>
      <c r="EX509" s="375"/>
      <c r="EZ509" s="373"/>
      <c r="FA509" s="374"/>
      <c r="FB509" s="375"/>
      <c r="FC509" s="375"/>
      <c r="FE509" s="373"/>
      <c r="FF509" s="374"/>
      <c r="FG509" s="375"/>
      <c r="FH509" s="375"/>
      <c r="FJ509" s="373"/>
      <c r="FK509" s="374"/>
      <c r="FL509" s="375"/>
      <c r="FM509" s="375"/>
      <c r="FO509" s="373"/>
      <c r="FP509" s="374"/>
      <c r="FQ509" s="375"/>
      <c r="FR509" s="375"/>
      <c r="FT509" s="373"/>
      <c r="FU509" s="374"/>
      <c r="FV509" s="375"/>
      <c r="FW509" s="375"/>
      <c r="FY509" s="373"/>
      <c r="FZ509" s="374"/>
      <c r="GA509" s="375"/>
      <c r="GB509" s="375"/>
      <c r="GD509" s="373"/>
      <c r="GE509" s="374"/>
      <c r="GF509" s="375"/>
      <c r="GG509" s="375"/>
      <c r="GI509" s="373"/>
      <c r="GJ509" s="374"/>
      <c r="GK509" s="375"/>
      <c r="GL509" s="375"/>
      <c r="GN509" s="373"/>
      <c r="GO509" s="374"/>
      <c r="GP509" s="375"/>
      <c r="GQ509" s="375"/>
      <c r="GS509" s="373"/>
      <c r="GT509" s="374"/>
      <c r="GU509" s="375"/>
      <c r="GV509" s="375"/>
      <c r="GX509" s="373"/>
      <c r="GY509" s="374"/>
      <c r="GZ509" s="375"/>
      <c r="HA509" s="375"/>
      <c r="HC509" s="373"/>
      <c r="HD509" s="374"/>
      <c r="HE509" s="375"/>
      <c r="HF509" s="375"/>
      <c r="HH509" s="373"/>
      <c r="HI509" s="374"/>
      <c r="HJ509" s="375"/>
      <c r="HK509" s="375"/>
      <c r="HM509" s="373"/>
      <c r="HN509" s="374"/>
      <c r="HO509" s="375"/>
      <c r="HP509" s="375"/>
      <c r="HR509" s="373"/>
      <c r="HS509" s="374"/>
      <c r="HT509" s="375"/>
      <c r="HU509" s="375"/>
      <c r="HW509" s="373"/>
      <c r="HX509" s="374"/>
      <c r="HY509" s="375"/>
      <c r="HZ509" s="375"/>
      <c r="IB509" s="373"/>
      <c r="IC509" s="374"/>
      <c r="ID509" s="375"/>
      <c r="IE509" s="375"/>
      <c r="IG509" s="373"/>
      <c r="IH509" s="374"/>
      <c r="II509" s="375"/>
      <c r="IJ509" s="375"/>
      <c r="IL509" s="373"/>
      <c r="IM509" s="374"/>
      <c r="IN509" s="375"/>
      <c r="IO509" s="375"/>
      <c r="IQ509" s="373"/>
      <c r="IR509" s="374"/>
      <c r="IS509" s="375"/>
      <c r="IT509" s="375"/>
      <c r="IV509" s="373"/>
    </row>
    <row r="510" spans="1:256" s="376" customFormat="1" x14ac:dyDescent="0.2">
      <c r="A510" s="373"/>
      <c r="B510" s="374"/>
      <c r="C510" s="375"/>
      <c r="D510" s="375"/>
      <c r="F510" s="373"/>
      <c r="G510" s="374"/>
      <c r="H510" s="375"/>
      <c r="I510" s="375"/>
      <c r="K510" s="373"/>
      <c r="L510" s="374"/>
      <c r="M510" s="375"/>
      <c r="N510" s="375"/>
      <c r="P510" s="373"/>
      <c r="Q510" s="374"/>
      <c r="R510" s="375"/>
      <c r="S510" s="375"/>
      <c r="U510" s="373"/>
      <c r="V510" s="374"/>
      <c r="W510" s="375"/>
      <c r="X510" s="375"/>
      <c r="Z510" s="373"/>
      <c r="AA510" s="374"/>
      <c r="AB510" s="375"/>
      <c r="AC510" s="375"/>
      <c r="AE510" s="373"/>
      <c r="AF510" s="374"/>
      <c r="AG510" s="375"/>
      <c r="AH510" s="375"/>
      <c r="AJ510" s="373"/>
      <c r="AK510" s="374"/>
      <c r="AL510" s="375"/>
      <c r="AM510" s="375"/>
      <c r="AO510" s="373"/>
      <c r="AP510" s="374"/>
      <c r="AQ510" s="375"/>
      <c r="AR510" s="375"/>
      <c r="AT510" s="373"/>
      <c r="AU510" s="374"/>
      <c r="AV510" s="375"/>
      <c r="AW510" s="375"/>
      <c r="AY510" s="373"/>
      <c r="AZ510" s="374"/>
      <c r="BA510" s="375"/>
      <c r="BB510" s="375"/>
      <c r="BD510" s="373"/>
      <c r="BE510" s="374"/>
      <c r="BF510" s="375"/>
      <c r="BG510" s="375"/>
      <c r="BI510" s="373"/>
      <c r="BJ510" s="374"/>
      <c r="BK510" s="375"/>
      <c r="BL510" s="375"/>
      <c r="BN510" s="373"/>
      <c r="BO510" s="374"/>
      <c r="BP510" s="375"/>
      <c r="BQ510" s="375"/>
      <c r="BS510" s="373"/>
      <c r="BT510" s="374"/>
      <c r="BU510" s="375"/>
      <c r="BV510" s="375"/>
      <c r="BX510" s="373"/>
      <c r="BY510" s="374"/>
      <c r="BZ510" s="375"/>
      <c r="CA510" s="375"/>
      <c r="CC510" s="373"/>
      <c r="CD510" s="374"/>
      <c r="CE510" s="375"/>
      <c r="CF510" s="375"/>
      <c r="CH510" s="373"/>
      <c r="CI510" s="374"/>
      <c r="CJ510" s="375"/>
      <c r="CK510" s="375"/>
      <c r="CM510" s="373"/>
      <c r="CN510" s="374"/>
      <c r="CO510" s="375"/>
      <c r="CP510" s="375"/>
      <c r="CR510" s="373"/>
      <c r="CS510" s="374"/>
      <c r="CT510" s="375"/>
      <c r="CU510" s="375"/>
      <c r="CW510" s="373"/>
      <c r="CX510" s="374"/>
      <c r="CY510" s="375"/>
      <c r="CZ510" s="375"/>
      <c r="DB510" s="373"/>
      <c r="DC510" s="374"/>
      <c r="DD510" s="375"/>
      <c r="DE510" s="375"/>
      <c r="DG510" s="373"/>
      <c r="DH510" s="374"/>
      <c r="DI510" s="375"/>
      <c r="DJ510" s="375"/>
      <c r="DL510" s="373"/>
      <c r="DM510" s="374"/>
      <c r="DN510" s="375"/>
      <c r="DO510" s="375"/>
      <c r="DQ510" s="373"/>
      <c r="DR510" s="374"/>
      <c r="DS510" s="375"/>
      <c r="DT510" s="375"/>
      <c r="DV510" s="373"/>
      <c r="DW510" s="374"/>
      <c r="DX510" s="375"/>
      <c r="DY510" s="375"/>
      <c r="EA510" s="373"/>
      <c r="EB510" s="374"/>
      <c r="EC510" s="375"/>
      <c r="ED510" s="375"/>
      <c r="EF510" s="373"/>
      <c r="EG510" s="374"/>
      <c r="EH510" s="375"/>
      <c r="EI510" s="375"/>
      <c r="EK510" s="373"/>
      <c r="EL510" s="374"/>
      <c r="EM510" s="375"/>
      <c r="EN510" s="375"/>
      <c r="EP510" s="373"/>
      <c r="EQ510" s="374"/>
      <c r="ER510" s="375"/>
      <c r="ES510" s="375"/>
      <c r="EU510" s="373"/>
      <c r="EV510" s="374"/>
      <c r="EW510" s="375"/>
      <c r="EX510" s="375"/>
      <c r="EZ510" s="373"/>
      <c r="FA510" s="374"/>
      <c r="FB510" s="375"/>
      <c r="FC510" s="375"/>
      <c r="FE510" s="373"/>
      <c r="FF510" s="374"/>
      <c r="FG510" s="375"/>
      <c r="FH510" s="375"/>
      <c r="FJ510" s="373"/>
      <c r="FK510" s="374"/>
      <c r="FL510" s="375"/>
      <c r="FM510" s="375"/>
      <c r="FO510" s="373"/>
      <c r="FP510" s="374"/>
      <c r="FQ510" s="375"/>
      <c r="FR510" s="375"/>
      <c r="FT510" s="373"/>
      <c r="FU510" s="374"/>
      <c r="FV510" s="375"/>
      <c r="FW510" s="375"/>
      <c r="FY510" s="373"/>
      <c r="FZ510" s="374"/>
      <c r="GA510" s="375"/>
      <c r="GB510" s="375"/>
      <c r="GD510" s="373"/>
      <c r="GE510" s="374"/>
      <c r="GF510" s="375"/>
      <c r="GG510" s="375"/>
      <c r="GI510" s="373"/>
      <c r="GJ510" s="374"/>
      <c r="GK510" s="375"/>
      <c r="GL510" s="375"/>
      <c r="GN510" s="373"/>
      <c r="GO510" s="374"/>
      <c r="GP510" s="375"/>
      <c r="GQ510" s="375"/>
      <c r="GS510" s="373"/>
      <c r="GT510" s="374"/>
      <c r="GU510" s="375"/>
      <c r="GV510" s="375"/>
      <c r="GX510" s="373"/>
      <c r="GY510" s="374"/>
      <c r="GZ510" s="375"/>
      <c r="HA510" s="375"/>
      <c r="HC510" s="373"/>
      <c r="HD510" s="374"/>
      <c r="HE510" s="375"/>
      <c r="HF510" s="375"/>
      <c r="HH510" s="373"/>
      <c r="HI510" s="374"/>
      <c r="HJ510" s="375"/>
      <c r="HK510" s="375"/>
      <c r="HM510" s="373"/>
      <c r="HN510" s="374"/>
      <c r="HO510" s="375"/>
      <c r="HP510" s="375"/>
      <c r="HR510" s="373"/>
      <c r="HS510" s="374"/>
      <c r="HT510" s="375"/>
      <c r="HU510" s="375"/>
      <c r="HW510" s="373"/>
      <c r="HX510" s="374"/>
      <c r="HY510" s="375"/>
      <c r="HZ510" s="375"/>
      <c r="IB510" s="373"/>
      <c r="IC510" s="374"/>
      <c r="ID510" s="375"/>
      <c r="IE510" s="375"/>
      <c r="IG510" s="373"/>
      <c r="IH510" s="374"/>
      <c r="II510" s="375"/>
      <c r="IJ510" s="375"/>
      <c r="IL510" s="373"/>
      <c r="IM510" s="374"/>
      <c r="IN510" s="375"/>
      <c r="IO510" s="375"/>
      <c r="IQ510" s="373"/>
      <c r="IR510" s="374"/>
      <c r="IS510" s="375"/>
      <c r="IT510" s="375"/>
      <c r="IV510" s="373"/>
    </row>
    <row r="511" spans="1:256" s="376" customFormat="1" x14ac:dyDescent="0.2">
      <c r="A511" s="373"/>
      <c r="B511" s="374"/>
      <c r="C511" s="375"/>
      <c r="D511" s="375"/>
      <c r="F511" s="373"/>
      <c r="G511" s="374"/>
      <c r="H511" s="375"/>
      <c r="I511" s="375"/>
      <c r="K511" s="373"/>
      <c r="L511" s="374"/>
      <c r="M511" s="375"/>
      <c r="N511" s="375"/>
      <c r="P511" s="373"/>
      <c r="Q511" s="374"/>
      <c r="R511" s="375"/>
      <c r="S511" s="375"/>
      <c r="U511" s="373"/>
      <c r="V511" s="374"/>
      <c r="W511" s="375"/>
      <c r="X511" s="375"/>
      <c r="Z511" s="373"/>
      <c r="AA511" s="374"/>
      <c r="AB511" s="375"/>
      <c r="AC511" s="375"/>
      <c r="AE511" s="373"/>
      <c r="AF511" s="374"/>
      <c r="AG511" s="375"/>
      <c r="AH511" s="375"/>
      <c r="AJ511" s="373"/>
      <c r="AK511" s="374"/>
      <c r="AL511" s="375"/>
      <c r="AM511" s="375"/>
      <c r="AO511" s="373"/>
      <c r="AP511" s="374"/>
      <c r="AQ511" s="375"/>
      <c r="AR511" s="375"/>
      <c r="AT511" s="373"/>
      <c r="AU511" s="374"/>
      <c r="AV511" s="375"/>
      <c r="AW511" s="375"/>
      <c r="AY511" s="373"/>
      <c r="AZ511" s="374"/>
      <c r="BA511" s="375"/>
      <c r="BB511" s="375"/>
      <c r="BD511" s="373"/>
      <c r="BE511" s="374"/>
      <c r="BF511" s="375"/>
      <c r="BG511" s="375"/>
      <c r="BI511" s="373"/>
      <c r="BJ511" s="374"/>
      <c r="BK511" s="375"/>
      <c r="BL511" s="375"/>
      <c r="BN511" s="373"/>
      <c r="BO511" s="374"/>
      <c r="BP511" s="375"/>
      <c r="BQ511" s="375"/>
      <c r="BS511" s="373"/>
      <c r="BT511" s="374"/>
      <c r="BU511" s="375"/>
      <c r="BV511" s="375"/>
      <c r="BX511" s="373"/>
      <c r="BY511" s="374"/>
      <c r="BZ511" s="375"/>
      <c r="CA511" s="375"/>
      <c r="CC511" s="373"/>
      <c r="CD511" s="374"/>
      <c r="CE511" s="375"/>
      <c r="CF511" s="375"/>
      <c r="CH511" s="373"/>
      <c r="CI511" s="374"/>
      <c r="CJ511" s="375"/>
      <c r="CK511" s="375"/>
      <c r="CM511" s="373"/>
      <c r="CN511" s="374"/>
      <c r="CO511" s="375"/>
      <c r="CP511" s="375"/>
      <c r="CR511" s="373"/>
      <c r="CS511" s="374"/>
      <c r="CT511" s="375"/>
      <c r="CU511" s="375"/>
      <c r="CW511" s="373"/>
      <c r="CX511" s="374"/>
      <c r="CY511" s="375"/>
      <c r="CZ511" s="375"/>
      <c r="DB511" s="373"/>
      <c r="DC511" s="374"/>
      <c r="DD511" s="375"/>
      <c r="DE511" s="375"/>
      <c r="DG511" s="373"/>
      <c r="DH511" s="374"/>
      <c r="DI511" s="375"/>
      <c r="DJ511" s="375"/>
      <c r="DL511" s="373"/>
      <c r="DM511" s="374"/>
      <c r="DN511" s="375"/>
      <c r="DO511" s="375"/>
      <c r="DQ511" s="373"/>
      <c r="DR511" s="374"/>
      <c r="DS511" s="375"/>
      <c r="DT511" s="375"/>
      <c r="DV511" s="373"/>
      <c r="DW511" s="374"/>
      <c r="DX511" s="375"/>
      <c r="DY511" s="375"/>
      <c r="EA511" s="373"/>
      <c r="EB511" s="374"/>
      <c r="EC511" s="375"/>
      <c r="ED511" s="375"/>
      <c r="EF511" s="373"/>
      <c r="EG511" s="374"/>
      <c r="EH511" s="375"/>
      <c r="EI511" s="375"/>
      <c r="EK511" s="373"/>
      <c r="EL511" s="374"/>
      <c r="EM511" s="375"/>
      <c r="EN511" s="375"/>
      <c r="EP511" s="373"/>
      <c r="EQ511" s="374"/>
      <c r="ER511" s="375"/>
      <c r="ES511" s="375"/>
      <c r="EU511" s="373"/>
      <c r="EV511" s="374"/>
      <c r="EW511" s="375"/>
      <c r="EX511" s="375"/>
      <c r="EZ511" s="373"/>
      <c r="FA511" s="374"/>
      <c r="FB511" s="375"/>
      <c r="FC511" s="375"/>
      <c r="FE511" s="373"/>
      <c r="FF511" s="374"/>
      <c r="FG511" s="375"/>
      <c r="FH511" s="375"/>
      <c r="FJ511" s="373"/>
      <c r="FK511" s="374"/>
      <c r="FL511" s="375"/>
      <c r="FM511" s="375"/>
      <c r="FO511" s="373"/>
      <c r="FP511" s="374"/>
      <c r="FQ511" s="375"/>
      <c r="FR511" s="375"/>
      <c r="FT511" s="373"/>
      <c r="FU511" s="374"/>
      <c r="FV511" s="375"/>
      <c r="FW511" s="375"/>
      <c r="FY511" s="373"/>
      <c r="FZ511" s="374"/>
      <c r="GA511" s="375"/>
      <c r="GB511" s="375"/>
      <c r="GD511" s="373"/>
      <c r="GE511" s="374"/>
      <c r="GF511" s="375"/>
      <c r="GG511" s="375"/>
      <c r="GI511" s="373"/>
      <c r="GJ511" s="374"/>
      <c r="GK511" s="375"/>
      <c r="GL511" s="375"/>
      <c r="GN511" s="373"/>
      <c r="GO511" s="374"/>
      <c r="GP511" s="375"/>
      <c r="GQ511" s="375"/>
      <c r="GS511" s="373"/>
      <c r="GT511" s="374"/>
      <c r="GU511" s="375"/>
      <c r="GV511" s="375"/>
      <c r="GX511" s="373"/>
      <c r="GY511" s="374"/>
      <c r="GZ511" s="375"/>
      <c r="HA511" s="375"/>
      <c r="HC511" s="373"/>
      <c r="HD511" s="374"/>
      <c r="HE511" s="375"/>
      <c r="HF511" s="375"/>
      <c r="HH511" s="373"/>
      <c r="HI511" s="374"/>
      <c r="HJ511" s="375"/>
      <c r="HK511" s="375"/>
      <c r="HM511" s="373"/>
      <c r="HN511" s="374"/>
      <c r="HO511" s="375"/>
      <c r="HP511" s="375"/>
      <c r="HR511" s="373"/>
      <c r="HS511" s="374"/>
      <c r="HT511" s="375"/>
      <c r="HU511" s="375"/>
      <c r="HW511" s="373"/>
      <c r="HX511" s="374"/>
      <c r="HY511" s="375"/>
      <c r="HZ511" s="375"/>
      <c r="IB511" s="373"/>
      <c r="IC511" s="374"/>
      <c r="ID511" s="375"/>
      <c r="IE511" s="375"/>
      <c r="IG511" s="373"/>
      <c r="IH511" s="374"/>
      <c r="II511" s="375"/>
      <c r="IJ511" s="375"/>
      <c r="IL511" s="373"/>
      <c r="IM511" s="374"/>
      <c r="IN511" s="375"/>
      <c r="IO511" s="375"/>
      <c r="IQ511" s="373"/>
      <c r="IR511" s="374"/>
      <c r="IS511" s="375"/>
      <c r="IT511" s="375"/>
      <c r="IV511" s="373"/>
    </row>
    <row r="512" spans="1:256" s="376" customFormat="1" x14ac:dyDescent="0.2">
      <c r="A512" s="373"/>
      <c r="B512" s="374"/>
      <c r="C512" s="375"/>
      <c r="D512" s="375"/>
      <c r="F512" s="373"/>
      <c r="G512" s="374"/>
      <c r="H512" s="375"/>
      <c r="I512" s="375"/>
      <c r="K512" s="373"/>
      <c r="L512" s="374"/>
      <c r="M512" s="375"/>
      <c r="N512" s="375"/>
      <c r="P512" s="373"/>
      <c r="Q512" s="374"/>
      <c r="R512" s="375"/>
      <c r="S512" s="375"/>
      <c r="U512" s="373"/>
      <c r="V512" s="374"/>
      <c r="W512" s="375"/>
      <c r="X512" s="375"/>
      <c r="Z512" s="373"/>
      <c r="AA512" s="374"/>
      <c r="AB512" s="375"/>
      <c r="AC512" s="375"/>
      <c r="AE512" s="373"/>
      <c r="AF512" s="374"/>
      <c r="AG512" s="375"/>
      <c r="AH512" s="375"/>
      <c r="AJ512" s="373"/>
      <c r="AK512" s="374"/>
      <c r="AL512" s="375"/>
      <c r="AM512" s="375"/>
      <c r="AO512" s="373"/>
      <c r="AP512" s="374"/>
      <c r="AQ512" s="375"/>
      <c r="AR512" s="375"/>
      <c r="AT512" s="373"/>
      <c r="AU512" s="374"/>
      <c r="AV512" s="375"/>
      <c r="AW512" s="375"/>
      <c r="AY512" s="373"/>
      <c r="AZ512" s="374"/>
      <c r="BA512" s="375"/>
      <c r="BB512" s="375"/>
      <c r="BD512" s="373"/>
      <c r="BE512" s="374"/>
      <c r="BF512" s="375"/>
      <c r="BG512" s="375"/>
      <c r="BI512" s="373"/>
      <c r="BJ512" s="374"/>
      <c r="BK512" s="375"/>
      <c r="BL512" s="375"/>
      <c r="BN512" s="373"/>
      <c r="BO512" s="374"/>
      <c r="BP512" s="375"/>
      <c r="BQ512" s="375"/>
      <c r="BS512" s="373"/>
      <c r="BT512" s="374"/>
      <c r="BU512" s="375"/>
      <c r="BV512" s="375"/>
      <c r="BX512" s="373"/>
      <c r="BY512" s="374"/>
      <c r="BZ512" s="375"/>
      <c r="CA512" s="375"/>
      <c r="CC512" s="373"/>
      <c r="CD512" s="374"/>
      <c r="CE512" s="375"/>
      <c r="CF512" s="375"/>
      <c r="CH512" s="373"/>
      <c r="CI512" s="374"/>
      <c r="CJ512" s="375"/>
      <c r="CK512" s="375"/>
      <c r="CM512" s="373"/>
      <c r="CN512" s="374"/>
      <c r="CO512" s="375"/>
      <c r="CP512" s="375"/>
      <c r="CR512" s="373"/>
      <c r="CS512" s="374"/>
      <c r="CT512" s="375"/>
      <c r="CU512" s="375"/>
      <c r="CW512" s="373"/>
      <c r="CX512" s="374"/>
      <c r="CY512" s="375"/>
      <c r="CZ512" s="375"/>
      <c r="DB512" s="373"/>
      <c r="DC512" s="374"/>
      <c r="DD512" s="375"/>
      <c r="DE512" s="375"/>
      <c r="DG512" s="373"/>
      <c r="DH512" s="374"/>
      <c r="DI512" s="375"/>
      <c r="DJ512" s="375"/>
      <c r="DL512" s="373"/>
      <c r="DM512" s="374"/>
      <c r="DN512" s="375"/>
      <c r="DO512" s="375"/>
      <c r="DQ512" s="373"/>
      <c r="DR512" s="374"/>
      <c r="DS512" s="375"/>
      <c r="DT512" s="375"/>
      <c r="DV512" s="373"/>
      <c r="DW512" s="374"/>
      <c r="DX512" s="375"/>
      <c r="DY512" s="375"/>
      <c r="EA512" s="373"/>
      <c r="EB512" s="374"/>
      <c r="EC512" s="375"/>
      <c r="ED512" s="375"/>
      <c r="EF512" s="373"/>
      <c r="EG512" s="374"/>
      <c r="EH512" s="375"/>
      <c r="EI512" s="375"/>
      <c r="EK512" s="373"/>
      <c r="EL512" s="374"/>
      <c r="EM512" s="375"/>
      <c r="EN512" s="375"/>
      <c r="EP512" s="373"/>
      <c r="EQ512" s="374"/>
      <c r="ER512" s="375"/>
      <c r="ES512" s="375"/>
      <c r="EU512" s="373"/>
      <c r="EV512" s="374"/>
      <c r="EW512" s="375"/>
      <c r="EX512" s="375"/>
      <c r="EZ512" s="373"/>
      <c r="FA512" s="374"/>
      <c r="FB512" s="375"/>
      <c r="FC512" s="375"/>
      <c r="FE512" s="373"/>
      <c r="FF512" s="374"/>
      <c r="FG512" s="375"/>
      <c r="FH512" s="375"/>
      <c r="FJ512" s="373"/>
      <c r="FK512" s="374"/>
      <c r="FL512" s="375"/>
      <c r="FM512" s="375"/>
      <c r="FO512" s="373"/>
      <c r="FP512" s="374"/>
      <c r="FQ512" s="375"/>
      <c r="FR512" s="375"/>
      <c r="FT512" s="373"/>
      <c r="FU512" s="374"/>
      <c r="FV512" s="375"/>
      <c r="FW512" s="375"/>
      <c r="FY512" s="373"/>
      <c r="FZ512" s="374"/>
      <c r="GA512" s="375"/>
      <c r="GB512" s="375"/>
      <c r="GD512" s="373"/>
      <c r="GE512" s="374"/>
      <c r="GF512" s="375"/>
      <c r="GG512" s="375"/>
      <c r="GI512" s="373"/>
      <c r="GJ512" s="374"/>
      <c r="GK512" s="375"/>
      <c r="GL512" s="375"/>
      <c r="GN512" s="373"/>
      <c r="GO512" s="374"/>
      <c r="GP512" s="375"/>
      <c r="GQ512" s="375"/>
      <c r="GS512" s="373"/>
      <c r="GT512" s="374"/>
      <c r="GU512" s="375"/>
      <c r="GV512" s="375"/>
      <c r="GX512" s="373"/>
      <c r="GY512" s="374"/>
      <c r="GZ512" s="375"/>
      <c r="HA512" s="375"/>
      <c r="HC512" s="373"/>
      <c r="HD512" s="374"/>
      <c r="HE512" s="375"/>
      <c r="HF512" s="375"/>
      <c r="HH512" s="373"/>
      <c r="HI512" s="374"/>
      <c r="HJ512" s="375"/>
      <c r="HK512" s="375"/>
      <c r="HM512" s="373"/>
      <c r="HN512" s="374"/>
      <c r="HO512" s="375"/>
      <c r="HP512" s="375"/>
      <c r="HR512" s="373"/>
      <c r="HS512" s="374"/>
      <c r="HT512" s="375"/>
      <c r="HU512" s="375"/>
      <c r="HW512" s="373"/>
      <c r="HX512" s="374"/>
      <c r="HY512" s="375"/>
      <c r="HZ512" s="375"/>
      <c r="IB512" s="373"/>
      <c r="IC512" s="374"/>
      <c r="ID512" s="375"/>
      <c r="IE512" s="375"/>
      <c r="IG512" s="373"/>
      <c r="IH512" s="374"/>
      <c r="II512" s="375"/>
      <c r="IJ512" s="375"/>
      <c r="IL512" s="373"/>
      <c r="IM512" s="374"/>
      <c r="IN512" s="375"/>
      <c r="IO512" s="375"/>
      <c r="IQ512" s="373"/>
      <c r="IR512" s="374"/>
      <c r="IS512" s="375"/>
      <c r="IT512" s="375"/>
      <c r="IV512" s="373"/>
    </row>
    <row r="513" spans="1:256" s="376" customFormat="1" x14ac:dyDescent="0.2">
      <c r="A513" s="373"/>
      <c r="B513" s="374"/>
      <c r="C513" s="375"/>
      <c r="D513" s="375"/>
      <c r="F513" s="373"/>
      <c r="G513" s="374"/>
      <c r="H513" s="375"/>
      <c r="I513" s="375"/>
      <c r="K513" s="373"/>
      <c r="L513" s="374"/>
      <c r="M513" s="375"/>
      <c r="N513" s="375"/>
      <c r="P513" s="373"/>
      <c r="Q513" s="374"/>
      <c r="R513" s="375"/>
      <c r="S513" s="375"/>
      <c r="U513" s="373"/>
      <c r="V513" s="374"/>
      <c r="W513" s="375"/>
      <c r="X513" s="375"/>
      <c r="Z513" s="373"/>
      <c r="AA513" s="374"/>
      <c r="AB513" s="375"/>
      <c r="AC513" s="375"/>
      <c r="AE513" s="373"/>
      <c r="AF513" s="374"/>
      <c r="AG513" s="375"/>
      <c r="AH513" s="375"/>
      <c r="AJ513" s="373"/>
      <c r="AK513" s="374"/>
      <c r="AL513" s="375"/>
      <c r="AM513" s="375"/>
      <c r="AO513" s="373"/>
      <c r="AP513" s="374"/>
      <c r="AQ513" s="375"/>
      <c r="AR513" s="375"/>
      <c r="AT513" s="373"/>
      <c r="AU513" s="374"/>
      <c r="AV513" s="375"/>
      <c r="AW513" s="375"/>
      <c r="AY513" s="373"/>
      <c r="AZ513" s="374"/>
      <c r="BA513" s="375"/>
      <c r="BB513" s="375"/>
      <c r="BD513" s="373"/>
      <c r="BE513" s="374"/>
      <c r="BF513" s="375"/>
      <c r="BG513" s="375"/>
      <c r="BI513" s="373"/>
      <c r="BJ513" s="374"/>
      <c r="BK513" s="375"/>
      <c r="BL513" s="375"/>
      <c r="BN513" s="373"/>
      <c r="BO513" s="374"/>
      <c r="BP513" s="375"/>
      <c r="BQ513" s="375"/>
      <c r="BS513" s="373"/>
      <c r="BT513" s="374"/>
      <c r="BU513" s="375"/>
      <c r="BV513" s="375"/>
      <c r="BX513" s="373"/>
      <c r="BY513" s="374"/>
      <c r="BZ513" s="375"/>
      <c r="CA513" s="375"/>
      <c r="CC513" s="373"/>
      <c r="CD513" s="374"/>
      <c r="CE513" s="375"/>
      <c r="CF513" s="375"/>
      <c r="CH513" s="373"/>
      <c r="CI513" s="374"/>
      <c r="CJ513" s="375"/>
      <c r="CK513" s="375"/>
      <c r="CM513" s="373"/>
      <c r="CN513" s="374"/>
      <c r="CO513" s="375"/>
      <c r="CP513" s="375"/>
      <c r="CR513" s="373"/>
      <c r="CS513" s="374"/>
      <c r="CT513" s="375"/>
      <c r="CU513" s="375"/>
      <c r="CW513" s="373"/>
      <c r="CX513" s="374"/>
      <c r="CY513" s="375"/>
      <c r="CZ513" s="375"/>
      <c r="DB513" s="373"/>
      <c r="DC513" s="374"/>
      <c r="DD513" s="375"/>
      <c r="DE513" s="375"/>
      <c r="DG513" s="373"/>
      <c r="DH513" s="374"/>
      <c r="DI513" s="375"/>
      <c r="DJ513" s="375"/>
      <c r="DL513" s="373"/>
      <c r="DM513" s="374"/>
      <c r="DN513" s="375"/>
      <c r="DO513" s="375"/>
      <c r="DQ513" s="373"/>
      <c r="DR513" s="374"/>
      <c r="DS513" s="375"/>
      <c r="DT513" s="375"/>
      <c r="DV513" s="373"/>
      <c r="DW513" s="374"/>
      <c r="DX513" s="375"/>
      <c r="DY513" s="375"/>
      <c r="EA513" s="373"/>
      <c r="EB513" s="374"/>
      <c r="EC513" s="375"/>
      <c r="ED513" s="375"/>
      <c r="EF513" s="373"/>
      <c r="EG513" s="374"/>
      <c r="EH513" s="375"/>
      <c r="EI513" s="375"/>
      <c r="EK513" s="373"/>
      <c r="EL513" s="374"/>
      <c r="EM513" s="375"/>
      <c r="EN513" s="375"/>
      <c r="EP513" s="373"/>
      <c r="EQ513" s="374"/>
      <c r="ER513" s="375"/>
      <c r="ES513" s="375"/>
      <c r="EU513" s="373"/>
      <c r="EV513" s="374"/>
      <c r="EW513" s="375"/>
      <c r="EX513" s="375"/>
      <c r="EZ513" s="373"/>
      <c r="FA513" s="374"/>
      <c r="FB513" s="375"/>
      <c r="FC513" s="375"/>
      <c r="FE513" s="373"/>
      <c r="FF513" s="374"/>
      <c r="FG513" s="375"/>
      <c r="FH513" s="375"/>
      <c r="FJ513" s="373"/>
      <c r="FK513" s="374"/>
      <c r="FL513" s="375"/>
      <c r="FM513" s="375"/>
      <c r="FO513" s="373"/>
      <c r="FP513" s="374"/>
      <c r="FQ513" s="375"/>
      <c r="FR513" s="375"/>
      <c r="FT513" s="373"/>
      <c r="FU513" s="374"/>
      <c r="FV513" s="375"/>
      <c r="FW513" s="375"/>
      <c r="FY513" s="373"/>
      <c r="FZ513" s="374"/>
      <c r="GA513" s="375"/>
      <c r="GB513" s="375"/>
      <c r="GD513" s="373"/>
      <c r="GE513" s="374"/>
      <c r="GF513" s="375"/>
      <c r="GG513" s="375"/>
      <c r="GI513" s="373"/>
      <c r="GJ513" s="374"/>
      <c r="GK513" s="375"/>
      <c r="GL513" s="375"/>
      <c r="GN513" s="373"/>
      <c r="GO513" s="374"/>
      <c r="GP513" s="375"/>
      <c r="GQ513" s="375"/>
      <c r="GS513" s="373"/>
      <c r="GT513" s="374"/>
      <c r="GU513" s="375"/>
      <c r="GV513" s="375"/>
      <c r="GX513" s="373"/>
      <c r="GY513" s="374"/>
      <c r="GZ513" s="375"/>
      <c r="HA513" s="375"/>
      <c r="HC513" s="373"/>
      <c r="HD513" s="374"/>
      <c r="HE513" s="375"/>
      <c r="HF513" s="375"/>
      <c r="HH513" s="373"/>
      <c r="HI513" s="374"/>
      <c r="HJ513" s="375"/>
      <c r="HK513" s="375"/>
      <c r="HM513" s="373"/>
      <c r="HN513" s="374"/>
      <c r="HO513" s="375"/>
      <c r="HP513" s="375"/>
      <c r="HR513" s="373"/>
      <c r="HS513" s="374"/>
      <c r="HT513" s="375"/>
      <c r="HU513" s="375"/>
      <c r="HW513" s="373"/>
      <c r="HX513" s="374"/>
      <c r="HY513" s="375"/>
      <c r="HZ513" s="375"/>
      <c r="IB513" s="373"/>
      <c r="IC513" s="374"/>
      <c r="ID513" s="375"/>
      <c r="IE513" s="375"/>
      <c r="IG513" s="373"/>
      <c r="IH513" s="374"/>
      <c r="II513" s="375"/>
      <c r="IJ513" s="375"/>
      <c r="IL513" s="373"/>
      <c r="IM513" s="374"/>
      <c r="IN513" s="375"/>
      <c r="IO513" s="375"/>
      <c r="IQ513" s="373"/>
      <c r="IR513" s="374"/>
      <c r="IS513" s="375"/>
      <c r="IT513" s="375"/>
      <c r="IV513" s="373"/>
    </row>
    <row r="514" spans="1:256" s="376" customFormat="1" x14ac:dyDescent="0.2">
      <c r="A514" s="373"/>
      <c r="B514" s="374"/>
      <c r="C514" s="375"/>
      <c r="D514" s="375"/>
      <c r="F514" s="373"/>
      <c r="G514" s="374"/>
      <c r="H514" s="375"/>
      <c r="I514" s="375"/>
      <c r="K514" s="373"/>
      <c r="L514" s="374"/>
      <c r="M514" s="375"/>
      <c r="N514" s="375"/>
      <c r="P514" s="373"/>
      <c r="Q514" s="374"/>
      <c r="R514" s="375"/>
      <c r="S514" s="375"/>
      <c r="U514" s="373"/>
      <c r="V514" s="374"/>
      <c r="W514" s="375"/>
      <c r="X514" s="375"/>
      <c r="Z514" s="373"/>
      <c r="AA514" s="374"/>
      <c r="AB514" s="375"/>
      <c r="AC514" s="375"/>
      <c r="AE514" s="373"/>
      <c r="AF514" s="374"/>
      <c r="AG514" s="375"/>
      <c r="AH514" s="375"/>
      <c r="AJ514" s="373"/>
      <c r="AK514" s="374"/>
      <c r="AL514" s="375"/>
      <c r="AM514" s="375"/>
      <c r="AO514" s="373"/>
      <c r="AP514" s="374"/>
      <c r="AQ514" s="375"/>
      <c r="AR514" s="375"/>
      <c r="AT514" s="373"/>
      <c r="AU514" s="374"/>
      <c r="AV514" s="375"/>
      <c r="AW514" s="375"/>
      <c r="AY514" s="373"/>
      <c r="AZ514" s="374"/>
      <c r="BA514" s="375"/>
      <c r="BB514" s="375"/>
      <c r="BD514" s="373"/>
      <c r="BE514" s="374"/>
      <c r="BF514" s="375"/>
      <c r="BG514" s="375"/>
      <c r="BI514" s="373"/>
      <c r="BJ514" s="374"/>
      <c r="BK514" s="375"/>
      <c r="BL514" s="375"/>
      <c r="BN514" s="373"/>
      <c r="BO514" s="374"/>
      <c r="BP514" s="375"/>
      <c r="BQ514" s="375"/>
      <c r="BS514" s="373"/>
      <c r="BT514" s="374"/>
      <c r="BU514" s="375"/>
      <c r="BV514" s="375"/>
      <c r="BX514" s="373"/>
      <c r="BY514" s="374"/>
      <c r="BZ514" s="375"/>
      <c r="CA514" s="375"/>
      <c r="CC514" s="373"/>
      <c r="CD514" s="374"/>
      <c r="CE514" s="375"/>
      <c r="CF514" s="375"/>
      <c r="CH514" s="373"/>
      <c r="CI514" s="374"/>
      <c r="CJ514" s="375"/>
      <c r="CK514" s="375"/>
      <c r="CM514" s="373"/>
      <c r="CN514" s="374"/>
      <c r="CO514" s="375"/>
      <c r="CP514" s="375"/>
      <c r="CR514" s="373"/>
      <c r="CS514" s="374"/>
      <c r="CT514" s="375"/>
      <c r="CU514" s="375"/>
      <c r="CW514" s="373"/>
      <c r="CX514" s="374"/>
      <c r="CY514" s="375"/>
      <c r="CZ514" s="375"/>
      <c r="DB514" s="373"/>
      <c r="DC514" s="374"/>
      <c r="DD514" s="375"/>
      <c r="DE514" s="375"/>
      <c r="DG514" s="373"/>
      <c r="DH514" s="374"/>
      <c r="DI514" s="375"/>
      <c r="DJ514" s="375"/>
      <c r="DL514" s="373"/>
      <c r="DM514" s="374"/>
      <c r="DN514" s="375"/>
      <c r="DO514" s="375"/>
      <c r="DQ514" s="373"/>
      <c r="DR514" s="374"/>
      <c r="DS514" s="375"/>
      <c r="DT514" s="375"/>
      <c r="DV514" s="373"/>
      <c r="DW514" s="374"/>
      <c r="DX514" s="375"/>
      <c r="DY514" s="375"/>
      <c r="EA514" s="373"/>
      <c r="EB514" s="374"/>
      <c r="EC514" s="375"/>
      <c r="ED514" s="375"/>
      <c r="EF514" s="373"/>
      <c r="EG514" s="374"/>
      <c r="EH514" s="375"/>
      <c r="EI514" s="375"/>
      <c r="EK514" s="373"/>
      <c r="EL514" s="374"/>
      <c r="EM514" s="375"/>
      <c r="EN514" s="375"/>
      <c r="EP514" s="373"/>
      <c r="EQ514" s="374"/>
      <c r="ER514" s="375"/>
      <c r="ES514" s="375"/>
      <c r="EU514" s="373"/>
      <c r="EV514" s="374"/>
      <c r="EW514" s="375"/>
      <c r="EX514" s="375"/>
      <c r="EZ514" s="373"/>
      <c r="FA514" s="374"/>
      <c r="FB514" s="375"/>
      <c r="FC514" s="375"/>
      <c r="FE514" s="373"/>
      <c r="FF514" s="374"/>
      <c r="FG514" s="375"/>
      <c r="FH514" s="375"/>
      <c r="FJ514" s="373"/>
      <c r="FK514" s="374"/>
      <c r="FL514" s="375"/>
      <c r="FM514" s="375"/>
      <c r="FO514" s="373"/>
      <c r="FP514" s="374"/>
      <c r="FQ514" s="375"/>
      <c r="FR514" s="375"/>
      <c r="FT514" s="373"/>
      <c r="FU514" s="374"/>
      <c r="FV514" s="375"/>
      <c r="FW514" s="375"/>
      <c r="FY514" s="373"/>
      <c r="FZ514" s="374"/>
      <c r="GA514" s="375"/>
      <c r="GB514" s="375"/>
      <c r="GD514" s="373"/>
      <c r="GE514" s="374"/>
      <c r="GF514" s="375"/>
      <c r="GG514" s="375"/>
      <c r="GI514" s="373"/>
      <c r="GJ514" s="374"/>
      <c r="GK514" s="375"/>
      <c r="GL514" s="375"/>
      <c r="GN514" s="373"/>
      <c r="GO514" s="374"/>
      <c r="GP514" s="375"/>
      <c r="GQ514" s="375"/>
      <c r="GS514" s="373"/>
      <c r="GT514" s="374"/>
      <c r="GU514" s="375"/>
      <c r="GV514" s="375"/>
      <c r="GX514" s="373"/>
      <c r="GY514" s="374"/>
      <c r="GZ514" s="375"/>
      <c r="HA514" s="375"/>
      <c r="HC514" s="373"/>
      <c r="HD514" s="374"/>
      <c r="HE514" s="375"/>
      <c r="HF514" s="375"/>
      <c r="HH514" s="373"/>
      <c r="HI514" s="374"/>
      <c r="HJ514" s="375"/>
      <c r="HK514" s="375"/>
      <c r="HM514" s="373"/>
      <c r="HN514" s="374"/>
      <c r="HO514" s="375"/>
      <c r="HP514" s="375"/>
      <c r="HR514" s="373"/>
      <c r="HS514" s="374"/>
      <c r="HT514" s="375"/>
      <c r="HU514" s="375"/>
      <c r="HW514" s="373"/>
      <c r="HX514" s="374"/>
      <c r="HY514" s="375"/>
      <c r="HZ514" s="375"/>
      <c r="IB514" s="373"/>
      <c r="IC514" s="374"/>
      <c r="ID514" s="375"/>
      <c r="IE514" s="375"/>
      <c r="IG514" s="373"/>
      <c r="IH514" s="374"/>
      <c r="II514" s="375"/>
      <c r="IJ514" s="375"/>
      <c r="IL514" s="373"/>
      <c r="IM514" s="374"/>
      <c r="IN514" s="375"/>
      <c r="IO514" s="375"/>
      <c r="IQ514" s="373"/>
      <c r="IR514" s="374"/>
      <c r="IS514" s="375"/>
      <c r="IT514" s="375"/>
      <c r="IV514" s="373"/>
    </row>
    <row r="515" spans="1:256" s="376" customFormat="1" x14ac:dyDescent="0.2">
      <c r="A515" s="373"/>
      <c r="B515" s="374"/>
      <c r="C515" s="375"/>
      <c r="D515" s="375"/>
      <c r="F515" s="373"/>
      <c r="G515" s="374"/>
      <c r="H515" s="375"/>
      <c r="I515" s="375"/>
      <c r="K515" s="373"/>
      <c r="L515" s="374"/>
      <c r="M515" s="375"/>
      <c r="N515" s="375"/>
      <c r="P515" s="373"/>
      <c r="Q515" s="374"/>
      <c r="R515" s="375"/>
      <c r="S515" s="375"/>
      <c r="U515" s="373"/>
      <c r="V515" s="374"/>
      <c r="W515" s="375"/>
      <c r="X515" s="375"/>
      <c r="Z515" s="373"/>
      <c r="AA515" s="374"/>
      <c r="AB515" s="375"/>
      <c r="AC515" s="375"/>
      <c r="AE515" s="373"/>
      <c r="AF515" s="374"/>
      <c r="AG515" s="375"/>
      <c r="AH515" s="375"/>
      <c r="AJ515" s="373"/>
      <c r="AK515" s="374"/>
      <c r="AL515" s="375"/>
      <c r="AM515" s="375"/>
      <c r="AO515" s="373"/>
      <c r="AP515" s="374"/>
      <c r="AQ515" s="375"/>
      <c r="AR515" s="375"/>
      <c r="AT515" s="373"/>
      <c r="AU515" s="374"/>
      <c r="AV515" s="375"/>
      <c r="AW515" s="375"/>
      <c r="AY515" s="373"/>
      <c r="AZ515" s="374"/>
      <c r="BA515" s="375"/>
      <c r="BB515" s="375"/>
      <c r="BD515" s="373"/>
      <c r="BE515" s="374"/>
      <c r="BF515" s="375"/>
      <c r="BG515" s="375"/>
      <c r="BI515" s="373"/>
      <c r="BJ515" s="374"/>
      <c r="BK515" s="375"/>
      <c r="BL515" s="375"/>
      <c r="BN515" s="373"/>
      <c r="BO515" s="374"/>
      <c r="BP515" s="375"/>
      <c r="BQ515" s="375"/>
      <c r="BS515" s="373"/>
      <c r="BT515" s="374"/>
      <c r="BU515" s="375"/>
      <c r="BV515" s="375"/>
      <c r="BX515" s="373"/>
      <c r="BY515" s="374"/>
      <c r="BZ515" s="375"/>
      <c r="CA515" s="375"/>
      <c r="CC515" s="373"/>
      <c r="CD515" s="374"/>
      <c r="CE515" s="375"/>
      <c r="CF515" s="375"/>
      <c r="CH515" s="373"/>
      <c r="CI515" s="374"/>
      <c r="CJ515" s="375"/>
      <c r="CK515" s="375"/>
      <c r="CM515" s="373"/>
      <c r="CN515" s="374"/>
      <c r="CO515" s="375"/>
      <c r="CP515" s="375"/>
      <c r="CR515" s="373"/>
      <c r="CS515" s="374"/>
      <c r="CT515" s="375"/>
      <c r="CU515" s="375"/>
      <c r="CW515" s="373"/>
      <c r="CX515" s="374"/>
      <c r="CY515" s="375"/>
      <c r="CZ515" s="375"/>
      <c r="DB515" s="373"/>
      <c r="DC515" s="374"/>
      <c r="DD515" s="375"/>
      <c r="DE515" s="375"/>
      <c r="DG515" s="373"/>
      <c r="DH515" s="374"/>
      <c r="DI515" s="375"/>
      <c r="DJ515" s="375"/>
      <c r="DL515" s="373"/>
      <c r="DM515" s="374"/>
      <c r="DN515" s="375"/>
      <c r="DO515" s="375"/>
      <c r="DQ515" s="373"/>
      <c r="DR515" s="374"/>
      <c r="DS515" s="375"/>
      <c r="DT515" s="375"/>
      <c r="DV515" s="373"/>
      <c r="DW515" s="374"/>
      <c r="DX515" s="375"/>
      <c r="DY515" s="375"/>
      <c r="EA515" s="373"/>
      <c r="EB515" s="374"/>
      <c r="EC515" s="375"/>
      <c r="ED515" s="375"/>
      <c r="EF515" s="373"/>
      <c r="EG515" s="374"/>
      <c r="EH515" s="375"/>
      <c r="EI515" s="375"/>
      <c r="EK515" s="373"/>
      <c r="EL515" s="374"/>
      <c r="EM515" s="375"/>
      <c r="EN515" s="375"/>
      <c r="EP515" s="373"/>
      <c r="EQ515" s="374"/>
      <c r="ER515" s="375"/>
      <c r="ES515" s="375"/>
      <c r="EU515" s="373"/>
      <c r="EV515" s="374"/>
      <c r="EW515" s="375"/>
      <c r="EX515" s="375"/>
      <c r="EZ515" s="373"/>
      <c r="FA515" s="374"/>
      <c r="FB515" s="375"/>
      <c r="FC515" s="375"/>
      <c r="FE515" s="373"/>
      <c r="FF515" s="374"/>
      <c r="FG515" s="375"/>
      <c r="FH515" s="375"/>
      <c r="FJ515" s="373"/>
      <c r="FK515" s="374"/>
      <c r="FL515" s="375"/>
      <c r="FM515" s="375"/>
      <c r="FO515" s="373"/>
      <c r="FP515" s="374"/>
      <c r="FQ515" s="375"/>
      <c r="FR515" s="375"/>
      <c r="FT515" s="373"/>
      <c r="FU515" s="374"/>
      <c r="FV515" s="375"/>
      <c r="FW515" s="375"/>
      <c r="FY515" s="373"/>
      <c r="FZ515" s="374"/>
      <c r="GA515" s="375"/>
      <c r="GB515" s="375"/>
      <c r="GD515" s="373"/>
      <c r="GE515" s="374"/>
      <c r="GF515" s="375"/>
      <c r="GG515" s="375"/>
      <c r="GI515" s="373"/>
      <c r="GJ515" s="374"/>
      <c r="GK515" s="375"/>
      <c r="GL515" s="375"/>
      <c r="GN515" s="373"/>
      <c r="GO515" s="374"/>
      <c r="GP515" s="375"/>
      <c r="GQ515" s="375"/>
      <c r="GS515" s="373"/>
      <c r="GT515" s="374"/>
      <c r="GU515" s="375"/>
      <c r="GV515" s="375"/>
      <c r="GX515" s="373"/>
      <c r="GY515" s="374"/>
      <c r="GZ515" s="375"/>
      <c r="HA515" s="375"/>
      <c r="HC515" s="373"/>
      <c r="HD515" s="374"/>
      <c r="HE515" s="375"/>
      <c r="HF515" s="375"/>
      <c r="HH515" s="373"/>
      <c r="HI515" s="374"/>
      <c r="HJ515" s="375"/>
      <c r="HK515" s="375"/>
      <c r="HM515" s="373"/>
      <c r="HN515" s="374"/>
      <c r="HO515" s="375"/>
      <c r="HP515" s="375"/>
      <c r="HR515" s="373"/>
      <c r="HS515" s="374"/>
      <c r="HT515" s="375"/>
      <c r="HU515" s="375"/>
      <c r="HW515" s="373"/>
      <c r="HX515" s="374"/>
      <c r="HY515" s="375"/>
      <c r="HZ515" s="375"/>
      <c r="IB515" s="373"/>
      <c r="IC515" s="374"/>
      <c r="ID515" s="375"/>
      <c r="IE515" s="375"/>
      <c r="IG515" s="373"/>
      <c r="IH515" s="374"/>
      <c r="II515" s="375"/>
      <c r="IJ515" s="375"/>
      <c r="IL515" s="373"/>
      <c r="IM515" s="374"/>
      <c r="IN515" s="375"/>
      <c r="IO515" s="375"/>
      <c r="IQ515" s="373"/>
      <c r="IR515" s="374"/>
      <c r="IS515" s="375"/>
      <c r="IT515" s="375"/>
      <c r="IV515" s="373"/>
    </row>
    <row r="516" spans="1:256" s="376" customFormat="1" x14ac:dyDescent="0.2">
      <c r="A516" s="373"/>
      <c r="B516" s="374"/>
      <c r="C516" s="375"/>
      <c r="D516" s="375"/>
      <c r="F516" s="373"/>
      <c r="G516" s="374"/>
      <c r="H516" s="375"/>
      <c r="I516" s="375"/>
      <c r="K516" s="373"/>
      <c r="L516" s="374"/>
      <c r="M516" s="375"/>
      <c r="N516" s="375"/>
      <c r="P516" s="373"/>
      <c r="Q516" s="374"/>
      <c r="R516" s="375"/>
      <c r="S516" s="375"/>
      <c r="U516" s="373"/>
      <c r="V516" s="374"/>
      <c r="W516" s="375"/>
      <c r="X516" s="375"/>
      <c r="Z516" s="373"/>
      <c r="AA516" s="374"/>
      <c r="AB516" s="375"/>
      <c r="AC516" s="375"/>
      <c r="AE516" s="373"/>
      <c r="AF516" s="374"/>
      <c r="AG516" s="375"/>
      <c r="AH516" s="375"/>
      <c r="AJ516" s="373"/>
      <c r="AK516" s="374"/>
      <c r="AL516" s="375"/>
      <c r="AM516" s="375"/>
      <c r="AO516" s="373"/>
      <c r="AP516" s="374"/>
      <c r="AQ516" s="375"/>
      <c r="AR516" s="375"/>
      <c r="AT516" s="373"/>
      <c r="AU516" s="374"/>
      <c r="AV516" s="375"/>
      <c r="AW516" s="375"/>
      <c r="AY516" s="373"/>
      <c r="AZ516" s="374"/>
      <c r="BA516" s="375"/>
      <c r="BB516" s="375"/>
      <c r="BD516" s="373"/>
      <c r="BE516" s="374"/>
      <c r="BF516" s="375"/>
      <c r="BG516" s="375"/>
      <c r="BI516" s="373"/>
      <c r="BJ516" s="374"/>
      <c r="BK516" s="375"/>
      <c r="BL516" s="375"/>
      <c r="BN516" s="373"/>
      <c r="BO516" s="374"/>
      <c r="BP516" s="375"/>
      <c r="BQ516" s="375"/>
      <c r="BS516" s="373"/>
      <c r="BT516" s="374"/>
      <c r="BU516" s="375"/>
      <c r="BV516" s="375"/>
      <c r="BX516" s="373"/>
      <c r="BY516" s="374"/>
      <c r="BZ516" s="375"/>
      <c r="CA516" s="375"/>
      <c r="CC516" s="373"/>
      <c r="CD516" s="374"/>
      <c r="CE516" s="375"/>
      <c r="CF516" s="375"/>
      <c r="CH516" s="373"/>
      <c r="CI516" s="374"/>
      <c r="CJ516" s="375"/>
      <c r="CK516" s="375"/>
      <c r="CM516" s="373"/>
      <c r="CN516" s="374"/>
      <c r="CO516" s="375"/>
      <c r="CP516" s="375"/>
      <c r="CR516" s="373"/>
      <c r="CS516" s="374"/>
      <c r="CT516" s="375"/>
      <c r="CU516" s="375"/>
      <c r="CW516" s="373"/>
      <c r="CX516" s="374"/>
      <c r="CY516" s="375"/>
      <c r="CZ516" s="375"/>
      <c r="DB516" s="373"/>
      <c r="DC516" s="374"/>
      <c r="DD516" s="375"/>
      <c r="DE516" s="375"/>
      <c r="DG516" s="373"/>
      <c r="DH516" s="374"/>
      <c r="DI516" s="375"/>
      <c r="DJ516" s="375"/>
      <c r="DL516" s="373"/>
      <c r="DM516" s="374"/>
      <c r="DN516" s="375"/>
      <c r="DO516" s="375"/>
      <c r="DQ516" s="373"/>
      <c r="DR516" s="374"/>
      <c r="DS516" s="375"/>
      <c r="DT516" s="375"/>
      <c r="DV516" s="373"/>
      <c r="DW516" s="374"/>
      <c r="DX516" s="375"/>
      <c r="DY516" s="375"/>
      <c r="EA516" s="373"/>
      <c r="EB516" s="374"/>
      <c r="EC516" s="375"/>
      <c r="ED516" s="375"/>
      <c r="EF516" s="373"/>
      <c r="EG516" s="374"/>
      <c r="EH516" s="375"/>
      <c r="EI516" s="375"/>
      <c r="EK516" s="373"/>
      <c r="EL516" s="374"/>
      <c r="EM516" s="375"/>
      <c r="EN516" s="375"/>
      <c r="EP516" s="373"/>
      <c r="EQ516" s="374"/>
      <c r="ER516" s="375"/>
      <c r="ES516" s="375"/>
      <c r="EU516" s="373"/>
      <c r="EV516" s="374"/>
      <c r="EW516" s="375"/>
      <c r="EX516" s="375"/>
      <c r="EZ516" s="373"/>
      <c r="FA516" s="374"/>
      <c r="FB516" s="375"/>
      <c r="FC516" s="375"/>
      <c r="FE516" s="373"/>
      <c r="FF516" s="374"/>
      <c r="FG516" s="375"/>
      <c r="FH516" s="375"/>
      <c r="FJ516" s="373"/>
      <c r="FK516" s="374"/>
      <c r="FL516" s="375"/>
      <c r="FM516" s="375"/>
      <c r="FO516" s="373"/>
      <c r="FP516" s="374"/>
      <c r="FQ516" s="375"/>
      <c r="FR516" s="375"/>
      <c r="FT516" s="373"/>
      <c r="FU516" s="374"/>
      <c r="FV516" s="375"/>
      <c r="FW516" s="375"/>
      <c r="FY516" s="373"/>
      <c r="FZ516" s="374"/>
      <c r="GA516" s="375"/>
      <c r="GB516" s="375"/>
      <c r="GD516" s="373"/>
      <c r="GE516" s="374"/>
      <c r="GF516" s="375"/>
      <c r="GG516" s="375"/>
      <c r="GI516" s="373"/>
      <c r="GJ516" s="374"/>
      <c r="GK516" s="375"/>
      <c r="GL516" s="375"/>
      <c r="GN516" s="373"/>
      <c r="GO516" s="374"/>
      <c r="GP516" s="375"/>
      <c r="GQ516" s="375"/>
      <c r="GS516" s="373"/>
      <c r="GT516" s="374"/>
      <c r="GU516" s="375"/>
      <c r="GV516" s="375"/>
      <c r="GX516" s="373"/>
      <c r="GY516" s="374"/>
      <c r="GZ516" s="375"/>
      <c r="HA516" s="375"/>
      <c r="HC516" s="373"/>
      <c r="HD516" s="374"/>
      <c r="HE516" s="375"/>
      <c r="HF516" s="375"/>
      <c r="HH516" s="373"/>
      <c r="HI516" s="374"/>
      <c r="HJ516" s="375"/>
      <c r="HK516" s="375"/>
      <c r="HM516" s="373"/>
      <c r="HN516" s="374"/>
      <c r="HO516" s="375"/>
      <c r="HP516" s="375"/>
      <c r="HR516" s="373"/>
      <c r="HS516" s="374"/>
      <c r="HT516" s="375"/>
      <c r="HU516" s="375"/>
      <c r="HW516" s="373"/>
      <c r="HX516" s="374"/>
      <c r="HY516" s="375"/>
      <c r="HZ516" s="375"/>
      <c r="IB516" s="373"/>
      <c r="IC516" s="374"/>
      <c r="ID516" s="375"/>
      <c r="IE516" s="375"/>
      <c r="IG516" s="373"/>
      <c r="IH516" s="374"/>
      <c r="II516" s="375"/>
      <c r="IJ516" s="375"/>
      <c r="IL516" s="373"/>
      <c r="IM516" s="374"/>
      <c r="IN516" s="375"/>
      <c r="IO516" s="375"/>
      <c r="IQ516" s="373"/>
      <c r="IR516" s="374"/>
      <c r="IS516" s="375"/>
      <c r="IT516" s="375"/>
      <c r="IV516" s="373"/>
    </row>
    <row r="517" spans="1:256" s="376" customFormat="1" x14ac:dyDescent="0.2">
      <c r="A517" s="373"/>
      <c r="B517" s="374"/>
      <c r="C517" s="375"/>
      <c r="D517" s="375"/>
      <c r="F517" s="373"/>
      <c r="G517" s="374"/>
      <c r="H517" s="375"/>
      <c r="I517" s="375"/>
      <c r="K517" s="373"/>
      <c r="L517" s="374"/>
      <c r="M517" s="375"/>
      <c r="N517" s="375"/>
      <c r="P517" s="373"/>
      <c r="Q517" s="374"/>
      <c r="R517" s="375"/>
      <c r="S517" s="375"/>
      <c r="U517" s="373"/>
      <c r="V517" s="374"/>
      <c r="W517" s="375"/>
      <c r="X517" s="375"/>
      <c r="Z517" s="373"/>
      <c r="AA517" s="374"/>
      <c r="AB517" s="375"/>
      <c r="AC517" s="375"/>
      <c r="AE517" s="373"/>
      <c r="AF517" s="374"/>
      <c r="AG517" s="375"/>
      <c r="AH517" s="375"/>
      <c r="AJ517" s="373"/>
      <c r="AK517" s="374"/>
      <c r="AL517" s="375"/>
      <c r="AM517" s="375"/>
      <c r="AO517" s="373"/>
      <c r="AP517" s="374"/>
      <c r="AQ517" s="375"/>
      <c r="AR517" s="375"/>
      <c r="AT517" s="373"/>
      <c r="AU517" s="374"/>
      <c r="AV517" s="375"/>
      <c r="AW517" s="375"/>
      <c r="AY517" s="373"/>
      <c r="AZ517" s="374"/>
      <c r="BA517" s="375"/>
      <c r="BB517" s="375"/>
      <c r="BD517" s="373"/>
      <c r="BE517" s="374"/>
      <c r="BF517" s="375"/>
      <c r="BG517" s="375"/>
      <c r="BI517" s="373"/>
      <c r="BJ517" s="374"/>
      <c r="BK517" s="375"/>
      <c r="BL517" s="375"/>
      <c r="BN517" s="373"/>
      <c r="BO517" s="374"/>
      <c r="BP517" s="375"/>
      <c r="BQ517" s="375"/>
      <c r="BS517" s="373"/>
      <c r="BT517" s="374"/>
      <c r="BU517" s="375"/>
      <c r="BV517" s="375"/>
      <c r="BX517" s="373"/>
      <c r="BY517" s="374"/>
      <c r="BZ517" s="375"/>
      <c r="CA517" s="375"/>
      <c r="CC517" s="373"/>
      <c r="CD517" s="374"/>
      <c r="CE517" s="375"/>
      <c r="CF517" s="375"/>
      <c r="CH517" s="373"/>
      <c r="CI517" s="374"/>
      <c r="CJ517" s="375"/>
      <c r="CK517" s="375"/>
      <c r="CM517" s="373"/>
      <c r="CN517" s="374"/>
      <c r="CO517" s="375"/>
      <c r="CP517" s="375"/>
      <c r="CR517" s="373"/>
      <c r="CS517" s="374"/>
      <c r="CT517" s="375"/>
      <c r="CU517" s="375"/>
      <c r="CW517" s="373"/>
      <c r="CX517" s="374"/>
      <c r="CY517" s="375"/>
      <c r="CZ517" s="375"/>
      <c r="DB517" s="373"/>
      <c r="DC517" s="374"/>
      <c r="DD517" s="375"/>
      <c r="DE517" s="375"/>
      <c r="DG517" s="373"/>
      <c r="DH517" s="374"/>
      <c r="DI517" s="375"/>
      <c r="DJ517" s="375"/>
      <c r="DL517" s="373"/>
      <c r="DM517" s="374"/>
      <c r="DN517" s="375"/>
      <c r="DO517" s="375"/>
      <c r="DQ517" s="373"/>
      <c r="DR517" s="374"/>
      <c r="DS517" s="375"/>
      <c r="DT517" s="375"/>
      <c r="DV517" s="373"/>
      <c r="DW517" s="374"/>
      <c r="DX517" s="375"/>
      <c r="DY517" s="375"/>
      <c r="EA517" s="373"/>
      <c r="EB517" s="374"/>
      <c r="EC517" s="375"/>
      <c r="ED517" s="375"/>
      <c r="EF517" s="373"/>
      <c r="EG517" s="374"/>
      <c r="EH517" s="375"/>
      <c r="EI517" s="375"/>
      <c r="EK517" s="373"/>
      <c r="EL517" s="374"/>
      <c r="EM517" s="375"/>
      <c r="EN517" s="375"/>
      <c r="EP517" s="373"/>
      <c r="EQ517" s="374"/>
      <c r="ER517" s="375"/>
      <c r="ES517" s="375"/>
      <c r="EU517" s="373"/>
      <c r="EV517" s="374"/>
      <c r="EW517" s="375"/>
      <c r="EX517" s="375"/>
      <c r="EZ517" s="373"/>
      <c r="FA517" s="374"/>
      <c r="FB517" s="375"/>
      <c r="FC517" s="375"/>
      <c r="FE517" s="373"/>
      <c r="FF517" s="374"/>
      <c r="FG517" s="375"/>
      <c r="FH517" s="375"/>
      <c r="FJ517" s="373"/>
      <c r="FK517" s="374"/>
      <c r="FL517" s="375"/>
      <c r="FM517" s="375"/>
      <c r="FO517" s="373"/>
      <c r="FP517" s="374"/>
      <c r="FQ517" s="375"/>
      <c r="FR517" s="375"/>
      <c r="FT517" s="373"/>
      <c r="FU517" s="374"/>
      <c r="FV517" s="375"/>
      <c r="FW517" s="375"/>
      <c r="FY517" s="373"/>
      <c r="FZ517" s="374"/>
      <c r="GA517" s="375"/>
      <c r="GB517" s="375"/>
      <c r="GD517" s="373"/>
      <c r="GE517" s="374"/>
      <c r="GF517" s="375"/>
      <c r="GG517" s="375"/>
      <c r="GI517" s="373"/>
      <c r="GJ517" s="374"/>
      <c r="GK517" s="375"/>
      <c r="GL517" s="375"/>
      <c r="GN517" s="373"/>
      <c r="GO517" s="374"/>
      <c r="GP517" s="375"/>
      <c r="GQ517" s="375"/>
      <c r="GS517" s="373"/>
      <c r="GT517" s="374"/>
      <c r="GU517" s="375"/>
      <c r="GV517" s="375"/>
      <c r="GX517" s="373"/>
      <c r="GY517" s="374"/>
      <c r="GZ517" s="375"/>
      <c r="HA517" s="375"/>
      <c r="HC517" s="373"/>
      <c r="HD517" s="374"/>
      <c r="HE517" s="375"/>
      <c r="HF517" s="375"/>
      <c r="HH517" s="373"/>
      <c r="HI517" s="374"/>
      <c r="HJ517" s="375"/>
      <c r="HK517" s="375"/>
      <c r="HM517" s="373"/>
      <c r="HN517" s="374"/>
      <c r="HO517" s="375"/>
      <c r="HP517" s="375"/>
      <c r="HR517" s="373"/>
      <c r="HS517" s="374"/>
      <c r="HT517" s="375"/>
      <c r="HU517" s="375"/>
      <c r="HW517" s="373"/>
      <c r="HX517" s="374"/>
      <c r="HY517" s="375"/>
      <c r="HZ517" s="375"/>
      <c r="IB517" s="373"/>
      <c r="IC517" s="374"/>
      <c r="ID517" s="375"/>
      <c r="IE517" s="375"/>
      <c r="IG517" s="373"/>
      <c r="IH517" s="374"/>
      <c r="II517" s="375"/>
      <c r="IJ517" s="375"/>
      <c r="IL517" s="373"/>
      <c r="IM517" s="374"/>
      <c r="IN517" s="375"/>
      <c r="IO517" s="375"/>
      <c r="IQ517" s="373"/>
      <c r="IR517" s="374"/>
      <c r="IS517" s="375"/>
      <c r="IT517" s="375"/>
      <c r="IV517" s="373"/>
    </row>
    <row r="518" spans="1:256" s="376" customFormat="1" x14ac:dyDescent="0.2">
      <c r="A518" s="373"/>
      <c r="B518" s="374"/>
      <c r="C518" s="375"/>
      <c r="D518" s="375"/>
      <c r="F518" s="373"/>
      <c r="G518" s="374"/>
      <c r="H518" s="375"/>
      <c r="I518" s="375"/>
      <c r="K518" s="373"/>
      <c r="L518" s="374"/>
      <c r="M518" s="375"/>
      <c r="N518" s="375"/>
      <c r="P518" s="373"/>
      <c r="Q518" s="374"/>
      <c r="R518" s="375"/>
      <c r="S518" s="375"/>
      <c r="U518" s="373"/>
      <c r="V518" s="374"/>
      <c r="W518" s="375"/>
      <c r="X518" s="375"/>
      <c r="Z518" s="373"/>
      <c r="AA518" s="374"/>
      <c r="AB518" s="375"/>
      <c r="AC518" s="375"/>
      <c r="AE518" s="373"/>
      <c r="AF518" s="374"/>
      <c r="AG518" s="375"/>
      <c r="AH518" s="375"/>
      <c r="AJ518" s="373"/>
      <c r="AK518" s="374"/>
      <c r="AL518" s="375"/>
      <c r="AM518" s="375"/>
      <c r="AO518" s="373"/>
      <c r="AP518" s="374"/>
      <c r="AQ518" s="375"/>
      <c r="AR518" s="375"/>
      <c r="AT518" s="373"/>
      <c r="AU518" s="374"/>
      <c r="AV518" s="375"/>
      <c r="AW518" s="375"/>
      <c r="AY518" s="373"/>
      <c r="AZ518" s="374"/>
      <c r="BA518" s="375"/>
      <c r="BB518" s="375"/>
      <c r="BD518" s="373"/>
      <c r="BE518" s="374"/>
      <c r="BF518" s="375"/>
      <c r="BG518" s="375"/>
      <c r="BI518" s="373"/>
      <c r="BJ518" s="374"/>
      <c r="BK518" s="375"/>
      <c r="BL518" s="375"/>
      <c r="BN518" s="373"/>
      <c r="BO518" s="374"/>
      <c r="BP518" s="375"/>
      <c r="BQ518" s="375"/>
      <c r="BS518" s="373"/>
      <c r="BT518" s="374"/>
      <c r="BU518" s="375"/>
      <c r="BV518" s="375"/>
      <c r="BX518" s="373"/>
      <c r="BY518" s="374"/>
      <c r="BZ518" s="375"/>
      <c r="CA518" s="375"/>
      <c r="CC518" s="373"/>
      <c r="CD518" s="374"/>
      <c r="CE518" s="375"/>
      <c r="CF518" s="375"/>
      <c r="CH518" s="373"/>
      <c r="CI518" s="374"/>
      <c r="CJ518" s="375"/>
      <c r="CK518" s="375"/>
      <c r="CM518" s="373"/>
      <c r="CN518" s="374"/>
      <c r="CO518" s="375"/>
      <c r="CP518" s="375"/>
      <c r="CR518" s="373"/>
      <c r="CS518" s="374"/>
      <c r="CT518" s="375"/>
      <c r="CU518" s="375"/>
      <c r="CW518" s="373"/>
      <c r="CX518" s="374"/>
      <c r="CY518" s="375"/>
      <c r="CZ518" s="375"/>
      <c r="DB518" s="373"/>
      <c r="DC518" s="374"/>
      <c r="DD518" s="375"/>
      <c r="DE518" s="375"/>
      <c r="DG518" s="373"/>
      <c r="DH518" s="374"/>
      <c r="DI518" s="375"/>
      <c r="DJ518" s="375"/>
      <c r="DL518" s="373"/>
      <c r="DM518" s="374"/>
      <c r="DN518" s="375"/>
      <c r="DO518" s="375"/>
      <c r="DQ518" s="373"/>
      <c r="DR518" s="374"/>
      <c r="DS518" s="375"/>
      <c r="DT518" s="375"/>
      <c r="DV518" s="373"/>
      <c r="DW518" s="374"/>
      <c r="DX518" s="375"/>
      <c r="DY518" s="375"/>
      <c r="EA518" s="373"/>
      <c r="EB518" s="374"/>
      <c r="EC518" s="375"/>
      <c r="ED518" s="375"/>
      <c r="EF518" s="373"/>
      <c r="EG518" s="374"/>
      <c r="EH518" s="375"/>
      <c r="EI518" s="375"/>
      <c r="EK518" s="373"/>
      <c r="EL518" s="374"/>
      <c r="EM518" s="375"/>
      <c r="EN518" s="375"/>
      <c r="EP518" s="373"/>
      <c r="EQ518" s="374"/>
      <c r="ER518" s="375"/>
      <c r="ES518" s="375"/>
      <c r="EU518" s="373"/>
      <c r="EV518" s="374"/>
      <c r="EW518" s="375"/>
      <c r="EX518" s="375"/>
      <c r="EZ518" s="373"/>
      <c r="FA518" s="374"/>
      <c r="FB518" s="375"/>
      <c r="FC518" s="375"/>
      <c r="FE518" s="373"/>
      <c r="FF518" s="374"/>
      <c r="FG518" s="375"/>
      <c r="FH518" s="375"/>
      <c r="FJ518" s="373"/>
      <c r="FK518" s="374"/>
      <c r="FL518" s="375"/>
      <c r="FM518" s="375"/>
      <c r="FO518" s="373"/>
      <c r="FP518" s="374"/>
      <c r="FQ518" s="375"/>
      <c r="FR518" s="375"/>
      <c r="FT518" s="373"/>
      <c r="FU518" s="374"/>
      <c r="FV518" s="375"/>
      <c r="FW518" s="375"/>
      <c r="FY518" s="373"/>
      <c r="FZ518" s="374"/>
      <c r="GA518" s="375"/>
      <c r="GB518" s="375"/>
      <c r="GD518" s="373"/>
      <c r="GE518" s="374"/>
      <c r="GF518" s="375"/>
      <c r="GG518" s="375"/>
      <c r="GI518" s="373"/>
      <c r="GJ518" s="374"/>
      <c r="GK518" s="375"/>
      <c r="GL518" s="375"/>
      <c r="GN518" s="373"/>
      <c r="GO518" s="374"/>
      <c r="GP518" s="375"/>
      <c r="GQ518" s="375"/>
      <c r="GS518" s="373"/>
      <c r="GT518" s="374"/>
      <c r="GU518" s="375"/>
      <c r="GV518" s="375"/>
      <c r="GX518" s="373"/>
      <c r="GY518" s="374"/>
      <c r="GZ518" s="375"/>
      <c r="HA518" s="375"/>
      <c r="HC518" s="373"/>
      <c r="HD518" s="374"/>
      <c r="HE518" s="375"/>
      <c r="HF518" s="375"/>
      <c r="HH518" s="373"/>
      <c r="HI518" s="374"/>
      <c r="HJ518" s="375"/>
      <c r="HK518" s="375"/>
      <c r="HM518" s="373"/>
      <c r="HN518" s="374"/>
      <c r="HO518" s="375"/>
      <c r="HP518" s="375"/>
      <c r="HR518" s="373"/>
      <c r="HS518" s="374"/>
      <c r="HT518" s="375"/>
      <c r="HU518" s="375"/>
      <c r="HW518" s="373"/>
      <c r="HX518" s="374"/>
      <c r="HY518" s="375"/>
      <c r="HZ518" s="375"/>
      <c r="IB518" s="373"/>
      <c r="IC518" s="374"/>
      <c r="ID518" s="375"/>
      <c r="IE518" s="375"/>
      <c r="IG518" s="373"/>
      <c r="IH518" s="374"/>
      <c r="II518" s="375"/>
      <c r="IJ518" s="375"/>
      <c r="IL518" s="373"/>
      <c r="IM518" s="374"/>
      <c r="IN518" s="375"/>
      <c r="IO518" s="375"/>
      <c r="IQ518" s="373"/>
      <c r="IR518" s="374"/>
      <c r="IS518" s="375"/>
      <c r="IT518" s="375"/>
      <c r="IV518" s="373"/>
    </row>
    <row r="519" spans="1:256" s="376" customFormat="1" x14ac:dyDescent="0.2">
      <c r="A519" s="373"/>
      <c r="B519" s="374"/>
      <c r="C519" s="375"/>
      <c r="D519" s="375"/>
      <c r="F519" s="373"/>
      <c r="G519" s="374"/>
      <c r="H519" s="375"/>
      <c r="I519" s="375"/>
      <c r="K519" s="373"/>
      <c r="L519" s="374"/>
      <c r="M519" s="375"/>
      <c r="N519" s="375"/>
      <c r="P519" s="373"/>
      <c r="Q519" s="374"/>
      <c r="R519" s="375"/>
      <c r="S519" s="375"/>
      <c r="U519" s="373"/>
      <c r="V519" s="374"/>
      <c r="W519" s="375"/>
      <c r="X519" s="375"/>
      <c r="Z519" s="373"/>
      <c r="AA519" s="374"/>
      <c r="AB519" s="375"/>
      <c r="AC519" s="375"/>
      <c r="AE519" s="373"/>
      <c r="AF519" s="374"/>
      <c r="AG519" s="375"/>
      <c r="AH519" s="375"/>
      <c r="AJ519" s="373"/>
      <c r="AK519" s="374"/>
      <c r="AL519" s="375"/>
      <c r="AM519" s="375"/>
      <c r="AO519" s="373"/>
      <c r="AP519" s="374"/>
      <c r="AQ519" s="375"/>
      <c r="AR519" s="375"/>
      <c r="AT519" s="373"/>
      <c r="AU519" s="374"/>
      <c r="AV519" s="375"/>
      <c r="AW519" s="375"/>
      <c r="AY519" s="373"/>
      <c r="AZ519" s="374"/>
      <c r="BA519" s="375"/>
      <c r="BB519" s="375"/>
      <c r="BD519" s="373"/>
      <c r="BE519" s="374"/>
      <c r="BF519" s="375"/>
      <c r="BG519" s="375"/>
      <c r="BI519" s="373"/>
      <c r="BJ519" s="374"/>
      <c r="BK519" s="375"/>
      <c r="BL519" s="375"/>
      <c r="BN519" s="373"/>
      <c r="BO519" s="374"/>
      <c r="BP519" s="375"/>
      <c r="BQ519" s="375"/>
      <c r="BS519" s="373"/>
      <c r="BT519" s="374"/>
      <c r="BU519" s="375"/>
      <c r="BV519" s="375"/>
      <c r="BX519" s="373"/>
      <c r="BY519" s="374"/>
      <c r="BZ519" s="375"/>
      <c r="CA519" s="375"/>
      <c r="CC519" s="373"/>
      <c r="CD519" s="374"/>
      <c r="CE519" s="375"/>
      <c r="CF519" s="375"/>
      <c r="CH519" s="373"/>
      <c r="CI519" s="374"/>
      <c r="CJ519" s="375"/>
      <c r="CK519" s="375"/>
      <c r="CM519" s="373"/>
      <c r="CN519" s="374"/>
      <c r="CO519" s="375"/>
      <c r="CP519" s="375"/>
      <c r="CR519" s="373"/>
      <c r="CS519" s="374"/>
      <c r="CT519" s="375"/>
      <c r="CU519" s="375"/>
      <c r="CW519" s="373"/>
      <c r="CX519" s="374"/>
      <c r="CY519" s="375"/>
      <c r="CZ519" s="375"/>
      <c r="DB519" s="373"/>
      <c r="DC519" s="374"/>
      <c r="DD519" s="375"/>
      <c r="DE519" s="375"/>
      <c r="DG519" s="373"/>
      <c r="DH519" s="374"/>
      <c r="DI519" s="375"/>
      <c r="DJ519" s="375"/>
      <c r="DL519" s="373"/>
      <c r="DM519" s="374"/>
      <c r="DN519" s="375"/>
      <c r="DO519" s="375"/>
      <c r="DQ519" s="373"/>
      <c r="DR519" s="374"/>
      <c r="DS519" s="375"/>
      <c r="DT519" s="375"/>
      <c r="DV519" s="373"/>
      <c r="DW519" s="374"/>
      <c r="DX519" s="375"/>
      <c r="DY519" s="375"/>
      <c r="EA519" s="373"/>
      <c r="EB519" s="374"/>
      <c r="EC519" s="375"/>
      <c r="ED519" s="375"/>
      <c r="EF519" s="373"/>
      <c r="EG519" s="374"/>
      <c r="EH519" s="375"/>
      <c r="EI519" s="375"/>
      <c r="EK519" s="373"/>
      <c r="EL519" s="374"/>
      <c r="EM519" s="375"/>
      <c r="EN519" s="375"/>
      <c r="EP519" s="373"/>
      <c r="EQ519" s="374"/>
      <c r="ER519" s="375"/>
      <c r="ES519" s="375"/>
      <c r="EU519" s="373"/>
      <c r="EV519" s="374"/>
      <c r="EW519" s="375"/>
      <c r="EX519" s="375"/>
      <c r="EZ519" s="373"/>
      <c r="FA519" s="374"/>
      <c r="FB519" s="375"/>
      <c r="FC519" s="375"/>
      <c r="FE519" s="373"/>
      <c r="FF519" s="374"/>
      <c r="FG519" s="375"/>
      <c r="FH519" s="375"/>
      <c r="FJ519" s="373"/>
      <c r="FK519" s="374"/>
      <c r="FL519" s="375"/>
      <c r="FM519" s="375"/>
      <c r="FO519" s="373"/>
      <c r="FP519" s="374"/>
      <c r="FQ519" s="375"/>
      <c r="FR519" s="375"/>
      <c r="FT519" s="373"/>
      <c r="FU519" s="374"/>
      <c r="FV519" s="375"/>
      <c r="FW519" s="375"/>
      <c r="FY519" s="373"/>
      <c r="FZ519" s="374"/>
      <c r="GA519" s="375"/>
      <c r="GB519" s="375"/>
      <c r="GD519" s="373"/>
      <c r="GE519" s="374"/>
      <c r="GF519" s="375"/>
      <c r="GG519" s="375"/>
      <c r="GI519" s="373"/>
      <c r="GJ519" s="374"/>
      <c r="GK519" s="375"/>
      <c r="GL519" s="375"/>
      <c r="GN519" s="373"/>
      <c r="GO519" s="374"/>
      <c r="GP519" s="375"/>
      <c r="GQ519" s="375"/>
      <c r="GS519" s="373"/>
      <c r="GT519" s="374"/>
      <c r="GU519" s="375"/>
      <c r="GV519" s="375"/>
      <c r="GX519" s="373"/>
      <c r="GY519" s="374"/>
      <c r="GZ519" s="375"/>
      <c r="HA519" s="375"/>
      <c r="HC519" s="373"/>
      <c r="HD519" s="374"/>
      <c r="HE519" s="375"/>
      <c r="HF519" s="375"/>
      <c r="HH519" s="373"/>
      <c r="HI519" s="374"/>
      <c r="HJ519" s="375"/>
      <c r="HK519" s="375"/>
      <c r="HM519" s="373"/>
      <c r="HN519" s="374"/>
      <c r="HO519" s="375"/>
      <c r="HP519" s="375"/>
      <c r="HR519" s="373"/>
      <c r="HS519" s="374"/>
      <c r="HT519" s="375"/>
      <c r="HU519" s="375"/>
      <c r="HW519" s="373"/>
      <c r="HX519" s="374"/>
      <c r="HY519" s="375"/>
      <c r="HZ519" s="375"/>
      <c r="IB519" s="373"/>
      <c r="IC519" s="374"/>
      <c r="ID519" s="375"/>
      <c r="IE519" s="375"/>
      <c r="IG519" s="373"/>
      <c r="IH519" s="374"/>
      <c r="II519" s="375"/>
      <c r="IJ519" s="375"/>
      <c r="IL519" s="373"/>
      <c r="IM519" s="374"/>
      <c r="IN519" s="375"/>
      <c r="IO519" s="375"/>
      <c r="IQ519" s="373"/>
      <c r="IR519" s="374"/>
      <c r="IS519" s="375"/>
      <c r="IT519" s="375"/>
      <c r="IV519" s="373"/>
    </row>
    <row r="520" spans="1:256" s="376" customFormat="1" x14ac:dyDescent="0.2">
      <c r="A520" s="373"/>
      <c r="B520" s="374"/>
      <c r="C520" s="375"/>
      <c r="D520" s="375"/>
      <c r="F520" s="373"/>
      <c r="G520" s="374"/>
      <c r="H520" s="375"/>
      <c r="I520" s="375"/>
      <c r="K520" s="373"/>
      <c r="L520" s="374"/>
      <c r="M520" s="375"/>
      <c r="N520" s="375"/>
      <c r="P520" s="373"/>
      <c r="Q520" s="374"/>
      <c r="R520" s="375"/>
      <c r="S520" s="375"/>
      <c r="U520" s="373"/>
      <c r="V520" s="374"/>
      <c r="W520" s="375"/>
      <c r="X520" s="375"/>
      <c r="Z520" s="373"/>
      <c r="AA520" s="374"/>
      <c r="AB520" s="375"/>
      <c r="AC520" s="375"/>
      <c r="AE520" s="373"/>
      <c r="AF520" s="374"/>
      <c r="AG520" s="375"/>
      <c r="AH520" s="375"/>
      <c r="AJ520" s="373"/>
      <c r="AK520" s="374"/>
      <c r="AL520" s="375"/>
      <c r="AM520" s="375"/>
      <c r="AO520" s="373"/>
      <c r="AP520" s="374"/>
      <c r="AQ520" s="375"/>
      <c r="AR520" s="375"/>
      <c r="AT520" s="373"/>
      <c r="AU520" s="374"/>
      <c r="AV520" s="375"/>
      <c r="AW520" s="375"/>
      <c r="AY520" s="373"/>
      <c r="AZ520" s="374"/>
      <c r="BA520" s="375"/>
      <c r="BB520" s="375"/>
      <c r="BD520" s="373"/>
      <c r="BE520" s="374"/>
      <c r="BF520" s="375"/>
      <c r="BG520" s="375"/>
      <c r="BI520" s="373"/>
      <c r="BJ520" s="374"/>
      <c r="BK520" s="375"/>
      <c r="BL520" s="375"/>
      <c r="BN520" s="373"/>
      <c r="BO520" s="374"/>
      <c r="BP520" s="375"/>
      <c r="BQ520" s="375"/>
      <c r="BS520" s="373"/>
      <c r="BT520" s="374"/>
      <c r="BU520" s="375"/>
      <c r="BV520" s="375"/>
      <c r="BX520" s="373"/>
      <c r="BY520" s="374"/>
      <c r="BZ520" s="375"/>
      <c r="CA520" s="375"/>
      <c r="CC520" s="373"/>
      <c r="CD520" s="374"/>
      <c r="CE520" s="375"/>
      <c r="CF520" s="375"/>
      <c r="CH520" s="373"/>
      <c r="CI520" s="374"/>
      <c r="CJ520" s="375"/>
      <c r="CK520" s="375"/>
      <c r="CM520" s="373"/>
      <c r="CN520" s="374"/>
      <c r="CO520" s="375"/>
      <c r="CP520" s="375"/>
      <c r="CR520" s="373"/>
      <c r="CS520" s="374"/>
      <c r="CT520" s="375"/>
      <c r="CU520" s="375"/>
      <c r="CW520" s="373"/>
      <c r="CX520" s="374"/>
      <c r="CY520" s="375"/>
      <c r="CZ520" s="375"/>
      <c r="DB520" s="373"/>
      <c r="DC520" s="374"/>
      <c r="DD520" s="375"/>
      <c r="DE520" s="375"/>
      <c r="DG520" s="373"/>
      <c r="DH520" s="374"/>
      <c r="DI520" s="375"/>
      <c r="DJ520" s="375"/>
      <c r="DL520" s="373"/>
      <c r="DM520" s="374"/>
      <c r="DN520" s="375"/>
      <c r="DO520" s="375"/>
      <c r="DQ520" s="373"/>
      <c r="DR520" s="374"/>
      <c r="DS520" s="375"/>
      <c r="DT520" s="375"/>
      <c r="DV520" s="373"/>
      <c r="DW520" s="374"/>
      <c r="DX520" s="375"/>
      <c r="DY520" s="375"/>
      <c r="EA520" s="373"/>
      <c r="EB520" s="374"/>
      <c r="EC520" s="375"/>
      <c r="ED520" s="375"/>
      <c r="EF520" s="373"/>
      <c r="EG520" s="374"/>
      <c r="EH520" s="375"/>
      <c r="EI520" s="375"/>
      <c r="EK520" s="373"/>
      <c r="EL520" s="374"/>
      <c r="EM520" s="375"/>
      <c r="EN520" s="375"/>
      <c r="EP520" s="373"/>
      <c r="EQ520" s="374"/>
      <c r="ER520" s="375"/>
      <c r="ES520" s="375"/>
      <c r="EU520" s="373"/>
      <c r="EV520" s="374"/>
      <c r="EW520" s="375"/>
      <c r="EX520" s="375"/>
      <c r="EZ520" s="373"/>
      <c r="FA520" s="374"/>
      <c r="FB520" s="375"/>
      <c r="FC520" s="375"/>
      <c r="FE520" s="373"/>
      <c r="FF520" s="374"/>
      <c r="FG520" s="375"/>
      <c r="FH520" s="375"/>
      <c r="FJ520" s="373"/>
      <c r="FK520" s="374"/>
      <c r="FL520" s="375"/>
      <c r="FM520" s="375"/>
      <c r="FO520" s="373"/>
      <c r="FP520" s="374"/>
      <c r="FQ520" s="375"/>
      <c r="FR520" s="375"/>
      <c r="FT520" s="373"/>
      <c r="FU520" s="374"/>
      <c r="FV520" s="375"/>
      <c r="FW520" s="375"/>
      <c r="FY520" s="373"/>
      <c r="FZ520" s="374"/>
      <c r="GA520" s="375"/>
      <c r="GB520" s="375"/>
      <c r="GD520" s="373"/>
      <c r="GE520" s="374"/>
      <c r="GF520" s="375"/>
      <c r="GG520" s="375"/>
      <c r="GI520" s="373"/>
      <c r="GJ520" s="374"/>
      <c r="GK520" s="375"/>
      <c r="GL520" s="375"/>
      <c r="GN520" s="373"/>
      <c r="GO520" s="374"/>
      <c r="GP520" s="375"/>
      <c r="GQ520" s="375"/>
      <c r="GS520" s="373"/>
      <c r="GT520" s="374"/>
      <c r="GU520" s="375"/>
      <c r="GV520" s="375"/>
      <c r="GX520" s="373"/>
      <c r="GY520" s="374"/>
      <c r="GZ520" s="375"/>
      <c r="HA520" s="375"/>
      <c r="HC520" s="373"/>
      <c r="HD520" s="374"/>
      <c r="HE520" s="375"/>
      <c r="HF520" s="375"/>
      <c r="HH520" s="373"/>
      <c r="HI520" s="374"/>
      <c r="HJ520" s="375"/>
      <c r="HK520" s="375"/>
      <c r="HM520" s="373"/>
      <c r="HN520" s="374"/>
      <c r="HO520" s="375"/>
      <c r="HP520" s="375"/>
      <c r="HR520" s="373"/>
      <c r="HS520" s="374"/>
      <c r="HT520" s="375"/>
      <c r="HU520" s="375"/>
      <c r="HW520" s="373"/>
      <c r="HX520" s="374"/>
      <c r="HY520" s="375"/>
      <c r="HZ520" s="375"/>
      <c r="IB520" s="373"/>
      <c r="IC520" s="374"/>
      <c r="ID520" s="375"/>
      <c r="IE520" s="375"/>
      <c r="IG520" s="373"/>
      <c r="IH520" s="374"/>
      <c r="II520" s="375"/>
      <c r="IJ520" s="375"/>
      <c r="IL520" s="373"/>
      <c r="IM520" s="374"/>
      <c r="IN520" s="375"/>
      <c r="IO520" s="375"/>
      <c r="IQ520" s="373"/>
      <c r="IR520" s="374"/>
      <c r="IS520" s="375"/>
      <c r="IT520" s="375"/>
      <c r="IV520" s="373"/>
    </row>
    <row r="521" spans="1:256" s="376" customFormat="1" x14ac:dyDescent="0.2">
      <c r="A521" s="373"/>
      <c r="B521" s="374"/>
      <c r="C521" s="375"/>
      <c r="D521" s="375"/>
      <c r="F521" s="373"/>
      <c r="G521" s="374"/>
      <c r="H521" s="375"/>
      <c r="I521" s="375"/>
      <c r="K521" s="373"/>
      <c r="L521" s="374"/>
      <c r="M521" s="375"/>
      <c r="N521" s="375"/>
      <c r="P521" s="373"/>
      <c r="Q521" s="374"/>
      <c r="R521" s="375"/>
      <c r="S521" s="375"/>
      <c r="U521" s="373"/>
      <c r="V521" s="374"/>
      <c r="W521" s="375"/>
      <c r="X521" s="375"/>
      <c r="Z521" s="373"/>
      <c r="AA521" s="374"/>
      <c r="AB521" s="375"/>
      <c r="AC521" s="375"/>
      <c r="AE521" s="373"/>
      <c r="AF521" s="374"/>
      <c r="AG521" s="375"/>
      <c r="AH521" s="375"/>
      <c r="AJ521" s="373"/>
      <c r="AK521" s="374"/>
      <c r="AL521" s="375"/>
      <c r="AM521" s="375"/>
      <c r="AO521" s="373"/>
      <c r="AP521" s="374"/>
      <c r="AQ521" s="375"/>
      <c r="AR521" s="375"/>
      <c r="AT521" s="373"/>
      <c r="AU521" s="374"/>
      <c r="AV521" s="375"/>
      <c r="AW521" s="375"/>
      <c r="AY521" s="373"/>
      <c r="AZ521" s="374"/>
      <c r="BA521" s="375"/>
      <c r="BB521" s="375"/>
      <c r="BD521" s="373"/>
      <c r="BE521" s="374"/>
      <c r="BF521" s="375"/>
      <c r="BG521" s="375"/>
      <c r="BI521" s="373"/>
      <c r="BJ521" s="374"/>
      <c r="BK521" s="375"/>
      <c r="BL521" s="375"/>
      <c r="BN521" s="373"/>
      <c r="BO521" s="374"/>
      <c r="BP521" s="375"/>
      <c r="BQ521" s="375"/>
      <c r="BS521" s="373"/>
      <c r="BT521" s="374"/>
      <c r="BU521" s="375"/>
      <c r="BV521" s="375"/>
      <c r="BX521" s="373"/>
      <c r="BY521" s="374"/>
      <c r="BZ521" s="375"/>
      <c r="CA521" s="375"/>
      <c r="CC521" s="373"/>
      <c r="CD521" s="374"/>
      <c r="CE521" s="375"/>
      <c r="CF521" s="375"/>
      <c r="CH521" s="373"/>
      <c r="CI521" s="374"/>
      <c r="CJ521" s="375"/>
      <c r="CK521" s="375"/>
      <c r="CM521" s="373"/>
      <c r="CN521" s="374"/>
      <c r="CO521" s="375"/>
      <c r="CP521" s="375"/>
      <c r="CR521" s="373"/>
      <c r="CS521" s="374"/>
      <c r="CT521" s="375"/>
      <c r="CU521" s="375"/>
      <c r="CW521" s="373"/>
      <c r="CX521" s="374"/>
      <c r="CY521" s="375"/>
      <c r="CZ521" s="375"/>
      <c r="DB521" s="373"/>
      <c r="DC521" s="374"/>
      <c r="DD521" s="375"/>
      <c r="DE521" s="375"/>
      <c r="DG521" s="373"/>
      <c r="DH521" s="374"/>
      <c r="DI521" s="375"/>
      <c r="DJ521" s="375"/>
      <c r="DL521" s="373"/>
      <c r="DM521" s="374"/>
      <c r="DN521" s="375"/>
      <c r="DO521" s="375"/>
      <c r="DQ521" s="373"/>
      <c r="DR521" s="374"/>
      <c r="DS521" s="375"/>
      <c r="DT521" s="375"/>
      <c r="DV521" s="373"/>
      <c r="DW521" s="374"/>
      <c r="DX521" s="375"/>
      <c r="DY521" s="375"/>
      <c r="EA521" s="373"/>
      <c r="EB521" s="374"/>
      <c r="EC521" s="375"/>
      <c r="ED521" s="375"/>
      <c r="EF521" s="373"/>
      <c r="EG521" s="374"/>
      <c r="EH521" s="375"/>
      <c r="EI521" s="375"/>
      <c r="EK521" s="373"/>
      <c r="EL521" s="374"/>
      <c r="EM521" s="375"/>
      <c r="EN521" s="375"/>
      <c r="EP521" s="373"/>
      <c r="EQ521" s="374"/>
      <c r="ER521" s="375"/>
      <c r="ES521" s="375"/>
      <c r="EU521" s="373"/>
      <c r="EV521" s="374"/>
      <c r="EW521" s="375"/>
      <c r="EX521" s="375"/>
      <c r="EZ521" s="373"/>
      <c r="FA521" s="374"/>
      <c r="FB521" s="375"/>
      <c r="FC521" s="375"/>
      <c r="FE521" s="373"/>
      <c r="FF521" s="374"/>
      <c r="FG521" s="375"/>
      <c r="FH521" s="375"/>
      <c r="FJ521" s="373"/>
      <c r="FK521" s="374"/>
      <c r="FL521" s="375"/>
      <c r="FM521" s="375"/>
      <c r="FO521" s="373"/>
      <c r="FP521" s="374"/>
      <c r="FQ521" s="375"/>
      <c r="FR521" s="375"/>
      <c r="FT521" s="373"/>
      <c r="FU521" s="374"/>
      <c r="FV521" s="375"/>
      <c r="FW521" s="375"/>
      <c r="FY521" s="373"/>
      <c r="FZ521" s="374"/>
      <c r="GA521" s="375"/>
      <c r="GB521" s="375"/>
      <c r="GD521" s="373"/>
      <c r="GE521" s="374"/>
      <c r="GF521" s="375"/>
      <c r="GG521" s="375"/>
      <c r="GI521" s="373"/>
      <c r="GJ521" s="374"/>
      <c r="GK521" s="375"/>
      <c r="GL521" s="375"/>
      <c r="GN521" s="373"/>
      <c r="GO521" s="374"/>
      <c r="GP521" s="375"/>
      <c r="GQ521" s="375"/>
      <c r="GS521" s="373"/>
      <c r="GT521" s="374"/>
      <c r="GU521" s="375"/>
      <c r="GV521" s="375"/>
      <c r="GX521" s="373"/>
      <c r="GY521" s="374"/>
      <c r="GZ521" s="375"/>
      <c r="HA521" s="375"/>
      <c r="HC521" s="373"/>
      <c r="HD521" s="374"/>
      <c r="HE521" s="375"/>
      <c r="HF521" s="375"/>
      <c r="HH521" s="373"/>
      <c r="HI521" s="374"/>
      <c r="HJ521" s="375"/>
      <c r="HK521" s="375"/>
      <c r="HM521" s="373"/>
      <c r="HN521" s="374"/>
      <c r="HO521" s="375"/>
      <c r="HP521" s="375"/>
      <c r="HR521" s="373"/>
      <c r="HS521" s="374"/>
      <c r="HT521" s="375"/>
      <c r="HU521" s="375"/>
      <c r="HW521" s="373"/>
      <c r="HX521" s="374"/>
      <c r="HY521" s="375"/>
      <c r="HZ521" s="375"/>
      <c r="IB521" s="373"/>
      <c r="IC521" s="374"/>
      <c r="ID521" s="375"/>
      <c r="IE521" s="375"/>
      <c r="IG521" s="373"/>
      <c r="IH521" s="374"/>
      <c r="II521" s="375"/>
      <c r="IJ521" s="375"/>
      <c r="IL521" s="373"/>
      <c r="IM521" s="374"/>
      <c r="IN521" s="375"/>
      <c r="IO521" s="375"/>
      <c r="IQ521" s="373"/>
      <c r="IR521" s="374"/>
      <c r="IS521" s="375"/>
      <c r="IT521" s="375"/>
      <c r="IV521" s="373"/>
    </row>
    <row r="522" spans="1:256" s="376" customFormat="1" x14ac:dyDescent="0.2">
      <c r="A522" s="373"/>
      <c r="B522" s="374"/>
      <c r="C522" s="375"/>
      <c r="D522" s="375"/>
      <c r="F522" s="373"/>
      <c r="G522" s="374"/>
      <c r="H522" s="375"/>
      <c r="I522" s="375"/>
      <c r="K522" s="373"/>
      <c r="L522" s="374"/>
      <c r="M522" s="375"/>
      <c r="N522" s="375"/>
      <c r="P522" s="373"/>
      <c r="Q522" s="374"/>
      <c r="R522" s="375"/>
      <c r="S522" s="375"/>
      <c r="U522" s="373"/>
      <c r="V522" s="374"/>
      <c r="W522" s="375"/>
      <c r="X522" s="375"/>
      <c r="Z522" s="373"/>
      <c r="AA522" s="374"/>
      <c r="AB522" s="375"/>
      <c r="AC522" s="375"/>
      <c r="AE522" s="373"/>
      <c r="AF522" s="374"/>
      <c r="AG522" s="375"/>
      <c r="AH522" s="375"/>
      <c r="AJ522" s="373"/>
      <c r="AK522" s="374"/>
      <c r="AL522" s="375"/>
      <c r="AM522" s="375"/>
      <c r="AO522" s="373"/>
      <c r="AP522" s="374"/>
      <c r="AQ522" s="375"/>
      <c r="AR522" s="375"/>
      <c r="AT522" s="373"/>
      <c r="AU522" s="374"/>
      <c r="AV522" s="375"/>
      <c r="AW522" s="375"/>
      <c r="AY522" s="373"/>
      <c r="AZ522" s="374"/>
      <c r="BA522" s="375"/>
      <c r="BB522" s="375"/>
      <c r="BD522" s="373"/>
      <c r="BE522" s="374"/>
      <c r="BF522" s="375"/>
      <c r="BG522" s="375"/>
      <c r="BI522" s="373"/>
      <c r="BJ522" s="374"/>
      <c r="BK522" s="375"/>
      <c r="BL522" s="375"/>
      <c r="BN522" s="373"/>
      <c r="BO522" s="374"/>
      <c r="BP522" s="375"/>
      <c r="BQ522" s="375"/>
      <c r="BS522" s="373"/>
      <c r="BT522" s="374"/>
      <c r="BU522" s="375"/>
      <c r="BV522" s="375"/>
      <c r="BX522" s="373"/>
      <c r="BY522" s="374"/>
      <c r="BZ522" s="375"/>
      <c r="CA522" s="375"/>
      <c r="CC522" s="373"/>
      <c r="CD522" s="374"/>
      <c r="CE522" s="375"/>
      <c r="CF522" s="375"/>
      <c r="CH522" s="373"/>
      <c r="CI522" s="374"/>
      <c r="CJ522" s="375"/>
      <c r="CK522" s="375"/>
      <c r="CM522" s="373"/>
      <c r="CN522" s="374"/>
      <c r="CO522" s="375"/>
      <c r="CP522" s="375"/>
      <c r="CR522" s="373"/>
      <c r="CS522" s="374"/>
      <c r="CT522" s="375"/>
      <c r="CU522" s="375"/>
      <c r="CW522" s="373"/>
      <c r="CX522" s="374"/>
      <c r="CY522" s="375"/>
      <c r="CZ522" s="375"/>
      <c r="DB522" s="373"/>
      <c r="DC522" s="374"/>
      <c r="DD522" s="375"/>
      <c r="DE522" s="375"/>
      <c r="DG522" s="373"/>
      <c r="DH522" s="374"/>
      <c r="DI522" s="375"/>
      <c r="DJ522" s="375"/>
      <c r="DL522" s="373"/>
      <c r="DM522" s="374"/>
      <c r="DN522" s="375"/>
      <c r="DO522" s="375"/>
      <c r="DQ522" s="373"/>
      <c r="DR522" s="374"/>
      <c r="DS522" s="375"/>
      <c r="DT522" s="375"/>
      <c r="DV522" s="373"/>
      <c r="DW522" s="374"/>
      <c r="DX522" s="375"/>
      <c r="DY522" s="375"/>
      <c r="EA522" s="373"/>
      <c r="EB522" s="374"/>
      <c r="EC522" s="375"/>
      <c r="ED522" s="375"/>
      <c r="EF522" s="373"/>
      <c r="EG522" s="374"/>
      <c r="EH522" s="375"/>
      <c r="EI522" s="375"/>
      <c r="EK522" s="373"/>
      <c r="EL522" s="374"/>
      <c r="EM522" s="375"/>
      <c r="EN522" s="375"/>
      <c r="EP522" s="373"/>
      <c r="EQ522" s="374"/>
      <c r="ER522" s="375"/>
      <c r="ES522" s="375"/>
      <c r="EU522" s="373"/>
      <c r="EV522" s="374"/>
      <c r="EW522" s="375"/>
      <c r="EX522" s="375"/>
      <c r="EZ522" s="373"/>
      <c r="FA522" s="374"/>
      <c r="FB522" s="375"/>
      <c r="FC522" s="375"/>
      <c r="FE522" s="373"/>
      <c r="FF522" s="374"/>
      <c r="FG522" s="375"/>
      <c r="FH522" s="375"/>
      <c r="FJ522" s="373"/>
      <c r="FK522" s="374"/>
      <c r="FL522" s="375"/>
      <c r="FM522" s="375"/>
      <c r="FO522" s="373"/>
      <c r="FP522" s="374"/>
      <c r="FQ522" s="375"/>
      <c r="FR522" s="375"/>
      <c r="FT522" s="373"/>
      <c r="FU522" s="374"/>
      <c r="FV522" s="375"/>
      <c r="FW522" s="375"/>
      <c r="FY522" s="373"/>
      <c r="FZ522" s="374"/>
      <c r="GA522" s="375"/>
      <c r="GB522" s="375"/>
      <c r="GD522" s="373"/>
      <c r="GE522" s="374"/>
      <c r="GF522" s="375"/>
      <c r="GG522" s="375"/>
      <c r="GI522" s="373"/>
      <c r="GJ522" s="374"/>
      <c r="GK522" s="375"/>
      <c r="GL522" s="375"/>
      <c r="GN522" s="373"/>
      <c r="GO522" s="374"/>
      <c r="GP522" s="375"/>
      <c r="GQ522" s="375"/>
      <c r="GS522" s="373"/>
      <c r="GT522" s="374"/>
      <c r="GU522" s="375"/>
      <c r="GV522" s="375"/>
      <c r="GX522" s="373"/>
      <c r="GY522" s="374"/>
      <c r="GZ522" s="375"/>
      <c r="HA522" s="375"/>
      <c r="HC522" s="373"/>
      <c r="HD522" s="374"/>
      <c r="HE522" s="375"/>
      <c r="HF522" s="375"/>
      <c r="HH522" s="373"/>
      <c r="HI522" s="374"/>
      <c r="HJ522" s="375"/>
      <c r="HK522" s="375"/>
      <c r="HM522" s="373"/>
      <c r="HN522" s="374"/>
      <c r="HO522" s="375"/>
      <c r="HP522" s="375"/>
      <c r="HR522" s="373"/>
      <c r="HS522" s="374"/>
      <c r="HT522" s="375"/>
      <c r="HU522" s="375"/>
      <c r="HW522" s="373"/>
      <c r="HX522" s="374"/>
      <c r="HY522" s="375"/>
      <c r="HZ522" s="375"/>
      <c r="IB522" s="373"/>
      <c r="IC522" s="374"/>
      <c r="ID522" s="375"/>
      <c r="IE522" s="375"/>
      <c r="IG522" s="373"/>
      <c r="IH522" s="374"/>
      <c r="II522" s="375"/>
      <c r="IJ522" s="375"/>
      <c r="IL522" s="373"/>
      <c r="IM522" s="374"/>
      <c r="IN522" s="375"/>
      <c r="IO522" s="375"/>
      <c r="IQ522" s="373"/>
      <c r="IR522" s="374"/>
      <c r="IS522" s="375"/>
      <c r="IT522" s="375"/>
      <c r="IV522" s="373"/>
    </row>
    <row r="523" spans="1:256" s="376" customFormat="1" x14ac:dyDescent="0.2">
      <c r="A523" s="373"/>
      <c r="B523" s="374"/>
      <c r="C523" s="375"/>
      <c r="D523" s="375"/>
      <c r="F523" s="373"/>
      <c r="G523" s="374"/>
      <c r="H523" s="375"/>
      <c r="I523" s="375"/>
      <c r="K523" s="373"/>
      <c r="L523" s="374"/>
      <c r="M523" s="375"/>
      <c r="N523" s="375"/>
      <c r="P523" s="373"/>
      <c r="Q523" s="374"/>
      <c r="R523" s="375"/>
      <c r="S523" s="375"/>
      <c r="U523" s="373"/>
      <c r="V523" s="374"/>
      <c r="W523" s="375"/>
      <c r="X523" s="375"/>
      <c r="Z523" s="373"/>
      <c r="AA523" s="374"/>
      <c r="AB523" s="375"/>
      <c r="AC523" s="375"/>
      <c r="AE523" s="373"/>
      <c r="AF523" s="374"/>
      <c r="AG523" s="375"/>
      <c r="AH523" s="375"/>
      <c r="AJ523" s="373"/>
      <c r="AK523" s="374"/>
      <c r="AL523" s="375"/>
      <c r="AM523" s="375"/>
      <c r="AO523" s="373"/>
      <c r="AP523" s="374"/>
      <c r="AQ523" s="375"/>
      <c r="AR523" s="375"/>
      <c r="AT523" s="373"/>
      <c r="AU523" s="374"/>
      <c r="AV523" s="375"/>
      <c r="AW523" s="375"/>
      <c r="AY523" s="373"/>
      <c r="AZ523" s="374"/>
      <c r="BA523" s="375"/>
      <c r="BB523" s="375"/>
      <c r="BD523" s="373"/>
      <c r="BE523" s="374"/>
      <c r="BF523" s="375"/>
      <c r="BG523" s="375"/>
      <c r="BI523" s="373"/>
      <c r="BJ523" s="374"/>
      <c r="BK523" s="375"/>
      <c r="BL523" s="375"/>
      <c r="BN523" s="373"/>
      <c r="BO523" s="374"/>
      <c r="BP523" s="375"/>
      <c r="BQ523" s="375"/>
      <c r="BS523" s="373"/>
      <c r="BT523" s="374"/>
      <c r="BU523" s="375"/>
      <c r="BV523" s="375"/>
      <c r="BX523" s="373"/>
      <c r="BY523" s="374"/>
      <c r="BZ523" s="375"/>
      <c r="CA523" s="375"/>
      <c r="CC523" s="373"/>
      <c r="CD523" s="374"/>
      <c r="CE523" s="375"/>
      <c r="CF523" s="375"/>
      <c r="CH523" s="373"/>
      <c r="CI523" s="374"/>
      <c r="CJ523" s="375"/>
      <c r="CK523" s="375"/>
      <c r="CM523" s="373"/>
      <c r="CN523" s="374"/>
      <c r="CO523" s="375"/>
      <c r="CP523" s="375"/>
      <c r="CR523" s="373"/>
      <c r="CS523" s="374"/>
      <c r="CT523" s="375"/>
      <c r="CU523" s="375"/>
      <c r="CW523" s="373"/>
      <c r="CX523" s="374"/>
      <c r="CY523" s="375"/>
      <c r="CZ523" s="375"/>
      <c r="DB523" s="373"/>
      <c r="DC523" s="374"/>
      <c r="DD523" s="375"/>
      <c r="DE523" s="375"/>
      <c r="DG523" s="373"/>
      <c r="DH523" s="374"/>
      <c r="DI523" s="375"/>
      <c r="DJ523" s="375"/>
      <c r="DL523" s="373"/>
      <c r="DM523" s="374"/>
      <c r="DN523" s="375"/>
      <c r="DO523" s="375"/>
      <c r="DQ523" s="373"/>
      <c r="DR523" s="374"/>
      <c r="DS523" s="375"/>
      <c r="DT523" s="375"/>
      <c r="DV523" s="373"/>
      <c r="DW523" s="374"/>
      <c r="DX523" s="375"/>
      <c r="DY523" s="375"/>
      <c r="EA523" s="373"/>
      <c r="EB523" s="374"/>
      <c r="EC523" s="375"/>
      <c r="ED523" s="375"/>
      <c r="EF523" s="373"/>
      <c r="EG523" s="374"/>
      <c r="EH523" s="375"/>
      <c r="EI523" s="375"/>
      <c r="EK523" s="373"/>
      <c r="EL523" s="374"/>
      <c r="EM523" s="375"/>
      <c r="EN523" s="375"/>
      <c r="EP523" s="373"/>
      <c r="EQ523" s="374"/>
      <c r="ER523" s="375"/>
      <c r="ES523" s="375"/>
      <c r="EU523" s="373"/>
      <c r="EV523" s="374"/>
      <c r="EW523" s="375"/>
      <c r="EX523" s="375"/>
      <c r="EZ523" s="373"/>
      <c r="FA523" s="374"/>
      <c r="FB523" s="375"/>
      <c r="FC523" s="375"/>
      <c r="FE523" s="373"/>
      <c r="FF523" s="374"/>
      <c r="FG523" s="375"/>
      <c r="FH523" s="375"/>
      <c r="FJ523" s="373"/>
      <c r="FK523" s="374"/>
      <c r="FL523" s="375"/>
      <c r="FM523" s="375"/>
      <c r="FO523" s="373"/>
      <c r="FP523" s="374"/>
      <c r="FQ523" s="375"/>
      <c r="FR523" s="375"/>
      <c r="FT523" s="373"/>
      <c r="FU523" s="374"/>
      <c r="FV523" s="375"/>
      <c r="FW523" s="375"/>
      <c r="FY523" s="373"/>
      <c r="FZ523" s="374"/>
      <c r="GA523" s="375"/>
      <c r="GB523" s="375"/>
      <c r="GD523" s="373"/>
      <c r="GE523" s="374"/>
      <c r="GF523" s="375"/>
      <c r="GG523" s="375"/>
      <c r="GI523" s="373"/>
      <c r="GJ523" s="374"/>
      <c r="GK523" s="375"/>
      <c r="GL523" s="375"/>
      <c r="GN523" s="373"/>
      <c r="GO523" s="374"/>
      <c r="GP523" s="375"/>
      <c r="GQ523" s="375"/>
      <c r="GS523" s="373"/>
      <c r="GT523" s="374"/>
      <c r="GU523" s="375"/>
      <c r="GV523" s="375"/>
      <c r="GX523" s="373"/>
      <c r="GY523" s="374"/>
      <c r="GZ523" s="375"/>
      <c r="HA523" s="375"/>
      <c r="HC523" s="373"/>
      <c r="HD523" s="374"/>
      <c r="HE523" s="375"/>
      <c r="HF523" s="375"/>
      <c r="HH523" s="373"/>
      <c r="HI523" s="374"/>
      <c r="HJ523" s="375"/>
      <c r="HK523" s="375"/>
      <c r="HM523" s="373"/>
      <c r="HN523" s="374"/>
      <c r="HO523" s="375"/>
      <c r="HP523" s="375"/>
      <c r="HR523" s="373"/>
      <c r="HS523" s="374"/>
      <c r="HT523" s="375"/>
      <c r="HU523" s="375"/>
      <c r="HW523" s="373"/>
      <c r="HX523" s="374"/>
      <c r="HY523" s="375"/>
      <c r="HZ523" s="375"/>
      <c r="IB523" s="373"/>
      <c r="IC523" s="374"/>
      <c r="ID523" s="375"/>
      <c r="IE523" s="375"/>
      <c r="IG523" s="373"/>
      <c r="IH523" s="374"/>
      <c r="II523" s="375"/>
      <c r="IJ523" s="375"/>
      <c r="IL523" s="373"/>
      <c r="IM523" s="374"/>
      <c r="IN523" s="375"/>
      <c r="IO523" s="375"/>
      <c r="IQ523" s="373"/>
      <c r="IR523" s="374"/>
      <c r="IS523" s="375"/>
      <c r="IT523" s="375"/>
      <c r="IV523" s="373"/>
    </row>
    <row r="524" spans="1:256" s="376" customFormat="1" x14ac:dyDescent="0.2">
      <c r="A524" s="373"/>
      <c r="B524" s="374"/>
      <c r="C524" s="375"/>
      <c r="D524" s="375"/>
      <c r="F524" s="373"/>
      <c r="G524" s="374"/>
      <c r="H524" s="375"/>
      <c r="I524" s="375"/>
      <c r="K524" s="373"/>
      <c r="L524" s="374"/>
      <c r="M524" s="375"/>
      <c r="N524" s="375"/>
      <c r="P524" s="373"/>
      <c r="Q524" s="374"/>
      <c r="R524" s="375"/>
      <c r="S524" s="375"/>
      <c r="U524" s="373"/>
      <c r="V524" s="374"/>
      <c r="W524" s="375"/>
      <c r="X524" s="375"/>
      <c r="Z524" s="373"/>
      <c r="AA524" s="374"/>
      <c r="AB524" s="375"/>
      <c r="AC524" s="375"/>
      <c r="AE524" s="373"/>
      <c r="AF524" s="374"/>
      <c r="AG524" s="375"/>
      <c r="AH524" s="375"/>
      <c r="AJ524" s="373"/>
      <c r="AK524" s="374"/>
      <c r="AL524" s="375"/>
      <c r="AM524" s="375"/>
      <c r="AO524" s="373"/>
      <c r="AP524" s="374"/>
      <c r="AQ524" s="375"/>
      <c r="AR524" s="375"/>
      <c r="AT524" s="373"/>
      <c r="AU524" s="374"/>
      <c r="AV524" s="375"/>
      <c r="AW524" s="375"/>
      <c r="AY524" s="373"/>
      <c r="AZ524" s="374"/>
      <c r="BA524" s="375"/>
      <c r="BB524" s="375"/>
      <c r="BD524" s="373"/>
      <c r="BE524" s="374"/>
      <c r="BF524" s="375"/>
      <c r="BG524" s="375"/>
      <c r="BI524" s="373"/>
      <c r="BJ524" s="374"/>
      <c r="BK524" s="375"/>
      <c r="BL524" s="375"/>
      <c r="BN524" s="373"/>
      <c r="BO524" s="374"/>
      <c r="BP524" s="375"/>
      <c r="BQ524" s="375"/>
      <c r="BS524" s="373"/>
      <c r="BT524" s="374"/>
      <c r="BU524" s="375"/>
      <c r="BV524" s="375"/>
      <c r="BX524" s="373"/>
      <c r="BY524" s="374"/>
      <c r="BZ524" s="375"/>
      <c r="CA524" s="375"/>
      <c r="CC524" s="373"/>
      <c r="CD524" s="374"/>
      <c r="CE524" s="375"/>
      <c r="CF524" s="375"/>
      <c r="CH524" s="373"/>
      <c r="CI524" s="374"/>
      <c r="CJ524" s="375"/>
      <c r="CK524" s="375"/>
      <c r="CM524" s="373"/>
      <c r="CN524" s="374"/>
      <c r="CO524" s="375"/>
      <c r="CP524" s="375"/>
      <c r="CR524" s="373"/>
      <c r="CS524" s="374"/>
      <c r="CT524" s="375"/>
      <c r="CU524" s="375"/>
      <c r="CW524" s="373"/>
      <c r="CX524" s="374"/>
      <c r="CY524" s="375"/>
      <c r="CZ524" s="375"/>
      <c r="DB524" s="373"/>
      <c r="DC524" s="374"/>
      <c r="DD524" s="375"/>
      <c r="DE524" s="375"/>
      <c r="DG524" s="373"/>
      <c r="DH524" s="374"/>
      <c r="DI524" s="375"/>
      <c r="DJ524" s="375"/>
      <c r="DL524" s="373"/>
      <c r="DM524" s="374"/>
      <c r="DN524" s="375"/>
      <c r="DO524" s="375"/>
      <c r="DQ524" s="373"/>
      <c r="DR524" s="374"/>
      <c r="DS524" s="375"/>
      <c r="DT524" s="375"/>
      <c r="DV524" s="373"/>
      <c r="DW524" s="374"/>
      <c r="DX524" s="375"/>
      <c r="DY524" s="375"/>
      <c r="EA524" s="373"/>
      <c r="EB524" s="374"/>
      <c r="EC524" s="375"/>
      <c r="ED524" s="375"/>
      <c r="EF524" s="373"/>
      <c r="EG524" s="374"/>
      <c r="EH524" s="375"/>
      <c r="EI524" s="375"/>
      <c r="EK524" s="373"/>
      <c r="EL524" s="374"/>
      <c r="EM524" s="375"/>
      <c r="EN524" s="375"/>
      <c r="EP524" s="373"/>
      <c r="EQ524" s="374"/>
      <c r="ER524" s="375"/>
      <c r="ES524" s="375"/>
      <c r="EU524" s="373"/>
      <c r="EV524" s="374"/>
      <c r="EW524" s="375"/>
      <c r="EX524" s="375"/>
      <c r="EZ524" s="373"/>
      <c r="FA524" s="374"/>
      <c r="FB524" s="375"/>
      <c r="FC524" s="375"/>
      <c r="FE524" s="373"/>
      <c r="FF524" s="374"/>
      <c r="FG524" s="375"/>
      <c r="FH524" s="375"/>
      <c r="FJ524" s="373"/>
      <c r="FK524" s="374"/>
      <c r="FL524" s="375"/>
      <c r="FM524" s="375"/>
      <c r="FO524" s="373"/>
      <c r="FP524" s="374"/>
      <c r="FQ524" s="375"/>
      <c r="FR524" s="375"/>
      <c r="FT524" s="373"/>
      <c r="FU524" s="374"/>
      <c r="FV524" s="375"/>
      <c r="FW524" s="375"/>
      <c r="FY524" s="373"/>
      <c r="FZ524" s="374"/>
      <c r="GA524" s="375"/>
      <c r="GB524" s="375"/>
      <c r="GD524" s="373"/>
      <c r="GE524" s="374"/>
      <c r="GF524" s="375"/>
      <c r="GG524" s="375"/>
      <c r="GI524" s="373"/>
      <c r="GJ524" s="374"/>
      <c r="GK524" s="375"/>
      <c r="GL524" s="375"/>
      <c r="GN524" s="373"/>
      <c r="GO524" s="374"/>
      <c r="GP524" s="375"/>
      <c r="GQ524" s="375"/>
      <c r="GS524" s="373"/>
      <c r="GT524" s="374"/>
      <c r="GU524" s="375"/>
      <c r="GV524" s="375"/>
      <c r="GX524" s="373"/>
      <c r="GY524" s="374"/>
      <c r="GZ524" s="375"/>
      <c r="HA524" s="375"/>
      <c r="HC524" s="373"/>
      <c r="HD524" s="374"/>
      <c r="HE524" s="375"/>
      <c r="HF524" s="375"/>
      <c r="HH524" s="373"/>
      <c r="HI524" s="374"/>
      <c r="HJ524" s="375"/>
      <c r="HK524" s="375"/>
      <c r="HM524" s="373"/>
      <c r="HN524" s="374"/>
      <c r="HO524" s="375"/>
      <c r="HP524" s="375"/>
      <c r="HR524" s="373"/>
      <c r="HS524" s="374"/>
      <c r="HT524" s="375"/>
      <c r="HU524" s="375"/>
      <c r="HW524" s="373"/>
      <c r="HX524" s="374"/>
      <c r="HY524" s="375"/>
      <c r="HZ524" s="375"/>
      <c r="IB524" s="373"/>
      <c r="IC524" s="374"/>
      <c r="ID524" s="375"/>
      <c r="IE524" s="375"/>
      <c r="IG524" s="373"/>
      <c r="IH524" s="374"/>
      <c r="II524" s="375"/>
      <c r="IJ524" s="375"/>
      <c r="IL524" s="373"/>
      <c r="IM524" s="374"/>
      <c r="IN524" s="375"/>
      <c r="IO524" s="375"/>
      <c r="IQ524" s="373"/>
      <c r="IR524" s="374"/>
      <c r="IS524" s="375"/>
      <c r="IT524" s="375"/>
      <c r="IV524" s="373"/>
    </row>
    <row r="525" spans="1:256" s="376" customFormat="1" x14ac:dyDescent="0.2">
      <c r="A525" s="373"/>
      <c r="B525" s="374"/>
      <c r="C525" s="375"/>
      <c r="D525" s="375"/>
      <c r="F525" s="373"/>
      <c r="G525" s="374"/>
      <c r="H525" s="375"/>
      <c r="I525" s="375"/>
      <c r="K525" s="373"/>
      <c r="L525" s="374"/>
      <c r="M525" s="375"/>
      <c r="N525" s="375"/>
      <c r="P525" s="373"/>
      <c r="Q525" s="374"/>
      <c r="R525" s="375"/>
      <c r="S525" s="375"/>
      <c r="U525" s="373"/>
      <c r="V525" s="374"/>
      <c r="W525" s="375"/>
      <c r="X525" s="375"/>
      <c r="Z525" s="373"/>
      <c r="AA525" s="374"/>
      <c r="AB525" s="375"/>
      <c r="AC525" s="375"/>
      <c r="AE525" s="373"/>
      <c r="AF525" s="374"/>
      <c r="AG525" s="375"/>
      <c r="AH525" s="375"/>
      <c r="AJ525" s="373"/>
      <c r="AK525" s="374"/>
      <c r="AL525" s="375"/>
      <c r="AM525" s="375"/>
      <c r="AO525" s="373"/>
      <c r="AP525" s="374"/>
      <c r="AQ525" s="375"/>
      <c r="AR525" s="375"/>
      <c r="AT525" s="373"/>
      <c r="AU525" s="374"/>
      <c r="AV525" s="375"/>
      <c r="AW525" s="375"/>
      <c r="AY525" s="373"/>
      <c r="AZ525" s="374"/>
      <c r="BA525" s="375"/>
      <c r="BB525" s="375"/>
      <c r="BD525" s="373"/>
      <c r="BE525" s="374"/>
      <c r="BF525" s="375"/>
      <c r="BG525" s="375"/>
      <c r="BI525" s="373"/>
      <c r="BJ525" s="374"/>
      <c r="BK525" s="375"/>
      <c r="BL525" s="375"/>
      <c r="BN525" s="373"/>
      <c r="BO525" s="374"/>
      <c r="BP525" s="375"/>
      <c r="BQ525" s="375"/>
      <c r="BS525" s="373"/>
      <c r="BT525" s="374"/>
      <c r="BU525" s="375"/>
      <c r="BV525" s="375"/>
      <c r="BX525" s="373"/>
      <c r="BY525" s="374"/>
      <c r="BZ525" s="375"/>
      <c r="CA525" s="375"/>
      <c r="CC525" s="373"/>
      <c r="CD525" s="374"/>
      <c r="CE525" s="375"/>
      <c r="CF525" s="375"/>
      <c r="CH525" s="373"/>
      <c r="CI525" s="374"/>
      <c r="CJ525" s="375"/>
      <c r="CK525" s="375"/>
      <c r="CM525" s="373"/>
      <c r="CN525" s="374"/>
      <c r="CO525" s="375"/>
      <c r="CP525" s="375"/>
      <c r="CR525" s="373"/>
      <c r="CS525" s="374"/>
      <c r="CT525" s="375"/>
      <c r="CU525" s="375"/>
      <c r="CW525" s="373"/>
      <c r="CX525" s="374"/>
      <c r="CY525" s="375"/>
      <c r="CZ525" s="375"/>
      <c r="DB525" s="373"/>
      <c r="DC525" s="374"/>
      <c r="DD525" s="375"/>
      <c r="DE525" s="375"/>
      <c r="DG525" s="373"/>
      <c r="DH525" s="374"/>
      <c r="DI525" s="375"/>
      <c r="DJ525" s="375"/>
      <c r="DL525" s="373"/>
      <c r="DM525" s="374"/>
      <c r="DN525" s="375"/>
      <c r="DO525" s="375"/>
      <c r="DQ525" s="373"/>
      <c r="DR525" s="374"/>
      <c r="DS525" s="375"/>
      <c r="DT525" s="375"/>
      <c r="DV525" s="373"/>
      <c r="DW525" s="374"/>
      <c r="DX525" s="375"/>
      <c r="DY525" s="375"/>
      <c r="EA525" s="373"/>
      <c r="EB525" s="374"/>
      <c r="EC525" s="375"/>
      <c r="ED525" s="375"/>
      <c r="EF525" s="373"/>
      <c r="EG525" s="374"/>
      <c r="EH525" s="375"/>
      <c r="EI525" s="375"/>
      <c r="EK525" s="373"/>
      <c r="EL525" s="374"/>
      <c r="EM525" s="375"/>
      <c r="EN525" s="375"/>
      <c r="EP525" s="373"/>
      <c r="EQ525" s="374"/>
      <c r="ER525" s="375"/>
      <c r="ES525" s="375"/>
      <c r="EU525" s="373"/>
      <c r="EV525" s="374"/>
      <c r="EW525" s="375"/>
      <c r="EX525" s="375"/>
      <c r="EZ525" s="373"/>
      <c r="FA525" s="374"/>
      <c r="FB525" s="375"/>
      <c r="FC525" s="375"/>
      <c r="FE525" s="373"/>
      <c r="FF525" s="374"/>
      <c r="FG525" s="375"/>
      <c r="FH525" s="375"/>
      <c r="FJ525" s="373"/>
      <c r="FK525" s="374"/>
      <c r="FL525" s="375"/>
      <c r="FM525" s="375"/>
      <c r="FO525" s="373"/>
      <c r="FP525" s="374"/>
      <c r="FQ525" s="375"/>
      <c r="FR525" s="375"/>
      <c r="FT525" s="373"/>
      <c r="FU525" s="374"/>
      <c r="FV525" s="375"/>
      <c r="FW525" s="375"/>
      <c r="FY525" s="373"/>
      <c r="FZ525" s="374"/>
      <c r="GA525" s="375"/>
      <c r="GB525" s="375"/>
      <c r="GD525" s="373"/>
      <c r="GE525" s="374"/>
      <c r="GF525" s="375"/>
      <c r="GG525" s="375"/>
      <c r="GI525" s="373"/>
      <c r="GJ525" s="374"/>
      <c r="GK525" s="375"/>
      <c r="GL525" s="375"/>
      <c r="GN525" s="373"/>
      <c r="GO525" s="374"/>
      <c r="GP525" s="375"/>
      <c r="GQ525" s="375"/>
      <c r="GS525" s="373"/>
      <c r="GT525" s="374"/>
      <c r="GU525" s="375"/>
      <c r="GV525" s="375"/>
      <c r="GX525" s="373"/>
      <c r="GY525" s="374"/>
      <c r="GZ525" s="375"/>
      <c r="HA525" s="375"/>
      <c r="HC525" s="373"/>
      <c r="HD525" s="374"/>
      <c r="HE525" s="375"/>
      <c r="HF525" s="375"/>
      <c r="HH525" s="373"/>
      <c r="HI525" s="374"/>
      <c r="HJ525" s="375"/>
      <c r="HK525" s="375"/>
      <c r="HM525" s="373"/>
      <c r="HN525" s="374"/>
      <c r="HO525" s="375"/>
      <c r="HP525" s="375"/>
      <c r="HR525" s="373"/>
      <c r="HS525" s="374"/>
      <c r="HT525" s="375"/>
      <c r="HU525" s="375"/>
      <c r="HW525" s="373"/>
      <c r="HX525" s="374"/>
      <c r="HY525" s="375"/>
      <c r="HZ525" s="375"/>
      <c r="IB525" s="373"/>
      <c r="IC525" s="374"/>
      <c r="ID525" s="375"/>
      <c r="IE525" s="375"/>
      <c r="IG525" s="373"/>
      <c r="IH525" s="374"/>
      <c r="II525" s="375"/>
      <c r="IJ525" s="375"/>
      <c r="IL525" s="373"/>
      <c r="IM525" s="374"/>
      <c r="IN525" s="375"/>
      <c r="IO525" s="375"/>
      <c r="IQ525" s="373"/>
      <c r="IR525" s="374"/>
      <c r="IS525" s="375"/>
      <c r="IT525" s="375"/>
      <c r="IV525" s="373"/>
    </row>
    <row r="526" spans="1:256" s="376" customFormat="1" x14ac:dyDescent="0.2">
      <c r="A526" s="373"/>
      <c r="B526" s="374"/>
      <c r="C526" s="375"/>
      <c r="D526" s="375"/>
      <c r="F526" s="373"/>
      <c r="G526" s="374"/>
      <c r="H526" s="375"/>
      <c r="I526" s="375"/>
      <c r="K526" s="373"/>
      <c r="L526" s="374"/>
      <c r="M526" s="375"/>
      <c r="N526" s="375"/>
      <c r="P526" s="373"/>
      <c r="Q526" s="374"/>
      <c r="R526" s="375"/>
      <c r="S526" s="375"/>
      <c r="U526" s="373"/>
      <c r="V526" s="374"/>
      <c r="W526" s="375"/>
      <c r="X526" s="375"/>
      <c r="Z526" s="373"/>
      <c r="AA526" s="374"/>
      <c r="AB526" s="375"/>
      <c r="AC526" s="375"/>
      <c r="AE526" s="373"/>
      <c r="AF526" s="374"/>
      <c r="AG526" s="375"/>
      <c r="AH526" s="375"/>
      <c r="AJ526" s="373"/>
      <c r="AK526" s="374"/>
      <c r="AL526" s="375"/>
      <c r="AM526" s="375"/>
      <c r="AO526" s="373"/>
      <c r="AP526" s="374"/>
      <c r="AQ526" s="375"/>
      <c r="AR526" s="375"/>
      <c r="AT526" s="373"/>
      <c r="AU526" s="374"/>
      <c r="AV526" s="375"/>
      <c r="AW526" s="375"/>
      <c r="AY526" s="373"/>
      <c r="AZ526" s="374"/>
      <c r="BA526" s="375"/>
      <c r="BB526" s="375"/>
      <c r="BD526" s="373"/>
      <c r="BE526" s="374"/>
      <c r="BF526" s="375"/>
      <c r="BG526" s="375"/>
      <c r="BI526" s="373"/>
      <c r="BJ526" s="374"/>
      <c r="BK526" s="375"/>
      <c r="BL526" s="375"/>
      <c r="BN526" s="373"/>
      <c r="BO526" s="374"/>
      <c r="BP526" s="375"/>
      <c r="BQ526" s="375"/>
      <c r="BS526" s="373"/>
      <c r="BT526" s="374"/>
      <c r="BU526" s="375"/>
      <c r="BV526" s="375"/>
      <c r="BX526" s="373"/>
      <c r="BY526" s="374"/>
      <c r="BZ526" s="375"/>
      <c r="CA526" s="375"/>
      <c r="CC526" s="373"/>
      <c r="CD526" s="374"/>
      <c r="CE526" s="375"/>
      <c r="CF526" s="375"/>
      <c r="CH526" s="373"/>
      <c r="CI526" s="374"/>
      <c r="CJ526" s="375"/>
      <c r="CK526" s="375"/>
      <c r="CM526" s="373"/>
      <c r="CN526" s="374"/>
      <c r="CO526" s="375"/>
      <c r="CP526" s="375"/>
      <c r="CR526" s="373"/>
      <c r="CS526" s="374"/>
      <c r="CT526" s="375"/>
      <c r="CU526" s="375"/>
      <c r="CW526" s="373"/>
      <c r="CX526" s="374"/>
      <c r="CY526" s="375"/>
      <c r="CZ526" s="375"/>
      <c r="DB526" s="373"/>
      <c r="DC526" s="374"/>
      <c r="DD526" s="375"/>
      <c r="DE526" s="375"/>
      <c r="DG526" s="373"/>
      <c r="DH526" s="374"/>
      <c r="DI526" s="375"/>
      <c r="DJ526" s="375"/>
      <c r="DL526" s="373"/>
      <c r="DM526" s="374"/>
      <c r="DN526" s="375"/>
      <c r="DO526" s="375"/>
      <c r="DQ526" s="373"/>
      <c r="DR526" s="374"/>
      <c r="DS526" s="375"/>
      <c r="DT526" s="375"/>
      <c r="DV526" s="373"/>
      <c r="DW526" s="374"/>
      <c r="DX526" s="375"/>
      <c r="DY526" s="375"/>
      <c r="EA526" s="373"/>
      <c r="EB526" s="374"/>
      <c r="EC526" s="375"/>
      <c r="ED526" s="375"/>
      <c r="EF526" s="373"/>
      <c r="EG526" s="374"/>
      <c r="EH526" s="375"/>
      <c r="EI526" s="375"/>
      <c r="EK526" s="373"/>
      <c r="EL526" s="374"/>
      <c r="EM526" s="375"/>
      <c r="EN526" s="375"/>
      <c r="EP526" s="373"/>
      <c r="EQ526" s="374"/>
      <c r="ER526" s="375"/>
      <c r="ES526" s="375"/>
      <c r="EU526" s="373"/>
      <c r="EV526" s="374"/>
      <c r="EW526" s="375"/>
      <c r="EX526" s="375"/>
      <c r="EZ526" s="373"/>
      <c r="FA526" s="374"/>
      <c r="FB526" s="375"/>
      <c r="FC526" s="375"/>
      <c r="FE526" s="373"/>
      <c r="FF526" s="374"/>
      <c r="FG526" s="375"/>
      <c r="FH526" s="375"/>
      <c r="FJ526" s="373"/>
      <c r="FK526" s="374"/>
      <c r="FL526" s="375"/>
      <c r="FM526" s="375"/>
      <c r="FO526" s="373"/>
      <c r="FP526" s="374"/>
      <c r="FQ526" s="375"/>
      <c r="FR526" s="375"/>
      <c r="FT526" s="373"/>
      <c r="FU526" s="374"/>
      <c r="FV526" s="375"/>
      <c r="FW526" s="375"/>
      <c r="FY526" s="373"/>
      <c r="FZ526" s="374"/>
      <c r="GA526" s="375"/>
      <c r="GB526" s="375"/>
      <c r="GD526" s="373"/>
      <c r="GE526" s="374"/>
      <c r="GF526" s="375"/>
      <c r="GG526" s="375"/>
      <c r="GI526" s="373"/>
      <c r="GJ526" s="374"/>
      <c r="GK526" s="375"/>
      <c r="GL526" s="375"/>
      <c r="GN526" s="373"/>
      <c r="GO526" s="374"/>
      <c r="GP526" s="375"/>
      <c r="GQ526" s="375"/>
      <c r="GS526" s="373"/>
      <c r="GT526" s="374"/>
      <c r="GU526" s="375"/>
      <c r="GV526" s="375"/>
      <c r="GX526" s="373"/>
      <c r="GY526" s="374"/>
      <c r="GZ526" s="375"/>
      <c r="HA526" s="375"/>
      <c r="HC526" s="373"/>
      <c r="HD526" s="374"/>
      <c r="HE526" s="375"/>
      <c r="HF526" s="375"/>
      <c r="HH526" s="373"/>
      <c r="HI526" s="374"/>
      <c r="HJ526" s="375"/>
      <c r="HK526" s="375"/>
      <c r="HM526" s="373"/>
      <c r="HN526" s="374"/>
      <c r="HO526" s="375"/>
      <c r="HP526" s="375"/>
      <c r="HR526" s="373"/>
      <c r="HS526" s="374"/>
      <c r="HT526" s="375"/>
      <c r="HU526" s="375"/>
      <c r="HW526" s="373"/>
      <c r="HX526" s="374"/>
      <c r="HY526" s="375"/>
      <c r="HZ526" s="375"/>
      <c r="IB526" s="373"/>
      <c r="IC526" s="374"/>
      <c r="ID526" s="375"/>
      <c r="IE526" s="375"/>
      <c r="IG526" s="373"/>
      <c r="IH526" s="374"/>
      <c r="II526" s="375"/>
      <c r="IJ526" s="375"/>
      <c r="IL526" s="373"/>
      <c r="IM526" s="374"/>
      <c r="IN526" s="375"/>
      <c r="IO526" s="375"/>
      <c r="IQ526" s="373"/>
      <c r="IR526" s="374"/>
      <c r="IS526" s="375"/>
      <c r="IT526" s="375"/>
      <c r="IV526" s="373"/>
    </row>
    <row r="527" spans="1:256" s="376" customFormat="1" x14ac:dyDescent="0.2">
      <c r="A527" s="373"/>
      <c r="B527" s="374"/>
      <c r="C527" s="375"/>
      <c r="D527" s="375"/>
      <c r="F527" s="373"/>
      <c r="G527" s="374"/>
      <c r="H527" s="375"/>
      <c r="I527" s="375"/>
      <c r="K527" s="373"/>
      <c r="L527" s="374"/>
      <c r="M527" s="375"/>
      <c r="N527" s="375"/>
      <c r="P527" s="373"/>
      <c r="Q527" s="374"/>
      <c r="R527" s="375"/>
      <c r="S527" s="375"/>
      <c r="U527" s="373"/>
      <c r="V527" s="374"/>
      <c r="W527" s="375"/>
      <c r="X527" s="375"/>
      <c r="Z527" s="373"/>
      <c r="AA527" s="374"/>
      <c r="AB527" s="375"/>
      <c r="AC527" s="375"/>
      <c r="AE527" s="373"/>
      <c r="AF527" s="374"/>
      <c r="AG527" s="375"/>
      <c r="AH527" s="375"/>
      <c r="AJ527" s="373"/>
      <c r="AK527" s="374"/>
      <c r="AL527" s="375"/>
      <c r="AM527" s="375"/>
      <c r="AO527" s="373"/>
      <c r="AP527" s="374"/>
      <c r="AQ527" s="375"/>
      <c r="AR527" s="375"/>
      <c r="AT527" s="373"/>
      <c r="AU527" s="374"/>
      <c r="AV527" s="375"/>
      <c r="AW527" s="375"/>
      <c r="AY527" s="373"/>
      <c r="AZ527" s="374"/>
      <c r="BA527" s="375"/>
      <c r="BB527" s="375"/>
      <c r="BD527" s="373"/>
      <c r="BE527" s="374"/>
      <c r="BF527" s="375"/>
      <c r="BG527" s="375"/>
      <c r="BI527" s="373"/>
      <c r="BJ527" s="374"/>
      <c r="BK527" s="375"/>
      <c r="BL527" s="375"/>
      <c r="BN527" s="373"/>
      <c r="BO527" s="374"/>
      <c r="BP527" s="375"/>
      <c r="BQ527" s="375"/>
      <c r="BS527" s="373"/>
      <c r="BT527" s="374"/>
      <c r="BU527" s="375"/>
      <c r="BV527" s="375"/>
      <c r="BX527" s="373"/>
      <c r="BY527" s="374"/>
      <c r="BZ527" s="375"/>
      <c r="CA527" s="375"/>
      <c r="CC527" s="373"/>
      <c r="CD527" s="374"/>
      <c r="CE527" s="375"/>
      <c r="CF527" s="375"/>
      <c r="CH527" s="373"/>
      <c r="CI527" s="374"/>
      <c r="CJ527" s="375"/>
      <c r="CK527" s="375"/>
      <c r="CM527" s="373"/>
      <c r="CN527" s="374"/>
      <c r="CO527" s="375"/>
      <c r="CP527" s="375"/>
      <c r="CR527" s="373"/>
      <c r="CS527" s="374"/>
      <c r="CT527" s="375"/>
      <c r="CU527" s="375"/>
      <c r="CW527" s="373"/>
      <c r="CX527" s="374"/>
      <c r="CY527" s="375"/>
      <c r="CZ527" s="375"/>
      <c r="DB527" s="373"/>
      <c r="DC527" s="374"/>
      <c r="DD527" s="375"/>
      <c r="DE527" s="375"/>
      <c r="DG527" s="373"/>
      <c r="DH527" s="374"/>
      <c r="DI527" s="375"/>
      <c r="DJ527" s="375"/>
      <c r="DL527" s="373"/>
      <c r="DM527" s="374"/>
      <c r="DN527" s="375"/>
      <c r="DO527" s="375"/>
      <c r="DQ527" s="373"/>
      <c r="DR527" s="374"/>
      <c r="DS527" s="375"/>
      <c r="DT527" s="375"/>
      <c r="DV527" s="373"/>
      <c r="DW527" s="374"/>
      <c r="DX527" s="375"/>
      <c r="DY527" s="375"/>
      <c r="EA527" s="373"/>
      <c r="EB527" s="374"/>
      <c r="EC527" s="375"/>
      <c r="ED527" s="375"/>
      <c r="EF527" s="373"/>
      <c r="EG527" s="374"/>
      <c r="EH527" s="375"/>
      <c r="EI527" s="375"/>
      <c r="EK527" s="373"/>
      <c r="EL527" s="374"/>
      <c r="EM527" s="375"/>
      <c r="EN527" s="375"/>
      <c r="EP527" s="373"/>
      <c r="EQ527" s="374"/>
      <c r="ER527" s="375"/>
      <c r="ES527" s="375"/>
      <c r="EU527" s="373"/>
      <c r="EV527" s="374"/>
      <c r="EW527" s="375"/>
      <c r="EX527" s="375"/>
      <c r="EZ527" s="373"/>
      <c r="FA527" s="374"/>
      <c r="FB527" s="375"/>
      <c r="FC527" s="375"/>
      <c r="FE527" s="373"/>
      <c r="FF527" s="374"/>
      <c r="FG527" s="375"/>
      <c r="FH527" s="375"/>
      <c r="FJ527" s="373"/>
      <c r="FK527" s="374"/>
      <c r="FL527" s="375"/>
      <c r="FM527" s="375"/>
      <c r="FO527" s="373"/>
      <c r="FP527" s="374"/>
      <c r="FQ527" s="375"/>
      <c r="FR527" s="375"/>
      <c r="FT527" s="373"/>
      <c r="FU527" s="374"/>
      <c r="FV527" s="375"/>
      <c r="FW527" s="375"/>
      <c r="FY527" s="373"/>
      <c r="FZ527" s="374"/>
      <c r="GA527" s="375"/>
      <c r="GB527" s="375"/>
      <c r="GD527" s="373"/>
      <c r="GE527" s="374"/>
      <c r="GF527" s="375"/>
      <c r="GG527" s="375"/>
      <c r="GI527" s="373"/>
      <c r="GJ527" s="374"/>
      <c r="GK527" s="375"/>
      <c r="GL527" s="375"/>
      <c r="GN527" s="373"/>
      <c r="GO527" s="374"/>
      <c r="GP527" s="375"/>
      <c r="GQ527" s="375"/>
      <c r="GS527" s="373"/>
      <c r="GT527" s="374"/>
      <c r="GU527" s="375"/>
      <c r="GV527" s="375"/>
      <c r="GX527" s="373"/>
      <c r="GY527" s="374"/>
      <c r="GZ527" s="375"/>
      <c r="HA527" s="375"/>
      <c r="HC527" s="373"/>
      <c r="HD527" s="374"/>
      <c r="HE527" s="375"/>
      <c r="HF527" s="375"/>
      <c r="HH527" s="373"/>
      <c r="HI527" s="374"/>
      <c r="HJ527" s="375"/>
      <c r="HK527" s="375"/>
      <c r="HM527" s="373"/>
      <c r="HN527" s="374"/>
      <c r="HO527" s="375"/>
      <c r="HP527" s="375"/>
      <c r="HR527" s="373"/>
      <c r="HS527" s="374"/>
      <c r="HT527" s="375"/>
      <c r="HU527" s="375"/>
      <c r="HW527" s="373"/>
      <c r="HX527" s="374"/>
      <c r="HY527" s="375"/>
      <c r="HZ527" s="375"/>
      <c r="IB527" s="373"/>
      <c r="IC527" s="374"/>
      <c r="ID527" s="375"/>
      <c r="IE527" s="375"/>
      <c r="IG527" s="373"/>
      <c r="IH527" s="374"/>
      <c r="II527" s="375"/>
      <c r="IJ527" s="375"/>
      <c r="IL527" s="373"/>
      <c r="IM527" s="374"/>
      <c r="IN527" s="375"/>
      <c r="IO527" s="375"/>
      <c r="IQ527" s="373"/>
      <c r="IR527" s="374"/>
      <c r="IS527" s="375"/>
      <c r="IT527" s="375"/>
      <c r="IV527" s="373"/>
    </row>
    <row r="528" spans="1:256" s="376" customFormat="1" x14ac:dyDescent="0.2">
      <c r="A528" s="373"/>
      <c r="B528" s="374"/>
      <c r="C528" s="375"/>
      <c r="D528" s="375"/>
      <c r="F528" s="373"/>
      <c r="G528" s="374"/>
      <c r="H528" s="375"/>
      <c r="I528" s="375"/>
      <c r="K528" s="373"/>
      <c r="L528" s="374"/>
      <c r="M528" s="375"/>
      <c r="N528" s="375"/>
      <c r="P528" s="373"/>
      <c r="Q528" s="374"/>
      <c r="R528" s="375"/>
      <c r="S528" s="375"/>
      <c r="U528" s="373"/>
      <c r="V528" s="374"/>
      <c r="W528" s="375"/>
      <c r="X528" s="375"/>
      <c r="Z528" s="373"/>
      <c r="AA528" s="374"/>
      <c r="AB528" s="375"/>
      <c r="AC528" s="375"/>
      <c r="AE528" s="373"/>
      <c r="AF528" s="374"/>
      <c r="AG528" s="375"/>
      <c r="AH528" s="375"/>
      <c r="AJ528" s="373"/>
      <c r="AK528" s="374"/>
      <c r="AL528" s="375"/>
      <c r="AM528" s="375"/>
      <c r="AO528" s="373"/>
      <c r="AP528" s="374"/>
      <c r="AQ528" s="375"/>
      <c r="AR528" s="375"/>
      <c r="AT528" s="373"/>
      <c r="AU528" s="374"/>
      <c r="AV528" s="375"/>
      <c r="AW528" s="375"/>
      <c r="AY528" s="373"/>
      <c r="AZ528" s="374"/>
      <c r="BA528" s="375"/>
      <c r="BB528" s="375"/>
      <c r="BD528" s="373"/>
      <c r="BE528" s="374"/>
      <c r="BF528" s="375"/>
      <c r="BG528" s="375"/>
      <c r="BI528" s="373"/>
      <c r="BJ528" s="374"/>
      <c r="BK528" s="375"/>
      <c r="BL528" s="375"/>
      <c r="BN528" s="373"/>
      <c r="BO528" s="374"/>
      <c r="BP528" s="375"/>
      <c r="BQ528" s="375"/>
      <c r="BS528" s="373"/>
      <c r="BT528" s="374"/>
      <c r="BU528" s="375"/>
      <c r="BV528" s="375"/>
      <c r="BX528" s="373"/>
      <c r="BY528" s="374"/>
      <c r="BZ528" s="375"/>
      <c r="CA528" s="375"/>
      <c r="CC528" s="373"/>
      <c r="CD528" s="374"/>
      <c r="CE528" s="375"/>
      <c r="CF528" s="375"/>
      <c r="CH528" s="373"/>
      <c r="CI528" s="374"/>
      <c r="CJ528" s="375"/>
      <c r="CK528" s="375"/>
      <c r="CM528" s="373"/>
      <c r="CN528" s="374"/>
      <c r="CO528" s="375"/>
      <c r="CP528" s="375"/>
      <c r="CR528" s="373"/>
      <c r="CS528" s="374"/>
      <c r="CT528" s="375"/>
      <c r="CU528" s="375"/>
      <c r="CW528" s="373"/>
      <c r="CX528" s="374"/>
      <c r="CY528" s="375"/>
      <c r="CZ528" s="375"/>
      <c r="DB528" s="373"/>
      <c r="DC528" s="374"/>
      <c r="DD528" s="375"/>
      <c r="DE528" s="375"/>
      <c r="DG528" s="373"/>
      <c r="DH528" s="374"/>
      <c r="DI528" s="375"/>
      <c r="DJ528" s="375"/>
      <c r="DL528" s="373"/>
      <c r="DM528" s="374"/>
      <c r="DN528" s="375"/>
      <c r="DO528" s="375"/>
      <c r="DQ528" s="373"/>
      <c r="DR528" s="374"/>
      <c r="DS528" s="375"/>
      <c r="DT528" s="375"/>
      <c r="DV528" s="373"/>
      <c r="DW528" s="374"/>
      <c r="DX528" s="375"/>
      <c r="DY528" s="375"/>
      <c r="EA528" s="373"/>
      <c r="EB528" s="374"/>
      <c r="EC528" s="375"/>
      <c r="ED528" s="375"/>
      <c r="EF528" s="373"/>
      <c r="EG528" s="374"/>
      <c r="EH528" s="375"/>
      <c r="EI528" s="375"/>
      <c r="EK528" s="373"/>
      <c r="EL528" s="374"/>
      <c r="EM528" s="375"/>
      <c r="EN528" s="375"/>
      <c r="EP528" s="373"/>
      <c r="EQ528" s="374"/>
      <c r="ER528" s="375"/>
      <c r="ES528" s="375"/>
      <c r="EU528" s="373"/>
      <c r="EV528" s="374"/>
      <c r="EW528" s="375"/>
      <c r="EX528" s="375"/>
      <c r="EZ528" s="373"/>
      <c r="FA528" s="374"/>
      <c r="FB528" s="375"/>
      <c r="FC528" s="375"/>
      <c r="FE528" s="373"/>
      <c r="FF528" s="374"/>
      <c r="FG528" s="375"/>
      <c r="FH528" s="375"/>
      <c r="FJ528" s="373"/>
      <c r="FK528" s="374"/>
      <c r="FL528" s="375"/>
      <c r="FM528" s="375"/>
      <c r="FO528" s="373"/>
      <c r="FP528" s="374"/>
      <c r="FQ528" s="375"/>
      <c r="FR528" s="375"/>
      <c r="FT528" s="373"/>
      <c r="FU528" s="374"/>
      <c r="FV528" s="375"/>
      <c r="FW528" s="375"/>
      <c r="FY528" s="373"/>
      <c r="FZ528" s="374"/>
      <c r="GA528" s="375"/>
      <c r="GB528" s="375"/>
      <c r="GD528" s="373"/>
      <c r="GE528" s="374"/>
      <c r="GF528" s="375"/>
      <c r="GG528" s="375"/>
      <c r="GI528" s="373"/>
      <c r="GJ528" s="374"/>
      <c r="GK528" s="375"/>
      <c r="GL528" s="375"/>
      <c r="GN528" s="373"/>
      <c r="GO528" s="374"/>
      <c r="GP528" s="375"/>
      <c r="GQ528" s="375"/>
      <c r="GS528" s="373"/>
      <c r="GT528" s="374"/>
      <c r="GU528" s="375"/>
      <c r="GV528" s="375"/>
      <c r="GX528" s="373"/>
      <c r="GY528" s="374"/>
      <c r="GZ528" s="375"/>
      <c r="HA528" s="375"/>
      <c r="HC528" s="373"/>
      <c r="HD528" s="374"/>
      <c r="HE528" s="375"/>
      <c r="HF528" s="375"/>
      <c r="HH528" s="373"/>
      <c r="HI528" s="374"/>
      <c r="HJ528" s="375"/>
      <c r="HK528" s="375"/>
      <c r="HM528" s="373"/>
      <c r="HN528" s="374"/>
      <c r="HO528" s="375"/>
      <c r="HP528" s="375"/>
      <c r="HR528" s="373"/>
      <c r="HS528" s="374"/>
      <c r="HT528" s="375"/>
      <c r="HU528" s="375"/>
      <c r="HW528" s="373"/>
      <c r="HX528" s="374"/>
      <c r="HY528" s="375"/>
      <c r="HZ528" s="375"/>
      <c r="IB528" s="373"/>
      <c r="IC528" s="374"/>
      <c r="ID528" s="375"/>
      <c r="IE528" s="375"/>
      <c r="IG528" s="373"/>
      <c r="IH528" s="374"/>
      <c r="II528" s="375"/>
      <c r="IJ528" s="375"/>
      <c r="IL528" s="373"/>
      <c r="IM528" s="374"/>
      <c r="IN528" s="375"/>
      <c r="IO528" s="375"/>
      <c r="IQ528" s="373"/>
      <c r="IR528" s="374"/>
      <c r="IS528" s="375"/>
      <c r="IT528" s="375"/>
      <c r="IV528" s="373"/>
    </row>
    <row r="529" spans="1:256" s="376" customFormat="1" x14ac:dyDescent="0.2">
      <c r="A529" s="373"/>
      <c r="B529" s="374"/>
      <c r="C529" s="375"/>
      <c r="D529" s="375"/>
      <c r="F529" s="373"/>
      <c r="G529" s="374"/>
      <c r="H529" s="375"/>
      <c r="I529" s="375"/>
      <c r="K529" s="373"/>
      <c r="L529" s="374"/>
      <c r="M529" s="375"/>
      <c r="N529" s="375"/>
      <c r="P529" s="373"/>
      <c r="Q529" s="374"/>
      <c r="R529" s="375"/>
      <c r="S529" s="375"/>
      <c r="U529" s="373"/>
      <c r="V529" s="374"/>
      <c r="W529" s="375"/>
      <c r="X529" s="375"/>
      <c r="Z529" s="373"/>
      <c r="AA529" s="374"/>
      <c r="AB529" s="375"/>
      <c r="AC529" s="375"/>
      <c r="AE529" s="373"/>
      <c r="AF529" s="374"/>
      <c r="AG529" s="375"/>
      <c r="AH529" s="375"/>
      <c r="AJ529" s="373"/>
      <c r="AK529" s="374"/>
      <c r="AL529" s="375"/>
      <c r="AM529" s="375"/>
      <c r="AO529" s="373"/>
      <c r="AP529" s="374"/>
      <c r="AQ529" s="375"/>
      <c r="AR529" s="375"/>
      <c r="AT529" s="373"/>
      <c r="AU529" s="374"/>
      <c r="AV529" s="375"/>
      <c r="AW529" s="375"/>
      <c r="AY529" s="373"/>
      <c r="AZ529" s="374"/>
      <c r="BA529" s="375"/>
      <c r="BB529" s="375"/>
      <c r="BD529" s="373"/>
      <c r="BE529" s="374"/>
      <c r="BF529" s="375"/>
      <c r="BG529" s="375"/>
      <c r="BI529" s="373"/>
      <c r="BJ529" s="374"/>
      <c r="BK529" s="375"/>
      <c r="BL529" s="375"/>
      <c r="BN529" s="373"/>
      <c r="BO529" s="374"/>
      <c r="BP529" s="375"/>
      <c r="BQ529" s="375"/>
      <c r="BS529" s="373"/>
      <c r="BT529" s="374"/>
      <c r="BU529" s="375"/>
      <c r="BV529" s="375"/>
      <c r="BX529" s="373"/>
      <c r="BY529" s="374"/>
      <c r="BZ529" s="375"/>
      <c r="CA529" s="375"/>
      <c r="CC529" s="373"/>
      <c r="CD529" s="374"/>
      <c r="CE529" s="375"/>
      <c r="CF529" s="375"/>
      <c r="CH529" s="373"/>
      <c r="CI529" s="374"/>
      <c r="CJ529" s="375"/>
      <c r="CK529" s="375"/>
      <c r="CM529" s="373"/>
      <c r="CN529" s="374"/>
      <c r="CO529" s="375"/>
      <c r="CP529" s="375"/>
      <c r="CR529" s="373"/>
      <c r="CS529" s="374"/>
      <c r="CT529" s="375"/>
      <c r="CU529" s="375"/>
      <c r="CW529" s="373"/>
      <c r="CX529" s="374"/>
      <c r="CY529" s="375"/>
      <c r="CZ529" s="375"/>
      <c r="DB529" s="373"/>
      <c r="DC529" s="374"/>
      <c r="DD529" s="375"/>
      <c r="DE529" s="375"/>
      <c r="DG529" s="373"/>
      <c r="DH529" s="374"/>
      <c r="DI529" s="375"/>
      <c r="DJ529" s="375"/>
      <c r="DL529" s="373"/>
      <c r="DM529" s="374"/>
      <c r="DN529" s="375"/>
      <c r="DO529" s="375"/>
      <c r="DQ529" s="373"/>
      <c r="DR529" s="374"/>
      <c r="DS529" s="375"/>
      <c r="DT529" s="375"/>
      <c r="DV529" s="373"/>
      <c r="DW529" s="374"/>
      <c r="DX529" s="375"/>
      <c r="DY529" s="375"/>
      <c r="EA529" s="373"/>
      <c r="EB529" s="374"/>
      <c r="EC529" s="375"/>
      <c r="ED529" s="375"/>
      <c r="EF529" s="373"/>
      <c r="EG529" s="374"/>
      <c r="EH529" s="375"/>
      <c r="EI529" s="375"/>
      <c r="EK529" s="373"/>
      <c r="EL529" s="374"/>
      <c r="EM529" s="375"/>
      <c r="EN529" s="375"/>
      <c r="EP529" s="373"/>
      <c r="EQ529" s="374"/>
      <c r="ER529" s="375"/>
      <c r="ES529" s="375"/>
      <c r="EU529" s="373"/>
      <c r="EV529" s="374"/>
      <c r="EW529" s="375"/>
      <c r="EX529" s="375"/>
      <c r="EZ529" s="373"/>
      <c r="FA529" s="374"/>
      <c r="FB529" s="375"/>
      <c r="FC529" s="375"/>
      <c r="FE529" s="373"/>
      <c r="FF529" s="374"/>
      <c r="FG529" s="375"/>
      <c r="FH529" s="375"/>
      <c r="FJ529" s="373"/>
      <c r="FK529" s="374"/>
      <c r="FL529" s="375"/>
      <c r="FM529" s="375"/>
      <c r="FO529" s="373"/>
      <c r="FP529" s="374"/>
      <c r="FQ529" s="375"/>
      <c r="FR529" s="375"/>
      <c r="FT529" s="373"/>
      <c r="FU529" s="374"/>
      <c r="FV529" s="375"/>
      <c r="FW529" s="375"/>
      <c r="FY529" s="373"/>
      <c r="FZ529" s="374"/>
      <c r="GA529" s="375"/>
      <c r="GB529" s="375"/>
      <c r="GD529" s="373"/>
      <c r="GE529" s="374"/>
      <c r="GF529" s="375"/>
      <c r="GG529" s="375"/>
      <c r="GI529" s="373"/>
      <c r="GJ529" s="374"/>
      <c r="GK529" s="375"/>
      <c r="GL529" s="375"/>
      <c r="GN529" s="373"/>
      <c r="GO529" s="374"/>
      <c r="GP529" s="375"/>
      <c r="GQ529" s="375"/>
      <c r="GS529" s="373"/>
      <c r="GT529" s="374"/>
      <c r="GU529" s="375"/>
      <c r="GV529" s="375"/>
      <c r="GX529" s="373"/>
      <c r="GY529" s="374"/>
      <c r="GZ529" s="375"/>
      <c r="HA529" s="375"/>
      <c r="HC529" s="373"/>
      <c r="HD529" s="374"/>
      <c r="HE529" s="375"/>
      <c r="HF529" s="375"/>
      <c r="HH529" s="373"/>
      <c r="HI529" s="374"/>
      <c r="HJ529" s="375"/>
      <c r="HK529" s="375"/>
      <c r="HM529" s="373"/>
      <c r="HN529" s="374"/>
      <c r="HO529" s="375"/>
      <c r="HP529" s="375"/>
      <c r="HR529" s="373"/>
      <c r="HS529" s="374"/>
      <c r="HT529" s="375"/>
      <c r="HU529" s="375"/>
      <c r="HW529" s="373"/>
      <c r="HX529" s="374"/>
      <c r="HY529" s="375"/>
      <c r="HZ529" s="375"/>
      <c r="IB529" s="373"/>
      <c r="IC529" s="374"/>
      <c r="ID529" s="375"/>
      <c r="IE529" s="375"/>
      <c r="IG529" s="373"/>
      <c r="IH529" s="374"/>
      <c r="II529" s="375"/>
      <c r="IJ529" s="375"/>
      <c r="IL529" s="373"/>
      <c r="IM529" s="374"/>
      <c r="IN529" s="375"/>
      <c r="IO529" s="375"/>
      <c r="IQ529" s="373"/>
      <c r="IR529" s="374"/>
      <c r="IS529" s="375"/>
      <c r="IT529" s="375"/>
      <c r="IV529" s="373"/>
    </row>
    <row r="530" spans="1:256" s="376" customFormat="1" x14ac:dyDescent="0.2">
      <c r="A530" s="373"/>
      <c r="B530" s="374"/>
      <c r="C530" s="375"/>
      <c r="D530" s="375"/>
      <c r="F530" s="373"/>
      <c r="G530" s="374"/>
      <c r="H530" s="375"/>
      <c r="I530" s="375"/>
      <c r="K530" s="373"/>
      <c r="L530" s="374"/>
      <c r="M530" s="375"/>
      <c r="N530" s="375"/>
      <c r="P530" s="373"/>
      <c r="Q530" s="374"/>
      <c r="R530" s="375"/>
      <c r="S530" s="375"/>
      <c r="U530" s="373"/>
      <c r="V530" s="374"/>
      <c r="W530" s="375"/>
      <c r="X530" s="375"/>
      <c r="Z530" s="373"/>
      <c r="AA530" s="374"/>
      <c r="AB530" s="375"/>
      <c r="AC530" s="375"/>
      <c r="AE530" s="373"/>
      <c r="AF530" s="374"/>
      <c r="AG530" s="375"/>
      <c r="AH530" s="375"/>
      <c r="AJ530" s="373"/>
      <c r="AK530" s="374"/>
      <c r="AL530" s="375"/>
      <c r="AM530" s="375"/>
      <c r="AO530" s="373"/>
      <c r="AP530" s="374"/>
      <c r="AQ530" s="375"/>
      <c r="AR530" s="375"/>
      <c r="AT530" s="373"/>
      <c r="AU530" s="374"/>
      <c r="AV530" s="375"/>
      <c r="AW530" s="375"/>
      <c r="AY530" s="373"/>
      <c r="AZ530" s="374"/>
      <c r="BA530" s="375"/>
      <c r="BB530" s="375"/>
      <c r="BD530" s="373"/>
      <c r="BE530" s="374"/>
      <c r="BF530" s="375"/>
      <c r="BG530" s="375"/>
      <c r="BI530" s="373"/>
      <c r="BJ530" s="374"/>
      <c r="BK530" s="375"/>
      <c r="BL530" s="375"/>
      <c r="BN530" s="373"/>
      <c r="BO530" s="374"/>
      <c r="BP530" s="375"/>
      <c r="BQ530" s="375"/>
      <c r="BS530" s="373"/>
      <c r="BT530" s="374"/>
      <c r="BU530" s="375"/>
      <c r="BV530" s="375"/>
      <c r="BX530" s="373"/>
      <c r="BY530" s="374"/>
      <c r="BZ530" s="375"/>
      <c r="CA530" s="375"/>
      <c r="CC530" s="373"/>
      <c r="CD530" s="374"/>
      <c r="CE530" s="375"/>
      <c r="CF530" s="375"/>
      <c r="CH530" s="373"/>
      <c r="CI530" s="374"/>
      <c r="CJ530" s="375"/>
      <c r="CK530" s="375"/>
      <c r="CM530" s="373"/>
      <c r="CN530" s="374"/>
      <c r="CO530" s="375"/>
      <c r="CP530" s="375"/>
      <c r="CR530" s="373"/>
      <c r="CS530" s="374"/>
      <c r="CT530" s="375"/>
      <c r="CU530" s="375"/>
      <c r="CW530" s="373"/>
      <c r="CX530" s="374"/>
      <c r="CY530" s="375"/>
      <c r="CZ530" s="375"/>
      <c r="DB530" s="373"/>
      <c r="DC530" s="374"/>
      <c r="DD530" s="375"/>
      <c r="DE530" s="375"/>
      <c r="DG530" s="373"/>
      <c r="DH530" s="374"/>
      <c r="DI530" s="375"/>
      <c r="DJ530" s="375"/>
      <c r="DL530" s="373"/>
      <c r="DM530" s="374"/>
      <c r="DN530" s="375"/>
      <c r="DO530" s="375"/>
      <c r="DQ530" s="373"/>
      <c r="DR530" s="374"/>
      <c r="DS530" s="375"/>
      <c r="DT530" s="375"/>
      <c r="DV530" s="373"/>
      <c r="DW530" s="374"/>
      <c r="DX530" s="375"/>
      <c r="DY530" s="375"/>
      <c r="EA530" s="373"/>
      <c r="EB530" s="374"/>
      <c r="EC530" s="375"/>
      <c r="ED530" s="375"/>
      <c r="EF530" s="373"/>
      <c r="EG530" s="374"/>
      <c r="EH530" s="375"/>
      <c r="EI530" s="375"/>
      <c r="EK530" s="373"/>
      <c r="EL530" s="374"/>
      <c r="EM530" s="375"/>
      <c r="EN530" s="375"/>
      <c r="EP530" s="373"/>
      <c r="EQ530" s="374"/>
      <c r="ER530" s="375"/>
      <c r="ES530" s="375"/>
      <c r="EU530" s="373"/>
      <c r="EV530" s="374"/>
      <c r="EW530" s="375"/>
      <c r="EX530" s="375"/>
      <c r="EZ530" s="373"/>
      <c r="FA530" s="374"/>
      <c r="FB530" s="375"/>
      <c r="FC530" s="375"/>
      <c r="FE530" s="373"/>
      <c r="FF530" s="374"/>
      <c r="FG530" s="375"/>
      <c r="FH530" s="375"/>
      <c r="FJ530" s="373"/>
      <c r="FK530" s="374"/>
      <c r="FL530" s="375"/>
      <c r="FM530" s="375"/>
      <c r="FO530" s="373"/>
      <c r="FP530" s="374"/>
      <c r="FQ530" s="375"/>
      <c r="FR530" s="375"/>
      <c r="FT530" s="373"/>
      <c r="FU530" s="374"/>
      <c r="FV530" s="375"/>
      <c r="FW530" s="375"/>
      <c r="FY530" s="373"/>
      <c r="FZ530" s="374"/>
      <c r="GA530" s="375"/>
      <c r="GB530" s="375"/>
      <c r="GD530" s="373"/>
      <c r="GE530" s="374"/>
      <c r="GF530" s="375"/>
      <c r="GG530" s="375"/>
      <c r="GI530" s="373"/>
      <c r="GJ530" s="374"/>
      <c r="GK530" s="375"/>
      <c r="GL530" s="375"/>
      <c r="GN530" s="373"/>
      <c r="GO530" s="374"/>
      <c r="GP530" s="375"/>
      <c r="GQ530" s="375"/>
      <c r="GS530" s="373"/>
      <c r="GT530" s="374"/>
      <c r="GU530" s="375"/>
      <c r="GV530" s="375"/>
      <c r="GX530" s="373"/>
      <c r="GY530" s="374"/>
      <c r="GZ530" s="375"/>
      <c r="HA530" s="375"/>
      <c r="HC530" s="373"/>
      <c r="HD530" s="374"/>
      <c r="HE530" s="375"/>
      <c r="HF530" s="375"/>
      <c r="HH530" s="373"/>
      <c r="HI530" s="374"/>
      <c r="HJ530" s="375"/>
      <c r="HK530" s="375"/>
      <c r="HM530" s="373"/>
      <c r="HN530" s="374"/>
      <c r="HO530" s="375"/>
      <c r="HP530" s="375"/>
      <c r="HR530" s="373"/>
      <c r="HS530" s="374"/>
      <c r="HT530" s="375"/>
      <c r="HU530" s="375"/>
      <c r="HW530" s="373"/>
      <c r="HX530" s="374"/>
      <c r="HY530" s="375"/>
      <c r="HZ530" s="375"/>
      <c r="IB530" s="373"/>
      <c r="IC530" s="374"/>
      <c r="ID530" s="375"/>
      <c r="IE530" s="375"/>
      <c r="IG530" s="373"/>
      <c r="IH530" s="374"/>
      <c r="II530" s="375"/>
      <c r="IJ530" s="375"/>
      <c r="IL530" s="373"/>
      <c r="IM530" s="374"/>
      <c r="IN530" s="375"/>
      <c r="IO530" s="375"/>
      <c r="IQ530" s="373"/>
      <c r="IR530" s="374"/>
      <c r="IS530" s="375"/>
      <c r="IT530" s="375"/>
      <c r="IV530" s="373"/>
    </row>
    <row r="531" spans="1:256" s="376" customFormat="1" x14ac:dyDescent="0.2">
      <c r="A531" s="373"/>
      <c r="B531" s="374"/>
      <c r="C531" s="375"/>
      <c r="D531" s="375"/>
      <c r="F531" s="373"/>
      <c r="G531" s="374"/>
      <c r="H531" s="375"/>
      <c r="I531" s="375"/>
      <c r="K531" s="373"/>
      <c r="L531" s="374"/>
      <c r="M531" s="375"/>
      <c r="N531" s="375"/>
      <c r="P531" s="373"/>
      <c r="Q531" s="374"/>
      <c r="R531" s="375"/>
      <c r="S531" s="375"/>
      <c r="U531" s="373"/>
      <c r="V531" s="374"/>
      <c r="W531" s="375"/>
      <c r="X531" s="375"/>
      <c r="Z531" s="373"/>
      <c r="AA531" s="374"/>
      <c r="AB531" s="375"/>
      <c r="AC531" s="375"/>
      <c r="AE531" s="373"/>
      <c r="AF531" s="374"/>
      <c r="AG531" s="375"/>
      <c r="AH531" s="375"/>
      <c r="AJ531" s="373"/>
      <c r="AK531" s="374"/>
      <c r="AL531" s="375"/>
      <c r="AM531" s="375"/>
      <c r="AO531" s="373"/>
      <c r="AP531" s="374"/>
      <c r="AQ531" s="375"/>
      <c r="AR531" s="375"/>
      <c r="AT531" s="373"/>
      <c r="AU531" s="374"/>
      <c r="AV531" s="375"/>
      <c r="AW531" s="375"/>
      <c r="AY531" s="373"/>
      <c r="AZ531" s="374"/>
      <c r="BA531" s="375"/>
      <c r="BB531" s="375"/>
      <c r="BD531" s="373"/>
      <c r="BE531" s="374"/>
      <c r="BF531" s="375"/>
      <c r="BG531" s="375"/>
      <c r="BI531" s="373"/>
      <c r="BJ531" s="374"/>
      <c r="BK531" s="375"/>
      <c r="BL531" s="375"/>
      <c r="BN531" s="373"/>
      <c r="BO531" s="374"/>
      <c r="BP531" s="375"/>
      <c r="BQ531" s="375"/>
      <c r="BS531" s="373"/>
      <c r="BT531" s="374"/>
      <c r="BU531" s="375"/>
      <c r="BV531" s="375"/>
      <c r="BX531" s="373"/>
      <c r="BY531" s="374"/>
      <c r="BZ531" s="375"/>
      <c r="CA531" s="375"/>
      <c r="CC531" s="373"/>
      <c r="CD531" s="374"/>
      <c r="CE531" s="375"/>
      <c r="CF531" s="375"/>
      <c r="CH531" s="373"/>
      <c r="CI531" s="374"/>
      <c r="CJ531" s="375"/>
      <c r="CK531" s="375"/>
      <c r="CM531" s="373"/>
      <c r="CN531" s="374"/>
      <c r="CO531" s="375"/>
      <c r="CP531" s="375"/>
      <c r="CR531" s="373"/>
      <c r="CS531" s="374"/>
      <c r="CT531" s="375"/>
      <c r="CU531" s="375"/>
      <c r="CW531" s="373"/>
      <c r="CX531" s="374"/>
      <c r="CY531" s="375"/>
      <c r="CZ531" s="375"/>
      <c r="DB531" s="373"/>
      <c r="DC531" s="374"/>
      <c r="DD531" s="375"/>
      <c r="DE531" s="375"/>
      <c r="DG531" s="373"/>
      <c r="DH531" s="374"/>
      <c r="DI531" s="375"/>
      <c r="DJ531" s="375"/>
      <c r="DL531" s="373"/>
      <c r="DM531" s="374"/>
      <c r="DN531" s="375"/>
      <c r="DO531" s="375"/>
      <c r="DQ531" s="373"/>
      <c r="DR531" s="374"/>
      <c r="DS531" s="375"/>
      <c r="DT531" s="375"/>
      <c r="DV531" s="373"/>
      <c r="DW531" s="374"/>
      <c r="DX531" s="375"/>
      <c r="DY531" s="375"/>
      <c r="EA531" s="373"/>
      <c r="EB531" s="374"/>
      <c r="EC531" s="375"/>
      <c r="ED531" s="375"/>
      <c r="EF531" s="373"/>
      <c r="EG531" s="374"/>
      <c r="EH531" s="375"/>
      <c r="EI531" s="375"/>
      <c r="EK531" s="373"/>
      <c r="EL531" s="374"/>
      <c r="EM531" s="375"/>
      <c r="EN531" s="375"/>
      <c r="EP531" s="373"/>
      <c r="EQ531" s="374"/>
      <c r="ER531" s="375"/>
      <c r="ES531" s="375"/>
      <c r="EU531" s="373"/>
      <c r="EV531" s="374"/>
      <c r="EW531" s="375"/>
      <c r="EX531" s="375"/>
      <c r="EZ531" s="373"/>
      <c r="FA531" s="374"/>
      <c r="FB531" s="375"/>
      <c r="FC531" s="375"/>
      <c r="FE531" s="373"/>
      <c r="FF531" s="374"/>
      <c r="FG531" s="375"/>
      <c r="FH531" s="375"/>
      <c r="FJ531" s="373"/>
      <c r="FK531" s="374"/>
      <c r="FL531" s="375"/>
      <c r="FM531" s="375"/>
      <c r="FO531" s="373"/>
      <c r="FP531" s="374"/>
      <c r="FQ531" s="375"/>
      <c r="FR531" s="375"/>
      <c r="FT531" s="373"/>
      <c r="FU531" s="374"/>
      <c r="FV531" s="375"/>
      <c r="FW531" s="375"/>
      <c r="FY531" s="373"/>
      <c r="FZ531" s="374"/>
      <c r="GA531" s="375"/>
      <c r="GB531" s="375"/>
      <c r="GD531" s="373"/>
      <c r="GE531" s="374"/>
      <c r="GF531" s="375"/>
      <c r="GG531" s="375"/>
      <c r="GI531" s="373"/>
      <c r="GJ531" s="374"/>
      <c r="GK531" s="375"/>
      <c r="GL531" s="375"/>
      <c r="GN531" s="373"/>
      <c r="GO531" s="374"/>
      <c r="GP531" s="375"/>
      <c r="GQ531" s="375"/>
      <c r="GS531" s="373"/>
      <c r="GT531" s="374"/>
      <c r="GU531" s="375"/>
      <c r="GV531" s="375"/>
      <c r="GX531" s="373"/>
      <c r="GY531" s="374"/>
      <c r="GZ531" s="375"/>
      <c r="HA531" s="375"/>
      <c r="HC531" s="373"/>
      <c r="HD531" s="374"/>
      <c r="HE531" s="375"/>
      <c r="HF531" s="375"/>
      <c r="HH531" s="373"/>
      <c r="HI531" s="374"/>
      <c r="HJ531" s="375"/>
      <c r="HK531" s="375"/>
      <c r="HM531" s="373"/>
      <c r="HN531" s="374"/>
      <c r="HO531" s="375"/>
      <c r="HP531" s="375"/>
      <c r="HR531" s="373"/>
      <c r="HS531" s="374"/>
      <c r="HT531" s="375"/>
      <c r="HU531" s="375"/>
      <c r="HW531" s="373"/>
      <c r="HX531" s="374"/>
      <c r="HY531" s="375"/>
      <c r="HZ531" s="375"/>
      <c r="IB531" s="373"/>
      <c r="IC531" s="374"/>
      <c r="ID531" s="375"/>
      <c r="IE531" s="375"/>
      <c r="IG531" s="373"/>
      <c r="IH531" s="374"/>
      <c r="II531" s="375"/>
      <c r="IJ531" s="375"/>
      <c r="IL531" s="373"/>
      <c r="IM531" s="374"/>
      <c r="IN531" s="375"/>
      <c r="IO531" s="375"/>
      <c r="IQ531" s="373"/>
      <c r="IR531" s="374"/>
      <c r="IS531" s="375"/>
      <c r="IT531" s="375"/>
      <c r="IV531" s="373"/>
    </row>
    <row r="532" spans="1:256" s="376" customFormat="1" x14ac:dyDescent="0.2">
      <c r="A532" s="373"/>
      <c r="B532" s="374"/>
      <c r="C532" s="375"/>
      <c r="D532" s="375"/>
      <c r="F532" s="373"/>
      <c r="G532" s="374"/>
      <c r="H532" s="375"/>
      <c r="I532" s="375"/>
      <c r="K532" s="373"/>
      <c r="L532" s="374"/>
      <c r="M532" s="375"/>
      <c r="N532" s="375"/>
      <c r="P532" s="373"/>
      <c r="Q532" s="374"/>
      <c r="R532" s="375"/>
      <c r="S532" s="375"/>
      <c r="U532" s="373"/>
      <c r="V532" s="374"/>
      <c r="W532" s="375"/>
      <c r="X532" s="375"/>
      <c r="Z532" s="373"/>
      <c r="AA532" s="374"/>
      <c r="AB532" s="375"/>
      <c r="AC532" s="375"/>
      <c r="AE532" s="373"/>
      <c r="AF532" s="374"/>
      <c r="AG532" s="375"/>
      <c r="AH532" s="375"/>
      <c r="AJ532" s="373"/>
      <c r="AK532" s="374"/>
      <c r="AL532" s="375"/>
      <c r="AM532" s="375"/>
      <c r="AO532" s="373"/>
      <c r="AP532" s="374"/>
      <c r="AQ532" s="375"/>
      <c r="AR532" s="375"/>
      <c r="AT532" s="373"/>
      <c r="AU532" s="374"/>
      <c r="AV532" s="375"/>
      <c r="AW532" s="375"/>
      <c r="AY532" s="373"/>
      <c r="AZ532" s="374"/>
      <c r="BA532" s="375"/>
      <c r="BB532" s="375"/>
      <c r="BD532" s="373"/>
      <c r="BE532" s="374"/>
      <c r="BF532" s="375"/>
      <c r="BG532" s="375"/>
      <c r="BI532" s="373"/>
      <c r="BJ532" s="374"/>
      <c r="BK532" s="375"/>
      <c r="BL532" s="375"/>
      <c r="BN532" s="373"/>
      <c r="BO532" s="374"/>
      <c r="BP532" s="375"/>
      <c r="BQ532" s="375"/>
      <c r="BS532" s="373"/>
      <c r="BT532" s="374"/>
      <c r="BU532" s="375"/>
      <c r="BV532" s="375"/>
      <c r="BX532" s="373"/>
      <c r="BY532" s="374"/>
      <c r="BZ532" s="375"/>
      <c r="CA532" s="375"/>
      <c r="CC532" s="373"/>
      <c r="CD532" s="374"/>
      <c r="CE532" s="375"/>
      <c r="CF532" s="375"/>
      <c r="CH532" s="373"/>
      <c r="CI532" s="374"/>
      <c r="CJ532" s="375"/>
      <c r="CK532" s="375"/>
      <c r="CM532" s="373"/>
      <c r="CN532" s="374"/>
      <c r="CO532" s="375"/>
      <c r="CP532" s="375"/>
      <c r="CR532" s="373"/>
      <c r="CS532" s="374"/>
      <c r="CT532" s="375"/>
      <c r="CU532" s="375"/>
      <c r="CW532" s="373"/>
      <c r="CX532" s="374"/>
      <c r="CY532" s="375"/>
      <c r="CZ532" s="375"/>
      <c r="DB532" s="373"/>
      <c r="DC532" s="374"/>
      <c r="DD532" s="375"/>
      <c r="DE532" s="375"/>
      <c r="DG532" s="373"/>
      <c r="DH532" s="374"/>
      <c r="DI532" s="375"/>
      <c r="DJ532" s="375"/>
      <c r="DL532" s="373"/>
      <c r="DM532" s="374"/>
      <c r="DN532" s="375"/>
      <c r="DO532" s="375"/>
      <c r="DQ532" s="373"/>
      <c r="DR532" s="374"/>
      <c r="DS532" s="375"/>
      <c r="DT532" s="375"/>
      <c r="DV532" s="373"/>
      <c r="DW532" s="374"/>
      <c r="DX532" s="375"/>
      <c r="DY532" s="375"/>
      <c r="EA532" s="373"/>
      <c r="EB532" s="374"/>
      <c r="EC532" s="375"/>
      <c r="ED532" s="375"/>
      <c r="EF532" s="373"/>
      <c r="EG532" s="374"/>
      <c r="EH532" s="375"/>
      <c r="EI532" s="375"/>
      <c r="EK532" s="373"/>
      <c r="EL532" s="374"/>
      <c r="EM532" s="375"/>
      <c r="EN532" s="375"/>
      <c r="EP532" s="373"/>
      <c r="EQ532" s="374"/>
      <c r="ER532" s="375"/>
      <c r="ES532" s="375"/>
      <c r="EU532" s="373"/>
      <c r="EV532" s="374"/>
      <c r="EW532" s="375"/>
      <c r="EX532" s="375"/>
      <c r="EZ532" s="373"/>
      <c r="FA532" s="374"/>
      <c r="FB532" s="375"/>
      <c r="FC532" s="375"/>
      <c r="FE532" s="373"/>
      <c r="FF532" s="374"/>
      <c r="FG532" s="375"/>
      <c r="FH532" s="375"/>
      <c r="FJ532" s="373"/>
      <c r="FK532" s="374"/>
      <c r="FL532" s="375"/>
      <c r="FM532" s="375"/>
      <c r="FO532" s="373"/>
      <c r="FP532" s="374"/>
      <c r="FQ532" s="375"/>
      <c r="FR532" s="375"/>
      <c r="FT532" s="373"/>
      <c r="FU532" s="374"/>
      <c r="FV532" s="375"/>
      <c r="FW532" s="375"/>
      <c r="FY532" s="373"/>
      <c r="FZ532" s="374"/>
      <c r="GA532" s="375"/>
      <c r="GB532" s="375"/>
      <c r="GD532" s="373"/>
      <c r="GE532" s="374"/>
      <c r="GF532" s="375"/>
      <c r="GG532" s="375"/>
      <c r="GI532" s="373"/>
      <c r="GJ532" s="374"/>
      <c r="GK532" s="375"/>
      <c r="GL532" s="375"/>
      <c r="GN532" s="373"/>
      <c r="GO532" s="374"/>
      <c r="GP532" s="375"/>
      <c r="GQ532" s="375"/>
      <c r="GS532" s="373"/>
      <c r="GT532" s="374"/>
      <c r="GU532" s="375"/>
      <c r="GV532" s="375"/>
      <c r="GX532" s="373"/>
      <c r="GY532" s="374"/>
      <c r="GZ532" s="375"/>
      <c r="HA532" s="375"/>
      <c r="HC532" s="373"/>
      <c r="HD532" s="374"/>
      <c r="HE532" s="375"/>
      <c r="HF532" s="375"/>
      <c r="HH532" s="373"/>
      <c r="HI532" s="374"/>
      <c r="HJ532" s="375"/>
      <c r="HK532" s="375"/>
      <c r="HM532" s="373"/>
      <c r="HN532" s="374"/>
      <c r="HO532" s="375"/>
      <c r="HP532" s="375"/>
      <c r="HR532" s="373"/>
      <c r="HS532" s="374"/>
      <c r="HT532" s="375"/>
      <c r="HU532" s="375"/>
      <c r="HW532" s="373"/>
      <c r="HX532" s="374"/>
      <c r="HY532" s="375"/>
      <c r="HZ532" s="375"/>
      <c r="IB532" s="373"/>
      <c r="IC532" s="374"/>
      <c r="ID532" s="375"/>
      <c r="IE532" s="375"/>
      <c r="IG532" s="373"/>
      <c r="IH532" s="374"/>
      <c r="II532" s="375"/>
      <c r="IJ532" s="375"/>
      <c r="IL532" s="373"/>
      <c r="IM532" s="374"/>
      <c r="IN532" s="375"/>
      <c r="IO532" s="375"/>
      <c r="IQ532" s="373"/>
      <c r="IR532" s="374"/>
      <c r="IS532" s="375"/>
      <c r="IT532" s="375"/>
      <c r="IV532" s="373"/>
    </row>
    <row r="533" spans="1:256" s="376" customFormat="1" x14ac:dyDescent="0.2">
      <c r="A533" s="373"/>
      <c r="B533" s="374"/>
      <c r="C533" s="375"/>
      <c r="D533" s="375"/>
      <c r="F533" s="373"/>
      <c r="G533" s="374"/>
      <c r="H533" s="375"/>
      <c r="I533" s="375"/>
      <c r="K533" s="373"/>
      <c r="L533" s="374"/>
      <c r="M533" s="375"/>
      <c r="N533" s="375"/>
      <c r="P533" s="373"/>
      <c r="Q533" s="374"/>
      <c r="R533" s="375"/>
      <c r="S533" s="375"/>
      <c r="U533" s="373"/>
      <c r="V533" s="374"/>
      <c r="W533" s="375"/>
      <c r="X533" s="375"/>
      <c r="Z533" s="373"/>
      <c r="AA533" s="374"/>
      <c r="AB533" s="375"/>
      <c r="AC533" s="375"/>
      <c r="AE533" s="373"/>
      <c r="AF533" s="374"/>
      <c r="AG533" s="375"/>
      <c r="AH533" s="375"/>
      <c r="AJ533" s="373"/>
      <c r="AK533" s="374"/>
      <c r="AL533" s="375"/>
      <c r="AM533" s="375"/>
      <c r="AO533" s="373"/>
      <c r="AP533" s="374"/>
      <c r="AQ533" s="375"/>
      <c r="AR533" s="375"/>
      <c r="AT533" s="373"/>
      <c r="AU533" s="374"/>
      <c r="AV533" s="375"/>
      <c r="AW533" s="375"/>
      <c r="AY533" s="373"/>
      <c r="AZ533" s="374"/>
      <c r="BA533" s="375"/>
      <c r="BB533" s="375"/>
      <c r="BD533" s="373"/>
      <c r="BE533" s="374"/>
      <c r="BF533" s="375"/>
      <c r="BG533" s="375"/>
      <c r="BI533" s="373"/>
      <c r="BJ533" s="374"/>
      <c r="BK533" s="375"/>
      <c r="BL533" s="375"/>
      <c r="BN533" s="373"/>
      <c r="BO533" s="374"/>
      <c r="BP533" s="375"/>
      <c r="BQ533" s="375"/>
      <c r="BS533" s="373"/>
      <c r="BT533" s="374"/>
      <c r="BU533" s="375"/>
      <c r="BV533" s="375"/>
      <c r="BX533" s="373"/>
      <c r="BY533" s="374"/>
      <c r="BZ533" s="375"/>
      <c r="CA533" s="375"/>
      <c r="CC533" s="373"/>
      <c r="CD533" s="374"/>
      <c r="CE533" s="375"/>
      <c r="CF533" s="375"/>
      <c r="CH533" s="373"/>
      <c r="CI533" s="374"/>
      <c r="CJ533" s="375"/>
      <c r="CK533" s="375"/>
      <c r="CM533" s="373"/>
      <c r="CN533" s="374"/>
      <c r="CO533" s="375"/>
      <c r="CP533" s="375"/>
      <c r="CR533" s="373"/>
      <c r="CS533" s="374"/>
      <c r="CT533" s="375"/>
      <c r="CU533" s="375"/>
      <c r="CW533" s="373"/>
      <c r="CX533" s="374"/>
      <c r="CY533" s="375"/>
      <c r="CZ533" s="375"/>
      <c r="DB533" s="373"/>
      <c r="DC533" s="374"/>
      <c r="DD533" s="375"/>
      <c r="DE533" s="375"/>
      <c r="DG533" s="373"/>
      <c r="DH533" s="374"/>
      <c r="DI533" s="375"/>
      <c r="DJ533" s="375"/>
      <c r="DL533" s="373"/>
      <c r="DM533" s="374"/>
      <c r="DN533" s="375"/>
      <c r="DO533" s="375"/>
      <c r="DQ533" s="373"/>
      <c r="DR533" s="374"/>
      <c r="DS533" s="375"/>
      <c r="DT533" s="375"/>
      <c r="DV533" s="373"/>
      <c r="DW533" s="374"/>
      <c r="DX533" s="375"/>
      <c r="DY533" s="375"/>
      <c r="EA533" s="373"/>
      <c r="EB533" s="374"/>
      <c r="EC533" s="375"/>
      <c r="ED533" s="375"/>
      <c r="EF533" s="373"/>
      <c r="EG533" s="374"/>
      <c r="EH533" s="375"/>
      <c r="EI533" s="375"/>
      <c r="EK533" s="373"/>
      <c r="EL533" s="374"/>
      <c r="EM533" s="375"/>
      <c r="EN533" s="375"/>
      <c r="EP533" s="373"/>
      <c r="EQ533" s="374"/>
      <c r="ER533" s="375"/>
      <c r="ES533" s="375"/>
      <c r="EU533" s="373"/>
      <c r="EV533" s="374"/>
      <c r="EW533" s="375"/>
      <c r="EX533" s="375"/>
      <c r="EZ533" s="373"/>
      <c r="FA533" s="374"/>
      <c r="FB533" s="375"/>
      <c r="FC533" s="375"/>
      <c r="FE533" s="373"/>
      <c r="FF533" s="374"/>
      <c r="FG533" s="375"/>
      <c r="FH533" s="375"/>
      <c r="FJ533" s="373"/>
      <c r="FK533" s="374"/>
      <c r="FL533" s="375"/>
      <c r="FM533" s="375"/>
      <c r="FO533" s="373"/>
      <c r="FP533" s="374"/>
      <c r="FQ533" s="375"/>
      <c r="FR533" s="375"/>
      <c r="FT533" s="373"/>
      <c r="FU533" s="374"/>
      <c r="FV533" s="375"/>
      <c r="FW533" s="375"/>
      <c r="FY533" s="373"/>
      <c r="FZ533" s="374"/>
      <c r="GA533" s="375"/>
      <c r="GB533" s="375"/>
      <c r="GD533" s="373"/>
      <c r="GE533" s="374"/>
      <c r="GF533" s="375"/>
      <c r="GG533" s="375"/>
      <c r="GI533" s="373"/>
      <c r="GJ533" s="374"/>
      <c r="GK533" s="375"/>
      <c r="GL533" s="375"/>
      <c r="GN533" s="373"/>
      <c r="GO533" s="374"/>
      <c r="GP533" s="375"/>
      <c r="GQ533" s="375"/>
      <c r="GS533" s="373"/>
      <c r="GT533" s="374"/>
      <c r="GU533" s="375"/>
      <c r="GV533" s="375"/>
      <c r="GX533" s="373"/>
      <c r="GY533" s="374"/>
      <c r="GZ533" s="375"/>
      <c r="HA533" s="375"/>
      <c r="HC533" s="373"/>
      <c r="HD533" s="374"/>
      <c r="HE533" s="375"/>
      <c r="HF533" s="375"/>
      <c r="HH533" s="373"/>
      <c r="HI533" s="374"/>
      <c r="HJ533" s="375"/>
      <c r="HK533" s="375"/>
      <c r="HM533" s="373"/>
      <c r="HN533" s="374"/>
      <c r="HO533" s="375"/>
      <c r="HP533" s="375"/>
      <c r="HR533" s="373"/>
      <c r="HS533" s="374"/>
      <c r="HT533" s="375"/>
      <c r="HU533" s="375"/>
      <c r="HW533" s="373"/>
      <c r="HX533" s="374"/>
      <c r="HY533" s="375"/>
      <c r="HZ533" s="375"/>
      <c r="IB533" s="373"/>
      <c r="IC533" s="374"/>
      <c r="ID533" s="375"/>
      <c r="IE533" s="375"/>
      <c r="IG533" s="373"/>
      <c r="IH533" s="374"/>
      <c r="II533" s="375"/>
      <c r="IJ533" s="375"/>
      <c r="IL533" s="373"/>
      <c r="IM533" s="374"/>
      <c r="IN533" s="375"/>
      <c r="IO533" s="375"/>
      <c r="IQ533" s="373"/>
      <c r="IR533" s="374"/>
      <c r="IS533" s="375"/>
      <c r="IT533" s="375"/>
      <c r="IV533" s="373"/>
    </row>
    <row r="534" spans="1:256" s="376" customFormat="1" x14ac:dyDescent="0.2">
      <c r="A534" s="373"/>
      <c r="B534" s="374"/>
      <c r="C534" s="375"/>
      <c r="D534" s="375"/>
      <c r="F534" s="373"/>
      <c r="G534" s="374"/>
      <c r="H534" s="375"/>
      <c r="I534" s="375"/>
      <c r="K534" s="373"/>
      <c r="L534" s="374"/>
      <c r="M534" s="375"/>
      <c r="N534" s="375"/>
      <c r="P534" s="373"/>
      <c r="Q534" s="374"/>
      <c r="R534" s="375"/>
      <c r="S534" s="375"/>
      <c r="U534" s="373"/>
      <c r="V534" s="374"/>
      <c r="W534" s="375"/>
      <c r="X534" s="375"/>
      <c r="Z534" s="373"/>
      <c r="AA534" s="374"/>
      <c r="AB534" s="375"/>
      <c r="AC534" s="375"/>
      <c r="AE534" s="373"/>
      <c r="AF534" s="374"/>
      <c r="AG534" s="375"/>
      <c r="AH534" s="375"/>
      <c r="AJ534" s="373"/>
      <c r="AK534" s="374"/>
      <c r="AL534" s="375"/>
      <c r="AM534" s="375"/>
      <c r="AO534" s="373"/>
      <c r="AP534" s="374"/>
      <c r="AQ534" s="375"/>
      <c r="AR534" s="375"/>
      <c r="AT534" s="373"/>
      <c r="AU534" s="374"/>
      <c r="AV534" s="375"/>
      <c r="AW534" s="375"/>
      <c r="AY534" s="373"/>
      <c r="AZ534" s="374"/>
      <c r="BA534" s="375"/>
      <c r="BB534" s="375"/>
      <c r="BD534" s="373"/>
      <c r="BE534" s="374"/>
      <c r="BF534" s="375"/>
      <c r="BG534" s="375"/>
      <c r="BI534" s="373"/>
      <c r="BJ534" s="374"/>
      <c r="BK534" s="375"/>
      <c r="BL534" s="375"/>
      <c r="BN534" s="373"/>
      <c r="BO534" s="374"/>
      <c r="BP534" s="375"/>
      <c r="BQ534" s="375"/>
      <c r="BS534" s="373"/>
      <c r="BT534" s="374"/>
      <c r="BU534" s="375"/>
      <c r="BV534" s="375"/>
      <c r="BX534" s="373"/>
      <c r="BY534" s="374"/>
      <c r="BZ534" s="375"/>
      <c r="CA534" s="375"/>
      <c r="CC534" s="373"/>
      <c r="CD534" s="374"/>
      <c r="CE534" s="375"/>
      <c r="CF534" s="375"/>
      <c r="CH534" s="373"/>
      <c r="CI534" s="374"/>
      <c r="CJ534" s="375"/>
      <c r="CK534" s="375"/>
      <c r="CM534" s="373"/>
      <c r="CN534" s="374"/>
      <c r="CO534" s="375"/>
      <c r="CP534" s="375"/>
      <c r="CR534" s="373"/>
      <c r="CS534" s="374"/>
      <c r="CT534" s="375"/>
      <c r="CU534" s="375"/>
      <c r="CW534" s="373"/>
      <c r="CX534" s="374"/>
      <c r="CY534" s="375"/>
      <c r="CZ534" s="375"/>
      <c r="DB534" s="373"/>
      <c r="DC534" s="374"/>
      <c r="DD534" s="375"/>
      <c r="DE534" s="375"/>
      <c r="DG534" s="373"/>
      <c r="DH534" s="374"/>
      <c r="DI534" s="375"/>
      <c r="DJ534" s="375"/>
      <c r="DL534" s="373"/>
      <c r="DM534" s="374"/>
      <c r="DN534" s="375"/>
      <c r="DO534" s="375"/>
      <c r="DQ534" s="373"/>
      <c r="DR534" s="374"/>
      <c r="DS534" s="375"/>
      <c r="DT534" s="375"/>
      <c r="DV534" s="373"/>
      <c r="DW534" s="374"/>
      <c r="DX534" s="375"/>
      <c r="DY534" s="375"/>
      <c r="EA534" s="373"/>
      <c r="EB534" s="374"/>
      <c r="EC534" s="375"/>
      <c r="ED534" s="375"/>
      <c r="EF534" s="373"/>
      <c r="EG534" s="374"/>
      <c r="EH534" s="375"/>
      <c r="EI534" s="375"/>
      <c r="EK534" s="373"/>
      <c r="EL534" s="374"/>
      <c r="EM534" s="375"/>
      <c r="EN534" s="375"/>
      <c r="EP534" s="373"/>
      <c r="EQ534" s="374"/>
      <c r="ER534" s="375"/>
      <c r="ES534" s="375"/>
      <c r="EU534" s="373"/>
      <c r="EV534" s="374"/>
      <c r="EW534" s="375"/>
      <c r="EX534" s="375"/>
      <c r="EZ534" s="373"/>
      <c r="FA534" s="374"/>
      <c r="FB534" s="375"/>
      <c r="FC534" s="375"/>
      <c r="FE534" s="373"/>
      <c r="FF534" s="374"/>
      <c r="FG534" s="375"/>
      <c r="FH534" s="375"/>
      <c r="FJ534" s="373"/>
      <c r="FK534" s="374"/>
      <c r="FL534" s="375"/>
      <c r="FM534" s="375"/>
      <c r="FO534" s="373"/>
      <c r="FP534" s="374"/>
      <c r="FQ534" s="375"/>
      <c r="FR534" s="375"/>
      <c r="FT534" s="373"/>
      <c r="FU534" s="374"/>
      <c r="FV534" s="375"/>
      <c r="FW534" s="375"/>
      <c r="FY534" s="373"/>
      <c r="FZ534" s="374"/>
      <c r="GA534" s="375"/>
      <c r="GB534" s="375"/>
      <c r="GD534" s="373"/>
      <c r="GE534" s="374"/>
      <c r="GF534" s="375"/>
      <c r="GG534" s="375"/>
      <c r="GI534" s="373"/>
      <c r="GJ534" s="374"/>
      <c r="GK534" s="375"/>
      <c r="GL534" s="375"/>
      <c r="GN534" s="373"/>
      <c r="GO534" s="374"/>
      <c r="GP534" s="375"/>
      <c r="GQ534" s="375"/>
      <c r="GS534" s="373"/>
      <c r="GT534" s="374"/>
      <c r="GU534" s="375"/>
      <c r="GV534" s="375"/>
      <c r="GX534" s="373"/>
      <c r="GY534" s="374"/>
      <c r="GZ534" s="375"/>
      <c r="HA534" s="375"/>
      <c r="HC534" s="373"/>
      <c r="HD534" s="374"/>
      <c r="HE534" s="375"/>
      <c r="HF534" s="375"/>
      <c r="HH534" s="373"/>
      <c r="HI534" s="374"/>
      <c r="HJ534" s="375"/>
      <c r="HK534" s="375"/>
      <c r="HM534" s="373"/>
      <c r="HN534" s="374"/>
      <c r="HO534" s="375"/>
      <c r="HP534" s="375"/>
      <c r="HR534" s="373"/>
      <c r="HS534" s="374"/>
      <c r="HT534" s="375"/>
      <c r="HU534" s="375"/>
      <c r="HW534" s="373"/>
      <c r="HX534" s="374"/>
      <c r="HY534" s="375"/>
      <c r="HZ534" s="375"/>
      <c r="IB534" s="373"/>
      <c r="IC534" s="374"/>
      <c r="ID534" s="375"/>
      <c r="IE534" s="375"/>
      <c r="IG534" s="373"/>
      <c r="IH534" s="374"/>
      <c r="II534" s="375"/>
      <c r="IJ534" s="375"/>
      <c r="IL534" s="373"/>
      <c r="IM534" s="374"/>
      <c r="IN534" s="375"/>
      <c r="IO534" s="375"/>
      <c r="IQ534" s="373"/>
      <c r="IR534" s="374"/>
      <c r="IS534" s="375"/>
      <c r="IT534" s="375"/>
      <c r="IV534" s="373"/>
    </row>
    <row r="535" spans="1:256" s="376" customFormat="1" x14ac:dyDescent="0.2">
      <c r="A535" s="373"/>
      <c r="B535" s="374"/>
      <c r="C535" s="375"/>
      <c r="D535" s="375"/>
      <c r="F535" s="373"/>
      <c r="G535" s="374"/>
      <c r="H535" s="375"/>
      <c r="I535" s="375"/>
      <c r="K535" s="373"/>
      <c r="L535" s="374"/>
      <c r="M535" s="375"/>
      <c r="N535" s="375"/>
      <c r="P535" s="373"/>
      <c r="Q535" s="374"/>
      <c r="R535" s="375"/>
      <c r="S535" s="375"/>
      <c r="U535" s="373"/>
      <c r="V535" s="374"/>
      <c r="W535" s="375"/>
      <c r="X535" s="375"/>
      <c r="Z535" s="373"/>
      <c r="AA535" s="374"/>
      <c r="AB535" s="375"/>
      <c r="AC535" s="375"/>
      <c r="AE535" s="373"/>
      <c r="AF535" s="374"/>
      <c r="AG535" s="375"/>
      <c r="AH535" s="375"/>
      <c r="AJ535" s="373"/>
      <c r="AK535" s="374"/>
      <c r="AL535" s="375"/>
      <c r="AM535" s="375"/>
      <c r="AO535" s="373"/>
      <c r="AP535" s="374"/>
      <c r="AQ535" s="375"/>
      <c r="AR535" s="375"/>
      <c r="AT535" s="373"/>
      <c r="AU535" s="374"/>
      <c r="AV535" s="375"/>
      <c r="AW535" s="375"/>
      <c r="AY535" s="373"/>
      <c r="AZ535" s="374"/>
      <c r="BA535" s="375"/>
      <c r="BB535" s="375"/>
      <c r="BD535" s="373"/>
      <c r="BE535" s="374"/>
      <c r="BF535" s="375"/>
      <c r="BG535" s="375"/>
      <c r="BI535" s="373"/>
      <c r="BJ535" s="374"/>
      <c r="BK535" s="375"/>
      <c r="BL535" s="375"/>
      <c r="BN535" s="373"/>
      <c r="BO535" s="374"/>
      <c r="BP535" s="375"/>
      <c r="BQ535" s="375"/>
      <c r="BS535" s="373"/>
      <c r="BT535" s="374"/>
      <c r="BU535" s="375"/>
      <c r="BV535" s="375"/>
      <c r="BX535" s="373"/>
      <c r="BY535" s="374"/>
      <c r="BZ535" s="375"/>
      <c r="CA535" s="375"/>
      <c r="CC535" s="373"/>
      <c r="CD535" s="374"/>
      <c r="CE535" s="375"/>
      <c r="CF535" s="375"/>
      <c r="CH535" s="373"/>
      <c r="CI535" s="374"/>
      <c r="CJ535" s="375"/>
      <c r="CK535" s="375"/>
      <c r="CM535" s="373"/>
      <c r="CN535" s="374"/>
      <c r="CO535" s="375"/>
      <c r="CP535" s="375"/>
      <c r="CR535" s="373"/>
      <c r="CS535" s="374"/>
      <c r="CT535" s="375"/>
      <c r="CU535" s="375"/>
      <c r="CW535" s="373"/>
      <c r="CX535" s="374"/>
      <c r="CY535" s="375"/>
      <c r="CZ535" s="375"/>
      <c r="DB535" s="373"/>
      <c r="DC535" s="374"/>
      <c r="DD535" s="375"/>
      <c r="DE535" s="375"/>
      <c r="DG535" s="373"/>
      <c r="DH535" s="374"/>
      <c r="DI535" s="375"/>
      <c r="DJ535" s="375"/>
      <c r="DL535" s="373"/>
      <c r="DM535" s="374"/>
      <c r="DN535" s="375"/>
      <c r="DO535" s="375"/>
      <c r="DQ535" s="373"/>
      <c r="DR535" s="374"/>
      <c r="DS535" s="375"/>
      <c r="DT535" s="375"/>
      <c r="DV535" s="373"/>
      <c r="DW535" s="374"/>
      <c r="DX535" s="375"/>
      <c r="DY535" s="375"/>
      <c r="EA535" s="373"/>
      <c r="EB535" s="374"/>
      <c r="EC535" s="375"/>
      <c r="ED535" s="375"/>
      <c r="EF535" s="373"/>
      <c r="EG535" s="374"/>
      <c r="EH535" s="375"/>
      <c r="EI535" s="375"/>
      <c r="EK535" s="373"/>
      <c r="EL535" s="374"/>
      <c r="EM535" s="375"/>
      <c r="EN535" s="375"/>
      <c r="EP535" s="373"/>
      <c r="EQ535" s="374"/>
      <c r="ER535" s="375"/>
      <c r="ES535" s="375"/>
      <c r="EU535" s="373"/>
      <c r="EV535" s="374"/>
      <c r="EW535" s="375"/>
      <c r="EX535" s="375"/>
      <c r="EZ535" s="373"/>
      <c r="FA535" s="374"/>
      <c r="FB535" s="375"/>
      <c r="FC535" s="375"/>
      <c r="FE535" s="373"/>
      <c r="FF535" s="374"/>
      <c r="FG535" s="375"/>
      <c r="FH535" s="375"/>
      <c r="FJ535" s="373"/>
      <c r="FK535" s="374"/>
      <c r="FL535" s="375"/>
      <c r="FM535" s="375"/>
      <c r="FO535" s="373"/>
      <c r="FP535" s="374"/>
      <c r="FQ535" s="375"/>
      <c r="FR535" s="375"/>
      <c r="FT535" s="373"/>
      <c r="FU535" s="374"/>
      <c r="FV535" s="375"/>
      <c r="FW535" s="375"/>
      <c r="FY535" s="373"/>
      <c r="FZ535" s="374"/>
      <c r="GA535" s="375"/>
      <c r="GB535" s="375"/>
      <c r="GD535" s="373"/>
      <c r="GE535" s="374"/>
      <c r="GF535" s="375"/>
      <c r="GG535" s="375"/>
      <c r="GI535" s="373"/>
      <c r="GJ535" s="374"/>
      <c r="GK535" s="375"/>
      <c r="GL535" s="375"/>
      <c r="GN535" s="373"/>
      <c r="GO535" s="374"/>
      <c r="GP535" s="375"/>
      <c r="GQ535" s="375"/>
      <c r="GS535" s="373"/>
      <c r="GT535" s="374"/>
      <c r="GU535" s="375"/>
      <c r="GV535" s="375"/>
      <c r="GX535" s="373"/>
      <c r="GY535" s="374"/>
      <c r="GZ535" s="375"/>
      <c r="HA535" s="375"/>
      <c r="HC535" s="373"/>
      <c r="HD535" s="374"/>
      <c r="HE535" s="375"/>
      <c r="HF535" s="375"/>
      <c r="HH535" s="373"/>
      <c r="HI535" s="374"/>
      <c r="HJ535" s="375"/>
      <c r="HK535" s="375"/>
      <c r="HM535" s="373"/>
      <c r="HN535" s="374"/>
      <c r="HO535" s="375"/>
      <c r="HP535" s="375"/>
      <c r="HR535" s="373"/>
      <c r="HS535" s="374"/>
      <c r="HT535" s="375"/>
      <c r="HU535" s="375"/>
      <c r="HW535" s="373"/>
      <c r="HX535" s="374"/>
      <c r="HY535" s="375"/>
      <c r="HZ535" s="375"/>
      <c r="IB535" s="373"/>
      <c r="IC535" s="374"/>
      <c r="ID535" s="375"/>
      <c r="IE535" s="375"/>
      <c r="IG535" s="373"/>
      <c r="IH535" s="374"/>
      <c r="II535" s="375"/>
      <c r="IJ535" s="375"/>
      <c r="IL535" s="373"/>
      <c r="IM535" s="374"/>
      <c r="IN535" s="375"/>
      <c r="IO535" s="375"/>
      <c r="IQ535" s="373"/>
      <c r="IR535" s="374"/>
      <c r="IS535" s="375"/>
      <c r="IT535" s="375"/>
      <c r="IV535" s="373"/>
    </row>
    <row r="536" spans="1:256" s="376" customFormat="1" x14ac:dyDescent="0.2">
      <c r="A536" s="373"/>
      <c r="B536" s="374"/>
      <c r="C536" s="375"/>
      <c r="D536" s="375"/>
      <c r="F536" s="373"/>
      <c r="G536" s="374"/>
      <c r="H536" s="375"/>
      <c r="I536" s="375"/>
      <c r="K536" s="373"/>
      <c r="L536" s="374"/>
      <c r="M536" s="375"/>
      <c r="N536" s="375"/>
      <c r="P536" s="373"/>
      <c r="Q536" s="374"/>
      <c r="R536" s="375"/>
      <c r="S536" s="375"/>
      <c r="U536" s="373"/>
      <c r="V536" s="374"/>
      <c r="W536" s="375"/>
      <c r="X536" s="375"/>
      <c r="Z536" s="373"/>
      <c r="AA536" s="374"/>
      <c r="AB536" s="375"/>
      <c r="AC536" s="375"/>
      <c r="AE536" s="373"/>
      <c r="AF536" s="374"/>
      <c r="AG536" s="375"/>
      <c r="AH536" s="375"/>
      <c r="AJ536" s="373"/>
      <c r="AK536" s="374"/>
      <c r="AL536" s="375"/>
      <c r="AM536" s="375"/>
      <c r="AO536" s="373"/>
      <c r="AP536" s="374"/>
      <c r="AQ536" s="375"/>
      <c r="AR536" s="375"/>
      <c r="AT536" s="373"/>
      <c r="AU536" s="374"/>
      <c r="AV536" s="375"/>
      <c r="AW536" s="375"/>
      <c r="AY536" s="373"/>
      <c r="AZ536" s="374"/>
      <c r="BA536" s="375"/>
      <c r="BB536" s="375"/>
      <c r="BD536" s="373"/>
      <c r="BE536" s="374"/>
      <c r="BF536" s="375"/>
      <c r="BG536" s="375"/>
      <c r="BI536" s="373"/>
      <c r="BJ536" s="374"/>
      <c r="BK536" s="375"/>
      <c r="BL536" s="375"/>
      <c r="BN536" s="373"/>
      <c r="BO536" s="374"/>
      <c r="BP536" s="375"/>
      <c r="BQ536" s="375"/>
      <c r="BS536" s="373"/>
      <c r="BT536" s="374"/>
      <c r="BU536" s="375"/>
      <c r="BV536" s="375"/>
      <c r="BX536" s="373"/>
      <c r="BY536" s="374"/>
      <c r="BZ536" s="375"/>
      <c r="CA536" s="375"/>
      <c r="CC536" s="373"/>
      <c r="CD536" s="374"/>
      <c r="CE536" s="375"/>
      <c r="CF536" s="375"/>
      <c r="CH536" s="373"/>
      <c r="CI536" s="374"/>
      <c r="CJ536" s="375"/>
      <c r="CK536" s="375"/>
      <c r="CM536" s="373"/>
      <c r="CN536" s="374"/>
      <c r="CO536" s="375"/>
      <c r="CP536" s="375"/>
      <c r="CR536" s="373"/>
      <c r="CS536" s="374"/>
      <c r="CT536" s="375"/>
      <c r="CU536" s="375"/>
      <c r="CW536" s="373"/>
      <c r="CX536" s="374"/>
      <c r="CY536" s="375"/>
      <c r="CZ536" s="375"/>
      <c r="DB536" s="373"/>
      <c r="DC536" s="374"/>
      <c r="DD536" s="375"/>
      <c r="DE536" s="375"/>
      <c r="DG536" s="373"/>
      <c r="DH536" s="374"/>
      <c r="DI536" s="375"/>
      <c r="DJ536" s="375"/>
      <c r="DL536" s="373"/>
      <c r="DM536" s="374"/>
      <c r="DN536" s="375"/>
      <c r="DO536" s="375"/>
      <c r="DQ536" s="373"/>
      <c r="DR536" s="374"/>
      <c r="DS536" s="375"/>
      <c r="DT536" s="375"/>
      <c r="DV536" s="373"/>
      <c r="DW536" s="374"/>
      <c r="DX536" s="375"/>
      <c r="DY536" s="375"/>
      <c r="EA536" s="373"/>
      <c r="EB536" s="374"/>
      <c r="EC536" s="375"/>
      <c r="ED536" s="375"/>
      <c r="EF536" s="373"/>
      <c r="EG536" s="374"/>
      <c r="EH536" s="375"/>
      <c r="EI536" s="375"/>
      <c r="EK536" s="373"/>
      <c r="EL536" s="374"/>
      <c r="EM536" s="375"/>
      <c r="EN536" s="375"/>
      <c r="EP536" s="373"/>
      <c r="EQ536" s="374"/>
      <c r="ER536" s="375"/>
      <c r="ES536" s="375"/>
      <c r="EU536" s="373"/>
      <c r="EV536" s="374"/>
      <c r="EW536" s="375"/>
      <c r="EX536" s="375"/>
      <c r="EZ536" s="373"/>
      <c r="FA536" s="374"/>
      <c r="FB536" s="375"/>
      <c r="FC536" s="375"/>
      <c r="FE536" s="373"/>
      <c r="FF536" s="374"/>
      <c r="FG536" s="375"/>
      <c r="FH536" s="375"/>
      <c r="FJ536" s="373"/>
      <c r="FK536" s="374"/>
      <c r="FL536" s="375"/>
      <c r="FM536" s="375"/>
      <c r="FO536" s="373"/>
      <c r="FP536" s="374"/>
      <c r="FQ536" s="375"/>
      <c r="FR536" s="375"/>
      <c r="FT536" s="373"/>
      <c r="FU536" s="374"/>
      <c r="FV536" s="375"/>
      <c r="FW536" s="375"/>
      <c r="FY536" s="373"/>
      <c r="FZ536" s="374"/>
      <c r="GA536" s="375"/>
      <c r="GB536" s="375"/>
      <c r="GD536" s="373"/>
      <c r="GE536" s="374"/>
      <c r="GF536" s="375"/>
      <c r="GG536" s="375"/>
      <c r="GI536" s="373"/>
      <c r="GJ536" s="374"/>
      <c r="GK536" s="375"/>
      <c r="GL536" s="375"/>
      <c r="GN536" s="373"/>
      <c r="GO536" s="374"/>
      <c r="GP536" s="375"/>
      <c r="GQ536" s="375"/>
      <c r="GS536" s="373"/>
      <c r="GT536" s="374"/>
      <c r="GU536" s="375"/>
      <c r="GV536" s="375"/>
      <c r="GX536" s="373"/>
      <c r="GY536" s="374"/>
      <c r="GZ536" s="375"/>
      <c r="HA536" s="375"/>
      <c r="HC536" s="373"/>
      <c r="HD536" s="374"/>
      <c r="HE536" s="375"/>
      <c r="HF536" s="375"/>
      <c r="HH536" s="373"/>
      <c r="HI536" s="374"/>
      <c r="HJ536" s="375"/>
      <c r="HK536" s="375"/>
      <c r="HM536" s="373"/>
      <c r="HN536" s="374"/>
      <c r="HO536" s="375"/>
      <c r="HP536" s="375"/>
      <c r="HR536" s="373"/>
      <c r="HS536" s="374"/>
      <c r="HT536" s="375"/>
      <c r="HU536" s="375"/>
      <c r="HW536" s="373"/>
      <c r="HX536" s="374"/>
      <c r="HY536" s="375"/>
      <c r="HZ536" s="375"/>
      <c r="IB536" s="373"/>
      <c r="IC536" s="374"/>
      <c r="ID536" s="375"/>
      <c r="IE536" s="375"/>
      <c r="IG536" s="373"/>
      <c r="IH536" s="374"/>
      <c r="II536" s="375"/>
      <c r="IJ536" s="375"/>
      <c r="IL536" s="373"/>
      <c r="IM536" s="374"/>
      <c r="IN536" s="375"/>
      <c r="IO536" s="375"/>
      <c r="IQ536" s="373"/>
      <c r="IR536" s="374"/>
      <c r="IS536" s="375"/>
      <c r="IT536" s="375"/>
      <c r="IV536" s="373"/>
    </row>
    <row r="537" spans="1:256" s="376" customFormat="1" x14ac:dyDescent="0.2">
      <c r="A537" s="373"/>
      <c r="B537" s="374"/>
      <c r="C537" s="375"/>
      <c r="D537" s="375"/>
      <c r="F537" s="373"/>
      <c r="G537" s="374"/>
      <c r="H537" s="375"/>
      <c r="I537" s="375"/>
      <c r="K537" s="373"/>
      <c r="L537" s="374"/>
      <c r="M537" s="375"/>
      <c r="N537" s="375"/>
      <c r="P537" s="373"/>
      <c r="Q537" s="374"/>
      <c r="R537" s="375"/>
      <c r="S537" s="375"/>
      <c r="U537" s="373"/>
      <c r="V537" s="374"/>
      <c r="W537" s="375"/>
      <c r="X537" s="375"/>
      <c r="Z537" s="373"/>
      <c r="AA537" s="374"/>
      <c r="AB537" s="375"/>
      <c r="AC537" s="375"/>
      <c r="AE537" s="373"/>
      <c r="AF537" s="374"/>
      <c r="AG537" s="375"/>
      <c r="AH537" s="375"/>
      <c r="AJ537" s="373"/>
      <c r="AK537" s="374"/>
      <c r="AL537" s="375"/>
      <c r="AM537" s="375"/>
      <c r="AO537" s="373"/>
      <c r="AP537" s="374"/>
      <c r="AQ537" s="375"/>
      <c r="AR537" s="375"/>
      <c r="AT537" s="373"/>
      <c r="AU537" s="374"/>
      <c r="AV537" s="375"/>
      <c r="AW537" s="375"/>
      <c r="AY537" s="373"/>
      <c r="AZ537" s="374"/>
      <c r="BA537" s="375"/>
      <c r="BB537" s="375"/>
      <c r="BD537" s="373"/>
      <c r="BE537" s="374"/>
      <c r="BF537" s="375"/>
      <c r="BG537" s="375"/>
      <c r="BI537" s="373"/>
      <c r="BJ537" s="374"/>
      <c r="BK537" s="375"/>
      <c r="BL537" s="375"/>
      <c r="BN537" s="373"/>
      <c r="BO537" s="374"/>
      <c r="BP537" s="375"/>
      <c r="BQ537" s="375"/>
      <c r="BS537" s="373"/>
      <c r="BT537" s="374"/>
      <c r="BU537" s="375"/>
      <c r="BV537" s="375"/>
      <c r="BX537" s="373"/>
      <c r="BY537" s="374"/>
      <c r="BZ537" s="375"/>
      <c r="CA537" s="375"/>
      <c r="CC537" s="373"/>
      <c r="CD537" s="374"/>
      <c r="CE537" s="375"/>
      <c r="CF537" s="375"/>
      <c r="CH537" s="373"/>
      <c r="CI537" s="374"/>
      <c r="CJ537" s="375"/>
      <c r="CK537" s="375"/>
      <c r="CM537" s="373"/>
      <c r="CN537" s="374"/>
      <c r="CO537" s="375"/>
      <c r="CP537" s="375"/>
      <c r="CR537" s="373"/>
      <c r="CS537" s="374"/>
      <c r="CT537" s="375"/>
      <c r="CU537" s="375"/>
      <c r="CW537" s="373"/>
      <c r="CX537" s="374"/>
      <c r="CY537" s="375"/>
      <c r="CZ537" s="375"/>
      <c r="DB537" s="373"/>
      <c r="DC537" s="374"/>
      <c r="DD537" s="375"/>
      <c r="DE537" s="375"/>
      <c r="DG537" s="373"/>
      <c r="DH537" s="374"/>
      <c r="DI537" s="375"/>
      <c r="DJ537" s="375"/>
      <c r="DL537" s="373"/>
      <c r="DM537" s="374"/>
      <c r="DN537" s="375"/>
      <c r="DO537" s="375"/>
      <c r="DQ537" s="373"/>
      <c r="DR537" s="374"/>
      <c r="DS537" s="375"/>
      <c r="DT537" s="375"/>
      <c r="DV537" s="373"/>
      <c r="DW537" s="374"/>
      <c r="DX537" s="375"/>
      <c r="DY537" s="375"/>
      <c r="EA537" s="373"/>
      <c r="EB537" s="374"/>
      <c r="EC537" s="375"/>
      <c r="ED537" s="375"/>
      <c r="EF537" s="373"/>
      <c r="EG537" s="374"/>
      <c r="EH537" s="375"/>
      <c r="EI537" s="375"/>
      <c r="EK537" s="373"/>
      <c r="EL537" s="374"/>
      <c r="EM537" s="375"/>
      <c r="EN537" s="375"/>
      <c r="EP537" s="373"/>
      <c r="EQ537" s="374"/>
      <c r="ER537" s="375"/>
      <c r="ES537" s="375"/>
      <c r="EU537" s="373"/>
      <c r="EV537" s="374"/>
      <c r="EW537" s="375"/>
      <c r="EX537" s="375"/>
      <c r="EZ537" s="373"/>
      <c r="FA537" s="374"/>
      <c r="FB537" s="375"/>
      <c r="FC537" s="375"/>
      <c r="FE537" s="373"/>
      <c r="FF537" s="374"/>
      <c r="FG537" s="375"/>
      <c r="FH537" s="375"/>
      <c r="FJ537" s="373"/>
      <c r="FK537" s="374"/>
      <c r="FL537" s="375"/>
      <c r="FM537" s="375"/>
      <c r="FO537" s="373"/>
      <c r="FP537" s="374"/>
      <c r="FQ537" s="375"/>
      <c r="FR537" s="375"/>
      <c r="FT537" s="373"/>
      <c r="FU537" s="374"/>
      <c r="FV537" s="375"/>
      <c r="FW537" s="375"/>
      <c r="FY537" s="373"/>
      <c r="FZ537" s="374"/>
      <c r="GA537" s="375"/>
      <c r="GB537" s="375"/>
      <c r="GD537" s="373"/>
      <c r="GE537" s="374"/>
      <c r="GF537" s="375"/>
      <c r="GG537" s="375"/>
      <c r="GI537" s="373"/>
      <c r="GJ537" s="374"/>
      <c r="GK537" s="375"/>
      <c r="GL537" s="375"/>
      <c r="GN537" s="373"/>
      <c r="GO537" s="374"/>
      <c r="GP537" s="375"/>
      <c r="GQ537" s="375"/>
      <c r="GS537" s="373"/>
      <c r="GT537" s="374"/>
      <c r="GU537" s="375"/>
      <c r="GV537" s="375"/>
      <c r="GX537" s="373"/>
      <c r="GY537" s="374"/>
      <c r="GZ537" s="375"/>
      <c r="HA537" s="375"/>
      <c r="HC537" s="373"/>
      <c r="HD537" s="374"/>
      <c r="HE537" s="375"/>
      <c r="HF537" s="375"/>
      <c r="HH537" s="373"/>
      <c r="HI537" s="374"/>
      <c r="HJ537" s="375"/>
      <c r="HK537" s="375"/>
      <c r="HM537" s="373"/>
      <c r="HN537" s="374"/>
      <c r="HO537" s="375"/>
      <c r="HP537" s="375"/>
      <c r="HR537" s="373"/>
      <c r="HS537" s="374"/>
      <c r="HT537" s="375"/>
      <c r="HU537" s="375"/>
      <c r="HW537" s="373"/>
      <c r="HX537" s="374"/>
      <c r="HY537" s="375"/>
      <c r="HZ537" s="375"/>
      <c r="IB537" s="373"/>
      <c r="IC537" s="374"/>
      <c r="ID537" s="375"/>
      <c r="IE537" s="375"/>
      <c r="IG537" s="373"/>
      <c r="IH537" s="374"/>
      <c r="II537" s="375"/>
      <c r="IJ537" s="375"/>
      <c r="IL537" s="373"/>
      <c r="IM537" s="374"/>
      <c r="IN537" s="375"/>
      <c r="IO537" s="375"/>
      <c r="IQ537" s="373"/>
      <c r="IR537" s="374"/>
      <c r="IS537" s="375"/>
      <c r="IT537" s="375"/>
      <c r="IV537" s="373"/>
    </row>
    <row r="538" spans="1:256" s="376" customFormat="1" x14ac:dyDescent="0.2">
      <c r="A538" s="373"/>
      <c r="B538" s="374"/>
      <c r="C538" s="375"/>
      <c r="D538" s="375"/>
      <c r="F538" s="373"/>
      <c r="G538" s="374"/>
      <c r="H538" s="375"/>
      <c r="I538" s="375"/>
      <c r="K538" s="373"/>
      <c r="L538" s="374"/>
      <c r="M538" s="375"/>
      <c r="N538" s="375"/>
      <c r="P538" s="373"/>
      <c r="Q538" s="374"/>
      <c r="R538" s="375"/>
      <c r="S538" s="375"/>
      <c r="U538" s="373"/>
      <c r="V538" s="374"/>
      <c r="W538" s="375"/>
      <c r="X538" s="375"/>
      <c r="Z538" s="373"/>
      <c r="AA538" s="374"/>
      <c r="AB538" s="375"/>
      <c r="AC538" s="375"/>
      <c r="AE538" s="373"/>
      <c r="AF538" s="374"/>
      <c r="AG538" s="375"/>
      <c r="AH538" s="375"/>
      <c r="AJ538" s="373"/>
      <c r="AK538" s="374"/>
      <c r="AL538" s="375"/>
      <c r="AM538" s="375"/>
      <c r="AO538" s="373"/>
      <c r="AP538" s="374"/>
      <c r="AQ538" s="375"/>
      <c r="AR538" s="375"/>
      <c r="AT538" s="373"/>
      <c r="AU538" s="374"/>
      <c r="AV538" s="375"/>
      <c r="AW538" s="375"/>
      <c r="AY538" s="373"/>
      <c r="AZ538" s="374"/>
      <c r="BA538" s="375"/>
      <c r="BB538" s="375"/>
      <c r="BD538" s="373"/>
      <c r="BE538" s="374"/>
      <c r="BF538" s="375"/>
      <c r="BG538" s="375"/>
      <c r="BI538" s="373"/>
      <c r="BJ538" s="374"/>
      <c r="BK538" s="375"/>
      <c r="BL538" s="375"/>
      <c r="BN538" s="373"/>
      <c r="BO538" s="374"/>
      <c r="BP538" s="375"/>
      <c r="BQ538" s="375"/>
      <c r="BS538" s="373"/>
      <c r="BT538" s="374"/>
      <c r="BU538" s="375"/>
      <c r="BV538" s="375"/>
      <c r="BX538" s="373"/>
      <c r="BY538" s="374"/>
      <c r="BZ538" s="375"/>
      <c r="CA538" s="375"/>
      <c r="CC538" s="373"/>
      <c r="CD538" s="374"/>
      <c r="CE538" s="375"/>
      <c r="CF538" s="375"/>
      <c r="CH538" s="373"/>
      <c r="CI538" s="374"/>
      <c r="CJ538" s="375"/>
      <c r="CK538" s="375"/>
      <c r="CM538" s="373"/>
      <c r="CN538" s="374"/>
      <c r="CO538" s="375"/>
      <c r="CP538" s="375"/>
      <c r="CR538" s="373"/>
      <c r="CS538" s="374"/>
      <c r="CT538" s="375"/>
      <c r="CU538" s="375"/>
      <c r="CW538" s="373"/>
      <c r="CX538" s="374"/>
      <c r="CY538" s="375"/>
      <c r="CZ538" s="375"/>
      <c r="DB538" s="373"/>
      <c r="DC538" s="374"/>
      <c r="DD538" s="375"/>
      <c r="DE538" s="375"/>
      <c r="DG538" s="373"/>
      <c r="DH538" s="374"/>
      <c r="DI538" s="375"/>
      <c r="DJ538" s="375"/>
      <c r="DL538" s="373"/>
      <c r="DM538" s="374"/>
      <c r="DN538" s="375"/>
      <c r="DO538" s="375"/>
      <c r="DQ538" s="373"/>
      <c r="DR538" s="374"/>
      <c r="DS538" s="375"/>
      <c r="DT538" s="375"/>
      <c r="DV538" s="373"/>
      <c r="DW538" s="374"/>
      <c r="DX538" s="375"/>
      <c r="DY538" s="375"/>
      <c r="EA538" s="373"/>
      <c r="EB538" s="374"/>
      <c r="EC538" s="375"/>
      <c r="ED538" s="375"/>
      <c r="EF538" s="373"/>
      <c r="EG538" s="374"/>
      <c r="EH538" s="375"/>
      <c r="EI538" s="375"/>
      <c r="EK538" s="373"/>
      <c r="EL538" s="374"/>
      <c r="EM538" s="375"/>
      <c r="EN538" s="375"/>
      <c r="EP538" s="373"/>
      <c r="EQ538" s="374"/>
      <c r="ER538" s="375"/>
      <c r="ES538" s="375"/>
      <c r="EU538" s="373"/>
      <c r="EV538" s="374"/>
      <c r="EW538" s="375"/>
      <c r="EX538" s="375"/>
      <c r="EZ538" s="373"/>
      <c r="FA538" s="374"/>
      <c r="FB538" s="375"/>
      <c r="FC538" s="375"/>
      <c r="FE538" s="373"/>
      <c r="FF538" s="374"/>
      <c r="FG538" s="375"/>
      <c r="FH538" s="375"/>
      <c r="FJ538" s="373"/>
      <c r="FK538" s="374"/>
      <c r="FL538" s="375"/>
      <c r="FM538" s="375"/>
      <c r="FO538" s="373"/>
      <c r="FP538" s="374"/>
      <c r="FQ538" s="375"/>
      <c r="FR538" s="375"/>
      <c r="FT538" s="373"/>
      <c r="FU538" s="374"/>
      <c r="FV538" s="375"/>
      <c r="FW538" s="375"/>
      <c r="FY538" s="373"/>
      <c r="FZ538" s="374"/>
      <c r="GA538" s="375"/>
      <c r="GB538" s="375"/>
      <c r="GD538" s="373"/>
      <c r="GE538" s="374"/>
      <c r="GF538" s="375"/>
      <c r="GG538" s="375"/>
      <c r="GI538" s="373"/>
      <c r="GJ538" s="374"/>
      <c r="GK538" s="375"/>
      <c r="GL538" s="375"/>
      <c r="GN538" s="373"/>
      <c r="GO538" s="374"/>
      <c r="GP538" s="375"/>
      <c r="GQ538" s="375"/>
      <c r="GS538" s="373"/>
      <c r="GT538" s="374"/>
      <c r="GU538" s="375"/>
      <c r="GV538" s="375"/>
      <c r="GX538" s="373"/>
      <c r="GY538" s="374"/>
      <c r="GZ538" s="375"/>
      <c r="HA538" s="375"/>
      <c r="HC538" s="373"/>
      <c r="HD538" s="374"/>
      <c r="HE538" s="375"/>
      <c r="HF538" s="375"/>
      <c r="HH538" s="373"/>
      <c r="HI538" s="374"/>
      <c r="HJ538" s="375"/>
      <c r="HK538" s="375"/>
      <c r="HM538" s="373"/>
      <c r="HN538" s="374"/>
      <c r="HO538" s="375"/>
      <c r="HP538" s="375"/>
      <c r="HR538" s="373"/>
      <c r="HS538" s="374"/>
      <c r="HT538" s="375"/>
      <c r="HU538" s="375"/>
      <c r="HW538" s="373"/>
      <c r="HX538" s="374"/>
      <c r="HY538" s="375"/>
      <c r="HZ538" s="375"/>
      <c r="IB538" s="373"/>
      <c r="IC538" s="374"/>
      <c r="ID538" s="375"/>
      <c r="IE538" s="375"/>
      <c r="IG538" s="373"/>
      <c r="IH538" s="374"/>
      <c r="II538" s="375"/>
      <c r="IJ538" s="375"/>
      <c r="IL538" s="373"/>
      <c r="IM538" s="374"/>
      <c r="IN538" s="375"/>
      <c r="IO538" s="375"/>
      <c r="IQ538" s="373"/>
      <c r="IR538" s="374"/>
      <c r="IS538" s="375"/>
      <c r="IT538" s="375"/>
      <c r="IV538" s="373"/>
    </row>
    <row r="539" spans="1:256" s="376" customFormat="1" x14ac:dyDescent="0.2">
      <c r="A539" s="373"/>
      <c r="B539" s="374"/>
      <c r="C539" s="375"/>
      <c r="D539" s="375"/>
      <c r="F539" s="373"/>
      <c r="G539" s="374"/>
      <c r="H539" s="375"/>
      <c r="I539" s="375"/>
      <c r="K539" s="373"/>
      <c r="L539" s="374"/>
      <c r="M539" s="375"/>
      <c r="N539" s="375"/>
      <c r="P539" s="373"/>
      <c r="Q539" s="374"/>
      <c r="R539" s="375"/>
      <c r="S539" s="375"/>
      <c r="U539" s="373"/>
      <c r="V539" s="374"/>
      <c r="W539" s="375"/>
      <c r="X539" s="375"/>
      <c r="Z539" s="373"/>
      <c r="AA539" s="374"/>
      <c r="AB539" s="375"/>
      <c r="AC539" s="375"/>
      <c r="AE539" s="373"/>
      <c r="AF539" s="374"/>
      <c r="AG539" s="375"/>
      <c r="AH539" s="375"/>
      <c r="AJ539" s="373"/>
      <c r="AK539" s="374"/>
      <c r="AL539" s="375"/>
      <c r="AM539" s="375"/>
      <c r="AO539" s="373"/>
      <c r="AP539" s="374"/>
      <c r="AQ539" s="375"/>
      <c r="AR539" s="375"/>
      <c r="AT539" s="373"/>
      <c r="AU539" s="374"/>
      <c r="AV539" s="375"/>
      <c r="AW539" s="375"/>
      <c r="AY539" s="373"/>
      <c r="AZ539" s="374"/>
      <c r="BA539" s="375"/>
      <c r="BB539" s="375"/>
      <c r="BD539" s="373"/>
      <c r="BE539" s="374"/>
      <c r="BF539" s="375"/>
      <c r="BG539" s="375"/>
      <c r="BI539" s="373"/>
      <c r="BJ539" s="374"/>
      <c r="BK539" s="375"/>
      <c r="BL539" s="375"/>
      <c r="BN539" s="373"/>
      <c r="BO539" s="374"/>
      <c r="BP539" s="375"/>
      <c r="BQ539" s="375"/>
      <c r="BS539" s="373"/>
      <c r="BT539" s="374"/>
      <c r="BU539" s="375"/>
      <c r="BV539" s="375"/>
      <c r="BX539" s="373"/>
      <c r="BY539" s="374"/>
      <c r="BZ539" s="375"/>
      <c r="CA539" s="375"/>
      <c r="CC539" s="373"/>
      <c r="CD539" s="374"/>
      <c r="CE539" s="375"/>
      <c r="CF539" s="375"/>
      <c r="CH539" s="373"/>
      <c r="CI539" s="374"/>
      <c r="CJ539" s="375"/>
      <c r="CK539" s="375"/>
      <c r="CM539" s="373"/>
      <c r="CN539" s="374"/>
      <c r="CO539" s="375"/>
      <c r="CP539" s="375"/>
      <c r="CR539" s="373"/>
      <c r="CS539" s="374"/>
      <c r="CT539" s="375"/>
      <c r="CU539" s="375"/>
      <c r="CW539" s="373"/>
      <c r="CX539" s="374"/>
      <c r="CY539" s="375"/>
      <c r="CZ539" s="375"/>
      <c r="DB539" s="373"/>
      <c r="DC539" s="374"/>
      <c r="DD539" s="375"/>
      <c r="DE539" s="375"/>
      <c r="DG539" s="373"/>
      <c r="DH539" s="374"/>
      <c r="DI539" s="375"/>
      <c r="DJ539" s="375"/>
      <c r="DL539" s="373"/>
      <c r="DM539" s="374"/>
      <c r="DN539" s="375"/>
      <c r="DO539" s="375"/>
      <c r="DQ539" s="373"/>
      <c r="DR539" s="374"/>
      <c r="DS539" s="375"/>
      <c r="DT539" s="375"/>
      <c r="DV539" s="373"/>
      <c r="DW539" s="374"/>
      <c r="DX539" s="375"/>
      <c r="DY539" s="375"/>
      <c r="EA539" s="373"/>
      <c r="EB539" s="374"/>
      <c r="EC539" s="375"/>
      <c r="ED539" s="375"/>
      <c r="EF539" s="373"/>
      <c r="EG539" s="374"/>
      <c r="EH539" s="375"/>
      <c r="EI539" s="375"/>
      <c r="EK539" s="373"/>
      <c r="EL539" s="374"/>
      <c r="EM539" s="375"/>
      <c r="EN539" s="375"/>
      <c r="EP539" s="373"/>
      <c r="EQ539" s="374"/>
      <c r="ER539" s="375"/>
      <c r="ES539" s="375"/>
      <c r="EU539" s="373"/>
      <c r="EV539" s="374"/>
      <c r="EW539" s="375"/>
      <c r="EX539" s="375"/>
      <c r="EZ539" s="373"/>
      <c r="FA539" s="374"/>
      <c r="FB539" s="375"/>
      <c r="FC539" s="375"/>
      <c r="FE539" s="373"/>
      <c r="FF539" s="374"/>
      <c r="FG539" s="375"/>
      <c r="FH539" s="375"/>
      <c r="FJ539" s="373"/>
      <c r="FK539" s="374"/>
      <c r="FL539" s="375"/>
      <c r="FM539" s="375"/>
      <c r="FO539" s="373"/>
      <c r="FP539" s="374"/>
      <c r="FQ539" s="375"/>
      <c r="FR539" s="375"/>
      <c r="FT539" s="373"/>
      <c r="FU539" s="374"/>
      <c r="FV539" s="375"/>
      <c r="FW539" s="375"/>
      <c r="FY539" s="373"/>
      <c r="FZ539" s="374"/>
      <c r="GA539" s="375"/>
      <c r="GB539" s="375"/>
      <c r="GD539" s="373"/>
      <c r="GE539" s="374"/>
      <c r="GF539" s="375"/>
      <c r="GG539" s="375"/>
      <c r="GI539" s="373"/>
      <c r="GJ539" s="374"/>
      <c r="GK539" s="375"/>
      <c r="GL539" s="375"/>
      <c r="GN539" s="373"/>
      <c r="GO539" s="374"/>
      <c r="GP539" s="375"/>
      <c r="GQ539" s="375"/>
      <c r="GS539" s="373"/>
      <c r="GT539" s="374"/>
      <c r="GU539" s="375"/>
      <c r="GV539" s="375"/>
      <c r="GX539" s="373"/>
      <c r="GY539" s="374"/>
      <c r="GZ539" s="375"/>
      <c r="HA539" s="375"/>
      <c r="HC539" s="373"/>
      <c r="HD539" s="374"/>
      <c r="HE539" s="375"/>
      <c r="HF539" s="375"/>
      <c r="HH539" s="373"/>
      <c r="HI539" s="374"/>
      <c r="HJ539" s="375"/>
      <c r="HK539" s="375"/>
      <c r="HM539" s="373"/>
      <c r="HN539" s="374"/>
      <c r="HO539" s="375"/>
      <c r="HP539" s="375"/>
      <c r="HR539" s="373"/>
      <c r="HS539" s="374"/>
      <c r="HT539" s="375"/>
      <c r="HU539" s="375"/>
      <c r="HW539" s="373"/>
      <c r="HX539" s="374"/>
      <c r="HY539" s="375"/>
      <c r="HZ539" s="375"/>
      <c r="IB539" s="373"/>
      <c r="IC539" s="374"/>
      <c r="ID539" s="375"/>
      <c r="IE539" s="375"/>
      <c r="IG539" s="373"/>
      <c r="IH539" s="374"/>
      <c r="II539" s="375"/>
      <c r="IJ539" s="375"/>
      <c r="IL539" s="373"/>
      <c r="IM539" s="374"/>
      <c r="IN539" s="375"/>
      <c r="IO539" s="375"/>
      <c r="IQ539" s="373"/>
      <c r="IR539" s="374"/>
      <c r="IS539" s="375"/>
      <c r="IT539" s="375"/>
      <c r="IV539" s="373"/>
    </row>
    <row r="540" spans="1:256" s="376" customFormat="1" x14ac:dyDescent="0.2">
      <c r="A540" s="373"/>
      <c r="B540" s="374"/>
      <c r="C540" s="375"/>
      <c r="D540" s="375"/>
      <c r="F540" s="373"/>
      <c r="G540" s="374"/>
      <c r="H540" s="375"/>
      <c r="I540" s="375"/>
      <c r="K540" s="373"/>
      <c r="L540" s="374"/>
      <c r="M540" s="375"/>
      <c r="N540" s="375"/>
      <c r="P540" s="373"/>
      <c r="Q540" s="374"/>
      <c r="R540" s="375"/>
      <c r="S540" s="375"/>
      <c r="U540" s="373"/>
      <c r="V540" s="374"/>
      <c r="W540" s="375"/>
      <c r="X540" s="375"/>
      <c r="Z540" s="373"/>
      <c r="AA540" s="374"/>
      <c r="AB540" s="375"/>
      <c r="AC540" s="375"/>
      <c r="AE540" s="373"/>
      <c r="AF540" s="374"/>
      <c r="AG540" s="375"/>
      <c r="AH540" s="375"/>
      <c r="AJ540" s="373"/>
      <c r="AK540" s="374"/>
      <c r="AL540" s="375"/>
      <c r="AM540" s="375"/>
      <c r="AO540" s="373"/>
      <c r="AP540" s="374"/>
      <c r="AQ540" s="375"/>
      <c r="AR540" s="375"/>
      <c r="AT540" s="373"/>
      <c r="AU540" s="374"/>
      <c r="AV540" s="375"/>
      <c r="AW540" s="375"/>
      <c r="AY540" s="373"/>
      <c r="AZ540" s="374"/>
      <c r="BA540" s="375"/>
      <c r="BB540" s="375"/>
      <c r="BD540" s="373"/>
      <c r="BE540" s="374"/>
      <c r="BF540" s="375"/>
      <c r="BG540" s="375"/>
      <c r="BI540" s="373"/>
      <c r="BJ540" s="374"/>
      <c r="BK540" s="375"/>
      <c r="BL540" s="375"/>
      <c r="BN540" s="373"/>
      <c r="BO540" s="374"/>
      <c r="BP540" s="375"/>
      <c r="BQ540" s="375"/>
      <c r="BS540" s="373"/>
      <c r="BT540" s="374"/>
      <c r="BU540" s="375"/>
      <c r="BV540" s="375"/>
      <c r="BX540" s="373"/>
      <c r="BY540" s="374"/>
      <c r="BZ540" s="375"/>
      <c r="CA540" s="375"/>
      <c r="CC540" s="373"/>
      <c r="CD540" s="374"/>
      <c r="CE540" s="375"/>
      <c r="CF540" s="375"/>
      <c r="CH540" s="373"/>
      <c r="CI540" s="374"/>
      <c r="CJ540" s="375"/>
      <c r="CK540" s="375"/>
      <c r="CM540" s="373"/>
      <c r="CN540" s="374"/>
      <c r="CO540" s="375"/>
      <c r="CP540" s="375"/>
      <c r="CR540" s="373"/>
      <c r="CS540" s="374"/>
      <c r="CT540" s="375"/>
      <c r="CU540" s="375"/>
      <c r="CW540" s="373"/>
      <c r="CX540" s="374"/>
      <c r="CY540" s="375"/>
      <c r="CZ540" s="375"/>
      <c r="DB540" s="373"/>
      <c r="DC540" s="374"/>
      <c r="DD540" s="375"/>
      <c r="DE540" s="375"/>
      <c r="DG540" s="373"/>
      <c r="DH540" s="374"/>
      <c r="DI540" s="375"/>
      <c r="DJ540" s="375"/>
      <c r="DL540" s="373"/>
      <c r="DM540" s="374"/>
      <c r="DN540" s="375"/>
      <c r="DO540" s="375"/>
      <c r="DQ540" s="373"/>
      <c r="DR540" s="374"/>
      <c r="DS540" s="375"/>
      <c r="DT540" s="375"/>
      <c r="DV540" s="373"/>
      <c r="DW540" s="374"/>
      <c r="DX540" s="375"/>
      <c r="DY540" s="375"/>
      <c r="EA540" s="373"/>
      <c r="EB540" s="374"/>
      <c r="EC540" s="375"/>
      <c r="ED540" s="375"/>
      <c r="EF540" s="373"/>
      <c r="EG540" s="374"/>
      <c r="EH540" s="375"/>
      <c r="EI540" s="375"/>
      <c r="EK540" s="373"/>
      <c r="EL540" s="374"/>
      <c r="EM540" s="375"/>
      <c r="EN540" s="375"/>
      <c r="EP540" s="373"/>
      <c r="EQ540" s="374"/>
      <c r="ER540" s="375"/>
      <c r="ES540" s="375"/>
      <c r="EU540" s="373"/>
      <c r="EV540" s="374"/>
      <c r="EW540" s="375"/>
      <c r="EX540" s="375"/>
      <c r="EZ540" s="373"/>
      <c r="FA540" s="374"/>
      <c r="FB540" s="375"/>
      <c r="FC540" s="375"/>
      <c r="FE540" s="373"/>
      <c r="FF540" s="374"/>
      <c r="FG540" s="375"/>
      <c r="FH540" s="375"/>
      <c r="FJ540" s="373"/>
      <c r="FK540" s="374"/>
      <c r="FL540" s="375"/>
      <c r="FM540" s="375"/>
      <c r="FO540" s="373"/>
      <c r="FP540" s="374"/>
      <c r="FQ540" s="375"/>
      <c r="FR540" s="375"/>
      <c r="FT540" s="373"/>
      <c r="FU540" s="374"/>
      <c r="FV540" s="375"/>
      <c r="FW540" s="375"/>
      <c r="FY540" s="373"/>
      <c r="FZ540" s="374"/>
      <c r="GA540" s="375"/>
      <c r="GB540" s="375"/>
      <c r="GD540" s="373"/>
      <c r="GE540" s="374"/>
      <c r="GF540" s="375"/>
      <c r="GG540" s="375"/>
      <c r="GI540" s="373"/>
      <c r="GJ540" s="374"/>
      <c r="GK540" s="375"/>
      <c r="GL540" s="375"/>
      <c r="GN540" s="373"/>
      <c r="GO540" s="374"/>
      <c r="GP540" s="375"/>
      <c r="GQ540" s="375"/>
      <c r="GS540" s="373"/>
      <c r="GT540" s="374"/>
      <c r="GU540" s="375"/>
      <c r="GV540" s="375"/>
      <c r="GX540" s="373"/>
      <c r="GY540" s="374"/>
      <c r="GZ540" s="375"/>
      <c r="HA540" s="375"/>
      <c r="HC540" s="373"/>
      <c r="HD540" s="374"/>
      <c r="HE540" s="375"/>
      <c r="HF540" s="375"/>
      <c r="HH540" s="373"/>
      <c r="HI540" s="374"/>
      <c r="HJ540" s="375"/>
      <c r="HK540" s="375"/>
      <c r="HM540" s="373"/>
      <c r="HN540" s="374"/>
      <c r="HO540" s="375"/>
      <c r="HP540" s="375"/>
      <c r="HR540" s="373"/>
      <c r="HS540" s="374"/>
      <c r="HT540" s="375"/>
      <c r="HU540" s="375"/>
      <c r="HW540" s="373"/>
      <c r="HX540" s="374"/>
      <c r="HY540" s="375"/>
      <c r="HZ540" s="375"/>
      <c r="IB540" s="373"/>
      <c r="IC540" s="374"/>
      <c r="ID540" s="375"/>
      <c r="IE540" s="375"/>
      <c r="IG540" s="373"/>
      <c r="IH540" s="374"/>
      <c r="II540" s="375"/>
      <c r="IJ540" s="375"/>
      <c r="IL540" s="373"/>
      <c r="IM540" s="374"/>
      <c r="IN540" s="375"/>
      <c r="IO540" s="375"/>
      <c r="IQ540" s="373"/>
      <c r="IR540" s="374"/>
      <c r="IS540" s="375"/>
      <c r="IT540" s="375"/>
      <c r="IV540" s="373"/>
    </row>
    <row r="541" spans="1:256" s="376" customFormat="1" x14ac:dyDescent="0.2">
      <c r="A541" s="373"/>
      <c r="B541" s="374"/>
      <c r="C541" s="375"/>
      <c r="D541" s="375"/>
      <c r="F541" s="373"/>
      <c r="G541" s="374"/>
      <c r="H541" s="375"/>
      <c r="I541" s="375"/>
      <c r="K541" s="373"/>
      <c r="L541" s="374"/>
      <c r="M541" s="375"/>
      <c r="N541" s="375"/>
      <c r="P541" s="373"/>
      <c r="Q541" s="374"/>
      <c r="R541" s="375"/>
      <c r="S541" s="375"/>
      <c r="U541" s="373"/>
      <c r="V541" s="374"/>
      <c r="W541" s="375"/>
      <c r="X541" s="375"/>
      <c r="Z541" s="373"/>
      <c r="AA541" s="374"/>
      <c r="AB541" s="375"/>
      <c r="AC541" s="375"/>
      <c r="AE541" s="373"/>
      <c r="AF541" s="374"/>
      <c r="AG541" s="375"/>
      <c r="AH541" s="375"/>
      <c r="AJ541" s="373"/>
      <c r="AK541" s="374"/>
      <c r="AL541" s="375"/>
      <c r="AM541" s="375"/>
      <c r="AO541" s="373"/>
      <c r="AP541" s="374"/>
      <c r="AQ541" s="375"/>
      <c r="AR541" s="375"/>
      <c r="AT541" s="373"/>
      <c r="AU541" s="374"/>
      <c r="AV541" s="375"/>
      <c r="AW541" s="375"/>
      <c r="AY541" s="373"/>
      <c r="AZ541" s="374"/>
      <c r="BA541" s="375"/>
      <c r="BB541" s="375"/>
      <c r="BD541" s="373"/>
      <c r="BE541" s="374"/>
      <c r="BF541" s="375"/>
      <c r="BG541" s="375"/>
      <c r="BI541" s="373"/>
      <c r="BJ541" s="374"/>
      <c r="BK541" s="375"/>
      <c r="BL541" s="375"/>
      <c r="BN541" s="373"/>
      <c r="BO541" s="374"/>
      <c r="BP541" s="375"/>
      <c r="BQ541" s="375"/>
      <c r="BS541" s="373"/>
      <c r="BT541" s="374"/>
      <c r="BU541" s="375"/>
      <c r="BV541" s="375"/>
      <c r="BX541" s="373"/>
      <c r="BY541" s="374"/>
      <c r="BZ541" s="375"/>
      <c r="CA541" s="375"/>
      <c r="CC541" s="373"/>
      <c r="CD541" s="374"/>
      <c r="CE541" s="375"/>
      <c r="CF541" s="375"/>
      <c r="CH541" s="373"/>
      <c r="CI541" s="374"/>
      <c r="CJ541" s="375"/>
      <c r="CK541" s="375"/>
      <c r="CM541" s="373"/>
      <c r="CN541" s="374"/>
      <c r="CO541" s="375"/>
      <c r="CP541" s="375"/>
      <c r="CR541" s="373"/>
      <c r="CS541" s="374"/>
      <c r="CT541" s="375"/>
      <c r="CU541" s="375"/>
      <c r="CW541" s="373"/>
      <c r="CX541" s="374"/>
      <c r="CY541" s="375"/>
      <c r="CZ541" s="375"/>
      <c r="DB541" s="373"/>
      <c r="DC541" s="374"/>
      <c r="DD541" s="375"/>
      <c r="DE541" s="375"/>
      <c r="DG541" s="373"/>
      <c r="DH541" s="374"/>
      <c r="DI541" s="375"/>
      <c r="DJ541" s="375"/>
      <c r="DL541" s="373"/>
      <c r="DM541" s="374"/>
      <c r="DN541" s="375"/>
      <c r="DO541" s="375"/>
      <c r="DQ541" s="373"/>
      <c r="DR541" s="374"/>
      <c r="DS541" s="375"/>
      <c r="DT541" s="375"/>
      <c r="DV541" s="373"/>
      <c r="DW541" s="374"/>
      <c r="DX541" s="375"/>
      <c r="DY541" s="375"/>
      <c r="EA541" s="373"/>
      <c r="EB541" s="374"/>
      <c r="EC541" s="375"/>
      <c r="ED541" s="375"/>
      <c r="EF541" s="373"/>
      <c r="EG541" s="374"/>
      <c r="EH541" s="375"/>
      <c r="EI541" s="375"/>
      <c r="EK541" s="373"/>
      <c r="EL541" s="374"/>
      <c r="EM541" s="375"/>
      <c r="EN541" s="375"/>
      <c r="EP541" s="373"/>
      <c r="EQ541" s="374"/>
      <c r="ER541" s="375"/>
      <c r="ES541" s="375"/>
      <c r="EU541" s="373"/>
      <c r="EV541" s="374"/>
      <c r="EW541" s="375"/>
      <c r="EX541" s="375"/>
      <c r="EZ541" s="373"/>
      <c r="FA541" s="374"/>
      <c r="FB541" s="375"/>
      <c r="FC541" s="375"/>
      <c r="FE541" s="373"/>
      <c r="FF541" s="374"/>
      <c r="FG541" s="375"/>
      <c r="FH541" s="375"/>
      <c r="FJ541" s="373"/>
      <c r="FK541" s="374"/>
      <c r="FL541" s="375"/>
      <c r="FM541" s="375"/>
      <c r="FO541" s="373"/>
      <c r="FP541" s="374"/>
      <c r="FQ541" s="375"/>
      <c r="FR541" s="375"/>
      <c r="FT541" s="373"/>
      <c r="FU541" s="374"/>
      <c r="FV541" s="375"/>
      <c r="FW541" s="375"/>
      <c r="FY541" s="373"/>
      <c r="FZ541" s="374"/>
      <c r="GA541" s="375"/>
      <c r="GB541" s="375"/>
      <c r="GD541" s="373"/>
      <c r="GE541" s="374"/>
      <c r="GF541" s="375"/>
      <c r="GG541" s="375"/>
      <c r="GI541" s="373"/>
      <c r="GJ541" s="374"/>
      <c r="GK541" s="375"/>
      <c r="GL541" s="375"/>
      <c r="GN541" s="373"/>
      <c r="GO541" s="374"/>
      <c r="GP541" s="375"/>
      <c r="GQ541" s="375"/>
      <c r="GS541" s="373"/>
      <c r="GT541" s="374"/>
      <c r="GU541" s="375"/>
      <c r="GV541" s="375"/>
      <c r="GX541" s="373"/>
      <c r="GY541" s="374"/>
      <c r="GZ541" s="375"/>
      <c r="HA541" s="375"/>
      <c r="HC541" s="373"/>
      <c r="HD541" s="374"/>
      <c r="HE541" s="375"/>
      <c r="HF541" s="375"/>
      <c r="HH541" s="373"/>
      <c r="HI541" s="374"/>
      <c r="HJ541" s="375"/>
      <c r="HK541" s="375"/>
      <c r="HM541" s="373"/>
      <c r="HN541" s="374"/>
      <c r="HO541" s="375"/>
      <c r="HP541" s="375"/>
      <c r="HR541" s="373"/>
      <c r="HS541" s="374"/>
      <c r="HT541" s="375"/>
      <c r="HU541" s="375"/>
      <c r="HW541" s="373"/>
      <c r="HX541" s="374"/>
      <c r="HY541" s="375"/>
      <c r="HZ541" s="375"/>
      <c r="IB541" s="373"/>
      <c r="IC541" s="374"/>
      <c r="ID541" s="375"/>
      <c r="IE541" s="375"/>
      <c r="IG541" s="373"/>
      <c r="IH541" s="374"/>
      <c r="II541" s="375"/>
      <c r="IJ541" s="375"/>
      <c r="IL541" s="373"/>
      <c r="IM541" s="374"/>
      <c r="IN541" s="375"/>
      <c r="IO541" s="375"/>
      <c r="IQ541" s="373"/>
      <c r="IR541" s="374"/>
      <c r="IS541" s="375"/>
      <c r="IT541" s="375"/>
      <c r="IV541" s="373"/>
    </row>
    <row r="542" spans="1:256" s="376" customFormat="1" x14ac:dyDescent="0.2">
      <c r="A542" s="373"/>
      <c r="B542" s="374"/>
      <c r="C542" s="375"/>
      <c r="D542" s="375"/>
      <c r="F542" s="373"/>
      <c r="G542" s="374"/>
      <c r="H542" s="375"/>
      <c r="I542" s="375"/>
      <c r="K542" s="373"/>
      <c r="L542" s="374"/>
      <c r="M542" s="375"/>
      <c r="N542" s="375"/>
      <c r="P542" s="373"/>
      <c r="Q542" s="374"/>
      <c r="R542" s="375"/>
      <c r="S542" s="375"/>
      <c r="U542" s="373"/>
      <c r="V542" s="374"/>
      <c r="W542" s="375"/>
      <c r="X542" s="375"/>
      <c r="Z542" s="373"/>
      <c r="AA542" s="374"/>
      <c r="AB542" s="375"/>
      <c r="AC542" s="375"/>
      <c r="AE542" s="373"/>
      <c r="AF542" s="374"/>
      <c r="AG542" s="375"/>
      <c r="AH542" s="375"/>
      <c r="AJ542" s="373"/>
      <c r="AK542" s="374"/>
      <c r="AL542" s="375"/>
      <c r="AM542" s="375"/>
      <c r="AO542" s="373"/>
      <c r="AP542" s="374"/>
      <c r="AQ542" s="375"/>
      <c r="AR542" s="375"/>
      <c r="AT542" s="373"/>
      <c r="AU542" s="374"/>
      <c r="AV542" s="375"/>
      <c r="AW542" s="375"/>
      <c r="AY542" s="373"/>
      <c r="AZ542" s="374"/>
      <c r="BA542" s="375"/>
      <c r="BB542" s="375"/>
      <c r="BD542" s="373"/>
      <c r="BE542" s="374"/>
      <c r="BF542" s="375"/>
      <c r="BG542" s="375"/>
      <c r="BI542" s="373"/>
      <c r="BJ542" s="374"/>
      <c r="BK542" s="375"/>
      <c r="BL542" s="375"/>
      <c r="BN542" s="373"/>
      <c r="BO542" s="374"/>
      <c r="BP542" s="375"/>
      <c r="BQ542" s="375"/>
      <c r="BS542" s="373"/>
      <c r="BT542" s="374"/>
      <c r="BU542" s="375"/>
      <c r="BV542" s="375"/>
      <c r="BX542" s="373"/>
      <c r="BY542" s="374"/>
      <c r="BZ542" s="375"/>
      <c r="CA542" s="375"/>
      <c r="CC542" s="373"/>
      <c r="CD542" s="374"/>
      <c r="CE542" s="375"/>
      <c r="CF542" s="375"/>
      <c r="CH542" s="373"/>
      <c r="CI542" s="374"/>
      <c r="CJ542" s="375"/>
      <c r="CK542" s="375"/>
      <c r="CM542" s="373"/>
      <c r="CN542" s="374"/>
      <c r="CO542" s="375"/>
      <c r="CP542" s="375"/>
      <c r="CR542" s="373"/>
      <c r="CS542" s="374"/>
      <c r="CT542" s="375"/>
      <c r="CU542" s="375"/>
      <c r="CW542" s="373"/>
      <c r="CX542" s="374"/>
      <c r="CY542" s="375"/>
      <c r="CZ542" s="375"/>
      <c r="DB542" s="373"/>
      <c r="DC542" s="374"/>
      <c r="DD542" s="375"/>
      <c r="DE542" s="375"/>
      <c r="DG542" s="373"/>
      <c r="DH542" s="374"/>
      <c r="DI542" s="375"/>
      <c r="DJ542" s="375"/>
      <c r="DL542" s="373"/>
      <c r="DM542" s="374"/>
      <c r="DN542" s="375"/>
      <c r="DO542" s="375"/>
      <c r="DQ542" s="373"/>
      <c r="DR542" s="374"/>
      <c r="DS542" s="375"/>
      <c r="DT542" s="375"/>
      <c r="DV542" s="373"/>
      <c r="DW542" s="374"/>
      <c r="DX542" s="375"/>
      <c r="DY542" s="375"/>
      <c r="EA542" s="373"/>
      <c r="EB542" s="374"/>
      <c r="EC542" s="375"/>
      <c r="ED542" s="375"/>
      <c r="EF542" s="373"/>
      <c r="EG542" s="374"/>
      <c r="EH542" s="375"/>
      <c r="EI542" s="375"/>
      <c r="EK542" s="373"/>
      <c r="EL542" s="374"/>
      <c r="EM542" s="375"/>
      <c r="EN542" s="375"/>
      <c r="EP542" s="373"/>
      <c r="EQ542" s="374"/>
      <c r="ER542" s="375"/>
      <c r="ES542" s="375"/>
      <c r="EU542" s="373"/>
      <c r="EV542" s="374"/>
      <c r="EW542" s="375"/>
      <c r="EX542" s="375"/>
      <c r="EZ542" s="373"/>
      <c r="FA542" s="374"/>
      <c r="FB542" s="375"/>
      <c r="FC542" s="375"/>
      <c r="FE542" s="373"/>
      <c r="FF542" s="374"/>
      <c r="FG542" s="375"/>
      <c r="FH542" s="375"/>
      <c r="FJ542" s="373"/>
      <c r="FK542" s="374"/>
      <c r="FL542" s="375"/>
      <c r="FM542" s="375"/>
      <c r="FO542" s="373"/>
      <c r="FP542" s="374"/>
      <c r="FQ542" s="375"/>
      <c r="FR542" s="375"/>
      <c r="FT542" s="373"/>
      <c r="FU542" s="374"/>
      <c r="FV542" s="375"/>
      <c r="FW542" s="375"/>
      <c r="FY542" s="373"/>
      <c r="FZ542" s="374"/>
      <c r="GA542" s="375"/>
      <c r="GB542" s="375"/>
      <c r="GD542" s="373"/>
      <c r="GE542" s="374"/>
      <c r="GF542" s="375"/>
      <c r="GG542" s="375"/>
      <c r="GI542" s="373"/>
      <c r="GJ542" s="374"/>
      <c r="GK542" s="375"/>
      <c r="GL542" s="375"/>
      <c r="GN542" s="373"/>
      <c r="GO542" s="374"/>
      <c r="GP542" s="375"/>
      <c r="GQ542" s="375"/>
      <c r="GS542" s="373"/>
      <c r="GT542" s="374"/>
      <c r="GU542" s="375"/>
      <c r="GV542" s="375"/>
      <c r="GX542" s="373"/>
      <c r="GY542" s="374"/>
      <c r="GZ542" s="375"/>
      <c r="HA542" s="375"/>
      <c r="HC542" s="373"/>
      <c r="HD542" s="374"/>
      <c r="HE542" s="375"/>
      <c r="HF542" s="375"/>
      <c r="HH542" s="373"/>
      <c r="HI542" s="374"/>
      <c r="HJ542" s="375"/>
      <c r="HK542" s="375"/>
      <c r="HM542" s="373"/>
      <c r="HN542" s="374"/>
      <c r="HO542" s="375"/>
      <c r="HP542" s="375"/>
      <c r="HR542" s="373"/>
      <c r="HS542" s="374"/>
      <c r="HT542" s="375"/>
      <c r="HU542" s="375"/>
      <c r="HW542" s="373"/>
      <c r="HX542" s="374"/>
      <c r="HY542" s="375"/>
      <c r="HZ542" s="375"/>
      <c r="IB542" s="373"/>
      <c r="IC542" s="374"/>
      <c r="ID542" s="375"/>
      <c r="IE542" s="375"/>
      <c r="IG542" s="373"/>
      <c r="IH542" s="374"/>
      <c r="II542" s="375"/>
      <c r="IJ542" s="375"/>
      <c r="IL542" s="373"/>
      <c r="IM542" s="374"/>
      <c r="IN542" s="375"/>
      <c r="IO542" s="375"/>
      <c r="IQ542" s="373"/>
      <c r="IR542" s="374"/>
      <c r="IS542" s="375"/>
      <c r="IT542" s="375"/>
      <c r="IV542" s="373"/>
    </row>
    <row r="543" spans="1:256" s="376" customFormat="1" x14ac:dyDescent="0.2">
      <c r="A543" s="373"/>
      <c r="B543" s="374"/>
      <c r="C543" s="375"/>
      <c r="D543" s="375"/>
      <c r="F543" s="373"/>
      <c r="G543" s="374"/>
      <c r="H543" s="375"/>
      <c r="I543" s="375"/>
      <c r="K543" s="373"/>
      <c r="L543" s="374"/>
      <c r="M543" s="375"/>
      <c r="N543" s="375"/>
      <c r="P543" s="373"/>
      <c r="Q543" s="374"/>
      <c r="R543" s="375"/>
      <c r="S543" s="375"/>
      <c r="U543" s="373"/>
      <c r="V543" s="374"/>
      <c r="W543" s="375"/>
      <c r="X543" s="375"/>
      <c r="Z543" s="373"/>
      <c r="AA543" s="374"/>
      <c r="AB543" s="375"/>
      <c r="AC543" s="375"/>
      <c r="AE543" s="373"/>
      <c r="AF543" s="374"/>
      <c r="AG543" s="375"/>
      <c r="AH543" s="375"/>
      <c r="AJ543" s="373"/>
      <c r="AK543" s="374"/>
      <c r="AL543" s="375"/>
      <c r="AM543" s="375"/>
      <c r="AO543" s="373"/>
      <c r="AP543" s="374"/>
      <c r="AQ543" s="375"/>
      <c r="AR543" s="375"/>
      <c r="AT543" s="373"/>
      <c r="AU543" s="374"/>
      <c r="AV543" s="375"/>
      <c r="AW543" s="375"/>
      <c r="AY543" s="373"/>
      <c r="AZ543" s="374"/>
      <c r="BA543" s="375"/>
      <c r="BB543" s="375"/>
      <c r="BD543" s="373"/>
      <c r="BE543" s="374"/>
      <c r="BF543" s="375"/>
      <c r="BG543" s="375"/>
      <c r="BI543" s="373"/>
      <c r="BJ543" s="374"/>
      <c r="BK543" s="375"/>
      <c r="BL543" s="375"/>
      <c r="BN543" s="373"/>
      <c r="BO543" s="374"/>
      <c r="BP543" s="375"/>
      <c r="BQ543" s="375"/>
      <c r="BS543" s="373"/>
      <c r="BT543" s="374"/>
      <c r="BU543" s="375"/>
      <c r="BV543" s="375"/>
      <c r="BX543" s="373"/>
      <c r="BY543" s="374"/>
      <c r="BZ543" s="375"/>
      <c r="CA543" s="375"/>
      <c r="CC543" s="373"/>
      <c r="CD543" s="374"/>
      <c r="CE543" s="375"/>
      <c r="CF543" s="375"/>
      <c r="CH543" s="373"/>
      <c r="CI543" s="374"/>
      <c r="CJ543" s="375"/>
      <c r="CK543" s="375"/>
      <c r="CM543" s="373"/>
      <c r="CN543" s="374"/>
      <c r="CO543" s="375"/>
      <c r="CP543" s="375"/>
      <c r="CR543" s="373"/>
      <c r="CS543" s="374"/>
      <c r="CT543" s="375"/>
      <c r="CU543" s="375"/>
      <c r="CW543" s="373"/>
      <c r="CX543" s="374"/>
      <c r="CY543" s="375"/>
      <c r="CZ543" s="375"/>
      <c r="DB543" s="373"/>
      <c r="DC543" s="374"/>
      <c r="DD543" s="375"/>
      <c r="DE543" s="375"/>
      <c r="DG543" s="373"/>
      <c r="DH543" s="374"/>
      <c r="DI543" s="375"/>
      <c r="DJ543" s="375"/>
      <c r="DL543" s="373"/>
      <c r="DM543" s="374"/>
      <c r="DN543" s="375"/>
      <c r="DO543" s="375"/>
      <c r="DQ543" s="373"/>
      <c r="DR543" s="374"/>
      <c r="DS543" s="375"/>
      <c r="DT543" s="375"/>
      <c r="DV543" s="373"/>
      <c r="DW543" s="374"/>
      <c r="DX543" s="375"/>
      <c r="DY543" s="375"/>
      <c r="EA543" s="373"/>
      <c r="EB543" s="374"/>
      <c r="EC543" s="375"/>
      <c r="ED543" s="375"/>
      <c r="EF543" s="373"/>
      <c r="EG543" s="374"/>
      <c r="EH543" s="375"/>
      <c r="EI543" s="375"/>
      <c r="EK543" s="373"/>
      <c r="EL543" s="374"/>
      <c r="EM543" s="375"/>
      <c r="EN543" s="375"/>
      <c r="EP543" s="373"/>
      <c r="EQ543" s="374"/>
      <c r="ER543" s="375"/>
      <c r="ES543" s="375"/>
      <c r="EU543" s="373"/>
      <c r="EV543" s="374"/>
      <c r="EW543" s="375"/>
      <c r="EX543" s="375"/>
      <c r="EZ543" s="373"/>
      <c r="FA543" s="374"/>
      <c r="FB543" s="375"/>
      <c r="FC543" s="375"/>
      <c r="FE543" s="373"/>
      <c r="FF543" s="374"/>
      <c r="FG543" s="375"/>
      <c r="FH543" s="375"/>
      <c r="FJ543" s="373"/>
      <c r="FK543" s="374"/>
      <c r="FL543" s="375"/>
      <c r="FM543" s="375"/>
      <c r="FO543" s="373"/>
      <c r="FP543" s="374"/>
      <c r="FQ543" s="375"/>
      <c r="FR543" s="375"/>
      <c r="FT543" s="373"/>
      <c r="FU543" s="374"/>
      <c r="FV543" s="375"/>
      <c r="FW543" s="375"/>
      <c r="FY543" s="373"/>
      <c r="FZ543" s="374"/>
      <c r="GA543" s="375"/>
      <c r="GB543" s="375"/>
      <c r="GD543" s="373"/>
      <c r="GE543" s="374"/>
      <c r="GF543" s="375"/>
      <c r="GG543" s="375"/>
      <c r="GI543" s="373"/>
      <c r="GJ543" s="374"/>
      <c r="GK543" s="375"/>
      <c r="GL543" s="375"/>
      <c r="GN543" s="373"/>
      <c r="GO543" s="374"/>
      <c r="GP543" s="375"/>
      <c r="GQ543" s="375"/>
      <c r="GS543" s="373"/>
      <c r="GT543" s="374"/>
      <c r="GU543" s="375"/>
      <c r="GV543" s="375"/>
      <c r="GX543" s="373"/>
      <c r="GY543" s="374"/>
      <c r="GZ543" s="375"/>
      <c r="HA543" s="375"/>
      <c r="HC543" s="373"/>
      <c r="HD543" s="374"/>
      <c r="HE543" s="375"/>
      <c r="HF543" s="375"/>
      <c r="HH543" s="373"/>
      <c r="HI543" s="374"/>
      <c r="HJ543" s="375"/>
      <c r="HK543" s="375"/>
      <c r="HM543" s="373"/>
      <c r="HN543" s="374"/>
      <c r="HO543" s="375"/>
      <c r="HP543" s="375"/>
      <c r="HR543" s="373"/>
      <c r="HS543" s="374"/>
      <c r="HT543" s="375"/>
      <c r="HU543" s="375"/>
      <c r="HW543" s="373"/>
      <c r="HX543" s="374"/>
      <c r="HY543" s="375"/>
      <c r="HZ543" s="375"/>
      <c r="IB543" s="373"/>
      <c r="IC543" s="374"/>
      <c r="ID543" s="375"/>
      <c r="IE543" s="375"/>
      <c r="IG543" s="373"/>
      <c r="IH543" s="374"/>
      <c r="II543" s="375"/>
      <c r="IJ543" s="375"/>
      <c r="IL543" s="373"/>
      <c r="IM543" s="374"/>
      <c r="IN543" s="375"/>
      <c r="IO543" s="375"/>
      <c r="IQ543" s="373"/>
      <c r="IR543" s="374"/>
      <c r="IS543" s="375"/>
      <c r="IT543" s="375"/>
      <c r="IV543" s="373"/>
    </row>
    <row r="544" spans="1:256" s="376" customFormat="1" x14ac:dyDescent="0.2">
      <c r="A544" s="373"/>
      <c r="B544" s="374"/>
      <c r="C544" s="375"/>
      <c r="D544" s="375"/>
      <c r="F544" s="373"/>
      <c r="G544" s="374"/>
      <c r="H544" s="375"/>
      <c r="I544" s="375"/>
      <c r="K544" s="373"/>
      <c r="L544" s="374"/>
      <c r="M544" s="375"/>
      <c r="N544" s="375"/>
      <c r="P544" s="373"/>
      <c r="Q544" s="374"/>
      <c r="R544" s="375"/>
      <c r="S544" s="375"/>
      <c r="U544" s="373"/>
      <c r="V544" s="374"/>
      <c r="W544" s="375"/>
      <c r="X544" s="375"/>
      <c r="Z544" s="373"/>
      <c r="AA544" s="374"/>
      <c r="AB544" s="375"/>
      <c r="AC544" s="375"/>
      <c r="AE544" s="373"/>
      <c r="AF544" s="374"/>
      <c r="AG544" s="375"/>
      <c r="AH544" s="375"/>
      <c r="AJ544" s="373"/>
      <c r="AK544" s="374"/>
      <c r="AL544" s="375"/>
      <c r="AM544" s="375"/>
      <c r="AO544" s="373"/>
      <c r="AP544" s="374"/>
      <c r="AQ544" s="375"/>
      <c r="AR544" s="375"/>
      <c r="AT544" s="373"/>
      <c r="AU544" s="374"/>
      <c r="AV544" s="375"/>
      <c r="AW544" s="375"/>
      <c r="AY544" s="373"/>
      <c r="AZ544" s="374"/>
      <c r="BA544" s="375"/>
      <c r="BB544" s="375"/>
      <c r="BD544" s="373"/>
      <c r="BE544" s="374"/>
      <c r="BF544" s="375"/>
      <c r="BG544" s="375"/>
      <c r="BI544" s="373"/>
      <c r="BJ544" s="374"/>
      <c r="BK544" s="375"/>
      <c r="BL544" s="375"/>
      <c r="BN544" s="373"/>
      <c r="BO544" s="374"/>
      <c r="BP544" s="375"/>
      <c r="BQ544" s="375"/>
      <c r="BS544" s="373"/>
      <c r="BT544" s="374"/>
      <c r="BU544" s="375"/>
      <c r="BV544" s="375"/>
      <c r="BX544" s="373"/>
      <c r="BY544" s="374"/>
      <c r="BZ544" s="375"/>
      <c r="CA544" s="375"/>
      <c r="CC544" s="373"/>
      <c r="CD544" s="374"/>
      <c r="CE544" s="375"/>
      <c r="CF544" s="375"/>
      <c r="CH544" s="373"/>
      <c r="CI544" s="374"/>
      <c r="CJ544" s="375"/>
      <c r="CK544" s="375"/>
      <c r="CM544" s="373"/>
      <c r="CN544" s="374"/>
      <c r="CO544" s="375"/>
      <c r="CP544" s="375"/>
      <c r="CR544" s="373"/>
      <c r="CS544" s="374"/>
      <c r="CT544" s="375"/>
      <c r="CU544" s="375"/>
      <c r="CW544" s="373"/>
      <c r="CX544" s="374"/>
      <c r="CY544" s="375"/>
      <c r="CZ544" s="375"/>
      <c r="DB544" s="373"/>
      <c r="DC544" s="374"/>
      <c r="DD544" s="375"/>
      <c r="DE544" s="375"/>
      <c r="DG544" s="373"/>
      <c r="DH544" s="374"/>
      <c r="DI544" s="375"/>
      <c r="DJ544" s="375"/>
      <c r="DL544" s="373"/>
      <c r="DM544" s="374"/>
      <c r="DN544" s="375"/>
      <c r="DO544" s="375"/>
      <c r="DQ544" s="373"/>
      <c r="DR544" s="374"/>
      <c r="DS544" s="375"/>
      <c r="DT544" s="375"/>
      <c r="DV544" s="373"/>
      <c r="DW544" s="374"/>
      <c r="DX544" s="375"/>
      <c r="DY544" s="375"/>
      <c r="EA544" s="373"/>
      <c r="EB544" s="374"/>
      <c r="EC544" s="375"/>
      <c r="ED544" s="375"/>
      <c r="EF544" s="373"/>
      <c r="EG544" s="374"/>
      <c r="EH544" s="375"/>
      <c r="EI544" s="375"/>
      <c r="EK544" s="373"/>
      <c r="EL544" s="374"/>
      <c r="EM544" s="375"/>
      <c r="EN544" s="375"/>
      <c r="EP544" s="373"/>
      <c r="EQ544" s="374"/>
      <c r="ER544" s="375"/>
      <c r="ES544" s="375"/>
      <c r="EU544" s="373"/>
      <c r="EV544" s="374"/>
      <c r="EW544" s="375"/>
      <c r="EX544" s="375"/>
      <c r="EZ544" s="373"/>
      <c r="FA544" s="374"/>
      <c r="FB544" s="375"/>
      <c r="FC544" s="375"/>
      <c r="FE544" s="373"/>
      <c r="FF544" s="374"/>
      <c r="FG544" s="375"/>
      <c r="FH544" s="375"/>
      <c r="FJ544" s="373"/>
      <c r="FK544" s="374"/>
      <c r="FL544" s="375"/>
      <c r="FM544" s="375"/>
      <c r="FO544" s="373"/>
      <c r="FP544" s="374"/>
      <c r="FQ544" s="375"/>
      <c r="FR544" s="375"/>
      <c r="FT544" s="373"/>
      <c r="FU544" s="374"/>
      <c r="FV544" s="375"/>
      <c r="FW544" s="375"/>
      <c r="FY544" s="373"/>
      <c r="FZ544" s="374"/>
      <c r="GA544" s="375"/>
      <c r="GB544" s="375"/>
      <c r="GD544" s="373"/>
      <c r="GE544" s="374"/>
      <c r="GF544" s="375"/>
      <c r="GG544" s="375"/>
      <c r="GI544" s="373"/>
      <c r="GJ544" s="374"/>
      <c r="GK544" s="375"/>
      <c r="GL544" s="375"/>
      <c r="GN544" s="373"/>
      <c r="GO544" s="374"/>
      <c r="GP544" s="375"/>
      <c r="GQ544" s="375"/>
      <c r="GS544" s="373"/>
      <c r="GT544" s="374"/>
      <c r="GU544" s="375"/>
      <c r="GV544" s="375"/>
      <c r="GX544" s="373"/>
      <c r="GY544" s="374"/>
      <c r="GZ544" s="375"/>
      <c r="HA544" s="375"/>
      <c r="HC544" s="373"/>
      <c r="HD544" s="374"/>
      <c r="HE544" s="375"/>
      <c r="HF544" s="375"/>
      <c r="HH544" s="373"/>
      <c r="HI544" s="374"/>
      <c r="HJ544" s="375"/>
      <c r="HK544" s="375"/>
      <c r="HM544" s="373"/>
      <c r="HN544" s="374"/>
      <c r="HO544" s="375"/>
      <c r="HP544" s="375"/>
      <c r="HR544" s="373"/>
      <c r="HS544" s="374"/>
      <c r="HT544" s="375"/>
      <c r="HU544" s="375"/>
      <c r="HW544" s="373"/>
      <c r="HX544" s="374"/>
      <c r="HY544" s="375"/>
      <c r="HZ544" s="375"/>
      <c r="IB544" s="373"/>
      <c r="IC544" s="374"/>
      <c r="ID544" s="375"/>
      <c r="IE544" s="375"/>
      <c r="IG544" s="373"/>
      <c r="IH544" s="374"/>
      <c r="II544" s="375"/>
      <c r="IJ544" s="375"/>
      <c r="IL544" s="373"/>
      <c r="IM544" s="374"/>
      <c r="IN544" s="375"/>
      <c r="IO544" s="375"/>
      <c r="IQ544" s="373"/>
      <c r="IR544" s="374"/>
      <c r="IS544" s="375"/>
      <c r="IT544" s="375"/>
      <c r="IV544" s="373"/>
    </row>
    <row r="545" spans="1:256" s="376" customFormat="1" x14ac:dyDescent="0.2">
      <c r="A545" s="373"/>
      <c r="B545" s="374"/>
      <c r="C545" s="375"/>
      <c r="D545" s="375"/>
      <c r="F545" s="373"/>
      <c r="G545" s="374"/>
      <c r="H545" s="375"/>
      <c r="I545" s="375"/>
      <c r="K545" s="373"/>
      <c r="L545" s="374"/>
      <c r="M545" s="375"/>
      <c r="N545" s="375"/>
      <c r="P545" s="373"/>
      <c r="Q545" s="374"/>
      <c r="R545" s="375"/>
      <c r="S545" s="375"/>
      <c r="U545" s="373"/>
      <c r="V545" s="374"/>
      <c r="W545" s="375"/>
      <c r="X545" s="375"/>
      <c r="Z545" s="373"/>
      <c r="AA545" s="374"/>
      <c r="AB545" s="375"/>
      <c r="AC545" s="375"/>
      <c r="AE545" s="373"/>
      <c r="AF545" s="374"/>
      <c r="AG545" s="375"/>
      <c r="AH545" s="375"/>
      <c r="AJ545" s="373"/>
      <c r="AK545" s="374"/>
      <c r="AL545" s="375"/>
      <c r="AM545" s="375"/>
      <c r="AO545" s="373"/>
      <c r="AP545" s="374"/>
      <c r="AQ545" s="375"/>
      <c r="AR545" s="375"/>
      <c r="AT545" s="373"/>
      <c r="AU545" s="374"/>
      <c r="AV545" s="375"/>
      <c r="AW545" s="375"/>
      <c r="AY545" s="373"/>
      <c r="AZ545" s="374"/>
      <c r="BA545" s="375"/>
      <c r="BB545" s="375"/>
      <c r="BD545" s="373"/>
      <c r="BE545" s="374"/>
      <c r="BF545" s="375"/>
      <c r="BG545" s="375"/>
      <c r="BI545" s="373"/>
      <c r="BJ545" s="374"/>
      <c r="BK545" s="375"/>
      <c r="BL545" s="375"/>
      <c r="BN545" s="373"/>
      <c r="BO545" s="374"/>
      <c r="BP545" s="375"/>
      <c r="BQ545" s="375"/>
      <c r="BS545" s="373"/>
      <c r="BT545" s="374"/>
      <c r="BU545" s="375"/>
      <c r="BV545" s="375"/>
      <c r="BX545" s="373"/>
      <c r="BY545" s="374"/>
      <c r="BZ545" s="375"/>
      <c r="CA545" s="375"/>
      <c r="CC545" s="373"/>
      <c r="CD545" s="374"/>
      <c r="CE545" s="375"/>
      <c r="CF545" s="375"/>
      <c r="CH545" s="373"/>
      <c r="CI545" s="374"/>
      <c r="CJ545" s="375"/>
      <c r="CK545" s="375"/>
      <c r="CM545" s="373"/>
      <c r="CN545" s="374"/>
      <c r="CO545" s="375"/>
      <c r="CP545" s="375"/>
      <c r="CR545" s="373"/>
      <c r="CS545" s="374"/>
      <c r="CT545" s="375"/>
      <c r="CU545" s="375"/>
      <c r="CW545" s="373"/>
      <c r="CX545" s="374"/>
      <c r="CY545" s="375"/>
      <c r="CZ545" s="375"/>
      <c r="DB545" s="373"/>
      <c r="DC545" s="374"/>
      <c r="DD545" s="375"/>
      <c r="DE545" s="375"/>
      <c r="DG545" s="373"/>
      <c r="DH545" s="374"/>
      <c r="DI545" s="375"/>
      <c r="DJ545" s="375"/>
      <c r="DL545" s="373"/>
      <c r="DM545" s="374"/>
      <c r="DN545" s="375"/>
      <c r="DO545" s="375"/>
      <c r="DQ545" s="373"/>
      <c r="DR545" s="374"/>
      <c r="DS545" s="375"/>
      <c r="DT545" s="375"/>
      <c r="DV545" s="373"/>
      <c r="DW545" s="374"/>
      <c r="DX545" s="375"/>
      <c r="DY545" s="375"/>
      <c r="EA545" s="373"/>
      <c r="EB545" s="374"/>
      <c r="EC545" s="375"/>
      <c r="ED545" s="375"/>
      <c r="EF545" s="373"/>
      <c r="EG545" s="374"/>
      <c r="EH545" s="375"/>
      <c r="EI545" s="375"/>
      <c r="EK545" s="373"/>
      <c r="EL545" s="374"/>
      <c r="EM545" s="375"/>
      <c r="EN545" s="375"/>
      <c r="EP545" s="373"/>
      <c r="EQ545" s="374"/>
      <c r="ER545" s="375"/>
      <c r="ES545" s="375"/>
      <c r="EU545" s="373"/>
      <c r="EV545" s="374"/>
      <c r="EW545" s="375"/>
      <c r="EX545" s="375"/>
      <c r="EZ545" s="373"/>
      <c r="FA545" s="374"/>
      <c r="FB545" s="375"/>
      <c r="FC545" s="375"/>
      <c r="FE545" s="373"/>
      <c r="FF545" s="374"/>
      <c r="FG545" s="375"/>
      <c r="FH545" s="375"/>
      <c r="FJ545" s="373"/>
      <c r="FK545" s="374"/>
      <c r="FL545" s="375"/>
      <c r="FM545" s="375"/>
      <c r="FO545" s="373"/>
      <c r="FP545" s="374"/>
      <c r="FQ545" s="375"/>
      <c r="FR545" s="375"/>
      <c r="FT545" s="373"/>
      <c r="FU545" s="374"/>
      <c r="FV545" s="375"/>
      <c r="FW545" s="375"/>
      <c r="FY545" s="373"/>
      <c r="FZ545" s="374"/>
      <c r="GA545" s="375"/>
      <c r="GB545" s="375"/>
      <c r="GD545" s="373"/>
      <c r="GE545" s="374"/>
      <c r="GF545" s="375"/>
      <c r="GG545" s="375"/>
      <c r="GI545" s="373"/>
      <c r="GJ545" s="374"/>
      <c r="GK545" s="375"/>
      <c r="GL545" s="375"/>
      <c r="GN545" s="373"/>
      <c r="GO545" s="374"/>
      <c r="GP545" s="375"/>
      <c r="GQ545" s="375"/>
      <c r="GS545" s="373"/>
      <c r="GT545" s="374"/>
      <c r="GU545" s="375"/>
      <c r="GV545" s="375"/>
      <c r="GX545" s="373"/>
      <c r="GY545" s="374"/>
      <c r="GZ545" s="375"/>
      <c r="HA545" s="375"/>
      <c r="HC545" s="373"/>
      <c r="HD545" s="374"/>
      <c r="HE545" s="375"/>
      <c r="HF545" s="375"/>
      <c r="HH545" s="373"/>
      <c r="HI545" s="374"/>
      <c r="HJ545" s="375"/>
      <c r="HK545" s="375"/>
      <c r="HM545" s="373"/>
      <c r="HN545" s="374"/>
      <c r="HO545" s="375"/>
      <c r="HP545" s="375"/>
      <c r="HR545" s="373"/>
      <c r="HS545" s="374"/>
      <c r="HT545" s="375"/>
      <c r="HU545" s="375"/>
      <c r="HW545" s="373"/>
      <c r="HX545" s="374"/>
      <c r="HY545" s="375"/>
      <c r="HZ545" s="375"/>
      <c r="IB545" s="373"/>
      <c r="IC545" s="374"/>
      <c r="ID545" s="375"/>
      <c r="IE545" s="375"/>
      <c r="IG545" s="373"/>
      <c r="IH545" s="374"/>
      <c r="II545" s="375"/>
      <c r="IJ545" s="375"/>
      <c r="IL545" s="373"/>
      <c r="IM545" s="374"/>
      <c r="IN545" s="375"/>
      <c r="IO545" s="375"/>
      <c r="IQ545" s="373"/>
      <c r="IR545" s="374"/>
      <c r="IS545" s="375"/>
      <c r="IT545" s="375"/>
      <c r="IV545" s="373"/>
    </row>
    <row r="546" spans="1:256" s="376" customFormat="1" x14ac:dyDescent="0.2">
      <c r="A546" s="373"/>
      <c r="B546" s="374"/>
      <c r="C546" s="375"/>
      <c r="D546" s="375"/>
      <c r="F546" s="373"/>
      <c r="G546" s="374"/>
      <c r="H546" s="375"/>
      <c r="I546" s="375"/>
      <c r="K546" s="373"/>
      <c r="L546" s="374"/>
      <c r="M546" s="375"/>
      <c r="N546" s="375"/>
      <c r="P546" s="373"/>
      <c r="Q546" s="374"/>
      <c r="R546" s="375"/>
      <c r="S546" s="375"/>
      <c r="U546" s="373"/>
      <c r="V546" s="374"/>
      <c r="W546" s="375"/>
      <c r="X546" s="375"/>
      <c r="Z546" s="373"/>
      <c r="AA546" s="374"/>
      <c r="AB546" s="375"/>
      <c r="AC546" s="375"/>
      <c r="AE546" s="373"/>
      <c r="AF546" s="374"/>
      <c r="AG546" s="375"/>
      <c r="AH546" s="375"/>
      <c r="AJ546" s="373"/>
      <c r="AK546" s="374"/>
      <c r="AL546" s="375"/>
      <c r="AM546" s="375"/>
      <c r="AO546" s="373"/>
      <c r="AP546" s="374"/>
      <c r="AQ546" s="375"/>
      <c r="AR546" s="375"/>
      <c r="AT546" s="373"/>
      <c r="AU546" s="374"/>
      <c r="AV546" s="375"/>
      <c r="AW546" s="375"/>
      <c r="AY546" s="373"/>
      <c r="AZ546" s="374"/>
      <c r="BA546" s="375"/>
      <c r="BB546" s="375"/>
      <c r="BD546" s="373"/>
      <c r="BE546" s="374"/>
      <c r="BF546" s="375"/>
      <c r="BG546" s="375"/>
      <c r="BI546" s="373"/>
      <c r="BJ546" s="374"/>
      <c r="BK546" s="375"/>
      <c r="BL546" s="375"/>
      <c r="BN546" s="373"/>
      <c r="BO546" s="374"/>
      <c r="BP546" s="375"/>
      <c r="BQ546" s="375"/>
      <c r="BS546" s="373"/>
      <c r="BT546" s="374"/>
      <c r="BU546" s="375"/>
      <c r="BV546" s="375"/>
      <c r="BX546" s="373"/>
      <c r="BY546" s="374"/>
      <c r="BZ546" s="375"/>
      <c r="CA546" s="375"/>
      <c r="CC546" s="373"/>
      <c r="CD546" s="374"/>
      <c r="CE546" s="375"/>
      <c r="CF546" s="375"/>
      <c r="CH546" s="373"/>
      <c r="CI546" s="374"/>
      <c r="CJ546" s="375"/>
      <c r="CK546" s="375"/>
      <c r="CM546" s="373"/>
      <c r="CN546" s="374"/>
      <c r="CO546" s="375"/>
      <c r="CP546" s="375"/>
      <c r="CR546" s="373"/>
      <c r="CS546" s="374"/>
      <c r="CT546" s="375"/>
      <c r="CU546" s="375"/>
      <c r="CW546" s="373"/>
      <c r="CX546" s="374"/>
      <c r="CY546" s="375"/>
      <c r="CZ546" s="375"/>
      <c r="DB546" s="373"/>
      <c r="DC546" s="374"/>
      <c r="DD546" s="375"/>
      <c r="DE546" s="375"/>
      <c r="DG546" s="373"/>
      <c r="DH546" s="374"/>
      <c r="DI546" s="375"/>
      <c r="DJ546" s="375"/>
      <c r="DL546" s="373"/>
      <c r="DM546" s="374"/>
      <c r="DN546" s="375"/>
      <c r="DO546" s="375"/>
      <c r="DQ546" s="373"/>
      <c r="DR546" s="374"/>
      <c r="DS546" s="375"/>
      <c r="DT546" s="375"/>
      <c r="DV546" s="373"/>
      <c r="DW546" s="374"/>
      <c r="DX546" s="375"/>
      <c r="DY546" s="375"/>
      <c r="EA546" s="373"/>
      <c r="EB546" s="374"/>
      <c r="EC546" s="375"/>
      <c r="ED546" s="375"/>
      <c r="EF546" s="373"/>
      <c r="EG546" s="374"/>
      <c r="EH546" s="375"/>
      <c r="EI546" s="375"/>
      <c r="EK546" s="373"/>
      <c r="EL546" s="374"/>
      <c r="EM546" s="375"/>
      <c r="EN546" s="375"/>
      <c r="EP546" s="373"/>
      <c r="EQ546" s="374"/>
      <c r="ER546" s="375"/>
      <c r="ES546" s="375"/>
      <c r="EU546" s="373"/>
      <c r="EV546" s="374"/>
      <c r="EW546" s="375"/>
      <c r="EX546" s="375"/>
      <c r="EZ546" s="373"/>
      <c r="FA546" s="374"/>
      <c r="FB546" s="375"/>
      <c r="FC546" s="375"/>
      <c r="FE546" s="373"/>
      <c r="FF546" s="374"/>
      <c r="FG546" s="375"/>
      <c r="FH546" s="375"/>
      <c r="FJ546" s="373"/>
      <c r="FK546" s="374"/>
      <c r="FL546" s="375"/>
      <c r="FM546" s="375"/>
      <c r="FO546" s="373"/>
      <c r="FP546" s="374"/>
      <c r="FQ546" s="375"/>
      <c r="FR546" s="375"/>
      <c r="FT546" s="373"/>
      <c r="FU546" s="374"/>
      <c r="FV546" s="375"/>
      <c r="FW546" s="375"/>
      <c r="FY546" s="373"/>
      <c r="FZ546" s="374"/>
      <c r="GA546" s="375"/>
      <c r="GB546" s="375"/>
      <c r="GD546" s="373"/>
      <c r="GE546" s="374"/>
      <c r="GF546" s="375"/>
      <c r="GG546" s="375"/>
      <c r="GI546" s="373"/>
      <c r="GJ546" s="374"/>
      <c r="GK546" s="375"/>
      <c r="GL546" s="375"/>
      <c r="GN546" s="373"/>
      <c r="GO546" s="374"/>
      <c r="GP546" s="375"/>
      <c r="GQ546" s="375"/>
      <c r="GS546" s="373"/>
      <c r="GT546" s="374"/>
      <c r="GU546" s="375"/>
      <c r="GV546" s="375"/>
      <c r="GX546" s="373"/>
      <c r="GY546" s="374"/>
      <c r="GZ546" s="375"/>
      <c r="HA546" s="375"/>
      <c r="HC546" s="373"/>
      <c r="HD546" s="374"/>
      <c r="HE546" s="375"/>
      <c r="HF546" s="375"/>
      <c r="HH546" s="373"/>
      <c r="HI546" s="374"/>
      <c r="HJ546" s="375"/>
      <c r="HK546" s="375"/>
      <c r="HM546" s="373"/>
      <c r="HN546" s="374"/>
      <c r="HO546" s="375"/>
      <c r="HP546" s="375"/>
      <c r="HR546" s="373"/>
      <c r="HS546" s="374"/>
      <c r="HT546" s="375"/>
      <c r="HU546" s="375"/>
      <c r="HW546" s="373"/>
      <c r="HX546" s="374"/>
      <c r="HY546" s="375"/>
      <c r="HZ546" s="375"/>
      <c r="IB546" s="373"/>
      <c r="IC546" s="374"/>
      <c r="ID546" s="375"/>
      <c r="IE546" s="375"/>
      <c r="IG546" s="373"/>
      <c r="IH546" s="374"/>
      <c r="II546" s="375"/>
      <c r="IJ546" s="375"/>
      <c r="IL546" s="373"/>
      <c r="IM546" s="374"/>
      <c r="IN546" s="375"/>
      <c r="IO546" s="375"/>
      <c r="IQ546" s="373"/>
      <c r="IR546" s="374"/>
      <c r="IS546" s="375"/>
      <c r="IT546" s="375"/>
      <c r="IV546" s="373"/>
    </row>
    <row r="547" spans="1:256" s="376" customFormat="1" x14ac:dyDescent="0.2">
      <c r="A547" s="373"/>
      <c r="B547" s="374"/>
      <c r="C547" s="375"/>
      <c r="D547" s="375"/>
      <c r="F547" s="373"/>
      <c r="G547" s="374"/>
      <c r="H547" s="375"/>
      <c r="I547" s="375"/>
      <c r="K547" s="373"/>
      <c r="L547" s="374"/>
      <c r="M547" s="375"/>
      <c r="N547" s="375"/>
      <c r="P547" s="373"/>
      <c r="Q547" s="374"/>
      <c r="R547" s="375"/>
      <c r="S547" s="375"/>
      <c r="U547" s="373"/>
      <c r="V547" s="374"/>
      <c r="W547" s="375"/>
      <c r="X547" s="375"/>
      <c r="Z547" s="373"/>
      <c r="AA547" s="374"/>
      <c r="AB547" s="375"/>
      <c r="AC547" s="375"/>
      <c r="AE547" s="373"/>
      <c r="AF547" s="374"/>
      <c r="AG547" s="375"/>
      <c r="AH547" s="375"/>
      <c r="AJ547" s="373"/>
      <c r="AK547" s="374"/>
      <c r="AL547" s="375"/>
      <c r="AM547" s="375"/>
      <c r="AO547" s="373"/>
      <c r="AP547" s="374"/>
      <c r="AQ547" s="375"/>
      <c r="AR547" s="375"/>
      <c r="AT547" s="373"/>
      <c r="AU547" s="374"/>
      <c r="AV547" s="375"/>
      <c r="AW547" s="375"/>
      <c r="AY547" s="373"/>
      <c r="AZ547" s="374"/>
      <c r="BA547" s="375"/>
      <c r="BB547" s="375"/>
      <c r="BD547" s="373"/>
      <c r="BE547" s="374"/>
      <c r="BF547" s="375"/>
      <c r="BG547" s="375"/>
      <c r="BI547" s="373"/>
      <c r="BJ547" s="374"/>
      <c r="BK547" s="375"/>
      <c r="BL547" s="375"/>
      <c r="BN547" s="373"/>
      <c r="BO547" s="374"/>
      <c r="BP547" s="375"/>
      <c r="BQ547" s="375"/>
      <c r="BS547" s="373"/>
      <c r="BT547" s="374"/>
      <c r="BU547" s="375"/>
      <c r="BV547" s="375"/>
      <c r="BX547" s="373"/>
      <c r="BY547" s="374"/>
      <c r="BZ547" s="375"/>
      <c r="CA547" s="375"/>
      <c r="CC547" s="373"/>
      <c r="CD547" s="374"/>
      <c r="CE547" s="375"/>
      <c r="CF547" s="375"/>
      <c r="CH547" s="373"/>
      <c r="CI547" s="374"/>
      <c r="CJ547" s="375"/>
      <c r="CK547" s="375"/>
      <c r="CM547" s="373"/>
      <c r="CN547" s="374"/>
      <c r="CO547" s="375"/>
      <c r="CP547" s="375"/>
      <c r="CR547" s="373"/>
      <c r="CS547" s="374"/>
      <c r="CT547" s="375"/>
      <c r="CU547" s="375"/>
      <c r="CW547" s="373"/>
      <c r="CX547" s="374"/>
      <c r="CY547" s="375"/>
      <c r="CZ547" s="375"/>
      <c r="DB547" s="373"/>
      <c r="DC547" s="374"/>
      <c r="DD547" s="375"/>
      <c r="DE547" s="375"/>
      <c r="DG547" s="373"/>
      <c r="DH547" s="374"/>
      <c r="DI547" s="375"/>
      <c r="DJ547" s="375"/>
      <c r="DL547" s="373"/>
      <c r="DM547" s="374"/>
      <c r="DN547" s="375"/>
      <c r="DO547" s="375"/>
      <c r="DQ547" s="373"/>
      <c r="DR547" s="374"/>
      <c r="DS547" s="375"/>
      <c r="DT547" s="375"/>
      <c r="DV547" s="373"/>
      <c r="DW547" s="374"/>
      <c r="DX547" s="375"/>
      <c r="DY547" s="375"/>
      <c r="EA547" s="373"/>
      <c r="EB547" s="374"/>
      <c r="EC547" s="375"/>
      <c r="ED547" s="375"/>
      <c r="EF547" s="373"/>
      <c r="EG547" s="374"/>
      <c r="EH547" s="375"/>
      <c r="EI547" s="375"/>
      <c r="EK547" s="373"/>
      <c r="EL547" s="374"/>
      <c r="EM547" s="375"/>
      <c r="EN547" s="375"/>
      <c r="EP547" s="373"/>
      <c r="EQ547" s="374"/>
      <c r="ER547" s="375"/>
      <c r="ES547" s="375"/>
      <c r="EU547" s="373"/>
      <c r="EV547" s="374"/>
      <c r="EW547" s="375"/>
      <c r="EX547" s="375"/>
      <c r="EZ547" s="373"/>
      <c r="FA547" s="374"/>
      <c r="FB547" s="375"/>
      <c r="FC547" s="375"/>
      <c r="FE547" s="373"/>
      <c r="FF547" s="374"/>
      <c r="FG547" s="375"/>
      <c r="FH547" s="375"/>
      <c r="FJ547" s="373"/>
      <c r="FK547" s="374"/>
      <c r="FL547" s="375"/>
      <c r="FM547" s="375"/>
      <c r="FO547" s="373"/>
      <c r="FP547" s="374"/>
      <c r="FQ547" s="375"/>
      <c r="FR547" s="375"/>
      <c r="FT547" s="373"/>
      <c r="FU547" s="374"/>
      <c r="FV547" s="375"/>
      <c r="FW547" s="375"/>
      <c r="FY547" s="373"/>
      <c r="FZ547" s="374"/>
      <c r="GA547" s="375"/>
      <c r="GB547" s="375"/>
      <c r="GD547" s="373"/>
      <c r="GE547" s="374"/>
      <c r="GF547" s="375"/>
      <c r="GG547" s="375"/>
      <c r="GI547" s="373"/>
      <c r="GJ547" s="374"/>
      <c r="GK547" s="375"/>
      <c r="GL547" s="375"/>
      <c r="GN547" s="373"/>
      <c r="GO547" s="374"/>
      <c r="GP547" s="375"/>
      <c r="GQ547" s="375"/>
      <c r="GS547" s="373"/>
      <c r="GT547" s="374"/>
      <c r="GU547" s="375"/>
      <c r="GV547" s="375"/>
      <c r="GX547" s="373"/>
      <c r="GY547" s="374"/>
      <c r="GZ547" s="375"/>
      <c r="HA547" s="375"/>
      <c r="HC547" s="373"/>
      <c r="HD547" s="374"/>
      <c r="HE547" s="375"/>
      <c r="HF547" s="375"/>
      <c r="HH547" s="373"/>
      <c r="HI547" s="374"/>
      <c r="HJ547" s="375"/>
      <c r="HK547" s="375"/>
      <c r="HM547" s="373"/>
      <c r="HN547" s="374"/>
      <c r="HO547" s="375"/>
      <c r="HP547" s="375"/>
      <c r="HR547" s="373"/>
      <c r="HS547" s="374"/>
      <c r="HT547" s="375"/>
      <c r="HU547" s="375"/>
      <c r="HW547" s="373"/>
      <c r="HX547" s="374"/>
      <c r="HY547" s="375"/>
      <c r="HZ547" s="375"/>
      <c r="IB547" s="373"/>
      <c r="IC547" s="374"/>
      <c r="ID547" s="375"/>
      <c r="IE547" s="375"/>
      <c r="IG547" s="373"/>
      <c r="IH547" s="374"/>
      <c r="II547" s="375"/>
      <c r="IJ547" s="375"/>
      <c r="IL547" s="373"/>
      <c r="IM547" s="374"/>
      <c r="IN547" s="375"/>
      <c r="IO547" s="375"/>
      <c r="IQ547" s="373"/>
      <c r="IR547" s="374"/>
      <c r="IS547" s="375"/>
      <c r="IT547" s="375"/>
      <c r="IV547" s="373"/>
    </row>
    <row r="548" spans="1:256" s="376" customFormat="1" x14ac:dyDescent="0.2">
      <c r="A548" s="373"/>
      <c r="B548" s="374"/>
      <c r="C548" s="375"/>
      <c r="D548" s="375"/>
      <c r="F548" s="373"/>
      <c r="G548" s="374"/>
      <c r="H548" s="375"/>
      <c r="I548" s="375"/>
      <c r="K548" s="373"/>
      <c r="L548" s="374"/>
      <c r="M548" s="375"/>
      <c r="N548" s="375"/>
      <c r="P548" s="373"/>
      <c r="Q548" s="374"/>
      <c r="R548" s="375"/>
      <c r="S548" s="375"/>
      <c r="U548" s="373"/>
      <c r="V548" s="374"/>
      <c r="W548" s="375"/>
      <c r="X548" s="375"/>
      <c r="Z548" s="373"/>
      <c r="AA548" s="374"/>
      <c r="AB548" s="375"/>
      <c r="AC548" s="375"/>
      <c r="AE548" s="373"/>
      <c r="AF548" s="374"/>
      <c r="AG548" s="375"/>
      <c r="AH548" s="375"/>
      <c r="AJ548" s="373"/>
      <c r="AK548" s="374"/>
      <c r="AL548" s="375"/>
      <c r="AM548" s="375"/>
      <c r="AO548" s="373"/>
      <c r="AP548" s="374"/>
      <c r="AQ548" s="375"/>
      <c r="AR548" s="375"/>
      <c r="AT548" s="373"/>
      <c r="AU548" s="374"/>
      <c r="AV548" s="375"/>
      <c r="AW548" s="375"/>
      <c r="AY548" s="373"/>
      <c r="AZ548" s="374"/>
      <c r="BA548" s="375"/>
      <c r="BB548" s="375"/>
      <c r="BD548" s="373"/>
      <c r="BE548" s="374"/>
      <c r="BF548" s="375"/>
      <c r="BG548" s="375"/>
      <c r="BI548" s="373"/>
      <c r="BJ548" s="374"/>
      <c r="BK548" s="375"/>
      <c r="BL548" s="375"/>
      <c r="BN548" s="373"/>
      <c r="BO548" s="374"/>
      <c r="BP548" s="375"/>
      <c r="BQ548" s="375"/>
      <c r="BS548" s="373"/>
      <c r="BT548" s="374"/>
      <c r="BU548" s="375"/>
      <c r="BV548" s="375"/>
      <c r="BX548" s="373"/>
      <c r="BY548" s="374"/>
      <c r="BZ548" s="375"/>
      <c r="CA548" s="375"/>
      <c r="CC548" s="373"/>
      <c r="CD548" s="374"/>
      <c r="CE548" s="375"/>
      <c r="CF548" s="375"/>
      <c r="CH548" s="373"/>
      <c r="CI548" s="374"/>
      <c r="CJ548" s="375"/>
      <c r="CK548" s="375"/>
      <c r="CM548" s="373"/>
      <c r="CN548" s="374"/>
      <c r="CO548" s="375"/>
      <c r="CP548" s="375"/>
      <c r="CR548" s="373"/>
      <c r="CS548" s="374"/>
      <c r="CT548" s="375"/>
      <c r="CU548" s="375"/>
      <c r="CW548" s="373"/>
      <c r="CX548" s="374"/>
      <c r="CY548" s="375"/>
      <c r="CZ548" s="375"/>
      <c r="DB548" s="373"/>
      <c r="DC548" s="374"/>
      <c r="DD548" s="375"/>
      <c r="DE548" s="375"/>
      <c r="DG548" s="373"/>
      <c r="DH548" s="374"/>
      <c r="DI548" s="375"/>
      <c r="DJ548" s="375"/>
      <c r="DL548" s="373"/>
      <c r="DM548" s="374"/>
      <c r="DN548" s="375"/>
      <c r="DO548" s="375"/>
      <c r="DQ548" s="373"/>
      <c r="DR548" s="374"/>
      <c r="DS548" s="375"/>
      <c r="DT548" s="375"/>
      <c r="DV548" s="373"/>
      <c r="DW548" s="374"/>
      <c r="DX548" s="375"/>
      <c r="DY548" s="375"/>
      <c r="EA548" s="373"/>
      <c r="EB548" s="374"/>
      <c r="EC548" s="375"/>
      <c r="ED548" s="375"/>
      <c r="EF548" s="373"/>
      <c r="EG548" s="374"/>
      <c r="EH548" s="375"/>
      <c r="EI548" s="375"/>
      <c r="EK548" s="373"/>
      <c r="EL548" s="374"/>
      <c r="EM548" s="375"/>
      <c r="EN548" s="375"/>
      <c r="EP548" s="373"/>
      <c r="EQ548" s="374"/>
      <c r="ER548" s="375"/>
      <c r="ES548" s="375"/>
      <c r="EU548" s="373"/>
      <c r="EV548" s="374"/>
      <c r="EW548" s="375"/>
      <c r="EX548" s="375"/>
      <c r="EZ548" s="373"/>
      <c r="FA548" s="374"/>
      <c r="FB548" s="375"/>
      <c r="FC548" s="375"/>
      <c r="FE548" s="373"/>
      <c r="FF548" s="374"/>
      <c r="FG548" s="375"/>
      <c r="FH548" s="375"/>
      <c r="FJ548" s="373"/>
      <c r="FK548" s="374"/>
      <c r="FL548" s="375"/>
      <c r="FM548" s="375"/>
      <c r="FO548" s="373"/>
      <c r="FP548" s="374"/>
      <c r="FQ548" s="375"/>
      <c r="FR548" s="375"/>
      <c r="FT548" s="373"/>
      <c r="FU548" s="374"/>
      <c r="FV548" s="375"/>
      <c r="FW548" s="375"/>
      <c r="FY548" s="373"/>
      <c r="FZ548" s="374"/>
      <c r="GA548" s="375"/>
      <c r="GB548" s="375"/>
      <c r="GD548" s="373"/>
      <c r="GE548" s="374"/>
      <c r="GF548" s="375"/>
      <c r="GG548" s="375"/>
      <c r="GI548" s="373"/>
      <c r="GJ548" s="374"/>
      <c r="GK548" s="375"/>
      <c r="GL548" s="375"/>
      <c r="GN548" s="373"/>
      <c r="GO548" s="374"/>
      <c r="GP548" s="375"/>
      <c r="GQ548" s="375"/>
      <c r="GS548" s="373"/>
      <c r="GT548" s="374"/>
      <c r="GU548" s="375"/>
      <c r="GV548" s="375"/>
      <c r="GX548" s="373"/>
      <c r="GY548" s="374"/>
      <c r="GZ548" s="375"/>
      <c r="HA548" s="375"/>
      <c r="HC548" s="373"/>
      <c r="HD548" s="374"/>
      <c r="HE548" s="375"/>
      <c r="HF548" s="375"/>
      <c r="HH548" s="373"/>
      <c r="HI548" s="374"/>
      <c r="HJ548" s="375"/>
      <c r="HK548" s="375"/>
      <c r="HM548" s="373"/>
      <c r="HN548" s="374"/>
      <c r="HO548" s="375"/>
      <c r="HP548" s="375"/>
      <c r="HR548" s="373"/>
      <c r="HS548" s="374"/>
      <c r="HT548" s="375"/>
      <c r="HU548" s="375"/>
      <c r="HW548" s="373"/>
      <c r="HX548" s="374"/>
      <c r="HY548" s="375"/>
      <c r="HZ548" s="375"/>
      <c r="IB548" s="373"/>
      <c r="IC548" s="374"/>
      <c r="ID548" s="375"/>
      <c r="IE548" s="375"/>
      <c r="IG548" s="373"/>
      <c r="IH548" s="374"/>
      <c r="II548" s="375"/>
      <c r="IJ548" s="375"/>
      <c r="IL548" s="373"/>
      <c r="IM548" s="374"/>
      <c r="IN548" s="375"/>
      <c r="IO548" s="375"/>
      <c r="IQ548" s="373"/>
      <c r="IR548" s="374"/>
      <c r="IS548" s="375"/>
      <c r="IT548" s="375"/>
      <c r="IV548" s="373"/>
    </row>
    <row r="549" spans="1:256" s="376" customFormat="1" x14ac:dyDescent="0.2">
      <c r="A549" s="373"/>
      <c r="B549" s="374"/>
      <c r="C549" s="375"/>
      <c r="D549" s="375"/>
      <c r="F549" s="373"/>
      <c r="G549" s="374"/>
      <c r="H549" s="375"/>
      <c r="I549" s="375"/>
      <c r="K549" s="373"/>
      <c r="L549" s="374"/>
      <c r="M549" s="375"/>
      <c r="N549" s="375"/>
      <c r="P549" s="373"/>
      <c r="Q549" s="374"/>
      <c r="R549" s="375"/>
      <c r="S549" s="375"/>
      <c r="U549" s="373"/>
      <c r="V549" s="374"/>
      <c r="W549" s="375"/>
      <c r="X549" s="375"/>
      <c r="Z549" s="373"/>
      <c r="AA549" s="374"/>
      <c r="AB549" s="375"/>
      <c r="AC549" s="375"/>
      <c r="AE549" s="373"/>
      <c r="AF549" s="374"/>
      <c r="AG549" s="375"/>
      <c r="AH549" s="375"/>
      <c r="AJ549" s="373"/>
      <c r="AK549" s="374"/>
      <c r="AL549" s="375"/>
      <c r="AM549" s="375"/>
      <c r="AO549" s="373"/>
      <c r="AP549" s="374"/>
      <c r="AQ549" s="375"/>
      <c r="AR549" s="375"/>
      <c r="AT549" s="373"/>
      <c r="AU549" s="374"/>
      <c r="AV549" s="375"/>
      <c r="AW549" s="375"/>
      <c r="AY549" s="373"/>
      <c r="AZ549" s="374"/>
      <c r="BA549" s="375"/>
      <c r="BB549" s="375"/>
      <c r="BD549" s="373"/>
      <c r="BE549" s="374"/>
      <c r="BF549" s="375"/>
      <c r="BG549" s="375"/>
      <c r="BI549" s="373"/>
      <c r="BJ549" s="374"/>
      <c r="BK549" s="375"/>
      <c r="BL549" s="375"/>
      <c r="BN549" s="373"/>
      <c r="BO549" s="374"/>
      <c r="BP549" s="375"/>
      <c r="BQ549" s="375"/>
      <c r="BS549" s="373"/>
      <c r="BT549" s="374"/>
      <c r="BU549" s="375"/>
      <c r="BV549" s="375"/>
      <c r="BX549" s="373"/>
      <c r="BY549" s="374"/>
      <c r="BZ549" s="375"/>
      <c r="CA549" s="375"/>
      <c r="CC549" s="373"/>
      <c r="CD549" s="374"/>
      <c r="CE549" s="375"/>
      <c r="CF549" s="375"/>
      <c r="CH549" s="373"/>
      <c r="CI549" s="374"/>
      <c r="CJ549" s="375"/>
      <c r="CK549" s="375"/>
      <c r="CM549" s="373"/>
      <c r="CN549" s="374"/>
      <c r="CO549" s="375"/>
      <c r="CP549" s="375"/>
      <c r="CR549" s="373"/>
      <c r="CS549" s="374"/>
      <c r="CT549" s="375"/>
      <c r="CU549" s="375"/>
      <c r="CW549" s="373"/>
      <c r="CX549" s="374"/>
      <c r="CY549" s="375"/>
      <c r="CZ549" s="375"/>
      <c r="DB549" s="373"/>
      <c r="DC549" s="374"/>
      <c r="DD549" s="375"/>
      <c r="DE549" s="375"/>
      <c r="DG549" s="373"/>
      <c r="DH549" s="374"/>
      <c r="DI549" s="375"/>
      <c r="DJ549" s="375"/>
      <c r="DL549" s="373"/>
      <c r="DM549" s="374"/>
      <c r="DN549" s="375"/>
      <c r="DO549" s="375"/>
      <c r="DQ549" s="373"/>
      <c r="DR549" s="374"/>
      <c r="DS549" s="375"/>
      <c r="DT549" s="375"/>
      <c r="DV549" s="373"/>
      <c r="DW549" s="374"/>
      <c r="DX549" s="375"/>
      <c r="DY549" s="375"/>
      <c r="EA549" s="373"/>
      <c r="EB549" s="374"/>
      <c r="EC549" s="375"/>
      <c r="ED549" s="375"/>
      <c r="EF549" s="373"/>
      <c r="EG549" s="374"/>
      <c r="EH549" s="375"/>
      <c r="EI549" s="375"/>
      <c r="EK549" s="373"/>
      <c r="EL549" s="374"/>
      <c r="EM549" s="375"/>
      <c r="EN549" s="375"/>
      <c r="EP549" s="373"/>
      <c r="EQ549" s="374"/>
      <c r="ER549" s="375"/>
      <c r="ES549" s="375"/>
      <c r="EU549" s="373"/>
      <c r="EV549" s="374"/>
      <c r="EW549" s="375"/>
      <c r="EX549" s="375"/>
      <c r="EZ549" s="373"/>
      <c r="FA549" s="374"/>
      <c r="FB549" s="375"/>
      <c r="FC549" s="375"/>
      <c r="FE549" s="373"/>
      <c r="FF549" s="374"/>
      <c r="FG549" s="375"/>
      <c r="FH549" s="375"/>
      <c r="FJ549" s="373"/>
      <c r="FK549" s="374"/>
      <c r="FL549" s="375"/>
      <c r="FM549" s="375"/>
      <c r="FO549" s="373"/>
      <c r="FP549" s="374"/>
      <c r="FQ549" s="375"/>
      <c r="FR549" s="375"/>
      <c r="FT549" s="373"/>
      <c r="FU549" s="374"/>
      <c r="FV549" s="375"/>
      <c r="FW549" s="375"/>
      <c r="FY549" s="373"/>
      <c r="FZ549" s="374"/>
      <c r="GA549" s="375"/>
      <c r="GB549" s="375"/>
      <c r="GD549" s="373"/>
      <c r="GE549" s="374"/>
      <c r="GF549" s="375"/>
      <c r="GG549" s="375"/>
      <c r="GI549" s="373"/>
      <c r="GJ549" s="374"/>
      <c r="GK549" s="375"/>
      <c r="GL549" s="375"/>
      <c r="GN549" s="373"/>
      <c r="GO549" s="374"/>
      <c r="GP549" s="375"/>
      <c r="GQ549" s="375"/>
      <c r="GS549" s="373"/>
      <c r="GT549" s="374"/>
      <c r="GU549" s="375"/>
      <c r="GV549" s="375"/>
      <c r="GX549" s="373"/>
      <c r="GY549" s="374"/>
      <c r="GZ549" s="375"/>
      <c r="HA549" s="375"/>
      <c r="HC549" s="373"/>
      <c r="HD549" s="374"/>
      <c r="HE549" s="375"/>
      <c r="HF549" s="375"/>
      <c r="HH549" s="373"/>
      <c r="HI549" s="374"/>
      <c r="HJ549" s="375"/>
      <c r="HK549" s="375"/>
      <c r="HM549" s="373"/>
      <c r="HN549" s="374"/>
      <c r="HO549" s="375"/>
      <c r="HP549" s="375"/>
      <c r="HR549" s="373"/>
      <c r="HS549" s="374"/>
      <c r="HT549" s="375"/>
      <c r="HU549" s="375"/>
      <c r="HW549" s="373"/>
      <c r="HX549" s="374"/>
      <c r="HY549" s="375"/>
      <c r="HZ549" s="375"/>
      <c r="IB549" s="373"/>
      <c r="IC549" s="374"/>
      <c r="ID549" s="375"/>
      <c r="IE549" s="375"/>
      <c r="IG549" s="373"/>
      <c r="IH549" s="374"/>
      <c r="II549" s="375"/>
      <c r="IJ549" s="375"/>
      <c r="IL549" s="373"/>
      <c r="IM549" s="374"/>
      <c r="IN549" s="375"/>
      <c r="IO549" s="375"/>
      <c r="IQ549" s="373"/>
      <c r="IR549" s="374"/>
      <c r="IS549" s="375"/>
      <c r="IT549" s="375"/>
      <c r="IV549" s="373"/>
    </row>
    <row r="550" spans="1:256" s="376" customFormat="1" x14ac:dyDescent="0.2">
      <c r="A550" s="373"/>
      <c r="B550" s="374"/>
      <c r="C550" s="375"/>
      <c r="D550" s="375"/>
      <c r="F550" s="373"/>
      <c r="G550" s="374"/>
      <c r="H550" s="375"/>
      <c r="I550" s="375"/>
      <c r="K550" s="373"/>
      <c r="L550" s="374"/>
      <c r="M550" s="375"/>
      <c r="N550" s="375"/>
      <c r="P550" s="373"/>
      <c r="Q550" s="374"/>
      <c r="R550" s="375"/>
      <c r="S550" s="375"/>
      <c r="U550" s="373"/>
      <c r="V550" s="374"/>
      <c r="W550" s="375"/>
      <c r="X550" s="375"/>
      <c r="Z550" s="373"/>
      <c r="AA550" s="374"/>
      <c r="AB550" s="375"/>
      <c r="AC550" s="375"/>
      <c r="AE550" s="373"/>
      <c r="AF550" s="374"/>
      <c r="AG550" s="375"/>
      <c r="AH550" s="375"/>
      <c r="AJ550" s="373"/>
      <c r="AK550" s="374"/>
      <c r="AL550" s="375"/>
      <c r="AM550" s="375"/>
      <c r="AO550" s="373"/>
      <c r="AP550" s="374"/>
      <c r="AQ550" s="375"/>
      <c r="AR550" s="375"/>
      <c r="AT550" s="373"/>
      <c r="AU550" s="374"/>
      <c r="AV550" s="375"/>
      <c r="AW550" s="375"/>
      <c r="AY550" s="373"/>
      <c r="AZ550" s="374"/>
      <c r="BA550" s="375"/>
      <c r="BB550" s="375"/>
      <c r="BD550" s="373"/>
      <c r="BE550" s="374"/>
      <c r="BF550" s="375"/>
      <c r="BG550" s="375"/>
      <c r="BI550" s="373"/>
      <c r="BJ550" s="374"/>
      <c r="BK550" s="375"/>
      <c r="BL550" s="375"/>
      <c r="BN550" s="373"/>
      <c r="BO550" s="374"/>
      <c r="BP550" s="375"/>
      <c r="BQ550" s="375"/>
      <c r="BS550" s="373"/>
      <c r="BT550" s="374"/>
      <c r="BU550" s="375"/>
      <c r="BV550" s="375"/>
      <c r="BX550" s="373"/>
      <c r="BY550" s="374"/>
      <c r="BZ550" s="375"/>
      <c r="CA550" s="375"/>
      <c r="CC550" s="373"/>
      <c r="CD550" s="374"/>
      <c r="CE550" s="375"/>
      <c r="CF550" s="375"/>
      <c r="CH550" s="373"/>
      <c r="CI550" s="374"/>
      <c r="CJ550" s="375"/>
      <c r="CK550" s="375"/>
      <c r="CM550" s="373"/>
      <c r="CN550" s="374"/>
      <c r="CO550" s="375"/>
      <c r="CP550" s="375"/>
      <c r="CR550" s="373"/>
      <c r="CS550" s="374"/>
      <c r="CT550" s="375"/>
      <c r="CU550" s="375"/>
      <c r="CW550" s="373"/>
      <c r="CX550" s="374"/>
      <c r="CY550" s="375"/>
      <c r="CZ550" s="375"/>
      <c r="DB550" s="373"/>
      <c r="DC550" s="374"/>
      <c r="DD550" s="375"/>
      <c r="DE550" s="375"/>
      <c r="DG550" s="373"/>
      <c r="DH550" s="374"/>
      <c r="DI550" s="375"/>
      <c r="DJ550" s="375"/>
      <c r="DL550" s="373"/>
      <c r="DM550" s="374"/>
      <c r="DN550" s="375"/>
      <c r="DO550" s="375"/>
      <c r="DQ550" s="373"/>
      <c r="DR550" s="374"/>
      <c r="DS550" s="375"/>
      <c r="DT550" s="375"/>
      <c r="DV550" s="373"/>
      <c r="DW550" s="374"/>
      <c r="DX550" s="375"/>
      <c r="DY550" s="375"/>
      <c r="EA550" s="373"/>
      <c r="EB550" s="374"/>
      <c r="EC550" s="375"/>
      <c r="ED550" s="375"/>
      <c r="EF550" s="373"/>
      <c r="EG550" s="374"/>
      <c r="EH550" s="375"/>
      <c r="EI550" s="375"/>
      <c r="EK550" s="373"/>
      <c r="EL550" s="374"/>
      <c r="EM550" s="375"/>
      <c r="EN550" s="375"/>
      <c r="EP550" s="373"/>
      <c r="EQ550" s="374"/>
      <c r="ER550" s="375"/>
      <c r="ES550" s="375"/>
      <c r="EU550" s="373"/>
      <c r="EV550" s="374"/>
      <c r="EW550" s="375"/>
      <c r="EX550" s="375"/>
      <c r="EZ550" s="373"/>
      <c r="FA550" s="374"/>
      <c r="FB550" s="375"/>
      <c r="FC550" s="375"/>
      <c r="FE550" s="373"/>
      <c r="FF550" s="374"/>
      <c r="FG550" s="375"/>
      <c r="FH550" s="375"/>
      <c r="FJ550" s="373"/>
      <c r="FK550" s="374"/>
      <c r="FL550" s="375"/>
      <c r="FM550" s="375"/>
      <c r="FO550" s="373"/>
      <c r="FP550" s="374"/>
      <c r="FQ550" s="375"/>
      <c r="FR550" s="375"/>
      <c r="FT550" s="373"/>
      <c r="FU550" s="374"/>
      <c r="FV550" s="375"/>
      <c r="FW550" s="375"/>
      <c r="FY550" s="373"/>
      <c r="FZ550" s="374"/>
      <c r="GA550" s="375"/>
      <c r="GB550" s="375"/>
      <c r="GD550" s="373"/>
      <c r="GE550" s="374"/>
      <c r="GF550" s="375"/>
      <c r="GG550" s="375"/>
      <c r="GI550" s="373"/>
      <c r="GJ550" s="374"/>
      <c r="GK550" s="375"/>
      <c r="GL550" s="375"/>
      <c r="GN550" s="373"/>
      <c r="GO550" s="374"/>
      <c r="GP550" s="375"/>
      <c r="GQ550" s="375"/>
      <c r="GS550" s="373"/>
      <c r="GT550" s="374"/>
      <c r="GU550" s="375"/>
      <c r="GV550" s="375"/>
      <c r="GX550" s="373"/>
      <c r="GY550" s="374"/>
      <c r="GZ550" s="375"/>
      <c r="HA550" s="375"/>
      <c r="HC550" s="373"/>
      <c r="HD550" s="374"/>
      <c r="HE550" s="375"/>
      <c r="HF550" s="375"/>
      <c r="HH550" s="373"/>
      <c r="HI550" s="374"/>
      <c r="HJ550" s="375"/>
      <c r="HK550" s="375"/>
      <c r="HM550" s="373"/>
      <c r="HN550" s="374"/>
      <c r="HO550" s="375"/>
      <c r="HP550" s="375"/>
      <c r="HR550" s="373"/>
      <c r="HS550" s="374"/>
      <c r="HT550" s="375"/>
      <c r="HU550" s="375"/>
      <c r="HW550" s="373"/>
      <c r="HX550" s="374"/>
      <c r="HY550" s="375"/>
      <c r="HZ550" s="375"/>
      <c r="IB550" s="373"/>
      <c r="IC550" s="374"/>
      <c r="ID550" s="375"/>
      <c r="IE550" s="375"/>
      <c r="IG550" s="373"/>
      <c r="IH550" s="374"/>
      <c r="II550" s="375"/>
      <c r="IJ550" s="375"/>
      <c r="IL550" s="373"/>
      <c r="IM550" s="374"/>
      <c r="IN550" s="375"/>
      <c r="IO550" s="375"/>
      <c r="IQ550" s="373"/>
      <c r="IR550" s="374"/>
      <c r="IS550" s="375"/>
      <c r="IT550" s="375"/>
      <c r="IV550" s="373"/>
    </row>
    <row r="551" spans="1:256" s="376" customFormat="1" x14ac:dyDescent="0.2">
      <c r="A551" s="373"/>
      <c r="B551" s="374"/>
      <c r="C551" s="375"/>
      <c r="D551" s="375"/>
      <c r="F551" s="373"/>
      <c r="G551" s="374"/>
      <c r="H551" s="375"/>
      <c r="I551" s="375"/>
      <c r="K551" s="373"/>
      <c r="L551" s="374"/>
      <c r="M551" s="375"/>
      <c r="N551" s="375"/>
      <c r="P551" s="373"/>
      <c r="Q551" s="374"/>
      <c r="R551" s="375"/>
      <c r="S551" s="375"/>
      <c r="U551" s="373"/>
      <c r="V551" s="374"/>
      <c r="W551" s="375"/>
      <c r="X551" s="375"/>
      <c r="Z551" s="373"/>
      <c r="AA551" s="374"/>
      <c r="AB551" s="375"/>
      <c r="AC551" s="375"/>
      <c r="AE551" s="373"/>
      <c r="AF551" s="374"/>
      <c r="AG551" s="375"/>
      <c r="AH551" s="375"/>
      <c r="AJ551" s="373"/>
      <c r="AK551" s="374"/>
      <c r="AL551" s="375"/>
      <c r="AM551" s="375"/>
      <c r="AO551" s="373"/>
      <c r="AP551" s="374"/>
      <c r="AQ551" s="375"/>
      <c r="AR551" s="375"/>
      <c r="AT551" s="373"/>
      <c r="AU551" s="374"/>
      <c r="AV551" s="375"/>
      <c r="AW551" s="375"/>
      <c r="AY551" s="373"/>
      <c r="AZ551" s="374"/>
      <c r="BA551" s="375"/>
      <c r="BB551" s="375"/>
      <c r="BD551" s="373"/>
      <c r="BE551" s="374"/>
      <c r="BF551" s="375"/>
      <c r="BG551" s="375"/>
      <c r="BI551" s="373"/>
      <c r="BJ551" s="374"/>
      <c r="BK551" s="375"/>
      <c r="BL551" s="375"/>
      <c r="BN551" s="373"/>
      <c r="BO551" s="374"/>
      <c r="BP551" s="375"/>
      <c r="BQ551" s="375"/>
      <c r="BS551" s="373"/>
      <c r="BT551" s="374"/>
      <c r="BU551" s="375"/>
      <c r="BV551" s="375"/>
      <c r="BX551" s="373"/>
      <c r="BY551" s="374"/>
      <c r="BZ551" s="375"/>
      <c r="CA551" s="375"/>
      <c r="CC551" s="373"/>
      <c r="CD551" s="374"/>
      <c r="CE551" s="375"/>
      <c r="CF551" s="375"/>
      <c r="CH551" s="373"/>
      <c r="CI551" s="374"/>
      <c r="CJ551" s="375"/>
      <c r="CK551" s="375"/>
      <c r="CM551" s="373"/>
      <c r="CN551" s="374"/>
      <c r="CO551" s="375"/>
      <c r="CP551" s="375"/>
      <c r="CR551" s="373"/>
      <c r="CS551" s="374"/>
      <c r="CT551" s="375"/>
      <c r="CU551" s="375"/>
      <c r="CW551" s="373"/>
      <c r="CX551" s="374"/>
      <c r="CY551" s="375"/>
      <c r="CZ551" s="375"/>
      <c r="DB551" s="373"/>
      <c r="DC551" s="374"/>
      <c r="DD551" s="375"/>
      <c r="DE551" s="375"/>
      <c r="DG551" s="373"/>
      <c r="DH551" s="374"/>
      <c r="DI551" s="375"/>
      <c r="DJ551" s="375"/>
      <c r="DL551" s="373"/>
      <c r="DM551" s="374"/>
      <c r="DN551" s="375"/>
      <c r="DO551" s="375"/>
      <c r="DQ551" s="373"/>
      <c r="DR551" s="374"/>
      <c r="DS551" s="375"/>
      <c r="DT551" s="375"/>
      <c r="DV551" s="373"/>
      <c r="DW551" s="374"/>
      <c r="DX551" s="375"/>
      <c r="DY551" s="375"/>
      <c r="EA551" s="373"/>
      <c r="EB551" s="374"/>
      <c r="EC551" s="375"/>
      <c r="ED551" s="375"/>
      <c r="EF551" s="373"/>
      <c r="EG551" s="374"/>
      <c r="EH551" s="375"/>
      <c r="EI551" s="375"/>
      <c r="EK551" s="373"/>
      <c r="EL551" s="374"/>
      <c r="EM551" s="375"/>
      <c r="EN551" s="375"/>
      <c r="EP551" s="373"/>
      <c r="EQ551" s="374"/>
      <c r="ER551" s="375"/>
      <c r="ES551" s="375"/>
      <c r="EU551" s="373"/>
      <c r="EV551" s="374"/>
      <c r="EW551" s="375"/>
      <c r="EX551" s="375"/>
      <c r="EZ551" s="373"/>
      <c r="FA551" s="374"/>
      <c r="FB551" s="375"/>
      <c r="FC551" s="375"/>
      <c r="FE551" s="373"/>
      <c r="FF551" s="374"/>
      <c r="FG551" s="375"/>
      <c r="FH551" s="375"/>
      <c r="FJ551" s="373"/>
      <c r="FK551" s="374"/>
      <c r="FL551" s="375"/>
      <c r="FM551" s="375"/>
      <c r="FO551" s="373"/>
      <c r="FP551" s="374"/>
      <c r="FQ551" s="375"/>
      <c r="FR551" s="375"/>
      <c r="FT551" s="373"/>
      <c r="FU551" s="374"/>
      <c r="FV551" s="375"/>
      <c r="FW551" s="375"/>
      <c r="FY551" s="373"/>
      <c r="FZ551" s="374"/>
      <c r="GA551" s="375"/>
      <c r="GB551" s="375"/>
      <c r="GD551" s="373"/>
      <c r="GE551" s="374"/>
      <c r="GF551" s="375"/>
      <c r="GG551" s="375"/>
      <c r="GI551" s="373"/>
      <c r="GJ551" s="374"/>
      <c r="GK551" s="375"/>
      <c r="GL551" s="375"/>
      <c r="GN551" s="373"/>
      <c r="GO551" s="374"/>
      <c r="GP551" s="375"/>
      <c r="GQ551" s="375"/>
      <c r="GS551" s="373"/>
      <c r="GT551" s="374"/>
      <c r="GU551" s="375"/>
      <c r="GV551" s="375"/>
      <c r="GX551" s="373"/>
      <c r="GY551" s="374"/>
      <c r="GZ551" s="375"/>
      <c r="HA551" s="375"/>
      <c r="HC551" s="373"/>
      <c r="HD551" s="374"/>
      <c r="HE551" s="375"/>
      <c r="HF551" s="375"/>
      <c r="HH551" s="373"/>
      <c r="HI551" s="374"/>
      <c r="HJ551" s="375"/>
      <c r="HK551" s="375"/>
      <c r="HM551" s="373"/>
      <c r="HN551" s="374"/>
      <c r="HO551" s="375"/>
      <c r="HP551" s="375"/>
      <c r="HR551" s="373"/>
      <c r="HS551" s="374"/>
      <c r="HT551" s="375"/>
      <c r="HU551" s="375"/>
      <c r="HW551" s="373"/>
      <c r="HX551" s="374"/>
      <c r="HY551" s="375"/>
      <c r="HZ551" s="375"/>
      <c r="IB551" s="373"/>
      <c r="IC551" s="374"/>
      <c r="ID551" s="375"/>
      <c r="IE551" s="375"/>
      <c r="IG551" s="373"/>
      <c r="IH551" s="374"/>
      <c r="II551" s="375"/>
      <c r="IJ551" s="375"/>
      <c r="IL551" s="373"/>
      <c r="IM551" s="374"/>
      <c r="IN551" s="375"/>
      <c r="IO551" s="375"/>
      <c r="IQ551" s="373"/>
      <c r="IR551" s="374"/>
      <c r="IS551" s="375"/>
      <c r="IT551" s="375"/>
      <c r="IV551" s="373"/>
    </row>
    <row r="552" spans="1:256" s="376" customFormat="1" x14ac:dyDescent="0.2">
      <c r="A552" s="373"/>
      <c r="B552" s="374"/>
      <c r="C552" s="375"/>
      <c r="D552" s="375"/>
      <c r="F552" s="373"/>
      <c r="G552" s="374"/>
      <c r="H552" s="375"/>
      <c r="I552" s="375"/>
      <c r="K552" s="373"/>
      <c r="L552" s="374"/>
      <c r="M552" s="375"/>
      <c r="N552" s="375"/>
      <c r="P552" s="373"/>
      <c r="Q552" s="374"/>
      <c r="R552" s="375"/>
      <c r="S552" s="375"/>
      <c r="U552" s="373"/>
      <c r="V552" s="374"/>
      <c r="W552" s="375"/>
      <c r="X552" s="375"/>
      <c r="Z552" s="373"/>
      <c r="AA552" s="374"/>
      <c r="AB552" s="375"/>
      <c r="AC552" s="375"/>
      <c r="AE552" s="373"/>
      <c r="AF552" s="374"/>
      <c r="AG552" s="375"/>
      <c r="AH552" s="375"/>
      <c r="AJ552" s="373"/>
      <c r="AK552" s="374"/>
      <c r="AL552" s="375"/>
      <c r="AM552" s="375"/>
      <c r="AO552" s="373"/>
      <c r="AP552" s="374"/>
      <c r="AQ552" s="375"/>
      <c r="AR552" s="375"/>
      <c r="AT552" s="373"/>
      <c r="AU552" s="374"/>
      <c r="AV552" s="375"/>
      <c r="AW552" s="375"/>
      <c r="AY552" s="373"/>
      <c r="AZ552" s="374"/>
      <c r="BA552" s="375"/>
      <c r="BB552" s="375"/>
      <c r="BD552" s="373"/>
      <c r="BE552" s="374"/>
      <c r="BF552" s="375"/>
      <c r="BG552" s="375"/>
      <c r="BI552" s="373"/>
      <c r="BJ552" s="374"/>
      <c r="BK552" s="375"/>
      <c r="BL552" s="375"/>
      <c r="BN552" s="373"/>
      <c r="BO552" s="374"/>
      <c r="BP552" s="375"/>
      <c r="BQ552" s="375"/>
      <c r="BS552" s="373"/>
      <c r="BT552" s="374"/>
      <c r="BU552" s="375"/>
      <c r="BV552" s="375"/>
      <c r="BX552" s="373"/>
      <c r="BY552" s="374"/>
      <c r="BZ552" s="375"/>
      <c r="CA552" s="375"/>
      <c r="CC552" s="373"/>
      <c r="CD552" s="374"/>
      <c r="CE552" s="375"/>
      <c r="CF552" s="375"/>
      <c r="CH552" s="373"/>
      <c r="CI552" s="374"/>
      <c r="CJ552" s="375"/>
      <c r="CK552" s="375"/>
      <c r="CM552" s="373"/>
      <c r="CN552" s="374"/>
      <c r="CO552" s="375"/>
      <c r="CP552" s="375"/>
      <c r="CR552" s="373"/>
      <c r="CS552" s="374"/>
      <c r="CT552" s="375"/>
      <c r="CU552" s="375"/>
      <c r="CW552" s="373"/>
      <c r="CX552" s="374"/>
      <c r="CY552" s="375"/>
      <c r="CZ552" s="375"/>
      <c r="DB552" s="373"/>
      <c r="DC552" s="374"/>
      <c r="DD552" s="375"/>
      <c r="DE552" s="375"/>
      <c r="DG552" s="373"/>
      <c r="DH552" s="374"/>
      <c r="DI552" s="375"/>
      <c r="DJ552" s="375"/>
      <c r="DL552" s="373"/>
      <c r="DM552" s="374"/>
      <c r="DN552" s="375"/>
      <c r="DO552" s="375"/>
      <c r="DQ552" s="373"/>
      <c r="DR552" s="374"/>
      <c r="DS552" s="375"/>
      <c r="DT552" s="375"/>
      <c r="DV552" s="373"/>
      <c r="DW552" s="374"/>
      <c r="DX552" s="375"/>
      <c r="DY552" s="375"/>
      <c r="EA552" s="373"/>
      <c r="EB552" s="374"/>
      <c r="EC552" s="375"/>
      <c r="ED552" s="375"/>
      <c r="EF552" s="373"/>
      <c r="EG552" s="374"/>
      <c r="EH552" s="375"/>
      <c r="EI552" s="375"/>
      <c r="EK552" s="373"/>
      <c r="EL552" s="374"/>
      <c r="EM552" s="375"/>
      <c r="EN552" s="375"/>
      <c r="EP552" s="373"/>
      <c r="EQ552" s="374"/>
      <c r="ER552" s="375"/>
      <c r="ES552" s="375"/>
      <c r="EU552" s="373"/>
      <c r="EV552" s="374"/>
      <c r="EW552" s="375"/>
      <c r="EX552" s="375"/>
      <c r="EZ552" s="373"/>
      <c r="FA552" s="374"/>
      <c r="FB552" s="375"/>
      <c r="FC552" s="375"/>
      <c r="FE552" s="373"/>
      <c r="FF552" s="374"/>
      <c r="FG552" s="375"/>
      <c r="FH552" s="375"/>
      <c r="FJ552" s="373"/>
      <c r="FK552" s="374"/>
      <c r="FL552" s="375"/>
      <c r="FM552" s="375"/>
      <c r="FO552" s="373"/>
      <c r="FP552" s="374"/>
      <c r="FQ552" s="375"/>
      <c r="FR552" s="375"/>
      <c r="FT552" s="373"/>
      <c r="FU552" s="374"/>
      <c r="FV552" s="375"/>
      <c r="FW552" s="375"/>
      <c r="FY552" s="373"/>
      <c r="FZ552" s="374"/>
      <c r="GA552" s="375"/>
      <c r="GB552" s="375"/>
      <c r="GD552" s="373"/>
      <c r="GE552" s="374"/>
      <c r="GF552" s="375"/>
      <c r="GG552" s="375"/>
      <c r="GI552" s="373"/>
      <c r="GJ552" s="374"/>
      <c r="GK552" s="375"/>
      <c r="GL552" s="375"/>
      <c r="GN552" s="373"/>
      <c r="GO552" s="374"/>
      <c r="GP552" s="375"/>
      <c r="GQ552" s="375"/>
      <c r="GS552" s="373"/>
      <c r="GT552" s="374"/>
      <c r="GU552" s="375"/>
      <c r="GV552" s="375"/>
      <c r="GX552" s="373"/>
      <c r="GY552" s="374"/>
      <c r="GZ552" s="375"/>
      <c r="HA552" s="375"/>
      <c r="HC552" s="373"/>
      <c r="HD552" s="374"/>
      <c r="HE552" s="375"/>
      <c r="HF552" s="375"/>
      <c r="HH552" s="373"/>
      <c r="HI552" s="374"/>
      <c r="HJ552" s="375"/>
      <c r="HK552" s="375"/>
      <c r="HM552" s="373"/>
      <c r="HN552" s="374"/>
      <c r="HO552" s="375"/>
      <c r="HP552" s="375"/>
      <c r="HR552" s="373"/>
      <c r="HS552" s="374"/>
      <c r="HT552" s="375"/>
      <c r="HU552" s="375"/>
      <c r="HW552" s="373"/>
      <c r="HX552" s="374"/>
      <c r="HY552" s="375"/>
      <c r="HZ552" s="375"/>
      <c r="IB552" s="373"/>
      <c r="IC552" s="374"/>
      <c r="ID552" s="375"/>
      <c r="IE552" s="375"/>
      <c r="IG552" s="373"/>
      <c r="IH552" s="374"/>
      <c r="II552" s="375"/>
      <c r="IJ552" s="375"/>
      <c r="IL552" s="373"/>
      <c r="IM552" s="374"/>
      <c r="IN552" s="375"/>
      <c r="IO552" s="375"/>
      <c r="IQ552" s="373"/>
      <c r="IR552" s="374"/>
      <c r="IS552" s="375"/>
      <c r="IT552" s="375"/>
      <c r="IV552" s="373"/>
    </row>
    <row r="553" spans="1:256" s="376" customFormat="1" x14ac:dyDescent="0.2">
      <c r="A553" s="373"/>
      <c r="B553" s="374"/>
      <c r="C553" s="375"/>
      <c r="D553" s="375"/>
      <c r="F553" s="373"/>
      <c r="G553" s="374"/>
      <c r="H553" s="375"/>
      <c r="I553" s="375"/>
      <c r="K553" s="373"/>
      <c r="L553" s="374"/>
      <c r="M553" s="375"/>
      <c r="N553" s="375"/>
      <c r="P553" s="373"/>
      <c r="Q553" s="374"/>
      <c r="R553" s="375"/>
      <c r="S553" s="375"/>
      <c r="U553" s="373"/>
      <c r="V553" s="374"/>
      <c r="W553" s="375"/>
      <c r="X553" s="375"/>
      <c r="Z553" s="373"/>
      <c r="AA553" s="374"/>
      <c r="AB553" s="375"/>
      <c r="AC553" s="375"/>
      <c r="AE553" s="373"/>
      <c r="AF553" s="374"/>
      <c r="AG553" s="375"/>
      <c r="AH553" s="375"/>
      <c r="AJ553" s="373"/>
      <c r="AK553" s="374"/>
      <c r="AL553" s="375"/>
      <c r="AM553" s="375"/>
      <c r="AO553" s="373"/>
      <c r="AP553" s="374"/>
      <c r="AQ553" s="375"/>
      <c r="AR553" s="375"/>
      <c r="AT553" s="373"/>
      <c r="AU553" s="374"/>
      <c r="AV553" s="375"/>
      <c r="AW553" s="375"/>
      <c r="AY553" s="373"/>
      <c r="AZ553" s="374"/>
      <c r="BA553" s="375"/>
      <c r="BB553" s="375"/>
      <c r="BD553" s="373"/>
      <c r="BE553" s="374"/>
      <c r="BF553" s="375"/>
      <c r="BG553" s="375"/>
      <c r="BI553" s="373"/>
      <c r="BJ553" s="374"/>
      <c r="BK553" s="375"/>
      <c r="BL553" s="375"/>
      <c r="BN553" s="373"/>
      <c r="BO553" s="374"/>
      <c r="BP553" s="375"/>
      <c r="BQ553" s="375"/>
      <c r="BS553" s="373"/>
      <c r="BT553" s="374"/>
      <c r="BU553" s="375"/>
      <c r="BV553" s="375"/>
      <c r="BX553" s="373"/>
      <c r="BY553" s="374"/>
      <c r="BZ553" s="375"/>
      <c r="CA553" s="375"/>
      <c r="CC553" s="373"/>
      <c r="CD553" s="374"/>
      <c r="CE553" s="375"/>
      <c r="CF553" s="375"/>
      <c r="CH553" s="373"/>
      <c r="CI553" s="374"/>
      <c r="CJ553" s="375"/>
      <c r="CK553" s="375"/>
      <c r="CM553" s="373"/>
      <c r="CN553" s="374"/>
      <c r="CO553" s="375"/>
      <c r="CP553" s="375"/>
      <c r="CR553" s="373"/>
      <c r="CS553" s="374"/>
      <c r="CT553" s="375"/>
      <c r="CU553" s="375"/>
      <c r="CW553" s="373"/>
      <c r="CX553" s="374"/>
      <c r="CY553" s="375"/>
      <c r="CZ553" s="375"/>
      <c r="DB553" s="373"/>
      <c r="DC553" s="374"/>
      <c r="DD553" s="375"/>
      <c r="DE553" s="375"/>
      <c r="DG553" s="373"/>
      <c r="DH553" s="374"/>
      <c r="DI553" s="375"/>
      <c r="DJ553" s="375"/>
      <c r="DL553" s="373"/>
      <c r="DM553" s="374"/>
      <c r="DN553" s="375"/>
      <c r="DO553" s="375"/>
      <c r="DQ553" s="373"/>
      <c r="DR553" s="374"/>
      <c r="DS553" s="375"/>
      <c r="DT553" s="375"/>
      <c r="DV553" s="373"/>
      <c r="DW553" s="374"/>
      <c r="DX553" s="375"/>
      <c r="DY553" s="375"/>
      <c r="EA553" s="373"/>
      <c r="EB553" s="374"/>
      <c r="EC553" s="375"/>
      <c r="ED553" s="375"/>
      <c r="EF553" s="373"/>
      <c r="EG553" s="374"/>
      <c r="EH553" s="375"/>
      <c r="EI553" s="375"/>
      <c r="EK553" s="373"/>
      <c r="EL553" s="374"/>
      <c r="EM553" s="375"/>
      <c r="EN553" s="375"/>
      <c r="EP553" s="373"/>
      <c r="EQ553" s="374"/>
      <c r="ER553" s="375"/>
      <c r="ES553" s="375"/>
      <c r="EU553" s="373"/>
      <c r="EV553" s="374"/>
      <c r="EW553" s="375"/>
      <c r="EX553" s="375"/>
      <c r="EZ553" s="373"/>
      <c r="FA553" s="374"/>
      <c r="FB553" s="375"/>
      <c r="FC553" s="375"/>
      <c r="FE553" s="373"/>
      <c r="FF553" s="374"/>
      <c r="FG553" s="375"/>
      <c r="FH553" s="375"/>
      <c r="FJ553" s="373"/>
      <c r="FK553" s="374"/>
      <c r="FL553" s="375"/>
      <c r="FM553" s="375"/>
      <c r="FO553" s="373"/>
      <c r="FP553" s="374"/>
      <c r="FQ553" s="375"/>
      <c r="FR553" s="375"/>
      <c r="FT553" s="373"/>
      <c r="FU553" s="374"/>
      <c r="FV553" s="375"/>
      <c r="FW553" s="375"/>
      <c r="FY553" s="373"/>
      <c r="FZ553" s="374"/>
      <c r="GA553" s="375"/>
      <c r="GB553" s="375"/>
      <c r="GD553" s="373"/>
      <c r="GE553" s="374"/>
      <c r="GF553" s="375"/>
      <c r="GG553" s="375"/>
      <c r="GI553" s="373"/>
      <c r="GJ553" s="374"/>
      <c r="GK553" s="375"/>
      <c r="GL553" s="375"/>
      <c r="GN553" s="373"/>
      <c r="GO553" s="374"/>
      <c r="GP553" s="375"/>
      <c r="GQ553" s="375"/>
      <c r="GS553" s="373"/>
      <c r="GT553" s="374"/>
      <c r="GU553" s="375"/>
      <c r="GV553" s="375"/>
      <c r="GX553" s="373"/>
      <c r="GY553" s="374"/>
      <c r="GZ553" s="375"/>
      <c r="HA553" s="375"/>
      <c r="HC553" s="373"/>
      <c r="HD553" s="374"/>
      <c r="HE553" s="375"/>
      <c r="HF553" s="375"/>
      <c r="HH553" s="373"/>
      <c r="HI553" s="374"/>
      <c r="HJ553" s="375"/>
      <c r="HK553" s="375"/>
      <c r="HM553" s="373"/>
      <c r="HN553" s="374"/>
      <c r="HO553" s="375"/>
      <c r="HP553" s="375"/>
      <c r="HR553" s="373"/>
      <c r="HS553" s="374"/>
      <c r="HT553" s="375"/>
      <c r="HU553" s="375"/>
      <c r="HW553" s="373"/>
      <c r="HX553" s="374"/>
      <c r="HY553" s="375"/>
      <c r="HZ553" s="375"/>
      <c r="IB553" s="373"/>
      <c r="IC553" s="374"/>
      <c r="ID553" s="375"/>
      <c r="IE553" s="375"/>
      <c r="IG553" s="373"/>
      <c r="IH553" s="374"/>
      <c r="II553" s="375"/>
      <c r="IJ553" s="375"/>
      <c r="IL553" s="373"/>
      <c r="IM553" s="374"/>
      <c r="IN553" s="375"/>
      <c r="IO553" s="375"/>
      <c r="IQ553" s="373"/>
      <c r="IR553" s="374"/>
      <c r="IS553" s="375"/>
      <c r="IT553" s="375"/>
      <c r="IV553" s="373"/>
    </row>
    <row r="554" spans="1:256" s="376" customFormat="1" x14ac:dyDescent="0.2">
      <c r="A554" s="373"/>
      <c r="B554" s="374"/>
      <c r="C554" s="375"/>
      <c r="D554" s="375"/>
      <c r="F554" s="373"/>
      <c r="G554" s="374"/>
      <c r="H554" s="375"/>
      <c r="I554" s="375"/>
      <c r="K554" s="373"/>
      <c r="L554" s="374"/>
      <c r="M554" s="375"/>
      <c r="N554" s="375"/>
      <c r="P554" s="373"/>
      <c r="Q554" s="374"/>
      <c r="R554" s="375"/>
      <c r="S554" s="375"/>
      <c r="U554" s="373"/>
      <c r="V554" s="374"/>
      <c r="W554" s="375"/>
      <c r="X554" s="375"/>
      <c r="Z554" s="373"/>
      <c r="AA554" s="374"/>
      <c r="AB554" s="375"/>
      <c r="AC554" s="375"/>
      <c r="AE554" s="373"/>
      <c r="AF554" s="374"/>
      <c r="AG554" s="375"/>
      <c r="AH554" s="375"/>
      <c r="AJ554" s="373"/>
      <c r="AK554" s="374"/>
      <c r="AL554" s="375"/>
      <c r="AM554" s="375"/>
      <c r="AO554" s="373"/>
      <c r="AP554" s="374"/>
      <c r="AQ554" s="375"/>
      <c r="AR554" s="375"/>
      <c r="AT554" s="373"/>
      <c r="AU554" s="374"/>
      <c r="AV554" s="375"/>
      <c r="AW554" s="375"/>
      <c r="AY554" s="373"/>
      <c r="AZ554" s="374"/>
      <c r="BA554" s="375"/>
      <c r="BB554" s="375"/>
      <c r="BD554" s="373"/>
      <c r="BE554" s="374"/>
      <c r="BF554" s="375"/>
      <c r="BG554" s="375"/>
      <c r="BI554" s="373"/>
      <c r="BJ554" s="374"/>
      <c r="BK554" s="375"/>
      <c r="BL554" s="375"/>
      <c r="BN554" s="373"/>
      <c r="BO554" s="374"/>
      <c r="BP554" s="375"/>
      <c r="BQ554" s="375"/>
      <c r="BS554" s="373"/>
      <c r="BT554" s="374"/>
      <c r="BU554" s="375"/>
      <c r="BV554" s="375"/>
      <c r="BX554" s="373"/>
      <c r="BY554" s="374"/>
      <c r="BZ554" s="375"/>
      <c r="CA554" s="375"/>
      <c r="CC554" s="373"/>
      <c r="CD554" s="374"/>
      <c r="CE554" s="375"/>
      <c r="CF554" s="375"/>
      <c r="CH554" s="373"/>
      <c r="CI554" s="374"/>
      <c r="CJ554" s="375"/>
      <c r="CK554" s="375"/>
      <c r="CM554" s="373"/>
      <c r="CN554" s="374"/>
      <c r="CO554" s="375"/>
      <c r="CP554" s="375"/>
      <c r="CR554" s="373"/>
      <c r="CS554" s="374"/>
      <c r="CT554" s="375"/>
      <c r="CU554" s="375"/>
      <c r="CW554" s="373"/>
      <c r="CX554" s="374"/>
      <c r="CY554" s="375"/>
      <c r="CZ554" s="375"/>
      <c r="DB554" s="373"/>
      <c r="DC554" s="374"/>
      <c r="DD554" s="375"/>
      <c r="DE554" s="375"/>
      <c r="DG554" s="373"/>
      <c r="DH554" s="374"/>
      <c r="DI554" s="375"/>
      <c r="DJ554" s="375"/>
      <c r="DL554" s="373"/>
      <c r="DM554" s="374"/>
      <c r="DN554" s="375"/>
      <c r="DO554" s="375"/>
      <c r="DQ554" s="373"/>
      <c r="DR554" s="374"/>
      <c r="DS554" s="375"/>
      <c r="DT554" s="375"/>
      <c r="DV554" s="373"/>
      <c r="DW554" s="374"/>
      <c r="DX554" s="375"/>
      <c r="DY554" s="375"/>
      <c r="EA554" s="373"/>
      <c r="EB554" s="374"/>
      <c r="EC554" s="375"/>
      <c r="ED554" s="375"/>
      <c r="EF554" s="373"/>
      <c r="EG554" s="374"/>
      <c r="EH554" s="375"/>
      <c r="EI554" s="375"/>
      <c r="EK554" s="373"/>
      <c r="EL554" s="374"/>
      <c r="EM554" s="375"/>
      <c r="EN554" s="375"/>
      <c r="EP554" s="373"/>
      <c r="EQ554" s="374"/>
      <c r="ER554" s="375"/>
      <c r="ES554" s="375"/>
      <c r="EU554" s="373"/>
      <c r="EV554" s="374"/>
      <c r="EW554" s="375"/>
      <c r="EX554" s="375"/>
      <c r="EZ554" s="373"/>
      <c r="FA554" s="374"/>
      <c r="FB554" s="375"/>
      <c r="FC554" s="375"/>
      <c r="FE554" s="373"/>
      <c r="FF554" s="374"/>
      <c r="FG554" s="375"/>
      <c r="FH554" s="375"/>
      <c r="FJ554" s="373"/>
      <c r="FK554" s="374"/>
      <c r="FL554" s="375"/>
      <c r="FM554" s="375"/>
      <c r="FO554" s="373"/>
      <c r="FP554" s="374"/>
      <c r="FQ554" s="375"/>
      <c r="FR554" s="375"/>
      <c r="FT554" s="373"/>
      <c r="FU554" s="374"/>
      <c r="FV554" s="375"/>
      <c r="FW554" s="375"/>
      <c r="FY554" s="373"/>
      <c r="FZ554" s="374"/>
      <c r="GA554" s="375"/>
      <c r="GB554" s="375"/>
      <c r="GD554" s="373"/>
      <c r="GE554" s="374"/>
      <c r="GF554" s="375"/>
      <c r="GG554" s="375"/>
      <c r="GI554" s="373"/>
      <c r="GJ554" s="374"/>
      <c r="GK554" s="375"/>
      <c r="GL554" s="375"/>
      <c r="GN554" s="373"/>
      <c r="GO554" s="374"/>
      <c r="GP554" s="375"/>
      <c r="GQ554" s="375"/>
      <c r="GS554" s="373"/>
      <c r="GT554" s="374"/>
      <c r="GU554" s="375"/>
      <c r="GV554" s="375"/>
      <c r="GX554" s="373"/>
      <c r="GY554" s="374"/>
      <c r="GZ554" s="375"/>
      <c r="HA554" s="375"/>
      <c r="HC554" s="373"/>
      <c r="HD554" s="374"/>
      <c r="HE554" s="375"/>
      <c r="HF554" s="375"/>
      <c r="HH554" s="373"/>
      <c r="HI554" s="374"/>
      <c r="HJ554" s="375"/>
      <c r="HK554" s="375"/>
      <c r="HM554" s="373"/>
      <c r="HN554" s="374"/>
      <c r="HO554" s="375"/>
      <c r="HP554" s="375"/>
      <c r="HR554" s="373"/>
      <c r="HS554" s="374"/>
      <c r="HT554" s="375"/>
      <c r="HU554" s="375"/>
      <c r="HW554" s="373"/>
      <c r="HX554" s="374"/>
      <c r="HY554" s="375"/>
      <c r="HZ554" s="375"/>
      <c r="IB554" s="373"/>
      <c r="IC554" s="374"/>
      <c r="ID554" s="375"/>
      <c r="IE554" s="375"/>
      <c r="IG554" s="373"/>
      <c r="IH554" s="374"/>
      <c r="II554" s="375"/>
      <c r="IJ554" s="375"/>
      <c r="IL554" s="373"/>
      <c r="IM554" s="374"/>
      <c r="IN554" s="375"/>
      <c r="IO554" s="375"/>
      <c r="IQ554" s="373"/>
      <c r="IR554" s="374"/>
      <c r="IS554" s="375"/>
      <c r="IT554" s="375"/>
      <c r="IV554" s="373"/>
    </row>
    <row r="555" spans="1:256" s="376" customFormat="1" x14ac:dyDescent="0.2">
      <c r="A555" s="373"/>
      <c r="B555" s="374"/>
      <c r="C555" s="375"/>
      <c r="D555" s="375"/>
      <c r="F555" s="373"/>
      <c r="G555" s="374"/>
      <c r="H555" s="375"/>
      <c r="I555" s="375"/>
      <c r="K555" s="373"/>
      <c r="L555" s="374"/>
      <c r="M555" s="375"/>
      <c r="N555" s="375"/>
      <c r="P555" s="373"/>
      <c r="Q555" s="374"/>
      <c r="R555" s="375"/>
      <c r="S555" s="375"/>
      <c r="U555" s="373"/>
      <c r="V555" s="374"/>
      <c r="W555" s="375"/>
      <c r="X555" s="375"/>
      <c r="Z555" s="373"/>
      <c r="AA555" s="374"/>
      <c r="AB555" s="375"/>
      <c r="AC555" s="375"/>
      <c r="AE555" s="373"/>
      <c r="AF555" s="374"/>
      <c r="AG555" s="375"/>
      <c r="AH555" s="375"/>
      <c r="AJ555" s="373"/>
      <c r="AK555" s="374"/>
      <c r="AL555" s="375"/>
      <c r="AM555" s="375"/>
      <c r="AO555" s="373"/>
      <c r="AP555" s="374"/>
      <c r="AQ555" s="375"/>
      <c r="AR555" s="375"/>
      <c r="AT555" s="373"/>
      <c r="AU555" s="374"/>
      <c r="AV555" s="375"/>
      <c r="AW555" s="375"/>
      <c r="AY555" s="373"/>
      <c r="AZ555" s="374"/>
      <c r="BA555" s="375"/>
      <c r="BB555" s="375"/>
      <c r="BD555" s="373"/>
      <c r="BE555" s="374"/>
      <c r="BF555" s="375"/>
      <c r="BG555" s="375"/>
      <c r="BI555" s="373"/>
      <c r="BJ555" s="374"/>
      <c r="BK555" s="375"/>
      <c r="BL555" s="375"/>
      <c r="BN555" s="373"/>
      <c r="BO555" s="374"/>
      <c r="BP555" s="375"/>
      <c r="BQ555" s="375"/>
      <c r="BS555" s="373"/>
      <c r="BT555" s="374"/>
      <c r="BU555" s="375"/>
      <c r="BV555" s="375"/>
      <c r="BX555" s="373"/>
      <c r="BY555" s="374"/>
      <c r="BZ555" s="375"/>
      <c r="CA555" s="375"/>
      <c r="CC555" s="373"/>
      <c r="CD555" s="374"/>
      <c r="CE555" s="375"/>
      <c r="CF555" s="375"/>
      <c r="CH555" s="373"/>
      <c r="CI555" s="374"/>
      <c r="CJ555" s="375"/>
      <c r="CK555" s="375"/>
      <c r="CM555" s="373"/>
      <c r="CN555" s="374"/>
      <c r="CO555" s="375"/>
      <c r="CP555" s="375"/>
      <c r="CR555" s="373"/>
      <c r="CS555" s="374"/>
      <c r="CT555" s="375"/>
      <c r="CU555" s="375"/>
      <c r="CW555" s="373"/>
      <c r="CX555" s="374"/>
      <c r="CY555" s="375"/>
      <c r="CZ555" s="375"/>
      <c r="DB555" s="373"/>
      <c r="DC555" s="374"/>
      <c r="DD555" s="375"/>
      <c r="DE555" s="375"/>
      <c r="DG555" s="373"/>
      <c r="DH555" s="374"/>
      <c r="DI555" s="375"/>
      <c r="DJ555" s="375"/>
      <c r="DL555" s="373"/>
      <c r="DM555" s="374"/>
      <c r="DN555" s="375"/>
      <c r="DO555" s="375"/>
      <c r="DQ555" s="373"/>
      <c r="DR555" s="374"/>
      <c r="DS555" s="375"/>
      <c r="DT555" s="375"/>
      <c r="DV555" s="373"/>
      <c r="DW555" s="374"/>
      <c r="DX555" s="375"/>
      <c r="DY555" s="375"/>
      <c r="EA555" s="373"/>
      <c r="EB555" s="374"/>
      <c r="EC555" s="375"/>
      <c r="ED555" s="375"/>
      <c r="EF555" s="373"/>
      <c r="EG555" s="374"/>
      <c r="EH555" s="375"/>
      <c r="EI555" s="375"/>
      <c r="EK555" s="373"/>
      <c r="EL555" s="374"/>
      <c r="EM555" s="375"/>
      <c r="EN555" s="375"/>
      <c r="EP555" s="373"/>
      <c r="EQ555" s="374"/>
      <c r="ER555" s="375"/>
      <c r="ES555" s="375"/>
      <c r="EU555" s="373"/>
      <c r="EV555" s="374"/>
      <c r="EW555" s="375"/>
      <c r="EX555" s="375"/>
      <c r="EZ555" s="373"/>
      <c r="FA555" s="374"/>
      <c r="FB555" s="375"/>
      <c r="FC555" s="375"/>
      <c r="FE555" s="373"/>
      <c r="FF555" s="374"/>
      <c r="FG555" s="375"/>
      <c r="FH555" s="375"/>
      <c r="FJ555" s="373"/>
      <c r="FK555" s="374"/>
      <c r="FL555" s="375"/>
      <c r="FM555" s="375"/>
      <c r="FO555" s="373"/>
      <c r="FP555" s="374"/>
      <c r="FQ555" s="375"/>
      <c r="FR555" s="375"/>
      <c r="FT555" s="373"/>
      <c r="FU555" s="374"/>
      <c r="FV555" s="375"/>
      <c r="FW555" s="375"/>
      <c r="FY555" s="373"/>
      <c r="FZ555" s="374"/>
      <c r="GA555" s="375"/>
      <c r="GB555" s="375"/>
      <c r="GD555" s="373"/>
      <c r="GE555" s="374"/>
      <c r="GF555" s="375"/>
      <c r="GG555" s="375"/>
      <c r="GI555" s="373"/>
      <c r="GJ555" s="374"/>
      <c r="GK555" s="375"/>
      <c r="GL555" s="375"/>
      <c r="GN555" s="373"/>
      <c r="GO555" s="374"/>
      <c r="GP555" s="375"/>
      <c r="GQ555" s="375"/>
      <c r="GS555" s="373"/>
      <c r="GT555" s="374"/>
      <c r="GU555" s="375"/>
      <c r="GV555" s="375"/>
      <c r="GX555" s="373"/>
      <c r="GY555" s="374"/>
      <c r="GZ555" s="375"/>
      <c r="HA555" s="375"/>
      <c r="HC555" s="373"/>
      <c r="HD555" s="374"/>
      <c r="HE555" s="375"/>
      <c r="HF555" s="375"/>
      <c r="HH555" s="373"/>
      <c r="HI555" s="374"/>
      <c r="HJ555" s="375"/>
      <c r="HK555" s="375"/>
      <c r="HM555" s="373"/>
      <c r="HN555" s="374"/>
      <c r="HO555" s="375"/>
      <c r="HP555" s="375"/>
      <c r="HR555" s="373"/>
      <c r="HS555" s="374"/>
      <c r="HT555" s="375"/>
      <c r="HU555" s="375"/>
      <c r="HW555" s="373"/>
      <c r="HX555" s="374"/>
      <c r="HY555" s="375"/>
      <c r="HZ555" s="375"/>
      <c r="IB555" s="373"/>
      <c r="IC555" s="374"/>
      <c r="ID555" s="375"/>
      <c r="IE555" s="375"/>
      <c r="IG555" s="373"/>
      <c r="IH555" s="374"/>
      <c r="II555" s="375"/>
      <c r="IJ555" s="375"/>
      <c r="IL555" s="373"/>
      <c r="IM555" s="374"/>
      <c r="IN555" s="375"/>
      <c r="IO555" s="375"/>
      <c r="IQ555" s="373"/>
      <c r="IR555" s="374"/>
      <c r="IS555" s="375"/>
      <c r="IT555" s="375"/>
      <c r="IV555" s="373"/>
    </row>
    <row r="556" spans="1:256" s="376" customFormat="1" x14ac:dyDescent="0.2">
      <c r="A556" s="373"/>
      <c r="B556" s="374"/>
      <c r="C556" s="375"/>
      <c r="D556" s="375"/>
      <c r="F556" s="373"/>
      <c r="G556" s="374"/>
      <c r="H556" s="375"/>
      <c r="I556" s="375"/>
      <c r="K556" s="373"/>
      <c r="L556" s="374"/>
      <c r="M556" s="375"/>
      <c r="N556" s="375"/>
      <c r="P556" s="373"/>
      <c r="Q556" s="374"/>
      <c r="R556" s="375"/>
      <c r="S556" s="375"/>
      <c r="U556" s="373"/>
      <c r="V556" s="374"/>
      <c r="W556" s="375"/>
      <c r="X556" s="375"/>
      <c r="Z556" s="373"/>
      <c r="AA556" s="374"/>
      <c r="AB556" s="375"/>
      <c r="AC556" s="375"/>
      <c r="AE556" s="373"/>
      <c r="AF556" s="374"/>
      <c r="AG556" s="375"/>
      <c r="AH556" s="375"/>
      <c r="AJ556" s="373"/>
      <c r="AK556" s="374"/>
      <c r="AL556" s="375"/>
      <c r="AM556" s="375"/>
      <c r="AO556" s="373"/>
      <c r="AP556" s="374"/>
      <c r="AQ556" s="375"/>
      <c r="AR556" s="375"/>
      <c r="AT556" s="373"/>
      <c r="AU556" s="374"/>
      <c r="AV556" s="375"/>
      <c r="AW556" s="375"/>
      <c r="AY556" s="373"/>
      <c r="AZ556" s="374"/>
      <c r="BA556" s="375"/>
      <c r="BB556" s="375"/>
      <c r="BD556" s="373"/>
      <c r="BE556" s="374"/>
      <c r="BF556" s="375"/>
      <c r="BG556" s="375"/>
      <c r="BI556" s="373"/>
      <c r="BJ556" s="374"/>
      <c r="BK556" s="375"/>
      <c r="BL556" s="375"/>
      <c r="BN556" s="373"/>
      <c r="BO556" s="374"/>
      <c r="BP556" s="375"/>
      <c r="BQ556" s="375"/>
      <c r="BS556" s="373"/>
      <c r="BT556" s="374"/>
      <c r="BU556" s="375"/>
      <c r="BV556" s="375"/>
      <c r="BX556" s="373"/>
      <c r="BY556" s="374"/>
      <c r="BZ556" s="375"/>
      <c r="CA556" s="375"/>
      <c r="CC556" s="373"/>
      <c r="CD556" s="374"/>
      <c r="CE556" s="375"/>
      <c r="CF556" s="375"/>
      <c r="CH556" s="373"/>
      <c r="CI556" s="374"/>
      <c r="CJ556" s="375"/>
      <c r="CK556" s="375"/>
      <c r="CM556" s="373"/>
      <c r="CN556" s="374"/>
      <c r="CO556" s="375"/>
      <c r="CP556" s="375"/>
      <c r="CR556" s="373"/>
      <c r="CS556" s="374"/>
      <c r="CT556" s="375"/>
      <c r="CU556" s="375"/>
      <c r="CW556" s="373"/>
      <c r="CX556" s="374"/>
      <c r="CY556" s="375"/>
      <c r="CZ556" s="375"/>
      <c r="DB556" s="373"/>
      <c r="DC556" s="374"/>
      <c r="DD556" s="375"/>
      <c r="DE556" s="375"/>
      <c r="DG556" s="373"/>
      <c r="DH556" s="374"/>
      <c r="DI556" s="375"/>
      <c r="DJ556" s="375"/>
      <c r="DL556" s="373"/>
      <c r="DM556" s="374"/>
      <c r="DN556" s="375"/>
      <c r="DO556" s="375"/>
      <c r="DQ556" s="373"/>
      <c r="DR556" s="374"/>
      <c r="DS556" s="375"/>
      <c r="DT556" s="375"/>
      <c r="DV556" s="373"/>
      <c r="DW556" s="374"/>
      <c r="DX556" s="375"/>
      <c r="DY556" s="375"/>
      <c r="EA556" s="373"/>
      <c r="EB556" s="374"/>
      <c r="EC556" s="375"/>
      <c r="ED556" s="375"/>
      <c r="EF556" s="373"/>
      <c r="EG556" s="374"/>
      <c r="EH556" s="375"/>
      <c r="EI556" s="375"/>
      <c r="EK556" s="373"/>
      <c r="EL556" s="374"/>
      <c r="EM556" s="375"/>
      <c r="EN556" s="375"/>
      <c r="EP556" s="373"/>
      <c r="EQ556" s="374"/>
      <c r="ER556" s="375"/>
      <c r="ES556" s="375"/>
      <c r="EU556" s="373"/>
      <c r="EV556" s="374"/>
      <c r="EW556" s="375"/>
      <c r="EX556" s="375"/>
      <c r="EZ556" s="373"/>
      <c r="FA556" s="374"/>
      <c r="FB556" s="375"/>
      <c r="FC556" s="375"/>
      <c r="FE556" s="373"/>
      <c r="FF556" s="374"/>
      <c r="FG556" s="375"/>
      <c r="FH556" s="375"/>
      <c r="FJ556" s="373"/>
      <c r="FK556" s="374"/>
      <c r="FL556" s="375"/>
      <c r="FM556" s="375"/>
      <c r="FO556" s="373"/>
      <c r="FP556" s="374"/>
      <c r="FQ556" s="375"/>
      <c r="FR556" s="375"/>
      <c r="FT556" s="373"/>
      <c r="FU556" s="374"/>
      <c r="FV556" s="375"/>
      <c r="FW556" s="375"/>
      <c r="FY556" s="373"/>
      <c r="FZ556" s="374"/>
      <c r="GA556" s="375"/>
      <c r="GB556" s="375"/>
      <c r="GD556" s="373"/>
      <c r="GE556" s="374"/>
      <c r="GF556" s="375"/>
      <c r="GG556" s="375"/>
      <c r="GI556" s="373"/>
      <c r="GJ556" s="374"/>
      <c r="GK556" s="375"/>
      <c r="GL556" s="375"/>
      <c r="GN556" s="373"/>
      <c r="GO556" s="374"/>
      <c r="GP556" s="375"/>
      <c r="GQ556" s="375"/>
      <c r="GS556" s="373"/>
      <c r="GT556" s="374"/>
      <c r="GU556" s="375"/>
      <c r="GV556" s="375"/>
      <c r="GX556" s="373"/>
      <c r="GY556" s="374"/>
      <c r="GZ556" s="375"/>
      <c r="HA556" s="375"/>
      <c r="HC556" s="373"/>
      <c r="HD556" s="374"/>
      <c r="HE556" s="375"/>
      <c r="HF556" s="375"/>
      <c r="HH556" s="373"/>
      <c r="HI556" s="374"/>
      <c r="HJ556" s="375"/>
      <c r="HK556" s="375"/>
      <c r="HM556" s="373"/>
      <c r="HN556" s="374"/>
      <c r="HO556" s="375"/>
      <c r="HP556" s="375"/>
      <c r="HR556" s="373"/>
      <c r="HS556" s="374"/>
      <c r="HT556" s="375"/>
      <c r="HU556" s="375"/>
      <c r="HW556" s="373"/>
      <c r="HX556" s="374"/>
      <c r="HY556" s="375"/>
      <c r="HZ556" s="375"/>
      <c r="IB556" s="373"/>
      <c r="IC556" s="374"/>
      <c r="ID556" s="375"/>
      <c r="IE556" s="375"/>
      <c r="IG556" s="373"/>
      <c r="IH556" s="374"/>
      <c r="II556" s="375"/>
      <c r="IJ556" s="375"/>
      <c r="IL556" s="373"/>
      <c r="IM556" s="374"/>
      <c r="IN556" s="375"/>
      <c r="IO556" s="375"/>
      <c r="IQ556" s="373"/>
      <c r="IR556" s="374"/>
      <c r="IS556" s="375"/>
      <c r="IT556" s="375"/>
      <c r="IV556" s="373"/>
    </row>
    <row r="557" spans="1:256" s="376" customFormat="1" x14ac:dyDescent="0.2">
      <c r="A557" s="373"/>
      <c r="B557" s="374"/>
      <c r="C557" s="375"/>
      <c r="D557" s="375"/>
      <c r="F557" s="373"/>
      <c r="G557" s="374"/>
      <c r="H557" s="375"/>
      <c r="I557" s="375"/>
      <c r="K557" s="373"/>
      <c r="L557" s="374"/>
      <c r="M557" s="375"/>
      <c r="N557" s="375"/>
      <c r="P557" s="373"/>
      <c r="Q557" s="374"/>
      <c r="R557" s="375"/>
      <c r="S557" s="375"/>
      <c r="U557" s="373"/>
      <c r="V557" s="374"/>
      <c r="W557" s="375"/>
      <c r="X557" s="375"/>
      <c r="Z557" s="373"/>
      <c r="AA557" s="374"/>
      <c r="AB557" s="375"/>
      <c r="AC557" s="375"/>
      <c r="AE557" s="373"/>
      <c r="AF557" s="374"/>
      <c r="AG557" s="375"/>
      <c r="AH557" s="375"/>
      <c r="AJ557" s="373"/>
      <c r="AK557" s="374"/>
      <c r="AL557" s="375"/>
      <c r="AM557" s="375"/>
      <c r="AO557" s="373"/>
      <c r="AP557" s="374"/>
      <c r="AQ557" s="375"/>
      <c r="AR557" s="375"/>
      <c r="AT557" s="373"/>
      <c r="AU557" s="374"/>
      <c r="AV557" s="375"/>
      <c r="AW557" s="375"/>
      <c r="AY557" s="373"/>
      <c r="AZ557" s="374"/>
      <c r="BA557" s="375"/>
      <c r="BB557" s="375"/>
      <c r="BD557" s="373"/>
      <c r="BE557" s="374"/>
      <c r="BF557" s="375"/>
      <c r="BG557" s="375"/>
      <c r="BI557" s="373"/>
      <c r="BJ557" s="374"/>
      <c r="BK557" s="375"/>
      <c r="BL557" s="375"/>
      <c r="BN557" s="373"/>
      <c r="BO557" s="374"/>
      <c r="BP557" s="375"/>
      <c r="BQ557" s="375"/>
      <c r="BS557" s="373"/>
      <c r="BT557" s="374"/>
      <c r="BU557" s="375"/>
      <c r="BV557" s="375"/>
      <c r="BX557" s="373"/>
      <c r="BY557" s="374"/>
      <c r="BZ557" s="375"/>
      <c r="CA557" s="375"/>
      <c r="CC557" s="373"/>
      <c r="CD557" s="374"/>
      <c r="CE557" s="375"/>
      <c r="CF557" s="375"/>
      <c r="CH557" s="373"/>
      <c r="CI557" s="374"/>
      <c r="CJ557" s="375"/>
      <c r="CK557" s="375"/>
      <c r="CM557" s="373"/>
      <c r="CN557" s="374"/>
      <c r="CO557" s="375"/>
      <c r="CP557" s="375"/>
      <c r="CR557" s="373"/>
      <c r="CS557" s="374"/>
      <c r="CT557" s="375"/>
      <c r="CU557" s="375"/>
      <c r="CW557" s="373"/>
      <c r="CX557" s="374"/>
      <c r="CY557" s="375"/>
      <c r="CZ557" s="375"/>
      <c r="DB557" s="373"/>
      <c r="DC557" s="374"/>
      <c r="DD557" s="375"/>
      <c r="DE557" s="375"/>
      <c r="DG557" s="373"/>
      <c r="DH557" s="374"/>
      <c r="DI557" s="375"/>
      <c r="DJ557" s="375"/>
      <c r="DL557" s="373"/>
      <c r="DM557" s="374"/>
      <c r="DN557" s="375"/>
      <c r="DO557" s="375"/>
      <c r="DQ557" s="373"/>
      <c r="DR557" s="374"/>
      <c r="DS557" s="375"/>
      <c r="DT557" s="375"/>
      <c r="DV557" s="373"/>
      <c r="DW557" s="374"/>
      <c r="DX557" s="375"/>
      <c r="DY557" s="375"/>
      <c r="EA557" s="373"/>
      <c r="EB557" s="374"/>
      <c r="EC557" s="375"/>
      <c r="ED557" s="375"/>
      <c r="EF557" s="373"/>
      <c r="EG557" s="374"/>
      <c r="EH557" s="375"/>
      <c r="EI557" s="375"/>
      <c r="EK557" s="373"/>
      <c r="EL557" s="374"/>
      <c r="EM557" s="375"/>
      <c r="EN557" s="375"/>
      <c r="EP557" s="373"/>
      <c r="EQ557" s="374"/>
      <c r="ER557" s="375"/>
      <c r="ES557" s="375"/>
      <c r="EU557" s="373"/>
      <c r="EV557" s="374"/>
      <c r="EW557" s="375"/>
      <c r="EX557" s="375"/>
      <c r="EZ557" s="373"/>
      <c r="FA557" s="374"/>
      <c r="FB557" s="375"/>
      <c r="FC557" s="375"/>
      <c r="FE557" s="373"/>
      <c r="FF557" s="374"/>
      <c r="FG557" s="375"/>
      <c r="FH557" s="375"/>
      <c r="FJ557" s="373"/>
      <c r="FK557" s="374"/>
      <c r="FL557" s="375"/>
      <c r="FM557" s="375"/>
      <c r="FO557" s="373"/>
      <c r="FP557" s="374"/>
      <c r="FQ557" s="375"/>
      <c r="FR557" s="375"/>
      <c r="FT557" s="373"/>
      <c r="FU557" s="374"/>
      <c r="FV557" s="375"/>
      <c r="FW557" s="375"/>
      <c r="FY557" s="373"/>
      <c r="FZ557" s="374"/>
      <c r="GA557" s="375"/>
      <c r="GB557" s="375"/>
      <c r="GD557" s="373"/>
      <c r="GE557" s="374"/>
      <c r="GF557" s="375"/>
      <c r="GG557" s="375"/>
      <c r="GI557" s="373"/>
      <c r="GJ557" s="374"/>
      <c r="GK557" s="375"/>
      <c r="GL557" s="375"/>
      <c r="GN557" s="373"/>
      <c r="GO557" s="374"/>
      <c r="GP557" s="375"/>
      <c r="GQ557" s="375"/>
      <c r="GS557" s="373"/>
      <c r="GT557" s="374"/>
      <c r="GU557" s="375"/>
      <c r="GV557" s="375"/>
      <c r="GX557" s="373"/>
      <c r="GY557" s="374"/>
      <c r="GZ557" s="375"/>
      <c r="HA557" s="375"/>
      <c r="HC557" s="373"/>
      <c r="HD557" s="374"/>
      <c r="HE557" s="375"/>
      <c r="HF557" s="375"/>
      <c r="HH557" s="373"/>
      <c r="HI557" s="374"/>
      <c r="HJ557" s="375"/>
      <c r="HK557" s="375"/>
      <c r="HM557" s="373"/>
      <c r="HN557" s="374"/>
      <c r="HO557" s="375"/>
      <c r="HP557" s="375"/>
      <c r="HR557" s="373"/>
      <c r="HS557" s="374"/>
      <c r="HT557" s="375"/>
      <c r="HU557" s="375"/>
      <c r="HW557" s="373"/>
      <c r="HX557" s="374"/>
      <c r="HY557" s="375"/>
      <c r="HZ557" s="375"/>
      <c r="IB557" s="373"/>
      <c r="IC557" s="374"/>
      <c r="ID557" s="375"/>
      <c r="IE557" s="375"/>
      <c r="IG557" s="373"/>
      <c r="IH557" s="374"/>
      <c r="II557" s="375"/>
      <c r="IJ557" s="375"/>
      <c r="IL557" s="373"/>
      <c r="IM557" s="374"/>
      <c r="IN557" s="375"/>
      <c r="IO557" s="375"/>
      <c r="IQ557" s="373"/>
      <c r="IR557" s="374"/>
      <c r="IS557" s="375"/>
      <c r="IT557" s="375"/>
      <c r="IV557" s="373"/>
    </row>
    <row r="558" spans="1:256" s="376" customFormat="1" x14ac:dyDescent="0.2">
      <c r="A558" s="373"/>
      <c r="B558" s="374"/>
      <c r="C558" s="375"/>
      <c r="D558" s="375"/>
      <c r="F558" s="373"/>
      <c r="G558" s="374"/>
      <c r="H558" s="375"/>
      <c r="I558" s="375"/>
      <c r="K558" s="373"/>
      <c r="L558" s="374"/>
      <c r="M558" s="375"/>
      <c r="N558" s="375"/>
      <c r="P558" s="373"/>
      <c r="Q558" s="374"/>
      <c r="R558" s="375"/>
      <c r="S558" s="375"/>
      <c r="U558" s="373"/>
      <c r="V558" s="374"/>
      <c r="W558" s="375"/>
      <c r="X558" s="375"/>
      <c r="Z558" s="373"/>
      <c r="AA558" s="374"/>
      <c r="AB558" s="375"/>
      <c r="AC558" s="375"/>
      <c r="AE558" s="373"/>
      <c r="AF558" s="374"/>
      <c r="AG558" s="375"/>
      <c r="AH558" s="375"/>
      <c r="AJ558" s="373"/>
      <c r="AK558" s="374"/>
      <c r="AL558" s="375"/>
      <c r="AM558" s="375"/>
      <c r="AO558" s="373"/>
      <c r="AP558" s="374"/>
      <c r="AQ558" s="375"/>
      <c r="AR558" s="375"/>
      <c r="AT558" s="373"/>
      <c r="AU558" s="374"/>
      <c r="AV558" s="375"/>
      <c r="AW558" s="375"/>
      <c r="AY558" s="373"/>
      <c r="AZ558" s="374"/>
      <c r="BA558" s="375"/>
      <c r="BB558" s="375"/>
      <c r="BD558" s="373"/>
      <c r="BE558" s="374"/>
      <c r="BF558" s="375"/>
      <c r="BG558" s="375"/>
      <c r="BI558" s="373"/>
      <c r="BJ558" s="374"/>
      <c r="BK558" s="375"/>
      <c r="BL558" s="375"/>
      <c r="BN558" s="373"/>
      <c r="BO558" s="374"/>
      <c r="BP558" s="375"/>
      <c r="BQ558" s="375"/>
      <c r="BS558" s="373"/>
      <c r="BT558" s="374"/>
      <c r="BU558" s="375"/>
      <c r="BV558" s="375"/>
      <c r="BX558" s="373"/>
      <c r="BY558" s="374"/>
      <c r="BZ558" s="375"/>
      <c r="CA558" s="375"/>
      <c r="CC558" s="373"/>
      <c r="CD558" s="374"/>
      <c r="CE558" s="375"/>
      <c r="CF558" s="375"/>
      <c r="CH558" s="373"/>
      <c r="CI558" s="374"/>
      <c r="CJ558" s="375"/>
      <c r="CK558" s="375"/>
      <c r="CM558" s="373"/>
      <c r="CN558" s="374"/>
      <c r="CO558" s="375"/>
      <c r="CP558" s="375"/>
      <c r="CR558" s="373"/>
      <c r="CS558" s="374"/>
      <c r="CT558" s="375"/>
      <c r="CU558" s="375"/>
      <c r="CW558" s="373"/>
      <c r="CX558" s="374"/>
      <c r="CY558" s="375"/>
      <c r="CZ558" s="375"/>
      <c r="DB558" s="373"/>
      <c r="DC558" s="374"/>
      <c r="DD558" s="375"/>
      <c r="DE558" s="375"/>
      <c r="DG558" s="373"/>
      <c r="DH558" s="374"/>
      <c r="DI558" s="375"/>
      <c r="DJ558" s="375"/>
      <c r="DL558" s="373"/>
      <c r="DM558" s="374"/>
      <c r="DN558" s="375"/>
      <c r="DO558" s="375"/>
      <c r="DQ558" s="373"/>
      <c r="DR558" s="374"/>
      <c r="DS558" s="375"/>
      <c r="DT558" s="375"/>
      <c r="DV558" s="373"/>
      <c r="DW558" s="374"/>
      <c r="DX558" s="375"/>
      <c r="DY558" s="375"/>
      <c r="EA558" s="373"/>
      <c r="EB558" s="374"/>
      <c r="EC558" s="375"/>
      <c r="ED558" s="375"/>
      <c r="EF558" s="373"/>
      <c r="EG558" s="374"/>
      <c r="EH558" s="375"/>
      <c r="EI558" s="375"/>
      <c r="EK558" s="373"/>
      <c r="EL558" s="374"/>
      <c r="EM558" s="375"/>
      <c r="EN558" s="375"/>
      <c r="EP558" s="373"/>
      <c r="EQ558" s="374"/>
      <c r="ER558" s="375"/>
      <c r="ES558" s="375"/>
      <c r="EU558" s="373"/>
      <c r="EV558" s="374"/>
      <c r="EW558" s="375"/>
      <c r="EX558" s="375"/>
      <c r="EZ558" s="373"/>
      <c r="FA558" s="374"/>
      <c r="FB558" s="375"/>
      <c r="FC558" s="375"/>
      <c r="FE558" s="373"/>
      <c r="FF558" s="374"/>
      <c r="FG558" s="375"/>
      <c r="FH558" s="375"/>
      <c r="FJ558" s="373"/>
      <c r="FK558" s="374"/>
      <c r="FL558" s="375"/>
      <c r="FM558" s="375"/>
      <c r="FO558" s="373"/>
      <c r="FP558" s="374"/>
      <c r="FQ558" s="375"/>
      <c r="FR558" s="375"/>
      <c r="FT558" s="373"/>
      <c r="FU558" s="374"/>
      <c r="FV558" s="375"/>
      <c r="FW558" s="375"/>
      <c r="FY558" s="373"/>
      <c r="FZ558" s="374"/>
      <c r="GA558" s="375"/>
      <c r="GB558" s="375"/>
      <c r="GD558" s="373"/>
      <c r="GE558" s="374"/>
      <c r="GF558" s="375"/>
      <c r="GG558" s="375"/>
      <c r="GI558" s="373"/>
      <c r="GJ558" s="374"/>
      <c r="GK558" s="375"/>
      <c r="GL558" s="375"/>
      <c r="GN558" s="373"/>
      <c r="GO558" s="374"/>
      <c r="GP558" s="375"/>
      <c r="GQ558" s="375"/>
      <c r="GS558" s="373"/>
      <c r="GT558" s="374"/>
      <c r="GU558" s="375"/>
      <c r="GV558" s="375"/>
      <c r="GX558" s="373"/>
      <c r="GY558" s="374"/>
      <c r="GZ558" s="375"/>
      <c r="HA558" s="375"/>
      <c r="HC558" s="373"/>
      <c r="HD558" s="374"/>
      <c r="HE558" s="375"/>
      <c r="HF558" s="375"/>
      <c r="HH558" s="373"/>
      <c r="HI558" s="374"/>
      <c r="HJ558" s="375"/>
      <c r="HK558" s="375"/>
      <c r="HM558" s="373"/>
      <c r="HN558" s="374"/>
      <c r="HO558" s="375"/>
      <c r="HP558" s="375"/>
      <c r="HR558" s="373"/>
      <c r="HS558" s="374"/>
      <c r="HT558" s="375"/>
      <c r="HU558" s="375"/>
      <c r="HW558" s="373"/>
      <c r="HX558" s="374"/>
      <c r="HY558" s="375"/>
      <c r="HZ558" s="375"/>
      <c r="IB558" s="373"/>
      <c r="IC558" s="374"/>
      <c r="ID558" s="375"/>
      <c r="IE558" s="375"/>
      <c r="IG558" s="373"/>
      <c r="IH558" s="374"/>
      <c r="II558" s="375"/>
      <c r="IJ558" s="375"/>
      <c r="IL558" s="373"/>
      <c r="IM558" s="374"/>
      <c r="IN558" s="375"/>
      <c r="IO558" s="375"/>
      <c r="IQ558" s="373"/>
      <c r="IR558" s="374"/>
      <c r="IS558" s="375"/>
      <c r="IT558" s="375"/>
      <c r="IV558" s="373"/>
    </row>
    <row r="559" spans="1:256" s="376" customFormat="1" x14ac:dyDescent="0.2">
      <c r="A559" s="373"/>
      <c r="B559" s="374"/>
      <c r="C559" s="375"/>
      <c r="D559" s="375"/>
      <c r="F559" s="373"/>
      <c r="G559" s="374"/>
      <c r="H559" s="375"/>
      <c r="I559" s="375"/>
      <c r="K559" s="373"/>
      <c r="L559" s="374"/>
      <c r="M559" s="375"/>
      <c r="N559" s="375"/>
      <c r="P559" s="373"/>
      <c r="Q559" s="374"/>
      <c r="R559" s="375"/>
      <c r="S559" s="375"/>
      <c r="U559" s="373"/>
      <c r="V559" s="374"/>
      <c r="W559" s="375"/>
      <c r="X559" s="375"/>
      <c r="Z559" s="373"/>
      <c r="AA559" s="374"/>
      <c r="AB559" s="375"/>
      <c r="AC559" s="375"/>
      <c r="AE559" s="373"/>
      <c r="AF559" s="374"/>
      <c r="AG559" s="375"/>
      <c r="AH559" s="375"/>
      <c r="AJ559" s="373"/>
      <c r="AK559" s="374"/>
      <c r="AL559" s="375"/>
      <c r="AM559" s="375"/>
      <c r="AO559" s="373"/>
      <c r="AP559" s="374"/>
      <c r="AQ559" s="375"/>
      <c r="AR559" s="375"/>
      <c r="AT559" s="373"/>
      <c r="AU559" s="374"/>
      <c r="AV559" s="375"/>
      <c r="AW559" s="375"/>
      <c r="AY559" s="373"/>
      <c r="AZ559" s="374"/>
      <c r="BA559" s="375"/>
      <c r="BB559" s="375"/>
      <c r="BD559" s="373"/>
      <c r="BE559" s="374"/>
      <c r="BF559" s="375"/>
      <c r="BG559" s="375"/>
      <c r="BI559" s="373"/>
      <c r="BJ559" s="374"/>
      <c r="BK559" s="375"/>
      <c r="BL559" s="375"/>
      <c r="BN559" s="373"/>
      <c r="BO559" s="374"/>
      <c r="BP559" s="375"/>
      <c r="BQ559" s="375"/>
      <c r="BS559" s="373"/>
      <c r="BT559" s="374"/>
      <c r="BU559" s="375"/>
      <c r="BV559" s="375"/>
      <c r="BX559" s="373"/>
      <c r="BY559" s="374"/>
      <c r="BZ559" s="375"/>
      <c r="CA559" s="375"/>
      <c r="CC559" s="373"/>
      <c r="CD559" s="374"/>
      <c r="CE559" s="375"/>
      <c r="CF559" s="375"/>
      <c r="CH559" s="373"/>
      <c r="CI559" s="374"/>
      <c r="CJ559" s="375"/>
      <c r="CK559" s="375"/>
      <c r="CM559" s="373"/>
      <c r="CN559" s="374"/>
      <c r="CO559" s="375"/>
      <c r="CP559" s="375"/>
      <c r="CR559" s="373"/>
      <c r="CS559" s="374"/>
      <c r="CT559" s="375"/>
      <c r="CU559" s="375"/>
      <c r="CW559" s="373"/>
      <c r="CX559" s="374"/>
      <c r="CY559" s="375"/>
      <c r="CZ559" s="375"/>
      <c r="DB559" s="373"/>
      <c r="DC559" s="374"/>
      <c r="DD559" s="375"/>
      <c r="DE559" s="375"/>
      <c r="DG559" s="373"/>
      <c r="DH559" s="374"/>
      <c r="DI559" s="375"/>
      <c r="DJ559" s="375"/>
      <c r="DL559" s="373"/>
      <c r="DM559" s="374"/>
      <c r="DN559" s="375"/>
      <c r="DO559" s="375"/>
      <c r="DQ559" s="373"/>
      <c r="DR559" s="374"/>
      <c r="DS559" s="375"/>
      <c r="DT559" s="375"/>
      <c r="DV559" s="373"/>
      <c r="DW559" s="374"/>
      <c r="DX559" s="375"/>
      <c r="DY559" s="375"/>
      <c r="EA559" s="373"/>
      <c r="EB559" s="374"/>
      <c r="EC559" s="375"/>
      <c r="ED559" s="375"/>
      <c r="EF559" s="373"/>
      <c r="EG559" s="374"/>
      <c r="EH559" s="375"/>
      <c r="EI559" s="375"/>
      <c r="EK559" s="373"/>
      <c r="EL559" s="374"/>
      <c r="EM559" s="375"/>
      <c r="EN559" s="375"/>
      <c r="EP559" s="373"/>
      <c r="EQ559" s="374"/>
      <c r="ER559" s="375"/>
      <c r="ES559" s="375"/>
      <c r="EU559" s="373"/>
      <c r="EV559" s="374"/>
      <c r="EW559" s="375"/>
      <c r="EX559" s="375"/>
      <c r="EZ559" s="373"/>
      <c r="FA559" s="374"/>
      <c r="FB559" s="375"/>
      <c r="FC559" s="375"/>
      <c r="FE559" s="373"/>
      <c r="FF559" s="374"/>
      <c r="FG559" s="375"/>
      <c r="FH559" s="375"/>
      <c r="FJ559" s="373"/>
      <c r="FK559" s="374"/>
      <c r="FL559" s="375"/>
      <c r="FM559" s="375"/>
      <c r="FO559" s="373"/>
      <c r="FP559" s="374"/>
      <c r="FQ559" s="375"/>
      <c r="FR559" s="375"/>
      <c r="FT559" s="373"/>
      <c r="FU559" s="374"/>
      <c r="FV559" s="375"/>
      <c r="FW559" s="375"/>
      <c r="FY559" s="373"/>
      <c r="FZ559" s="374"/>
      <c r="GA559" s="375"/>
      <c r="GB559" s="375"/>
      <c r="GD559" s="373"/>
      <c r="GE559" s="374"/>
      <c r="GF559" s="375"/>
      <c r="GG559" s="375"/>
      <c r="GI559" s="373"/>
      <c r="GJ559" s="374"/>
      <c r="GK559" s="375"/>
      <c r="GL559" s="375"/>
      <c r="GN559" s="373"/>
      <c r="GO559" s="374"/>
      <c r="GP559" s="375"/>
      <c r="GQ559" s="375"/>
      <c r="GS559" s="373"/>
      <c r="GT559" s="374"/>
      <c r="GU559" s="375"/>
      <c r="GV559" s="375"/>
      <c r="GX559" s="373"/>
      <c r="GY559" s="374"/>
      <c r="GZ559" s="375"/>
      <c r="HA559" s="375"/>
      <c r="HC559" s="373"/>
      <c r="HD559" s="374"/>
      <c r="HE559" s="375"/>
      <c r="HF559" s="375"/>
      <c r="HH559" s="373"/>
      <c r="HI559" s="374"/>
      <c r="HJ559" s="375"/>
      <c r="HK559" s="375"/>
      <c r="HM559" s="373"/>
      <c r="HN559" s="374"/>
      <c r="HO559" s="375"/>
      <c r="HP559" s="375"/>
      <c r="HR559" s="373"/>
      <c r="HS559" s="374"/>
      <c r="HT559" s="375"/>
      <c r="HU559" s="375"/>
      <c r="HW559" s="373"/>
      <c r="HX559" s="374"/>
      <c r="HY559" s="375"/>
      <c r="HZ559" s="375"/>
      <c r="IB559" s="373"/>
      <c r="IC559" s="374"/>
      <c r="ID559" s="375"/>
      <c r="IE559" s="375"/>
      <c r="IG559" s="373"/>
      <c r="IH559" s="374"/>
      <c r="II559" s="375"/>
      <c r="IJ559" s="375"/>
      <c r="IL559" s="373"/>
      <c r="IM559" s="374"/>
      <c r="IN559" s="375"/>
      <c r="IO559" s="375"/>
      <c r="IQ559" s="373"/>
      <c r="IR559" s="374"/>
      <c r="IS559" s="375"/>
      <c r="IT559" s="375"/>
      <c r="IV559" s="373"/>
    </row>
    <row r="560" spans="1:256" s="376" customFormat="1" x14ac:dyDescent="0.2">
      <c r="A560" s="373"/>
      <c r="B560" s="374"/>
      <c r="C560" s="375"/>
      <c r="D560" s="375"/>
      <c r="F560" s="373"/>
      <c r="G560" s="374"/>
      <c r="H560" s="375"/>
      <c r="I560" s="375"/>
      <c r="K560" s="373"/>
      <c r="L560" s="374"/>
      <c r="M560" s="375"/>
      <c r="N560" s="375"/>
      <c r="P560" s="373"/>
      <c r="Q560" s="374"/>
      <c r="R560" s="375"/>
      <c r="S560" s="375"/>
      <c r="U560" s="373"/>
      <c r="V560" s="374"/>
      <c r="W560" s="375"/>
      <c r="X560" s="375"/>
      <c r="Z560" s="373"/>
      <c r="AA560" s="374"/>
      <c r="AB560" s="375"/>
      <c r="AC560" s="375"/>
      <c r="AE560" s="373"/>
      <c r="AF560" s="374"/>
      <c r="AG560" s="375"/>
      <c r="AH560" s="375"/>
      <c r="AJ560" s="373"/>
      <c r="AK560" s="374"/>
      <c r="AL560" s="375"/>
      <c r="AM560" s="375"/>
      <c r="AO560" s="373"/>
      <c r="AP560" s="374"/>
      <c r="AQ560" s="375"/>
      <c r="AR560" s="375"/>
      <c r="AT560" s="373"/>
      <c r="AU560" s="374"/>
      <c r="AV560" s="375"/>
      <c r="AW560" s="375"/>
      <c r="AY560" s="373"/>
      <c r="AZ560" s="374"/>
      <c r="BA560" s="375"/>
      <c r="BB560" s="375"/>
      <c r="BD560" s="373"/>
      <c r="BE560" s="374"/>
      <c r="BF560" s="375"/>
      <c r="BG560" s="375"/>
      <c r="BI560" s="373"/>
      <c r="BJ560" s="374"/>
      <c r="BK560" s="375"/>
      <c r="BL560" s="375"/>
      <c r="BN560" s="373"/>
      <c r="BO560" s="374"/>
      <c r="BP560" s="375"/>
      <c r="BQ560" s="375"/>
      <c r="BS560" s="373"/>
      <c r="BT560" s="374"/>
      <c r="BU560" s="375"/>
      <c r="BV560" s="375"/>
      <c r="BX560" s="373"/>
      <c r="BY560" s="374"/>
      <c r="BZ560" s="375"/>
      <c r="CA560" s="375"/>
      <c r="CC560" s="373"/>
      <c r="CD560" s="374"/>
      <c r="CE560" s="375"/>
      <c r="CF560" s="375"/>
      <c r="CH560" s="373"/>
      <c r="CI560" s="374"/>
      <c r="CJ560" s="375"/>
      <c r="CK560" s="375"/>
      <c r="CM560" s="373"/>
      <c r="CN560" s="374"/>
      <c r="CO560" s="375"/>
      <c r="CP560" s="375"/>
      <c r="CR560" s="373"/>
      <c r="CS560" s="374"/>
      <c r="CT560" s="375"/>
      <c r="CU560" s="375"/>
      <c r="CW560" s="373"/>
      <c r="CX560" s="374"/>
      <c r="CY560" s="375"/>
      <c r="CZ560" s="375"/>
      <c r="DB560" s="373"/>
      <c r="DC560" s="374"/>
      <c r="DD560" s="375"/>
      <c r="DE560" s="375"/>
      <c r="DG560" s="373"/>
      <c r="DH560" s="374"/>
      <c r="DI560" s="375"/>
      <c r="DJ560" s="375"/>
      <c r="DL560" s="373"/>
      <c r="DM560" s="374"/>
      <c r="DN560" s="375"/>
      <c r="DO560" s="375"/>
      <c r="DQ560" s="373"/>
      <c r="DR560" s="374"/>
      <c r="DS560" s="375"/>
      <c r="DT560" s="375"/>
      <c r="DV560" s="373"/>
      <c r="DW560" s="374"/>
      <c r="DX560" s="375"/>
      <c r="DY560" s="375"/>
      <c r="EA560" s="373"/>
      <c r="EB560" s="374"/>
      <c r="EC560" s="375"/>
      <c r="ED560" s="375"/>
      <c r="EF560" s="373"/>
      <c r="EG560" s="374"/>
      <c r="EH560" s="375"/>
      <c r="EI560" s="375"/>
      <c r="EK560" s="373"/>
      <c r="EL560" s="374"/>
      <c r="EM560" s="375"/>
      <c r="EN560" s="375"/>
      <c r="EP560" s="373"/>
      <c r="EQ560" s="374"/>
      <c r="ER560" s="375"/>
      <c r="ES560" s="375"/>
      <c r="EU560" s="373"/>
      <c r="EV560" s="374"/>
      <c r="EW560" s="375"/>
      <c r="EX560" s="375"/>
      <c r="EZ560" s="373"/>
      <c r="FA560" s="374"/>
      <c r="FB560" s="375"/>
      <c r="FC560" s="375"/>
      <c r="FE560" s="373"/>
      <c r="FF560" s="374"/>
      <c r="FG560" s="375"/>
      <c r="FH560" s="375"/>
      <c r="FJ560" s="373"/>
      <c r="FK560" s="374"/>
      <c r="FL560" s="375"/>
      <c r="FM560" s="375"/>
      <c r="FO560" s="373"/>
      <c r="FP560" s="374"/>
      <c r="FQ560" s="375"/>
      <c r="FR560" s="375"/>
      <c r="FT560" s="373"/>
      <c r="FU560" s="374"/>
      <c r="FV560" s="375"/>
      <c r="FW560" s="375"/>
      <c r="FY560" s="373"/>
      <c r="FZ560" s="374"/>
      <c r="GA560" s="375"/>
      <c r="GB560" s="375"/>
      <c r="GD560" s="373"/>
      <c r="GE560" s="374"/>
      <c r="GF560" s="375"/>
      <c r="GG560" s="375"/>
      <c r="GI560" s="373"/>
      <c r="GJ560" s="374"/>
      <c r="GK560" s="375"/>
      <c r="GL560" s="375"/>
      <c r="GN560" s="373"/>
      <c r="GO560" s="374"/>
      <c r="GP560" s="375"/>
      <c r="GQ560" s="375"/>
      <c r="GS560" s="373"/>
      <c r="GT560" s="374"/>
      <c r="GU560" s="375"/>
      <c r="GV560" s="375"/>
      <c r="GX560" s="373"/>
      <c r="GY560" s="374"/>
      <c r="GZ560" s="375"/>
      <c r="HA560" s="375"/>
      <c r="HC560" s="373"/>
      <c r="HD560" s="374"/>
      <c r="HE560" s="375"/>
      <c r="HF560" s="375"/>
      <c r="HH560" s="373"/>
      <c r="HI560" s="374"/>
      <c r="HJ560" s="375"/>
      <c r="HK560" s="375"/>
      <c r="HM560" s="373"/>
      <c r="HN560" s="374"/>
      <c r="HO560" s="375"/>
      <c r="HP560" s="375"/>
      <c r="HR560" s="373"/>
      <c r="HS560" s="374"/>
      <c r="HT560" s="375"/>
      <c r="HU560" s="375"/>
      <c r="HW560" s="373"/>
      <c r="HX560" s="374"/>
      <c r="HY560" s="375"/>
      <c r="HZ560" s="375"/>
      <c r="IB560" s="373"/>
      <c r="IC560" s="374"/>
      <c r="ID560" s="375"/>
      <c r="IE560" s="375"/>
      <c r="IG560" s="373"/>
      <c r="IH560" s="374"/>
      <c r="II560" s="375"/>
      <c r="IJ560" s="375"/>
      <c r="IL560" s="373"/>
      <c r="IM560" s="374"/>
      <c r="IN560" s="375"/>
      <c r="IO560" s="375"/>
      <c r="IQ560" s="373"/>
      <c r="IR560" s="374"/>
      <c r="IS560" s="375"/>
      <c r="IT560" s="375"/>
      <c r="IV560" s="373"/>
    </row>
    <row r="561" spans="1:256" s="376" customFormat="1" x14ac:dyDescent="0.2">
      <c r="A561" s="373"/>
      <c r="B561" s="374"/>
      <c r="C561" s="375"/>
      <c r="D561" s="375"/>
      <c r="F561" s="373"/>
      <c r="G561" s="374"/>
      <c r="H561" s="375"/>
      <c r="I561" s="375"/>
      <c r="K561" s="373"/>
      <c r="L561" s="374"/>
      <c r="M561" s="375"/>
      <c r="N561" s="375"/>
      <c r="P561" s="373"/>
      <c r="Q561" s="374"/>
      <c r="R561" s="375"/>
      <c r="S561" s="375"/>
      <c r="U561" s="373"/>
      <c r="V561" s="374"/>
      <c r="W561" s="375"/>
      <c r="X561" s="375"/>
      <c r="Z561" s="373"/>
      <c r="AA561" s="374"/>
      <c r="AB561" s="375"/>
      <c r="AC561" s="375"/>
      <c r="AE561" s="373"/>
      <c r="AF561" s="374"/>
      <c r="AG561" s="375"/>
      <c r="AH561" s="375"/>
      <c r="AJ561" s="373"/>
      <c r="AK561" s="374"/>
      <c r="AL561" s="375"/>
      <c r="AM561" s="375"/>
      <c r="AO561" s="373"/>
      <c r="AP561" s="374"/>
      <c r="AQ561" s="375"/>
      <c r="AR561" s="375"/>
      <c r="AT561" s="373"/>
      <c r="AU561" s="374"/>
      <c r="AV561" s="375"/>
      <c r="AW561" s="375"/>
      <c r="AY561" s="373"/>
      <c r="AZ561" s="374"/>
      <c r="BA561" s="375"/>
      <c r="BB561" s="375"/>
      <c r="BD561" s="373"/>
      <c r="BE561" s="374"/>
      <c r="BF561" s="375"/>
      <c r="BG561" s="375"/>
      <c r="BI561" s="373"/>
      <c r="BJ561" s="374"/>
      <c r="BK561" s="375"/>
      <c r="BL561" s="375"/>
      <c r="BN561" s="373"/>
      <c r="BO561" s="374"/>
      <c r="BP561" s="375"/>
      <c r="BQ561" s="375"/>
      <c r="BS561" s="373"/>
      <c r="BT561" s="374"/>
      <c r="BU561" s="375"/>
      <c r="BV561" s="375"/>
      <c r="BX561" s="373"/>
      <c r="BY561" s="374"/>
      <c r="BZ561" s="375"/>
      <c r="CA561" s="375"/>
      <c r="CC561" s="373"/>
      <c r="CD561" s="374"/>
      <c r="CE561" s="375"/>
      <c r="CF561" s="375"/>
      <c r="CH561" s="373"/>
      <c r="CI561" s="374"/>
      <c r="CJ561" s="375"/>
      <c r="CK561" s="375"/>
      <c r="CM561" s="373"/>
      <c r="CN561" s="374"/>
      <c r="CO561" s="375"/>
      <c r="CP561" s="375"/>
      <c r="CR561" s="373"/>
      <c r="CS561" s="374"/>
      <c r="CT561" s="375"/>
      <c r="CU561" s="375"/>
      <c r="CW561" s="373"/>
      <c r="CX561" s="374"/>
      <c r="CY561" s="375"/>
      <c r="CZ561" s="375"/>
      <c r="DB561" s="373"/>
      <c r="DC561" s="374"/>
      <c r="DD561" s="375"/>
      <c r="DE561" s="375"/>
      <c r="DG561" s="373"/>
      <c r="DH561" s="374"/>
      <c r="DI561" s="375"/>
      <c r="DJ561" s="375"/>
      <c r="DL561" s="373"/>
      <c r="DM561" s="374"/>
      <c r="DN561" s="375"/>
      <c r="DO561" s="375"/>
      <c r="DQ561" s="373"/>
      <c r="DR561" s="374"/>
      <c r="DS561" s="375"/>
      <c r="DT561" s="375"/>
      <c r="DV561" s="373"/>
      <c r="DW561" s="374"/>
      <c r="DX561" s="375"/>
      <c r="DY561" s="375"/>
      <c r="EA561" s="373"/>
      <c r="EB561" s="374"/>
      <c r="EC561" s="375"/>
      <c r="ED561" s="375"/>
      <c r="EF561" s="373"/>
      <c r="EG561" s="374"/>
      <c r="EH561" s="375"/>
      <c r="EI561" s="375"/>
      <c r="EK561" s="373"/>
      <c r="EL561" s="374"/>
      <c r="EM561" s="375"/>
      <c r="EN561" s="375"/>
      <c r="EP561" s="373"/>
      <c r="EQ561" s="374"/>
      <c r="ER561" s="375"/>
      <c r="ES561" s="375"/>
      <c r="EU561" s="373"/>
      <c r="EV561" s="374"/>
      <c r="EW561" s="375"/>
      <c r="EX561" s="375"/>
      <c r="EZ561" s="373"/>
      <c r="FA561" s="374"/>
      <c r="FB561" s="375"/>
      <c r="FC561" s="375"/>
      <c r="FE561" s="373"/>
      <c r="FF561" s="374"/>
      <c r="FG561" s="375"/>
      <c r="FH561" s="375"/>
      <c r="FJ561" s="373"/>
      <c r="FK561" s="374"/>
      <c r="FL561" s="375"/>
      <c r="FM561" s="375"/>
      <c r="FO561" s="373"/>
      <c r="FP561" s="374"/>
      <c r="FQ561" s="375"/>
      <c r="FR561" s="375"/>
      <c r="FT561" s="373"/>
      <c r="FU561" s="374"/>
      <c r="FV561" s="375"/>
      <c r="FW561" s="375"/>
      <c r="FY561" s="373"/>
      <c r="FZ561" s="374"/>
      <c r="GA561" s="375"/>
      <c r="GB561" s="375"/>
      <c r="GD561" s="373"/>
      <c r="GE561" s="374"/>
      <c r="GF561" s="375"/>
      <c r="GG561" s="375"/>
      <c r="GI561" s="373"/>
      <c r="GJ561" s="374"/>
      <c r="GK561" s="375"/>
      <c r="GL561" s="375"/>
      <c r="GN561" s="373"/>
      <c r="GO561" s="374"/>
      <c r="GP561" s="375"/>
      <c r="GQ561" s="375"/>
      <c r="GS561" s="373"/>
      <c r="GT561" s="374"/>
      <c r="GU561" s="375"/>
      <c r="GV561" s="375"/>
      <c r="GX561" s="373"/>
      <c r="GY561" s="374"/>
      <c r="GZ561" s="375"/>
      <c r="HA561" s="375"/>
      <c r="HC561" s="373"/>
      <c r="HD561" s="374"/>
      <c r="HE561" s="375"/>
      <c r="HF561" s="375"/>
      <c r="HH561" s="373"/>
      <c r="HI561" s="374"/>
      <c r="HJ561" s="375"/>
      <c r="HK561" s="375"/>
      <c r="HM561" s="373"/>
      <c r="HN561" s="374"/>
      <c r="HO561" s="375"/>
      <c r="HP561" s="375"/>
      <c r="HR561" s="373"/>
      <c r="HS561" s="374"/>
      <c r="HT561" s="375"/>
      <c r="HU561" s="375"/>
      <c r="HW561" s="373"/>
      <c r="HX561" s="374"/>
      <c r="HY561" s="375"/>
      <c r="HZ561" s="375"/>
      <c r="IB561" s="373"/>
      <c r="IC561" s="374"/>
      <c r="ID561" s="375"/>
      <c r="IE561" s="375"/>
      <c r="IG561" s="373"/>
      <c r="IH561" s="374"/>
      <c r="II561" s="375"/>
      <c r="IJ561" s="375"/>
      <c r="IL561" s="373"/>
      <c r="IM561" s="374"/>
      <c r="IN561" s="375"/>
      <c r="IO561" s="375"/>
      <c r="IQ561" s="373"/>
      <c r="IR561" s="374"/>
      <c r="IS561" s="375"/>
      <c r="IT561" s="375"/>
      <c r="IV561" s="373"/>
    </row>
    <row r="562" spans="1:256" s="376" customFormat="1" x14ac:dyDescent="0.2">
      <c r="A562" s="373"/>
      <c r="B562" s="374"/>
      <c r="C562" s="375"/>
      <c r="D562" s="375"/>
      <c r="F562" s="373"/>
      <c r="G562" s="374"/>
      <c r="H562" s="375"/>
      <c r="I562" s="375"/>
      <c r="K562" s="373"/>
      <c r="L562" s="374"/>
      <c r="M562" s="375"/>
      <c r="N562" s="375"/>
      <c r="P562" s="373"/>
      <c r="Q562" s="374"/>
      <c r="R562" s="375"/>
      <c r="S562" s="375"/>
      <c r="U562" s="373"/>
      <c r="V562" s="374"/>
      <c r="W562" s="375"/>
      <c r="X562" s="375"/>
      <c r="Z562" s="373"/>
      <c r="AA562" s="374"/>
      <c r="AB562" s="375"/>
      <c r="AC562" s="375"/>
      <c r="AE562" s="373"/>
      <c r="AF562" s="374"/>
      <c r="AG562" s="375"/>
      <c r="AH562" s="375"/>
      <c r="AJ562" s="373"/>
      <c r="AK562" s="374"/>
      <c r="AL562" s="375"/>
      <c r="AM562" s="375"/>
      <c r="AO562" s="373"/>
      <c r="AP562" s="374"/>
      <c r="AQ562" s="375"/>
      <c r="AR562" s="375"/>
      <c r="AT562" s="373"/>
      <c r="AU562" s="374"/>
      <c r="AV562" s="375"/>
      <c r="AW562" s="375"/>
      <c r="AY562" s="373"/>
      <c r="AZ562" s="374"/>
      <c r="BA562" s="375"/>
      <c r="BB562" s="375"/>
      <c r="BD562" s="373"/>
      <c r="BE562" s="374"/>
      <c r="BF562" s="375"/>
      <c r="BG562" s="375"/>
      <c r="BI562" s="373"/>
      <c r="BJ562" s="374"/>
      <c r="BK562" s="375"/>
      <c r="BL562" s="375"/>
      <c r="BN562" s="373"/>
      <c r="BO562" s="374"/>
      <c r="BP562" s="375"/>
      <c r="BQ562" s="375"/>
      <c r="BS562" s="373"/>
      <c r="BT562" s="374"/>
      <c r="BU562" s="375"/>
      <c r="BV562" s="375"/>
      <c r="BX562" s="373"/>
      <c r="BY562" s="374"/>
      <c r="BZ562" s="375"/>
      <c r="CA562" s="375"/>
      <c r="CC562" s="373"/>
      <c r="CD562" s="374"/>
      <c r="CE562" s="375"/>
      <c r="CF562" s="375"/>
      <c r="CH562" s="373"/>
      <c r="CI562" s="374"/>
      <c r="CJ562" s="375"/>
      <c r="CK562" s="375"/>
      <c r="CM562" s="373"/>
      <c r="CN562" s="374"/>
      <c r="CO562" s="375"/>
      <c r="CP562" s="375"/>
      <c r="CR562" s="373"/>
      <c r="CS562" s="374"/>
      <c r="CT562" s="375"/>
      <c r="CU562" s="375"/>
      <c r="CW562" s="373"/>
      <c r="CX562" s="374"/>
      <c r="CY562" s="375"/>
      <c r="CZ562" s="375"/>
      <c r="DB562" s="373"/>
      <c r="DC562" s="374"/>
      <c r="DD562" s="375"/>
      <c r="DE562" s="375"/>
      <c r="DG562" s="373"/>
      <c r="DH562" s="374"/>
      <c r="DI562" s="375"/>
      <c r="DJ562" s="375"/>
      <c r="DL562" s="373"/>
      <c r="DM562" s="374"/>
      <c r="DN562" s="375"/>
      <c r="DO562" s="375"/>
      <c r="DQ562" s="373"/>
      <c r="DR562" s="374"/>
      <c r="DS562" s="375"/>
      <c r="DT562" s="375"/>
      <c r="DV562" s="373"/>
      <c r="DW562" s="374"/>
      <c r="DX562" s="375"/>
      <c r="DY562" s="375"/>
      <c r="EA562" s="373"/>
      <c r="EB562" s="374"/>
      <c r="EC562" s="375"/>
      <c r="ED562" s="375"/>
      <c r="EF562" s="373"/>
      <c r="EG562" s="374"/>
      <c r="EH562" s="375"/>
      <c r="EI562" s="375"/>
      <c r="EK562" s="373"/>
      <c r="EL562" s="374"/>
      <c r="EM562" s="375"/>
      <c r="EN562" s="375"/>
      <c r="EP562" s="373"/>
      <c r="EQ562" s="374"/>
      <c r="ER562" s="375"/>
      <c r="ES562" s="375"/>
      <c r="EU562" s="373"/>
      <c r="EV562" s="374"/>
      <c r="EW562" s="375"/>
      <c r="EX562" s="375"/>
      <c r="EZ562" s="373"/>
      <c r="FA562" s="374"/>
      <c r="FB562" s="375"/>
      <c r="FC562" s="375"/>
      <c r="FE562" s="373"/>
      <c r="FF562" s="374"/>
      <c r="FG562" s="375"/>
      <c r="FH562" s="375"/>
      <c r="FJ562" s="373"/>
      <c r="FK562" s="374"/>
      <c r="FL562" s="375"/>
      <c r="FM562" s="375"/>
      <c r="FO562" s="373"/>
      <c r="FP562" s="374"/>
      <c r="FQ562" s="375"/>
      <c r="FR562" s="375"/>
      <c r="FT562" s="373"/>
      <c r="FU562" s="374"/>
      <c r="FV562" s="375"/>
      <c r="FW562" s="375"/>
      <c r="FY562" s="373"/>
      <c r="FZ562" s="374"/>
      <c r="GA562" s="375"/>
      <c r="GB562" s="375"/>
      <c r="GD562" s="373"/>
      <c r="GE562" s="374"/>
      <c r="GF562" s="375"/>
      <c r="GG562" s="375"/>
      <c r="GI562" s="373"/>
      <c r="GJ562" s="374"/>
      <c r="GK562" s="375"/>
      <c r="GL562" s="375"/>
      <c r="GN562" s="373"/>
      <c r="GO562" s="374"/>
      <c r="GP562" s="375"/>
      <c r="GQ562" s="375"/>
      <c r="GS562" s="373"/>
      <c r="GT562" s="374"/>
      <c r="GU562" s="375"/>
      <c r="GV562" s="375"/>
      <c r="GX562" s="373"/>
      <c r="GY562" s="374"/>
      <c r="GZ562" s="375"/>
      <c r="HA562" s="375"/>
      <c r="HC562" s="373"/>
      <c r="HD562" s="374"/>
      <c r="HE562" s="375"/>
      <c r="HF562" s="375"/>
      <c r="HH562" s="373"/>
      <c r="HI562" s="374"/>
      <c r="HJ562" s="375"/>
      <c r="HK562" s="375"/>
      <c r="HM562" s="373"/>
      <c r="HN562" s="374"/>
      <c r="HO562" s="375"/>
      <c r="HP562" s="375"/>
      <c r="HR562" s="373"/>
      <c r="HS562" s="374"/>
      <c r="HT562" s="375"/>
      <c r="HU562" s="375"/>
      <c r="HW562" s="373"/>
      <c r="HX562" s="374"/>
      <c r="HY562" s="375"/>
      <c r="HZ562" s="375"/>
      <c r="IB562" s="373"/>
      <c r="IC562" s="374"/>
      <c r="ID562" s="375"/>
      <c r="IE562" s="375"/>
      <c r="IG562" s="373"/>
      <c r="IH562" s="374"/>
      <c r="II562" s="375"/>
      <c r="IJ562" s="375"/>
      <c r="IL562" s="373"/>
      <c r="IM562" s="374"/>
      <c r="IN562" s="375"/>
      <c r="IO562" s="375"/>
      <c r="IQ562" s="373"/>
      <c r="IR562" s="374"/>
      <c r="IS562" s="375"/>
      <c r="IT562" s="375"/>
      <c r="IV562" s="373"/>
    </row>
    <row r="563" spans="1:256" s="376" customFormat="1" x14ac:dyDescent="0.2">
      <c r="A563" s="373"/>
      <c r="B563" s="374"/>
      <c r="C563" s="375"/>
      <c r="D563" s="375"/>
      <c r="F563" s="373"/>
      <c r="G563" s="374"/>
      <c r="H563" s="375"/>
      <c r="I563" s="375"/>
      <c r="K563" s="373"/>
      <c r="L563" s="374"/>
      <c r="M563" s="375"/>
      <c r="N563" s="375"/>
      <c r="P563" s="373"/>
      <c r="Q563" s="374"/>
      <c r="R563" s="375"/>
      <c r="S563" s="375"/>
      <c r="U563" s="373"/>
      <c r="V563" s="374"/>
      <c r="W563" s="375"/>
      <c r="X563" s="375"/>
      <c r="Z563" s="373"/>
      <c r="AA563" s="374"/>
      <c r="AB563" s="375"/>
      <c r="AC563" s="375"/>
      <c r="AE563" s="373"/>
      <c r="AF563" s="374"/>
      <c r="AG563" s="375"/>
      <c r="AH563" s="375"/>
      <c r="AJ563" s="373"/>
      <c r="AK563" s="374"/>
      <c r="AL563" s="375"/>
      <c r="AM563" s="375"/>
      <c r="AO563" s="373"/>
      <c r="AP563" s="374"/>
      <c r="AQ563" s="375"/>
      <c r="AR563" s="375"/>
      <c r="AT563" s="373"/>
      <c r="AU563" s="374"/>
      <c r="AV563" s="375"/>
      <c r="AW563" s="375"/>
      <c r="AY563" s="373"/>
      <c r="AZ563" s="374"/>
      <c r="BA563" s="375"/>
      <c r="BB563" s="375"/>
      <c r="BD563" s="373"/>
      <c r="BE563" s="374"/>
      <c r="BF563" s="375"/>
      <c r="BG563" s="375"/>
      <c r="BI563" s="373"/>
      <c r="BJ563" s="374"/>
      <c r="BK563" s="375"/>
      <c r="BL563" s="375"/>
      <c r="BN563" s="373"/>
      <c r="BO563" s="374"/>
      <c r="BP563" s="375"/>
      <c r="BQ563" s="375"/>
      <c r="BS563" s="373"/>
      <c r="BT563" s="374"/>
      <c r="BU563" s="375"/>
      <c r="BV563" s="375"/>
      <c r="BX563" s="373"/>
      <c r="BY563" s="374"/>
      <c r="BZ563" s="375"/>
      <c r="CA563" s="375"/>
      <c r="CC563" s="373"/>
      <c r="CD563" s="374"/>
      <c r="CE563" s="375"/>
      <c r="CF563" s="375"/>
      <c r="CH563" s="373"/>
      <c r="CI563" s="374"/>
      <c r="CJ563" s="375"/>
      <c r="CK563" s="375"/>
      <c r="CM563" s="373"/>
      <c r="CN563" s="374"/>
      <c r="CO563" s="375"/>
      <c r="CP563" s="375"/>
      <c r="CR563" s="373"/>
      <c r="CS563" s="374"/>
      <c r="CT563" s="375"/>
      <c r="CU563" s="375"/>
      <c r="CW563" s="373"/>
      <c r="CX563" s="374"/>
      <c r="CY563" s="375"/>
      <c r="CZ563" s="375"/>
      <c r="DB563" s="373"/>
      <c r="DC563" s="374"/>
      <c r="DD563" s="375"/>
      <c r="DE563" s="375"/>
      <c r="DG563" s="373"/>
      <c r="DH563" s="374"/>
      <c r="DI563" s="375"/>
      <c r="DJ563" s="375"/>
      <c r="DL563" s="373"/>
      <c r="DM563" s="374"/>
      <c r="DN563" s="375"/>
      <c r="DO563" s="375"/>
      <c r="DQ563" s="373"/>
      <c r="DR563" s="374"/>
      <c r="DS563" s="375"/>
      <c r="DT563" s="375"/>
      <c r="DV563" s="373"/>
      <c r="DW563" s="374"/>
      <c r="DX563" s="375"/>
      <c r="DY563" s="375"/>
      <c r="EA563" s="373"/>
      <c r="EB563" s="374"/>
      <c r="EC563" s="375"/>
      <c r="ED563" s="375"/>
      <c r="EF563" s="373"/>
      <c r="EG563" s="374"/>
      <c r="EH563" s="375"/>
      <c r="EI563" s="375"/>
      <c r="EK563" s="373"/>
      <c r="EL563" s="374"/>
      <c r="EM563" s="375"/>
      <c r="EN563" s="375"/>
      <c r="EP563" s="373"/>
      <c r="EQ563" s="374"/>
      <c r="ER563" s="375"/>
      <c r="ES563" s="375"/>
      <c r="EU563" s="373"/>
      <c r="EV563" s="374"/>
      <c r="EW563" s="375"/>
      <c r="EX563" s="375"/>
      <c r="EZ563" s="373"/>
      <c r="FA563" s="374"/>
      <c r="FB563" s="375"/>
      <c r="FC563" s="375"/>
      <c r="FE563" s="373"/>
      <c r="FF563" s="374"/>
      <c r="FG563" s="375"/>
      <c r="FH563" s="375"/>
      <c r="FJ563" s="373"/>
      <c r="FK563" s="374"/>
      <c r="FL563" s="375"/>
      <c r="FM563" s="375"/>
      <c r="FO563" s="373"/>
      <c r="FP563" s="374"/>
      <c r="FQ563" s="375"/>
      <c r="FR563" s="375"/>
      <c r="FT563" s="373"/>
      <c r="FU563" s="374"/>
      <c r="FV563" s="375"/>
      <c r="FW563" s="375"/>
      <c r="FY563" s="373"/>
      <c r="FZ563" s="374"/>
      <c r="GA563" s="375"/>
      <c r="GB563" s="375"/>
      <c r="GD563" s="373"/>
      <c r="GE563" s="374"/>
      <c r="GF563" s="375"/>
      <c r="GG563" s="375"/>
      <c r="GI563" s="373"/>
      <c r="GJ563" s="374"/>
      <c r="GK563" s="375"/>
      <c r="GL563" s="375"/>
      <c r="GN563" s="373"/>
      <c r="GO563" s="374"/>
      <c r="GP563" s="375"/>
      <c r="GQ563" s="375"/>
      <c r="GS563" s="373"/>
      <c r="GT563" s="374"/>
      <c r="GU563" s="375"/>
      <c r="GV563" s="375"/>
      <c r="GX563" s="373"/>
      <c r="GY563" s="374"/>
      <c r="GZ563" s="375"/>
      <c r="HA563" s="375"/>
      <c r="HC563" s="373"/>
      <c r="HD563" s="374"/>
      <c r="HE563" s="375"/>
      <c r="HF563" s="375"/>
      <c r="HH563" s="373"/>
      <c r="HI563" s="374"/>
      <c r="HJ563" s="375"/>
      <c r="HK563" s="375"/>
      <c r="HM563" s="373"/>
      <c r="HN563" s="374"/>
      <c r="HO563" s="375"/>
      <c r="HP563" s="375"/>
      <c r="HR563" s="373"/>
      <c r="HS563" s="374"/>
      <c r="HT563" s="375"/>
      <c r="HU563" s="375"/>
      <c r="HW563" s="373"/>
      <c r="HX563" s="374"/>
      <c r="HY563" s="375"/>
      <c r="HZ563" s="375"/>
      <c r="IB563" s="373"/>
      <c r="IC563" s="374"/>
      <c r="ID563" s="375"/>
      <c r="IE563" s="375"/>
      <c r="IG563" s="373"/>
      <c r="IH563" s="374"/>
      <c r="II563" s="375"/>
      <c r="IJ563" s="375"/>
      <c r="IL563" s="373"/>
      <c r="IM563" s="374"/>
      <c r="IN563" s="375"/>
      <c r="IO563" s="375"/>
      <c r="IQ563" s="373"/>
      <c r="IR563" s="374"/>
      <c r="IS563" s="375"/>
      <c r="IT563" s="375"/>
      <c r="IV563" s="373"/>
    </row>
    <row r="564" spans="1:256" s="376" customFormat="1" x14ac:dyDescent="0.2">
      <c r="A564" s="373"/>
      <c r="B564" s="374"/>
      <c r="C564" s="375"/>
      <c r="D564" s="375"/>
      <c r="F564" s="373"/>
      <c r="G564" s="374"/>
      <c r="H564" s="375"/>
      <c r="I564" s="375"/>
      <c r="K564" s="373"/>
      <c r="L564" s="374"/>
      <c r="M564" s="375"/>
      <c r="N564" s="375"/>
      <c r="P564" s="373"/>
      <c r="Q564" s="374"/>
      <c r="R564" s="375"/>
      <c r="S564" s="375"/>
      <c r="U564" s="373"/>
      <c r="V564" s="374"/>
      <c r="W564" s="375"/>
      <c r="X564" s="375"/>
      <c r="Z564" s="373"/>
      <c r="AA564" s="374"/>
      <c r="AB564" s="375"/>
      <c r="AC564" s="375"/>
      <c r="AE564" s="373"/>
      <c r="AF564" s="374"/>
      <c r="AG564" s="375"/>
      <c r="AH564" s="375"/>
      <c r="AJ564" s="373"/>
      <c r="AK564" s="374"/>
      <c r="AL564" s="375"/>
      <c r="AM564" s="375"/>
      <c r="AO564" s="373"/>
      <c r="AP564" s="374"/>
      <c r="AQ564" s="375"/>
      <c r="AR564" s="375"/>
      <c r="AT564" s="373"/>
      <c r="AU564" s="374"/>
      <c r="AV564" s="375"/>
      <c r="AW564" s="375"/>
      <c r="AY564" s="373"/>
      <c r="AZ564" s="374"/>
      <c r="BA564" s="375"/>
      <c r="BB564" s="375"/>
      <c r="BD564" s="373"/>
      <c r="BE564" s="374"/>
      <c r="BF564" s="375"/>
      <c r="BG564" s="375"/>
      <c r="BI564" s="373"/>
      <c r="BJ564" s="374"/>
      <c r="BK564" s="375"/>
      <c r="BL564" s="375"/>
      <c r="BN564" s="373"/>
      <c r="BO564" s="374"/>
      <c r="BP564" s="375"/>
      <c r="BQ564" s="375"/>
      <c r="BS564" s="373"/>
      <c r="BT564" s="374"/>
      <c r="BU564" s="375"/>
      <c r="BV564" s="375"/>
      <c r="BX564" s="373"/>
      <c r="BY564" s="374"/>
      <c r="BZ564" s="375"/>
      <c r="CA564" s="375"/>
      <c r="CC564" s="373"/>
      <c r="CD564" s="374"/>
      <c r="CE564" s="375"/>
      <c r="CF564" s="375"/>
      <c r="CH564" s="373"/>
      <c r="CI564" s="374"/>
      <c r="CJ564" s="375"/>
      <c r="CK564" s="375"/>
      <c r="CM564" s="373"/>
      <c r="CN564" s="374"/>
      <c r="CO564" s="375"/>
      <c r="CP564" s="375"/>
      <c r="CR564" s="373"/>
      <c r="CS564" s="374"/>
      <c r="CT564" s="375"/>
      <c r="CU564" s="375"/>
      <c r="CW564" s="373"/>
      <c r="CX564" s="374"/>
      <c r="CY564" s="375"/>
      <c r="CZ564" s="375"/>
      <c r="DB564" s="373"/>
      <c r="DC564" s="374"/>
      <c r="DD564" s="375"/>
      <c r="DE564" s="375"/>
      <c r="DG564" s="373"/>
      <c r="DH564" s="374"/>
      <c r="DI564" s="375"/>
      <c r="DJ564" s="375"/>
      <c r="DL564" s="373"/>
      <c r="DM564" s="374"/>
      <c r="DN564" s="375"/>
      <c r="DO564" s="375"/>
      <c r="DQ564" s="373"/>
      <c r="DR564" s="374"/>
      <c r="DS564" s="375"/>
      <c r="DT564" s="375"/>
      <c r="DV564" s="373"/>
      <c r="DW564" s="374"/>
      <c r="DX564" s="375"/>
      <c r="DY564" s="375"/>
      <c r="EA564" s="373"/>
      <c r="EB564" s="374"/>
      <c r="EC564" s="375"/>
      <c r="ED564" s="375"/>
      <c r="EF564" s="373"/>
      <c r="EG564" s="374"/>
      <c r="EH564" s="375"/>
      <c r="EI564" s="375"/>
      <c r="EK564" s="373"/>
      <c r="EL564" s="374"/>
      <c r="EM564" s="375"/>
      <c r="EN564" s="375"/>
      <c r="EP564" s="373"/>
      <c r="EQ564" s="374"/>
      <c r="ER564" s="375"/>
      <c r="ES564" s="375"/>
      <c r="EU564" s="373"/>
      <c r="EV564" s="374"/>
      <c r="EW564" s="375"/>
      <c r="EX564" s="375"/>
      <c r="EZ564" s="373"/>
      <c r="FA564" s="374"/>
      <c r="FB564" s="375"/>
      <c r="FC564" s="375"/>
      <c r="FE564" s="373"/>
      <c r="FF564" s="374"/>
      <c r="FG564" s="375"/>
      <c r="FH564" s="375"/>
      <c r="FJ564" s="373"/>
      <c r="FK564" s="374"/>
      <c r="FL564" s="375"/>
      <c r="FM564" s="375"/>
      <c r="FO564" s="373"/>
      <c r="FP564" s="374"/>
      <c r="FQ564" s="375"/>
      <c r="FR564" s="375"/>
      <c r="FT564" s="373"/>
      <c r="FU564" s="374"/>
      <c r="FV564" s="375"/>
      <c r="FW564" s="375"/>
      <c r="FY564" s="373"/>
      <c r="FZ564" s="374"/>
      <c r="GA564" s="375"/>
      <c r="GB564" s="375"/>
      <c r="GD564" s="373"/>
      <c r="GE564" s="374"/>
      <c r="GF564" s="375"/>
      <c r="GG564" s="375"/>
      <c r="GI564" s="373"/>
      <c r="GJ564" s="374"/>
      <c r="GK564" s="375"/>
      <c r="GL564" s="375"/>
      <c r="GN564" s="373"/>
      <c r="GO564" s="374"/>
      <c r="GP564" s="375"/>
      <c r="GQ564" s="375"/>
      <c r="GS564" s="373"/>
      <c r="GT564" s="374"/>
      <c r="GU564" s="375"/>
      <c r="GV564" s="375"/>
      <c r="GX564" s="373"/>
      <c r="GY564" s="374"/>
      <c r="GZ564" s="375"/>
      <c r="HA564" s="375"/>
      <c r="HC564" s="373"/>
      <c r="HD564" s="374"/>
      <c r="HE564" s="375"/>
      <c r="HF564" s="375"/>
      <c r="HH564" s="373"/>
      <c r="HI564" s="374"/>
      <c r="HJ564" s="375"/>
      <c r="HK564" s="375"/>
      <c r="HM564" s="373"/>
      <c r="HN564" s="374"/>
      <c r="HO564" s="375"/>
      <c r="HP564" s="375"/>
      <c r="HR564" s="373"/>
      <c r="HS564" s="374"/>
      <c r="HT564" s="375"/>
      <c r="HU564" s="375"/>
      <c r="HW564" s="373"/>
      <c r="HX564" s="374"/>
      <c r="HY564" s="375"/>
      <c r="HZ564" s="375"/>
      <c r="IB564" s="373"/>
      <c r="IC564" s="374"/>
      <c r="ID564" s="375"/>
      <c r="IE564" s="375"/>
      <c r="IG564" s="373"/>
      <c r="IH564" s="374"/>
      <c r="II564" s="375"/>
      <c r="IJ564" s="375"/>
      <c r="IL564" s="373"/>
      <c r="IM564" s="374"/>
      <c r="IN564" s="375"/>
      <c r="IO564" s="375"/>
      <c r="IQ564" s="373"/>
      <c r="IR564" s="374"/>
      <c r="IS564" s="375"/>
      <c r="IT564" s="375"/>
      <c r="IV564" s="373"/>
    </row>
    <row r="565" spans="1:256" s="376" customFormat="1" x14ac:dyDescent="0.2">
      <c r="A565" s="373"/>
      <c r="B565" s="374"/>
      <c r="C565" s="375"/>
      <c r="D565" s="375"/>
      <c r="F565" s="373"/>
      <c r="G565" s="374"/>
      <c r="H565" s="375"/>
      <c r="I565" s="375"/>
      <c r="K565" s="373"/>
      <c r="L565" s="374"/>
      <c r="M565" s="375"/>
      <c r="N565" s="375"/>
      <c r="P565" s="373"/>
      <c r="Q565" s="374"/>
      <c r="R565" s="375"/>
      <c r="S565" s="375"/>
      <c r="U565" s="373"/>
      <c r="V565" s="374"/>
      <c r="W565" s="375"/>
      <c r="X565" s="375"/>
      <c r="Z565" s="373"/>
      <c r="AA565" s="374"/>
      <c r="AB565" s="375"/>
      <c r="AC565" s="375"/>
      <c r="AE565" s="373"/>
      <c r="AF565" s="374"/>
      <c r="AG565" s="375"/>
      <c r="AH565" s="375"/>
      <c r="AJ565" s="373"/>
      <c r="AK565" s="374"/>
      <c r="AL565" s="375"/>
      <c r="AM565" s="375"/>
      <c r="AO565" s="373"/>
      <c r="AP565" s="374"/>
      <c r="AQ565" s="375"/>
      <c r="AR565" s="375"/>
      <c r="AT565" s="373"/>
      <c r="AU565" s="374"/>
      <c r="AV565" s="375"/>
      <c r="AW565" s="375"/>
      <c r="AY565" s="373"/>
      <c r="AZ565" s="374"/>
      <c r="BA565" s="375"/>
      <c r="BB565" s="375"/>
      <c r="BD565" s="373"/>
      <c r="BE565" s="374"/>
      <c r="BF565" s="375"/>
      <c r="BG565" s="375"/>
      <c r="BI565" s="373"/>
      <c r="BJ565" s="374"/>
      <c r="BK565" s="375"/>
      <c r="BL565" s="375"/>
      <c r="BN565" s="373"/>
      <c r="BO565" s="374"/>
      <c r="BP565" s="375"/>
      <c r="BQ565" s="375"/>
      <c r="BS565" s="373"/>
      <c r="BT565" s="374"/>
      <c r="BU565" s="375"/>
      <c r="BV565" s="375"/>
      <c r="BX565" s="373"/>
      <c r="BY565" s="374"/>
      <c r="BZ565" s="375"/>
      <c r="CA565" s="375"/>
      <c r="CC565" s="373"/>
      <c r="CD565" s="374"/>
      <c r="CE565" s="375"/>
      <c r="CF565" s="375"/>
      <c r="CH565" s="373"/>
      <c r="CI565" s="374"/>
      <c r="CJ565" s="375"/>
      <c r="CK565" s="375"/>
      <c r="CM565" s="373"/>
      <c r="CN565" s="374"/>
      <c r="CO565" s="375"/>
      <c r="CP565" s="375"/>
      <c r="CR565" s="373"/>
      <c r="CS565" s="374"/>
      <c r="CT565" s="375"/>
      <c r="CU565" s="375"/>
      <c r="CW565" s="373"/>
      <c r="CX565" s="374"/>
      <c r="CY565" s="375"/>
      <c r="CZ565" s="375"/>
      <c r="DB565" s="373"/>
      <c r="DC565" s="374"/>
      <c r="DD565" s="375"/>
      <c r="DE565" s="375"/>
      <c r="DG565" s="373"/>
      <c r="DH565" s="374"/>
      <c r="DI565" s="375"/>
      <c r="DJ565" s="375"/>
      <c r="DL565" s="373"/>
      <c r="DM565" s="374"/>
      <c r="DN565" s="375"/>
      <c r="DO565" s="375"/>
      <c r="DQ565" s="373"/>
      <c r="DR565" s="374"/>
      <c r="DS565" s="375"/>
      <c r="DT565" s="375"/>
      <c r="DV565" s="373"/>
      <c r="DW565" s="374"/>
      <c r="DX565" s="375"/>
      <c r="DY565" s="375"/>
      <c r="EA565" s="373"/>
      <c r="EB565" s="374"/>
      <c r="EC565" s="375"/>
      <c r="ED565" s="375"/>
      <c r="EF565" s="373"/>
      <c r="EG565" s="374"/>
      <c r="EH565" s="375"/>
      <c r="EI565" s="375"/>
      <c r="EK565" s="373"/>
      <c r="EL565" s="374"/>
      <c r="EM565" s="375"/>
      <c r="EN565" s="375"/>
      <c r="EP565" s="373"/>
      <c r="EQ565" s="374"/>
      <c r="ER565" s="375"/>
      <c r="ES565" s="375"/>
      <c r="EU565" s="373"/>
      <c r="EV565" s="374"/>
      <c r="EW565" s="375"/>
      <c r="EX565" s="375"/>
      <c r="EZ565" s="373"/>
      <c r="FA565" s="374"/>
      <c r="FB565" s="375"/>
      <c r="FC565" s="375"/>
      <c r="FE565" s="373"/>
      <c r="FF565" s="374"/>
      <c r="FG565" s="375"/>
      <c r="FH565" s="375"/>
      <c r="FJ565" s="373"/>
      <c r="FK565" s="374"/>
      <c r="FL565" s="375"/>
      <c r="FM565" s="375"/>
      <c r="FO565" s="373"/>
      <c r="FP565" s="374"/>
      <c r="FQ565" s="375"/>
      <c r="FR565" s="375"/>
      <c r="FT565" s="373"/>
      <c r="FU565" s="374"/>
      <c r="FV565" s="375"/>
      <c r="FW565" s="375"/>
      <c r="FY565" s="373"/>
      <c r="FZ565" s="374"/>
      <c r="GA565" s="375"/>
      <c r="GB565" s="375"/>
      <c r="GD565" s="373"/>
      <c r="GE565" s="374"/>
      <c r="GF565" s="375"/>
      <c r="GG565" s="375"/>
      <c r="GI565" s="373"/>
      <c r="GJ565" s="374"/>
      <c r="GK565" s="375"/>
      <c r="GL565" s="375"/>
      <c r="GN565" s="373"/>
      <c r="GO565" s="374"/>
      <c r="GP565" s="375"/>
      <c r="GQ565" s="375"/>
      <c r="GS565" s="373"/>
      <c r="GT565" s="374"/>
      <c r="GU565" s="375"/>
      <c r="GV565" s="375"/>
      <c r="GX565" s="373"/>
      <c r="GY565" s="374"/>
      <c r="GZ565" s="375"/>
      <c r="HA565" s="375"/>
      <c r="HC565" s="373"/>
      <c r="HD565" s="374"/>
      <c r="HE565" s="375"/>
      <c r="HF565" s="375"/>
      <c r="HH565" s="373"/>
      <c r="HI565" s="374"/>
      <c r="HJ565" s="375"/>
      <c r="HK565" s="375"/>
      <c r="HM565" s="373"/>
      <c r="HN565" s="374"/>
      <c r="HO565" s="375"/>
      <c r="HP565" s="375"/>
      <c r="HR565" s="373"/>
      <c r="HS565" s="374"/>
      <c r="HT565" s="375"/>
      <c r="HU565" s="375"/>
      <c r="HW565" s="373"/>
      <c r="HX565" s="374"/>
      <c r="HY565" s="375"/>
      <c r="HZ565" s="375"/>
      <c r="IB565" s="373"/>
      <c r="IC565" s="374"/>
      <c r="ID565" s="375"/>
      <c r="IE565" s="375"/>
      <c r="IG565" s="373"/>
      <c r="IH565" s="374"/>
      <c r="II565" s="375"/>
      <c r="IJ565" s="375"/>
      <c r="IL565" s="373"/>
      <c r="IM565" s="374"/>
      <c r="IN565" s="375"/>
      <c r="IO565" s="375"/>
      <c r="IQ565" s="373"/>
      <c r="IR565" s="374"/>
      <c r="IS565" s="375"/>
      <c r="IT565" s="375"/>
      <c r="IV565" s="373"/>
    </row>
    <row r="566" spans="1:256" s="376" customFormat="1" x14ac:dyDescent="0.2">
      <c r="A566" s="373"/>
      <c r="B566" s="374"/>
      <c r="C566" s="375"/>
      <c r="D566" s="375"/>
      <c r="F566" s="373"/>
      <c r="G566" s="374"/>
      <c r="H566" s="375"/>
      <c r="I566" s="375"/>
      <c r="K566" s="373"/>
      <c r="L566" s="374"/>
      <c r="M566" s="375"/>
      <c r="N566" s="375"/>
      <c r="P566" s="373"/>
      <c r="Q566" s="374"/>
      <c r="R566" s="375"/>
      <c r="S566" s="375"/>
      <c r="U566" s="373"/>
      <c r="V566" s="374"/>
      <c r="W566" s="375"/>
      <c r="X566" s="375"/>
      <c r="Z566" s="373"/>
      <c r="AA566" s="374"/>
      <c r="AB566" s="375"/>
      <c r="AC566" s="375"/>
      <c r="AE566" s="373"/>
      <c r="AF566" s="374"/>
      <c r="AG566" s="375"/>
      <c r="AH566" s="375"/>
      <c r="AJ566" s="373"/>
      <c r="AK566" s="374"/>
      <c r="AL566" s="375"/>
      <c r="AM566" s="375"/>
      <c r="AO566" s="373"/>
      <c r="AP566" s="374"/>
      <c r="AQ566" s="375"/>
      <c r="AR566" s="375"/>
      <c r="AT566" s="373"/>
      <c r="AU566" s="374"/>
      <c r="AV566" s="375"/>
      <c r="AW566" s="375"/>
      <c r="AY566" s="373"/>
      <c r="AZ566" s="374"/>
      <c r="BA566" s="375"/>
      <c r="BB566" s="375"/>
      <c r="BD566" s="373"/>
      <c r="BE566" s="374"/>
      <c r="BF566" s="375"/>
      <c r="BG566" s="375"/>
      <c r="BI566" s="373"/>
      <c r="BJ566" s="374"/>
      <c r="BK566" s="375"/>
      <c r="BL566" s="375"/>
      <c r="BN566" s="373"/>
      <c r="BO566" s="374"/>
      <c r="BP566" s="375"/>
      <c r="BQ566" s="375"/>
      <c r="BS566" s="373"/>
      <c r="BT566" s="374"/>
      <c r="BU566" s="375"/>
      <c r="BV566" s="375"/>
      <c r="BX566" s="373"/>
      <c r="BY566" s="374"/>
      <c r="BZ566" s="375"/>
      <c r="CA566" s="375"/>
      <c r="CC566" s="373"/>
      <c r="CD566" s="374"/>
      <c r="CE566" s="375"/>
      <c r="CF566" s="375"/>
      <c r="CH566" s="373"/>
      <c r="CI566" s="374"/>
      <c r="CJ566" s="375"/>
      <c r="CK566" s="375"/>
      <c r="CM566" s="373"/>
      <c r="CN566" s="374"/>
      <c r="CO566" s="375"/>
      <c r="CP566" s="375"/>
      <c r="CR566" s="373"/>
      <c r="CS566" s="374"/>
      <c r="CT566" s="375"/>
      <c r="CU566" s="375"/>
      <c r="CW566" s="373"/>
      <c r="CX566" s="374"/>
      <c r="CY566" s="375"/>
      <c r="CZ566" s="375"/>
      <c r="DB566" s="373"/>
      <c r="DC566" s="374"/>
      <c r="DD566" s="375"/>
      <c r="DE566" s="375"/>
      <c r="DG566" s="373"/>
      <c r="DH566" s="374"/>
      <c r="DI566" s="375"/>
      <c r="DJ566" s="375"/>
      <c r="DL566" s="373"/>
      <c r="DM566" s="374"/>
      <c r="DN566" s="375"/>
      <c r="DO566" s="375"/>
      <c r="DQ566" s="373"/>
      <c r="DR566" s="374"/>
      <c r="DS566" s="375"/>
      <c r="DT566" s="375"/>
      <c r="DV566" s="373"/>
      <c r="DW566" s="374"/>
      <c r="DX566" s="375"/>
      <c r="DY566" s="375"/>
      <c r="EA566" s="373"/>
      <c r="EB566" s="374"/>
      <c r="EC566" s="375"/>
      <c r="ED566" s="375"/>
      <c r="EF566" s="373"/>
      <c r="EG566" s="374"/>
      <c r="EH566" s="375"/>
      <c r="EI566" s="375"/>
      <c r="EK566" s="373"/>
      <c r="EL566" s="374"/>
      <c r="EM566" s="375"/>
      <c r="EN566" s="375"/>
      <c r="EP566" s="373"/>
      <c r="EQ566" s="374"/>
      <c r="ER566" s="375"/>
      <c r="ES566" s="375"/>
      <c r="EU566" s="373"/>
      <c r="EV566" s="374"/>
      <c r="EW566" s="375"/>
      <c r="EX566" s="375"/>
      <c r="EZ566" s="373"/>
      <c r="FA566" s="374"/>
      <c r="FB566" s="375"/>
      <c r="FC566" s="375"/>
      <c r="FE566" s="373"/>
      <c r="FF566" s="374"/>
      <c r="FG566" s="375"/>
      <c r="FH566" s="375"/>
      <c r="FJ566" s="373"/>
      <c r="FK566" s="374"/>
      <c r="FL566" s="375"/>
      <c r="FM566" s="375"/>
      <c r="FO566" s="373"/>
      <c r="FP566" s="374"/>
      <c r="FQ566" s="375"/>
      <c r="FR566" s="375"/>
      <c r="FT566" s="373"/>
      <c r="FU566" s="374"/>
      <c r="FV566" s="375"/>
      <c r="FW566" s="375"/>
      <c r="FY566" s="373"/>
      <c r="FZ566" s="374"/>
      <c r="GA566" s="375"/>
      <c r="GB566" s="375"/>
      <c r="GD566" s="373"/>
      <c r="GE566" s="374"/>
      <c r="GF566" s="375"/>
      <c r="GG566" s="375"/>
      <c r="GI566" s="373"/>
      <c r="GJ566" s="374"/>
      <c r="GK566" s="375"/>
      <c r="GL566" s="375"/>
      <c r="GN566" s="373"/>
      <c r="GO566" s="374"/>
      <c r="GP566" s="375"/>
      <c r="GQ566" s="375"/>
      <c r="GS566" s="373"/>
      <c r="GT566" s="374"/>
      <c r="GU566" s="375"/>
      <c r="GV566" s="375"/>
      <c r="GX566" s="373"/>
      <c r="GY566" s="374"/>
      <c r="GZ566" s="375"/>
      <c r="HA566" s="375"/>
      <c r="HC566" s="373"/>
      <c r="HD566" s="374"/>
      <c r="HE566" s="375"/>
      <c r="HF566" s="375"/>
      <c r="HH566" s="373"/>
      <c r="HI566" s="374"/>
      <c r="HJ566" s="375"/>
      <c r="HK566" s="375"/>
      <c r="HM566" s="373"/>
      <c r="HN566" s="374"/>
      <c r="HO566" s="375"/>
      <c r="HP566" s="375"/>
      <c r="HR566" s="373"/>
      <c r="HS566" s="374"/>
      <c r="HT566" s="375"/>
      <c r="HU566" s="375"/>
      <c r="HW566" s="373"/>
      <c r="HX566" s="374"/>
      <c r="HY566" s="375"/>
      <c r="HZ566" s="375"/>
      <c r="IB566" s="373"/>
      <c r="IC566" s="374"/>
      <c r="ID566" s="375"/>
      <c r="IE566" s="375"/>
      <c r="IG566" s="373"/>
      <c r="IH566" s="374"/>
      <c r="II566" s="375"/>
      <c r="IJ566" s="375"/>
      <c r="IL566" s="373"/>
      <c r="IM566" s="374"/>
      <c r="IN566" s="375"/>
      <c r="IO566" s="375"/>
      <c r="IQ566" s="373"/>
      <c r="IR566" s="374"/>
      <c r="IS566" s="375"/>
      <c r="IT566" s="375"/>
      <c r="IV566" s="373"/>
    </row>
    <row r="567" spans="1:256" s="376" customFormat="1" x14ac:dyDescent="0.2">
      <c r="A567" s="373"/>
      <c r="B567" s="374"/>
      <c r="C567" s="375"/>
      <c r="D567" s="375"/>
      <c r="F567" s="373"/>
      <c r="G567" s="374"/>
      <c r="H567" s="375"/>
      <c r="I567" s="375"/>
      <c r="K567" s="373"/>
      <c r="L567" s="374"/>
      <c r="M567" s="375"/>
      <c r="N567" s="375"/>
      <c r="P567" s="373"/>
      <c r="Q567" s="374"/>
      <c r="R567" s="375"/>
      <c r="S567" s="375"/>
      <c r="U567" s="373"/>
      <c r="V567" s="374"/>
      <c r="W567" s="375"/>
      <c r="X567" s="375"/>
      <c r="Z567" s="373"/>
      <c r="AA567" s="374"/>
      <c r="AB567" s="375"/>
      <c r="AC567" s="375"/>
      <c r="AE567" s="373"/>
      <c r="AF567" s="374"/>
      <c r="AG567" s="375"/>
      <c r="AH567" s="375"/>
      <c r="AJ567" s="373"/>
      <c r="AK567" s="374"/>
      <c r="AL567" s="375"/>
      <c r="AM567" s="375"/>
      <c r="AO567" s="373"/>
      <c r="AP567" s="374"/>
      <c r="AQ567" s="375"/>
      <c r="AR567" s="375"/>
      <c r="AT567" s="373"/>
      <c r="AU567" s="374"/>
      <c r="AV567" s="375"/>
      <c r="AW567" s="375"/>
      <c r="AY567" s="373"/>
      <c r="AZ567" s="374"/>
      <c r="BA567" s="375"/>
      <c r="BB567" s="375"/>
      <c r="BD567" s="373"/>
      <c r="BE567" s="374"/>
      <c r="BF567" s="375"/>
      <c r="BG567" s="375"/>
      <c r="BI567" s="373"/>
      <c r="BJ567" s="374"/>
      <c r="BK567" s="375"/>
      <c r="BL567" s="375"/>
      <c r="BN567" s="373"/>
      <c r="BO567" s="374"/>
      <c r="BP567" s="375"/>
      <c r="BQ567" s="375"/>
      <c r="BS567" s="373"/>
      <c r="BT567" s="374"/>
      <c r="BU567" s="375"/>
      <c r="BV567" s="375"/>
      <c r="BX567" s="373"/>
      <c r="BY567" s="374"/>
      <c r="BZ567" s="375"/>
      <c r="CA567" s="375"/>
      <c r="CC567" s="373"/>
      <c r="CD567" s="374"/>
      <c r="CE567" s="375"/>
      <c r="CF567" s="375"/>
      <c r="CH567" s="373"/>
      <c r="CI567" s="374"/>
      <c r="CJ567" s="375"/>
      <c r="CK567" s="375"/>
      <c r="CM567" s="373"/>
      <c r="CN567" s="374"/>
      <c r="CO567" s="375"/>
      <c r="CP567" s="375"/>
      <c r="CR567" s="373"/>
      <c r="CS567" s="374"/>
      <c r="CT567" s="375"/>
      <c r="CU567" s="375"/>
      <c r="CW567" s="373"/>
      <c r="CX567" s="374"/>
      <c r="CY567" s="375"/>
      <c r="CZ567" s="375"/>
      <c r="DB567" s="373"/>
      <c r="DC567" s="374"/>
      <c r="DD567" s="375"/>
      <c r="DE567" s="375"/>
      <c r="DG567" s="373"/>
      <c r="DH567" s="374"/>
      <c r="DI567" s="375"/>
      <c r="DJ567" s="375"/>
      <c r="DL567" s="373"/>
      <c r="DM567" s="374"/>
      <c r="DN567" s="375"/>
      <c r="DO567" s="375"/>
      <c r="DQ567" s="373"/>
      <c r="DR567" s="374"/>
      <c r="DS567" s="375"/>
      <c r="DT567" s="375"/>
      <c r="DV567" s="373"/>
      <c r="DW567" s="374"/>
      <c r="DX567" s="375"/>
      <c r="DY567" s="375"/>
      <c r="EA567" s="373"/>
      <c r="EB567" s="374"/>
      <c r="EC567" s="375"/>
      <c r="ED567" s="375"/>
      <c r="EF567" s="373"/>
      <c r="EG567" s="374"/>
      <c r="EH567" s="375"/>
      <c r="EI567" s="375"/>
      <c r="EK567" s="373"/>
      <c r="EL567" s="374"/>
      <c r="EM567" s="375"/>
      <c r="EN567" s="375"/>
      <c r="EP567" s="373"/>
      <c r="EQ567" s="374"/>
      <c r="ER567" s="375"/>
      <c r="ES567" s="375"/>
      <c r="EU567" s="373"/>
      <c r="EV567" s="374"/>
      <c r="EW567" s="375"/>
      <c r="EX567" s="375"/>
      <c r="EZ567" s="373"/>
      <c r="FA567" s="374"/>
      <c r="FB567" s="375"/>
      <c r="FC567" s="375"/>
      <c r="FE567" s="373"/>
      <c r="FF567" s="374"/>
      <c r="FG567" s="375"/>
      <c r="FH567" s="375"/>
      <c r="FJ567" s="373"/>
      <c r="FK567" s="374"/>
      <c r="FL567" s="375"/>
      <c r="FM567" s="375"/>
      <c r="FO567" s="373"/>
      <c r="FP567" s="374"/>
      <c r="FQ567" s="375"/>
      <c r="FR567" s="375"/>
      <c r="FT567" s="373"/>
      <c r="FU567" s="374"/>
      <c r="FV567" s="375"/>
      <c r="FW567" s="375"/>
      <c r="FY567" s="373"/>
      <c r="FZ567" s="374"/>
      <c r="GA567" s="375"/>
      <c r="GB567" s="375"/>
      <c r="GD567" s="373"/>
      <c r="GE567" s="374"/>
      <c r="GF567" s="375"/>
      <c r="GG567" s="375"/>
      <c r="GI567" s="373"/>
      <c r="GJ567" s="374"/>
      <c r="GK567" s="375"/>
      <c r="GL567" s="375"/>
      <c r="GN567" s="373"/>
      <c r="GO567" s="374"/>
      <c r="GP567" s="375"/>
      <c r="GQ567" s="375"/>
      <c r="GS567" s="373"/>
      <c r="GT567" s="374"/>
      <c r="GU567" s="375"/>
      <c r="GV567" s="375"/>
      <c r="GX567" s="373"/>
      <c r="GY567" s="374"/>
      <c r="GZ567" s="375"/>
      <c r="HA567" s="375"/>
      <c r="HC567" s="373"/>
      <c r="HD567" s="374"/>
      <c r="HE567" s="375"/>
      <c r="HF567" s="375"/>
      <c r="HH567" s="373"/>
      <c r="HI567" s="374"/>
      <c r="HJ567" s="375"/>
      <c r="HK567" s="375"/>
      <c r="HM567" s="373"/>
      <c r="HN567" s="374"/>
      <c r="HO567" s="375"/>
      <c r="HP567" s="375"/>
      <c r="HR567" s="373"/>
      <c r="HS567" s="374"/>
      <c r="HT567" s="375"/>
      <c r="HU567" s="375"/>
      <c r="HW567" s="373"/>
      <c r="HX567" s="374"/>
      <c r="HY567" s="375"/>
      <c r="HZ567" s="375"/>
      <c r="IB567" s="373"/>
      <c r="IC567" s="374"/>
      <c r="ID567" s="375"/>
      <c r="IE567" s="375"/>
      <c r="IG567" s="373"/>
      <c r="IH567" s="374"/>
      <c r="II567" s="375"/>
      <c r="IJ567" s="375"/>
      <c r="IL567" s="373"/>
      <c r="IM567" s="374"/>
      <c r="IN567" s="375"/>
      <c r="IO567" s="375"/>
      <c r="IQ567" s="373"/>
      <c r="IR567" s="374"/>
      <c r="IS567" s="375"/>
      <c r="IT567" s="375"/>
      <c r="IV567" s="373"/>
    </row>
    <row r="568" spans="1:256" s="376" customFormat="1" x14ac:dyDescent="0.2">
      <c r="A568" s="373"/>
      <c r="B568" s="374"/>
      <c r="C568" s="375"/>
      <c r="D568" s="375"/>
      <c r="F568" s="373"/>
      <c r="G568" s="374"/>
      <c r="H568" s="375"/>
      <c r="I568" s="375"/>
      <c r="K568" s="373"/>
      <c r="L568" s="374"/>
      <c r="M568" s="375"/>
      <c r="N568" s="375"/>
      <c r="P568" s="373"/>
      <c r="Q568" s="374"/>
      <c r="R568" s="375"/>
      <c r="S568" s="375"/>
      <c r="U568" s="373"/>
      <c r="V568" s="374"/>
      <c r="W568" s="375"/>
      <c r="X568" s="375"/>
      <c r="Z568" s="373"/>
      <c r="AA568" s="374"/>
      <c r="AB568" s="375"/>
      <c r="AC568" s="375"/>
      <c r="AE568" s="373"/>
      <c r="AF568" s="374"/>
      <c r="AG568" s="375"/>
      <c r="AH568" s="375"/>
      <c r="AJ568" s="373"/>
      <c r="AK568" s="374"/>
      <c r="AL568" s="375"/>
      <c r="AM568" s="375"/>
      <c r="AO568" s="373"/>
      <c r="AP568" s="374"/>
      <c r="AQ568" s="375"/>
      <c r="AR568" s="375"/>
      <c r="AT568" s="373"/>
      <c r="AU568" s="374"/>
      <c r="AV568" s="375"/>
      <c r="AW568" s="375"/>
      <c r="AY568" s="373"/>
      <c r="AZ568" s="374"/>
      <c r="BA568" s="375"/>
      <c r="BB568" s="375"/>
      <c r="BD568" s="373"/>
      <c r="BE568" s="374"/>
      <c r="BF568" s="375"/>
      <c r="BG568" s="375"/>
      <c r="BI568" s="373"/>
      <c r="BJ568" s="374"/>
      <c r="BK568" s="375"/>
      <c r="BL568" s="375"/>
      <c r="BN568" s="373"/>
      <c r="BO568" s="374"/>
      <c r="BP568" s="375"/>
      <c r="BQ568" s="375"/>
      <c r="BS568" s="373"/>
      <c r="BT568" s="374"/>
      <c r="BU568" s="375"/>
      <c r="BV568" s="375"/>
      <c r="BX568" s="373"/>
      <c r="BY568" s="374"/>
      <c r="BZ568" s="375"/>
      <c r="CA568" s="375"/>
      <c r="CC568" s="373"/>
      <c r="CD568" s="374"/>
      <c r="CE568" s="375"/>
      <c r="CF568" s="375"/>
      <c r="CH568" s="373"/>
      <c r="CI568" s="374"/>
      <c r="CJ568" s="375"/>
      <c r="CK568" s="375"/>
      <c r="CM568" s="373"/>
      <c r="CN568" s="374"/>
      <c r="CO568" s="375"/>
      <c r="CP568" s="375"/>
      <c r="CR568" s="373"/>
      <c r="CS568" s="374"/>
      <c r="CT568" s="375"/>
      <c r="CU568" s="375"/>
      <c r="CW568" s="373"/>
      <c r="CX568" s="374"/>
      <c r="CY568" s="375"/>
      <c r="CZ568" s="375"/>
      <c r="DB568" s="373"/>
      <c r="DC568" s="374"/>
      <c r="DD568" s="375"/>
      <c r="DE568" s="375"/>
      <c r="DG568" s="373"/>
      <c r="DH568" s="374"/>
      <c r="DI568" s="375"/>
      <c r="DJ568" s="375"/>
      <c r="DL568" s="373"/>
      <c r="DM568" s="374"/>
      <c r="DN568" s="375"/>
      <c r="DO568" s="375"/>
      <c r="DQ568" s="373"/>
      <c r="DR568" s="374"/>
      <c r="DS568" s="375"/>
      <c r="DT568" s="375"/>
      <c r="DV568" s="373"/>
      <c r="DW568" s="374"/>
      <c r="DX568" s="375"/>
      <c r="DY568" s="375"/>
      <c r="EA568" s="373"/>
      <c r="EB568" s="374"/>
      <c r="EC568" s="375"/>
      <c r="ED568" s="375"/>
      <c r="EF568" s="373"/>
      <c r="EG568" s="374"/>
      <c r="EH568" s="375"/>
      <c r="EI568" s="375"/>
      <c r="EK568" s="373"/>
      <c r="EL568" s="374"/>
      <c r="EM568" s="375"/>
      <c r="EN568" s="375"/>
      <c r="EP568" s="373"/>
      <c r="EQ568" s="374"/>
      <c r="ER568" s="375"/>
      <c r="ES568" s="375"/>
      <c r="EU568" s="373"/>
      <c r="EV568" s="374"/>
      <c r="EW568" s="375"/>
      <c r="EX568" s="375"/>
      <c r="EZ568" s="373"/>
      <c r="FA568" s="374"/>
      <c r="FB568" s="375"/>
      <c r="FC568" s="375"/>
      <c r="FE568" s="373"/>
      <c r="FF568" s="374"/>
      <c r="FG568" s="375"/>
      <c r="FH568" s="375"/>
      <c r="FJ568" s="373"/>
      <c r="FK568" s="374"/>
      <c r="FL568" s="375"/>
      <c r="FM568" s="375"/>
      <c r="FO568" s="373"/>
      <c r="FP568" s="374"/>
      <c r="FQ568" s="375"/>
      <c r="FR568" s="375"/>
      <c r="FT568" s="373"/>
      <c r="FU568" s="374"/>
      <c r="FV568" s="375"/>
      <c r="FW568" s="375"/>
      <c r="FY568" s="373"/>
      <c r="FZ568" s="374"/>
      <c r="GA568" s="375"/>
      <c r="GB568" s="375"/>
      <c r="GD568" s="373"/>
      <c r="GE568" s="374"/>
      <c r="GF568" s="375"/>
      <c r="GG568" s="375"/>
      <c r="GI568" s="373"/>
      <c r="GJ568" s="374"/>
      <c r="GK568" s="375"/>
      <c r="GL568" s="375"/>
      <c r="GN568" s="373"/>
      <c r="GO568" s="374"/>
      <c r="GP568" s="375"/>
      <c r="GQ568" s="375"/>
      <c r="GS568" s="373"/>
      <c r="GT568" s="374"/>
      <c r="GU568" s="375"/>
      <c r="GV568" s="375"/>
      <c r="GX568" s="373"/>
      <c r="GY568" s="374"/>
      <c r="GZ568" s="375"/>
      <c r="HA568" s="375"/>
      <c r="HC568" s="373"/>
      <c r="HD568" s="374"/>
      <c r="HE568" s="375"/>
      <c r="HF568" s="375"/>
      <c r="HH568" s="373"/>
      <c r="HI568" s="374"/>
      <c r="HJ568" s="375"/>
      <c r="HK568" s="375"/>
      <c r="HM568" s="373"/>
      <c r="HN568" s="374"/>
      <c r="HO568" s="375"/>
      <c r="HP568" s="375"/>
      <c r="HR568" s="373"/>
      <c r="HS568" s="374"/>
      <c r="HT568" s="375"/>
      <c r="HU568" s="375"/>
      <c r="HW568" s="373"/>
      <c r="HX568" s="374"/>
      <c r="HY568" s="375"/>
      <c r="HZ568" s="375"/>
      <c r="IB568" s="373"/>
      <c r="IC568" s="374"/>
      <c r="ID568" s="375"/>
      <c r="IE568" s="375"/>
      <c r="IG568" s="373"/>
      <c r="IH568" s="374"/>
      <c r="II568" s="375"/>
      <c r="IJ568" s="375"/>
      <c r="IL568" s="373"/>
      <c r="IM568" s="374"/>
      <c r="IN568" s="375"/>
      <c r="IO568" s="375"/>
      <c r="IQ568" s="373"/>
      <c r="IR568" s="374"/>
      <c r="IS568" s="375"/>
      <c r="IT568" s="375"/>
      <c r="IV568" s="373"/>
    </row>
    <row r="569" spans="1:256" s="376" customFormat="1" x14ac:dyDescent="0.2">
      <c r="A569" s="373"/>
      <c r="B569" s="374"/>
      <c r="C569" s="375"/>
      <c r="D569" s="375"/>
      <c r="F569" s="373"/>
      <c r="G569" s="374"/>
      <c r="H569" s="375"/>
      <c r="I569" s="375"/>
      <c r="K569" s="373"/>
      <c r="L569" s="374"/>
      <c r="M569" s="375"/>
      <c r="N569" s="375"/>
      <c r="P569" s="373"/>
      <c r="Q569" s="374"/>
      <c r="R569" s="375"/>
      <c r="S569" s="375"/>
      <c r="U569" s="373"/>
      <c r="V569" s="374"/>
      <c r="W569" s="375"/>
      <c r="X569" s="375"/>
      <c r="Z569" s="373"/>
      <c r="AA569" s="374"/>
      <c r="AB569" s="375"/>
      <c r="AC569" s="375"/>
      <c r="AE569" s="373"/>
      <c r="AF569" s="374"/>
      <c r="AG569" s="375"/>
      <c r="AH569" s="375"/>
      <c r="AJ569" s="373"/>
      <c r="AK569" s="374"/>
      <c r="AL569" s="375"/>
      <c r="AM569" s="375"/>
      <c r="AO569" s="373"/>
      <c r="AP569" s="374"/>
      <c r="AQ569" s="375"/>
      <c r="AR569" s="375"/>
      <c r="AT569" s="373"/>
      <c r="AU569" s="374"/>
      <c r="AV569" s="375"/>
      <c r="AW569" s="375"/>
      <c r="AY569" s="373"/>
      <c r="AZ569" s="374"/>
      <c r="BA569" s="375"/>
      <c r="BB569" s="375"/>
      <c r="BD569" s="373"/>
      <c r="BE569" s="374"/>
      <c r="BF569" s="375"/>
      <c r="BG569" s="375"/>
      <c r="BI569" s="373"/>
      <c r="BJ569" s="374"/>
      <c r="BK569" s="375"/>
      <c r="BL569" s="375"/>
      <c r="BN569" s="373"/>
      <c r="BO569" s="374"/>
      <c r="BP569" s="375"/>
      <c r="BQ569" s="375"/>
      <c r="BS569" s="373"/>
      <c r="BT569" s="374"/>
      <c r="BU569" s="375"/>
      <c r="BV569" s="375"/>
      <c r="BX569" s="373"/>
      <c r="BY569" s="374"/>
      <c r="BZ569" s="375"/>
      <c r="CA569" s="375"/>
      <c r="CC569" s="373"/>
      <c r="CD569" s="374"/>
      <c r="CE569" s="375"/>
      <c r="CF569" s="375"/>
      <c r="CH569" s="373"/>
      <c r="CI569" s="374"/>
      <c r="CJ569" s="375"/>
      <c r="CK569" s="375"/>
      <c r="CM569" s="373"/>
      <c r="CN569" s="374"/>
      <c r="CO569" s="375"/>
      <c r="CP569" s="375"/>
      <c r="CR569" s="373"/>
      <c r="CS569" s="374"/>
      <c r="CT569" s="375"/>
      <c r="CU569" s="375"/>
      <c r="CW569" s="373"/>
      <c r="CX569" s="374"/>
      <c r="CY569" s="375"/>
      <c r="CZ569" s="375"/>
      <c r="DB569" s="373"/>
      <c r="DC569" s="374"/>
      <c r="DD569" s="375"/>
      <c r="DE569" s="375"/>
      <c r="DG569" s="373"/>
      <c r="DH569" s="374"/>
      <c r="DI569" s="375"/>
      <c r="DJ569" s="375"/>
      <c r="DL569" s="373"/>
      <c r="DM569" s="374"/>
      <c r="DN569" s="375"/>
      <c r="DO569" s="375"/>
      <c r="DQ569" s="373"/>
      <c r="DR569" s="374"/>
      <c r="DS569" s="375"/>
      <c r="DT569" s="375"/>
      <c r="DV569" s="373"/>
      <c r="DW569" s="374"/>
      <c r="DX569" s="375"/>
      <c r="DY569" s="375"/>
      <c r="EA569" s="373"/>
      <c r="EB569" s="374"/>
      <c r="EC569" s="375"/>
      <c r="ED569" s="375"/>
      <c r="EF569" s="373"/>
      <c r="EG569" s="374"/>
      <c r="EH569" s="375"/>
      <c r="EI569" s="375"/>
      <c r="EK569" s="373"/>
      <c r="EL569" s="374"/>
      <c r="EM569" s="375"/>
      <c r="EN569" s="375"/>
      <c r="EP569" s="373"/>
      <c r="EQ569" s="374"/>
      <c r="ER569" s="375"/>
      <c r="ES569" s="375"/>
      <c r="EU569" s="373"/>
      <c r="EV569" s="374"/>
      <c r="EW569" s="375"/>
      <c r="EX569" s="375"/>
      <c r="EZ569" s="373"/>
      <c r="FA569" s="374"/>
      <c r="FB569" s="375"/>
      <c r="FC569" s="375"/>
      <c r="FE569" s="373"/>
      <c r="FF569" s="374"/>
      <c r="FG569" s="375"/>
      <c r="FH569" s="375"/>
      <c r="FJ569" s="373"/>
      <c r="FK569" s="374"/>
      <c r="FL569" s="375"/>
      <c r="FM569" s="375"/>
      <c r="FO569" s="373"/>
      <c r="FP569" s="374"/>
      <c r="FQ569" s="375"/>
      <c r="FR569" s="375"/>
      <c r="FT569" s="373"/>
      <c r="FU569" s="374"/>
      <c r="FV569" s="375"/>
      <c r="FW569" s="375"/>
      <c r="FY569" s="373"/>
      <c r="FZ569" s="374"/>
      <c r="GA569" s="375"/>
      <c r="GB569" s="375"/>
      <c r="GD569" s="373"/>
      <c r="GE569" s="374"/>
      <c r="GF569" s="375"/>
      <c r="GG569" s="375"/>
      <c r="GI569" s="373"/>
      <c r="GJ569" s="374"/>
      <c r="GK569" s="375"/>
      <c r="GL569" s="375"/>
      <c r="GN569" s="373"/>
      <c r="GO569" s="374"/>
      <c r="GP569" s="375"/>
      <c r="GQ569" s="375"/>
      <c r="GS569" s="373"/>
      <c r="GT569" s="374"/>
      <c r="GU569" s="375"/>
      <c r="GV569" s="375"/>
      <c r="GX569" s="373"/>
      <c r="GY569" s="374"/>
      <c r="GZ569" s="375"/>
      <c r="HA569" s="375"/>
      <c r="HC569" s="373"/>
      <c r="HD569" s="374"/>
      <c r="HE569" s="375"/>
      <c r="HF569" s="375"/>
      <c r="HH569" s="373"/>
      <c r="HI569" s="374"/>
      <c r="HJ569" s="375"/>
      <c r="HK569" s="375"/>
      <c r="HM569" s="373"/>
      <c r="HN569" s="374"/>
      <c r="HO569" s="375"/>
      <c r="HP569" s="375"/>
      <c r="HR569" s="373"/>
      <c r="HS569" s="374"/>
      <c r="HT569" s="375"/>
      <c r="HU569" s="375"/>
      <c r="HW569" s="373"/>
      <c r="HX569" s="374"/>
      <c r="HY569" s="375"/>
      <c r="HZ569" s="375"/>
      <c r="IB569" s="373"/>
      <c r="IC569" s="374"/>
      <c r="ID569" s="375"/>
      <c r="IE569" s="375"/>
      <c r="IG569" s="373"/>
      <c r="IH569" s="374"/>
      <c r="II569" s="375"/>
      <c r="IJ569" s="375"/>
      <c r="IL569" s="373"/>
      <c r="IM569" s="374"/>
      <c r="IN569" s="375"/>
      <c r="IO569" s="375"/>
      <c r="IQ569" s="373"/>
      <c r="IR569" s="374"/>
      <c r="IS569" s="375"/>
      <c r="IT569" s="375"/>
      <c r="IV569" s="373"/>
    </row>
    <row r="570" spans="1:256" s="376" customFormat="1" x14ac:dyDescent="0.2">
      <c r="A570" s="373"/>
      <c r="B570" s="374"/>
      <c r="C570" s="375"/>
      <c r="D570" s="375"/>
      <c r="F570" s="373"/>
      <c r="G570" s="374"/>
      <c r="H570" s="375"/>
      <c r="I570" s="375"/>
      <c r="K570" s="373"/>
      <c r="L570" s="374"/>
      <c r="M570" s="375"/>
      <c r="N570" s="375"/>
      <c r="P570" s="373"/>
      <c r="Q570" s="374"/>
      <c r="R570" s="375"/>
      <c r="S570" s="375"/>
      <c r="U570" s="373"/>
      <c r="V570" s="374"/>
      <c r="W570" s="375"/>
      <c r="X570" s="375"/>
      <c r="Z570" s="373"/>
      <c r="AA570" s="374"/>
      <c r="AB570" s="375"/>
      <c r="AC570" s="375"/>
      <c r="AE570" s="373"/>
      <c r="AF570" s="374"/>
      <c r="AG570" s="375"/>
      <c r="AH570" s="375"/>
      <c r="AJ570" s="373"/>
      <c r="AK570" s="374"/>
      <c r="AL570" s="375"/>
      <c r="AM570" s="375"/>
      <c r="AO570" s="373"/>
      <c r="AP570" s="374"/>
      <c r="AQ570" s="375"/>
      <c r="AR570" s="375"/>
      <c r="AT570" s="373"/>
      <c r="AU570" s="374"/>
      <c r="AV570" s="375"/>
      <c r="AW570" s="375"/>
      <c r="AY570" s="373"/>
      <c r="AZ570" s="374"/>
      <c r="BA570" s="375"/>
      <c r="BB570" s="375"/>
      <c r="BD570" s="373"/>
      <c r="BE570" s="374"/>
      <c r="BF570" s="375"/>
      <c r="BG570" s="375"/>
      <c r="BI570" s="373"/>
      <c r="BJ570" s="374"/>
      <c r="BK570" s="375"/>
      <c r="BL570" s="375"/>
      <c r="BN570" s="373"/>
      <c r="BO570" s="374"/>
      <c r="BP570" s="375"/>
      <c r="BQ570" s="375"/>
      <c r="BS570" s="373"/>
      <c r="BT570" s="374"/>
      <c r="BU570" s="375"/>
      <c r="BV570" s="375"/>
      <c r="BX570" s="373"/>
      <c r="BY570" s="374"/>
      <c r="BZ570" s="375"/>
      <c r="CA570" s="375"/>
      <c r="CC570" s="373"/>
      <c r="CD570" s="374"/>
      <c r="CE570" s="375"/>
      <c r="CF570" s="375"/>
      <c r="CH570" s="373"/>
      <c r="CI570" s="374"/>
      <c r="CJ570" s="375"/>
      <c r="CK570" s="375"/>
      <c r="CM570" s="373"/>
      <c r="CN570" s="374"/>
      <c r="CO570" s="375"/>
      <c r="CP570" s="375"/>
      <c r="CR570" s="373"/>
      <c r="CS570" s="374"/>
      <c r="CT570" s="375"/>
      <c r="CU570" s="375"/>
      <c r="CW570" s="373"/>
      <c r="CX570" s="374"/>
      <c r="CY570" s="375"/>
      <c r="CZ570" s="375"/>
      <c r="DB570" s="373"/>
      <c r="DC570" s="374"/>
      <c r="DD570" s="375"/>
      <c r="DE570" s="375"/>
      <c r="DG570" s="373"/>
      <c r="DH570" s="374"/>
      <c r="DI570" s="375"/>
      <c r="DJ570" s="375"/>
      <c r="DL570" s="373"/>
      <c r="DM570" s="374"/>
      <c r="DN570" s="375"/>
      <c r="DO570" s="375"/>
      <c r="DQ570" s="373"/>
      <c r="DR570" s="374"/>
      <c r="DS570" s="375"/>
      <c r="DT570" s="375"/>
      <c r="DV570" s="373"/>
      <c r="DW570" s="374"/>
      <c r="DX570" s="375"/>
      <c r="DY570" s="375"/>
      <c r="EA570" s="373"/>
      <c r="EB570" s="374"/>
      <c r="EC570" s="375"/>
      <c r="ED570" s="375"/>
      <c r="EF570" s="373"/>
      <c r="EG570" s="374"/>
      <c r="EH570" s="375"/>
      <c r="EI570" s="375"/>
      <c r="EK570" s="373"/>
      <c r="EL570" s="374"/>
      <c r="EM570" s="375"/>
      <c r="EN570" s="375"/>
      <c r="EP570" s="373"/>
      <c r="EQ570" s="374"/>
      <c r="ER570" s="375"/>
      <c r="ES570" s="375"/>
      <c r="EU570" s="373"/>
      <c r="EV570" s="374"/>
      <c r="EW570" s="375"/>
      <c r="EX570" s="375"/>
      <c r="EZ570" s="373"/>
      <c r="FA570" s="374"/>
      <c r="FB570" s="375"/>
      <c r="FC570" s="375"/>
      <c r="FE570" s="373"/>
      <c r="FF570" s="374"/>
      <c r="FG570" s="375"/>
      <c r="FH570" s="375"/>
      <c r="FJ570" s="373"/>
      <c r="FK570" s="374"/>
      <c r="FL570" s="375"/>
      <c r="FM570" s="375"/>
      <c r="FO570" s="373"/>
      <c r="FP570" s="374"/>
      <c r="FQ570" s="375"/>
      <c r="FR570" s="375"/>
      <c r="FT570" s="373"/>
      <c r="FU570" s="374"/>
      <c r="FV570" s="375"/>
      <c r="FW570" s="375"/>
      <c r="FY570" s="373"/>
      <c r="FZ570" s="374"/>
      <c r="GA570" s="375"/>
      <c r="GB570" s="375"/>
      <c r="GD570" s="373"/>
      <c r="GE570" s="374"/>
      <c r="GF570" s="375"/>
      <c r="GG570" s="375"/>
      <c r="GI570" s="373"/>
      <c r="GJ570" s="374"/>
      <c r="GK570" s="375"/>
      <c r="GL570" s="375"/>
      <c r="GN570" s="373"/>
      <c r="GO570" s="374"/>
      <c r="GP570" s="375"/>
      <c r="GQ570" s="375"/>
      <c r="GS570" s="373"/>
      <c r="GT570" s="374"/>
      <c r="GU570" s="375"/>
      <c r="GV570" s="375"/>
      <c r="GX570" s="373"/>
      <c r="GY570" s="374"/>
      <c r="GZ570" s="375"/>
      <c r="HA570" s="375"/>
      <c r="HC570" s="373"/>
      <c r="HD570" s="374"/>
      <c r="HE570" s="375"/>
      <c r="HF570" s="375"/>
      <c r="HH570" s="373"/>
      <c r="HI570" s="374"/>
      <c r="HJ570" s="375"/>
      <c r="HK570" s="375"/>
      <c r="HM570" s="373"/>
      <c r="HN570" s="374"/>
      <c r="HO570" s="375"/>
      <c r="HP570" s="375"/>
      <c r="HR570" s="373"/>
      <c r="HS570" s="374"/>
      <c r="HT570" s="375"/>
      <c r="HU570" s="375"/>
      <c r="HW570" s="373"/>
      <c r="HX570" s="374"/>
      <c r="HY570" s="375"/>
      <c r="HZ570" s="375"/>
      <c r="IB570" s="373"/>
      <c r="IC570" s="374"/>
      <c r="ID570" s="375"/>
      <c r="IE570" s="375"/>
      <c r="IG570" s="373"/>
      <c r="IH570" s="374"/>
      <c r="II570" s="375"/>
      <c r="IJ570" s="375"/>
      <c r="IL570" s="373"/>
      <c r="IM570" s="374"/>
      <c r="IN570" s="375"/>
      <c r="IO570" s="375"/>
      <c r="IQ570" s="373"/>
      <c r="IR570" s="374"/>
      <c r="IS570" s="375"/>
      <c r="IT570" s="375"/>
      <c r="IV570" s="373"/>
    </row>
    <row r="571" spans="1:256" s="376" customFormat="1" x14ac:dyDescent="0.2">
      <c r="A571" s="373"/>
      <c r="B571" s="374"/>
      <c r="C571" s="375"/>
      <c r="D571" s="375"/>
      <c r="F571" s="373"/>
      <c r="G571" s="374"/>
      <c r="H571" s="375"/>
      <c r="I571" s="375"/>
      <c r="K571" s="373"/>
      <c r="L571" s="374"/>
      <c r="M571" s="375"/>
      <c r="N571" s="375"/>
      <c r="P571" s="373"/>
      <c r="Q571" s="374"/>
      <c r="R571" s="375"/>
      <c r="S571" s="375"/>
      <c r="U571" s="373"/>
      <c r="V571" s="374"/>
      <c r="W571" s="375"/>
      <c r="X571" s="375"/>
      <c r="Z571" s="373"/>
      <c r="AA571" s="374"/>
      <c r="AB571" s="375"/>
      <c r="AC571" s="375"/>
      <c r="AE571" s="373"/>
      <c r="AF571" s="374"/>
      <c r="AG571" s="375"/>
      <c r="AH571" s="375"/>
      <c r="AJ571" s="373"/>
      <c r="AK571" s="374"/>
      <c r="AL571" s="375"/>
      <c r="AM571" s="375"/>
      <c r="AO571" s="373"/>
      <c r="AP571" s="374"/>
      <c r="AQ571" s="375"/>
      <c r="AR571" s="375"/>
      <c r="AT571" s="373"/>
      <c r="AU571" s="374"/>
      <c r="AV571" s="375"/>
      <c r="AW571" s="375"/>
      <c r="AY571" s="373"/>
      <c r="AZ571" s="374"/>
      <c r="BA571" s="375"/>
      <c r="BB571" s="375"/>
      <c r="BD571" s="373"/>
      <c r="BE571" s="374"/>
      <c r="BF571" s="375"/>
      <c r="BG571" s="375"/>
      <c r="BI571" s="373"/>
      <c r="BJ571" s="374"/>
      <c r="BK571" s="375"/>
      <c r="BL571" s="375"/>
      <c r="BN571" s="373"/>
      <c r="BO571" s="374"/>
      <c r="BP571" s="375"/>
      <c r="BQ571" s="375"/>
      <c r="BS571" s="373"/>
      <c r="BT571" s="374"/>
      <c r="BU571" s="375"/>
      <c r="BV571" s="375"/>
      <c r="BX571" s="373"/>
      <c r="BY571" s="374"/>
      <c r="BZ571" s="375"/>
      <c r="CA571" s="375"/>
      <c r="CC571" s="373"/>
      <c r="CD571" s="374"/>
      <c r="CE571" s="375"/>
      <c r="CF571" s="375"/>
      <c r="CH571" s="373"/>
      <c r="CI571" s="374"/>
      <c r="CJ571" s="375"/>
      <c r="CK571" s="375"/>
      <c r="CM571" s="373"/>
      <c r="CN571" s="374"/>
      <c r="CO571" s="375"/>
      <c r="CP571" s="375"/>
      <c r="CR571" s="373"/>
      <c r="CS571" s="374"/>
      <c r="CT571" s="375"/>
      <c r="CU571" s="375"/>
      <c r="CW571" s="373"/>
      <c r="CX571" s="374"/>
      <c r="CY571" s="375"/>
      <c r="CZ571" s="375"/>
      <c r="DB571" s="373"/>
      <c r="DC571" s="374"/>
      <c r="DD571" s="375"/>
      <c r="DE571" s="375"/>
      <c r="DG571" s="373"/>
      <c r="DH571" s="374"/>
      <c r="DI571" s="375"/>
      <c r="DJ571" s="375"/>
      <c r="DL571" s="373"/>
      <c r="DM571" s="374"/>
      <c r="DN571" s="375"/>
      <c r="DO571" s="375"/>
      <c r="DQ571" s="373"/>
      <c r="DR571" s="374"/>
      <c r="DS571" s="375"/>
      <c r="DT571" s="375"/>
      <c r="DV571" s="373"/>
      <c r="DW571" s="374"/>
      <c r="DX571" s="375"/>
      <c r="DY571" s="375"/>
      <c r="EA571" s="373"/>
      <c r="EB571" s="374"/>
      <c r="EC571" s="375"/>
      <c r="ED571" s="375"/>
      <c r="EF571" s="373"/>
      <c r="EG571" s="374"/>
      <c r="EH571" s="375"/>
      <c r="EI571" s="375"/>
      <c r="EK571" s="373"/>
      <c r="EL571" s="374"/>
      <c r="EM571" s="375"/>
      <c r="EN571" s="375"/>
      <c r="EP571" s="373"/>
      <c r="EQ571" s="374"/>
      <c r="ER571" s="375"/>
      <c r="ES571" s="375"/>
      <c r="EU571" s="373"/>
      <c r="EV571" s="374"/>
      <c r="EW571" s="375"/>
      <c r="EX571" s="375"/>
      <c r="EZ571" s="373"/>
      <c r="FA571" s="374"/>
      <c r="FB571" s="375"/>
      <c r="FC571" s="375"/>
      <c r="FE571" s="373"/>
      <c r="FF571" s="374"/>
      <c r="FG571" s="375"/>
      <c r="FH571" s="375"/>
      <c r="FJ571" s="373"/>
      <c r="FK571" s="374"/>
      <c r="FL571" s="375"/>
      <c r="FM571" s="375"/>
      <c r="FO571" s="373"/>
      <c r="FP571" s="374"/>
      <c r="FQ571" s="375"/>
      <c r="FR571" s="375"/>
      <c r="FT571" s="373"/>
      <c r="FU571" s="374"/>
      <c r="FV571" s="375"/>
      <c r="FW571" s="375"/>
      <c r="FY571" s="373"/>
      <c r="FZ571" s="374"/>
      <c r="GA571" s="375"/>
      <c r="GB571" s="375"/>
      <c r="GD571" s="373"/>
      <c r="GE571" s="374"/>
      <c r="GF571" s="375"/>
      <c r="GG571" s="375"/>
      <c r="GI571" s="373"/>
      <c r="GJ571" s="374"/>
      <c r="GK571" s="375"/>
      <c r="GL571" s="375"/>
      <c r="GN571" s="373"/>
      <c r="GO571" s="374"/>
      <c r="GP571" s="375"/>
      <c r="GQ571" s="375"/>
      <c r="GS571" s="373"/>
      <c r="GT571" s="374"/>
      <c r="GU571" s="375"/>
      <c r="GV571" s="375"/>
      <c r="GX571" s="373"/>
      <c r="GY571" s="374"/>
      <c r="GZ571" s="375"/>
      <c r="HA571" s="375"/>
      <c r="HC571" s="373"/>
      <c r="HD571" s="374"/>
      <c r="HE571" s="375"/>
      <c r="HF571" s="375"/>
      <c r="HH571" s="373"/>
      <c r="HI571" s="374"/>
      <c r="HJ571" s="375"/>
      <c r="HK571" s="375"/>
      <c r="HM571" s="373"/>
      <c r="HN571" s="374"/>
      <c r="HO571" s="375"/>
      <c r="HP571" s="375"/>
      <c r="HR571" s="373"/>
      <c r="HS571" s="374"/>
      <c r="HT571" s="375"/>
      <c r="HU571" s="375"/>
      <c r="HW571" s="373"/>
      <c r="HX571" s="374"/>
      <c r="HY571" s="375"/>
      <c r="HZ571" s="375"/>
      <c r="IB571" s="373"/>
      <c r="IC571" s="374"/>
      <c r="ID571" s="375"/>
      <c r="IE571" s="375"/>
      <c r="IG571" s="373"/>
      <c r="IH571" s="374"/>
      <c r="II571" s="375"/>
      <c r="IJ571" s="375"/>
      <c r="IL571" s="373"/>
      <c r="IM571" s="374"/>
      <c r="IN571" s="375"/>
      <c r="IO571" s="375"/>
      <c r="IQ571" s="373"/>
      <c r="IR571" s="374"/>
      <c r="IS571" s="375"/>
      <c r="IT571" s="375"/>
      <c r="IV571" s="373"/>
    </row>
    <row r="572" spans="1:256" s="376" customFormat="1" x14ac:dyDescent="0.2">
      <c r="A572" s="373"/>
      <c r="B572" s="374"/>
      <c r="C572" s="375"/>
      <c r="D572" s="375"/>
      <c r="F572" s="373"/>
      <c r="G572" s="374"/>
      <c r="H572" s="375"/>
      <c r="I572" s="375"/>
      <c r="K572" s="373"/>
      <c r="L572" s="374"/>
      <c r="M572" s="375"/>
      <c r="N572" s="375"/>
      <c r="P572" s="373"/>
      <c r="Q572" s="374"/>
      <c r="R572" s="375"/>
      <c r="S572" s="375"/>
      <c r="U572" s="373"/>
      <c r="V572" s="374"/>
      <c r="W572" s="375"/>
      <c r="X572" s="375"/>
      <c r="Z572" s="373"/>
      <c r="AA572" s="374"/>
      <c r="AB572" s="375"/>
      <c r="AC572" s="375"/>
      <c r="AE572" s="373"/>
      <c r="AF572" s="374"/>
      <c r="AG572" s="375"/>
      <c r="AH572" s="375"/>
      <c r="AJ572" s="373"/>
      <c r="AK572" s="374"/>
      <c r="AL572" s="375"/>
      <c r="AM572" s="375"/>
      <c r="AO572" s="373"/>
      <c r="AP572" s="374"/>
      <c r="AQ572" s="375"/>
      <c r="AR572" s="375"/>
      <c r="AT572" s="373"/>
      <c r="AU572" s="374"/>
      <c r="AV572" s="375"/>
      <c r="AW572" s="375"/>
      <c r="AY572" s="373"/>
      <c r="AZ572" s="374"/>
      <c r="BA572" s="375"/>
      <c r="BB572" s="375"/>
      <c r="BD572" s="373"/>
      <c r="BE572" s="374"/>
      <c r="BF572" s="375"/>
      <c r="BG572" s="375"/>
      <c r="BI572" s="373"/>
      <c r="BJ572" s="374"/>
      <c r="BK572" s="375"/>
      <c r="BL572" s="375"/>
      <c r="BN572" s="373"/>
      <c r="BO572" s="374"/>
      <c r="BP572" s="375"/>
      <c r="BQ572" s="375"/>
      <c r="BS572" s="373"/>
      <c r="BT572" s="374"/>
      <c r="BU572" s="375"/>
      <c r="BV572" s="375"/>
      <c r="BX572" s="373"/>
      <c r="BY572" s="374"/>
      <c r="BZ572" s="375"/>
      <c r="CA572" s="375"/>
      <c r="CC572" s="373"/>
      <c r="CD572" s="374"/>
      <c r="CE572" s="375"/>
      <c r="CF572" s="375"/>
      <c r="CH572" s="373"/>
      <c r="CI572" s="374"/>
      <c r="CJ572" s="375"/>
      <c r="CK572" s="375"/>
      <c r="CM572" s="373"/>
      <c r="CN572" s="374"/>
      <c r="CO572" s="375"/>
      <c r="CP572" s="375"/>
      <c r="CR572" s="373"/>
      <c r="CS572" s="374"/>
      <c r="CT572" s="375"/>
      <c r="CU572" s="375"/>
      <c r="CW572" s="373"/>
      <c r="CX572" s="374"/>
      <c r="CY572" s="375"/>
      <c r="CZ572" s="375"/>
      <c r="DB572" s="373"/>
      <c r="DC572" s="374"/>
      <c r="DD572" s="375"/>
      <c r="DE572" s="375"/>
      <c r="DG572" s="373"/>
      <c r="DH572" s="374"/>
      <c r="DI572" s="375"/>
      <c r="DJ572" s="375"/>
      <c r="DL572" s="373"/>
      <c r="DM572" s="374"/>
      <c r="DN572" s="375"/>
      <c r="DO572" s="375"/>
      <c r="DQ572" s="373"/>
      <c r="DR572" s="374"/>
      <c r="DS572" s="375"/>
      <c r="DT572" s="375"/>
      <c r="DV572" s="373"/>
      <c r="DW572" s="374"/>
      <c r="DX572" s="375"/>
      <c r="DY572" s="375"/>
      <c r="EA572" s="373"/>
      <c r="EB572" s="374"/>
      <c r="EC572" s="375"/>
      <c r="ED572" s="375"/>
      <c r="EF572" s="373"/>
      <c r="EG572" s="374"/>
      <c r="EH572" s="375"/>
      <c r="EI572" s="375"/>
      <c r="EK572" s="373"/>
      <c r="EL572" s="374"/>
      <c r="EM572" s="375"/>
      <c r="EN572" s="375"/>
      <c r="EP572" s="373"/>
      <c r="EQ572" s="374"/>
      <c r="ER572" s="375"/>
      <c r="ES572" s="375"/>
      <c r="EU572" s="373"/>
      <c r="EV572" s="374"/>
      <c r="EW572" s="375"/>
      <c r="EX572" s="375"/>
      <c r="EZ572" s="373"/>
      <c r="FA572" s="374"/>
      <c r="FB572" s="375"/>
      <c r="FC572" s="375"/>
      <c r="FE572" s="373"/>
      <c r="FF572" s="374"/>
      <c r="FG572" s="375"/>
      <c r="FH572" s="375"/>
      <c r="FJ572" s="373"/>
      <c r="FK572" s="374"/>
      <c r="FL572" s="375"/>
      <c r="FM572" s="375"/>
      <c r="FO572" s="373"/>
      <c r="FP572" s="374"/>
      <c r="FQ572" s="375"/>
      <c r="FR572" s="375"/>
      <c r="FT572" s="373"/>
      <c r="FU572" s="374"/>
      <c r="FV572" s="375"/>
      <c r="FW572" s="375"/>
      <c r="FY572" s="373"/>
      <c r="FZ572" s="374"/>
      <c r="GA572" s="375"/>
      <c r="GB572" s="375"/>
      <c r="GD572" s="373"/>
      <c r="GE572" s="374"/>
      <c r="GF572" s="375"/>
      <c r="GG572" s="375"/>
      <c r="GI572" s="373"/>
      <c r="GJ572" s="374"/>
      <c r="GK572" s="375"/>
      <c r="GL572" s="375"/>
      <c r="GN572" s="373"/>
      <c r="GO572" s="374"/>
      <c r="GP572" s="375"/>
      <c r="GQ572" s="375"/>
      <c r="GS572" s="373"/>
      <c r="GT572" s="374"/>
      <c r="GU572" s="375"/>
      <c r="GV572" s="375"/>
      <c r="GX572" s="373"/>
      <c r="GY572" s="374"/>
      <c r="GZ572" s="375"/>
      <c r="HA572" s="375"/>
      <c r="HC572" s="373"/>
      <c r="HD572" s="374"/>
      <c r="HE572" s="375"/>
      <c r="HF572" s="375"/>
      <c r="HH572" s="373"/>
      <c r="HI572" s="374"/>
      <c r="HJ572" s="375"/>
      <c r="HK572" s="375"/>
      <c r="HM572" s="373"/>
      <c r="HN572" s="374"/>
      <c r="HO572" s="375"/>
      <c r="HP572" s="375"/>
      <c r="HR572" s="373"/>
      <c r="HS572" s="374"/>
      <c r="HT572" s="375"/>
      <c r="HU572" s="375"/>
      <c r="HW572" s="373"/>
      <c r="HX572" s="374"/>
      <c r="HY572" s="375"/>
      <c r="HZ572" s="375"/>
      <c r="IB572" s="373"/>
      <c r="IC572" s="374"/>
      <c r="ID572" s="375"/>
      <c r="IE572" s="375"/>
      <c r="IG572" s="373"/>
      <c r="IH572" s="374"/>
      <c r="II572" s="375"/>
      <c r="IJ572" s="375"/>
      <c r="IL572" s="373"/>
      <c r="IM572" s="374"/>
      <c r="IN572" s="375"/>
      <c r="IO572" s="375"/>
      <c r="IQ572" s="373"/>
      <c r="IR572" s="374"/>
      <c r="IS572" s="375"/>
      <c r="IT572" s="375"/>
      <c r="IV572" s="373"/>
    </row>
    <row r="573" spans="1:256" s="376" customFormat="1" x14ac:dyDescent="0.2">
      <c r="A573" s="373"/>
      <c r="B573" s="374"/>
      <c r="C573" s="375"/>
      <c r="D573" s="375"/>
      <c r="F573" s="373"/>
      <c r="G573" s="374"/>
      <c r="H573" s="375"/>
      <c r="I573" s="375"/>
      <c r="K573" s="373"/>
      <c r="L573" s="374"/>
      <c r="M573" s="375"/>
      <c r="N573" s="375"/>
      <c r="P573" s="373"/>
      <c r="Q573" s="374"/>
      <c r="R573" s="375"/>
      <c r="S573" s="375"/>
      <c r="U573" s="373"/>
      <c r="V573" s="374"/>
      <c r="W573" s="375"/>
      <c r="X573" s="375"/>
      <c r="Z573" s="373"/>
      <c r="AA573" s="374"/>
      <c r="AB573" s="375"/>
      <c r="AC573" s="375"/>
      <c r="AE573" s="373"/>
      <c r="AF573" s="374"/>
      <c r="AG573" s="375"/>
      <c r="AH573" s="375"/>
      <c r="AJ573" s="373"/>
      <c r="AK573" s="374"/>
      <c r="AL573" s="375"/>
      <c r="AM573" s="375"/>
      <c r="AO573" s="373"/>
      <c r="AP573" s="374"/>
      <c r="AQ573" s="375"/>
      <c r="AR573" s="375"/>
      <c r="AT573" s="373"/>
      <c r="AU573" s="374"/>
      <c r="AV573" s="375"/>
      <c r="AW573" s="375"/>
      <c r="AY573" s="373"/>
      <c r="AZ573" s="374"/>
      <c r="BA573" s="375"/>
      <c r="BB573" s="375"/>
      <c r="BD573" s="373"/>
      <c r="BE573" s="374"/>
      <c r="BF573" s="375"/>
      <c r="BG573" s="375"/>
      <c r="BI573" s="373"/>
      <c r="BJ573" s="374"/>
      <c r="BK573" s="375"/>
      <c r="BL573" s="375"/>
      <c r="BN573" s="373"/>
      <c r="BO573" s="374"/>
      <c r="BP573" s="375"/>
      <c r="BQ573" s="375"/>
      <c r="BS573" s="373"/>
      <c r="BT573" s="374"/>
      <c r="BU573" s="375"/>
      <c r="BV573" s="375"/>
      <c r="BX573" s="373"/>
      <c r="BY573" s="374"/>
      <c r="BZ573" s="375"/>
      <c r="CA573" s="375"/>
      <c r="CC573" s="373"/>
      <c r="CD573" s="374"/>
      <c r="CE573" s="375"/>
      <c r="CF573" s="375"/>
      <c r="CH573" s="373"/>
      <c r="CI573" s="374"/>
      <c r="CJ573" s="375"/>
      <c r="CK573" s="375"/>
      <c r="CM573" s="373"/>
      <c r="CN573" s="374"/>
      <c r="CO573" s="375"/>
      <c r="CP573" s="375"/>
      <c r="CR573" s="373"/>
      <c r="CS573" s="374"/>
      <c r="CT573" s="375"/>
      <c r="CU573" s="375"/>
      <c r="CW573" s="373"/>
      <c r="CX573" s="374"/>
      <c r="CY573" s="375"/>
      <c r="CZ573" s="375"/>
      <c r="DB573" s="373"/>
      <c r="DC573" s="374"/>
      <c r="DD573" s="375"/>
      <c r="DE573" s="375"/>
      <c r="DG573" s="373"/>
      <c r="DH573" s="374"/>
      <c r="DI573" s="375"/>
      <c r="DJ573" s="375"/>
      <c r="DL573" s="373"/>
      <c r="DM573" s="374"/>
      <c r="DN573" s="375"/>
      <c r="DO573" s="375"/>
      <c r="DQ573" s="373"/>
      <c r="DR573" s="374"/>
      <c r="DS573" s="375"/>
      <c r="DT573" s="375"/>
      <c r="DV573" s="373"/>
      <c r="DW573" s="374"/>
      <c r="DX573" s="375"/>
      <c r="DY573" s="375"/>
      <c r="EA573" s="373"/>
      <c r="EB573" s="374"/>
      <c r="EC573" s="375"/>
      <c r="ED573" s="375"/>
      <c r="EF573" s="373"/>
      <c r="EG573" s="374"/>
      <c r="EH573" s="375"/>
      <c r="EI573" s="375"/>
      <c r="EK573" s="373"/>
      <c r="EL573" s="374"/>
      <c r="EM573" s="375"/>
      <c r="EN573" s="375"/>
      <c r="EP573" s="373"/>
      <c r="EQ573" s="374"/>
      <c r="ER573" s="375"/>
      <c r="ES573" s="375"/>
      <c r="EU573" s="373"/>
      <c r="EV573" s="374"/>
      <c r="EW573" s="375"/>
      <c r="EX573" s="375"/>
      <c r="EZ573" s="373"/>
      <c r="FA573" s="374"/>
      <c r="FB573" s="375"/>
      <c r="FC573" s="375"/>
      <c r="FE573" s="373"/>
      <c r="FF573" s="374"/>
      <c r="FG573" s="375"/>
      <c r="FH573" s="375"/>
      <c r="FJ573" s="373"/>
      <c r="FK573" s="374"/>
      <c r="FL573" s="375"/>
      <c r="FM573" s="375"/>
      <c r="FO573" s="373"/>
      <c r="FP573" s="374"/>
      <c r="FQ573" s="375"/>
      <c r="FR573" s="375"/>
      <c r="FT573" s="373"/>
      <c r="FU573" s="374"/>
      <c r="FV573" s="375"/>
      <c r="FW573" s="375"/>
      <c r="FY573" s="373"/>
      <c r="FZ573" s="374"/>
      <c r="GA573" s="375"/>
      <c r="GB573" s="375"/>
      <c r="GD573" s="373"/>
      <c r="GE573" s="374"/>
      <c r="GF573" s="375"/>
      <c r="GG573" s="375"/>
      <c r="GI573" s="373"/>
      <c r="GJ573" s="374"/>
      <c r="GK573" s="375"/>
      <c r="GL573" s="375"/>
      <c r="GN573" s="373"/>
      <c r="GO573" s="374"/>
      <c r="GP573" s="375"/>
      <c r="GQ573" s="375"/>
      <c r="GS573" s="373"/>
      <c r="GT573" s="374"/>
      <c r="GU573" s="375"/>
      <c r="GV573" s="375"/>
      <c r="GX573" s="373"/>
      <c r="GY573" s="374"/>
      <c r="GZ573" s="375"/>
      <c r="HA573" s="375"/>
      <c r="HC573" s="373"/>
      <c r="HD573" s="374"/>
      <c r="HE573" s="375"/>
      <c r="HF573" s="375"/>
      <c r="HH573" s="373"/>
      <c r="HI573" s="374"/>
      <c r="HJ573" s="375"/>
      <c r="HK573" s="375"/>
      <c r="HM573" s="373"/>
      <c r="HN573" s="374"/>
      <c r="HO573" s="375"/>
      <c r="HP573" s="375"/>
      <c r="HR573" s="373"/>
      <c r="HS573" s="374"/>
      <c r="HT573" s="375"/>
      <c r="HU573" s="375"/>
      <c r="HW573" s="373"/>
      <c r="HX573" s="374"/>
      <c r="HY573" s="375"/>
      <c r="HZ573" s="375"/>
      <c r="IB573" s="373"/>
      <c r="IC573" s="374"/>
      <c r="ID573" s="375"/>
      <c r="IE573" s="375"/>
      <c r="IG573" s="373"/>
      <c r="IH573" s="374"/>
      <c r="II573" s="375"/>
      <c r="IJ573" s="375"/>
      <c r="IL573" s="373"/>
      <c r="IM573" s="374"/>
      <c r="IN573" s="375"/>
      <c r="IO573" s="375"/>
      <c r="IQ573" s="373"/>
      <c r="IR573" s="374"/>
      <c r="IS573" s="375"/>
      <c r="IT573" s="375"/>
      <c r="IV573" s="373"/>
    </row>
    <row r="574" spans="1:256" s="376" customFormat="1" x14ac:dyDescent="0.2">
      <c r="A574" s="373"/>
      <c r="B574" s="374"/>
      <c r="C574" s="375"/>
      <c r="D574" s="375"/>
      <c r="F574" s="373"/>
      <c r="G574" s="374"/>
      <c r="H574" s="375"/>
      <c r="I574" s="375"/>
      <c r="K574" s="373"/>
      <c r="L574" s="374"/>
      <c r="M574" s="375"/>
      <c r="N574" s="375"/>
      <c r="P574" s="373"/>
      <c r="Q574" s="374"/>
      <c r="R574" s="375"/>
      <c r="S574" s="375"/>
      <c r="U574" s="373"/>
      <c r="V574" s="374"/>
      <c r="W574" s="375"/>
      <c r="X574" s="375"/>
      <c r="Z574" s="373"/>
      <c r="AA574" s="374"/>
      <c r="AB574" s="375"/>
      <c r="AC574" s="375"/>
      <c r="AE574" s="373"/>
      <c r="AF574" s="374"/>
      <c r="AG574" s="375"/>
      <c r="AH574" s="375"/>
      <c r="AJ574" s="373"/>
      <c r="AK574" s="374"/>
      <c r="AL574" s="375"/>
      <c r="AM574" s="375"/>
      <c r="AO574" s="373"/>
      <c r="AP574" s="374"/>
      <c r="AQ574" s="375"/>
      <c r="AR574" s="375"/>
      <c r="AT574" s="373"/>
      <c r="AU574" s="374"/>
      <c r="AV574" s="375"/>
      <c r="AW574" s="375"/>
      <c r="AY574" s="373"/>
      <c r="AZ574" s="374"/>
      <c r="BA574" s="375"/>
      <c r="BB574" s="375"/>
      <c r="BD574" s="373"/>
      <c r="BE574" s="374"/>
      <c r="BF574" s="375"/>
      <c r="BG574" s="375"/>
      <c r="BI574" s="373"/>
      <c r="BJ574" s="374"/>
      <c r="BK574" s="375"/>
      <c r="BL574" s="375"/>
      <c r="BN574" s="373"/>
      <c r="BO574" s="374"/>
      <c r="BP574" s="375"/>
      <c r="BQ574" s="375"/>
      <c r="BS574" s="373"/>
      <c r="BT574" s="374"/>
      <c r="BU574" s="375"/>
      <c r="BV574" s="375"/>
      <c r="BX574" s="373"/>
      <c r="BY574" s="374"/>
      <c r="BZ574" s="375"/>
      <c r="CA574" s="375"/>
      <c r="CC574" s="373"/>
      <c r="CD574" s="374"/>
      <c r="CE574" s="375"/>
      <c r="CF574" s="375"/>
      <c r="CH574" s="373"/>
      <c r="CI574" s="374"/>
      <c r="CJ574" s="375"/>
      <c r="CK574" s="375"/>
      <c r="CM574" s="373"/>
      <c r="CN574" s="374"/>
      <c r="CO574" s="375"/>
      <c r="CP574" s="375"/>
      <c r="CR574" s="373"/>
      <c r="CS574" s="374"/>
      <c r="CT574" s="375"/>
      <c r="CU574" s="375"/>
      <c r="CW574" s="373"/>
      <c r="CX574" s="374"/>
      <c r="CY574" s="375"/>
      <c r="CZ574" s="375"/>
      <c r="DB574" s="373"/>
      <c r="DC574" s="374"/>
      <c r="DD574" s="375"/>
      <c r="DE574" s="375"/>
      <c r="DG574" s="373"/>
      <c r="DH574" s="374"/>
      <c r="DI574" s="375"/>
      <c r="DJ574" s="375"/>
      <c r="DL574" s="373"/>
      <c r="DM574" s="374"/>
      <c r="DN574" s="375"/>
      <c r="DO574" s="375"/>
      <c r="DQ574" s="373"/>
      <c r="DR574" s="374"/>
      <c r="DS574" s="375"/>
      <c r="DT574" s="375"/>
      <c r="DV574" s="373"/>
      <c r="DW574" s="374"/>
      <c r="DX574" s="375"/>
      <c r="DY574" s="375"/>
      <c r="EA574" s="373"/>
      <c r="EB574" s="374"/>
      <c r="EC574" s="375"/>
      <c r="ED574" s="375"/>
      <c r="EF574" s="373"/>
      <c r="EG574" s="374"/>
      <c r="EH574" s="375"/>
      <c r="EI574" s="375"/>
      <c r="EK574" s="373"/>
      <c r="EL574" s="374"/>
      <c r="EM574" s="375"/>
      <c r="EN574" s="375"/>
      <c r="EP574" s="373"/>
      <c r="EQ574" s="374"/>
      <c r="ER574" s="375"/>
      <c r="ES574" s="375"/>
      <c r="EU574" s="373"/>
      <c r="EV574" s="374"/>
      <c r="EW574" s="375"/>
      <c r="EX574" s="375"/>
      <c r="EZ574" s="373"/>
      <c r="FA574" s="374"/>
      <c r="FB574" s="375"/>
      <c r="FC574" s="375"/>
      <c r="FE574" s="373"/>
      <c r="FF574" s="374"/>
      <c r="FG574" s="375"/>
      <c r="FH574" s="375"/>
      <c r="FJ574" s="373"/>
      <c r="FK574" s="374"/>
      <c r="FL574" s="375"/>
      <c r="FM574" s="375"/>
      <c r="FO574" s="373"/>
      <c r="FP574" s="374"/>
      <c r="FQ574" s="375"/>
      <c r="FR574" s="375"/>
      <c r="FT574" s="373"/>
      <c r="FU574" s="374"/>
      <c r="FV574" s="375"/>
      <c r="FW574" s="375"/>
      <c r="FY574" s="373"/>
      <c r="FZ574" s="374"/>
      <c r="GA574" s="375"/>
      <c r="GB574" s="375"/>
      <c r="GD574" s="373"/>
      <c r="GE574" s="374"/>
      <c r="GF574" s="375"/>
      <c r="GG574" s="375"/>
      <c r="GI574" s="373"/>
      <c r="GJ574" s="374"/>
      <c r="GK574" s="375"/>
      <c r="GL574" s="375"/>
      <c r="GN574" s="373"/>
      <c r="GO574" s="374"/>
      <c r="GP574" s="375"/>
      <c r="GQ574" s="375"/>
      <c r="GS574" s="373"/>
      <c r="GT574" s="374"/>
      <c r="GU574" s="375"/>
      <c r="GV574" s="375"/>
      <c r="GX574" s="373"/>
      <c r="GY574" s="374"/>
      <c r="GZ574" s="375"/>
      <c r="HA574" s="375"/>
      <c r="HC574" s="373"/>
      <c r="HD574" s="374"/>
      <c r="HE574" s="375"/>
      <c r="HF574" s="375"/>
      <c r="HH574" s="373"/>
      <c r="HI574" s="374"/>
      <c r="HJ574" s="375"/>
      <c r="HK574" s="375"/>
      <c r="HM574" s="373"/>
      <c r="HN574" s="374"/>
      <c r="HO574" s="375"/>
      <c r="HP574" s="375"/>
      <c r="HR574" s="373"/>
      <c r="HS574" s="374"/>
      <c r="HT574" s="375"/>
      <c r="HU574" s="375"/>
      <c r="HW574" s="373"/>
      <c r="HX574" s="374"/>
      <c r="HY574" s="375"/>
      <c r="HZ574" s="375"/>
      <c r="IB574" s="373"/>
      <c r="IC574" s="374"/>
      <c r="ID574" s="375"/>
      <c r="IE574" s="375"/>
      <c r="IG574" s="373"/>
      <c r="IH574" s="374"/>
      <c r="II574" s="375"/>
      <c r="IJ574" s="375"/>
      <c r="IL574" s="373"/>
      <c r="IM574" s="374"/>
      <c r="IN574" s="375"/>
      <c r="IO574" s="375"/>
      <c r="IQ574" s="373"/>
      <c r="IR574" s="374"/>
      <c r="IS574" s="375"/>
      <c r="IT574" s="375"/>
      <c r="IV574" s="373"/>
    </row>
    <row r="575" spans="1:256" s="376" customFormat="1" x14ac:dyDescent="0.2">
      <c r="A575" s="373"/>
      <c r="B575" s="374"/>
      <c r="C575" s="375"/>
      <c r="D575" s="375"/>
      <c r="F575" s="373"/>
      <c r="G575" s="374"/>
      <c r="H575" s="375"/>
      <c r="I575" s="375"/>
      <c r="K575" s="373"/>
      <c r="L575" s="374"/>
      <c r="M575" s="375"/>
      <c r="N575" s="375"/>
      <c r="P575" s="373"/>
      <c r="Q575" s="374"/>
      <c r="R575" s="375"/>
      <c r="S575" s="375"/>
      <c r="U575" s="373"/>
      <c r="V575" s="374"/>
      <c r="W575" s="375"/>
      <c r="X575" s="375"/>
      <c r="Z575" s="373"/>
      <c r="AA575" s="374"/>
      <c r="AB575" s="375"/>
      <c r="AC575" s="375"/>
      <c r="AE575" s="373"/>
      <c r="AF575" s="374"/>
      <c r="AG575" s="375"/>
      <c r="AH575" s="375"/>
      <c r="AJ575" s="373"/>
      <c r="AK575" s="374"/>
      <c r="AL575" s="375"/>
      <c r="AM575" s="375"/>
      <c r="AO575" s="373"/>
      <c r="AP575" s="374"/>
      <c r="AQ575" s="375"/>
      <c r="AR575" s="375"/>
      <c r="AT575" s="373"/>
      <c r="AU575" s="374"/>
      <c r="AV575" s="375"/>
      <c r="AW575" s="375"/>
      <c r="AY575" s="373"/>
      <c r="AZ575" s="374"/>
      <c r="BA575" s="375"/>
      <c r="BB575" s="375"/>
      <c r="BD575" s="373"/>
      <c r="BE575" s="374"/>
      <c r="BF575" s="375"/>
      <c r="BG575" s="375"/>
      <c r="BI575" s="373"/>
      <c r="BJ575" s="374"/>
      <c r="BK575" s="375"/>
      <c r="BL575" s="375"/>
      <c r="BN575" s="373"/>
      <c r="BO575" s="374"/>
      <c r="BP575" s="375"/>
      <c r="BQ575" s="375"/>
      <c r="BS575" s="373"/>
      <c r="BT575" s="374"/>
      <c r="BU575" s="375"/>
      <c r="BV575" s="375"/>
      <c r="BX575" s="373"/>
      <c r="BY575" s="374"/>
      <c r="BZ575" s="375"/>
      <c r="CA575" s="375"/>
      <c r="CC575" s="373"/>
      <c r="CD575" s="374"/>
      <c r="CE575" s="375"/>
      <c r="CF575" s="375"/>
      <c r="CH575" s="373"/>
      <c r="CI575" s="374"/>
      <c r="CJ575" s="375"/>
      <c r="CK575" s="375"/>
      <c r="CM575" s="373"/>
      <c r="CN575" s="374"/>
      <c r="CO575" s="375"/>
      <c r="CP575" s="375"/>
      <c r="CR575" s="373"/>
      <c r="CS575" s="374"/>
      <c r="CT575" s="375"/>
      <c r="CU575" s="375"/>
      <c r="CW575" s="373"/>
      <c r="CX575" s="374"/>
      <c r="CY575" s="375"/>
      <c r="CZ575" s="375"/>
      <c r="DB575" s="373"/>
      <c r="DC575" s="374"/>
      <c r="DD575" s="375"/>
      <c r="DE575" s="375"/>
      <c r="DG575" s="373"/>
      <c r="DH575" s="374"/>
      <c r="DI575" s="375"/>
      <c r="DJ575" s="375"/>
      <c r="DL575" s="373"/>
      <c r="DM575" s="374"/>
      <c r="DN575" s="375"/>
      <c r="DO575" s="375"/>
      <c r="DQ575" s="373"/>
      <c r="DR575" s="374"/>
      <c r="DS575" s="375"/>
      <c r="DT575" s="375"/>
      <c r="DV575" s="373"/>
      <c r="DW575" s="374"/>
      <c r="DX575" s="375"/>
      <c r="DY575" s="375"/>
      <c r="EA575" s="373"/>
      <c r="EB575" s="374"/>
      <c r="EC575" s="375"/>
      <c r="ED575" s="375"/>
      <c r="EF575" s="373"/>
      <c r="EG575" s="374"/>
      <c r="EH575" s="375"/>
      <c r="EI575" s="375"/>
      <c r="EK575" s="373"/>
      <c r="EL575" s="374"/>
      <c r="EM575" s="375"/>
      <c r="EN575" s="375"/>
      <c r="EP575" s="373"/>
      <c r="EQ575" s="374"/>
      <c r="ER575" s="375"/>
      <c r="ES575" s="375"/>
      <c r="EU575" s="373"/>
      <c r="EV575" s="374"/>
      <c r="EW575" s="375"/>
      <c r="EX575" s="375"/>
      <c r="EZ575" s="373"/>
      <c r="FA575" s="374"/>
      <c r="FB575" s="375"/>
      <c r="FC575" s="375"/>
      <c r="FE575" s="373"/>
      <c r="FF575" s="374"/>
      <c r="FG575" s="375"/>
      <c r="FH575" s="375"/>
      <c r="FJ575" s="373"/>
      <c r="FK575" s="374"/>
      <c r="FL575" s="375"/>
      <c r="FM575" s="375"/>
      <c r="FO575" s="373"/>
      <c r="FP575" s="374"/>
      <c r="FQ575" s="375"/>
      <c r="FR575" s="375"/>
      <c r="FT575" s="373"/>
      <c r="FU575" s="374"/>
      <c r="FV575" s="375"/>
      <c r="FW575" s="375"/>
      <c r="FY575" s="373"/>
      <c r="FZ575" s="374"/>
      <c r="GA575" s="375"/>
      <c r="GB575" s="375"/>
      <c r="GD575" s="373"/>
      <c r="GE575" s="374"/>
      <c r="GF575" s="375"/>
      <c r="GG575" s="375"/>
      <c r="GI575" s="373"/>
      <c r="GJ575" s="374"/>
      <c r="GK575" s="375"/>
      <c r="GL575" s="375"/>
      <c r="GN575" s="373"/>
      <c r="GO575" s="374"/>
      <c r="GP575" s="375"/>
      <c r="GQ575" s="375"/>
      <c r="GS575" s="373"/>
      <c r="GT575" s="374"/>
      <c r="GU575" s="375"/>
      <c r="GV575" s="375"/>
      <c r="GX575" s="373"/>
      <c r="GY575" s="374"/>
      <c r="GZ575" s="375"/>
      <c r="HA575" s="375"/>
      <c r="HC575" s="373"/>
      <c r="HD575" s="374"/>
      <c r="HE575" s="375"/>
      <c r="HF575" s="375"/>
      <c r="HH575" s="373"/>
      <c r="HI575" s="374"/>
      <c r="HJ575" s="375"/>
      <c r="HK575" s="375"/>
      <c r="HM575" s="373"/>
      <c r="HN575" s="374"/>
      <c r="HO575" s="375"/>
      <c r="HP575" s="375"/>
      <c r="HR575" s="373"/>
      <c r="HS575" s="374"/>
      <c r="HT575" s="375"/>
      <c r="HU575" s="375"/>
      <c r="HW575" s="373"/>
      <c r="HX575" s="374"/>
      <c r="HY575" s="375"/>
      <c r="HZ575" s="375"/>
      <c r="IB575" s="373"/>
      <c r="IC575" s="374"/>
      <c r="ID575" s="375"/>
      <c r="IE575" s="375"/>
      <c r="IG575" s="373"/>
      <c r="IH575" s="374"/>
      <c r="II575" s="375"/>
      <c r="IJ575" s="375"/>
      <c r="IL575" s="373"/>
      <c r="IM575" s="374"/>
      <c r="IN575" s="375"/>
      <c r="IO575" s="375"/>
      <c r="IQ575" s="373"/>
      <c r="IR575" s="374"/>
      <c r="IS575" s="375"/>
      <c r="IT575" s="375"/>
      <c r="IV575" s="373"/>
    </row>
    <row r="576" spans="1:256" s="376" customFormat="1" x14ac:dyDescent="0.2">
      <c r="A576" s="373"/>
      <c r="B576" s="374"/>
      <c r="C576" s="375"/>
      <c r="D576" s="375"/>
      <c r="F576" s="373"/>
      <c r="G576" s="374"/>
      <c r="H576" s="375"/>
      <c r="I576" s="375"/>
      <c r="K576" s="373"/>
      <c r="L576" s="374"/>
      <c r="M576" s="375"/>
      <c r="N576" s="375"/>
      <c r="P576" s="373"/>
      <c r="Q576" s="374"/>
      <c r="R576" s="375"/>
      <c r="S576" s="375"/>
      <c r="U576" s="373"/>
      <c r="V576" s="374"/>
      <c r="W576" s="375"/>
      <c r="X576" s="375"/>
      <c r="Z576" s="373"/>
      <c r="AA576" s="374"/>
      <c r="AB576" s="375"/>
      <c r="AC576" s="375"/>
      <c r="AE576" s="373"/>
      <c r="AF576" s="374"/>
      <c r="AG576" s="375"/>
      <c r="AH576" s="375"/>
      <c r="AJ576" s="373"/>
      <c r="AK576" s="374"/>
      <c r="AL576" s="375"/>
      <c r="AM576" s="375"/>
      <c r="AO576" s="373"/>
      <c r="AP576" s="374"/>
      <c r="AQ576" s="375"/>
      <c r="AR576" s="375"/>
      <c r="AT576" s="373"/>
      <c r="AU576" s="374"/>
      <c r="AV576" s="375"/>
      <c r="AW576" s="375"/>
      <c r="AY576" s="373"/>
      <c r="AZ576" s="374"/>
      <c r="BA576" s="375"/>
      <c r="BB576" s="375"/>
      <c r="BD576" s="373"/>
      <c r="BE576" s="374"/>
      <c r="BF576" s="375"/>
      <c r="BG576" s="375"/>
      <c r="BI576" s="373"/>
      <c r="BJ576" s="374"/>
      <c r="BK576" s="375"/>
      <c r="BL576" s="375"/>
      <c r="BN576" s="373"/>
      <c r="BO576" s="374"/>
      <c r="BP576" s="375"/>
      <c r="BQ576" s="375"/>
      <c r="BS576" s="373"/>
      <c r="BT576" s="374"/>
      <c r="BU576" s="375"/>
      <c r="BV576" s="375"/>
      <c r="BX576" s="373"/>
      <c r="BY576" s="374"/>
      <c r="BZ576" s="375"/>
      <c r="CA576" s="375"/>
      <c r="CC576" s="373"/>
      <c r="CD576" s="374"/>
      <c r="CE576" s="375"/>
      <c r="CF576" s="375"/>
      <c r="CH576" s="373"/>
      <c r="CI576" s="374"/>
      <c r="CJ576" s="375"/>
      <c r="CK576" s="375"/>
      <c r="CM576" s="373"/>
      <c r="CN576" s="374"/>
      <c r="CO576" s="375"/>
      <c r="CP576" s="375"/>
      <c r="CR576" s="373"/>
      <c r="CS576" s="374"/>
      <c r="CT576" s="375"/>
      <c r="CU576" s="375"/>
      <c r="CW576" s="373"/>
      <c r="CX576" s="374"/>
      <c r="CY576" s="375"/>
      <c r="CZ576" s="375"/>
      <c r="DB576" s="373"/>
      <c r="DC576" s="374"/>
      <c r="DD576" s="375"/>
      <c r="DE576" s="375"/>
      <c r="DG576" s="373"/>
      <c r="DH576" s="374"/>
      <c r="DI576" s="375"/>
      <c r="DJ576" s="375"/>
      <c r="DL576" s="373"/>
      <c r="DM576" s="374"/>
      <c r="DN576" s="375"/>
      <c r="DO576" s="375"/>
      <c r="DQ576" s="373"/>
      <c r="DR576" s="374"/>
      <c r="DS576" s="375"/>
      <c r="DT576" s="375"/>
      <c r="DV576" s="373"/>
      <c r="DW576" s="374"/>
      <c r="DX576" s="375"/>
      <c r="DY576" s="375"/>
      <c r="EA576" s="373"/>
      <c r="EB576" s="374"/>
      <c r="EC576" s="375"/>
      <c r="ED576" s="375"/>
      <c r="EF576" s="373"/>
      <c r="EG576" s="374"/>
      <c r="EH576" s="375"/>
      <c r="EI576" s="375"/>
      <c r="EK576" s="373"/>
      <c r="EL576" s="374"/>
      <c r="EM576" s="375"/>
      <c r="EN576" s="375"/>
      <c r="EP576" s="373"/>
      <c r="EQ576" s="374"/>
      <c r="ER576" s="375"/>
      <c r="ES576" s="375"/>
      <c r="EU576" s="373"/>
      <c r="EV576" s="374"/>
      <c r="EW576" s="375"/>
      <c r="EX576" s="375"/>
      <c r="EZ576" s="373"/>
      <c r="FA576" s="374"/>
      <c r="FB576" s="375"/>
      <c r="FC576" s="375"/>
      <c r="FE576" s="373"/>
      <c r="FF576" s="374"/>
      <c r="FG576" s="375"/>
      <c r="FH576" s="375"/>
      <c r="FJ576" s="373"/>
      <c r="FK576" s="374"/>
      <c r="FL576" s="375"/>
      <c r="FM576" s="375"/>
      <c r="FO576" s="373"/>
      <c r="FP576" s="374"/>
      <c r="FQ576" s="375"/>
      <c r="FR576" s="375"/>
      <c r="FT576" s="373"/>
      <c r="FU576" s="374"/>
      <c r="FV576" s="375"/>
      <c r="FW576" s="375"/>
      <c r="FY576" s="373"/>
      <c r="FZ576" s="374"/>
      <c r="GA576" s="375"/>
      <c r="GB576" s="375"/>
      <c r="GD576" s="373"/>
      <c r="GE576" s="374"/>
      <c r="GF576" s="375"/>
      <c r="GG576" s="375"/>
      <c r="GI576" s="373"/>
      <c r="GJ576" s="374"/>
      <c r="GK576" s="375"/>
      <c r="GL576" s="375"/>
      <c r="GN576" s="373"/>
      <c r="GO576" s="374"/>
      <c r="GP576" s="375"/>
      <c r="GQ576" s="375"/>
      <c r="GS576" s="373"/>
      <c r="GT576" s="374"/>
      <c r="GU576" s="375"/>
      <c r="GV576" s="375"/>
      <c r="GX576" s="373"/>
      <c r="GY576" s="374"/>
      <c r="GZ576" s="375"/>
      <c r="HA576" s="375"/>
      <c r="HC576" s="373"/>
      <c r="HD576" s="374"/>
      <c r="HE576" s="375"/>
      <c r="HF576" s="375"/>
      <c r="HH576" s="373"/>
      <c r="HI576" s="374"/>
      <c r="HJ576" s="375"/>
      <c r="HK576" s="375"/>
      <c r="HM576" s="373"/>
      <c r="HN576" s="374"/>
      <c r="HO576" s="375"/>
      <c r="HP576" s="375"/>
      <c r="HR576" s="373"/>
      <c r="HS576" s="374"/>
      <c r="HT576" s="375"/>
      <c r="HU576" s="375"/>
      <c r="HW576" s="373"/>
      <c r="HX576" s="374"/>
      <c r="HY576" s="375"/>
      <c r="HZ576" s="375"/>
      <c r="IB576" s="373"/>
      <c r="IC576" s="374"/>
      <c r="ID576" s="375"/>
      <c r="IE576" s="375"/>
      <c r="IG576" s="373"/>
      <c r="IH576" s="374"/>
      <c r="II576" s="375"/>
      <c r="IJ576" s="375"/>
      <c r="IL576" s="373"/>
      <c r="IM576" s="374"/>
      <c r="IN576" s="375"/>
      <c r="IO576" s="375"/>
      <c r="IQ576" s="373"/>
      <c r="IR576" s="374"/>
      <c r="IS576" s="375"/>
      <c r="IT576" s="375"/>
      <c r="IV576" s="373"/>
    </row>
    <row r="577" spans="1:256" s="376" customFormat="1" x14ac:dyDescent="0.2">
      <c r="A577" s="373"/>
      <c r="B577" s="374"/>
      <c r="C577" s="375"/>
      <c r="D577" s="375"/>
      <c r="F577" s="373"/>
      <c r="G577" s="374"/>
      <c r="H577" s="375"/>
      <c r="I577" s="375"/>
      <c r="K577" s="373"/>
      <c r="L577" s="374"/>
      <c r="M577" s="375"/>
      <c r="N577" s="375"/>
      <c r="P577" s="373"/>
      <c r="Q577" s="374"/>
      <c r="R577" s="375"/>
      <c r="S577" s="375"/>
      <c r="U577" s="373"/>
      <c r="V577" s="374"/>
      <c r="W577" s="375"/>
      <c r="X577" s="375"/>
      <c r="Z577" s="373"/>
      <c r="AA577" s="374"/>
      <c r="AB577" s="375"/>
      <c r="AC577" s="375"/>
      <c r="AE577" s="373"/>
      <c r="AF577" s="374"/>
      <c r="AG577" s="375"/>
      <c r="AH577" s="375"/>
      <c r="AJ577" s="373"/>
      <c r="AK577" s="374"/>
      <c r="AL577" s="375"/>
      <c r="AM577" s="375"/>
      <c r="AO577" s="373"/>
      <c r="AP577" s="374"/>
      <c r="AQ577" s="375"/>
      <c r="AR577" s="375"/>
      <c r="AT577" s="373"/>
      <c r="AU577" s="374"/>
      <c r="AV577" s="375"/>
      <c r="AW577" s="375"/>
      <c r="AY577" s="373"/>
      <c r="AZ577" s="374"/>
      <c r="BA577" s="375"/>
      <c r="BB577" s="375"/>
      <c r="BD577" s="373"/>
      <c r="BE577" s="374"/>
      <c r="BF577" s="375"/>
      <c r="BG577" s="375"/>
      <c r="BI577" s="373"/>
      <c r="BJ577" s="374"/>
      <c r="BK577" s="375"/>
      <c r="BL577" s="375"/>
      <c r="BN577" s="373"/>
      <c r="BO577" s="374"/>
      <c r="BP577" s="375"/>
      <c r="BQ577" s="375"/>
      <c r="BS577" s="373"/>
      <c r="BT577" s="374"/>
      <c r="BU577" s="375"/>
      <c r="BV577" s="375"/>
      <c r="BX577" s="373"/>
      <c r="BY577" s="374"/>
      <c r="BZ577" s="375"/>
      <c r="CA577" s="375"/>
      <c r="CC577" s="373"/>
      <c r="CD577" s="374"/>
      <c r="CE577" s="375"/>
      <c r="CF577" s="375"/>
      <c r="CH577" s="373"/>
      <c r="CI577" s="374"/>
      <c r="CJ577" s="375"/>
      <c r="CK577" s="375"/>
      <c r="CM577" s="373"/>
      <c r="CN577" s="374"/>
      <c r="CO577" s="375"/>
      <c r="CP577" s="375"/>
      <c r="CR577" s="373"/>
      <c r="CS577" s="374"/>
      <c r="CT577" s="375"/>
      <c r="CU577" s="375"/>
      <c r="CW577" s="373"/>
      <c r="CX577" s="374"/>
      <c r="CY577" s="375"/>
      <c r="CZ577" s="375"/>
      <c r="DB577" s="373"/>
      <c r="DC577" s="374"/>
      <c r="DD577" s="375"/>
      <c r="DE577" s="375"/>
      <c r="DG577" s="373"/>
      <c r="DH577" s="374"/>
      <c r="DI577" s="375"/>
      <c r="DJ577" s="375"/>
      <c r="DL577" s="373"/>
      <c r="DM577" s="374"/>
      <c r="DN577" s="375"/>
      <c r="DO577" s="375"/>
      <c r="DQ577" s="373"/>
      <c r="DR577" s="374"/>
      <c r="DS577" s="375"/>
      <c r="DT577" s="375"/>
      <c r="DV577" s="373"/>
      <c r="DW577" s="374"/>
      <c r="DX577" s="375"/>
      <c r="DY577" s="375"/>
      <c r="EA577" s="373"/>
      <c r="EB577" s="374"/>
      <c r="EC577" s="375"/>
      <c r="ED577" s="375"/>
      <c r="EF577" s="373"/>
      <c r="EG577" s="374"/>
      <c r="EH577" s="375"/>
      <c r="EI577" s="375"/>
      <c r="EK577" s="373"/>
      <c r="EL577" s="374"/>
      <c r="EM577" s="375"/>
      <c r="EN577" s="375"/>
      <c r="EP577" s="373"/>
      <c r="EQ577" s="374"/>
      <c r="ER577" s="375"/>
      <c r="ES577" s="375"/>
      <c r="EU577" s="373"/>
      <c r="EV577" s="374"/>
      <c r="EW577" s="375"/>
      <c r="EX577" s="375"/>
      <c r="EZ577" s="373"/>
      <c r="FA577" s="374"/>
      <c r="FB577" s="375"/>
      <c r="FC577" s="375"/>
      <c r="FE577" s="373"/>
      <c r="FF577" s="374"/>
      <c r="FG577" s="375"/>
      <c r="FH577" s="375"/>
      <c r="FJ577" s="373"/>
      <c r="FK577" s="374"/>
      <c r="FL577" s="375"/>
      <c r="FM577" s="375"/>
      <c r="FO577" s="373"/>
      <c r="FP577" s="374"/>
      <c r="FQ577" s="375"/>
      <c r="FR577" s="375"/>
      <c r="FT577" s="373"/>
      <c r="FU577" s="374"/>
      <c r="FV577" s="375"/>
      <c r="FW577" s="375"/>
      <c r="FY577" s="373"/>
      <c r="FZ577" s="374"/>
      <c r="GA577" s="375"/>
      <c r="GB577" s="375"/>
      <c r="GD577" s="373"/>
      <c r="GE577" s="374"/>
      <c r="GF577" s="375"/>
      <c r="GG577" s="375"/>
      <c r="GI577" s="373"/>
      <c r="GJ577" s="374"/>
      <c r="GK577" s="375"/>
      <c r="GL577" s="375"/>
      <c r="GN577" s="373"/>
      <c r="GO577" s="374"/>
      <c r="GP577" s="375"/>
      <c r="GQ577" s="375"/>
      <c r="GS577" s="373"/>
      <c r="GT577" s="374"/>
      <c r="GU577" s="375"/>
      <c r="GV577" s="375"/>
      <c r="GX577" s="373"/>
      <c r="GY577" s="374"/>
      <c r="GZ577" s="375"/>
      <c r="HA577" s="375"/>
      <c r="HC577" s="373"/>
      <c r="HD577" s="374"/>
      <c r="HE577" s="375"/>
      <c r="HF577" s="375"/>
      <c r="HH577" s="373"/>
      <c r="HI577" s="374"/>
      <c r="HJ577" s="375"/>
      <c r="HK577" s="375"/>
      <c r="HM577" s="373"/>
      <c r="HN577" s="374"/>
      <c r="HO577" s="375"/>
      <c r="HP577" s="375"/>
      <c r="HR577" s="373"/>
      <c r="HS577" s="374"/>
      <c r="HT577" s="375"/>
      <c r="HU577" s="375"/>
      <c r="HW577" s="373"/>
      <c r="HX577" s="374"/>
      <c r="HY577" s="375"/>
      <c r="HZ577" s="375"/>
      <c r="IB577" s="373"/>
      <c r="IC577" s="374"/>
      <c r="ID577" s="375"/>
      <c r="IE577" s="375"/>
      <c r="IG577" s="373"/>
      <c r="IH577" s="374"/>
      <c r="II577" s="375"/>
      <c r="IJ577" s="375"/>
      <c r="IL577" s="373"/>
      <c r="IM577" s="374"/>
      <c r="IN577" s="375"/>
      <c r="IO577" s="375"/>
      <c r="IQ577" s="373"/>
      <c r="IR577" s="374"/>
      <c r="IS577" s="375"/>
      <c r="IT577" s="375"/>
      <c r="IV577" s="373"/>
    </row>
    <row r="578" spans="1:256" s="376" customFormat="1" x14ac:dyDescent="0.2">
      <c r="A578" s="373"/>
      <c r="B578" s="374"/>
      <c r="C578" s="375"/>
      <c r="D578" s="375"/>
      <c r="F578" s="373"/>
      <c r="G578" s="374"/>
      <c r="H578" s="375"/>
      <c r="I578" s="375"/>
      <c r="K578" s="373"/>
      <c r="L578" s="374"/>
      <c r="M578" s="375"/>
      <c r="N578" s="375"/>
      <c r="P578" s="373"/>
      <c r="Q578" s="374"/>
      <c r="R578" s="375"/>
      <c r="S578" s="375"/>
      <c r="U578" s="373"/>
      <c r="V578" s="374"/>
      <c r="W578" s="375"/>
      <c r="X578" s="375"/>
      <c r="Z578" s="373"/>
      <c r="AA578" s="374"/>
      <c r="AB578" s="375"/>
      <c r="AC578" s="375"/>
      <c r="AE578" s="373"/>
      <c r="AF578" s="374"/>
      <c r="AG578" s="375"/>
      <c r="AH578" s="375"/>
      <c r="AJ578" s="373"/>
      <c r="AK578" s="374"/>
      <c r="AL578" s="375"/>
      <c r="AM578" s="375"/>
      <c r="AO578" s="373"/>
      <c r="AP578" s="374"/>
      <c r="AQ578" s="375"/>
      <c r="AR578" s="375"/>
      <c r="AT578" s="373"/>
      <c r="AU578" s="374"/>
      <c r="AV578" s="375"/>
      <c r="AW578" s="375"/>
      <c r="AY578" s="373"/>
      <c r="AZ578" s="374"/>
      <c r="BA578" s="375"/>
      <c r="BB578" s="375"/>
      <c r="BD578" s="373"/>
      <c r="BE578" s="374"/>
      <c r="BF578" s="375"/>
      <c r="BG578" s="375"/>
      <c r="BI578" s="373"/>
      <c r="BJ578" s="374"/>
      <c r="BK578" s="375"/>
      <c r="BL578" s="375"/>
      <c r="BN578" s="373"/>
      <c r="BO578" s="374"/>
      <c r="BP578" s="375"/>
      <c r="BQ578" s="375"/>
      <c r="BS578" s="373"/>
      <c r="BT578" s="374"/>
      <c r="BU578" s="375"/>
      <c r="BV578" s="375"/>
      <c r="BX578" s="373"/>
      <c r="BY578" s="374"/>
      <c r="BZ578" s="375"/>
      <c r="CA578" s="375"/>
      <c r="CC578" s="373"/>
      <c r="CD578" s="374"/>
      <c r="CE578" s="375"/>
      <c r="CF578" s="375"/>
      <c r="CH578" s="373"/>
      <c r="CI578" s="374"/>
      <c r="CJ578" s="375"/>
      <c r="CK578" s="375"/>
      <c r="CM578" s="373"/>
      <c r="CN578" s="374"/>
      <c r="CO578" s="375"/>
      <c r="CP578" s="375"/>
      <c r="CR578" s="373"/>
      <c r="CS578" s="374"/>
      <c r="CT578" s="375"/>
      <c r="CU578" s="375"/>
      <c r="CW578" s="373"/>
      <c r="CX578" s="374"/>
      <c r="CY578" s="375"/>
      <c r="CZ578" s="375"/>
      <c r="DB578" s="373"/>
      <c r="DC578" s="374"/>
      <c r="DD578" s="375"/>
      <c r="DE578" s="375"/>
      <c r="DG578" s="373"/>
      <c r="DH578" s="374"/>
      <c r="DI578" s="375"/>
      <c r="DJ578" s="375"/>
      <c r="DL578" s="373"/>
      <c r="DM578" s="374"/>
      <c r="DN578" s="375"/>
      <c r="DO578" s="375"/>
      <c r="DQ578" s="373"/>
      <c r="DR578" s="374"/>
      <c r="DS578" s="375"/>
      <c r="DT578" s="375"/>
      <c r="DV578" s="373"/>
      <c r="DW578" s="374"/>
      <c r="DX578" s="375"/>
      <c r="DY578" s="375"/>
      <c r="EA578" s="373"/>
      <c r="EB578" s="374"/>
      <c r="EC578" s="375"/>
      <c r="ED578" s="375"/>
      <c r="EF578" s="373"/>
      <c r="EG578" s="374"/>
      <c r="EH578" s="375"/>
      <c r="EI578" s="375"/>
      <c r="EK578" s="373"/>
      <c r="EL578" s="374"/>
      <c r="EM578" s="375"/>
      <c r="EN578" s="375"/>
      <c r="EP578" s="373"/>
      <c r="EQ578" s="374"/>
      <c r="ER578" s="375"/>
      <c r="ES578" s="375"/>
      <c r="EU578" s="373"/>
      <c r="EV578" s="374"/>
      <c r="EW578" s="375"/>
      <c r="EX578" s="375"/>
      <c r="EZ578" s="373"/>
      <c r="FA578" s="374"/>
      <c r="FB578" s="375"/>
      <c r="FC578" s="375"/>
      <c r="FE578" s="373"/>
      <c r="FF578" s="374"/>
      <c r="FG578" s="375"/>
      <c r="FH578" s="375"/>
      <c r="FJ578" s="373"/>
      <c r="FK578" s="374"/>
      <c r="FL578" s="375"/>
      <c r="FM578" s="375"/>
      <c r="FO578" s="373"/>
      <c r="FP578" s="374"/>
      <c r="FQ578" s="375"/>
      <c r="FR578" s="375"/>
      <c r="FT578" s="373"/>
      <c r="FU578" s="374"/>
      <c r="FV578" s="375"/>
      <c r="FW578" s="375"/>
      <c r="FY578" s="373"/>
      <c r="FZ578" s="374"/>
      <c r="GA578" s="375"/>
      <c r="GB578" s="375"/>
      <c r="GD578" s="373"/>
      <c r="GE578" s="374"/>
      <c r="GF578" s="375"/>
      <c r="GG578" s="375"/>
      <c r="GI578" s="373"/>
      <c r="GJ578" s="374"/>
      <c r="GK578" s="375"/>
      <c r="GL578" s="375"/>
      <c r="GN578" s="373"/>
      <c r="GO578" s="374"/>
      <c r="GP578" s="375"/>
      <c r="GQ578" s="375"/>
      <c r="GS578" s="373"/>
      <c r="GT578" s="374"/>
      <c r="GU578" s="375"/>
      <c r="GV578" s="375"/>
      <c r="GX578" s="373"/>
      <c r="GY578" s="374"/>
      <c r="GZ578" s="375"/>
      <c r="HA578" s="375"/>
      <c r="HC578" s="373"/>
      <c r="HD578" s="374"/>
      <c r="HE578" s="375"/>
      <c r="HF578" s="375"/>
      <c r="HH578" s="373"/>
      <c r="HI578" s="374"/>
      <c r="HJ578" s="375"/>
      <c r="HK578" s="375"/>
      <c r="HM578" s="373"/>
      <c r="HN578" s="374"/>
      <c r="HO578" s="375"/>
      <c r="HP578" s="375"/>
      <c r="HR578" s="373"/>
      <c r="HS578" s="374"/>
      <c r="HT578" s="375"/>
      <c r="HU578" s="375"/>
      <c r="HW578" s="373"/>
      <c r="HX578" s="374"/>
      <c r="HY578" s="375"/>
      <c r="HZ578" s="375"/>
      <c r="IB578" s="373"/>
      <c r="IC578" s="374"/>
      <c r="ID578" s="375"/>
      <c r="IE578" s="375"/>
      <c r="IG578" s="373"/>
      <c r="IH578" s="374"/>
      <c r="II578" s="375"/>
      <c r="IJ578" s="375"/>
      <c r="IL578" s="373"/>
      <c r="IM578" s="374"/>
      <c r="IN578" s="375"/>
      <c r="IO578" s="375"/>
      <c r="IQ578" s="373"/>
      <c r="IR578" s="374"/>
      <c r="IS578" s="375"/>
      <c r="IT578" s="375"/>
      <c r="IV578" s="373"/>
    </row>
    <row r="579" spans="1:256" s="376" customFormat="1" x14ac:dyDescent="0.2">
      <c r="A579" s="373"/>
      <c r="B579" s="374"/>
      <c r="C579" s="375"/>
      <c r="D579" s="375"/>
      <c r="F579" s="373"/>
      <c r="G579" s="374"/>
      <c r="H579" s="375"/>
      <c r="I579" s="375"/>
      <c r="K579" s="373"/>
      <c r="L579" s="374"/>
      <c r="M579" s="375"/>
      <c r="N579" s="375"/>
      <c r="P579" s="373"/>
      <c r="Q579" s="374"/>
      <c r="R579" s="375"/>
      <c r="S579" s="375"/>
      <c r="U579" s="373"/>
      <c r="V579" s="374"/>
      <c r="W579" s="375"/>
      <c r="X579" s="375"/>
      <c r="Z579" s="373"/>
      <c r="AA579" s="374"/>
      <c r="AB579" s="375"/>
      <c r="AC579" s="375"/>
      <c r="AE579" s="373"/>
      <c r="AF579" s="374"/>
      <c r="AG579" s="375"/>
      <c r="AH579" s="375"/>
      <c r="AJ579" s="373"/>
      <c r="AK579" s="374"/>
      <c r="AL579" s="375"/>
      <c r="AM579" s="375"/>
      <c r="AO579" s="373"/>
      <c r="AP579" s="374"/>
      <c r="AQ579" s="375"/>
      <c r="AR579" s="375"/>
      <c r="AT579" s="373"/>
      <c r="AU579" s="374"/>
      <c r="AV579" s="375"/>
      <c r="AW579" s="375"/>
      <c r="AY579" s="373"/>
      <c r="AZ579" s="374"/>
      <c r="BA579" s="375"/>
      <c r="BB579" s="375"/>
      <c r="BD579" s="373"/>
      <c r="BE579" s="374"/>
      <c r="BF579" s="375"/>
      <c r="BG579" s="375"/>
      <c r="BI579" s="373"/>
      <c r="BJ579" s="374"/>
      <c r="BK579" s="375"/>
      <c r="BL579" s="375"/>
      <c r="BN579" s="373"/>
      <c r="BO579" s="374"/>
      <c r="BP579" s="375"/>
      <c r="BQ579" s="375"/>
      <c r="BS579" s="373"/>
      <c r="BT579" s="374"/>
      <c r="BU579" s="375"/>
      <c r="BV579" s="375"/>
      <c r="BX579" s="373"/>
      <c r="BY579" s="374"/>
      <c r="BZ579" s="375"/>
      <c r="CA579" s="375"/>
      <c r="CC579" s="373"/>
      <c r="CD579" s="374"/>
      <c r="CE579" s="375"/>
      <c r="CF579" s="375"/>
      <c r="CH579" s="373"/>
      <c r="CI579" s="374"/>
      <c r="CJ579" s="375"/>
      <c r="CK579" s="375"/>
      <c r="CM579" s="373"/>
      <c r="CN579" s="374"/>
      <c r="CO579" s="375"/>
      <c r="CP579" s="375"/>
      <c r="CR579" s="373"/>
      <c r="CS579" s="374"/>
      <c r="CT579" s="375"/>
      <c r="CU579" s="375"/>
      <c r="CW579" s="373"/>
      <c r="CX579" s="374"/>
      <c r="CY579" s="375"/>
      <c r="CZ579" s="375"/>
      <c r="DB579" s="373"/>
      <c r="DC579" s="374"/>
      <c r="DD579" s="375"/>
      <c r="DE579" s="375"/>
      <c r="DG579" s="373"/>
      <c r="DH579" s="374"/>
      <c r="DI579" s="375"/>
      <c r="DJ579" s="375"/>
      <c r="DL579" s="373"/>
      <c r="DM579" s="374"/>
      <c r="DN579" s="375"/>
      <c r="DO579" s="375"/>
      <c r="DQ579" s="373"/>
      <c r="DR579" s="374"/>
      <c r="DS579" s="375"/>
      <c r="DT579" s="375"/>
      <c r="DV579" s="373"/>
      <c r="DW579" s="374"/>
      <c r="DX579" s="375"/>
      <c r="DY579" s="375"/>
      <c r="EA579" s="373"/>
      <c r="EB579" s="374"/>
      <c r="EC579" s="375"/>
      <c r="ED579" s="375"/>
      <c r="EF579" s="373"/>
      <c r="EG579" s="374"/>
      <c r="EH579" s="375"/>
      <c r="EI579" s="375"/>
      <c r="EK579" s="373"/>
      <c r="EL579" s="374"/>
      <c r="EM579" s="375"/>
      <c r="EN579" s="375"/>
      <c r="EP579" s="373"/>
      <c r="EQ579" s="374"/>
      <c r="ER579" s="375"/>
      <c r="ES579" s="375"/>
      <c r="EU579" s="373"/>
      <c r="EV579" s="374"/>
      <c r="EW579" s="375"/>
      <c r="EX579" s="375"/>
      <c r="EZ579" s="373"/>
      <c r="FA579" s="374"/>
      <c r="FB579" s="375"/>
      <c r="FC579" s="375"/>
      <c r="FE579" s="373"/>
      <c r="FF579" s="374"/>
      <c r="FG579" s="375"/>
      <c r="FH579" s="375"/>
      <c r="FJ579" s="373"/>
      <c r="FK579" s="374"/>
      <c r="FL579" s="375"/>
      <c r="FM579" s="375"/>
      <c r="FO579" s="373"/>
      <c r="FP579" s="374"/>
      <c r="FQ579" s="375"/>
      <c r="FR579" s="375"/>
      <c r="FT579" s="373"/>
      <c r="FU579" s="374"/>
      <c r="FV579" s="375"/>
      <c r="FW579" s="375"/>
      <c r="FY579" s="373"/>
      <c r="FZ579" s="374"/>
      <c r="GA579" s="375"/>
      <c r="GB579" s="375"/>
      <c r="GD579" s="373"/>
      <c r="GE579" s="374"/>
      <c r="GF579" s="375"/>
      <c r="GG579" s="375"/>
      <c r="GI579" s="373"/>
      <c r="GJ579" s="374"/>
      <c r="GK579" s="375"/>
      <c r="GL579" s="375"/>
      <c r="GN579" s="373"/>
      <c r="GO579" s="374"/>
      <c r="GP579" s="375"/>
      <c r="GQ579" s="375"/>
      <c r="GS579" s="373"/>
      <c r="GT579" s="374"/>
      <c r="GU579" s="375"/>
      <c r="GV579" s="375"/>
      <c r="GX579" s="373"/>
      <c r="GY579" s="374"/>
      <c r="GZ579" s="375"/>
      <c r="HA579" s="375"/>
      <c r="HC579" s="373"/>
      <c r="HD579" s="374"/>
      <c r="HE579" s="375"/>
      <c r="HF579" s="375"/>
      <c r="HH579" s="373"/>
      <c r="HI579" s="374"/>
      <c r="HJ579" s="375"/>
      <c r="HK579" s="375"/>
      <c r="HM579" s="373"/>
      <c r="HN579" s="374"/>
      <c r="HO579" s="375"/>
      <c r="HP579" s="375"/>
      <c r="HR579" s="373"/>
      <c r="HS579" s="374"/>
      <c r="HT579" s="375"/>
      <c r="HU579" s="375"/>
      <c r="HW579" s="373"/>
      <c r="HX579" s="374"/>
      <c r="HY579" s="375"/>
      <c r="HZ579" s="375"/>
      <c r="IB579" s="373"/>
      <c r="IC579" s="374"/>
      <c r="ID579" s="375"/>
      <c r="IE579" s="375"/>
      <c r="IG579" s="373"/>
      <c r="IH579" s="374"/>
      <c r="II579" s="375"/>
      <c r="IJ579" s="375"/>
      <c r="IL579" s="373"/>
      <c r="IM579" s="374"/>
      <c r="IN579" s="375"/>
      <c r="IO579" s="375"/>
      <c r="IQ579" s="373"/>
      <c r="IR579" s="374"/>
      <c r="IS579" s="375"/>
      <c r="IT579" s="375"/>
      <c r="IV579" s="373"/>
    </row>
    <row r="580" spans="1:256" s="376" customFormat="1" x14ac:dyDescent="0.2">
      <c r="A580" s="373"/>
      <c r="B580" s="374"/>
      <c r="C580" s="375"/>
      <c r="D580" s="375"/>
      <c r="F580" s="373"/>
      <c r="G580" s="374"/>
      <c r="H580" s="375"/>
      <c r="I580" s="375"/>
      <c r="K580" s="373"/>
      <c r="L580" s="374"/>
      <c r="M580" s="375"/>
      <c r="N580" s="375"/>
      <c r="P580" s="373"/>
      <c r="Q580" s="374"/>
      <c r="R580" s="375"/>
      <c r="S580" s="375"/>
      <c r="U580" s="373"/>
      <c r="V580" s="374"/>
      <c r="W580" s="375"/>
      <c r="X580" s="375"/>
      <c r="Z580" s="373"/>
      <c r="AA580" s="374"/>
      <c r="AB580" s="375"/>
      <c r="AC580" s="375"/>
      <c r="AE580" s="373"/>
      <c r="AF580" s="374"/>
      <c r="AG580" s="375"/>
      <c r="AH580" s="375"/>
      <c r="AJ580" s="373"/>
      <c r="AK580" s="374"/>
      <c r="AL580" s="375"/>
      <c r="AM580" s="375"/>
      <c r="AO580" s="373"/>
      <c r="AP580" s="374"/>
      <c r="AQ580" s="375"/>
      <c r="AR580" s="375"/>
      <c r="AT580" s="373"/>
      <c r="AU580" s="374"/>
      <c r="AV580" s="375"/>
      <c r="AW580" s="375"/>
      <c r="AY580" s="373"/>
      <c r="AZ580" s="374"/>
      <c r="BA580" s="375"/>
      <c r="BB580" s="375"/>
      <c r="BD580" s="373"/>
      <c r="BE580" s="374"/>
      <c r="BF580" s="375"/>
      <c r="BG580" s="375"/>
      <c r="BI580" s="373"/>
      <c r="BJ580" s="374"/>
      <c r="BK580" s="375"/>
      <c r="BL580" s="375"/>
      <c r="BN580" s="373"/>
      <c r="BO580" s="374"/>
      <c r="BP580" s="375"/>
      <c r="BQ580" s="375"/>
      <c r="BS580" s="373"/>
      <c r="BT580" s="374"/>
      <c r="BU580" s="375"/>
      <c r="BV580" s="375"/>
      <c r="BX580" s="373"/>
      <c r="BY580" s="374"/>
      <c r="BZ580" s="375"/>
      <c r="CA580" s="375"/>
      <c r="CC580" s="373"/>
      <c r="CD580" s="374"/>
      <c r="CE580" s="375"/>
      <c r="CF580" s="375"/>
      <c r="CH580" s="373"/>
      <c r="CI580" s="374"/>
      <c r="CJ580" s="375"/>
      <c r="CK580" s="375"/>
      <c r="CM580" s="373"/>
      <c r="CN580" s="374"/>
      <c r="CO580" s="375"/>
      <c r="CP580" s="375"/>
      <c r="CR580" s="373"/>
      <c r="CS580" s="374"/>
      <c r="CT580" s="375"/>
      <c r="CU580" s="375"/>
      <c r="CW580" s="373"/>
      <c r="CX580" s="374"/>
      <c r="CY580" s="375"/>
      <c r="CZ580" s="375"/>
      <c r="DB580" s="373"/>
      <c r="DC580" s="374"/>
      <c r="DD580" s="375"/>
      <c r="DE580" s="375"/>
      <c r="DG580" s="373"/>
      <c r="DH580" s="374"/>
      <c r="DI580" s="375"/>
      <c r="DJ580" s="375"/>
      <c r="DL580" s="373"/>
      <c r="DM580" s="374"/>
      <c r="DN580" s="375"/>
      <c r="DO580" s="375"/>
      <c r="DQ580" s="373"/>
      <c r="DR580" s="374"/>
      <c r="DS580" s="375"/>
      <c r="DT580" s="375"/>
      <c r="DV580" s="373"/>
      <c r="DW580" s="374"/>
      <c r="DX580" s="375"/>
      <c r="DY580" s="375"/>
      <c r="EA580" s="373"/>
      <c r="EB580" s="374"/>
      <c r="EC580" s="375"/>
      <c r="ED580" s="375"/>
      <c r="EF580" s="373"/>
      <c r="EG580" s="374"/>
      <c r="EH580" s="375"/>
      <c r="EI580" s="375"/>
      <c r="EK580" s="373"/>
      <c r="EL580" s="374"/>
      <c r="EM580" s="375"/>
      <c r="EN580" s="375"/>
      <c r="EP580" s="373"/>
      <c r="EQ580" s="374"/>
      <c r="ER580" s="375"/>
      <c r="ES580" s="375"/>
      <c r="EU580" s="373"/>
      <c r="EV580" s="374"/>
      <c r="EW580" s="375"/>
      <c r="EX580" s="375"/>
      <c r="EZ580" s="373"/>
      <c r="FA580" s="374"/>
      <c r="FB580" s="375"/>
      <c r="FC580" s="375"/>
      <c r="FE580" s="373"/>
      <c r="FF580" s="374"/>
      <c r="FG580" s="375"/>
      <c r="FH580" s="375"/>
      <c r="FJ580" s="373"/>
      <c r="FK580" s="374"/>
      <c r="FL580" s="375"/>
      <c r="FM580" s="375"/>
      <c r="FO580" s="373"/>
      <c r="FP580" s="374"/>
      <c r="FQ580" s="375"/>
      <c r="FR580" s="375"/>
      <c r="FT580" s="373"/>
      <c r="FU580" s="374"/>
      <c r="FV580" s="375"/>
      <c r="FW580" s="375"/>
      <c r="FY580" s="373"/>
      <c r="FZ580" s="374"/>
      <c r="GA580" s="375"/>
      <c r="GB580" s="375"/>
      <c r="GD580" s="373"/>
      <c r="GE580" s="374"/>
      <c r="GF580" s="375"/>
      <c r="GG580" s="375"/>
      <c r="GI580" s="373"/>
      <c r="GJ580" s="374"/>
      <c r="GK580" s="375"/>
      <c r="GL580" s="375"/>
      <c r="GN580" s="373"/>
      <c r="GO580" s="374"/>
      <c r="GP580" s="375"/>
      <c r="GQ580" s="375"/>
      <c r="GS580" s="373"/>
      <c r="GT580" s="374"/>
      <c r="GU580" s="375"/>
      <c r="GV580" s="375"/>
      <c r="GX580" s="373"/>
      <c r="GY580" s="374"/>
      <c r="GZ580" s="375"/>
      <c r="HA580" s="375"/>
      <c r="HC580" s="373"/>
      <c r="HD580" s="374"/>
      <c r="HE580" s="375"/>
      <c r="HF580" s="375"/>
      <c r="HH580" s="373"/>
      <c r="HI580" s="374"/>
      <c r="HJ580" s="375"/>
      <c r="HK580" s="375"/>
      <c r="HM580" s="373"/>
      <c r="HN580" s="374"/>
      <c r="HO580" s="375"/>
      <c r="HP580" s="375"/>
      <c r="HR580" s="373"/>
      <c r="HS580" s="374"/>
      <c r="HT580" s="375"/>
      <c r="HU580" s="375"/>
      <c r="HW580" s="373"/>
      <c r="HX580" s="374"/>
      <c r="HY580" s="375"/>
      <c r="HZ580" s="375"/>
      <c r="IB580" s="373"/>
      <c r="IC580" s="374"/>
      <c r="ID580" s="375"/>
      <c r="IE580" s="375"/>
      <c r="IG580" s="373"/>
      <c r="IH580" s="374"/>
      <c r="II580" s="375"/>
      <c r="IJ580" s="375"/>
      <c r="IL580" s="373"/>
      <c r="IM580" s="374"/>
      <c r="IN580" s="375"/>
      <c r="IO580" s="375"/>
      <c r="IQ580" s="373"/>
      <c r="IR580" s="374"/>
      <c r="IS580" s="375"/>
      <c r="IT580" s="375"/>
      <c r="IV580" s="373"/>
    </row>
    <row r="581" spans="1:256" s="376" customFormat="1" x14ac:dyDescent="0.2">
      <c r="A581" s="373"/>
      <c r="B581" s="374"/>
      <c r="C581" s="375"/>
      <c r="D581" s="375"/>
      <c r="F581" s="373"/>
      <c r="G581" s="374"/>
      <c r="H581" s="375"/>
      <c r="I581" s="375"/>
      <c r="K581" s="373"/>
      <c r="L581" s="374"/>
      <c r="M581" s="375"/>
      <c r="N581" s="375"/>
      <c r="P581" s="373"/>
      <c r="Q581" s="374"/>
      <c r="R581" s="375"/>
      <c r="S581" s="375"/>
      <c r="U581" s="373"/>
      <c r="V581" s="374"/>
      <c r="W581" s="375"/>
      <c r="X581" s="375"/>
      <c r="Z581" s="373"/>
      <c r="AA581" s="374"/>
      <c r="AB581" s="375"/>
      <c r="AC581" s="375"/>
      <c r="AE581" s="373"/>
      <c r="AF581" s="374"/>
      <c r="AG581" s="375"/>
      <c r="AH581" s="375"/>
      <c r="AJ581" s="373"/>
      <c r="AK581" s="374"/>
      <c r="AL581" s="375"/>
      <c r="AM581" s="375"/>
      <c r="AO581" s="373"/>
      <c r="AP581" s="374"/>
      <c r="AQ581" s="375"/>
      <c r="AR581" s="375"/>
      <c r="AT581" s="373"/>
      <c r="AU581" s="374"/>
      <c r="AV581" s="375"/>
      <c r="AW581" s="375"/>
      <c r="AY581" s="373"/>
      <c r="AZ581" s="374"/>
      <c r="BA581" s="375"/>
      <c r="BB581" s="375"/>
      <c r="BD581" s="373"/>
      <c r="BE581" s="374"/>
      <c r="BF581" s="375"/>
      <c r="BG581" s="375"/>
      <c r="BI581" s="373"/>
      <c r="BJ581" s="374"/>
      <c r="BK581" s="375"/>
      <c r="BL581" s="375"/>
      <c r="BN581" s="373"/>
      <c r="BO581" s="374"/>
      <c r="BP581" s="375"/>
      <c r="BQ581" s="375"/>
      <c r="BS581" s="373"/>
      <c r="BT581" s="374"/>
      <c r="BU581" s="375"/>
      <c r="BV581" s="375"/>
      <c r="BX581" s="373"/>
      <c r="BY581" s="374"/>
      <c r="BZ581" s="375"/>
      <c r="CA581" s="375"/>
      <c r="CC581" s="373"/>
      <c r="CD581" s="374"/>
      <c r="CE581" s="375"/>
      <c r="CF581" s="375"/>
      <c r="CH581" s="373"/>
      <c r="CI581" s="374"/>
      <c r="CJ581" s="375"/>
      <c r="CK581" s="375"/>
      <c r="CM581" s="373"/>
      <c r="CN581" s="374"/>
      <c r="CO581" s="375"/>
      <c r="CP581" s="375"/>
      <c r="CR581" s="373"/>
      <c r="CS581" s="374"/>
      <c r="CT581" s="375"/>
      <c r="CU581" s="375"/>
      <c r="CW581" s="373"/>
      <c r="CX581" s="374"/>
      <c r="CY581" s="375"/>
      <c r="CZ581" s="375"/>
      <c r="DB581" s="373"/>
      <c r="DC581" s="374"/>
      <c r="DD581" s="375"/>
      <c r="DE581" s="375"/>
      <c r="DG581" s="373"/>
      <c r="DH581" s="374"/>
      <c r="DI581" s="375"/>
      <c r="DJ581" s="375"/>
      <c r="DL581" s="373"/>
      <c r="DM581" s="374"/>
      <c r="DN581" s="375"/>
      <c r="DO581" s="375"/>
      <c r="DQ581" s="373"/>
      <c r="DR581" s="374"/>
      <c r="DS581" s="375"/>
      <c r="DT581" s="375"/>
      <c r="DV581" s="373"/>
      <c r="DW581" s="374"/>
      <c r="DX581" s="375"/>
      <c r="DY581" s="375"/>
      <c r="EA581" s="373"/>
      <c r="EB581" s="374"/>
      <c r="EC581" s="375"/>
      <c r="ED581" s="375"/>
      <c r="EF581" s="373"/>
      <c r="EG581" s="374"/>
      <c r="EH581" s="375"/>
      <c r="EI581" s="375"/>
      <c r="EK581" s="373"/>
      <c r="EL581" s="374"/>
      <c r="EM581" s="375"/>
      <c r="EN581" s="375"/>
      <c r="EP581" s="373"/>
      <c r="EQ581" s="374"/>
      <c r="ER581" s="375"/>
      <c r="ES581" s="375"/>
      <c r="EU581" s="373"/>
      <c r="EV581" s="374"/>
      <c r="EW581" s="375"/>
      <c r="EX581" s="375"/>
      <c r="EZ581" s="373"/>
      <c r="FA581" s="374"/>
      <c r="FB581" s="375"/>
      <c r="FC581" s="375"/>
      <c r="FE581" s="373"/>
      <c r="FF581" s="374"/>
      <c r="FG581" s="375"/>
      <c r="FH581" s="375"/>
      <c r="FJ581" s="373"/>
      <c r="FK581" s="374"/>
      <c r="FL581" s="375"/>
      <c r="FM581" s="375"/>
      <c r="FO581" s="373"/>
      <c r="FP581" s="374"/>
      <c r="FQ581" s="375"/>
      <c r="FR581" s="375"/>
      <c r="FT581" s="373"/>
      <c r="FU581" s="374"/>
      <c r="FV581" s="375"/>
      <c r="FW581" s="375"/>
      <c r="FY581" s="373"/>
      <c r="FZ581" s="374"/>
      <c r="GA581" s="375"/>
      <c r="GB581" s="375"/>
      <c r="GD581" s="373"/>
      <c r="GE581" s="374"/>
      <c r="GF581" s="375"/>
      <c r="GG581" s="375"/>
      <c r="GI581" s="373"/>
      <c r="GJ581" s="374"/>
      <c r="GK581" s="375"/>
      <c r="GL581" s="375"/>
      <c r="GN581" s="373"/>
      <c r="GO581" s="374"/>
      <c r="GP581" s="375"/>
      <c r="GQ581" s="375"/>
      <c r="GS581" s="373"/>
      <c r="GT581" s="374"/>
      <c r="GU581" s="375"/>
      <c r="GV581" s="375"/>
      <c r="GX581" s="373"/>
      <c r="GY581" s="374"/>
      <c r="GZ581" s="375"/>
      <c r="HA581" s="375"/>
      <c r="HC581" s="373"/>
      <c r="HD581" s="374"/>
      <c r="HE581" s="375"/>
      <c r="HF581" s="375"/>
      <c r="HH581" s="373"/>
      <c r="HI581" s="374"/>
      <c r="HJ581" s="375"/>
      <c r="HK581" s="375"/>
      <c r="HM581" s="373"/>
      <c r="HN581" s="374"/>
      <c r="HO581" s="375"/>
      <c r="HP581" s="375"/>
      <c r="HR581" s="373"/>
      <c r="HS581" s="374"/>
      <c r="HT581" s="375"/>
      <c r="HU581" s="375"/>
      <c r="HW581" s="373"/>
      <c r="HX581" s="374"/>
      <c r="HY581" s="375"/>
      <c r="HZ581" s="375"/>
      <c r="IB581" s="373"/>
      <c r="IC581" s="374"/>
      <c r="ID581" s="375"/>
      <c r="IE581" s="375"/>
      <c r="IG581" s="373"/>
      <c r="IH581" s="374"/>
      <c r="II581" s="375"/>
      <c r="IJ581" s="375"/>
      <c r="IL581" s="373"/>
      <c r="IM581" s="374"/>
      <c r="IN581" s="375"/>
      <c r="IO581" s="375"/>
      <c r="IQ581" s="373"/>
      <c r="IR581" s="374"/>
      <c r="IS581" s="375"/>
      <c r="IT581" s="375"/>
      <c r="IV581" s="373"/>
    </row>
    <row r="582" spans="1:256" s="376" customFormat="1" x14ac:dyDescent="0.2">
      <c r="A582" s="373"/>
      <c r="B582" s="374"/>
      <c r="C582" s="375"/>
      <c r="D582" s="375"/>
      <c r="F582" s="373"/>
      <c r="G582" s="374"/>
      <c r="H582" s="375"/>
      <c r="I582" s="375"/>
      <c r="K582" s="373"/>
      <c r="L582" s="374"/>
      <c r="M582" s="375"/>
      <c r="N582" s="375"/>
      <c r="P582" s="373"/>
      <c r="Q582" s="374"/>
      <c r="R582" s="375"/>
      <c r="S582" s="375"/>
      <c r="U582" s="373"/>
      <c r="V582" s="374"/>
      <c r="W582" s="375"/>
      <c r="X582" s="375"/>
      <c r="Z582" s="373"/>
      <c r="AA582" s="374"/>
      <c r="AB582" s="375"/>
      <c r="AC582" s="375"/>
      <c r="AE582" s="373"/>
      <c r="AF582" s="374"/>
      <c r="AG582" s="375"/>
      <c r="AH582" s="375"/>
      <c r="AJ582" s="373"/>
      <c r="AK582" s="374"/>
      <c r="AL582" s="375"/>
      <c r="AM582" s="375"/>
      <c r="AO582" s="373"/>
      <c r="AP582" s="374"/>
      <c r="AQ582" s="375"/>
      <c r="AR582" s="375"/>
      <c r="AT582" s="373"/>
      <c r="AU582" s="374"/>
      <c r="AV582" s="375"/>
      <c r="AW582" s="375"/>
      <c r="AY582" s="373"/>
      <c r="AZ582" s="374"/>
      <c r="BA582" s="375"/>
      <c r="BB582" s="375"/>
      <c r="BD582" s="373"/>
      <c r="BE582" s="374"/>
      <c r="BF582" s="375"/>
      <c r="BG582" s="375"/>
      <c r="BI582" s="373"/>
      <c r="BJ582" s="374"/>
      <c r="BK582" s="375"/>
      <c r="BL582" s="375"/>
      <c r="BN582" s="373"/>
      <c r="BO582" s="374"/>
      <c r="BP582" s="375"/>
      <c r="BQ582" s="375"/>
      <c r="BS582" s="373"/>
      <c r="BT582" s="374"/>
      <c r="BU582" s="375"/>
      <c r="BV582" s="375"/>
      <c r="BX582" s="373"/>
      <c r="BY582" s="374"/>
      <c r="BZ582" s="375"/>
      <c r="CA582" s="375"/>
      <c r="CC582" s="373"/>
      <c r="CD582" s="374"/>
      <c r="CE582" s="375"/>
      <c r="CF582" s="375"/>
      <c r="CH582" s="373"/>
      <c r="CI582" s="374"/>
      <c r="CJ582" s="375"/>
      <c r="CK582" s="375"/>
      <c r="CM582" s="373"/>
      <c r="CN582" s="374"/>
      <c r="CO582" s="375"/>
      <c r="CP582" s="375"/>
      <c r="CR582" s="373"/>
      <c r="CS582" s="374"/>
      <c r="CT582" s="375"/>
      <c r="CU582" s="375"/>
      <c r="CW582" s="373"/>
      <c r="CX582" s="374"/>
      <c r="CY582" s="375"/>
      <c r="CZ582" s="375"/>
      <c r="DB582" s="373"/>
      <c r="DC582" s="374"/>
      <c r="DD582" s="375"/>
      <c r="DE582" s="375"/>
      <c r="DG582" s="373"/>
      <c r="DH582" s="374"/>
      <c r="DI582" s="375"/>
      <c r="DJ582" s="375"/>
      <c r="DL582" s="373"/>
      <c r="DM582" s="374"/>
      <c r="DN582" s="375"/>
      <c r="DO582" s="375"/>
      <c r="DQ582" s="373"/>
      <c r="DR582" s="374"/>
      <c r="DS582" s="375"/>
      <c r="DT582" s="375"/>
      <c r="DV582" s="373"/>
      <c r="DW582" s="374"/>
      <c r="DX582" s="375"/>
      <c r="DY582" s="375"/>
      <c r="EA582" s="373"/>
      <c r="EB582" s="374"/>
      <c r="EC582" s="375"/>
      <c r="ED582" s="375"/>
      <c r="EF582" s="373"/>
      <c r="EG582" s="374"/>
      <c r="EH582" s="375"/>
      <c r="EI582" s="375"/>
      <c r="EK582" s="373"/>
      <c r="EL582" s="374"/>
      <c r="EM582" s="375"/>
      <c r="EN582" s="375"/>
      <c r="EP582" s="373"/>
      <c r="EQ582" s="374"/>
      <c r="ER582" s="375"/>
      <c r="ES582" s="375"/>
      <c r="EU582" s="373"/>
      <c r="EV582" s="374"/>
      <c r="EW582" s="375"/>
      <c r="EX582" s="375"/>
      <c r="EZ582" s="373"/>
      <c r="FA582" s="374"/>
      <c r="FB582" s="375"/>
      <c r="FC582" s="375"/>
      <c r="FE582" s="373"/>
      <c r="FF582" s="374"/>
      <c r="FG582" s="375"/>
      <c r="FH582" s="375"/>
      <c r="FJ582" s="373"/>
      <c r="FK582" s="374"/>
      <c r="FL582" s="375"/>
      <c r="FM582" s="375"/>
      <c r="FO582" s="373"/>
      <c r="FP582" s="374"/>
      <c r="FQ582" s="375"/>
      <c r="FR582" s="375"/>
      <c r="FT582" s="373"/>
      <c r="FU582" s="374"/>
      <c r="FV582" s="375"/>
      <c r="FW582" s="375"/>
      <c r="FY582" s="373"/>
      <c r="FZ582" s="374"/>
      <c r="GA582" s="375"/>
      <c r="GB582" s="375"/>
      <c r="GD582" s="373"/>
      <c r="GE582" s="374"/>
      <c r="GF582" s="375"/>
      <c r="GG582" s="375"/>
      <c r="GI582" s="373"/>
      <c r="GJ582" s="374"/>
      <c r="GK582" s="375"/>
      <c r="GL582" s="375"/>
      <c r="GN582" s="373"/>
      <c r="GO582" s="374"/>
      <c r="GP582" s="375"/>
      <c r="GQ582" s="375"/>
      <c r="GS582" s="373"/>
      <c r="GT582" s="374"/>
      <c r="GU582" s="375"/>
      <c r="GV582" s="375"/>
      <c r="GX582" s="373"/>
      <c r="GY582" s="374"/>
      <c r="GZ582" s="375"/>
      <c r="HA582" s="375"/>
      <c r="HC582" s="373"/>
      <c r="HD582" s="374"/>
      <c r="HE582" s="375"/>
      <c r="HF582" s="375"/>
      <c r="HH582" s="373"/>
      <c r="HI582" s="374"/>
      <c r="HJ582" s="375"/>
      <c r="HK582" s="375"/>
      <c r="HM582" s="373"/>
      <c r="HN582" s="374"/>
      <c r="HO582" s="375"/>
      <c r="HP582" s="375"/>
      <c r="HR582" s="373"/>
      <c r="HS582" s="374"/>
      <c r="HT582" s="375"/>
      <c r="HU582" s="375"/>
      <c r="HW582" s="373"/>
      <c r="HX582" s="374"/>
      <c r="HY582" s="375"/>
      <c r="HZ582" s="375"/>
      <c r="IB582" s="373"/>
      <c r="IC582" s="374"/>
      <c r="ID582" s="375"/>
      <c r="IE582" s="375"/>
      <c r="IG582" s="373"/>
      <c r="IH582" s="374"/>
      <c r="II582" s="375"/>
      <c r="IJ582" s="375"/>
      <c r="IL582" s="373"/>
      <c r="IM582" s="374"/>
      <c r="IN582" s="375"/>
      <c r="IO582" s="375"/>
      <c r="IQ582" s="373"/>
      <c r="IR582" s="374"/>
      <c r="IS582" s="375"/>
      <c r="IT582" s="375"/>
      <c r="IV582" s="373"/>
    </row>
    <row r="583" spans="1:256" s="376" customFormat="1" x14ac:dyDescent="0.2">
      <c r="A583" s="373"/>
      <c r="B583" s="374"/>
      <c r="C583" s="375"/>
      <c r="D583" s="375"/>
      <c r="F583" s="373"/>
      <c r="G583" s="374"/>
      <c r="H583" s="375"/>
      <c r="I583" s="375"/>
      <c r="K583" s="373"/>
      <c r="L583" s="374"/>
      <c r="M583" s="375"/>
      <c r="N583" s="375"/>
      <c r="P583" s="373"/>
      <c r="Q583" s="374"/>
      <c r="R583" s="375"/>
      <c r="S583" s="375"/>
      <c r="U583" s="373"/>
      <c r="V583" s="374"/>
      <c r="W583" s="375"/>
      <c r="X583" s="375"/>
      <c r="Z583" s="373"/>
      <c r="AA583" s="374"/>
      <c r="AB583" s="375"/>
      <c r="AC583" s="375"/>
      <c r="AE583" s="373"/>
      <c r="AF583" s="374"/>
      <c r="AG583" s="375"/>
      <c r="AH583" s="375"/>
      <c r="AJ583" s="373"/>
      <c r="AK583" s="374"/>
      <c r="AL583" s="375"/>
      <c r="AM583" s="375"/>
      <c r="AO583" s="373"/>
      <c r="AP583" s="374"/>
      <c r="AQ583" s="375"/>
      <c r="AR583" s="375"/>
      <c r="AT583" s="373"/>
      <c r="AU583" s="374"/>
      <c r="AV583" s="375"/>
      <c r="AW583" s="375"/>
      <c r="AY583" s="373"/>
      <c r="AZ583" s="374"/>
      <c r="BA583" s="375"/>
      <c r="BB583" s="375"/>
      <c r="BD583" s="373"/>
      <c r="BE583" s="374"/>
      <c r="BF583" s="375"/>
      <c r="BG583" s="375"/>
      <c r="BI583" s="373"/>
      <c r="BJ583" s="374"/>
      <c r="BK583" s="375"/>
      <c r="BL583" s="375"/>
      <c r="BN583" s="373"/>
      <c r="BO583" s="374"/>
      <c r="BP583" s="375"/>
      <c r="BQ583" s="375"/>
      <c r="BS583" s="373"/>
      <c r="BT583" s="374"/>
      <c r="BU583" s="375"/>
      <c r="BV583" s="375"/>
      <c r="BX583" s="373"/>
      <c r="BY583" s="374"/>
      <c r="BZ583" s="375"/>
      <c r="CA583" s="375"/>
      <c r="CC583" s="373"/>
      <c r="CD583" s="374"/>
      <c r="CE583" s="375"/>
      <c r="CF583" s="375"/>
      <c r="CH583" s="373"/>
      <c r="CI583" s="374"/>
      <c r="CJ583" s="375"/>
      <c r="CK583" s="375"/>
      <c r="CM583" s="373"/>
      <c r="CN583" s="374"/>
      <c r="CO583" s="375"/>
      <c r="CP583" s="375"/>
      <c r="CR583" s="373"/>
      <c r="CS583" s="374"/>
      <c r="CT583" s="375"/>
      <c r="CU583" s="375"/>
      <c r="CW583" s="373"/>
      <c r="CX583" s="374"/>
      <c r="CY583" s="375"/>
      <c r="CZ583" s="375"/>
      <c r="DB583" s="373"/>
      <c r="DC583" s="374"/>
      <c r="DD583" s="375"/>
      <c r="DE583" s="375"/>
      <c r="DG583" s="373"/>
      <c r="DH583" s="374"/>
      <c r="DI583" s="375"/>
      <c r="DJ583" s="375"/>
      <c r="DL583" s="373"/>
      <c r="DM583" s="374"/>
      <c r="DN583" s="375"/>
      <c r="DO583" s="375"/>
      <c r="DQ583" s="373"/>
      <c r="DR583" s="374"/>
      <c r="DS583" s="375"/>
      <c r="DT583" s="375"/>
      <c r="DV583" s="373"/>
      <c r="DW583" s="374"/>
      <c r="DX583" s="375"/>
      <c r="DY583" s="375"/>
      <c r="EA583" s="373"/>
      <c r="EB583" s="374"/>
      <c r="EC583" s="375"/>
      <c r="ED583" s="375"/>
      <c r="EF583" s="373"/>
      <c r="EG583" s="374"/>
      <c r="EH583" s="375"/>
      <c r="EI583" s="375"/>
      <c r="EK583" s="373"/>
      <c r="EL583" s="374"/>
      <c r="EM583" s="375"/>
      <c r="EN583" s="375"/>
      <c r="EP583" s="373"/>
      <c r="EQ583" s="374"/>
      <c r="ER583" s="375"/>
      <c r="ES583" s="375"/>
      <c r="EU583" s="373"/>
      <c r="EV583" s="374"/>
      <c r="EW583" s="375"/>
      <c r="EX583" s="375"/>
      <c r="EZ583" s="373"/>
      <c r="FA583" s="374"/>
      <c r="FB583" s="375"/>
      <c r="FC583" s="375"/>
      <c r="FE583" s="373"/>
      <c r="FF583" s="374"/>
      <c r="FG583" s="375"/>
      <c r="FH583" s="375"/>
      <c r="FJ583" s="373"/>
      <c r="FK583" s="374"/>
      <c r="FL583" s="375"/>
      <c r="FM583" s="375"/>
      <c r="FO583" s="373"/>
      <c r="FP583" s="374"/>
      <c r="FQ583" s="375"/>
      <c r="FR583" s="375"/>
      <c r="FT583" s="373"/>
      <c r="FU583" s="374"/>
      <c r="FV583" s="375"/>
      <c r="FW583" s="375"/>
      <c r="FY583" s="373"/>
      <c r="FZ583" s="374"/>
      <c r="GA583" s="375"/>
      <c r="GB583" s="375"/>
      <c r="GD583" s="373"/>
      <c r="GE583" s="374"/>
      <c r="GF583" s="375"/>
      <c r="GG583" s="375"/>
      <c r="GI583" s="373"/>
      <c r="GJ583" s="374"/>
      <c r="GK583" s="375"/>
      <c r="GL583" s="375"/>
      <c r="GN583" s="373"/>
      <c r="GO583" s="374"/>
      <c r="GP583" s="375"/>
      <c r="GQ583" s="375"/>
      <c r="GS583" s="373"/>
      <c r="GT583" s="374"/>
      <c r="GU583" s="375"/>
      <c r="GV583" s="375"/>
      <c r="GX583" s="373"/>
      <c r="GY583" s="374"/>
      <c r="GZ583" s="375"/>
      <c r="HA583" s="375"/>
      <c r="HC583" s="373"/>
      <c r="HD583" s="374"/>
      <c r="HE583" s="375"/>
      <c r="HF583" s="375"/>
      <c r="HH583" s="373"/>
      <c r="HI583" s="374"/>
      <c r="HJ583" s="375"/>
      <c r="HK583" s="375"/>
      <c r="HM583" s="373"/>
      <c r="HN583" s="374"/>
      <c r="HO583" s="375"/>
      <c r="HP583" s="375"/>
      <c r="HR583" s="373"/>
      <c r="HS583" s="374"/>
      <c r="HT583" s="375"/>
      <c r="HU583" s="375"/>
      <c r="HW583" s="373"/>
      <c r="HX583" s="374"/>
      <c r="HY583" s="375"/>
      <c r="HZ583" s="375"/>
      <c r="IB583" s="373"/>
      <c r="IC583" s="374"/>
      <c r="ID583" s="375"/>
      <c r="IE583" s="375"/>
      <c r="IG583" s="373"/>
      <c r="IH583" s="374"/>
      <c r="II583" s="375"/>
      <c r="IJ583" s="375"/>
      <c r="IL583" s="373"/>
      <c r="IM583" s="374"/>
      <c r="IN583" s="375"/>
      <c r="IO583" s="375"/>
      <c r="IQ583" s="373"/>
      <c r="IR583" s="374"/>
      <c r="IS583" s="375"/>
      <c r="IT583" s="375"/>
      <c r="IV583" s="373"/>
    </row>
    <row r="584" spans="1:256" s="376" customFormat="1" x14ac:dyDescent="0.2">
      <c r="A584" s="373"/>
      <c r="B584" s="374"/>
      <c r="C584" s="375"/>
      <c r="D584" s="375"/>
      <c r="F584" s="373"/>
      <c r="G584" s="374"/>
      <c r="H584" s="375"/>
      <c r="I584" s="375"/>
      <c r="K584" s="373"/>
      <c r="L584" s="374"/>
      <c r="M584" s="375"/>
      <c r="N584" s="375"/>
      <c r="P584" s="373"/>
      <c r="Q584" s="374"/>
      <c r="R584" s="375"/>
      <c r="S584" s="375"/>
      <c r="U584" s="373"/>
      <c r="V584" s="374"/>
      <c r="W584" s="375"/>
      <c r="X584" s="375"/>
      <c r="Z584" s="373"/>
      <c r="AA584" s="374"/>
      <c r="AB584" s="375"/>
      <c r="AC584" s="375"/>
      <c r="AE584" s="373"/>
      <c r="AF584" s="374"/>
      <c r="AG584" s="375"/>
      <c r="AH584" s="375"/>
      <c r="AJ584" s="373"/>
      <c r="AK584" s="374"/>
      <c r="AL584" s="375"/>
      <c r="AM584" s="375"/>
      <c r="AO584" s="373"/>
      <c r="AP584" s="374"/>
      <c r="AQ584" s="375"/>
      <c r="AR584" s="375"/>
      <c r="AT584" s="373"/>
      <c r="AU584" s="374"/>
      <c r="AV584" s="375"/>
      <c r="AW584" s="375"/>
      <c r="AY584" s="373"/>
      <c r="AZ584" s="374"/>
      <c r="BA584" s="375"/>
      <c r="BB584" s="375"/>
      <c r="BD584" s="373"/>
      <c r="BE584" s="374"/>
      <c r="BF584" s="375"/>
      <c r="BG584" s="375"/>
      <c r="BI584" s="373"/>
      <c r="BJ584" s="374"/>
      <c r="BK584" s="375"/>
      <c r="BL584" s="375"/>
      <c r="BN584" s="373"/>
      <c r="BO584" s="374"/>
      <c r="BP584" s="375"/>
      <c r="BQ584" s="375"/>
      <c r="BS584" s="373"/>
      <c r="BT584" s="374"/>
      <c r="BU584" s="375"/>
      <c r="BV584" s="375"/>
      <c r="BX584" s="373"/>
      <c r="BY584" s="374"/>
      <c r="BZ584" s="375"/>
      <c r="CA584" s="375"/>
      <c r="CC584" s="373"/>
      <c r="CD584" s="374"/>
      <c r="CE584" s="375"/>
      <c r="CF584" s="375"/>
      <c r="CH584" s="373"/>
      <c r="CI584" s="374"/>
      <c r="CJ584" s="375"/>
      <c r="CK584" s="375"/>
      <c r="CM584" s="373"/>
      <c r="CN584" s="374"/>
      <c r="CO584" s="375"/>
      <c r="CP584" s="375"/>
      <c r="CR584" s="373"/>
      <c r="CS584" s="374"/>
      <c r="CT584" s="375"/>
      <c r="CU584" s="375"/>
      <c r="CW584" s="373"/>
      <c r="CX584" s="374"/>
      <c r="CY584" s="375"/>
      <c r="CZ584" s="375"/>
      <c r="DB584" s="373"/>
      <c r="DC584" s="374"/>
      <c r="DD584" s="375"/>
      <c r="DE584" s="375"/>
      <c r="DG584" s="373"/>
      <c r="DH584" s="374"/>
      <c r="DI584" s="375"/>
      <c r="DJ584" s="375"/>
      <c r="DL584" s="373"/>
      <c r="DM584" s="374"/>
      <c r="DN584" s="375"/>
      <c r="DO584" s="375"/>
      <c r="DQ584" s="373"/>
      <c r="DR584" s="374"/>
      <c r="DS584" s="375"/>
      <c r="DT584" s="375"/>
      <c r="DV584" s="373"/>
      <c r="DW584" s="374"/>
      <c r="DX584" s="375"/>
      <c r="DY584" s="375"/>
      <c r="EA584" s="373"/>
      <c r="EB584" s="374"/>
      <c r="EC584" s="375"/>
      <c r="ED584" s="375"/>
      <c r="EF584" s="373"/>
      <c r="EG584" s="374"/>
      <c r="EH584" s="375"/>
      <c r="EI584" s="375"/>
      <c r="EK584" s="373"/>
      <c r="EL584" s="374"/>
      <c r="EM584" s="375"/>
      <c r="EN584" s="375"/>
      <c r="EP584" s="373"/>
      <c r="EQ584" s="374"/>
      <c r="ER584" s="375"/>
      <c r="ES584" s="375"/>
      <c r="EU584" s="373"/>
      <c r="EV584" s="374"/>
      <c r="EW584" s="375"/>
      <c r="EX584" s="375"/>
      <c r="EZ584" s="373"/>
      <c r="FA584" s="374"/>
      <c r="FB584" s="375"/>
      <c r="FC584" s="375"/>
      <c r="FE584" s="373"/>
      <c r="FF584" s="374"/>
      <c r="FG584" s="375"/>
      <c r="FH584" s="375"/>
      <c r="FJ584" s="373"/>
      <c r="FK584" s="374"/>
      <c r="FL584" s="375"/>
      <c r="FM584" s="375"/>
      <c r="FO584" s="373"/>
      <c r="FP584" s="374"/>
      <c r="FQ584" s="375"/>
      <c r="FR584" s="375"/>
      <c r="FT584" s="373"/>
      <c r="FU584" s="374"/>
      <c r="FV584" s="375"/>
      <c r="FW584" s="375"/>
      <c r="FY584" s="373"/>
      <c r="FZ584" s="374"/>
      <c r="GA584" s="375"/>
      <c r="GB584" s="375"/>
      <c r="GD584" s="373"/>
      <c r="GE584" s="374"/>
      <c r="GF584" s="375"/>
      <c r="GG584" s="375"/>
      <c r="GI584" s="373"/>
      <c r="GJ584" s="374"/>
      <c r="GK584" s="375"/>
      <c r="GL584" s="375"/>
      <c r="GN584" s="373"/>
      <c r="GO584" s="374"/>
      <c r="GP584" s="375"/>
      <c r="GQ584" s="375"/>
      <c r="GS584" s="373"/>
      <c r="GT584" s="374"/>
      <c r="GU584" s="375"/>
      <c r="GV584" s="375"/>
      <c r="GX584" s="373"/>
      <c r="GY584" s="374"/>
      <c r="GZ584" s="375"/>
      <c r="HA584" s="375"/>
      <c r="HC584" s="373"/>
      <c r="HD584" s="374"/>
      <c r="HE584" s="375"/>
      <c r="HF584" s="375"/>
      <c r="HH584" s="373"/>
      <c r="HI584" s="374"/>
      <c r="HJ584" s="375"/>
      <c r="HK584" s="375"/>
      <c r="HM584" s="373"/>
      <c r="HN584" s="374"/>
      <c r="HO584" s="375"/>
      <c r="HP584" s="375"/>
      <c r="HR584" s="373"/>
      <c r="HS584" s="374"/>
      <c r="HT584" s="375"/>
      <c r="HU584" s="375"/>
      <c r="HW584" s="373"/>
      <c r="HX584" s="374"/>
      <c r="HY584" s="375"/>
      <c r="HZ584" s="375"/>
      <c r="IB584" s="373"/>
      <c r="IC584" s="374"/>
      <c r="ID584" s="375"/>
      <c r="IE584" s="375"/>
      <c r="IG584" s="373"/>
      <c r="IH584" s="374"/>
      <c r="II584" s="375"/>
      <c r="IJ584" s="375"/>
      <c r="IL584" s="373"/>
      <c r="IM584" s="374"/>
      <c r="IN584" s="375"/>
      <c r="IO584" s="375"/>
      <c r="IQ584" s="373"/>
      <c r="IR584" s="374"/>
      <c r="IS584" s="375"/>
      <c r="IT584" s="375"/>
      <c r="IV584" s="373"/>
    </row>
    <row r="585" spans="1:256" s="376" customFormat="1" x14ac:dyDescent="0.2">
      <c r="A585" s="373"/>
      <c r="B585" s="374"/>
      <c r="C585" s="375"/>
      <c r="D585" s="375"/>
      <c r="F585" s="373"/>
      <c r="G585" s="374"/>
      <c r="H585" s="375"/>
      <c r="I585" s="375"/>
      <c r="K585" s="373"/>
      <c r="L585" s="374"/>
      <c r="M585" s="375"/>
      <c r="N585" s="375"/>
      <c r="P585" s="373"/>
      <c r="Q585" s="374"/>
      <c r="R585" s="375"/>
      <c r="S585" s="375"/>
      <c r="U585" s="373"/>
      <c r="V585" s="374"/>
      <c r="W585" s="375"/>
      <c r="X585" s="375"/>
      <c r="Z585" s="373"/>
      <c r="AA585" s="374"/>
      <c r="AB585" s="375"/>
      <c r="AC585" s="375"/>
      <c r="AE585" s="373"/>
      <c r="AF585" s="374"/>
      <c r="AG585" s="375"/>
      <c r="AH585" s="375"/>
      <c r="AJ585" s="373"/>
      <c r="AK585" s="374"/>
      <c r="AL585" s="375"/>
      <c r="AM585" s="375"/>
      <c r="AO585" s="373"/>
      <c r="AP585" s="374"/>
      <c r="AQ585" s="375"/>
      <c r="AR585" s="375"/>
      <c r="AT585" s="373"/>
      <c r="AU585" s="374"/>
      <c r="AV585" s="375"/>
      <c r="AW585" s="375"/>
      <c r="AY585" s="373"/>
      <c r="AZ585" s="374"/>
      <c r="BA585" s="375"/>
      <c r="BB585" s="375"/>
      <c r="BD585" s="373"/>
      <c r="BE585" s="374"/>
      <c r="BF585" s="375"/>
      <c r="BG585" s="375"/>
      <c r="BI585" s="373"/>
      <c r="BJ585" s="374"/>
      <c r="BK585" s="375"/>
      <c r="BL585" s="375"/>
      <c r="BN585" s="373"/>
      <c r="BO585" s="374"/>
      <c r="BP585" s="375"/>
      <c r="BQ585" s="375"/>
      <c r="BS585" s="373"/>
      <c r="BT585" s="374"/>
      <c r="BU585" s="375"/>
      <c r="BV585" s="375"/>
      <c r="BX585" s="373"/>
      <c r="BY585" s="374"/>
      <c r="BZ585" s="375"/>
      <c r="CA585" s="375"/>
      <c r="CC585" s="373"/>
      <c r="CD585" s="374"/>
      <c r="CE585" s="375"/>
      <c r="CF585" s="375"/>
      <c r="CH585" s="373"/>
      <c r="CI585" s="374"/>
      <c r="CJ585" s="375"/>
      <c r="CK585" s="375"/>
      <c r="CM585" s="373"/>
      <c r="CN585" s="374"/>
      <c r="CO585" s="375"/>
      <c r="CP585" s="375"/>
      <c r="CR585" s="373"/>
      <c r="CS585" s="374"/>
      <c r="CT585" s="375"/>
      <c r="CU585" s="375"/>
      <c r="CW585" s="373"/>
      <c r="CX585" s="374"/>
      <c r="CY585" s="375"/>
      <c r="CZ585" s="375"/>
      <c r="DB585" s="373"/>
      <c r="DC585" s="374"/>
      <c r="DD585" s="375"/>
      <c r="DE585" s="375"/>
      <c r="DG585" s="373"/>
      <c r="DH585" s="374"/>
      <c r="DI585" s="375"/>
      <c r="DJ585" s="375"/>
      <c r="DL585" s="373"/>
      <c r="DM585" s="374"/>
      <c r="DN585" s="375"/>
      <c r="DO585" s="375"/>
      <c r="DQ585" s="373"/>
      <c r="DR585" s="374"/>
      <c r="DS585" s="375"/>
      <c r="DT585" s="375"/>
      <c r="DV585" s="373"/>
      <c r="DW585" s="374"/>
      <c r="DX585" s="375"/>
      <c r="DY585" s="375"/>
      <c r="EA585" s="373"/>
      <c r="EB585" s="374"/>
      <c r="EC585" s="375"/>
      <c r="ED585" s="375"/>
      <c r="EF585" s="373"/>
      <c r="EG585" s="374"/>
      <c r="EH585" s="375"/>
      <c r="EI585" s="375"/>
      <c r="EK585" s="373"/>
      <c r="EL585" s="374"/>
      <c r="EM585" s="375"/>
      <c r="EN585" s="375"/>
      <c r="EP585" s="373"/>
      <c r="EQ585" s="374"/>
      <c r="ER585" s="375"/>
      <c r="ES585" s="375"/>
      <c r="EU585" s="373"/>
      <c r="EV585" s="374"/>
      <c r="EW585" s="375"/>
      <c r="EX585" s="375"/>
      <c r="EZ585" s="373"/>
      <c r="FA585" s="374"/>
      <c r="FB585" s="375"/>
      <c r="FC585" s="375"/>
      <c r="FE585" s="373"/>
      <c r="FF585" s="374"/>
      <c r="FG585" s="375"/>
      <c r="FH585" s="375"/>
      <c r="FJ585" s="373"/>
      <c r="FK585" s="374"/>
      <c r="FL585" s="375"/>
      <c r="FM585" s="375"/>
      <c r="FO585" s="373"/>
      <c r="FP585" s="374"/>
      <c r="FQ585" s="375"/>
      <c r="FR585" s="375"/>
      <c r="FT585" s="373"/>
      <c r="FU585" s="374"/>
      <c r="FV585" s="375"/>
      <c r="FW585" s="375"/>
      <c r="FY585" s="373"/>
      <c r="FZ585" s="374"/>
      <c r="GA585" s="375"/>
      <c r="GB585" s="375"/>
      <c r="GD585" s="373"/>
      <c r="GE585" s="374"/>
      <c r="GF585" s="375"/>
      <c r="GG585" s="375"/>
      <c r="GI585" s="373"/>
      <c r="GJ585" s="374"/>
      <c r="GK585" s="375"/>
      <c r="GL585" s="375"/>
      <c r="GN585" s="373"/>
      <c r="GO585" s="374"/>
      <c r="GP585" s="375"/>
      <c r="GQ585" s="375"/>
      <c r="GS585" s="373"/>
      <c r="GT585" s="374"/>
      <c r="GU585" s="375"/>
      <c r="GV585" s="375"/>
      <c r="GX585" s="373"/>
      <c r="GY585" s="374"/>
      <c r="GZ585" s="375"/>
      <c r="HA585" s="375"/>
      <c r="HC585" s="373"/>
      <c r="HD585" s="374"/>
      <c r="HE585" s="375"/>
      <c r="HF585" s="375"/>
      <c r="HH585" s="373"/>
      <c r="HI585" s="374"/>
      <c r="HJ585" s="375"/>
      <c r="HK585" s="375"/>
      <c r="HM585" s="373"/>
      <c r="HN585" s="374"/>
      <c r="HO585" s="375"/>
      <c r="HP585" s="375"/>
      <c r="HR585" s="373"/>
      <c r="HS585" s="374"/>
      <c r="HT585" s="375"/>
      <c r="HU585" s="375"/>
      <c r="HW585" s="373"/>
      <c r="HX585" s="374"/>
      <c r="HY585" s="375"/>
      <c r="HZ585" s="375"/>
      <c r="IB585" s="373"/>
      <c r="IC585" s="374"/>
      <c r="ID585" s="375"/>
      <c r="IE585" s="375"/>
      <c r="IG585" s="373"/>
      <c r="IH585" s="374"/>
      <c r="II585" s="375"/>
      <c r="IJ585" s="375"/>
      <c r="IL585" s="373"/>
      <c r="IM585" s="374"/>
      <c r="IN585" s="375"/>
      <c r="IO585" s="375"/>
      <c r="IQ585" s="373"/>
      <c r="IR585" s="374"/>
      <c r="IS585" s="375"/>
      <c r="IT585" s="375"/>
      <c r="IV585" s="373"/>
    </row>
    <row r="586" spans="1:256" s="376" customFormat="1" x14ac:dyDescent="0.2">
      <c r="A586" s="373"/>
      <c r="B586" s="374"/>
      <c r="C586" s="375"/>
      <c r="D586" s="375"/>
      <c r="F586" s="373"/>
      <c r="G586" s="374"/>
      <c r="H586" s="375"/>
      <c r="I586" s="375"/>
      <c r="K586" s="373"/>
      <c r="L586" s="374"/>
      <c r="M586" s="375"/>
      <c r="N586" s="375"/>
      <c r="P586" s="373"/>
      <c r="Q586" s="374"/>
      <c r="R586" s="375"/>
      <c r="S586" s="375"/>
      <c r="U586" s="373"/>
      <c r="V586" s="374"/>
      <c r="W586" s="375"/>
      <c r="X586" s="375"/>
      <c r="Z586" s="373"/>
      <c r="AA586" s="374"/>
      <c r="AB586" s="375"/>
      <c r="AC586" s="375"/>
      <c r="AE586" s="373"/>
      <c r="AF586" s="374"/>
      <c r="AG586" s="375"/>
      <c r="AH586" s="375"/>
      <c r="AJ586" s="373"/>
      <c r="AK586" s="374"/>
      <c r="AL586" s="375"/>
      <c r="AM586" s="375"/>
      <c r="AO586" s="373"/>
      <c r="AP586" s="374"/>
      <c r="AQ586" s="375"/>
      <c r="AR586" s="375"/>
      <c r="AT586" s="373"/>
      <c r="AU586" s="374"/>
      <c r="AV586" s="375"/>
      <c r="AW586" s="375"/>
      <c r="AY586" s="373"/>
      <c r="AZ586" s="374"/>
      <c r="BA586" s="375"/>
      <c r="BB586" s="375"/>
      <c r="BD586" s="373"/>
      <c r="BE586" s="374"/>
      <c r="BF586" s="375"/>
      <c r="BG586" s="375"/>
      <c r="BI586" s="373"/>
      <c r="BJ586" s="374"/>
      <c r="BK586" s="375"/>
      <c r="BL586" s="375"/>
      <c r="BN586" s="373"/>
      <c r="BO586" s="374"/>
      <c r="BP586" s="375"/>
      <c r="BQ586" s="375"/>
      <c r="BS586" s="373"/>
      <c r="BT586" s="374"/>
      <c r="BU586" s="375"/>
      <c r="BV586" s="375"/>
      <c r="BX586" s="373"/>
      <c r="BY586" s="374"/>
      <c r="BZ586" s="375"/>
      <c r="CA586" s="375"/>
      <c r="CC586" s="373"/>
      <c r="CD586" s="374"/>
      <c r="CE586" s="375"/>
      <c r="CF586" s="375"/>
      <c r="CH586" s="373"/>
      <c r="CI586" s="374"/>
      <c r="CJ586" s="375"/>
      <c r="CK586" s="375"/>
      <c r="CM586" s="373"/>
      <c r="CN586" s="374"/>
      <c r="CO586" s="375"/>
      <c r="CP586" s="375"/>
      <c r="CR586" s="373"/>
      <c r="CS586" s="374"/>
      <c r="CT586" s="375"/>
      <c r="CU586" s="375"/>
      <c r="CW586" s="373"/>
      <c r="CX586" s="374"/>
      <c r="CY586" s="375"/>
      <c r="CZ586" s="375"/>
      <c r="DB586" s="373"/>
      <c r="DC586" s="374"/>
      <c r="DD586" s="375"/>
      <c r="DE586" s="375"/>
      <c r="DG586" s="373"/>
      <c r="DH586" s="374"/>
      <c r="DI586" s="375"/>
      <c r="DJ586" s="375"/>
      <c r="DL586" s="373"/>
      <c r="DM586" s="374"/>
      <c r="DN586" s="375"/>
      <c r="DO586" s="375"/>
      <c r="DQ586" s="373"/>
      <c r="DR586" s="374"/>
      <c r="DS586" s="375"/>
      <c r="DT586" s="375"/>
      <c r="DV586" s="373"/>
      <c r="DW586" s="374"/>
      <c r="DX586" s="375"/>
      <c r="DY586" s="375"/>
      <c r="EA586" s="373"/>
      <c r="EB586" s="374"/>
      <c r="EC586" s="375"/>
      <c r="ED586" s="375"/>
      <c r="EF586" s="373"/>
      <c r="EG586" s="374"/>
      <c r="EH586" s="375"/>
      <c r="EI586" s="375"/>
      <c r="EK586" s="373"/>
      <c r="EL586" s="374"/>
      <c r="EM586" s="375"/>
      <c r="EN586" s="375"/>
      <c r="EP586" s="373"/>
      <c r="EQ586" s="374"/>
      <c r="ER586" s="375"/>
      <c r="ES586" s="375"/>
      <c r="EU586" s="373"/>
      <c r="EV586" s="374"/>
      <c r="EW586" s="375"/>
      <c r="EX586" s="375"/>
      <c r="EZ586" s="373"/>
      <c r="FA586" s="374"/>
      <c r="FB586" s="375"/>
      <c r="FC586" s="375"/>
      <c r="FE586" s="373"/>
      <c r="FF586" s="374"/>
      <c r="FG586" s="375"/>
      <c r="FH586" s="375"/>
      <c r="FJ586" s="373"/>
      <c r="FK586" s="374"/>
      <c r="FL586" s="375"/>
      <c r="FM586" s="375"/>
      <c r="FO586" s="373"/>
      <c r="FP586" s="374"/>
      <c r="FQ586" s="375"/>
      <c r="FR586" s="375"/>
      <c r="FT586" s="373"/>
      <c r="FU586" s="374"/>
      <c r="FV586" s="375"/>
      <c r="FW586" s="375"/>
      <c r="FY586" s="373"/>
      <c r="FZ586" s="374"/>
      <c r="GA586" s="375"/>
      <c r="GB586" s="375"/>
      <c r="GD586" s="373"/>
      <c r="GE586" s="374"/>
      <c r="GF586" s="375"/>
      <c r="GG586" s="375"/>
      <c r="GI586" s="373"/>
      <c r="GJ586" s="374"/>
      <c r="GK586" s="375"/>
      <c r="GL586" s="375"/>
      <c r="GN586" s="373"/>
      <c r="GO586" s="374"/>
      <c r="GP586" s="375"/>
      <c r="GQ586" s="375"/>
      <c r="GS586" s="373"/>
      <c r="GT586" s="374"/>
      <c r="GU586" s="375"/>
      <c r="GV586" s="375"/>
      <c r="GX586" s="373"/>
      <c r="GY586" s="374"/>
      <c r="GZ586" s="375"/>
      <c r="HA586" s="375"/>
      <c r="HC586" s="373"/>
      <c r="HD586" s="374"/>
      <c r="HE586" s="375"/>
      <c r="HF586" s="375"/>
      <c r="HH586" s="373"/>
      <c r="HI586" s="374"/>
      <c r="HJ586" s="375"/>
      <c r="HK586" s="375"/>
      <c r="HM586" s="373"/>
      <c r="HN586" s="374"/>
      <c r="HO586" s="375"/>
      <c r="HP586" s="375"/>
      <c r="HR586" s="373"/>
      <c r="HS586" s="374"/>
      <c r="HT586" s="375"/>
      <c r="HU586" s="375"/>
      <c r="HW586" s="373"/>
      <c r="HX586" s="374"/>
      <c r="HY586" s="375"/>
      <c r="HZ586" s="375"/>
      <c r="IB586" s="373"/>
      <c r="IC586" s="374"/>
      <c r="ID586" s="375"/>
      <c r="IE586" s="375"/>
      <c r="IG586" s="373"/>
      <c r="IH586" s="374"/>
      <c r="II586" s="375"/>
      <c r="IJ586" s="375"/>
      <c r="IL586" s="373"/>
      <c r="IM586" s="374"/>
      <c r="IN586" s="375"/>
      <c r="IO586" s="375"/>
      <c r="IQ586" s="373"/>
      <c r="IR586" s="374"/>
      <c r="IS586" s="375"/>
      <c r="IT586" s="375"/>
      <c r="IV586" s="373"/>
    </row>
    <row r="587" spans="1:256" s="376" customFormat="1" x14ac:dyDescent="0.2">
      <c r="A587" s="373"/>
      <c r="B587" s="374"/>
      <c r="C587" s="375"/>
      <c r="D587" s="375"/>
      <c r="F587" s="373"/>
      <c r="G587" s="374"/>
      <c r="H587" s="375"/>
      <c r="I587" s="375"/>
      <c r="K587" s="373"/>
      <c r="L587" s="374"/>
      <c r="M587" s="375"/>
      <c r="N587" s="375"/>
      <c r="P587" s="373"/>
      <c r="Q587" s="374"/>
      <c r="R587" s="375"/>
      <c r="S587" s="375"/>
      <c r="U587" s="373"/>
      <c r="V587" s="374"/>
      <c r="W587" s="375"/>
      <c r="X587" s="375"/>
      <c r="Z587" s="373"/>
      <c r="AA587" s="374"/>
      <c r="AB587" s="375"/>
      <c r="AC587" s="375"/>
      <c r="AE587" s="373"/>
      <c r="AF587" s="374"/>
      <c r="AG587" s="375"/>
      <c r="AH587" s="375"/>
      <c r="AJ587" s="373"/>
      <c r="AK587" s="374"/>
      <c r="AL587" s="375"/>
      <c r="AM587" s="375"/>
      <c r="AO587" s="373"/>
      <c r="AP587" s="374"/>
      <c r="AQ587" s="375"/>
      <c r="AR587" s="375"/>
      <c r="AT587" s="373"/>
      <c r="AU587" s="374"/>
      <c r="AV587" s="375"/>
      <c r="AW587" s="375"/>
      <c r="AY587" s="373"/>
      <c r="AZ587" s="374"/>
      <c r="BA587" s="375"/>
      <c r="BB587" s="375"/>
      <c r="BD587" s="373"/>
      <c r="BE587" s="374"/>
      <c r="BF587" s="375"/>
      <c r="BG587" s="375"/>
      <c r="BI587" s="373"/>
      <c r="BJ587" s="374"/>
      <c r="BK587" s="375"/>
      <c r="BL587" s="375"/>
      <c r="BN587" s="373"/>
      <c r="BO587" s="374"/>
      <c r="BP587" s="375"/>
      <c r="BQ587" s="375"/>
      <c r="BS587" s="373"/>
      <c r="BT587" s="374"/>
      <c r="BU587" s="375"/>
      <c r="BV587" s="375"/>
      <c r="BX587" s="373"/>
      <c r="BY587" s="374"/>
      <c r="BZ587" s="375"/>
      <c r="CA587" s="375"/>
      <c r="CC587" s="373"/>
      <c r="CD587" s="374"/>
      <c r="CE587" s="375"/>
      <c r="CF587" s="375"/>
      <c r="CH587" s="373"/>
      <c r="CI587" s="374"/>
      <c r="CJ587" s="375"/>
      <c r="CK587" s="375"/>
      <c r="CM587" s="373"/>
      <c r="CN587" s="374"/>
      <c r="CO587" s="375"/>
      <c r="CP587" s="375"/>
      <c r="CR587" s="373"/>
      <c r="CS587" s="374"/>
      <c r="CT587" s="375"/>
      <c r="CU587" s="375"/>
      <c r="CW587" s="373"/>
      <c r="CX587" s="374"/>
      <c r="CY587" s="375"/>
      <c r="CZ587" s="375"/>
      <c r="DB587" s="373"/>
      <c r="DC587" s="374"/>
      <c r="DD587" s="375"/>
      <c r="DE587" s="375"/>
      <c r="DG587" s="373"/>
      <c r="DH587" s="374"/>
      <c r="DI587" s="375"/>
      <c r="DJ587" s="375"/>
      <c r="DL587" s="373"/>
      <c r="DM587" s="374"/>
      <c r="DN587" s="375"/>
      <c r="DO587" s="375"/>
      <c r="DQ587" s="373"/>
      <c r="DR587" s="374"/>
      <c r="DS587" s="375"/>
      <c r="DT587" s="375"/>
      <c r="DV587" s="373"/>
      <c r="DW587" s="374"/>
      <c r="DX587" s="375"/>
      <c r="DY587" s="375"/>
      <c r="EA587" s="373"/>
      <c r="EB587" s="374"/>
      <c r="EC587" s="375"/>
      <c r="ED587" s="375"/>
      <c r="EF587" s="373"/>
      <c r="EG587" s="374"/>
      <c r="EH587" s="375"/>
      <c r="EI587" s="375"/>
      <c r="EK587" s="373"/>
      <c r="EL587" s="374"/>
      <c r="EM587" s="375"/>
      <c r="EN587" s="375"/>
      <c r="EP587" s="373"/>
      <c r="EQ587" s="374"/>
      <c r="ER587" s="375"/>
      <c r="ES587" s="375"/>
      <c r="EU587" s="373"/>
      <c r="EV587" s="374"/>
      <c r="EW587" s="375"/>
      <c r="EX587" s="375"/>
      <c r="EZ587" s="373"/>
      <c r="FA587" s="374"/>
      <c r="FB587" s="375"/>
      <c r="FC587" s="375"/>
      <c r="FE587" s="373"/>
      <c r="FF587" s="374"/>
      <c r="FG587" s="375"/>
      <c r="FH587" s="375"/>
      <c r="FJ587" s="373"/>
      <c r="FK587" s="374"/>
      <c r="FL587" s="375"/>
      <c r="FM587" s="375"/>
      <c r="FO587" s="373"/>
      <c r="FP587" s="374"/>
      <c r="FQ587" s="375"/>
      <c r="FR587" s="375"/>
      <c r="FT587" s="373"/>
      <c r="FU587" s="374"/>
      <c r="FV587" s="375"/>
      <c r="FW587" s="375"/>
      <c r="FY587" s="373"/>
      <c r="FZ587" s="374"/>
      <c r="GA587" s="375"/>
      <c r="GB587" s="375"/>
      <c r="GD587" s="373"/>
      <c r="GE587" s="374"/>
      <c r="GF587" s="375"/>
      <c r="GG587" s="375"/>
      <c r="GI587" s="373"/>
      <c r="GJ587" s="374"/>
      <c r="GK587" s="375"/>
      <c r="GL587" s="375"/>
      <c r="GN587" s="373"/>
      <c r="GO587" s="374"/>
      <c r="GP587" s="375"/>
      <c r="GQ587" s="375"/>
      <c r="GS587" s="373"/>
      <c r="GT587" s="374"/>
      <c r="GU587" s="375"/>
      <c r="GV587" s="375"/>
      <c r="GX587" s="373"/>
      <c r="GY587" s="374"/>
      <c r="GZ587" s="375"/>
      <c r="HA587" s="375"/>
      <c r="HC587" s="373"/>
      <c r="HD587" s="374"/>
      <c r="HE587" s="375"/>
      <c r="HF587" s="375"/>
      <c r="HH587" s="373"/>
      <c r="HI587" s="374"/>
      <c r="HJ587" s="375"/>
      <c r="HK587" s="375"/>
      <c r="HM587" s="373"/>
      <c r="HN587" s="374"/>
      <c r="HO587" s="375"/>
      <c r="HP587" s="375"/>
      <c r="HR587" s="373"/>
      <c r="HS587" s="374"/>
      <c r="HT587" s="375"/>
      <c r="HU587" s="375"/>
      <c r="HW587" s="373"/>
      <c r="HX587" s="374"/>
      <c r="HY587" s="375"/>
      <c r="HZ587" s="375"/>
      <c r="IB587" s="373"/>
      <c r="IC587" s="374"/>
      <c r="ID587" s="375"/>
      <c r="IE587" s="375"/>
      <c r="IG587" s="373"/>
      <c r="IH587" s="374"/>
      <c r="II587" s="375"/>
      <c r="IJ587" s="375"/>
      <c r="IL587" s="373"/>
      <c r="IM587" s="374"/>
      <c r="IN587" s="375"/>
      <c r="IO587" s="375"/>
      <c r="IQ587" s="373"/>
      <c r="IR587" s="374"/>
      <c r="IS587" s="375"/>
      <c r="IT587" s="375"/>
      <c r="IV587" s="373"/>
    </row>
    <row r="588" spans="1:256" s="376" customFormat="1" x14ac:dyDescent="0.2">
      <c r="A588" s="373"/>
      <c r="B588" s="374"/>
      <c r="C588" s="375"/>
      <c r="D588" s="375"/>
      <c r="F588" s="373"/>
      <c r="G588" s="374"/>
      <c r="H588" s="375"/>
      <c r="I588" s="375"/>
      <c r="K588" s="373"/>
      <c r="L588" s="374"/>
      <c r="M588" s="375"/>
      <c r="N588" s="375"/>
      <c r="P588" s="373"/>
      <c r="Q588" s="374"/>
      <c r="R588" s="375"/>
      <c r="S588" s="375"/>
      <c r="U588" s="373"/>
      <c r="V588" s="374"/>
      <c r="W588" s="375"/>
      <c r="X588" s="375"/>
      <c r="Z588" s="373"/>
      <c r="AA588" s="374"/>
      <c r="AB588" s="375"/>
      <c r="AC588" s="375"/>
      <c r="AE588" s="373"/>
      <c r="AF588" s="374"/>
      <c r="AG588" s="375"/>
      <c r="AH588" s="375"/>
      <c r="AJ588" s="373"/>
      <c r="AK588" s="374"/>
      <c r="AL588" s="375"/>
      <c r="AM588" s="375"/>
      <c r="AO588" s="373"/>
      <c r="AP588" s="374"/>
      <c r="AQ588" s="375"/>
      <c r="AR588" s="375"/>
      <c r="AT588" s="373"/>
      <c r="AU588" s="374"/>
      <c r="AV588" s="375"/>
      <c r="AW588" s="375"/>
      <c r="AY588" s="373"/>
      <c r="AZ588" s="374"/>
      <c r="BA588" s="375"/>
      <c r="BB588" s="375"/>
      <c r="BD588" s="373"/>
      <c r="BE588" s="374"/>
      <c r="BF588" s="375"/>
      <c r="BG588" s="375"/>
      <c r="BI588" s="373"/>
      <c r="BJ588" s="374"/>
      <c r="BK588" s="375"/>
      <c r="BL588" s="375"/>
      <c r="BN588" s="373"/>
      <c r="BO588" s="374"/>
      <c r="BP588" s="375"/>
      <c r="BQ588" s="375"/>
      <c r="BS588" s="373"/>
      <c r="BT588" s="374"/>
      <c r="BU588" s="375"/>
      <c r="BV588" s="375"/>
      <c r="BX588" s="373"/>
      <c r="BY588" s="374"/>
      <c r="BZ588" s="375"/>
      <c r="CA588" s="375"/>
      <c r="CC588" s="373"/>
      <c r="CD588" s="374"/>
      <c r="CE588" s="375"/>
      <c r="CF588" s="375"/>
      <c r="CH588" s="373"/>
      <c r="CI588" s="374"/>
      <c r="CJ588" s="375"/>
      <c r="CK588" s="375"/>
      <c r="CM588" s="373"/>
      <c r="CN588" s="374"/>
      <c r="CO588" s="375"/>
      <c r="CP588" s="375"/>
      <c r="CR588" s="373"/>
      <c r="CS588" s="374"/>
      <c r="CT588" s="375"/>
      <c r="CU588" s="375"/>
      <c r="CW588" s="373"/>
      <c r="CX588" s="374"/>
      <c r="CY588" s="375"/>
      <c r="CZ588" s="375"/>
      <c r="DB588" s="373"/>
      <c r="DC588" s="374"/>
      <c r="DD588" s="375"/>
      <c r="DE588" s="375"/>
      <c r="DG588" s="373"/>
      <c r="DH588" s="374"/>
      <c r="DI588" s="375"/>
      <c r="DJ588" s="375"/>
      <c r="DL588" s="373"/>
      <c r="DM588" s="374"/>
      <c r="DN588" s="375"/>
      <c r="DO588" s="375"/>
      <c r="DQ588" s="373"/>
      <c r="DR588" s="374"/>
      <c r="DS588" s="375"/>
      <c r="DT588" s="375"/>
      <c r="DV588" s="373"/>
      <c r="DW588" s="374"/>
      <c r="DX588" s="375"/>
      <c r="DY588" s="375"/>
      <c r="EA588" s="373"/>
      <c r="EB588" s="374"/>
      <c r="EC588" s="375"/>
      <c r="ED588" s="375"/>
      <c r="EF588" s="373"/>
      <c r="EG588" s="374"/>
      <c r="EH588" s="375"/>
      <c r="EI588" s="375"/>
      <c r="EK588" s="373"/>
      <c r="EL588" s="374"/>
      <c r="EM588" s="375"/>
      <c r="EN588" s="375"/>
      <c r="EP588" s="373"/>
      <c r="EQ588" s="374"/>
      <c r="ER588" s="375"/>
      <c r="ES588" s="375"/>
      <c r="EU588" s="373"/>
      <c r="EV588" s="374"/>
      <c r="EW588" s="375"/>
      <c r="EX588" s="375"/>
      <c r="EZ588" s="373"/>
      <c r="FA588" s="374"/>
      <c r="FB588" s="375"/>
      <c r="FC588" s="375"/>
      <c r="FE588" s="373"/>
      <c r="FF588" s="374"/>
      <c r="FG588" s="375"/>
      <c r="FH588" s="375"/>
      <c r="FJ588" s="373"/>
      <c r="FK588" s="374"/>
      <c r="FL588" s="375"/>
      <c r="FM588" s="375"/>
      <c r="FO588" s="373"/>
      <c r="FP588" s="374"/>
      <c r="FQ588" s="375"/>
      <c r="FR588" s="375"/>
      <c r="FT588" s="373"/>
      <c r="FU588" s="374"/>
      <c r="FV588" s="375"/>
      <c r="FW588" s="375"/>
      <c r="FY588" s="373"/>
      <c r="FZ588" s="374"/>
      <c r="GA588" s="375"/>
      <c r="GB588" s="375"/>
      <c r="GD588" s="373"/>
      <c r="GE588" s="374"/>
      <c r="GF588" s="375"/>
      <c r="GG588" s="375"/>
      <c r="GI588" s="373"/>
      <c r="GJ588" s="374"/>
      <c r="GK588" s="375"/>
      <c r="GL588" s="375"/>
      <c r="GN588" s="373"/>
      <c r="GO588" s="374"/>
      <c r="GP588" s="375"/>
      <c r="GQ588" s="375"/>
      <c r="GS588" s="373"/>
      <c r="GT588" s="374"/>
      <c r="GU588" s="375"/>
      <c r="GV588" s="375"/>
      <c r="GX588" s="373"/>
      <c r="GY588" s="374"/>
      <c r="GZ588" s="375"/>
      <c r="HA588" s="375"/>
      <c r="HC588" s="373"/>
      <c r="HD588" s="374"/>
      <c r="HE588" s="375"/>
      <c r="HF588" s="375"/>
      <c r="HH588" s="373"/>
      <c r="HI588" s="374"/>
      <c r="HJ588" s="375"/>
      <c r="HK588" s="375"/>
      <c r="HM588" s="373"/>
      <c r="HN588" s="374"/>
      <c r="HO588" s="375"/>
      <c r="HP588" s="375"/>
      <c r="HR588" s="373"/>
      <c r="HS588" s="374"/>
      <c r="HT588" s="375"/>
      <c r="HU588" s="375"/>
      <c r="HW588" s="373"/>
      <c r="HX588" s="374"/>
      <c r="HY588" s="375"/>
      <c r="HZ588" s="375"/>
      <c r="IB588" s="373"/>
      <c r="IC588" s="374"/>
      <c r="ID588" s="375"/>
      <c r="IE588" s="375"/>
      <c r="IG588" s="373"/>
      <c r="IH588" s="374"/>
      <c r="II588" s="375"/>
      <c r="IJ588" s="375"/>
      <c r="IL588" s="373"/>
      <c r="IM588" s="374"/>
      <c r="IN588" s="375"/>
      <c r="IO588" s="375"/>
      <c r="IQ588" s="373"/>
      <c r="IR588" s="374"/>
      <c r="IS588" s="375"/>
      <c r="IT588" s="375"/>
      <c r="IV588" s="373"/>
    </row>
    <row r="589" spans="1:256" s="376" customFormat="1" x14ac:dyDescent="0.2">
      <c r="A589" s="373"/>
      <c r="B589" s="374"/>
      <c r="C589" s="375"/>
      <c r="D589" s="375"/>
      <c r="F589" s="373"/>
      <c r="G589" s="374"/>
      <c r="H589" s="375"/>
      <c r="I589" s="375"/>
      <c r="K589" s="373"/>
      <c r="L589" s="374"/>
      <c r="M589" s="375"/>
      <c r="N589" s="375"/>
      <c r="P589" s="373"/>
      <c r="Q589" s="374"/>
      <c r="R589" s="375"/>
      <c r="S589" s="375"/>
      <c r="U589" s="373"/>
      <c r="V589" s="374"/>
      <c r="W589" s="375"/>
      <c r="X589" s="375"/>
      <c r="Z589" s="373"/>
      <c r="AA589" s="374"/>
      <c r="AB589" s="375"/>
      <c r="AC589" s="375"/>
      <c r="AE589" s="373"/>
      <c r="AF589" s="374"/>
      <c r="AG589" s="375"/>
      <c r="AH589" s="375"/>
      <c r="AJ589" s="373"/>
      <c r="AK589" s="374"/>
      <c r="AL589" s="375"/>
      <c r="AM589" s="375"/>
      <c r="AO589" s="373"/>
      <c r="AP589" s="374"/>
      <c r="AQ589" s="375"/>
      <c r="AR589" s="375"/>
      <c r="AT589" s="373"/>
      <c r="AU589" s="374"/>
      <c r="AV589" s="375"/>
      <c r="AW589" s="375"/>
      <c r="AY589" s="373"/>
      <c r="AZ589" s="374"/>
      <c r="BA589" s="375"/>
      <c r="BB589" s="375"/>
      <c r="BD589" s="373"/>
      <c r="BE589" s="374"/>
      <c r="BF589" s="375"/>
      <c r="BG589" s="375"/>
      <c r="BI589" s="373"/>
      <c r="BJ589" s="374"/>
      <c r="BK589" s="375"/>
      <c r="BL589" s="375"/>
      <c r="BN589" s="373"/>
      <c r="BO589" s="374"/>
      <c r="BP589" s="375"/>
      <c r="BQ589" s="375"/>
      <c r="BS589" s="373"/>
      <c r="BT589" s="374"/>
      <c r="BU589" s="375"/>
      <c r="BV589" s="375"/>
      <c r="BX589" s="373"/>
      <c r="BY589" s="374"/>
      <c r="BZ589" s="375"/>
      <c r="CA589" s="375"/>
      <c r="CC589" s="373"/>
      <c r="CD589" s="374"/>
      <c r="CE589" s="375"/>
      <c r="CF589" s="375"/>
      <c r="CH589" s="373"/>
      <c r="CI589" s="374"/>
      <c r="CJ589" s="375"/>
      <c r="CK589" s="375"/>
      <c r="CM589" s="373"/>
      <c r="CN589" s="374"/>
      <c r="CO589" s="375"/>
      <c r="CP589" s="375"/>
      <c r="CR589" s="373"/>
      <c r="CS589" s="374"/>
      <c r="CT589" s="375"/>
      <c r="CU589" s="375"/>
      <c r="CW589" s="373"/>
      <c r="CX589" s="374"/>
      <c r="CY589" s="375"/>
      <c r="CZ589" s="375"/>
      <c r="DB589" s="373"/>
      <c r="DC589" s="374"/>
      <c r="DD589" s="375"/>
      <c r="DE589" s="375"/>
      <c r="DG589" s="373"/>
      <c r="DH589" s="374"/>
      <c r="DI589" s="375"/>
      <c r="DJ589" s="375"/>
      <c r="DL589" s="373"/>
      <c r="DM589" s="374"/>
      <c r="DN589" s="375"/>
      <c r="DO589" s="375"/>
      <c r="DQ589" s="373"/>
      <c r="DR589" s="374"/>
      <c r="DS589" s="375"/>
      <c r="DT589" s="375"/>
      <c r="DV589" s="373"/>
      <c r="DW589" s="374"/>
      <c r="DX589" s="375"/>
      <c r="DY589" s="375"/>
      <c r="EA589" s="373"/>
      <c r="EB589" s="374"/>
      <c r="EC589" s="375"/>
      <c r="ED589" s="375"/>
      <c r="EF589" s="373"/>
      <c r="EG589" s="374"/>
      <c r="EH589" s="375"/>
      <c r="EI589" s="375"/>
      <c r="EK589" s="373"/>
      <c r="EL589" s="374"/>
      <c r="EM589" s="375"/>
      <c r="EN589" s="375"/>
      <c r="EP589" s="373"/>
      <c r="EQ589" s="374"/>
      <c r="ER589" s="375"/>
      <c r="ES589" s="375"/>
      <c r="EU589" s="373"/>
      <c r="EV589" s="374"/>
      <c r="EW589" s="375"/>
      <c r="EX589" s="375"/>
      <c r="EZ589" s="373"/>
      <c r="FA589" s="374"/>
      <c r="FB589" s="375"/>
      <c r="FC589" s="375"/>
      <c r="FE589" s="373"/>
      <c r="FF589" s="374"/>
      <c r="FG589" s="375"/>
      <c r="FH589" s="375"/>
      <c r="FJ589" s="373"/>
      <c r="FK589" s="374"/>
      <c r="FL589" s="375"/>
      <c r="FM589" s="375"/>
      <c r="FO589" s="373"/>
      <c r="FP589" s="374"/>
      <c r="FQ589" s="375"/>
      <c r="FR589" s="375"/>
      <c r="FT589" s="373"/>
      <c r="FU589" s="374"/>
      <c r="FV589" s="375"/>
      <c r="FW589" s="375"/>
      <c r="FY589" s="373"/>
      <c r="FZ589" s="374"/>
      <c r="GA589" s="375"/>
      <c r="GB589" s="375"/>
      <c r="GD589" s="373"/>
      <c r="GE589" s="374"/>
      <c r="GF589" s="375"/>
      <c r="GG589" s="375"/>
      <c r="GI589" s="373"/>
      <c r="GJ589" s="374"/>
      <c r="GK589" s="375"/>
      <c r="GL589" s="375"/>
      <c r="GN589" s="373"/>
      <c r="GO589" s="374"/>
      <c r="GP589" s="375"/>
      <c r="GQ589" s="375"/>
      <c r="GS589" s="373"/>
      <c r="GT589" s="374"/>
      <c r="GU589" s="375"/>
      <c r="GV589" s="375"/>
      <c r="GX589" s="373"/>
      <c r="GY589" s="374"/>
      <c r="GZ589" s="375"/>
      <c r="HA589" s="375"/>
      <c r="HC589" s="373"/>
      <c r="HD589" s="374"/>
      <c r="HE589" s="375"/>
      <c r="HF589" s="375"/>
      <c r="HH589" s="373"/>
      <c r="HI589" s="374"/>
      <c r="HJ589" s="375"/>
      <c r="HK589" s="375"/>
      <c r="HM589" s="373"/>
      <c r="HN589" s="374"/>
      <c r="HO589" s="375"/>
      <c r="HP589" s="375"/>
      <c r="HR589" s="373"/>
      <c r="HS589" s="374"/>
      <c r="HT589" s="375"/>
      <c r="HU589" s="375"/>
      <c r="HW589" s="373"/>
      <c r="HX589" s="374"/>
      <c r="HY589" s="375"/>
      <c r="HZ589" s="375"/>
      <c r="IB589" s="373"/>
      <c r="IC589" s="374"/>
      <c r="ID589" s="375"/>
      <c r="IE589" s="375"/>
      <c r="IG589" s="373"/>
      <c r="IH589" s="374"/>
      <c r="II589" s="375"/>
      <c r="IJ589" s="375"/>
      <c r="IL589" s="373"/>
      <c r="IM589" s="374"/>
      <c r="IN589" s="375"/>
      <c r="IO589" s="375"/>
      <c r="IQ589" s="373"/>
      <c r="IR589" s="374"/>
      <c r="IS589" s="375"/>
      <c r="IT589" s="375"/>
      <c r="IV589" s="373"/>
    </row>
    <row r="590" spans="1:256" s="376" customFormat="1" x14ac:dyDescent="0.2">
      <c r="A590" s="373"/>
      <c r="B590" s="374"/>
      <c r="C590" s="375"/>
      <c r="D590" s="375"/>
      <c r="F590" s="373"/>
      <c r="G590" s="374"/>
      <c r="H590" s="375"/>
      <c r="I590" s="375"/>
      <c r="K590" s="373"/>
      <c r="L590" s="374"/>
      <c r="M590" s="375"/>
      <c r="N590" s="375"/>
      <c r="P590" s="373"/>
      <c r="Q590" s="374"/>
      <c r="R590" s="375"/>
      <c r="S590" s="375"/>
      <c r="U590" s="373"/>
      <c r="V590" s="374"/>
      <c r="W590" s="375"/>
      <c r="X590" s="375"/>
      <c r="Z590" s="373"/>
      <c r="AA590" s="374"/>
      <c r="AB590" s="375"/>
      <c r="AC590" s="375"/>
      <c r="AE590" s="373"/>
      <c r="AF590" s="374"/>
      <c r="AG590" s="375"/>
      <c r="AH590" s="375"/>
      <c r="AJ590" s="373"/>
      <c r="AK590" s="374"/>
      <c r="AL590" s="375"/>
      <c r="AM590" s="375"/>
      <c r="AO590" s="373"/>
      <c r="AP590" s="374"/>
      <c r="AQ590" s="375"/>
      <c r="AR590" s="375"/>
      <c r="AT590" s="373"/>
      <c r="AU590" s="374"/>
      <c r="AV590" s="375"/>
      <c r="AW590" s="375"/>
      <c r="AY590" s="373"/>
      <c r="AZ590" s="374"/>
      <c r="BA590" s="375"/>
      <c r="BB590" s="375"/>
      <c r="BD590" s="373"/>
      <c r="BE590" s="374"/>
      <c r="BF590" s="375"/>
      <c r="BG590" s="375"/>
      <c r="BI590" s="373"/>
      <c r="BJ590" s="374"/>
      <c r="BK590" s="375"/>
      <c r="BL590" s="375"/>
      <c r="BN590" s="373"/>
      <c r="BO590" s="374"/>
      <c r="BP590" s="375"/>
      <c r="BQ590" s="375"/>
      <c r="BS590" s="373"/>
      <c r="BT590" s="374"/>
      <c r="BU590" s="375"/>
      <c r="BV590" s="375"/>
      <c r="BX590" s="373"/>
      <c r="BY590" s="374"/>
      <c r="BZ590" s="375"/>
      <c r="CA590" s="375"/>
      <c r="CC590" s="373"/>
      <c r="CD590" s="374"/>
      <c r="CE590" s="375"/>
      <c r="CF590" s="375"/>
      <c r="CH590" s="373"/>
      <c r="CI590" s="374"/>
      <c r="CJ590" s="375"/>
      <c r="CK590" s="375"/>
      <c r="CM590" s="373"/>
      <c r="CN590" s="374"/>
      <c r="CO590" s="375"/>
      <c r="CP590" s="375"/>
      <c r="CR590" s="373"/>
      <c r="CS590" s="374"/>
      <c r="CT590" s="375"/>
      <c r="CU590" s="375"/>
      <c r="CW590" s="373"/>
      <c r="CX590" s="374"/>
      <c r="CY590" s="375"/>
      <c r="CZ590" s="375"/>
      <c r="DB590" s="373"/>
      <c r="DC590" s="374"/>
      <c r="DD590" s="375"/>
      <c r="DE590" s="375"/>
      <c r="DG590" s="373"/>
      <c r="DH590" s="374"/>
      <c r="DI590" s="375"/>
      <c r="DJ590" s="375"/>
      <c r="DL590" s="373"/>
      <c r="DM590" s="374"/>
      <c r="DN590" s="375"/>
      <c r="DO590" s="375"/>
      <c r="DQ590" s="373"/>
      <c r="DR590" s="374"/>
      <c r="DS590" s="375"/>
      <c r="DT590" s="375"/>
      <c r="DV590" s="373"/>
      <c r="DW590" s="374"/>
      <c r="DX590" s="375"/>
      <c r="DY590" s="375"/>
      <c r="EA590" s="373"/>
      <c r="EB590" s="374"/>
      <c r="EC590" s="375"/>
      <c r="ED590" s="375"/>
      <c r="EF590" s="373"/>
      <c r="EG590" s="374"/>
      <c r="EH590" s="375"/>
      <c r="EI590" s="375"/>
      <c r="EK590" s="373"/>
      <c r="EL590" s="374"/>
      <c r="EM590" s="375"/>
      <c r="EN590" s="375"/>
      <c r="EP590" s="373"/>
      <c r="EQ590" s="374"/>
      <c r="ER590" s="375"/>
      <c r="ES590" s="375"/>
      <c r="EU590" s="373"/>
      <c r="EV590" s="374"/>
      <c r="EW590" s="375"/>
      <c r="EX590" s="375"/>
      <c r="EZ590" s="373"/>
      <c r="FA590" s="374"/>
      <c r="FB590" s="375"/>
      <c r="FC590" s="375"/>
      <c r="FE590" s="373"/>
      <c r="FF590" s="374"/>
      <c r="FG590" s="375"/>
      <c r="FH590" s="375"/>
      <c r="FJ590" s="373"/>
      <c r="FK590" s="374"/>
      <c r="FL590" s="375"/>
      <c r="FM590" s="375"/>
      <c r="FO590" s="373"/>
      <c r="FP590" s="374"/>
      <c r="FQ590" s="375"/>
      <c r="FR590" s="375"/>
      <c r="FT590" s="373"/>
      <c r="FU590" s="374"/>
      <c r="FV590" s="375"/>
      <c r="FW590" s="375"/>
      <c r="FY590" s="373"/>
      <c r="FZ590" s="374"/>
      <c r="GA590" s="375"/>
      <c r="GB590" s="375"/>
      <c r="GD590" s="373"/>
      <c r="GE590" s="374"/>
      <c r="GF590" s="375"/>
      <c r="GG590" s="375"/>
      <c r="GI590" s="373"/>
      <c r="GJ590" s="374"/>
      <c r="GK590" s="375"/>
      <c r="GL590" s="375"/>
      <c r="GN590" s="373"/>
      <c r="GO590" s="374"/>
      <c r="GP590" s="375"/>
      <c r="GQ590" s="375"/>
      <c r="GS590" s="373"/>
      <c r="GT590" s="374"/>
      <c r="GU590" s="375"/>
      <c r="GV590" s="375"/>
      <c r="GX590" s="373"/>
      <c r="GY590" s="374"/>
      <c r="GZ590" s="375"/>
      <c r="HA590" s="375"/>
      <c r="HC590" s="373"/>
      <c r="HD590" s="374"/>
      <c r="HE590" s="375"/>
      <c r="HF590" s="375"/>
      <c r="HH590" s="373"/>
      <c r="HI590" s="374"/>
      <c r="HJ590" s="375"/>
      <c r="HK590" s="375"/>
      <c r="HM590" s="373"/>
      <c r="HN590" s="374"/>
      <c r="HO590" s="375"/>
      <c r="HP590" s="375"/>
      <c r="HR590" s="373"/>
      <c r="HS590" s="374"/>
      <c r="HT590" s="375"/>
      <c r="HU590" s="375"/>
      <c r="HW590" s="373"/>
      <c r="HX590" s="374"/>
      <c r="HY590" s="375"/>
      <c r="HZ590" s="375"/>
      <c r="IB590" s="373"/>
      <c r="IC590" s="374"/>
      <c r="ID590" s="375"/>
      <c r="IE590" s="375"/>
      <c r="IG590" s="373"/>
      <c r="IH590" s="374"/>
      <c r="II590" s="375"/>
      <c r="IJ590" s="375"/>
      <c r="IL590" s="373"/>
      <c r="IM590" s="374"/>
      <c r="IN590" s="375"/>
      <c r="IO590" s="375"/>
      <c r="IQ590" s="373"/>
      <c r="IR590" s="374"/>
      <c r="IS590" s="375"/>
      <c r="IT590" s="375"/>
      <c r="IV590" s="373"/>
    </row>
    <row r="591" spans="1:256" s="376" customFormat="1" x14ac:dyDescent="0.2">
      <c r="A591" s="373"/>
      <c r="B591" s="374"/>
      <c r="C591" s="375"/>
      <c r="D591" s="375"/>
      <c r="F591" s="373"/>
      <c r="G591" s="374"/>
      <c r="H591" s="375"/>
      <c r="I591" s="375"/>
      <c r="K591" s="373"/>
      <c r="L591" s="374"/>
      <c r="M591" s="375"/>
      <c r="N591" s="375"/>
      <c r="P591" s="373"/>
      <c r="Q591" s="374"/>
      <c r="R591" s="375"/>
      <c r="S591" s="375"/>
      <c r="U591" s="373"/>
      <c r="V591" s="374"/>
      <c r="W591" s="375"/>
      <c r="X591" s="375"/>
      <c r="Z591" s="373"/>
      <c r="AA591" s="374"/>
      <c r="AB591" s="375"/>
      <c r="AC591" s="375"/>
      <c r="AE591" s="373"/>
      <c r="AF591" s="374"/>
      <c r="AG591" s="375"/>
      <c r="AH591" s="375"/>
      <c r="AJ591" s="373"/>
      <c r="AK591" s="374"/>
      <c r="AL591" s="375"/>
      <c r="AM591" s="375"/>
      <c r="AO591" s="373"/>
      <c r="AP591" s="374"/>
      <c r="AQ591" s="375"/>
      <c r="AR591" s="375"/>
      <c r="AT591" s="373"/>
      <c r="AU591" s="374"/>
      <c r="AV591" s="375"/>
      <c r="AW591" s="375"/>
      <c r="AY591" s="373"/>
      <c r="AZ591" s="374"/>
      <c r="BA591" s="375"/>
      <c r="BB591" s="375"/>
      <c r="BD591" s="373"/>
      <c r="BE591" s="374"/>
      <c r="BF591" s="375"/>
      <c r="BG591" s="375"/>
      <c r="BI591" s="373"/>
      <c r="BJ591" s="374"/>
      <c r="BK591" s="375"/>
      <c r="BL591" s="375"/>
      <c r="BN591" s="373"/>
      <c r="BO591" s="374"/>
      <c r="BP591" s="375"/>
      <c r="BQ591" s="375"/>
      <c r="BS591" s="373"/>
      <c r="BT591" s="374"/>
      <c r="BU591" s="375"/>
      <c r="BV591" s="375"/>
      <c r="BX591" s="373"/>
      <c r="BY591" s="374"/>
      <c r="BZ591" s="375"/>
      <c r="CA591" s="375"/>
      <c r="CC591" s="373"/>
      <c r="CD591" s="374"/>
      <c r="CE591" s="375"/>
      <c r="CF591" s="375"/>
      <c r="CH591" s="373"/>
      <c r="CI591" s="374"/>
      <c r="CJ591" s="375"/>
      <c r="CK591" s="375"/>
      <c r="CM591" s="373"/>
      <c r="CN591" s="374"/>
      <c r="CO591" s="375"/>
      <c r="CP591" s="375"/>
      <c r="CR591" s="373"/>
      <c r="CS591" s="374"/>
      <c r="CT591" s="375"/>
      <c r="CU591" s="375"/>
      <c r="CW591" s="373"/>
      <c r="CX591" s="374"/>
      <c r="CY591" s="375"/>
      <c r="CZ591" s="375"/>
      <c r="DB591" s="373"/>
      <c r="DC591" s="374"/>
      <c r="DD591" s="375"/>
      <c r="DE591" s="375"/>
      <c r="DG591" s="373"/>
      <c r="DH591" s="374"/>
      <c r="DI591" s="375"/>
      <c r="DJ591" s="375"/>
      <c r="DL591" s="373"/>
      <c r="DM591" s="374"/>
      <c r="DN591" s="375"/>
      <c r="DO591" s="375"/>
      <c r="DQ591" s="373"/>
      <c r="DR591" s="374"/>
      <c r="DS591" s="375"/>
      <c r="DT591" s="375"/>
      <c r="DV591" s="373"/>
      <c r="DW591" s="374"/>
      <c r="DX591" s="375"/>
      <c r="DY591" s="375"/>
      <c r="EA591" s="373"/>
      <c r="EB591" s="374"/>
      <c r="EC591" s="375"/>
      <c r="ED591" s="375"/>
      <c r="EF591" s="373"/>
      <c r="EG591" s="374"/>
      <c r="EH591" s="375"/>
      <c r="EI591" s="375"/>
      <c r="EK591" s="373"/>
      <c r="EL591" s="374"/>
      <c r="EM591" s="375"/>
      <c r="EN591" s="375"/>
      <c r="EP591" s="373"/>
      <c r="EQ591" s="374"/>
      <c r="ER591" s="375"/>
      <c r="ES591" s="375"/>
      <c r="EU591" s="373"/>
      <c r="EV591" s="374"/>
      <c r="EW591" s="375"/>
      <c r="EX591" s="375"/>
      <c r="EZ591" s="373"/>
      <c r="FA591" s="374"/>
      <c r="FB591" s="375"/>
      <c r="FC591" s="375"/>
      <c r="FE591" s="373"/>
      <c r="FF591" s="374"/>
      <c r="FG591" s="375"/>
      <c r="FH591" s="375"/>
      <c r="FJ591" s="373"/>
      <c r="FK591" s="374"/>
      <c r="FL591" s="375"/>
      <c r="FM591" s="375"/>
      <c r="FO591" s="373"/>
      <c r="FP591" s="374"/>
      <c r="FQ591" s="375"/>
      <c r="FR591" s="375"/>
      <c r="FT591" s="373"/>
      <c r="FU591" s="374"/>
      <c r="FV591" s="375"/>
      <c r="FW591" s="375"/>
      <c r="FY591" s="373"/>
      <c r="FZ591" s="374"/>
      <c r="GA591" s="375"/>
      <c r="GB591" s="375"/>
      <c r="GD591" s="373"/>
      <c r="GE591" s="374"/>
      <c r="GF591" s="375"/>
      <c r="GG591" s="375"/>
      <c r="GI591" s="373"/>
      <c r="GJ591" s="374"/>
      <c r="GK591" s="375"/>
      <c r="GL591" s="375"/>
      <c r="GN591" s="373"/>
      <c r="GO591" s="374"/>
      <c r="GP591" s="375"/>
      <c r="GQ591" s="375"/>
      <c r="GS591" s="373"/>
      <c r="GT591" s="374"/>
      <c r="GU591" s="375"/>
      <c r="GV591" s="375"/>
      <c r="GX591" s="373"/>
      <c r="GY591" s="374"/>
      <c r="GZ591" s="375"/>
      <c r="HA591" s="375"/>
      <c r="HC591" s="373"/>
      <c r="HD591" s="374"/>
      <c r="HE591" s="375"/>
      <c r="HF591" s="375"/>
      <c r="HH591" s="373"/>
      <c r="HI591" s="374"/>
      <c r="HJ591" s="375"/>
      <c r="HK591" s="375"/>
      <c r="HM591" s="373"/>
      <c r="HN591" s="374"/>
      <c r="HO591" s="375"/>
      <c r="HP591" s="375"/>
      <c r="HR591" s="373"/>
      <c r="HS591" s="374"/>
      <c r="HT591" s="375"/>
      <c r="HU591" s="375"/>
      <c r="HW591" s="373"/>
      <c r="HX591" s="374"/>
      <c r="HY591" s="375"/>
      <c r="HZ591" s="375"/>
      <c r="IB591" s="373"/>
      <c r="IC591" s="374"/>
      <c r="ID591" s="375"/>
      <c r="IE591" s="375"/>
      <c r="IG591" s="373"/>
      <c r="IH591" s="374"/>
      <c r="II591" s="375"/>
      <c r="IJ591" s="375"/>
      <c r="IL591" s="373"/>
      <c r="IM591" s="374"/>
      <c r="IN591" s="375"/>
      <c r="IO591" s="375"/>
      <c r="IQ591" s="373"/>
      <c r="IR591" s="374"/>
      <c r="IS591" s="375"/>
      <c r="IT591" s="375"/>
      <c r="IV591" s="373"/>
    </row>
    <row r="592" spans="1:256" s="376" customFormat="1" x14ac:dyDescent="0.2">
      <c r="A592" s="373"/>
      <c r="B592" s="374"/>
      <c r="C592" s="375"/>
      <c r="D592" s="375"/>
      <c r="F592" s="373"/>
      <c r="G592" s="374"/>
      <c r="H592" s="375"/>
      <c r="I592" s="375"/>
      <c r="K592" s="373"/>
      <c r="L592" s="374"/>
      <c r="M592" s="375"/>
      <c r="N592" s="375"/>
      <c r="P592" s="373"/>
      <c r="Q592" s="374"/>
      <c r="R592" s="375"/>
      <c r="S592" s="375"/>
      <c r="U592" s="373"/>
      <c r="V592" s="374"/>
      <c r="W592" s="375"/>
      <c r="X592" s="375"/>
      <c r="Z592" s="373"/>
      <c r="AA592" s="374"/>
      <c r="AB592" s="375"/>
      <c r="AC592" s="375"/>
      <c r="AE592" s="373"/>
      <c r="AF592" s="374"/>
      <c r="AG592" s="375"/>
      <c r="AH592" s="375"/>
      <c r="AJ592" s="373"/>
      <c r="AK592" s="374"/>
      <c r="AL592" s="375"/>
      <c r="AM592" s="375"/>
      <c r="AO592" s="373"/>
      <c r="AP592" s="374"/>
      <c r="AQ592" s="375"/>
      <c r="AR592" s="375"/>
      <c r="AT592" s="373"/>
      <c r="AU592" s="374"/>
      <c r="AV592" s="375"/>
      <c r="AW592" s="375"/>
      <c r="AY592" s="373"/>
      <c r="AZ592" s="374"/>
      <c r="BA592" s="375"/>
      <c r="BB592" s="375"/>
      <c r="BD592" s="373"/>
      <c r="BE592" s="374"/>
      <c r="BF592" s="375"/>
      <c r="BG592" s="375"/>
      <c r="BI592" s="373"/>
      <c r="BJ592" s="374"/>
      <c r="BK592" s="375"/>
      <c r="BL592" s="375"/>
      <c r="BN592" s="373"/>
      <c r="BO592" s="374"/>
      <c r="BP592" s="375"/>
      <c r="BQ592" s="375"/>
      <c r="BS592" s="373"/>
      <c r="BT592" s="374"/>
      <c r="BU592" s="375"/>
      <c r="BV592" s="375"/>
      <c r="BX592" s="373"/>
      <c r="BY592" s="374"/>
      <c r="BZ592" s="375"/>
      <c r="CA592" s="375"/>
      <c r="CC592" s="373"/>
      <c r="CD592" s="374"/>
      <c r="CE592" s="375"/>
      <c r="CF592" s="375"/>
      <c r="CH592" s="373"/>
      <c r="CI592" s="374"/>
      <c r="CJ592" s="375"/>
      <c r="CK592" s="375"/>
      <c r="CM592" s="373"/>
      <c r="CN592" s="374"/>
      <c r="CO592" s="375"/>
      <c r="CP592" s="375"/>
      <c r="CR592" s="373"/>
      <c r="CS592" s="374"/>
      <c r="CT592" s="375"/>
      <c r="CU592" s="375"/>
      <c r="CW592" s="373"/>
      <c r="CX592" s="374"/>
      <c r="CY592" s="375"/>
      <c r="CZ592" s="375"/>
      <c r="DB592" s="373"/>
      <c r="DC592" s="374"/>
      <c r="DD592" s="375"/>
      <c r="DE592" s="375"/>
      <c r="DG592" s="373"/>
      <c r="DH592" s="374"/>
      <c r="DI592" s="375"/>
      <c r="DJ592" s="375"/>
      <c r="DL592" s="373"/>
      <c r="DM592" s="374"/>
      <c r="DN592" s="375"/>
      <c r="DO592" s="375"/>
      <c r="DQ592" s="373"/>
      <c r="DR592" s="374"/>
      <c r="DS592" s="375"/>
      <c r="DT592" s="375"/>
      <c r="DV592" s="373"/>
      <c r="DW592" s="374"/>
      <c r="DX592" s="375"/>
      <c r="DY592" s="375"/>
      <c r="EA592" s="373"/>
      <c r="EB592" s="374"/>
      <c r="EC592" s="375"/>
      <c r="ED592" s="375"/>
      <c r="EF592" s="373"/>
      <c r="EG592" s="374"/>
      <c r="EH592" s="375"/>
      <c r="EI592" s="375"/>
      <c r="EK592" s="373"/>
      <c r="EL592" s="374"/>
      <c r="EM592" s="375"/>
      <c r="EN592" s="375"/>
      <c r="EP592" s="373"/>
      <c r="EQ592" s="374"/>
      <c r="ER592" s="375"/>
      <c r="ES592" s="375"/>
      <c r="EU592" s="373"/>
      <c r="EV592" s="374"/>
      <c r="EW592" s="375"/>
      <c r="EX592" s="375"/>
      <c r="EZ592" s="373"/>
      <c r="FA592" s="374"/>
      <c r="FB592" s="375"/>
      <c r="FC592" s="375"/>
      <c r="FE592" s="373"/>
      <c r="FF592" s="374"/>
      <c r="FG592" s="375"/>
      <c r="FH592" s="375"/>
      <c r="FJ592" s="373"/>
      <c r="FK592" s="374"/>
      <c r="FL592" s="375"/>
      <c r="FM592" s="375"/>
      <c r="FO592" s="373"/>
      <c r="FP592" s="374"/>
      <c r="FQ592" s="375"/>
      <c r="FR592" s="375"/>
      <c r="FT592" s="373"/>
      <c r="FU592" s="374"/>
      <c r="FV592" s="375"/>
      <c r="FW592" s="375"/>
      <c r="FY592" s="373"/>
      <c r="FZ592" s="374"/>
      <c r="GA592" s="375"/>
      <c r="GB592" s="375"/>
      <c r="GD592" s="373"/>
      <c r="GE592" s="374"/>
      <c r="GF592" s="375"/>
      <c r="GG592" s="375"/>
      <c r="GI592" s="373"/>
      <c r="GJ592" s="374"/>
      <c r="GK592" s="375"/>
      <c r="GL592" s="375"/>
      <c r="GN592" s="373"/>
      <c r="GO592" s="374"/>
      <c r="GP592" s="375"/>
      <c r="GQ592" s="375"/>
      <c r="GS592" s="373"/>
      <c r="GT592" s="374"/>
      <c r="GU592" s="375"/>
      <c r="GV592" s="375"/>
      <c r="GX592" s="373"/>
      <c r="GY592" s="374"/>
      <c r="GZ592" s="375"/>
      <c r="HA592" s="375"/>
      <c r="HC592" s="373"/>
      <c r="HD592" s="374"/>
      <c r="HE592" s="375"/>
      <c r="HF592" s="375"/>
      <c r="HH592" s="373"/>
      <c r="HI592" s="374"/>
      <c r="HJ592" s="375"/>
      <c r="HK592" s="375"/>
      <c r="HM592" s="373"/>
      <c r="HN592" s="374"/>
      <c r="HO592" s="375"/>
      <c r="HP592" s="375"/>
      <c r="HR592" s="373"/>
      <c r="HS592" s="374"/>
      <c r="HT592" s="375"/>
      <c r="HU592" s="375"/>
      <c r="HW592" s="373"/>
      <c r="HX592" s="374"/>
      <c r="HY592" s="375"/>
      <c r="HZ592" s="375"/>
      <c r="IB592" s="373"/>
      <c r="IC592" s="374"/>
      <c r="ID592" s="375"/>
      <c r="IE592" s="375"/>
      <c r="IG592" s="373"/>
      <c r="IH592" s="374"/>
      <c r="II592" s="375"/>
      <c r="IJ592" s="375"/>
      <c r="IL592" s="373"/>
      <c r="IM592" s="374"/>
      <c r="IN592" s="375"/>
      <c r="IO592" s="375"/>
      <c r="IQ592" s="373"/>
      <c r="IR592" s="374"/>
      <c r="IS592" s="375"/>
      <c r="IT592" s="375"/>
      <c r="IV592" s="373"/>
    </row>
    <row r="593" spans="1:256" s="376" customFormat="1" x14ac:dyDescent="0.2">
      <c r="A593" s="373"/>
      <c r="B593" s="374"/>
      <c r="C593" s="375"/>
      <c r="D593" s="375"/>
      <c r="F593" s="373"/>
      <c r="G593" s="374"/>
      <c r="H593" s="375"/>
      <c r="I593" s="375"/>
      <c r="K593" s="373"/>
      <c r="L593" s="374"/>
      <c r="M593" s="375"/>
      <c r="N593" s="375"/>
      <c r="P593" s="373"/>
      <c r="Q593" s="374"/>
      <c r="R593" s="375"/>
      <c r="S593" s="375"/>
      <c r="U593" s="373"/>
      <c r="V593" s="374"/>
      <c r="W593" s="375"/>
      <c r="X593" s="375"/>
      <c r="Z593" s="373"/>
      <c r="AA593" s="374"/>
      <c r="AB593" s="375"/>
      <c r="AC593" s="375"/>
      <c r="AE593" s="373"/>
      <c r="AF593" s="374"/>
      <c r="AG593" s="375"/>
      <c r="AH593" s="375"/>
      <c r="AJ593" s="373"/>
      <c r="AK593" s="374"/>
      <c r="AL593" s="375"/>
      <c r="AM593" s="375"/>
      <c r="AO593" s="373"/>
      <c r="AP593" s="374"/>
      <c r="AQ593" s="375"/>
      <c r="AR593" s="375"/>
      <c r="AT593" s="373"/>
      <c r="AU593" s="374"/>
      <c r="AV593" s="375"/>
      <c r="AW593" s="375"/>
      <c r="AY593" s="373"/>
      <c r="AZ593" s="374"/>
      <c r="BA593" s="375"/>
      <c r="BB593" s="375"/>
      <c r="BD593" s="373"/>
      <c r="BE593" s="374"/>
      <c r="BF593" s="375"/>
      <c r="BG593" s="375"/>
      <c r="BI593" s="373"/>
      <c r="BJ593" s="374"/>
      <c r="BK593" s="375"/>
      <c r="BL593" s="375"/>
      <c r="BN593" s="373"/>
      <c r="BO593" s="374"/>
      <c r="BP593" s="375"/>
      <c r="BQ593" s="375"/>
      <c r="BS593" s="373"/>
      <c r="BT593" s="374"/>
      <c r="BU593" s="375"/>
      <c r="BV593" s="375"/>
      <c r="BX593" s="373"/>
      <c r="BY593" s="374"/>
      <c r="BZ593" s="375"/>
      <c r="CA593" s="375"/>
      <c r="CC593" s="373"/>
      <c r="CD593" s="374"/>
      <c r="CE593" s="375"/>
      <c r="CF593" s="375"/>
      <c r="CH593" s="373"/>
      <c r="CI593" s="374"/>
      <c r="CJ593" s="375"/>
      <c r="CK593" s="375"/>
      <c r="CM593" s="373"/>
      <c r="CN593" s="374"/>
      <c r="CO593" s="375"/>
      <c r="CP593" s="375"/>
      <c r="CR593" s="373"/>
      <c r="CS593" s="374"/>
      <c r="CT593" s="375"/>
      <c r="CU593" s="375"/>
      <c r="CW593" s="373"/>
      <c r="CX593" s="374"/>
      <c r="CY593" s="375"/>
      <c r="CZ593" s="375"/>
      <c r="DB593" s="373"/>
      <c r="DC593" s="374"/>
      <c r="DD593" s="375"/>
      <c r="DE593" s="375"/>
      <c r="DG593" s="373"/>
      <c r="DH593" s="374"/>
      <c r="DI593" s="375"/>
      <c r="DJ593" s="375"/>
      <c r="DL593" s="373"/>
      <c r="DM593" s="374"/>
      <c r="DN593" s="375"/>
      <c r="DO593" s="375"/>
      <c r="DQ593" s="373"/>
      <c r="DR593" s="374"/>
      <c r="DS593" s="375"/>
      <c r="DT593" s="375"/>
      <c r="DV593" s="373"/>
      <c r="DW593" s="374"/>
      <c r="DX593" s="375"/>
      <c r="DY593" s="375"/>
      <c r="EA593" s="373"/>
      <c r="EB593" s="374"/>
      <c r="EC593" s="375"/>
      <c r="ED593" s="375"/>
      <c r="EF593" s="373"/>
      <c r="EG593" s="374"/>
      <c r="EH593" s="375"/>
      <c r="EI593" s="375"/>
      <c r="EK593" s="373"/>
      <c r="EL593" s="374"/>
      <c r="EM593" s="375"/>
      <c r="EN593" s="375"/>
      <c r="EP593" s="373"/>
      <c r="EQ593" s="374"/>
      <c r="ER593" s="375"/>
      <c r="ES593" s="375"/>
      <c r="EU593" s="373"/>
      <c r="EV593" s="374"/>
      <c r="EW593" s="375"/>
      <c r="EX593" s="375"/>
      <c r="EZ593" s="373"/>
      <c r="FA593" s="374"/>
      <c r="FB593" s="375"/>
      <c r="FC593" s="375"/>
      <c r="FE593" s="373"/>
      <c r="FF593" s="374"/>
      <c r="FG593" s="375"/>
      <c r="FH593" s="375"/>
      <c r="FJ593" s="373"/>
      <c r="FK593" s="374"/>
      <c r="FL593" s="375"/>
      <c r="FM593" s="375"/>
      <c r="FO593" s="373"/>
      <c r="FP593" s="374"/>
      <c r="FQ593" s="375"/>
      <c r="FR593" s="375"/>
      <c r="FT593" s="373"/>
      <c r="FU593" s="374"/>
      <c r="FV593" s="375"/>
      <c r="FW593" s="375"/>
      <c r="FY593" s="373"/>
      <c r="FZ593" s="374"/>
      <c r="GA593" s="375"/>
      <c r="GB593" s="375"/>
      <c r="GD593" s="373"/>
      <c r="GE593" s="374"/>
      <c r="GF593" s="375"/>
      <c r="GG593" s="375"/>
      <c r="GI593" s="373"/>
      <c r="GJ593" s="374"/>
      <c r="GK593" s="375"/>
      <c r="GL593" s="375"/>
      <c r="GN593" s="373"/>
      <c r="GO593" s="374"/>
      <c r="GP593" s="375"/>
      <c r="GQ593" s="375"/>
      <c r="GS593" s="373"/>
      <c r="GT593" s="374"/>
      <c r="GU593" s="375"/>
      <c r="GV593" s="375"/>
      <c r="GX593" s="373"/>
      <c r="GY593" s="374"/>
      <c r="GZ593" s="375"/>
      <c r="HA593" s="375"/>
      <c r="HC593" s="373"/>
      <c r="HD593" s="374"/>
      <c r="HE593" s="375"/>
      <c r="HF593" s="375"/>
      <c r="HH593" s="373"/>
      <c r="HI593" s="374"/>
      <c r="HJ593" s="375"/>
      <c r="HK593" s="375"/>
      <c r="HM593" s="373"/>
      <c r="HN593" s="374"/>
      <c r="HO593" s="375"/>
      <c r="HP593" s="375"/>
      <c r="HR593" s="373"/>
      <c r="HS593" s="374"/>
      <c r="HT593" s="375"/>
      <c r="HU593" s="375"/>
      <c r="HW593" s="373"/>
      <c r="HX593" s="374"/>
      <c r="HY593" s="375"/>
      <c r="HZ593" s="375"/>
      <c r="IB593" s="373"/>
      <c r="IC593" s="374"/>
      <c r="ID593" s="375"/>
      <c r="IE593" s="375"/>
      <c r="IG593" s="373"/>
      <c r="IH593" s="374"/>
      <c r="II593" s="375"/>
      <c r="IJ593" s="375"/>
      <c r="IL593" s="373"/>
      <c r="IM593" s="374"/>
      <c r="IN593" s="375"/>
      <c r="IO593" s="375"/>
      <c r="IQ593" s="373"/>
      <c r="IR593" s="374"/>
      <c r="IS593" s="375"/>
      <c r="IT593" s="375"/>
      <c r="IV593" s="373"/>
    </row>
    <row r="594" spans="1:256" s="376" customFormat="1" x14ac:dyDescent="0.2">
      <c r="A594" s="373"/>
      <c r="B594" s="374"/>
      <c r="C594" s="375"/>
      <c r="D594" s="375"/>
      <c r="F594" s="373"/>
      <c r="G594" s="374"/>
      <c r="H594" s="375"/>
      <c r="I594" s="375"/>
      <c r="K594" s="373"/>
      <c r="L594" s="374"/>
      <c r="M594" s="375"/>
      <c r="N594" s="375"/>
      <c r="P594" s="373"/>
      <c r="Q594" s="374"/>
      <c r="R594" s="375"/>
      <c r="S594" s="375"/>
      <c r="U594" s="373"/>
      <c r="V594" s="374"/>
      <c r="W594" s="375"/>
      <c r="X594" s="375"/>
      <c r="Z594" s="373"/>
      <c r="AA594" s="374"/>
      <c r="AB594" s="375"/>
      <c r="AC594" s="375"/>
      <c r="AE594" s="373"/>
      <c r="AF594" s="374"/>
      <c r="AG594" s="375"/>
      <c r="AH594" s="375"/>
      <c r="AJ594" s="373"/>
      <c r="AK594" s="374"/>
      <c r="AL594" s="375"/>
      <c r="AM594" s="375"/>
      <c r="AO594" s="373"/>
      <c r="AP594" s="374"/>
      <c r="AQ594" s="375"/>
      <c r="AR594" s="375"/>
      <c r="AT594" s="373"/>
      <c r="AU594" s="374"/>
      <c r="AV594" s="375"/>
      <c r="AW594" s="375"/>
      <c r="AY594" s="373"/>
      <c r="AZ594" s="374"/>
      <c r="BA594" s="375"/>
      <c r="BB594" s="375"/>
      <c r="BD594" s="373"/>
      <c r="BE594" s="374"/>
      <c r="BF594" s="375"/>
      <c r="BG594" s="375"/>
      <c r="BI594" s="373"/>
      <c r="BJ594" s="374"/>
      <c r="BK594" s="375"/>
      <c r="BL594" s="375"/>
      <c r="BN594" s="373"/>
      <c r="BO594" s="374"/>
      <c r="BP594" s="375"/>
      <c r="BQ594" s="375"/>
      <c r="BS594" s="373"/>
      <c r="BT594" s="374"/>
      <c r="BU594" s="375"/>
      <c r="BV594" s="375"/>
      <c r="BX594" s="373"/>
      <c r="BY594" s="374"/>
      <c r="BZ594" s="375"/>
      <c r="CA594" s="375"/>
      <c r="CC594" s="373"/>
      <c r="CD594" s="374"/>
      <c r="CE594" s="375"/>
      <c r="CF594" s="375"/>
      <c r="CH594" s="373"/>
      <c r="CI594" s="374"/>
      <c r="CJ594" s="375"/>
      <c r="CK594" s="375"/>
      <c r="CM594" s="373"/>
      <c r="CN594" s="374"/>
      <c r="CO594" s="375"/>
      <c r="CP594" s="375"/>
      <c r="CR594" s="373"/>
      <c r="CS594" s="374"/>
      <c r="CT594" s="375"/>
      <c r="CU594" s="375"/>
      <c r="CW594" s="373"/>
      <c r="CX594" s="374"/>
      <c r="CY594" s="375"/>
      <c r="CZ594" s="375"/>
      <c r="DB594" s="373"/>
      <c r="DC594" s="374"/>
      <c r="DD594" s="375"/>
      <c r="DE594" s="375"/>
      <c r="DG594" s="373"/>
      <c r="DH594" s="374"/>
      <c r="DI594" s="375"/>
      <c r="DJ594" s="375"/>
      <c r="DL594" s="373"/>
      <c r="DM594" s="374"/>
      <c r="DN594" s="375"/>
      <c r="DO594" s="375"/>
      <c r="DQ594" s="373"/>
      <c r="DR594" s="374"/>
      <c r="DS594" s="375"/>
      <c r="DT594" s="375"/>
      <c r="DV594" s="373"/>
      <c r="DW594" s="374"/>
      <c r="DX594" s="375"/>
      <c r="DY594" s="375"/>
      <c r="EA594" s="373"/>
      <c r="EB594" s="374"/>
      <c r="EC594" s="375"/>
      <c r="ED594" s="375"/>
      <c r="EF594" s="373"/>
      <c r="EG594" s="374"/>
      <c r="EH594" s="375"/>
      <c r="EI594" s="375"/>
      <c r="EK594" s="373"/>
      <c r="EL594" s="374"/>
      <c r="EM594" s="375"/>
      <c r="EN594" s="375"/>
      <c r="EP594" s="373"/>
      <c r="EQ594" s="374"/>
      <c r="ER594" s="375"/>
      <c r="ES594" s="375"/>
      <c r="EU594" s="373"/>
      <c r="EV594" s="374"/>
      <c r="EW594" s="375"/>
      <c r="EX594" s="375"/>
      <c r="EZ594" s="373"/>
      <c r="FA594" s="374"/>
      <c r="FB594" s="375"/>
      <c r="FC594" s="375"/>
      <c r="FE594" s="373"/>
      <c r="FF594" s="374"/>
      <c r="FG594" s="375"/>
      <c r="FH594" s="375"/>
      <c r="FJ594" s="373"/>
      <c r="FK594" s="374"/>
      <c r="FL594" s="375"/>
      <c r="FM594" s="375"/>
      <c r="FO594" s="373"/>
      <c r="FP594" s="374"/>
      <c r="FQ594" s="375"/>
      <c r="FR594" s="375"/>
      <c r="FT594" s="373"/>
      <c r="FU594" s="374"/>
      <c r="FV594" s="375"/>
      <c r="FW594" s="375"/>
      <c r="FY594" s="373"/>
      <c r="FZ594" s="374"/>
      <c r="GA594" s="375"/>
      <c r="GB594" s="375"/>
      <c r="GD594" s="373"/>
      <c r="GE594" s="374"/>
      <c r="GF594" s="375"/>
      <c r="GG594" s="375"/>
      <c r="GI594" s="373"/>
      <c r="GJ594" s="374"/>
      <c r="GK594" s="375"/>
      <c r="GL594" s="375"/>
      <c r="GN594" s="373"/>
      <c r="GO594" s="374"/>
      <c r="GP594" s="375"/>
      <c r="GQ594" s="375"/>
      <c r="GS594" s="373"/>
      <c r="GT594" s="374"/>
      <c r="GU594" s="375"/>
      <c r="GV594" s="375"/>
      <c r="GX594" s="373"/>
      <c r="GY594" s="374"/>
      <c r="GZ594" s="375"/>
      <c r="HA594" s="375"/>
      <c r="HC594" s="373"/>
      <c r="HD594" s="374"/>
      <c r="HE594" s="375"/>
      <c r="HF594" s="375"/>
      <c r="HH594" s="373"/>
      <c r="HI594" s="374"/>
      <c r="HJ594" s="375"/>
      <c r="HK594" s="375"/>
      <c r="HM594" s="373"/>
      <c r="HN594" s="374"/>
      <c r="HO594" s="375"/>
      <c r="HP594" s="375"/>
      <c r="HR594" s="373"/>
      <c r="HS594" s="374"/>
      <c r="HT594" s="375"/>
      <c r="HU594" s="375"/>
      <c r="HW594" s="373"/>
      <c r="HX594" s="374"/>
      <c r="HY594" s="375"/>
      <c r="HZ594" s="375"/>
      <c r="IB594" s="373"/>
      <c r="IC594" s="374"/>
      <c r="ID594" s="375"/>
      <c r="IE594" s="375"/>
      <c r="IG594" s="373"/>
      <c r="IH594" s="374"/>
      <c r="II594" s="375"/>
      <c r="IJ594" s="375"/>
      <c r="IL594" s="373"/>
      <c r="IM594" s="374"/>
      <c r="IN594" s="375"/>
      <c r="IO594" s="375"/>
      <c r="IQ594" s="373"/>
      <c r="IR594" s="374"/>
      <c r="IS594" s="375"/>
      <c r="IT594" s="375"/>
      <c r="IV594" s="373"/>
    </row>
    <row r="595" spans="1:256" s="376" customFormat="1" x14ac:dyDescent="0.2">
      <c r="A595" s="373"/>
      <c r="B595" s="374"/>
      <c r="C595" s="375"/>
      <c r="D595" s="375"/>
      <c r="F595" s="373"/>
      <c r="G595" s="374"/>
      <c r="H595" s="375"/>
      <c r="I595" s="375"/>
      <c r="K595" s="373"/>
      <c r="L595" s="374"/>
      <c r="M595" s="375"/>
      <c r="N595" s="375"/>
      <c r="P595" s="373"/>
      <c r="Q595" s="374"/>
      <c r="R595" s="375"/>
      <c r="S595" s="375"/>
      <c r="U595" s="373"/>
      <c r="V595" s="374"/>
      <c r="W595" s="375"/>
      <c r="X595" s="375"/>
      <c r="Z595" s="373"/>
      <c r="AA595" s="374"/>
      <c r="AB595" s="375"/>
      <c r="AC595" s="375"/>
      <c r="AE595" s="373"/>
      <c r="AF595" s="374"/>
      <c r="AG595" s="375"/>
      <c r="AH595" s="375"/>
      <c r="AJ595" s="373"/>
      <c r="AK595" s="374"/>
      <c r="AL595" s="375"/>
      <c r="AM595" s="375"/>
      <c r="AO595" s="373"/>
      <c r="AP595" s="374"/>
      <c r="AQ595" s="375"/>
      <c r="AR595" s="375"/>
      <c r="AT595" s="373"/>
      <c r="AU595" s="374"/>
      <c r="AV595" s="375"/>
      <c r="AW595" s="375"/>
      <c r="AY595" s="373"/>
      <c r="AZ595" s="374"/>
      <c r="BA595" s="375"/>
      <c r="BB595" s="375"/>
      <c r="BD595" s="373"/>
      <c r="BE595" s="374"/>
      <c r="BF595" s="375"/>
      <c r="BG595" s="375"/>
      <c r="BI595" s="373"/>
      <c r="BJ595" s="374"/>
      <c r="BK595" s="375"/>
      <c r="BL595" s="375"/>
      <c r="BN595" s="373"/>
      <c r="BO595" s="374"/>
      <c r="BP595" s="375"/>
      <c r="BQ595" s="375"/>
      <c r="BS595" s="373"/>
      <c r="BT595" s="374"/>
      <c r="BU595" s="375"/>
      <c r="BV595" s="375"/>
      <c r="BX595" s="373"/>
      <c r="BY595" s="374"/>
      <c r="BZ595" s="375"/>
      <c r="CA595" s="375"/>
      <c r="CC595" s="373"/>
      <c r="CD595" s="374"/>
      <c r="CE595" s="375"/>
      <c r="CF595" s="375"/>
      <c r="CH595" s="373"/>
      <c r="CI595" s="374"/>
      <c r="CJ595" s="375"/>
      <c r="CK595" s="375"/>
      <c r="CM595" s="373"/>
      <c r="CN595" s="374"/>
      <c r="CO595" s="375"/>
      <c r="CP595" s="375"/>
      <c r="CR595" s="373"/>
      <c r="CS595" s="374"/>
      <c r="CT595" s="375"/>
      <c r="CU595" s="375"/>
      <c r="CW595" s="373"/>
      <c r="CX595" s="374"/>
      <c r="CY595" s="375"/>
      <c r="CZ595" s="375"/>
      <c r="DB595" s="373"/>
      <c r="DC595" s="374"/>
      <c r="DD595" s="375"/>
      <c r="DE595" s="375"/>
      <c r="DG595" s="373"/>
      <c r="DH595" s="374"/>
      <c r="DI595" s="375"/>
      <c r="DJ595" s="375"/>
      <c r="DL595" s="373"/>
      <c r="DM595" s="374"/>
      <c r="DN595" s="375"/>
      <c r="DO595" s="375"/>
      <c r="DQ595" s="373"/>
      <c r="DR595" s="374"/>
      <c r="DS595" s="375"/>
      <c r="DT595" s="375"/>
      <c r="DV595" s="373"/>
      <c r="DW595" s="374"/>
      <c r="DX595" s="375"/>
      <c r="DY595" s="375"/>
      <c r="EA595" s="373"/>
      <c r="EB595" s="374"/>
      <c r="EC595" s="375"/>
      <c r="ED595" s="375"/>
      <c r="EF595" s="373"/>
      <c r="EG595" s="374"/>
      <c r="EH595" s="375"/>
      <c r="EI595" s="375"/>
      <c r="EK595" s="373"/>
      <c r="EL595" s="374"/>
      <c r="EM595" s="375"/>
      <c r="EN595" s="375"/>
      <c r="EP595" s="373"/>
      <c r="EQ595" s="374"/>
      <c r="ER595" s="375"/>
      <c r="ES595" s="375"/>
      <c r="EU595" s="373"/>
      <c r="EV595" s="374"/>
      <c r="EW595" s="375"/>
      <c r="EX595" s="375"/>
      <c r="EZ595" s="373"/>
      <c r="FA595" s="374"/>
      <c r="FB595" s="375"/>
      <c r="FC595" s="375"/>
      <c r="FE595" s="373"/>
      <c r="FF595" s="374"/>
      <c r="FG595" s="375"/>
      <c r="FH595" s="375"/>
      <c r="FJ595" s="373"/>
      <c r="FK595" s="374"/>
      <c r="FL595" s="375"/>
      <c r="FM595" s="375"/>
      <c r="FO595" s="373"/>
      <c r="FP595" s="374"/>
      <c r="FQ595" s="375"/>
      <c r="FR595" s="375"/>
      <c r="FT595" s="373"/>
      <c r="FU595" s="374"/>
      <c r="FV595" s="375"/>
      <c r="FW595" s="375"/>
      <c r="FY595" s="373"/>
      <c r="FZ595" s="374"/>
      <c r="GA595" s="375"/>
      <c r="GB595" s="375"/>
      <c r="GD595" s="373"/>
      <c r="GE595" s="374"/>
      <c r="GF595" s="375"/>
      <c r="GG595" s="375"/>
      <c r="GI595" s="373"/>
      <c r="GJ595" s="374"/>
      <c r="GK595" s="375"/>
      <c r="GL595" s="375"/>
      <c r="GN595" s="373"/>
      <c r="GO595" s="374"/>
      <c r="GP595" s="375"/>
      <c r="GQ595" s="375"/>
      <c r="GS595" s="373"/>
      <c r="GT595" s="374"/>
      <c r="GU595" s="375"/>
      <c r="GV595" s="375"/>
      <c r="GX595" s="373"/>
      <c r="GY595" s="374"/>
      <c r="GZ595" s="375"/>
      <c r="HA595" s="375"/>
      <c r="HC595" s="373"/>
      <c r="HD595" s="374"/>
      <c r="HE595" s="375"/>
      <c r="HF595" s="375"/>
      <c r="HH595" s="373"/>
      <c r="HI595" s="374"/>
      <c r="HJ595" s="375"/>
      <c r="HK595" s="375"/>
      <c r="HM595" s="373"/>
      <c r="HN595" s="374"/>
      <c r="HO595" s="375"/>
      <c r="HP595" s="375"/>
      <c r="HR595" s="373"/>
      <c r="HS595" s="374"/>
      <c r="HT595" s="375"/>
      <c r="HU595" s="375"/>
      <c r="HW595" s="373"/>
      <c r="HX595" s="374"/>
      <c r="HY595" s="375"/>
      <c r="HZ595" s="375"/>
      <c r="IB595" s="373"/>
      <c r="IC595" s="374"/>
      <c r="ID595" s="375"/>
      <c r="IE595" s="375"/>
      <c r="IG595" s="373"/>
      <c r="IH595" s="374"/>
      <c r="II595" s="375"/>
      <c r="IJ595" s="375"/>
      <c r="IL595" s="373"/>
      <c r="IM595" s="374"/>
      <c r="IN595" s="375"/>
      <c r="IO595" s="375"/>
      <c r="IQ595" s="373"/>
      <c r="IR595" s="374"/>
      <c r="IS595" s="375"/>
      <c r="IT595" s="375"/>
      <c r="IV595" s="373"/>
    </row>
    <row r="596" spans="1:256" s="376" customFormat="1" x14ac:dyDescent="0.2">
      <c r="A596" s="373"/>
      <c r="B596" s="374"/>
      <c r="C596" s="375"/>
      <c r="D596" s="375"/>
      <c r="F596" s="373"/>
      <c r="G596" s="374"/>
      <c r="H596" s="375"/>
      <c r="I596" s="375"/>
      <c r="K596" s="373"/>
      <c r="L596" s="374"/>
      <c r="M596" s="375"/>
      <c r="N596" s="375"/>
      <c r="P596" s="373"/>
      <c r="Q596" s="374"/>
      <c r="R596" s="375"/>
      <c r="S596" s="375"/>
      <c r="U596" s="373"/>
      <c r="V596" s="374"/>
      <c r="W596" s="375"/>
      <c r="X596" s="375"/>
      <c r="Z596" s="373"/>
      <c r="AA596" s="374"/>
      <c r="AB596" s="375"/>
      <c r="AC596" s="375"/>
      <c r="AE596" s="373"/>
      <c r="AF596" s="374"/>
      <c r="AG596" s="375"/>
      <c r="AH596" s="375"/>
      <c r="AJ596" s="373"/>
      <c r="AK596" s="374"/>
      <c r="AL596" s="375"/>
      <c r="AM596" s="375"/>
      <c r="AO596" s="373"/>
      <c r="AP596" s="374"/>
      <c r="AQ596" s="375"/>
      <c r="AR596" s="375"/>
      <c r="AT596" s="373"/>
      <c r="AU596" s="374"/>
      <c r="AV596" s="375"/>
      <c r="AW596" s="375"/>
      <c r="AY596" s="373"/>
      <c r="AZ596" s="374"/>
      <c r="BA596" s="375"/>
      <c r="BB596" s="375"/>
      <c r="BD596" s="373"/>
      <c r="BE596" s="374"/>
      <c r="BF596" s="375"/>
      <c r="BG596" s="375"/>
      <c r="BI596" s="373"/>
      <c r="BJ596" s="374"/>
      <c r="BK596" s="375"/>
      <c r="BL596" s="375"/>
      <c r="BN596" s="373"/>
      <c r="BO596" s="374"/>
      <c r="BP596" s="375"/>
      <c r="BQ596" s="375"/>
      <c r="BS596" s="373"/>
      <c r="BT596" s="374"/>
      <c r="BU596" s="375"/>
      <c r="BV596" s="375"/>
      <c r="BX596" s="373"/>
      <c r="BY596" s="374"/>
      <c r="BZ596" s="375"/>
      <c r="CA596" s="375"/>
      <c r="CC596" s="373"/>
      <c r="CD596" s="374"/>
      <c r="CE596" s="375"/>
      <c r="CF596" s="375"/>
      <c r="CH596" s="373"/>
      <c r="CI596" s="374"/>
      <c r="CJ596" s="375"/>
      <c r="CK596" s="375"/>
      <c r="CM596" s="373"/>
      <c r="CN596" s="374"/>
      <c r="CO596" s="375"/>
      <c r="CP596" s="375"/>
      <c r="CR596" s="373"/>
      <c r="CS596" s="374"/>
      <c r="CT596" s="375"/>
      <c r="CU596" s="375"/>
      <c r="CW596" s="373"/>
      <c r="CX596" s="374"/>
      <c r="CY596" s="375"/>
      <c r="CZ596" s="375"/>
      <c r="DB596" s="373"/>
      <c r="DC596" s="374"/>
      <c r="DD596" s="375"/>
      <c r="DE596" s="375"/>
      <c r="DG596" s="373"/>
      <c r="DH596" s="374"/>
      <c r="DI596" s="375"/>
      <c r="DJ596" s="375"/>
      <c r="DL596" s="373"/>
      <c r="DM596" s="374"/>
      <c r="DN596" s="375"/>
      <c r="DO596" s="375"/>
      <c r="DQ596" s="373"/>
      <c r="DR596" s="374"/>
      <c r="DS596" s="375"/>
      <c r="DT596" s="375"/>
      <c r="DV596" s="373"/>
      <c r="DW596" s="374"/>
      <c r="DX596" s="375"/>
      <c r="DY596" s="375"/>
      <c r="EA596" s="373"/>
      <c r="EB596" s="374"/>
      <c r="EC596" s="375"/>
      <c r="ED596" s="375"/>
      <c r="EF596" s="373"/>
      <c r="EG596" s="374"/>
      <c r="EH596" s="375"/>
      <c r="EI596" s="375"/>
      <c r="EK596" s="373"/>
      <c r="EL596" s="374"/>
      <c r="EM596" s="375"/>
      <c r="EN596" s="375"/>
      <c r="EP596" s="373"/>
      <c r="EQ596" s="374"/>
      <c r="ER596" s="375"/>
      <c r="ES596" s="375"/>
      <c r="EU596" s="373"/>
      <c r="EV596" s="374"/>
      <c r="EW596" s="375"/>
      <c r="EX596" s="375"/>
      <c r="EZ596" s="373"/>
      <c r="FA596" s="374"/>
      <c r="FB596" s="375"/>
      <c r="FC596" s="375"/>
      <c r="FE596" s="373"/>
      <c r="FF596" s="374"/>
      <c r="FG596" s="375"/>
      <c r="FH596" s="375"/>
      <c r="FJ596" s="373"/>
      <c r="FK596" s="374"/>
      <c r="FL596" s="375"/>
      <c r="FM596" s="375"/>
      <c r="FO596" s="373"/>
      <c r="FP596" s="374"/>
      <c r="FQ596" s="375"/>
      <c r="FR596" s="375"/>
      <c r="FT596" s="373"/>
      <c r="FU596" s="374"/>
      <c r="FV596" s="375"/>
      <c r="FW596" s="375"/>
      <c r="FY596" s="373"/>
      <c r="FZ596" s="374"/>
      <c r="GA596" s="375"/>
      <c r="GB596" s="375"/>
      <c r="GD596" s="373"/>
      <c r="GE596" s="374"/>
      <c r="GF596" s="375"/>
      <c r="GG596" s="375"/>
      <c r="GI596" s="373"/>
      <c r="GJ596" s="374"/>
      <c r="GK596" s="375"/>
      <c r="GL596" s="375"/>
      <c r="GN596" s="373"/>
      <c r="GO596" s="374"/>
      <c r="GP596" s="375"/>
      <c r="GQ596" s="375"/>
      <c r="GS596" s="373"/>
      <c r="GT596" s="374"/>
      <c r="GU596" s="375"/>
      <c r="GV596" s="375"/>
      <c r="GX596" s="373"/>
      <c r="GY596" s="374"/>
      <c r="GZ596" s="375"/>
      <c r="HA596" s="375"/>
      <c r="HC596" s="373"/>
      <c r="HD596" s="374"/>
      <c r="HE596" s="375"/>
      <c r="HF596" s="375"/>
      <c r="HH596" s="373"/>
      <c r="HI596" s="374"/>
      <c r="HJ596" s="375"/>
      <c r="HK596" s="375"/>
      <c r="HM596" s="373"/>
      <c r="HN596" s="374"/>
      <c r="HO596" s="375"/>
      <c r="HP596" s="375"/>
      <c r="HR596" s="373"/>
      <c r="HS596" s="374"/>
      <c r="HT596" s="375"/>
      <c r="HU596" s="375"/>
      <c r="HW596" s="373"/>
      <c r="HX596" s="374"/>
      <c r="HY596" s="375"/>
      <c r="HZ596" s="375"/>
      <c r="IB596" s="373"/>
      <c r="IC596" s="374"/>
      <c r="ID596" s="375"/>
      <c r="IE596" s="375"/>
      <c r="IG596" s="373"/>
      <c r="IH596" s="374"/>
      <c r="II596" s="375"/>
      <c r="IJ596" s="375"/>
      <c r="IL596" s="373"/>
      <c r="IM596" s="374"/>
      <c r="IN596" s="375"/>
      <c r="IO596" s="375"/>
      <c r="IQ596" s="373"/>
      <c r="IR596" s="374"/>
      <c r="IS596" s="375"/>
      <c r="IT596" s="375"/>
      <c r="IV596" s="373"/>
    </row>
    <row r="597" spans="1:256" s="376" customFormat="1" x14ac:dyDescent="0.2">
      <c r="A597" s="373"/>
      <c r="B597" s="374"/>
      <c r="C597" s="375"/>
      <c r="D597" s="375"/>
      <c r="F597" s="373"/>
      <c r="G597" s="374"/>
      <c r="H597" s="375"/>
      <c r="I597" s="375"/>
      <c r="K597" s="373"/>
      <c r="L597" s="374"/>
      <c r="M597" s="375"/>
      <c r="N597" s="375"/>
      <c r="P597" s="373"/>
      <c r="Q597" s="374"/>
      <c r="R597" s="375"/>
      <c r="S597" s="375"/>
      <c r="U597" s="373"/>
      <c r="V597" s="374"/>
      <c r="W597" s="375"/>
      <c r="X597" s="375"/>
      <c r="Z597" s="373"/>
      <c r="AA597" s="374"/>
      <c r="AB597" s="375"/>
      <c r="AC597" s="375"/>
      <c r="AE597" s="373"/>
      <c r="AF597" s="374"/>
      <c r="AG597" s="375"/>
      <c r="AH597" s="375"/>
      <c r="AJ597" s="373"/>
      <c r="AK597" s="374"/>
      <c r="AL597" s="375"/>
      <c r="AM597" s="375"/>
      <c r="AO597" s="373"/>
      <c r="AP597" s="374"/>
      <c r="AQ597" s="375"/>
      <c r="AR597" s="375"/>
      <c r="AT597" s="373"/>
      <c r="AU597" s="374"/>
      <c r="AV597" s="375"/>
      <c r="AW597" s="375"/>
      <c r="AY597" s="373"/>
      <c r="AZ597" s="374"/>
      <c r="BA597" s="375"/>
      <c r="BB597" s="375"/>
      <c r="BD597" s="373"/>
      <c r="BE597" s="374"/>
      <c r="BF597" s="375"/>
      <c r="BG597" s="375"/>
      <c r="BI597" s="373"/>
      <c r="BJ597" s="374"/>
      <c r="BK597" s="375"/>
      <c r="BL597" s="375"/>
      <c r="BN597" s="373"/>
      <c r="BO597" s="374"/>
      <c r="BP597" s="375"/>
      <c r="BQ597" s="375"/>
      <c r="BS597" s="373"/>
      <c r="BT597" s="374"/>
      <c r="BU597" s="375"/>
      <c r="BV597" s="375"/>
      <c r="BX597" s="373"/>
      <c r="BY597" s="374"/>
      <c r="BZ597" s="375"/>
      <c r="CA597" s="375"/>
      <c r="CC597" s="373"/>
      <c r="CD597" s="374"/>
      <c r="CE597" s="375"/>
      <c r="CF597" s="375"/>
      <c r="CH597" s="373"/>
      <c r="CI597" s="374"/>
      <c r="CJ597" s="375"/>
      <c r="CK597" s="375"/>
      <c r="CM597" s="373"/>
      <c r="CN597" s="374"/>
      <c r="CO597" s="375"/>
      <c r="CP597" s="375"/>
      <c r="CR597" s="373"/>
      <c r="CS597" s="374"/>
      <c r="CT597" s="375"/>
      <c r="CU597" s="375"/>
      <c r="CW597" s="373"/>
      <c r="CX597" s="374"/>
      <c r="CY597" s="375"/>
      <c r="CZ597" s="375"/>
      <c r="DB597" s="373"/>
      <c r="DC597" s="374"/>
      <c r="DD597" s="375"/>
      <c r="DE597" s="375"/>
      <c r="DG597" s="373"/>
      <c r="DH597" s="374"/>
      <c r="DI597" s="375"/>
      <c r="DJ597" s="375"/>
      <c r="DL597" s="373"/>
      <c r="DM597" s="374"/>
      <c r="DN597" s="375"/>
      <c r="DO597" s="375"/>
      <c r="DQ597" s="373"/>
      <c r="DR597" s="374"/>
      <c r="DS597" s="375"/>
      <c r="DT597" s="375"/>
      <c r="DV597" s="373"/>
      <c r="DW597" s="374"/>
      <c r="DX597" s="375"/>
      <c r="DY597" s="375"/>
      <c r="EA597" s="373"/>
      <c r="EB597" s="374"/>
      <c r="EC597" s="375"/>
      <c r="ED597" s="375"/>
      <c r="EF597" s="373"/>
      <c r="EG597" s="374"/>
      <c r="EH597" s="375"/>
      <c r="EI597" s="375"/>
      <c r="EK597" s="373"/>
      <c r="EL597" s="374"/>
      <c r="EM597" s="375"/>
      <c r="EN597" s="375"/>
      <c r="EP597" s="373"/>
      <c r="EQ597" s="374"/>
      <c r="ER597" s="375"/>
      <c r="ES597" s="375"/>
      <c r="EU597" s="373"/>
      <c r="EV597" s="374"/>
      <c r="EW597" s="375"/>
      <c r="EX597" s="375"/>
      <c r="EZ597" s="373"/>
      <c r="FA597" s="374"/>
      <c r="FB597" s="375"/>
      <c r="FC597" s="375"/>
      <c r="FE597" s="373"/>
      <c r="FF597" s="374"/>
      <c r="FG597" s="375"/>
      <c r="FH597" s="375"/>
      <c r="FJ597" s="373"/>
      <c r="FK597" s="374"/>
      <c r="FL597" s="375"/>
      <c r="FM597" s="375"/>
      <c r="FO597" s="373"/>
      <c r="FP597" s="374"/>
      <c r="FQ597" s="375"/>
      <c r="FR597" s="375"/>
      <c r="FT597" s="373"/>
      <c r="FU597" s="374"/>
      <c r="FV597" s="375"/>
      <c r="FW597" s="375"/>
      <c r="FY597" s="373"/>
      <c r="FZ597" s="374"/>
      <c r="GA597" s="375"/>
      <c r="GB597" s="375"/>
      <c r="GD597" s="373"/>
      <c r="GE597" s="374"/>
      <c r="GF597" s="375"/>
      <c r="GG597" s="375"/>
      <c r="GI597" s="373"/>
      <c r="GJ597" s="374"/>
      <c r="GK597" s="375"/>
      <c r="GL597" s="375"/>
      <c r="GN597" s="373"/>
      <c r="GO597" s="374"/>
      <c r="GP597" s="375"/>
      <c r="GQ597" s="375"/>
      <c r="GS597" s="373"/>
      <c r="GT597" s="374"/>
      <c r="GU597" s="375"/>
      <c r="GV597" s="375"/>
      <c r="GX597" s="373"/>
      <c r="GY597" s="374"/>
      <c r="GZ597" s="375"/>
      <c r="HA597" s="375"/>
      <c r="HC597" s="373"/>
      <c r="HD597" s="374"/>
      <c r="HE597" s="375"/>
      <c r="HF597" s="375"/>
      <c r="HH597" s="373"/>
      <c r="HI597" s="374"/>
      <c r="HJ597" s="375"/>
      <c r="HK597" s="375"/>
      <c r="HM597" s="373"/>
      <c r="HN597" s="374"/>
      <c r="HO597" s="375"/>
      <c r="HP597" s="375"/>
      <c r="HR597" s="373"/>
      <c r="HS597" s="374"/>
      <c r="HT597" s="375"/>
      <c r="HU597" s="375"/>
      <c r="HW597" s="373"/>
      <c r="HX597" s="374"/>
      <c r="HY597" s="375"/>
      <c r="HZ597" s="375"/>
      <c r="IB597" s="373"/>
      <c r="IC597" s="374"/>
      <c r="ID597" s="375"/>
      <c r="IE597" s="375"/>
      <c r="IG597" s="373"/>
      <c r="IH597" s="374"/>
      <c r="II597" s="375"/>
      <c r="IJ597" s="375"/>
      <c r="IL597" s="373"/>
      <c r="IM597" s="374"/>
      <c r="IN597" s="375"/>
      <c r="IO597" s="375"/>
      <c r="IQ597" s="373"/>
      <c r="IR597" s="374"/>
      <c r="IS597" s="375"/>
      <c r="IT597" s="375"/>
      <c r="IV597" s="373"/>
    </row>
    <row r="598" spans="1:256" s="376" customFormat="1" x14ac:dyDescent="0.2">
      <c r="A598" s="373"/>
      <c r="B598" s="374"/>
      <c r="C598" s="375"/>
      <c r="D598" s="375"/>
      <c r="F598" s="373"/>
      <c r="G598" s="374"/>
      <c r="H598" s="375"/>
      <c r="I598" s="375"/>
      <c r="K598" s="373"/>
      <c r="L598" s="374"/>
      <c r="M598" s="375"/>
      <c r="N598" s="375"/>
      <c r="P598" s="373"/>
      <c r="Q598" s="374"/>
      <c r="R598" s="375"/>
      <c r="S598" s="375"/>
      <c r="U598" s="373"/>
      <c r="V598" s="374"/>
      <c r="W598" s="375"/>
      <c r="X598" s="375"/>
      <c r="Z598" s="373"/>
      <c r="AA598" s="374"/>
      <c r="AB598" s="375"/>
      <c r="AC598" s="375"/>
      <c r="AE598" s="373"/>
      <c r="AF598" s="374"/>
      <c r="AG598" s="375"/>
      <c r="AH598" s="375"/>
      <c r="AJ598" s="373"/>
      <c r="AK598" s="374"/>
      <c r="AL598" s="375"/>
      <c r="AM598" s="375"/>
      <c r="AO598" s="373"/>
      <c r="AP598" s="374"/>
      <c r="AQ598" s="375"/>
      <c r="AR598" s="375"/>
      <c r="AT598" s="373"/>
      <c r="AU598" s="374"/>
      <c r="AV598" s="375"/>
      <c r="AW598" s="375"/>
      <c r="AY598" s="373"/>
      <c r="AZ598" s="374"/>
      <c r="BA598" s="375"/>
      <c r="BB598" s="375"/>
      <c r="BD598" s="373"/>
      <c r="BE598" s="374"/>
      <c r="BF598" s="375"/>
      <c r="BG598" s="375"/>
      <c r="BI598" s="373"/>
      <c r="BJ598" s="374"/>
      <c r="BK598" s="375"/>
      <c r="BL598" s="375"/>
      <c r="BN598" s="373"/>
      <c r="BO598" s="374"/>
      <c r="BP598" s="375"/>
      <c r="BQ598" s="375"/>
      <c r="BS598" s="373"/>
      <c r="BT598" s="374"/>
      <c r="BU598" s="375"/>
      <c r="BV598" s="375"/>
      <c r="BX598" s="373"/>
      <c r="BY598" s="374"/>
      <c r="BZ598" s="375"/>
      <c r="CA598" s="375"/>
      <c r="CC598" s="373"/>
      <c r="CD598" s="374"/>
      <c r="CE598" s="375"/>
      <c r="CF598" s="375"/>
      <c r="CH598" s="373"/>
      <c r="CI598" s="374"/>
      <c r="CJ598" s="375"/>
      <c r="CK598" s="375"/>
      <c r="CM598" s="373"/>
      <c r="CN598" s="374"/>
      <c r="CO598" s="375"/>
      <c r="CP598" s="375"/>
      <c r="CR598" s="373"/>
      <c r="CS598" s="374"/>
      <c r="CT598" s="375"/>
      <c r="CU598" s="375"/>
      <c r="CW598" s="373"/>
      <c r="CX598" s="374"/>
      <c r="CY598" s="375"/>
      <c r="CZ598" s="375"/>
      <c r="DB598" s="373"/>
      <c r="DC598" s="374"/>
      <c r="DD598" s="375"/>
      <c r="DE598" s="375"/>
      <c r="DG598" s="373"/>
      <c r="DH598" s="374"/>
      <c r="DI598" s="375"/>
      <c r="DJ598" s="375"/>
      <c r="DL598" s="373"/>
      <c r="DM598" s="374"/>
      <c r="DN598" s="375"/>
      <c r="DO598" s="375"/>
      <c r="DQ598" s="373"/>
      <c r="DR598" s="374"/>
      <c r="DS598" s="375"/>
      <c r="DT598" s="375"/>
      <c r="DV598" s="373"/>
      <c r="DW598" s="374"/>
      <c r="DX598" s="375"/>
      <c r="DY598" s="375"/>
      <c r="EA598" s="373"/>
      <c r="EB598" s="374"/>
      <c r="EC598" s="375"/>
      <c r="ED598" s="375"/>
      <c r="EF598" s="373"/>
      <c r="EG598" s="374"/>
      <c r="EH598" s="375"/>
      <c r="EI598" s="375"/>
      <c r="EK598" s="373"/>
      <c r="EL598" s="374"/>
      <c r="EM598" s="375"/>
      <c r="EN598" s="375"/>
      <c r="EP598" s="373"/>
      <c r="EQ598" s="374"/>
      <c r="ER598" s="375"/>
      <c r="ES598" s="375"/>
      <c r="EU598" s="373"/>
      <c r="EV598" s="374"/>
      <c r="EW598" s="375"/>
      <c r="EX598" s="375"/>
      <c r="EZ598" s="373"/>
      <c r="FA598" s="374"/>
      <c r="FB598" s="375"/>
      <c r="FC598" s="375"/>
      <c r="FE598" s="373"/>
      <c r="FF598" s="374"/>
      <c r="FG598" s="375"/>
      <c r="FH598" s="375"/>
      <c r="FJ598" s="373"/>
      <c r="FK598" s="374"/>
      <c r="FL598" s="375"/>
      <c r="FM598" s="375"/>
      <c r="FO598" s="373"/>
      <c r="FP598" s="374"/>
      <c r="FQ598" s="375"/>
      <c r="FR598" s="375"/>
      <c r="FT598" s="373"/>
      <c r="FU598" s="374"/>
      <c r="FV598" s="375"/>
      <c r="FW598" s="375"/>
      <c r="FY598" s="373"/>
      <c r="FZ598" s="374"/>
      <c r="GA598" s="375"/>
      <c r="GB598" s="375"/>
      <c r="GD598" s="373"/>
      <c r="GE598" s="374"/>
      <c r="GF598" s="375"/>
      <c r="GG598" s="375"/>
      <c r="GI598" s="373"/>
      <c r="GJ598" s="374"/>
      <c r="GK598" s="375"/>
      <c r="GL598" s="375"/>
      <c r="GN598" s="373"/>
      <c r="GO598" s="374"/>
      <c r="GP598" s="375"/>
      <c r="GQ598" s="375"/>
      <c r="GS598" s="373"/>
      <c r="GT598" s="374"/>
      <c r="GU598" s="375"/>
      <c r="GV598" s="375"/>
      <c r="GX598" s="373"/>
      <c r="GY598" s="374"/>
      <c r="GZ598" s="375"/>
      <c r="HA598" s="375"/>
      <c r="HC598" s="373"/>
      <c r="HD598" s="374"/>
      <c r="HE598" s="375"/>
      <c r="HF598" s="375"/>
      <c r="HH598" s="373"/>
      <c r="HI598" s="374"/>
      <c r="HJ598" s="375"/>
      <c r="HK598" s="375"/>
      <c r="HM598" s="373"/>
      <c r="HN598" s="374"/>
      <c r="HO598" s="375"/>
      <c r="HP598" s="375"/>
      <c r="HR598" s="373"/>
      <c r="HS598" s="374"/>
      <c r="HT598" s="375"/>
      <c r="HU598" s="375"/>
      <c r="HW598" s="373"/>
      <c r="HX598" s="374"/>
      <c r="HY598" s="375"/>
      <c r="HZ598" s="375"/>
      <c r="IB598" s="373"/>
      <c r="IC598" s="374"/>
      <c r="ID598" s="375"/>
      <c r="IE598" s="375"/>
      <c r="IG598" s="373"/>
      <c r="IH598" s="374"/>
      <c r="II598" s="375"/>
      <c r="IJ598" s="375"/>
      <c r="IL598" s="373"/>
      <c r="IM598" s="374"/>
      <c r="IN598" s="375"/>
      <c r="IO598" s="375"/>
      <c r="IQ598" s="373"/>
      <c r="IR598" s="374"/>
      <c r="IS598" s="375"/>
      <c r="IT598" s="375"/>
      <c r="IV598" s="373"/>
    </row>
    <row r="599" spans="1:256" s="376" customFormat="1" x14ac:dyDescent="0.2">
      <c r="A599" s="373"/>
      <c r="B599" s="374"/>
      <c r="C599" s="375"/>
      <c r="D599" s="375"/>
      <c r="F599" s="373"/>
      <c r="G599" s="374"/>
      <c r="H599" s="375"/>
      <c r="I599" s="375"/>
      <c r="K599" s="373"/>
      <c r="L599" s="374"/>
      <c r="M599" s="375"/>
      <c r="N599" s="375"/>
      <c r="P599" s="373"/>
      <c r="Q599" s="374"/>
      <c r="R599" s="375"/>
      <c r="S599" s="375"/>
      <c r="U599" s="373"/>
      <c r="V599" s="374"/>
      <c r="W599" s="375"/>
      <c r="X599" s="375"/>
      <c r="Z599" s="373"/>
      <c r="AA599" s="374"/>
      <c r="AB599" s="375"/>
      <c r="AC599" s="375"/>
      <c r="AE599" s="373"/>
      <c r="AF599" s="374"/>
      <c r="AG599" s="375"/>
      <c r="AH599" s="375"/>
      <c r="AJ599" s="373"/>
      <c r="AK599" s="374"/>
      <c r="AL599" s="375"/>
      <c r="AM599" s="375"/>
      <c r="AO599" s="373"/>
      <c r="AP599" s="374"/>
      <c r="AQ599" s="375"/>
      <c r="AR599" s="375"/>
      <c r="AT599" s="373"/>
      <c r="AU599" s="374"/>
      <c r="AV599" s="375"/>
      <c r="AW599" s="375"/>
      <c r="AY599" s="373"/>
      <c r="AZ599" s="374"/>
      <c r="BA599" s="375"/>
      <c r="BB599" s="375"/>
      <c r="BD599" s="373"/>
      <c r="BE599" s="374"/>
      <c r="BF599" s="375"/>
      <c r="BG599" s="375"/>
      <c r="BI599" s="373"/>
      <c r="BJ599" s="374"/>
      <c r="BK599" s="375"/>
      <c r="BL599" s="375"/>
      <c r="BN599" s="373"/>
      <c r="BO599" s="374"/>
      <c r="BP599" s="375"/>
      <c r="BQ599" s="375"/>
      <c r="BS599" s="373"/>
      <c r="BT599" s="374"/>
      <c r="BU599" s="375"/>
      <c r="BV599" s="375"/>
      <c r="BX599" s="373"/>
      <c r="BY599" s="374"/>
      <c r="BZ599" s="375"/>
      <c r="CA599" s="375"/>
      <c r="CC599" s="373"/>
      <c r="CD599" s="374"/>
      <c r="CE599" s="375"/>
      <c r="CF599" s="375"/>
      <c r="CH599" s="373"/>
      <c r="CI599" s="374"/>
      <c r="CJ599" s="375"/>
      <c r="CK599" s="375"/>
      <c r="CM599" s="373"/>
      <c r="CN599" s="374"/>
      <c r="CO599" s="375"/>
      <c r="CP599" s="375"/>
      <c r="CR599" s="373"/>
      <c r="CS599" s="374"/>
      <c r="CT599" s="375"/>
      <c r="CU599" s="375"/>
      <c r="CW599" s="373"/>
      <c r="CX599" s="374"/>
      <c r="CY599" s="375"/>
      <c r="CZ599" s="375"/>
      <c r="DB599" s="373"/>
      <c r="DC599" s="374"/>
      <c r="DD599" s="375"/>
      <c r="DE599" s="375"/>
      <c r="DG599" s="373"/>
      <c r="DH599" s="374"/>
      <c r="DI599" s="375"/>
      <c r="DJ599" s="375"/>
      <c r="DL599" s="373"/>
      <c r="DM599" s="374"/>
      <c r="DN599" s="375"/>
      <c r="DO599" s="375"/>
      <c r="DQ599" s="373"/>
      <c r="DR599" s="374"/>
      <c r="DS599" s="375"/>
      <c r="DT599" s="375"/>
      <c r="DV599" s="373"/>
      <c r="DW599" s="374"/>
      <c r="DX599" s="375"/>
      <c r="DY599" s="375"/>
      <c r="EA599" s="373"/>
      <c r="EB599" s="374"/>
      <c r="EC599" s="375"/>
      <c r="ED599" s="375"/>
      <c r="EF599" s="373"/>
      <c r="EG599" s="374"/>
      <c r="EH599" s="375"/>
      <c r="EI599" s="375"/>
      <c r="EK599" s="373"/>
      <c r="EL599" s="374"/>
      <c r="EM599" s="375"/>
      <c r="EN599" s="375"/>
      <c r="EP599" s="373"/>
      <c r="EQ599" s="374"/>
      <c r="ER599" s="375"/>
      <c r="ES599" s="375"/>
      <c r="EU599" s="373"/>
      <c r="EV599" s="374"/>
      <c r="EW599" s="375"/>
      <c r="EX599" s="375"/>
      <c r="EZ599" s="373"/>
      <c r="FA599" s="374"/>
      <c r="FB599" s="375"/>
      <c r="FC599" s="375"/>
      <c r="FE599" s="373"/>
      <c r="FF599" s="374"/>
      <c r="FG599" s="375"/>
      <c r="FH599" s="375"/>
      <c r="FJ599" s="373"/>
      <c r="FK599" s="374"/>
      <c r="FL599" s="375"/>
      <c r="FM599" s="375"/>
      <c r="FO599" s="373"/>
      <c r="FP599" s="374"/>
      <c r="FQ599" s="375"/>
      <c r="FR599" s="375"/>
      <c r="FT599" s="373"/>
      <c r="FU599" s="374"/>
      <c r="FV599" s="375"/>
      <c r="FW599" s="375"/>
      <c r="FY599" s="373"/>
      <c r="FZ599" s="374"/>
      <c r="GA599" s="375"/>
      <c r="GB599" s="375"/>
      <c r="GD599" s="373"/>
      <c r="GE599" s="374"/>
      <c r="GF599" s="375"/>
      <c r="GG599" s="375"/>
      <c r="GI599" s="373"/>
      <c r="GJ599" s="374"/>
      <c r="GK599" s="375"/>
      <c r="GL599" s="375"/>
      <c r="GN599" s="373"/>
      <c r="GO599" s="374"/>
      <c r="GP599" s="375"/>
      <c r="GQ599" s="375"/>
      <c r="GS599" s="373"/>
      <c r="GT599" s="374"/>
      <c r="GU599" s="375"/>
      <c r="GV599" s="375"/>
      <c r="GX599" s="373"/>
      <c r="GY599" s="374"/>
      <c r="GZ599" s="375"/>
      <c r="HA599" s="375"/>
      <c r="HC599" s="373"/>
      <c r="HD599" s="374"/>
      <c r="HE599" s="375"/>
      <c r="HF599" s="375"/>
      <c r="HH599" s="373"/>
      <c r="HI599" s="374"/>
      <c r="HJ599" s="375"/>
      <c r="HK599" s="375"/>
      <c r="HM599" s="373"/>
      <c r="HN599" s="374"/>
      <c r="HO599" s="375"/>
      <c r="HP599" s="375"/>
      <c r="HR599" s="373"/>
      <c r="HS599" s="374"/>
      <c r="HT599" s="375"/>
      <c r="HU599" s="375"/>
      <c r="HW599" s="373"/>
      <c r="HX599" s="374"/>
      <c r="HY599" s="375"/>
      <c r="HZ599" s="375"/>
      <c r="IB599" s="373"/>
      <c r="IC599" s="374"/>
      <c r="ID599" s="375"/>
      <c r="IE599" s="375"/>
      <c r="IG599" s="373"/>
      <c r="IH599" s="374"/>
      <c r="II599" s="375"/>
      <c r="IJ599" s="375"/>
      <c r="IL599" s="373"/>
      <c r="IM599" s="374"/>
      <c r="IN599" s="375"/>
      <c r="IO599" s="375"/>
      <c r="IQ599" s="373"/>
      <c r="IR599" s="374"/>
      <c r="IS599" s="375"/>
      <c r="IT599" s="375"/>
      <c r="IV599" s="373"/>
    </row>
    <row r="600" spans="1:256" s="376" customFormat="1" x14ac:dyDescent="0.2">
      <c r="A600" s="373"/>
      <c r="B600" s="374"/>
      <c r="C600" s="375"/>
      <c r="D600" s="375"/>
      <c r="F600" s="373"/>
      <c r="G600" s="374"/>
      <c r="H600" s="375"/>
      <c r="I600" s="375"/>
      <c r="K600" s="373"/>
      <c r="L600" s="374"/>
      <c r="M600" s="375"/>
      <c r="N600" s="375"/>
      <c r="P600" s="373"/>
      <c r="Q600" s="374"/>
      <c r="R600" s="375"/>
      <c r="S600" s="375"/>
      <c r="U600" s="373"/>
      <c r="V600" s="374"/>
      <c r="W600" s="375"/>
      <c r="X600" s="375"/>
      <c r="Z600" s="373"/>
      <c r="AA600" s="374"/>
      <c r="AB600" s="375"/>
      <c r="AC600" s="375"/>
      <c r="AE600" s="373"/>
      <c r="AF600" s="374"/>
      <c r="AG600" s="375"/>
      <c r="AH600" s="375"/>
      <c r="AJ600" s="373"/>
      <c r="AK600" s="374"/>
      <c r="AL600" s="375"/>
      <c r="AM600" s="375"/>
      <c r="AO600" s="373"/>
      <c r="AP600" s="374"/>
      <c r="AQ600" s="375"/>
      <c r="AR600" s="375"/>
      <c r="AT600" s="373"/>
      <c r="AU600" s="374"/>
      <c r="AV600" s="375"/>
      <c r="AW600" s="375"/>
      <c r="AY600" s="373"/>
      <c r="AZ600" s="374"/>
      <c r="BA600" s="375"/>
      <c r="BB600" s="375"/>
      <c r="BD600" s="373"/>
      <c r="BE600" s="374"/>
      <c r="BF600" s="375"/>
      <c r="BG600" s="375"/>
      <c r="BI600" s="373"/>
      <c r="BJ600" s="374"/>
      <c r="BK600" s="375"/>
      <c r="BL600" s="375"/>
      <c r="BN600" s="373"/>
      <c r="BO600" s="374"/>
      <c r="BP600" s="375"/>
      <c r="BQ600" s="375"/>
      <c r="BS600" s="373"/>
      <c r="BT600" s="374"/>
      <c r="BU600" s="375"/>
      <c r="BV600" s="375"/>
      <c r="BX600" s="373"/>
      <c r="BY600" s="374"/>
      <c r="BZ600" s="375"/>
      <c r="CA600" s="375"/>
      <c r="CC600" s="373"/>
      <c r="CD600" s="374"/>
      <c r="CE600" s="375"/>
      <c r="CF600" s="375"/>
      <c r="CH600" s="373"/>
      <c r="CI600" s="374"/>
      <c r="CJ600" s="375"/>
      <c r="CK600" s="375"/>
      <c r="CM600" s="373"/>
      <c r="CN600" s="374"/>
      <c r="CO600" s="375"/>
      <c r="CP600" s="375"/>
      <c r="CR600" s="373"/>
      <c r="CS600" s="374"/>
      <c r="CT600" s="375"/>
      <c r="CU600" s="375"/>
      <c r="CW600" s="373"/>
      <c r="CX600" s="374"/>
      <c r="CY600" s="375"/>
      <c r="CZ600" s="375"/>
      <c r="DB600" s="373"/>
      <c r="DC600" s="374"/>
      <c r="DD600" s="375"/>
      <c r="DE600" s="375"/>
      <c r="DG600" s="373"/>
      <c r="DH600" s="374"/>
      <c r="DI600" s="375"/>
      <c r="DJ600" s="375"/>
      <c r="DL600" s="373"/>
      <c r="DM600" s="374"/>
      <c r="DN600" s="375"/>
      <c r="DO600" s="375"/>
      <c r="DQ600" s="373"/>
      <c r="DR600" s="374"/>
      <c r="DS600" s="375"/>
      <c r="DT600" s="375"/>
      <c r="DV600" s="373"/>
      <c r="DW600" s="374"/>
      <c r="DX600" s="375"/>
      <c r="DY600" s="375"/>
      <c r="EA600" s="373"/>
      <c r="EB600" s="374"/>
      <c r="EC600" s="375"/>
      <c r="ED600" s="375"/>
      <c r="EF600" s="373"/>
      <c r="EG600" s="374"/>
      <c r="EH600" s="375"/>
      <c r="EI600" s="375"/>
      <c r="EK600" s="373"/>
      <c r="EL600" s="374"/>
      <c r="EM600" s="375"/>
      <c r="EN600" s="375"/>
      <c r="EP600" s="373"/>
      <c r="EQ600" s="374"/>
      <c r="ER600" s="375"/>
      <c r="ES600" s="375"/>
      <c r="EU600" s="373"/>
      <c r="EV600" s="374"/>
      <c r="EW600" s="375"/>
      <c r="EX600" s="375"/>
      <c r="EZ600" s="373"/>
      <c r="FA600" s="374"/>
      <c r="FB600" s="375"/>
      <c r="FC600" s="375"/>
      <c r="FE600" s="373"/>
      <c r="FF600" s="374"/>
      <c r="FG600" s="375"/>
      <c r="FH600" s="375"/>
      <c r="FJ600" s="373"/>
      <c r="FK600" s="374"/>
      <c r="FL600" s="375"/>
      <c r="FM600" s="375"/>
      <c r="FO600" s="373"/>
      <c r="FP600" s="374"/>
      <c r="FQ600" s="375"/>
      <c r="FR600" s="375"/>
      <c r="FT600" s="373"/>
      <c r="FU600" s="374"/>
      <c r="FV600" s="375"/>
      <c r="FW600" s="375"/>
      <c r="FY600" s="373"/>
      <c r="FZ600" s="374"/>
      <c r="GA600" s="375"/>
      <c r="GB600" s="375"/>
      <c r="GD600" s="373"/>
      <c r="GE600" s="374"/>
      <c r="GF600" s="375"/>
      <c r="GG600" s="375"/>
      <c r="GI600" s="373"/>
      <c r="GJ600" s="374"/>
      <c r="GK600" s="375"/>
      <c r="GL600" s="375"/>
      <c r="GN600" s="373"/>
      <c r="GO600" s="374"/>
      <c r="GP600" s="375"/>
      <c r="GQ600" s="375"/>
      <c r="GS600" s="373"/>
      <c r="GT600" s="374"/>
      <c r="GU600" s="375"/>
      <c r="GV600" s="375"/>
      <c r="GX600" s="373"/>
      <c r="GY600" s="374"/>
      <c r="GZ600" s="375"/>
      <c r="HA600" s="375"/>
      <c r="HC600" s="373"/>
      <c r="HD600" s="374"/>
      <c r="HE600" s="375"/>
      <c r="HF600" s="375"/>
      <c r="HH600" s="373"/>
      <c r="HI600" s="374"/>
      <c r="HJ600" s="375"/>
      <c r="HK600" s="375"/>
      <c r="HM600" s="373"/>
      <c r="HN600" s="374"/>
      <c r="HO600" s="375"/>
      <c r="HP600" s="375"/>
      <c r="HR600" s="373"/>
      <c r="HS600" s="374"/>
      <c r="HT600" s="375"/>
      <c r="HU600" s="375"/>
      <c r="HW600" s="373"/>
      <c r="HX600" s="374"/>
      <c r="HY600" s="375"/>
      <c r="HZ600" s="375"/>
      <c r="IB600" s="373"/>
      <c r="IC600" s="374"/>
      <c r="ID600" s="375"/>
      <c r="IE600" s="375"/>
      <c r="IG600" s="373"/>
      <c r="IH600" s="374"/>
      <c r="II600" s="375"/>
      <c r="IJ600" s="375"/>
      <c r="IL600" s="373"/>
      <c r="IM600" s="374"/>
      <c r="IN600" s="375"/>
      <c r="IO600" s="375"/>
      <c r="IQ600" s="373"/>
      <c r="IR600" s="374"/>
      <c r="IS600" s="375"/>
      <c r="IT600" s="375"/>
      <c r="IV600" s="373"/>
    </row>
    <row r="601" spans="1:256" s="376" customFormat="1" x14ac:dyDescent="0.2">
      <c r="A601" s="373"/>
      <c r="B601" s="374"/>
      <c r="C601" s="375"/>
      <c r="D601" s="375"/>
      <c r="F601" s="373"/>
      <c r="G601" s="374"/>
      <c r="H601" s="375"/>
      <c r="I601" s="375"/>
      <c r="K601" s="373"/>
      <c r="L601" s="374"/>
      <c r="M601" s="375"/>
      <c r="N601" s="375"/>
      <c r="P601" s="373"/>
      <c r="Q601" s="374"/>
      <c r="R601" s="375"/>
      <c r="S601" s="375"/>
      <c r="U601" s="373"/>
      <c r="V601" s="374"/>
      <c r="W601" s="375"/>
      <c r="X601" s="375"/>
      <c r="Z601" s="373"/>
      <c r="AA601" s="374"/>
      <c r="AB601" s="375"/>
      <c r="AC601" s="375"/>
      <c r="AE601" s="373"/>
      <c r="AF601" s="374"/>
      <c r="AG601" s="375"/>
      <c r="AH601" s="375"/>
      <c r="AJ601" s="373"/>
      <c r="AK601" s="374"/>
      <c r="AL601" s="375"/>
      <c r="AM601" s="375"/>
      <c r="AO601" s="373"/>
      <c r="AP601" s="374"/>
      <c r="AQ601" s="375"/>
      <c r="AR601" s="375"/>
      <c r="AT601" s="373"/>
      <c r="AU601" s="374"/>
      <c r="AV601" s="375"/>
      <c r="AW601" s="375"/>
      <c r="AY601" s="373"/>
      <c r="AZ601" s="374"/>
      <c r="BA601" s="375"/>
      <c r="BB601" s="375"/>
      <c r="BD601" s="373"/>
      <c r="BE601" s="374"/>
      <c r="BF601" s="375"/>
      <c r="BG601" s="375"/>
      <c r="BI601" s="373"/>
      <c r="BJ601" s="374"/>
      <c r="BK601" s="375"/>
      <c r="BL601" s="375"/>
      <c r="BN601" s="373"/>
      <c r="BO601" s="374"/>
      <c r="BP601" s="375"/>
      <c r="BQ601" s="375"/>
      <c r="BS601" s="373"/>
      <c r="BT601" s="374"/>
      <c r="BU601" s="375"/>
      <c r="BV601" s="375"/>
      <c r="BX601" s="373"/>
      <c r="BY601" s="374"/>
      <c r="BZ601" s="375"/>
      <c r="CA601" s="375"/>
      <c r="CC601" s="373"/>
      <c r="CD601" s="374"/>
      <c r="CE601" s="375"/>
      <c r="CF601" s="375"/>
      <c r="CH601" s="373"/>
      <c r="CI601" s="374"/>
      <c r="CJ601" s="375"/>
      <c r="CK601" s="375"/>
      <c r="CM601" s="373"/>
      <c r="CN601" s="374"/>
      <c r="CO601" s="375"/>
      <c r="CP601" s="375"/>
      <c r="CR601" s="373"/>
      <c r="CS601" s="374"/>
      <c r="CT601" s="375"/>
      <c r="CU601" s="375"/>
      <c r="CW601" s="373"/>
      <c r="CX601" s="374"/>
      <c r="CY601" s="375"/>
      <c r="CZ601" s="375"/>
      <c r="DB601" s="373"/>
      <c r="DC601" s="374"/>
      <c r="DD601" s="375"/>
      <c r="DE601" s="375"/>
      <c r="DG601" s="373"/>
      <c r="DH601" s="374"/>
      <c r="DI601" s="375"/>
      <c r="DJ601" s="375"/>
      <c r="DL601" s="373"/>
      <c r="DM601" s="374"/>
      <c r="DN601" s="375"/>
      <c r="DO601" s="375"/>
      <c r="DQ601" s="373"/>
      <c r="DR601" s="374"/>
      <c r="DS601" s="375"/>
      <c r="DT601" s="375"/>
      <c r="DV601" s="373"/>
      <c r="DW601" s="374"/>
      <c r="DX601" s="375"/>
      <c r="DY601" s="375"/>
      <c r="EA601" s="373"/>
      <c r="EB601" s="374"/>
      <c r="EC601" s="375"/>
      <c r="ED601" s="375"/>
      <c r="EF601" s="373"/>
      <c r="EG601" s="374"/>
      <c r="EH601" s="375"/>
      <c r="EI601" s="375"/>
      <c r="EK601" s="373"/>
      <c r="EL601" s="374"/>
      <c r="EM601" s="375"/>
      <c r="EN601" s="375"/>
      <c r="EP601" s="373"/>
      <c r="EQ601" s="374"/>
      <c r="ER601" s="375"/>
      <c r="ES601" s="375"/>
      <c r="EU601" s="373"/>
      <c r="EV601" s="374"/>
      <c r="EW601" s="375"/>
      <c r="EX601" s="375"/>
      <c r="EZ601" s="373"/>
      <c r="FA601" s="374"/>
      <c r="FB601" s="375"/>
      <c r="FC601" s="375"/>
      <c r="FE601" s="373"/>
      <c r="FF601" s="374"/>
      <c r="FG601" s="375"/>
      <c r="FH601" s="375"/>
      <c r="FJ601" s="373"/>
      <c r="FK601" s="374"/>
      <c r="FL601" s="375"/>
      <c r="FM601" s="375"/>
      <c r="FO601" s="373"/>
      <c r="FP601" s="374"/>
      <c r="FQ601" s="375"/>
      <c r="FR601" s="375"/>
      <c r="FT601" s="373"/>
      <c r="FU601" s="374"/>
      <c r="FV601" s="375"/>
      <c r="FW601" s="375"/>
      <c r="FY601" s="373"/>
      <c r="FZ601" s="374"/>
      <c r="GA601" s="375"/>
      <c r="GB601" s="375"/>
      <c r="GD601" s="373"/>
      <c r="GE601" s="374"/>
      <c r="GF601" s="375"/>
      <c r="GG601" s="375"/>
      <c r="GI601" s="373"/>
      <c r="GJ601" s="374"/>
      <c r="GK601" s="375"/>
      <c r="GL601" s="375"/>
      <c r="GN601" s="373"/>
      <c r="GO601" s="374"/>
      <c r="GP601" s="375"/>
      <c r="GQ601" s="375"/>
      <c r="GS601" s="373"/>
      <c r="GT601" s="374"/>
      <c r="GU601" s="375"/>
      <c r="GV601" s="375"/>
      <c r="GX601" s="373"/>
      <c r="GY601" s="374"/>
      <c r="GZ601" s="375"/>
      <c r="HA601" s="375"/>
      <c r="HC601" s="373"/>
      <c r="HD601" s="374"/>
      <c r="HE601" s="375"/>
      <c r="HF601" s="375"/>
      <c r="HH601" s="373"/>
      <c r="HI601" s="374"/>
      <c r="HJ601" s="375"/>
      <c r="HK601" s="375"/>
      <c r="HM601" s="373"/>
      <c r="HN601" s="374"/>
      <c r="HO601" s="375"/>
      <c r="HP601" s="375"/>
      <c r="HR601" s="373"/>
      <c r="HS601" s="374"/>
      <c r="HT601" s="375"/>
      <c r="HU601" s="375"/>
      <c r="HW601" s="373"/>
      <c r="HX601" s="374"/>
      <c r="HY601" s="375"/>
      <c r="HZ601" s="375"/>
      <c r="IB601" s="373"/>
      <c r="IC601" s="374"/>
      <c r="ID601" s="375"/>
      <c r="IE601" s="375"/>
      <c r="IG601" s="373"/>
      <c r="IH601" s="374"/>
      <c r="II601" s="375"/>
      <c r="IJ601" s="375"/>
      <c r="IL601" s="373"/>
      <c r="IM601" s="374"/>
      <c r="IN601" s="375"/>
      <c r="IO601" s="375"/>
      <c r="IQ601" s="373"/>
      <c r="IR601" s="374"/>
      <c r="IS601" s="375"/>
      <c r="IT601" s="375"/>
      <c r="IV601" s="373"/>
    </row>
    <row r="602" spans="1:256" s="376" customFormat="1" x14ac:dyDescent="0.2">
      <c r="A602" s="373"/>
      <c r="B602" s="374"/>
      <c r="C602" s="375"/>
      <c r="D602" s="375"/>
      <c r="F602" s="373"/>
      <c r="G602" s="374"/>
      <c r="H602" s="375"/>
      <c r="I602" s="375"/>
      <c r="K602" s="373"/>
      <c r="L602" s="374"/>
      <c r="M602" s="375"/>
      <c r="N602" s="375"/>
      <c r="P602" s="373"/>
      <c r="Q602" s="374"/>
      <c r="R602" s="375"/>
      <c r="S602" s="375"/>
      <c r="U602" s="373"/>
      <c r="V602" s="374"/>
      <c r="W602" s="375"/>
      <c r="X602" s="375"/>
      <c r="Z602" s="373"/>
      <c r="AA602" s="374"/>
      <c r="AB602" s="375"/>
      <c r="AC602" s="375"/>
      <c r="AE602" s="373"/>
      <c r="AF602" s="374"/>
      <c r="AG602" s="375"/>
      <c r="AH602" s="375"/>
      <c r="AJ602" s="373"/>
      <c r="AK602" s="374"/>
      <c r="AL602" s="375"/>
      <c r="AM602" s="375"/>
      <c r="AO602" s="373"/>
      <c r="AP602" s="374"/>
      <c r="AQ602" s="375"/>
      <c r="AR602" s="375"/>
      <c r="AT602" s="373"/>
      <c r="AU602" s="374"/>
      <c r="AV602" s="375"/>
      <c r="AW602" s="375"/>
      <c r="AY602" s="373"/>
      <c r="AZ602" s="374"/>
      <c r="BA602" s="375"/>
      <c r="BB602" s="375"/>
      <c r="BD602" s="373"/>
      <c r="BE602" s="374"/>
      <c r="BF602" s="375"/>
      <c r="BG602" s="375"/>
      <c r="BI602" s="373"/>
      <c r="BJ602" s="374"/>
      <c r="BK602" s="375"/>
      <c r="BL602" s="375"/>
      <c r="BN602" s="373"/>
      <c r="BO602" s="374"/>
      <c r="BP602" s="375"/>
      <c r="BQ602" s="375"/>
      <c r="BS602" s="373"/>
      <c r="BT602" s="374"/>
      <c r="BU602" s="375"/>
      <c r="BV602" s="375"/>
      <c r="BX602" s="373"/>
      <c r="BY602" s="374"/>
      <c r="BZ602" s="375"/>
      <c r="CA602" s="375"/>
      <c r="CC602" s="373"/>
      <c r="CD602" s="374"/>
      <c r="CE602" s="375"/>
      <c r="CF602" s="375"/>
      <c r="CH602" s="373"/>
      <c r="CI602" s="374"/>
      <c r="CJ602" s="375"/>
      <c r="CK602" s="375"/>
      <c r="CM602" s="373"/>
      <c r="CN602" s="374"/>
      <c r="CO602" s="375"/>
      <c r="CP602" s="375"/>
      <c r="CR602" s="373"/>
      <c r="CS602" s="374"/>
      <c r="CT602" s="375"/>
      <c r="CU602" s="375"/>
      <c r="CW602" s="373"/>
      <c r="CX602" s="374"/>
      <c r="CY602" s="375"/>
      <c r="CZ602" s="375"/>
      <c r="DB602" s="373"/>
      <c r="DC602" s="374"/>
      <c r="DD602" s="375"/>
      <c r="DE602" s="375"/>
      <c r="DG602" s="373"/>
      <c r="DH602" s="374"/>
      <c r="DI602" s="375"/>
      <c r="DJ602" s="375"/>
      <c r="DL602" s="373"/>
      <c r="DM602" s="374"/>
      <c r="DN602" s="375"/>
      <c r="DO602" s="375"/>
      <c r="DQ602" s="373"/>
      <c r="DR602" s="374"/>
      <c r="DS602" s="375"/>
      <c r="DT602" s="375"/>
      <c r="DV602" s="373"/>
      <c r="DW602" s="374"/>
      <c r="DX602" s="375"/>
      <c r="DY602" s="375"/>
      <c r="EA602" s="373"/>
      <c r="EB602" s="374"/>
      <c r="EC602" s="375"/>
      <c r="ED602" s="375"/>
      <c r="EF602" s="373"/>
      <c r="EG602" s="374"/>
      <c r="EH602" s="375"/>
      <c r="EI602" s="375"/>
      <c r="EK602" s="373"/>
      <c r="EL602" s="374"/>
      <c r="EM602" s="375"/>
      <c r="EN602" s="375"/>
      <c r="EP602" s="373"/>
      <c r="EQ602" s="374"/>
      <c r="ER602" s="375"/>
      <c r="ES602" s="375"/>
      <c r="EU602" s="373"/>
      <c r="EV602" s="374"/>
      <c r="EW602" s="375"/>
      <c r="EX602" s="375"/>
      <c r="EZ602" s="373"/>
      <c r="FA602" s="374"/>
      <c r="FB602" s="375"/>
      <c r="FC602" s="375"/>
      <c r="FE602" s="373"/>
      <c r="FF602" s="374"/>
      <c r="FG602" s="375"/>
      <c r="FH602" s="375"/>
      <c r="FJ602" s="373"/>
      <c r="FK602" s="374"/>
      <c r="FL602" s="375"/>
      <c r="FM602" s="375"/>
      <c r="FO602" s="373"/>
      <c r="FP602" s="374"/>
      <c r="FQ602" s="375"/>
      <c r="FR602" s="375"/>
      <c r="FT602" s="373"/>
      <c r="FU602" s="374"/>
      <c r="FV602" s="375"/>
      <c r="FW602" s="375"/>
      <c r="FY602" s="373"/>
      <c r="FZ602" s="374"/>
      <c r="GA602" s="375"/>
      <c r="GB602" s="375"/>
      <c r="GD602" s="373"/>
      <c r="GE602" s="374"/>
      <c r="GF602" s="375"/>
      <c r="GG602" s="375"/>
      <c r="GI602" s="373"/>
      <c r="GJ602" s="374"/>
      <c r="GK602" s="375"/>
      <c r="GL602" s="375"/>
      <c r="GN602" s="373"/>
      <c r="GO602" s="374"/>
      <c r="GP602" s="375"/>
      <c r="GQ602" s="375"/>
      <c r="GS602" s="373"/>
      <c r="GT602" s="374"/>
      <c r="GU602" s="375"/>
      <c r="GV602" s="375"/>
      <c r="GX602" s="373"/>
      <c r="GY602" s="374"/>
      <c r="GZ602" s="375"/>
      <c r="HA602" s="375"/>
      <c r="HC602" s="373"/>
      <c r="HD602" s="374"/>
      <c r="HE602" s="375"/>
      <c r="HF602" s="375"/>
      <c r="HH602" s="373"/>
      <c r="HI602" s="374"/>
      <c r="HJ602" s="375"/>
      <c r="HK602" s="375"/>
      <c r="HM602" s="373"/>
      <c r="HN602" s="374"/>
      <c r="HO602" s="375"/>
      <c r="HP602" s="375"/>
      <c r="HR602" s="373"/>
      <c r="HS602" s="374"/>
      <c r="HT602" s="375"/>
      <c r="HU602" s="375"/>
      <c r="HW602" s="373"/>
      <c r="HX602" s="374"/>
      <c r="HY602" s="375"/>
      <c r="HZ602" s="375"/>
      <c r="IB602" s="373"/>
      <c r="IC602" s="374"/>
      <c r="ID602" s="375"/>
      <c r="IE602" s="375"/>
      <c r="IG602" s="373"/>
      <c r="IH602" s="374"/>
      <c r="II602" s="375"/>
      <c r="IJ602" s="375"/>
      <c r="IL602" s="373"/>
      <c r="IM602" s="374"/>
      <c r="IN602" s="375"/>
      <c r="IO602" s="375"/>
      <c r="IQ602" s="373"/>
      <c r="IR602" s="374"/>
      <c r="IS602" s="375"/>
      <c r="IT602" s="375"/>
      <c r="IV602" s="373"/>
    </row>
    <row r="603" spans="1:256" s="376" customFormat="1" x14ac:dyDescent="0.2">
      <c r="A603" s="373"/>
      <c r="B603" s="374"/>
      <c r="C603" s="375"/>
      <c r="D603" s="375"/>
      <c r="F603" s="373"/>
      <c r="G603" s="374"/>
      <c r="H603" s="375"/>
      <c r="I603" s="375"/>
      <c r="K603" s="373"/>
      <c r="L603" s="374"/>
      <c r="M603" s="375"/>
      <c r="N603" s="375"/>
      <c r="P603" s="373"/>
      <c r="Q603" s="374"/>
      <c r="R603" s="375"/>
      <c r="S603" s="375"/>
      <c r="U603" s="373"/>
      <c r="V603" s="374"/>
      <c r="W603" s="375"/>
      <c r="X603" s="375"/>
      <c r="Z603" s="373"/>
      <c r="AA603" s="374"/>
      <c r="AB603" s="375"/>
      <c r="AC603" s="375"/>
      <c r="AE603" s="373"/>
      <c r="AF603" s="374"/>
      <c r="AG603" s="375"/>
      <c r="AH603" s="375"/>
      <c r="AJ603" s="373"/>
      <c r="AK603" s="374"/>
      <c r="AL603" s="375"/>
      <c r="AM603" s="375"/>
      <c r="AO603" s="373"/>
      <c r="AP603" s="374"/>
      <c r="AQ603" s="375"/>
      <c r="AR603" s="375"/>
      <c r="AT603" s="373"/>
      <c r="AU603" s="374"/>
      <c r="AV603" s="375"/>
      <c r="AW603" s="375"/>
      <c r="AY603" s="373"/>
      <c r="AZ603" s="374"/>
      <c r="BA603" s="375"/>
      <c r="BB603" s="375"/>
      <c r="BD603" s="373"/>
      <c r="BE603" s="374"/>
      <c r="BF603" s="375"/>
      <c r="BG603" s="375"/>
      <c r="BI603" s="373"/>
      <c r="BJ603" s="374"/>
      <c r="BK603" s="375"/>
      <c r="BL603" s="375"/>
      <c r="BN603" s="373"/>
      <c r="BO603" s="374"/>
      <c r="BP603" s="375"/>
      <c r="BQ603" s="375"/>
      <c r="BS603" s="373"/>
      <c r="BT603" s="374"/>
      <c r="BU603" s="375"/>
      <c r="BV603" s="375"/>
      <c r="BX603" s="373"/>
      <c r="BY603" s="374"/>
      <c r="BZ603" s="375"/>
      <c r="CA603" s="375"/>
      <c r="CC603" s="373"/>
      <c r="CD603" s="374"/>
      <c r="CE603" s="375"/>
      <c r="CF603" s="375"/>
      <c r="CH603" s="373"/>
      <c r="CI603" s="374"/>
      <c r="CJ603" s="375"/>
      <c r="CK603" s="375"/>
      <c r="CM603" s="373"/>
      <c r="CN603" s="374"/>
      <c r="CO603" s="375"/>
      <c r="CP603" s="375"/>
      <c r="CR603" s="373"/>
      <c r="CS603" s="374"/>
      <c r="CT603" s="375"/>
      <c r="CU603" s="375"/>
      <c r="CW603" s="373"/>
      <c r="CX603" s="374"/>
      <c r="CY603" s="375"/>
      <c r="CZ603" s="375"/>
      <c r="DB603" s="373"/>
      <c r="DC603" s="374"/>
      <c r="DD603" s="375"/>
      <c r="DE603" s="375"/>
      <c r="DG603" s="373"/>
      <c r="DH603" s="374"/>
      <c r="DI603" s="375"/>
      <c r="DJ603" s="375"/>
      <c r="DL603" s="373"/>
      <c r="DM603" s="374"/>
      <c r="DN603" s="375"/>
      <c r="DO603" s="375"/>
      <c r="DQ603" s="373"/>
      <c r="DR603" s="374"/>
      <c r="DS603" s="375"/>
      <c r="DT603" s="375"/>
      <c r="DV603" s="373"/>
      <c r="DW603" s="374"/>
      <c r="DX603" s="375"/>
      <c r="DY603" s="375"/>
      <c r="EA603" s="373"/>
      <c r="EB603" s="374"/>
      <c r="EC603" s="375"/>
      <c r="ED603" s="375"/>
      <c r="EF603" s="373"/>
      <c r="EG603" s="374"/>
      <c r="EH603" s="375"/>
      <c r="EI603" s="375"/>
      <c r="EK603" s="373"/>
      <c r="EL603" s="374"/>
      <c r="EM603" s="375"/>
      <c r="EN603" s="375"/>
      <c r="EP603" s="373"/>
      <c r="EQ603" s="374"/>
      <c r="ER603" s="375"/>
      <c r="ES603" s="375"/>
      <c r="EU603" s="373"/>
      <c r="EV603" s="374"/>
      <c r="EW603" s="375"/>
      <c r="EX603" s="375"/>
      <c r="EZ603" s="373"/>
      <c r="FA603" s="374"/>
      <c r="FB603" s="375"/>
      <c r="FC603" s="375"/>
      <c r="FE603" s="373"/>
      <c r="FF603" s="374"/>
      <c r="FG603" s="375"/>
      <c r="FH603" s="375"/>
      <c r="FJ603" s="373"/>
      <c r="FK603" s="374"/>
      <c r="FL603" s="375"/>
      <c r="FM603" s="375"/>
      <c r="FO603" s="373"/>
      <c r="FP603" s="374"/>
      <c r="FQ603" s="375"/>
      <c r="FR603" s="375"/>
      <c r="FT603" s="373"/>
      <c r="FU603" s="374"/>
      <c r="FV603" s="375"/>
      <c r="FW603" s="375"/>
      <c r="FY603" s="373"/>
      <c r="FZ603" s="374"/>
      <c r="GA603" s="375"/>
      <c r="GB603" s="375"/>
      <c r="GD603" s="373"/>
      <c r="GE603" s="374"/>
      <c r="GF603" s="375"/>
      <c r="GG603" s="375"/>
      <c r="GI603" s="373"/>
      <c r="GJ603" s="374"/>
      <c r="GK603" s="375"/>
      <c r="GL603" s="375"/>
      <c r="GN603" s="373"/>
      <c r="GO603" s="374"/>
      <c r="GP603" s="375"/>
      <c r="GQ603" s="375"/>
      <c r="GS603" s="373"/>
      <c r="GT603" s="374"/>
      <c r="GU603" s="375"/>
      <c r="GV603" s="375"/>
      <c r="GX603" s="373"/>
      <c r="GY603" s="374"/>
      <c r="GZ603" s="375"/>
      <c r="HA603" s="375"/>
      <c r="HC603" s="373"/>
      <c r="HD603" s="374"/>
      <c r="HE603" s="375"/>
      <c r="HF603" s="375"/>
      <c r="HH603" s="373"/>
      <c r="HI603" s="374"/>
      <c r="HJ603" s="375"/>
      <c r="HK603" s="375"/>
      <c r="HM603" s="373"/>
      <c r="HN603" s="374"/>
      <c r="HO603" s="375"/>
      <c r="HP603" s="375"/>
      <c r="HR603" s="373"/>
      <c r="HS603" s="374"/>
      <c r="HT603" s="375"/>
      <c r="HU603" s="375"/>
      <c r="HW603" s="373"/>
      <c r="HX603" s="374"/>
      <c r="HY603" s="375"/>
      <c r="HZ603" s="375"/>
      <c r="IB603" s="373"/>
      <c r="IC603" s="374"/>
      <c r="ID603" s="375"/>
      <c r="IE603" s="375"/>
      <c r="IG603" s="373"/>
      <c r="IH603" s="374"/>
      <c r="II603" s="375"/>
      <c r="IJ603" s="375"/>
      <c r="IL603" s="373"/>
      <c r="IM603" s="374"/>
      <c r="IN603" s="375"/>
      <c r="IO603" s="375"/>
      <c r="IQ603" s="373"/>
      <c r="IR603" s="374"/>
      <c r="IS603" s="375"/>
      <c r="IT603" s="375"/>
      <c r="IV603" s="373"/>
    </row>
    <row r="604" spans="1:256" s="376" customFormat="1" x14ac:dyDescent="0.2">
      <c r="A604" s="373"/>
      <c r="B604" s="374"/>
      <c r="C604" s="375"/>
      <c r="D604" s="375"/>
      <c r="F604" s="373"/>
      <c r="G604" s="374"/>
      <c r="H604" s="375"/>
      <c r="I604" s="375"/>
      <c r="K604" s="373"/>
      <c r="L604" s="374"/>
      <c r="M604" s="375"/>
      <c r="N604" s="375"/>
      <c r="P604" s="373"/>
      <c r="Q604" s="374"/>
      <c r="R604" s="375"/>
      <c r="S604" s="375"/>
      <c r="U604" s="373"/>
      <c r="V604" s="374"/>
      <c r="W604" s="375"/>
      <c r="X604" s="375"/>
      <c r="Z604" s="373"/>
      <c r="AA604" s="374"/>
      <c r="AB604" s="375"/>
      <c r="AC604" s="375"/>
      <c r="AE604" s="373"/>
      <c r="AF604" s="374"/>
      <c r="AG604" s="375"/>
      <c r="AH604" s="375"/>
      <c r="AJ604" s="373"/>
      <c r="AK604" s="374"/>
      <c r="AL604" s="375"/>
      <c r="AM604" s="375"/>
      <c r="AO604" s="373"/>
      <c r="AP604" s="374"/>
      <c r="AQ604" s="375"/>
      <c r="AR604" s="375"/>
      <c r="AT604" s="373"/>
      <c r="AU604" s="374"/>
      <c r="AV604" s="375"/>
      <c r="AW604" s="375"/>
      <c r="AY604" s="373"/>
      <c r="AZ604" s="374"/>
      <c r="BA604" s="375"/>
      <c r="BB604" s="375"/>
      <c r="BD604" s="373"/>
      <c r="BE604" s="374"/>
      <c r="BF604" s="375"/>
      <c r="BG604" s="375"/>
      <c r="BI604" s="373"/>
      <c r="BJ604" s="374"/>
      <c r="BK604" s="375"/>
      <c r="BL604" s="375"/>
      <c r="BN604" s="373"/>
      <c r="BO604" s="374"/>
      <c r="BP604" s="375"/>
      <c r="BQ604" s="375"/>
      <c r="BS604" s="373"/>
      <c r="BT604" s="374"/>
      <c r="BU604" s="375"/>
      <c r="BV604" s="375"/>
      <c r="BX604" s="373"/>
      <c r="BY604" s="374"/>
      <c r="BZ604" s="375"/>
      <c r="CA604" s="375"/>
      <c r="CC604" s="373"/>
      <c r="CD604" s="374"/>
      <c r="CE604" s="375"/>
      <c r="CF604" s="375"/>
      <c r="CH604" s="373"/>
      <c r="CI604" s="374"/>
      <c r="CJ604" s="375"/>
      <c r="CK604" s="375"/>
      <c r="CM604" s="373"/>
      <c r="CN604" s="374"/>
      <c r="CO604" s="375"/>
      <c r="CP604" s="375"/>
      <c r="CR604" s="373"/>
      <c r="CS604" s="374"/>
      <c r="CT604" s="375"/>
      <c r="CU604" s="375"/>
      <c r="CW604" s="373"/>
      <c r="CX604" s="374"/>
      <c r="CY604" s="375"/>
      <c r="CZ604" s="375"/>
      <c r="DB604" s="373"/>
      <c r="DC604" s="374"/>
      <c r="DD604" s="375"/>
      <c r="DE604" s="375"/>
      <c r="DG604" s="373"/>
      <c r="DH604" s="374"/>
      <c r="DI604" s="375"/>
      <c r="DJ604" s="375"/>
      <c r="DL604" s="373"/>
      <c r="DM604" s="374"/>
      <c r="DN604" s="375"/>
      <c r="DO604" s="375"/>
      <c r="DQ604" s="373"/>
      <c r="DR604" s="374"/>
      <c r="DS604" s="375"/>
      <c r="DT604" s="375"/>
      <c r="DV604" s="373"/>
      <c r="DW604" s="374"/>
      <c r="DX604" s="375"/>
      <c r="DY604" s="375"/>
      <c r="EA604" s="373"/>
      <c r="EB604" s="374"/>
      <c r="EC604" s="375"/>
      <c r="ED604" s="375"/>
      <c r="EF604" s="373"/>
      <c r="EG604" s="374"/>
      <c r="EH604" s="375"/>
      <c r="EI604" s="375"/>
      <c r="EK604" s="373"/>
      <c r="EL604" s="374"/>
      <c r="EM604" s="375"/>
      <c r="EN604" s="375"/>
      <c r="EP604" s="373"/>
      <c r="EQ604" s="374"/>
      <c r="ER604" s="375"/>
      <c r="ES604" s="375"/>
      <c r="EU604" s="373"/>
      <c r="EV604" s="374"/>
      <c r="EW604" s="375"/>
      <c r="EX604" s="375"/>
      <c r="EZ604" s="373"/>
      <c r="FA604" s="374"/>
      <c r="FB604" s="375"/>
      <c r="FC604" s="375"/>
      <c r="FE604" s="373"/>
      <c r="FF604" s="374"/>
      <c r="FG604" s="375"/>
      <c r="FH604" s="375"/>
      <c r="FJ604" s="373"/>
      <c r="FK604" s="374"/>
      <c r="FL604" s="375"/>
      <c r="FM604" s="375"/>
      <c r="FO604" s="373"/>
      <c r="FP604" s="374"/>
      <c r="FQ604" s="375"/>
      <c r="FR604" s="375"/>
      <c r="FT604" s="373"/>
      <c r="FU604" s="374"/>
      <c r="FV604" s="375"/>
      <c r="FW604" s="375"/>
      <c r="FY604" s="373"/>
      <c r="FZ604" s="374"/>
      <c r="GA604" s="375"/>
      <c r="GB604" s="375"/>
      <c r="GD604" s="373"/>
      <c r="GE604" s="374"/>
      <c r="GF604" s="375"/>
      <c r="GG604" s="375"/>
      <c r="GI604" s="373"/>
      <c r="GJ604" s="374"/>
      <c r="GK604" s="375"/>
      <c r="GL604" s="375"/>
      <c r="GN604" s="373"/>
      <c r="GO604" s="374"/>
      <c r="GP604" s="375"/>
      <c r="GQ604" s="375"/>
      <c r="GS604" s="373"/>
      <c r="GT604" s="374"/>
      <c r="GU604" s="375"/>
      <c r="GV604" s="375"/>
      <c r="GX604" s="373"/>
      <c r="GY604" s="374"/>
      <c r="GZ604" s="375"/>
      <c r="HA604" s="375"/>
      <c r="HC604" s="373"/>
      <c r="HD604" s="374"/>
      <c r="HE604" s="375"/>
      <c r="HF604" s="375"/>
      <c r="HH604" s="373"/>
      <c r="HI604" s="374"/>
      <c r="HJ604" s="375"/>
      <c r="HK604" s="375"/>
      <c r="HM604" s="373"/>
      <c r="HN604" s="374"/>
      <c r="HO604" s="375"/>
      <c r="HP604" s="375"/>
      <c r="HR604" s="373"/>
      <c r="HS604" s="374"/>
      <c r="HT604" s="375"/>
      <c r="HU604" s="375"/>
      <c r="HW604" s="373"/>
      <c r="HX604" s="374"/>
      <c r="HY604" s="375"/>
      <c r="HZ604" s="375"/>
      <c r="IB604" s="373"/>
      <c r="IC604" s="374"/>
      <c r="ID604" s="375"/>
      <c r="IE604" s="375"/>
      <c r="IG604" s="373"/>
      <c r="IH604" s="374"/>
      <c r="II604" s="375"/>
      <c r="IJ604" s="375"/>
      <c r="IL604" s="373"/>
      <c r="IM604" s="374"/>
      <c r="IN604" s="375"/>
      <c r="IO604" s="375"/>
      <c r="IQ604" s="373"/>
      <c r="IR604" s="374"/>
      <c r="IS604" s="375"/>
      <c r="IT604" s="375"/>
      <c r="IV604" s="373"/>
    </row>
    <row r="605" spans="1:256" s="376" customFormat="1" x14ac:dyDescent="0.2">
      <c r="A605" s="373"/>
      <c r="B605" s="374"/>
      <c r="C605" s="375"/>
      <c r="D605" s="375"/>
      <c r="F605" s="373"/>
      <c r="G605" s="374"/>
      <c r="H605" s="375"/>
      <c r="I605" s="375"/>
      <c r="K605" s="373"/>
      <c r="L605" s="374"/>
      <c r="M605" s="375"/>
      <c r="N605" s="375"/>
      <c r="P605" s="373"/>
      <c r="Q605" s="374"/>
      <c r="R605" s="375"/>
      <c r="S605" s="375"/>
      <c r="U605" s="373"/>
      <c r="V605" s="374"/>
      <c r="W605" s="375"/>
      <c r="X605" s="375"/>
      <c r="Z605" s="373"/>
      <c r="AA605" s="374"/>
      <c r="AB605" s="375"/>
      <c r="AC605" s="375"/>
      <c r="AE605" s="373"/>
      <c r="AF605" s="374"/>
      <c r="AG605" s="375"/>
      <c r="AH605" s="375"/>
      <c r="AJ605" s="373"/>
      <c r="AK605" s="374"/>
      <c r="AL605" s="375"/>
      <c r="AM605" s="375"/>
      <c r="AO605" s="373"/>
      <c r="AP605" s="374"/>
      <c r="AQ605" s="375"/>
      <c r="AR605" s="375"/>
      <c r="AT605" s="373"/>
      <c r="AU605" s="374"/>
      <c r="AV605" s="375"/>
      <c r="AW605" s="375"/>
      <c r="AY605" s="373"/>
      <c r="AZ605" s="374"/>
      <c r="BA605" s="375"/>
      <c r="BB605" s="375"/>
      <c r="BD605" s="373"/>
      <c r="BE605" s="374"/>
      <c r="BF605" s="375"/>
      <c r="BG605" s="375"/>
      <c r="BI605" s="373"/>
      <c r="BJ605" s="374"/>
      <c r="BK605" s="375"/>
      <c r="BL605" s="375"/>
      <c r="BN605" s="373"/>
      <c r="BO605" s="374"/>
      <c r="BP605" s="375"/>
      <c r="BQ605" s="375"/>
      <c r="BS605" s="373"/>
      <c r="BT605" s="374"/>
      <c r="BU605" s="375"/>
      <c r="BV605" s="375"/>
      <c r="BX605" s="373"/>
      <c r="BY605" s="374"/>
      <c r="BZ605" s="375"/>
      <c r="CA605" s="375"/>
      <c r="CC605" s="373"/>
      <c r="CD605" s="374"/>
      <c r="CE605" s="375"/>
      <c r="CF605" s="375"/>
      <c r="CH605" s="373"/>
      <c r="CI605" s="374"/>
      <c r="CJ605" s="375"/>
      <c r="CK605" s="375"/>
      <c r="CM605" s="373"/>
      <c r="CN605" s="374"/>
      <c r="CO605" s="375"/>
      <c r="CP605" s="375"/>
      <c r="CR605" s="373"/>
      <c r="CS605" s="374"/>
      <c r="CT605" s="375"/>
      <c r="CU605" s="375"/>
      <c r="CW605" s="373"/>
      <c r="CX605" s="374"/>
      <c r="CY605" s="375"/>
      <c r="CZ605" s="375"/>
      <c r="DB605" s="373"/>
      <c r="DC605" s="374"/>
      <c r="DD605" s="375"/>
      <c r="DE605" s="375"/>
      <c r="DG605" s="373"/>
      <c r="DH605" s="374"/>
      <c r="DI605" s="375"/>
      <c r="DJ605" s="375"/>
      <c r="DL605" s="373"/>
      <c r="DM605" s="374"/>
      <c r="DN605" s="375"/>
      <c r="DO605" s="375"/>
      <c r="DQ605" s="373"/>
      <c r="DR605" s="374"/>
      <c r="DS605" s="375"/>
      <c r="DT605" s="375"/>
      <c r="DV605" s="373"/>
      <c r="DW605" s="374"/>
      <c r="DX605" s="375"/>
      <c r="DY605" s="375"/>
      <c r="EA605" s="373"/>
      <c r="EB605" s="374"/>
      <c r="EC605" s="375"/>
      <c r="ED605" s="375"/>
      <c r="EF605" s="373"/>
      <c r="EG605" s="374"/>
      <c r="EH605" s="375"/>
      <c r="EI605" s="375"/>
      <c r="EK605" s="373"/>
      <c r="EL605" s="374"/>
      <c r="EM605" s="375"/>
      <c r="EN605" s="375"/>
      <c r="EP605" s="373"/>
      <c r="EQ605" s="374"/>
      <c r="ER605" s="375"/>
      <c r="ES605" s="375"/>
      <c r="EU605" s="373"/>
      <c r="EV605" s="374"/>
      <c r="EW605" s="375"/>
      <c r="EX605" s="375"/>
      <c r="EZ605" s="373"/>
      <c r="FA605" s="374"/>
      <c r="FB605" s="375"/>
      <c r="FC605" s="375"/>
      <c r="FE605" s="373"/>
      <c r="FF605" s="374"/>
      <c r="FG605" s="375"/>
      <c r="FH605" s="375"/>
      <c r="FJ605" s="373"/>
      <c r="FK605" s="374"/>
      <c r="FL605" s="375"/>
      <c r="FM605" s="375"/>
      <c r="FO605" s="373"/>
      <c r="FP605" s="374"/>
      <c r="FQ605" s="375"/>
      <c r="FR605" s="375"/>
      <c r="FT605" s="373"/>
      <c r="FU605" s="374"/>
      <c r="FV605" s="375"/>
      <c r="FW605" s="375"/>
      <c r="FY605" s="373"/>
      <c r="FZ605" s="374"/>
      <c r="GA605" s="375"/>
      <c r="GB605" s="375"/>
      <c r="GD605" s="373"/>
      <c r="GE605" s="374"/>
      <c r="GF605" s="375"/>
      <c r="GG605" s="375"/>
      <c r="GI605" s="373"/>
      <c r="GJ605" s="374"/>
      <c r="GK605" s="375"/>
      <c r="GL605" s="375"/>
      <c r="GN605" s="373"/>
      <c r="GO605" s="374"/>
      <c r="GP605" s="375"/>
      <c r="GQ605" s="375"/>
      <c r="GS605" s="373"/>
      <c r="GT605" s="374"/>
      <c r="GU605" s="375"/>
      <c r="GV605" s="375"/>
      <c r="GX605" s="373"/>
      <c r="GY605" s="374"/>
      <c r="GZ605" s="375"/>
      <c r="HA605" s="375"/>
      <c r="HC605" s="373"/>
      <c r="HD605" s="374"/>
      <c r="HE605" s="375"/>
      <c r="HF605" s="375"/>
      <c r="HH605" s="373"/>
      <c r="HI605" s="374"/>
      <c r="HJ605" s="375"/>
      <c r="HK605" s="375"/>
      <c r="HM605" s="373"/>
      <c r="HN605" s="374"/>
      <c r="HO605" s="375"/>
      <c r="HP605" s="375"/>
      <c r="HR605" s="373"/>
      <c r="HS605" s="374"/>
      <c r="HT605" s="375"/>
      <c r="HU605" s="375"/>
      <c r="HW605" s="373"/>
      <c r="HX605" s="374"/>
      <c r="HY605" s="375"/>
      <c r="HZ605" s="375"/>
      <c r="IB605" s="373"/>
      <c r="IC605" s="374"/>
      <c r="ID605" s="375"/>
      <c r="IE605" s="375"/>
      <c r="IG605" s="373"/>
      <c r="IH605" s="374"/>
      <c r="II605" s="375"/>
      <c r="IJ605" s="375"/>
      <c r="IL605" s="373"/>
      <c r="IM605" s="374"/>
      <c r="IN605" s="375"/>
      <c r="IO605" s="375"/>
      <c r="IQ605" s="373"/>
      <c r="IR605" s="374"/>
      <c r="IS605" s="375"/>
      <c r="IT605" s="375"/>
      <c r="IV605" s="373"/>
    </row>
    <row r="606" spans="1:256" s="376" customFormat="1" x14ac:dyDescent="0.2">
      <c r="A606" s="373"/>
      <c r="B606" s="374"/>
      <c r="C606" s="375"/>
      <c r="D606" s="375"/>
      <c r="F606" s="373"/>
      <c r="G606" s="374"/>
      <c r="H606" s="375"/>
      <c r="I606" s="375"/>
      <c r="K606" s="373"/>
      <c r="L606" s="374"/>
      <c r="M606" s="375"/>
      <c r="N606" s="375"/>
      <c r="P606" s="373"/>
      <c r="Q606" s="374"/>
      <c r="R606" s="375"/>
      <c r="S606" s="375"/>
      <c r="U606" s="373"/>
      <c r="V606" s="374"/>
      <c r="W606" s="375"/>
      <c r="X606" s="375"/>
      <c r="Z606" s="373"/>
      <c r="AA606" s="374"/>
      <c r="AB606" s="375"/>
      <c r="AC606" s="375"/>
      <c r="AE606" s="373"/>
      <c r="AF606" s="374"/>
      <c r="AG606" s="375"/>
      <c r="AH606" s="375"/>
      <c r="AJ606" s="373"/>
      <c r="AK606" s="374"/>
      <c r="AL606" s="375"/>
      <c r="AM606" s="375"/>
      <c r="AO606" s="373"/>
      <c r="AP606" s="374"/>
      <c r="AQ606" s="375"/>
      <c r="AR606" s="375"/>
      <c r="AT606" s="373"/>
      <c r="AU606" s="374"/>
      <c r="AV606" s="375"/>
      <c r="AW606" s="375"/>
      <c r="AY606" s="373"/>
      <c r="AZ606" s="374"/>
      <c r="BA606" s="375"/>
      <c r="BB606" s="375"/>
      <c r="BD606" s="373"/>
      <c r="BE606" s="374"/>
      <c r="BF606" s="375"/>
      <c r="BG606" s="375"/>
      <c r="BI606" s="373"/>
      <c r="BJ606" s="374"/>
      <c r="BK606" s="375"/>
      <c r="BL606" s="375"/>
      <c r="BN606" s="373"/>
      <c r="BO606" s="374"/>
      <c r="BP606" s="375"/>
      <c r="BQ606" s="375"/>
      <c r="BS606" s="373"/>
      <c r="BT606" s="374"/>
      <c r="BU606" s="375"/>
      <c r="BV606" s="375"/>
      <c r="BX606" s="373"/>
      <c r="BY606" s="374"/>
      <c r="BZ606" s="375"/>
      <c r="CA606" s="375"/>
      <c r="CC606" s="373"/>
      <c r="CD606" s="374"/>
      <c r="CE606" s="375"/>
      <c r="CF606" s="375"/>
      <c r="CH606" s="373"/>
      <c r="CI606" s="374"/>
      <c r="CJ606" s="375"/>
      <c r="CK606" s="375"/>
      <c r="CM606" s="373"/>
      <c r="CN606" s="374"/>
      <c r="CO606" s="375"/>
      <c r="CP606" s="375"/>
      <c r="CR606" s="373"/>
      <c r="CS606" s="374"/>
      <c r="CT606" s="375"/>
      <c r="CU606" s="375"/>
      <c r="CW606" s="373"/>
      <c r="CX606" s="374"/>
      <c r="CY606" s="375"/>
      <c r="CZ606" s="375"/>
      <c r="DB606" s="373"/>
      <c r="DC606" s="374"/>
      <c r="DD606" s="375"/>
      <c r="DE606" s="375"/>
      <c r="DG606" s="373"/>
      <c r="DH606" s="374"/>
      <c r="DI606" s="375"/>
      <c r="DJ606" s="375"/>
      <c r="DL606" s="373"/>
      <c r="DM606" s="374"/>
      <c r="DN606" s="375"/>
      <c r="DO606" s="375"/>
      <c r="DQ606" s="373"/>
      <c r="DR606" s="374"/>
      <c r="DS606" s="375"/>
      <c r="DT606" s="375"/>
      <c r="DV606" s="373"/>
      <c r="DW606" s="374"/>
      <c r="DX606" s="375"/>
      <c r="DY606" s="375"/>
      <c r="EA606" s="373"/>
      <c r="EB606" s="374"/>
      <c r="EC606" s="375"/>
      <c r="ED606" s="375"/>
      <c r="EF606" s="373"/>
      <c r="EG606" s="374"/>
      <c r="EH606" s="375"/>
      <c r="EI606" s="375"/>
      <c r="EK606" s="373"/>
      <c r="EL606" s="374"/>
      <c r="EM606" s="375"/>
      <c r="EN606" s="375"/>
      <c r="EP606" s="373"/>
      <c r="EQ606" s="374"/>
      <c r="ER606" s="375"/>
      <c r="ES606" s="375"/>
      <c r="EU606" s="373"/>
      <c r="EV606" s="374"/>
      <c r="EW606" s="375"/>
      <c r="EX606" s="375"/>
      <c r="EZ606" s="373"/>
      <c r="FA606" s="374"/>
      <c r="FB606" s="375"/>
      <c r="FC606" s="375"/>
      <c r="FE606" s="373"/>
      <c r="FF606" s="374"/>
      <c r="FG606" s="375"/>
      <c r="FH606" s="375"/>
      <c r="FJ606" s="373"/>
      <c r="FK606" s="374"/>
      <c r="FL606" s="375"/>
      <c r="FM606" s="375"/>
      <c r="FO606" s="373"/>
      <c r="FP606" s="374"/>
      <c r="FQ606" s="375"/>
      <c r="FR606" s="375"/>
      <c r="FT606" s="373"/>
      <c r="FU606" s="374"/>
      <c r="FV606" s="375"/>
      <c r="FW606" s="375"/>
      <c r="FY606" s="373"/>
      <c r="FZ606" s="374"/>
      <c r="GA606" s="375"/>
      <c r="GB606" s="375"/>
      <c r="GD606" s="373"/>
      <c r="GE606" s="374"/>
      <c r="GF606" s="375"/>
      <c r="GG606" s="375"/>
      <c r="GI606" s="373"/>
      <c r="GJ606" s="374"/>
      <c r="GK606" s="375"/>
      <c r="GL606" s="375"/>
      <c r="GN606" s="373"/>
      <c r="GO606" s="374"/>
      <c r="GP606" s="375"/>
      <c r="GQ606" s="375"/>
      <c r="GS606" s="373"/>
      <c r="GT606" s="374"/>
      <c r="GU606" s="375"/>
      <c r="GV606" s="375"/>
      <c r="GX606" s="373"/>
      <c r="GY606" s="374"/>
      <c r="GZ606" s="375"/>
      <c r="HA606" s="375"/>
      <c r="HC606" s="373"/>
      <c r="HD606" s="374"/>
      <c r="HE606" s="375"/>
      <c r="HF606" s="375"/>
      <c r="HH606" s="373"/>
      <c r="HI606" s="374"/>
      <c r="HJ606" s="375"/>
      <c r="HK606" s="375"/>
      <c r="HM606" s="373"/>
      <c r="HN606" s="374"/>
      <c r="HO606" s="375"/>
      <c r="HP606" s="375"/>
      <c r="HR606" s="373"/>
      <c r="HS606" s="374"/>
      <c r="HT606" s="375"/>
      <c r="HU606" s="375"/>
      <c r="HW606" s="373"/>
      <c r="HX606" s="374"/>
      <c r="HY606" s="375"/>
      <c r="HZ606" s="375"/>
      <c r="IB606" s="373"/>
      <c r="IC606" s="374"/>
      <c r="ID606" s="375"/>
      <c r="IE606" s="375"/>
      <c r="IG606" s="373"/>
      <c r="IH606" s="374"/>
      <c r="II606" s="375"/>
      <c r="IJ606" s="375"/>
      <c r="IL606" s="373"/>
      <c r="IM606" s="374"/>
      <c r="IN606" s="375"/>
      <c r="IO606" s="375"/>
      <c r="IQ606" s="373"/>
      <c r="IR606" s="374"/>
      <c r="IS606" s="375"/>
      <c r="IT606" s="375"/>
      <c r="IV606" s="373"/>
    </row>
    <row r="607" spans="1:256" s="376" customFormat="1" x14ac:dyDescent="0.2">
      <c r="A607" s="373"/>
      <c r="B607" s="374"/>
      <c r="C607" s="375"/>
      <c r="D607" s="375"/>
      <c r="F607" s="373"/>
      <c r="G607" s="374"/>
      <c r="H607" s="375"/>
      <c r="I607" s="375"/>
      <c r="K607" s="373"/>
      <c r="L607" s="374"/>
      <c r="M607" s="375"/>
      <c r="N607" s="375"/>
      <c r="P607" s="373"/>
      <c r="Q607" s="374"/>
      <c r="R607" s="375"/>
      <c r="S607" s="375"/>
      <c r="U607" s="373"/>
      <c r="V607" s="374"/>
      <c r="W607" s="375"/>
      <c r="X607" s="375"/>
      <c r="Z607" s="373"/>
      <c r="AA607" s="374"/>
      <c r="AB607" s="375"/>
      <c r="AC607" s="375"/>
      <c r="AE607" s="373"/>
      <c r="AF607" s="374"/>
      <c r="AG607" s="375"/>
      <c r="AH607" s="375"/>
      <c r="AJ607" s="373"/>
      <c r="AK607" s="374"/>
      <c r="AL607" s="375"/>
      <c r="AM607" s="375"/>
      <c r="AO607" s="373"/>
      <c r="AP607" s="374"/>
      <c r="AQ607" s="375"/>
      <c r="AR607" s="375"/>
      <c r="AT607" s="373"/>
      <c r="AU607" s="374"/>
      <c r="AV607" s="375"/>
      <c r="AW607" s="375"/>
      <c r="AY607" s="373"/>
      <c r="AZ607" s="374"/>
      <c r="BA607" s="375"/>
      <c r="BB607" s="375"/>
      <c r="BD607" s="373"/>
      <c r="BE607" s="374"/>
      <c r="BF607" s="375"/>
      <c r="BG607" s="375"/>
      <c r="BI607" s="373"/>
      <c r="BJ607" s="374"/>
      <c r="BK607" s="375"/>
      <c r="BL607" s="375"/>
      <c r="BN607" s="373"/>
      <c r="BO607" s="374"/>
      <c r="BP607" s="375"/>
      <c r="BQ607" s="375"/>
      <c r="BS607" s="373"/>
      <c r="BT607" s="374"/>
      <c r="BU607" s="375"/>
      <c r="BV607" s="375"/>
      <c r="BX607" s="373"/>
      <c r="BY607" s="374"/>
      <c r="BZ607" s="375"/>
      <c r="CA607" s="375"/>
      <c r="CC607" s="373"/>
      <c r="CD607" s="374"/>
      <c r="CE607" s="375"/>
      <c r="CF607" s="375"/>
      <c r="CH607" s="373"/>
      <c r="CI607" s="374"/>
      <c r="CJ607" s="375"/>
      <c r="CK607" s="375"/>
      <c r="CM607" s="373"/>
      <c r="CN607" s="374"/>
      <c r="CO607" s="375"/>
      <c r="CP607" s="375"/>
      <c r="CR607" s="373"/>
      <c r="CS607" s="374"/>
      <c r="CT607" s="375"/>
      <c r="CU607" s="375"/>
      <c r="CW607" s="373"/>
      <c r="CX607" s="374"/>
      <c r="CY607" s="375"/>
      <c r="CZ607" s="375"/>
      <c r="DB607" s="373"/>
      <c r="DC607" s="374"/>
      <c r="DD607" s="375"/>
      <c r="DE607" s="375"/>
      <c r="DG607" s="373"/>
      <c r="DH607" s="374"/>
      <c r="DI607" s="375"/>
      <c r="DJ607" s="375"/>
      <c r="DL607" s="373"/>
      <c r="DM607" s="374"/>
      <c r="DN607" s="375"/>
      <c r="DO607" s="375"/>
      <c r="DQ607" s="373"/>
      <c r="DR607" s="374"/>
      <c r="DS607" s="375"/>
      <c r="DT607" s="375"/>
      <c r="DV607" s="373"/>
      <c r="DW607" s="374"/>
      <c r="DX607" s="375"/>
      <c r="DY607" s="375"/>
      <c r="EA607" s="373"/>
      <c r="EB607" s="374"/>
      <c r="EC607" s="375"/>
      <c r="ED607" s="375"/>
      <c r="EF607" s="373"/>
      <c r="EG607" s="374"/>
      <c r="EH607" s="375"/>
      <c r="EI607" s="375"/>
      <c r="EK607" s="373"/>
      <c r="EL607" s="374"/>
      <c r="EM607" s="375"/>
      <c r="EN607" s="375"/>
      <c r="EP607" s="373"/>
      <c r="EQ607" s="374"/>
      <c r="ER607" s="375"/>
      <c r="ES607" s="375"/>
      <c r="EU607" s="373"/>
      <c r="EV607" s="374"/>
      <c r="EW607" s="375"/>
      <c r="EX607" s="375"/>
      <c r="EZ607" s="373"/>
      <c r="FA607" s="374"/>
      <c r="FB607" s="375"/>
      <c r="FC607" s="375"/>
      <c r="FE607" s="373"/>
      <c r="FF607" s="374"/>
      <c r="FG607" s="375"/>
      <c r="FH607" s="375"/>
      <c r="FJ607" s="373"/>
      <c r="FK607" s="374"/>
      <c r="FL607" s="375"/>
      <c r="FM607" s="375"/>
      <c r="FO607" s="373"/>
      <c r="FP607" s="374"/>
      <c r="FQ607" s="375"/>
      <c r="FR607" s="375"/>
      <c r="FT607" s="373"/>
      <c r="FU607" s="374"/>
      <c r="FV607" s="375"/>
      <c r="FW607" s="375"/>
      <c r="FY607" s="373"/>
      <c r="FZ607" s="374"/>
      <c r="GA607" s="375"/>
      <c r="GB607" s="375"/>
      <c r="GD607" s="373"/>
      <c r="GE607" s="374"/>
      <c r="GF607" s="375"/>
      <c r="GG607" s="375"/>
      <c r="GI607" s="373"/>
      <c r="GJ607" s="374"/>
      <c r="GK607" s="375"/>
      <c r="GL607" s="375"/>
      <c r="GN607" s="373"/>
      <c r="GO607" s="374"/>
      <c r="GP607" s="375"/>
      <c r="GQ607" s="375"/>
      <c r="GS607" s="373"/>
      <c r="GT607" s="374"/>
      <c r="GU607" s="375"/>
      <c r="GV607" s="375"/>
      <c r="GX607" s="373"/>
      <c r="GY607" s="374"/>
      <c r="GZ607" s="375"/>
      <c r="HA607" s="375"/>
      <c r="HC607" s="373"/>
      <c r="HD607" s="374"/>
      <c r="HE607" s="375"/>
      <c r="HF607" s="375"/>
      <c r="HH607" s="373"/>
      <c r="HI607" s="374"/>
      <c r="HJ607" s="375"/>
      <c r="HK607" s="375"/>
      <c r="HM607" s="373"/>
      <c r="HN607" s="374"/>
      <c r="HO607" s="375"/>
      <c r="HP607" s="375"/>
      <c r="HR607" s="373"/>
      <c r="HS607" s="374"/>
      <c r="HT607" s="375"/>
      <c r="HU607" s="375"/>
      <c r="HW607" s="373"/>
      <c r="HX607" s="374"/>
      <c r="HY607" s="375"/>
      <c r="HZ607" s="375"/>
      <c r="IB607" s="373"/>
      <c r="IC607" s="374"/>
      <c r="ID607" s="375"/>
      <c r="IE607" s="375"/>
      <c r="IG607" s="373"/>
      <c r="IH607" s="374"/>
      <c r="II607" s="375"/>
      <c r="IJ607" s="375"/>
      <c r="IL607" s="373"/>
      <c r="IM607" s="374"/>
      <c r="IN607" s="375"/>
      <c r="IO607" s="375"/>
      <c r="IQ607" s="373"/>
      <c r="IR607" s="374"/>
      <c r="IS607" s="375"/>
      <c r="IT607" s="375"/>
      <c r="IV607" s="373"/>
    </row>
    <row r="608" spans="1:256" s="376" customFormat="1" x14ac:dyDescent="0.2">
      <c r="A608" s="373"/>
      <c r="B608" s="374"/>
      <c r="C608" s="375"/>
      <c r="D608" s="375"/>
      <c r="F608" s="373"/>
      <c r="G608" s="374"/>
      <c r="H608" s="375"/>
      <c r="I608" s="375"/>
      <c r="K608" s="373"/>
      <c r="L608" s="374"/>
      <c r="M608" s="375"/>
      <c r="N608" s="375"/>
      <c r="P608" s="373"/>
      <c r="Q608" s="374"/>
      <c r="R608" s="375"/>
      <c r="S608" s="375"/>
      <c r="U608" s="373"/>
      <c r="V608" s="374"/>
      <c r="W608" s="375"/>
      <c r="X608" s="375"/>
      <c r="Z608" s="373"/>
      <c r="AA608" s="374"/>
      <c r="AB608" s="375"/>
      <c r="AC608" s="375"/>
      <c r="AE608" s="373"/>
      <c r="AF608" s="374"/>
      <c r="AG608" s="375"/>
      <c r="AH608" s="375"/>
      <c r="AJ608" s="373"/>
      <c r="AK608" s="374"/>
      <c r="AL608" s="375"/>
      <c r="AM608" s="375"/>
      <c r="AO608" s="373"/>
      <c r="AP608" s="374"/>
      <c r="AQ608" s="375"/>
      <c r="AR608" s="375"/>
      <c r="AT608" s="373"/>
      <c r="AU608" s="374"/>
      <c r="AV608" s="375"/>
      <c r="AW608" s="375"/>
      <c r="AY608" s="373"/>
      <c r="AZ608" s="374"/>
      <c r="BA608" s="375"/>
      <c r="BB608" s="375"/>
      <c r="BD608" s="373"/>
      <c r="BE608" s="374"/>
      <c r="BF608" s="375"/>
      <c r="BG608" s="375"/>
      <c r="BI608" s="373"/>
      <c r="BJ608" s="374"/>
      <c r="BK608" s="375"/>
      <c r="BL608" s="375"/>
      <c r="BN608" s="373"/>
      <c r="BO608" s="374"/>
      <c r="BP608" s="375"/>
      <c r="BQ608" s="375"/>
      <c r="BS608" s="373"/>
      <c r="BT608" s="374"/>
      <c r="BU608" s="375"/>
      <c r="BV608" s="375"/>
      <c r="BX608" s="373"/>
      <c r="BY608" s="374"/>
      <c r="BZ608" s="375"/>
      <c r="CA608" s="375"/>
      <c r="CC608" s="373"/>
      <c r="CD608" s="374"/>
      <c r="CE608" s="375"/>
      <c r="CF608" s="375"/>
      <c r="CH608" s="373"/>
      <c r="CI608" s="374"/>
      <c r="CJ608" s="375"/>
      <c r="CK608" s="375"/>
      <c r="CM608" s="373"/>
      <c r="CN608" s="374"/>
      <c r="CO608" s="375"/>
      <c r="CP608" s="375"/>
      <c r="CR608" s="373"/>
      <c r="CS608" s="374"/>
      <c r="CT608" s="375"/>
      <c r="CU608" s="375"/>
      <c r="CW608" s="373"/>
      <c r="CX608" s="374"/>
      <c r="CY608" s="375"/>
      <c r="CZ608" s="375"/>
      <c r="DB608" s="373"/>
      <c r="DC608" s="374"/>
      <c r="DD608" s="375"/>
      <c r="DE608" s="375"/>
      <c r="DG608" s="373"/>
      <c r="DH608" s="374"/>
      <c r="DI608" s="375"/>
      <c r="DJ608" s="375"/>
      <c r="DL608" s="373"/>
      <c r="DM608" s="374"/>
      <c r="DN608" s="375"/>
      <c r="DO608" s="375"/>
      <c r="DQ608" s="373"/>
      <c r="DR608" s="374"/>
      <c r="DS608" s="375"/>
      <c r="DT608" s="375"/>
      <c r="DV608" s="373"/>
      <c r="DW608" s="374"/>
      <c r="DX608" s="375"/>
      <c r="DY608" s="375"/>
      <c r="EA608" s="373"/>
      <c r="EB608" s="374"/>
      <c r="EC608" s="375"/>
      <c r="ED608" s="375"/>
      <c r="EF608" s="373"/>
      <c r="EG608" s="374"/>
      <c r="EH608" s="375"/>
      <c r="EI608" s="375"/>
      <c r="EK608" s="373"/>
      <c r="EL608" s="374"/>
      <c r="EM608" s="375"/>
      <c r="EN608" s="375"/>
      <c r="EP608" s="373"/>
      <c r="EQ608" s="374"/>
      <c r="ER608" s="375"/>
      <c r="ES608" s="375"/>
      <c r="EU608" s="373"/>
      <c r="EV608" s="374"/>
      <c r="EW608" s="375"/>
      <c r="EX608" s="375"/>
      <c r="EZ608" s="373"/>
      <c r="FA608" s="374"/>
      <c r="FB608" s="375"/>
      <c r="FC608" s="375"/>
      <c r="FE608" s="373"/>
      <c r="FF608" s="374"/>
      <c r="FG608" s="375"/>
      <c r="FH608" s="375"/>
      <c r="FJ608" s="373"/>
      <c r="FK608" s="374"/>
      <c r="FL608" s="375"/>
      <c r="FM608" s="375"/>
      <c r="FO608" s="373"/>
      <c r="FP608" s="374"/>
      <c r="FQ608" s="375"/>
      <c r="FR608" s="375"/>
      <c r="FT608" s="373"/>
      <c r="FU608" s="374"/>
      <c r="FV608" s="375"/>
      <c r="FW608" s="375"/>
      <c r="FY608" s="373"/>
      <c r="FZ608" s="374"/>
      <c r="GA608" s="375"/>
      <c r="GB608" s="375"/>
      <c r="GD608" s="373"/>
      <c r="GE608" s="374"/>
      <c r="GF608" s="375"/>
      <c r="GG608" s="375"/>
      <c r="GI608" s="373"/>
      <c r="GJ608" s="374"/>
      <c r="GK608" s="375"/>
      <c r="GL608" s="375"/>
      <c r="GN608" s="373"/>
      <c r="GO608" s="374"/>
      <c r="GP608" s="375"/>
      <c r="GQ608" s="375"/>
      <c r="GS608" s="373"/>
      <c r="GT608" s="374"/>
      <c r="GU608" s="375"/>
      <c r="GV608" s="375"/>
      <c r="GX608" s="373"/>
      <c r="GY608" s="374"/>
      <c r="GZ608" s="375"/>
      <c r="HA608" s="375"/>
      <c r="HC608" s="373"/>
      <c r="HD608" s="374"/>
      <c r="HE608" s="375"/>
      <c r="HF608" s="375"/>
      <c r="HH608" s="373"/>
      <c r="HI608" s="374"/>
      <c r="HJ608" s="375"/>
      <c r="HK608" s="375"/>
      <c r="HM608" s="373"/>
      <c r="HN608" s="374"/>
      <c r="HO608" s="375"/>
      <c r="HP608" s="375"/>
      <c r="HR608" s="373"/>
      <c r="HS608" s="374"/>
      <c r="HT608" s="375"/>
      <c r="HU608" s="375"/>
      <c r="HW608" s="373"/>
      <c r="HX608" s="374"/>
      <c r="HY608" s="375"/>
      <c r="HZ608" s="375"/>
      <c r="IB608" s="373"/>
      <c r="IC608" s="374"/>
      <c r="ID608" s="375"/>
      <c r="IE608" s="375"/>
      <c r="IG608" s="373"/>
      <c r="IH608" s="374"/>
      <c r="II608" s="375"/>
      <c r="IJ608" s="375"/>
      <c r="IL608" s="373"/>
      <c r="IM608" s="374"/>
      <c r="IN608" s="375"/>
      <c r="IO608" s="375"/>
      <c r="IQ608" s="373"/>
      <c r="IR608" s="374"/>
      <c r="IS608" s="375"/>
      <c r="IT608" s="375"/>
      <c r="IV608" s="373"/>
    </row>
    <row r="609" spans="1:256" s="376" customFormat="1" x14ac:dyDescent="0.2">
      <c r="A609" s="373"/>
      <c r="B609" s="374"/>
      <c r="C609" s="375"/>
      <c r="D609" s="375"/>
      <c r="F609" s="373"/>
      <c r="G609" s="374"/>
      <c r="H609" s="375"/>
      <c r="I609" s="375"/>
      <c r="K609" s="373"/>
      <c r="L609" s="374"/>
      <c r="M609" s="375"/>
      <c r="N609" s="375"/>
      <c r="P609" s="373"/>
      <c r="Q609" s="374"/>
      <c r="R609" s="375"/>
      <c r="S609" s="375"/>
      <c r="U609" s="373"/>
      <c r="V609" s="374"/>
      <c r="W609" s="375"/>
      <c r="X609" s="375"/>
      <c r="Z609" s="373"/>
      <c r="AA609" s="374"/>
      <c r="AB609" s="375"/>
      <c r="AC609" s="375"/>
      <c r="AE609" s="373"/>
      <c r="AF609" s="374"/>
      <c r="AG609" s="375"/>
      <c r="AH609" s="375"/>
      <c r="AJ609" s="373"/>
      <c r="AK609" s="374"/>
      <c r="AL609" s="375"/>
      <c r="AM609" s="375"/>
      <c r="AO609" s="373"/>
      <c r="AP609" s="374"/>
      <c r="AQ609" s="375"/>
      <c r="AR609" s="375"/>
      <c r="AT609" s="373"/>
      <c r="AU609" s="374"/>
      <c r="AV609" s="375"/>
      <c r="AW609" s="375"/>
      <c r="AY609" s="373"/>
      <c r="AZ609" s="374"/>
      <c r="BA609" s="375"/>
      <c r="BB609" s="375"/>
      <c r="BD609" s="373"/>
      <c r="BE609" s="374"/>
      <c r="BF609" s="375"/>
      <c r="BG609" s="375"/>
      <c r="BI609" s="373"/>
      <c r="BJ609" s="374"/>
      <c r="BK609" s="375"/>
      <c r="BL609" s="375"/>
      <c r="BN609" s="373"/>
      <c r="BO609" s="374"/>
      <c r="BP609" s="375"/>
      <c r="BQ609" s="375"/>
      <c r="BS609" s="373"/>
      <c r="BT609" s="374"/>
      <c r="BU609" s="375"/>
      <c r="BV609" s="375"/>
      <c r="BX609" s="373"/>
      <c r="BY609" s="374"/>
      <c r="BZ609" s="375"/>
      <c r="CA609" s="375"/>
      <c r="CC609" s="373"/>
      <c r="CD609" s="374"/>
      <c r="CE609" s="375"/>
      <c r="CF609" s="375"/>
      <c r="CH609" s="373"/>
      <c r="CI609" s="374"/>
      <c r="CJ609" s="375"/>
      <c r="CK609" s="375"/>
      <c r="CM609" s="373"/>
      <c r="CN609" s="374"/>
      <c r="CO609" s="375"/>
      <c r="CP609" s="375"/>
      <c r="CR609" s="373"/>
      <c r="CS609" s="374"/>
      <c r="CT609" s="375"/>
      <c r="CU609" s="375"/>
      <c r="CW609" s="373"/>
      <c r="CX609" s="374"/>
      <c r="CY609" s="375"/>
      <c r="CZ609" s="375"/>
      <c r="DB609" s="373"/>
      <c r="DC609" s="374"/>
      <c r="DD609" s="375"/>
      <c r="DE609" s="375"/>
      <c r="DG609" s="373"/>
      <c r="DH609" s="374"/>
      <c r="DI609" s="375"/>
      <c r="DJ609" s="375"/>
      <c r="DL609" s="373"/>
      <c r="DM609" s="374"/>
      <c r="DN609" s="375"/>
      <c r="DO609" s="375"/>
      <c r="DQ609" s="373"/>
      <c r="DR609" s="374"/>
      <c r="DS609" s="375"/>
      <c r="DT609" s="375"/>
      <c r="DV609" s="373"/>
      <c r="DW609" s="374"/>
      <c r="DX609" s="375"/>
      <c r="DY609" s="375"/>
      <c r="EA609" s="373"/>
      <c r="EB609" s="374"/>
      <c r="EC609" s="375"/>
      <c r="ED609" s="375"/>
      <c r="EF609" s="373"/>
      <c r="EG609" s="374"/>
      <c r="EH609" s="375"/>
      <c r="EI609" s="375"/>
      <c r="EK609" s="373"/>
      <c r="EL609" s="374"/>
      <c r="EM609" s="375"/>
      <c r="EN609" s="375"/>
      <c r="EP609" s="373"/>
      <c r="EQ609" s="374"/>
      <c r="ER609" s="375"/>
      <c r="ES609" s="375"/>
      <c r="EU609" s="373"/>
      <c r="EV609" s="374"/>
      <c r="EW609" s="375"/>
      <c r="EX609" s="375"/>
      <c r="EZ609" s="373"/>
      <c r="FA609" s="374"/>
      <c r="FB609" s="375"/>
      <c r="FC609" s="375"/>
      <c r="FE609" s="373"/>
      <c r="FF609" s="374"/>
      <c r="FG609" s="375"/>
      <c r="FH609" s="375"/>
      <c r="FJ609" s="373"/>
      <c r="FK609" s="374"/>
      <c r="FL609" s="375"/>
      <c r="FM609" s="375"/>
      <c r="FO609" s="373"/>
      <c r="FP609" s="374"/>
      <c r="FQ609" s="375"/>
      <c r="FR609" s="375"/>
      <c r="FT609" s="373"/>
      <c r="FU609" s="374"/>
      <c r="FV609" s="375"/>
      <c r="FW609" s="375"/>
      <c r="FY609" s="373"/>
      <c r="FZ609" s="374"/>
      <c r="GA609" s="375"/>
      <c r="GB609" s="375"/>
      <c r="GD609" s="373"/>
      <c r="GE609" s="374"/>
      <c r="GF609" s="375"/>
      <c r="GG609" s="375"/>
      <c r="GI609" s="373"/>
      <c r="GJ609" s="374"/>
      <c r="GK609" s="375"/>
      <c r="GL609" s="375"/>
      <c r="GN609" s="373"/>
      <c r="GO609" s="374"/>
      <c r="GP609" s="375"/>
      <c r="GQ609" s="375"/>
      <c r="GS609" s="373"/>
      <c r="GT609" s="374"/>
      <c r="GU609" s="375"/>
      <c r="GV609" s="375"/>
      <c r="GX609" s="373"/>
      <c r="GY609" s="374"/>
      <c r="GZ609" s="375"/>
      <c r="HA609" s="375"/>
      <c r="HC609" s="373"/>
      <c r="HD609" s="374"/>
      <c r="HE609" s="375"/>
      <c r="HF609" s="375"/>
      <c r="HH609" s="373"/>
      <c r="HI609" s="374"/>
      <c r="HJ609" s="375"/>
      <c r="HK609" s="375"/>
      <c r="HM609" s="373"/>
      <c r="HN609" s="374"/>
      <c r="HO609" s="375"/>
      <c r="HP609" s="375"/>
      <c r="HR609" s="373"/>
      <c r="HS609" s="374"/>
      <c r="HT609" s="375"/>
      <c r="HU609" s="375"/>
      <c r="HW609" s="373"/>
      <c r="HX609" s="374"/>
      <c r="HY609" s="375"/>
      <c r="HZ609" s="375"/>
      <c r="IB609" s="373"/>
      <c r="IC609" s="374"/>
      <c r="ID609" s="375"/>
      <c r="IE609" s="375"/>
      <c r="IG609" s="373"/>
      <c r="IH609" s="374"/>
      <c r="II609" s="375"/>
      <c r="IJ609" s="375"/>
      <c r="IL609" s="373"/>
      <c r="IM609" s="374"/>
      <c r="IN609" s="375"/>
      <c r="IO609" s="375"/>
      <c r="IQ609" s="373"/>
      <c r="IR609" s="374"/>
      <c r="IS609" s="375"/>
      <c r="IT609" s="375"/>
      <c r="IV609" s="373"/>
    </row>
    <row r="610" spans="1:256" s="376" customFormat="1" x14ac:dyDescent="0.2">
      <c r="A610" s="373"/>
      <c r="B610" s="374"/>
      <c r="C610" s="375"/>
      <c r="D610" s="375"/>
      <c r="F610" s="373"/>
      <c r="G610" s="374"/>
      <c r="H610" s="375"/>
      <c r="I610" s="375"/>
      <c r="K610" s="373"/>
      <c r="L610" s="374"/>
      <c r="M610" s="375"/>
      <c r="N610" s="375"/>
      <c r="P610" s="373"/>
      <c r="Q610" s="374"/>
      <c r="R610" s="375"/>
      <c r="S610" s="375"/>
      <c r="U610" s="373"/>
      <c r="V610" s="374"/>
      <c r="W610" s="375"/>
      <c r="X610" s="375"/>
      <c r="Z610" s="373"/>
      <c r="AA610" s="374"/>
      <c r="AB610" s="375"/>
      <c r="AC610" s="375"/>
      <c r="AE610" s="373"/>
      <c r="AF610" s="374"/>
      <c r="AG610" s="375"/>
      <c r="AH610" s="375"/>
      <c r="AJ610" s="373"/>
      <c r="AK610" s="374"/>
      <c r="AL610" s="375"/>
      <c r="AM610" s="375"/>
      <c r="AO610" s="373"/>
      <c r="AP610" s="374"/>
      <c r="AQ610" s="375"/>
      <c r="AR610" s="375"/>
      <c r="AT610" s="373"/>
      <c r="AU610" s="374"/>
      <c r="AV610" s="375"/>
      <c r="AW610" s="375"/>
      <c r="AY610" s="373"/>
      <c r="AZ610" s="374"/>
      <c r="BA610" s="375"/>
      <c r="BB610" s="375"/>
      <c r="BD610" s="373"/>
      <c r="BE610" s="374"/>
      <c r="BF610" s="375"/>
      <c r="BG610" s="375"/>
      <c r="BI610" s="373"/>
      <c r="BJ610" s="374"/>
      <c r="BK610" s="375"/>
      <c r="BL610" s="375"/>
      <c r="BN610" s="373"/>
      <c r="BO610" s="374"/>
      <c r="BP610" s="375"/>
      <c r="BQ610" s="375"/>
      <c r="BS610" s="373"/>
      <c r="BT610" s="374"/>
      <c r="BU610" s="375"/>
      <c r="BV610" s="375"/>
      <c r="BX610" s="373"/>
      <c r="BY610" s="374"/>
      <c r="BZ610" s="375"/>
      <c r="CA610" s="375"/>
      <c r="CC610" s="373"/>
      <c r="CD610" s="374"/>
      <c r="CE610" s="375"/>
      <c r="CF610" s="375"/>
      <c r="CH610" s="373"/>
      <c r="CI610" s="374"/>
      <c r="CJ610" s="375"/>
      <c r="CK610" s="375"/>
      <c r="CM610" s="373"/>
      <c r="CN610" s="374"/>
      <c r="CO610" s="375"/>
      <c r="CP610" s="375"/>
      <c r="CR610" s="373"/>
      <c r="CS610" s="374"/>
      <c r="CT610" s="375"/>
      <c r="CU610" s="375"/>
      <c r="CW610" s="373"/>
      <c r="CX610" s="374"/>
      <c r="CY610" s="375"/>
      <c r="CZ610" s="375"/>
      <c r="DB610" s="373"/>
      <c r="DC610" s="374"/>
      <c r="DD610" s="375"/>
      <c r="DE610" s="375"/>
      <c r="DG610" s="373"/>
      <c r="DH610" s="374"/>
      <c r="DI610" s="375"/>
      <c r="DJ610" s="375"/>
      <c r="DL610" s="373"/>
      <c r="DM610" s="374"/>
      <c r="DN610" s="375"/>
      <c r="DO610" s="375"/>
      <c r="DQ610" s="373"/>
      <c r="DR610" s="374"/>
      <c r="DS610" s="375"/>
      <c r="DT610" s="375"/>
      <c r="DV610" s="373"/>
      <c r="DW610" s="374"/>
      <c r="DX610" s="375"/>
      <c r="DY610" s="375"/>
      <c r="EA610" s="373"/>
      <c r="EB610" s="374"/>
      <c r="EC610" s="375"/>
      <c r="ED610" s="375"/>
      <c r="EF610" s="373"/>
      <c r="EG610" s="374"/>
      <c r="EH610" s="375"/>
      <c r="EI610" s="375"/>
      <c r="EK610" s="373"/>
      <c r="EL610" s="374"/>
      <c r="EM610" s="375"/>
      <c r="EN610" s="375"/>
      <c r="EP610" s="373"/>
      <c r="EQ610" s="374"/>
      <c r="ER610" s="375"/>
      <c r="ES610" s="375"/>
      <c r="EU610" s="373"/>
      <c r="EV610" s="374"/>
      <c r="EW610" s="375"/>
      <c r="EX610" s="375"/>
      <c r="EZ610" s="373"/>
      <c r="FA610" s="374"/>
      <c r="FB610" s="375"/>
      <c r="FC610" s="375"/>
      <c r="FE610" s="373"/>
      <c r="FF610" s="374"/>
      <c r="FG610" s="375"/>
      <c r="FH610" s="375"/>
      <c r="FJ610" s="373"/>
      <c r="FK610" s="374"/>
      <c r="FL610" s="375"/>
      <c r="FM610" s="375"/>
      <c r="FO610" s="373"/>
      <c r="FP610" s="374"/>
      <c r="FQ610" s="375"/>
      <c r="FR610" s="375"/>
      <c r="FT610" s="373"/>
      <c r="FU610" s="374"/>
      <c r="FV610" s="375"/>
      <c r="FW610" s="375"/>
      <c r="FY610" s="373"/>
      <c r="FZ610" s="374"/>
      <c r="GA610" s="375"/>
      <c r="GB610" s="375"/>
      <c r="GD610" s="373"/>
      <c r="GE610" s="374"/>
      <c r="GF610" s="375"/>
      <c r="GG610" s="375"/>
      <c r="GI610" s="373"/>
      <c r="GJ610" s="374"/>
      <c r="GK610" s="375"/>
      <c r="GL610" s="375"/>
      <c r="GN610" s="373"/>
      <c r="GO610" s="374"/>
      <c r="GP610" s="375"/>
      <c r="GQ610" s="375"/>
      <c r="GS610" s="373"/>
      <c r="GT610" s="374"/>
      <c r="GU610" s="375"/>
      <c r="GV610" s="375"/>
      <c r="GX610" s="373"/>
      <c r="GY610" s="374"/>
      <c r="GZ610" s="375"/>
      <c r="HA610" s="375"/>
      <c r="HC610" s="373"/>
      <c r="HD610" s="374"/>
      <c r="HE610" s="375"/>
      <c r="HF610" s="375"/>
      <c r="HH610" s="373"/>
      <c r="HI610" s="374"/>
      <c r="HJ610" s="375"/>
      <c r="HK610" s="375"/>
      <c r="HM610" s="373"/>
      <c r="HN610" s="374"/>
      <c r="HO610" s="375"/>
      <c r="HP610" s="375"/>
      <c r="HR610" s="373"/>
      <c r="HS610" s="374"/>
      <c r="HT610" s="375"/>
      <c r="HU610" s="375"/>
      <c r="HW610" s="373"/>
      <c r="HX610" s="374"/>
      <c r="HY610" s="375"/>
      <c r="HZ610" s="375"/>
      <c r="IB610" s="373"/>
      <c r="IC610" s="374"/>
      <c r="ID610" s="375"/>
      <c r="IE610" s="375"/>
      <c r="IG610" s="373"/>
      <c r="IH610" s="374"/>
      <c r="II610" s="375"/>
      <c r="IJ610" s="375"/>
      <c r="IL610" s="373"/>
      <c r="IM610" s="374"/>
      <c r="IN610" s="375"/>
      <c r="IO610" s="375"/>
      <c r="IQ610" s="373"/>
      <c r="IR610" s="374"/>
      <c r="IS610" s="375"/>
      <c r="IT610" s="375"/>
      <c r="IV610" s="373"/>
    </row>
    <row r="611" spans="1:256" s="376" customFormat="1" x14ac:dyDescent="0.2">
      <c r="A611" s="373"/>
      <c r="B611" s="374"/>
      <c r="C611" s="375"/>
      <c r="D611" s="375"/>
      <c r="F611" s="373"/>
      <c r="G611" s="374"/>
      <c r="H611" s="375"/>
      <c r="I611" s="375"/>
      <c r="K611" s="373"/>
      <c r="L611" s="374"/>
      <c r="M611" s="375"/>
      <c r="N611" s="375"/>
      <c r="P611" s="373"/>
      <c r="Q611" s="374"/>
      <c r="R611" s="375"/>
      <c r="S611" s="375"/>
      <c r="U611" s="373"/>
      <c r="V611" s="374"/>
      <c r="W611" s="375"/>
      <c r="X611" s="375"/>
      <c r="Z611" s="373"/>
      <c r="AA611" s="374"/>
      <c r="AB611" s="375"/>
      <c r="AC611" s="375"/>
      <c r="AE611" s="373"/>
      <c r="AF611" s="374"/>
      <c r="AG611" s="375"/>
      <c r="AH611" s="375"/>
      <c r="AJ611" s="373"/>
      <c r="AK611" s="374"/>
      <c r="AL611" s="375"/>
      <c r="AM611" s="375"/>
      <c r="AO611" s="373"/>
      <c r="AP611" s="374"/>
      <c r="AQ611" s="375"/>
      <c r="AR611" s="375"/>
      <c r="AT611" s="373"/>
      <c r="AU611" s="374"/>
      <c r="AV611" s="375"/>
      <c r="AW611" s="375"/>
      <c r="AY611" s="373"/>
      <c r="AZ611" s="374"/>
      <c r="BA611" s="375"/>
      <c r="BB611" s="375"/>
      <c r="BD611" s="373"/>
      <c r="BE611" s="374"/>
      <c r="BF611" s="375"/>
      <c r="BG611" s="375"/>
      <c r="BI611" s="373"/>
      <c r="BJ611" s="374"/>
      <c r="BK611" s="375"/>
      <c r="BL611" s="375"/>
      <c r="BN611" s="373"/>
      <c r="BO611" s="374"/>
      <c r="BP611" s="375"/>
      <c r="BQ611" s="375"/>
      <c r="BS611" s="373"/>
      <c r="BT611" s="374"/>
      <c r="BU611" s="375"/>
      <c r="BV611" s="375"/>
      <c r="BX611" s="373"/>
      <c r="BY611" s="374"/>
      <c r="BZ611" s="375"/>
      <c r="CA611" s="375"/>
      <c r="CC611" s="373"/>
      <c r="CD611" s="374"/>
      <c r="CE611" s="375"/>
      <c r="CF611" s="375"/>
      <c r="CH611" s="373"/>
      <c r="CI611" s="374"/>
      <c r="CJ611" s="375"/>
      <c r="CK611" s="375"/>
      <c r="CM611" s="373"/>
      <c r="CN611" s="374"/>
      <c r="CO611" s="375"/>
      <c r="CP611" s="375"/>
      <c r="CR611" s="373"/>
      <c r="CS611" s="374"/>
      <c r="CT611" s="375"/>
      <c r="CU611" s="375"/>
      <c r="CW611" s="373"/>
      <c r="CX611" s="374"/>
      <c r="CY611" s="375"/>
      <c r="CZ611" s="375"/>
      <c r="DB611" s="373"/>
      <c r="DC611" s="374"/>
      <c r="DD611" s="375"/>
      <c r="DE611" s="375"/>
      <c r="DG611" s="373"/>
      <c r="DH611" s="374"/>
      <c r="DI611" s="375"/>
      <c r="DJ611" s="375"/>
      <c r="DL611" s="373"/>
      <c r="DM611" s="374"/>
      <c r="DN611" s="375"/>
      <c r="DO611" s="375"/>
      <c r="DQ611" s="373"/>
      <c r="DR611" s="374"/>
      <c r="DS611" s="375"/>
      <c r="DT611" s="375"/>
      <c r="DV611" s="373"/>
      <c r="DW611" s="374"/>
      <c r="DX611" s="375"/>
      <c r="DY611" s="375"/>
      <c r="EA611" s="373"/>
      <c r="EB611" s="374"/>
      <c r="EC611" s="375"/>
      <c r="ED611" s="375"/>
      <c r="EF611" s="373"/>
      <c r="EG611" s="374"/>
      <c r="EH611" s="375"/>
      <c r="EI611" s="375"/>
      <c r="EK611" s="373"/>
      <c r="EL611" s="374"/>
      <c r="EM611" s="375"/>
      <c r="EN611" s="375"/>
      <c r="EP611" s="373"/>
      <c r="EQ611" s="374"/>
      <c r="ER611" s="375"/>
      <c r="ES611" s="375"/>
      <c r="EU611" s="373"/>
      <c r="EV611" s="374"/>
      <c r="EW611" s="375"/>
      <c r="EX611" s="375"/>
      <c r="EZ611" s="373"/>
      <c r="FA611" s="374"/>
      <c r="FB611" s="375"/>
      <c r="FC611" s="375"/>
      <c r="FE611" s="373"/>
      <c r="FF611" s="374"/>
      <c r="FG611" s="375"/>
      <c r="FH611" s="375"/>
      <c r="FJ611" s="373"/>
      <c r="FK611" s="374"/>
      <c r="FL611" s="375"/>
      <c r="FM611" s="375"/>
      <c r="FO611" s="373"/>
      <c r="FP611" s="374"/>
      <c r="FQ611" s="375"/>
      <c r="FR611" s="375"/>
      <c r="FT611" s="373"/>
      <c r="FU611" s="374"/>
      <c r="FV611" s="375"/>
      <c r="FW611" s="375"/>
      <c r="FY611" s="373"/>
      <c r="FZ611" s="374"/>
      <c r="GA611" s="375"/>
      <c r="GB611" s="375"/>
      <c r="GD611" s="373"/>
      <c r="GE611" s="374"/>
      <c r="GF611" s="375"/>
      <c r="GG611" s="375"/>
      <c r="GI611" s="373"/>
      <c r="GJ611" s="374"/>
      <c r="GK611" s="375"/>
      <c r="GL611" s="375"/>
      <c r="GN611" s="373"/>
      <c r="GO611" s="374"/>
      <c r="GP611" s="375"/>
      <c r="GQ611" s="375"/>
      <c r="GS611" s="373"/>
      <c r="GT611" s="374"/>
      <c r="GU611" s="375"/>
      <c r="GV611" s="375"/>
      <c r="GX611" s="373"/>
      <c r="GY611" s="374"/>
      <c r="GZ611" s="375"/>
      <c r="HA611" s="375"/>
      <c r="HC611" s="373"/>
      <c r="HD611" s="374"/>
      <c r="HE611" s="375"/>
      <c r="HF611" s="375"/>
      <c r="HH611" s="373"/>
      <c r="HI611" s="374"/>
      <c r="HJ611" s="375"/>
      <c r="HK611" s="375"/>
      <c r="HM611" s="373"/>
      <c r="HN611" s="374"/>
      <c r="HO611" s="375"/>
      <c r="HP611" s="375"/>
      <c r="HR611" s="373"/>
      <c r="HS611" s="374"/>
      <c r="HT611" s="375"/>
      <c r="HU611" s="375"/>
      <c r="HW611" s="373"/>
      <c r="HX611" s="374"/>
      <c r="HY611" s="375"/>
      <c r="HZ611" s="375"/>
      <c r="IB611" s="373"/>
      <c r="IC611" s="374"/>
      <c r="ID611" s="375"/>
      <c r="IE611" s="375"/>
      <c r="IG611" s="373"/>
      <c r="IH611" s="374"/>
      <c r="II611" s="375"/>
      <c r="IJ611" s="375"/>
      <c r="IL611" s="373"/>
      <c r="IM611" s="374"/>
      <c r="IN611" s="375"/>
      <c r="IO611" s="375"/>
      <c r="IQ611" s="373"/>
      <c r="IR611" s="374"/>
      <c r="IS611" s="375"/>
      <c r="IT611" s="375"/>
      <c r="IV611" s="373"/>
    </row>
    <row r="612" spans="1:256" s="376" customFormat="1" x14ac:dyDescent="0.2">
      <c r="A612" s="373"/>
      <c r="B612" s="374"/>
      <c r="C612" s="375"/>
      <c r="D612" s="375"/>
      <c r="F612" s="373"/>
      <c r="G612" s="374"/>
      <c r="H612" s="375"/>
      <c r="I612" s="375"/>
      <c r="K612" s="373"/>
      <c r="L612" s="374"/>
      <c r="M612" s="375"/>
      <c r="N612" s="375"/>
      <c r="P612" s="373"/>
      <c r="Q612" s="374"/>
      <c r="R612" s="375"/>
      <c r="S612" s="375"/>
      <c r="U612" s="373"/>
      <c r="V612" s="374"/>
      <c r="W612" s="375"/>
      <c r="X612" s="375"/>
      <c r="Z612" s="373"/>
      <c r="AA612" s="374"/>
      <c r="AB612" s="375"/>
      <c r="AC612" s="375"/>
      <c r="AE612" s="373"/>
      <c r="AF612" s="374"/>
      <c r="AG612" s="375"/>
      <c r="AH612" s="375"/>
      <c r="AJ612" s="373"/>
      <c r="AK612" s="374"/>
      <c r="AL612" s="375"/>
      <c r="AM612" s="375"/>
      <c r="AO612" s="373"/>
      <c r="AP612" s="374"/>
      <c r="AQ612" s="375"/>
      <c r="AR612" s="375"/>
      <c r="AT612" s="373"/>
      <c r="AU612" s="374"/>
      <c r="AV612" s="375"/>
      <c r="AW612" s="375"/>
      <c r="AY612" s="373"/>
      <c r="AZ612" s="374"/>
      <c r="BA612" s="375"/>
      <c r="BB612" s="375"/>
      <c r="BD612" s="373"/>
      <c r="BE612" s="374"/>
      <c r="BF612" s="375"/>
      <c r="BG612" s="375"/>
      <c r="BI612" s="373"/>
      <c r="BJ612" s="374"/>
      <c r="BK612" s="375"/>
      <c r="BL612" s="375"/>
      <c r="BN612" s="373"/>
      <c r="BO612" s="374"/>
      <c r="BP612" s="375"/>
      <c r="BQ612" s="375"/>
      <c r="BS612" s="373"/>
      <c r="BT612" s="374"/>
      <c r="BU612" s="375"/>
      <c r="BV612" s="375"/>
      <c r="BX612" s="373"/>
      <c r="BY612" s="374"/>
      <c r="BZ612" s="375"/>
      <c r="CA612" s="375"/>
      <c r="CC612" s="373"/>
      <c r="CD612" s="374"/>
      <c r="CE612" s="375"/>
      <c r="CF612" s="375"/>
      <c r="CH612" s="373"/>
      <c r="CI612" s="374"/>
      <c r="CJ612" s="375"/>
      <c r="CK612" s="375"/>
      <c r="CM612" s="373"/>
      <c r="CN612" s="374"/>
      <c r="CO612" s="375"/>
      <c r="CP612" s="375"/>
      <c r="CR612" s="373"/>
      <c r="CS612" s="374"/>
      <c r="CT612" s="375"/>
      <c r="CU612" s="375"/>
      <c r="CW612" s="373"/>
      <c r="CX612" s="374"/>
      <c r="CY612" s="375"/>
      <c r="CZ612" s="375"/>
      <c r="DB612" s="373"/>
      <c r="DC612" s="374"/>
      <c r="DD612" s="375"/>
      <c r="DE612" s="375"/>
      <c r="DG612" s="373"/>
      <c r="DH612" s="374"/>
      <c r="DI612" s="375"/>
      <c r="DJ612" s="375"/>
      <c r="DL612" s="373"/>
      <c r="DM612" s="374"/>
      <c r="DN612" s="375"/>
      <c r="DO612" s="375"/>
      <c r="DQ612" s="373"/>
      <c r="DR612" s="374"/>
      <c r="DS612" s="375"/>
      <c r="DT612" s="375"/>
      <c r="DV612" s="373"/>
      <c r="DW612" s="374"/>
      <c r="DX612" s="375"/>
      <c r="DY612" s="375"/>
      <c r="EA612" s="373"/>
      <c r="EB612" s="374"/>
      <c r="EC612" s="375"/>
      <c r="ED612" s="375"/>
      <c r="EF612" s="373"/>
      <c r="EG612" s="374"/>
      <c r="EH612" s="375"/>
      <c r="EI612" s="375"/>
      <c r="EK612" s="373"/>
      <c r="EL612" s="374"/>
      <c r="EM612" s="375"/>
      <c r="EN612" s="375"/>
      <c r="EP612" s="373"/>
      <c r="EQ612" s="374"/>
      <c r="ER612" s="375"/>
      <c r="ES612" s="375"/>
      <c r="EU612" s="373"/>
      <c r="EV612" s="374"/>
      <c r="EW612" s="375"/>
      <c r="EX612" s="375"/>
      <c r="EZ612" s="373"/>
      <c r="FA612" s="374"/>
      <c r="FB612" s="375"/>
      <c r="FC612" s="375"/>
      <c r="FE612" s="373"/>
      <c r="FF612" s="374"/>
      <c r="FG612" s="375"/>
      <c r="FH612" s="375"/>
      <c r="FJ612" s="373"/>
      <c r="FK612" s="374"/>
      <c r="FL612" s="375"/>
      <c r="FM612" s="375"/>
      <c r="FO612" s="373"/>
      <c r="FP612" s="374"/>
      <c r="FQ612" s="375"/>
      <c r="FR612" s="375"/>
      <c r="FT612" s="373"/>
      <c r="FU612" s="374"/>
      <c r="FV612" s="375"/>
      <c r="FW612" s="375"/>
      <c r="FY612" s="373"/>
      <c r="FZ612" s="374"/>
      <c r="GA612" s="375"/>
      <c r="GB612" s="375"/>
      <c r="GD612" s="373"/>
      <c r="GE612" s="374"/>
      <c r="GF612" s="375"/>
      <c r="GG612" s="375"/>
      <c r="GI612" s="373"/>
      <c r="GJ612" s="374"/>
      <c r="GK612" s="375"/>
      <c r="GL612" s="375"/>
      <c r="GN612" s="373"/>
      <c r="GO612" s="374"/>
      <c r="GP612" s="375"/>
      <c r="GQ612" s="375"/>
      <c r="GS612" s="373"/>
      <c r="GT612" s="374"/>
      <c r="GU612" s="375"/>
      <c r="GV612" s="375"/>
      <c r="GX612" s="373"/>
      <c r="GY612" s="374"/>
      <c r="GZ612" s="375"/>
      <c r="HA612" s="375"/>
      <c r="HC612" s="373"/>
      <c r="HD612" s="374"/>
      <c r="HE612" s="375"/>
      <c r="HF612" s="375"/>
      <c r="HH612" s="373"/>
      <c r="HI612" s="374"/>
      <c r="HJ612" s="375"/>
      <c r="HK612" s="375"/>
      <c r="HM612" s="373"/>
      <c r="HN612" s="374"/>
      <c r="HO612" s="375"/>
      <c r="HP612" s="375"/>
      <c r="HR612" s="373"/>
      <c r="HS612" s="374"/>
      <c r="HT612" s="375"/>
      <c r="HU612" s="375"/>
      <c r="HW612" s="373"/>
      <c r="HX612" s="374"/>
      <c r="HY612" s="375"/>
      <c r="HZ612" s="375"/>
      <c r="IB612" s="373"/>
      <c r="IC612" s="374"/>
      <c r="ID612" s="375"/>
      <c r="IE612" s="375"/>
      <c r="IG612" s="373"/>
      <c r="IH612" s="374"/>
      <c r="II612" s="375"/>
      <c r="IJ612" s="375"/>
      <c r="IL612" s="373"/>
      <c r="IM612" s="374"/>
      <c r="IN612" s="375"/>
      <c r="IO612" s="375"/>
      <c r="IQ612" s="373"/>
      <c r="IR612" s="374"/>
      <c r="IS612" s="375"/>
      <c r="IT612" s="375"/>
      <c r="IV612" s="373"/>
    </row>
    <row r="613" spans="1:256" s="376" customFormat="1" x14ac:dyDescent="0.2">
      <c r="A613" s="373"/>
      <c r="B613" s="374"/>
      <c r="C613" s="375"/>
      <c r="D613" s="375"/>
      <c r="F613" s="373"/>
      <c r="G613" s="374"/>
      <c r="H613" s="375"/>
      <c r="I613" s="375"/>
      <c r="K613" s="373"/>
      <c r="L613" s="374"/>
      <c r="M613" s="375"/>
      <c r="N613" s="375"/>
      <c r="P613" s="373"/>
      <c r="Q613" s="374"/>
      <c r="R613" s="375"/>
      <c r="S613" s="375"/>
      <c r="U613" s="373"/>
      <c r="V613" s="374"/>
      <c r="W613" s="375"/>
      <c r="X613" s="375"/>
      <c r="Z613" s="373"/>
      <c r="AA613" s="374"/>
      <c r="AB613" s="375"/>
      <c r="AC613" s="375"/>
      <c r="AE613" s="373"/>
      <c r="AF613" s="374"/>
      <c r="AG613" s="375"/>
      <c r="AH613" s="375"/>
      <c r="AJ613" s="373"/>
      <c r="AK613" s="374"/>
      <c r="AL613" s="375"/>
      <c r="AM613" s="375"/>
      <c r="AO613" s="373"/>
      <c r="AP613" s="374"/>
      <c r="AQ613" s="375"/>
      <c r="AR613" s="375"/>
      <c r="AT613" s="373"/>
      <c r="AU613" s="374"/>
      <c r="AV613" s="375"/>
      <c r="AW613" s="375"/>
      <c r="AY613" s="373"/>
      <c r="AZ613" s="374"/>
      <c r="BA613" s="375"/>
      <c r="BB613" s="375"/>
      <c r="BD613" s="373"/>
      <c r="BE613" s="374"/>
      <c r="BF613" s="375"/>
      <c r="BG613" s="375"/>
      <c r="BI613" s="373"/>
      <c r="BJ613" s="374"/>
      <c r="BK613" s="375"/>
      <c r="BL613" s="375"/>
      <c r="BN613" s="373"/>
      <c r="BO613" s="374"/>
      <c r="BP613" s="375"/>
      <c r="BQ613" s="375"/>
      <c r="BS613" s="373"/>
      <c r="BT613" s="374"/>
      <c r="BU613" s="375"/>
      <c r="BV613" s="375"/>
      <c r="BX613" s="373"/>
      <c r="BY613" s="374"/>
      <c r="BZ613" s="375"/>
      <c r="CA613" s="375"/>
      <c r="CC613" s="373"/>
      <c r="CD613" s="374"/>
      <c r="CE613" s="375"/>
      <c r="CF613" s="375"/>
      <c r="CH613" s="373"/>
      <c r="CI613" s="374"/>
      <c r="CJ613" s="375"/>
      <c r="CK613" s="375"/>
      <c r="CM613" s="373"/>
      <c r="CN613" s="374"/>
      <c r="CO613" s="375"/>
      <c r="CP613" s="375"/>
      <c r="CR613" s="373"/>
      <c r="CS613" s="374"/>
      <c r="CT613" s="375"/>
      <c r="CU613" s="375"/>
      <c r="CW613" s="373"/>
      <c r="CX613" s="374"/>
      <c r="CY613" s="375"/>
      <c r="CZ613" s="375"/>
      <c r="DB613" s="373"/>
      <c r="DC613" s="374"/>
      <c r="DD613" s="375"/>
      <c r="DE613" s="375"/>
      <c r="DG613" s="373"/>
      <c r="DH613" s="374"/>
      <c r="DI613" s="375"/>
      <c r="DJ613" s="375"/>
      <c r="DL613" s="373"/>
      <c r="DM613" s="374"/>
      <c r="DN613" s="375"/>
      <c r="DO613" s="375"/>
      <c r="DQ613" s="373"/>
      <c r="DR613" s="374"/>
      <c r="DS613" s="375"/>
      <c r="DT613" s="375"/>
      <c r="DV613" s="373"/>
      <c r="DW613" s="374"/>
      <c r="DX613" s="375"/>
      <c r="DY613" s="375"/>
      <c r="EA613" s="373"/>
      <c r="EB613" s="374"/>
      <c r="EC613" s="375"/>
      <c r="ED613" s="375"/>
      <c r="EF613" s="373"/>
      <c r="EG613" s="374"/>
      <c r="EH613" s="375"/>
      <c r="EI613" s="375"/>
      <c r="EK613" s="373"/>
      <c r="EL613" s="374"/>
      <c r="EM613" s="375"/>
      <c r="EN613" s="375"/>
      <c r="EP613" s="373"/>
      <c r="EQ613" s="374"/>
      <c r="ER613" s="375"/>
      <c r="ES613" s="375"/>
      <c r="EU613" s="373"/>
      <c r="EV613" s="374"/>
      <c r="EW613" s="375"/>
      <c r="EX613" s="375"/>
      <c r="EZ613" s="373"/>
      <c r="FA613" s="374"/>
      <c r="FB613" s="375"/>
      <c r="FC613" s="375"/>
      <c r="FE613" s="373"/>
      <c r="FF613" s="374"/>
      <c r="FG613" s="375"/>
      <c r="FH613" s="375"/>
      <c r="FJ613" s="373"/>
      <c r="FK613" s="374"/>
      <c r="FL613" s="375"/>
      <c r="FM613" s="375"/>
      <c r="FO613" s="373"/>
      <c r="FP613" s="374"/>
      <c r="FQ613" s="375"/>
      <c r="FR613" s="375"/>
      <c r="FT613" s="373"/>
      <c r="FU613" s="374"/>
      <c r="FV613" s="375"/>
      <c r="FW613" s="375"/>
      <c r="FY613" s="373"/>
      <c r="FZ613" s="374"/>
      <c r="GA613" s="375"/>
      <c r="GB613" s="375"/>
      <c r="GD613" s="373"/>
      <c r="GE613" s="374"/>
      <c r="GF613" s="375"/>
      <c r="GG613" s="375"/>
      <c r="GI613" s="373"/>
      <c r="GJ613" s="374"/>
      <c r="GK613" s="375"/>
      <c r="GL613" s="375"/>
      <c r="GN613" s="373"/>
      <c r="GO613" s="374"/>
      <c r="GP613" s="375"/>
      <c r="GQ613" s="375"/>
      <c r="GS613" s="373"/>
      <c r="GT613" s="374"/>
      <c r="GU613" s="375"/>
      <c r="GV613" s="375"/>
      <c r="GX613" s="373"/>
      <c r="GY613" s="374"/>
      <c r="GZ613" s="375"/>
      <c r="HA613" s="375"/>
      <c r="HC613" s="373"/>
      <c r="HD613" s="374"/>
      <c r="HE613" s="375"/>
      <c r="HF613" s="375"/>
      <c r="HH613" s="373"/>
      <c r="HI613" s="374"/>
      <c r="HJ613" s="375"/>
      <c r="HK613" s="375"/>
      <c r="HM613" s="373"/>
      <c r="HN613" s="374"/>
      <c r="HO613" s="375"/>
      <c r="HP613" s="375"/>
      <c r="HR613" s="373"/>
      <c r="HS613" s="374"/>
      <c r="HT613" s="375"/>
      <c r="HU613" s="375"/>
      <c r="HW613" s="373"/>
      <c r="HX613" s="374"/>
      <c r="HY613" s="375"/>
      <c r="HZ613" s="375"/>
      <c r="IB613" s="373"/>
      <c r="IC613" s="374"/>
      <c r="ID613" s="375"/>
      <c r="IE613" s="375"/>
      <c r="IG613" s="373"/>
      <c r="IH613" s="374"/>
      <c r="II613" s="375"/>
      <c r="IJ613" s="375"/>
      <c r="IL613" s="373"/>
      <c r="IM613" s="374"/>
      <c r="IN613" s="375"/>
      <c r="IO613" s="375"/>
      <c r="IQ613" s="373"/>
      <c r="IR613" s="374"/>
      <c r="IS613" s="375"/>
      <c r="IT613" s="375"/>
      <c r="IV613" s="373"/>
    </row>
    <row r="614" spans="1:256" s="376" customFormat="1" x14ac:dyDescent="0.2">
      <c r="A614" s="373"/>
      <c r="B614" s="374"/>
      <c r="C614" s="375"/>
      <c r="D614" s="375"/>
      <c r="F614" s="373"/>
      <c r="G614" s="374"/>
      <c r="H614" s="375"/>
      <c r="I614" s="375"/>
      <c r="K614" s="373"/>
      <c r="L614" s="374"/>
      <c r="M614" s="375"/>
      <c r="N614" s="375"/>
      <c r="P614" s="373"/>
      <c r="Q614" s="374"/>
      <c r="R614" s="375"/>
      <c r="S614" s="375"/>
      <c r="U614" s="373"/>
      <c r="V614" s="374"/>
      <c r="W614" s="375"/>
      <c r="X614" s="375"/>
      <c r="Z614" s="373"/>
      <c r="AA614" s="374"/>
      <c r="AB614" s="375"/>
      <c r="AC614" s="375"/>
      <c r="AE614" s="373"/>
      <c r="AF614" s="374"/>
      <c r="AG614" s="375"/>
      <c r="AH614" s="375"/>
      <c r="AJ614" s="373"/>
      <c r="AK614" s="374"/>
      <c r="AL614" s="375"/>
      <c r="AM614" s="375"/>
      <c r="AO614" s="373"/>
      <c r="AP614" s="374"/>
      <c r="AQ614" s="375"/>
      <c r="AR614" s="375"/>
      <c r="AT614" s="373"/>
      <c r="AU614" s="374"/>
      <c r="AV614" s="375"/>
      <c r="AW614" s="375"/>
      <c r="AY614" s="373"/>
      <c r="AZ614" s="374"/>
      <c r="BA614" s="375"/>
      <c r="BB614" s="375"/>
      <c r="BD614" s="373"/>
      <c r="BE614" s="374"/>
      <c r="BF614" s="375"/>
      <c r="BG614" s="375"/>
      <c r="BI614" s="373"/>
      <c r="BJ614" s="374"/>
      <c r="BK614" s="375"/>
      <c r="BL614" s="375"/>
      <c r="BN614" s="373"/>
      <c r="BO614" s="374"/>
      <c r="BP614" s="375"/>
      <c r="BQ614" s="375"/>
      <c r="BS614" s="373"/>
      <c r="BT614" s="374"/>
      <c r="BU614" s="375"/>
      <c r="BV614" s="375"/>
      <c r="BX614" s="373"/>
      <c r="BY614" s="374"/>
      <c r="BZ614" s="375"/>
      <c r="CA614" s="375"/>
      <c r="CC614" s="373"/>
      <c r="CD614" s="374"/>
      <c r="CE614" s="375"/>
      <c r="CF614" s="375"/>
      <c r="CH614" s="373"/>
      <c r="CI614" s="374"/>
      <c r="CJ614" s="375"/>
      <c r="CK614" s="375"/>
      <c r="CM614" s="373"/>
      <c r="CN614" s="374"/>
      <c r="CO614" s="375"/>
      <c r="CP614" s="375"/>
      <c r="CR614" s="373"/>
      <c r="CS614" s="374"/>
      <c r="CT614" s="375"/>
      <c r="CU614" s="375"/>
      <c r="CW614" s="373"/>
      <c r="CX614" s="374"/>
      <c r="CY614" s="375"/>
      <c r="CZ614" s="375"/>
      <c r="DB614" s="373"/>
      <c r="DC614" s="374"/>
      <c r="DD614" s="375"/>
      <c r="DE614" s="375"/>
      <c r="DG614" s="373"/>
      <c r="DH614" s="374"/>
      <c r="DI614" s="375"/>
      <c r="DJ614" s="375"/>
      <c r="DL614" s="373"/>
      <c r="DM614" s="374"/>
      <c r="DN614" s="375"/>
      <c r="DO614" s="375"/>
      <c r="DQ614" s="373"/>
      <c r="DR614" s="374"/>
      <c r="DS614" s="375"/>
      <c r="DT614" s="375"/>
      <c r="DV614" s="373"/>
      <c r="DW614" s="374"/>
      <c r="DX614" s="375"/>
      <c r="DY614" s="375"/>
      <c r="EA614" s="373"/>
      <c r="EB614" s="374"/>
      <c r="EC614" s="375"/>
      <c r="ED614" s="375"/>
      <c r="EF614" s="373"/>
      <c r="EG614" s="374"/>
      <c r="EH614" s="375"/>
      <c r="EI614" s="375"/>
      <c r="EK614" s="373"/>
      <c r="EL614" s="374"/>
      <c r="EM614" s="375"/>
      <c r="EN614" s="375"/>
      <c r="EP614" s="373"/>
      <c r="EQ614" s="374"/>
      <c r="ER614" s="375"/>
      <c r="ES614" s="375"/>
      <c r="EU614" s="373"/>
      <c r="EV614" s="374"/>
      <c r="EW614" s="375"/>
      <c r="EX614" s="375"/>
      <c r="EZ614" s="373"/>
      <c r="FA614" s="374"/>
      <c r="FB614" s="375"/>
      <c r="FC614" s="375"/>
      <c r="FE614" s="373"/>
      <c r="FF614" s="374"/>
      <c r="FG614" s="375"/>
      <c r="FH614" s="375"/>
      <c r="FJ614" s="373"/>
      <c r="FK614" s="374"/>
      <c r="FL614" s="375"/>
      <c r="FM614" s="375"/>
      <c r="FO614" s="373"/>
      <c r="FP614" s="374"/>
      <c r="FQ614" s="375"/>
      <c r="FR614" s="375"/>
      <c r="FT614" s="373"/>
      <c r="FU614" s="374"/>
      <c r="FV614" s="375"/>
      <c r="FW614" s="375"/>
      <c r="FY614" s="373"/>
      <c r="FZ614" s="374"/>
      <c r="GA614" s="375"/>
      <c r="GB614" s="375"/>
      <c r="GD614" s="373"/>
      <c r="GE614" s="374"/>
      <c r="GF614" s="375"/>
      <c r="GG614" s="375"/>
      <c r="GI614" s="373"/>
      <c r="GJ614" s="374"/>
      <c r="GK614" s="375"/>
      <c r="GL614" s="375"/>
      <c r="GN614" s="373"/>
      <c r="GO614" s="374"/>
      <c r="GP614" s="375"/>
      <c r="GQ614" s="375"/>
      <c r="GS614" s="373"/>
      <c r="GT614" s="374"/>
      <c r="GU614" s="375"/>
      <c r="GV614" s="375"/>
      <c r="GX614" s="373"/>
      <c r="GY614" s="374"/>
      <c r="GZ614" s="375"/>
      <c r="HA614" s="375"/>
      <c r="HC614" s="373"/>
      <c r="HD614" s="374"/>
      <c r="HE614" s="375"/>
      <c r="HF614" s="375"/>
      <c r="HH614" s="373"/>
      <c r="HI614" s="374"/>
      <c r="HJ614" s="375"/>
      <c r="HK614" s="375"/>
      <c r="HM614" s="373"/>
      <c r="HN614" s="374"/>
      <c r="HO614" s="375"/>
      <c r="HP614" s="375"/>
      <c r="HR614" s="373"/>
      <c r="HS614" s="374"/>
      <c r="HT614" s="375"/>
      <c r="HU614" s="375"/>
      <c r="HW614" s="373"/>
      <c r="HX614" s="374"/>
      <c r="HY614" s="375"/>
      <c r="HZ614" s="375"/>
      <c r="IB614" s="373"/>
      <c r="IC614" s="374"/>
      <c r="ID614" s="375"/>
      <c r="IE614" s="375"/>
      <c r="IG614" s="373"/>
      <c r="IH614" s="374"/>
      <c r="II614" s="375"/>
      <c r="IJ614" s="375"/>
      <c r="IL614" s="373"/>
      <c r="IM614" s="374"/>
      <c r="IN614" s="375"/>
      <c r="IO614" s="375"/>
      <c r="IQ614" s="373"/>
      <c r="IR614" s="374"/>
      <c r="IS614" s="375"/>
      <c r="IT614" s="375"/>
      <c r="IV614" s="373"/>
    </row>
    <row r="615" spans="1:256" s="376" customFormat="1" x14ac:dyDescent="0.2">
      <c r="A615" s="373"/>
      <c r="B615" s="374"/>
      <c r="C615" s="375"/>
      <c r="D615" s="375"/>
      <c r="F615" s="373"/>
      <c r="G615" s="374"/>
      <c r="H615" s="375"/>
      <c r="I615" s="375"/>
      <c r="K615" s="373"/>
      <c r="L615" s="374"/>
      <c r="M615" s="375"/>
      <c r="N615" s="375"/>
      <c r="P615" s="373"/>
      <c r="Q615" s="374"/>
      <c r="R615" s="375"/>
      <c r="S615" s="375"/>
      <c r="U615" s="373"/>
      <c r="V615" s="374"/>
      <c r="W615" s="375"/>
      <c r="X615" s="375"/>
      <c r="Z615" s="373"/>
      <c r="AA615" s="374"/>
      <c r="AB615" s="375"/>
      <c r="AC615" s="375"/>
      <c r="AE615" s="373"/>
      <c r="AF615" s="374"/>
      <c r="AG615" s="375"/>
      <c r="AH615" s="375"/>
      <c r="AJ615" s="373"/>
      <c r="AK615" s="374"/>
      <c r="AL615" s="375"/>
      <c r="AM615" s="375"/>
      <c r="AO615" s="373"/>
      <c r="AP615" s="374"/>
      <c r="AQ615" s="375"/>
      <c r="AR615" s="375"/>
      <c r="AT615" s="373"/>
      <c r="AU615" s="374"/>
      <c r="AV615" s="375"/>
      <c r="AW615" s="375"/>
      <c r="AY615" s="373"/>
      <c r="AZ615" s="374"/>
      <c r="BA615" s="375"/>
      <c r="BB615" s="375"/>
      <c r="BD615" s="373"/>
      <c r="BE615" s="374"/>
      <c r="BF615" s="375"/>
      <c r="BG615" s="375"/>
      <c r="BI615" s="373"/>
      <c r="BJ615" s="374"/>
      <c r="BK615" s="375"/>
      <c r="BL615" s="375"/>
      <c r="BN615" s="373"/>
      <c r="BO615" s="374"/>
      <c r="BP615" s="375"/>
      <c r="BQ615" s="375"/>
      <c r="BS615" s="373"/>
      <c r="BT615" s="374"/>
      <c r="BU615" s="375"/>
      <c r="BV615" s="375"/>
      <c r="BX615" s="373"/>
      <c r="BY615" s="374"/>
      <c r="BZ615" s="375"/>
      <c r="CA615" s="375"/>
      <c r="CC615" s="373"/>
      <c r="CD615" s="374"/>
      <c r="CE615" s="375"/>
      <c r="CF615" s="375"/>
      <c r="CH615" s="373"/>
      <c r="CI615" s="374"/>
      <c r="CJ615" s="375"/>
      <c r="CK615" s="375"/>
      <c r="CM615" s="373"/>
      <c r="CN615" s="374"/>
      <c r="CO615" s="375"/>
      <c r="CP615" s="375"/>
      <c r="CR615" s="373"/>
      <c r="CS615" s="374"/>
      <c r="CT615" s="375"/>
      <c r="CU615" s="375"/>
      <c r="CW615" s="373"/>
      <c r="CX615" s="374"/>
      <c r="CY615" s="375"/>
      <c r="CZ615" s="375"/>
      <c r="DB615" s="373"/>
      <c r="DC615" s="374"/>
      <c r="DD615" s="375"/>
      <c r="DE615" s="375"/>
      <c r="DG615" s="373"/>
      <c r="DH615" s="374"/>
      <c r="DI615" s="375"/>
      <c r="DJ615" s="375"/>
      <c r="DL615" s="373"/>
      <c r="DM615" s="374"/>
      <c r="DN615" s="375"/>
      <c r="DO615" s="375"/>
      <c r="DQ615" s="373"/>
      <c r="DR615" s="374"/>
      <c r="DS615" s="375"/>
      <c r="DT615" s="375"/>
      <c r="DV615" s="373"/>
      <c r="DW615" s="374"/>
      <c r="DX615" s="375"/>
      <c r="DY615" s="375"/>
      <c r="EA615" s="373"/>
      <c r="EB615" s="374"/>
      <c r="EC615" s="375"/>
      <c r="ED615" s="375"/>
      <c r="EF615" s="373"/>
      <c r="EG615" s="374"/>
      <c r="EH615" s="375"/>
      <c r="EI615" s="375"/>
      <c r="EK615" s="373"/>
      <c r="EL615" s="374"/>
      <c r="EM615" s="375"/>
      <c r="EN615" s="375"/>
      <c r="EP615" s="373"/>
      <c r="EQ615" s="374"/>
      <c r="ER615" s="375"/>
      <c r="ES615" s="375"/>
      <c r="EU615" s="373"/>
      <c r="EV615" s="374"/>
      <c r="EW615" s="375"/>
      <c r="EX615" s="375"/>
      <c r="EZ615" s="373"/>
      <c r="FA615" s="374"/>
      <c r="FB615" s="375"/>
      <c r="FC615" s="375"/>
      <c r="FE615" s="373"/>
      <c r="FF615" s="374"/>
      <c r="FG615" s="375"/>
      <c r="FH615" s="375"/>
      <c r="FJ615" s="373"/>
      <c r="FK615" s="374"/>
      <c r="FL615" s="375"/>
      <c r="FM615" s="375"/>
      <c r="FO615" s="373"/>
      <c r="FP615" s="374"/>
      <c r="FQ615" s="375"/>
      <c r="FR615" s="375"/>
      <c r="FT615" s="373"/>
      <c r="FU615" s="374"/>
      <c r="FV615" s="375"/>
      <c r="FW615" s="375"/>
      <c r="FY615" s="373"/>
      <c r="FZ615" s="374"/>
      <c r="GA615" s="375"/>
      <c r="GB615" s="375"/>
      <c r="GD615" s="373"/>
      <c r="GE615" s="374"/>
      <c r="GF615" s="375"/>
      <c r="GG615" s="375"/>
      <c r="GI615" s="373"/>
      <c r="GJ615" s="374"/>
      <c r="GK615" s="375"/>
      <c r="GL615" s="375"/>
      <c r="GN615" s="373"/>
      <c r="GO615" s="374"/>
      <c r="GP615" s="375"/>
      <c r="GQ615" s="375"/>
      <c r="GS615" s="373"/>
      <c r="GT615" s="374"/>
      <c r="GU615" s="375"/>
      <c r="GV615" s="375"/>
      <c r="GX615" s="373"/>
      <c r="GY615" s="374"/>
      <c r="GZ615" s="375"/>
      <c r="HA615" s="375"/>
      <c r="HC615" s="373"/>
      <c r="HD615" s="374"/>
      <c r="HE615" s="375"/>
      <c r="HF615" s="375"/>
      <c r="HH615" s="373"/>
      <c r="HI615" s="374"/>
      <c r="HJ615" s="375"/>
      <c r="HK615" s="375"/>
      <c r="HM615" s="373"/>
      <c r="HN615" s="374"/>
      <c r="HO615" s="375"/>
      <c r="HP615" s="375"/>
      <c r="HR615" s="373"/>
      <c r="HS615" s="374"/>
      <c r="HT615" s="375"/>
      <c r="HU615" s="375"/>
      <c r="HW615" s="373"/>
      <c r="HX615" s="374"/>
      <c r="HY615" s="375"/>
      <c r="HZ615" s="375"/>
      <c r="IB615" s="373"/>
      <c r="IC615" s="374"/>
      <c r="ID615" s="375"/>
      <c r="IE615" s="375"/>
      <c r="IG615" s="373"/>
      <c r="IH615" s="374"/>
      <c r="II615" s="375"/>
      <c r="IJ615" s="375"/>
      <c r="IL615" s="373"/>
      <c r="IM615" s="374"/>
      <c r="IN615" s="375"/>
      <c r="IO615" s="375"/>
      <c r="IQ615" s="373"/>
      <c r="IR615" s="374"/>
      <c r="IS615" s="375"/>
      <c r="IT615" s="375"/>
      <c r="IV615" s="373"/>
    </row>
    <row r="616" spans="1:256" s="376" customFormat="1" x14ac:dyDescent="0.2">
      <c r="A616" s="373"/>
      <c r="B616" s="374"/>
      <c r="C616" s="375"/>
      <c r="D616" s="375"/>
      <c r="F616" s="373"/>
      <c r="G616" s="374"/>
      <c r="H616" s="375"/>
      <c r="I616" s="375"/>
      <c r="K616" s="373"/>
      <c r="L616" s="374"/>
      <c r="M616" s="375"/>
      <c r="N616" s="375"/>
      <c r="P616" s="373"/>
      <c r="Q616" s="374"/>
      <c r="R616" s="375"/>
      <c r="S616" s="375"/>
      <c r="U616" s="373"/>
      <c r="V616" s="374"/>
      <c r="W616" s="375"/>
      <c r="X616" s="375"/>
      <c r="Z616" s="373"/>
      <c r="AA616" s="374"/>
      <c r="AB616" s="375"/>
      <c r="AC616" s="375"/>
      <c r="AE616" s="373"/>
      <c r="AF616" s="374"/>
      <c r="AG616" s="375"/>
      <c r="AH616" s="375"/>
      <c r="AJ616" s="373"/>
      <c r="AK616" s="374"/>
      <c r="AL616" s="375"/>
      <c r="AM616" s="375"/>
      <c r="AO616" s="373"/>
      <c r="AP616" s="374"/>
      <c r="AQ616" s="375"/>
      <c r="AR616" s="375"/>
      <c r="AT616" s="373"/>
      <c r="AU616" s="374"/>
      <c r="AV616" s="375"/>
      <c r="AW616" s="375"/>
      <c r="AY616" s="373"/>
      <c r="AZ616" s="374"/>
      <c r="BA616" s="375"/>
      <c r="BB616" s="375"/>
      <c r="BD616" s="373"/>
      <c r="BE616" s="374"/>
      <c r="BF616" s="375"/>
      <c r="BG616" s="375"/>
      <c r="BI616" s="373"/>
      <c r="BJ616" s="374"/>
      <c r="BK616" s="375"/>
      <c r="BL616" s="375"/>
      <c r="BN616" s="373"/>
      <c r="BO616" s="374"/>
      <c r="BP616" s="375"/>
      <c r="BQ616" s="375"/>
      <c r="BS616" s="373"/>
      <c r="BT616" s="374"/>
      <c r="BU616" s="375"/>
      <c r="BV616" s="375"/>
      <c r="BX616" s="373"/>
      <c r="BY616" s="374"/>
      <c r="BZ616" s="375"/>
      <c r="CA616" s="375"/>
      <c r="CC616" s="373"/>
      <c r="CD616" s="374"/>
      <c r="CE616" s="375"/>
      <c r="CF616" s="375"/>
      <c r="CH616" s="373"/>
      <c r="CI616" s="374"/>
      <c r="CJ616" s="375"/>
      <c r="CK616" s="375"/>
      <c r="CM616" s="373"/>
      <c r="CN616" s="374"/>
      <c r="CO616" s="375"/>
      <c r="CP616" s="375"/>
      <c r="CR616" s="373"/>
      <c r="CS616" s="374"/>
      <c r="CT616" s="375"/>
      <c r="CU616" s="375"/>
      <c r="CW616" s="373"/>
      <c r="CX616" s="374"/>
      <c r="CY616" s="375"/>
      <c r="CZ616" s="375"/>
      <c r="DB616" s="373"/>
      <c r="DC616" s="374"/>
      <c r="DD616" s="375"/>
      <c r="DE616" s="375"/>
      <c r="DG616" s="373"/>
      <c r="DH616" s="374"/>
      <c r="DI616" s="375"/>
      <c r="DJ616" s="375"/>
      <c r="DL616" s="373"/>
      <c r="DM616" s="374"/>
      <c r="DN616" s="375"/>
      <c r="DO616" s="375"/>
      <c r="DQ616" s="373"/>
      <c r="DR616" s="374"/>
      <c r="DS616" s="375"/>
      <c r="DT616" s="375"/>
      <c r="DV616" s="373"/>
      <c r="DW616" s="374"/>
      <c r="DX616" s="375"/>
      <c r="DY616" s="375"/>
      <c r="EA616" s="373"/>
      <c r="EB616" s="374"/>
      <c r="EC616" s="375"/>
      <c r="ED616" s="375"/>
      <c r="EF616" s="373"/>
      <c r="EG616" s="374"/>
      <c r="EH616" s="375"/>
      <c r="EI616" s="375"/>
      <c r="EK616" s="373"/>
      <c r="EL616" s="374"/>
      <c r="EM616" s="375"/>
      <c r="EN616" s="375"/>
      <c r="EP616" s="373"/>
      <c r="EQ616" s="374"/>
      <c r="ER616" s="375"/>
      <c r="ES616" s="375"/>
      <c r="EU616" s="373"/>
      <c r="EV616" s="374"/>
      <c r="EW616" s="375"/>
      <c r="EX616" s="375"/>
      <c r="EZ616" s="373"/>
      <c r="FA616" s="374"/>
      <c r="FB616" s="375"/>
      <c r="FC616" s="375"/>
      <c r="FE616" s="373"/>
      <c r="FF616" s="374"/>
      <c r="FG616" s="375"/>
      <c r="FH616" s="375"/>
      <c r="FJ616" s="373"/>
      <c r="FK616" s="374"/>
      <c r="FL616" s="375"/>
      <c r="FM616" s="375"/>
      <c r="FO616" s="373"/>
      <c r="FP616" s="374"/>
      <c r="FQ616" s="375"/>
      <c r="FR616" s="375"/>
      <c r="FT616" s="373"/>
      <c r="FU616" s="374"/>
      <c r="FV616" s="375"/>
      <c r="FW616" s="375"/>
      <c r="FY616" s="373"/>
      <c r="FZ616" s="374"/>
      <c r="GA616" s="375"/>
      <c r="GB616" s="375"/>
      <c r="GD616" s="373"/>
      <c r="GE616" s="374"/>
      <c r="GF616" s="375"/>
      <c r="GG616" s="375"/>
      <c r="GI616" s="373"/>
      <c r="GJ616" s="374"/>
      <c r="GK616" s="375"/>
      <c r="GL616" s="375"/>
      <c r="GN616" s="373"/>
      <c r="GO616" s="374"/>
      <c r="GP616" s="375"/>
      <c r="GQ616" s="375"/>
      <c r="GS616" s="373"/>
      <c r="GT616" s="374"/>
      <c r="GU616" s="375"/>
      <c r="GV616" s="375"/>
      <c r="GX616" s="373"/>
      <c r="GY616" s="374"/>
      <c r="GZ616" s="375"/>
      <c r="HA616" s="375"/>
      <c r="HC616" s="373"/>
      <c r="HD616" s="374"/>
      <c r="HE616" s="375"/>
      <c r="HF616" s="375"/>
      <c r="HH616" s="373"/>
      <c r="HI616" s="374"/>
      <c r="HJ616" s="375"/>
      <c r="HK616" s="375"/>
      <c r="HM616" s="373"/>
      <c r="HN616" s="374"/>
      <c r="HO616" s="375"/>
      <c r="HP616" s="375"/>
      <c r="HR616" s="373"/>
      <c r="HS616" s="374"/>
      <c r="HT616" s="375"/>
      <c r="HU616" s="375"/>
      <c r="HW616" s="373"/>
      <c r="HX616" s="374"/>
      <c r="HY616" s="375"/>
      <c r="HZ616" s="375"/>
      <c r="IB616" s="373"/>
      <c r="IC616" s="374"/>
      <c r="ID616" s="375"/>
      <c r="IE616" s="375"/>
      <c r="IG616" s="373"/>
      <c r="IH616" s="374"/>
      <c r="II616" s="375"/>
      <c r="IJ616" s="375"/>
      <c r="IL616" s="373"/>
      <c r="IM616" s="374"/>
      <c r="IN616" s="375"/>
      <c r="IO616" s="375"/>
      <c r="IQ616" s="373"/>
      <c r="IR616" s="374"/>
      <c r="IS616" s="375"/>
      <c r="IT616" s="375"/>
      <c r="IV616" s="373"/>
    </row>
    <row r="617" spans="1:256" s="376" customFormat="1" x14ac:dyDescent="0.2">
      <c r="A617" s="373"/>
      <c r="B617" s="374"/>
      <c r="C617" s="375"/>
      <c r="D617" s="375"/>
      <c r="F617" s="373"/>
      <c r="G617" s="374"/>
      <c r="H617" s="375"/>
      <c r="I617" s="375"/>
      <c r="K617" s="373"/>
      <c r="L617" s="374"/>
      <c r="M617" s="375"/>
      <c r="N617" s="375"/>
      <c r="P617" s="373"/>
      <c r="Q617" s="374"/>
      <c r="R617" s="375"/>
      <c r="S617" s="375"/>
      <c r="U617" s="373"/>
      <c r="V617" s="374"/>
      <c r="W617" s="375"/>
      <c r="X617" s="375"/>
      <c r="Z617" s="373"/>
      <c r="AA617" s="374"/>
      <c r="AB617" s="375"/>
      <c r="AC617" s="375"/>
      <c r="AE617" s="373"/>
      <c r="AF617" s="374"/>
      <c r="AG617" s="375"/>
      <c r="AH617" s="375"/>
      <c r="AJ617" s="373"/>
      <c r="AK617" s="374"/>
      <c r="AL617" s="375"/>
      <c r="AM617" s="375"/>
      <c r="AO617" s="373"/>
      <c r="AP617" s="374"/>
      <c r="AQ617" s="375"/>
      <c r="AR617" s="375"/>
      <c r="AT617" s="373"/>
      <c r="AU617" s="374"/>
      <c r="AV617" s="375"/>
      <c r="AW617" s="375"/>
      <c r="AY617" s="373"/>
      <c r="AZ617" s="374"/>
      <c r="BA617" s="375"/>
      <c r="BB617" s="375"/>
      <c r="BD617" s="373"/>
      <c r="BE617" s="374"/>
      <c r="BF617" s="375"/>
      <c r="BG617" s="375"/>
      <c r="BI617" s="373"/>
      <c r="BJ617" s="374"/>
      <c r="BK617" s="375"/>
      <c r="BL617" s="375"/>
      <c r="BN617" s="373"/>
      <c r="BO617" s="374"/>
      <c r="BP617" s="375"/>
      <c r="BQ617" s="375"/>
      <c r="BS617" s="373"/>
      <c r="BT617" s="374"/>
      <c r="BU617" s="375"/>
      <c r="BV617" s="375"/>
      <c r="BX617" s="373"/>
      <c r="BY617" s="374"/>
      <c r="BZ617" s="375"/>
      <c r="CA617" s="375"/>
      <c r="CC617" s="373"/>
      <c r="CD617" s="374"/>
      <c r="CE617" s="375"/>
      <c r="CF617" s="375"/>
      <c r="CH617" s="373"/>
      <c r="CI617" s="374"/>
      <c r="CJ617" s="375"/>
      <c r="CK617" s="375"/>
      <c r="CM617" s="373"/>
      <c r="CN617" s="374"/>
      <c r="CO617" s="375"/>
      <c r="CP617" s="375"/>
      <c r="CR617" s="373"/>
      <c r="CS617" s="374"/>
      <c r="CT617" s="375"/>
      <c r="CU617" s="375"/>
      <c r="CW617" s="373"/>
      <c r="CX617" s="374"/>
      <c r="CY617" s="375"/>
      <c r="CZ617" s="375"/>
      <c r="DB617" s="373"/>
      <c r="DC617" s="374"/>
      <c r="DD617" s="375"/>
      <c r="DE617" s="375"/>
      <c r="DG617" s="373"/>
      <c r="DH617" s="374"/>
      <c r="DI617" s="375"/>
      <c r="DJ617" s="375"/>
      <c r="DL617" s="373"/>
      <c r="DM617" s="374"/>
      <c r="DN617" s="375"/>
      <c r="DO617" s="375"/>
      <c r="DQ617" s="373"/>
      <c r="DR617" s="374"/>
      <c r="DS617" s="375"/>
      <c r="DT617" s="375"/>
      <c r="DV617" s="373"/>
      <c r="DW617" s="374"/>
      <c r="DX617" s="375"/>
      <c r="DY617" s="375"/>
      <c r="EA617" s="373"/>
      <c r="EB617" s="374"/>
      <c r="EC617" s="375"/>
      <c r="ED617" s="375"/>
      <c r="EF617" s="373"/>
      <c r="EG617" s="374"/>
      <c r="EH617" s="375"/>
      <c r="EI617" s="375"/>
      <c r="EK617" s="373"/>
      <c r="EL617" s="374"/>
      <c r="EM617" s="375"/>
      <c r="EN617" s="375"/>
      <c r="EP617" s="373"/>
      <c r="EQ617" s="374"/>
      <c r="ER617" s="375"/>
      <c r="ES617" s="375"/>
      <c r="EU617" s="373"/>
      <c r="EV617" s="374"/>
      <c r="EW617" s="375"/>
      <c r="EX617" s="375"/>
      <c r="EZ617" s="373"/>
      <c r="FA617" s="374"/>
      <c r="FB617" s="375"/>
      <c r="FC617" s="375"/>
      <c r="FE617" s="373"/>
      <c r="FF617" s="374"/>
      <c r="FG617" s="375"/>
      <c r="FH617" s="375"/>
      <c r="FJ617" s="373"/>
      <c r="FK617" s="374"/>
      <c r="FL617" s="375"/>
      <c r="FM617" s="375"/>
      <c r="FO617" s="373"/>
      <c r="FP617" s="374"/>
      <c r="FQ617" s="375"/>
      <c r="FR617" s="375"/>
      <c r="FT617" s="373"/>
      <c r="FU617" s="374"/>
      <c r="FV617" s="375"/>
      <c r="FW617" s="375"/>
      <c r="FY617" s="373"/>
      <c r="FZ617" s="374"/>
      <c r="GA617" s="375"/>
      <c r="GB617" s="375"/>
      <c r="GD617" s="373"/>
      <c r="GE617" s="374"/>
      <c r="GF617" s="375"/>
      <c r="GG617" s="375"/>
      <c r="GI617" s="373"/>
      <c r="GJ617" s="374"/>
      <c r="GK617" s="375"/>
      <c r="GL617" s="375"/>
      <c r="GN617" s="373"/>
      <c r="GO617" s="374"/>
      <c r="GP617" s="375"/>
      <c r="GQ617" s="375"/>
      <c r="GS617" s="373"/>
      <c r="GT617" s="374"/>
      <c r="GU617" s="375"/>
      <c r="GV617" s="375"/>
      <c r="GX617" s="373"/>
      <c r="GY617" s="374"/>
      <c r="GZ617" s="375"/>
      <c r="HA617" s="375"/>
      <c r="HC617" s="373"/>
      <c r="HD617" s="374"/>
      <c r="HE617" s="375"/>
      <c r="HF617" s="375"/>
      <c r="HH617" s="373"/>
      <c r="HI617" s="374"/>
      <c r="HJ617" s="375"/>
      <c r="HK617" s="375"/>
      <c r="HM617" s="373"/>
      <c r="HN617" s="374"/>
      <c r="HO617" s="375"/>
      <c r="HP617" s="375"/>
      <c r="HR617" s="373"/>
      <c r="HS617" s="374"/>
      <c r="HT617" s="375"/>
      <c r="HU617" s="375"/>
      <c r="HW617" s="373"/>
      <c r="HX617" s="374"/>
      <c r="HY617" s="375"/>
      <c r="HZ617" s="375"/>
      <c r="IB617" s="373"/>
      <c r="IC617" s="374"/>
      <c r="ID617" s="375"/>
      <c r="IE617" s="375"/>
      <c r="IG617" s="373"/>
      <c r="IH617" s="374"/>
      <c r="II617" s="375"/>
      <c r="IJ617" s="375"/>
      <c r="IL617" s="373"/>
      <c r="IM617" s="374"/>
      <c r="IN617" s="375"/>
      <c r="IO617" s="375"/>
      <c r="IQ617" s="373"/>
      <c r="IR617" s="374"/>
      <c r="IS617" s="375"/>
      <c r="IT617" s="375"/>
      <c r="IV617" s="373"/>
    </row>
    <row r="618" spans="1:256" s="376" customFormat="1" x14ac:dyDescent="0.2">
      <c r="A618" s="373"/>
      <c r="B618" s="374"/>
      <c r="C618" s="375"/>
      <c r="D618" s="375"/>
      <c r="F618" s="373"/>
      <c r="G618" s="374"/>
      <c r="H618" s="375"/>
      <c r="I618" s="375"/>
      <c r="K618" s="373"/>
      <c r="L618" s="374"/>
      <c r="M618" s="375"/>
      <c r="N618" s="375"/>
      <c r="P618" s="373"/>
      <c r="Q618" s="374"/>
      <c r="R618" s="375"/>
      <c r="S618" s="375"/>
      <c r="U618" s="373"/>
      <c r="V618" s="374"/>
      <c r="W618" s="375"/>
      <c r="X618" s="375"/>
      <c r="Z618" s="373"/>
      <c r="AA618" s="374"/>
      <c r="AB618" s="375"/>
      <c r="AC618" s="375"/>
      <c r="AE618" s="373"/>
      <c r="AF618" s="374"/>
      <c r="AG618" s="375"/>
      <c r="AH618" s="375"/>
      <c r="AJ618" s="373"/>
      <c r="AK618" s="374"/>
      <c r="AL618" s="375"/>
      <c r="AM618" s="375"/>
      <c r="AO618" s="373"/>
      <c r="AP618" s="374"/>
      <c r="AQ618" s="375"/>
      <c r="AR618" s="375"/>
      <c r="AT618" s="373"/>
      <c r="AU618" s="374"/>
      <c r="AV618" s="375"/>
      <c r="AW618" s="375"/>
      <c r="AY618" s="373"/>
      <c r="AZ618" s="374"/>
      <c r="BA618" s="375"/>
      <c r="BB618" s="375"/>
      <c r="BD618" s="373"/>
      <c r="BE618" s="374"/>
      <c r="BF618" s="375"/>
      <c r="BG618" s="375"/>
      <c r="BI618" s="373"/>
      <c r="BJ618" s="374"/>
      <c r="BK618" s="375"/>
      <c r="BL618" s="375"/>
      <c r="BN618" s="373"/>
      <c r="BO618" s="374"/>
      <c r="BP618" s="375"/>
      <c r="BQ618" s="375"/>
      <c r="BS618" s="373"/>
      <c r="BT618" s="374"/>
      <c r="BU618" s="375"/>
      <c r="BV618" s="375"/>
      <c r="BX618" s="373"/>
      <c r="BY618" s="374"/>
      <c r="BZ618" s="375"/>
      <c r="CA618" s="375"/>
      <c r="CC618" s="373"/>
      <c r="CD618" s="374"/>
      <c r="CE618" s="375"/>
      <c r="CF618" s="375"/>
      <c r="CH618" s="373"/>
      <c r="CI618" s="374"/>
      <c r="CJ618" s="375"/>
      <c r="CK618" s="375"/>
      <c r="CM618" s="373"/>
      <c r="CN618" s="374"/>
      <c r="CO618" s="375"/>
      <c r="CP618" s="375"/>
      <c r="CR618" s="373"/>
      <c r="CS618" s="374"/>
      <c r="CT618" s="375"/>
      <c r="CU618" s="375"/>
      <c r="CW618" s="373"/>
      <c r="CX618" s="374"/>
      <c r="CY618" s="375"/>
      <c r="CZ618" s="375"/>
      <c r="DB618" s="373"/>
      <c r="DC618" s="374"/>
      <c r="DD618" s="375"/>
      <c r="DE618" s="375"/>
      <c r="DG618" s="373"/>
      <c r="DH618" s="374"/>
      <c r="DI618" s="375"/>
      <c r="DJ618" s="375"/>
      <c r="DL618" s="373"/>
      <c r="DM618" s="374"/>
      <c r="DN618" s="375"/>
      <c r="DO618" s="375"/>
      <c r="DQ618" s="373"/>
      <c r="DR618" s="374"/>
      <c r="DS618" s="375"/>
      <c r="DT618" s="375"/>
      <c r="DV618" s="373"/>
      <c r="DW618" s="374"/>
      <c r="DX618" s="375"/>
      <c r="DY618" s="375"/>
      <c r="EA618" s="373"/>
      <c r="EB618" s="374"/>
      <c r="EC618" s="375"/>
      <c r="ED618" s="375"/>
      <c r="EF618" s="373"/>
      <c r="EG618" s="374"/>
      <c r="EH618" s="375"/>
      <c r="EI618" s="375"/>
      <c r="EK618" s="373"/>
      <c r="EL618" s="374"/>
      <c r="EM618" s="375"/>
      <c r="EN618" s="375"/>
      <c r="EP618" s="373"/>
      <c r="EQ618" s="374"/>
      <c r="ER618" s="375"/>
      <c r="ES618" s="375"/>
      <c r="EU618" s="373"/>
      <c r="EV618" s="374"/>
      <c r="EW618" s="375"/>
      <c r="EX618" s="375"/>
      <c r="EZ618" s="373"/>
      <c r="FA618" s="374"/>
      <c r="FB618" s="375"/>
      <c r="FC618" s="375"/>
      <c r="FE618" s="373"/>
      <c r="FF618" s="374"/>
      <c r="FG618" s="375"/>
      <c r="FH618" s="375"/>
      <c r="FJ618" s="373"/>
      <c r="FK618" s="374"/>
      <c r="FL618" s="375"/>
      <c r="FM618" s="375"/>
      <c r="FO618" s="373"/>
      <c r="FP618" s="374"/>
      <c r="FQ618" s="375"/>
      <c r="FR618" s="375"/>
      <c r="FT618" s="373"/>
      <c r="FU618" s="374"/>
      <c r="FV618" s="375"/>
      <c r="FW618" s="375"/>
      <c r="FY618" s="373"/>
      <c r="FZ618" s="374"/>
      <c r="GA618" s="375"/>
      <c r="GB618" s="375"/>
      <c r="GD618" s="373"/>
      <c r="GE618" s="374"/>
      <c r="GF618" s="375"/>
      <c r="GG618" s="375"/>
      <c r="GI618" s="373"/>
      <c r="GJ618" s="374"/>
      <c r="GK618" s="375"/>
      <c r="GL618" s="375"/>
      <c r="GN618" s="373"/>
      <c r="GO618" s="374"/>
      <c r="GP618" s="375"/>
      <c r="GQ618" s="375"/>
      <c r="GS618" s="373"/>
      <c r="GT618" s="374"/>
      <c r="GU618" s="375"/>
      <c r="GV618" s="375"/>
      <c r="GX618" s="373"/>
      <c r="GY618" s="374"/>
      <c r="GZ618" s="375"/>
      <c r="HA618" s="375"/>
      <c r="HC618" s="373"/>
      <c r="HD618" s="374"/>
      <c r="HE618" s="375"/>
      <c r="HF618" s="375"/>
      <c r="HH618" s="373"/>
      <c r="HI618" s="374"/>
      <c r="HJ618" s="375"/>
      <c r="HK618" s="375"/>
      <c r="HM618" s="373"/>
      <c r="HN618" s="374"/>
      <c r="HO618" s="375"/>
      <c r="HP618" s="375"/>
      <c r="HR618" s="373"/>
      <c r="HS618" s="374"/>
      <c r="HT618" s="375"/>
      <c r="HU618" s="375"/>
      <c r="HW618" s="373"/>
      <c r="HX618" s="374"/>
      <c r="HY618" s="375"/>
      <c r="HZ618" s="375"/>
      <c r="IB618" s="373"/>
      <c r="IC618" s="374"/>
      <c r="ID618" s="375"/>
      <c r="IE618" s="375"/>
      <c r="IG618" s="373"/>
      <c r="IH618" s="374"/>
      <c r="II618" s="375"/>
      <c r="IJ618" s="375"/>
      <c r="IL618" s="373"/>
      <c r="IM618" s="374"/>
      <c r="IN618" s="375"/>
      <c r="IO618" s="375"/>
      <c r="IQ618" s="373"/>
      <c r="IR618" s="374"/>
      <c r="IS618" s="375"/>
      <c r="IT618" s="375"/>
      <c r="IV618" s="373"/>
    </row>
    <row r="619" spans="1:256" s="376" customFormat="1" x14ac:dyDescent="0.2">
      <c r="A619" s="373"/>
      <c r="B619" s="374"/>
      <c r="C619" s="375"/>
      <c r="D619" s="375"/>
      <c r="F619" s="373"/>
      <c r="G619" s="374"/>
      <c r="H619" s="375"/>
      <c r="I619" s="375"/>
      <c r="K619" s="373"/>
      <c r="L619" s="374"/>
      <c r="M619" s="375"/>
      <c r="N619" s="375"/>
      <c r="P619" s="373"/>
      <c r="Q619" s="374"/>
      <c r="R619" s="375"/>
      <c r="S619" s="375"/>
      <c r="U619" s="373"/>
      <c r="V619" s="374"/>
      <c r="W619" s="375"/>
      <c r="X619" s="375"/>
      <c r="Z619" s="373"/>
      <c r="AA619" s="374"/>
      <c r="AB619" s="375"/>
      <c r="AC619" s="375"/>
      <c r="AE619" s="373"/>
      <c r="AF619" s="374"/>
      <c r="AG619" s="375"/>
      <c r="AH619" s="375"/>
      <c r="AJ619" s="373"/>
      <c r="AK619" s="374"/>
      <c r="AL619" s="375"/>
      <c r="AM619" s="375"/>
      <c r="AO619" s="373"/>
      <c r="AP619" s="374"/>
      <c r="AQ619" s="375"/>
      <c r="AR619" s="375"/>
      <c r="AT619" s="373"/>
      <c r="AU619" s="374"/>
      <c r="AV619" s="375"/>
      <c r="AW619" s="375"/>
      <c r="AY619" s="373"/>
      <c r="AZ619" s="374"/>
      <c r="BA619" s="375"/>
      <c r="BB619" s="375"/>
      <c r="BD619" s="373"/>
      <c r="BE619" s="374"/>
      <c r="BF619" s="375"/>
      <c r="BG619" s="375"/>
      <c r="BI619" s="373"/>
      <c r="BJ619" s="374"/>
      <c r="BK619" s="375"/>
      <c r="BL619" s="375"/>
      <c r="BN619" s="373"/>
      <c r="BO619" s="374"/>
      <c r="BP619" s="375"/>
      <c r="BQ619" s="375"/>
      <c r="BS619" s="373"/>
      <c r="BT619" s="374"/>
      <c r="BU619" s="375"/>
      <c r="BV619" s="375"/>
      <c r="BX619" s="373"/>
      <c r="BY619" s="374"/>
      <c r="BZ619" s="375"/>
      <c r="CA619" s="375"/>
      <c r="CC619" s="373"/>
      <c r="CD619" s="374"/>
      <c r="CE619" s="375"/>
      <c r="CF619" s="375"/>
      <c r="CH619" s="373"/>
      <c r="CI619" s="374"/>
      <c r="CJ619" s="375"/>
      <c r="CK619" s="375"/>
      <c r="CM619" s="373"/>
      <c r="CN619" s="374"/>
      <c r="CO619" s="375"/>
      <c r="CP619" s="375"/>
      <c r="CR619" s="373"/>
      <c r="CS619" s="374"/>
      <c r="CT619" s="375"/>
      <c r="CU619" s="375"/>
      <c r="CW619" s="373"/>
      <c r="CX619" s="374"/>
      <c r="CY619" s="375"/>
      <c r="CZ619" s="375"/>
      <c r="DB619" s="373"/>
      <c r="DC619" s="374"/>
      <c r="DD619" s="375"/>
      <c r="DE619" s="375"/>
      <c r="DG619" s="373"/>
      <c r="DH619" s="374"/>
      <c r="DI619" s="375"/>
      <c r="DJ619" s="375"/>
      <c r="DL619" s="373"/>
      <c r="DM619" s="374"/>
      <c r="DN619" s="375"/>
      <c r="DO619" s="375"/>
      <c r="DQ619" s="373"/>
      <c r="DR619" s="374"/>
      <c r="DS619" s="375"/>
      <c r="DT619" s="375"/>
      <c r="DV619" s="373"/>
      <c r="DW619" s="374"/>
      <c r="DX619" s="375"/>
      <c r="DY619" s="375"/>
      <c r="EA619" s="373"/>
      <c r="EB619" s="374"/>
      <c r="EC619" s="375"/>
      <c r="ED619" s="375"/>
      <c r="EF619" s="373"/>
      <c r="EG619" s="374"/>
      <c r="EH619" s="375"/>
      <c r="EI619" s="375"/>
      <c r="EK619" s="373"/>
      <c r="EL619" s="374"/>
      <c r="EM619" s="375"/>
      <c r="EN619" s="375"/>
      <c r="EP619" s="373"/>
      <c r="EQ619" s="374"/>
      <c r="ER619" s="375"/>
      <c r="ES619" s="375"/>
      <c r="EU619" s="373"/>
      <c r="EV619" s="374"/>
      <c r="EW619" s="375"/>
      <c r="EX619" s="375"/>
      <c r="EZ619" s="373"/>
      <c r="FA619" s="374"/>
      <c r="FB619" s="375"/>
      <c r="FC619" s="375"/>
      <c r="FE619" s="373"/>
      <c r="FF619" s="374"/>
      <c r="FG619" s="375"/>
      <c r="FH619" s="375"/>
      <c r="FJ619" s="373"/>
      <c r="FK619" s="374"/>
      <c r="FL619" s="375"/>
      <c r="FM619" s="375"/>
      <c r="FO619" s="373"/>
      <c r="FP619" s="374"/>
      <c r="FQ619" s="375"/>
      <c r="FR619" s="375"/>
      <c r="FT619" s="373"/>
      <c r="FU619" s="374"/>
      <c r="FV619" s="375"/>
      <c r="FW619" s="375"/>
      <c r="FY619" s="373"/>
      <c r="FZ619" s="374"/>
      <c r="GA619" s="375"/>
      <c r="GB619" s="375"/>
      <c r="GD619" s="373"/>
      <c r="GE619" s="374"/>
      <c r="GF619" s="375"/>
      <c r="GG619" s="375"/>
      <c r="GI619" s="373"/>
      <c r="GJ619" s="374"/>
      <c r="GK619" s="375"/>
      <c r="GL619" s="375"/>
      <c r="GN619" s="373"/>
      <c r="GO619" s="374"/>
      <c r="GP619" s="375"/>
      <c r="GQ619" s="375"/>
      <c r="GS619" s="373"/>
      <c r="GT619" s="374"/>
      <c r="GU619" s="375"/>
      <c r="GV619" s="375"/>
      <c r="GX619" s="373"/>
      <c r="GY619" s="374"/>
      <c r="GZ619" s="375"/>
      <c r="HA619" s="375"/>
      <c r="HC619" s="373"/>
      <c r="HD619" s="374"/>
      <c r="HE619" s="375"/>
      <c r="HF619" s="375"/>
      <c r="HH619" s="373"/>
      <c r="HI619" s="374"/>
      <c r="HJ619" s="375"/>
      <c r="HK619" s="375"/>
      <c r="HM619" s="373"/>
      <c r="HN619" s="374"/>
      <c r="HO619" s="375"/>
      <c r="HP619" s="375"/>
      <c r="HR619" s="373"/>
      <c r="HS619" s="374"/>
      <c r="HT619" s="375"/>
      <c r="HU619" s="375"/>
      <c r="HW619" s="373"/>
      <c r="HX619" s="374"/>
      <c r="HY619" s="375"/>
      <c r="HZ619" s="375"/>
      <c r="IB619" s="373"/>
      <c r="IC619" s="374"/>
      <c r="ID619" s="375"/>
      <c r="IE619" s="375"/>
      <c r="IG619" s="373"/>
      <c r="IH619" s="374"/>
      <c r="II619" s="375"/>
      <c r="IJ619" s="375"/>
      <c r="IL619" s="373"/>
      <c r="IM619" s="374"/>
      <c r="IN619" s="375"/>
      <c r="IO619" s="375"/>
      <c r="IQ619" s="373"/>
      <c r="IR619" s="374"/>
      <c r="IS619" s="375"/>
      <c r="IT619" s="375"/>
      <c r="IV619" s="373"/>
    </row>
    <row r="620" spans="1:256" s="376" customFormat="1" x14ac:dyDescent="0.2">
      <c r="A620" s="373"/>
      <c r="B620" s="374"/>
      <c r="C620" s="375"/>
      <c r="D620" s="375"/>
      <c r="F620" s="373"/>
      <c r="G620" s="374"/>
      <c r="H620" s="375"/>
      <c r="I620" s="375"/>
      <c r="K620" s="373"/>
      <c r="L620" s="374"/>
      <c r="M620" s="375"/>
      <c r="N620" s="375"/>
      <c r="P620" s="373"/>
      <c r="Q620" s="374"/>
      <c r="R620" s="375"/>
      <c r="S620" s="375"/>
      <c r="U620" s="373"/>
      <c r="V620" s="374"/>
      <c r="W620" s="375"/>
      <c r="X620" s="375"/>
      <c r="Z620" s="373"/>
      <c r="AA620" s="374"/>
      <c r="AB620" s="375"/>
      <c r="AC620" s="375"/>
      <c r="AE620" s="373"/>
      <c r="AF620" s="374"/>
      <c r="AG620" s="375"/>
      <c r="AH620" s="375"/>
      <c r="AJ620" s="373"/>
      <c r="AK620" s="374"/>
      <c r="AL620" s="375"/>
      <c r="AM620" s="375"/>
      <c r="AO620" s="373"/>
      <c r="AP620" s="374"/>
      <c r="AQ620" s="375"/>
      <c r="AR620" s="375"/>
      <c r="AT620" s="373"/>
      <c r="AU620" s="374"/>
      <c r="AV620" s="375"/>
      <c r="AW620" s="375"/>
      <c r="AY620" s="373"/>
      <c r="AZ620" s="374"/>
      <c r="BA620" s="375"/>
      <c r="BB620" s="375"/>
      <c r="BD620" s="373"/>
      <c r="BE620" s="374"/>
      <c r="BF620" s="375"/>
      <c r="BG620" s="375"/>
      <c r="BI620" s="373"/>
      <c r="BJ620" s="374"/>
      <c r="BK620" s="375"/>
      <c r="BL620" s="375"/>
      <c r="BN620" s="373"/>
      <c r="BO620" s="374"/>
      <c r="BP620" s="375"/>
      <c r="BQ620" s="375"/>
      <c r="BS620" s="373"/>
      <c r="BT620" s="374"/>
      <c r="BU620" s="375"/>
      <c r="BV620" s="375"/>
      <c r="BX620" s="373"/>
      <c r="BY620" s="374"/>
      <c r="BZ620" s="375"/>
      <c r="CA620" s="375"/>
      <c r="CC620" s="373"/>
      <c r="CD620" s="374"/>
      <c r="CE620" s="375"/>
      <c r="CF620" s="375"/>
      <c r="CH620" s="373"/>
      <c r="CI620" s="374"/>
      <c r="CJ620" s="375"/>
      <c r="CK620" s="375"/>
      <c r="CM620" s="373"/>
      <c r="CN620" s="374"/>
      <c r="CO620" s="375"/>
      <c r="CP620" s="375"/>
      <c r="CR620" s="373"/>
      <c r="CS620" s="374"/>
      <c r="CT620" s="375"/>
      <c r="CU620" s="375"/>
      <c r="CW620" s="373"/>
      <c r="CX620" s="374"/>
      <c r="CY620" s="375"/>
      <c r="CZ620" s="375"/>
      <c r="DB620" s="373"/>
      <c r="DC620" s="374"/>
      <c r="DD620" s="375"/>
      <c r="DE620" s="375"/>
      <c r="DG620" s="373"/>
      <c r="DH620" s="374"/>
      <c r="DI620" s="375"/>
      <c r="DJ620" s="375"/>
      <c r="DL620" s="373"/>
      <c r="DM620" s="374"/>
      <c r="DN620" s="375"/>
      <c r="DO620" s="375"/>
      <c r="DQ620" s="373"/>
      <c r="DR620" s="374"/>
      <c r="DS620" s="375"/>
      <c r="DT620" s="375"/>
      <c r="DV620" s="373"/>
      <c r="DW620" s="374"/>
      <c r="DX620" s="375"/>
      <c r="DY620" s="375"/>
      <c r="EA620" s="373"/>
      <c r="EB620" s="374"/>
      <c r="EC620" s="375"/>
      <c r="ED620" s="375"/>
      <c r="EF620" s="373"/>
      <c r="EG620" s="374"/>
      <c r="EH620" s="375"/>
      <c r="EI620" s="375"/>
      <c r="EK620" s="373"/>
      <c r="EL620" s="374"/>
      <c r="EM620" s="375"/>
      <c r="EN620" s="375"/>
      <c r="EP620" s="373"/>
      <c r="EQ620" s="374"/>
      <c r="ER620" s="375"/>
      <c r="ES620" s="375"/>
      <c r="EU620" s="373"/>
      <c r="EV620" s="374"/>
      <c r="EW620" s="375"/>
      <c r="EX620" s="375"/>
      <c r="EZ620" s="373"/>
      <c r="FA620" s="374"/>
      <c r="FB620" s="375"/>
      <c r="FC620" s="375"/>
      <c r="FE620" s="373"/>
      <c r="FF620" s="374"/>
      <c r="FG620" s="375"/>
      <c r="FH620" s="375"/>
      <c r="FJ620" s="373"/>
      <c r="FK620" s="374"/>
      <c r="FL620" s="375"/>
      <c r="FM620" s="375"/>
      <c r="FO620" s="373"/>
      <c r="FP620" s="374"/>
      <c r="FQ620" s="375"/>
      <c r="FR620" s="375"/>
      <c r="FT620" s="373"/>
      <c r="FU620" s="374"/>
      <c r="FV620" s="375"/>
      <c r="FW620" s="375"/>
      <c r="FY620" s="373"/>
      <c r="FZ620" s="374"/>
      <c r="GA620" s="375"/>
      <c r="GB620" s="375"/>
      <c r="GD620" s="373"/>
      <c r="GE620" s="374"/>
      <c r="GF620" s="375"/>
      <c r="GG620" s="375"/>
      <c r="GI620" s="373"/>
      <c r="GJ620" s="374"/>
      <c r="GK620" s="375"/>
      <c r="GL620" s="375"/>
      <c r="GN620" s="373"/>
      <c r="GO620" s="374"/>
      <c r="GP620" s="375"/>
      <c r="GQ620" s="375"/>
      <c r="GS620" s="373"/>
      <c r="GT620" s="374"/>
      <c r="GU620" s="375"/>
      <c r="GV620" s="375"/>
      <c r="GX620" s="373"/>
      <c r="GY620" s="374"/>
      <c r="GZ620" s="375"/>
      <c r="HA620" s="375"/>
      <c r="HC620" s="373"/>
      <c r="HD620" s="374"/>
      <c r="HE620" s="375"/>
      <c r="HF620" s="375"/>
      <c r="HH620" s="373"/>
      <c r="HI620" s="374"/>
      <c r="HJ620" s="375"/>
      <c r="HK620" s="375"/>
      <c r="HM620" s="373"/>
      <c r="HN620" s="374"/>
      <c r="HO620" s="375"/>
      <c r="HP620" s="375"/>
      <c r="HR620" s="373"/>
      <c r="HS620" s="374"/>
      <c r="HT620" s="375"/>
      <c r="HU620" s="375"/>
      <c r="HW620" s="373"/>
      <c r="HX620" s="374"/>
      <c r="HY620" s="375"/>
      <c r="HZ620" s="375"/>
      <c r="IB620" s="373"/>
      <c r="IC620" s="374"/>
      <c r="ID620" s="375"/>
      <c r="IE620" s="375"/>
      <c r="IG620" s="373"/>
      <c r="IH620" s="374"/>
      <c r="II620" s="375"/>
      <c r="IJ620" s="375"/>
      <c r="IL620" s="373"/>
      <c r="IM620" s="374"/>
      <c r="IN620" s="375"/>
      <c r="IO620" s="375"/>
      <c r="IQ620" s="373"/>
      <c r="IR620" s="374"/>
      <c r="IS620" s="375"/>
      <c r="IT620" s="375"/>
      <c r="IV620" s="373"/>
    </row>
    <row r="621" spans="1:256" s="376" customFormat="1" x14ac:dyDescent="0.2">
      <c r="A621" s="373"/>
      <c r="B621" s="374"/>
      <c r="C621" s="375"/>
      <c r="D621" s="375"/>
      <c r="F621" s="373"/>
      <c r="G621" s="374"/>
      <c r="H621" s="375"/>
      <c r="I621" s="375"/>
      <c r="K621" s="373"/>
      <c r="L621" s="374"/>
      <c r="M621" s="375"/>
      <c r="N621" s="375"/>
      <c r="P621" s="373"/>
      <c r="Q621" s="374"/>
      <c r="R621" s="375"/>
      <c r="S621" s="375"/>
      <c r="U621" s="373"/>
      <c r="V621" s="374"/>
      <c r="W621" s="375"/>
      <c r="X621" s="375"/>
      <c r="Z621" s="373"/>
      <c r="AA621" s="374"/>
      <c r="AB621" s="375"/>
      <c r="AC621" s="375"/>
      <c r="AE621" s="373"/>
      <c r="AF621" s="374"/>
      <c r="AG621" s="375"/>
      <c r="AH621" s="375"/>
      <c r="AJ621" s="373"/>
      <c r="AK621" s="374"/>
      <c r="AL621" s="375"/>
      <c r="AM621" s="375"/>
      <c r="AO621" s="373"/>
      <c r="AP621" s="374"/>
      <c r="AQ621" s="375"/>
      <c r="AR621" s="375"/>
      <c r="AT621" s="373"/>
      <c r="AU621" s="374"/>
      <c r="AV621" s="375"/>
      <c r="AW621" s="375"/>
      <c r="AY621" s="373"/>
      <c r="AZ621" s="374"/>
      <c r="BA621" s="375"/>
      <c r="BB621" s="375"/>
      <c r="BD621" s="373"/>
      <c r="BE621" s="374"/>
      <c r="BF621" s="375"/>
      <c r="BG621" s="375"/>
      <c r="BI621" s="373"/>
      <c r="BJ621" s="374"/>
      <c r="BK621" s="375"/>
      <c r="BL621" s="375"/>
      <c r="BN621" s="373"/>
      <c r="BO621" s="374"/>
      <c r="BP621" s="375"/>
      <c r="BQ621" s="375"/>
      <c r="BS621" s="373"/>
      <c r="BT621" s="374"/>
      <c r="BU621" s="375"/>
      <c r="BV621" s="375"/>
      <c r="BX621" s="373"/>
      <c r="BY621" s="374"/>
      <c r="BZ621" s="375"/>
      <c r="CA621" s="375"/>
      <c r="CC621" s="373"/>
      <c r="CD621" s="374"/>
      <c r="CE621" s="375"/>
      <c r="CF621" s="375"/>
      <c r="CH621" s="373"/>
      <c r="CI621" s="374"/>
      <c r="CJ621" s="375"/>
      <c r="CK621" s="375"/>
      <c r="CM621" s="373"/>
      <c r="CN621" s="374"/>
      <c r="CO621" s="375"/>
      <c r="CP621" s="375"/>
      <c r="CR621" s="373"/>
      <c r="CS621" s="374"/>
      <c r="CT621" s="375"/>
      <c r="CU621" s="375"/>
      <c r="CW621" s="373"/>
      <c r="CX621" s="374"/>
      <c r="CY621" s="375"/>
      <c r="CZ621" s="375"/>
      <c r="DB621" s="373"/>
      <c r="DC621" s="374"/>
      <c r="DD621" s="375"/>
      <c r="DE621" s="375"/>
      <c r="DG621" s="373"/>
      <c r="DH621" s="374"/>
      <c r="DI621" s="375"/>
      <c r="DJ621" s="375"/>
      <c r="DL621" s="373"/>
      <c r="DM621" s="374"/>
      <c r="DN621" s="375"/>
      <c r="DO621" s="375"/>
      <c r="DQ621" s="373"/>
      <c r="DR621" s="374"/>
      <c r="DS621" s="375"/>
      <c r="DT621" s="375"/>
      <c r="DV621" s="373"/>
      <c r="DW621" s="374"/>
      <c r="DX621" s="375"/>
      <c r="DY621" s="375"/>
      <c r="EA621" s="373"/>
      <c r="EB621" s="374"/>
      <c r="EC621" s="375"/>
      <c r="ED621" s="375"/>
      <c r="EF621" s="373"/>
      <c r="EG621" s="374"/>
      <c r="EH621" s="375"/>
      <c r="EI621" s="375"/>
      <c r="EK621" s="373"/>
      <c r="EL621" s="374"/>
      <c r="EM621" s="375"/>
      <c r="EN621" s="375"/>
      <c r="EP621" s="373"/>
      <c r="EQ621" s="374"/>
      <c r="ER621" s="375"/>
      <c r="ES621" s="375"/>
      <c r="EU621" s="373"/>
      <c r="EV621" s="374"/>
      <c r="EW621" s="375"/>
      <c r="EX621" s="375"/>
      <c r="EZ621" s="373"/>
      <c r="FA621" s="374"/>
      <c r="FB621" s="375"/>
      <c r="FC621" s="375"/>
      <c r="FE621" s="373"/>
      <c r="FF621" s="374"/>
      <c r="FG621" s="375"/>
      <c r="FH621" s="375"/>
      <c r="FJ621" s="373"/>
      <c r="FK621" s="374"/>
      <c r="FL621" s="375"/>
      <c r="FM621" s="375"/>
      <c r="FO621" s="373"/>
      <c r="FP621" s="374"/>
      <c r="FQ621" s="375"/>
      <c r="FR621" s="375"/>
      <c r="FT621" s="373"/>
      <c r="FU621" s="374"/>
      <c r="FV621" s="375"/>
      <c r="FW621" s="375"/>
      <c r="FY621" s="373"/>
      <c r="FZ621" s="374"/>
      <c r="GA621" s="375"/>
      <c r="GB621" s="375"/>
      <c r="GD621" s="373"/>
      <c r="GE621" s="374"/>
      <c r="GF621" s="375"/>
      <c r="GG621" s="375"/>
      <c r="GI621" s="373"/>
      <c r="GJ621" s="374"/>
      <c r="GK621" s="375"/>
      <c r="GL621" s="375"/>
      <c r="GN621" s="373"/>
      <c r="GO621" s="374"/>
      <c r="GP621" s="375"/>
      <c r="GQ621" s="375"/>
      <c r="GS621" s="373"/>
      <c r="GT621" s="374"/>
      <c r="GU621" s="375"/>
      <c r="GV621" s="375"/>
      <c r="GX621" s="373"/>
      <c r="GY621" s="374"/>
      <c r="GZ621" s="375"/>
      <c r="HA621" s="375"/>
      <c r="HC621" s="373"/>
      <c r="HD621" s="374"/>
      <c r="HE621" s="375"/>
      <c r="HF621" s="375"/>
      <c r="HH621" s="373"/>
      <c r="HI621" s="374"/>
      <c r="HJ621" s="375"/>
      <c r="HK621" s="375"/>
      <c r="HM621" s="373"/>
      <c r="HN621" s="374"/>
      <c r="HO621" s="375"/>
      <c r="HP621" s="375"/>
      <c r="HR621" s="373"/>
      <c r="HS621" s="374"/>
      <c r="HT621" s="375"/>
      <c r="HU621" s="375"/>
      <c r="HW621" s="373"/>
      <c r="HX621" s="374"/>
      <c r="HY621" s="375"/>
      <c r="HZ621" s="375"/>
      <c r="IB621" s="373"/>
      <c r="IC621" s="374"/>
      <c r="ID621" s="375"/>
      <c r="IE621" s="375"/>
      <c r="IG621" s="373"/>
      <c r="IH621" s="374"/>
      <c r="II621" s="375"/>
      <c r="IJ621" s="375"/>
      <c r="IL621" s="373"/>
      <c r="IM621" s="374"/>
      <c r="IN621" s="375"/>
      <c r="IO621" s="375"/>
      <c r="IQ621" s="373"/>
      <c r="IR621" s="374"/>
      <c r="IS621" s="375"/>
      <c r="IT621" s="375"/>
      <c r="IV621" s="373"/>
    </row>
    <row r="622" spans="1:256" s="376" customFormat="1" x14ac:dyDescent="0.2">
      <c r="A622" s="373"/>
      <c r="B622" s="374"/>
      <c r="C622" s="375"/>
      <c r="D622" s="375"/>
      <c r="F622" s="373"/>
      <c r="G622" s="374"/>
      <c r="H622" s="375"/>
      <c r="I622" s="375"/>
      <c r="K622" s="373"/>
      <c r="L622" s="374"/>
      <c r="M622" s="375"/>
      <c r="N622" s="375"/>
      <c r="P622" s="373"/>
      <c r="Q622" s="374"/>
      <c r="R622" s="375"/>
      <c r="S622" s="375"/>
      <c r="U622" s="373"/>
      <c r="V622" s="374"/>
      <c r="W622" s="375"/>
      <c r="X622" s="375"/>
      <c r="Z622" s="373"/>
      <c r="AA622" s="374"/>
      <c r="AB622" s="375"/>
      <c r="AC622" s="375"/>
      <c r="AE622" s="373"/>
      <c r="AF622" s="374"/>
      <c r="AG622" s="375"/>
      <c r="AH622" s="375"/>
      <c r="AJ622" s="373"/>
      <c r="AK622" s="374"/>
      <c r="AL622" s="375"/>
      <c r="AM622" s="375"/>
      <c r="AO622" s="373"/>
      <c r="AP622" s="374"/>
      <c r="AQ622" s="375"/>
      <c r="AR622" s="375"/>
      <c r="AT622" s="373"/>
      <c r="AU622" s="374"/>
      <c r="AV622" s="375"/>
      <c r="AW622" s="375"/>
      <c r="AY622" s="373"/>
      <c r="AZ622" s="374"/>
      <c r="BA622" s="375"/>
      <c r="BB622" s="375"/>
      <c r="BD622" s="373"/>
      <c r="BE622" s="374"/>
      <c r="BF622" s="375"/>
      <c r="BG622" s="375"/>
      <c r="BI622" s="373"/>
      <c r="BJ622" s="374"/>
      <c r="BK622" s="375"/>
      <c r="BL622" s="375"/>
      <c r="BN622" s="373"/>
      <c r="BO622" s="374"/>
      <c r="BP622" s="375"/>
      <c r="BQ622" s="375"/>
      <c r="BS622" s="373"/>
      <c r="BT622" s="374"/>
      <c r="BU622" s="375"/>
      <c r="BV622" s="375"/>
      <c r="BX622" s="373"/>
      <c r="BY622" s="374"/>
      <c r="BZ622" s="375"/>
      <c r="CA622" s="375"/>
      <c r="CC622" s="373"/>
      <c r="CD622" s="374"/>
      <c r="CE622" s="375"/>
      <c r="CF622" s="375"/>
      <c r="CH622" s="373"/>
      <c r="CI622" s="374"/>
      <c r="CJ622" s="375"/>
      <c r="CK622" s="375"/>
      <c r="CM622" s="373"/>
      <c r="CN622" s="374"/>
      <c r="CO622" s="375"/>
      <c r="CP622" s="375"/>
      <c r="CR622" s="373"/>
      <c r="CS622" s="374"/>
      <c r="CT622" s="375"/>
      <c r="CU622" s="375"/>
      <c r="CW622" s="373"/>
      <c r="CX622" s="374"/>
      <c r="CY622" s="375"/>
      <c r="CZ622" s="375"/>
      <c r="DB622" s="373"/>
      <c r="DC622" s="374"/>
      <c r="DD622" s="375"/>
      <c r="DE622" s="375"/>
      <c r="DG622" s="373"/>
      <c r="DH622" s="374"/>
      <c r="DI622" s="375"/>
      <c r="DJ622" s="375"/>
      <c r="DL622" s="373"/>
      <c r="DM622" s="374"/>
      <c r="DN622" s="375"/>
      <c r="DO622" s="375"/>
      <c r="DQ622" s="373"/>
      <c r="DR622" s="374"/>
      <c r="DS622" s="375"/>
      <c r="DT622" s="375"/>
      <c r="DV622" s="373"/>
      <c r="DW622" s="374"/>
      <c r="DX622" s="375"/>
      <c r="DY622" s="375"/>
      <c r="EA622" s="373"/>
      <c r="EB622" s="374"/>
      <c r="EC622" s="375"/>
      <c r="ED622" s="375"/>
      <c r="EF622" s="373"/>
      <c r="EG622" s="374"/>
      <c r="EH622" s="375"/>
      <c r="EI622" s="375"/>
      <c r="EK622" s="373"/>
      <c r="EL622" s="374"/>
      <c r="EM622" s="375"/>
      <c r="EN622" s="375"/>
      <c r="EP622" s="373"/>
      <c r="EQ622" s="374"/>
      <c r="ER622" s="375"/>
      <c r="ES622" s="375"/>
      <c r="EU622" s="373"/>
      <c r="EV622" s="374"/>
      <c r="EW622" s="375"/>
      <c r="EX622" s="375"/>
      <c r="EZ622" s="373"/>
      <c r="FA622" s="374"/>
      <c r="FB622" s="375"/>
      <c r="FC622" s="375"/>
      <c r="FE622" s="373"/>
      <c r="FF622" s="374"/>
      <c r="FG622" s="375"/>
      <c r="FH622" s="375"/>
      <c r="FJ622" s="373"/>
      <c r="FK622" s="374"/>
      <c r="FL622" s="375"/>
      <c r="FM622" s="375"/>
      <c r="FO622" s="373"/>
      <c r="FP622" s="374"/>
      <c r="FQ622" s="375"/>
      <c r="FR622" s="375"/>
      <c r="FT622" s="373"/>
      <c r="FU622" s="374"/>
      <c r="FV622" s="375"/>
      <c r="FW622" s="375"/>
      <c r="FY622" s="373"/>
      <c r="FZ622" s="374"/>
      <c r="GA622" s="375"/>
      <c r="GB622" s="375"/>
      <c r="GD622" s="373"/>
      <c r="GE622" s="374"/>
      <c r="GF622" s="375"/>
      <c r="GG622" s="375"/>
      <c r="GI622" s="373"/>
      <c r="GJ622" s="374"/>
      <c r="GK622" s="375"/>
      <c r="GL622" s="375"/>
      <c r="GN622" s="373"/>
      <c r="GO622" s="374"/>
      <c r="GP622" s="375"/>
      <c r="GQ622" s="375"/>
      <c r="GS622" s="373"/>
      <c r="GT622" s="374"/>
      <c r="GU622" s="375"/>
      <c r="GV622" s="375"/>
      <c r="GX622" s="373"/>
      <c r="GY622" s="374"/>
      <c r="GZ622" s="375"/>
      <c r="HA622" s="375"/>
      <c r="HC622" s="373"/>
      <c r="HD622" s="374"/>
      <c r="HE622" s="375"/>
      <c r="HF622" s="375"/>
      <c r="HH622" s="373"/>
      <c r="HI622" s="374"/>
      <c r="HJ622" s="375"/>
      <c r="HK622" s="375"/>
      <c r="HM622" s="373"/>
      <c r="HN622" s="374"/>
      <c r="HO622" s="375"/>
      <c r="HP622" s="375"/>
      <c r="HR622" s="373"/>
      <c r="HS622" s="374"/>
      <c r="HT622" s="375"/>
      <c r="HU622" s="375"/>
      <c r="HW622" s="373"/>
      <c r="HX622" s="374"/>
      <c r="HY622" s="375"/>
      <c r="HZ622" s="375"/>
      <c r="IB622" s="373"/>
      <c r="IC622" s="374"/>
      <c r="ID622" s="375"/>
      <c r="IE622" s="375"/>
      <c r="IG622" s="373"/>
      <c r="IH622" s="374"/>
      <c r="II622" s="375"/>
      <c r="IJ622" s="375"/>
      <c r="IL622" s="373"/>
      <c r="IM622" s="374"/>
      <c r="IN622" s="375"/>
      <c r="IO622" s="375"/>
      <c r="IQ622" s="373"/>
      <c r="IR622" s="374"/>
      <c r="IS622" s="375"/>
      <c r="IT622" s="375"/>
      <c r="IV622" s="373"/>
    </row>
    <row r="623" spans="1:256" s="376" customFormat="1" x14ac:dyDescent="0.2">
      <c r="A623" s="373"/>
      <c r="B623" s="374"/>
      <c r="C623" s="375"/>
      <c r="D623" s="375"/>
      <c r="F623" s="373"/>
      <c r="G623" s="374"/>
      <c r="H623" s="375"/>
      <c r="I623" s="375"/>
      <c r="K623" s="373"/>
      <c r="L623" s="374"/>
      <c r="M623" s="375"/>
      <c r="N623" s="375"/>
      <c r="P623" s="373"/>
      <c r="Q623" s="374"/>
      <c r="R623" s="375"/>
      <c r="S623" s="375"/>
      <c r="U623" s="373"/>
      <c r="V623" s="374"/>
      <c r="W623" s="375"/>
      <c r="X623" s="375"/>
      <c r="Z623" s="373"/>
      <c r="AA623" s="374"/>
      <c r="AB623" s="375"/>
      <c r="AC623" s="375"/>
      <c r="AE623" s="373"/>
      <c r="AF623" s="374"/>
      <c r="AG623" s="375"/>
      <c r="AH623" s="375"/>
      <c r="AJ623" s="373"/>
      <c r="AK623" s="374"/>
      <c r="AL623" s="375"/>
      <c r="AM623" s="375"/>
      <c r="AO623" s="373"/>
      <c r="AP623" s="374"/>
      <c r="AQ623" s="375"/>
      <c r="AR623" s="375"/>
      <c r="AT623" s="373"/>
      <c r="AU623" s="374"/>
      <c r="AV623" s="375"/>
      <c r="AW623" s="375"/>
      <c r="AY623" s="373"/>
      <c r="AZ623" s="374"/>
      <c r="BA623" s="375"/>
      <c r="BB623" s="375"/>
      <c r="BD623" s="373"/>
      <c r="BE623" s="374"/>
      <c r="BF623" s="375"/>
      <c r="BG623" s="375"/>
      <c r="BI623" s="373"/>
      <c r="BJ623" s="374"/>
      <c r="BK623" s="375"/>
      <c r="BL623" s="375"/>
      <c r="BN623" s="373"/>
      <c r="BO623" s="374"/>
      <c r="BP623" s="375"/>
      <c r="BQ623" s="375"/>
      <c r="BS623" s="373"/>
      <c r="BT623" s="374"/>
      <c r="BU623" s="375"/>
      <c r="BV623" s="375"/>
      <c r="BX623" s="373"/>
      <c r="BY623" s="374"/>
      <c r="BZ623" s="375"/>
      <c r="CA623" s="375"/>
      <c r="CC623" s="373"/>
      <c r="CD623" s="374"/>
      <c r="CE623" s="375"/>
      <c r="CF623" s="375"/>
      <c r="CH623" s="373"/>
      <c r="CI623" s="374"/>
      <c r="CJ623" s="375"/>
      <c r="CK623" s="375"/>
      <c r="CM623" s="373"/>
      <c r="CN623" s="374"/>
      <c r="CO623" s="375"/>
      <c r="CP623" s="375"/>
      <c r="CR623" s="373"/>
      <c r="CS623" s="374"/>
      <c r="CT623" s="375"/>
      <c r="CU623" s="375"/>
      <c r="CW623" s="373"/>
      <c r="CX623" s="374"/>
      <c r="CY623" s="375"/>
      <c r="CZ623" s="375"/>
      <c r="DB623" s="373"/>
      <c r="DC623" s="374"/>
      <c r="DD623" s="375"/>
      <c r="DE623" s="375"/>
      <c r="DG623" s="373"/>
      <c r="DH623" s="374"/>
      <c r="DI623" s="375"/>
      <c r="DJ623" s="375"/>
      <c r="DL623" s="373"/>
      <c r="DM623" s="374"/>
      <c r="DN623" s="375"/>
      <c r="DO623" s="375"/>
      <c r="DQ623" s="373"/>
      <c r="DR623" s="374"/>
      <c r="DS623" s="375"/>
      <c r="DT623" s="375"/>
      <c r="DV623" s="373"/>
      <c r="DW623" s="374"/>
      <c r="DX623" s="375"/>
      <c r="DY623" s="375"/>
      <c r="EA623" s="373"/>
      <c r="EB623" s="374"/>
      <c r="EC623" s="375"/>
      <c r="ED623" s="375"/>
      <c r="EF623" s="373"/>
      <c r="EG623" s="374"/>
      <c r="EH623" s="375"/>
      <c r="EI623" s="375"/>
      <c r="EK623" s="373"/>
      <c r="EL623" s="374"/>
      <c r="EM623" s="375"/>
      <c r="EN623" s="375"/>
      <c r="EP623" s="373"/>
      <c r="EQ623" s="374"/>
      <c r="ER623" s="375"/>
      <c r="ES623" s="375"/>
      <c r="EU623" s="373"/>
      <c r="EV623" s="374"/>
      <c r="EW623" s="375"/>
      <c r="EX623" s="375"/>
      <c r="EZ623" s="373"/>
      <c r="FA623" s="374"/>
      <c r="FB623" s="375"/>
      <c r="FC623" s="375"/>
      <c r="FE623" s="373"/>
      <c r="FF623" s="374"/>
      <c r="FG623" s="375"/>
      <c r="FH623" s="375"/>
      <c r="FJ623" s="373"/>
      <c r="FK623" s="374"/>
      <c r="FL623" s="375"/>
      <c r="FM623" s="375"/>
      <c r="FO623" s="373"/>
      <c r="FP623" s="374"/>
      <c r="FQ623" s="375"/>
      <c r="FR623" s="375"/>
      <c r="FT623" s="373"/>
      <c r="FU623" s="374"/>
      <c r="FV623" s="375"/>
      <c r="FW623" s="375"/>
      <c r="FY623" s="373"/>
      <c r="FZ623" s="374"/>
      <c r="GA623" s="375"/>
      <c r="GB623" s="375"/>
      <c r="GD623" s="373"/>
      <c r="GE623" s="374"/>
      <c r="GF623" s="375"/>
      <c r="GG623" s="375"/>
      <c r="GI623" s="373"/>
      <c r="GJ623" s="374"/>
      <c r="GK623" s="375"/>
      <c r="GL623" s="375"/>
      <c r="GN623" s="373"/>
      <c r="GO623" s="374"/>
      <c r="GP623" s="375"/>
      <c r="GQ623" s="375"/>
      <c r="GS623" s="373"/>
      <c r="GT623" s="374"/>
      <c r="GU623" s="375"/>
      <c r="GV623" s="375"/>
      <c r="GX623" s="373"/>
      <c r="GY623" s="374"/>
      <c r="GZ623" s="375"/>
      <c r="HA623" s="375"/>
      <c r="HC623" s="373"/>
      <c r="HD623" s="374"/>
      <c r="HE623" s="375"/>
      <c r="HF623" s="375"/>
      <c r="HH623" s="373"/>
      <c r="HI623" s="374"/>
      <c r="HJ623" s="375"/>
      <c r="HK623" s="375"/>
      <c r="HM623" s="373"/>
      <c r="HN623" s="374"/>
      <c r="HO623" s="375"/>
      <c r="HP623" s="375"/>
      <c r="HR623" s="373"/>
      <c r="HS623" s="374"/>
      <c r="HT623" s="375"/>
      <c r="HU623" s="375"/>
      <c r="HW623" s="373"/>
      <c r="HX623" s="374"/>
      <c r="HY623" s="375"/>
      <c r="HZ623" s="375"/>
      <c r="IB623" s="373"/>
      <c r="IC623" s="374"/>
      <c r="ID623" s="375"/>
      <c r="IE623" s="375"/>
      <c r="IG623" s="373"/>
      <c r="IH623" s="374"/>
      <c r="II623" s="375"/>
      <c r="IJ623" s="375"/>
      <c r="IL623" s="373"/>
      <c r="IM623" s="374"/>
      <c r="IN623" s="375"/>
      <c r="IO623" s="375"/>
      <c r="IQ623" s="373"/>
      <c r="IR623" s="374"/>
      <c r="IS623" s="375"/>
      <c r="IT623" s="375"/>
      <c r="IV623" s="373"/>
    </row>
    <row r="624" spans="1:256" s="376" customFormat="1" x14ac:dyDescent="0.2">
      <c r="A624" s="373"/>
      <c r="B624" s="374"/>
      <c r="C624" s="375"/>
      <c r="D624" s="375"/>
      <c r="F624" s="373"/>
      <c r="G624" s="374"/>
      <c r="H624" s="375"/>
      <c r="I624" s="375"/>
      <c r="K624" s="373"/>
      <c r="L624" s="374"/>
      <c r="M624" s="375"/>
      <c r="N624" s="375"/>
      <c r="P624" s="373"/>
      <c r="Q624" s="374"/>
      <c r="R624" s="375"/>
      <c r="S624" s="375"/>
      <c r="U624" s="373"/>
      <c r="V624" s="374"/>
      <c r="W624" s="375"/>
      <c r="X624" s="375"/>
      <c r="Z624" s="373"/>
      <c r="AA624" s="374"/>
      <c r="AB624" s="375"/>
      <c r="AC624" s="375"/>
      <c r="AE624" s="373"/>
      <c r="AF624" s="374"/>
      <c r="AG624" s="375"/>
      <c r="AH624" s="375"/>
      <c r="AJ624" s="373"/>
      <c r="AK624" s="374"/>
      <c r="AL624" s="375"/>
      <c r="AM624" s="375"/>
      <c r="AO624" s="373"/>
      <c r="AP624" s="374"/>
      <c r="AQ624" s="375"/>
      <c r="AR624" s="375"/>
      <c r="AT624" s="373"/>
      <c r="AU624" s="374"/>
      <c r="AV624" s="375"/>
      <c r="AW624" s="375"/>
      <c r="AY624" s="373"/>
      <c r="AZ624" s="374"/>
      <c r="BA624" s="375"/>
      <c r="BB624" s="375"/>
      <c r="BD624" s="373"/>
      <c r="BE624" s="374"/>
      <c r="BF624" s="375"/>
      <c r="BG624" s="375"/>
      <c r="BI624" s="373"/>
      <c r="BJ624" s="374"/>
      <c r="BK624" s="375"/>
      <c r="BL624" s="375"/>
      <c r="BN624" s="373"/>
      <c r="BO624" s="374"/>
      <c r="BP624" s="375"/>
      <c r="BQ624" s="375"/>
      <c r="BS624" s="373"/>
      <c r="BT624" s="374"/>
      <c r="BU624" s="375"/>
      <c r="BV624" s="375"/>
      <c r="BX624" s="373"/>
      <c r="BY624" s="374"/>
      <c r="BZ624" s="375"/>
      <c r="CA624" s="375"/>
      <c r="CC624" s="373"/>
      <c r="CD624" s="374"/>
      <c r="CE624" s="375"/>
      <c r="CF624" s="375"/>
      <c r="CH624" s="373"/>
      <c r="CI624" s="374"/>
      <c r="CJ624" s="375"/>
      <c r="CK624" s="375"/>
      <c r="CM624" s="373"/>
      <c r="CN624" s="374"/>
      <c r="CO624" s="375"/>
      <c r="CP624" s="375"/>
      <c r="CR624" s="373"/>
      <c r="CS624" s="374"/>
      <c r="CT624" s="375"/>
      <c r="CU624" s="375"/>
      <c r="CW624" s="373"/>
      <c r="CX624" s="374"/>
      <c r="CY624" s="375"/>
      <c r="CZ624" s="375"/>
      <c r="DB624" s="373"/>
      <c r="DC624" s="374"/>
      <c r="DD624" s="375"/>
      <c r="DE624" s="375"/>
      <c r="DG624" s="373"/>
      <c r="DH624" s="374"/>
      <c r="DI624" s="375"/>
      <c r="DJ624" s="375"/>
      <c r="DL624" s="373"/>
      <c r="DM624" s="374"/>
      <c r="DN624" s="375"/>
      <c r="DO624" s="375"/>
      <c r="DQ624" s="373"/>
      <c r="DR624" s="374"/>
      <c r="DS624" s="375"/>
      <c r="DT624" s="375"/>
      <c r="DV624" s="373"/>
      <c r="DW624" s="374"/>
      <c r="DX624" s="375"/>
      <c r="DY624" s="375"/>
      <c r="EA624" s="373"/>
      <c r="EB624" s="374"/>
      <c r="EC624" s="375"/>
      <c r="ED624" s="375"/>
      <c r="EF624" s="373"/>
      <c r="EG624" s="374"/>
      <c r="EH624" s="375"/>
      <c r="EI624" s="375"/>
      <c r="EK624" s="373"/>
      <c r="EL624" s="374"/>
      <c r="EM624" s="375"/>
      <c r="EN624" s="375"/>
      <c r="EP624" s="373"/>
      <c r="EQ624" s="374"/>
      <c r="ER624" s="375"/>
      <c r="ES624" s="375"/>
      <c r="EU624" s="373"/>
      <c r="EV624" s="374"/>
      <c r="EW624" s="375"/>
      <c r="EX624" s="375"/>
      <c r="EZ624" s="373"/>
      <c r="FA624" s="374"/>
      <c r="FB624" s="375"/>
      <c r="FC624" s="375"/>
      <c r="FE624" s="373"/>
      <c r="FF624" s="374"/>
      <c r="FG624" s="375"/>
      <c r="FH624" s="375"/>
      <c r="FJ624" s="373"/>
      <c r="FK624" s="374"/>
      <c r="FL624" s="375"/>
      <c r="FM624" s="375"/>
      <c r="FO624" s="373"/>
      <c r="FP624" s="374"/>
      <c r="FQ624" s="375"/>
      <c r="FR624" s="375"/>
      <c r="FT624" s="373"/>
      <c r="FU624" s="374"/>
      <c r="FV624" s="375"/>
      <c r="FW624" s="375"/>
      <c r="FY624" s="373"/>
      <c r="FZ624" s="374"/>
      <c r="GA624" s="375"/>
      <c r="GB624" s="375"/>
      <c r="GD624" s="373"/>
      <c r="GE624" s="374"/>
      <c r="GF624" s="375"/>
      <c r="GG624" s="375"/>
      <c r="GI624" s="373"/>
      <c r="GJ624" s="374"/>
      <c r="GK624" s="375"/>
      <c r="GL624" s="375"/>
      <c r="GN624" s="373"/>
      <c r="GO624" s="374"/>
      <c r="GP624" s="375"/>
      <c r="GQ624" s="375"/>
      <c r="GS624" s="373"/>
      <c r="GT624" s="374"/>
      <c r="GU624" s="375"/>
      <c r="GV624" s="375"/>
      <c r="GX624" s="373"/>
      <c r="GY624" s="374"/>
      <c r="GZ624" s="375"/>
      <c r="HA624" s="375"/>
      <c r="HC624" s="373"/>
      <c r="HD624" s="374"/>
      <c r="HE624" s="375"/>
      <c r="HF624" s="375"/>
      <c r="HH624" s="373"/>
      <c r="HI624" s="374"/>
      <c r="HJ624" s="375"/>
      <c r="HK624" s="375"/>
      <c r="HM624" s="373"/>
      <c r="HN624" s="374"/>
      <c r="HO624" s="375"/>
      <c r="HP624" s="375"/>
      <c r="HR624" s="373"/>
      <c r="HS624" s="374"/>
      <c r="HT624" s="375"/>
      <c r="HU624" s="375"/>
      <c r="HW624" s="373"/>
      <c r="HX624" s="374"/>
      <c r="HY624" s="375"/>
      <c r="HZ624" s="375"/>
      <c r="IB624" s="373"/>
      <c r="IC624" s="374"/>
      <c r="ID624" s="375"/>
      <c r="IE624" s="375"/>
      <c r="IG624" s="373"/>
      <c r="IH624" s="374"/>
      <c r="II624" s="375"/>
      <c r="IJ624" s="375"/>
      <c r="IL624" s="373"/>
      <c r="IM624" s="374"/>
      <c r="IN624" s="375"/>
      <c r="IO624" s="375"/>
      <c r="IQ624" s="373"/>
      <c r="IR624" s="374"/>
      <c r="IS624" s="375"/>
      <c r="IT624" s="375"/>
      <c r="IV624" s="373"/>
    </row>
    <row r="625" spans="1:256" s="376" customFormat="1" x14ac:dyDescent="0.2">
      <c r="A625" s="373"/>
      <c r="B625" s="374"/>
      <c r="C625" s="375"/>
      <c r="D625" s="375"/>
      <c r="F625" s="373"/>
      <c r="G625" s="374"/>
      <c r="H625" s="375"/>
      <c r="I625" s="375"/>
      <c r="K625" s="373"/>
      <c r="L625" s="374"/>
      <c r="M625" s="375"/>
      <c r="N625" s="375"/>
      <c r="P625" s="373"/>
      <c r="Q625" s="374"/>
      <c r="R625" s="375"/>
      <c r="S625" s="375"/>
      <c r="U625" s="373"/>
      <c r="V625" s="374"/>
      <c r="W625" s="375"/>
      <c r="X625" s="375"/>
      <c r="Z625" s="373"/>
      <c r="AA625" s="374"/>
      <c r="AB625" s="375"/>
      <c r="AC625" s="375"/>
      <c r="AE625" s="373"/>
      <c r="AF625" s="374"/>
      <c r="AG625" s="375"/>
      <c r="AH625" s="375"/>
      <c r="AJ625" s="373"/>
      <c r="AK625" s="374"/>
      <c r="AL625" s="375"/>
      <c r="AM625" s="375"/>
      <c r="AO625" s="373"/>
      <c r="AP625" s="374"/>
      <c r="AQ625" s="375"/>
      <c r="AR625" s="375"/>
      <c r="AT625" s="373"/>
      <c r="AU625" s="374"/>
      <c r="AV625" s="375"/>
      <c r="AW625" s="375"/>
      <c r="AY625" s="373"/>
      <c r="AZ625" s="374"/>
      <c r="BA625" s="375"/>
      <c r="BB625" s="375"/>
      <c r="BD625" s="373"/>
      <c r="BE625" s="374"/>
      <c r="BF625" s="375"/>
      <c r="BG625" s="375"/>
      <c r="BI625" s="373"/>
      <c r="BJ625" s="374"/>
      <c r="BK625" s="375"/>
      <c r="BL625" s="375"/>
      <c r="BN625" s="373"/>
      <c r="BO625" s="374"/>
      <c r="BP625" s="375"/>
      <c r="BQ625" s="375"/>
      <c r="BS625" s="373"/>
      <c r="BT625" s="374"/>
      <c r="BU625" s="375"/>
      <c r="BV625" s="375"/>
      <c r="BX625" s="373"/>
      <c r="BY625" s="374"/>
      <c r="BZ625" s="375"/>
      <c r="CA625" s="375"/>
      <c r="CC625" s="373"/>
      <c r="CD625" s="374"/>
      <c r="CE625" s="375"/>
      <c r="CF625" s="375"/>
      <c r="CH625" s="373"/>
      <c r="CI625" s="374"/>
      <c r="CJ625" s="375"/>
      <c r="CK625" s="375"/>
      <c r="CM625" s="373"/>
      <c r="CN625" s="374"/>
      <c r="CO625" s="375"/>
      <c r="CP625" s="375"/>
      <c r="CR625" s="373"/>
      <c r="CS625" s="374"/>
      <c r="CT625" s="375"/>
      <c r="CU625" s="375"/>
      <c r="CW625" s="373"/>
      <c r="CX625" s="374"/>
      <c r="CY625" s="375"/>
      <c r="CZ625" s="375"/>
      <c r="DB625" s="373"/>
      <c r="DC625" s="374"/>
      <c r="DD625" s="375"/>
      <c r="DE625" s="375"/>
      <c r="DG625" s="373"/>
      <c r="DH625" s="374"/>
      <c r="DI625" s="375"/>
      <c r="DJ625" s="375"/>
      <c r="DL625" s="373"/>
      <c r="DM625" s="374"/>
      <c r="DN625" s="375"/>
      <c r="DO625" s="375"/>
      <c r="DQ625" s="373"/>
      <c r="DR625" s="374"/>
      <c r="DS625" s="375"/>
      <c r="DT625" s="375"/>
      <c r="DV625" s="373"/>
      <c r="DW625" s="374"/>
      <c r="DX625" s="375"/>
      <c r="DY625" s="375"/>
      <c r="EA625" s="373"/>
      <c r="EB625" s="374"/>
      <c r="EC625" s="375"/>
      <c r="ED625" s="375"/>
      <c r="EF625" s="373"/>
      <c r="EG625" s="374"/>
      <c r="EH625" s="375"/>
      <c r="EI625" s="375"/>
      <c r="EK625" s="373"/>
      <c r="EL625" s="374"/>
      <c r="EM625" s="375"/>
      <c r="EN625" s="375"/>
      <c r="EP625" s="373"/>
      <c r="EQ625" s="374"/>
      <c r="ER625" s="375"/>
      <c r="ES625" s="375"/>
      <c r="EU625" s="373"/>
      <c r="EV625" s="374"/>
      <c r="EW625" s="375"/>
      <c r="EX625" s="375"/>
      <c r="EZ625" s="373"/>
      <c r="FA625" s="374"/>
      <c r="FB625" s="375"/>
      <c r="FC625" s="375"/>
      <c r="FE625" s="373"/>
      <c r="FF625" s="374"/>
      <c r="FG625" s="375"/>
      <c r="FH625" s="375"/>
      <c r="FJ625" s="373"/>
      <c r="FK625" s="374"/>
      <c r="FL625" s="375"/>
      <c r="FM625" s="375"/>
      <c r="FO625" s="373"/>
      <c r="FP625" s="374"/>
      <c r="FQ625" s="375"/>
      <c r="FR625" s="375"/>
      <c r="FT625" s="373"/>
      <c r="FU625" s="374"/>
      <c r="FV625" s="375"/>
      <c r="FW625" s="375"/>
      <c r="FY625" s="373"/>
      <c r="FZ625" s="374"/>
      <c r="GA625" s="375"/>
      <c r="GB625" s="375"/>
      <c r="GD625" s="373"/>
      <c r="GE625" s="374"/>
      <c r="GF625" s="375"/>
      <c r="GG625" s="375"/>
      <c r="GI625" s="373"/>
      <c r="GJ625" s="374"/>
      <c r="GK625" s="375"/>
      <c r="GL625" s="375"/>
      <c r="GN625" s="373"/>
      <c r="GO625" s="374"/>
      <c r="GP625" s="375"/>
      <c r="GQ625" s="375"/>
      <c r="GS625" s="373"/>
      <c r="GT625" s="374"/>
      <c r="GU625" s="375"/>
      <c r="GV625" s="375"/>
      <c r="GX625" s="373"/>
      <c r="GY625" s="374"/>
      <c r="GZ625" s="375"/>
      <c r="HA625" s="375"/>
      <c r="HC625" s="373"/>
      <c r="HD625" s="374"/>
      <c r="HE625" s="375"/>
      <c r="HF625" s="375"/>
      <c r="HH625" s="373"/>
      <c r="HI625" s="374"/>
      <c r="HJ625" s="375"/>
      <c r="HK625" s="375"/>
      <c r="HM625" s="373"/>
      <c r="HN625" s="374"/>
      <c r="HO625" s="375"/>
      <c r="HP625" s="375"/>
      <c r="HR625" s="373"/>
      <c r="HS625" s="374"/>
      <c r="HT625" s="375"/>
      <c r="HU625" s="375"/>
      <c r="HW625" s="373"/>
      <c r="HX625" s="374"/>
      <c r="HY625" s="375"/>
      <c r="HZ625" s="375"/>
      <c r="IB625" s="373"/>
      <c r="IC625" s="374"/>
      <c r="ID625" s="375"/>
      <c r="IE625" s="375"/>
      <c r="IG625" s="373"/>
      <c r="IH625" s="374"/>
      <c r="II625" s="375"/>
      <c r="IJ625" s="375"/>
      <c r="IL625" s="373"/>
      <c r="IM625" s="374"/>
      <c r="IN625" s="375"/>
      <c r="IO625" s="375"/>
      <c r="IQ625" s="373"/>
      <c r="IR625" s="374"/>
      <c r="IS625" s="375"/>
      <c r="IT625" s="375"/>
      <c r="IV625" s="373"/>
    </row>
    <row r="626" spans="1:256" s="376" customFormat="1" x14ac:dyDescent="0.2">
      <c r="A626" s="373"/>
      <c r="B626" s="374"/>
      <c r="C626" s="375"/>
      <c r="D626" s="375"/>
      <c r="F626" s="373"/>
      <c r="G626" s="374"/>
      <c r="H626" s="375"/>
      <c r="I626" s="375"/>
      <c r="K626" s="373"/>
      <c r="L626" s="374"/>
      <c r="M626" s="375"/>
      <c r="N626" s="375"/>
      <c r="P626" s="373"/>
      <c r="Q626" s="374"/>
      <c r="R626" s="375"/>
      <c r="S626" s="375"/>
      <c r="U626" s="373"/>
      <c r="V626" s="374"/>
      <c r="W626" s="375"/>
      <c r="X626" s="375"/>
      <c r="Z626" s="373"/>
      <c r="AA626" s="374"/>
      <c r="AB626" s="375"/>
      <c r="AC626" s="375"/>
      <c r="AE626" s="373"/>
      <c r="AF626" s="374"/>
      <c r="AG626" s="375"/>
      <c r="AH626" s="375"/>
      <c r="AJ626" s="373"/>
      <c r="AK626" s="374"/>
      <c r="AL626" s="375"/>
      <c r="AM626" s="375"/>
      <c r="AO626" s="373"/>
      <c r="AP626" s="374"/>
      <c r="AQ626" s="375"/>
      <c r="AR626" s="375"/>
      <c r="AT626" s="373"/>
      <c r="AU626" s="374"/>
      <c r="AV626" s="375"/>
      <c r="AW626" s="375"/>
      <c r="AY626" s="373"/>
      <c r="AZ626" s="374"/>
      <c r="BA626" s="375"/>
      <c r="BB626" s="375"/>
      <c r="BD626" s="373"/>
      <c r="BE626" s="374"/>
      <c r="BF626" s="375"/>
      <c r="BG626" s="375"/>
      <c r="BI626" s="373"/>
      <c r="BJ626" s="374"/>
      <c r="BK626" s="375"/>
      <c r="BL626" s="375"/>
      <c r="BN626" s="373"/>
      <c r="BO626" s="374"/>
      <c r="BP626" s="375"/>
      <c r="BQ626" s="375"/>
      <c r="BS626" s="373"/>
      <c r="BT626" s="374"/>
      <c r="BU626" s="375"/>
      <c r="BV626" s="375"/>
      <c r="BX626" s="373"/>
      <c r="BY626" s="374"/>
      <c r="BZ626" s="375"/>
      <c r="CA626" s="375"/>
      <c r="CC626" s="373"/>
      <c r="CD626" s="374"/>
      <c r="CE626" s="375"/>
      <c r="CF626" s="375"/>
      <c r="CH626" s="373"/>
      <c r="CI626" s="374"/>
      <c r="CJ626" s="375"/>
      <c r="CK626" s="375"/>
      <c r="CM626" s="373"/>
      <c r="CN626" s="374"/>
      <c r="CO626" s="375"/>
      <c r="CP626" s="375"/>
      <c r="CR626" s="373"/>
      <c r="CS626" s="374"/>
      <c r="CT626" s="375"/>
      <c r="CU626" s="375"/>
      <c r="CW626" s="373"/>
      <c r="CX626" s="374"/>
      <c r="CY626" s="375"/>
      <c r="CZ626" s="375"/>
      <c r="DB626" s="373"/>
      <c r="DC626" s="374"/>
      <c r="DD626" s="375"/>
      <c r="DE626" s="375"/>
      <c r="DG626" s="373"/>
      <c r="DH626" s="374"/>
      <c r="DI626" s="375"/>
      <c r="DJ626" s="375"/>
      <c r="DL626" s="373"/>
      <c r="DM626" s="374"/>
      <c r="DN626" s="375"/>
      <c r="DO626" s="375"/>
      <c r="DQ626" s="373"/>
      <c r="DR626" s="374"/>
      <c r="DS626" s="375"/>
      <c r="DT626" s="375"/>
      <c r="DV626" s="373"/>
      <c r="DW626" s="374"/>
      <c r="DX626" s="375"/>
      <c r="DY626" s="375"/>
      <c r="EA626" s="373"/>
      <c r="EB626" s="374"/>
      <c r="EC626" s="375"/>
      <c r="ED626" s="375"/>
      <c r="EF626" s="373"/>
      <c r="EG626" s="374"/>
      <c r="EH626" s="375"/>
      <c r="EI626" s="375"/>
      <c r="EK626" s="373"/>
      <c r="EL626" s="374"/>
      <c r="EM626" s="375"/>
      <c r="EN626" s="375"/>
      <c r="EP626" s="373"/>
      <c r="EQ626" s="374"/>
      <c r="ER626" s="375"/>
      <c r="ES626" s="375"/>
      <c r="EU626" s="373"/>
      <c r="EV626" s="374"/>
      <c r="EW626" s="375"/>
      <c r="EX626" s="375"/>
      <c r="EZ626" s="373"/>
      <c r="FA626" s="374"/>
      <c r="FB626" s="375"/>
      <c r="FC626" s="375"/>
      <c r="FE626" s="373"/>
      <c r="FF626" s="374"/>
      <c r="FG626" s="375"/>
      <c r="FH626" s="375"/>
      <c r="FJ626" s="373"/>
      <c r="FK626" s="374"/>
      <c r="FL626" s="375"/>
      <c r="FM626" s="375"/>
      <c r="FO626" s="373"/>
      <c r="FP626" s="374"/>
      <c r="FQ626" s="375"/>
      <c r="FR626" s="375"/>
      <c r="FT626" s="373"/>
      <c r="FU626" s="374"/>
      <c r="FV626" s="375"/>
      <c r="FW626" s="375"/>
      <c r="FY626" s="373"/>
      <c r="FZ626" s="374"/>
      <c r="GA626" s="375"/>
      <c r="GB626" s="375"/>
      <c r="GD626" s="373"/>
      <c r="GE626" s="374"/>
      <c r="GF626" s="375"/>
      <c r="GG626" s="375"/>
      <c r="GI626" s="373"/>
      <c r="GJ626" s="374"/>
      <c r="GK626" s="375"/>
      <c r="GL626" s="375"/>
      <c r="GN626" s="373"/>
      <c r="GO626" s="374"/>
      <c r="GP626" s="375"/>
      <c r="GQ626" s="375"/>
      <c r="GS626" s="373"/>
      <c r="GT626" s="374"/>
      <c r="GU626" s="375"/>
      <c r="GV626" s="375"/>
      <c r="GX626" s="373"/>
      <c r="GY626" s="374"/>
      <c r="GZ626" s="375"/>
      <c r="HA626" s="375"/>
      <c r="HC626" s="373"/>
      <c r="HD626" s="374"/>
      <c r="HE626" s="375"/>
      <c r="HF626" s="375"/>
      <c r="HH626" s="373"/>
      <c r="HI626" s="374"/>
      <c r="HJ626" s="375"/>
      <c r="HK626" s="375"/>
      <c r="HM626" s="373"/>
      <c r="HN626" s="374"/>
      <c r="HO626" s="375"/>
      <c r="HP626" s="375"/>
      <c r="HR626" s="373"/>
      <c r="HS626" s="374"/>
      <c r="HT626" s="375"/>
      <c r="HU626" s="375"/>
      <c r="HW626" s="373"/>
      <c r="HX626" s="374"/>
      <c r="HY626" s="375"/>
      <c r="HZ626" s="375"/>
      <c r="IB626" s="373"/>
      <c r="IC626" s="374"/>
      <c r="ID626" s="375"/>
      <c r="IE626" s="375"/>
      <c r="IG626" s="373"/>
      <c r="IH626" s="374"/>
      <c r="II626" s="375"/>
      <c r="IJ626" s="375"/>
      <c r="IL626" s="373"/>
      <c r="IM626" s="374"/>
      <c r="IN626" s="375"/>
      <c r="IO626" s="375"/>
      <c r="IQ626" s="373"/>
      <c r="IR626" s="374"/>
      <c r="IS626" s="375"/>
      <c r="IT626" s="375"/>
      <c r="IV626" s="373"/>
    </row>
    <row r="627" spans="1:256" s="376" customFormat="1" x14ac:dyDescent="0.2">
      <c r="A627" s="373"/>
      <c r="B627" s="374"/>
      <c r="C627" s="375"/>
      <c r="D627" s="375"/>
      <c r="F627" s="373"/>
      <c r="G627" s="374"/>
      <c r="H627" s="375"/>
      <c r="I627" s="375"/>
      <c r="K627" s="373"/>
      <c r="L627" s="374"/>
      <c r="M627" s="375"/>
      <c r="N627" s="375"/>
      <c r="P627" s="373"/>
      <c r="Q627" s="374"/>
      <c r="R627" s="375"/>
      <c r="S627" s="375"/>
      <c r="U627" s="373"/>
      <c r="V627" s="374"/>
      <c r="W627" s="375"/>
      <c r="X627" s="375"/>
      <c r="Z627" s="373"/>
      <c r="AA627" s="374"/>
      <c r="AB627" s="375"/>
      <c r="AC627" s="375"/>
      <c r="AE627" s="373"/>
      <c r="AF627" s="374"/>
      <c r="AG627" s="375"/>
      <c r="AH627" s="375"/>
      <c r="AJ627" s="373"/>
      <c r="AK627" s="374"/>
      <c r="AL627" s="375"/>
      <c r="AM627" s="375"/>
      <c r="AO627" s="373"/>
      <c r="AP627" s="374"/>
      <c r="AQ627" s="375"/>
      <c r="AR627" s="375"/>
      <c r="AT627" s="373"/>
      <c r="AU627" s="374"/>
      <c r="AV627" s="375"/>
      <c r="AW627" s="375"/>
      <c r="AY627" s="373"/>
      <c r="AZ627" s="374"/>
      <c r="BA627" s="375"/>
      <c r="BB627" s="375"/>
      <c r="BD627" s="373"/>
      <c r="BE627" s="374"/>
      <c r="BF627" s="375"/>
      <c r="BG627" s="375"/>
      <c r="BI627" s="373"/>
      <c r="BJ627" s="374"/>
      <c r="BK627" s="375"/>
      <c r="BL627" s="375"/>
      <c r="BN627" s="373"/>
      <c r="BO627" s="374"/>
      <c r="BP627" s="375"/>
      <c r="BQ627" s="375"/>
      <c r="BS627" s="373"/>
      <c r="BT627" s="374"/>
      <c r="BU627" s="375"/>
      <c r="BV627" s="375"/>
      <c r="BX627" s="373"/>
      <c r="BY627" s="374"/>
      <c r="BZ627" s="375"/>
      <c r="CA627" s="375"/>
      <c r="CC627" s="373"/>
      <c r="CD627" s="374"/>
      <c r="CE627" s="375"/>
      <c r="CF627" s="375"/>
      <c r="CH627" s="373"/>
      <c r="CI627" s="374"/>
      <c r="CJ627" s="375"/>
      <c r="CK627" s="375"/>
      <c r="CM627" s="373"/>
      <c r="CN627" s="374"/>
      <c r="CO627" s="375"/>
      <c r="CP627" s="375"/>
      <c r="CR627" s="373"/>
      <c r="CS627" s="374"/>
      <c r="CT627" s="375"/>
      <c r="CU627" s="375"/>
      <c r="CW627" s="373"/>
      <c r="CX627" s="374"/>
      <c r="CY627" s="375"/>
      <c r="CZ627" s="375"/>
      <c r="DB627" s="373"/>
      <c r="DC627" s="374"/>
      <c r="DD627" s="375"/>
      <c r="DE627" s="375"/>
      <c r="DG627" s="373"/>
      <c r="DH627" s="374"/>
      <c r="DI627" s="375"/>
      <c r="DJ627" s="375"/>
      <c r="DL627" s="373"/>
      <c r="DM627" s="374"/>
      <c r="DN627" s="375"/>
      <c r="DO627" s="375"/>
      <c r="DQ627" s="373"/>
      <c r="DR627" s="374"/>
      <c r="DS627" s="375"/>
      <c r="DT627" s="375"/>
      <c r="DV627" s="373"/>
      <c r="DW627" s="374"/>
      <c r="DX627" s="375"/>
      <c r="DY627" s="375"/>
      <c r="EA627" s="373"/>
      <c r="EB627" s="374"/>
      <c r="EC627" s="375"/>
      <c r="ED627" s="375"/>
      <c r="EF627" s="373"/>
      <c r="EG627" s="374"/>
      <c r="EH627" s="375"/>
      <c r="EI627" s="375"/>
      <c r="EK627" s="373"/>
      <c r="EL627" s="374"/>
      <c r="EM627" s="375"/>
      <c r="EN627" s="375"/>
      <c r="EP627" s="373"/>
      <c r="EQ627" s="374"/>
      <c r="ER627" s="375"/>
      <c r="ES627" s="375"/>
      <c r="EU627" s="373"/>
      <c r="EV627" s="374"/>
      <c r="EW627" s="375"/>
      <c r="EX627" s="375"/>
      <c r="EZ627" s="373"/>
      <c r="FA627" s="374"/>
      <c r="FB627" s="375"/>
      <c r="FC627" s="375"/>
      <c r="FE627" s="373"/>
      <c r="FF627" s="374"/>
      <c r="FG627" s="375"/>
      <c r="FH627" s="375"/>
      <c r="FJ627" s="373"/>
      <c r="FK627" s="374"/>
      <c r="FL627" s="375"/>
      <c r="FM627" s="375"/>
      <c r="FO627" s="373"/>
      <c r="FP627" s="374"/>
      <c r="FQ627" s="375"/>
      <c r="FR627" s="375"/>
      <c r="FT627" s="373"/>
      <c r="FU627" s="374"/>
      <c r="FV627" s="375"/>
      <c r="FW627" s="375"/>
      <c r="FY627" s="373"/>
      <c r="FZ627" s="374"/>
      <c r="GA627" s="375"/>
      <c r="GB627" s="375"/>
      <c r="GD627" s="373"/>
      <c r="GE627" s="374"/>
      <c r="GF627" s="375"/>
      <c r="GG627" s="375"/>
      <c r="GI627" s="373"/>
      <c r="GJ627" s="374"/>
      <c r="GK627" s="375"/>
      <c r="GL627" s="375"/>
      <c r="GN627" s="373"/>
      <c r="GO627" s="374"/>
      <c r="GP627" s="375"/>
      <c r="GQ627" s="375"/>
      <c r="GS627" s="373"/>
      <c r="GT627" s="374"/>
      <c r="GU627" s="375"/>
      <c r="GV627" s="375"/>
      <c r="GX627" s="373"/>
      <c r="GY627" s="374"/>
      <c r="GZ627" s="375"/>
      <c r="HA627" s="375"/>
      <c r="HC627" s="373"/>
      <c r="HD627" s="374"/>
      <c r="HE627" s="375"/>
      <c r="HF627" s="375"/>
      <c r="HH627" s="373"/>
      <c r="HI627" s="374"/>
      <c r="HJ627" s="375"/>
      <c r="HK627" s="375"/>
      <c r="HM627" s="373"/>
      <c r="HN627" s="374"/>
      <c r="HO627" s="375"/>
      <c r="HP627" s="375"/>
      <c r="HR627" s="373"/>
      <c r="HS627" s="374"/>
      <c r="HT627" s="375"/>
      <c r="HU627" s="375"/>
      <c r="HW627" s="373"/>
      <c r="HX627" s="374"/>
      <c r="HY627" s="375"/>
      <c r="HZ627" s="375"/>
      <c r="IB627" s="373"/>
      <c r="IC627" s="374"/>
      <c r="ID627" s="375"/>
      <c r="IE627" s="375"/>
      <c r="IG627" s="373"/>
      <c r="IH627" s="374"/>
      <c r="II627" s="375"/>
      <c r="IJ627" s="375"/>
      <c r="IL627" s="373"/>
      <c r="IM627" s="374"/>
      <c r="IN627" s="375"/>
      <c r="IO627" s="375"/>
      <c r="IQ627" s="373"/>
      <c r="IR627" s="374"/>
      <c r="IS627" s="375"/>
      <c r="IT627" s="375"/>
      <c r="IV627" s="373"/>
    </row>
    <row r="628" spans="1:256" s="376" customFormat="1" x14ac:dyDescent="0.2">
      <c r="A628" s="373"/>
      <c r="B628" s="374"/>
      <c r="C628" s="375"/>
      <c r="D628" s="375"/>
      <c r="F628" s="373"/>
      <c r="G628" s="374"/>
      <c r="H628" s="375"/>
      <c r="I628" s="375"/>
      <c r="K628" s="373"/>
      <c r="L628" s="374"/>
      <c r="M628" s="375"/>
      <c r="N628" s="375"/>
      <c r="P628" s="373"/>
      <c r="Q628" s="374"/>
      <c r="R628" s="375"/>
      <c r="S628" s="375"/>
      <c r="U628" s="373"/>
      <c r="V628" s="374"/>
      <c r="W628" s="375"/>
      <c r="X628" s="375"/>
      <c r="Z628" s="373"/>
      <c r="AA628" s="374"/>
      <c r="AB628" s="375"/>
      <c r="AC628" s="375"/>
      <c r="AE628" s="373"/>
      <c r="AF628" s="374"/>
      <c r="AG628" s="375"/>
      <c r="AH628" s="375"/>
      <c r="AJ628" s="373"/>
      <c r="AK628" s="374"/>
      <c r="AL628" s="375"/>
      <c r="AM628" s="375"/>
      <c r="AO628" s="373"/>
      <c r="AP628" s="374"/>
      <c r="AQ628" s="375"/>
      <c r="AR628" s="375"/>
      <c r="AT628" s="373"/>
      <c r="AU628" s="374"/>
      <c r="AV628" s="375"/>
      <c r="AW628" s="375"/>
      <c r="AY628" s="373"/>
      <c r="AZ628" s="374"/>
      <c r="BA628" s="375"/>
      <c r="BB628" s="375"/>
      <c r="BD628" s="373"/>
      <c r="BE628" s="374"/>
      <c r="BF628" s="375"/>
      <c r="BG628" s="375"/>
      <c r="BI628" s="373"/>
      <c r="BJ628" s="374"/>
      <c r="BK628" s="375"/>
      <c r="BL628" s="375"/>
      <c r="BN628" s="373"/>
      <c r="BO628" s="374"/>
      <c r="BP628" s="375"/>
      <c r="BQ628" s="375"/>
      <c r="BS628" s="373"/>
      <c r="BT628" s="374"/>
      <c r="BU628" s="375"/>
      <c r="BV628" s="375"/>
      <c r="BX628" s="373"/>
      <c r="BY628" s="374"/>
      <c r="BZ628" s="375"/>
      <c r="CA628" s="375"/>
      <c r="CC628" s="373"/>
      <c r="CD628" s="374"/>
      <c r="CE628" s="375"/>
      <c r="CF628" s="375"/>
      <c r="CH628" s="373"/>
      <c r="CI628" s="374"/>
      <c r="CJ628" s="375"/>
      <c r="CK628" s="375"/>
      <c r="CM628" s="373"/>
      <c r="CN628" s="374"/>
      <c r="CO628" s="375"/>
      <c r="CP628" s="375"/>
      <c r="CR628" s="373"/>
      <c r="CS628" s="374"/>
      <c r="CT628" s="375"/>
      <c r="CU628" s="375"/>
      <c r="CW628" s="373"/>
      <c r="CX628" s="374"/>
      <c r="CY628" s="375"/>
      <c r="CZ628" s="375"/>
      <c r="DB628" s="373"/>
      <c r="DC628" s="374"/>
      <c r="DD628" s="375"/>
      <c r="DE628" s="375"/>
      <c r="DG628" s="373"/>
      <c r="DH628" s="374"/>
      <c r="DI628" s="375"/>
      <c r="DJ628" s="375"/>
      <c r="DL628" s="373"/>
      <c r="DM628" s="374"/>
      <c r="DN628" s="375"/>
      <c r="DO628" s="375"/>
      <c r="DQ628" s="373"/>
      <c r="DR628" s="374"/>
      <c r="DS628" s="375"/>
      <c r="DT628" s="375"/>
      <c r="DV628" s="373"/>
      <c r="DW628" s="374"/>
      <c r="DX628" s="375"/>
      <c r="DY628" s="375"/>
      <c r="EA628" s="373"/>
      <c r="EB628" s="374"/>
      <c r="EC628" s="375"/>
      <c r="ED628" s="375"/>
      <c r="EF628" s="373"/>
      <c r="EG628" s="374"/>
      <c r="EH628" s="375"/>
      <c r="EI628" s="375"/>
      <c r="EK628" s="373"/>
      <c r="EL628" s="374"/>
      <c r="EM628" s="375"/>
      <c r="EN628" s="375"/>
      <c r="EP628" s="373"/>
      <c r="EQ628" s="374"/>
      <c r="ER628" s="375"/>
      <c r="ES628" s="375"/>
      <c r="EU628" s="373"/>
      <c r="EV628" s="374"/>
      <c r="EW628" s="375"/>
      <c r="EX628" s="375"/>
      <c r="EZ628" s="373"/>
      <c r="FA628" s="374"/>
      <c r="FB628" s="375"/>
      <c r="FC628" s="375"/>
      <c r="FE628" s="373"/>
      <c r="FF628" s="374"/>
      <c r="FG628" s="375"/>
      <c r="FH628" s="375"/>
      <c r="FJ628" s="373"/>
      <c r="FK628" s="374"/>
      <c r="FL628" s="375"/>
      <c r="FM628" s="375"/>
      <c r="FO628" s="373"/>
      <c r="FP628" s="374"/>
      <c r="FQ628" s="375"/>
      <c r="FR628" s="375"/>
      <c r="FT628" s="373"/>
      <c r="FU628" s="374"/>
      <c r="FV628" s="375"/>
      <c r="FW628" s="375"/>
      <c r="FY628" s="373"/>
      <c r="FZ628" s="374"/>
      <c r="GA628" s="375"/>
      <c r="GB628" s="375"/>
      <c r="GD628" s="373"/>
      <c r="GE628" s="374"/>
      <c r="GF628" s="375"/>
      <c r="GG628" s="375"/>
      <c r="GI628" s="373"/>
      <c r="GJ628" s="374"/>
      <c r="GK628" s="375"/>
      <c r="GL628" s="375"/>
      <c r="GN628" s="373"/>
      <c r="GO628" s="374"/>
      <c r="GP628" s="375"/>
      <c r="GQ628" s="375"/>
      <c r="GS628" s="373"/>
      <c r="GT628" s="374"/>
      <c r="GU628" s="375"/>
      <c r="GV628" s="375"/>
      <c r="GX628" s="373"/>
      <c r="GY628" s="374"/>
      <c r="GZ628" s="375"/>
      <c r="HA628" s="375"/>
      <c r="HC628" s="373"/>
      <c r="HD628" s="374"/>
      <c r="HE628" s="375"/>
      <c r="HF628" s="375"/>
      <c r="HH628" s="373"/>
      <c r="HI628" s="374"/>
      <c r="HJ628" s="375"/>
      <c r="HK628" s="375"/>
      <c r="HM628" s="373"/>
      <c r="HN628" s="374"/>
      <c r="HO628" s="375"/>
      <c r="HP628" s="375"/>
      <c r="HR628" s="373"/>
      <c r="HS628" s="374"/>
      <c r="HT628" s="375"/>
      <c r="HU628" s="375"/>
      <c r="HW628" s="373"/>
      <c r="HX628" s="374"/>
      <c r="HY628" s="375"/>
      <c r="HZ628" s="375"/>
      <c r="IB628" s="373"/>
      <c r="IC628" s="374"/>
      <c r="ID628" s="375"/>
      <c r="IE628" s="375"/>
      <c r="IG628" s="373"/>
      <c r="IH628" s="374"/>
      <c r="II628" s="375"/>
      <c r="IJ628" s="375"/>
      <c r="IL628" s="373"/>
      <c r="IM628" s="374"/>
      <c r="IN628" s="375"/>
      <c r="IO628" s="375"/>
      <c r="IQ628" s="373"/>
      <c r="IR628" s="374"/>
      <c r="IS628" s="375"/>
      <c r="IT628" s="375"/>
      <c r="IV628" s="373"/>
    </row>
    <row r="629" spans="1:256" s="376" customFormat="1" x14ac:dyDescent="0.2">
      <c r="A629" s="373"/>
      <c r="B629" s="374"/>
      <c r="C629" s="375"/>
      <c r="D629" s="375"/>
      <c r="F629" s="373"/>
      <c r="G629" s="374"/>
      <c r="H629" s="375"/>
      <c r="I629" s="375"/>
      <c r="K629" s="373"/>
      <c r="L629" s="374"/>
      <c r="M629" s="375"/>
      <c r="N629" s="375"/>
      <c r="P629" s="373"/>
      <c r="Q629" s="374"/>
      <c r="R629" s="375"/>
      <c r="S629" s="375"/>
      <c r="U629" s="373"/>
      <c r="V629" s="374"/>
      <c r="W629" s="375"/>
      <c r="X629" s="375"/>
      <c r="Z629" s="373"/>
      <c r="AA629" s="374"/>
      <c r="AB629" s="375"/>
      <c r="AC629" s="375"/>
      <c r="AE629" s="373"/>
      <c r="AF629" s="374"/>
      <c r="AG629" s="375"/>
      <c r="AH629" s="375"/>
      <c r="AJ629" s="373"/>
      <c r="AK629" s="374"/>
      <c r="AL629" s="375"/>
      <c r="AM629" s="375"/>
      <c r="AO629" s="373"/>
      <c r="AP629" s="374"/>
      <c r="AQ629" s="375"/>
      <c r="AR629" s="375"/>
      <c r="AT629" s="373"/>
      <c r="AU629" s="374"/>
      <c r="AV629" s="375"/>
      <c r="AW629" s="375"/>
      <c r="AY629" s="373"/>
      <c r="AZ629" s="374"/>
      <c r="BA629" s="375"/>
      <c r="BB629" s="375"/>
      <c r="BD629" s="373"/>
      <c r="BE629" s="374"/>
      <c r="BF629" s="375"/>
      <c r="BG629" s="375"/>
      <c r="BI629" s="373"/>
      <c r="BJ629" s="374"/>
      <c r="BK629" s="375"/>
      <c r="BL629" s="375"/>
      <c r="BN629" s="373"/>
      <c r="BO629" s="374"/>
      <c r="BP629" s="375"/>
      <c r="BQ629" s="375"/>
      <c r="BS629" s="373"/>
      <c r="BT629" s="374"/>
      <c r="BU629" s="375"/>
      <c r="BV629" s="375"/>
      <c r="BX629" s="373"/>
      <c r="BY629" s="374"/>
      <c r="BZ629" s="375"/>
      <c r="CA629" s="375"/>
      <c r="CC629" s="373"/>
      <c r="CD629" s="374"/>
      <c r="CE629" s="375"/>
      <c r="CF629" s="375"/>
      <c r="CH629" s="373"/>
      <c r="CI629" s="374"/>
      <c r="CJ629" s="375"/>
      <c r="CK629" s="375"/>
      <c r="CM629" s="373"/>
      <c r="CN629" s="374"/>
      <c r="CO629" s="375"/>
      <c r="CP629" s="375"/>
      <c r="CR629" s="373"/>
      <c r="CS629" s="374"/>
      <c r="CT629" s="375"/>
      <c r="CU629" s="375"/>
      <c r="CW629" s="373"/>
      <c r="CX629" s="374"/>
      <c r="CY629" s="375"/>
      <c r="CZ629" s="375"/>
      <c r="DB629" s="373"/>
      <c r="DC629" s="374"/>
      <c r="DD629" s="375"/>
      <c r="DE629" s="375"/>
      <c r="DG629" s="373"/>
      <c r="DH629" s="374"/>
      <c r="DI629" s="375"/>
      <c r="DJ629" s="375"/>
      <c r="DL629" s="373"/>
      <c r="DM629" s="374"/>
      <c r="DN629" s="375"/>
      <c r="DO629" s="375"/>
      <c r="DQ629" s="373"/>
      <c r="DR629" s="374"/>
      <c r="DS629" s="375"/>
      <c r="DT629" s="375"/>
      <c r="DV629" s="373"/>
      <c r="DW629" s="374"/>
      <c r="DX629" s="375"/>
      <c r="DY629" s="375"/>
      <c r="EA629" s="373"/>
      <c r="EB629" s="374"/>
      <c r="EC629" s="375"/>
      <c r="ED629" s="375"/>
      <c r="EF629" s="373"/>
      <c r="EG629" s="374"/>
      <c r="EH629" s="375"/>
      <c r="EI629" s="375"/>
      <c r="EK629" s="373"/>
      <c r="EL629" s="374"/>
      <c r="EM629" s="375"/>
      <c r="EN629" s="375"/>
      <c r="EP629" s="373"/>
      <c r="EQ629" s="374"/>
      <c r="ER629" s="375"/>
      <c r="ES629" s="375"/>
      <c r="EU629" s="373"/>
      <c r="EV629" s="374"/>
      <c r="EW629" s="375"/>
      <c r="EX629" s="375"/>
      <c r="EZ629" s="373"/>
      <c r="FA629" s="374"/>
      <c r="FB629" s="375"/>
      <c r="FC629" s="375"/>
      <c r="FE629" s="373"/>
      <c r="FF629" s="374"/>
      <c r="FG629" s="375"/>
      <c r="FH629" s="375"/>
      <c r="FJ629" s="373"/>
      <c r="FK629" s="374"/>
      <c r="FL629" s="375"/>
      <c r="FM629" s="375"/>
      <c r="FO629" s="373"/>
      <c r="FP629" s="374"/>
      <c r="FQ629" s="375"/>
      <c r="FR629" s="375"/>
      <c r="FT629" s="373"/>
      <c r="FU629" s="374"/>
      <c r="FV629" s="375"/>
      <c r="FW629" s="375"/>
      <c r="FY629" s="373"/>
      <c r="FZ629" s="374"/>
      <c r="GA629" s="375"/>
      <c r="GB629" s="375"/>
      <c r="GD629" s="373"/>
      <c r="GE629" s="374"/>
      <c r="GF629" s="375"/>
      <c r="GG629" s="375"/>
      <c r="GI629" s="373"/>
      <c r="GJ629" s="374"/>
      <c r="GK629" s="375"/>
      <c r="GL629" s="375"/>
      <c r="GN629" s="373"/>
      <c r="GO629" s="374"/>
      <c r="GP629" s="375"/>
      <c r="GQ629" s="375"/>
      <c r="GS629" s="373"/>
      <c r="GT629" s="374"/>
      <c r="GU629" s="375"/>
      <c r="GV629" s="375"/>
      <c r="GX629" s="373"/>
      <c r="GY629" s="374"/>
      <c r="GZ629" s="375"/>
      <c r="HA629" s="375"/>
      <c r="HC629" s="373"/>
      <c r="HD629" s="374"/>
      <c r="HE629" s="375"/>
      <c r="HF629" s="375"/>
      <c r="HH629" s="373"/>
      <c r="HI629" s="374"/>
      <c r="HJ629" s="375"/>
      <c r="HK629" s="375"/>
      <c r="HM629" s="373"/>
      <c r="HN629" s="374"/>
      <c r="HO629" s="375"/>
      <c r="HP629" s="375"/>
      <c r="HR629" s="373"/>
      <c r="HS629" s="374"/>
      <c r="HT629" s="375"/>
      <c r="HU629" s="375"/>
      <c r="HW629" s="373"/>
      <c r="HX629" s="374"/>
      <c r="HY629" s="375"/>
      <c r="HZ629" s="375"/>
      <c r="IB629" s="373"/>
      <c r="IC629" s="374"/>
      <c r="ID629" s="375"/>
      <c r="IE629" s="375"/>
      <c r="IG629" s="373"/>
      <c r="IH629" s="374"/>
      <c r="II629" s="375"/>
      <c r="IJ629" s="375"/>
      <c r="IL629" s="373"/>
      <c r="IM629" s="374"/>
      <c r="IN629" s="375"/>
      <c r="IO629" s="375"/>
      <c r="IQ629" s="373"/>
      <c r="IR629" s="374"/>
      <c r="IS629" s="375"/>
      <c r="IT629" s="375"/>
      <c r="IV629" s="373"/>
    </row>
    <row r="630" spans="1:256" s="376" customFormat="1" x14ac:dyDescent="0.2">
      <c r="A630" s="373"/>
      <c r="B630" s="374"/>
      <c r="C630" s="375"/>
      <c r="D630" s="375"/>
      <c r="F630" s="373"/>
      <c r="G630" s="374"/>
      <c r="H630" s="375"/>
      <c r="I630" s="375"/>
      <c r="K630" s="373"/>
      <c r="L630" s="374"/>
      <c r="M630" s="375"/>
      <c r="N630" s="375"/>
      <c r="P630" s="373"/>
      <c r="Q630" s="374"/>
      <c r="R630" s="375"/>
      <c r="S630" s="375"/>
      <c r="U630" s="373"/>
      <c r="V630" s="374"/>
      <c r="W630" s="375"/>
      <c r="X630" s="375"/>
      <c r="Z630" s="373"/>
      <c r="AA630" s="374"/>
      <c r="AB630" s="375"/>
      <c r="AC630" s="375"/>
      <c r="AE630" s="373"/>
      <c r="AF630" s="374"/>
      <c r="AG630" s="375"/>
      <c r="AH630" s="375"/>
      <c r="AJ630" s="373"/>
      <c r="AK630" s="374"/>
      <c r="AL630" s="375"/>
      <c r="AM630" s="375"/>
      <c r="AO630" s="373"/>
      <c r="AP630" s="374"/>
      <c r="AQ630" s="375"/>
      <c r="AR630" s="375"/>
      <c r="AT630" s="373"/>
      <c r="AU630" s="374"/>
      <c r="AV630" s="375"/>
      <c r="AW630" s="375"/>
      <c r="AY630" s="373"/>
      <c r="AZ630" s="374"/>
      <c r="BA630" s="375"/>
      <c r="BB630" s="375"/>
      <c r="BD630" s="373"/>
      <c r="BE630" s="374"/>
      <c r="BF630" s="375"/>
      <c r="BG630" s="375"/>
      <c r="BI630" s="373"/>
      <c r="BJ630" s="374"/>
      <c r="BK630" s="375"/>
      <c r="BL630" s="375"/>
      <c r="BN630" s="373"/>
      <c r="BO630" s="374"/>
      <c r="BP630" s="375"/>
      <c r="BQ630" s="375"/>
      <c r="BS630" s="373"/>
      <c r="BT630" s="374"/>
      <c r="BU630" s="375"/>
      <c r="BV630" s="375"/>
      <c r="BX630" s="373"/>
      <c r="BY630" s="374"/>
      <c r="BZ630" s="375"/>
      <c r="CA630" s="375"/>
      <c r="CC630" s="373"/>
      <c r="CD630" s="374"/>
      <c r="CE630" s="375"/>
      <c r="CF630" s="375"/>
      <c r="CH630" s="373"/>
      <c r="CI630" s="374"/>
      <c r="CJ630" s="375"/>
      <c r="CK630" s="375"/>
      <c r="CM630" s="373"/>
      <c r="CN630" s="374"/>
      <c r="CO630" s="375"/>
      <c r="CP630" s="375"/>
      <c r="CR630" s="373"/>
      <c r="CS630" s="374"/>
      <c r="CT630" s="375"/>
      <c r="CU630" s="375"/>
      <c r="CW630" s="373"/>
      <c r="CX630" s="374"/>
      <c r="CY630" s="375"/>
      <c r="CZ630" s="375"/>
      <c r="DB630" s="373"/>
      <c r="DC630" s="374"/>
      <c r="DD630" s="375"/>
      <c r="DE630" s="375"/>
      <c r="DG630" s="373"/>
      <c r="DH630" s="374"/>
      <c r="DI630" s="375"/>
      <c r="DJ630" s="375"/>
      <c r="DL630" s="373"/>
      <c r="DM630" s="374"/>
      <c r="DN630" s="375"/>
      <c r="DO630" s="375"/>
      <c r="DQ630" s="373"/>
      <c r="DR630" s="374"/>
      <c r="DS630" s="375"/>
      <c r="DT630" s="375"/>
      <c r="DV630" s="373"/>
      <c r="DW630" s="374"/>
      <c r="DX630" s="375"/>
      <c r="DY630" s="375"/>
      <c r="EA630" s="373"/>
      <c r="EB630" s="374"/>
      <c r="EC630" s="375"/>
      <c r="ED630" s="375"/>
      <c r="EF630" s="373"/>
      <c r="EG630" s="374"/>
      <c r="EH630" s="375"/>
      <c r="EI630" s="375"/>
      <c r="EK630" s="373"/>
      <c r="EL630" s="374"/>
      <c r="EM630" s="375"/>
      <c r="EN630" s="375"/>
      <c r="EP630" s="373"/>
      <c r="EQ630" s="374"/>
      <c r="ER630" s="375"/>
      <c r="ES630" s="375"/>
      <c r="EU630" s="373"/>
      <c r="EV630" s="374"/>
      <c r="EW630" s="375"/>
      <c r="EX630" s="375"/>
      <c r="EZ630" s="373"/>
      <c r="FA630" s="374"/>
      <c r="FB630" s="375"/>
      <c r="FC630" s="375"/>
      <c r="FE630" s="373"/>
      <c r="FF630" s="374"/>
      <c r="FG630" s="375"/>
      <c r="FH630" s="375"/>
      <c r="FJ630" s="373"/>
      <c r="FK630" s="374"/>
      <c r="FL630" s="375"/>
      <c r="FM630" s="375"/>
      <c r="FO630" s="373"/>
      <c r="FP630" s="374"/>
      <c r="FQ630" s="375"/>
      <c r="FR630" s="375"/>
      <c r="FT630" s="373"/>
      <c r="FU630" s="374"/>
      <c r="FV630" s="375"/>
      <c r="FW630" s="375"/>
      <c r="FY630" s="373"/>
      <c r="FZ630" s="374"/>
      <c r="GA630" s="375"/>
      <c r="GB630" s="375"/>
      <c r="GD630" s="373"/>
      <c r="GE630" s="374"/>
      <c r="GF630" s="375"/>
      <c r="GG630" s="375"/>
      <c r="GI630" s="373"/>
      <c r="GJ630" s="374"/>
      <c r="GK630" s="375"/>
      <c r="GL630" s="375"/>
      <c r="GN630" s="373"/>
      <c r="GO630" s="374"/>
      <c r="GP630" s="375"/>
      <c r="GQ630" s="375"/>
      <c r="GS630" s="373"/>
      <c r="GT630" s="374"/>
      <c r="GU630" s="375"/>
      <c r="GV630" s="375"/>
      <c r="GX630" s="373"/>
      <c r="GY630" s="374"/>
      <c r="GZ630" s="375"/>
      <c r="HA630" s="375"/>
      <c r="HC630" s="373"/>
      <c r="HD630" s="374"/>
      <c r="HE630" s="375"/>
      <c r="HF630" s="375"/>
      <c r="HH630" s="373"/>
      <c r="HI630" s="374"/>
      <c r="HJ630" s="375"/>
      <c r="HK630" s="375"/>
      <c r="HM630" s="373"/>
      <c r="HN630" s="374"/>
      <c r="HO630" s="375"/>
      <c r="HP630" s="375"/>
      <c r="HR630" s="373"/>
      <c r="HS630" s="374"/>
      <c r="HT630" s="375"/>
      <c r="HU630" s="375"/>
      <c r="HW630" s="373"/>
      <c r="HX630" s="374"/>
      <c r="HY630" s="375"/>
      <c r="HZ630" s="375"/>
      <c r="IB630" s="373"/>
      <c r="IC630" s="374"/>
      <c r="ID630" s="375"/>
      <c r="IE630" s="375"/>
      <c r="IG630" s="373"/>
      <c r="IH630" s="374"/>
      <c r="II630" s="375"/>
      <c r="IJ630" s="375"/>
      <c r="IL630" s="373"/>
      <c r="IM630" s="374"/>
      <c r="IN630" s="375"/>
      <c r="IO630" s="375"/>
      <c r="IQ630" s="373"/>
      <c r="IR630" s="374"/>
      <c r="IS630" s="375"/>
      <c r="IT630" s="375"/>
      <c r="IV630" s="373"/>
    </row>
    <row r="631" spans="1:256" s="376" customFormat="1" x14ac:dyDescent="0.2">
      <c r="A631" s="373"/>
      <c r="B631" s="374"/>
      <c r="C631" s="375"/>
      <c r="D631" s="375"/>
      <c r="F631" s="373"/>
      <c r="G631" s="374"/>
      <c r="H631" s="375"/>
      <c r="I631" s="375"/>
      <c r="K631" s="373"/>
      <c r="L631" s="374"/>
      <c r="M631" s="375"/>
      <c r="N631" s="375"/>
      <c r="P631" s="373"/>
      <c r="Q631" s="374"/>
      <c r="R631" s="375"/>
      <c r="S631" s="375"/>
      <c r="U631" s="373"/>
      <c r="V631" s="374"/>
      <c r="W631" s="375"/>
      <c r="X631" s="375"/>
      <c r="Z631" s="373"/>
      <c r="AA631" s="374"/>
      <c r="AB631" s="375"/>
      <c r="AC631" s="375"/>
      <c r="AE631" s="373"/>
      <c r="AF631" s="374"/>
      <c r="AG631" s="375"/>
      <c r="AH631" s="375"/>
      <c r="AJ631" s="373"/>
      <c r="AK631" s="374"/>
      <c r="AL631" s="375"/>
      <c r="AM631" s="375"/>
      <c r="AO631" s="373"/>
      <c r="AP631" s="374"/>
      <c r="AQ631" s="375"/>
      <c r="AR631" s="375"/>
      <c r="AT631" s="373"/>
      <c r="AU631" s="374"/>
      <c r="AV631" s="375"/>
      <c r="AW631" s="375"/>
      <c r="AY631" s="373"/>
      <c r="AZ631" s="374"/>
      <c r="BA631" s="375"/>
      <c r="BB631" s="375"/>
      <c r="BD631" s="373"/>
      <c r="BE631" s="374"/>
      <c r="BF631" s="375"/>
      <c r="BG631" s="375"/>
      <c r="BI631" s="373"/>
      <c r="BJ631" s="374"/>
      <c r="BK631" s="375"/>
      <c r="BL631" s="375"/>
      <c r="BN631" s="373"/>
      <c r="BO631" s="374"/>
      <c r="BP631" s="375"/>
      <c r="BQ631" s="375"/>
      <c r="BS631" s="373"/>
      <c r="BT631" s="374"/>
      <c r="BU631" s="375"/>
      <c r="BV631" s="375"/>
      <c r="BX631" s="373"/>
      <c r="BY631" s="374"/>
      <c r="BZ631" s="375"/>
      <c r="CA631" s="375"/>
      <c r="CC631" s="373"/>
      <c r="CD631" s="374"/>
      <c r="CE631" s="375"/>
      <c r="CF631" s="375"/>
      <c r="CH631" s="373"/>
      <c r="CI631" s="374"/>
      <c r="CJ631" s="375"/>
      <c r="CK631" s="375"/>
      <c r="CM631" s="373"/>
      <c r="CN631" s="374"/>
      <c r="CO631" s="375"/>
      <c r="CP631" s="375"/>
      <c r="CR631" s="373"/>
      <c r="CS631" s="374"/>
      <c r="CT631" s="375"/>
      <c r="CU631" s="375"/>
      <c r="CW631" s="373"/>
      <c r="CX631" s="374"/>
      <c r="CY631" s="375"/>
      <c r="CZ631" s="375"/>
      <c r="DB631" s="373"/>
      <c r="DC631" s="374"/>
      <c r="DD631" s="375"/>
      <c r="DE631" s="375"/>
      <c r="DG631" s="373"/>
      <c r="DH631" s="374"/>
      <c r="DI631" s="375"/>
      <c r="DJ631" s="375"/>
      <c r="DL631" s="373"/>
      <c r="DM631" s="374"/>
      <c r="DN631" s="375"/>
      <c r="DO631" s="375"/>
      <c r="DQ631" s="373"/>
      <c r="DR631" s="374"/>
      <c r="DS631" s="375"/>
      <c r="DT631" s="375"/>
      <c r="DV631" s="373"/>
      <c r="DW631" s="374"/>
      <c r="DX631" s="375"/>
      <c r="DY631" s="375"/>
      <c r="EA631" s="373"/>
      <c r="EB631" s="374"/>
      <c r="EC631" s="375"/>
      <c r="ED631" s="375"/>
      <c r="EF631" s="373"/>
      <c r="EG631" s="374"/>
      <c r="EH631" s="375"/>
      <c r="EI631" s="375"/>
      <c r="EK631" s="373"/>
      <c r="EL631" s="374"/>
      <c r="EM631" s="375"/>
      <c r="EN631" s="375"/>
      <c r="EP631" s="373"/>
      <c r="EQ631" s="374"/>
      <c r="ER631" s="375"/>
      <c r="ES631" s="375"/>
      <c r="EU631" s="373"/>
      <c r="EV631" s="374"/>
      <c r="EW631" s="375"/>
      <c r="EX631" s="375"/>
      <c r="EZ631" s="373"/>
      <c r="FA631" s="374"/>
      <c r="FB631" s="375"/>
      <c r="FC631" s="375"/>
      <c r="FE631" s="373"/>
      <c r="FF631" s="374"/>
      <c r="FG631" s="375"/>
      <c r="FH631" s="375"/>
      <c r="FJ631" s="373"/>
      <c r="FK631" s="374"/>
      <c r="FL631" s="375"/>
      <c r="FM631" s="375"/>
      <c r="FO631" s="373"/>
      <c r="FP631" s="374"/>
      <c r="FQ631" s="375"/>
      <c r="FR631" s="375"/>
      <c r="FT631" s="373"/>
      <c r="FU631" s="374"/>
      <c r="FV631" s="375"/>
      <c r="FW631" s="375"/>
      <c r="FY631" s="373"/>
      <c r="FZ631" s="374"/>
      <c r="GA631" s="375"/>
      <c r="GB631" s="375"/>
      <c r="GD631" s="373"/>
      <c r="GE631" s="374"/>
      <c r="GF631" s="375"/>
      <c r="GG631" s="375"/>
      <c r="GI631" s="373"/>
      <c r="GJ631" s="374"/>
      <c r="GK631" s="375"/>
      <c r="GL631" s="375"/>
      <c r="GN631" s="373"/>
      <c r="GO631" s="374"/>
      <c r="GP631" s="375"/>
      <c r="GQ631" s="375"/>
      <c r="GS631" s="373"/>
      <c r="GT631" s="374"/>
      <c r="GU631" s="375"/>
      <c r="GV631" s="375"/>
      <c r="GX631" s="373"/>
      <c r="GY631" s="374"/>
      <c r="GZ631" s="375"/>
      <c r="HA631" s="375"/>
      <c r="HC631" s="373"/>
      <c r="HD631" s="374"/>
      <c r="HE631" s="375"/>
      <c r="HF631" s="375"/>
      <c r="HH631" s="373"/>
      <c r="HI631" s="374"/>
      <c r="HJ631" s="375"/>
      <c r="HK631" s="375"/>
      <c r="HM631" s="373"/>
      <c r="HN631" s="374"/>
      <c r="HO631" s="375"/>
      <c r="HP631" s="375"/>
      <c r="HR631" s="373"/>
      <c r="HS631" s="374"/>
      <c r="HT631" s="375"/>
      <c r="HU631" s="375"/>
      <c r="HW631" s="373"/>
      <c r="HX631" s="374"/>
      <c r="HY631" s="375"/>
      <c r="HZ631" s="375"/>
      <c r="IB631" s="373"/>
      <c r="IC631" s="374"/>
      <c r="ID631" s="375"/>
      <c r="IE631" s="375"/>
      <c r="IG631" s="373"/>
      <c r="IH631" s="374"/>
      <c r="II631" s="375"/>
      <c r="IJ631" s="375"/>
      <c r="IL631" s="373"/>
      <c r="IM631" s="374"/>
      <c r="IN631" s="375"/>
      <c r="IO631" s="375"/>
      <c r="IQ631" s="373"/>
      <c r="IR631" s="374"/>
      <c r="IS631" s="375"/>
      <c r="IT631" s="375"/>
      <c r="IV631" s="373"/>
    </row>
    <row r="632" spans="1:256" s="376" customFormat="1" x14ac:dyDescent="0.2">
      <c r="A632" s="373"/>
      <c r="B632" s="374"/>
      <c r="C632" s="375"/>
      <c r="D632" s="375"/>
      <c r="F632" s="373"/>
      <c r="G632" s="374"/>
      <c r="H632" s="375"/>
      <c r="I632" s="375"/>
      <c r="K632" s="373"/>
      <c r="L632" s="374"/>
      <c r="M632" s="375"/>
      <c r="N632" s="375"/>
      <c r="P632" s="373"/>
      <c r="Q632" s="374"/>
      <c r="R632" s="375"/>
      <c r="S632" s="375"/>
      <c r="U632" s="373"/>
      <c r="V632" s="374"/>
      <c r="W632" s="375"/>
      <c r="X632" s="375"/>
      <c r="Z632" s="373"/>
      <c r="AA632" s="374"/>
      <c r="AB632" s="375"/>
      <c r="AC632" s="375"/>
      <c r="AE632" s="373"/>
      <c r="AF632" s="374"/>
      <c r="AG632" s="375"/>
      <c r="AH632" s="375"/>
      <c r="AJ632" s="373"/>
      <c r="AK632" s="374"/>
      <c r="AL632" s="375"/>
      <c r="AM632" s="375"/>
      <c r="AO632" s="373"/>
      <c r="AP632" s="374"/>
      <c r="AQ632" s="375"/>
      <c r="AR632" s="375"/>
      <c r="AT632" s="373"/>
      <c r="AU632" s="374"/>
      <c r="AV632" s="375"/>
      <c r="AW632" s="375"/>
      <c r="AY632" s="373"/>
      <c r="AZ632" s="374"/>
      <c r="BA632" s="375"/>
      <c r="BB632" s="375"/>
      <c r="BD632" s="373"/>
      <c r="BE632" s="374"/>
      <c r="BF632" s="375"/>
      <c r="BG632" s="375"/>
      <c r="BI632" s="373"/>
      <c r="BJ632" s="374"/>
      <c r="BK632" s="375"/>
      <c r="BL632" s="375"/>
      <c r="BN632" s="373"/>
      <c r="BO632" s="374"/>
      <c r="BP632" s="375"/>
      <c r="BQ632" s="375"/>
      <c r="BS632" s="373"/>
      <c r="BT632" s="374"/>
      <c r="BU632" s="375"/>
      <c r="BV632" s="375"/>
      <c r="BX632" s="373"/>
      <c r="BY632" s="374"/>
      <c r="BZ632" s="375"/>
      <c r="CA632" s="375"/>
      <c r="CC632" s="373"/>
      <c r="CD632" s="374"/>
      <c r="CE632" s="375"/>
      <c r="CF632" s="375"/>
      <c r="CH632" s="373"/>
      <c r="CI632" s="374"/>
      <c r="CJ632" s="375"/>
      <c r="CK632" s="375"/>
      <c r="CM632" s="373"/>
      <c r="CN632" s="374"/>
      <c r="CO632" s="375"/>
      <c r="CP632" s="375"/>
      <c r="CR632" s="373"/>
      <c r="CS632" s="374"/>
      <c r="CT632" s="375"/>
      <c r="CU632" s="375"/>
      <c r="CW632" s="373"/>
      <c r="CX632" s="374"/>
      <c r="CY632" s="375"/>
      <c r="CZ632" s="375"/>
      <c r="DB632" s="373"/>
      <c r="DC632" s="374"/>
      <c r="DD632" s="375"/>
      <c r="DE632" s="375"/>
      <c r="DG632" s="373"/>
      <c r="DH632" s="374"/>
      <c r="DI632" s="375"/>
      <c r="DJ632" s="375"/>
      <c r="DL632" s="373"/>
      <c r="DM632" s="374"/>
      <c r="DN632" s="375"/>
      <c r="DO632" s="375"/>
      <c r="DQ632" s="373"/>
      <c r="DR632" s="374"/>
      <c r="DS632" s="375"/>
      <c r="DT632" s="375"/>
      <c r="DV632" s="373"/>
      <c r="DW632" s="374"/>
      <c r="DX632" s="375"/>
      <c r="DY632" s="375"/>
      <c r="EA632" s="373"/>
      <c r="EB632" s="374"/>
      <c r="EC632" s="375"/>
      <c r="ED632" s="375"/>
      <c r="EF632" s="373"/>
      <c r="EG632" s="374"/>
      <c r="EH632" s="375"/>
      <c r="EI632" s="375"/>
      <c r="EK632" s="373"/>
      <c r="EL632" s="374"/>
      <c r="EM632" s="375"/>
      <c r="EN632" s="375"/>
      <c r="EP632" s="373"/>
      <c r="EQ632" s="374"/>
      <c r="ER632" s="375"/>
      <c r="ES632" s="375"/>
      <c r="EU632" s="373"/>
      <c r="EV632" s="374"/>
      <c r="EW632" s="375"/>
      <c r="EX632" s="375"/>
      <c r="EZ632" s="373"/>
      <c r="FA632" s="374"/>
      <c r="FB632" s="375"/>
      <c r="FC632" s="375"/>
      <c r="FE632" s="373"/>
      <c r="FF632" s="374"/>
      <c r="FG632" s="375"/>
      <c r="FH632" s="375"/>
      <c r="FJ632" s="373"/>
      <c r="FK632" s="374"/>
      <c r="FL632" s="375"/>
      <c r="FM632" s="375"/>
      <c r="FO632" s="373"/>
      <c r="FP632" s="374"/>
      <c r="FQ632" s="375"/>
      <c r="FR632" s="375"/>
      <c r="FT632" s="373"/>
      <c r="FU632" s="374"/>
      <c r="FV632" s="375"/>
      <c r="FW632" s="375"/>
      <c r="FY632" s="373"/>
      <c r="FZ632" s="374"/>
      <c r="GA632" s="375"/>
      <c r="GB632" s="375"/>
      <c r="GD632" s="373"/>
      <c r="GE632" s="374"/>
      <c r="GF632" s="375"/>
      <c r="GG632" s="375"/>
      <c r="GI632" s="373"/>
      <c r="GJ632" s="374"/>
      <c r="GK632" s="375"/>
      <c r="GL632" s="375"/>
      <c r="GN632" s="373"/>
      <c r="GO632" s="374"/>
      <c r="GP632" s="375"/>
      <c r="GQ632" s="375"/>
      <c r="GS632" s="373"/>
      <c r="GT632" s="374"/>
      <c r="GU632" s="375"/>
      <c r="GV632" s="375"/>
      <c r="GX632" s="373"/>
      <c r="GY632" s="374"/>
      <c r="GZ632" s="375"/>
      <c r="HA632" s="375"/>
      <c r="HC632" s="373"/>
      <c r="HD632" s="374"/>
      <c r="HE632" s="375"/>
      <c r="HF632" s="375"/>
      <c r="HH632" s="373"/>
      <c r="HI632" s="374"/>
      <c r="HJ632" s="375"/>
      <c r="HK632" s="375"/>
      <c r="HM632" s="373"/>
      <c r="HN632" s="374"/>
      <c r="HO632" s="375"/>
      <c r="HP632" s="375"/>
      <c r="HR632" s="373"/>
      <c r="HS632" s="374"/>
      <c r="HT632" s="375"/>
      <c r="HU632" s="375"/>
      <c r="HW632" s="373"/>
      <c r="HX632" s="374"/>
      <c r="HY632" s="375"/>
      <c r="HZ632" s="375"/>
      <c r="IB632" s="373"/>
      <c r="IC632" s="374"/>
      <c r="ID632" s="375"/>
      <c r="IE632" s="375"/>
      <c r="IG632" s="373"/>
      <c r="IH632" s="374"/>
      <c r="II632" s="375"/>
      <c r="IJ632" s="375"/>
      <c r="IL632" s="373"/>
      <c r="IM632" s="374"/>
      <c r="IN632" s="375"/>
      <c r="IO632" s="375"/>
      <c r="IQ632" s="373"/>
      <c r="IR632" s="374"/>
      <c r="IS632" s="375"/>
      <c r="IT632" s="375"/>
      <c r="IV632" s="373"/>
    </row>
    <row r="633" spans="1:256" s="376" customFormat="1" x14ac:dyDescent="0.2">
      <c r="A633" s="373"/>
      <c r="B633" s="374"/>
      <c r="C633" s="375"/>
      <c r="D633" s="375"/>
      <c r="F633" s="373"/>
      <c r="G633" s="374"/>
      <c r="H633" s="375"/>
      <c r="I633" s="375"/>
      <c r="K633" s="373"/>
      <c r="L633" s="374"/>
      <c r="M633" s="375"/>
      <c r="N633" s="375"/>
      <c r="P633" s="373"/>
      <c r="Q633" s="374"/>
      <c r="R633" s="375"/>
      <c r="S633" s="375"/>
      <c r="U633" s="373"/>
      <c r="V633" s="374"/>
      <c r="W633" s="375"/>
      <c r="X633" s="375"/>
      <c r="Z633" s="373"/>
      <c r="AA633" s="374"/>
      <c r="AB633" s="375"/>
      <c r="AC633" s="375"/>
      <c r="AE633" s="373"/>
      <c r="AF633" s="374"/>
      <c r="AG633" s="375"/>
      <c r="AH633" s="375"/>
      <c r="AJ633" s="373"/>
      <c r="AK633" s="374"/>
      <c r="AL633" s="375"/>
      <c r="AM633" s="375"/>
      <c r="AO633" s="373"/>
      <c r="AP633" s="374"/>
      <c r="AQ633" s="375"/>
      <c r="AR633" s="375"/>
      <c r="AT633" s="373"/>
      <c r="AU633" s="374"/>
      <c r="AV633" s="375"/>
      <c r="AW633" s="375"/>
      <c r="AY633" s="373"/>
      <c r="AZ633" s="374"/>
      <c r="BA633" s="375"/>
      <c r="BB633" s="375"/>
      <c r="BD633" s="373"/>
      <c r="BE633" s="374"/>
      <c r="BF633" s="375"/>
      <c r="BG633" s="375"/>
      <c r="BI633" s="373"/>
      <c r="BJ633" s="374"/>
      <c r="BK633" s="375"/>
      <c r="BL633" s="375"/>
      <c r="BN633" s="373"/>
      <c r="BO633" s="374"/>
      <c r="BP633" s="375"/>
      <c r="BQ633" s="375"/>
      <c r="BS633" s="373"/>
      <c r="BT633" s="374"/>
      <c r="BU633" s="375"/>
      <c r="BV633" s="375"/>
      <c r="BX633" s="373"/>
      <c r="BY633" s="374"/>
      <c r="BZ633" s="375"/>
      <c r="CA633" s="375"/>
      <c r="CC633" s="373"/>
      <c r="CD633" s="374"/>
      <c r="CE633" s="375"/>
      <c r="CF633" s="375"/>
      <c r="CH633" s="373"/>
      <c r="CI633" s="374"/>
      <c r="CJ633" s="375"/>
      <c r="CK633" s="375"/>
      <c r="CM633" s="373"/>
      <c r="CN633" s="374"/>
      <c r="CO633" s="375"/>
      <c r="CP633" s="375"/>
      <c r="CR633" s="373"/>
      <c r="CS633" s="374"/>
      <c r="CT633" s="375"/>
      <c r="CU633" s="375"/>
      <c r="CW633" s="373"/>
      <c r="CX633" s="374"/>
      <c r="CY633" s="375"/>
      <c r="CZ633" s="375"/>
      <c r="DB633" s="373"/>
      <c r="DC633" s="374"/>
      <c r="DD633" s="375"/>
      <c r="DE633" s="375"/>
      <c r="DG633" s="373"/>
      <c r="DH633" s="374"/>
      <c r="DI633" s="375"/>
      <c r="DJ633" s="375"/>
      <c r="DL633" s="373"/>
      <c r="DM633" s="374"/>
      <c r="DN633" s="375"/>
      <c r="DO633" s="375"/>
      <c r="DQ633" s="373"/>
      <c r="DR633" s="374"/>
      <c r="DS633" s="375"/>
      <c r="DT633" s="375"/>
      <c r="DV633" s="373"/>
      <c r="DW633" s="374"/>
      <c r="DX633" s="375"/>
      <c r="DY633" s="375"/>
      <c r="EA633" s="373"/>
      <c r="EB633" s="374"/>
      <c r="EC633" s="375"/>
      <c r="ED633" s="375"/>
      <c r="EF633" s="373"/>
      <c r="EG633" s="374"/>
      <c r="EH633" s="375"/>
      <c r="EI633" s="375"/>
      <c r="EK633" s="373"/>
      <c r="EL633" s="374"/>
      <c r="EM633" s="375"/>
      <c r="EN633" s="375"/>
      <c r="EP633" s="373"/>
      <c r="EQ633" s="374"/>
      <c r="ER633" s="375"/>
      <c r="ES633" s="375"/>
      <c r="EU633" s="373"/>
      <c r="EV633" s="374"/>
      <c r="EW633" s="375"/>
      <c r="EX633" s="375"/>
      <c r="EZ633" s="373"/>
      <c r="FA633" s="374"/>
      <c r="FB633" s="375"/>
      <c r="FC633" s="375"/>
      <c r="FE633" s="373"/>
      <c r="FF633" s="374"/>
      <c r="FG633" s="375"/>
      <c r="FH633" s="375"/>
      <c r="FJ633" s="373"/>
      <c r="FK633" s="374"/>
      <c r="FL633" s="375"/>
      <c r="FM633" s="375"/>
      <c r="FO633" s="373"/>
      <c r="FP633" s="374"/>
      <c r="FQ633" s="375"/>
      <c r="FR633" s="375"/>
      <c r="FT633" s="373"/>
      <c r="FU633" s="374"/>
      <c r="FV633" s="375"/>
      <c r="FW633" s="375"/>
      <c r="FY633" s="373"/>
      <c r="FZ633" s="374"/>
      <c r="GA633" s="375"/>
      <c r="GB633" s="375"/>
      <c r="GD633" s="373"/>
      <c r="GE633" s="374"/>
      <c r="GF633" s="375"/>
      <c r="GG633" s="375"/>
      <c r="GI633" s="373"/>
      <c r="GJ633" s="374"/>
      <c r="GK633" s="375"/>
      <c r="GL633" s="375"/>
      <c r="GN633" s="373"/>
      <c r="GO633" s="374"/>
      <c r="GP633" s="375"/>
      <c r="GQ633" s="375"/>
      <c r="GS633" s="373"/>
      <c r="GT633" s="374"/>
      <c r="GU633" s="375"/>
      <c r="GV633" s="375"/>
      <c r="GX633" s="373"/>
      <c r="GY633" s="374"/>
      <c r="GZ633" s="375"/>
      <c r="HA633" s="375"/>
      <c r="HC633" s="373"/>
      <c r="HD633" s="374"/>
      <c r="HE633" s="375"/>
      <c r="HF633" s="375"/>
      <c r="HH633" s="373"/>
      <c r="HI633" s="374"/>
      <c r="HJ633" s="375"/>
      <c r="HK633" s="375"/>
      <c r="HM633" s="373"/>
      <c r="HN633" s="374"/>
      <c r="HO633" s="375"/>
      <c r="HP633" s="375"/>
      <c r="HR633" s="373"/>
      <c r="HS633" s="374"/>
      <c r="HT633" s="375"/>
      <c r="HU633" s="375"/>
      <c r="HW633" s="373"/>
      <c r="HX633" s="374"/>
      <c r="HY633" s="375"/>
      <c r="HZ633" s="375"/>
      <c r="IB633" s="373"/>
      <c r="IC633" s="374"/>
      <c r="ID633" s="375"/>
      <c r="IE633" s="375"/>
      <c r="IG633" s="373"/>
      <c r="IH633" s="374"/>
      <c r="II633" s="375"/>
      <c r="IJ633" s="375"/>
      <c r="IL633" s="373"/>
      <c r="IM633" s="374"/>
      <c r="IN633" s="375"/>
      <c r="IO633" s="375"/>
      <c r="IQ633" s="373"/>
      <c r="IR633" s="374"/>
      <c r="IS633" s="375"/>
      <c r="IT633" s="375"/>
      <c r="IV633" s="373"/>
    </row>
    <row r="634" spans="1:256" s="376" customFormat="1" x14ac:dyDescent="0.2">
      <c r="A634" s="373"/>
      <c r="B634" s="374"/>
      <c r="C634" s="375"/>
      <c r="D634" s="375"/>
      <c r="F634" s="373"/>
      <c r="G634" s="374"/>
      <c r="H634" s="375"/>
      <c r="I634" s="375"/>
      <c r="K634" s="373"/>
      <c r="L634" s="374"/>
      <c r="M634" s="375"/>
      <c r="N634" s="375"/>
      <c r="P634" s="373"/>
      <c r="Q634" s="374"/>
      <c r="R634" s="375"/>
      <c r="S634" s="375"/>
      <c r="U634" s="373"/>
      <c r="V634" s="374"/>
      <c r="W634" s="375"/>
      <c r="X634" s="375"/>
      <c r="Z634" s="373"/>
      <c r="AA634" s="374"/>
      <c r="AB634" s="375"/>
      <c r="AC634" s="375"/>
      <c r="AE634" s="373"/>
      <c r="AF634" s="374"/>
      <c r="AG634" s="375"/>
      <c r="AH634" s="375"/>
      <c r="AJ634" s="373"/>
      <c r="AK634" s="374"/>
      <c r="AL634" s="375"/>
      <c r="AM634" s="375"/>
      <c r="AO634" s="373"/>
      <c r="AP634" s="374"/>
      <c r="AQ634" s="375"/>
      <c r="AR634" s="375"/>
      <c r="AT634" s="373"/>
      <c r="AU634" s="374"/>
      <c r="AV634" s="375"/>
      <c r="AW634" s="375"/>
      <c r="AY634" s="373"/>
      <c r="AZ634" s="374"/>
      <c r="BA634" s="375"/>
      <c r="BB634" s="375"/>
      <c r="BD634" s="373"/>
      <c r="BE634" s="374"/>
      <c r="BF634" s="375"/>
      <c r="BG634" s="375"/>
      <c r="BI634" s="373"/>
      <c r="BJ634" s="374"/>
      <c r="BK634" s="375"/>
      <c r="BL634" s="375"/>
      <c r="BN634" s="373"/>
      <c r="BO634" s="374"/>
      <c r="BP634" s="375"/>
      <c r="BQ634" s="375"/>
      <c r="BS634" s="373"/>
      <c r="BT634" s="374"/>
      <c r="BU634" s="375"/>
      <c r="BV634" s="375"/>
      <c r="BX634" s="373"/>
      <c r="BY634" s="374"/>
      <c r="BZ634" s="375"/>
      <c r="CA634" s="375"/>
      <c r="CC634" s="373"/>
      <c r="CD634" s="374"/>
      <c r="CE634" s="375"/>
      <c r="CF634" s="375"/>
      <c r="CH634" s="373"/>
      <c r="CI634" s="374"/>
      <c r="CJ634" s="375"/>
      <c r="CK634" s="375"/>
      <c r="CM634" s="373"/>
      <c r="CN634" s="374"/>
      <c r="CO634" s="375"/>
      <c r="CP634" s="375"/>
      <c r="CR634" s="373"/>
      <c r="CS634" s="374"/>
      <c r="CT634" s="375"/>
      <c r="CU634" s="375"/>
      <c r="CW634" s="373"/>
      <c r="CX634" s="374"/>
      <c r="CY634" s="375"/>
      <c r="CZ634" s="375"/>
      <c r="DB634" s="373"/>
      <c r="DC634" s="374"/>
      <c r="DD634" s="375"/>
      <c r="DE634" s="375"/>
      <c r="DG634" s="373"/>
      <c r="DH634" s="374"/>
      <c r="DI634" s="375"/>
      <c r="DJ634" s="375"/>
      <c r="DL634" s="373"/>
      <c r="DM634" s="374"/>
      <c r="DN634" s="375"/>
      <c r="DO634" s="375"/>
      <c r="DQ634" s="373"/>
      <c r="DR634" s="374"/>
      <c r="DS634" s="375"/>
      <c r="DT634" s="375"/>
      <c r="DV634" s="373"/>
      <c r="DW634" s="374"/>
      <c r="DX634" s="375"/>
      <c r="DY634" s="375"/>
      <c r="EA634" s="373"/>
      <c r="EB634" s="374"/>
      <c r="EC634" s="375"/>
      <c r="ED634" s="375"/>
      <c r="EF634" s="373"/>
      <c r="EG634" s="374"/>
      <c r="EH634" s="375"/>
      <c r="EI634" s="375"/>
      <c r="EK634" s="373"/>
      <c r="EL634" s="374"/>
      <c r="EM634" s="375"/>
      <c r="EN634" s="375"/>
      <c r="EP634" s="373"/>
      <c r="EQ634" s="374"/>
      <c r="ER634" s="375"/>
      <c r="ES634" s="375"/>
      <c r="EU634" s="373"/>
      <c r="EV634" s="374"/>
      <c r="EW634" s="375"/>
      <c r="EX634" s="375"/>
      <c r="EZ634" s="373"/>
      <c r="FA634" s="374"/>
      <c r="FB634" s="375"/>
      <c r="FC634" s="375"/>
      <c r="FE634" s="373"/>
      <c r="FF634" s="374"/>
      <c r="FG634" s="375"/>
      <c r="FH634" s="375"/>
      <c r="FJ634" s="373"/>
      <c r="FK634" s="374"/>
      <c r="FL634" s="375"/>
      <c r="FM634" s="375"/>
      <c r="FO634" s="373"/>
      <c r="FP634" s="374"/>
      <c r="FQ634" s="375"/>
      <c r="FR634" s="375"/>
      <c r="FT634" s="373"/>
      <c r="FU634" s="374"/>
      <c r="FV634" s="375"/>
      <c r="FW634" s="375"/>
      <c r="FY634" s="373"/>
      <c r="FZ634" s="374"/>
      <c r="GA634" s="375"/>
      <c r="GB634" s="375"/>
      <c r="GD634" s="373"/>
      <c r="GE634" s="374"/>
      <c r="GF634" s="375"/>
      <c r="GG634" s="375"/>
      <c r="GI634" s="373"/>
      <c r="GJ634" s="374"/>
      <c r="GK634" s="375"/>
      <c r="GL634" s="375"/>
      <c r="GN634" s="373"/>
      <c r="GO634" s="374"/>
      <c r="GP634" s="375"/>
      <c r="GQ634" s="375"/>
      <c r="GS634" s="373"/>
      <c r="GT634" s="374"/>
      <c r="GU634" s="375"/>
      <c r="GV634" s="375"/>
      <c r="GX634" s="373"/>
      <c r="GY634" s="374"/>
      <c r="GZ634" s="375"/>
      <c r="HA634" s="375"/>
      <c r="HC634" s="373"/>
      <c r="HD634" s="374"/>
      <c r="HE634" s="375"/>
      <c r="HF634" s="375"/>
      <c r="HH634" s="373"/>
      <c r="HI634" s="374"/>
      <c r="HJ634" s="375"/>
      <c r="HK634" s="375"/>
      <c r="HM634" s="373"/>
      <c r="HN634" s="374"/>
      <c r="HO634" s="375"/>
      <c r="HP634" s="375"/>
      <c r="HR634" s="373"/>
      <c r="HS634" s="374"/>
      <c r="HT634" s="375"/>
      <c r="HU634" s="375"/>
      <c r="HW634" s="373"/>
      <c r="HX634" s="374"/>
      <c r="HY634" s="375"/>
      <c r="HZ634" s="375"/>
      <c r="IB634" s="373"/>
      <c r="IC634" s="374"/>
      <c r="ID634" s="375"/>
      <c r="IE634" s="375"/>
      <c r="IG634" s="373"/>
      <c r="IH634" s="374"/>
      <c r="II634" s="375"/>
      <c r="IJ634" s="375"/>
      <c r="IL634" s="373"/>
      <c r="IM634" s="374"/>
      <c r="IN634" s="375"/>
      <c r="IO634" s="375"/>
      <c r="IQ634" s="373"/>
      <c r="IR634" s="374"/>
      <c r="IS634" s="375"/>
      <c r="IT634" s="375"/>
      <c r="IV634" s="373"/>
    </row>
    <row r="635" spans="1:256" s="376" customFormat="1" x14ac:dyDescent="0.2">
      <c r="A635" s="373"/>
      <c r="B635" s="374"/>
      <c r="C635" s="375"/>
      <c r="D635" s="375"/>
      <c r="F635" s="373"/>
      <c r="G635" s="374"/>
      <c r="H635" s="375"/>
      <c r="I635" s="375"/>
      <c r="K635" s="373"/>
      <c r="L635" s="374"/>
      <c r="M635" s="375"/>
      <c r="N635" s="375"/>
      <c r="P635" s="373"/>
      <c r="Q635" s="374"/>
      <c r="R635" s="375"/>
      <c r="S635" s="375"/>
      <c r="U635" s="373"/>
      <c r="V635" s="374"/>
      <c r="W635" s="375"/>
      <c r="X635" s="375"/>
      <c r="Z635" s="373"/>
      <c r="AA635" s="374"/>
      <c r="AB635" s="375"/>
      <c r="AC635" s="375"/>
      <c r="AE635" s="373"/>
      <c r="AF635" s="374"/>
      <c r="AG635" s="375"/>
      <c r="AH635" s="375"/>
      <c r="AJ635" s="373"/>
      <c r="AK635" s="374"/>
      <c r="AL635" s="375"/>
      <c r="AM635" s="375"/>
      <c r="AO635" s="373"/>
      <c r="AP635" s="374"/>
      <c r="AQ635" s="375"/>
      <c r="AR635" s="375"/>
      <c r="AT635" s="373"/>
      <c r="AU635" s="374"/>
      <c r="AV635" s="375"/>
      <c r="AW635" s="375"/>
      <c r="AY635" s="373"/>
      <c r="AZ635" s="374"/>
      <c r="BA635" s="375"/>
      <c r="BB635" s="375"/>
      <c r="BD635" s="373"/>
      <c r="BE635" s="374"/>
      <c r="BF635" s="375"/>
      <c r="BG635" s="375"/>
      <c r="BI635" s="373"/>
      <c r="BJ635" s="374"/>
      <c r="BK635" s="375"/>
      <c r="BL635" s="375"/>
      <c r="BN635" s="373"/>
      <c r="BO635" s="374"/>
      <c r="BP635" s="375"/>
      <c r="BQ635" s="375"/>
      <c r="BS635" s="373"/>
      <c r="BT635" s="374"/>
      <c r="BU635" s="375"/>
      <c r="BV635" s="375"/>
      <c r="BX635" s="373"/>
      <c r="BY635" s="374"/>
      <c r="BZ635" s="375"/>
      <c r="CA635" s="375"/>
      <c r="CC635" s="373"/>
      <c r="CD635" s="374"/>
      <c r="CE635" s="375"/>
      <c r="CF635" s="375"/>
      <c r="CH635" s="373"/>
      <c r="CI635" s="374"/>
      <c r="CJ635" s="375"/>
      <c r="CK635" s="375"/>
      <c r="CM635" s="373"/>
      <c r="CN635" s="374"/>
      <c r="CO635" s="375"/>
      <c r="CP635" s="375"/>
      <c r="CR635" s="373"/>
      <c r="CS635" s="374"/>
      <c r="CT635" s="375"/>
      <c r="CU635" s="375"/>
      <c r="CW635" s="373"/>
      <c r="CX635" s="374"/>
      <c r="CY635" s="375"/>
      <c r="CZ635" s="375"/>
      <c r="DB635" s="373"/>
      <c r="DC635" s="374"/>
      <c r="DD635" s="375"/>
      <c r="DE635" s="375"/>
      <c r="DG635" s="373"/>
      <c r="DH635" s="374"/>
      <c r="DI635" s="375"/>
      <c r="DJ635" s="375"/>
      <c r="DL635" s="373"/>
      <c r="DM635" s="374"/>
      <c r="DN635" s="375"/>
      <c r="DO635" s="375"/>
      <c r="DQ635" s="373"/>
      <c r="DR635" s="374"/>
      <c r="DS635" s="375"/>
      <c r="DT635" s="375"/>
      <c r="DV635" s="373"/>
      <c r="DW635" s="374"/>
      <c r="DX635" s="375"/>
      <c r="DY635" s="375"/>
      <c r="EA635" s="373"/>
      <c r="EB635" s="374"/>
      <c r="EC635" s="375"/>
      <c r="ED635" s="375"/>
      <c r="EF635" s="373"/>
      <c r="EG635" s="374"/>
      <c r="EH635" s="375"/>
      <c r="EI635" s="375"/>
      <c r="EK635" s="373"/>
      <c r="EL635" s="374"/>
      <c r="EM635" s="375"/>
      <c r="EN635" s="375"/>
      <c r="EP635" s="373"/>
      <c r="EQ635" s="374"/>
      <c r="ER635" s="375"/>
      <c r="ES635" s="375"/>
      <c r="EU635" s="373"/>
      <c r="EV635" s="374"/>
      <c r="EW635" s="375"/>
      <c r="EX635" s="375"/>
      <c r="EZ635" s="373"/>
      <c r="FA635" s="374"/>
      <c r="FB635" s="375"/>
      <c r="FC635" s="375"/>
      <c r="FE635" s="373"/>
      <c r="FF635" s="374"/>
      <c r="FG635" s="375"/>
      <c r="FH635" s="375"/>
      <c r="FJ635" s="373"/>
      <c r="FK635" s="374"/>
      <c r="FL635" s="375"/>
      <c r="FM635" s="375"/>
      <c r="FO635" s="373"/>
      <c r="FP635" s="374"/>
      <c r="FQ635" s="375"/>
      <c r="FR635" s="375"/>
      <c r="FT635" s="373"/>
      <c r="FU635" s="374"/>
      <c r="FV635" s="375"/>
      <c r="FW635" s="375"/>
      <c r="FY635" s="373"/>
      <c r="FZ635" s="374"/>
      <c r="GA635" s="375"/>
      <c r="GB635" s="375"/>
      <c r="GD635" s="373"/>
      <c r="GE635" s="374"/>
      <c r="GF635" s="375"/>
      <c r="GG635" s="375"/>
      <c r="GI635" s="373"/>
      <c r="GJ635" s="374"/>
      <c r="GK635" s="375"/>
      <c r="GL635" s="375"/>
      <c r="GN635" s="373"/>
      <c r="GO635" s="374"/>
      <c r="GP635" s="375"/>
      <c r="GQ635" s="375"/>
      <c r="GS635" s="373"/>
      <c r="GT635" s="374"/>
      <c r="GU635" s="375"/>
      <c r="GV635" s="375"/>
      <c r="GX635" s="373"/>
      <c r="GY635" s="374"/>
      <c r="GZ635" s="375"/>
      <c r="HA635" s="375"/>
      <c r="HC635" s="373"/>
      <c r="HD635" s="374"/>
      <c r="HE635" s="375"/>
      <c r="HF635" s="375"/>
      <c r="HH635" s="373"/>
      <c r="HI635" s="374"/>
      <c r="HJ635" s="375"/>
      <c r="HK635" s="375"/>
      <c r="HM635" s="373"/>
      <c r="HN635" s="374"/>
      <c r="HO635" s="375"/>
      <c r="HP635" s="375"/>
      <c r="HR635" s="373"/>
      <c r="HS635" s="374"/>
      <c r="HT635" s="375"/>
      <c r="HU635" s="375"/>
      <c r="HW635" s="373"/>
      <c r="HX635" s="374"/>
      <c r="HY635" s="375"/>
      <c r="HZ635" s="375"/>
      <c r="IB635" s="373"/>
      <c r="IC635" s="374"/>
      <c r="ID635" s="375"/>
      <c r="IE635" s="375"/>
      <c r="IG635" s="373"/>
      <c r="IH635" s="374"/>
      <c r="II635" s="375"/>
      <c r="IJ635" s="375"/>
      <c r="IL635" s="373"/>
      <c r="IM635" s="374"/>
      <c r="IN635" s="375"/>
      <c r="IO635" s="375"/>
      <c r="IQ635" s="373"/>
      <c r="IR635" s="374"/>
      <c r="IS635" s="375"/>
      <c r="IT635" s="375"/>
      <c r="IV635" s="373"/>
    </row>
    <row r="636" spans="1:256" s="376" customFormat="1" x14ac:dyDescent="0.2">
      <c r="A636" s="373"/>
      <c r="B636" s="374"/>
      <c r="C636" s="375"/>
      <c r="D636" s="375"/>
      <c r="F636" s="373"/>
      <c r="G636" s="374"/>
      <c r="H636" s="375"/>
      <c r="I636" s="375"/>
      <c r="K636" s="373"/>
      <c r="L636" s="374"/>
      <c r="M636" s="375"/>
      <c r="N636" s="375"/>
      <c r="P636" s="373"/>
      <c r="Q636" s="374"/>
      <c r="R636" s="375"/>
      <c r="S636" s="375"/>
      <c r="U636" s="373"/>
      <c r="V636" s="374"/>
      <c r="W636" s="375"/>
      <c r="X636" s="375"/>
      <c r="Z636" s="373"/>
      <c r="AA636" s="374"/>
      <c r="AB636" s="375"/>
      <c r="AC636" s="375"/>
      <c r="AE636" s="373"/>
      <c r="AF636" s="374"/>
      <c r="AG636" s="375"/>
      <c r="AH636" s="375"/>
      <c r="AJ636" s="373"/>
      <c r="AK636" s="374"/>
      <c r="AL636" s="375"/>
      <c r="AM636" s="375"/>
      <c r="AO636" s="373"/>
      <c r="AP636" s="374"/>
      <c r="AQ636" s="375"/>
      <c r="AR636" s="375"/>
      <c r="AT636" s="373"/>
      <c r="AU636" s="374"/>
      <c r="AV636" s="375"/>
      <c r="AW636" s="375"/>
      <c r="AY636" s="373"/>
      <c r="AZ636" s="374"/>
      <c r="BA636" s="375"/>
      <c r="BB636" s="375"/>
      <c r="BD636" s="373"/>
      <c r="BE636" s="374"/>
      <c r="BF636" s="375"/>
      <c r="BG636" s="375"/>
      <c r="BI636" s="373"/>
      <c r="BJ636" s="374"/>
      <c r="BK636" s="375"/>
      <c r="BL636" s="375"/>
      <c r="BN636" s="373"/>
      <c r="BO636" s="374"/>
      <c r="BP636" s="375"/>
      <c r="BQ636" s="375"/>
      <c r="BS636" s="373"/>
      <c r="BT636" s="374"/>
      <c r="BU636" s="375"/>
      <c r="BV636" s="375"/>
      <c r="BX636" s="373"/>
      <c r="BY636" s="374"/>
      <c r="BZ636" s="375"/>
      <c r="CA636" s="375"/>
      <c r="CC636" s="373"/>
      <c r="CD636" s="374"/>
      <c r="CE636" s="375"/>
      <c r="CF636" s="375"/>
      <c r="CH636" s="373"/>
      <c r="CI636" s="374"/>
      <c r="CJ636" s="375"/>
      <c r="CK636" s="375"/>
      <c r="CM636" s="373"/>
      <c r="CN636" s="374"/>
      <c r="CO636" s="375"/>
      <c r="CP636" s="375"/>
      <c r="CR636" s="373"/>
      <c r="CS636" s="374"/>
      <c r="CT636" s="375"/>
      <c r="CU636" s="375"/>
      <c r="CW636" s="373"/>
      <c r="CX636" s="374"/>
      <c r="CY636" s="375"/>
      <c r="CZ636" s="375"/>
      <c r="DB636" s="373"/>
      <c r="DC636" s="374"/>
      <c r="DD636" s="375"/>
      <c r="DE636" s="375"/>
      <c r="DG636" s="373"/>
      <c r="DH636" s="374"/>
      <c r="DI636" s="375"/>
      <c r="DJ636" s="375"/>
      <c r="DL636" s="373"/>
      <c r="DM636" s="374"/>
      <c r="DN636" s="375"/>
      <c r="DO636" s="375"/>
      <c r="DQ636" s="373"/>
      <c r="DR636" s="374"/>
      <c r="DS636" s="375"/>
      <c r="DT636" s="375"/>
      <c r="DV636" s="373"/>
      <c r="DW636" s="374"/>
      <c r="DX636" s="375"/>
      <c r="DY636" s="375"/>
      <c r="EA636" s="373"/>
      <c r="EB636" s="374"/>
      <c r="EC636" s="375"/>
      <c r="ED636" s="375"/>
      <c r="EF636" s="373"/>
      <c r="EG636" s="374"/>
      <c r="EH636" s="375"/>
      <c r="EI636" s="375"/>
      <c r="EK636" s="373"/>
      <c r="EL636" s="374"/>
      <c r="EM636" s="375"/>
      <c r="EN636" s="375"/>
      <c r="EP636" s="373"/>
      <c r="EQ636" s="374"/>
      <c r="ER636" s="375"/>
      <c r="ES636" s="375"/>
      <c r="EU636" s="373"/>
      <c r="EV636" s="374"/>
      <c r="EW636" s="375"/>
      <c r="EX636" s="375"/>
      <c r="EZ636" s="373"/>
      <c r="FA636" s="374"/>
      <c r="FB636" s="375"/>
      <c r="FC636" s="375"/>
      <c r="FE636" s="373"/>
      <c r="FF636" s="374"/>
      <c r="FG636" s="375"/>
      <c r="FH636" s="375"/>
      <c r="FJ636" s="373"/>
      <c r="FK636" s="374"/>
      <c r="FL636" s="375"/>
      <c r="FM636" s="375"/>
      <c r="FO636" s="373"/>
      <c r="FP636" s="374"/>
      <c r="FQ636" s="375"/>
      <c r="FR636" s="375"/>
      <c r="FT636" s="373"/>
      <c r="FU636" s="374"/>
      <c r="FV636" s="375"/>
      <c r="FW636" s="375"/>
      <c r="FY636" s="373"/>
      <c r="FZ636" s="374"/>
      <c r="GA636" s="375"/>
      <c r="GB636" s="375"/>
      <c r="GD636" s="373"/>
      <c r="GE636" s="374"/>
      <c r="GF636" s="375"/>
      <c r="GG636" s="375"/>
      <c r="GI636" s="373"/>
      <c r="GJ636" s="374"/>
      <c r="GK636" s="375"/>
      <c r="GL636" s="375"/>
      <c r="GN636" s="373"/>
      <c r="GO636" s="374"/>
      <c r="GP636" s="375"/>
      <c r="GQ636" s="375"/>
      <c r="GS636" s="373"/>
      <c r="GT636" s="374"/>
      <c r="GU636" s="375"/>
      <c r="GV636" s="375"/>
      <c r="GX636" s="373"/>
      <c r="GY636" s="374"/>
      <c r="GZ636" s="375"/>
      <c r="HA636" s="375"/>
      <c r="HC636" s="373"/>
      <c r="HD636" s="374"/>
      <c r="HE636" s="375"/>
      <c r="HF636" s="375"/>
      <c r="HH636" s="373"/>
      <c r="HI636" s="374"/>
      <c r="HJ636" s="375"/>
      <c r="HK636" s="375"/>
      <c r="HM636" s="373"/>
      <c r="HN636" s="374"/>
      <c r="HO636" s="375"/>
      <c r="HP636" s="375"/>
      <c r="HR636" s="373"/>
      <c r="HS636" s="374"/>
      <c r="HT636" s="375"/>
      <c r="HU636" s="375"/>
      <c r="HW636" s="373"/>
      <c r="HX636" s="374"/>
      <c r="HY636" s="375"/>
      <c r="HZ636" s="375"/>
      <c r="IB636" s="373"/>
      <c r="IC636" s="374"/>
      <c r="ID636" s="375"/>
      <c r="IE636" s="375"/>
      <c r="IG636" s="373"/>
      <c r="IH636" s="374"/>
      <c r="II636" s="375"/>
      <c r="IJ636" s="375"/>
      <c r="IL636" s="373"/>
      <c r="IM636" s="374"/>
      <c r="IN636" s="375"/>
      <c r="IO636" s="375"/>
      <c r="IQ636" s="373"/>
      <c r="IR636" s="374"/>
      <c r="IS636" s="375"/>
      <c r="IT636" s="375"/>
      <c r="IV636" s="373"/>
    </row>
    <row r="637" spans="1:256" s="376" customFormat="1" x14ac:dyDescent="0.2">
      <c r="A637" s="373"/>
      <c r="B637" s="374"/>
      <c r="C637" s="375"/>
      <c r="D637" s="375"/>
      <c r="F637" s="373"/>
      <c r="G637" s="374"/>
      <c r="H637" s="375"/>
      <c r="I637" s="375"/>
      <c r="K637" s="373"/>
      <c r="L637" s="374"/>
      <c r="M637" s="375"/>
      <c r="N637" s="375"/>
      <c r="P637" s="373"/>
      <c r="Q637" s="374"/>
      <c r="R637" s="375"/>
      <c r="S637" s="375"/>
      <c r="U637" s="373"/>
      <c r="V637" s="374"/>
      <c r="W637" s="375"/>
      <c r="X637" s="375"/>
      <c r="Z637" s="373"/>
      <c r="AA637" s="374"/>
      <c r="AB637" s="375"/>
      <c r="AC637" s="375"/>
      <c r="AE637" s="373"/>
      <c r="AF637" s="374"/>
      <c r="AG637" s="375"/>
      <c r="AH637" s="375"/>
      <c r="AJ637" s="373"/>
      <c r="AK637" s="374"/>
      <c r="AL637" s="375"/>
      <c r="AM637" s="375"/>
      <c r="AO637" s="373"/>
      <c r="AP637" s="374"/>
      <c r="AQ637" s="375"/>
      <c r="AR637" s="375"/>
      <c r="AT637" s="373"/>
      <c r="AU637" s="374"/>
      <c r="AV637" s="375"/>
      <c r="AW637" s="375"/>
      <c r="AY637" s="373"/>
      <c r="AZ637" s="374"/>
      <c r="BA637" s="375"/>
      <c r="BB637" s="375"/>
      <c r="BD637" s="373"/>
      <c r="BE637" s="374"/>
      <c r="BF637" s="375"/>
      <c r="BG637" s="375"/>
      <c r="BI637" s="373"/>
      <c r="BJ637" s="374"/>
      <c r="BK637" s="375"/>
      <c r="BL637" s="375"/>
      <c r="BN637" s="373"/>
      <c r="BO637" s="374"/>
      <c r="BP637" s="375"/>
      <c r="BQ637" s="375"/>
      <c r="BS637" s="373"/>
      <c r="BT637" s="374"/>
      <c r="BU637" s="375"/>
      <c r="BV637" s="375"/>
      <c r="BX637" s="373"/>
      <c r="BY637" s="374"/>
      <c r="BZ637" s="375"/>
      <c r="CA637" s="375"/>
      <c r="CC637" s="373"/>
      <c r="CD637" s="374"/>
      <c r="CE637" s="375"/>
      <c r="CF637" s="375"/>
      <c r="CH637" s="373"/>
      <c r="CI637" s="374"/>
      <c r="CJ637" s="375"/>
      <c r="CK637" s="375"/>
      <c r="CM637" s="373"/>
      <c r="CN637" s="374"/>
      <c r="CO637" s="375"/>
      <c r="CP637" s="375"/>
      <c r="CR637" s="373"/>
      <c r="CS637" s="374"/>
      <c r="CT637" s="375"/>
      <c r="CU637" s="375"/>
      <c r="CW637" s="373"/>
      <c r="CX637" s="374"/>
      <c r="CY637" s="375"/>
      <c r="CZ637" s="375"/>
      <c r="DB637" s="373"/>
      <c r="DC637" s="374"/>
      <c r="DD637" s="375"/>
      <c r="DE637" s="375"/>
      <c r="DG637" s="373"/>
      <c r="DH637" s="374"/>
      <c r="DI637" s="375"/>
      <c r="DJ637" s="375"/>
      <c r="DL637" s="373"/>
      <c r="DM637" s="374"/>
      <c r="DN637" s="375"/>
      <c r="DO637" s="375"/>
      <c r="DQ637" s="373"/>
      <c r="DR637" s="374"/>
      <c r="DS637" s="375"/>
      <c r="DT637" s="375"/>
      <c r="DV637" s="373"/>
      <c r="DW637" s="374"/>
      <c r="DX637" s="375"/>
      <c r="DY637" s="375"/>
      <c r="EA637" s="373"/>
      <c r="EB637" s="374"/>
      <c r="EC637" s="375"/>
      <c r="ED637" s="375"/>
      <c r="EF637" s="373"/>
      <c r="EG637" s="374"/>
      <c r="EH637" s="375"/>
      <c r="EI637" s="375"/>
      <c r="EK637" s="373"/>
      <c r="EL637" s="374"/>
      <c r="EM637" s="375"/>
      <c r="EN637" s="375"/>
      <c r="EP637" s="373"/>
      <c r="EQ637" s="374"/>
      <c r="ER637" s="375"/>
      <c r="ES637" s="375"/>
      <c r="EU637" s="373"/>
      <c r="EV637" s="374"/>
      <c r="EW637" s="375"/>
      <c r="EX637" s="375"/>
      <c r="EZ637" s="373"/>
      <c r="FA637" s="374"/>
      <c r="FB637" s="375"/>
      <c r="FC637" s="375"/>
      <c r="FE637" s="373"/>
      <c r="FF637" s="374"/>
      <c r="FG637" s="375"/>
      <c r="FH637" s="375"/>
      <c r="FJ637" s="373"/>
      <c r="FK637" s="374"/>
      <c r="FL637" s="375"/>
      <c r="FM637" s="375"/>
      <c r="FO637" s="373"/>
      <c r="FP637" s="374"/>
      <c r="FQ637" s="375"/>
      <c r="FR637" s="375"/>
      <c r="FT637" s="373"/>
      <c r="FU637" s="374"/>
      <c r="FV637" s="375"/>
      <c r="FW637" s="375"/>
      <c r="FY637" s="373"/>
      <c r="FZ637" s="374"/>
      <c r="GA637" s="375"/>
      <c r="GB637" s="375"/>
      <c r="GD637" s="373"/>
      <c r="GE637" s="374"/>
      <c r="GF637" s="375"/>
      <c r="GG637" s="375"/>
      <c r="GI637" s="373"/>
      <c r="GJ637" s="374"/>
      <c r="GK637" s="375"/>
      <c r="GL637" s="375"/>
      <c r="GN637" s="373"/>
      <c r="GO637" s="374"/>
      <c r="GP637" s="375"/>
      <c r="GQ637" s="375"/>
      <c r="GS637" s="373"/>
      <c r="GT637" s="374"/>
      <c r="GU637" s="375"/>
      <c r="GV637" s="375"/>
      <c r="GX637" s="373"/>
      <c r="GY637" s="374"/>
      <c r="GZ637" s="375"/>
      <c r="HA637" s="375"/>
      <c r="HC637" s="373"/>
      <c r="HD637" s="374"/>
      <c r="HE637" s="375"/>
      <c r="HF637" s="375"/>
      <c r="HH637" s="373"/>
      <c r="HI637" s="374"/>
      <c r="HJ637" s="375"/>
      <c r="HK637" s="375"/>
      <c r="HM637" s="373"/>
      <c r="HN637" s="374"/>
      <c r="HO637" s="375"/>
      <c r="HP637" s="375"/>
      <c r="HR637" s="373"/>
      <c r="HS637" s="374"/>
      <c r="HT637" s="375"/>
      <c r="HU637" s="375"/>
      <c r="HW637" s="373"/>
      <c r="HX637" s="374"/>
      <c r="HY637" s="375"/>
      <c r="HZ637" s="375"/>
      <c r="IB637" s="373"/>
      <c r="IC637" s="374"/>
      <c r="ID637" s="375"/>
      <c r="IE637" s="375"/>
      <c r="IG637" s="373"/>
      <c r="IH637" s="374"/>
      <c r="II637" s="375"/>
      <c r="IJ637" s="375"/>
      <c r="IL637" s="373"/>
      <c r="IM637" s="374"/>
      <c r="IN637" s="375"/>
      <c r="IO637" s="375"/>
      <c r="IQ637" s="373"/>
      <c r="IR637" s="374"/>
      <c r="IS637" s="375"/>
      <c r="IT637" s="375"/>
      <c r="IV637" s="373"/>
    </row>
    <row r="638" spans="1:256" s="376" customFormat="1" x14ac:dyDescent="0.2">
      <c r="A638" s="373"/>
      <c r="B638" s="374"/>
      <c r="C638" s="375"/>
      <c r="D638" s="375"/>
      <c r="F638" s="373"/>
      <c r="G638" s="374"/>
      <c r="H638" s="375"/>
      <c r="I638" s="375"/>
      <c r="K638" s="373"/>
      <c r="L638" s="374"/>
      <c r="M638" s="375"/>
      <c r="N638" s="375"/>
      <c r="P638" s="373"/>
      <c r="Q638" s="374"/>
      <c r="R638" s="375"/>
      <c r="S638" s="375"/>
      <c r="U638" s="373"/>
      <c r="V638" s="374"/>
      <c r="W638" s="375"/>
      <c r="X638" s="375"/>
      <c r="Z638" s="373"/>
      <c r="AA638" s="374"/>
      <c r="AB638" s="375"/>
      <c r="AC638" s="375"/>
      <c r="AE638" s="373"/>
      <c r="AF638" s="374"/>
      <c r="AG638" s="375"/>
      <c r="AH638" s="375"/>
      <c r="AJ638" s="373"/>
      <c r="AK638" s="374"/>
      <c r="AL638" s="375"/>
      <c r="AM638" s="375"/>
      <c r="AO638" s="373"/>
      <c r="AP638" s="374"/>
      <c r="AQ638" s="375"/>
      <c r="AR638" s="375"/>
      <c r="AT638" s="373"/>
      <c r="AU638" s="374"/>
      <c r="AV638" s="375"/>
      <c r="AW638" s="375"/>
      <c r="AY638" s="373"/>
      <c r="AZ638" s="374"/>
      <c r="BA638" s="375"/>
      <c r="BB638" s="375"/>
      <c r="BD638" s="373"/>
      <c r="BE638" s="374"/>
      <c r="BF638" s="375"/>
      <c r="BG638" s="375"/>
      <c r="BI638" s="373"/>
      <c r="BJ638" s="374"/>
      <c r="BK638" s="375"/>
      <c r="BL638" s="375"/>
      <c r="BN638" s="373"/>
      <c r="BO638" s="374"/>
      <c r="BP638" s="375"/>
      <c r="BQ638" s="375"/>
      <c r="BS638" s="373"/>
      <c r="BT638" s="374"/>
      <c r="BU638" s="375"/>
      <c r="BV638" s="375"/>
      <c r="BX638" s="373"/>
      <c r="BY638" s="374"/>
      <c r="BZ638" s="375"/>
      <c r="CA638" s="375"/>
      <c r="CC638" s="373"/>
      <c r="CD638" s="374"/>
      <c r="CE638" s="375"/>
      <c r="CF638" s="375"/>
      <c r="CH638" s="373"/>
      <c r="CI638" s="374"/>
      <c r="CJ638" s="375"/>
      <c r="CK638" s="375"/>
      <c r="CM638" s="373"/>
      <c r="CN638" s="374"/>
      <c r="CO638" s="375"/>
      <c r="CP638" s="375"/>
      <c r="CR638" s="373"/>
      <c r="CS638" s="374"/>
      <c r="CT638" s="375"/>
      <c r="CU638" s="375"/>
      <c r="CW638" s="373"/>
      <c r="CX638" s="374"/>
      <c r="CY638" s="375"/>
      <c r="CZ638" s="375"/>
      <c r="DB638" s="373"/>
      <c r="DC638" s="374"/>
      <c r="DD638" s="375"/>
      <c r="DE638" s="375"/>
      <c r="DG638" s="373"/>
      <c r="DH638" s="374"/>
      <c r="DI638" s="375"/>
      <c r="DJ638" s="375"/>
      <c r="DL638" s="373"/>
      <c r="DM638" s="374"/>
      <c r="DN638" s="375"/>
      <c r="DO638" s="375"/>
      <c r="DQ638" s="373"/>
      <c r="DR638" s="374"/>
      <c r="DS638" s="375"/>
      <c r="DT638" s="375"/>
      <c r="DV638" s="373"/>
      <c r="DW638" s="374"/>
      <c r="DX638" s="375"/>
      <c r="DY638" s="375"/>
      <c r="EA638" s="373"/>
      <c r="EB638" s="374"/>
      <c r="EC638" s="375"/>
      <c r="ED638" s="375"/>
      <c r="EF638" s="373"/>
      <c r="EG638" s="374"/>
      <c r="EH638" s="375"/>
      <c r="EI638" s="375"/>
      <c r="EK638" s="373"/>
      <c r="EL638" s="374"/>
      <c r="EM638" s="375"/>
      <c r="EN638" s="375"/>
      <c r="EP638" s="373"/>
      <c r="EQ638" s="374"/>
      <c r="ER638" s="375"/>
      <c r="ES638" s="375"/>
      <c r="EU638" s="373"/>
      <c r="EV638" s="374"/>
      <c r="EW638" s="375"/>
      <c r="EX638" s="375"/>
      <c r="EZ638" s="373"/>
      <c r="FA638" s="374"/>
      <c r="FB638" s="375"/>
      <c r="FC638" s="375"/>
      <c r="FE638" s="373"/>
      <c r="FF638" s="374"/>
      <c r="FG638" s="375"/>
      <c r="FH638" s="375"/>
      <c r="FJ638" s="373"/>
      <c r="FK638" s="374"/>
      <c r="FL638" s="375"/>
      <c r="FM638" s="375"/>
      <c r="FO638" s="373"/>
      <c r="FP638" s="374"/>
      <c r="FQ638" s="375"/>
      <c r="FR638" s="375"/>
      <c r="FT638" s="373"/>
      <c r="FU638" s="374"/>
      <c r="FV638" s="375"/>
      <c r="FW638" s="375"/>
      <c r="FY638" s="373"/>
      <c r="FZ638" s="374"/>
      <c r="GA638" s="375"/>
      <c r="GB638" s="375"/>
      <c r="GD638" s="373"/>
      <c r="GE638" s="374"/>
      <c r="GF638" s="375"/>
      <c r="GG638" s="375"/>
      <c r="GI638" s="373"/>
      <c r="GJ638" s="374"/>
      <c r="GK638" s="375"/>
      <c r="GL638" s="375"/>
      <c r="GN638" s="373"/>
      <c r="GO638" s="374"/>
      <c r="GP638" s="375"/>
      <c r="GQ638" s="375"/>
      <c r="GS638" s="373"/>
      <c r="GT638" s="374"/>
      <c r="GU638" s="375"/>
      <c r="GV638" s="375"/>
      <c r="GX638" s="373"/>
      <c r="GY638" s="374"/>
      <c r="GZ638" s="375"/>
      <c r="HA638" s="375"/>
      <c r="HC638" s="373"/>
      <c r="HD638" s="374"/>
      <c r="HE638" s="375"/>
      <c r="HF638" s="375"/>
      <c r="HH638" s="373"/>
      <c r="HI638" s="374"/>
      <c r="HJ638" s="375"/>
      <c r="HK638" s="375"/>
      <c r="HM638" s="373"/>
      <c r="HN638" s="374"/>
      <c r="HO638" s="375"/>
      <c r="HP638" s="375"/>
      <c r="HR638" s="373"/>
      <c r="HS638" s="374"/>
      <c r="HT638" s="375"/>
      <c r="HU638" s="375"/>
      <c r="HW638" s="373"/>
      <c r="HX638" s="374"/>
      <c r="HY638" s="375"/>
      <c r="HZ638" s="375"/>
      <c r="IB638" s="373"/>
      <c r="IC638" s="374"/>
      <c r="ID638" s="375"/>
      <c r="IE638" s="375"/>
      <c r="IG638" s="373"/>
      <c r="IH638" s="374"/>
      <c r="II638" s="375"/>
      <c r="IJ638" s="375"/>
      <c r="IL638" s="373"/>
      <c r="IM638" s="374"/>
      <c r="IN638" s="375"/>
      <c r="IO638" s="375"/>
      <c r="IQ638" s="373"/>
      <c r="IR638" s="374"/>
      <c r="IS638" s="375"/>
      <c r="IT638" s="375"/>
      <c r="IV638" s="373"/>
    </row>
    <row r="639" spans="1:256" s="376" customFormat="1" x14ac:dyDescent="0.2">
      <c r="A639" s="373"/>
      <c r="B639" s="374"/>
      <c r="C639" s="375"/>
      <c r="D639" s="375"/>
      <c r="F639" s="373"/>
      <c r="G639" s="374"/>
      <c r="H639" s="375"/>
      <c r="I639" s="375"/>
      <c r="K639" s="373"/>
      <c r="L639" s="374"/>
      <c r="M639" s="375"/>
      <c r="N639" s="375"/>
      <c r="P639" s="373"/>
      <c r="Q639" s="374"/>
      <c r="R639" s="375"/>
      <c r="S639" s="375"/>
      <c r="U639" s="373"/>
      <c r="V639" s="374"/>
      <c r="W639" s="375"/>
      <c r="X639" s="375"/>
      <c r="Z639" s="373"/>
      <c r="AA639" s="374"/>
      <c r="AB639" s="375"/>
      <c r="AC639" s="375"/>
      <c r="AE639" s="373"/>
      <c r="AF639" s="374"/>
      <c r="AG639" s="375"/>
      <c r="AH639" s="375"/>
      <c r="AJ639" s="373"/>
      <c r="AK639" s="374"/>
      <c r="AL639" s="375"/>
      <c r="AM639" s="375"/>
      <c r="AO639" s="373"/>
      <c r="AP639" s="374"/>
      <c r="AQ639" s="375"/>
      <c r="AR639" s="375"/>
      <c r="AT639" s="373"/>
      <c r="AU639" s="374"/>
      <c r="AV639" s="375"/>
      <c r="AW639" s="375"/>
      <c r="AY639" s="373"/>
      <c r="AZ639" s="374"/>
      <c r="BA639" s="375"/>
      <c r="BB639" s="375"/>
      <c r="BD639" s="373"/>
      <c r="BE639" s="374"/>
      <c r="BF639" s="375"/>
      <c r="BG639" s="375"/>
      <c r="BI639" s="373"/>
      <c r="BJ639" s="374"/>
      <c r="BK639" s="375"/>
      <c r="BL639" s="375"/>
      <c r="BN639" s="373"/>
      <c r="BO639" s="374"/>
      <c r="BP639" s="375"/>
      <c r="BQ639" s="375"/>
      <c r="BS639" s="373"/>
      <c r="BT639" s="374"/>
      <c r="BU639" s="375"/>
      <c r="BV639" s="375"/>
      <c r="BX639" s="373"/>
      <c r="BY639" s="374"/>
      <c r="BZ639" s="375"/>
      <c r="CA639" s="375"/>
      <c r="CC639" s="373"/>
      <c r="CD639" s="374"/>
      <c r="CE639" s="375"/>
      <c r="CF639" s="375"/>
      <c r="CH639" s="373"/>
      <c r="CI639" s="374"/>
      <c r="CJ639" s="375"/>
      <c r="CK639" s="375"/>
      <c r="CM639" s="373"/>
      <c r="CN639" s="374"/>
      <c r="CO639" s="375"/>
      <c r="CP639" s="375"/>
      <c r="CR639" s="373"/>
      <c r="CS639" s="374"/>
      <c r="CT639" s="375"/>
      <c r="CU639" s="375"/>
      <c r="CW639" s="373"/>
      <c r="CX639" s="374"/>
      <c r="CY639" s="375"/>
      <c r="CZ639" s="375"/>
      <c r="DB639" s="373"/>
      <c r="DC639" s="374"/>
      <c r="DD639" s="375"/>
      <c r="DE639" s="375"/>
      <c r="DG639" s="373"/>
      <c r="DH639" s="374"/>
      <c r="DI639" s="375"/>
      <c r="DJ639" s="375"/>
      <c r="DL639" s="373"/>
      <c r="DM639" s="374"/>
      <c r="DN639" s="375"/>
      <c r="DO639" s="375"/>
      <c r="DQ639" s="373"/>
      <c r="DR639" s="374"/>
      <c r="DS639" s="375"/>
      <c r="DT639" s="375"/>
      <c r="DV639" s="373"/>
      <c r="DW639" s="374"/>
      <c r="DX639" s="375"/>
      <c r="DY639" s="375"/>
      <c r="EA639" s="373"/>
      <c r="EB639" s="374"/>
      <c r="EC639" s="375"/>
      <c r="ED639" s="375"/>
      <c r="EF639" s="373"/>
      <c r="EG639" s="374"/>
      <c r="EH639" s="375"/>
      <c r="EI639" s="375"/>
      <c r="EK639" s="373"/>
      <c r="EL639" s="374"/>
      <c r="EM639" s="375"/>
      <c r="EN639" s="375"/>
      <c r="EP639" s="373"/>
      <c r="EQ639" s="374"/>
      <c r="ER639" s="375"/>
      <c r="ES639" s="375"/>
      <c r="EU639" s="373"/>
      <c r="EV639" s="374"/>
      <c r="EW639" s="375"/>
      <c r="EX639" s="375"/>
      <c r="EZ639" s="373"/>
      <c r="FA639" s="374"/>
      <c r="FB639" s="375"/>
      <c r="FC639" s="375"/>
      <c r="FE639" s="373"/>
      <c r="FF639" s="374"/>
      <c r="FG639" s="375"/>
      <c r="FH639" s="375"/>
      <c r="FJ639" s="373"/>
      <c r="FK639" s="374"/>
      <c r="FL639" s="375"/>
      <c r="FM639" s="375"/>
      <c r="FO639" s="373"/>
      <c r="FP639" s="374"/>
      <c r="FQ639" s="375"/>
      <c r="FR639" s="375"/>
      <c r="FT639" s="373"/>
      <c r="FU639" s="374"/>
      <c r="FV639" s="375"/>
      <c r="FW639" s="375"/>
      <c r="FY639" s="373"/>
      <c r="FZ639" s="374"/>
      <c r="GA639" s="375"/>
      <c r="GB639" s="375"/>
      <c r="GD639" s="373"/>
      <c r="GE639" s="374"/>
      <c r="GF639" s="375"/>
      <c r="GG639" s="375"/>
      <c r="GI639" s="373"/>
      <c r="GJ639" s="374"/>
      <c r="GK639" s="375"/>
      <c r="GL639" s="375"/>
      <c r="GN639" s="373"/>
      <c r="GO639" s="374"/>
      <c r="GP639" s="375"/>
      <c r="GQ639" s="375"/>
      <c r="GS639" s="373"/>
      <c r="GT639" s="374"/>
      <c r="GU639" s="375"/>
      <c r="GV639" s="375"/>
      <c r="GX639" s="373"/>
      <c r="GY639" s="374"/>
      <c r="GZ639" s="375"/>
      <c r="HA639" s="375"/>
      <c r="HC639" s="373"/>
      <c r="HD639" s="374"/>
      <c r="HE639" s="375"/>
      <c r="HF639" s="375"/>
      <c r="HH639" s="373"/>
      <c r="HI639" s="374"/>
      <c r="HJ639" s="375"/>
      <c r="HK639" s="375"/>
      <c r="HM639" s="373"/>
      <c r="HN639" s="374"/>
      <c r="HO639" s="375"/>
      <c r="HP639" s="375"/>
      <c r="HR639" s="373"/>
      <c r="HS639" s="374"/>
      <c r="HT639" s="375"/>
      <c r="HU639" s="375"/>
      <c r="HW639" s="373"/>
      <c r="HX639" s="374"/>
      <c r="HY639" s="375"/>
      <c r="HZ639" s="375"/>
      <c r="IB639" s="373"/>
      <c r="IC639" s="374"/>
      <c r="ID639" s="375"/>
      <c r="IE639" s="375"/>
      <c r="IG639" s="373"/>
      <c r="IH639" s="374"/>
      <c r="II639" s="375"/>
      <c r="IJ639" s="375"/>
      <c r="IL639" s="373"/>
      <c r="IM639" s="374"/>
      <c r="IN639" s="375"/>
      <c r="IO639" s="375"/>
      <c r="IQ639" s="373"/>
      <c r="IR639" s="374"/>
      <c r="IS639" s="375"/>
      <c r="IT639" s="375"/>
      <c r="IV639" s="373"/>
    </row>
    <row r="640" spans="1:256" s="376" customFormat="1" x14ac:dyDescent="0.2">
      <c r="A640" s="373"/>
      <c r="B640" s="374"/>
      <c r="C640" s="375"/>
      <c r="D640" s="375"/>
      <c r="F640" s="373"/>
      <c r="G640" s="374"/>
      <c r="H640" s="375"/>
      <c r="I640" s="375"/>
      <c r="K640" s="373"/>
      <c r="L640" s="374"/>
      <c r="M640" s="375"/>
      <c r="N640" s="375"/>
      <c r="P640" s="373"/>
      <c r="Q640" s="374"/>
      <c r="R640" s="375"/>
      <c r="S640" s="375"/>
      <c r="U640" s="373"/>
      <c r="V640" s="374"/>
      <c r="W640" s="375"/>
      <c r="X640" s="375"/>
      <c r="Z640" s="373"/>
      <c r="AA640" s="374"/>
      <c r="AB640" s="375"/>
      <c r="AC640" s="375"/>
      <c r="AE640" s="373"/>
      <c r="AF640" s="374"/>
      <c r="AG640" s="375"/>
      <c r="AH640" s="375"/>
      <c r="AJ640" s="373"/>
      <c r="AK640" s="374"/>
      <c r="AL640" s="375"/>
      <c r="AM640" s="375"/>
      <c r="AO640" s="373"/>
      <c r="AP640" s="374"/>
      <c r="AQ640" s="375"/>
      <c r="AR640" s="375"/>
      <c r="AT640" s="373"/>
      <c r="AU640" s="374"/>
      <c r="AV640" s="375"/>
      <c r="AW640" s="375"/>
      <c r="AY640" s="373"/>
      <c r="AZ640" s="374"/>
      <c r="BA640" s="375"/>
      <c r="BB640" s="375"/>
      <c r="BD640" s="373"/>
      <c r="BE640" s="374"/>
      <c r="BF640" s="375"/>
      <c r="BG640" s="375"/>
      <c r="BI640" s="373"/>
      <c r="BJ640" s="374"/>
      <c r="BK640" s="375"/>
      <c r="BL640" s="375"/>
      <c r="BN640" s="373"/>
      <c r="BO640" s="374"/>
      <c r="BP640" s="375"/>
      <c r="BQ640" s="375"/>
      <c r="BS640" s="373"/>
      <c r="BT640" s="374"/>
      <c r="BU640" s="375"/>
      <c r="BV640" s="375"/>
      <c r="BX640" s="373"/>
      <c r="BY640" s="374"/>
      <c r="BZ640" s="375"/>
      <c r="CA640" s="375"/>
      <c r="CC640" s="373"/>
      <c r="CD640" s="374"/>
      <c r="CE640" s="375"/>
      <c r="CF640" s="375"/>
      <c r="CH640" s="373"/>
      <c r="CI640" s="374"/>
      <c r="CJ640" s="375"/>
      <c r="CK640" s="375"/>
      <c r="CM640" s="373"/>
      <c r="CN640" s="374"/>
      <c r="CO640" s="375"/>
      <c r="CP640" s="375"/>
      <c r="CR640" s="373"/>
      <c r="CS640" s="374"/>
      <c r="CT640" s="375"/>
      <c r="CU640" s="375"/>
      <c r="CW640" s="373"/>
      <c r="CX640" s="374"/>
      <c r="CY640" s="375"/>
      <c r="CZ640" s="375"/>
      <c r="DB640" s="373"/>
      <c r="DC640" s="374"/>
      <c r="DD640" s="375"/>
      <c r="DE640" s="375"/>
      <c r="DG640" s="373"/>
      <c r="DH640" s="374"/>
      <c r="DI640" s="375"/>
      <c r="DJ640" s="375"/>
      <c r="DL640" s="373"/>
      <c r="DM640" s="374"/>
      <c r="DN640" s="375"/>
      <c r="DO640" s="375"/>
      <c r="DQ640" s="373"/>
      <c r="DR640" s="374"/>
      <c r="DS640" s="375"/>
      <c r="DT640" s="375"/>
      <c r="DV640" s="373"/>
      <c r="DW640" s="374"/>
      <c r="DX640" s="375"/>
      <c r="DY640" s="375"/>
      <c r="EA640" s="373"/>
      <c r="EB640" s="374"/>
      <c r="EC640" s="375"/>
      <c r="ED640" s="375"/>
      <c r="EF640" s="373"/>
      <c r="EG640" s="374"/>
      <c r="EH640" s="375"/>
      <c r="EI640" s="375"/>
      <c r="EK640" s="373"/>
      <c r="EL640" s="374"/>
      <c r="EM640" s="375"/>
      <c r="EN640" s="375"/>
      <c r="EP640" s="373"/>
      <c r="EQ640" s="374"/>
      <c r="ER640" s="375"/>
      <c r="ES640" s="375"/>
      <c r="EU640" s="373"/>
      <c r="EV640" s="374"/>
      <c r="EW640" s="375"/>
      <c r="EX640" s="375"/>
      <c r="EZ640" s="373"/>
      <c r="FA640" s="374"/>
      <c r="FB640" s="375"/>
      <c r="FC640" s="375"/>
      <c r="FE640" s="373"/>
      <c r="FF640" s="374"/>
      <c r="FG640" s="375"/>
      <c r="FH640" s="375"/>
      <c r="FJ640" s="373"/>
      <c r="FK640" s="374"/>
      <c r="FL640" s="375"/>
      <c r="FM640" s="375"/>
      <c r="FO640" s="373"/>
      <c r="FP640" s="374"/>
      <c r="FQ640" s="375"/>
      <c r="FR640" s="375"/>
      <c r="FT640" s="373"/>
      <c r="FU640" s="374"/>
      <c r="FV640" s="375"/>
      <c r="FW640" s="375"/>
      <c r="FY640" s="373"/>
      <c r="FZ640" s="374"/>
      <c r="GA640" s="375"/>
      <c r="GB640" s="375"/>
      <c r="GD640" s="373"/>
      <c r="GE640" s="374"/>
      <c r="GF640" s="375"/>
      <c r="GG640" s="375"/>
      <c r="GI640" s="373"/>
      <c r="GJ640" s="374"/>
      <c r="GK640" s="375"/>
      <c r="GL640" s="375"/>
      <c r="GN640" s="373"/>
      <c r="GO640" s="374"/>
      <c r="GP640" s="375"/>
      <c r="GQ640" s="375"/>
      <c r="GS640" s="373"/>
      <c r="GT640" s="374"/>
      <c r="GU640" s="375"/>
      <c r="GV640" s="375"/>
      <c r="GX640" s="373"/>
      <c r="GY640" s="374"/>
      <c r="GZ640" s="375"/>
      <c r="HA640" s="375"/>
      <c r="HC640" s="373"/>
      <c r="HD640" s="374"/>
      <c r="HE640" s="375"/>
      <c r="HF640" s="375"/>
      <c r="HH640" s="373"/>
      <c r="HI640" s="374"/>
      <c r="HJ640" s="375"/>
      <c r="HK640" s="375"/>
      <c r="HM640" s="373"/>
      <c r="HN640" s="374"/>
      <c r="HO640" s="375"/>
      <c r="HP640" s="375"/>
      <c r="HR640" s="373"/>
      <c r="HS640" s="374"/>
      <c r="HT640" s="375"/>
      <c r="HU640" s="375"/>
      <c r="HW640" s="373"/>
      <c r="HX640" s="374"/>
      <c r="HY640" s="375"/>
      <c r="HZ640" s="375"/>
      <c r="IB640" s="373"/>
      <c r="IC640" s="374"/>
      <c r="ID640" s="375"/>
      <c r="IE640" s="375"/>
      <c r="IG640" s="373"/>
      <c r="IH640" s="374"/>
      <c r="II640" s="375"/>
      <c r="IJ640" s="375"/>
      <c r="IL640" s="373"/>
      <c r="IM640" s="374"/>
      <c r="IN640" s="375"/>
      <c r="IO640" s="375"/>
      <c r="IQ640" s="373"/>
      <c r="IR640" s="374"/>
      <c r="IS640" s="375"/>
      <c r="IT640" s="375"/>
      <c r="IV640" s="373"/>
    </row>
    <row r="641" spans="1:256" s="376" customFormat="1" x14ac:dyDescent="0.2">
      <c r="A641" s="373"/>
      <c r="B641" s="374"/>
      <c r="C641" s="375"/>
      <c r="D641" s="375"/>
      <c r="F641" s="373"/>
      <c r="G641" s="374"/>
      <c r="H641" s="375"/>
      <c r="I641" s="375"/>
      <c r="K641" s="373"/>
      <c r="L641" s="374"/>
      <c r="M641" s="375"/>
      <c r="N641" s="375"/>
      <c r="P641" s="373"/>
      <c r="Q641" s="374"/>
      <c r="R641" s="375"/>
      <c r="S641" s="375"/>
      <c r="U641" s="373"/>
      <c r="V641" s="374"/>
      <c r="W641" s="375"/>
      <c r="X641" s="375"/>
      <c r="Z641" s="373"/>
      <c r="AA641" s="374"/>
      <c r="AB641" s="375"/>
      <c r="AC641" s="375"/>
      <c r="AE641" s="373"/>
      <c r="AF641" s="374"/>
      <c r="AG641" s="375"/>
      <c r="AH641" s="375"/>
      <c r="AJ641" s="373"/>
      <c r="AK641" s="374"/>
      <c r="AL641" s="375"/>
      <c r="AM641" s="375"/>
      <c r="AO641" s="373"/>
      <c r="AP641" s="374"/>
      <c r="AQ641" s="375"/>
      <c r="AR641" s="375"/>
      <c r="AT641" s="373"/>
      <c r="AU641" s="374"/>
      <c r="AV641" s="375"/>
      <c r="AW641" s="375"/>
      <c r="AY641" s="373"/>
      <c r="AZ641" s="374"/>
      <c r="BA641" s="375"/>
      <c r="BB641" s="375"/>
      <c r="BD641" s="373"/>
      <c r="BE641" s="374"/>
      <c r="BF641" s="375"/>
      <c r="BG641" s="375"/>
      <c r="BI641" s="373"/>
      <c r="BJ641" s="374"/>
      <c r="BK641" s="375"/>
      <c r="BL641" s="375"/>
      <c r="BN641" s="373"/>
      <c r="BO641" s="374"/>
      <c r="BP641" s="375"/>
      <c r="BQ641" s="375"/>
      <c r="BS641" s="373"/>
      <c r="BT641" s="374"/>
      <c r="BU641" s="375"/>
      <c r="BV641" s="375"/>
      <c r="BX641" s="373"/>
      <c r="BY641" s="374"/>
      <c r="BZ641" s="375"/>
      <c r="CA641" s="375"/>
      <c r="CC641" s="373"/>
      <c r="CD641" s="374"/>
      <c r="CE641" s="375"/>
      <c r="CF641" s="375"/>
      <c r="CH641" s="373"/>
      <c r="CI641" s="374"/>
      <c r="CJ641" s="375"/>
      <c r="CK641" s="375"/>
      <c r="CM641" s="373"/>
      <c r="CN641" s="374"/>
      <c r="CO641" s="375"/>
      <c r="CP641" s="375"/>
      <c r="CR641" s="373"/>
      <c r="CS641" s="374"/>
      <c r="CT641" s="375"/>
      <c r="CU641" s="375"/>
      <c r="CW641" s="373"/>
      <c r="CX641" s="374"/>
      <c r="CY641" s="375"/>
      <c r="CZ641" s="375"/>
      <c r="DB641" s="373"/>
      <c r="DC641" s="374"/>
      <c r="DD641" s="375"/>
      <c r="DE641" s="375"/>
      <c r="DG641" s="373"/>
      <c r="DH641" s="374"/>
      <c r="DI641" s="375"/>
      <c r="DJ641" s="375"/>
      <c r="DL641" s="373"/>
      <c r="DM641" s="374"/>
      <c r="DN641" s="375"/>
      <c r="DO641" s="375"/>
      <c r="DQ641" s="373"/>
      <c r="DR641" s="374"/>
      <c r="DS641" s="375"/>
      <c r="DT641" s="375"/>
      <c r="DV641" s="373"/>
      <c r="DW641" s="374"/>
      <c r="DX641" s="375"/>
      <c r="DY641" s="375"/>
      <c r="EA641" s="373"/>
      <c r="EB641" s="374"/>
      <c r="EC641" s="375"/>
      <c r="ED641" s="375"/>
      <c r="EF641" s="373"/>
      <c r="EG641" s="374"/>
      <c r="EH641" s="375"/>
      <c r="EI641" s="375"/>
      <c r="EK641" s="373"/>
      <c r="EL641" s="374"/>
      <c r="EM641" s="375"/>
      <c r="EN641" s="375"/>
      <c r="EP641" s="373"/>
      <c r="EQ641" s="374"/>
      <c r="ER641" s="375"/>
      <c r="ES641" s="375"/>
      <c r="EU641" s="373"/>
      <c r="EV641" s="374"/>
      <c r="EW641" s="375"/>
      <c r="EX641" s="375"/>
      <c r="EZ641" s="373"/>
      <c r="FA641" s="374"/>
      <c r="FB641" s="375"/>
      <c r="FC641" s="375"/>
      <c r="FE641" s="373"/>
      <c r="FF641" s="374"/>
      <c r="FG641" s="375"/>
      <c r="FH641" s="375"/>
      <c r="FJ641" s="373"/>
      <c r="FK641" s="374"/>
      <c r="FL641" s="375"/>
      <c r="FM641" s="375"/>
      <c r="FO641" s="373"/>
      <c r="FP641" s="374"/>
      <c r="FQ641" s="375"/>
      <c r="FR641" s="375"/>
      <c r="FT641" s="373"/>
      <c r="FU641" s="374"/>
      <c r="FV641" s="375"/>
      <c r="FW641" s="375"/>
      <c r="FY641" s="373"/>
      <c r="FZ641" s="374"/>
      <c r="GA641" s="375"/>
      <c r="GB641" s="375"/>
      <c r="GD641" s="373"/>
      <c r="GE641" s="374"/>
      <c r="GF641" s="375"/>
      <c r="GG641" s="375"/>
      <c r="GI641" s="373"/>
      <c r="GJ641" s="374"/>
      <c r="GK641" s="375"/>
      <c r="GL641" s="375"/>
      <c r="GN641" s="373"/>
      <c r="GO641" s="374"/>
      <c r="GP641" s="375"/>
      <c r="GQ641" s="375"/>
      <c r="GS641" s="373"/>
      <c r="GT641" s="374"/>
      <c r="GU641" s="375"/>
      <c r="GV641" s="375"/>
      <c r="GX641" s="373"/>
      <c r="GY641" s="374"/>
      <c r="GZ641" s="375"/>
      <c r="HA641" s="375"/>
      <c r="HC641" s="373"/>
      <c r="HD641" s="374"/>
      <c r="HE641" s="375"/>
      <c r="HF641" s="375"/>
      <c r="HH641" s="373"/>
      <c r="HI641" s="374"/>
      <c r="HJ641" s="375"/>
      <c r="HK641" s="375"/>
      <c r="HM641" s="373"/>
      <c r="HN641" s="374"/>
      <c r="HO641" s="375"/>
      <c r="HP641" s="375"/>
      <c r="HR641" s="373"/>
      <c r="HS641" s="374"/>
      <c r="HT641" s="375"/>
      <c r="HU641" s="375"/>
      <c r="HW641" s="373"/>
      <c r="HX641" s="374"/>
      <c r="HY641" s="375"/>
      <c r="HZ641" s="375"/>
      <c r="IB641" s="373"/>
      <c r="IC641" s="374"/>
      <c r="ID641" s="375"/>
      <c r="IE641" s="375"/>
      <c r="IG641" s="373"/>
      <c r="IH641" s="374"/>
      <c r="II641" s="375"/>
      <c r="IJ641" s="375"/>
      <c r="IL641" s="373"/>
      <c r="IM641" s="374"/>
      <c r="IN641" s="375"/>
      <c r="IO641" s="375"/>
      <c r="IQ641" s="373"/>
      <c r="IR641" s="374"/>
      <c r="IS641" s="375"/>
      <c r="IT641" s="375"/>
      <c r="IV641" s="373"/>
    </row>
    <row r="642" spans="1:256" s="376" customFormat="1" x14ac:dyDescent="0.2">
      <c r="A642" s="373"/>
      <c r="B642" s="374"/>
      <c r="C642" s="375"/>
      <c r="D642" s="375"/>
      <c r="F642" s="373"/>
      <c r="G642" s="374"/>
      <c r="H642" s="375"/>
      <c r="I642" s="375"/>
      <c r="K642" s="373"/>
      <c r="L642" s="374"/>
      <c r="M642" s="375"/>
      <c r="N642" s="375"/>
      <c r="P642" s="373"/>
      <c r="Q642" s="374"/>
      <c r="R642" s="375"/>
      <c r="S642" s="375"/>
      <c r="U642" s="373"/>
      <c r="V642" s="374"/>
      <c r="W642" s="375"/>
      <c r="X642" s="375"/>
      <c r="Z642" s="373"/>
      <c r="AA642" s="374"/>
      <c r="AB642" s="375"/>
      <c r="AC642" s="375"/>
      <c r="AE642" s="373"/>
      <c r="AF642" s="374"/>
      <c r="AG642" s="375"/>
      <c r="AH642" s="375"/>
      <c r="AJ642" s="373"/>
      <c r="AK642" s="374"/>
      <c r="AL642" s="375"/>
      <c r="AM642" s="375"/>
      <c r="AO642" s="373"/>
      <c r="AP642" s="374"/>
      <c r="AQ642" s="375"/>
      <c r="AR642" s="375"/>
      <c r="AT642" s="373"/>
      <c r="AU642" s="374"/>
      <c r="AV642" s="375"/>
      <c r="AW642" s="375"/>
      <c r="AY642" s="373"/>
      <c r="AZ642" s="374"/>
      <c r="BA642" s="375"/>
      <c r="BB642" s="375"/>
      <c r="BD642" s="373"/>
      <c r="BE642" s="374"/>
      <c r="BF642" s="375"/>
      <c r="BG642" s="375"/>
      <c r="BI642" s="373"/>
      <c r="BJ642" s="374"/>
      <c r="BK642" s="375"/>
      <c r="BL642" s="375"/>
      <c r="BN642" s="373"/>
      <c r="BO642" s="374"/>
      <c r="BP642" s="375"/>
      <c r="BQ642" s="375"/>
      <c r="BS642" s="373"/>
      <c r="BT642" s="374"/>
      <c r="BU642" s="375"/>
      <c r="BV642" s="375"/>
      <c r="BX642" s="373"/>
      <c r="BY642" s="374"/>
      <c r="BZ642" s="375"/>
      <c r="CA642" s="375"/>
      <c r="CC642" s="373"/>
      <c r="CD642" s="374"/>
      <c r="CE642" s="375"/>
      <c r="CF642" s="375"/>
      <c r="CH642" s="373"/>
      <c r="CI642" s="374"/>
      <c r="CJ642" s="375"/>
      <c r="CK642" s="375"/>
      <c r="CM642" s="373"/>
      <c r="CN642" s="374"/>
      <c r="CO642" s="375"/>
      <c r="CP642" s="375"/>
      <c r="CR642" s="373"/>
      <c r="CS642" s="374"/>
      <c r="CT642" s="375"/>
      <c r="CU642" s="375"/>
      <c r="CW642" s="373"/>
      <c r="CX642" s="374"/>
      <c r="CY642" s="375"/>
      <c r="CZ642" s="375"/>
      <c r="DB642" s="373"/>
      <c r="DC642" s="374"/>
      <c r="DD642" s="375"/>
      <c r="DE642" s="375"/>
      <c r="DG642" s="373"/>
      <c r="DH642" s="374"/>
      <c r="DI642" s="375"/>
      <c r="DJ642" s="375"/>
      <c r="DL642" s="373"/>
      <c r="DM642" s="374"/>
      <c r="DN642" s="375"/>
      <c r="DO642" s="375"/>
      <c r="DQ642" s="373"/>
      <c r="DR642" s="374"/>
      <c r="DS642" s="375"/>
      <c r="DT642" s="375"/>
      <c r="DV642" s="373"/>
      <c r="DW642" s="374"/>
      <c r="DX642" s="375"/>
      <c r="DY642" s="375"/>
      <c r="EA642" s="373"/>
      <c r="EB642" s="374"/>
      <c r="EC642" s="375"/>
      <c r="ED642" s="375"/>
      <c r="EF642" s="373"/>
      <c r="EG642" s="374"/>
      <c r="EH642" s="375"/>
      <c r="EI642" s="375"/>
      <c r="EK642" s="373"/>
      <c r="EL642" s="374"/>
      <c r="EM642" s="375"/>
      <c r="EN642" s="375"/>
      <c r="EP642" s="373"/>
      <c r="EQ642" s="374"/>
      <c r="ER642" s="375"/>
      <c r="ES642" s="375"/>
      <c r="EU642" s="373"/>
      <c r="EV642" s="374"/>
      <c r="EW642" s="375"/>
      <c r="EX642" s="375"/>
      <c r="EZ642" s="373"/>
      <c r="FA642" s="374"/>
      <c r="FB642" s="375"/>
      <c r="FC642" s="375"/>
      <c r="FE642" s="373"/>
      <c r="FF642" s="374"/>
      <c r="FG642" s="375"/>
      <c r="FH642" s="375"/>
      <c r="FJ642" s="373"/>
      <c r="FK642" s="374"/>
      <c r="FL642" s="375"/>
      <c r="FM642" s="375"/>
      <c r="FO642" s="373"/>
      <c r="FP642" s="374"/>
      <c r="FQ642" s="375"/>
      <c r="FR642" s="375"/>
      <c r="FT642" s="373"/>
      <c r="FU642" s="374"/>
      <c r="FV642" s="375"/>
      <c r="FW642" s="375"/>
      <c r="FY642" s="373"/>
      <c r="FZ642" s="374"/>
      <c r="GA642" s="375"/>
      <c r="GB642" s="375"/>
      <c r="GD642" s="373"/>
      <c r="GE642" s="374"/>
      <c r="GF642" s="375"/>
      <c r="GG642" s="375"/>
      <c r="GI642" s="373"/>
      <c r="GJ642" s="374"/>
      <c r="GK642" s="375"/>
      <c r="GL642" s="375"/>
      <c r="GN642" s="373"/>
      <c r="GO642" s="374"/>
      <c r="GP642" s="375"/>
      <c r="GQ642" s="375"/>
      <c r="GS642" s="373"/>
      <c r="GT642" s="374"/>
      <c r="GU642" s="375"/>
      <c r="GV642" s="375"/>
      <c r="GX642" s="373"/>
      <c r="GY642" s="374"/>
      <c r="GZ642" s="375"/>
      <c r="HA642" s="375"/>
      <c r="HC642" s="373"/>
      <c r="HD642" s="374"/>
      <c r="HE642" s="375"/>
      <c r="HF642" s="375"/>
      <c r="HH642" s="373"/>
      <c r="HI642" s="374"/>
      <c r="HJ642" s="375"/>
      <c r="HK642" s="375"/>
      <c r="HM642" s="373"/>
      <c r="HN642" s="374"/>
      <c r="HO642" s="375"/>
      <c r="HP642" s="375"/>
      <c r="HR642" s="373"/>
      <c r="HS642" s="374"/>
      <c r="HT642" s="375"/>
      <c r="HU642" s="375"/>
      <c r="HW642" s="373"/>
      <c r="HX642" s="374"/>
      <c r="HY642" s="375"/>
      <c r="HZ642" s="375"/>
      <c r="IB642" s="373"/>
      <c r="IC642" s="374"/>
      <c r="ID642" s="375"/>
      <c r="IE642" s="375"/>
      <c r="IG642" s="373"/>
      <c r="IH642" s="374"/>
      <c r="II642" s="375"/>
      <c r="IJ642" s="375"/>
      <c r="IL642" s="373"/>
      <c r="IM642" s="374"/>
      <c r="IN642" s="375"/>
      <c r="IO642" s="375"/>
      <c r="IQ642" s="373"/>
      <c r="IR642" s="374"/>
      <c r="IS642" s="375"/>
      <c r="IT642" s="375"/>
      <c r="IV642" s="373"/>
    </row>
    <row r="643" spans="1:256" s="376" customFormat="1" x14ac:dyDescent="0.2">
      <c r="A643" s="373"/>
      <c r="B643" s="374"/>
      <c r="C643" s="375"/>
      <c r="D643" s="375"/>
      <c r="F643" s="373"/>
      <c r="G643" s="374"/>
      <c r="H643" s="375"/>
      <c r="I643" s="375"/>
      <c r="K643" s="373"/>
      <c r="L643" s="374"/>
      <c r="M643" s="375"/>
      <c r="N643" s="375"/>
      <c r="P643" s="373"/>
      <c r="Q643" s="374"/>
      <c r="R643" s="375"/>
      <c r="S643" s="375"/>
      <c r="U643" s="373"/>
      <c r="V643" s="374"/>
      <c r="W643" s="375"/>
      <c r="X643" s="375"/>
      <c r="Z643" s="373"/>
      <c r="AA643" s="374"/>
      <c r="AB643" s="375"/>
      <c r="AC643" s="375"/>
      <c r="AE643" s="373"/>
      <c r="AF643" s="374"/>
      <c r="AG643" s="375"/>
      <c r="AH643" s="375"/>
      <c r="AJ643" s="373"/>
      <c r="AK643" s="374"/>
      <c r="AL643" s="375"/>
      <c r="AM643" s="375"/>
      <c r="AO643" s="373"/>
      <c r="AP643" s="374"/>
      <c r="AQ643" s="375"/>
      <c r="AR643" s="375"/>
      <c r="AT643" s="373"/>
      <c r="AU643" s="374"/>
      <c r="AV643" s="375"/>
      <c r="AW643" s="375"/>
      <c r="AY643" s="373"/>
      <c r="AZ643" s="374"/>
      <c r="BA643" s="375"/>
      <c r="BB643" s="375"/>
      <c r="BD643" s="373"/>
      <c r="BE643" s="374"/>
      <c r="BF643" s="375"/>
      <c r="BG643" s="375"/>
      <c r="BI643" s="373"/>
      <c r="BJ643" s="374"/>
      <c r="BK643" s="375"/>
      <c r="BL643" s="375"/>
      <c r="BN643" s="373"/>
      <c r="BO643" s="374"/>
      <c r="BP643" s="375"/>
      <c r="BQ643" s="375"/>
      <c r="BS643" s="373"/>
      <c r="BT643" s="374"/>
      <c r="BU643" s="375"/>
      <c r="BV643" s="375"/>
      <c r="BX643" s="373"/>
      <c r="BY643" s="374"/>
      <c r="BZ643" s="375"/>
      <c r="CA643" s="375"/>
      <c r="CC643" s="373"/>
      <c r="CD643" s="374"/>
      <c r="CE643" s="375"/>
      <c r="CF643" s="375"/>
      <c r="CH643" s="373"/>
      <c r="CI643" s="374"/>
      <c r="CJ643" s="375"/>
      <c r="CK643" s="375"/>
      <c r="CM643" s="373"/>
      <c r="CN643" s="374"/>
      <c r="CO643" s="375"/>
      <c r="CP643" s="375"/>
      <c r="CR643" s="373"/>
      <c r="CS643" s="374"/>
      <c r="CT643" s="375"/>
      <c r="CU643" s="375"/>
      <c r="CW643" s="373"/>
      <c r="CX643" s="374"/>
      <c r="CY643" s="375"/>
      <c r="CZ643" s="375"/>
      <c r="DB643" s="373"/>
      <c r="DC643" s="374"/>
      <c r="DD643" s="375"/>
      <c r="DE643" s="375"/>
      <c r="DG643" s="373"/>
      <c r="DH643" s="374"/>
      <c r="DI643" s="375"/>
      <c r="DJ643" s="375"/>
      <c r="DL643" s="373"/>
      <c r="DM643" s="374"/>
      <c r="DN643" s="375"/>
      <c r="DO643" s="375"/>
      <c r="DQ643" s="373"/>
      <c r="DR643" s="374"/>
      <c r="DS643" s="375"/>
      <c r="DT643" s="375"/>
      <c r="DV643" s="373"/>
      <c r="DW643" s="374"/>
      <c r="DX643" s="375"/>
      <c r="DY643" s="375"/>
      <c r="EA643" s="373"/>
      <c r="EB643" s="374"/>
      <c r="EC643" s="375"/>
      <c r="ED643" s="375"/>
      <c r="EF643" s="373"/>
      <c r="EG643" s="374"/>
      <c r="EH643" s="375"/>
      <c r="EI643" s="375"/>
      <c r="EK643" s="373"/>
      <c r="EL643" s="374"/>
      <c r="EM643" s="375"/>
      <c r="EN643" s="375"/>
      <c r="EP643" s="373"/>
      <c r="EQ643" s="374"/>
      <c r="ER643" s="375"/>
      <c r="ES643" s="375"/>
      <c r="EU643" s="373"/>
      <c r="EV643" s="374"/>
      <c r="EW643" s="375"/>
      <c r="EX643" s="375"/>
      <c r="EZ643" s="373"/>
      <c r="FA643" s="374"/>
      <c r="FB643" s="375"/>
      <c r="FC643" s="375"/>
      <c r="FE643" s="373"/>
      <c r="FF643" s="374"/>
      <c r="FG643" s="375"/>
      <c r="FH643" s="375"/>
      <c r="FJ643" s="373"/>
      <c r="FK643" s="374"/>
      <c r="FL643" s="375"/>
      <c r="FM643" s="375"/>
      <c r="FO643" s="373"/>
      <c r="FP643" s="374"/>
      <c r="FQ643" s="375"/>
      <c r="FR643" s="375"/>
      <c r="FT643" s="373"/>
      <c r="FU643" s="374"/>
      <c r="FV643" s="375"/>
      <c r="FW643" s="375"/>
      <c r="FY643" s="373"/>
      <c r="FZ643" s="374"/>
      <c r="GA643" s="375"/>
      <c r="GB643" s="375"/>
      <c r="GD643" s="373"/>
      <c r="GE643" s="374"/>
      <c r="GF643" s="375"/>
      <c r="GG643" s="375"/>
      <c r="GI643" s="373"/>
      <c r="GJ643" s="374"/>
      <c r="GK643" s="375"/>
      <c r="GL643" s="375"/>
      <c r="GN643" s="373"/>
      <c r="GO643" s="374"/>
      <c r="GP643" s="375"/>
      <c r="GQ643" s="375"/>
      <c r="GS643" s="373"/>
      <c r="GT643" s="374"/>
      <c r="GU643" s="375"/>
      <c r="GV643" s="375"/>
      <c r="GX643" s="373"/>
      <c r="GY643" s="374"/>
      <c r="GZ643" s="375"/>
      <c r="HA643" s="375"/>
      <c r="HC643" s="373"/>
      <c r="HD643" s="374"/>
      <c r="HE643" s="375"/>
      <c r="HF643" s="375"/>
      <c r="HH643" s="373"/>
      <c r="HI643" s="374"/>
      <c r="HJ643" s="375"/>
      <c r="HK643" s="375"/>
      <c r="HM643" s="373"/>
      <c r="HN643" s="374"/>
      <c r="HO643" s="375"/>
      <c r="HP643" s="375"/>
      <c r="HR643" s="373"/>
      <c r="HS643" s="374"/>
      <c r="HT643" s="375"/>
      <c r="HU643" s="375"/>
      <c r="HW643" s="373"/>
      <c r="HX643" s="374"/>
      <c r="HY643" s="375"/>
      <c r="HZ643" s="375"/>
      <c r="IB643" s="373"/>
      <c r="IC643" s="374"/>
      <c r="ID643" s="375"/>
      <c r="IE643" s="375"/>
      <c r="IG643" s="373"/>
      <c r="IH643" s="374"/>
      <c r="II643" s="375"/>
      <c r="IJ643" s="375"/>
      <c r="IL643" s="373"/>
      <c r="IM643" s="374"/>
      <c r="IN643" s="375"/>
      <c r="IO643" s="375"/>
      <c r="IQ643" s="373"/>
      <c r="IR643" s="374"/>
      <c r="IS643" s="375"/>
      <c r="IT643" s="375"/>
      <c r="IV643" s="373"/>
    </row>
    <row r="644" spans="1:256" s="376" customFormat="1" x14ac:dyDescent="0.2">
      <c r="A644" s="373"/>
      <c r="B644" s="374"/>
      <c r="C644" s="375"/>
      <c r="D644" s="375"/>
      <c r="F644" s="373"/>
      <c r="G644" s="374"/>
      <c r="H644" s="375"/>
      <c r="I644" s="375"/>
      <c r="K644" s="373"/>
      <c r="L644" s="374"/>
      <c r="M644" s="375"/>
      <c r="N644" s="375"/>
      <c r="P644" s="373"/>
      <c r="Q644" s="374"/>
      <c r="R644" s="375"/>
      <c r="S644" s="375"/>
      <c r="U644" s="373"/>
      <c r="V644" s="374"/>
      <c r="W644" s="375"/>
      <c r="X644" s="375"/>
      <c r="Z644" s="373"/>
      <c r="AA644" s="374"/>
      <c r="AB644" s="375"/>
      <c r="AC644" s="375"/>
      <c r="AE644" s="373"/>
      <c r="AF644" s="374"/>
      <c r="AG644" s="375"/>
      <c r="AH644" s="375"/>
      <c r="AJ644" s="373"/>
      <c r="AK644" s="374"/>
      <c r="AL644" s="375"/>
      <c r="AM644" s="375"/>
      <c r="AO644" s="373"/>
      <c r="AP644" s="374"/>
      <c r="AQ644" s="375"/>
      <c r="AR644" s="375"/>
      <c r="AT644" s="373"/>
      <c r="AU644" s="374"/>
      <c r="AV644" s="375"/>
      <c r="AW644" s="375"/>
      <c r="AY644" s="373"/>
      <c r="AZ644" s="374"/>
      <c r="BA644" s="375"/>
      <c r="BB644" s="375"/>
      <c r="BD644" s="373"/>
      <c r="BE644" s="374"/>
      <c r="BF644" s="375"/>
      <c r="BG644" s="375"/>
      <c r="BI644" s="373"/>
      <c r="BJ644" s="374"/>
      <c r="BK644" s="375"/>
      <c r="BL644" s="375"/>
      <c r="BN644" s="373"/>
      <c r="BO644" s="374"/>
      <c r="BP644" s="375"/>
      <c r="BQ644" s="375"/>
      <c r="BS644" s="373"/>
      <c r="BT644" s="374"/>
      <c r="BU644" s="375"/>
      <c r="BV644" s="375"/>
      <c r="BX644" s="373"/>
      <c r="BY644" s="374"/>
      <c r="BZ644" s="375"/>
      <c r="CA644" s="375"/>
      <c r="CC644" s="373"/>
      <c r="CD644" s="374"/>
      <c r="CE644" s="375"/>
      <c r="CF644" s="375"/>
      <c r="CH644" s="373"/>
      <c r="CI644" s="374"/>
      <c r="CJ644" s="375"/>
      <c r="CK644" s="375"/>
      <c r="CM644" s="373"/>
      <c r="CN644" s="374"/>
      <c r="CO644" s="375"/>
      <c r="CP644" s="375"/>
      <c r="CR644" s="373"/>
      <c r="CS644" s="374"/>
      <c r="CT644" s="375"/>
      <c r="CU644" s="375"/>
      <c r="CW644" s="373"/>
      <c r="CX644" s="374"/>
      <c r="CY644" s="375"/>
      <c r="CZ644" s="375"/>
      <c r="DB644" s="373"/>
      <c r="DC644" s="374"/>
      <c r="DD644" s="375"/>
      <c r="DE644" s="375"/>
      <c r="DG644" s="373"/>
      <c r="DH644" s="374"/>
      <c r="DI644" s="375"/>
      <c r="DJ644" s="375"/>
      <c r="DL644" s="373"/>
      <c r="DM644" s="374"/>
      <c r="DN644" s="375"/>
      <c r="DO644" s="375"/>
      <c r="DQ644" s="373"/>
      <c r="DR644" s="374"/>
      <c r="DS644" s="375"/>
      <c r="DT644" s="375"/>
      <c r="DV644" s="373"/>
      <c r="DW644" s="374"/>
      <c r="DX644" s="375"/>
      <c r="DY644" s="375"/>
      <c r="EA644" s="373"/>
      <c r="EB644" s="374"/>
      <c r="EC644" s="375"/>
      <c r="ED644" s="375"/>
      <c r="EF644" s="373"/>
      <c r="EG644" s="374"/>
      <c r="EH644" s="375"/>
      <c r="EI644" s="375"/>
      <c r="EK644" s="373"/>
      <c r="EL644" s="374"/>
      <c r="EM644" s="375"/>
      <c r="EN644" s="375"/>
      <c r="EP644" s="373"/>
      <c r="EQ644" s="374"/>
      <c r="ER644" s="375"/>
      <c r="ES644" s="375"/>
      <c r="EU644" s="373"/>
      <c r="EV644" s="374"/>
      <c r="EW644" s="375"/>
      <c r="EX644" s="375"/>
      <c r="EZ644" s="373"/>
      <c r="FA644" s="374"/>
      <c r="FB644" s="375"/>
      <c r="FC644" s="375"/>
      <c r="FE644" s="373"/>
      <c r="FF644" s="374"/>
      <c r="FG644" s="375"/>
      <c r="FH644" s="375"/>
      <c r="FJ644" s="373"/>
      <c r="FK644" s="374"/>
      <c r="FL644" s="375"/>
      <c r="FM644" s="375"/>
      <c r="FO644" s="373"/>
      <c r="FP644" s="374"/>
      <c r="FQ644" s="375"/>
      <c r="FR644" s="375"/>
      <c r="FT644" s="373"/>
      <c r="FU644" s="374"/>
      <c r="FV644" s="375"/>
      <c r="FW644" s="375"/>
      <c r="FY644" s="373"/>
      <c r="FZ644" s="374"/>
      <c r="GA644" s="375"/>
      <c r="GB644" s="375"/>
      <c r="GD644" s="373"/>
      <c r="GE644" s="374"/>
      <c r="GF644" s="375"/>
      <c r="GG644" s="375"/>
      <c r="GI644" s="373"/>
      <c r="GJ644" s="374"/>
      <c r="GK644" s="375"/>
      <c r="GL644" s="375"/>
      <c r="GN644" s="373"/>
      <c r="GO644" s="374"/>
      <c r="GP644" s="375"/>
      <c r="GQ644" s="375"/>
      <c r="GS644" s="373"/>
      <c r="GT644" s="374"/>
      <c r="GU644" s="375"/>
      <c r="GV644" s="375"/>
      <c r="GX644" s="373"/>
      <c r="GY644" s="374"/>
      <c r="GZ644" s="375"/>
      <c r="HA644" s="375"/>
      <c r="HC644" s="373"/>
      <c r="HD644" s="374"/>
      <c r="HE644" s="375"/>
      <c r="HF644" s="375"/>
      <c r="HH644" s="373"/>
      <c r="HI644" s="374"/>
      <c r="HJ644" s="375"/>
      <c r="HK644" s="375"/>
      <c r="HM644" s="373"/>
      <c r="HN644" s="374"/>
      <c r="HO644" s="375"/>
      <c r="HP644" s="375"/>
      <c r="HR644" s="373"/>
      <c r="HS644" s="374"/>
      <c r="HT644" s="375"/>
      <c r="HU644" s="375"/>
      <c r="HW644" s="373"/>
      <c r="HX644" s="374"/>
      <c r="HY644" s="375"/>
      <c r="HZ644" s="375"/>
      <c r="IB644" s="373"/>
      <c r="IC644" s="374"/>
      <c r="ID644" s="375"/>
      <c r="IE644" s="375"/>
      <c r="IG644" s="373"/>
      <c r="IH644" s="374"/>
      <c r="II644" s="375"/>
      <c r="IJ644" s="375"/>
      <c r="IL644" s="373"/>
      <c r="IM644" s="374"/>
      <c r="IN644" s="375"/>
      <c r="IO644" s="375"/>
      <c r="IQ644" s="373"/>
      <c r="IR644" s="374"/>
      <c r="IS644" s="375"/>
      <c r="IT644" s="375"/>
      <c r="IV644" s="373"/>
    </row>
    <row r="645" spans="1:256" s="376" customFormat="1" x14ac:dyDescent="0.2">
      <c r="A645" s="373"/>
      <c r="B645" s="374"/>
      <c r="C645" s="375"/>
      <c r="D645" s="375"/>
      <c r="F645" s="373"/>
      <c r="G645" s="374"/>
      <c r="H645" s="375"/>
      <c r="I645" s="375"/>
      <c r="K645" s="373"/>
      <c r="L645" s="374"/>
      <c r="M645" s="375"/>
      <c r="N645" s="375"/>
      <c r="P645" s="373"/>
      <c r="Q645" s="374"/>
      <c r="R645" s="375"/>
      <c r="S645" s="375"/>
      <c r="U645" s="373"/>
      <c r="V645" s="374"/>
      <c r="W645" s="375"/>
      <c r="X645" s="375"/>
      <c r="Z645" s="373"/>
      <c r="AA645" s="374"/>
      <c r="AB645" s="375"/>
      <c r="AC645" s="375"/>
      <c r="AE645" s="373"/>
      <c r="AF645" s="374"/>
      <c r="AG645" s="375"/>
      <c r="AH645" s="375"/>
      <c r="AJ645" s="373"/>
      <c r="AK645" s="374"/>
      <c r="AL645" s="375"/>
      <c r="AM645" s="375"/>
      <c r="AO645" s="373"/>
      <c r="AP645" s="374"/>
      <c r="AQ645" s="375"/>
      <c r="AR645" s="375"/>
      <c r="AT645" s="373"/>
      <c r="AU645" s="374"/>
      <c r="AV645" s="375"/>
      <c r="AW645" s="375"/>
      <c r="AY645" s="373"/>
      <c r="AZ645" s="374"/>
      <c r="BA645" s="375"/>
      <c r="BB645" s="375"/>
      <c r="BD645" s="373"/>
      <c r="BE645" s="374"/>
      <c r="BF645" s="375"/>
      <c r="BG645" s="375"/>
      <c r="BI645" s="373"/>
      <c r="BJ645" s="374"/>
      <c r="BK645" s="375"/>
      <c r="BL645" s="375"/>
      <c r="BN645" s="373"/>
      <c r="BO645" s="374"/>
      <c r="BP645" s="375"/>
      <c r="BQ645" s="375"/>
      <c r="BS645" s="373"/>
      <c r="BT645" s="374"/>
      <c r="BU645" s="375"/>
      <c r="BV645" s="375"/>
      <c r="BX645" s="373"/>
      <c r="BY645" s="374"/>
      <c r="BZ645" s="375"/>
      <c r="CA645" s="375"/>
      <c r="CC645" s="373"/>
      <c r="CD645" s="374"/>
      <c r="CE645" s="375"/>
      <c r="CF645" s="375"/>
      <c r="CH645" s="373"/>
      <c r="CI645" s="374"/>
      <c r="CJ645" s="375"/>
      <c r="CK645" s="375"/>
      <c r="CM645" s="373"/>
      <c r="CN645" s="374"/>
      <c r="CO645" s="375"/>
      <c r="CP645" s="375"/>
      <c r="CR645" s="373"/>
      <c r="CS645" s="374"/>
      <c r="CT645" s="375"/>
      <c r="CU645" s="375"/>
      <c r="CW645" s="373"/>
      <c r="CX645" s="374"/>
      <c r="CY645" s="375"/>
      <c r="CZ645" s="375"/>
      <c r="DB645" s="373"/>
      <c r="DC645" s="374"/>
      <c r="DD645" s="375"/>
      <c r="DE645" s="375"/>
      <c r="DG645" s="373"/>
      <c r="DH645" s="374"/>
      <c r="DI645" s="375"/>
      <c r="DJ645" s="375"/>
      <c r="DL645" s="373"/>
      <c r="DM645" s="374"/>
      <c r="DN645" s="375"/>
      <c r="DO645" s="375"/>
      <c r="DQ645" s="373"/>
      <c r="DR645" s="374"/>
      <c r="DS645" s="375"/>
      <c r="DT645" s="375"/>
      <c r="DV645" s="373"/>
      <c r="DW645" s="374"/>
      <c r="DX645" s="375"/>
      <c r="DY645" s="375"/>
      <c r="EA645" s="373"/>
      <c r="EB645" s="374"/>
      <c r="EC645" s="375"/>
      <c r="ED645" s="375"/>
      <c r="EF645" s="373"/>
      <c r="EG645" s="374"/>
      <c r="EH645" s="375"/>
      <c r="EI645" s="375"/>
      <c r="EK645" s="373"/>
      <c r="EL645" s="374"/>
      <c r="EM645" s="375"/>
      <c r="EN645" s="375"/>
      <c r="EP645" s="373"/>
      <c r="EQ645" s="374"/>
      <c r="ER645" s="375"/>
      <c r="ES645" s="375"/>
      <c r="EU645" s="373"/>
      <c r="EV645" s="374"/>
      <c r="EW645" s="375"/>
      <c r="EX645" s="375"/>
      <c r="EZ645" s="373"/>
      <c r="FA645" s="374"/>
      <c r="FB645" s="375"/>
      <c r="FC645" s="375"/>
      <c r="FE645" s="373"/>
      <c r="FF645" s="374"/>
      <c r="FG645" s="375"/>
      <c r="FH645" s="375"/>
      <c r="FJ645" s="373"/>
      <c r="FK645" s="374"/>
      <c r="FL645" s="375"/>
      <c r="FM645" s="375"/>
      <c r="FO645" s="373"/>
      <c r="FP645" s="374"/>
      <c r="FQ645" s="375"/>
      <c r="FR645" s="375"/>
      <c r="FT645" s="373"/>
      <c r="FU645" s="374"/>
      <c r="FV645" s="375"/>
      <c r="FW645" s="375"/>
      <c r="FY645" s="373"/>
      <c r="FZ645" s="374"/>
      <c r="GA645" s="375"/>
      <c r="GB645" s="375"/>
      <c r="GD645" s="373"/>
      <c r="GE645" s="374"/>
      <c r="GF645" s="375"/>
      <c r="GG645" s="375"/>
      <c r="GI645" s="373"/>
      <c r="GJ645" s="374"/>
      <c r="GK645" s="375"/>
      <c r="GL645" s="375"/>
      <c r="GN645" s="373"/>
      <c r="GO645" s="374"/>
      <c r="GP645" s="375"/>
      <c r="GQ645" s="375"/>
      <c r="GS645" s="373"/>
      <c r="GT645" s="374"/>
      <c r="GU645" s="375"/>
      <c r="GV645" s="375"/>
      <c r="GX645" s="373"/>
      <c r="GY645" s="374"/>
      <c r="GZ645" s="375"/>
      <c r="HA645" s="375"/>
      <c r="HC645" s="373"/>
      <c r="HD645" s="374"/>
      <c r="HE645" s="375"/>
      <c r="HF645" s="375"/>
      <c r="HH645" s="373"/>
      <c r="HI645" s="374"/>
      <c r="HJ645" s="375"/>
      <c r="HK645" s="375"/>
      <c r="HM645" s="373"/>
      <c r="HN645" s="374"/>
      <c r="HO645" s="375"/>
      <c r="HP645" s="375"/>
      <c r="HR645" s="373"/>
      <c r="HS645" s="374"/>
      <c r="HT645" s="375"/>
      <c r="HU645" s="375"/>
      <c r="HW645" s="373"/>
      <c r="HX645" s="374"/>
      <c r="HY645" s="375"/>
      <c r="HZ645" s="375"/>
      <c r="IB645" s="373"/>
      <c r="IC645" s="374"/>
      <c r="ID645" s="375"/>
      <c r="IE645" s="375"/>
      <c r="IG645" s="373"/>
      <c r="IH645" s="374"/>
      <c r="II645" s="375"/>
      <c r="IJ645" s="375"/>
      <c r="IL645" s="373"/>
      <c r="IM645" s="374"/>
      <c r="IN645" s="375"/>
      <c r="IO645" s="375"/>
      <c r="IQ645" s="373"/>
      <c r="IR645" s="374"/>
      <c r="IS645" s="375"/>
      <c r="IT645" s="375"/>
      <c r="IV645" s="373"/>
    </row>
    <row r="646" spans="1:256" s="376" customFormat="1" x14ac:dyDescent="0.2">
      <c r="A646" s="373"/>
      <c r="B646" s="374"/>
      <c r="C646" s="375"/>
      <c r="D646" s="375"/>
      <c r="F646" s="373"/>
      <c r="G646" s="374"/>
      <c r="H646" s="375"/>
      <c r="I646" s="375"/>
      <c r="K646" s="373"/>
      <c r="L646" s="374"/>
      <c r="M646" s="375"/>
      <c r="N646" s="375"/>
      <c r="P646" s="373"/>
      <c r="Q646" s="374"/>
      <c r="R646" s="375"/>
      <c r="S646" s="375"/>
      <c r="U646" s="373"/>
      <c r="V646" s="374"/>
      <c r="W646" s="375"/>
      <c r="X646" s="375"/>
      <c r="Z646" s="373"/>
      <c r="AA646" s="374"/>
      <c r="AB646" s="375"/>
      <c r="AC646" s="375"/>
      <c r="AE646" s="373"/>
      <c r="AF646" s="374"/>
      <c r="AG646" s="375"/>
      <c r="AH646" s="375"/>
      <c r="AJ646" s="373"/>
      <c r="AK646" s="374"/>
      <c r="AL646" s="375"/>
      <c r="AM646" s="375"/>
      <c r="AO646" s="373"/>
      <c r="AP646" s="374"/>
      <c r="AQ646" s="375"/>
      <c r="AR646" s="375"/>
      <c r="AT646" s="373"/>
      <c r="AU646" s="374"/>
      <c r="AV646" s="375"/>
      <c r="AW646" s="375"/>
      <c r="AY646" s="373"/>
      <c r="AZ646" s="374"/>
      <c r="BA646" s="375"/>
      <c r="BB646" s="375"/>
      <c r="BD646" s="373"/>
      <c r="BE646" s="374"/>
      <c r="BF646" s="375"/>
      <c r="BG646" s="375"/>
      <c r="BI646" s="373"/>
      <c r="BJ646" s="374"/>
      <c r="BK646" s="375"/>
      <c r="BL646" s="375"/>
      <c r="BN646" s="373"/>
      <c r="BO646" s="374"/>
      <c r="BP646" s="375"/>
      <c r="BQ646" s="375"/>
      <c r="BS646" s="373"/>
      <c r="BT646" s="374"/>
      <c r="BU646" s="375"/>
      <c r="BV646" s="375"/>
      <c r="BX646" s="373"/>
      <c r="BY646" s="374"/>
      <c r="BZ646" s="375"/>
      <c r="CA646" s="375"/>
      <c r="CC646" s="373"/>
      <c r="CD646" s="374"/>
      <c r="CE646" s="375"/>
      <c r="CF646" s="375"/>
      <c r="CH646" s="373"/>
      <c r="CI646" s="374"/>
      <c r="CJ646" s="375"/>
      <c r="CK646" s="375"/>
      <c r="CM646" s="373"/>
      <c r="CN646" s="374"/>
      <c r="CO646" s="375"/>
      <c r="CP646" s="375"/>
      <c r="CR646" s="373"/>
      <c r="CS646" s="374"/>
      <c r="CT646" s="375"/>
      <c r="CU646" s="375"/>
      <c r="CW646" s="373"/>
      <c r="CX646" s="374"/>
      <c r="CY646" s="375"/>
      <c r="CZ646" s="375"/>
      <c r="DB646" s="373"/>
      <c r="DC646" s="374"/>
      <c r="DD646" s="375"/>
      <c r="DE646" s="375"/>
      <c r="DG646" s="373"/>
      <c r="DH646" s="374"/>
      <c r="DI646" s="375"/>
      <c r="DJ646" s="375"/>
      <c r="DL646" s="373"/>
      <c r="DM646" s="374"/>
      <c r="DN646" s="375"/>
      <c r="DO646" s="375"/>
      <c r="DQ646" s="373"/>
      <c r="DR646" s="374"/>
      <c r="DS646" s="375"/>
      <c r="DT646" s="375"/>
      <c r="DV646" s="373"/>
      <c r="DW646" s="374"/>
      <c r="DX646" s="375"/>
      <c r="DY646" s="375"/>
      <c r="EA646" s="373"/>
      <c r="EB646" s="374"/>
      <c r="EC646" s="375"/>
      <c r="ED646" s="375"/>
      <c r="EF646" s="373"/>
      <c r="EG646" s="374"/>
      <c r="EH646" s="375"/>
      <c r="EI646" s="375"/>
      <c r="EK646" s="373"/>
      <c r="EL646" s="374"/>
      <c r="EM646" s="375"/>
      <c r="EN646" s="375"/>
      <c r="EP646" s="373"/>
      <c r="EQ646" s="374"/>
      <c r="ER646" s="375"/>
      <c r="ES646" s="375"/>
      <c r="EU646" s="373"/>
      <c r="EV646" s="374"/>
      <c r="EW646" s="375"/>
      <c r="EX646" s="375"/>
      <c r="EZ646" s="373"/>
      <c r="FA646" s="374"/>
      <c r="FB646" s="375"/>
      <c r="FC646" s="375"/>
      <c r="FE646" s="373"/>
      <c r="FF646" s="374"/>
      <c r="FG646" s="375"/>
      <c r="FH646" s="375"/>
      <c r="FJ646" s="373"/>
      <c r="FK646" s="374"/>
      <c r="FL646" s="375"/>
      <c r="FM646" s="375"/>
      <c r="FO646" s="373"/>
      <c r="FP646" s="374"/>
      <c r="FQ646" s="375"/>
      <c r="FR646" s="375"/>
      <c r="FT646" s="373"/>
      <c r="FU646" s="374"/>
      <c r="FV646" s="375"/>
      <c r="FW646" s="375"/>
      <c r="FY646" s="373"/>
      <c r="FZ646" s="374"/>
      <c r="GA646" s="375"/>
      <c r="GB646" s="375"/>
      <c r="GD646" s="373"/>
      <c r="GE646" s="374"/>
      <c r="GF646" s="375"/>
      <c r="GG646" s="375"/>
      <c r="GI646" s="373"/>
      <c r="GJ646" s="374"/>
      <c r="GK646" s="375"/>
      <c r="GL646" s="375"/>
      <c r="GN646" s="373"/>
      <c r="GO646" s="374"/>
      <c r="GP646" s="375"/>
      <c r="GQ646" s="375"/>
      <c r="GS646" s="373"/>
      <c r="GT646" s="374"/>
      <c r="GU646" s="375"/>
      <c r="GV646" s="375"/>
      <c r="GX646" s="373"/>
      <c r="GY646" s="374"/>
      <c r="GZ646" s="375"/>
      <c r="HA646" s="375"/>
      <c r="HC646" s="373"/>
      <c r="HD646" s="374"/>
      <c r="HE646" s="375"/>
      <c r="HF646" s="375"/>
      <c r="HH646" s="373"/>
      <c r="HI646" s="374"/>
      <c r="HJ646" s="375"/>
      <c r="HK646" s="375"/>
      <c r="HM646" s="373"/>
      <c r="HN646" s="374"/>
      <c r="HO646" s="375"/>
      <c r="HP646" s="375"/>
      <c r="HR646" s="373"/>
      <c r="HS646" s="374"/>
      <c r="HT646" s="375"/>
      <c r="HU646" s="375"/>
      <c r="HW646" s="373"/>
      <c r="HX646" s="374"/>
      <c r="HY646" s="375"/>
      <c r="HZ646" s="375"/>
      <c r="IB646" s="373"/>
      <c r="IC646" s="374"/>
      <c r="ID646" s="375"/>
      <c r="IE646" s="375"/>
      <c r="IG646" s="373"/>
      <c r="IH646" s="374"/>
      <c r="II646" s="375"/>
      <c r="IJ646" s="375"/>
      <c r="IL646" s="373"/>
      <c r="IM646" s="374"/>
      <c r="IN646" s="375"/>
      <c r="IO646" s="375"/>
      <c r="IQ646" s="373"/>
      <c r="IR646" s="374"/>
      <c r="IS646" s="375"/>
      <c r="IT646" s="375"/>
      <c r="IV646" s="373"/>
    </row>
    <row r="647" spans="1:256" s="376" customFormat="1" x14ac:dyDescent="0.2">
      <c r="A647" s="373"/>
      <c r="B647" s="374"/>
      <c r="C647" s="375"/>
      <c r="D647" s="375"/>
      <c r="F647" s="373"/>
      <c r="G647" s="374"/>
      <c r="H647" s="375"/>
      <c r="I647" s="375"/>
      <c r="K647" s="373"/>
      <c r="L647" s="374"/>
      <c r="M647" s="375"/>
      <c r="N647" s="375"/>
      <c r="P647" s="373"/>
      <c r="Q647" s="374"/>
      <c r="R647" s="375"/>
      <c r="S647" s="375"/>
      <c r="U647" s="373"/>
      <c r="V647" s="374"/>
      <c r="W647" s="375"/>
      <c r="X647" s="375"/>
      <c r="Z647" s="373"/>
      <c r="AA647" s="374"/>
      <c r="AB647" s="375"/>
      <c r="AC647" s="375"/>
      <c r="AE647" s="373"/>
      <c r="AF647" s="374"/>
      <c r="AG647" s="375"/>
      <c r="AH647" s="375"/>
      <c r="AJ647" s="373"/>
      <c r="AK647" s="374"/>
      <c r="AL647" s="375"/>
      <c r="AM647" s="375"/>
      <c r="AO647" s="373"/>
      <c r="AP647" s="374"/>
      <c r="AQ647" s="375"/>
      <c r="AR647" s="375"/>
      <c r="AT647" s="373"/>
      <c r="AU647" s="374"/>
      <c r="AV647" s="375"/>
      <c r="AW647" s="375"/>
      <c r="AY647" s="373"/>
      <c r="AZ647" s="374"/>
      <c r="BA647" s="375"/>
      <c r="BB647" s="375"/>
      <c r="BD647" s="373"/>
      <c r="BE647" s="374"/>
      <c r="BF647" s="375"/>
      <c r="BG647" s="375"/>
      <c r="BI647" s="373"/>
      <c r="BJ647" s="374"/>
      <c r="BK647" s="375"/>
      <c r="BL647" s="375"/>
      <c r="BN647" s="373"/>
      <c r="BO647" s="374"/>
      <c r="BP647" s="375"/>
      <c r="BQ647" s="375"/>
      <c r="BS647" s="373"/>
      <c r="BT647" s="374"/>
      <c r="BU647" s="375"/>
      <c r="BV647" s="375"/>
      <c r="BX647" s="373"/>
      <c r="BY647" s="374"/>
      <c r="BZ647" s="375"/>
      <c r="CA647" s="375"/>
      <c r="CC647" s="373"/>
      <c r="CD647" s="374"/>
      <c r="CE647" s="375"/>
      <c r="CF647" s="375"/>
      <c r="CH647" s="373"/>
      <c r="CI647" s="374"/>
      <c r="CJ647" s="375"/>
      <c r="CK647" s="375"/>
      <c r="CM647" s="373"/>
      <c r="CN647" s="374"/>
      <c r="CO647" s="375"/>
      <c r="CP647" s="375"/>
      <c r="CR647" s="373"/>
      <c r="CS647" s="374"/>
      <c r="CT647" s="375"/>
      <c r="CU647" s="375"/>
      <c r="CW647" s="373"/>
      <c r="CX647" s="374"/>
      <c r="CY647" s="375"/>
      <c r="CZ647" s="375"/>
      <c r="DB647" s="373"/>
      <c r="DC647" s="374"/>
      <c r="DD647" s="375"/>
      <c r="DE647" s="375"/>
      <c r="DG647" s="373"/>
      <c r="DH647" s="374"/>
      <c r="DI647" s="375"/>
      <c r="DJ647" s="375"/>
      <c r="DL647" s="373"/>
      <c r="DM647" s="374"/>
      <c r="DN647" s="375"/>
      <c r="DO647" s="375"/>
      <c r="DQ647" s="373"/>
      <c r="DR647" s="374"/>
      <c r="DS647" s="375"/>
      <c r="DT647" s="375"/>
      <c r="DV647" s="373"/>
      <c r="DW647" s="374"/>
      <c r="DX647" s="375"/>
      <c r="DY647" s="375"/>
      <c r="EA647" s="373"/>
      <c r="EB647" s="374"/>
      <c r="EC647" s="375"/>
      <c r="ED647" s="375"/>
      <c r="EF647" s="373"/>
      <c r="EG647" s="374"/>
      <c r="EH647" s="375"/>
      <c r="EI647" s="375"/>
      <c r="EK647" s="373"/>
      <c r="EL647" s="374"/>
      <c r="EM647" s="375"/>
      <c r="EN647" s="375"/>
      <c r="EP647" s="373"/>
      <c r="EQ647" s="374"/>
      <c r="ER647" s="375"/>
      <c r="ES647" s="375"/>
      <c r="EU647" s="373"/>
      <c r="EV647" s="374"/>
      <c r="EW647" s="375"/>
      <c r="EX647" s="375"/>
      <c r="EZ647" s="373"/>
      <c r="FA647" s="374"/>
      <c r="FB647" s="375"/>
      <c r="FC647" s="375"/>
      <c r="FE647" s="373"/>
      <c r="FF647" s="374"/>
      <c r="FG647" s="375"/>
      <c r="FH647" s="375"/>
      <c r="FJ647" s="373"/>
      <c r="FK647" s="374"/>
      <c r="FL647" s="375"/>
      <c r="FM647" s="375"/>
      <c r="FO647" s="373"/>
      <c r="FP647" s="374"/>
      <c r="FQ647" s="375"/>
      <c r="FR647" s="375"/>
      <c r="FT647" s="373"/>
      <c r="FU647" s="374"/>
      <c r="FV647" s="375"/>
      <c r="FW647" s="375"/>
      <c r="FY647" s="373"/>
      <c r="FZ647" s="374"/>
      <c r="GA647" s="375"/>
      <c r="GB647" s="375"/>
      <c r="GD647" s="373"/>
      <c r="GE647" s="374"/>
      <c r="GF647" s="375"/>
      <c r="GG647" s="375"/>
      <c r="GI647" s="373"/>
      <c r="GJ647" s="374"/>
      <c r="GK647" s="375"/>
      <c r="GL647" s="375"/>
      <c r="GN647" s="373"/>
      <c r="GO647" s="374"/>
      <c r="GP647" s="375"/>
      <c r="GQ647" s="375"/>
      <c r="GS647" s="373"/>
      <c r="GT647" s="374"/>
      <c r="GU647" s="375"/>
      <c r="GV647" s="375"/>
      <c r="GX647" s="373"/>
      <c r="GY647" s="374"/>
      <c r="GZ647" s="375"/>
      <c r="HA647" s="375"/>
      <c r="HC647" s="373"/>
      <c r="HD647" s="374"/>
      <c r="HE647" s="375"/>
      <c r="HF647" s="375"/>
      <c r="HH647" s="373"/>
      <c r="HI647" s="374"/>
      <c r="HJ647" s="375"/>
      <c r="HK647" s="375"/>
      <c r="HM647" s="373"/>
      <c r="HN647" s="374"/>
      <c r="HO647" s="375"/>
      <c r="HP647" s="375"/>
      <c r="HR647" s="373"/>
      <c r="HS647" s="374"/>
      <c r="HT647" s="375"/>
      <c r="HU647" s="375"/>
      <c r="HW647" s="373"/>
      <c r="HX647" s="374"/>
      <c r="HY647" s="375"/>
      <c r="HZ647" s="375"/>
      <c r="IB647" s="373"/>
      <c r="IC647" s="374"/>
      <c r="ID647" s="375"/>
      <c r="IE647" s="375"/>
      <c r="IG647" s="373"/>
      <c r="IH647" s="374"/>
      <c r="II647" s="375"/>
      <c r="IJ647" s="375"/>
      <c r="IL647" s="373"/>
      <c r="IM647" s="374"/>
      <c r="IN647" s="375"/>
      <c r="IO647" s="375"/>
      <c r="IQ647" s="373"/>
      <c r="IR647" s="374"/>
      <c r="IS647" s="375"/>
      <c r="IT647" s="375"/>
      <c r="IV647" s="373"/>
    </row>
    <row r="648" spans="1:256" s="376" customFormat="1" x14ac:dyDescent="0.2">
      <c r="A648" s="373"/>
      <c r="B648" s="374"/>
      <c r="C648" s="375"/>
      <c r="D648" s="375"/>
      <c r="F648" s="373"/>
      <c r="G648" s="374"/>
      <c r="H648" s="375"/>
      <c r="I648" s="375"/>
      <c r="K648" s="373"/>
      <c r="L648" s="374"/>
      <c r="M648" s="375"/>
      <c r="N648" s="375"/>
      <c r="P648" s="373"/>
      <c r="Q648" s="374"/>
      <c r="R648" s="375"/>
      <c r="S648" s="375"/>
      <c r="U648" s="373"/>
      <c r="V648" s="374"/>
      <c r="W648" s="375"/>
      <c r="X648" s="375"/>
      <c r="Z648" s="373"/>
      <c r="AA648" s="374"/>
      <c r="AB648" s="375"/>
      <c r="AC648" s="375"/>
      <c r="AE648" s="373"/>
      <c r="AF648" s="374"/>
      <c r="AG648" s="375"/>
      <c r="AH648" s="375"/>
      <c r="AJ648" s="373"/>
      <c r="AK648" s="374"/>
      <c r="AL648" s="375"/>
      <c r="AM648" s="375"/>
      <c r="AO648" s="373"/>
      <c r="AP648" s="374"/>
      <c r="AQ648" s="375"/>
      <c r="AR648" s="375"/>
      <c r="AT648" s="373"/>
      <c r="AU648" s="374"/>
      <c r="AV648" s="375"/>
      <c r="AW648" s="375"/>
      <c r="AY648" s="373"/>
      <c r="AZ648" s="374"/>
      <c r="BA648" s="375"/>
      <c r="BB648" s="375"/>
      <c r="BD648" s="373"/>
      <c r="BE648" s="374"/>
      <c r="BF648" s="375"/>
      <c r="BG648" s="375"/>
      <c r="BI648" s="373"/>
      <c r="BJ648" s="374"/>
      <c r="BK648" s="375"/>
      <c r="BL648" s="375"/>
      <c r="BN648" s="373"/>
      <c r="BO648" s="374"/>
      <c r="BP648" s="375"/>
      <c r="BQ648" s="375"/>
      <c r="BS648" s="373"/>
      <c r="BT648" s="374"/>
      <c r="BU648" s="375"/>
      <c r="BV648" s="375"/>
      <c r="BX648" s="373"/>
      <c r="BY648" s="374"/>
      <c r="BZ648" s="375"/>
      <c r="CA648" s="375"/>
      <c r="CC648" s="373"/>
      <c r="CD648" s="374"/>
      <c r="CE648" s="375"/>
      <c r="CF648" s="375"/>
      <c r="CH648" s="373"/>
      <c r="CI648" s="374"/>
      <c r="CJ648" s="375"/>
      <c r="CK648" s="375"/>
      <c r="CM648" s="373"/>
      <c r="CN648" s="374"/>
      <c r="CO648" s="375"/>
      <c r="CP648" s="375"/>
      <c r="CR648" s="373"/>
      <c r="CS648" s="374"/>
      <c r="CT648" s="375"/>
      <c r="CU648" s="375"/>
      <c r="CW648" s="373"/>
      <c r="CX648" s="374"/>
      <c r="CY648" s="375"/>
      <c r="CZ648" s="375"/>
      <c r="DB648" s="373"/>
      <c r="DC648" s="374"/>
      <c r="DD648" s="375"/>
      <c r="DE648" s="375"/>
      <c r="DG648" s="373"/>
      <c r="DH648" s="374"/>
      <c r="DI648" s="375"/>
      <c r="DJ648" s="375"/>
      <c r="DL648" s="373"/>
      <c r="DM648" s="374"/>
      <c r="DN648" s="375"/>
      <c r="DO648" s="375"/>
      <c r="DQ648" s="373"/>
      <c r="DR648" s="374"/>
      <c r="DS648" s="375"/>
      <c r="DT648" s="375"/>
      <c r="DV648" s="373"/>
      <c r="DW648" s="374"/>
      <c r="DX648" s="375"/>
      <c r="DY648" s="375"/>
      <c r="EA648" s="373"/>
      <c r="EB648" s="374"/>
      <c r="EC648" s="375"/>
      <c r="ED648" s="375"/>
      <c r="EF648" s="373"/>
      <c r="EG648" s="374"/>
      <c r="EH648" s="375"/>
      <c r="EI648" s="375"/>
      <c r="EK648" s="373"/>
      <c r="EL648" s="374"/>
      <c r="EM648" s="375"/>
      <c r="EN648" s="375"/>
      <c r="EP648" s="373"/>
      <c r="EQ648" s="374"/>
      <c r="ER648" s="375"/>
      <c r="ES648" s="375"/>
      <c r="EU648" s="373"/>
      <c r="EV648" s="374"/>
      <c r="EW648" s="375"/>
      <c r="EX648" s="375"/>
      <c r="EZ648" s="373"/>
      <c r="FA648" s="374"/>
      <c r="FB648" s="375"/>
      <c r="FC648" s="375"/>
      <c r="FE648" s="373"/>
      <c r="FF648" s="374"/>
      <c r="FG648" s="375"/>
      <c r="FH648" s="375"/>
      <c r="FJ648" s="373"/>
      <c r="FK648" s="374"/>
      <c r="FL648" s="375"/>
      <c r="FM648" s="375"/>
      <c r="FO648" s="373"/>
      <c r="FP648" s="374"/>
      <c r="FQ648" s="375"/>
      <c r="FR648" s="375"/>
      <c r="FT648" s="373"/>
      <c r="FU648" s="374"/>
      <c r="FV648" s="375"/>
      <c r="FW648" s="375"/>
      <c r="FY648" s="373"/>
      <c r="FZ648" s="374"/>
      <c r="GA648" s="375"/>
      <c r="GB648" s="375"/>
      <c r="GD648" s="373"/>
      <c r="GE648" s="374"/>
      <c r="GF648" s="375"/>
      <c r="GG648" s="375"/>
      <c r="GI648" s="373"/>
      <c r="GJ648" s="374"/>
      <c r="GK648" s="375"/>
      <c r="GL648" s="375"/>
      <c r="GN648" s="373"/>
      <c r="GO648" s="374"/>
      <c r="GP648" s="375"/>
      <c r="GQ648" s="375"/>
      <c r="GS648" s="373"/>
      <c r="GT648" s="374"/>
      <c r="GU648" s="375"/>
      <c r="GV648" s="375"/>
      <c r="GX648" s="373"/>
      <c r="GY648" s="374"/>
      <c r="GZ648" s="375"/>
      <c r="HA648" s="375"/>
      <c r="HC648" s="373"/>
      <c r="HD648" s="374"/>
      <c r="HE648" s="375"/>
      <c r="HF648" s="375"/>
      <c r="HH648" s="373"/>
      <c r="HI648" s="374"/>
      <c r="HJ648" s="375"/>
      <c r="HK648" s="375"/>
      <c r="HM648" s="373"/>
      <c r="HN648" s="374"/>
      <c r="HO648" s="375"/>
      <c r="HP648" s="375"/>
      <c r="HR648" s="373"/>
      <c r="HS648" s="374"/>
      <c r="HT648" s="375"/>
      <c r="HU648" s="375"/>
      <c r="HW648" s="373"/>
      <c r="HX648" s="374"/>
      <c r="HY648" s="375"/>
      <c r="HZ648" s="375"/>
      <c r="IB648" s="373"/>
      <c r="IC648" s="374"/>
      <c r="ID648" s="375"/>
      <c r="IE648" s="375"/>
      <c r="IG648" s="373"/>
      <c r="IH648" s="374"/>
      <c r="II648" s="375"/>
      <c r="IJ648" s="375"/>
      <c r="IL648" s="373"/>
      <c r="IM648" s="374"/>
      <c r="IN648" s="375"/>
      <c r="IO648" s="375"/>
      <c r="IQ648" s="373"/>
      <c r="IR648" s="374"/>
      <c r="IS648" s="375"/>
      <c r="IT648" s="375"/>
      <c r="IV648" s="373"/>
    </row>
    <row r="649" spans="1:256" s="376" customFormat="1" x14ac:dyDescent="0.2">
      <c r="A649" s="373"/>
      <c r="B649" s="374"/>
      <c r="C649" s="375"/>
      <c r="D649" s="375"/>
      <c r="F649" s="373"/>
      <c r="G649" s="374"/>
      <c r="H649" s="375"/>
      <c r="I649" s="375"/>
      <c r="K649" s="373"/>
      <c r="L649" s="374"/>
      <c r="M649" s="375"/>
      <c r="N649" s="375"/>
      <c r="P649" s="373"/>
      <c r="Q649" s="374"/>
      <c r="R649" s="375"/>
      <c r="S649" s="375"/>
      <c r="U649" s="373"/>
      <c r="V649" s="374"/>
      <c r="W649" s="375"/>
      <c r="X649" s="375"/>
      <c r="Z649" s="373"/>
      <c r="AA649" s="374"/>
      <c r="AB649" s="375"/>
      <c r="AC649" s="375"/>
      <c r="AE649" s="373"/>
      <c r="AF649" s="374"/>
      <c r="AG649" s="375"/>
      <c r="AH649" s="375"/>
      <c r="AJ649" s="373"/>
      <c r="AK649" s="374"/>
      <c r="AL649" s="375"/>
      <c r="AM649" s="375"/>
      <c r="AO649" s="373"/>
      <c r="AP649" s="374"/>
      <c r="AQ649" s="375"/>
      <c r="AR649" s="375"/>
      <c r="AT649" s="373"/>
      <c r="AU649" s="374"/>
      <c r="AV649" s="375"/>
      <c r="AW649" s="375"/>
      <c r="AY649" s="373"/>
      <c r="AZ649" s="374"/>
      <c r="BA649" s="375"/>
      <c r="BB649" s="375"/>
      <c r="BD649" s="373"/>
      <c r="BE649" s="374"/>
      <c r="BF649" s="375"/>
      <c r="BG649" s="375"/>
      <c r="BI649" s="373"/>
      <c r="BJ649" s="374"/>
      <c r="BK649" s="375"/>
      <c r="BL649" s="375"/>
      <c r="BN649" s="373"/>
      <c r="BO649" s="374"/>
      <c r="BP649" s="375"/>
      <c r="BQ649" s="375"/>
      <c r="BS649" s="373"/>
      <c r="BT649" s="374"/>
      <c r="BU649" s="375"/>
      <c r="BV649" s="375"/>
      <c r="BX649" s="373"/>
      <c r="BY649" s="374"/>
      <c r="BZ649" s="375"/>
      <c r="CA649" s="375"/>
      <c r="CC649" s="373"/>
      <c r="CD649" s="374"/>
      <c r="CE649" s="375"/>
      <c r="CF649" s="375"/>
      <c r="CH649" s="373"/>
      <c r="CI649" s="374"/>
      <c r="CJ649" s="375"/>
      <c r="CK649" s="375"/>
      <c r="CM649" s="373"/>
      <c r="CN649" s="374"/>
      <c r="CO649" s="375"/>
      <c r="CP649" s="375"/>
      <c r="CR649" s="373"/>
      <c r="CS649" s="374"/>
      <c r="CT649" s="375"/>
      <c r="CU649" s="375"/>
      <c r="CW649" s="373"/>
      <c r="CX649" s="374"/>
      <c r="CY649" s="375"/>
      <c r="CZ649" s="375"/>
      <c r="DB649" s="373"/>
      <c r="DC649" s="374"/>
      <c r="DD649" s="375"/>
      <c r="DE649" s="375"/>
      <c r="DG649" s="373"/>
      <c r="DH649" s="374"/>
      <c r="DI649" s="375"/>
      <c r="DJ649" s="375"/>
      <c r="DL649" s="373"/>
      <c r="DM649" s="374"/>
      <c r="DN649" s="375"/>
      <c r="DO649" s="375"/>
      <c r="DQ649" s="373"/>
      <c r="DR649" s="374"/>
      <c r="DS649" s="375"/>
      <c r="DT649" s="375"/>
      <c r="DV649" s="373"/>
      <c r="DW649" s="374"/>
      <c r="DX649" s="375"/>
      <c r="DY649" s="375"/>
      <c r="EA649" s="373"/>
      <c r="EB649" s="374"/>
      <c r="EC649" s="375"/>
      <c r="ED649" s="375"/>
      <c r="EF649" s="373"/>
      <c r="EG649" s="374"/>
      <c r="EH649" s="375"/>
      <c r="EI649" s="375"/>
      <c r="EK649" s="373"/>
      <c r="EL649" s="374"/>
      <c r="EM649" s="375"/>
      <c r="EN649" s="375"/>
      <c r="EP649" s="373"/>
      <c r="EQ649" s="374"/>
      <c r="ER649" s="375"/>
      <c r="ES649" s="375"/>
      <c r="EU649" s="373"/>
      <c r="EV649" s="374"/>
      <c r="EW649" s="375"/>
      <c r="EX649" s="375"/>
      <c r="EZ649" s="373"/>
      <c r="FA649" s="374"/>
      <c r="FB649" s="375"/>
      <c r="FC649" s="375"/>
      <c r="FE649" s="373"/>
      <c r="FF649" s="374"/>
      <c r="FG649" s="375"/>
      <c r="FH649" s="375"/>
      <c r="FJ649" s="373"/>
      <c r="FK649" s="374"/>
      <c r="FL649" s="375"/>
      <c r="FM649" s="375"/>
      <c r="FO649" s="373"/>
      <c r="FP649" s="374"/>
      <c r="FQ649" s="375"/>
      <c r="FR649" s="375"/>
      <c r="FT649" s="373"/>
      <c r="FU649" s="374"/>
      <c r="FV649" s="375"/>
      <c r="FW649" s="375"/>
      <c r="FY649" s="373"/>
      <c r="FZ649" s="374"/>
      <c r="GA649" s="375"/>
      <c r="GB649" s="375"/>
      <c r="GD649" s="373"/>
      <c r="GE649" s="374"/>
      <c r="GF649" s="375"/>
      <c r="GG649" s="375"/>
      <c r="GI649" s="373"/>
      <c r="GJ649" s="374"/>
      <c r="GK649" s="375"/>
      <c r="GL649" s="375"/>
      <c r="GN649" s="373"/>
      <c r="GO649" s="374"/>
      <c r="GP649" s="375"/>
      <c r="GQ649" s="375"/>
      <c r="GS649" s="373"/>
      <c r="GT649" s="374"/>
      <c r="GU649" s="375"/>
      <c r="GV649" s="375"/>
      <c r="GX649" s="373"/>
      <c r="GY649" s="374"/>
      <c r="GZ649" s="375"/>
      <c r="HA649" s="375"/>
      <c r="HC649" s="373"/>
      <c r="HD649" s="374"/>
      <c r="HE649" s="375"/>
      <c r="HF649" s="375"/>
      <c r="HH649" s="373"/>
      <c r="HI649" s="374"/>
      <c r="HJ649" s="375"/>
      <c r="HK649" s="375"/>
      <c r="HM649" s="373"/>
      <c r="HN649" s="374"/>
      <c r="HO649" s="375"/>
      <c r="HP649" s="375"/>
      <c r="HR649" s="373"/>
      <c r="HS649" s="374"/>
      <c r="HT649" s="375"/>
      <c r="HU649" s="375"/>
      <c r="HW649" s="373"/>
      <c r="HX649" s="374"/>
      <c r="HY649" s="375"/>
      <c r="HZ649" s="375"/>
      <c r="IB649" s="373"/>
      <c r="IC649" s="374"/>
      <c r="ID649" s="375"/>
      <c r="IE649" s="375"/>
      <c r="IG649" s="373"/>
      <c r="IH649" s="374"/>
      <c r="II649" s="375"/>
      <c r="IJ649" s="375"/>
      <c r="IL649" s="373"/>
      <c r="IM649" s="374"/>
      <c r="IN649" s="375"/>
      <c r="IO649" s="375"/>
      <c r="IQ649" s="373"/>
      <c r="IR649" s="374"/>
      <c r="IS649" s="375"/>
      <c r="IT649" s="375"/>
      <c r="IV649" s="373"/>
    </row>
    <row r="650" spans="1:256" s="376" customFormat="1" x14ac:dyDescent="0.2">
      <c r="A650" s="373"/>
      <c r="B650" s="374"/>
      <c r="C650" s="375"/>
      <c r="D650" s="375"/>
      <c r="F650" s="373"/>
      <c r="G650" s="374"/>
      <c r="H650" s="375"/>
      <c r="I650" s="375"/>
      <c r="K650" s="373"/>
      <c r="L650" s="374"/>
      <c r="M650" s="375"/>
      <c r="N650" s="375"/>
      <c r="P650" s="373"/>
      <c r="Q650" s="374"/>
      <c r="R650" s="375"/>
      <c r="S650" s="375"/>
      <c r="U650" s="373"/>
      <c r="V650" s="374"/>
      <c r="W650" s="375"/>
      <c r="X650" s="375"/>
      <c r="Z650" s="373"/>
      <c r="AA650" s="374"/>
      <c r="AB650" s="375"/>
      <c r="AC650" s="375"/>
      <c r="AE650" s="373"/>
      <c r="AF650" s="374"/>
      <c r="AG650" s="375"/>
      <c r="AH650" s="375"/>
      <c r="AJ650" s="373"/>
      <c r="AK650" s="374"/>
      <c r="AL650" s="375"/>
      <c r="AM650" s="375"/>
      <c r="AO650" s="373"/>
      <c r="AP650" s="374"/>
      <c r="AQ650" s="375"/>
      <c r="AR650" s="375"/>
      <c r="AT650" s="373"/>
      <c r="AU650" s="374"/>
      <c r="AV650" s="375"/>
      <c r="AW650" s="375"/>
      <c r="AY650" s="373"/>
      <c r="AZ650" s="374"/>
      <c r="BA650" s="375"/>
      <c r="BB650" s="375"/>
      <c r="BD650" s="373"/>
      <c r="BE650" s="374"/>
      <c r="BF650" s="375"/>
      <c r="BG650" s="375"/>
      <c r="BI650" s="373"/>
      <c r="BJ650" s="374"/>
      <c r="BK650" s="375"/>
      <c r="BL650" s="375"/>
      <c r="BN650" s="373"/>
      <c r="BO650" s="374"/>
      <c r="BP650" s="375"/>
      <c r="BQ650" s="375"/>
      <c r="BS650" s="373"/>
      <c r="BT650" s="374"/>
      <c r="BU650" s="375"/>
      <c r="BV650" s="375"/>
      <c r="BX650" s="373"/>
      <c r="BY650" s="374"/>
      <c r="BZ650" s="375"/>
      <c r="CA650" s="375"/>
      <c r="CC650" s="373"/>
      <c r="CD650" s="374"/>
      <c r="CE650" s="375"/>
      <c r="CF650" s="375"/>
      <c r="CH650" s="373"/>
      <c r="CI650" s="374"/>
      <c r="CJ650" s="375"/>
      <c r="CK650" s="375"/>
      <c r="CM650" s="373"/>
      <c r="CN650" s="374"/>
      <c r="CO650" s="375"/>
      <c r="CP650" s="375"/>
      <c r="CR650" s="373"/>
      <c r="CS650" s="374"/>
      <c r="CT650" s="375"/>
      <c r="CU650" s="375"/>
      <c r="CW650" s="373"/>
      <c r="CX650" s="374"/>
      <c r="CY650" s="375"/>
      <c r="CZ650" s="375"/>
      <c r="DB650" s="373"/>
      <c r="DC650" s="374"/>
      <c r="DD650" s="375"/>
      <c r="DE650" s="375"/>
      <c r="DG650" s="373"/>
      <c r="DH650" s="374"/>
      <c r="DI650" s="375"/>
      <c r="DJ650" s="375"/>
      <c r="DL650" s="373"/>
      <c r="DM650" s="374"/>
      <c r="DN650" s="375"/>
      <c r="DO650" s="375"/>
      <c r="DQ650" s="373"/>
      <c r="DR650" s="374"/>
      <c r="DS650" s="375"/>
      <c r="DT650" s="375"/>
      <c r="DV650" s="373"/>
      <c r="DW650" s="374"/>
      <c r="DX650" s="375"/>
      <c r="DY650" s="375"/>
      <c r="EA650" s="373"/>
      <c r="EB650" s="374"/>
      <c r="EC650" s="375"/>
      <c r="ED650" s="375"/>
      <c r="EF650" s="373"/>
      <c r="EG650" s="374"/>
      <c r="EH650" s="375"/>
      <c r="EI650" s="375"/>
      <c r="EK650" s="373"/>
      <c r="EL650" s="374"/>
      <c r="EM650" s="375"/>
      <c r="EN650" s="375"/>
      <c r="EP650" s="373"/>
      <c r="EQ650" s="374"/>
      <c r="ER650" s="375"/>
      <c r="ES650" s="375"/>
      <c r="EU650" s="373"/>
      <c r="EV650" s="374"/>
      <c r="EW650" s="375"/>
      <c r="EX650" s="375"/>
      <c r="EZ650" s="373"/>
      <c r="FA650" s="374"/>
      <c r="FB650" s="375"/>
      <c r="FC650" s="375"/>
      <c r="FE650" s="373"/>
      <c r="FF650" s="374"/>
      <c r="FG650" s="375"/>
      <c r="FH650" s="375"/>
      <c r="FJ650" s="373"/>
      <c r="FK650" s="374"/>
      <c r="FL650" s="375"/>
      <c r="FM650" s="375"/>
      <c r="FO650" s="373"/>
      <c r="FP650" s="374"/>
      <c r="FQ650" s="375"/>
      <c r="FR650" s="375"/>
      <c r="FT650" s="373"/>
      <c r="FU650" s="374"/>
      <c r="FV650" s="375"/>
      <c r="FW650" s="375"/>
      <c r="FY650" s="373"/>
      <c r="FZ650" s="374"/>
      <c r="GA650" s="375"/>
      <c r="GB650" s="375"/>
      <c r="GD650" s="373"/>
      <c r="GE650" s="374"/>
      <c r="GF650" s="375"/>
      <c r="GG650" s="375"/>
      <c r="GI650" s="373"/>
      <c r="GJ650" s="374"/>
      <c r="GK650" s="375"/>
      <c r="GL650" s="375"/>
      <c r="GN650" s="373"/>
      <c r="GO650" s="374"/>
      <c r="GP650" s="375"/>
      <c r="GQ650" s="375"/>
      <c r="GS650" s="373"/>
      <c r="GT650" s="374"/>
      <c r="GU650" s="375"/>
      <c r="GV650" s="375"/>
      <c r="GX650" s="373"/>
      <c r="GY650" s="374"/>
      <c r="GZ650" s="375"/>
      <c r="HA650" s="375"/>
      <c r="HC650" s="373"/>
      <c r="HD650" s="374"/>
      <c r="HE650" s="375"/>
      <c r="HF650" s="375"/>
      <c r="HH650" s="373"/>
      <c r="HI650" s="374"/>
      <c r="HJ650" s="375"/>
      <c r="HK650" s="375"/>
      <c r="HM650" s="373"/>
      <c r="HN650" s="374"/>
      <c r="HO650" s="375"/>
      <c r="HP650" s="375"/>
      <c r="HR650" s="373"/>
      <c r="HS650" s="374"/>
      <c r="HT650" s="375"/>
      <c r="HU650" s="375"/>
      <c r="HW650" s="373"/>
      <c r="HX650" s="374"/>
      <c r="HY650" s="375"/>
      <c r="HZ650" s="375"/>
      <c r="IB650" s="373"/>
      <c r="IC650" s="374"/>
      <c r="ID650" s="375"/>
      <c r="IE650" s="375"/>
      <c r="IG650" s="373"/>
      <c r="IH650" s="374"/>
      <c r="II650" s="375"/>
      <c r="IJ650" s="375"/>
      <c r="IL650" s="373"/>
      <c r="IM650" s="374"/>
      <c r="IN650" s="375"/>
      <c r="IO650" s="375"/>
      <c r="IQ650" s="373"/>
      <c r="IR650" s="374"/>
      <c r="IS650" s="375"/>
      <c r="IT650" s="375"/>
      <c r="IV650" s="373"/>
    </row>
    <row r="651" spans="1:256" s="376" customFormat="1" x14ac:dyDescent="0.2">
      <c r="A651" s="373"/>
      <c r="B651" s="374"/>
      <c r="C651" s="375"/>
      <c r="D651" s="375"/>
      <c r="F651" s="373"/>
      <c r="G651" s="374"/>
      <c r="H651" s="375"/>
      <c r="I651" s="375"/>
      <c r="K651" s="373"/>
      <c r="L651" s="374"/>
      <c r="M651" s="375"/>
      <c r="N651" s="375"/>
      <c r="P651" s="373"/>
      <c r="Q651" s="374"/>
      <c r="R651" s="375"/>
      <c r="S651" s="375"/>
      <c r="U651" s="373"/>
      <c r="V651" s="374"/>
      <c r="W651" s="375"/>
      <c r="X651" s="375"/>
      <c r="Z651" s="373"/>
      <c r="AA651" s="374"/>
      <c r="AB651" s="375"/>
      <c r="AC651" s="375"/>
      <c r="AE651" s="373"/>
      <c r="AF651" s="374"/>
      <c r="AG651" s="375"/>
      <c r="AH651" s="375"/>
      <c r="AJ651" s="373"/>
      <c r="AK651" s="374"/>
      <c r="AL651" s="375"/>
      <c r="AM651" s="375"/>
      <c r="AO651" s="373"/>
      <c r="AP651" s="374"/>
      <c r="AQ651" s="375"/>
      <c r="AR651" s="375"/>
      <c r="AT651" s="373"/>
      <c r="AU651" s="374"/>
      <c r="AV651" s="375"/>
      <c r="AW651" s="375"/>
      <c r="AY651" s="373"/>
      <c r="AZ651" s="374"/>
      <c r="BA651" s="375"/>
      <c r="BB651" s="375"/>
      <c r="BD651" s="373"/>
      <c r="BE651" s="374"/>
      <c r="BF651" s="375"/>
      <c r="BG651" s="375"/>
      <c r="BI651" s="373"/>
      <c r="BJ651" s="374"/>
      <c r="BK651" s="375"/>
      <c r="BL651" s="375"/>
      <c r="BN651" s="373"/>
      <c r="BO651" s="374"/>
      <c r="BP651" s="375"/>
      <c r="BQ651" s="375"/>
      <c r="BS651" s="373"/>
      <c r="BT651" s="374"/>
      <c r="BU651" s="375"/>
      <c r="BV651" s="375"/>
      <c r="BX651" s="373"/>
      <c r="BY651" s="374"/>
      <c r="BZ651" s="375"/>
      <c r="CA651" s="375"/>
      <c r="CC651" s="373"/>
      <c r="CD651" s="374"/>
      <c r="CE651" s="375"/>
      <c r="CF651" s="375"/>
      <c r="CH651" s="373"/>
      <c r="CI651" s="374"/>
      <c r="CJ651" s="375"/>
      <c r="CK651" s="375"/>
      <c r="CM651" s="373"/>
      <c r="CN651" s="374"/>
      <c r="CO651" s="375"/>
      <c r="CP651" s="375"/>
      <c r="CR651" s="373"/>
      <c r="CS651" s="374"/>
      <c r="CT651" s="375"/>
      <c r="CU651" s="375"/>
      <c r="CW651" s="373"/>
      <c r="CX651" s="374"/>
      <c r="CY651" s="375"/>
      <c r="CZ651" s="375"/>
      <c r="DB651" s="373"/>
      <c r="DC651" s="374"/>
      <c r="DD651" s="375"/>
      <c r="DE651" s="375"/>
      <c r="DG651" s="373"/>
      <c r="DH651" s="374"/>
      <c r="DI651" s="375"/>
      <c r="DJ651" s="375"/>
      <c r="DL651" s="373"/>
      <c r="DM651" s="374"/>
      <c r="DN651" s="375"/>
      <c r="DO651" s="375"/>
      <c r="DQ651" s="373"/>
      <c r="DR651" s="374"/>
      <c r="DS651" s="375"/>
      <c r="DT651" s="375"/>
      <c r="DV651" s="373"/>
      <c r="DW651" s="374"/>
      <c r="DX651" s="375"/>
      <c r="DY651" s="375"/>
      <c r="EA651" s="373"/>
      <c r="EB651" s="374"/>
      <c r="EC651" s="375"/>
      <c r="ED651" s="375"/>
      <c r="EF651" s="373"/>
      <c r="EG651" s="374"/>
      <c r="EH651" s="375"/>
      <c r="EI651" s="375"/>
      <c r="EK651" s="373"/>
      <c r="EL651" s="374"/>
      <c r="EM651" s="375"/>
      <c r="EN651" s="375"/>
      <c r="EP651" s="373"/>
      <c r="EQ651" s="374"/>
      <c r="ER651" s="375"/>
      <c r="ES651" s="375"/>
      <c r="EU651" s="373"/>
      <c r="EV651" s="374"/>
      <c r="EW651" s="375"/>
      <c r="EX651" s="375"/>
      <c r="EZ651" s="373"/>
      <c r="FA651" s="374"/>
      <c r="FB651" s="375"/>
      <c r="FC651" s="375"/>
      <c r="FE651" s="373"/>
      <c r="FF651" s="374"/>
      <c r="FG651" s="375"/>
      <c r="FH651" s="375"/>
      <c r="FJ651" s="373"/>
      <c r="FK651" s="374"/>
      <c r="FL651" s="375"/>
      <c r="FM651" s="375"/>
      <c r="FO651" s="373"/>
      <c r="FP651" s="374"/>
      <c r="FQ651" s="375"/>
      <c r="FR651" s="375"/>
      <c r="FT651" s="373"/>
      <c r="FU651" s="374"/>
      <c r="FV651" s="375"/>
      <c r="FW651" s="375"/>
      <c r="FY651" s="373"/>
      <c r="FZ651" s="374"/>
      <c r="GA651" s="375"/>
      <c r="GB651" s="375"/>
      <c r="GD651" s="373"/>
      <c r="GE651" s="374"/>
      <c r="GF651" s="375"/>
      <c r="GG651" s="375"/>
      <c r="GI651" s="373"/>
      <c r="GJ651" s="374"/>
      <c r="GK651" s="375"/>
      <c r="GL651" s="375"/>
      <c r="GN651" s="373"/>
      <c r="GO651" s="374"/>
      <c r="GP651" s="375"/>
      <c r="GQ651" s="375"/>
      <c r="GS651" s="373"/>
      <c r="GT651" s="374"/>
      <c r="GU651" s="375"/>
      <c r="GV651" s="375"/>
      <c r="GX651" s="373"/>
      <c r="GY651" s="374"/>
      <c r="GZ651" s="375"/>
      <c r="HA651" s="375"/>
      <c r="HC651" s="373"/>
      <c r="HD651" s="374"/>
      <c r="HE651" s="375"/>
      <c r="HF651" s="375"/>
      <c r="HH651" s="373"/>
      <c r="HI651" s="374"/>
      <c r="HJ651" s="375"/>
      <c r="HK651" s="375"/>
      <c r="HM651" s="373"/>
      <c r="HN651" s="374"/>
      <c r="HO651" s="375"/>
      <c r="HP651" s="375"/>
      <c r="HR651" s="373"/>
      <c r="HS651" s="374"/>
      <c r="HT651" s="375"/>
      <c r="HU651" s="375"/>
      <c r="HW651" s="373"/>
      <c r="HX651" s="374"/>
      <c r="HY651" s="375"/>
      <c r="HZ651" s="375"/>
      <c r="IB651" s="373"/>
      <c r="IC651" s="374"/>
      <c r="ID651" s="375"/>
      <c r="IE651" s="375"/>
      <c r="IG651" s="373"/>
      <c r="IH651" s="374"/>
      <c r="II651" s="375"/>
      <c r="IJ651" s="375"/>
      <c r="IL651" s="373"/>
      <c r="IM651" s="374"/>
      <c r="IN651" s="375"/>
      <c r="IO651" s="375"/>
      <c r="IQ651" s="373"/>
      <c r="IR651" s="374"/>
      <c r="IS651" s="375"/>
      <c r="IT651" s="375"/>
      <c r="IV651" s="373"/>
    </row>
    <row r="652" spans="1:256" s="376" customFormat="1" x14ac:dyDescent="0.2">
      <c r="A652" s="373"/>
      <c r="B652" s="374"/>
      <c r="C652" s="375"/>
      <c r="D652" s="375"/>
      <c r="F652" s="373"/>
      <c r="G652" s="374"/>
      <c r="H652" s="375"/>
      <c r="I652" s="375"/>
      <c r="K652" s="373"/>
      <c r="L652" s="374"/>
      <c r="M652" s="375"/>
      <c r="N652" s="375"/>
      <c r="P652" s="373"/>
      <c r="Q652" s="374"/>
      <c r="R652" s="375"/>
      <c r="S652" s="375"/>
      <c r="U652" s="373"/>
      <c r="V652" s="374"/>
      <c r="W652" s="375"/>
      <c r="X652" s="375"/>
      <c r="Z652" s="373"/>
      <c r="AA652" s="374"/>
      <c r="AB652" s="375"/>
      <c r="AC652" s="375"/>
      <c r="AE652" s="373"/>
      <c r="AF652" s="374"/>
      <c r="AG652" s="375"/>
      <c r="AH652" s="375"/>
      <c r="AJ652" s="373"/>
      <c r="AK652" s="374"/>
      <c r="AL652" s="375"/>
      <c r="AM652" s="375"/>
      <c r="AO652" s="373"/>
      <c r="AP652" s="374"/>
      <c r="AQ652" s="375"/>
      <c r="AR652" s="375"/>
      <c r="AT652" s="373"/>
      <c r="AU652" s="374"/>
      <c r="AV652" s="375"/>
      <c r="AW652" s="375"/>
      <c r="AY652" s="373"/>
      <c r="AZ652" s="374"/>
      <c r="BA652" s="375"/>
      <c r="BB652" s="375"/>
      <c r="BD652" s="373"/>
      <c r="BE652" s="374"/>
      <c r="BF652" s="375"/>
      <c r="BG652" s="375"/>
      <c r="BI652" s="373"/>
      <c r="BJ652" s="374"/>
      <c r="BK652" s="375"/>
      <c r="BL652" s="375"/>
      <c r="BN652" s="373"/>
      <c r="BO652" s="374"/>
      <c r="BP652" s="375"/>
      <c r="BQ652" s="375"/>
      <c r="BS652" s="373"/>
      <c r="BT652" s="374"/>
      <c r="BU652" s="375"/>
      <c r="BV652" s="375"/>
      <c r="BX652" s="373"/>
      <c r="BY652" s="374"/>
      <c r="BZ652" s="375"/>
      <c r="CA652" s="375"/>
      <c r="CC652" s="373"/>
      <c r="CD652" s="374"/>
      <c r="CE652" s="375"/>
      <c r="CF652" s="375"/>
      <c r="CH652" s="373"/>
      <c r="CI652" s="374"/>
      <c r="CJ652" s="375"/>
      <c r="CK652" s="375"/>
      <c r="CM652" s="373"/>
      <c r="CN652" s="374"/>
      <c r="CO652" s="375"/>
      <c r="CP652" s="375"/>
      <c r="CR652" s="373"/>
      <c r="CS652" s="374"/>
      <c r="CT652" s="375"/>
      <c r="CU652" s="375"/>
      <c r="CW652" s="373"/>
      <c r="CX652" s="374"/>
      <c r="CY652" s="375"/>
      <c r="CZ652" s="375"/>
      <c r="DB652" s="373"/>
      <c r="DC652" s="374"/>
      <c r="DD652" s="375"/>
      <c r="DE652" s="375"/>
      <c r="DG652" s="373"/>
      <c r="DH652" s="374"/>
      <c r="DI652" s="375"/>
      <c r="DJ652" s="375"/>
      <c r="DL652" s="373"/>
      <c r="DM652" s="374"/>
      <c r="DN652" s="375"/>
      <c r="DO652" s="375"/>
      <c r="DQ652" s="373"/>
      <c r="DR652" s="374"/>
      <c r="DS652" s="375"/>
      <c r="DT652" s="375"/>
      <c r="DV652" s="373"/>
      <c r="DW652" s="374"/>
      <c r="DX652" s="375"/>
      <c r="DY652" s="375"/>
      <c r="EA652" s="373"/>
      <c r="EB652" s="374"/>
      <c r="EC652" s="375"/>
      <c r="ED652" s="375"/>
      <c r="EF652" s="373"/>
      <c r="EG652" s="374"/>
      <c r="EH652" s="375"/>
      <c r="EI652" s="375"/>
      <c r="EK652" s="373"/>
      <c r="EL652" s="374"/>
      <c r="EM652" s="375"/>
      <c r="EN652" s="375"/>
      <c r="EP652" s="373"/>
      <c r="EQ652" s="374"/>
      <c r="ER652" s="375"/>
      <c r="ES652" s="375"/>
      <c r="EU652" s="373"/>
      <c r="EV652" s="374"/>
      <c r="EW652" s="375"/>
      <c r="EX652" s="375"/>
      <c r="EZ652" s="373"/>
      <c r="FA652" s="374"/>
      <c r="FB652" s="375"/>
      <c r="FC652" s="375"/>
      <c r="FE652" s="373"/>
      <c r="FF652" s="374"/>
      <c r="FG652" s="375"/>
      <c r="FH652" s="375"/>
      <c r="FJ652" s="373"/>
      <c r="FK652" s="374"/>
      <c r="FL652" s="375"/>
      <c r="FM652" s="375"/>
      <c r="FO652" s="373"/>
      <c r="FP652" s="374"/>
      <c r="FQ652" s="375"/>
      <c r="FR652" s="375"/>
      <c r="FT652" s="373"/>
      <c r="FU652" s="374"/>
      <c r="FV652" s="375"/>
      <c r="FW652" s="375"/>
      <c r="FY652" s="373"/>
      <c r="FZ652" s="374"/>
      <c r="GA652" s="375"/>
      <c r="GB652" s="375"/>
      <c r="GD652" s="373"/>
      <c r="GE652" s="374"/>
      <c r="GF652" s="375"/>
      <c r="GG652" s="375"/>
      <c r="GI652" s="373"/>
      <c r="GJ652" s="374"/>
      <c r="GK652" s="375"/>
      <c r="GL652" s="375"/>
      <c r="GN652" s="373"/>
      <c r="GO652" s="374"/>
      <c r="GP652" s="375"/>
      <c r="GQ652" s="375"/>
      <c r="GS652" s="373"/>
      <c r="GT652" s="374"/>
      <c r="GU652" s="375"/>
      <c r="GV652" s="375"/>
      <c r="GX652" s="373"/>
      <c r="GY652" s="374"/>
      <c r="GZ652" s="375"/>
      <c r="HA652" s="375"/>
      <c r="HC652" s="373"/>
      <c r="HD652" s="374"/>
      <c r="HE652" s="375"/>
      <c r="HF652" s="375"/>
      <c r="HH652" s="373"/>
      <c r="HI652" s="374"/>
      <c r="HJ652" s="375"/>
      <c r="HK652" s="375"/>
      <c r="HM652" s="373"/>
      <c r="HN652" s="374"/>
      <c r="HO652" s="375"/>
      <c r="HP652" s="375"/>
      <c r="HR652" s="373"/>
      <c r="HS652" s="374"/>
      <c r="HT652" s="375"/>
      <c r="HU652" s="375"/>
      <c r="HW652" s="373"/>
      <c r="HX652" s="374"/>
      <c r="HY652" s="375"/>
      <c r="HZ652" s="375"/>
      <c r="IB652" s="373"/>
      <c r="IC652" s="374"/>
      <c r="ID652" s="375"/>
      <c r="IE652" s="375"/>
      <c r="IG652" s="373"/>
      <c r="IH652" s="374"/>
      <c r="II652" s="375"/>
      <c r="IJ652" s="375"/>
      <c r="IL652" s="373"/>
      <c r="IM652" s="374"/>
      <c r="IN652" s="375"/>
      <c r="IO652" s="375"/>
      <c r="IQ652" s="373"/>
      <c r="IR652" s="374"/>
      <c r="IS652" s="375"/>
      <c r="IT652" s="375"/>
      <c r="IV652" s="373"/>
    </row>
    <row r="653" spans="1:256" s="376" customFormat="1" x14ac:dyDescent="0.2">
      <c r="A653" s="373"/>
      <c r="B653" s="374"/>
      <c r="C653" s="375"/>
      <c r="D653" s="375"/>
      <c r="F653" s="373"/>
      <c r="G653" s="374"/>
      <c r="H653" s="375"/>
      <c r="I653" s="375"/>
      <c r="K653" s="373"/>
      <c r="L653" s="374"/>
      <c r="M653" s="375"/>
      <c r="N653" s="375"/>
      <c r="P653" s="373"/>
      <c r="Q653" s="374"/>
      <c r="R653" s="375"/>
      <c r="S653" s="375"/>
      <c r="U653" s="373"/>
      <c r="V653" s="374"/>
      <c r="W653" s="375"/>
      <c r="X653" s="375"/>
      <c r="Z653" s="373"/>
      <c r="AA653" s="374"/>
      <c r="AB653" s="375"/>
      <c r="AC653" s="375"/>
      <c r="AE653" s="373"/>
      <c r="AF653" s="374"/>
      <c r="AG653" s="375"/>
      <c r="AH653" s="375"/>
      <c r="AJ653" s="373"/>
      <c r="AK653" s="374"/>
      <c r="AL653" s="375"/>
      <c r="AM653" s="375"/>
      <c r="AO653" s="373"/>
      <c r="AP653" s="374"/>
      <c r="AQ653" s="375"/>
      <c r="AR653" s="375"/>
      <c r="AT653" s="373"/>
      <c r="AU653" s="374"/>
      <c r="AV653" s="375"/>
      <c r="AW653" s="375"/>
      <c r="AY653" s="373"/>
      <c r="AZ653" s="374"/>
      <c r="BA653" s="375"/>
      <c r="BB653" s="375"/>
      <c r="BD653" s="373"/>
      <c r="BE653" s="374"/>
      <c r="BF653" s="375"/>
      <c r="BG653" s="375"/>
      <c r="BI653" s="373"/>
      <c r="BJ653" s="374"/>
      <c r="BK653" s="375"/>
      <c r="BL653" s="375"/>
      <c r="BN653" s="373"/>
      <c r="BO653" s="374"/>
      <c r="BP653" s="375"/>
      <c r="BQ653" s="375"/>
      <c r="BS653" s="373"/>
      <c r="BT653" s="374"/>
      <c r="BU653" s="375"/>
      <c r="BV653" s="375"/>
      <c r="BX653" s="373"/>
      <c r="BY653" s="374"/>
      <c r="BZ653" s="375"/>
      <c r="CA653" s="375"/>
      <c r="CC653" s="373"/>
      <c r="CD653" s="374"/>
      <c r="CE653" s="375"/>
      <c r="CF653" s="375"/>
      <c r="CH653" s="373"/>
      <c r="CI653" s="374"/>
      <c r="CJ653" s="375"/>
      <c r="CK653" s="375"/>
      <c r="CM653" s="373"/>
      <c r="CN653" s="374"/>
      <c r="CO653" s="375"/>
      <c r="CP653" s="375"/>
      <c r="CR653" s="373"/>
      <c r="CS653" s="374"/>
      <c r="CT653" s="375"/>
      <c r="CU653" s="375"/>
      <c r="CW653" s="373"/>
      <c r="CX653" s="374"/>
      <c r="CY653" s="375"/>
      <c r="CZ653" s="375"/>
      <c r="DB653" s="373"/>
      <c r="DC653" s="374"/>
      <c r="DD653" s="375"/>
      <c r="DE653" s="375"/>
      <c r="DG653" s="373"/>
      <c r="DH653" s="374"/>
      <c r="DI653" s="375"/>
      <c r="DJ653" s="375"/>
      <c r="DL653" s="373"/>
      <c r="DM653" s="374"/>
      <c r="DN653" s="375"/>
      <c r="DO653" s="375"/>
      <c r="DQ653" s="373"/>
      <c r="DR653" s="374"/>
      <c r="DS653" s="375"/>
      <c r="DT653" s="375"/>
      <c r="DV653" s="373"/>
      <c r="DW653" s="374"/>
      <c r="DX653" s="375"/>
      <c r="DY653" s="375"/>
      <c r="EA653" s="373"/>
      <c r="EB653" s="374"/>
      <c r="EC653" s="375"/>
      <c r="ED653" s="375"/>
      <c r="EF653" s="373"/>
      <c r="EG653" s="374"/>
      <c r="EH653" s="375"/>
      <c r="EI653" s="375"/>
      <c r="EK653" s="373"/>
      <c r="EL653" s="374"/>
      <c r="EM653" s="375"/>
      <c r="EN653" s="375"/>
      <c r="EP653" s="373"/>
      <c r="EQ653" s="374"/>
      <c r="ER653" s="375"/>
      <c r="ES653" s="375"/>
      <c r="EU653" s="373"/>
      <c r="EV653" s="374"/>
      <c r="EW653" s="375"/>
      <c r="EX653" s="375"/>
      <c r="EZ653" s="373"/>
      <c r="FA653" s="374"/>
      <c r="FB653" s="375"/>
      <c r="FC653" s="375"/>
      <c r="FE653" s="373"/>
      <c r="FF653" s="374"/>
      <c r="FG653" s="375"/>
      <c r="FH653" s="375"/>
      <c r="FJ653" s="373"/>
      <c r="FK653" s="374"/>
      <c r="FL653" s="375"/>
      <c r="FM653" s="375"/>
      <c r="FO653" s="373"/>
      <c r="FP653" s="374"/>
      <c r="FQ653" s="375"/>
      <c r="FR653" s="375"/>
      <c r="FT653" s="373"/>
      <c r="FU653" s="374"/>
      <c r="FV653" s="375"/>
      <c r="FW653" s="375"/>
      <c r="FY653" s="373"/>
      <c r="FZ653" s="374"/>
      <c r="GA653" s="375"/>
      <c r="GB653" s="375"/>
      <c r="GD653" s="373"/>
      <c r="GE653" s="374"/>
      <c r="GF653" s="375"/>
      <c r="GG653" s="375"/>
      <c r="GI653" s="373"/>
      <c r="GJ653" s="374"/>
      <c r="GK653" s="375"/>
      <c r="GL653" s="375"/>
      <c r="GN653" s="373"/>
      <c r="GO653" s="374"/>
      <c r="GP653" s="375"/>
      <c r="GQ653" s="375"/>
      <c r="GS653" s="373"/>
      <c r="GT653" s="374"/>
      <c r="GU653" s="375"/>
      <c r="GV653" s="375"/>
      <c r="GX653" s="373"/>
      <c r="GY653" s="374"/>
      <c r="GZ653" s="375"/>
      <c r="HA653" s="375"/>
      <c r="HC653" s="373"/>
      <c r="HD653" s="374"/>
      <c r="HE653" s="375"/>
      <c r="HF653" s="375"/>
      <c r="HH653" s="373"/>
      <c r="HI653" s="374"/>
      <c r="HJ653" s="375"/>
      <c r="HK653" s="375"/>
      <c r="HM653" s="373"/>
      <c r="HN653" s="374"/>
      <c r="HO653" s="375"/>
      <c r="HP653" s="375"/>
      <c r="HR653" s="373"/>
      <c r="HS653" s="374"/>
      <c r="HT653" s="375"/>
      <c r="HU653" s="375"/>
      <c r="HW653" s="373"/>
      <c r="HX653" s="374"/>
      <c r="HY653" s="375"/>
      <c r="HZ653" s="375"/>
      <c r="IB653" s="373"/>
      <c r="IC653" s="374"/>
      <c r="ID653" s="375"/>
      <c r="IE653" s="375"/>
      <c r="IG653" s="373"/>
      <c r="IH653" s="374"/>
      <c r="II653" s="375"/>
      <c r="IJ653" s="375"/>
      <c r="IL653" s="373"/>
      <c r="IM653" s="374"/>
      <c r="IN653" s="375"/>
      <c r="IO653" s="375"/>
      <c r="IQ653" s="373"/>
      <c r="IR653" s="374"/>
      <c r="IS653" s="375"/>
      <c r="IT653" s="375"/>
      <c r="IV653" s="373"/>
    </row>
    <row r="654" spans="1:256" s="376" customFormat="1" x14ac:dyDescent="0.2">
      <c r="A654" s="373"/>
      <c r="B654" s="374"/>
      <c r="C654" s="375"/>
      <c r="D654" s="375"/>
      <c r="F654" s="373"/>
      <c r="G654" s="374"/>
      <c r="H654" s="375"/>
      <c r="I654" s="375"/>
      <c r="K654" s="373"/>
      <c r="L654" s="374"/>
      <c r="M654" s="375"/>
      <c r="N654" s="375"/>
      <c r="P654" s="373"/>
      <c r="Q654" s="374"/>
      <c r="R654" s="375"/>
      <c r="S654" s="375"/>
      <c r="U654" s="373"/>
      <c r="V654" s="374"/>
      <c r="W654" s="375"/>
      <c r="X654" s="375"/>
      <c r="Z654" s="373"/>
      <c r="AA654" s="374"/>
      <c r="AB654" s="375"/>
      <c r="AC654" s="375"/>
      <c r="AE654" s="373"/>
      <c r="AF654" s="374"/>
      <c r="AG654" s="375"/>
      <c r="AH654" s="375"/>
      <c r="AJ654" s="373"/>
      <c r="AK654" s="374"/>
      <c r="AL654" s="375"/>
      <c r="AM654" s="375"/>
      <c r="AO654" s="373"/>
      <c r="AP654" s="374"/>
      <c r="AQ654" s="375"/>
      <c r="AR654" s="375"/>
      <c r="AT654" s="373"/>
      <c r="AU654" s="374"/>
      <c r="AV654" s="375"/>
      <c r="AW654" s="375"/>
      <c r="AY654" s="373"/>
      <c r="AZ654" s="374"/>
      <c r="BA654" s="375"/>
      <c r="BB654" s="375"/>
      <c r="BD654" s="373"/>
      <c r="BE654" s="374"/>
      <c r="BF654" s="375"/>
      <c r="BG654" s="375"/>
      <c r="BI654" s="373"/>
      <c r="BJ654" s="374"/>
      <c r="BK654" s="375"/>
      <c r="BL654" s="375"/>
      <c r="BN654" s="373"/>
      <c r="BO654" s="374"/>
      <c r="BP654" s="375"/>
      <c r="BQ654" s="375"/>
      <c r="BS654" s="373"/>
      <c r="BT654" s="374"/>
      <c r="BU654" s="375"/>
      <c r="BV654" s="375"/>
      <c r="BX654" s="373"/>
      <c r="BY654" s="374"/>
      <c r="BZ654" s="375"/>
      <c r="CA654" s="375"/>
      <c r="CC654" s="373"/>
      <c r="CD654" s="374"/>
      <c r="CE654" s="375"/>
      <c r="CF654" s="375"/>
      <c r="CH654" s="373"/>
      <c r="CI654" s="374"/>
      <c r="CJ654" s="375"/>
      <c r="CK654" s="375"/>
      <c r="CM654" s="373"/>
      <c r="CN654" s="374"/>
      <c r="CO654" s="375"/>
      <c r="CP654" s="375"/>
      <c r="CR654" s="373"/>
      <c r="CS654" s="374"/>
      <c r="CT654" s="375"/>
      <c r="CU654" s="375"/>
      <c r="CW654" s="373"/>
      <c r="CX654" s="374"/>
      <c r="CY654" s="375"/>
      <c r="CZ654" s="375"/>
      <c r="DB654" s="373"/>
      <c r="DC654" s="374"/>
      <c r="DD654" s="375"/>
      <c r="DE654" s="375"/>
      <c r="DG654" s="373"/>
      <c r="DH654" s="374"/>
      <c r="DI654" s="375"/>
      <c r="DJ654" s="375"/>
      <c r="DL654" s="373"/>
      <c r="DM654" s="374"/>
      <c r="DN654" s="375"/>
      <c r="DO654" s="375"/>
      <c r="DQ654" s="373"/>
      <c r="DR654" s="374"/>
      <c r="DS654" s="375"/>
      <c r="DT654" s="375"/>
      <c r="DV654" s="373"/>
      <c r="DW654" s="374"/>
      <c r="DX654" s="375"/>
      <c r="DY654" s="375"/>
      <c r="EA654" s="373"/>
      <c r="EB654" s="374"/>
      <c r="EC654" s="375"/>
      <c r="ED654" s="375"/>
      <c r="EF654" s="373"/>
      <c r="EG654" s="374"/>
      <c r="EH654" s="375"/>
      <c r="EI654" s="375"/>
      <c r="EK654" s="373"/>
      <c r="EL654" s="374"/>
      <c r="EM654" s="375"/>
      <c r="EN654" s="375"/>
      <c r="EP654" s="373"/>
      <c r="EQ654" s="374"/>
      <c r="ER654" s="375"/>
      <c r="ES654" s="375"/>
      <c r="EU654" s="373"/>
      <c r="EV654" s="374"/>
      <c r="EW654" s="375"/>
      <c r="EX654" s="375"/>
      <c r="EZ654" s="373"/>
      <c r="FA654" s="374"/>
      <c r="FB654" s="375"/>
      <c r="FC654" s="375"/>
      <c r="FE654" s="373"/>
      <c r="FF654" s="374"/>
      <c r="FG654" s="375"/>
      <c r="FH654" s="375"/>
      <c r="FJ654" s="373"/>
      <c r="FK654" s="374"/>
      <c r="FL654" s="375"/>
      <c r="FM654" s="375"/>
      <c r="FO654" s="373"/>
      <c r="FP654" s="374"/>
      <c r="FQ654" s="375"/>
      <c r="FR654" s="375"/>
      <c r="FT654" s="373"/>
      <c r="FU654" s="374"/>
      <c r="FV654" s="375"/>
      <c r="FW654" s="375"/>
      <c r="FY654" s="373"/>
      <c r="FZ654" s="374"/>
      <c r="GA654" s="375"/>
      <c r="GB654" s="375"/>
      <c r="GD654" s="373"/>
      <c r="GE654" s="374"/>
      <c r="GF654" s="375"/>
      <c r="GG654" s="375"/>
      <c r="GI654" s="373"/>
      <c r="GJ654" s="374"/>
      <c r="GK654" s="375"/>
      <c r="GL654" s="375"/>
      <c r="GN654" s="373"/>
      <c r="GO654" s="374"/>
      <c r="GP654" s="375"/>
      <c r="GQ654" s="375"/>
      <c r="GS654" s="373"/>
      <c r="GT654" s="374"/>
      <c r="GU654" s="375"/>
      <c r="GV654" s="375"/>
      <c r="GX654" s="373"/>
      <c r="GY654" s="374"/>
      <c r="GZ654" s="375"/>
      <c r="HA654" s="375"/>
      <c r="HC654" s="373"/>
      <c r="HD654" s="374"/>
      <c r="HE654" s="375"/>
      <c r="HF654" s="375"/>
      <c r="HH654" s="373"/>
      <c r="HI654" s="374"/>
      <c r="HJ654" s="375"/>
      <c r="HK654" s="375"/>
      <c r="HM654" s="373"/>
      <c r="HN654" s="374"/>
      <c r="HO654" s="375"/>
      <c r="HP654" s="375"/>
      <c r="HR654" s="373"/>
      <c r="HS654" s="374"/>
      <c r="HT654" s="375"/>
      <c r="HU654" s="375"/>
      <c r="HW654" s="373"/>
      <c r="HX654" s="374"/>
      <c r="HY654" s="375"/>
      <c r="HZ654" s="375"/>
      <c r="IB654" s="373"/>
      <c r="IC654" s="374"/>
      <c r="ID654" s="375"/>
      <c r="IE654" s="375"/>
      <c r="IG654" s="373"/>
      <c r="IH654" s="374"/>
      <c r="II654" s="375"/>
      <c r="IJ654" s="375"/>
      <c r="IL654" s="373"/>
      <c r="IM654" s="374"/>
      <c r="IN654" s="375"/>
      <c r="IO654" s="375"/>
      <c r="IQ654" s="373"/>
      <c r="IR654" s="374"/>
      <c r="IS654" s="375"/>
      <c r="IT654" s="375"/>
      <c r="IV654" s="373"/>
    </row>
    <row r="655" spans="1:256" s="376" customFormat="1" x14ac:dyDescent="0.2">
      <c r="A655" s="373"/>
      <c r="B655" s="374"/>
      <c r="C655" s="375"/>
      <c r="D655" s="375"/>
      <c r="F655" s="373"/>
      <c r="G655" s="374"/>
      <c r="H655" s="375"/>
      <c r="I655" s="375"/>
      <c r="K655" s="373"/>
      <c r="L655" s="374"/>
      <c r="M655" s="375"/>
      <c r="N655" s="375"/>
      <c r="P655" s="373"/>
      <c r="Q655" s="374"/>
      <c r="R655" s="375"/>
      <c r="S655" s="375"/>
      <c r="U655" s="373"/>
      <c r="V655" s="374"/>
      <c r="W655" s="375"/>
      <c r="X655" s="375"/>
      <c r="Z655" s="373"/>
      <c r="AA655" s="374"/>
      <c r="AB655" s="375"/>
      <c r="AC655" s="375"/>
      <c r="AE655" s="373"/>
      <c r="AF655" s="374"/>
      <c r="AG655" s="375"/>
      <c r="AH655" s="375"/>
      <c r="AJ655" s="373"/>
      <c r="AK655" s="374"/>
      <c r="AL655" s="375"/>
      <c r="AM655" s="375"/>
      <c r="AO655" s="373"/>
      <c r="AP655" s="374"/>
      <c r="AQ655" s="375"/>
      <c r="AR655" s="375"/>
      <c r="AT655" s="373"/>
      <c r="AU655" s="374"/>
      <c r="AV655" s="375"/>
      <c r="AW655" s="375"/>
      <c r="AY655" s="373"/>
      <c r="AZ655" s="374"/>
      <c r="BA655" s="375"/>
      <c r="BB655" s="375"/>
      <c r="BD655" s="373"/>
      <c r="BE655" s="374"/>
      <c r="BF655" s="375"/>
      <c r="BG655" s="375"/>
      <c r="BI655" s="373"/>
      <c r="BJ655" s="374"/>
      <c r="BK655" s="375"/>
      <c r="BL655" s="375"/>
      <c r="BN655" s="373"/>
      <c r="BO655" s="374"/>
      <c r="BP655" s="375"/>
      <c r="BQ655" s="375"/>
      <c r="BS655" s="373"/>
      <c r="BT655" s="374"/>
      <c r="BU655" s="375"/>
      <c r="BV655" s="375"/>
      <c r="BX655" s="373"/>
      <c r="BY655" s="374"/>
      <c r="BZ655" s="375"/>
      <c r="CA655" s="375"/>
      <c r="CC655" s="373"/>
      <c r="CD655" s="374"/>
      <c r="CE655" s="375"/>
      <c r="CF655" s="375"/>
      <c r="CH655" s="373"/>
      <c r="CI655" s="374"/>
      <c r="CJ655" s="375"/>
      <c r="CK655" s="375"/>
      <c r="CM655" s="373"/>
      <c r="CN655" s="374"/>
      <c r="CO655" s="375"/>
      <c r="CP655" s="375"/>
      <c r="CR655" s="373"/>
      <c r="CS655" s="374"/>
      <c r="CT655" s="375"/>
      <c r="CU655" s="375"/>
      <c r="CW655" s="373"/>
      <c r="CX655" s="374"/>
      <c r="CY655" s="375"/>
      <c r="CZ655" s="375"/>
      <c r="DB655" s="373"/>
      <c r="DC655" s="374"/>
      <c r="DD655" s="375"/>
      <c r="DE655" s="375"/>
      <c r="DG655" s="373"/>
      <c r="DH655" s="374"/>
      <c r="DI655" s="375"/>
      <c r="DJ655" s="375"/>
      <c r="DL655" s="373"/>
      <c r="DM655" s="374"/>
      <c r="DN655" s="375"/>
      <c r="DO655" s="375"/>
      <c r="DQ655" s="373"/>
      <c r="DR655" s="374"/>
      <c r="DS655" s="375"/>
      <c r="DT655" s="375"/>
      <c r="DV655" s="373"/>
      <c r="DW655" s="374"/>
      <c r="DX655" s="375"/>
      <c r="DY655" s="375"/>
      <c r="EA655" s="373"/>
      <c r="EB655" s="374"/>
      <c r="EC655" s="375"/>
      <c r="ED655" s="375"/>
      <c r="EF655" s="373"/>
      <c r="EG655" s="374"/>
      <c r="EH655" s="375"/>
      <c r="EI655" s="375"/>
      <c r="EK655" s="373"/>
      <c r="EL655" s="374"/>
      <c r="EM655" s="375"/>
      <c r="EN655" s="375"/>
      <c r="EP655" s="373"/>
      <c r="EQ655" s="374"/>
      <c r="ER655" s="375"/>
      <c r="ES655" s="375"/>
      <c r="EU655" s="373"/>
      <c r="EV655" s="374"/>
      <c r="EW655" s="375"/>
      <c r="EX655" s="375"/>
      <c r="EZ655" s="373"/>
      <c r="FA655" s="374"/>
      <c r="FB655" s="375"/>
      <c r="FC655" s="375"/>
      <c r="FE655" s="373"/>
      <c r="FF655" s="374"/>
      <c r="FG655" s="375"/>
      <c r="FH655" s="375"/>
      <c r="FJ655" s="373"/>
      <c r="FK655" s="374"/>
      <c r="FL655" s="375"/>
      <c r="FM655" s="375"/>
      <c r="FO655" s="373"/>
      <c r="FP655" s="374"/>
      <c r="FQ655" s="375"/>
      <c r="FR655" s="375"/>
      <c r="FT655" s="373"/>
      <c r="FU655" s="374"/>
      <c r="FV655" s="375"/>
      <c r="FW655" s="375"/>
      <c r="FY655" s="373"/>
      <c r="FZ655" s="374"/>
      <c r="GA655" s="375"/>
      <c r="GB655" s="375"/>
      <c r="GD655" s="373"/>
      <c r="GE655" s="374"/>
      <c r="GF655" s="375"/>
      <c r="GG655" s="375"/>
      <c r="GI655" s="373"/>
      <c r="GJ655" s="374"/>
      <c r="GK655" s="375"/>
      <c r="GL655" s="375"/>
      <c r="GN655" s="373"/>
      <c r="GO655" s="374"/>
      <c r="GP655" s="375"/>
      <c r="GQ655" s="375"/>
      <c r="GS655" s="373"/>
      <c r="GT655" s="374"/>
      <c r="GU655" s="375"/>
      <c r="GV655" s="375"/>
      <c r="GX655" s="373"/>
      <c r="GY655" s="374"/>
      <c r="GZ655" s="375"/>
      <c r="HA655" s="375"/>
      <c r="HC655" s="373"/>
      <c r="HD655" s="374"/>
      <c r="HE655" s="375"/>
      <c r="HF655" s="375"/>
      <c r="HH655" s="373"/>
      <c r="HI655" s="374"/>
      <c r="HJ655" s="375"/>
      <c r="HK655" s="375"/>
      <c r="HM655" s="373"/>
      <c r="HN655" s="374"/>
      <c r="HO655" s="375"/>
      <c r="HP655" s="375"/>
      <c r="HR655" s="373"/>
      <c r="HS655" s="374"/>
      <c r="HT655" s="375"/>
      <c r="HU655" s="375"/>
      <c r="HW655" s="373"/>
      <c r="HX655" s="374"/>
      <c r="HY655" s="375"/>
      <c r="HZ655" s="375"/>
      <c r="IB655" s="373"/>
      <c r="IC655" s="374"/>
      <c r="ID655" s="375"/>
      <c r="IE655" s="375"/>
      <c r="IG655" s="373"/>
      <c r="IH655" s="374"/>
      <c r="II655" s="375"/>
      <c r="IJ655" s="375"/>
      <c r="IL655" s="373"/>
      <c r="IM655" s="374"/>
      <c r="IN655" s="375"/>
      <c r="IO655" s="375"/>
      <c r="IQ655" s="373"/>
      <c r="IR655" s="374"/>
      <c r="IS655" s="375"/>
      <c r="IT655" s="375"/>
      <c r="IV655" s="373"/>
    </row>
    <row r="656" spans="1:256" s="376" customFormat="1" x14ac:dyDescent="0.2">
      <c r="A656" s="373"/>
      <c r="B656" s="374"/>
      <c r="C656" s="375"/>
      <c r="D656" s="375"/>
      <c r="F656" s="373"/>
      <c r="G656" s="374"/>
      <c r="H656" s="375"/>
      <c r="I656" s="375"/>
      <c r="K656" s="373"/>
      <c r="L656" s="374"/>
      <c r="M656" s="375"/>
      <c r="N656" s="375"/>
      <c r="P656" s="373"/>
      <c r="Q656" s="374"/>
      <c r="R656" s="375"/>
      <c r="S656" s="375"/>
      <c r="U656" s="373"/>
      <c r="V656" s="374"/>
      <c r="W656" s="375"/>
      <c r="X656" s="375"/>
      <c r="Z656" s="373"/>
      <c r="AA656" s="374"/>
      <c r="AB656" s="375"/>
      <c r="AC656" s="375"/>
      <c r="AE656" s="373"/>
      <c r="AF656" s="374"/>
      <c r="AG656" s="375"/>
      <c r="AH656" s="375"/>
      <c r="AJ656" s="373"/>
      <c r="AK656" s="374"/>
      <c r="AL656" s="375"/>
      <c r="AM656" s="375"/>
      <c r="AO656" s="373"/>
      <c r="AP656" s="374"/>
      <c r="AQ656" s="375"/>
      <c r="AR656" s="375"/>
      <c r="AT656" s="373"/>
      <c r="AU656" s="374"/>
      <c r="AV656" s="375"/>
      <c r="AW656" s="375"/>
      <c r="AY656" s="373"/>
      <c r="AZ656" s="374"/>
      <c r="BA656" s="375"/>
      <c r="BB656" s="375"/>
      <c r="BD656" s="373"/>
      <c r="BE656" s="374"/>
      <c r="BF656" s="375"/>
      <c r="BG656" s="375"/>
      <c r="BI656" s="373"/>
      <c r="BJ656" s="374"/>
      <c r="BK656" s="375"/>
      <c r="BL656" s="375"/>
      <c r="BN656" s="373"/>
      <c r="BO656" s="374"/>
      <c r="BP656" s="375"/>
      <c r="BQ656" s="375"/>
      <c r="BS656" s="373"/>
      <c r="BT656" s="374"/>
      <c r="BU656" s="375"/>
      <c r="BV656" s="375"/>
      <c r="BX656" s="373"/>
      <c r="BY656" s="374"/>
      <c r="BZ656" s="375"/>
      <c r="CA656" s="375"/>
      <c r="CC656" s="373"/>
      <c r="CD656" s="374"/>
      <c r="CE656" s="375"/>
      <c r="CF656" s="375"/>
      <c r="CH656" s="373"/>
      <c r="CI656" s="374"/>
      <c r="CJ656" s="375"/>
      <c r="CK656" s="375"/>
      <c r="CM656" s="373"/>
      <c r="CN656" s="374"/>
      <c r="CO656" s="375"/>
      <c r="CP656" s="375"/>
      <c r="CR656" s="373"/>
      <c r="CS656" s="374"/>
      <c r="CT656" s="375"/>
      <c r="CU656" s="375"/>
      <c r="CW656" s="373"/>
      <c r="CX656" s="374"/>
      <c r="CY656" s="375"/>
      <c r="CZ656" s="375"/>
      <c r="DB656" s="373"/>
      <c r="DC656" s="374"/>
      <c r="DD656" s="375"/>
      <c r="DE656" s="375"/>
      <c r="DG656" s="373"/>
      <c r="DH656" s="374"/>
      <c r="DI656" s="375"/>
      <c r="DJ656" s="375"/>
      <c r="DL656" s="373"/>
      <c r="DM656" s="374"/>
      <c r="DN656" s="375"/>
      <c r="DO656" s="375"/>
      <c r="DQ656" s="373"/>
      <c r="DR656" s="374"/>
      <c r="DS656" s="375"/>
      <c r="DT656" s="375"/>
      <c r="DV656" s="373"/>
      <c r="DW656" s="374"/>
      <c r="DX656" s="375"/>
      <c r="DY656" s="375"/>
      <c r="EA656" s="373"/>
      <c r="EB656" s="374"/>
      <c r="EC656" s="375"/>
      <c r="ED656" s="375"/>
      <c r="EF656" s="373"/>
      <c r="EG656" s="374"/>
      <c r="EH656" s="375"/>
      <c r="EI656" s="375"/>
      <c r="EK656" s="373"/>
      <c r="EL656" s="374"/>
      <c r="EM656" s="375"/>
      <c r="EN656" s="375"/>
      <c r="EP656" s="373"/>
      <c r="EQ656" s="374"/>
      <c r="ER656" s="375"/>
      <c r="ES656" s="375"/>
      <c r="EU656" s="373"/>
      <c r="EV656" s="374"/>
      <c r="EW656" s="375"/>
      <c r="EX656" s="375"/>
      <c r="EZ656" s="373"/>
      <c r="FA656" s="374"/>
      <c r="FB656" s="375"/>
      <c r="FC656" s="375"/>
      <c r="FE656" s="373"/>
      <c r="FF656" s="374"/>
      <c r="FG656" s="375"/>
      <c r="FH656" s="375"/>
      <c r="FJ656" s="373"/>
      <c r="FK656" s="374"/>
      <c r="FL656" s="375"/>
      <c r="FM656" s="375"/>
      <c r="FO656" s="373"/>
      <c r="FP656" s="374"/>
      <c r="FQ656" s="375"/>
      <c r="FR656" s="375"/>
      <c r="FT656" s="373"/>
      <c r="FU656" s="374"/>
      <c r="FV656" s="375"/>
      <c r="FW656" s="375"/>
      <c r="FY656" s="373"/>
      <c r="FZ656" s="374"/>
      <c r="GA656" s="375"/>
      <c r="GB656" s="375"/>
      <c r="GD656" s="373"/>
      <c r="GE656" s="374"/>
      <c r="GF656" s="375"/>
      <c r="GG656" s="375"/>
      <c r="GI656" s="373"/>
      <c r="GJ656" s="374"/>
      <c r="GK656" s="375"/>
      <c r="GL656" s="375"/>
      <c r="GN656" s="373"/>
      <c r="GO656" s="374"/>
      <c r="GP656" s="375"/>
      <c r="GQ656" s="375"/>
      <c r="GS656" s="373"/>
      <c r="GT656" s="374"/>
      <c r="GU656" s="375"/>
      <c r="GV656" s="375"/>
      <c r="GX656" s="373"/>
      <c r="GY656" s="374"/>
      <c r="GZ656" s="375"/>
      <c r="HA656" s="375"/>
      <c r="HC656" s="373"/>
      <c r="HD656" s="374"/>
      <c r="HE656" s="375"/>
      <c r="HF656" s="375"/>
      <c r="HH656" s="373"/>
      <c r="HI656" s="374"/>
      <c r="HJ656" s="375"/>
      <c r="HK656" s="375"/>
      <c r="HM656" s="373"/>
      <c r="HN656" s="374"/>
      <c r="HO656" s="375"/>
      <c r="HP656" s="375"/>
      <c r="HR656" s="373"/>
      <c r="HS656" s="374"/>
      <c r="HT656" s="375"/>
      <c r="HU656" s="375"/>
      <c r="HW656" s="373"/>
      <c r="HX656" s="374"/>
      <c r="HY656" s="375"/>
      <c r="HZ656" s="375"/>
      <c r="IB656" s="373"/>
      <c r="IC656" s="374"/>
      <c r="ID656" s="375"/>
      <c r="IE656" s="375"/>
      <c r="IG656" s="373"/>
      <c r="IH656" s="374"/>
      <c r="II656" s="375"/>
      <c r="IJ656" s="375"/>
      <c r="IL656" s="373"/>
      <c r="IM656" s="374"/>
      <c r="IN656" s="375"/>
      <c r="IO656" s="375"/>
      <c r="IQ656" s="373"/>
      <c r="IR656" s="374"/>
      <c r="IS656" s="375"/>
      <c r="IT656" s="375"/>
      <c r="IV656" s="373"/>
    </row>
    <row r="657" spans="1:256" s="376" customFormat="1" x14ac:dyDescent="0.2">
      <c r="A657" s="373"/>
      <c r="B657" s="374"/>
      <c r="C657" s="375"/>
      <c r="D657" s="375"/>
      <c r="F657" s="373"/>
      <c r="G657" s="374"/>
      <c r="H657" s="375"/>
      <c r="I657" s="375"/>
      <c r="K657" s="373"/>
      <c r="L657" s="374"/>
      <c r="M657" s="375"/>
      <c r="N657" s="375"/>
      <c r="P657" s="373"/>
      <c r="Q657" s="374"/>
      <c r="R657" s="375"/>
      <c r="S657" s="375"/>
      <c r="U657" s="373"/>
      <c r="V657" s="374"/>
      <c r="W657" s="375"/>
      <c r="X657" s="375"/>
      <c r="Z657" s="373"/>
      <c r="AA657" s="374"/>
      <c r="AB657" s="375"/>
      <c r="AC657" s="375"/>
      <c r="AE657" s="373"/>
      <c r="AF657" s="374"/>
      <c r="AG657" s="375"/>
      <c r="AH657" s="375"/>
      <c r="AJ657" s="373"/>
      <c r="AK657" s="374"/>
      <c r="AL657" s="375"/>
      <c r="AM657" s="375"/>
      <c r="AO657" s="373"/>
      <c r="AP657" s="374"/>
      <c r="AQ657" s="375"/>
      <c r="AR657" s="375"/>
      <c r="AT657" s="373"/>
      <c r="AU657" s="374"/>
      <c r="AV657" s="375"/>
      <c r="AW657" s="375"/>
      <c r="AY657" s="373"/>
      <c r="AZ657" s="374"/>
      <c r="BA657" s="375"/>
      <c r="BB657" s="375"/>
      <c r="BD657" s="373"/>
      <c r="BE657" s="374"/>
      <c r="BF657" s="375"/>
      <c r="BG657" s="375"/>
      <c r="BI657" s="373"/>
      <c r="BJ657" s="374"/>
      <c r="BK657" s="375"/>
      <c r="BL657" s="375"/>
      <c r="BN657" s="373"/>
      <c r="BO657" s="374"/>
      <c r="BP657" s="375"/>
      <c r="BQ657" s="375"/>
      <c r="BS657" s="373"/>
      <c r="BT657" s="374"/>
      <c r="BU657" s="375"/>
      <c r="BV657" s="375"/>
      <c r="BX657" s="373"/>
      <c r="BY657" s="374"/>
      <c r="BZ657" s="375"/>
      <c r="CA657" s="375"/>
      <c r="CC657" s="373"/>
      <c r="CD657" s="374"/>
      <c r="CE657" s="375"/>
      <c r="CF657" s="375"/>
      <c r="CH657" s="373"/>
      <c r="CI657" s="374"/>
      <c r="CJ657" s="375"/>
      <c r="CK657" s="375"/>
      <c r="CM657" s="373"/>
      <c r="CN657" s="374"/>
      <c r="CO657" s="375"/>
      <c r="CP657" s="375"/>
      <c r="CR657" s="373"/>
      <c r="CS657" s="374"/>
      <c r="CT657" s="375"/>
      <c r="CU657" s="375"/>
      <c r="CW657" s="373"/>
      <c r="CX657" s="374"/>
      <c r="CY657" s="375"/>
      <c r="CZ657" s="375"/>
      <c r="DB657" s="373"/>
      <c r="DC657" s="374"/>
      <c r="DD657" s="375"/>
      <c r="DE657" s="375"/>
      <c r="DG657" s="373"/>
      <c r="DH657" s="374"/>
      <c r="DI657" s="375"/>
      <c r="DJ657" s="375"/>
      <c r="DL657" s="373"/>
      <c r="DM657" s="374"/>
      <c r="DN657" s="375"/>
      <c r="DO657" s="375"/>
      <c r="DQ657" s="373"/>
      <c r="DR657" s="374"/>
      <c r="DS657" s="375"/>
      <c r="DT657" s="375"/>
      <c r="DV657" s="373"/>
      <c r="DW657" s="374"/>
      <c r="DX657" s="375"/>
      <c r="DY657" s="375"/>
      <c r="EA657" s="373"/>
      <c r="EB657" s="374"/>
      <c r="EC657" s="375"/>
      <c r="ED657" s="375"/>
      <c r="EF657" s="373"/>
      <c r="EG657" s="374"/>
      <c r="EH657" s="375"/>
      <c r="EI657" s="375"/>
      <c r="EK657" s="373"/>
      <c r="EL657" s="374"/>
      <c r="EM657" s="375"/>
      <c r="EN657" s="375"/>
      <c r="EP657" s="373"/>
      <c r="EQ657" s="374"/>
      <c r="ER657" s="375"/>
      <c r="ES657" s="375"/>
      <c r="EU657" s="373"/>
      <c r="EV657" s="374"/>
      <c r="EW657" s="375"/>
      <c r="EX657" s="375"/>
      <c r="EZ657" s="373"/>
      <c r="FA657" s="374"/>
      <c r="FB657" s="375"/>
      <c r="FC657" s="375"/>
      <c r="FE657" s="373"/>
      <c r="FF657" s="374"/>
      <c r="FG657" s="375"/>
      <c r="FH657" s="375"/>
      <c r="FJ657" s="373"/>
      <c r="FK657" s="374"/>
      <c r="FL657" s="375"/>
      <c r="FM657" s="375"/>
      <c r="FO657" s="373"/>
      <c r="FP657" s="374"/>
      <c r="FQ657" s="375"/>
      <c r="FR657" s="375"/>
      <c r="FT657" s="373"/>
      <c r="FU657" s="374"/>
      <c r="FV657" s="375"/>
      <c r="FW657" s="375"/>
      <c r="FY657" s="373"/>
      <c r="FZ657" s="374"/>
      <c r="GA657" s="375"/>
      <c r="GB657" s="375"/>
      <c r="GD657" s="373"/>
      <c r="GE657" s="374"/>
      <c r="GF657" s="375"/>
      <c r="GG657" s="375"/>
      <c r="GI657" s="373"/>
      <c r="GJ657" s="374"/>
      <c r="GK657" s="375"/>
      <c r="GL657" s="375"/>
      <c r="GN657" s="373"/>
      <c r="GO657" s="374"/>
      <c r="GP657" s="375"/>
      <c r="GQ657" s="375"/>
      <c r="GS657" s="373"/>
      <c r="GT657" s="374"/>
      <c r="GU657" s="375"/>
      <c r="GV657" s="375"/>
      <c r="GX657" s="373"/>
      <c r="GY657" s="374"/>
      <c r="GZ657" s="375"/>
      <c r="HA657" s="375"/>
      <c r="HC657" s="373"/>
      <c r="HD657" s="374"/>
      <c r="HE657" s="375"/>
      <c r="HF657" s="375"/>
      <c r="HH657" s="373"/>
      <c r="HI657" s="374"/>
      <c r="HJ657" s="375"/>
      <c r="HK657" s="375"/>
      <c r="HM657" s="373"/>
      <c r="HN657" s="374"/>
      <c r="HO657" s="375"/>
      <c r="HP657" s="375"/>
      <c r="HR657" s="373"/>
      <c r="HS657" s="374"/>
      <c r="HT657" s="375"/>
      <c r="HU657" s="375"/>
      <c r="HW657" s="373"/>
      <c r="HX657" s="374"/>
      <c r="HY657" s="375"/>
      <c r="HZ657" s="375"/>
      <c r="IB657" s="373"/>
      <c r="IC657" s="374"/>
      <c r="ID657" s="375"/>
      <c r="IE657" s="375"/>
      <c r="IG657" s="373"/>
      <c r="IH657" s="374"/>
      <c r="II657" s="375"/>
      <c r="IJ657" s="375"/>
      <c r="IL657" s="373"/>
      <c r="IM657" s="374"/>
      <c r="IN657" s="375"/>
      <c r="IO657" s="375"/>
      <c r="IQ657" s="373"/>
      <c r="IR657" s="374"/>
      <c r="IS657" s="375"/>
      <c r="IT657" s="375"/>
      <c r="IV657" s="373"/>
    </row>
    <row r="658" spans="1:256" s="376" customFormat="1" x14ac:dyDescent="0.2">
      <c r="A658" s="373"/>
      <c r="B658" s="374"/>
      <c r="C658" s="375"/>
      <c r="D658" s="375"/>
      <c r="F658" s="373"/>
      <c r="G658" s="374"/>
      <c r="H658" s="375"/>
      <c r="I658" s="375"/>
      <c r="K658" s="373"/>
      <c r="L658" s="374"/>
      <c r="M658" s="375"/>
      <c r="N658" s="375"/>
      <c r="P658" s="373"/>
      <c r="Q658" s="374"/>
      <c r="R658" s="375"/>
      <c r="S658" s="375"/>
      <c r="U658" s="373"/>
      <c r="V658" s="374"/>
      <c r="W658" s="375"/>
      <c r="X658" s="375"/>
      <c r="Z658" s="373"/>
      <c r="AA658" s="374"/>
      <c r="AB658" s="375"/>
      <c r="AC658" s="375"/>
      <c r="AE658" s="373"/>
      <c r="AF658" s="374"/>
      <c r="AG658" s="375"/>
      <c r="AH658" s="375"/>
      <c r="AJ658" s="373"/>
      <c r="AK658" s="374"/>
      <c r="AL658" s="375"/>
      <c r="AM658" s="375"/>
      <c r="AO658" s="373"/>
      <c r="AP658" s="374"/>
      <c r="AQ658" s="375"/>
      <c r="AR658" s="375"/>
      <c r="AT658" s="373"/>
      <c r="AU658" s="374"/>
      <c r="AV658" s="375"/>
      <c r="AW658" s="375"/>
      <c r="AY658" s="373"/>
      <c r="AZ658" s="374"/>
      <c r="BA658" s="375"/>
      <c r="BB658" s="375"/>
      <c r="BD658" s="373"/>
      <c r="BE658" s="374"/>
      <c r="BF658" s="375"/>
      <c r="BG658" s="375"/>
      <c r="BI658" s="373"/>
      <c r="BJ658" s="374"/>
      <c r="BK658" s="375"/>
      <c r="BL658" s="375"/>
      <c r="BN658" s="373"/>
      <c r="BO658" s="374"/>
      <c r="BP658" s="375"/>
      <c r="BQ658" s="375"/>
      <c r="BS658" s="373"/>
      <c r="BT658" s="374"/>
      <c r="BU658" s="375"/>
      <c r="BV658" s="375"/>
      <c r="BX658" s="373"/>
      <c r="BY658" s="374"/>
      <c r="BZ658" s="375"/>
      <c r="CA658" s="375"/>
      <c r="CC658" s="373"/>
      <c r="CD658" s="374"/>
      <c r="CE658" s="375"/>
      <c r="CF658" s="375"/>
      <c r="CH658" s="373"/>
      <c r="CI658" s="374"/>
      <c r="CJ658" s="375"/>
      <c r="CK658" s="375"/>
      <c r="CM658" s="373"/>
      <c r="CN658" s="374"/>
      <c r="CO658" s="375"/>
      <c r="CP658" s="375"/>
      <c r="CR658" s="373"/>
      <c r="CS658" s="374"/>
      <c r="CT658" s="375"/>
      <c r="CU658" s="375"/>
      <c r="CW658" s="373"/>
      <c r="CX658" s="374"/>
      <c r="CY658" s="375"/>
      <c r="CZ658" s="375"/>
      <c r="DB658" s="373"/>
      <c r="DC658" s="374"/>
      <c r="DD658" s="375"/>
      <c r="DE658" s="375"/>
      <c r="DG658" s="373"/>
      <c r="DH658" s="374"/>
      <c r="DI658" s="375"/>
      <c r="DJ658" s="375"/>
      <c r="DL658" s="373"/>
      <c r="DM658" s="374"/>
      <c r="DN658" s="375"/>
      <c r="DO658" s="375"/>
      <c r="DQ658" s="373"/>
      <c r="DR658" s="374"/>
      <c r="DS658" s="375"/>
      <c r="DT658" s="375"/>
      <c r="DV658" s="373"/>
      <c r="DW658" s="374"/>
      <c r="DX658" s="375"/>
      <c r="DY658" s="375"/>
      <c r="EA658" s="373"/>
      <c r="EB658" s="374"/>
      <c r="EC658" s="375"/>
      <c r="ED658" s="375"/>
      <c r="EF658" s="373"/>
      <c r="EG658" s="374"/>
      <c r="EH658" s="375"/>
      <c r="EI658" s="375"/>
      <c r="EK658" s="373"/>
      <c r="EL658" s="374"/>
      <c r="EM658" s="375"/>
      <c r="EN658" s="375"/>
      <c r="EP658" s="373"/>
      <c r="EQ658" s="374"/>
      <c r="ER658" s="375"/>
      <c r="ES658" s="375"/>
      <c r="EU658" s="373"/>
      <c r="EV658" s="374"/>
      <c r="EW658" s="375"/>
      <c r="EX658" s="375"/>
      <c r="EZ658" s="373"/>
      <c r="FA658" s="374"/>
      <c r="FB658" s="375"/>
      <c r="FC658" s="375"/>
      <c r="FE658" s="373"/>
      <c r="FF658" s="374"/>
      <c r="FG658" s="375"/>
      <c r="FH658" s="375"/>
      <c r="FJ658" s="373"/>
      <c r="FK658" s="374"/>
      <c r="FL658" s="375"/>
      <c r="FM658" s="375"/>
      <c r="FO658" s="373"/>
      <c r="FP658" s="374"/>
      <c r="FQ658" s="375"/>
      <c r="FR658" s="375"/>
      <c r="FT658" s="373"/>
      <c r="FU658" s="374"/>
      <c r="FV658" s="375"/>
      <c r="FW658" s="375"/>
      <c r="FY658" s="373"/>
      <c r="FZ658" s="374"/>
      <c r="GA658" s="375"/>
      <c r="GB658" s="375"/>
      <c r="GD658" s="373"/>
      <c r="GE658" s="374"/>
      <c r="GF658" s="375"/>
      <c r="GG658" s="375"/>
      <c r="GI658" s="373"/>
      <c r="GJ658" s="374"/>
      <c r="GK658" s="375"/>
      <c r="GL658" s="375"/>
      <c r="GN658" s="373"/>
      <c r="GO658" s="374"/>
      <c r="GP658" s="375"/>
      <c r="GQ658" s="375"/>
      <c r="GS658" s="373"/>
      <c r="GT658" s="374"/>
      <c r="GU658" s="375"/>
      <c r="GV658" s="375"/>
      <c r="GX658" s="373"/>
      <c r="GY658" s="374"/>
      <c r="GZ658" s="375"/>
      <c r="HA658" s="375"/>
      <c r="HC658" s="373"/>
      <c r="HD658" s="374"/>
      <c r="HE658" s="375"/>
      <c r="HF658" s="375"/>
      <c r="HH658" s="373"/>
      <c r="HI658" s="374"/>
      <c r="HJ658" s="375"/>
      <c r="HK658" s="375"/>
      <c r="HM658" s="373"/>
      <c r="HN658" s="374"/>
      <c r="HO658" s="375"/>
      <c r="HP658" s="375"/>
      <c r="HR658" s="373"/>
      <c r="HS658" s="374"/>
      <c r="HT658" s="375"/>
      <c r="HU658" s="375"/>
      <c r="HW658" s="373"/>
      <c r="HX658" s="374"/>
      <c r="HY658" s="375"/>
      <c r="HZ658" s="375"/>
      <c r="IB658" s="373"/>
      <c r="IC658" s="374"/>
      <c r="ID658" s="375"/>
      <c r="IE658" s="375"/>
      <c r="IG658" s="373"/>
      <c r="IH658" s="374"/>
      <c r="II658" s="375"/>
      <c r="IJ658" s="375"/>
      <c r="IL658" s="373"/>
      <c r="IM658" s="374"/>
      <c r="IN658" s="375"/>
      <c r="IO658" s="375"/>
      <c r="IQ658" s="373"/>
      <c r="IR658" s="374"/>
      <c r="IS658" s="375"/>
      <c r="IT658" s="375"/>
      <c r="IV658" s="373"/>
    </row>
    <row r="659" spans="1:256" s="376" customFormat="1" x14ac:dyDescent="0.2">
      <c r="A659" s="373"/>
      <c r="B659" s="374"/>
      <c r="C659" s="375"/>
      <c r="D659" s="375"/>
      <c r="F659" s="373"/>
      <c r="G659" s="374"/>
      <c r="H659" s="375"/>
      <c r="I659" s="375"/>
      <c r="K659" s="373"/>
      <c r="L659" s="374"/>
      <c r="M659" s="375"/>
      <c r="N659" s="375"/>
      <c r="P659" s="373"/>
      <c r="Q659" s="374"/>
      <c r="R659" s="375"/>
      <c r="S659" s="375"/>
      <c r="U659" s="373"/>
      <c r="V659" s="374"/>
      <c r="W659" s="375"/>
      <c r="X659" s="375"/>
      <c r="Z659" s="373"/>
      <c r="AA659" s="374"/>
      <c r="AB659" s="375"/>
      <c r="AC659" s="375"/>
      <c r="AE659" s="373"/>
      <c r="AF659" s="374"/>
      <c r="AG659" s="375"/>
      <c r="AH659" s="375"/>
      <c r="AJ659" s="373"/>
      <c r="AK659" s="374"/>
      <c r="AL659" s="375"/>
      <c r="AM659" s="375"/>
      <c r="AO659" s="373"/>
      <c r="AP659" s="374"/>
      <c r="AQ659" s="375"/>
      <c r="AR659" s="375"/>
      <c r="AT659" s="373"/>
      <c r="AU659" s="374"/>
      <c r="AV659" s="375"/>
      <c r="AW659" s="375"/>
      <c r="AY659" s="373"/>
      <c r="AZ659" s="374"/>
      <c r="BA659" s="375"/>
      <c r="BB659" s="375"/>
      <c r="BD659" s="373"/>
      <c r="BE659" s="374"/>
      <c r="BF659" s="375"/>
      <c r="BG659" s="375"/>
      <c r="BI659" s="373"/>
      <c r="BJ659" s="374"/>
      <c r="BK659" s="375"/>
      <c r="BL659" s="375"/>
      <c r="BN659" s="373"/>
      <c r="BO659" s="374"/>
      <c r="BP659" s="375"/>
      <c r="BQ659" s="375"/>
      <c r="BS659" s="373"/>
      <c r="BT659" s="374"/>
      <c r="BU659" s="375"/>
      <c r="BV659" s="375"/>
      <c r="BX659" s="373"/>
      <c r="BY659" s="374"/>
      <c r="BZ659" s="375"/>
      <c r="CA659" s="375"/>
      <c r="CC659" s="373"/>
      <c r="CD659" s="374"/>
      <c r="CE659" s="375"/>
      <c r="CF659" s="375"/>
      <c r="CH659" s="373"/>
      <c r="CI659" s="374"/>
      <c r="CJ659" s="375"/>
      <c r="CK659" s="375"/>
      <c r="CM659" s="373"/>
      <c r="CN659" s="374"/>
      <c r="CO659" s="375"/>
      <c r="CP659" s="375"/>
      <c r="CR659" s="373"/>
      <c r="CS659" s="374"/>
      <c r="CT659" s="375"/>
      <c r="CU659" s="375"/>
      <c r="CW659" s="373"/>
      <c r="CX659" s="374"/>
      <c r="CY659" s="375"/>
      <c r="CZ659" s="375"/>
      <c r="DB659" s="373"/>
      <c r="DC659" s="374"/>
      <c r="DD659" s="375"/>
      <c r="DE659" s="375"/>
      <c r="DG659" s="373"/>
      <c r="DH659" s="374"/>
      <c r="DI659" s="375"/>
      <c r="DJ659" s="375"/>
      <c r="DL659" s="373"/>
      <c r="DM659" s="374"/>
      <c r="DN659" s="375"/>
      <c r="DO659" s="375"/>
      <c r="DQ659" s="373"/>
      <c r="DR659" s="374"/>
      <c r="DS659" s="375"/>
      <c r="DT659" s="375"/>
      <c r="DV659" s="373"/>
      <c r="DW659" s="374"/>
      <c r="DX659" s="375"/>
      <c r="DY659" s="375"/>
      <c r="EA659" s="373"/>
      <c r="EB659" s="374"/>
      <c r="EC659" s="375"/>
      <c r="ED659" s="375"/>
      <c r="EF659" s="373"/>
      <c r="EG659" s="374"/>
      <c r="EH659" s="375"/>
      <c r="EI659" s="375"/>
      <c r="EK659" s="373"/>
      <c r="EL659" s="374"/>
      <c r="EM659" s="375"/>
      <c r="EN659" s="375"/>
      <c r="EP659" s="373"/>
      <c r="EQ659" s="374"/>
      <c r="ER659" s="375"/>
      <c r="ES659" s="375"/>
      <c r="EU659" s="373"/>
      <c r="EV659" s="374"/>
      <c r="EW659" s="375"/>
      <c r="EX659" s="375"/>
      <c r="EZ659" s="373"/>
      <c r="FA659" s="374"/>
      <c r="FB659" s="375"/>
      <c r="FC659" s="375"/>
      <c r="FE659" s="373"/>
      <c r="FF659" s="374"/>
      <c r="FG659" s="375"/>
      <c r="FH659" s="375"/>
      <c r="FJ659" s="373"/>
      <c r="FK659" s="374"/>
      <c r="FL659" s="375"/>
      <c r="FM659" s="375"/>
      <c r="FO659" s="373"/>
      <c r="FP659" s="374"/>
      <c r="FQ659" s="375"/>
      <c r="FR659" s="375"/>
      <c r="FT659" s="373"/>
      <c r="FU659" s="374"/>
      <c r="FV659" s="375"/>
      <c r="FW659" s="375"/>
      <c r="FY659" s="373"/>
      <c r="FZ659" s="374"/>
      <c r="GA659" s="375"/>
      <c r="GB659" s="375"/>
      <c r="GD659" s="373"/>
      <c r="GE659" s="374"/>
      <c r="GF659" s="375"/>
      <c r="GG659" s="375"/>
      <c r="GI659" s="373"/>
      <c r="GJ659" s="374"/>
      <c r="GK659" s="375"/>
      <c r="GL659" s="375"/>
      <c r="GN659" s="373"/>
      <c r="GO659" s="374"/>
      <c r="GP659" s="375"/>
      <c r="GQ659" s="375"/>
      <c r="GS659" s="373"/>
      <c r="GT659" s="374"/>
      <c r="GU659" s="375"/>
      <c r="GV659" s="375"/>
      <c r="GX659" s="373"/>
      <c r="GY659" s="374"/>
      <c r="GZ659" s="375"/>
      <c r="HA659" s="375"/>
      <c r="HC659" s="373"/>
      <c r="HD659" s="374"/>
      <c r="HE659" s="375"/>
      <c r="HF659" s="375"/>
      <c r="HH659" s="373"/>
      <c r="HI659" s="374"/>
      <c r="HJ659" s="375"/>
      <c r="HK659" s="375"/>
      <c r="HM659" s="373"/>
      <c r="HN659" s="374"/>
      <c r="HO659" s="375"/>
      <c r="HP659" s="375"/>
      <c r="HR659" s="373"/>
      <c r="HS659" s="374"/>
      <c r="HT659" s="375"/>
      <c r="HU659" s="375"/>
      <c r="HW659" s="373"/>
      <c r="HX659" s="374"/>
      <c r="HY659" s="375"/>
      <c r="HZ659" s="375"/>
      <c r="IB659" s="373"/>
      <c r="IC659" s="374"/>
      <c r="ID659" s="375"/>
      <c r="IE659" s="375"/>
      <c r="IG659" s="373"/>
      <c r="IH659" s="374"/>
      <c r="II659" s="375"/>
      <c r="IJ659" s="375"/>
      <c r="IL659" s="373"/>
      <c r="IM659" s="374"/>
      <c r="IN659" s="375"/>
      <c r="IO659" s="375"/>
      <c r="IQ659" s="373"/>
      <c r="IR659" s="374"/>
      <c r="IS659" s="375"/>
      <c r="IT659" s="375"/>
      <c r="IV659" s="373"/>
    </row>
    <row r="660" spans="1:256" s="376" customFormat="1" x14ac:dyDescent="0.2">
      <c r="A660" s="373"/>
      <c r="B660" s="374"/>
      <c r="C660" s="375"/>
      <c r="D660" s="375"/>
      <c r="F660" s="373"/>
      <c r="G660" s="374"/>
      <c r="H660" s="375"/>
      <c r="I660" s="375"/>
      <c r="K660" s="373"/>
      <c r="L660" s="374"/>
      <c r="M660" s="375"/>
      <c r="N660" s="375"/>
      <c r="P660" s="373"/>
      <c r="Q660" s="374"/>
      <c r="R660" s="375"/>
      <c r="S660" s="375"/>
      <c r="U660" s="373"/>
      <c r="V660" s="374"/>
      <c r="W660" s="375"/>
      <c r="X660" s="375"/>
      <c r="Z660" s="373"/>
      <c r="AA660" s="374"/>
      <c r="AB660" s="375"/>
      <c r="AC660" s="375"/>
      <c r="AE660" s="373"/>
      <c r="AF660" s="374"/>
      <c r="AG660" s="375"/>
      <c r="AH660" s="375"/>
      <c r="AJ660" s="373"/>
      <c r="AK660" s="374"/>
      <c r="AL660" s="375"/>
      <c r="AM660" s="375"/>
      <c r="AO660" s="373"/>
      <c r="AP660" s="374"/>
      <c r="AQ660" s="375"/>
      <c r="AR660" s="375"/>
      <c r="AT660" s="373"/>
      <c r="AU660" s="374"/>
      <c r="AV660" s="375"/>
      <c r="AW660" s="375"/>
      <c r="AY660" s="373"/>
      <c r="AZ660" s="374"/>
      <c r="BA660" s="375"/>
      <c r="BB660" s="375"/>
      <c r="BD660" s="373"/>
      <c r="BE660" s="374"/>
      <c r="BF660" s="375"/>
      <c r="BG660" s="375"/>
      <c r="BI660" s="373"/>
      <c r="BJ660" s="374"/>
      <c r="BK660" s="375"/>
      <c r="BL660" s="375"/>
      <c r="BN660" s="373"/>
      <c r="BO660" s="374"/>
      <c r="BP660" s="375"/>
      <c r="BQ660" s="375"/>
      <c r="BS660" s="373"/>
      <c r="BT660" s="374"/>
      <c r="BU660" s="375"/>
      <c r="BV660" s="375"/>
      <c r="BX660" s="373"/>
      <c r="BY660" s="374"/>
      <c r="BZ660" s="375"/>
      <c r="CA660" s="375"/>
      <c r="CC660" s="373"/>
      <c r="CD660" s="374"/>
      <c r="CE660" s="375"/>
      <c r="CF660" s="375"/>
      <c r="CH660" s="373"/>
      <c r="CI660" s="374"/>
      <c r="CJ660" s="375"/>
      <c r="CK660" s="375"/>
      <c r="CM660" s="373"/>
      <c r="CN660" s="374"/>
      <c r="CO660" s="375"/>
      <c r="CP660" s="375"/>
      <c r="CR660" s="373"/>
      <c r="CS660" s="374"/>
      <c r="CT660" s="375"/>
      <c r="CU660" s="375"/>
      <c r="CW660" s="373"/>
      <c r="CX660" s="374"/>
      <c r="CY660" s="375"/>
      <c r="CZ660" s="375"/>
      <c r="DB660" s="373"/>
      <c r="DC660" s="374"/>
      <c r="DD660" s="375"/>
      <c r="DE660" s="375"/>
      <c r="DG660" s="373"/>
      <c r="DH660" s="374"/>
      <c r="DI660" s="375"/>
      <c r="DJ660" s="375"/>
      <c r="DL660" s="373"/>
      <c r="DM660" s="374"/>
      <c r="DN660" s="375"/>
      <c r="DO660" s="375"/>
      <c r="DQ660" s="373"/>
      <c r="DR660" s="374"/>
      <c r="DS660" s="375"/>
      <c r="DT660" s="375"/>
      <c r="DV660" s="373"/>
      <c r="DW660" s="374"/>
      <c r="DX660" s="375"/>
      <c r="DY660" s="375"/>
      <c r="EA660" s="373"/>
      <c r="EB660" s="374"/>
      <c r="EC660" s="375"/>
      <c r="ED660" s="375"/>
      <c r="EF660" s="373"/>
      <c r="EG660" s="374"/>
      <c r="EH660" s="375"/>
      <c r="EI660" s="375"/>
      <c r="EK660" s="373"/>
      <c r="EL660" s="374"/>
      <c r="EM660" s="375"/>
      <c r="EN660" s="375"/>
      <c r="EP660" s="373"/>
      <c r="EQ660" s="374"/>
      <c r="ER660" s="375"/>
      <c r="ES660" s="375"/>
      <c r="EU660" s="373"/>
      <c r="EV660" s="374"/>
      <c r="EW660" s="375"/>
      <c r="EX660" s="375"/>
      <c r="EZ660" s="373"/>
      <c r="FA660" s="374"/>
      <c r="FB660" s="375"/>
      <c r="FC660" s="375"/>
      <c r="FE660" s="373"/>
      <c r="FF660" s="374"/>
      <c r="FG660" s="375"/>
      <c r="FH660" s="375"/>
      <c r="FJ660" s="373"/>
      <c r="FK660" s="374"/>
      <c r="FL660" s="375"/>
      <c r="FM660" s="375"/>
      <c r="FO660" s="373"/>
      <c r="FP660" s="374"/>
      <c r="FQ660" s="375"/>
      <c r="FR660" s="375"/>
      <c r="FT660" s="373"/>
      <c r="FU660" s="374"/>
      <c r="FV660" s="375"/>
      <c r="FW660" s="375"/>
      <c r="FY660" s="373"/>
      <c r="FZ660" s="374"/>
      <c r="GA660" s="375"/>
      <c r="GB660" s="375"/>
      <c r="GD660" s="373"/>
      <c r="GE660" s="374"/>
      <c r="GF660" s="375"/>
      <c r="GG660" s="375"/>
      <c r="GI660" s="373"/>
      <c r="GJ660" s="374"/>
      <c r="GK660" s="375"/>
      <c r="GL660" s="375"/>
      <c r="GN660" s="373"/>
      <c r="GO660" s="374"/>
      <c r="GP660" s="375"/>
      <c r="GQ660" s="375"/>
      <c r="GS660" s="373"/>
      <c r="GT660" s="374"/>
      <c r="GU660" s="375"/>
      <c r="GV660" s="375"/>
      <c r="GX660" s="373"/>
      <c r="GY660" s="374"/>
      <c r="GZ660" s="375"/>
      <c r="HA660" s="375"/>
      <c r="HC660" s="373"/>
      <c r="HD660" s="374"/>
      <c r="HE660" s="375"/>
      <c r="HF660" s="375"/>
      <c r="HH660" s="373"/>
      <c r="HI660" s="374"/>
      <c r="HJ660" s="375"/>
      <c r="HK660" s="375"/>
      <c r="HM660" s="373"/>
      <c r="HN660" s="374"/>
      <c r="HO660" s="375"/>
      <c r="HP660" s="375"/>
      <c r="HR660" s="373"/>
      <c r="HS660" s="374"/>
      <c r="HT660" s="375"/>
      <c r="HU660" s="375"/>
      <c r="HW660" s="373"/>
      <c r="HX660" s="374"/>
      <c r="HY660" s="375"/>
      <c r="HZ660" s="375"/>
      <c r="IB660" s="373"/>
      <c r="IC660" s="374"/>
      <c r="ID660" s="375"/>
      <c r="IE660" s="375"/>
      <c r="IG660" s="373"/>
      <c r="IH660" s="374"/>
      <c r="II660" s="375"/>
      <c r="IJ660" s="375"/>
      <c r="IL660" s="373"/>
      <c r="IM660" s="374"/>
      <c r="IN660" s="375"/>
      <c r="IO660" s="375"/>
      <c r="IQ660" s="373"/>
      <c r="IR660" s="374"/>
      <c r="IS660" s="375"/>
      <c r="IT660" s="375"/>
      <c r="IV660" s="373"/>
    </row>
    <row r="661" spans="1:256" s="376" customFormat="1" x14ac:dyDescent="0.2">
      <c r="A661" s="373"/>
      <c r="B661" s="374"/>
      <c r="C661" s="375"/>
      <c r="D661" s="375"/>
      <c r="F661" s="373"/>
      <c r="G661" s="374"/>
      <c r="H661" s="375"/>
      <c r="I661" s="375"/>
      <c r="K661" s="373"/>
      <c r="L661" s="374"/>
      <c r="M661" s="375"/>
      <c r="N661" s="375"/>
      <c r="P661" s="373"/>
      <c r="Q661" s="374"/>
      <c r="R661" s="375"/>
      <c r="S661" s="375"/>
      <c r="U661" s="373"/>
      <c r="V661" s="374"/>
      <c r="W661" s="375"/>
      <c r="X661" s="375"/>
      <c r="Z661" s="373"/>
      <c r="AA661" s="374"/>
      <c r="AB661" s="375"/>
      <c r="AC661" s="375"/>
      <c r="AE661" s="373"/>
      <c r="AF661" s="374"/>
      <c r="AG661" s="375"/>
      <c r="AH661" s="375"/>
      <c r="AJ661" s="373"/>
      <c r="AK661" s="374"/>
      <c r="AL661" s="375"/>
      <c r="AM661" s="375"/>
      <c r="AO661" s="373"/>
      <c r="AP661" s="374"/>
      <c r="AQ661" s="375"/>
      <c r="AR661" s="375"/>
      <c r="AT661" s="373"/>
      <c r="AU661" s="374"/>
      <c r="AV661" s="375"/>
      <c r="AW661" s="375"/>
      <c r="AY661" s="373"/>
      <c r="AZ661" s="374"/>
      <c r="BA661" s="375"/>
      <c r="BB661" s="375"/>
      <c r="BD661" s="373"/>
      <c r="BE661" s="374"/>
      <c r="BF661" s="375"/>
      <c r="BG661" s="375"/>
      <c r="BI661" s="373"/>
      <c r="BJ661" s="374"/>
      <c r="BK661" s="375"/>
      <c r="BL661" s="375"/>
      <c r="BN661" s="373"/>
      <c r="BO661" s="374"/>
      <c r="BP661" s="375"/>
      <c r="BQ661" s="375"/>
      <c r="BS661" s="373"/>
      <c r="BT661" s="374"/>
      <c r="BU661" s="375"/>
      <c r="BV661" s="375"/>
      <c r="BX661" s="373"/>
      <c r="BY661" s="374"/>
      <c r="BZ661" s="375"/>
      <c r="CA661" s="375"/>
      <c r="CC661" s="373"/>
      <c r="CD661" s="374"/>
      <c r="CE661" s="375"/>
      <c r="CF661" s="375"/>
      <c r="CH661" s="373"/>
      <c r="CI661" s="374"/>
      <c r="CJ661" s="375"/>
      <c r="CK661" s="375"/>
      <c r="CM661" s="373"/>
      <c r="CN661" s="374"/>
      <c r="CO661" s="375"/>
      <c r="CP661" s="375"/>
      <c r="CR661" s="373"/>
      <c r="CS661" s="374"/>
      <c r="CT661" s="375"/>
      <c r="CU661" s="375"/>
      <c r="CW661" s="373"/>
      <c r="CX661" s="374"/>
      <c r="CY661" s="375"/>
      <c r="CZ661" s="375"/>
      <c r="DB661" s="373"/>
      <c r="DC661" s="374"/>
      <c r="DD661" s="375"/>
      <c r="DE661" s="375"/>
      <c r="DG661" s="373"/>
      <c r="DH661" s="374"/>
      <c r="DI661" s="375"/>
      <c r="DJ661" s="375"/>
      <c r="DL661" s="373"/>
      <c r="DM661" s="374"/>
      <c r="DN661" s="375"/>
      <c r="DO661" s="375"/>
      <c r="DQ661" s="373"/>
      <c r="DR661" s="374"/>
      <c r="DS661" s="375"/>
      <c r="DT661" s="375"/>
      <c r="DV661" s="373"/>
      <c r="DW661" s="374"/>
      <c r="DX661" s="375"/>
      <c r="DY661" s="375"/>
      <c r="EA661" s="373"/>
      <c r="EB661" s="374"/>
      <c r="EC661" s="375"/>
      <c r="ED661" s="375"/>
      <c r="EF661" s="373"/>
      <c r="EG661" s="374"/>
      <c r="EH661" s="375"/>
      <c r="EI661" s="375"/>
      <c r="EK661" s="373"/>
      <c r="EL661" s="374"/>
      <c r="EM661" s="375"/>
      <c r="EN661" s="375"/>
      <c r="EP661" s="373"/>
      <c r="EQ661" s="374"/>
      <c r="ER661" s="375"/>
      <c r="ES661" s="375"/>
      <c r="EU661" s="373"/>
      <c r="EV661" s="374"/>
      <c r="EW661" s="375"/>
      <c r="EX661" s="375"/>
      <c r="EZ661" s="373"/>
      <c r="FA661" s="374"/>
      <c r="FB661" s="375"/>
      <c r="FC661" s="375"/>
      <c r="FE661" s="373"/>
      <c r="FF661" s="374"/>
      <c r="FG661" s="375"/>
      <c r="FH661" s="375"/>
      <c r="FJ661" s="373"/>
      <c r="FK661" s="374"/>
      <c r="FL661" s="375"/>
      <c r="FM661" s="375"/>
      <c r="FO661" s="373"/>
      <c r="FP661" s="374"/>
      <c r="FQ661" s="375"/>
      <c r="FR661" s="375"/>
      <c r="FT661" s="373"/>
      <c r="FU661" s="374"/>
      <c r="FV661" s="375"/>
      <c r="FW661" s="375"/>
      <c r="FY661" s="373"/>
      <c r="FZ661" s="374"/>
      <c r="GA661" s="375"/>
      <c r="GB661" s="375"/>
      <c r="GD661" s="373"/>
      <c r="GE661" s="374"/>
      <c r="GF661" s="375"/>
      <c r="GG661" s="375"/>
      <c r="GI661" s="373"/>
      <c r="GJ661" s="374"/>
      <c r="GK661" s="375"/>
      <c r="GL661" s="375"/>
      <c r="GN661" s="373"/>
      <c r="GO661" s="374"/>
      <c r="GP661" s="375"/>
      <c r="GQ661" s="375"/>
      <c r="GS661" s="373"/>
      <c r="GT661" s="374"/>
      <c r="GU661" s="375"/>
      <c r="GV661" s="375"/>
      <c r="GX661" s="373"/>
      <c r="GY661" s="374"/>
      <c r="GZ661" s="375"/>
      <c r="HA661" s="375"/>
      <c r="HC661" s="373"/>
      <c r="HD661" s="374"/>
      <c r="HE661" s="375"/>
      <c r="HF661" s="375"/>
      <c r="HH661" s="373"/>
      <c r="HI661" s="374"/>
      <c r="HJ661" s="375"/>
      <c r="HK661" s="375"/>
      <c r="HM661" s="373"/>
      <c r="HN661" s="374"/>
      <c r="HO661" s="375"/>
      <c r="HP661" s="375"/>
      <c r="HR661" s="373"/>
      <c r="HS661" s="374"/>
      <c r="HT661" s="375"/>
      <c r="HU661" s="375"/>
      <c r="HW661" s="373"/>
      <c r="HX661" s="374"/>
      <c r="HY661" s="375"/>
      <c r="HZ661" s="375"/>
      <c r="IB661" s="373"/>
      <c r="IC661" s="374"/>
      <c r="ID661" s="375"/>
      <c r="IE661" s="375"/>
      <c r="IG661" s="373"/>
      <c r="IH661" s="374"/>
      <c r="II661" s="375"/>
      <c r="IJ661" s="375"/>
      <c r="IL661" s="373"/>
      <c r="IM661" s="374"/>
      <c r="IN661" s="375"/>
      <c r="IO661" s="375"/>
      <c r="IQ661" s="373"/>
      <c r="IR661" s="374"/>
      <c r="IS661" s="375"/>
      <c r="IT661" s="375"/>
      <c r="IV661" s="373"/>
    </row>
    <row r="662" spans="1:256" s="376" customFormat="1" x14ac:dyDescent="0.2">
      <c r="A662" s="373"/>
      <c r="B662" s="374"/>
      <c r="C662" s="375"/>
      <c r="D662" s="375"/>
      <c r="F662" s="373"/>
      <c r="G662" s="374"/>
      <c r="H662" s="375"/>
      <c r="I662" s="375"/>
      <c r="K662" s="373"/>
      <c r="L662" s="374"/>
      <c r="M662" s="375"/>
      <c r="N662" s="375"/>
      <c r="P662" s="373"/>
      <c r="Q662" s="374"/>
      <c r="R662" s="375"/>
      <c r="S662" s="375"/>
      <c r="U662" s="373"/>
      <c r="V662" s="374"/>
      <c r="W662" s="375"/>
      <c r="X662" s="375"/>
      <c r="Z662" s="373"/>
      <c r="AA662" s="374"/>
      <c r="AB662" s="375"/>
      <c r="AC662" s="375"/>
      <c r="AE662" s="373"/>
      <c r="AF662" s="374"/>
      <c r="AG662" s="375"/>
      <c r="AH662" s="375"/>
      <c r="AJ662" s="373"/>
      <c r="AK662" s="374"/>
      <c r="AL662" s="375"/>
      <c r="AM662" s="375"/>
      <c r="AO662" s="373"/>
      <c r="AP662" s="374"/>
      <c r="AQ662" s="375"/>
      <c r="AR662" s="375"/>
      <c r="AT662" s="373"/>
      <c r="AU662" s="374"/>
      <c r="AV662" s="375"/>
      <c r="AW662" s="375"/>
      <c r="AY662" s="373"/>
      <c r="AZ662" s="374"/>
      <c r="BA662" s="375"/>
      <c r="BB662" s="375"/>
      <c r="BD662" s="373"/>
      <c r="BE662" s="374"/>
      <c r="BF662" s="375"/>
      <c r="BG662" s="375"/>
      <c r="BI662" s="373"/>
      <c r="BJ662" s="374"/>
      <c r="BK662" s="375"/>
      <c r="BL662" s="375"/>
      <c r="BN662" s="373"/>
      <c r="BO662" s="374"/>
      <c r="BP662" s="375"/>
      <c r="BQ662" s="375"/>
      <c r="BS662" s="373"/>
      <c r="BT662" s="374"/>
      <c r="BU662" s="375"/>
      <c r="BV662" s="375"/>
      <c r="BX662" s="373"/>
      <c r="BY662" s="374"/>
      <c r="BZ662" s="375"/>
      <c r="CA662" s="375"/>
      <c r="CC662" s="373"/>
      <c r="CD662" s="374"/>
      <c r="CE662" s="375"/>
      <c r="CF662" s="375"/>
      <c r="CH662" s="373"/>
      <c r="CI662" s="374"/>
      <c r="CJ662" s="375"/>
      <c r="CK662" s="375"/>
      <c r="CM662" s="373"/>
      <c r="CN662" s="374"/>
      <c r="CO662" s="375"/>
      <c r="CP662" s="375"/>
      <c r="CR662" s="373"/>
      <c r="CS662" s="374"/>
      <c r="CT662" s="375"/>
      <c r="CU662" s="375"/>
      <c r="CW662" s="373"/>
      <c r="CX662" s="374"/>
      <c r="CY662" s="375"/>
      <c r="CZ662" s="375"/>
      <c r="DB662" s="373"/>
      <c r="DC662" s="374"/>
      <c r="DD662" s="375"/>
      <c r="DE662" s="375"/>
      <c r="DG662" s="373"/>
      <c r="DH662" s="374"/>
      <c r="DI662" s="375"/>
      <c r="DJ662" s="375"/>
      <c r="DL662" s="373"/>
      <c r="DM662" s="374"/>
      <c r="DN662" s="375"/>
      <c r="DO662" s="375"/>
      <c r="DQ662" s="373"/>
      <c r="DR662" s="374"/>
      <c r="DS662" s="375"/>
      <c r="DT662" s="375"/>
      <c r="DV662" s="373"/>
      <c r="DW662" s="374"/>
      <c r="DX662" s="375"/>
      <c r="DY662" s="375"/>
      <c r="EA662" s="373"/>
      <c r="EB662" s="374"/>
      <c r="EC662" s="375"/>
      <c r="ED662" s="375"/>
      <c r="EF662" s="373"/>
      <c r="EG662" s="374"/>
      <c r="EH662" s="375"/>
      <c r="EI662" s="375"/>
      <c r="EK662" s="373"/>
      <c r="EL662" s="374"/>
      <c r="EM662" s="375"/>
      <c r="EN662" s="375"/>
      <c r="EP662" s="373"/>
      <c r="EQ662" s="374"/>
      <c r="ER662" s="375"/>
      <c r="ES662" s="375"/>
      <c r="EU662" s="373"/>
      <c r="EV662" s="374"/>
      <c r="EW662" s="375"/>
      <c r="EX662" s="375"/>
      <c r="EZ662" s="373"/>
      <c r="FA662" s="374"/>
      <c r="FB662" s="375"/>
      <c r="FC662" s="375"/>
      <c r="FE662" s="373"/>
      <c r="FF662" s="374"/>
      <c r="FG662" s="375"/>
      <c r="FH662" s="375"/>
      <c r="FJ662" s="373"/>
      <c r="FK662" s="374"/>
      <c r="FL662" s="375"/>
      <c r="FM662" s="375"/>
      <c r="FO662" s="373"/>
      <c r="FP662" s="374"/>
      <c r="FQ662" s="375"/>
      <c r="FR662" s="375"/>
      <c r="FT662" s="373"/>
      <c r="FU662" s="374"/>
      <c r="FV662" s="375"/>
      <c r="FW662" s="375"/>
      <c r="FY662" s="373"/>
      <c r="FZ662" s="374"/>
      <c r="GA662" s="375"/>
      <c r="GB662" s="375"/>
      <c r="GD662" s="373"/>
      <c r="GE662" s="374"/>
      <c r="GF662" s="375"/>
      <c r="GG662" s="375"/>
      <c r="GI662" s="373"/>
      <c r="GJ662" s="374"/>
      <c r="GK662" s="375"/>
      <c r="GL662" s="375"/>
      <c r="GN662" s="373"/>
      <c r="GO662" s="374"/>
      <c r="GP662" s="375"/>
      <c r="GQ662" s="375"/>
      <c r="GS662" s="373"/>
      <c r="GT662" s="374"/>
      <c r="GU662" s="375"/>
      <c r="GV662" s="375"/>
      <c r="GX662" s="373"/>
      <c r="GY662" s="374"/>
      <c r="GZ662" s="375"/>
      <c r="HA662" s="375"/>
      <c r="HC662" s="373"/>
      <c r="HD662" s="374"/>
      <c r="HE662" s="375"/>
      <c r="HF662" s="375"/>
      <c r="HH662" s="373"/>
      <c r="HI662" s="374"/>
      <c r="HJ662" s="375"/>
      <c r="HK662" s="375"/>
      <c r="HM662" s="373"/>
      <c r="HN662" s="374"/>
      <c r="HO662" s="375"/>
      <c r="HP662" s="375"/>
      <c r="HR662" s="373"/>
      <c r="HS662" s="374"/>
      <c r="HT662" s="375"/>
      <c r="HU662" s="375"/>
      <c r="HW662" s="373"/>
      <c r="HX662" s="374"/>
      <c r="HY662" s="375"/>
      <c r="HZ662" s="375"/>
      <c r="IB662" s="373"/>
      <c r="IC662" s="374"/>
      <c r="ID662" s="375"/>
      <c r="IE662" s="375"/>
      <c r="IG662" s="373"/>
      <c r="IH662" s="374"/>
      <c r="II662" s="375"/>
      <c r="IJ662" s="375"/>
      <c r="IL662" s="373"/>
      <c r="IM662" s="374"/>
      <c r="IN662" s="375"/>
      <c r="IO662" s="375"/>
      <c r="IQ662" s="373"/>
      <c r="IR662" s="374"/>
      <c r="IS662" s="375"/>
      <c r="IT662" s="375"/>
      <c r="IV662" s="373"/>
    </row>
    <row r="663" spans="1:256" s="376" customFormat="1" x14ac:dyDescent="0.2">
      <c r="A663" s="373"/>
      <c r="B663" s="374"/>
      <c r="C663" s="375"/>
      <c r="D663" s="375"/>
      <c r="F663" s="373"/>
      <c r="G663" s="374"/>
      <c r="H663" s="375"/>
      <c r="I663" s="375"/>
      <c r="K663" s="373"/>
      <c r="L663" s="374"/>
      <c r="M663" s="375"/>
      <c r="N663" s="375"/>
      <c r="P663" s="373"/>
      <c r="Q663" s="374"/>
      <c r="R663" s="375"/>
      <c r="S663" s="375"/>
      <c r="U663" s="373"/>
      <c r="V663" s="374"/>
      <c r="W663" s="375"/>
      <c r="X663" s="375"/>
      <c r="Z663" s="373"/>
      <c r="AA663" s="374"/>
      <c r="AB663" s="375"/>
      <c r="AC663" s="375"/>
      <c r="AE663" s="373"/>
      <c r="AF663" s="374"/>
      <c r="AG663" s="375"/>
      <c r="AH663" s="375"/>
      <c r="AJ663" s="373"/>
      <c r="AK663" s="374"/>
      <c r="AL663" s="375"/>
      <c r="AM663" s="375"/>
      <c r="AO663" s="373"/>
      <c r="AP663" s="374"/>
      <c r="AQ663" s="375"/>
      <c r="AR663" s="375"/>
      <c r="AT663" s="373"/>
      <c r="AU663" s="374"/>
      <c r="AV663" s="375"/>
      <c r="AW663" s="375"/>
      <c r="AY663" s="373"/>
      <c r="AZ663" s="374"/>
      <c r="BA663" s="375"/>
      <c r="BB663" s="375"/>
      <c r="BD663" s="373"/>
      <c r="BE663" s="374"/>
      <c r="BF663" s="375"/>
      <c r="BG663" s="375"/>
      <c r="BI663" s="373"/>
      <c r="BJ663" s="374"/>
      <c r="BK663" s="375"/>
      <c r="BL663" s="375"/>
      <c r="BN663" s="373"/>
      <c r="BO663" s="374"/>
      <c r="BP663" s="375"/>
      <c r="BQ663" s="375"/>
      <c r="BS663" s="373"/>
      <c r="BT663" s="374"/>
      <c r="BU663" s="375"/>
      <c r="BV663" s="375"/>
      <c r="BX663" s="373"/>
      <c r="BY663" s="374"/>
      <c r="BZ663" s="375"/>
      <c r="CA663" s="375"/>
      <c r="CC663" s="373"/>
      <c r="CD663" s="374"/>
      <c r="CE663" s="375"/>
      <c r="CF663" s="375"/>
      <c r="CH663" s="373"/>
      <c r="CI663" s="374"/>
      <c r="CJ663" s="375"/>
      <c r="CK663" s="375"/>
      <c r="CM663" s="373"/>
      <c r="CN663" s="374"/>
      <c r="CO663" s="375"/>
      <c r="CP663" s="375"/>
      <c r="CR663" s="373"/>
      <c r="CS663" s="374"/>
      <c r="CT663" s="375"/>
      <c r="CU663" s="375"/>
      <c r="CW663" s="373"/>
      <c r="CX663" s="374"/>
      <c r="CY663" s="375"/>
      <c r="CZ663" s="375"/>
      <c r="DB663" s="373"/>
      <c r="DC663" s="374"/>
      <c r="DD663" s="375"/>
      <c r="DE663" s="375"/>
      <c r="DG663" s="373"/>
      <c r="DH663" s="374"/>
      <c r="DI663" s="375"/>
      <c r="DJ663" s="375"/>
      <c r="DL663" s="373"/>
      <c r="DM663" s="374"/>
      <c r="DN663" s="375"/>
      <c r="DO663" s="375"/>
      <c r="DQ663" s="373"/>
      <c r="DR663" s="374"/>
      <c r="DS663" s="375"/>
      <c r="DT663" s="375"/>
      <c r="DV663" s="373"/>
      <c r="DW663" s="374"/>
      <c r="DX663" s="375"/>
      <c r="DY663" s="375"/>
      <c r="EA663" s="373"/>
      <c r="EB663" s="374"/>
      <c r="EC663" s="375"/>
      <c r="ED663" s="375"/>
      <c r="EF663" s="373"/>
      <c r="EG663" s="374"/>
      <c r="EH663" s="375"/>
      <c r="EI663" s="375"/>
      <c r="EK663" s="373"/>
      <c r="EL663" s="374"/>
      <c r="EM663" s="375"/>
      <c r="EN663" s="375"/>
      <c r="EP663" s="373"/>
      <c r="EQ663" s="374"/>
      <c r="ER663" s="375"/>
      <c r="ES663" s="375"/>
      <c r="EU663" s="373"/>
      <c r="EV663" s="374"/>
      <c r="EW663" s="375"/>
      <c r="EX663" s="375"/>
      <c r="EZ663" s="373"/>
      <c r="FA663" s="374"/>
      <c r="FB663" s="375"/>
      <c r="FC663" s="375"/>
      <c r="FE663" s="373"/>
      <c r="FF663" s="374"/>
      <c r="FG663" s="375"/>
      <c r="FH663" s="375"/>
      <c r="FJ663" s="373"/>
      <c r="FK663" s="374"/>
      <c r="FL663" s="375"/>
      <c r="FM663" s="375"/>
      <c r="FO663" s="373"/>
      <c r="FP663" s="374"/>
      <c r="FQ663" s="375"/>
      <c r="FR663" s="375"/>
      <c r="FT663" s="373"/>
      <c r="FU663" s="374"/>
      <c r="FV663" s="375"/>
      <c r="FW663" s="375"/>
      <c r="FY663" s="373"/>
      <c r="FZ663" s="374"/>
      <c r="GA663" s="375"/>
      <c r="GB663" s="375"/>
      <c r="GD663" s="373"/>
      <c r="GE663" s="374"/>
      <c r="GF663" s="375"/>
      <c r="GG663" s="375"/>
      <c r="GI663" s="373"/>
      <c r="GJ663" s="374"/>
      <c r="GK663" s="375"/>
      <c r="GL663" s="375"/>
      <c r="GN663" s="373"/>
      <c r="GO663" s="374"/>
      <c r="GP663" s="375"/>
      <c r="GQ663" s="375"/>
      <c r="GS663" s="373"/>
      <c r="GT663" s="374"/>
      <c r="GU663" s="375"/>
      <c r="GV663" s="375"/>
      <c r="GX663" s="373"/>
      <c r="GY663" s="374"/>
      <c r="GZ663" s="375"/>
      <c r="HA663" s="375"/>
      <c r="HC663" s="373"/>
      <c r="HD663" s="374"/>
      <c r="HE663" s="375"/>
      <c r="HF663" s="375"/>
      <c r="HH663" s="373"/>
      <c r="HI663" s="374"/>
      <c r="HJ663" s="375"/>
      <c r="HK663" s="375"/>
      <c r="HM663" s="373"/>
      <c r="HN663" s="374"/>
      <c r="HO663" s="375"/>
      <c r="HP663" s="375"/>
      <c r="HR663" s="373"/>
      <c r="HS663" s="374"/>
      <c r="HT663" s="375"/>
      <c r="HU663" s="375"/>
      <c r="HW663" s="373"/>
      <c r="HX663" s="374"/>
      <c r="HY663" s="375"/>
      <c r="HZ663" s="375"/>
      <c r="IB663" s="373"/>
      <c r="IC663" s="374"/>
      <c r="ID663" s="375"/>
      <c r="IE663" s="375"/>
      <c r="IG663" s="373"/>
      <c r="IH663" s="374"/>
      <c r="II663" s="375"/>
      <c r="IJ663" s="375"/>
      <c r="IL663" s="373"/>
      <c r="IM663" s="374"/>
      <c r="IN663" s="375"/>
      <c r="IO663" s="375"/>
      <c r="IQ663" s="373"/>
      <c r="IR663" s="374"/>
      <c r="IS663" s="375"/>
      <c r="IT663" s="375"/>
      <c r="IV663" s="373"/>
    </row>
  </sheetData>
  <phoneticPr fontId="3" type="noConversion"/>
  <pageMargins left="0.75" right="0.75" top="1" bottom="1" header="0.4921259845" footer="0.4921259845"/>
  <pageSetup paperSize="9" orientation="portrait" horizontalDpi="200" verticalDpi="2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D8E4-3C7B-4B08-B688-E4E1AC77D1E1}">
  <sheetPr codeName="Tabelle9"/>
  <dimension ref="A1:C10000"/>
  <sheetViews>
    <sheetView workbookViewId="0">
      <selection activeCell="H4463" sqref="H4463"/>
    </sheetView>
  </sheetViews>
  <sheetFormatPr defaultColWidth="11.42578125" defaultRowHeight="11.25" x14ac:dyDescent="0.2"/>
  <cols>
    <col min="1" max="1" width="1.42578125" style="340" customWidth="1"/>
    <col min="2" max="2" width="22.42578125" style="339" customWidth="1"/>
    <col min="3" max="16384" width="11.42578125" style="340"/>
  </cols>
  <sheetData>
    <row r="1" spans="1:3" x14ac:dyDescent="0.2">
      <c r="A1" s="338" t="s">
        <v>2134</v>
      </c>
    </row>
    <row r="2" spans="1:3" x14ac:dyDescent="0.2">
      <c r="A2" s="341" t="s">
        <v>891</v>
      </c>
    </row>
    <row r="3" spans="1:3" x14ac:dyDescent="0.2">
      <c r="A3" s="341" t="s">
        <v>3209</v>
      </c>
    </row>
    <row r="4" spans="1:3" x14ac:dyDescent="0.2">
      <c r="A4" s="341" t="s">
        <v>1297</v>
      </c>
    </row>
    <row r="5" spans="1:3" x14ac:dyDescent="0.2">
      <c r="A5" s="341" t="s">
        <v>2488</v>
      </c>
    </row>
    <row r="6" spans="1:3" x14ac:dyDescent="0.2">
      <c r="A6" s="341" t="s">
        <v>2135</v>
      </c>
    </row>
    <row r="7" spans="1:3" x14ac:dyDescent="0.2">
      <c r="A7" s="342"/>
    </row>
    <row r="8" spans="1:3" x14ac:dyDescent="0.2">
      <c r="A8" s="341"/>
      <c r="B8" s="339" t="s">
        <v>326</v>
      </c>
      <c r="C8" s="340">
        <v>85</v>
      </c>
    </row>
    <row r="9" spans="1:3" x14ac:dyDescent="0.2">
      <c r="A9" s="341"/>
      <c r="B9" s="339" t="s">
        <v>2590</v>
      </c>
      <c r="C9" s="340">
        <v>21</v>
      </c>
    </row>
    <row r="10" spans="1:3" x14ac:dyDescent="0.2">
      <c r="A10" s="341"/>
      <c r="B10" s="339" t="s">
        <v>332</v>
      </c>
      <c r="C10" s="340">
        <v>7</v>
      </c>
    </row>
    <row r="11" spans="1:3" x14ac:dyDescent="0.2">
      <c r="A11" s="341"/>
      <c r="B11" s="339" t="s">
        <v>327</v>
      </c>
      <c r="C11" s="340">
        <v>4</v>
      </c>
    </row>
    <row r="12" spans="1:3" x14ac:dyDescent="0.2">
      <c r="A12" s="341"/>
      <c r="B12" s="339" t="s">
        <v>330</v>
      </c>
      <c r="C12" s="340">
        <v>4</v>
      </c>
    </row>
    <row r="13" spans="1:3" x14ac:dyDescent="0.2">
      <c r="A13" s="341"/>
      <c r="B13" s="339" t="s">
        <v>329</v>
      </c>
      <c r="C13" s="340">
        <v>2</v>
      </c>
    </row>
    <row r="14" spans="1:3" x14ac:dyDescent="0.2">
      <c r="A14" s="341"/>
      <c r="B14" s="339" t="s">
        <v>328</v>
      </c>
      <c r="C14" s="340">
        <v>2</v>
      </c>
    </row>
    <row r="15" spans="1:3" x14ac:dyDescent="0.2">
      <c r="A15" s="341"/>
      <c r="B15" s="339" t="s">
        <v>2591</v>
      </c>
      <c r="C15" s="340">
        <v>1</v>
      </c>
    </row>
    <row r="16" spans="1:3" x14ac:dyDescent="0.2">
      <c r="A16" s="341"/>
      <c r="B16" s="339" t="s">
        <v>331</v>
      </c>
      <c r="C16" s="340">
        <v>1</v>
      </c>
    </row>
    <row r="17" spans="1:3" x14ac:dyDescent="0.2">
      <c r="A17" s="341"/>
      <c r="B17" s="339" t="s">
        <v>334</v>
      </c>
      <c r="C17" s="340">
        <v>0.5</v>
      </c>
    </row>
    <row r="18" spans="1:3" x14ac:dyDescent="0.2">
      <c r="A18" s="341"/>
      <c r="B18" s="339" t="s">
        <v>612</v>
      </c>
      <c r="C18" s="340">
        <v>0.5</v>
      </c>
    </row>
    <row r="19" spans="1:3" x14ac:dyDescent="0.2">
      <c r="A19" s="341"/>
      <c r="B19" s="339" t="s">
        <v>613</v>
      </c>
      <c r="C19" s="340">
        <v>0.5</v>
      </c>
    </row>
    <row r="20" spans="1:3" x14ac:dyDescent="0.2">
      <c r="A20" s="341"/>
    </row>
    <row r="21" spans="1:3" x14ac:dyDescent="0.2">
      <c r="A21" s="338" t="s">
        <v>2136</v>
      </c>
    </row>
    <row r="22" spans="1:3" x14ac:dyDescent="0.2">
      <c r="A22" s="341" t="s">
        <v>891</v>
      </c>
    </row>
    <row r="23" spans="1:3" x14ac:dyDescent="0.2">
      <c r="A23" s="341" t="s">
        <v>1093</v>
      </c>
    </row>
    <row r="24" spans="1:3" x14ac:dyDescent="0.2">
      <c r="A24" s="341" t="s">
        <v>1298</v>
      </c>
    </row>
    <row r="25" spans="1:3" x14ac:dyDescent="0.2">
      <c r="A25" s="341" t="s">
        <v>2489</v>
      </c>
    </row>
    <row r="26" spans="1:3" x14ac:dyDescent="0.2">
      <c r="A26" s="341" t="s">
        <v>2137</v>
      </c>
    </row>
    <row r="27" spans="1:3" x14ac:dyDescent="0.2">
      <c r="A27" s="341"/>
    </row>
    <row r="28" spans="1:3" x14ac:dyDescent="0.2">
      <c r="A28" s="341"/>
      <c r="B28" s="339" t="s">
        <v>326</v>
      </c>
      <c r="C28" s="340">
        <v>95</v>
      </c>
    </row>
    <row r="29" spans="1:3" x14ac:dyDescent="0.2">
      <c r="A29" s="341"/>
      <c r="B29" s="339" t="s">
        <v>2590</v>
      </c>
      <c r="C29" s="340">
        <v>40</v>
      </c>
    </row>
    <row r="30" spans="1:3" x14ac:dyDescent="0.2">
      <c r="A30" s="341"/>
      <c r="B30" s="339" t="s">
        <v>330</v>
      </c>
      <c r="C30" s="340">
        <v>30</v>
      </c>
    </row>
    <row r="31" spans="1:3" x14ac:dyDescent="0.2">
      <c r="A31" s="341"/>
      <c r="B31" s="339" t="s">
        <v>327</v>
      </c>
      <c r="C31" s="340">
        <v>20</v>
      </c>
    </row>
    <row r="32" spans="1:3" x14ac:dyDescent="0.2">
      <c r="A32" s="341"/>
      <c r="B32" s="339" t="s">
        <v>2632</v>
      </c>
      <c r="C32" s="340">
        <v>12</v>
      </c>
    </row>
    <row r="33" spans="1:3" x14ac:dyDescent="0.2">
      <c r="A33" s="341"/>
      <c r="B33" s="339" t="s">
        <v>3150</v>
      </c>
      <c r="C33" s="340">
        <v>10</v>
      </c>
    </row>
    <row r="34" spans="1:3" x14ac:dyDescent="0.2">
      <c r="A34" s="341"/>
      <c r="B34" s="339" t="s">
        <v>2591</v>
      </c>
      <c r="C34" s="340">
        <v>4</v>
      </c>
    </row>
    <row r="35" spans="1:3" x14ac:dyDescent="0.2">
      <c r="A35" s="341"/>
      <c r="B35" s="339" t="s">
        <v>332</v>
      </c>
      <c r="C35" s="340">
        <v>2</v>
      </c>
    </row>
    <row r="36" spans="1:3" x14ac:dyDescent="0.2">
      <c r="A36" s="341"/>
      <c r="B36" s="339" t="s">
        <v>328</v>
      </c>
      <c r="C36" s="340">
        <v>2</v>
      </c>
    </row>
    <row r="37" spans="1:3" x14ac:dyDescent="0.2">
      <c r="A37" s="341"/>
      <c r="B37" s="339" t="s">
        <v>329</v>
      </c>
      <c r="C37" s="340">
        <v>0.5</v>
      </c>
    </row>
    <row r="38" spans="1:3" x14ac:dyDescent="0.2">
      <c r="A38" s="341"/>
      <c r="B38" s="339" t="s">
        <v>334</v>
      </c>
      <c r="C38" s="340">
        <v>0.5</v>
      </c>
    </row>
    <row r="39" spans="1:3" x14ac:dyDescent="0.2">
      <c r="A39" s="341"/>
      <c r="B39" s="339" t="s">
        <v>1586</v>
      </c>
      <c r="C39" s="340">
        <v>0.5</v>
      </c>
    </row>
    <row r="40" spans="1:3" x14ac:dyDescent="0.2">
      <c r="A40" s="341"/>
    </row>
    <row r="41" spans="1:3" x14ac:dyDescent="0.2">
      <c r="A41" s="338" t="s">
        <v>2138</v>
      </c>
    </row>
    <row r="42" spans="1:3" x14ac:dyDescent="0.2">
      <c r="A42" s="341" t="s">
        <v>892</v>
      </c>
    </row>
    <row r="43" spans="1:3" x14ac:dyDescent="0.2">
      <c r="A43" s="341" t="s">
        <v>1094</v>
      </c>
    </row>
    <row r="44" spans="1:3" x14ac:dyDescent="0.2">
      <c r="A44" s="341" t="s">
        <v>1299</v>
      </c>
    </row>
    <row r="45" spans="1:3" x14ac:dyDescent="0.2">
      <c r="A45" s="341" t="s">
        <v>2489</v>
      </c>
    </row>
    <row r="46" spans="1:3" x14ac:dyDescent="0.2">
      <c r="A46" s="341" t="s">
        <v>2139</v>
      </c>
    </row>
    <row r="47" spans="1:3" x14ac:dyDescent="0.2">
      <c r="A47" s="341"/>
    </row>
    <row r="48" spans="1:3" x14ac:dyDescent="0.2">
      <c r="A48" s="341"/>
      <c r="B48" s="339" t="s">
        <v>326</v>
      </c>
      <c r="C48" s="340">
        <v>35</v>
      </c>
    </row>
    <row r="49" spans="1:3" x14ac:dyDescent="0.2">
      <c r="A49" s="341"/>
      <c r="B49" s="339" t="s">
        <v>2590</v>
      </c>
      <c r="C49" s="340">
        <v>12</v>
      </c>
    </row>
    <row r="50" spans="1:3" x14ac:dyDescent="0.2">
      <c r="A50" s="341"/>
      <c r="B50" s="339" t="s">
        <v>3150</v>
      </c>
      <c r="C50" s="340">
        <v>12</v>
      </c>
    </row>
    <row r="51" spans="1:3" x14ac:dyDescent="0.2">
      <c r="A51" s="341"/>
      <c r="B51" s="339" t="s">
        <v>332</v>
      </c>
      <c r="C51" s="340">
        <v>8</v>
      </c>
    </row>
    <row r="52" spans="1:3" x14ac:dyDescent="0.2">
      <c r="A52" s="341"/>
      <c r="B52" s="339" t="s">
        <v>329</v>
      </c>
      <c r="C52" s="340">
        <v>8</v>
      </c>
    </row>
    <row r="53" spans="1:3" x14ac:dyDescent="0.2">
      <c r="A53" s="341"/>
      <c r="B53" s="339" t="s">
        <v>2591</v>
      </c>
      <c r="C53" s="340">
        <v>6</v>
      </c>
    </row>
    <row r="54" spans="1:3" x14ac:dyDescent="0.2">
      <c r="A54" s="341"/>
      <c r="B54" s="339" t="s">
        <v>599</v>
      </c>
      <c r="C54" s="340">
        <v>6</v>
      </c>
    </row>
    <row r="55" spans="1:3" x14ac:dyDescent="0.2">
      <c r="A55" s="341"/>
      <c r="B55" s="339" t="s">
        <v>330</v>
      </c>
      <c r="C55" s="340">
        <v>6</v>
      </c>
    </row>
    <row r="56" spans="1:3" x14ac:dyDescent="0.2">
      <c r="A56" s="341"/>
      <c r="B56" s="339" t="s">
        <v>327</v>
      </c>
      <c r="C56" s="340">
        <v>5</v>
      </c>
    </row>
    <row r="57" spans="1:3" x14ac:dyDescent="0.2">
      <c r="A57" s="341"/>
      <c r="B57" s="339" t="s">
        <v>2632</v>
      </c>
      <c r="C57" s="340">
        <v>4</v>
      </c>
    </row>
    <row r="58" spans="1:3" x14ac:dyDescent="0.2">
      <c r="A58" s="341"/>
      <c r="B58" s="339" t="s">
        <v>612</v>
      </c>
      <c r="C58" s="340">
        <v>3</v>
      </c>
    </row>
    <row r="59" spans="1:3" x14ac:dyDescent="0.2">
      <c r="A59" s="341"/>
      <c r="B59" s="339" t="s">
        <v>334</v>
      </c>
      <c r="C59" s="340">
        <v>2</v>
      </c>
    </row>
    <row r="60" spans="1:3" x14ac:dyDescent="0.2">
      <c r="A60" s="341"/>
      <c r="B60" s="339" t="s">
        <v>328</v>
      </c>
      <c r="C60" s="340">
        <v>2</v>
      </c>
    </row>
    <row r="61" spans="1:3" x14ac:dyDescent="0.2">
      <c r="A61" s="341"/>
    </row>
    <row r="62" spans="1:3" x14ac:dyDescent="0.2">
      <c r="A62" s="338" t="s">
        <v>2140</v>
      </c>
    </row>
    <row r="63" spans="1:3" x14ac:dyDescent="0.2">
      <c r="A63" s="341" t="s">
        <v>892</v>
      </c>
    </row>
    <row r="64" spans="1:3" x14ac:dyDescent="0.2">
      <c r="A64" s="341" t="s">
        <v>1095</v>
      </c>
    </row>
    <row r="65" spans="1:3" x14ac:dyDescent="0.2">
      <c r="A65" s="341" t="s">
        <v>1300</v>
      </c>
    </row>
    <row r="66" spans="1:3" x14ac:dyDescent="0.2">
      <c r="A66" s="341" t="s">
        <v>2490</v>
      </c>
    </row>
    <row r="67" spans="1:3" x14ac:dyDescent="0.2">
      <c r="A67" s="341" t="s">
        <v>2141</v>
      </c>
    </row>
    <row r="68" spans="1:3" x14ac:dyDescent="0.2">
      <c r="A68" s="341"/>
    </row>
    <row r="69" spans="1:3" x14ac:dyDescent="0.2">
      <c r="A69" s="341"/>
      <c r="B69" s="339" t="s">
        <v>332</v>
      </c>
      <c r="C69" s="340">
        <v>30</v>
      </c>
    </row>
    <row r="70" spans="1:3" x14ac:dyDescent="0.2">
      <c r="A70" s="341"/>
      <c r="B70" s="339" t="s">
        <v>1585</v>
      </c>
      <c r="C70" s="340">
        <v>30</v>
      </c>
    </row>
    <row r="71" spans="1:3" x14ac:dyDescent="0.2">
      <c r="A71" s="341"/>
      <c r="B71" s="339" t="s">
        <v>2590</v>
      </c>
      <c r="C71" s="340">
        <v>20</v>
      </c>
    </row>
    <row r="72" spans="1:3" x14ac:dyDescent="0.2">
      <c r="A72" s="341"/>
      <c r="B72" s="339" t="s">
        <v>326</v>
      </c>
      <c r="C72" s="340">
        <v>13</v>
      </c>
    </row>
    <row r="73" spans="1:3" x14ac:dyDescent="0.2">
      <c r="A73" s="341"/>
      <c r="B73" s="339" t="s">
        <v>338</v>
      </c>
      <c r="C73" s="340">
        <v>10</v>
      </c>
    </row>
    <row r="74" spans="1:3" x14ac:dyDescent="0.2">
      <c r="A74" s="341"/>
      <c r="B74" s="339" t="s">
        <v>337</v>
      </c>
      <c r="C74" s="340">
        <v>8</v>
      </c>
    </row>
    <row r="75" spans="1:3" x14ac:dyDescent="0.2">
      <c r="A75" s="341"/>
      <c r="B75" s="339" t="s">
        <v>603</v>
      </c>
      <c r="C75" s="340">
        <v>7</v>
      </c>
    </row>
    <row r="76" spans="1:3" x14ac:dyDescent="0.2">
      <c r="A76" s="341"/>
      <c r="B76" s="339" t="s">
        <v>336</v>
      </c>
      <c r="C76" s="340">
        <v>6</v>
      </c>
    </row>
    <row r="77" spans="1:3" x14ac:dyDescent="0.2">
      <c r="A77" s="341"/>
      <c r="B77" s="339" t="s">
        <v>2633</v>
      </c>
      <c r="C77" s="340">
        <v>4</v>
      </c>
    </row>
    <row r="78" spans="1:3" x14ac:dyDescent="0.2">
      <c r="A78" s="341"/>
      <c r="B78" s="339" t="s">
        <v>329</v>
      </c>
      <c r="C78" s="340">
        <v>3</v>
      </c>
    </row>
    <row r="79" spans="1:3" x14ac:dyDescent="0.2">
      <c r="A79" s="341"/>
      <c r="B79" s="339" t="s">
        <v>2634</v>
      </c>
      <c r="C79" s="340">
        <v>1</v>
      </c>
    </row>
    <row r="80" spans="1:3" x14ac:dyDescent="0.2">
      <c r="A80" s="341"/>
      <c r="B80" s="339" t="s">
        <v>334</v>
      </c>
      <c r="C80" s="340">
        <v>1</v>
      </c>
    </row>
    <row r="81" spans="1:3" x14ac:dyDescent="0.2">
      <c r="A81" s="341"/>
      <c r="B81" s="339" t="s">
        <v>330</v>
      </c>
      <c r="C81" s="340">
        <v>1</v>
      </c>
    </row>
    <row r="82" spans="1:3" x14ac:dyDescent="0.2">
      <c r="A82" s="341"/>
      <c r="B82" s="339" t="s">
        <v>333</v>
      </c>
      <c r="C82" s="340">
        <v>1</v>
      </c>
    </row>
    <row r="83" spans="1:3" x14ac:dyDescent="0.2">
      <c r="A83" s="341"/>
      <c r="B83" s="339" t="s">
        <v>2591</v>
      </c>
      <c r="C83" s="340">
        <v>0.5</v>
      </c>
    </row>
    <row r="84" spans="1:3" x14ac:dyDescent="0.2">
      <c r="A84" s="341"/>
      <c r="B84" s="339" t="s">
        <v>2634</v>
      </c>
      <c r="C84" s="340">
        <v>0.5</v>
      </c>
    </row>
    <row r="85" spans="1:3" x14ac:dyDescent="0.2">
      <c r="A85" s="341"/>
      <c r="B85" s="339" t="s">
        <v>2632</v>
      </c>
      <c r="C85" s="340">
        <v>0.5</v>
      </c>
    </row>
    <row r="86" spans="1:3" x14ac:dyDescent="0.2">
      <c r="A86" s="341"/>
      <c r="B86" s="339" t="s">
        <v>335</v>
      </c>
      <c r="C86" s="340">
        <v>0.5</v>
      </c>
    </row>
    <row r="87" spans="1:3" x14ac:dyDescent="0.2">
      <c r="A87" s="341"/>
    </row>
    <row r="88" spans="1:3" x14ac:dyDescent="0.2">
      <c r="A88" s="338" t="s">
        <v>2142</v>
      </c>
    </row>
    <row r="89" spans="1:3" x14ac:dyDescent="0.2">
      <c r="A89" s="341" t="s">
        <v>893</v>
      </c>
    </row>
    <row r="90" spans="1:3" x14ac:dyDescent="0.2">
      <c r="A90" s="341" t="s">
        <v>1096</v>
      </c>
    </row>
    <row r="91" spans="1:3" x14ac:dyDescent="0.2">
      <c r="A91" s="341" t="s">
        <v>1301</v>
      </c>
    </row>
    <row r="92" spans="1:3" x14ac:dyDescent="0.2">
      <c r="A92" s="341" t="s">
        <v>2491</v>
      </c>
    </row>
    <row r="93" spans="1:3" x14ac:dyDescent="0.2">
      <c r="A93" s="341" t="s">
        <v>2143</v>
      </c>
    </row>
    <row r="94" spans="1:3" x14ac:dyDescent="0.2">
      <c r="A94" s="341"/>
    </row>
    <row r="95" spans="1:3" x14ac:dyDescent="0.2">
      <c r="A95" s="341"/>
      <c r="B95" s="339" t="s">
        <v>1585</v>
      </c>
      <c r="C95" s="340">
        <v>30</v>
      </c>
    </row>
    <row r="96" spans="1:3" x14ac:dyDescent="0.2">
      <c r="A96" s="341"/>
      <c r="B96" s="339" t="s">
        <v>337</v>
      </c>
      <c r="C96" s="340">
        <v>25</v>
      </c>
    </row>
    <row r="97" spans="1:3" x14ac:dyDescent="0.2">
      <c r="A97" s="341"/>
      <c r="B97" s="339" t="s">
        <v>338</v>
      </c>
      <c r="C97" s="340">
        <v>15</v>
      </c>
    </row>
    <row r="98" spans="1:3" x14ac:dyDescent="0.2">
      <c r="A98" s="341"/>
      <c r="B98" s="339" t="s">
        <v>332</v>
      </c>
      <c r="C98" s="340">
        <v>15</v>
      </c>
    </row>
    <row r="99" spans="1:3" x14ac:dyDescent="0.2">
      <c r="A99" s="341"/>
      <c r="B99" s="339" t="s">
        <v>2633</v>
      </c>
      <c r="C99" s="340">
        <v>10</v>
      </c>
    </row>
    <row r="100" spans="1:3" x14ac:dyDescent="0.2">
      <c r="A100" s="341"/>
      <c r="B100" s="339" t="s">
        <v>2590</v>
      </c>
      <c r="C100" s="340">
        <v>10</v>
      </c>
    </row>
    <row r="101" spans="1:3" x14ac:dyDescent="0.2">
      <c r="A101" s="341"/>
      <c r="B101" s="339" t="s">
        <v>326</v>
      </c>
      <c r="C101" s="340">
        <v>10</v>
      </c>
    </row>
    <row r="102" spans="1:3" x14ac:dyDescent="0.2">
      <c r="A102" s="341"/>
      <c r="B102" s="339" t="s">
        <v>329</v>
      </c>
      <c r="C102" s="340">
        <v>6</v>
      </c>
    </row>
    <row r="103" spans="1:3" x14ac:dyDescent="0.2">
      <c r="A103" s="341"/>
      <c r="B103" s="339" t="s">
        <v>330</v>
      </c>
      <c r="C103" s="340">
        <v>2</v>
      </c>
    </row>
    <row r="104" spans="1:3" x14ac:dyDescent="0.2">
      <c r="A104" s="341"/>
      <c r="B104" s="339" t="s">
        <v>333</v>
      </c>
      <c r="C104" s="340">
        <v>2</v>
      </c>
    </row>
    <row r="105" spans="1:3" x14ac:dyDescent="0.2">
      <c r="A105" s="341"/>
      <c r="B105" s="339" t="s">
        <v>336</v>
      </c>
      <c r="C105" s="340">
        <v>1</v>
      </c>
    </row>
    <row r="106" spans="1:3" x14ac:dyDescent="0.2">
      <c r="A106" s="341"/>
      <c r="B106" s="339" t="s">
        <v>2634</v>
      </c>
      <c r="C106" s="340">
        <v>0.5</v>
      </c>
    </row>
    <row r="107" spans="1:3" x14ac:dyDescent="0.2">
      <c r="A107" s="341"/>
      <c r="B107" s="339" t="s">
        <v>603</v>
      </c>
      <c r="C107" s="340">
        <v>0.5</v>
      </c>
    </row>
    <row r="108" spans="1:3" x14ac:dyDescent="0.2">
      <c r="A108" s="341"/>
      <c r="B108" s="339" t="s">
        <v>334</v>
      </c>
      <c r="C108" s="340">
        <v>0.5</v>
      </c>
    </row>
    <row r="109" spans="1:3" x14ac:dyDescent="0.2">
      <c r="A109" s="341"/>
      <c r="B109" s="339" t="s">
        <v>2632</v>
      </c>
      <c r="C109" s="340">
        <v>0.5</v>
      </c>
    </row>
    <row r="110" spans="1:3" x14ac:dyDescent="0.2">
      <c r="A110" s="341"/>
      <c r="B110" s="339" t="s">
        <v>2635</v>
      </c>
      <c r="C110" s="340">
        <v>0.5</v>
      </c>
    </row>
    <row r="111" spans="1:3" x14ac:dyDescent="0.2">
      <c r="A111" s="341"/>
    </row>
    <row r="112" spans="1:3" x14ac:dyDescent="0.2">
      <c r="A112" s="338" t="s">
        <v>2144</v>
      </c>
    </row>
    <row r="113" spans="1:3" x14ac:dyDescent="0.2">
      <c r="A113" s="341" t="s">
        <v>894</v>
      </c>
    </row>
    <row r="114" spans="1:3" x14ac:dyDescent="0.2">
      <c r="A114" s="341" t="s">
        <v>1097</v>
      </c>
    </row>
    <row r="115" spans="1:3" x14ac:dyDescent="0.2">
      <c r="A115" s="341" t="s">
        <v>1302</v>
      </c>
    </row>
    <row r="116" spans="1:3" x14ac:dyDescent="0.2">
      <c r="A116" s="341" t="s">
        <v>2492</v>
      </c>
    </row>
    <row r="117" spans="1:3" x14ac:dyDescent="0.2">
      <c r="A117" s="341" t="s">
        <v>2145</v>
      </c>
    </row>
    <row r="118" spans="1:3" x14ac:dyDescent="0.2">
      <c r="A118" s="341"/>
    </row>
    <row r="119" spans="1:3" x14ac:dyDescent="0.2">
      <c r="A119" s="341"/>
      <c r="B119" s="339" t="s">
        <v>336</v>
      </c>
      <c r="C119" s="340">
        <v>40</v>
      </c>
    </row>
    <row r="120" spans="1:3" x14ac:dyDescent="0.2">
      <c r="A120" s="341"/>
      <c r="B120" s="339" t="s">
        <v>1585</v>
      </c>
      <c r="C120" s="340">
        <v>20</v>
      </c>
    </row>
    <row r="121" spans="1:3" x14ac:dyDescent="0.2">
      <c r="A121" s="341"/>
      <c r="B121" s="339" t="s">
        <v>337</v>
      </c>
      <c r="C121" s="340">
        <v>15</v>
      </c>
    </row>
    <row r="122" spans="1:3" x14ac:dyDescent="0.2">
      <c r="A122" s="341"/>
      <c r="B122" s="339" t="s">
        <v>332</v>
      </c>
      <c r="C122" s="340">
        <v>10</v>
      </c>
    </row>
    <row r="123" spans="1:3" x14ac:dyDescent="0.2">
      <c r="A123" s="341"/>
      <c r="B123" s="339" t="s">
        <v>2632</v>
      </c>
      <c r="C123" s="340">
        <v>10</v>
      </c>
    </row>
    <row r="124" spans="1:3" x14ac:dyDescent="0.2">
      <c r="A124" s="341"/>
      <c r="B124" s="339" t="s">
        <v>329</v>
      </c>
      <c r="C124" s="340">
        <v>6</v>
      </c>
    </row>
    <row r="125" spans="1:3" x14ac:dyDescent="0.2">
      <c r="A125" s="341"/>
      <c r="B125" s="339" t="s">
        <v>598</v>
      </c>
      <c r="C125" s="340">
        <v>6</v>
      </c>
    </row>
    <row r="126" spans="1:3" x14ac:dyDescent="0.2">
      <c r="A126" s="341"/>
      <c r="B126" s="339" t="s">
        <v>330</v>
      </c>
      <c r="C126" s="340">
        <v>6</v>
      </c>
    </row>
    <row r="127" spans="1:3" x14ac:dyDescent="0.2">
      <c r="A127" s="341"/>
      <c r="B127" s="339" t="s">
        <v>2590</v>
      </c>
      <c r="C127" s="340">
        <v>4</v>
      </c>
    </row>
    <row r="128" spans="1:3" x14ac:dyDescent="0.2">
      <c r="A128" s="341"/>
      <c r="B128" s="339" t="s">
        <v>2633</v>
      </c>
      <c r="C128" s="340">
        <v>2</v>
      </c>
    </row>
    <row r="129" spans="1:3" x14ac:dyDescent="0.2">
      <c r="A129" s="341"/>
      <c r="B129" s="339" t="s">
        <v>2635</v>
      </c>
      <c r="C129" s="340">
        <v>1</v>
      </c>
    </row>
    <row r="130" spans="1:3" x14ac:dyDescent="0.2">
      <c r="A130" s="341"/>
      <c r="B130" s="339" t="s">
        <v>333</v>
      </c>
      <c r="C130" s="340">
        <v>1</v>
      </c>
    </row>
    <row r="131" spans="1:3" x14ac:dyDescent="0.2">
      <c r="A131" s="341"/>
    </row>
    <row r="132" spans="1:3" x14ac:dyDescent="0.2">
      <c r="A132" s="338" t="s">
        <v>2146</v>
      </c>
    </row>
    <row r="133" spans="1:3" x14ac:dyDescent="0.2">
      <c r="A133" s="341" t="s">
        <v>895</v>
      </c>
    </row>
    <row r="134" spans="1:3" x14ac:dyDescent="0.2">
      <c r="A134" s="341" t="s">
        <v>1098</v>
      </c>
    </row>
    <row r="135" spans="1:3" x14ac:dyDescent="0.2">
      <c r="A135" s="341" t="s">
        <v>1303</v>
      </c>
    </row>
    <row r="136" spans="1:3" x14ac:dyDescent="0.2">
      <c r="A136" s="341" t="s">
        <v>2493</v>
      </c>
    </row>
    <row r="137" spans="1:3" x14ac:dyDescent="0.2">
      <c r="A137" s="341" t="s">
        <v>2147</v>
      </c>
    </row>
    <row r="138" spans="1:3" x14ac:dyDescent="0.2">
      <c r="A138" s="341"/>
    </row>
    <row r="139" spans="1:3" x14ac:dyDescent="0.2">
      <c r="A139" s="341"/>
      <c r="B139" s="339" t="s">
        <v>336</v>
      </c>
      <c r="C139" s="340">
        <v>30</v>
      </c>
    </row>
    <row r="140" spans="1:3" x14ac:dyDescent="0.2">
      <c r="A140" s="341"/>
      <c r="B140" s="339" t="s">
        <v>1585</v>
      </c>
      <c r="C140" s="340">
        <v>30</v>
      </c>
    </row>
    <row r="141" spans="1:3" x14ac:dyDescent="0.2">
      <c r="A141" s="341"/>
      <c r="B141" s="339" t="s">
        <v>332</v>
      </c>
      <c r="C141" s="340">
        <v>15</v>
      </c>
    </row>
    <row r="142" spans="1:3" x14ac:dyDescent="0.2">
      <c r="A142" s="341"/>
      <c r="B142" s="339" t="s">
        <v>337</v>
      </c>
      <c r="C142" s="340">
        <v>15</v>
      </c>
    </row>
    <row r="143" spans="1:3" x14ac:dyDescent="0.2">
      <c r="A143" s="341"/>
      <c r="B143" s="339" t="s">
        <v>339</v>
      </c>
      <c r="C143" s="340">
        <v>10</v>
      </c>
    </row>
    <row r="144" spans="1:3" x14ac:dyDescent="0.2">
      <c r="A144" s="341"/>
      <c r="B144" s="339" t="s">
        <v>329</v>
      </c>
      <c r="C144" s="340">
        <v>4</v>
      </c>
    </row>
    <row r="145" spans="1:3" x14ac:dyDescent="0.2">
      <c r="A145" s="341"/>
      <c r="B145" s="339" t="s">
        <v>333</v>
      </c>
      <c r="C145" s="340">
        <v>4</v>
      </c>
    </row>
    <row r="146" spans="1:3" x14ac:dyDescent="0.2">
      <c r="A146" s="341"/>
      <c r="B146" s="339" t="s">
        <v>2634</v>
      </c>
      <c r="C146" s="340">
        <v>0.5</v>
      </c>
    </row>
    <row r="147" spans="1:3" x14ac:dyDescent="0.2">
      <c r="A147" s="341"/>
    </row>
    <row r="148" spans="1:3" x14ac:dyDescent="0.2">
      <c r="A148" s="338" t="s">
        <v>2148</v>
      </c>
    </row>
    <row r="149" spans="1:3" x14ac:dyDescent="0.2">
      <c r="A149" s="341" t="s">
        <v>895</v>
      </c>
    </row>
    <row r="150" spans="1:3" x14ac:dyDescent="0.2">
      <c r="A150" s="341" t="s">
        <v>1099</v>
      </c>
    </row>
    <row r="151" spans="1:3" x14ac:dyDescent="0.2">
      <c r="A151" s="341" t="s">
        <v>1304</v>
      </c>
    </row>
    <row r="152" spans="1:3" x14ac:dyDescent="0.2">
      <c r="A152" s="341" t="s">
        <v>2494</v>
      </c>
    </row>
    <row r="153" spans="1:3" x14ac:dyDescent="0.2">
      <c r="A153" s="341" t="s">
        <v>2149</v>
      </c>
    </row>
    <row r="154" spans="1:3" x14ac:dyDescent="0.2">
      <c r="A154" s="341"/>
    </row>
    <row r="155" spans="1:3" x14ac:dyDescent="0.2">
      <c r="A155" s="341"/>
      <c r="B155" s="339" t="s">
        <v>1585</v>
      </c>
      <c r="C155" s="340">
        <v>40</v>
      </c>
    </row>
    <row r="156" spans="1:3" x14ac:dyDescent="0.2">
      <c r="A156" s="341"/>
      <c r="B156" s="339" t="s">
        <v>339</v>
      </c>
      <c r="C156" s="340">
        <v>30</v>
      </c>
    </row>
    <row r="157" spans="1:3" x14ac:dyDescent="0.2">
      <c r="A157" s="341"/>
      <c r="B157" s="339" t="s">
        <v>338</v>
      </c>
      <c r="C157" s="340">
        <v>20</v>
      </c>
    </row>
    <row r="158" spans="1:3" x14ac:dyDescent="0.2">
      <c r="A158" s="341"/>
      <c r="B158" s="339" t="s">
        <v>337</v>
      </c>
      <c r="C158" s="340">
        <v>10</v>
      </c>
    </row>
    <row r="159" spans="1:3" x14ac:dyDescent="0.2">
      <c r="A159" s="341"/>
      <c r="B159" s="339" t="s">
        <v>2635</v>
      </c>
      <c r="C159" s="340">
        <v>8</v>
      </c>
    </row>
    <row r="160" spans="1:3" x14ac:dyDescent="0.2">
      <c r="A160" s="341"/>
      <c r="B160" s="339" t="s">
        <v>332</v>
      </c>
      <c r="C160" s="340">
        <v>6</v>
      </c>
    </row>
    <row r="161" spans="1:3" x14ac:dyDescent="0.2">
      <c r="A161" s="341"/>
      <c r="B161" s="339" t="s">
        <v>2590</v>
      </c>
      <c r="C161" s="340">
        <v>4</v>
      </c>
    </row>
    <row r="162" spans="1:3" x14ac:dyDescent="0.2">
      <c r="A162" s="341"/>
      <c r="B162" s="339" t="s">
        <v>329</v>
      </c>
      <c r="C162" s="340">
        <v>3</v>
      </c>
    </row>
    <row r="163" spans="1:3" x14ac:dyDescent="0.2">
      <c r="A163" s="341"/>
      <c r="B163" s="339" t="s">
        <v>2633</v>
      </c>
      <c r="C163" s="340">
        <v>2</v>
      </c>
    </row>
    <row r="164" spans="1:3" x14ac:dyDescent="0.2">
      <c r="A164" s="341"/>
      <c r="B164" s="339" t="s">
        <v>328</v>
      </c>
      <c r="C164" s="340">
        <v>1</v>
      </c>
    </row>
    <row r="165" spans="1:3" x14ac:dyDescent="0.2">
      <c r="A165" s="341"/>
      <c r="B165" s="339" t="s">
        <v>603</v>
      </c>
      <c r="C165" s="340">
        <v>0.5</v>
      </c>
    </row>
    <row r="166" spans="1:3" x14ac:dyDescent="0.2">
      <c r="A166" s="341"/>
      <c r="B166" s="339" t="s">
        <v>334</v>
      </c>
      <c r="C166" s="340">
        <v>0.5</v>
      </c>
    </row>
    <row r="167" spans="1:3" x14ac:dyDescent="0.2">
      <c r="A167" s="341"/>
      <c r="B167" s="339" t="s">
        <v>335</v>
      </c>
      <c r="C167" s="340">
        <v>0.5</v>
      </c>
    </row>
    <row r="168" spans="1:3" x14ac:dyDescent="0.2">
      <c r="A168" s="341"/>
      <c r="B168" s="339" t="s">
        <v>333</v>
      </c>
      <c r="C168" s="340">
        <v>0.5</v>
      </c>
    </row>
    <row r="169" spans="1:3" x14ac:dyDescent="0.2">
      <c r="A169" s="341"/>
    </row>
    <row r="170" spans="1:3" x14ac:dyDescent="0.2">
      <c r="A170" s="338" t="s">
        <v>2150</v>
      </c>
    </row>
    <row r="171" spans="1:3" x14ac:dyDescent="0.2">
      <c r="A171" s="341" t="s">
        <v>896</v>
      </c>
    </row>
    <row r="172" spans="1:3" x14ac:dyDescent="0.2">
      <c r="A172" s="341" t="s">
        <v>1100</v>
      </c>
    </row>
    <row r="173" spans="1:3" x14ac:dyDescent="0.2">
      <c r="A173" s="341" t="s">
        <v>1305</v>
      </c>
    </row>
    <row r="174" spans="1:3" x14ac:dyDescent="0.2">
      <c r="A174" s="341" t="s">
        <v>2495</v>
      </c>
    </row>
    <row r="175" spans="1:3" x14ac:dyDescent="0.2">
      <c r="A175" s="341" t="s">
        <v>2151</v>
      </c>
    </row>
    <row r="176" spans="1:3" x14ac:dyDescent="0.2">
      <c r="A176" s="341"/>
    </row>
    <row r="177" spans="1:3" x14ac:dyDescent="0.2">
      <c r="A177" s="341"/>
      <c r="B177" s="339" t="s">
        <v>347</v>
      </c>
      <c r="C177" s="340">
        <v>40</v>
      </c>
    </row>
    <row r="178" spans="1:3" x14ac:dyDescent="0.2">
      <c r="A178" s="341"/>
      <c r="B178" s="339" t="s">
        <v>340</v>
      </c>
      <c r="C178" s="340">
        <v>25</v>
      </c>
    </row>
    <row r="179" spans="1:3" x14ac:dyDescent="0.2">
      <c r="A179" s="341"/>
      <c r="B179" s="339" t="s">
        <v>348</v>
      </c>
      <c r="C179" s="340">
        <v>25</v>
      </c>
    </row>
    <row r="180" spans="1:3" x14ac:dyDescent="0.2">
      <c r="A180" s="341"/>
      <c r="B180" s="339" t="s">
        <v>432</v>
      </c>
      <c r="C180" s="340">
        <v>20</v>
      </c>
    </row>
    <row r="181" spans="1:3" x14ac:dyDescent="0.2">
      <c r="A181" s="341"/>
      <c r="B181" s="339" t="s">
        <v>343</v>
      </c>
      <c r="C181" s="340">
        <v>10</v>
      </c>
    </row>
    <row r="182" spans="1:3" x14ac:dyDescent="0.2">
      <c r="A182" s="341"/>
      <c r="B182" s="339" t="s">
        <v>341</v>
      </c>
      <c r="C182" s="340">
        <v>8</v>
      </c>
    </row>
    <row r="183" spans="1:3" x14ac:dyDescent="0.2">
      <c r="A183" s="341"/>
      <c r="B183" s="339" t="s">
        <v>1286</v>
      </c>
      <c r="C183" s="340">
        <v>8</v>
      </c>
    </row>
    <row r="184" spans="1:3" x14ac:dyDescent="0.2">
      <c r="A184" s="341"/>
      <c r="B184" s="339" t="s">
        <v>355</v>
      </c>
      <c r="C184" s="340">
        <v>7</v>
      </c>
    </row>
    <row r="185" spans="1:3" x14ac:dyDescent="0.2">
      <c r="A185" s="341"/>
      <c r="B185" s="339" t="s">
        <v>2636</v>
      </c>
      <c r="C185" s="340">
        <v>6</v>
      </c>
    </row>
    <row r="186" spans="1:3" x14ac:dyDescent="0.2">
      <c r="A186" s="341"/>
      <c r="B186" s="339" t="s">
        <v>342</v>
      </c>
      <c r="C186" s="340">
        <v>5</v>
      </c>
    </row>
    <row r="187" spans="1:3" x14ac:dyDescent="0.2">
      <c r="A187" s="341"/>
      <c r="B187" s="339" t="s">
        <v>597</v>
      </c>
      <c r="C187" s="340">
        <v>5</v>
      </c>
    </row>
    <row r="188" spans="1:3" x14ac:dyDescent="0.2">
      <c r="A188" s="341"/>
      <c r="B188" s="339" t="s">
        <v>350</v>
      </c>
      <c r="C188" s="340">
        <v>4</v>
      </c>
    </row>
    <row r="189" spans="1:3" x14ac:dyDescent="0.2">
      <c r="A189" s="341"/>
      <c r="B189" s="339" t="s">
        <v>346</v>
      </c>
      <c r="C189" s="340">
        <v>4</v>
      </c>
    </row>
    <row r="190" spans="1:3" x14ac:dyDescent="0.2">
      <c r="A190" s="341"/>
      <c r="B190" s="339" t="s">
        <v>345</v>
      </c>
      <c r="C190" s="340">
        <v>4</v>
      </c>
    </row>
    <row r="191" spans="1:3" x14ac:dyDescent="0.2">
      <c r="A191" s="341"/>
      <c r="B191" s="339" t="s">
        <v>353</v>
      </c>
      <c r="C191" s="340">
        <v>3</v>
      </c>
    </row>
    <row r="192" spans="1:3" x14ac:dyDescent="0.2">
      <c r="A192" s="341"/>
      <c r="B192" s="339" t="s">
        <v>352</v>
      </c>
      <c r="C192" s="340">
        <v>2</v>
      </c>
    </row>
    <row r="193" spans="1:3" x14ac:dyDescent="0.2">
      <c r="A193" s="341"/>
      <c r="B193" s="339" t="s">
        <v>3151</v>
      </c>
      <c r="C193" s="340">
        <v>2</v>
      </c>
    </row>
    <row r="194" spans="1:3" x14ac:dyDescent="0.2">
      <c r="A194" s="341"/>
      <c r="B194" s="339" t="s">
        <v>2574</v>
      </c>
      <c r="C194" s="340">
        <v>2</v>
      </c>
    </row>
    <row r="195" spans="1:3" x14ac:dyDescent="0.2">
      <c r="A195" s="341"/>
      <c r="B195" s="339" t="s">
        <v>357</v>
      </c>
      <c r="C195" s="340">
        <v>2</v>
      </c>
    </row>
    <row r="196" spans="1:3" x14ac:dyDescent="0.2">
      <c r="A196" s="341"/>
      <c r="B196" s="339" t="s">
        <v>344</v>
      </c>
      <c r="C196" s="340">
        <v>2</v>
      </c>
    </row>
    <row r="197" spans="1:3" x14ac:dyDescent="0.2">
      <c r="A197" s="341"/>
      <c r="B197" s="339" t="s">
        <v>354</v>
      </c>
      <c r="C197" s="340">
        <v>2</v>
      </c>
    </row>
    <row r="198" spans="1:3" x14ac:dyDescent="0.2">
      <c r="A198" s="341"/>
      <c r="B198" s="339" t="s">
        <v>2637</v>
      </c>
      <c r="C198" s="340">
        <v>1</v>
      </c>
    </row>
    <row r="199" spans="1:3" x14ac:dyDescent="0.2">
      <c r="A199" s="341"/>
      <c r="B199" s="339" t="s">
        <v>370</v>
      </c>
      <c r="C199" s="340">
        <v>1</v>
      </c>
    </row>
    <row r="200" spans="1:3" x14ac:dyDescent="0.2">
      <c r="A200" s="341"/>
      <c r="B200" s="339" t="s">
        <v>359</v>
      </c>
      <c r="C200" s="340">
        <v>1</v>
      </c>
    </row>
    <row r="201" spans="1:3" x14ac:dyDescent="0.2">
      <c r="A201" s="341"/>
      <c r="B201" s="339" t="s">
        <v>569</v>
      </c>
      <c r="C201" s="340">
        <v>1</v>
      </c>
    </row>
    <row r="202" spans="1:3" x14ac:dyDescent="0.2">
      <c r="A202" s="341"/>
      <c r="B202" s="339" t="s">
        <v>369</v>
      </c>
      <c r="C202" s="340">
        <v>0.5</v>
      </c>
    </row>
    <row r="203" spans="1:3" x14ac:dyDescent="0.2">
      <c r="A203" s="341"/>
      <c r="B203" s="339" t="s">
        <v>356</v>
      </c>
      <c r="C203" s="340">
        <v>0.5</v>
      </c>
    </row>
    <row r="204" spans="1:3" x14ac:dyDescent="0.2">
      <c r="A204" s="341"/>
      <c r="B204" s="339" t="s">
        <v>402</v>
      </c>
      <c r="C204" s="340">
        <v>0.5</v>
      </c>
    </row>
    <row r="205" spans="1:3" x14ac:dyDescent="0.2">
      <c r="A205" s="341"/>
      <c r="B205" s="339" t="s">
        <v>391</v>
      </c>
      <c r="C205" s="340">
        <v>0.5</v>
      </c>
    </row>
    <row r="206" spans="1:3" x14ac:dyDescent="0.2">
      <c r="A206" s="341"/>
      <c r="B206" s="339" t="s">
        <v>351</v>
      </c>
      <c r="C206" s="340">
        <v>0.5</v>
      </c>
    </row>
    <row r="207" spans="1:3" x14ac:dyDescent="0.2">
      <c r="A207" s="341"/>
      <c r="B207" s="339" t="s">
        <v>614</v>
      </c>
      <c r="C207" s="340">
        <v>0.5</v>
      </c>
    </row>
    <row r="208" spans="1:3" x14ac:dyDescent="0.2">
      <c r="A208" s="341"/>
      <c r="B208" s="339" t="s">
        <v>349</v>
      </c>
      <c r="C208" s="340">
        <v>0.5</v>
      </c>
    </row>
    <row r="209" spans="1:3" x14ac:dyDescent="0.2">
      <c r="A209" s="341"/>
      <c r="B209" s="339" t="s">
        <v>583</v>
      </c>
      <c r="C209" s="340">
        <v>0.5</v>
      </c>
    </row>
    <row r="210" spans="1:3" x14ac:dyDescent="0.2">
      <c r="A210" s="341"/>
      <c r="B210" s="339" t="s">
        <v>358</v>
      </c>
      <c r="C210" s="340">
        <v>0.5</v>
      </c>
    </row>
    <row r="211" spans="1:3" x14ac:dyDescent="0.2">
      <c r="A211" s="341"/>
    </row>
    <row r="212" spans="1:3" x14ac:dyDescent="0.2">
      <c r="A212" s="338" t="s">
        <v>2394</v>
      </c>
    </row>
    <row r="213" spans="1:3" x14ac:dyDescent="0.2">
      <c r="A213" s="341" t="s">
        <v>897</v>
      </c>
    </row>
    <row r="214" spans="1:3" x14ac:dyDescent="0.2">
      <c r="A214" s="341" t="s">
        <v>1101</v>
      </c>
    </row>
    <row r="215" spans="1:3" x14ac:dyDescent="0.2">
      <c r="A215" s="341" t="s">
        <v>1306</v>
      </c>
    </row>
    <row r="216" spans="1:3" x14ac:dyDescent="0.2">
      <c r="A216" s="341" t="s">
        <v>2496</v>
      </c>
    </row>
    <row r="217" spans="1:3" x14ac:dyDescent="0.2">
      <c r="A217" s="341" t="s">
        <v>2395</v>
      </c>
    </row>
    <row r="218" spans="1:3" x14ac:dyDescent="0.2">
      <c r="A218" s="341"/>
    </row>
    <row r="219" spans="1:3" x14ac:dyDescent="0.2">
      <c r="A219" s="341"/>
      <c r="B219" s="339" t="s">
        <v>360</v>
      </c>
      <c r="C219" s="340">
        <v>25</v>
      </c>
    </row>
    <row r="220" spans="1:3" x14ac:dyDescent="0.2">
      <c r="A220" s="341"/>
      <c r="B220" s="339" t="s">
        <v>3151</v>
      </c>
      <c r="C220" s="340">
        <v>15</v>
      </c>
    </row>
    <row r="221" spans="1:3" x14ac:dyDescent="0.2">
      <c r="A221" s="341"/>
      <c r="B221" s="339" t="s">
        <v>340</v>
      </c>
      <c r="C221" s="340">
        <v>12</v>
      </c>
    </row>
    <row r="222" spans="1:3" x14ac:dyDescent="0.2">
      <c r="A222" s="341"/>
      <c r="B222" s="339" t="s">
        <v>358</v>
      </c>
      <c r="C222" s="340">
        <v>12</v>
      </c>
    </row>
    <row r="223" spans="1:3" x14ac:dyDescent="0.2">
      <c r="A223" s="341"/>
      <c r="B223" s="339" t="s">
        <v>361</v>
      </c>
      <c r="C223" s="340">
        <v>10</v>
      </c>
    </row>
    <row r="224" spans="1:3" x14ac:dyDescent="0.2">
      <c r="A224" s="341"/>
      <c r="B224" s="339" t="s">
        <v>348</v>
      </c>
      <c r="C224" s="340">
        <v>8</v>
      </c>
    </row>
    <row r="225" spans="1:3" x14ac:dyDescent="0.2">
      <c r="A225" s="341"/>
      <c r="B225" s="339" t="s">
        <v>364</v>
      </c>
      <c r="C225" s="340">
        <v>8</v>
      </c>
    </row>
    <row r="226" spans="1:3" x14ac:dyDescent="0.2">
      <c r="A226" s="341"/>
      <c r="B226" s="339" t="s">
        <v>347</v>
      </c>
      <c r="C226" s="340">
        <v>7</v>
      </c>
    </row>
    <row r="227" spans="1:3" x14ac:dyDescent="0.2">
      <c r="A227" s="341"/>
      <c r="B227" s="339" t="s">
        <v>362</v>
      </c>
      <c r="C227" s="340">
        <v>6</v>
      </c>
    </row>
    <row r="228" spans="1:3" x14ac:dyDescent="0.2">
      <c r="A228" s="341"/>
      <c r="B228" s="339" t="s">
        <v>2636</v>
      </c>
      <c r="C228" s="340">
        <v>5</v>
      </c>
    </row>
    <row r="229" spans="1:3" x14ac:dyDescent="0.2">
      <c r="A229" s="341"/>
      <c r="B229" s="339" t="s">
        <v>342</v>
      </c>
      <c r="C229" s="340">
        <v>5</v>
      </c>
    </row>
    <row r="230" spans="1:3" x14ac:dyDescent="0.2">
      <c r="A230" s="341"/>
      <c r="B230" s="339" t="s">
        <v>2639</v>
      </c>
      <c r="C230" s="340">
        <v>4</v>
      </c>
    </row>
    <row r="231" spans="1:3" x14ac:dyDescent="0.2">
      <c r="A231" s="341"/>
      <c r="B231" s="339" t="s">
        <v>582</v>
      </c>
      <c r="C231" s="340">
        <v>3</v>
      </c>
    </row>
    <row r="232" spans="1:3" x14ac:dyDescent="0.2">
      <c r="A232" s="341"/>
      <c r="B232" s="339" t="s">
        <v>2573</v>
      </c>
      <c r="C232" s="340">
        <v>2</v>
      </c>
    </row>
    <row r="233" spans="1:3" x14ac:dyDescent="0.2">
      <c r="A233" s="341"/>
      <c r="B233" s="339" t="s">
        <v>402</v>
      </c>
      <c r="C233" s="340">
        <v>2</v>
      </c>
    </row>
    <row r="234" spans="1:3" x14ac:dyDescent="0.2">
      <c r="A234" s="341"/>
      <c r="B234" s="339" t="s">
        <v>388</v>
      </c>
      <c r="C234" s="340">
        <v>2</v>
      </c>
    </row>
    <row r="235" spans="1:3" x14ac:dyDescent="0.2">
      <c r="A235" s="341"/>
      <c r="B235" s="339" t="s">
        <v>2611</v>
      </c>
      <c r="C235" s="340">
        <v>2</v>
      </c>
    </row>
    <row r="236" spans="1:3" x14ac:dyDescent="0.2">
      <c r="A236" s="341"/>
      <c r="B236" s="339" t="s">
        <v>367</v>
      </c>
      <c r="C236" s="340">
        <v>2</v>
      </c>
    </row>
    <row r="237" spans="1:3" x14ac:dyDescent="0.2">
      <c r="A237" s="341"/>
      <c r="B237" s="339" t="s">
        <v>366</v>
      </c>
      <c r="C237" s="340">
        <v>1</v>
      </c>
    </row>
    <row r="238" spans="1:3" x14ac:dyDescent="0.2">
      <c r="A238" s="341"/>
      <c r="B238" s="339" t="s">
        <v>363</v>
      </c>
      <c r="C238" s="340">
        <v>1</v>
      </c>
    </row>
    <row r="239" spans="1:3" x14ac:dyDescent="0.2">
      <c r="A239" s="341"/>
      <c r="B239" s="339" t="s">
        <v>341</v>
      </c>
      <c r="C239" s="340">
        <v>1</v>
      </c>
    </row>
    <row r="240" spans="1:3" x14ac:dyDescent="0.2">
      <c r="A240" s="341"/>
      <c r="B240" s="339" t="s">
        <v>327</v>
      </c>
      <c r="C240" s="340">
        <v>1</v>
      </c>
    </row>
    <row r="241" spans="1:3" x14ac:dyDescent="0.2">
      <c r="A241" s="341"/>
      <c r="B241" s="339" t="s">
        <v>349</v>
      </c>
      <c r="C241" s="340">
        <v>1</v>
      </c>
    </row>
    <row r="242" spans="1:3" x14ac:dyDescent="0.2">
      <c r="A242" s="341"/>
      <c r="B242" s="339" t="s">
        <v>344</v>
      </c>
      <c r="C242" s="340">
        <v>1</v>
      </c>
    </row>
    <row r="243" spans="1:3" x14ac:dyDescent="0.2">
      <c r="A243" s="341"/>
      <c r="B243" s="339" t="s">
        <v>359</v>
      </c>
      <c r="C243" s="340">
        <v>1</v>
      </c>
    </row>
    <row r="244" spans="1:3" x14ac:dyDescent="0.2">
      <c r="A244" s="341"/>
      <c r="B244" s="339" t="s">
        <v>350</v>
      </c>
      <c r="C244" s="340">
        <v>0.5</v>
      </c>
    </row>
    <row r="245" spans="1:3" x14ac:dyDescent="0.2">
      <c r="A245" s="341"/>
      <c r="B245" s="339" t="s">
        <v>2638</v>
      </c>
      <c r="C245" s="340">
        <v>0.5</v>
      </c>
    </row>
    <row r="246" spans="1:3" x14ac:dyDescent="0.2">
      <c r="A246" s="341"/>
      <c r="B246" s="339" t="s">
        <v>2574</v>
      </c>
      <c r="C246" s="340">
        <v>0.5</v>
      </c>
    </row>
    <row r="247" spans="1:3" x14ac:dyDescent="0.2">
      <c r="A247" s="341"/>
      <c r="B247" s="339" t="s">
        <v>1286</v>
      </c>
      <c r="C247" s="340">
        <v>0.5</v>
      </c>
    </row>
    <row r="248" spans="1:3" x14ac:dyDescent="0.2">
      <c r="A248" s="341"/>
      <c r="B248" s="339" t="s">
        <v>365</v>
      </c>
      <c r="C248" s="340">
        <v>0.5</v>
      </c>
    </row>
    <row r="249" spans="1:3" x14ac:dyDescent="0.2">
      <c r="A249" s="341"/>
      <c r="B249" s="339" t="s">
        <v>2640</v>
      </c>
      <c r="C249" s="340">
        <v>0.5</v>
      </c>
    </row>
    <row r="250" spans="1:3" x14ac:dyDescent="0.2">
      <c r="A250" s="341"/>
    </row>
    <row r="251" spans="1:3" x14ac:dyDescent="0.2">
      <c r="A251" s="338" t="s">
        <v>2396</v>
      </c>
    </row>
    <row r="252" spans="1:3" x14ac:dyDescent="0.2">
      <c r="A252" s="341" t="s">
        <v>898</v>
      </c>
    </row>
    <row r="253" spans="1:3" x14ac:dyDescent="0.2">
      <c r="A253" s="341" t="s">
        <v>1102</v>
      </c>
    </row>
    <row r="254" spans="1:3" x14ac:dyDescent="0.2">
      <c r="A254" s="341" t="s">
        <v>1307</v>
      </c>
    </row>
    <row r="255" spans="1:3" x14ac:dyDescent="0.2">
      <c r="A255" s="341" t="s">
        <v>2496</v>
      </c>
    </row>
    <row r="256" spans="1:3" x14ac:dyDescent="0.2">
      <c r="A256" s="341" t="s">
        <v>2397</v>
      </c>
    </row>
    <row r="257" spans="1:3" x14ac:dyDescent="0.2">
      <c r="A257" s="341"/>
    </row>
    <row r="258" spans="1:3" x14ac:dyDescent="0.2">
      <c r="A258" s="341"/>
      <c r="B258" s="339" t="s">
        <v>347</v>
      </c>
      <c r="C258" s="340">
        <v>30</v>
      </c>
    </row>
    <row r="259" spans="1:3" x14ac:dyDescent="0.2">
      <c r="A259" s="341"/>
      <c r="B259" s="339" t="s">
        <v>340</v>
      </c>
      <c r="C259" s="340">
        <v>15</v>
      </c>
    </row>
    <row r="260" spans="1:3" x14ac:dyDescent="0.2">
      <c r="A260" s="341"/>
      <c r="B260" s="339" t="s">
        <v>361</v>
      </c>
      <c r="C260" s="340">
        <v>10</v>
      </c>
    </row>
    <row r="261" spans="1:3" x14ac:dyDescent="0.2">
      <c r="A261" s="341"/>
      <c r="B261" s="339" t="s">
        <v>341</v>
      </c>
      <c r="C261" s="340">
        <v>10</v>
      </c>
    </row>
    <row r="262" spans="1:3" x14ac:dyDescent="0.2">
      <c r="A262" s="341"/>
      <c r="B262" s="339" t="s">
        <v>342</v>
      </c>
      <c r="C262" s="340">
        <v>8</v>
      </c>
    </row>
    <row r="263" spans="1:3" x14ac:dyDescent="0.2">
      <c r="A263" s="341"/>
      <c r="B263" s="339" t="s">
        <v>597</v>
      </c>
      <c r="C263" s="340">
        <v>5</v>
      </c>
    </row>
    <row r="264" spans="1:3" x14ac:dyDescent="0.2">
      <c r="A264" s="341"/>
      <c r="B264" s="339" t="s">
        <v>350</v>
      </c>
      <c r="C264" s="340">
        <v>4</v>
      </c>
    </row>
    <row r="265" spans="1:3" x14ac:dyDescent="0.2">
      <c r="A265" s="341"/>
      <c r="B265" s="339" t="s">
        <v>362</v>
      </c>
      <c r="C265" s="340">
        <v>3</v>
      </c>
    </row>
    <row r="266" spans="1:3" x14ac:dyDescent="0.2">
      <c r="A266" s="341"/>
      <c r="B266" s="339" t="s">
        <v>357</v>
      </c>
      <c r="C266" s="340">
        <v>3</v>
      </c>
    </row>
    <row r="267" spans="1:3" x14ac:dyDescent="0.2">
      <c r="A267" s="341"/>
      <c r="B267" s="339" t="s">
        <v>602</v>
      </c>
      <c r="C267" s="340">
        <v>2</v>
      </c>
    </row>
    <row r="268" spans="1:3" x14ac:dyDescent="0.2">
      <c r="A268" s="341"/>
      <c r="B268" s="339" t="s">
        <v>2638</v>
      </c>
      <c r="C268" s="340">
        <v>2</v>
      </c>
    </row>
    <row r="269" spans="1:3" x14ac:dyDescent="0.2">
      <c r="A269" s="341"/>
      <c r="B269" s="339" t="s">
        <v>3151</v>
      </c>
      <c r="C269" s="340">
        <v>2</v>
      </c>
    </row>
    <row r="270" spans="1:3" x14ac:dyDescent="0.2">
      <c r="A270" s="341"/>
      <c r="B270" s="339" t="s">
        <v>1286</v>
      </c>
      <c r="C270" s="340">
        <v>2</v>
      </c>
    </row>
    <row r="271" spans="1:3" x14ac:dyDescent="0.2">
      <c r="A271" s="341"/>
      <c r="B271" s="339" t="s">
        <v>2583</v>
      </c>
      <c r="C271" s="340">
        <v>2</v>
      </c>
    </row>
    <row r="272" spans="1:3" x14ac:dyDescent="0.2">
      <c r="A272" s="341"/>
      <c r="B272" s="339" t="s">
        <v>348</v>
      </c>
      <c r="C272" s="340">
        <v>2</v>
      </c>
    </row>
    <row r="273" spans="1:3" x14ac:dyDescent="0.2">
      <c r="A273" s="341"/>
      <c r="B273" s="339" t="s">
        <v>364</v>
      </c>
      <c r="C273" s="340">
        <v>2</v>
      </c>
    </row>
    <row r="274" spans="1:3" x14ac:dyDescent="0.2">
      <c r="A274" s="341"/>
      <c r="B274" s="339" t="s">
        <v>2641</v>
      </c>
      <c r="C274" s="340">
        <v>1</v>
      </c>
    </row>
    <row r="275" spans="1:3" x14ac:dyDescent="0.2">
      <c r="A275" s="341"/>
      <c r="B275" s="339" t="s">
        <v>343</v>
      </c>
      <c r="C275" s="340">
        <v>1</v>
      </c>
    </row>
    <row r="276" spans="1:3" x14ac:dyDescent="0.2">
      <c r="A276" s="341"/>
      <c r="B276" s="339" t="s">
        <v>366</v>
      </c>
      <c r="C276" s="340">
        <v>1</v>
      </c>
    </row>
    <row r="277" spans="1:3" x14ac:dyDescent="0.2">
      <c r="A277" s="341"/>
      <c r="B277" s="339" t="s">
        <v>349</v>
      </c>
      <c r="C277" s="340">
        <v>1</v>
      </c>
    </row>
    <row r="278" spans="1:3" x14ac:dyDescent="0.2">
      <c r="A278" s="341"/>
      <c r="B278" s="339" t="s">
        <v>423</v>
      </c>
      <c r="C278" s="340">
        <v>1</v>
      </c>
    </row>
    <row r="279" spans="1:3" x14ac:dyDescent="0.2">
      <c r="A279" s="341"/>
      <c r="B279" s="339" t="s">
        <v>2642</v>
      </c>
      <c r="C279" s="340">
        <v>0.5</v>
      </c>
    </row>
    <row r="280" spans="1:3" x14ac:dyDescent="0.2">
      <c r="A280" s="341"/>
      <c r="B280" s="339" t="s">
        <v>2636</v>
      </c>
      <c r="C280" s="340">
        <v>0.5</v>
      </c>
    </row>
    <row r="281" spans="1:3" x14ac:dyDescent="0.2">
      <c r="A281" s="341"/>
      <c r="B281" s="339" t="s">
        <v>613</v>
      </c>
      <c r="C281" s="340">
        <v>0.5</v>
      </c>
    </row>
    <row r="282" spans="1:3" x14ac:dyDescent="0.2">
      <c r="A282" s="341"/>
      <c r="B282" s="339" t="s">
        <v>387</v>
      </c>
      <c r="C282" s="340">
        <v>0.5</v>
      </c>
    </row>
    <row r="283" spans="1:3" x14ac:dyDescent="0.2">
      <c r="A283" s="341"/>
      <c r="B283" s="339" t="s">
        <v>2574</v>
      </c>
      <c r="C283" s="340">
        <v>0.5</v>
      </c>
    </row>
    <row r="284" spans="1:3" x14ac:dyDescent="0.2">
      <c r="A284" s="341"/>
      <c r="B284" s="339" t="s">
        <v>432</v>
      </c>
      <c r="C284" s="340">
        <v>0.5</v>
      </c>
    </row>
    <row r="285" spans="1:3" x14ac:dyDescent="0.2">
      <c r="A285" s="341"/>
    </row>
    <row r="286" spans="1:3" x14ac:dyDescent="0.2">
      <c r="A286" s="338" t="s">
        <v>2398</v>
      </c>
    </row>
    <row r="287" spans="1:3" x14ac:dyDescent="0.2">
      <c r="A287" s="341" t="s">
        <v>899</v>
      </c>
    </row>
    <row r="288" spans="1:3" x14ac:dyDescent="0.2">
      <c r="A288" s="341" t="s">
        <v>1103</v>
      </c>
    </row>
    <row r="289" spans="1:3" x14ac:dyDescent="0.2">
      <c r="A289" s="341" t="s">
        <v>1308</v>
      </c>
    </row>
    <row r="290" spans="1:3" x14ac:dyDescent="0.2">
      <c r="A290" s="341" t="s">
        <v>2496</v>
      </c>
    </row>
    <row r="291" spans="1:3" x14ac:dyDescent="0.2">
      <c r="A291" s="341" t="s">
        <v>2399</v>
      </c>
    </row>
    <row r="292" spans="1:3" x14ac:dyDescent="0.2">
      <c r="A292" s="341"/>
    </row>
    <row r="293" spans="1:3" x14ac:dyDescent="0.2">
      <c r="A293" s="341"/>
      <c r="B293" s="339" t="s">
        <v>361</v>
      </c>
      <c r="C293" s="340">
        <v>40</v>
      </c>
    </row>
    <row r="294" spans="1:3" x14ac:dyDescent="0.2">
      <c r="A294" s="341"/>
      <c r="B294" s="339" t="s">
        <v>347</v>
      </c>
      <c r="C294" s="340">
        <v>30</v>
      </c>
    </row>
    <row r="295" spans="1:3" x14ac:dyDescent="0.2">
      <c r="A295" s="341"/>
      <c r="B295" s="339" t="s">
        <v>3151</v>
      </c>
      <c r="C295" s="340">
        <v>15</v>
      </c>
    </row>
    <row r="296" spans="1:3" x14ac:dyDescent="0.2">
      <c r="A296" s="341"/>
      <c r="B296" s="339" t="s">
        <v>341</v>
      </c>
      <c r="C296" s="340">
        <v>15</v>
      </c>
    </row>
    <row r="297" spans="1:3" x14ac:dyDescent="0.2">
      <c r="A297" s="341"/>
      <c r="B297" s="339" t="s">
        <v>342</v>
      </c>
      <c r="C297" s="340">
        <v>12</v>
      </c>
    </row>
    <row r="298" spans="1:3" x14ac:dyDescent="0.2">
      <c r="A298" s="341"/>
      <c r="B298" s="339" t="s">
        <v>343</v>
      </c>
      <c r="C298" s="340">
        <v>10</v>
      </c>
    </row>
    <row r="299" spans="1:3" x14ac:dyDescent="0.2">
      <c r="A299" s="341"/>
      <c r="B299" s="339" t="s">
        <v>340</v>
      </c>
      <c r="C299" s="340">
        <v>8</v>
      </c>
    </row>
    <row r="300" spans="1:3" x14ac:dyDescent="0.2">
      <c r="A300" s="341"/>
      <c r="B300" s="339" t="s">
        <v>2643</v>
      </c>
      <c r="C300" s="340">
        <v>6</v>
      </c>
    </row>
    <row r="301" spans="1:3" x14ac:dyDescent="0.2">
      <c r="A301" s="341"/>
      <c r="B301" s="339" t="s">
        <v>357</v>
      </c>
      <c r="C301" s="340">
        <v>4</v>
      </c>
    </row>
    <row r="302" spans="1:3" x14ac:dyDescent="0.2">
      <c r="A302" s="341"/>
      <c r="B302" s="339" t="s">
        <v>360</v>
      </c>
      <c r="C302" s="340">
        <v>4</v>
      </c>
    </row>
    <row r="303" spans="1:3" x14ac:dyDescent="0.2">
      <c r="A303" s="341"/>
      <c r="B303" s="339" t="s">
        <v>2641</v>
      </c>
      <c r="C303" s="340">
        <v>2</v>
      </c>
    </row>
    <row r="304" spans="1:3" x14ac:dyDescent="0.2">
      <c r="A304" s="341"/>
      <c r="B304" s="339" t="s">
        <v>356</v>
      </c>
      <c r="C304" s="340">
        <v>2</v>
      </c>
    </row>
    <row r="305" spans="1:3" x14ac:dyDescent="0.2">
      <c r="A305" s="341"/>
      <c r="B305" s="339" t="s">
        <v>2636</v>
      </c>
      <c r="C305" s="340">
        <v>2</v>
      </c>
    </row>
    <row r="306" spans="1:3" x14ac:dyDescent="0.2">
      <c r="A306" s="341"/>
      <c r="B306" s="339" t="s">
        <v>349</v>
      </c>
      <c r="C306" s="340">
        <v>2</v>
      </c>
    </row>
    <row r="307" spans="1:3" x14ac:dyDescent="0.2">
      <c r="A307" s="341"/>
      <c r="B307" s="339" t="s">
        <v>350</v>
      </c>
      <c r="C307" s="340">
        <v>0.5</v>
      </c>
    </row>
    <row r="308" spans="1:3" x14ac:dyDescent="0.2">
      <c r="A308" s="341"/>
      <c r="B308" s="339" t="s">
        <v>602</v>
      </c>
      <c r="C308" s="340">
        <v>0.5</v>
      </c>
    </row>
    <row r="309" spans="1:3" x14ac:dyDescent="0.2">
      <c r="A309" s="341"/>
      <c r="B309" s="339" t="s">
        <v>352</v>
      </c>
      <c r="C309" s="340">
        <v>0.5</v>
      </c>
    </row>
    <row r="310" spans="1:3" x14ac:dyDescent="0.2">
      <c r="A310" s="341"/>
      <c r="B310" s="339" t="s">
        <v>391</v>
      </c>
      <c r="C310" s="340">
        <v>0.5</v>
      </c>
    </row>
    <row r="311" spans="1:3" x14ac:dyDescent="0.2">
      <c r="A311" s="341"/>
      <c r="B311" s="339" t="s">
        <v>613</v>
      </c>
      <c r="C311" s="340">
        <v>0.5</v>
      </c>
    </row>
    <row r="312" spans="1:3" x14ac:dyDescent="0.2">
      <c r="A312" s="341"/>
      <c r="B312" s="339" t="s">
        <v>2574</v>
      </c>
      <c r="C312" s="340">
        <v>0.5</v>
      </c>
    </row>
    <row r="313" spans="1:3" x14ac:dyDescent="0.2">
      <c r="A313" s="341"/>
      <c r="B313" s="339" t="s">
        <v>2583</v>
      </c>
      <c r="C313" s="340">
        <v>0.5</v>
      </c>
    </row>
    <row r="314" spans="1:3" x14ac:dyDescent="0.2">
      <c r="A314" s="341"/>
      <c r="B314" s="339" t="s">
        <v>358</v>
      </c>
      <c r="C314" s="340">
        <v>0.5</v>
      </c>
    </row>
    <row r="315" spans="1:3" x14ac:dyDescent="0.2">
      <c r="A315" s="341"/>
    </row>
    <row r="316" spans="1:3" x14ac:dyDescent="0.2">
      <c r="A316" s="338" t="s">
        <v>2400</v>
      </c>
    </row>
    <row r="317" spans="1:3" x14ac:dyDescent="0.2">
      <c r="A317" s="341" t="s">
        <v>900</v>
      </c>
    </row>
    <row r="318" spans="1:3" x14ac:dyDescent="0.2">
      <c r="A318" s="341" t="s">
        <v>1104</v>
      </c>
    </row>
    <row r="319" spans="1:3" x14ac:dyDescent="0.2">
      <c r="A319" s="341" t="s">
        <v>1309</v>
      </c>
    </row>
    <row r="320" spans="1:3" x14ac:dyDescent="0.2">
      <c r="A320" s="341" t="s">
        <v>2497</v>
      </c>
    </row>
    <row r="321" spans="1:3" x14ac:dyDescent="0.2">
      <c r="A321" s="341" t="s">
        <v>2401</v>
      </c>
    </row>
    <row r="322" spans="1:3" x14ac:dyDescent="0.2">
      <c r="A322" s="341"/>
    </row>
    <row r="323" spans="1:3" x14ac:dyDescent="0.2">
      <c r="A323" s="341"/>
      <c r="B323" s="339" t="s">
        <v>398</v>
      </c>
      <c r="C323" s="340">
        <v>15</v>
      </c>
    </row>
    <row r="324" spans="1:3" x14ac:dyDescent="0.2">
      <c r="A324" s="341"/>
      <c r="B324" s="339" t="s">
        <v>348</v>
      </c>
      <c r="C324" s="340">
        <v>12</v>
      </c>
    </row>
    <row r="325" spans="1:3" x14ac:dyDescent="0.2">
      <c r="A325" s="341"/>
      <c r="B325" s="339" t="s">
        <v>373</v>
      </c>
      <c r="C325" s="340">
        <v>10</v>
      </c>
    </row>
    <row r="326" spans="1:3" x14ac:dyDescent="0.2">
      <c r="A326" s="341"/>
      <c r="B326" s="339" t="s">
        <v>595</v>
      </c>
      <c r="C326" s="340">
        <v>7</v>
      </c>
    </row>
    <row r="327" spans="1:3" x14ac:dyDescent="0.2">
      <c r="A327" s="341"/>
      <c r="B327" s="339" t="s">
        <v>342</v>
      </c>
      <c r="C327" s="340">
        <v>6</v>
      </c>
    </row>
    <row r="328" spans="1:3" x14ac:dyDescent="0.2">
      <c r="A328" s="341"/>
      <c r="B328" s="339" t="s">
        <v>1286</v>
      </c>
      <c r="C328" s="340">
        <v>6</v>
      </c>
    </row>
    <row r="329" spans="1:3" x14ac:dyDescent="0.2">
      <c r="A329" s="341"/>
      <c r="B329" s="339" t="s">
        <v>351</v>
      </c>
      <c r="C329" s="340">
        <v>5</v>
      </c>
    </row>
    <row r="330" spans="1:3" x14ac:dyDescent="0.2">
      <c r="A330" s="341"/>
      <c r="B330" s="339" t="s">
        <v>2578</v>
      </c>
      <c r="C330" s="340">
        <v>4</v>
      </c>
    </row>
    <row r="331" spans="1:3" x14ac:dyDescent="0.2">
      <c r="A331" s="341"/>
      <c r="B331" s="339" t="s">
        <v>358</v>
      </c>
      <c r="C331" s="340">
        <v>4</v>
      </c>
    </row>
    <row r="332" spans="1:3" x14ac:dyDescent="0.2">
      <c r="A332" s="341"/>
      <c r="B332" s="339" t="s">
        <v>2644</v>
      </c>
      <c r="C332" s="340">
        <v>3</v>
      </c>
    </row>
    <row r="333" spans="1:3" x14ac:dyDescent="0.2">
      <c r="A333" s="341"/>
      <c r="B333" s="339" t="s">
        <v>340</v>
      </c>
      <c r="C333" s="340">
        <v>3</v>
      </c>
    </row>
    <row r="334" spans="1:3" x14ac:dyDescent="0.2">
      <c r="A334" s="341"/>
      <c r="B334" s="339" t="s">
        <v>349</v>
      </c>
      <c r="C334" s="340">
        <v>3</v>
      </c>
    </row>
    <row r="335" spans="1:3" x14ac:dyDescent="0.2">
      <c r="A335" s="341"/>
      <c r="B335" s="339" t="s">
        <v>370</v>
      </c>
      <c r="C335" s="340">
        <v>3</v>
      </c>
    </row>
    <row r="336" spans="1:3" x14ac:dyDescent="0.2">
      <c r="A336" s="341"/>
      <c r="B336" s="339" t="s">
        <v>371</v>
      </c>
      <c r="C336" s="340">
        <v>2</v>
      </c>
    </row>
    <row r="337" spans="1:3" x14ac:dyDescent="0.2">
      <c r="A337" s="341"/>
      <c r="B337" s="339" t="s">
        <v>350</v>
      </c>
      <c r="C337" s="340">
        <v>2</v>
      </c>
    </row>
    <row r="338" spans="1:3" x14ac:dyDescent="0.2">
      <c r="A338" s="341"/>
      <c r="B338" s="339" t="s">
        <v>2642</v>
      </c>
      <c r="C338" s="340">
        <v>2</v>
      </c>
    </row>
    <row r="339" spans="1:3" x14ac:dyDescent="0.2">
      <c r="A339" s="341"/>
      <c r="B339" s="339" t="s">
        <v>2638</v>
      </c>
      <c r="C339" s="340">
        <v>2</v>
      </c>
    </row>
    <row r="340" spans="1:3" x14ac:dyDescent="0.2">
      <c r="A340" s="341"/>
      <c r="B340" s="339" t="s">
        <v>391</v>
      </c>
      <c r="C340" s="340">
        <v>2</v>
      </c>
    </row>
    <row r="341" spans="1:3" x14ac:dyDescent="0.2">
      <c r="A341" s="341"/>
      <c r="B341" s="339" t="s">
        <v>357</v>
      </c>
      <c r="C341" s="340">
        <v>2</v>
      </c>
    </row>
    <row r="342" spans="1:3" x14ac:dyDescent="0.2">
      <c r="A342" s="341"/>
      <c r="B342" s="339" t="s">
        <v>2583</v>
      </c>
      <c r="C342" s="340">
        <v>2</v>
      </c>
    </row>
    <row r="343" spans="1:3" x14ac:dyDescent="0.2">
      <c r="A343" s="341"/>
      <c r="B343" s="339" t="s">
        <v>375</v>
      </c>
      <c r="C343" s="340">
        <v>2</v>
      </c>
    </row>
    <row r="344" spans="1:3" x14ac:dyDescent="0.2">
      <c r="A344" s="341"/>
      <c r="B344" s="339" t="s">
        <v>356</v>
      </c>
      <c r="C344" s="340">
        <v>1</v>
      </c>
    </row>
    <row r="345" spans="1:3" x14ac:dyDescent="0.2">
      <c r="A345" s="341"/>
      <c r="B345" s="339" t="s">
        <v>402</v>
      </c>
      <c r="C345" s="340">
        <v>1</v>
      </c>
    </row>
    <row r="346" spans="1:3" x14ac:dyDescent="0.2">
      <c r="A346" s="341"/>
      <c r="B346" s="339" t="s">
        <v>587</v>
      </c>
      <c r="C346" s="340">
        <v>1</v>
      </c>
    </row>
    <row r="347" spans="1:3" x14ac:dyDescent="0.2">
      <c r="A347" s="341"/>
      <c r="B347" s="339" t="s">
        <v>347</v>
      </c>
      <c r="C347" s="340">
        <v>1</v>
      </c>
    </row>
    <row r="348" spans="1:3" x14ac:dyDescent="0.2">
      <c r="A348" s="341"/>
      <c r="B348" s="339" t="s">
        <v>613</v>
      </c>
      <c r="C348" s="340">
        <v>1</v>
      </c>
    </row>
    <row r="349" spans="1:3" x14ac:dyDescent="0.2">
      <c r="A349" s="341"/>
      <c r="B349" s="339" t="s">
        <v>2574</v>
      </c>
      <c r="C349" s="340">
        <v>1</v>
      </c>
    </row>
    <row r="350" spans="1:3" x14ac:dyDescent="0.2">
      <c r="A350" s="341"/>
      <c r="B350" s="339" t="s">
        <v>341</v>
      </c>
      <c r="C350" s="340">
        <v>1</v>
      </c>
    </row>
    <row r="351" spans="1:3" x14ac:dyDescent="0.2">
      <c r="A351" s="341"/>
      <c r="B351" s="339" t="s">
        <v>354</v>
      </c>
      <c r="C351" s="340">
        <v>1</v>
      </c>
    </row>
    <row r="352" spans="1:3" x14ac:dyDescent="0.2">
      <c r="A352" s="341"/>
      <c r="B352" s="339" t="s">
        <v>359</v>
      </c>
      <c r="C352" s="340">
        <v>1</v>
      </c>
    </row>
    <row r="353" spans="1:3" x14ac:dyDescent="0.2">
      <c r="A353" s="341"/>
      <c r="B353" s="339" t="s">
        <v>442</v>
      </c>
      <c r="C353" s="340">
        <v>1</v>
      </c>
    </row>
    <row r="354" spans="1:3" x14ac:dyDescent="0.2">
      <c r="A354" s="341"/>
      <c r="B354" s="339" t="s">
        <v>369</v>
      </c>
      <c r="C354" s="340">
        <v>0.5</v>
      </c>
    </row>
    <row r="355" spans="1:3" x14ac:dyDescent="0.2">
      <c r="A355" s="341"/>
      <c r="B355" s="339" t="s">
        <v>366</v>
      </c>
      <c r="C355" s="340">
        <v>0.5</v>
      </c>
    </row>
    <row r="356" spans="1:3" x14ac:dyDescent="0.2">
      <c r="A356" s="341"/>
      <c r="B356" s="339" t="s">
        <v>361</v>
      </c>
      <c r="C356" s="340">
        <v>0.5</v>
      </c>
    </row>
    <row r="357" spans="1:3" x14ac:dyDescent="0.2">
      <c r="A357" s="341"/>
      <c r="B357" s="339" t="s">
        <v>2636</v>
      </c>
      <c r="C357" s="340">
        <v>0.5</v>
      </c>
    </row>
    <row r="358" spans="1:3" x14ac:dyDescent="0.2">
      <c r="A358" s="341"/>
      <c r="B358" s="339" t="s">
        <v>368</v>
      </c>
      <c r="C358" s="340">
        <v>0.5</v>
      </c>
    </row>
    <row r="359" spans="1:3" x14ac:dyDescent="0.2">
      <c r="A359" s="341"/>
      <c r="B359" s="339" t="s">
        <v>583</v>
      </c>
      <c r="C359" s="340">
        <v>0.5</v>
      </c>
    </row>
    <row r="360" spans="1:3" x14ac:dyDescent="0.2">
      <c r="A360" s="341"/>
      <c r="B360" s="339" t="s">
        <v>372</v>
      </c>
      <c r="C360" s="340">
        <v>0.5</v>
      </c>
    </row>
    <row r="361" spans="1:3" x14ac:dyDescent="0.2">
      <c r="A361" s="341"/>
      <c r="B361" s="339" t="s">
        <v>374</v>
      </c>
      <c r="C361" s="340">
        <v>0.5</v>
      </c>
    </row>
    <row r="362" spans="1:3" x14ac:dyDescent="0.2">
      <c r="A362" s="341"/>
    </row>
    <row r="363" spans="1:3" x14ac:dyDescent="0.2">
      <c r="A363" s="338" t="s">
        <v>2402</v>
      </c>
    </row>
    <row r="364" spans="1:3" x14ac:dyDescent="0.2">
      <c r="A364" s="341" t="s">
        <v>901</v>
      </c>
    </row>
    <row r="365" spans="1:3" x14ac:dyDescent="0.2">
      <c r="A365" s="341" t="s">
        <v>1105</v>
      </c>
    </row>
    <row r="366" spans="1:3" x14ac:dyDescent="0.2">
      <c r="A366" s="341" t="s">
        <v>1310</v>
      </c>
    </row>
    <row r="367" spans="1:3" x14ac:dyDescent="0.2">
      <c r="A367" s="341" t="s">
        <v>2498</v>
      </c>
    </row>
    <row r="368" spans="1:3" x14ac:dyDescent="0.2">
      <c r="A368" s="341" t="s">
        <v>2403</v>
      </c>
    </row>
    <row r="369" spans="1:3" x14ac:dyDescent="0.2">
      <c r="A369" s="341"/>
    </row>
    <row r="370" spans="1:3" x14ac:dyDescent="0.2">
      <c r="A370" s="341"/>
      <c r="B370" s="339" t="s">
        <v>347</v>
      </c>
      <c r="C370" s="340">
        <v>11</v>
      </c>
    </row>
    <row r="371" spans="1:3" x14ac:dyDescent="0.2">
      <c r="A371" s="341"/>
      <c r="B371" s="339" t="s">
        <v>340</v>
      </c>
      <c r="C371" s="340">
        <v>10</v>
      </c>
    </row>
    <row r="372" spans="1:3" x14ac:dyDescent="0.2">
      <c r="A372" s="341"/>
      <c r="B372" s="339" t="s">
        <v>371</v>
      </c>
      <c r="C372" s="340">
        <v>8</v>
      </c>
    </row>
    <row r="373" spans="1:3" x14ac:dyDescent="0.2">
      <c r="A373" s="341"/>
      <c r="B373" s="339" t="s">
        <v>376</v>
      </c>
      <c r="C373" s="340">
        <v>7</v>
      </c>
    </row>
    <row r="374" spans="1:3" x14ac:dyDescent="0.2">
      <c r="A374" s="341"/>
      <c r="B374" s="339" t="s">
        <v>341</v>
      </c>
      <c r="C374" s="340">
        <v>7</v>
      </c>
    </row>
    <row r="375" spans="1:3" x14ac:dyDescent="0.2">
      <c r="A375" s="341"/>
      <c r="B375" s="339" t="s">
        <v>2574</v>
      </c>
      <c r="C375" s="340">
        <v>6</v>
      </c>
    </row>
    <row r="376" spans="1:3" x14ac:dyDescent="0.2">
      <c r="A376" s="341"/>
      <c r="B376" s="339" t="s">
        <v>379</v>
      </c>
      <c r="C376" s="340">
        <v>5</v>
      </c>
    </row>
    <row r="377" spans="1:3" x14ac:dyDescent="0.2">
      <c r="A377" s="341"/>
      <c r="B377" s="339" t="s">
        <v>595</v>
      </c>
      <c r="C377" s="340">
        <v>5</v>
      </c>
    </row>
    <row r="378" spans="1:3" x14ac:dyDescent="0.2">
      <c r="A378" s="341"/>
      <c r="B378" s="339" t="s">
        <v>2572</v>
      </c>
      <c r="C378" s="340">
        <v>5</v>
      </c>
    </row>
    <row r="379" spans="1:3" x14ac:dyDescent="0.2">
      <c r="A379" s="341"/>
      <c r="B379" s="339" t="s">
        <v>602</v>
      </c>
      <c r="C379" s="340">
        <v>4</v>
      </c>
    </row>
    <row r="380" spans="1:3" x14ac:dyDescent="0.2">
      <c r="A380" s="341"/>
      <c r="B380" s="339" t="s">
        <v>569</v>
      </c>
      <c r="C380" s="340">
        <v>4</v>
      </c>
    </row>
    <row r="381" spans="1:3" x14ac:dyDescent="0.2">
      <c r="A381" s="341"/>
      <c r="B381" s="339" t="s">
        <v>609</v>
      </c>
      <c r="C381" s="340">
        <v>3</v>
      </c>
    </row>
    <row r="382" spans="1:3" x14ac:dyDescent="0.2">
      <c r="A382" s="341"/>
      <c r="B382" s="339" t="s">
        <v>2579</v>
      </c>
      <c r="C382" s="340">
        <v>3</v>
      </c>
    </row>
    <row r="383" spans="1:3" x14ac:dyDescent="0.2">
      <c r="A383" s="341"/>
      <c r="B383" s="339" t="s">
        <v>2583</v>
      </c>
      <c r="C383" s="340">
        <v>3</v>
      </c>
    </row>
    <row r="384" spans="1:3" x14ac:dyDescent="0.2">
      <c r="A384" s="341"/>
      <c r="B384" s="339" t="s">
        <v>375</v>
      </c>
      <c r="C384" s="340">
        <v>3</v>
      </c>
    </row>
    <row r="385" spans="1:3" x14ac:dyDescent="0.2">
      <c r="A385" s="341"/>
      <c r="B385" s="339" t="s">
        <v>369</v>
      </c>
      <c r="C385" s="340">
        <v>2</v>
      </c>
    </row>
    <row r="386" spans="1:3" x14ac:dyDescent="0.2">
      <c r="A386" s="341"/>
      <c r="B386" s="339" t="s">
        <v>2645</v>
      </c>
      <c r="C386" s="340">
        <v>2</v>
      </c>
    </row>
    <row r="387" spans="1:3" x14ac:dyDescent="0.2">
      <c r="A387" s="341"/>
      <c r="B387" s="339" t="s">
        <v>2638</v>
      </c>
      <c r="C387" s="340">
        <v>2</v>
      </c>
    </row>
    <row r="388" spans="1:3" x14ac:dyDescent="0.2">
      <c r="A388" s="341"/>
      <c r="B388" s="339" t="s">
        <v>378</v>
      </c>
      <c r="C388" s="340">
        <v>2</v>
      </c>
    </row>
    <row r="389" spans="1:3" x14ac:dyDescent="0.2">
      <c r="A389" s="341"/>
      <c r="B389" s="339" t="s">
        <v>357</v>
      </c>
      <c r="C389" s="340">
        <v>2</v>
      </c>
    </row>
    <row r="390" spans="1:3" x14ac:dyDescent="0.2">
      <c r="A390" s="341"/>
      <c r="B390" s="339" t="s">
        <v>348</v>
      </c>
      <c r="C390" s="340">
        <v>2</v>
      </c>
    </row>
    <row r="391" spans="1:3" x14ac:dyDescent="0.2">
      <c r="A391" s="341"/>
      <c r="B391" s="339" t="s">
        <v>380</v>
      </c>
      <c r="C391" s="340">
        <v>2</v>
      </c>
    </row>
    <row r="392" spans="1:3" x14ac:dyDescent="0.2">
      <c r="A392" s="341"/>
      <c r="B392" s="339" t="s">
        <v>2566</v>
      </c>
      <c r="C392" s="340">
        <v>2</v>
      </c>
    </row>
    <row r="393" spans="1:3" x14ac:dyDescent="0.2">
      <c r="A393" s="341"/>
      <c r="B393" s="339" t="s">
        <v>350</v>
      </c>
      <c r="C393" s="340">
        <v>1</v>
      </c>
    </row>
    <row r="394" spans="1:3" x14ac:dyDescent="0.2">
      <c r="A394" s="341"/>
      <c r="B394" s="339" t="s">
        <v>2642</v>
      </c>
      <c r="C394" s="340">
        <v>1</v>
      </c>
    </row>
    <row r="395" spans="1:3" x14ac:dyDescent="0.2">
      <c r="A395" s="341"/>
      <c r="B395" s="339" t="s">
        <v>2636</v>
      </c>
      <c r="C395" s="340">
        <v>1</v>
      </c>
    </row>
    <row r="396" spans="1:3" x14ac:dyDescent="0.2">
      <c r="A396" s="341"/>
      <c r="B396" s="339" t="s">
        <v>613</v>
      </c>
      <c r="C396" s="340">
        <v>1</v>
      </c>
    </row>
    <row r="397" spans="1:3" x14ac:dyDescent="0.2">
      <c r="A397" s="341"/>
      <c r="B397" s="339" t="s">
        <v>614</v>
      </c>
      <c r="C397" s="340">
        <v>1</v>
      </c>
    </row>
    <row r="398" spans="1:3" x14ac:dyDescent="0.2">
      <c r="A398" s="341"/>
      <c r="B398" s="339" t="s">
        <v>1286</v>
      </c>
      <c r="C398" s="340">
        <v>1</v>
      </c>
    </row>
    <row r="399" spans="1:3" x14ac:dyDescent="0.2">
      <c r="A399" s="341"/>
      <c r="B399" s="339" t="s">
        <v>358</v>
      </c>
      <c r="C399" s="340">
        <v>1</v>
      </c>
    </row>
    <row r="400" spans="1:3" x14ac:dyDescent="0.2">
      <c r="A400" s="341"/>
      <c r="B400" s="339" t="s">
        <v>582</v>
      </c>
      <c r="C400" s="340">
        <v>1</v>
      </c>
    </row>
    <row r="401" spans="1:3" x14ac:dyDescent="0.2">
      <c r="A401" s="341"/>
      <c r="B401" s="339" t="s">
        <v>354</v>
      </c>
      <c r="C401" s="340">
        <v>1</v>
      </c>
    </row>
    <row r="402" spans="1:3" x14ac:dyDescent="0.2">
      <c r="A402" s="341"/>
      <c r="B402" s="339" t="s">
        <v>374</v>
      </c>
      <c r="C402" s="340">
        <v>1</v>
      </c>
    </row>
    <row r="403" spans="1:3" x14ac:dyDescent="0.2">
      <c r="A403" s="341"/>
      <c r="B403" s="339" t="s">
        <v>377</v>
      </c>
      <c r="C403" s="340">
        <v>1</v>
      </c>
    </row>
    <row r="404" spans="1:3" x14ac:dyDescent="0.2">
      <c r="A404" s="341"/>
      <c r="B404" s="339" t="s">
        <v>356</v>
      </c>
      <c r="C404" s="340">
        <v>0.5</v>
      </c>
    </row>
    <row r="405" spans="1:3" x14ac:dyDescent="0.2">
      <c r="A405" s="341"/>
      <c r="B405" s="339" t="s">
        <v>391</v>
      </c>
      <c r="C405" s="340">
        <v>0.5</v>
      </c>
    </row>
    <row r="406" spans="1:3" x14ac:dyDescent="0.2">
      <c r="A406" s="341"/>
    </row>
    <row r="407" spans="1:3" x14ac:dyDescent="0.2">
      <c r="A407" s="338" t="s">
        <v>2404</v>
      </c>
    </row>
    <row r="408" spans="1:3" x14ac:dyDescent="0.2">
      <c r="A408" s="341" t="s">
        <v>901</v>
      </c>
    </row>
    <row r="409" spans="1:3" x14ac:dyDescent="0.2">
      <c r="A409" s="341" t="s">
        <v>1106</v>
      </c>
    </row>
    <row r="410" spans="1:3" x14ac:dyDescent="0.2">
      <c r="A410" s="341" t="s">
        <v>1311</v>
      </c>
    </row>
    <row r="411" spans="1:3" x14ac:dyDescent="0.2">
      <c r="A411" s="341" t="s">
        <v>2499</v>
      </c>
    </row>
    <row r="412" spans="1:3" x14ac:dyDescent="0.2">
      <c r="A412" s="341" t="s">
        <v>2405</v>
      </c>
    </row>
    <row r="413" spans="1:3" x14ac:dyDescent="0.2">
      <c r="A413" s="341"/>
    </row>
    <row r="414" spans="1:3" x14ac:dyDescent="0.2">
      <c r="A414" s="341"/>
      <c r="B414" s="339" t="s">
        <v>382</v>
      </c>
      <c r="C414" s="340">
        <v>55</v>
      </c>
    </row>
    <row r="415" spans="1:3" x14ac:dyDescent="0.2">
      <c r="A415" s="341"/>
      <c r="B415" s="339" t="s">
        <v>346</v>
      </c>
      <c r="C415" s="340">
        <v>25</v>
      </c>
    </row>
    <row r="416" spans="1:3" x14ac:dyDescent="0.2">
      <c r="A416" s="341"/>
      <c r="B416" s="339" t="s">
        <v>381</v>
      </c>
      <c r="C416" s="340">
        <v>14</v>
      </c>
    </row>
    <row r="417" spans="1:3" x14ac:dyDescent="0.2">
      <c r="A417" s="341"/>
      <c r="B417" s="339" t="s">
        <v>340</v>
      </c>
      <c r="C417" s="340">
        <v>12</v>
      </c>
    </row>
    <row r="418" spans="1:3" x14ac:dyDescent="0.2">
      <c r="A418" s="341"/>
      <c r="B418" s="339" t="s">
        <v>601</v>
      </c>
      <c r="C418" s="340">
        <v>8</v>
      </c>
    </row>
    <row r="419" spans="1:3" x14ac:dyDescent="0.2">
      <c r="A419" s="341"/>
      <c r="B419" s="339" t="s">
        <v>402</v>
      </c>
      <c r="C419" s="340">
        <v>7</v>
      </c>
    </row>
    <row r="420" spans="1:3" x14ac:dyDescent="0.2">
      <c r="A420" s="341"/>
      <c r="B420" s="339" t="s">
        <v>342</v>
      </c>
      <c r="C420" s="340">
        <v>2</v>
      </c>
    </row>
    <row r="421" spans="1:3" x14ac:dyDescent="0.2">
      <c r="A421" s="341"/>
      <c r="B421" s="339" t="s">
        <v>350</v>
      </c>
      <c r="C421" s="340">
        <v>1</v>
      </c>
    </row>
    <row r="422" spans="1:3" x14ac:dyDescent="0.2">
      <c r="A422" s="341"/>
      <c r="B422" s="339" t="s">
        <v>391</v>
      </c>
      <c r="C422" s="340">
        <v>1</v>
      </c>
    </row>
    <row r="423" spans="1:3" x14ac:dyDescent="0.2">
      <c r="A423" s="341"/>
      <c r="B423" s="339" t="s">
        <v>1286</v>
      </c>
      <c r="C423" s="340">
        <v>1</v>
      </c>
    </row>
    <row r="424" spans="1:3" x14ac:dyDescent="0.2">
      <c r="A424" s="341"/>
      <c r="B424" s="339" t="s">
        <v>475</v>
      </c>
      <c r="C424" s="340">
        <v>0.5</v>
      </c>
    </row>
    <row r="425" spans="1:3" x14ac:dyDescent="0.2">
      <c r="A425" s="341"/>
      <c r="B425" s="339" t="s">
        <v>388</v>
      </c>
      <c r="C425" s="340">
        <v>0.5</v>
      </c>
    </row>
    <row r="426" spans="1:3" x14ac:dyDescent="0.2">
      <c r="A426" s="341"/>
      <c r="B426" s="339" t="s">
        <v>383</v>
      </c>
      <c r="C426" s="340">
        <v>0.5</v>
      </c>
    </row>
    <row r="427" spans="1:3" x14ac:dyDescent="0.2">
      <c r="A427" s="341"/>
      <c r="B427" s="339" t="s">
        <v>384</v>
      </c>
      <c r="C427" s="340">
        <v>0.5</v>
      </c>
    </row>
    <row r="428" spans="1:3" x14ac:dyDescent="0.2">
      <c r="A428" s="341"/>
      <c r="B428" s="339" t="s">
        <v>358</v>
      </c>
      <c r="C428" s="340">
        <v>0.5</v>
      </c>
    </row>
    <row r="429" spans="1:3" x14ac:dyDescent="0.2">
      <c r="A429" s="341"/>
      <c r="B429" s="339" t="s">
        <v>2566</v>
      </c>
      <c r="C429" s="340">
        <v>0.5</v>
      </c>
    </row>
    <row r="430" spans="1:3" x14ac:dyDescent="0.2">
      <c r="A430" s="341"/>
      <c r="B430" s="339" t="s">
        <v>476</v>
      </c>
      <c r="C430" s="340">
        <v>0.5</v>
      </c>
    </row>
    <row r="431" spans="1:3" x14ac:dyDescent="0.2">
      <c r="A431" s="341"/>
      <c r="B431" s="339" t="s">
        <v>571</v>
      </c>
      <c r="C431" s="340">
        <v>0.5</v>
      </c>
    </row>
    <row r="432" spans="1:3" x14ac:dyDescent="0.2">
      <c r="A432" s="341"/>
    </row>
    <row r="433" spans="1:3" x14ac:dyDescent="0.2">
      <c r="A433" s="338" t="s">
        <v>2406</v>
      </c>
    </row>
    <row r="434" spans="1:3" x14ac:dyDescent="0.2">
      <c r="A434" s="341" t="s">
        <v>902</v>
      </c>
    </row>
    <row r="435" spans="1:3" x14ac:dyDescent="0.2">
      <c r="A435" s="341" t="s">
        <v>1107</v>
      </c>
    </row>
    <row r="436" spans="1:3" x14ac:dyDescent="0.2">
      <c r="A436" s="341" t="s">
        <v>1312</v>
      </c>
    </row>
    <row r="437" spans="1:3" x14ac:dyDescent="0.2">
      <c r="A437" s="341" t="s">
        <v>2500</v>
      </c>
    </row>
    <row r="438" spans="1:3" x14ac:dyDescent="0.2">
      <c r="A438" s="341" t="s">
        <v>2407</v>
      </c>
    </row>
    <row r="439" spans="1:3" x14ac:dyDescent="0.2">
      <c r="A439" s="341"/>
    </row>
    <row r="440" spans="1:3" x14ac:dyDescent="0.2">
      <c r="A440" s="341"/>
      <c r="B440" s="339" t="s">
        <v>437</v>
      </c>
      <c r="C440" s="340">
        <v>30</v>
      </c>
    </row>
    <row r="441" spans="1:3" x14ac:dyDescent="0.2">
      <c r="A441" s="341"/>
      <c r="B441" s="339" t="s">
        <v>347</v>
      </c>
      <c r="C441" s="340">
        <v>12</v>
      </c>
    </row>
    <row r="442" spans="1:3" x14ac:dyDescent="0.2">
      <c r="A442" s="341"/>
      <c r="B442" s="339" t="s">
        <v>391</v>
      </c>
      <c r="C442" s="340">
        <v>8</v>
      </c>
    </row>
    <row r="443" spans="1:3" x14ac:dyDescent="0.2">
      <c r="A443" s="341"/>
      <c r="B443" s="339" t="s">
        <v>370</v>
      </c>
      <c r="C443" s="340">
        <v>8</v>
      </c>
    </row>
    <row r="444" spans="1:3" x14ac:dyDescent="0.2">
      <c r="A444" s="341"/>
      <c r="B444" s="339" t="s">
        <v>350</v>
      </c>
      <c r="C444" s="340">
        <v>6</v>
      </c>
    </row>
    <row r="445" spans="1:3" x14ac:dyDescent="0.2">
      <c r="A445" s="341"/>
      <c r="B445" s="339" t="s">
        <v>348</v>
      </c>
      <c r="C445" s="340">
        <v>6</v>
      </c>
    </row>
    <row r="446" spans="1:3" x14ac:dyDescent="0.2">
      <c r="A446" s="341"/>
      <c r="B446" s="339" t="s">
        <v>351</v>
      </c>
      <c r="C446" s="340">
        <v>4</v>
      </c>
    </row>
    <row r="447" spans="1:3" x14ac:dyDescent="0.2">
      <c r="A447" s="341"/>
      <c r="B447" s="339" t="s">
        <v>2636</v>
      </c>
      <c r="C447" s="340">
        <v>4</v>
      </c>
    </row>
    <row r="448" spans="1:3" x14ac:dyDescent="0.2">
      <c r="A448" s="341"/>
      <c r="B448" s="339" t="s">
        <v>2583</v>
      </c>
      <c r="C448" s="340">
        <v>4</v>
      </c>
    </row>
    <row r="449" spans="1:3" x14ac:dyDescent="0.2">
      <c r="A449" s="341"/>
      <c r="B449" s="339" t="s">
        <v>349</v>
      </c>
      <c r="C449" s="340">
        <v>4</v>
      </c>
    </row>
    <row r="450" spans="1:3" x14ac:dyDescent="0.2">
      <c r="A450" s="341"/>
      <c r="B450" s="339" t="s">
        <v>451</v>
      </c>
      <c r="C450" s="340">
        <v>3</v>
      </c>
    </row>
    <row r="451" spans="1:3" x14ac:dyDescent="0.2">
      <c r="A451" s="341"/>
      <c r="B451" s="339" t="s">
        <v>362</v>
      </c>
      <c r="C451" s="340">
        <v>2</v>
      </c>
    </row>
    <row r="452" spans="1:3" x14ac:dyDescent="0.2">
      <c r="A452" s="341"/>
      <c r="B452" s="339" t="s">
        <v>385</v>
      </c>
      <c r="C452" s="340">
        <v>2</v>
      </c>
    </row>
    <row r="453" spans="1:3" x14ac:dyDescent="0.2">
      <c r="A453" s="341"/>
      <c r="B453" s="339" t="s">
        <v>386</v>
      </c>
      <c r="C453" s="340">
        <v>2</v>
      </c>
    </row>
    <row r="454" spans="1:3" x14ac:dyDescent="0.2">
      <c r="A454" s="341"/>
      <c r="B454" s="339" t="s">
        <v>354</v>
      </c>
      <c r="C454" s="340">
        <v>2</v>
      </c>
    </row>
    <row r="455" spans="1:3" x14ac:dyDescent="0.2">
      <c r="A455" s="341"/>
      <c r="B455" s="339" t="s">
        <v>442</v>
      </c>
      <c r="C455" s="340">
        <v>2</v>
      </c>
    </row>
    <row r="456" spans="1:3" x14ac:dyDescent="0.2">
      <c r="A456" s="341"/>
      <c r="B456" s="339" t="s">
        <v>431</v>
      </c>
      <c r="C456" s="340">
        <v>2</v>
      </c>
    </row>
    <row r="457" spans="1:3" x14ac:dyDescent="0.2">
      <c r="A457" s="341"/>
      <c r="B457" s="339" t="s">
        <v>377</v>
      </c>
      <c r="C457" s="340">
        <v>2</v>
      </c>
    </row>
    <row r="458" spans="1:3" x14ac:dyDescent="0.2">
      <c r="A458" s="341"/>
      <c r="B458" s="339" t="s">
        <v>3151</v>
      </c>
      <c r="C458" s="340">
        <v>1</v>
      </c>
    </row>
    <row r="459" spans="1:3" x14ac:dyDescent="0.2">
      <c r="A459" s="341"/>
      <c r="B459" s="339" t="s">
        <v>342</v>
      </c>
      <c r="C459" s="340">
        <v>1</v>
      </c>
    </row>
    <row r="460" spans="1:3" x14ac:dyDescent="0.2">
      <c r="A460" s="341"/>
      <c r="B460" s="339" t="s">
        <v>597</v>
      </c>
      <c r="C460" s="340">
        <v>1</v>
      </c>
    </row>
    <row r="461" spans="1:3" x14ac:dyDescent="0.2">
      <c r="A461" s="341"/>
      <c r="B461" s="339" t="s">
        <v>357</v>
      </c>
      <c r="C461" s="340">
        <v>1</v>
      </c>
    </row>
    <row r="462" spans="1:3" x14ac:dyDescent="0.2">
      <c r="A462" s="341"/>
      <c r="B462" s="339" t="s">
        <v>398</v>
      </c>
      <c r="C462" s="340">
        <v>0.5</v>
      </c>
    </row>
    <row r="463" spans="1:3" x14ac:dyDescent="0.2">
      <c r="A463" s="341"/>
      <c r="B463" s="339" t="s">
        <v>2642</v>
      </c>
      <c r="C463" s="340">
        <v>0.5</v>
      </c>
    </row>
    <row r="464" spans="1:3" x14ac:dyDescent="0.2">
      <c r="A464" s="341"/>
      <c r="B464" s="339" t="s">
        <v>352</v>
      </c>
      <c r="C464" s="340">
        <v>0.5</v>
      </c>
    </row>
    <row r="465" spans="1:3" x14ac:dyDescent="0.2">
      <c r="A465" s="341"/>
      <c r="B465" s="339" t="s">
        <v>378</v>
      </c>
      <c r="C465" s="340">
        <v>0.5</v>
      </c>
    </row>
    <row r="466" spans="1:3" x14ac:dyDescent="0.2">
      <c r="A466" s="341"/>
      <c r="B466" s="339" t="s">
        <v>2637</v>
      </c>
      <c r="C466" s="340">
        <v>0.5</v>
      </c>
    </row>
    <row r="467" spans="1:3" x14ac:dyDescent="0.2">
      <c r="A467" s="341"/>
      <c r="B467" s="339" t="s">
        <v>2574</v>
      </c>
      <c r="C467" s="340">
        <v>0.5</v>
      </c>
    </row>
    <row r="468" spans="1:3" x14ac:dyDescent="0.2">
      <c r="A468" s="341"/>
      <c r="B468" s="339" t="s">
        <v>341</v>
      </c>
      <c r="C468" s="340">
        <v>0.5</v>
      </c>
    </row>
    <row r="469" spans="1:3" x14ac:dyDescent="0.2">
      <c r="A469" s="341"/>
      <c r="B469" s="339" t="s">
        <v>1286</v>
      </c>
      <c r="C469" s="340">
        <v>0.5</v>
      </c>
    </row>
    <row r="470" spans="1:3" x14ac:dyDescent="0.2">
      <c r="A470" s="341"/>
      <c r="B470" s="339" t="s">
        <v>1586</v>
      </c>
      <c r="C470" s="340">
        <v>0.5</v>
      </c>
    </row>
    <row r="471" spans="1:3" x14ac:dyDescent="0.2">
      <c r="A471" s="341"/>
      <c r="B471" s="339" t="s">
        <v>375</v>
      </c>
      <c r="C471" s="340">
        <v>0.5</v>
      </c>
    </row>
    <row r="472" spans="1:3" x14ac:dyDescent="0.2">
      <c r="A472" s="341"/>
      <c r="B472" s="339" t="s">
        <v>372</v>
      </c>
      <c r="C472" s="340">
        <v>0.5</v>
      </c>
    </row>
    <row r="473" spans="1:3" x14ac:dyDescent="0.2">
      <c r="A473" s="341"/>
    </row>
    <row r="474" spans="1:3" x14ac:dyDescent="0.2">
      <c r="A474" s="338" t="s">
        <v>2408</v>
      </c>
    </row>
    <row r="475" spans="1:3" x14ac:dyDescent="0.2">
      <c r="A475" s="341" t="s">
        <v>902</v>
      </c>
    </row>
    <row r="476" spans="1:3" x14ac:dyDescent="0.2">
      <c r="A476" s="341" t="s">
        <v>1108</v>
      </c>
    </row>
    <row r="477" spans="1:3" x14ac:dyDescent="0.2">
      <c r="A477" s="341" t="s">
        <v>1313</v>
      </c>
    </row>
    <row r="478" spans="1:3" x14ac:dyDescent="0.2">
      <c r="A478" s="341" t="s">
        <v>2496</v>
      </c>
    </row>
    <row r="479" spans="1:3" x14ac:dyDescent="0.2">
      <c r="A479" s="341" t="s">
        <v>2409</v>
      </c>
    </row>
    <row r="480" spans="1:3" x14ac:dyDescent="0.2">
      <c r="A480" s="341"/>
    </row>
    <row r="481" spans="1:3" x14ac:dyDescent="0.2">
      <c r="A481" s="341"/>
      <c r="B481" s="339" t="s">
        <v>347</v>
      </c>
      <c r="C481" s="340">
        <v>20</v>
      </c>
    </row>
    <row r="482" spans="1:3" x14ac:dyDescent="0.2">
      <c r="A482" s="341"/>
      <c r="B482" s="339" t="s">
        <v>341</v>
      </c>
      <c r="C482" s="340">
        <v>20</v>
      </c>
    </row>
    <row r="483" spans="1:3" x14ac:dyDescent="0.2">
      <c r="A483" s="341"/>
      <c r="B483" s="339" t="s">
        <v>340</v>
      </c>
      <c r="C483" s="340">
        <v>20</v>
      </c>
    </row>
    <row r="484" spans="1:3" x14ac:dyDescent="0.2">
      <c r="A484" s="341"/>
      <c r="B484" s="339" t="s">
        <v>1286</v>
      </c>
      <c r="C484" s="340">
        <v>14</v>
      </c>
    </row>
    <row r="485" spans="1:3" x14ac:dyDescent="0.2">
      <c r="A485" s="341"/>
      <c r="B485" s="339" t="s">
        <v>597</v>
      </c>
      <c r="C485" s="340">
        <v>8</v>
      </c>
    </row>
    <row r="486" spans="1:3" x14ac:dyDescent="0.2">
      <c r="A486" s="341"/>
      <c r="B486" s="339" t="s">
        <v>3151</v>
      </c>
      <c r="C486" s="340">
        <v>5</v>
      </c>
    </row>
    <row r="487" spans="1:3" x14ac:dyDescent="0.2">
      <c r="A487" s="341"/>
      <c r="B487" s="339" t="s">
        <v>2566</v>
      </c>
      <c r="C487" s="340">
        <v>5</v>
      </c>
    </row>
    <row r="488" spans="1:3" x14ac:dyDescent="0.2">
      <c r="A488" s="341"/>
      <c r="B488" s="339" t="s">
        <v>350</v>
      </c>
      <c r="C488" s="340">
        <v>4</v>
      </c>
    </row>
    <row r="489" spans="1:3" x14ac:dyDescent="0.2">
      <c r="A489" s="341"/>
      <c r="B489" s="339" t="s">
        <v>583</v>
      </c>
      <c r="C489" s="340">
        <v>3</v>
      </c>
    </row>
    <row r="490" spans="1:3" x14ac:dyDescent="0.2">
      <c r="A490" s="341"/>
      <c r="B490" s="339" t="s">
        <v>402</v>
      </c>
      <c r="C490" s="340">
        <v>2</v>
      </c>
    </row>
    <row r="491" spans="1:3" x14ac:dyDescent="0.2">
      <c r="A491" s="341"/>
      <c r="B491" s="339" t="s">
        <v>342</v>
      </c>
      <c r="C491" s="340">
        <v>2</v>
      </c>
    </row>
    <row r="492" spans="1:3" x14ac:dyDescent="0.2">
      <c r="A492" s="341"/>
      <c r="B492" s="339" t="s">
        <v>357</v>
      </c>
      <c r="C492" s="340">
        <v>2</v>
      </c>
    </row>
    <row r="493" spans="1:3" x14ac:dyDescent="0.2">
      <c r="A493" s="341"/>
      <c r="B493" s="339" t="s">
        <v>354</v>
      </c>
      <c r="C493" s="340">
        <v>2</v>
      </c>
    </row>
    <row r="494" spans="1:3" x14ac:dyDescent="0.2">
      <c r="A494" s="341"/>
      <c r="B494" s="339" t="s">
        <v>600</v>
      </c>
      <c r="C494" s="340">
        <v>1</v>
      </c>
    </row>
    <row r="495" spans="1:3" x14ac:dyDescent="0.2">
      <c r="A495" s="341"/>
      <c r="B495" s="339" t="s">
        <v>353</v>
      </c>
      <c r="C495" s="340">
        <v>1</v>
      </c>
    </row>
    <row r="496" spans="1:3" x14ac:dyDescent="0.2">
      <c r="A496" s="341"/>
      <c r="B496" s="339" t="s">
        <v>2636</v>
      </c>
      <c r="C496" s="340">
        <v>1</v>
      </c>
    </row>
    <row r="497" spans="1:3" x14ac:dyDescent="0.2">
      <c r="A497" s="341"/>
      <c r="B497" s="339" t="s">
        <v>349</v>
      </c>
      <c r="C497" s="340">
        <v>1</v>
      </c>
    </row>
    <row r="498" spans="1:3" x14ac:dyDescent="0.2">
      <c r="A498" s="341"/>
      <c r="B498" s="339" t="s">
        <v>382</v>
      </c>
      <c r="C498" s="340">
        <v>0.5</v>
      </c>
    </row>
    <row r="499" spans="1:3" x14ac:dyDescent="0.2">
      <c r="A499" s="341"/>
      <c r="B499" s="339" t="s">
        <v>361</v>
      </c>
      <c r="C499" s="340">
        <v>0.5</v>
      </c>
    </row>
    <row r="500" spans="1:3" x14ac:dyDescent="0.2">
      <c r="A500" s="341"/>
      <c r="B500" s="339" t="s">
        <v>2643</v>
      </c>
      <c r="C500" s="340">
        <v>0.5</v>
      </c>
    </row>
    <row r="501" spans="1:3" x14ac:dyDescent="0.2">
      <c r="A501" s="341"/>
      <c r="B501" s="339" t="s">
        <v>2637</v>
      </c>
      <c r="C501" s="340">
        <v>0.5</v>
      </c>
    </row>
    <row r="502" spans="1:3" x14ac:dyDescent="0.2">
      <c r="A502" s="341"/>
      <c r="B502" s="339" t="s">
        <v>387</v>
      </c>
      <c r="C502" s="340">
        <v>0.5</v>
      </c>
    </row>
    <row r="503" spans="1:3" x14ac:dyDescent="0.2">
      <c r="A503" s="341"/>
      <c r="B503" s="339" t="s">
        <v>348</v>
      </c>
      <c r="C503" s="340">
        <v>0.5</v>
      </c>
    </row>
    <row r="504" spans="1:3" x14ac:dyDescent="0.2">
      <c r="A504" s="341"/>
      <c r="B504" s="339" t="s">
        <v>344</v>
      </c>
      <c r="C504" s="340">
        <v>0.5</v>
      </c>
    </row>
    <row r="505" spans="1:3" x14ac:dyDescent="0.2">
      <c r="A505" s="341"/>
      <c r="B505" s="339" t="s">
        <v>423</v>
      </c>
      <c r="C505" s="340">
        <v>0.5</v>
      </c>
    </row>
    <row r="506" spans="1:3" x14ac:dyDescent="0.2">
      <c r="A506" s="341"/>
      <c r="B506" s="339" t="s">
        <v>432</v>
      </c>
      <c r="C506" s="340">
        <v>0.5</v>
      </c>
    </row>
    <row r="507" spans="1:3" x14ac:dyDescent="0.2">
      <c r="A507" s="341"/>
    </row>
    <row r="508" spans="1:3" x14ac:dyDescent="0.2">
      <c r="A508" s="338" t="s">
        <v>2410</v>
      </c>
    </row>
    <row r="509" spans="1:3" x14ac:dyDescent="0.2">
      <c r="A509" s="341" t="s">
        <v>903</v>
      </c>
    </row>
    <row r="510" spans="1:3" x14ac:dyDescent="0.2">
      <c r="A510" s="341" t="s">
        <v>1109</v>
      </c>
    </row>
    <row r="511" spans="1:3" x14ac:dyDescent="0.2">
      <c r="A511" s="341" t="s">
        <v>1314</v>
      </c>
    </row>
    <row r="512" spans="1:3" x14ac:dyDescent="0.2">
      <c r="A512" s="341" t="s">
        <v>2501</v>
      </c>
    </row>
    <row r="513" spans="1:3" x14ac:dyDescent="0.2">
      <c r="A513" s="341" t="s">
        <v>2411</v>
      </c>
    </row>
    <row r="514" spans="1:3" x14ac:dyDescent="0.2">
      <c r="A514" s="341"/>
    </row>
    <row r="515" spans="1:3" x14ac:dyDescent="0.2">
      <c r="A515" s="341"/>
      <c r="B515" s="339" t="s">
        <v>361</v>
      </c>
      <c r="C515" s="340">
        <v>30</v>
      </c>
    </row>
    <row r="516" spans="1:3" x14ac:dyDescent="0.2">
      <c r="A516" s="341"/>
      <c r="B516" s="339" t="s">
        <v>341</v>
      </c>
      <c r="C516" s="340">
        <v>20</v>
      </c>
    </row>
    <row r="517" spans="1:3" x14ac:dyDescent="0.2">
      <c r="A517" s="341"/>
      <c r="B517" s="339" t="s">
        <v>347</v>
      </c>
      <c r="C517" s="340">
        <v>15</v>
      </c>
    </row>
    <row r="518" spans="1:3" x14ac:dyDescent="0.2">
      <c r="A518" s="341"/>
      <c r="B518" s="339" t="s">
        <v>3151</v>
      </c>
      <c r="C518" s="340">
        <v>12</v>
      </c>
    </row>
    <row r="519" spans="1:3" x14ac:dyDescent="0.2">
      <c r="A519" s="341"/>
      <c r="B519" s="339" t="s">
        <v>597</v>
      </c>
      <c r="C519" s="340">
        <v>10</v>
      </c>
    </row>
    <row r="520" spans="1:3" x14ac:dyDescent="0.2">
      <c r="A520" s="341"/>
      <c r="B520" s="339" t="s">
        <v>342</v>
      </c>
      <c r="C520" s="340">
        <v>7</v>
      </c>
    </row>
    <row r="521" spans="1:3" x14ac:dyDescent="0.2">
      <c r="A521" s="341"/>
      <c r="B521" s="339" t="s">
        <v>350</v>
      </c>
      <c r="C521" s="340">
        <v>4</v>
      </c>
    </row>
    <row r="522" spans="1:3" x14ac:dyDescent="0.2">
      <c r="A522" s="341"/>
      <c r="B522" s="339" t="s">
        <v>356</v>
      </c>
      <c r="C522" s="340">
        <v>3</v>
      </c>
    </row>
    <row r="523" spans="1:3" x14ac:dyDescent="0.2">
      <c r="A523" s="341"/>
      <c r="B523" s="339" t="s">
        <v>380</v>
      </c>
      <c r="C523" s="340">
        <v>3</v>
      </c>
    </row>
    <row r="524" spans="1:3" x14ac:dyDescent="0.2">
      <c r="A524" s="341"/>
      <c r="B524" s="339" t="s">
        <v>343</v>
      </c>
      <c r="C524" s="340">
        <v>2</v>
      </c>
    </row>
    <row r="525" spans="1:3" x14ac:dyDescent="0.2">
      <c r="A525" s="341"/>
      <c r="B525" s="339" t="s">
        <v>2642</v>
      </c>
      <c r="C525" s="340">
        <v>2</v>
      </c>
    </row>
    <row r="526" spans="1:3" x14ac:dyDescent="0.2">
      <c r="A526" s="341"/>
      <c r="B526" s="339" t="s">
        <v>357</v>
      </c>
      <c r="C526" s="340">
        <v>2</v>
      </c>
    </row>
    <row r="527" spans="1:3" x14ac:dyDescent="0.2">
      <c r="A527" s="341"/>
      <c r="B527" s="339" t="s">
        <v>340</v>
      </c>
      <c r="C527" s="340">
        <v>2</v>
      </c>
    </row>
    <row r="528" spans="1:3" x14ac:dyDescent="0.2">
      <c r="A528" s="341"/>
      <c r="B528" s="339" t="s">
        <v>370</v>
      </c>
      <c r="C528" s="340">
        <v>2</v>
      </c>
    </row>
    <row r="529" spans="1:3" x14ac:dyDescent="0.2">
      <c r="A529" s="341"/>
      <c r="B529" s="339" t="s">
        <v>2571</v>
      </c>
      <c r="C529" s="340">
        <v>2</v>
      </c>
    </row>
    <row r="530" spans="1:3" x14ac:dyDescent="0.2">
      <c r="A530" s="341"/>
      <c r="B530" s="339" t="s">
        <v>604</v>
      </c>
      <c r="C530" s="340">
        <v>1</v>
      </c>
    </row>
    <row r="531" spans="1:3" x14ac:dyDescent="0.2">
      <c r="A531" s="341"/>
      <c r="B531" s="339" t="s">
        <v>2638</v>
      </c>
      <c r="C531" s="340">
        <v>1</v>
      </c>
    </row>
    <row r="532" spans="1:3" x14ac:dyDescent="0.2">
      <c r="A532" s="341"/>
      <c r="B532" s="339" t="s">
        <v>388</v>
      </c>
      <c r="C532" s="340">
        <v>1</v>
      </c>
    </row>
    <row r="533" spans="1:3" x14ac:dyDescent="0.2">
      <c r="A533" s="341"/>
      <c r="B533" s="339" t="s">
        <v>2637</v>
      </c>
      <c r="C533" s="340">
        <v>1</v>
      </c>
    </row>
    <row r="534" spans="1:3" x14ac:dyDescent="0.2">
      <c r="A534" s="341"/>
      <c r="B534" s="339" t="s">
        <v>387</v>
      </c>
      <c r="C534" s="340">
        <v>1</v>
      </c>
    </row>
    <row r="535" spans="1:3" x14ac:dyDescent="0.2">
      <c r="A535" s="341"/>
      <c r="B535" s="339" t="s">
        <v>354</v>
      </c>
      <c r="C535" s="340">
        <v>1</v>
      </c>
    </row>
    <row r="536" spans="1:3" x14ac:dyDescent="0.2">
      <c r="A536" s="341"/>
      <c r="B536" s="339" t="s">
        <v>389</v>
      </c>
      <c r="C536" s="340">
        <v>1</v>
      </c>
    </row>
    <row r="537" spans="1:3" x14ac:dyDescent="0.2">
      <c r="A537" s="341"/>
      <c r="B537" s="339" t="s">
        <v>366</v>
      </c>
      <c r="C537" s="340">
        <v>0.5</v>
      </c>
    </row>
    <row r="538" spans="1:3" x14ac:dyDescent="0.2">
      <c r="A538" s="341"/>
      <c r="B538" s="339" t="s">
        <v>353</v>
      </c>
      <c r="C538" s="340">
        <v>0.5</v>
      </c>
    </row>
    <row r="539" spans="1:3" x14ac:dyDescent="0.2">
      <c r="A539" s="341"/>
      <c r="B539" s="339" t="s">
        <v>2636</v>
      </c>
      <c r="C539" s="340">
        <v>0.5</v>
      </c>
    </row>
    <row r="540" spans="1:3" x14ac:dyDescent="0.2">
      <c r="A540" s="341"/>
      <c r="B540" s="339" t="s">
        <v>2574</v>
      </c>
      <c r="C540" s="340">
        <v>0.5</v>
      </c>
    </row>
    <row r="541" spans="1:3" x14ac:dyDescent="0.2">
      <c r="A541" s="341"/>
      <c r="B541" s="339" t="s">
        <v>349</v>
      </c>
      <c r="C541" s="340">
        <v>0.5</v>
      </c>
    </row>
    <row r="542" spans="1:3" x14ac:dyDescent="0.2">
      <c r="A542" s="341"/>
      <c r="B542" s="339" t="s">
        <v>344</v>
      </c>
      <c r="C542" s="340">
        <v>0.5</v>
      </c>
    </row>
    <row r="543" spans="1:3" x14ac:dyDescent="0.2">
      <c r="A543" s="341"/>
      <c r="B543" s="339" t="s">
        <v>358</v>
      </c>
      <c r="C543" s="340">
        <v>0.5</v>
      </c>
    </row>
    <row r="544" spans="1:3" x14ac:dyDescent="0.2">
      <c r="A544" s="341"/>
    </row>
    <row r="545" spans="1:3" x14ac:dyDescent="0.2">
      <c r="A545" s="338" t="s">
        <v>2412</v>
      </c>
    </row>
    <row r="546" spans="1:3" x14ac:dyDescent="0.2">
      <c r="A546" s="341" t="s">
        <v>904</v>
      </c>
    </row>
    <row r="547" spans="1:3" x14ac:dyDescent="0.2">
      <c r="A547" s="341" t="s">
        <v>1110</v>
      </c>
    </row>
    <row r="548" spans="1:3" x14ac:dyDescent="0.2">
      <c r="A548" s="341" t="s">
        <v>1315</v>
      </c>
    </row>
    <row r="549" spans="1:3" x14ac:dyDescent="0.2">
      <c r="A549" s="341" t="s">
        <v>2502</v>
      </c>
    </row>
    <row r="550" spans="1:3" x14ac:dyDescent="0.2">
      <c r="A550" s="341" t="s">
        <v>2413</v>
      </c>
    </row>
    <row r="551" spans="1:3" x14ac:dyDescent="0.2">
      <c r="A551" s="341"/>
    </row>
    <row r="552" spans="1:3" x14ac:dyDescent="0.2">
      <c r="A552" s="341"/>
      <c r="B552" s="339" t="s">
        <v>2569</v>
      </c>
      <c r="C552" s="340">
        <v>55</v>
      </c>
    </row>
    <row r="553" spans="1:3" x14ac:dyDescent="0.2">
      <c r="A553" s="341"/>
      <c r="B553" s="339" t="s">
        <v>398</v>
      </c>
      <c r="C553" s="340">
        <v>20</v>
      </c>
    </row>
    <row r="554" spans="1:3" x14ac:dyDescent="0.2">
      <c r="A554" s="341"/>
      <c r="B554" s="339" t="s">
        <v>595</v>
      </c>
      <c r="C554" s="340">
        <v>20</v>
      </c>
    </row>
    <row r="555" spans="1:3" x14ac:dyDescent="0.2">
      <c r="A555" s="341"/>
      <c r="B555" s="339" t="s">
        <v>342</v>
      </c>
      <c r="C555" s="340">
        <v>12</v>
      </c>
    </row>
    <row r="556" spans="1:3" x14ac:dyDescent="0.2">
      <c r="A556" s="341"/>
      <c r="B556" s="339" t="s">
        <v>347</v>
      </c>
      <c r="C556" s="340">
        <v>12</v>
      </c>
    </row>
    <row r="557" spans="1:3" x14ac:dyDescent="0.2">
      <c r="A557" s="341"/>
      <c r="B557" s="339" t="s">
        <v>2637</v>
      </c>
      <c r="C557" s="340">
        <v>2</v>
      </c>
    </row>
    <row r="558" spans="1:3" x14ac:dyDescent="0.2">
      <c r="A558" s="341"/>
      <c r="B558" s="339" t="s">
        <v>343</v>
      </c>
      <c r="C558" s="340">
        <v>1</v>
      </c>
    </row>
    <row r="559" spans="1:3" x14ac:dyDescent="0.2">
      <c r="A559" s="341"/>
      <c r="B559" s="339" t="s">
        <v>391</v>
      </c>
      <c r="C559" s="340">
        <v>1</v>
      </c>
    </row>
    <row r="560" spans="1:3" x14ac:dyDescent="0.2">
      <c r="A560" s="341"/>
      <c r="B560" s="339" t="s">
        <v>2636</v>
      </c>
      <c r="C560" s="340">
        <v>1</v>
      </c>
    </row>
    <row r="561" spans="1:3" x14ac:dyDescent="0.2">
      <c r="A561" s="341"/>
      <c r="B561" s="339" t="s">
        <v>357</v>
      </c>
      <c r="C561" s="340">
        <v>1</v>
      </c>
    </row>
    <row r="562" spans="1:3" x14ac:dyDescent="0.2">
      <c r="A562" s="341"/>
      <c r="B562" s="339" t="s">
        <v>349</v>
      </c>
      <c r="C562" s="340">
        <v>1</v>
      </c>
    </row>
    <row r="563" spans="1:3" x14ac:dyDescent="0.2">
      <c r="A563" s="341"/>
      <c r="B563" s="339" t="s">
        <v>348</v>
      </c>
      <c r="C563" s="340">
        <v>1</v>
      </c>
    </row>
    <row r="564" spans="1:3" x14ac:dyDescent="0.2">
      <c r="A564" s="341"/>
      <c r="B564" s="339" t="s">
        <v>2644</v>
      </c>
      <c r="C564" s="340">
        <v>0.5</v>
      </c>
    </row>
    <row r="565" spans="1:3" x14ac:dyDescent="0.2">
      <c r="A565" s="341"/>
      <c r="B565" s="339" t="s">
        <v>437</v>
      </c>
      <c r="C565" s="340">
        <v>0.5</v>
      </c>
    </row>
    <row r="566" spans="1:3" x14ac:dyDescent="0.2">
      <c r="A566" s="341"/>
      <c r="B566" s="339" t="s">
        <v>358</v>
      </c>
      <c r="C566" s="340">
        <v>0.5</v>
      </c>
    </row>
    <row r="567" spans="1:3" x14ac:dyDescent="0.2">
      <c r="A567" s="341"/>
      <c r="B567" s="339" t="s">
        <v>375</v>
      </c>
      <c r="C567" s="340">
        <v>0.5</v>
      </c>
    </row>
    <row r="568" spans="1:3" x14ac:dyDescent="0.2">
      <c r="A568" s="341"/>
      <c r="B568" s="339" t="s">
        <v>432</v>
      </c>
      <c r="C568" s="340">
        <v>0.5</v>
      </c>
    </row>
    <row r="569" spans="1:3" x14ac:dyDescent="0.2">
      <c r="A569" s="341"/>
      <c r="B569" s="339" t="s">
        <v>372</v>
      </c>
      <c r="C569" s="340">
        <v>0.5</v>
      </c>
    </row>
    <row r="570" spans="1:3" x14ac:dyDescent="0.2">
      <c r="A570" s="341"/>
    </row>
    <row r="571" spans="1:3" x14ac:dyDescent="0.2">
      <c r="A571" s="338" t="s">
        <v>2414</v>
      </c>
    </row>
    <row r="572" spans="1:3" x14ac:dyDescent="0.2">
      <c r="A572" s="341" t="s">
        <v>904</v>
      </c>
    </row>
    <row r="573" spans="1:3" x14ac:dyDescent="0.2">
      <c r="A573" s="341" t="s">
        <v>1111</v>
      </c>
    </row>
    <row r="574" spans="1:3" x14ac:dyDescent="0.2">
      <c r="A574" s="341" t="s">
        <v>1316</v>
      </c>
    </row>
    <row r="575" spans="1:3" x14ac:dyDescent="0.2">
      <c r="A575" s="341" t="s">
        <v>2503</v>
      </c>
    </row>
    <row r="576" spans="1:3" x14ac:dyDescent="0.2">
      <c r="A576" s="341" t="s">
        <v>2415</v>
      </c>
    </row>
    <row r="577" spans="1:3" x14ac:dyDescent="0.2">
      <c r="A577" s="341"/>
    </row>
    <row r="578" spans="1:3" x14ac:dyDescent="0.2">
      <c r="A578" s="341"/>
      <c r="B578" s="339" t="s">
        <v>2579</v>
      </c>
      <c r="C578" s="340">
        <v>20</v>
      </c>
    </row>
    <row r="579" spans="1:3" x14ac:dyDescent="0.2">
      <c r="A579" s="341"/>
      <c r="B579" s="339" t="s">
        <v>402</v>
      </c>
      <c r="C579" s="340">
        <v>15</v>
      </c>
    </row>
    <row r="580" spans="1:3" x14ac:dyDescent="0.2">
      <c r="A580" s="341"/>
      <c r="B580" s="339" t="s">
        <v>342</v>
      </c>
      <c r="C580" s="340">
        <v>15</v>
      </c>
    </row>
    <row r="581" spans="1:3" x14ac:dyDescent="0.2">
      <c r="A581" s="341"/>
      <c r="B581" s="339" t="s">
        <v>454</v>
      </c>
      <c r="C581" s="340">
        <v>12</v>
      </c>
    </row>
    <row r="582" spans="1:3" x14ac:dyDescent="0.2">
      <c r="A582" s="341"/>
      <c r="B582" s="339" t="s">
        <v>2569</v>
      </c>
      <c r="C582" s="340">
        <v>10</v>
      </c>
    </row>
    <row r="583" spans="1:3" x14ac:dyDescent="0.2">
      <c r="A583" s="341"/>
      <c r="B583" s="339" t="s">
        <v>595</v>
      </c>
      <c r="C583" s="340">
        <v>8</v>
      </c>
    </row>
    <row r="584" spans="1:3" x14ac:dyDescent="0.2">
      <c r="A584" s="341"/>
      <c r="B584" s="339" t="s">
        <v>375</v>
      </c>
      <c r="C584" s="340">
        <v>7</v>
      </c>
    </row>
    <row r="585" spans="1:3" x14ac:dyDescent="0.2">
      <c r="A585" s="341"/>
      <c r="B585" s="339" t="s">
        <v>349</v>
      </c>
      <c r="C585" s="340">
        <v>5</v>
      </c>
    </row>
    <row r="586" spans="1:3" x14ac:dyDescent="0.2">
      <c r="A586" s="341"/>
      <c r="B586" s="339" t="s">
        <v>2647</v>
      </c>
      <c r="C586" s="340">
        <v>5</v>
      </c>
    </row>
    <row r="587" spans="1:3" x14ac:dyDescent="0.2">
      <c r="A587" s="341"/>
      <c r="B587" s="339" t="s">
        <v>2645</v>
      </c>
      <c r="C587" s="340">
        <v>3</v>
      </c>
    </row>
    <row r="588" spans="1:3" x14ac:dyDescent="0.2">
      <c r="A588" s="341"/>
      <c r="B588" s="339" t="s">
        <v>348</v>
      </c>
      <c r="C588" s="340">
        <v>3</v>
      </c>
    </row>
    <row r="589" spans="1:3" x14ac:dyDescent="0.2">
      <c r="A589" s="341"/>
      <c r="B589" s="339" t="s">
        <v>432</v>
      </c>
      <c r="C589" s="340">
        <v>3</v>
      </c>
    </row>
    <row r="590" spans="1:3" x14ac:dyDescent="0.2">
      <c r="A590" s="341"/>
      <c r="B590" s="339" t="s">
        <v>341</v>
      </c>
      <c r="C590" s="340">
        <v>2</v>
      </c>
    </row>
    <row r="591" spans="1:3" x14ac:dyDescent="0.2">
      <c r="A591" s="341"/>
      <c r="B591" s="339" t="s">
        <v>600</v>
      </c>
      <c r="C591" s="340">
        <v>1</v>
      </c>
    </row>
    <row r="592" spans="1:3" x14ac:dyDescent="0.2">
      <c r="A592" s="341"/>
      <c r="B592" s="339" t="s">
        <v>2603</v>
      </c>
      <c r="C592" s="340">
        <v>1</v>
      </c>
    </row>
    <row r="593" spans="1:3" x14ac:dyDescent="0.2">
      <c r="A593" s="341"/>
      <c r="B593" s="339" t="s">
        <v>437</v>
      </c>
      <c r="C593" s="340">
        <v>1</v>
      </c>
    </row>
    <row r="594" spans="1:3" x14ac:dyDescent="0.2">
      <c r="A594" s="341"/>
      <c r="B594" s="339" t="s">
        <v>398</v>
      </c>
      <c r="C594" s="340">
        <v>0.5</v>
      </c>
    </row>
    <row r="595" spans="1:3" x14ac:dyDescent="0.2">
      <c r="A595" s="341"/>
      <c r="B595" s="339" t="s">
        <v>347</v>
      </c>
      <c r="C595" s="340">
        <v>0.5</v>
      </c>
    </row>
    <row r="596" spans="1:3" x14ac:dyDescent="0.2">
      <c r="A596" s="341"/>
      <c r="B596" s="339" t="s">
        <v>2574</v>
      </c>
      <c r="C596" s="340">
        <v>0.5</v>
      </c>
    </row>
    <row r="597" spans="1:3" x14ac:dyDescent="0.2">
      <c r="A597" s="341"/>
      <c r="B597" s="339" t="s">
        <v>2646</v>
      </c>
      <c r="C597" s="340">
        <v>0.5</v>
      </c>
    </row>
    <row r="598" spans="1:3" x14ac:dyDescent="0.2">
      <c r="A598" s="341"/>
      <c r="B598" s="339" t="s">
        <v>358</v>
      </c>
      <c r="C598" s="340">
        <v>0.5</v>
      </c>
    </row>
    <row r="599" spans="1:3" x14ac:dyDescent="0.2">
      <c r="A599" s="341"/>
      <c r="B599" s="339" t="s">
        <v>392</v>
      </c>
      <c r="C599" s="340">
        <v>0.5</v>
      </c>
    </row>
    <row r="600" spans="1:3" x14ac:dyDescent="0.2">
      <c r="A600" s="341"/>
    </row>
    <row r="601" spans="1:3" x14ac:dyDescent="0.2">
      <c r="A601" s="338" t="s">
        <v>2416</v>
      </c>
    </row>
    <row r="602" spans="1:3" x14ac:dyDescent="0.2">
      <c r="A602" s="341" t="s">
        <v>905</v>
      </c>
    </row>
    <row r="603" spans="1:3" x14ac:dyDescent="0.2">
      <c r="A603" s="341" t="s">
        <v>1112</v>
      </c>
    </row>
    <row r="604" spans="1:3" x14ac:dyDescent="0.2">
      <c r="A604" s="341" t="s">
        <v>1317</v>
      </c>
    </row>
    <row r="605" spans="1:3" x14ac:dyDescent="0.2">
      <c r="A605" s="341" t="s">
        <v>2504</v>
      </c>
    </row>
    <row r="606" spans="1:3" x14ac:dyDescent="0.2">
      <c r="A606" s="341" t="s">
        <v>2417</v>
      </c>
    </row>
    <row r="607" spans="1:3" x14ac:dyDescent="0.2">
      <c r="A607" s="341"/>
    </row>
    <row r="608" spans="1:3" x14ac:dyDescent="0.2">
      <c r="A608" s="341"/>
      <c r="B608" s="339" t="s">
        <v>342</v>
      </c>
      <c r="C608" s="340">
        <v>25</v>
      </c>
    </row>
    <row r="609" spans="1:3" x14ac:dyDescent="0.2">
      <c r="A609" s="341"/>
      <c r="B609" s="339" t="s">
        <v>2579</v>
      </c>
      <c r="C609" s="340">
        <v>25</v>
      </c>
    </row>
    <row r="610" spans="1:3" x14ac:dyDescent="0.2">
      <c r="A610" s="341"/>
      <c r="B610" s="339" t="s">
        <v>350</v>
      </c>
      <c r="C610" s="340">
        <v>8</v>
      </c>
    </row>
    <row r="611" spans="1:3" x14ac:dyDescent="0.2">
      <c r="A611" s="341"/>
      <c r="B611" s="339" t="s">
        <v>373</v>
      </c>
      <c r="C611" s="340">
        <v>8</v>
      </c>
    </row>
    <row r="612" spans="1:3" x14ac:dyDescent="0.2">
      <c r="A612" s="341"/>
      <c r="B612" s="339" t="s">
        <v>380</v>
      </c>
      <c r="C612" s="340">
        <v>7</v>
      </c>
    </row>
    <row r="613" spans="1:3" x14ac:dyDescent="0.2">
      <c r="A613" s="341"/>
      <c r="B613" s="339" t="s">
        <v>341</v>
      </c>
      <c r="C613" s="340">
        <v>6</v>
      </c>
    </row>
    <row r="614" spans="1:3" x14ac:dyDescent="0.2">
      <c r="A614" s="341"/>
      <c r="B614" s="339" t="s">
        <v>432</v>
      </c>
      <c r="C614" s="340">
        <v>6</v>
      </c>
    </row>
    <row r="615" spans="1:3" x14ac:dyDescent="0.2">
      <c r="A615" s="341"/>
      <c r="B615" s="339" t="s">
        <v>391</v>
      </c>
      <c r="C615" s="340">
        <v>5</v>
      </c>
    </row>
    <row r="616" spans="1:3" x14ac:dyDescent="0.2">
      <c r="A616" s="341"/>
      <c r="B616" s="339" t="s">
        <v>2569</v>
      </c>
      <c r="C616" s="340">
        <v>5</v>
      </c>
    </row>
    <row r="617" spans="1:3" x14ac:dyDescent="0.2">
      <c r="A617" s="341"/>
      <c r="B617" s="339" t="s">
        <v>375</v>
      </c>
      <c r="C617" s="340">
        <v>4</v>
      </c>
    </row>
    <row r="618" spans="1:3" x14ac:dyDescent="0.2">
      <c r="A618" s="341"/>
      <c r="B618" s="339" t="s">
        <v>347</v>
      </c>
      <c r="C618" s="340">
        <v>3</v>
      </c>
    </row>
    <row r="619" spans="1:3" x14ac:dyDescent="0.2">
      <c r="A619" s="341"/>
      <c r="B619" s="339" t="s">
        <v>2645</v>
      </c>
      <c r="C619" s="340">
        <v>2</v>
      </c>
    </row>
    <row r="620" spans="1:3" x14ac:dyDescent="0.2">
      <c r="A620" s="341"/>
      <c r="B620" s="339" t="s">
        <v>390</v>
      </c>
      <c r="C620" s="340">
        <v>2</v>
      </c>
    </row>
    <row r="621" spans="1:3" x14ac:dyDescent="0.2">
      <c r="A621" s="341"/>
      <c r="B621" s="339" t="s">
        <v>597</v>
      </c>
      <c r="C621" s="340">
        <v>2</v>
      </c>
    </row>
    <row r="622" spans="1:3" x14ac:dyDescent="0.2">
      <c r="A622" s="341"/>
      <c r="B622" s="339" t="s">
        <v>357</v>
      </c>
      <c r="C622" s="340">
        <v>2</v>
      </c>
    </row>
    <row r="623" spans="1:3" x14ac:dyDescent="0.2">
      <c r="A623" s="341"/>
      <c r="B623" s="339" t="s">
        <v>349</v>
      </c>
      <c r="C623" s="340">
        <v>2</v>
      </c>
    </row>
    <row r="624" spans="1:3" x14ac:dyDescent="0.2">
      <c r="A624" s="341"/>
      <c r="B624" s="339" t="s">
        <v>2565</v>
      </c>
      <c r="C624" s="340">
        <v>2</v>
      </c>
    </row>
    <row r="625" spans="1:3" x14ac:dyDescent="0.2">
      <c r="A625" s="341"/>
      <c r="B625" s="339" t="s">
        <v>600</v>
      </c>
      <c r="C625" s="340">
        <v>0.5</v>
      </c>
    </row>
    <row r="626" spans="1:3" x14ac:dyDescent="0.2">
      <c r="A626" s="341"/>
      <c r="B626" s="339" t="s">
        <v>2641</v>
      </c>
      <c r="C626" s="340">
        <v>0.5</v>
      </c>
    </row>
    <row r="627" spans="1:3" x14ac:dyDescent="0.2">
      <c r="A627" s="341"/>
      <c r="B627" s="339" t="s">
        <v>369</v>
      </c>
      <c r="C627" s="340">
        <v>0.5</v>
      </c>
    </row>
    <row r="628" spans="1:3" x14ac:dyDescent="0.2">
      <c r="A628" s="341"/>
      <c r="B628" s="339" t="s">
        <v>2648</v>
      </c>
      <c r="C628" s="340">
        <v>0.5</v>
      </c>
    </row>
    <row r="629" spans="1:3" x14ac:dyDescent="0.2">
      <c r="A629" s="341"/>
      <c r="B629" s="339" t="s">
        <v>595</v>
      </c>
      <c r="C629" s="340">
        <v>0.5</v>
      </c>
    </row>
    <row r="630" spans="1:3" x14ac:dyDescent="0.2">
      <c r="A630" s="341"/>
      <c r="B630" s="339" t="s">
        <v>454</v>
      </c>
      <c r="C630" s="340">
        <v>0.5</v>
      </c>
    </row>
    <row r="631" spans="1:3" x14ac:dyDescent="0.2">
      <c r="A631" s="341"/>
      <c r="B631" s="339" t="s">
        <v>2636</v>
      </c>
      <c r="C631" s="340">
        <v>0.5</v>
      </c>
    </row>
    <row r="632" spans="1:3" x14ac:dyDescent="0.2">
      <c r="A632" s="341"/>
      <c r="B632" s="339" t="s">
        <v>386</v>
      </c>
      <c r="C632" s="340">
        <v>0.5</v>
      </c>
    </row>
    <row r="633" spans="1:3" x14ac:dyDescent="0.2">
      <c r="A633" s="341"/>
    </row>
    <row r="634" spans="1:3" x14ac:dyDescent="0.2">
      <c r="A634" s="338" t="s">
        <v>2418</v>
      </c>
    </row>
    <row r="635" spans="1:3" x14ac:dyDescent="0.2">
      <c r="A635" s="341" t="s">
        <v>906</v>
      </c>
    </row>
    <row r="636" spans="1:3" x14ac:dyDescent="0.2">
      <c r="A636" s="341" t="s">
        <v>1113</v>
      </c>
    </row>
    <row r="637" spans="1:3" x14ac:dyDescent="0.2">
      <c r="A637" s="341" t="s">
        <v>1318</v>
      </c>
    </row>
    <row r="638" spans="1:3" x14ac:dyDescent="0.2">
      <c r="A638" s="341" t="s">
        <v>2505</v>
      </c>
    </row>
    <row r="639" spans="1:3" x14ac:dyDescent="0.2">
      <c r="A639" s="341" t="s">
        <v>2419</v>
      </c>
    </row>
    <row r="640" spans="1:3" x14ac:dyDescent="0.2">
      <c r="A640" s="341"/>
    </row>
    <row r="641" spans="1:3" x14ac:dyDescent="0.2">
      <c r="A641" s="341"/>
      <c r="B641" s="339" t="s">
        <v>392</v>
      </c>
      <c r="C641" s="340">
        <v>25</v>
      </c>
    </row>
    <row r="642" spans="1:3" x14ac:dyDescent="0.2">
      <c r="A642" s="341"/>
      <c r="B642" s="339" t="s">
        <v>2569</v>
      </c>
      <c r="C642" s="340">
        <v>25</v>
      </c>
    </row>
    <row r="643" spans="1:3" x14ac:dyDescent="0.2">
      <c r="A643" s="341"/>
      <c r="B643" s="339" t="s">
        <v>342</v>
      </c>
      <c r="C643" s="340">
        <v>8</v>
      </c>
    </row>
    <row r="644" spans="1:3" x14ac:dyDescent="0.2">
      <c r="A644" s="341"/>
      <c r="B644" s="339" t="s">
        <v>2565</v>
      </c>
      <c r="C644" s="340">
        <v>8</v>
      </c>
    </row>
    <row r="645" spans="1:3" x14ac:dyDescent="0.2">
      <c r="A645" s="341"/>
      <c r="B645" s="339" t="s">
        <v>347</v>
      </c>
      <c r="C645" s="340">
        <v>4</v>
      </c>
    </row>
    <row r="646" spans="1:3" x14ac:dyDescent="0.2">
      <c r="A646" s="341"/>
      <c r="B646" s="339" t="s">
        <v>376</v>
      </c>
      <c r="C646" s="340">
        <v>4</v>
      </c>
    </row>
    <row r="647" spans="1:3" x14ac:dyDescent="0.2">
      <c r="A647" s="341"/>
      <c r="B647" s="339" t="s">
        <v>375</v>
      </c>
      <c r="C647" s="340">
        <v>4</v>
      </c>
    </row>
    <row r="648" spans="1:3" x14ac:dyDescent="0.2">
      <c r="A648" s="341"/>
      <c r="B648" s="339" t="s">
        <v>349</v>
      </c>
      <c r="C648" s="340">
        <v>3</v>
      </c>
    </row>
    <row r="649" spans="1:3" x14ac:dyDescent="0.2">
      <c r="A649" s="341"/>
      <c r="B649" s="339" t="s">
        <v>398</v>
      </c>
      <c r="C649" s="340">
        <v>2</v>
      </c>
    </row>
    <row r="650" spans="1:3" x14ac:dyDescent="0.2">
      <c r="A650" s="341"/>
      <c r="B650" s="339" t="s">
        <v>595</v>
      </c>
      <c r="C650" s="340">
        <v>2</v>
      </c>
    </row>
    <row r="651" spans="1:3" x14ac:dyDescent="0.2">
      <c r="A651" s="341"/>
      <c r="B651" s="339" t="s">
        <v>2644</v>
      </c>
      <c r="C651" s="340">
        <v>0.5</v>
      </c>
    </row>
    <row r="652" spans="1:3" x14ac:dyDescent="0.2">
      <c r="A652" s="341"/>
      <c r="B652" s="339" t="s">
        <v>391</v>
      </c>
      <c r="C652" s="340">
        <v>0.5</v>
      </c>
    </row>
    <row r="653" spans="1:3" x14ac:dyDescent="0.2">
      <c r="A653" s="341"/>
      <c r="B653" s="339" t="s">
        <v>2637</v>
      </c>
      <c r="C653" s="340">
        <v>0.5</v>
      </c>
    </row>
    <row r="654" spans="1:3" x14ac:dyDescent="0.2">
      <c r="A654" s="341"/>
      <c r="B654" s="339" t="s">
        <v>357</v>
      </c>
      <c r="C654" s="340">
        <v>0.5</v>
      </c>
    </row>
    <row r="655" spans="1:3" x14ac:dyDescent="0.2">
      <c r="A655" s="341"/>
      <c r="B655" s="339" t="s">
        <v>411</v>
      </c>
      <c r="C655" s="340">
        <v>0.5</v>
      </c>
    </row>
    <row r="656" spans="1:3" x14ac:dyDescent="0.2">
      <c r="A656" s="341"/>
    </row>
    <row r="657" spans="1:3" x14ac:dyDescent="0.2">
      <c r="A657" s="338" t="s">
        <v>2420</v>
      </c>
    </row>
    <row r="658" spans="1:3" x14ac:dyDescent="0.2">
      <c r="A658" s="341" t="s">
        <v>907</v>
      </c>
    </row>
    <row r="659" spans="1:3" x14ac:dyDescent="0.2">
      <c r="A659" s="341" t="s">
        <v>1114</v>
      </c>
    </row>
    <row r="660" spans="1:3" x14ac:dyDescent="0.2">
      <c r="A660" s="341" t="s">
        <v>1319</v>
      </c>
    </row>
    <row r="661" spans="1:3" x14ac:dyDescent="0.2">
      <c r="A661" s="341" t="s">
        <v>2506</v>
      </c>
    </row>
    <row r="662" spans="1:3" x14ac:dyDescent="0.2">
      <c r="A662" s="341" t="s">
        <v>2421</v>
      </c>
    </row>
    <row r="663" spans="1:3" x14ac:dyDescent="0.2">
      <c r="A663" s="341"/>
    </row>
    <row r="664" spans="1:3" x14ac:dyDescent="0.2">
      <c r="A664" s="341"/>
      <c r="B664" s="339" t="s">
        <v>2569</v>
      </c>
      <c r="C664" s="340">
        <v>35</v>
      </c>
    </row>
    <row r="665" spans="1:3" x14ac:dyDescent="0.2">
      <c r="A665" s="341"/>
      <c r="B665" s="339" t="s">
        <v>392</v>
      </c>
      <c r="C665" s="340">
        <v>30</v>
      </c>
    </row>
    <row r="666" spans="1:3" x14ac:dyDescent="0.2">
      <c r="A666" s="341"/>
      <c r="B666" s="339" t="s">
        <v>394</v>
      </c>
      <c r="C666" s="340">
        <v>8</v>
      </c>
    </row>
    <row r="667" spans="1:3" x14ac:dyDescent="0.2">
      <c r="A667" s="341"/>
      <c r="B667" s="339" t="s">
        <v>2565</v>
      </c>
      <c r="C667" s="340">
        <v>7</v>
      </c>
    </row>
    <row r="668" spans="1:3" x14ac:dyDescent="0.2">
      <c r="A668" s="341"/>
      <c r="B668" s="339" t="s">
        <v>391</v>
      </c>
      <c r="C668" s="340">
        <v>4</v>
      </c>
    </row>
    <row r="669" spans="1:3" x14ac:dyDescent="0.2">
      <c r="A669" s="341"/>
      <c r="B669" s="339" t="s">
        <v>341</v>
      </c>
      <c r="C669" s="340">
        <v>4</v>
      </c>
    </row>
    <row r="670" spans="1:3" x14ac:dyDescent="0.2">
      <c r="A670" s="341"/>
      <c r="B670" s="339" t="s">
        <v>357</v>
      </c>
      <c r="C670" s="340">
        <v>4</v>
      </c>
    </row>
    <row r="671" spans="1:3" x14ac:dyDescent="0.2">
      <c r="A671" s="341"/>
      <c r="B671" s="339" t="s">
        <v>423</v>
      </c>
      <c r="C671" s="340">
        <v>4</v>
      </c>
    </row>
    <row r="672" spans="1:3" x14ac:dyDescent="0.2">
      <c r="A672" s="341"/>
      <c r="B672" s="339" t="s">
        <v>2644</v>
      </c>
      <c r="C672" s="340">
        <v>3</v>
      </c>
    </row>
    <row r="673" spans="1:3" x14ac:dyDescent="0.2">
      <c r="A673" s="341"/>
      <c r="B673" s="339" t="s">
        <v>376</v>
      </c>
      <c r="C673" s="340">
        <v>3</v>
      </c>
    </row>
    <row r="674" spans="1:3" x14ac:dyDescent="0.2">
      <c r="A674" s="341"/>
      <c r="B674" s="339" t="s">
        <v>398</v>
      </c>
      <c r="C674" s="340">
        <v>2</v>
      </c>
    </row>
    <row r="675" spans="1:3" x14ac:dyDescent="0.2">
      <c r="A675" s="341"/>
      <c r="B675" s="339" t="s">
        <v>347</v>
      </c>
      <c r="C675" s="340">
        <v>2</v>
      </c>
    </row>
    <row r="676" spans="1:3" x14ac:dyDescent="0.2">
      <c r="A676" s="341"/>
      <c r="B676" s="339" t="s">
        <v>597</v>
      </c>
      <c r="C676" s="340">
        <v>2</v>
      </c>
    </row>
    <row r="677" spans="1:3" x14ac:dyDescent="0.2">
      <c r="A677" s="341"/>
      <c r="B677" s="339" t="s">
        <v>432</v>
      </c>
      <c r="C677" s="340">
        <v>2</v>
      </c>
    </row>
    <row r="678" spans="1:3" x14ac:dyDescent="0.2">
      <c r="A678" s="341"/>
      <c r="B678" s="339" t="s">
        <v>372</v>
      </c>
      <c r="C678" s="340">
        <v>2</v>
      </c>
    </row>
    <row r="679" spans="1:3" x14ac:dyDescent="0.2">
      <c r="A679" s="341"/>
      <c r="B679" s="339" t="s">
        <v>393</v>
      </c>
      <c r="C679" s="340">
        <v>1</v>
      </c>
    </row>
    <row r="680" spans="1:3" x14ac:dyDescent="0.2">
      <c r="A680" s="341"/>
      <c r="B680" s="339" t="s">
        <v>395</v>
      </c>
      <c r="C680" s="340">
        <v>0.5</v>
      </c>
    </row>
    <row r="681" spans="1:3" x14ac:dyDescent="0.2">
      <c r="A681" s="341"/>
      <c r="B681" s="339" t="s">
        <v>396</v>
      </c>
      <c r="C681" s="340">
        <v>0.5</v>
      </c>
    </row>
    <row r="682" spans="1:3" x14ac:dyDescent="0.2">
      <c r="A682" s="341"/>
      <c r="B682" s="339" t="s">
        <v>349</v>
      </c>
      <c r="C682" s="340">
        <v>0.5</v>
      </c>
    </row>
    <row r="683" spans="1:3" x14ac:dyDescent="0.2">
      <c r="A683" s="341"/>
    </row>
    <row r="684" spans="1:3" x14ac:dyDescent="0.2">
      <c r="A684" s="338" t="s">
        <v>2422</v>
      </c>
    </row>
    <row r="685" spans="1:3" x14ac:dyDescent="0.2">
      <c r="A685" s="341" t="s">
        <v>907</v>
      </c>
    </row>
    <row r="686" spans="1:3" x14ac:dyDescent="0.2">
      <c r="A686" s="341" t="s">
        <v>1115</v>
      </c>
    </row>
    <row r="687" spans="1:3" x14ac:dyDescent="0.2">
      <c r="A687" s="341" t="s">
        <v>1320</v>
      </c>
    </row>
    <row r="688" spans="1:3" x14ac:dyDescent="0.2">
      <c r="A688" s="341" t="s">
        <v>2506</v>
      </c>
    </row>
    <row r="689" spans="1:3" x14ac:dyDescent="0.2">
      <c r="A689" s="341" t="s">
        <v>2423</v>
      </c>
    </row>
    <row r="690" spans="1:3" x14ac:dyDescent="0.2">
      <c r="A690" s="341"/>
    </row>
    <row r="691" spans="1:3" x14ac:dyDescent="0.2">
      <c r="A691" s="341"/>
      <c r="B691" s="339" t="s">
        <v>392</v>
      </c>
      <c r="C691" s="340">
        <v>40</v>
      </c>
    </row>
    <row r="692" spans="1:3" x14ac:dyDescent="0.2">
      <c r="A692" s="341"/>
      <c r="B692" s="339" t="s">
        <v>2569</v>
      </c>
      <c r="C692" s="340">
        <v>30</v>
      </c>
    </row>
    <row r="693" spans="1:3" x14ac:dyDescent="0.2">
      <c r="A693" s="341"/>
      <c r="B693" s="339" t="s">
        <v>376</v>
      </c>
      <c r="C693" s="340">
        <v>15</v>
      </c>
    </row>
    <row r="694" spans="1:3" x14ac:dyDescent="0.2">
      <c r="A694" s="341"/>
      <c r="B694" s="339" t="s">
        <v>391</v>
      </c>
      <c r="C694" s="340">
        <v>3</v>
      </c>
    </row>
    <row r="695" spans="1:3" x14ac:dyDescent="0.2">
      <c r="A695" s="341"/>
      <c r="B695" s="339" t="s">
        <v>398</v>
      </c>
      <c r="C695" s="340">
        <v>2</v>
      </c>
    </row>
    <row r="696" spans="1:3" x14ac:dyDescent="0.2">
      <c r="A696" s="341"/>
      <c r="B696" s="339" t="s">
        <v>595</v>
      </c>
      <c r="C696" s="340">
        <v>2</v>
      </c>
    </row>
    <row r="697" spans="1:3" x14ac:dyDescent="0.2">
      <c r="A697" s="341"/>
      <c r="B697" s="339" t="s">
        <v>347</v>
      </c>
      <c r="C697" s="340">
        <v>2</v>
      </c>
    </row>
    <row r="698" spans="1:3" x14ac:dyDescent="0.2">
      <c r="A698" s="341"/>
      <c r="B698" s="339" t="s">
        <v>2574</v>
      </c>
      <c r="C698" s="340">
        <v>2</v>
      </c>
    </row>
    <row r="699" spans="1:3" x14ac:dyDescent="0.2">
      <c r="A699" s="341"/>
      <c r="B699" s="339" t="s">
        <v>371</v>
      </c>
      <c r="C699" s="340">
        <v>1</v>
      </c>
    </row>
    <row r="700" spans="1:3" x14ac:dyDescent="0.2">
      <c r="A700" s="341"/>
      <c r="B700" s="339" t="s">
        <v>2644</v>
      </c>
      <c r="C700" s="340">
        <v>1</v>
      </c>
    </row>
    <row r="701" spans="1:3" x14ac:dyDescent="0.2">
      <c r="A701" s="341"/>
      <c r="B701" s="339" t="s">
        <v>2648</v>
      </c>
      <c r="C701" s="340">
        <v>1</v>
      </c>
    </row>
    <row r="702" spans="1:3" x14ac:dyDescent="0.2">
      <c r="A702" s="341"/>
      <c r="B702" s="339" t="s">
        <v>2579</v>
      </c>
      <c r="C702" s="340">
        <v>1</v>
      </c>
    </row>
    <row r="703" spans="1:3" x14ac:dyDescent="0.2">
      <c r="A703" s="341"/>
      <c r="B703" s="339" t="s">
        <v>454</v>
      </c>
      <c r="C703" s="340">
        <v>0.5</v>
      </c>
    </row>
    <row r="704" spans="1:3" x14ac:dyDescent="0.2">
      <c r="A704" s="341"/>
      <c r="B704" s="339" t="s">
        <v>2636</v>
      </c>
      <c r="C704" s="340">
        <v>0.5</v>
      </c>
    </row>
    <row r="705" spans="1:3" x14ac:dyDescent="0.2">
      <c r="A705" s="341"/>
      <c r="B705" s="339" t="s">
        <v>613</v>
      </c>
      <c r="C705" s="340">
        <v>0.5</v>
      </c>
    </row>
    <row r="706" spans="1:3" x14ac:dyDescent="0.2">
      <c r="A706" s="341"/>
      <c r="B706" s="339" t="s">
        <v>349</v>
      </c>
      <c r="C706" s="340">
        <v>0.5</v>
      </c>
    </row>
    <row r="707" spans="1:3" x14ac:dyDescent="0.2">
      <c r="A707" s="341"/>
      <c r="B707" s="339" t="s">
        <v>358</v>
      </c>
      <c r="C707" s="340">
        <v>0.5</v>
      </c>
    </row>
    <row r="708" spans="1:3" x14ac:dyDescent="0.2">
      <c r="A708" s="341"/>
    </row>
    <row r="709" spans="1:3" x14ac:dyDescent="0.2">
      <c r="A709" s="338" t="s">
        <v>2424</v>
      </c>
    </row>
    <row r="710" spans="1:3" x14ac:dyDescent="0.2">
      <c r="A710" s="341" t="s">
        <v>908</v>
      </c>
    </row>
    <row r="711" spans="1:3" x14ac:dyDescent="0.2">
      <c r="A711" s="341" t="s">
        <v>1116</v>
      </c>
    </row>
    <row r="712" spans="1:3" x14ac:dyDescent="0.2">
      <c r="A712" s="341" t="s">
        <v>1321</v>
      </c>
    </row>
    <row r="713" spans="1:3" x14ac:dyDescent="0.2">
      <c r="A713" s="341" t="s">
        <v>2507</v>
      </c>
    </row>
    <row r="714" spans="1:3" x14ac:dyDescent="0.2">
      <c r="A714" s="341" t="s">
        <v>2425</v>
      </c>
    </row>
    <row r="715" spans="1:3" x14ac:dyDescent="0.2">
      <c r="A715" s="341"/>
    </row>
    <row r="716" spans="1:3" x14ac:dyDescent="0.2">
      <c r="A716" s="341"/>
      <c r="B716" s="339" t="s">
        <v>357</v>
      </c>
      <c r="C716" s="340">
        <v>35</v>
      </c>
    </row>
    <row r="717" spans="1:3" x14ac:dyDescent="0.2">
      <c r="A717" s="341"/>
      <c r="B717" s="339" t="s">
        <v>592</v>
      </c>
      <c r="C717" s="340">
        <v>12</v>
      </c>
    </row>
    <row r="718" spans="1:3" x14ac:dyDescent="0.2">
      <c r="A718" s="341"/>
      <c r="B718" s="339" t="s">
        <v>2565</v>
      </c>
      <c r="C718" s="340">
        <v>10</v>
      </c>
    </row>
    <row r="719" spans="1:3" x14ac:dyDescent="0.2">
      <c r="A719" s="341"/>
      <c r="B719" s="339" t="s">
        <v>2579</v>
      </c>
      <c r="C719" s="340">
        <v>6</v>
      </c>
    </row>
    <row r="720" spans="1:3" x14ac:dyDescent="0.2">
      <c r="A720" s="341"/>
      <c r="B720" s="339" t="s">
        <v>398</v>
      </c>
      <c r="C720" s="340">
        <v>4</v>
      </c>
    </row>
    <row r="721" spans="1:3" x14ac:dyDescent="0.2">
      <c r="A721" s="341"/>
      <c r="B721" s="339" t="s">
        <v>437</v>
      </c>
      <c r="C721" s="340">
        <v>4</v>
      </c>
    </row>
    <row r="722" spans="1:3" x14ac:dyDescent="0.2">
      <c r="A722" s="341"/>
      <c r="B722" s="339" t="s">
        <v>2649</v>
      </c>
      <c r="C722" s="340">
        <v>4</v>
      </c>
    </row>
    <row r="723" spans="1:3" x14ac:dyDescent="0.2">
      <c r="A723" s="341"/>
      <c r="B723" s="339" t="s">
        <v>2636</v>
      </c>
      <c r="C723" s="340">
        <v>4</v>
      </c>
    </row>
    <row r="724" spans="1:3" x14ac:dyDescent="0.2">
      <c r="A724" s="341"/>
      <c r="B724" s="339" t="s">
        <v>345</v>
      </c>
      <c r="C724" s="340">
        <v>4</v>
      </c>
    </row>
    <row r="725" spans="1:3" x14ac:dyDescent="0.2">
      <c r="A725" s="341"/>
      <c r="B725" s="339" t="s">
        <v>432</v>
      </c>
      <c r="C725" s="340">
        <v>4</v>
      </c>
    </row>
    <row r="726" spans="1:3" x14ac:dyDescent="0.2">
      <c r="A726" s="341"/>
      <c r="B726" s="339" t="s">
        <v>342</v>
      </c>
      <c r="C726" s="340">
        <v>3</v>
      </c>
    </row>
    <row r="727" spans="1:3" x14ac:dyDescent="0.2">
      <c r="A727" s="341"/>
      <c r="B727" s="339" t="s">
        <v>2644</v>
      </c>
      <c r="C727" s="340">
        <v>2</v>
      </c>
    </row>
    <row r="728" spans="1:3" x14ac:dyDescent="0.2">
      <c r="A728" s="341"/>
      <c r="B728" s="339" t="s">
        <v>3151</v>
      </c>
      <c r="C728" s="340">
        <v>2</v>
      </c>
    </row>
    <row r="729" spans="1:3" x14ac:dyDescent="0.2">
      <c r="A729" s="341"/>
      <c r="B729" s="339" t="s">
        <v>388</v>
      </c>
      <c r="C729" s="340">
        <v>2</v>
      </c>
    </row>
    <row r="730" spans="1:3" x14ac:dyDescent="0.2">
      <c r="A730" s="341"/>
      <c r="B730" s="339" t="s">
        <v>347</v>
      </c>
      <c r="C730" s="340">
        <v>2</v>
      </c>
    </row>
    <row r="731" spans="1:3" x14ac:dyDescent="0.2">
      <c r="A731" s="341"/>
      <c r="B731" s="339" t="s">
        <v>341</v>
      </c>
      <c r="C731" s="340">
        <v>2</v>
      </c>
    </row>
    <row r="732" spans="1:3" x14ac:dyDescent="0.2">
      <c r="A732" s="341"/>
      <c r="B732" s="339" t="s">
        <v>349</v>
      </c>
      <c r="C732" s="340">
        <v>2</v>
      </c>
    </row>
    <row r="733" spans="1:3" x14ac:dyDescent="0.2">
      <c r="A733" s="341"/>
      <c r="B733" s="339" t="s">
        <v>380</v>
      </c>
      <c r="C733" s="340">
        <v>2</v>
      </c>
    </row>
    <row r="734" spans="1:3" x14ac:dyDescent="0.2">
      <c r="A734" s="341"/>
      <c r="B734" s="339" t="s">
        <v>411</v>
      </c>
      <c r="C734" s="340">
        <v>2</v>
      </c>
    </row>
    <row r="735" spans="1:3" x14ac:dyDescent="0.2">
      <c r="A735" s="341"/>
      <c r="B735" s="339" t="s">
        <v>2573</v>
      </c>
      <c r="C735" s="340">
        <v>1</v>
      </c>
    </row>
    <row r="736" spans="1:3" x14ac:dyDescent="0.2">
      <c r="A736" s="341"/>
      <c r="B736" s="339" t="s">
        <v>595</v>
      </c>
      <c r="C736" s="340">
        <v>1</v>
      </c>
    </row>
    <row r="737" spans="1:3" x14ac:dyDescent="0.2">
      <c r="A737" s="341"/>
      <c r="B737" s="339" t="s">
        <v>613</v>
      </c>
      <c r="C737" s="340">
        <v>1</v>
      </c>
    </row>
    <row r="738" spans="1:3" x14ac:dyDescent="0.2">
      <c r="A738" s="341"/>
      <c r="B738" s="339" t="s">
        <v>397</v>
      </c>
      <c r="C738" s="340">
        <v>1</v>
      </c>
    </row>
    <row r="739" spans="1:3" x14ac:dyDescent="0.2">
      <c r="A739" s="341"/>
      <c r="B739" s="339" t="s">
        <v>394</v>
      </c>
      <c r="C739" s="340">
        <v>1</v>
      </c>
    </row>
    <row r="740" spans="1:3" x14ac:dyDescent="0.2">
      <c r="A740" s="341"/>
      <c r="B740" s="339" t="s">
        <v>386</v>
      </c>
      <c r="C740" s="340">
        <v>1</v>
      </c>
    </row>
    <row r="741" spans="1:3" x14ac:dyDescent="0.2">
      <c r="A741" s="341"/>
      <c r="B741" s="339" t="s">
        <v>583</v>
      </c>
      <c r="C741" s="340">
        <v>1</v>
      </c>
    </row>
    <row r="742" spans="1:3" x14ac:dyDescent="0.2">
      <c r="A742" s="341"/>
      <c r="B742" s="339" t="s">
        <v>348</v>
      </c>
      <c r="C742" s="340">
        <v>1</v>
      </c>
    </row>
    <row r="743" spans="1:3" x14ac:dyDescent="0.2">
      <c r="A743" s="341"/>
      <c r="B743" s="339" t="s">
        <v>2589</v>
      </c>
      <c r="C743" s="340">
        <v>1</v>
      </c>
    </row>
    <row r="744" spans="1:3" x14ac:dyDescent="0.2">
      <c r="A744" s="341"/>
      <c r="B744" s="339" t="s">
        <v>374</v>
      </c>
      <c r="C744" s="340">
        <v>1</v>
      </c>
    </row>
    <row r="745" spans="1:3" x14ac:dyDescent="0.2">
      <c r="A745" s="341"/>
      <c r="B745" s="339" t="s">
        <v>350</v>
      </c>
      <c r="C745" s="340">
        <v>0.5</v>
      </c>
    </row>
    <row r="746" spans="1:3" x14ac:dyDescent="0.2">
      <c r="A746" s="341"/>
      <c r="B746" s="339" t="s">
        <v>369</v>
      </c>
      <c r="C746" s="340">
        <v>0.5</v>
      </c>
    </row>
    <row r="747" spans="1:3" x14ac:dyDescent="0.2">
      <c r="A747" s="341"/>
      <c r="B747" s="339" t="s">
        <v>2642</v>
      </c>
      <c r="C747" s="340">
        <v>0.5</v>
      </c>
    </row>
    <row r="748" spans="1:3" x14ac:dyDescent="0.2">
      <c r="A748" s="341"/>
      <c r="B748" s="339" t="s">
        <v>2603</v>
      </c>
      <c r="C748" s="340">
        <v>0.5</v>
      </c>
    </row>
    <row r="749" spans="1:3" x14ac:dyDescent="0.2">
      <c r="A749" s="341"/>
      <c r="B749" s="339" t="s">
        <v>2648</v>
      </c>
      <c r="C749" s="340">
        <v>0.5</v>
      </c>
    </row>
    <row r="750" spans="1:3" x14ac:dyDescent="0.2">
      <c r="A750" s="341"/>
      <c r="B750" s="339" t="s">
        <v>329</v>
      </c>
      <c r="C750" s="340">
        <v>0.5</v>
      </c>
    </row>
    <row r="751" spans="1:3" x14ac:dyDescent="0.2">
      <c r="A751" s="341"/>
      <c r="B751" s="339" t="s">
        <v>2637</v>
      </c>
      <c r="C751" s="340">
        <v>0.5</v>
      </c>
    </row>
    <row r="752" spans="1:3" x14ac:dyDescent="0.2">
      <c r="A752" s="341"/>
      <c r="B752" s="339" t="s">
        <v>614</v>
      </c>
      <c r="C752" s="340">
        <v>0.5</v>
      </c>
    </row>
    <row r="753" spans="1:3" x14ac:dyDescent="0.2">
      <c r="A753" s="341"/>
      <c r="B753" s="339" t="s">
        <v>340</v>
      </c>
      <c r="C753" s="340">
        <v>0.5</v>
      </c>
    </row>
    <row r="754" spans="1:3" x14ac:dyDescent="0.2">
      <c r="A754" s="341"/>
      <c r="B754" s="339" t="s">
        <v>375</v>
      </c>
      <c r="C754" s="340">
        <v>0.5</v>
      </c>
    </row>
    <row r="755" spans="1:3" x14ac:dyDescent="0.2">
      <c r="A755" s="341"/>
      <c r="B755" s="339" t="s">
        <v>389</v>
      </c>
      <c r="C755" s="340">
        <v>0.5</v>
      </c>
    </row>
    <row r="756" spans="1:3" x14ac:dyDescent="0.2">
      <c r="A756" s="341"/>
    </row>
    <row r="757" spans="1:3" x14ac:dyDescent="0.2">
      <c r="A757" s="338" t="s">
        <v>2426</v>
      </c>
    </row>
    <row r="758" spans="1:3" x14ac:dyDescent="0.2">
      <c r="A758" s="341" t="s">
        <v>909</v>
      </c>
    </row>
    <row r="759" spans="1:3" x14ac:dyDescent="0.2">
      <c r="A759" s="341" t="s">
        <v>1117</v>
      </c>
    </row>
    <row r="760" spans="1:3" x14ac:dyDescent="0.2">
      <c r="A760" s="341" t="s">
        <v>1322</v>
      </c>
    </row>
    <row r="761" spans="1:3" x14ac:dyDescent="0.2">
      <c r="A761" s="341" t="s">
        <v>2499</v>
      </c>
    </row>
    <row r="762" spans="1:3" x14ac:dyDescent="0.2">
      <c r="A762" s="341" t="s">
        <v>2427</v>
      </c>
    </row>
    <row r="763" spans="1:3" x14ac:dyDescent="0.2">
      <c r="A763" s="341"/>
    </row>
    <row r="764" spans="1:3" x14ac:dyDescent="0.2">
      <c r="A764" s="341"/>
      <c r="B764" s="339" t="s">
        <v>341</v>
      </c>
      <c r="C764" s="340">
        <v>25</v>
      </c>
    </row>
    <row r="765" spans="1:3" x14ac:dyDescent="0.2">
      <c r="A765" s="341"/>
      <c r="B765" s="339" t="s">
        <v>2579</v>
      </c>
      <c r="C765" s="340">
        <v>20</v>
      </c>
    </row>
    <row r="766" spans="1:3" x14ac:dyDescent="0.2">
      <c r="A766" s="341"/>
      <c r="B766" s="339" t="s">
        <v>395</v>
      </c>
      <c r="C766" s="340">
        <v>12</v>
      </c>
    </row>
    <row r="767" spans="1:3" x14ac:dyDescent="0.2">
      <c r="A767" s="341"/>
      <c r="B767" s="339" t="s">
        <v>423</v>
      </c>
      <c r="C767" s="340">
        <v>10</v>
      </c>
    </row>
    <row r="768" spans="1:3" x14ac:dyDescent="0.2">
      <c r="A768" s="341"/>
      <c r="B768" s="339" t="s">
        <v>347</v>
      </c>
      <c r="C768" s="340">
        <v>8</v>
      </c>
    </row>
    <row r="769" spans="1:3" x14ac:dyDescent="0.2">
      <c r="A769" s="341"/>
      <c r="B769" s="339" t="s">
        <v>376</v>
      </c>
      <c r="C769" s="340">
        <v>8</v>
      </c>
    </row>
    <row r="770" spans="1:3" x14ac:dyDescent="0.2">
      <c r="A770" s="341"/>
      <c r="B770" s="339" t="s">
        <v>399</v>
      </c>
      <c r="C770" s="340">
        <v>6</v>
      </c>
    </row>
    <row r="771" spans="1:3" x14ac:dyDescent="0.2">
      <c r="A771" s="341"/>
      <c r="B771" s="339" t="s">
        <v>2642</v>
      </c>
      <c r="C771" s="340">
        <v>4</v>
      </c>
    </row>
    <row r="772" spans="1:3" x14ac:dyDescent="0.2">
      <c r="A772" s="341"/>
      <c r="B772" s="339" t="s">
        <v>364</v>
      </c>
      <c r="C772" s="340">
        <v>3</v>
      </c>
    </row>
    <row r="773" spans="1:3" x14ac:dyDescent="0.2">
      <c r="A773" s="341"/>
      <c r="B773" s="339" t="s">
        <v>350</v>
      </c>
      <c r="C773" s="340">
        <v>2</v>
      </c>
    </row>
    <row r="774" spans="1:3" x14ac:dyDescent="0.2">
      <c r="A774" s="341"/>
      <c r="B774" s="339" t="s">
        <v>374</v>
      </c>
      <c r="C774" s="340">
        <v>2</v>
      </c>
    </row>
    <row r="775" spans="1:3" x14ac:dyDescent="0.2">
      <c r="A775" s="341"/>
      <c r="B775" s="339" t="s">
        <v>2573</v>
      </c>
      <c r="C775" s="340">
        <v>1</v>
      </c>
    </row>
    <row r="776" spans="1:3" x14ac:dyDescent="0.2">
      <c r="A776" s="341"/>
      <c r="B776" s="339" t="s">
        <v>369</v>
      </c>
      <c r="C776" s="340">
        <v>1</v>
      </c>
    </row>
    <row r="777" spans="1:3" x14ac:dyDescent="0.2">
      <c r="A777" s="341"/>
      <c r="B777" s="339" t="s">
        <v>393</v>
      </c>
      <c r="C777" s="340">
        <v>1</v>
      </c>
    </row>
    <row r="778" spans="1:3" x14ac:dyDescent="0.2">
      <c r="A778" s="341"/>
      <c r="B778" s="339" t="s">
        <v>402</v>
      </c>
      <c r="C778" s="340">
        <v>1</v>
      </c>
    </row>
    <row r="779" spans="1:3" x14ac:dyDescent="0.2">
      <c r="A779" s="341"/>
      <c r="B779" s="339" t="s">
        <v>583</v>
      </c>
      <c r="C779" s="340">
        <v>1</v>
      </c>
    </row>
    <row r="780" spans="1:3" x14ac:dyDescent="0.2">
      <c r="A780" s="341"/>
      <c r="B780" s="339" t="s">
        <v>344</v>
      </c>
      <c r="C780" s="340">
        <v>1</v>
      </c>
    </row>
    <row r="781" spans="1:3" x14ac:dyDescent="0.2">
      <c r="A781" s="341"/>
      <c r="B781" s="339" t="s">
        <v>375</v>
      </c>
      <c r="C781" s="340">
        <v>1</v>
      </c>
    </row>
    <row r="782" spans="1:3" x14ac:dyDescent="0.2">
      <c r="A782" s="341"/>
      <c r="B782" s="339" t="s">
        <v>2636</v>
      </c>
      <c r="C782" s="340">
        <v>0.5</v>
      </c>
    </row>
    <row r="783" spans="1:3" x14ac:dyDescent="0.2">
      <c r="A783" s="341"/>
      <c r="B783" s="339" t="s">
        <v>380</v>
      </c>
      <c r="C783" s="340">
        <v>0.5</v>
      </c>
    </row>
    <row r="784" spans="1:3" x14ac:dyDescent="0.2">
      <c r="A784" s="341"/>
    </row>
    <row r="785" spans="1:3" x14ac:dyDescent="0.2">
      <c r="A785" s="338" t="s">
        <v>2428</v>
      </c>
    </row>
    <row r="786" spans="1:3" x14ac:dyDescent="0.2">
      <c r="A786" s="341" t="s">
        <v>909</v>
      </c>
    </row>
    <row r="787" spans="1:3" x14ac:dyDescent="0.2">
      <c r="A787" s="341" t="s">
        <v>1118</v>
      </c>
    </row>
    <row r="788" spans="1:3" x14ac:dyDescent="0.2">
      <c r="A788" s="341" t="s">
        <v>1323</v>
      </c>
    </row>
    <row r="789" spans="1:3" x14ac:dyDescent="0.2">
      <c r="A789" s="341" t="s">
        <v>2508</v>
      </c>
    </row>
    <row r="790" spans="1:3" x14ac:dyDescent="0.2">
      <c r="A790" s="341" t="s">
        <v>2429</v>
      </c>
    </row>
    <row r="791" spans="1:3" x14ac:dyDescent="0.2">
      <c r="A791" s="341"/>
    </row>
    <row r="792" spans="1:3" x14ac:dyDescent="0.2">
      <c r="A792" s="341"/>
      <c r="B792" s="339" t="s">
        <v>341</v>
      </c>
      <c r="C792" s="340">
        <v>20</v>
      </c>
    </row>
    <row r="793" spans="1:3" x14ac:dyDescent="0.2">
      <c r="A793" s="341"/>
      <c r="B793" s="339" t="s">
        <v>400</v>
      </c>
      <c r="C793" s="340">
        <v>12</v>
      </c>
    </row>
    <row r="794" spans="1:3" x14ac:dyDescent="0.2">
      <c r="A794" s="341"/>
      <c r="B794" s="339" t="s">
        <v>2579</v>
      </c>
      <c r="C794" s="340">
        <v>12</v>
      </c>
    </row>
    <row r="795" spans="1:3" x14ac:dyDescent="0.2">
      <c r="A795" s="341"/>
      <c r="B795" s="339" t="s">
        <v>423</v>
      </c>
      <c r="C795" s="340">
        <v>12</v>
      </c>
    </row>
    <row r="796" spans="1:3" x14ac:dyDescent="0.2">
      <c r="A796" s="341"/>
      <c r="B796" s="339" t="s">
        <v>394</v>
      </c>
      <c r="C796" s="340">
        <v>10</v>
      </c>
    </row>
    <row r="797" spans="1:3" x14ac:dyDescent="0.2">
      <c r="A797" s="341"/>
      <c r="B797" s="339" t="s">
        <v>347</v>
      </c>
      <c r="C797" s="340">
        <v>8</v>
      </c>
    </row>
    <row r="798" spans="1:3" x14ac:dyDescent="0.2">
      <c r="A798" s="341"/>
      <c r="B798" s="339" t="s">
        <v>401</v>
      </c>
      <c r="C798" s="340">
        <v>6</v>
      </c>
    </row>
    <row r="799" spans="1:3" x14ac:dyDescent="0.2">
      <c r="A799" s="341"/>
      <c r="B799" s="339" t="s">
        <v>597</v>
      </c>
      <c r="C799" s="340">
        <v>5</v>
      </c>
    </row>
    <row r="800" spans="1:3" x14ac:dyDescent="0.2">
      <c r="A800" s="341"/>
      <c r="B800" s="339" t="s">
        <v>340</v>
      </c>
      <c r="C800" s="340">
        <v>5</v>
      </c>
    </row>
    <row r="801" spans="1:3" x14ac:dyDescent="0.2">
      <c r="A801" s="341"/>
      <c r="B801" s="339" t="s">
        <v>395</v>
      </c>
      <c r="C801" s="340">
        <v>4</v>
      </c>
    </row>
    <row r="802" spans="1:3" x14ac:dyDescent="0.2">
      <c r="A802" s="341"/>
      <c r="B802" s="339" t="s">
        <v>432</v>
      </c>
      <c r="C802" s="340">
        <v>4</v>
      </c>
    </row>
    <row r="803" spans="1:3" x14ac:dyDescent="0.2">
      <c r="A803" s="341"/>
      <c r="B803" s="339" t="s">
        <v>2601</v>
      </c>
      <c r="C803" s="340">
        <v>3</v>
      </c>
    </row>
    <row r="804" spans="1:3" x14ac:dyDescent="0.2">
      <c r="A804" s="341"/>
      <c r="B804" s="339" t="s">
        <v>437</v>
      </c>
      <c r="C804" s="340">
        <v>2</v>
      </c>
    </row>
    <row r="805" spans="1:3" x14ac:dyDescent="0.2">
      <c r="A805" s="341"/>
      <c r="B805" s="339" t="s">
        <v>349</v>
      </c>
      <c r="C805" s="340">
        <v>2</v>
      </c>
    </row>
    <row r="806" spans="1:3" x14ac:dyDescent="0.2">
      <c r="A806" s="341"/>
      <c r="B806" s="339" t="s">
        <v>2637</v>
      </c>
      <c r="C806" s="340">
        <v>1</v>
      </c>
    </row>
    <row r="807" spans="1:3" x14ac:dyDescent="0.2">
      <c r="A807" s="341"/>
      <c r="B807" s="339" t="s">
        <v>376</v>
      </c>
      <c r="C807" s="340">
        <v>1</v>
      </c>
    </row>
    <row r="808" spans="1:3" x14ac:dyDescent="0.2">
      <c r="A808" s="341"/>
      <c r="B808" s="339" t="s">
        <v>450</v>
      </c>
      <c r="C808" s="340">
        <v>1</v>
      </c>
    </row>
    <row r="809" spans="1:3" x14ac:dyDescent="0.2">
      <c r="A809" s="341"/>
      <c r="B809" s="339" t="s">
        <v>398</v>
      </c>
      <c r="C809" s="340">
        <v>0.5</v>
      </c>
    </row>
    <row r="810" spans="1:3" x14ac:dyDescent="0.2">
      <c r="A810" s="341"/>
      <c r="B810" s="339" t="s">
        <v>393</v>
      </c>
      <c r="C810" s="340">
        <v>0.5</v>
      </c>
    </row>
    <row r="811" spans="1:3" x14ac:dyDescent="0.2">
      <c r="A811" s="341"/>
    </row>
    <row r="812" spans="1:3" x14ac:dyDescent="0.2">
      <c r="A812" s="338" t="s">
        <v>2430</v>
      </c>
    </row>
    <row r="813" spans="1:3" x14ac:dyDescent="0.2">
      <c r="A813" s="341" t="s">
        <v>910</v>
      </c>
    </row>
    <row r="814" spans="1:3" x14ac:dyDescent="0.2">
      <c r="A814" s="341" t="s">
        <v>1119</v>
      </c>
    </row>
    <row r="815" spans="1:3" x14ac:dyDescent="0.2">
      <c r="A815" s="341" t="s">
        <v>1324</v>
      </c>
    </row>
    <row r="816" spans="1:3" x14ac:dyDescent="0.2">
      <c r="A816" s="341" t="s">
        <v>2509</v>
      </c>
    </row>
    <row r="817" spans="1:3" x14ac:dyDescent="0.2">
      <c r="A817" s="341" t="s">
        <v>2431</v>
      </c>
    </row>
    <row r="818" spans="1:3" x14ac:dyDescent="0.2">
      <c r="A818" s="341"/>
    </row>
    <row r="819" spans="1:3" x14ac:dyDescent="0.2">
      <c r="A819" s="341"/>
      <c r="B819" s="339" t="s">
        <v>423</v>
      </c>
      <c r="C819" s="340">
        <v>20</v>
      </c>
    </row>
    <row r="820" spans="1:3" x14ac:dyDescent="0.2">
      <c r="A820" s="341"/>
      <c r="B820" s="339" t="s">
        <v>361</v>
      </c>
      <c r="C820" s="340">
        <v>12</v>
      </c>
    </row>
    <row r="821" spans="1:3" x14ac:dyDescent="0.2">
      <c r="A821" s="341"/>
      <c r="B821" s="339" t="s">
        <v>342</v>
      </c>
      <c r="C821" s="340">
        <v>10</v>
      </c>
    </row>
    <row r="822" spans="1:3" x14ac:dyDescent="0.2">
      <c r="A822" s="341"/>
      <c r="B822" s="339" t="s">
        <v>376</v>
      </c>
      <c r="C822" s="340">
        <v>7</v>
      </c>
    </row>
    <row r="823" spans="1:3" x14ac:dyDescent="0.2">
      <c r="A823" s="341"/>
      <c r="B823" s="339" t="s">
        <v>341</v>
      </c>
      <c r="C823" s="340">
        <v>6</v>
      </c>
    </row>
    <row r="824" spans="1:3" x14ac:dyDescent="0.2">
      <c r="A824" s="341"/>
      <c r="B824" s="339" t="s">
        <v>432</v>
      </c>
      <c r="C824" s="340">
        <v>6</v>
      </c>
    </row>
    <row r="825" spans="1:3" x14ac:dyDescent="0.2">
      <c r="A825" s="341"/>
      <c r="B825" s="339" t="s">
        <v>391</v>
      </c>
      <c r="C825" s="340">
        <v>4</v>
      </c>
    </row>
    <row r="826" spans="1:3" x14ac:dyDescent="0.2">
      <c r="A826" s="341"/>
      <c r="B826" s="339" t="s">
        <v>394</v>
      </c>
      <c r="C826" s="340">
        <v>4</v>
      </c>
    </row>
    <row r="827" spans="1:3" x14ac:dyDescent="0.2">
      <c r="A827" s="341"/>
      <c r="B827" s="339" t="s">
        <v>349</v>
      </c>
      <c r="C827" s="340">
        <v>4</v>
      </c>
    </row>
    <row r="828" spans="1:3" x14ac:dyDescent="0.2">
      <c r="A828" s="341"/>
      <c r="B828" s="339" t="s">
        <v>373</v>
      </c>
      <c r="C828" s="340">
        <v>3</v>
      </c>
    </row>
    <row r="829" spans="1:3" x14ac:dyDescent="0.2">
      <c r="A829" s="341"/>
      <c r="B829" s="339" t="s">
        <v>400</v>
      </c>
      <c r="C829" s="340">
        <v>3</v>
      </c>
    </row>
    <row r="830" spans="1:3" x14ac:dyDescent="0.2">
      <c r="A830" s="341"/>
      <c r="B830" s="339" t="s">
        <v>346</v>
      </c>
      <c r="C830" s="340">
        <v>3</v>
      </c>
    </row>
    <row r="831" spans="1:3" x14ac:dyDescent="0.2">
      <c r="A831" s="341"/>
      <c r="B831" s="339" t="s">
        <v>597</v>
      </c>
      <c r="C831" s="340">
        <v>3</v>
      </c>
    </row>
    <row r="832" spans="1:3" x14ac:dyDescent="0.2">
      <c r="A832" s="341"/>
      <c r="B832" s="339" t="s">
        <v>340</v>
      </c>
      <c r="C832" s="340">
        <v>3</v>
      </c>
    </row>
    <row r="833" spans="1:3" x14ac:dyDescent="0.2">
      <c r="A833" s="341"/>
      <c r="B833" s="339" t="s">
        <v>370</v>
      </c>
      <c r="C833" s="340">
        <v>3</v>
      </c>
    </row>
    <row r="834" spans="1:3" x14ac:dyDescent="0.2">
      <c r="A834" s="341"/>
      <c r="B834" s="339" t="s">
        <v>371</v>
      </c>
      <c r="C834" s="340">
        <v>2</v>
      </c>
    </row>
    <row r="835" spans="1:3" x14ac:dyDescent="0.2">
      <c r="A835" s="341"/>
      <c r="B835" s="339" t="s">
        <v>398</v>
      </c>
      <c r="C835" s="340">
        <v>2</v>
      </c>
    </row>
    <row r="836" spans="1:3" x14ac:dyDescent="0.2">
      <c r="A836" s="341"/>
      <c r="B836" s="339" t="s">
        <v>343</v>
      </c>
      <c r="C836" s="340">
        <v>2</v>
      </c>
    </row>
    <row r="837" spans="1:3" x14ac:dyDescent="0.2">
      <c r="A837" s="341"/>
      <c r="B837" s="339" t="s">
        <v>403</v>
      </c>
      <c r="C837" s="340">
        <v>2</v>
      </c>
    </row>
    <row r="838" spans="1:3" x14ac:dyDescent="0.2">
      <c r="A838" s="341"/>
      <c r="B838" s="339" t="s">
        <v>1286</v>
      </c>
      <c r="C838" s="340">
        <v>2</v>
      </c>
    </row>
    <row r="839" spans="1:3" x14ac:dyDescent="0.2">
      <c r="A839" s="341"/>
      <c r="B839" s="339" t="s">
        <v>348</v>
      </c>
      <c r="C839" s="340">
        <v>2</v>
      </c>
    </row>
    <row r="840" spans="1:3" x14ac:dyDescent="0.2">
      <c r="A840" s="341"/>
      <c r="B840" s="339" t="s">
        <v>411</v>
      </c>
      <c r="C840" s="340">
        <v>2</v>
      </c>
    </row>
    <row r="841" spans="1:3" x14ac:dyDescent="0.2">
      <c r="A841" s="341"/>
      <c r="B841" s="339" t="s">
        <v>364</v>
      </c>
      <c r="C841" s="340">
        <v>2</v>
      </c>
    </row>
    <row r="842" spans="1:3" x14ac:dyDescent="0.2">
      <c r="A842" s="341"/>
      <c r="B842" s="339" t="s">
        <v>355</v>
      </c>
      <c r="C842" s="340">
        <v>1</v>
      </c>
    </row>
    <row r="843" spans="1:3" x14ac:dyDescent="0.2">
      <c r="A843" s="341"/>
      <c r="B843" s="339" t="s">
        <v>402</v>
      </c>
      <c r="C843" s="340">
        <v>1</v>
      </c>
    </row>
    <row r="844" spans="1:3" x14ac:dyDescent="0.2">
      <c r="A844" s="341"/>
      <c r="B844" s="339" t="s">
        <v>478</v>
      </c>
      <c r="C844" s="340">
        <v>1</v>
      </c>
    </row>
    <row r="845" spans="1:3" x14ac:dyDescent="0.2">
      <c r="A845" s="341"/>
      <c r="B845" s="339" t="s">
        <v>357</v>
      </c>
      <c r="C845" s="340">
        <v>1</v>
      </c>
    </row>
    <row r="846" spans="1:3" x14ac:dyDescent="0.2">
      <c r="A846" s="341"/>
      <c r="B846" s="339" t="s">
        <v>377</v>
      </c>
      <c r="C846" s="340">
        <v>1</v>
      </c>
    </row>
    <row r="847" spans="1:3" x14ac:dyDescent="0.2">
      <c r="A847" s="341"/>
      <c r="B847" s="339" t="s">
        <v>350</v>
      </c>
      <c r="C847" s="340">
        <v>0.5</v>
      </c>
    </row>
    <row r="848" spans="1:3" x14ac:dyDescent="0.2">
      <c r="A848" s="341"/>
      <c r="B848" s="339" t="s">
        <v>369</v>
      </c>
      <c r="C848" s="340">
        <v>0.5</v>
      </c>
    </row>
    <row r="849" spans="1:3" x14ac:dyDescent="0.2">
      <c r="A849" s="341"/>
      <c r="B849" s="339" t="s">
        <v>356</v>
      </c>
      <c r="C849" s="340">
        <v>0.5</v>
      </c>
    </row>
    <row r="850" spans="1:3" x14ac:dyDescent="0.2">
      <c r="A850" s="341"/>
      <c r="B850" s="339" t="s">
        <v>611</v>
      </c>
      <c r="C850" s="340">
        <v>0.5</v>
      </c>
    </row>
    <row r="851" spans="1:3" x14ac:dyDescent="0.2">
      <c r="A851" s="341"/>
      <c r="B851" s="339" t="s">
        <v>358</v>
      </c>
      <c r="C851" s="340">
        <v>0.5</v>
      </c>
    </row>
    <row r="852" spans="1:3" x14ac:dyDescent="0.2">
      <c r="A852" s="341"/>
      <c r="B852" s="339" t="s">
        <v>389</v>
      </c>
      <c r="C852" s="340">
        <v>0.5</v>
      </c>
    </row>
    <row r="853" spans="1:3" x14ac:dyDescent="0.2">
      <c r="A853" s="341"/>
    </row>
    <row r="854" spans="1:3" x14ac:dyDescent="0.2">
      <c r="A854" s="338" t="s">
        <v>2432</v>
      </c>
    </row>
    <row r="855" spans="1:3" x14ac:dyDescent="0.2">
      <c r="A855" s="341" t="s">
        <v>910</v>
      </c>
    </row>
    <row r="856" spans="1:3" x14ac:dyDescent="0.2">
      <c r="A856" s="341" t="s">
        <v>1120</v>
      </c>
    </row>
    <row r="857" spans="1:3" x14ac:dyDescent="0.2">
      <c r="A857" s="341" t="s">
        <v>1325</v>
      </c>
    </row>
    <row r="858" spans="1:3" x14ac:dyDescent="0.2">
      <c r="A858" s="341" t="s">
        <v>2510</v>
      </c>
    </row>
    <row r="859" spans="1:3" x14ac:dyDescent="0.2">
      <c r="A859" s="341" t="s">
        <v>2433</v>
      </c>
    </row>
    <row r="860" spans="1:3" x14ac:dyDescent="0.2">
      <c r="A860" s="341"/>
    </row>
    <row r="861" spans="1:3" x14ac:dyDescent="0.2">
      <c r="A861" s="341"/>
      <c r="B861" s="339" t="s">
        <v>405</v>
      </c>
      <c r="C861" s="340">
        <v>45</v>
      </c>
    </row>
    <row r="862" spans="1:3" x14ac:dyDescent="0.2">
      <c r="A862" s="341"/>
      <c r="B862" s="339" t="s">
        <v>401</v>
      </c>
      <c r="C862" s="340">
        <v>15</v>
      </c>
    </row>
    <row r="863" spans="1:3" x14ac:dyDescent="0.2">
      <c r="A863" s="341"/>
      <c r="B863" s="339" t="s">
        <v>404</v>
      </c>
      <c r="C863" s="340">
        <v>12</v>
      </c>
    </row>
    <row r="864" spans="1:3" x14ac:dyDescent="0.2">
      <c r="A864" s="341"/>
      <c r="B864" s="339" t="s">
        <v>606</v>
      </c>
      <c r="C864" s="340">
        <v>8</v>
      </c>
    </row>
    <row r="865" spans="1:3" x14ac:dyDescent="0.2">
      <c r="A865" s="341"/>
      <c r="B865" s="339" t="s">
        <v>441</v>
      </c>
      <c r="C865" s="340">
        <v>6</v>
      </c>
    </row>
    <row r="866" spans="1:3" x14ac:dyDescent="0.2">
      <c r="A866" s="341"/>
      <c r="B866" s="339" t="s">
        <v>423</v>
      </c>
      <c r="C866" s="340">
        <v>4</v>
      </c>
    </row>
    <row r="867" spans="1:3" x14ac:dyDescent="0.2">
      <c r="A867" s="341"/>
      <c r="B867" s="339" t="s">
        <v>342</v>
      </c>
      <c r="C867" s="340">
        <v>3</v>
      </c>
    </row>
    <row r="868" spans="1:3" x14ac:dyDescent="0.2">
      <c r="A868" s="341"/>
      <c r="B868" s="339" t="s">
        <v>2579</v>
      </c>
      <c r="C868" s="340">
        <v>3</v>
      </c>
    </row>
    <row r="869" spans="1:3" x14ac:dyDescent="0.2">
      <c r="A869" s="341"/>
      <c r="B869" s="339" t="s">
        <v>403</v>
      </c>
      <c r="C869" s="340">
        <v>2</v>
      </c>
    </row>
    <row r="870" spans="1:3" x14ac:dyDescent="0.2">
      <c r="A870" s="341"/>
      <c r="B870" s="339" t="s">
        <v>409</v>
      </c>
      <c r="C870" s="340">
        <v>2</v>
      </c>
    </row>
    <row r="871" spans="1:3" x14ac:dyDescent="0.2">
      <c r="A871" s="341"/>
      <c r="B871" s="339" t="s">
        <v>408</v>
      </c>
      <c r="C871" s="340">
        <v>2</v>
      </c>
    </row>
    <row r="872" spans="1:3" x14ac:dyDescent="0.2">
      <c r="A872" s="341"/>
      <c r="B872" s="339" t="s">
        <v>432</v>
      </c>
      <c r="C872" s="340">
        <v>2</v>
      </c>
    </row>
    <row r="873" spans="1:3" x14ac:dyDescent="0.2">
      <c r="A873" s="341"/>
      <c r="B873" s="339" t="s">
        <v>2601</v>
      </c>
      <c r="C873" s="340">
        <v>2</v>
      </c>
    </row>
    <row r="874" spans="1:3" x14ac:dyDescent="0.2">
      <c r="A874" s="341"/>
      <c r="B874" s="339" t="s">
        <v>410</v>
      </c>
      <c r="C874" s="340">
        <v>1</v>
      </c>
    </row>
    <row r="875" spans="1:3" x14ac:dyDescent="0.2">
      <c r="A875" s="341"/>
      <c r="B875" s="339" t="s">
        <v>406</v>
      </c>
      <c r="C875" s="340">
        <v>0.5</v>
      </c>
    </row>
    <row r="876" spans="1:3" x14ac:dyDescent="0.2">
      <c r="A876" s="341"/>
      <c r="B876" s="339" t="s">
        <v>407</v>
      </c>
      <c r="C876" s="340">
        <v>0.5</v>
      </c>
    </row>
    <row r="877" spans="1:3" x14ac:dyDescent="0.2">
      <c r="A877" s="341"/>
      <c r="B877" s="339" t="s">
        <v>347</v>
      </c>
      <c r="C877" s="340">
        <v>0.5</v>
      </c>
    </row>
    <row r="878" spans="1:3" x14ac:dyDescent="0.2">
      <c r="A878" s="341"/>
      <c r="B878" s="339" t="s">
        <v>597</v>
      </c>
      <c r="C878" s="340">
        <v>0.5</v>
      </c>
    </row>
    <row r="879" spans="1:3" x14ac:dyDescent="0.2">
      <c r="A879" s="341"/>
      <c r="B879" s="339" t="s">
        <v>443</v>
      </c>
      <c r="C879" s="340">
        <v>0.5</v>
      </c>
    </row>
    <row r="880" spans="1:3" x14ac:dyDescent="0.2">
      <c r="A880" s="341"/>
      <c r="B880" s="339" t="s">
        <v>349</v>
      </c>
      <c r="C880" s="340">
        <v>0.5</v>
      </c>
    </row>
    <row r="881" spans="1:3" x14ac:dyDescent="0.2">
      <c r="A881" s="341"/>
    </row>
    <row r="882" spans="1:3" x14ac:dyDescent="0.2">
      <c r="A882" s="338" t="s">
        <v>2434</v>
      </c>
    </row>
    <row r="883" spans="1:3" x14ac:dyDescent="0.2">
      <c r="A883" s="341" t="s">
        <v>911</v>
      </c>
    </row>
    <row r="884" spans="1:3" x14ac:dyDescent="0.2">
      <c r="A884" s="341" t="s">
        <v>1121</v>
      </c>
    </row>
    <row r="885" spans="1:3" x14ac:dyDescent="0.2">
      <c r="A885" s="341" t="s">
        <v>1326</v>
      </c>
    </row>
    <row r="886" spans="1:3" x14ac:dyDescent="0.2">
      <c r="A886" s="341" t="s">
        <v>2499</v>
      </c>
    </row>
    <row r="887" spans="1:3" x14ac:dyDescent="0.2">
      <c r="A887" s="341" t="s">
        <v>2435</v>
      </c>
    </row>
    <row r="888" spans="1:3" x14ac:dyDescent="0.2">
      <c r="A888" s="341"/>
    </row>
    <row r="889" spans="1:3" x14ac:dyDescent="0.2">
      <c r="A889" s="341"/>
      <c r="B889" s="339" t="s">
        <v>398</v>
      </c>
      <c r="C889" s="340">
        <v>25</v>
      </c>
    </row>
    <row r="890" spans="1:3" x14ac:dyDescent="0.2">
      <c r="A890" s="341"/>
      <c r="B890" s="339" t="s">
        <v>405</v>
      </c>
      <c r="C890" s="340">
        <v>25</v>
      </c>
    </row>
    <row r="891" spans="1:3" x14ac:dyDescent="0.2">
      <c r="A891" s="341"/>
      <c r="B891" s="339" t="s">
        <v>375</v>
      </c>
      <c r="C891" s="340">
        <v>18</v>
      </c>
    </row>
    <row r="892" spans="1:3" x14ac:dyDescent="0.2">
      <c r="A892" s="341"/>
      <c r="B892" s="339" t="s">
        <v>606</v>
      </c>
      <c r="C892" s="340">
        <v>15</v>
      </c>
    </row>
    <row r="893" spans="1:3" x14ac:dyDescent="0.2">
      <c r="A893" s="341"/>
      <c r="B893" s="339" t="s">
        <v>2573</v>
      </c>
      <c r="C893" s="340">
        <v>4</v>
      </c>
    </row>
    <row r="894" spans="1:3" x14ac:dyDescent="0.2">
      <c r="A894" s="341"/>
      <c r="B894" s="339" t="s">
        <v>350</v>
      </c>
      <c r="C894" s="340">
        <v>3</v>
      </c>
    </row>
    <row r="895" spans="1:3" x14ac:dyDescent="0.2">
      <c r="A895" s="341"/>
      <c r="B895" s="339" t="s">
        <v>408</v>
      </c>
      <c r="C895" s="340">
        <v>3</v>
      </c>
    </row>
    <row r="896" spans="1:3" x14ac:dyDescent="0.2">
      <c r="A896" s="341"/>
      <c r="B896" s="339" t="s">
        <v>2601</v>
      </c>
      <c r="C896" s="340">
        <v>3</v>
      </c>
    </row>
    <row r="897" spans="1:3" x14ac:dyDescent="0.2">
      <c r="A897" s="341"/>
      <c r="B897" s="339" t="s">
        <v>403</v>
      </c>
      <c r="C897" s="340">
        <v>2</v>
      </c>
    </row>
    <row r="898" spans="1:3" x14ac:dyDescent="0.2">
      <c r="A898" s="341"/>
      <c r="B898" s="339" t="s">
        <v>404</v>
      </c>
      <c r="C898" s="340">
        <v>2</v>
      </c>
    </row>
    <row r="899" spans="1:3" x14ac:dyDescent="0.2">
      <c r="A899" s="341"/>
      <c r="B899" s="339" t="s">
        <v>1286</v>
      </c>
      <c r="C899" s="340">
        <v>2</v>
      </c>
    </row>
    <row r="900" spans="1:3" x14ac:dyDescent="0.2">
      <c r="A900" s="341"/>
      <c r="B900" s="339" t="s">
        <v>354</v>
      </c>
      <c r="C900" s="340">
        <v>2</v>
      </c>
    </row>
    <row r="901" spans="1:3" x14ac:dyDescent="0.2">
      <c r="A901" s="341"/>
      <c r="B901" s="339" t="s">
        <v>411</v>
      </c>
      <c r="C901" s="340">
        <v>2</v>
      </c>
    </row>
    <row r="902" spans="1:3" x14ac:dyDescent="0.2">
      <c r="A902" s="341"/>
      <c r="B902" s="339" t="s">
        <v>2649</v>
      </c>
      <c r="C902" s="340">
        <v>1</v>
      </c>
    </row>
    <row r="903" spans="1:3" x14ac:dyDescent="0.2">
      <c r="A903" s="341"/>
      <c r="B903" s="339" t="s">
        <v>2574</v>
      </c>
      <c r="C903" s="340">
        <v>1</v>
      </c>
    </row>
    <row r="904" spans="1:3" x14ac:dyDescent="0.2">
      <c r="A904" s="341"/>
      <c r="B904" s="339" t="s">
        <v>2601</v>
      </c>
      <c r="C904" s="340">
        <v>1</v>
      </c>
    </row>
    <row r="905" spans="1:3" x14ac:dyDescent="0.2">
      <c r="A905" s="341"/>
      <c r="B905" s="339" t="s">
        <v>616</v>
      </c>
      <c r="C905" s="340">
        <v>0.5</v>
      </c>
    </row>
    <row r="906" spans="1:3" x14ac:dyDescent="0.2">
      <c r="A906" s="341"/>
      <c r="B906" s="339" t="s">
        <v>2570</v>
      </c>
      <c r="C906" s="340">
        <v>0.5</v>
      </c>
    </row>
    <row r="907" spans="1:3" x14ac:dyDescent="0.2">
      <c r="A907" s="341"/>
    </row>
    <row r="908" spans="1:3" x14ac:dyDescent="0.2">
      <c r="A908" s="338" t="s">
        <v>2472</v>
      </c>
    </row>
    <row r="909" spans="1:3" x14ac:dyDescent="0.2">
      <c r="A909" s="341" t="s">
        <v>912</v>
      </c>
    </row>
    <row r="910" spans="1:3" x14ac:dyDescent="0.2">
      <c r="A910" s="341" t="s">
        <v>1122</v>
      </c>
    </row>
    <row r="911" spans="1:3" x14ac:dyDescent="0.2">
      <c r="A911" s="341" t="s">
        <v>1327</v>
      </c>
    </row>
    <row r="912" spans="1:3" x14ac:dyDescent="0.2">
      <c r="A912" s="341" t="s">
        <v>2511</v>
      </c>
    </row>
    <row r="913" spans="1:3" x14ac:dyDescent="0.2">
      <c r="A913" s="341" t="s">
        <v>2436</v>
      </c>
    </row>
    <row r="914" spans="1:3" x14ac:dyDescent="0.2">
      <c r="A914" s="341"/>
    </row>
    <row r="915" spans="1:3" x14ac:dyDescent="0.2">
      <c r="A915" s="341"/>
      <c r="B915" s="339" t="s">
        <v>413</v>
      </c>
      <c r="C915" s="340">
        <v>20</v>
      </c>
    </row>
    <row r="916" spans="1:3" x14ac:dyDescent="0.2">
      <c r="A916" s="341"/>
      <c r="B916" s="339" t="s">
        <v>2579</v>
      </c>
      <c r="C916" s="340">
        <v>15</v>
      </c>
    </row>
    <row r="917" spans="1:3" x14ac:dyDescent="0.2">
      <c r="A917" s="341"/>
      <c r="B917" s="339" t="s">
        <v>376</v>
      </c>
      <c r="C917" s="340">
        <v>12</v>
      </c>
    </row>
    <row r="918" spans="1:3" x14ac:dyDescent="0.2">
      <c r="A918" s="341"/>
      <c r="B918" s="339" t="s">
        <v>423</v>
      </c>
      <c r="C918" s="340">
        <v>12</v>
      </c>
    </row>
    <row r="919" spans="1:3" x14ac:dyDescent="0.2">
      <c r="A919" s="341"/>
      <c r="B919" s="339" t="s">
        <v>416</v>
      </c>
      <c r="C919" s="340">
        <v>10</v>
      </c>
    </row>
    <row r="920" spans="1:3" x14ac:dyDescent="0.2">
      <c r="A920" s="341"/>
      <c r="B920" s="339" t="s">
        <v>412</v>
      </c>
      <c r="C920" s="340">
        <v>8</v>
      </c>
    </row>
    <row r="921" spans="1:3" x14ac:dyDescent="0.2">
      <c r="A921" s="341"/>
      <c r="B921" s="339" t="s">
        <v>414</v>
      </c>
      <c r="C921" s="340">
        <v>8</v>
      </c>
    </row>
    <row r="922" spans="1:3" x14ac:dyDescent="0.2">
      <c r="A922" s="341"/>
      <c r="B922" s="339" t="s">
        <v>405</v>
      </c>
      <c r="C922" s="340">
        <v>6</v>
      </c>
    </row>
    <row r="923" spans="1:3" x14ac:dyDescent="0.2">
      <c r="A923" s="341"/>
      <c r="B923" s="339" t="s">
        <v>606</v>
      </c>
      <c r="C923" s="340">
        <v>4</v>
      </c>
    </row>
    <row r="924" spans="1:3" x14ac:dyDescent="0.2">
      <c r="A924" s="341"/>
      <c r="B924" s="339" t="s">
        <v>387</v>
      </c>
      <c r="C924" s="340">
        <v>4</v>
      </c>
    </row>
    <row r="925" spans="1:3" x14ac:dyDescent="0.2">
      <c r="A925" s="341"/>
      <c r="B925" s="339" t="s">
        <v>354</v>
      </c>
      <c r="C925" s="340">
        <v>4</v>
      </c>
    </row>
    <row r="926" spans="1:3" x14ac:dyDescent="0.2">
      <c r="A926" s="341"/>
      <c r="B926" s="339" t="s">
        <v>432</v>
      </c>
      <c r="C926" s="340">
        <v>4</v>
      </c>
    </row>
    <row r="927" spans="1:3" x14ac:dyDescent="0.2">
      <c r="A927" s="341"/>
      <c r="B927" s="339" t="s">
        <v>395</v>
      </c>
      <c r="C927" s="340">
        <v>3</v>
      </c>
    </row>
    <row r="928" spans="1:3" x14ac:dyDescent="0.2">
      <c r="A928" s="341"/>
      <c r="B928" s="339" t="s">
        <v>350</v>
      </c>
      <c r="C928" s="340">
        <v>2</v>
      </c>
    </row>
    <row r="929" spans="1:3" x14ac:dyDescent="0.2">
      <c r="A929" s="341"/>
      <c r="B929" s="339" t="s">
        <v>602</v>
      </c>
      <c r="C929" s="340">
        <v>2</v>
      </c>
    </row>
    <row r="930" spans="1:3" x14ac:dyDescent="0.2">
      <c r="A930" s="341"/>
      <c r="B930" s="339" t="s">
        <v>409</v>
      </c>
      <c r="C930" s="340">
        <v>2</v>
      </c>
    </row>
    <row r="931" spans="1:3" x14ac:dyDescent="0.2">
      <c r="A931" s="341"/>
      <c r="B931" s="339" t="s">
        <v>415</v>
      </c>
      <c r="C931" s="340">
        <v>2</v>
      </c>
    </row>
    <row r="932" spans="1:3" x14ac:dyDescent="0.2">
      <c r="A932" s="341"/>
      <c r="B932" s="339" t="s">
        <v>391</v>
      </c>
      <c r="C932" s="340">
        <v>2</v>
      </c>
    </row>
    <row r="933" spans="1:3" x14ac:dyDescent="0.2">
      <c r="A933" s="341"/>
      <c r="B933" s="339" t="s">
        <v>349</v>
      </c>
      <c r="C933" s="340">
        <v>1</v>
      </c>
    </row>
    <row r="934" spans="1:3" x14ac:dyDescent="0.2">
      <c r="A934" s="341"/>
      <c r="B934" s="339" t="s">
        <v>450</v>
      </c>
      <c r="C934" s="340">
        <v>1</v>
      </c>
    </row>
    <row r="935" spans="1:3" x14ac:dyDescent="0.2">
      <c r="A935" s="341"/>
      <c r="B935" s="339" t="s">
        <v>2573</v>
      </c>
      <c r="C935" s="340">
        <v>0.5</v>
      </c>
    </row>
    <row r="936" spans="1:3" x14ac:dyDescent="0.2">
      <c r="A936" s="341"/>
      <c r="B936" s="339" t="s">
        <v>433</v>
      </c>
      <c r="C936" s="340">
        <v>0.5</v>
      </c>
    </row>
    <row r="937" spans="1:3" x14ac:dyDescent="0.2">
      <c r="A937" s="341"/>
      <c r="B937" s="339" t="s">
        <v>605</v>
      </c>
      <c r="C937" s="340">
        <v>0.5</v>
      </c>
    </row>
    <row r="938" spans="1:3" x14ac:dyDescent="0.2">
      <c r="A938" s="341"/>
      <c r="B938" s="339" t="s">
        <v>341</v>
      </c>
      <c r="C938" s="340">
        <v>0.5</v>
      </c>
    </row>
    <row r="939" spans="1:3" x14ac:dyDescent="0.2">
      <c r="A939" s="341"/>
      <c r="B939" s="339" t="s">
        <v>375</v>
      </c>
      <c r="C939" s="340">
        <v>0.5</v>
      </c>
    </row>
    <row r="940" spans="1:3" x14ac:dyDescent="0.2">
      <c r="A940" s="341"/>
    </row>
    <row r="941" spans="1:3" x14ac:dyDescent="0.2">
      <c r="A941" s="338" t="s">
        <v>2473</v>
      </c>
    </row>
    <row r="942" spans="1:3" x14ac:dyDescent="0.2">
      <c r="A942" s="341" t="s">
        <v>912</v>
      </c>
    </row>
    <row r="943" spans="1:3" x14ac:dyDescent="0.2">
      <c r="A943" s="341" t="s">
        <v>1123</v>
      </c>
    </row>
    <row r="944" spans="1:3" x14ac:dyDescent="0.2">
      <c r="A944" s="341" t="s">
        <v>1328</v>
      </c>
    </row>
    <row r="945" spans="1:3" x14ac:dyDescent="0.2">
      <c r="A945" s="341" t="s">
        <v>2512</v>
      </c>
    </row>
    <row r="946" spans="1:3" x14ac:dyDescent="0.2">
      <c r="A946" s="341" t="s">
        <v>2437</v>
      </c>
    </row>
    <row r="947" spans="1:3" x14ac:dyDescent="0.2">
      <c r="A947" s="341"/>
    </row>
    <row r="948" spans="1:3" x14ac:dyDescent="0.2">
      <c r="A948" s="341"/>
      <c r="B948" s="339" t="s">
        <v>2567</v>
      </c>
      <c r="C948" s="340">
        <v>60</v>
      </c>
    </row>
    <row r="949" spans="1:3" x14ac:dyDescent="0.2">
      <c r="A949" s="341"/>
      <c r="B949" s="339" t="s">
        <v>417</v>
      </c>
      <c r="C949" s="340">
        <v>15</v>
      </c>
    </row>
    <row r="950" spans="1:3" x14ac:dyDescent="0.2">
      <c r="A950" s="341"/>
      <c r="B950" s="339" t="s">
        <v>418</v>
      </c>
      <c r="C950" s="340">
        <v>5</v>
      </c>
    </row>
    <row r="951" spans="1:3" x14ac:dyDescent="0.2">
      <c r="A951" s="341"/>
      <c r="B951" s="339" t="s">
        <v>2580</v>
      </c>
      <c r="C951" s="340">
        <v>4</v>
      </c>
    </row>
    <row r="952" spans="1:3" x14ac:dyDescent="0.2">
      <c r="A952" s="341"/>
      <c r="B952" s="339" t="s">
        <v>421</v>
      </c>
      <c r="C952" s="340">
        <v>4</v>
      </c>
    </row>
    <row r="953" spans="1:3" x14ac:dyDescent="0.2">
      <c r="A953" s="341"/>
      <c r="B953" s="339" t="s">
        <v>420</v>
      </c>
      <c r="C953" s="340">
        <v>2</v>
      </c>
    </row>
    <row r="954" spans="1:3" x14ac:dyDescent="0.2">
      <c r="A954" s="341"/>
      <c r="B954" s="339" t="s">
        <v>419</v>
      </c>
      <c r="C954" s="340">
        <v>2</v>
      </c>
    </row>
    <row r="955" spans="1:3" x14ac:dyDescent="0.2">
      <c r="A955" s="341"/>
      <c r="B955" s="339" t="s">
        <v>328</v>
      </c>
      <c r="C955" s="340">
        <v>2</v>
      </c>
    </row>
    <row r="956" spans="1:3" x14ac:dyDescent="0.2">
      <c r="A956" s="341"/>
      <c r="B956" s="339" t="s">
        <v>2650</v>
      </c>
      <c r="C956" s="340">
        <v>0.5</v>
      </c>
    </row>
    <row r="957" spans="1:3" x14ac:dyDescent="0.2">
      <c r="A957" s="341"/>
    </row>
    <row r="958" spans="1:3" x14ac:dyDescent="0.2">
      <c r="A958" s="338" t="s">
        <v>2438</v>
      </c>
    </row>
    <row r="959" spans="1:3" x14ac:dyDescent="0.2">
      <c r="A959" s="341" t="s">
        <v>913</v>
      </c>
    </row>
    <row r="960" spans="1:3" x14ac:dyDescent="0.2">
      <c r="A960" s="341" t="s">
        <v>1124</v>
      </c>
    </row>
    <row r="961" spans="1:3" x14ac:dyDescent="0.2">
      <c r="A961" s="341" t="s">
        <v>1329</v>
      </c>
    </row>
    <row r="962" spans="1:3" x14ac:dyDescent="0.2">
      <c r="A962" s="341" t="s">
        <v>2513</v>
      </c>
    </row>
    <row r="963" spans="1:3" x14ac:dyDescent="0.2">
      <c r="A963" s="341" t="s">
        <v>2439</v>
      </c>
    </row>
    <row r="964" spans="1:3" x14ac:dyDescent="0.2">
      <c r="A964" s="341"/>
    </row>
    <row r="965" spans="1:3" x14ac:dyDescent="0.2">
      <c r="A965" s="341"/>
      <c r="B965" s="339" t="s">
        <v>606</v>
      </c>
      <c r="C965" s="340">
        <v>15</v>
      </c>
    </row>
    <row r="966" spans="1:3" x14ac:dyDescent="0.2">
      <c r="A966" s="341"/>
      <c r="B966" s="339" t="s">
        <v>412</v>
      </c>
      <c r="C966" s="340">
        <v>14</v>
      </c>
    </row>
    <row r="967" spans="1:3" x14ac:dyDescent="0.2">
      <c r="A967" s="341"/>
      <c r="B967" s="339" t="s">
        <v>437</v>
      </c>
      <c r="C967" s="340">
        <v>12</v>
      </c>
    </row>
    <row r="968" spans="1:3" x14ac:dyDescent="0.2">
      <c r="A968" s="341"/>
      <c r="B968" s="339" t="s">
        <v>2651</v>
      </c>
      <c r="C968" s="340">
        <v>10</v>
      </c>
    </row>
    <row r="969" spans="1:3" x14ac:dyDescent="0.2">
      <c r="A969" s="341"/>
      <c r="B969" s="339" t="s">
        <v>404</v>
      </c>
      <c r="C969" s="340">
        <v>8</v>
      </c>
    </row>
    <row r="970" spans="1:3" x14ac:dyDescent="0.2">
      <c r="A970" s="341"/>
      <c r="B970" s="339" t="s">
        <v>597</v>
      </c>
      <c r="C970" s="340">
        <v>8</v>
      </c>
    </row>
    <row r="971" spans="1:3" x14ac:dyDescent="0.2">
      <c r="A971" s="341"/>
      <c r="B971" s="339" t="s">
        <v>398</v>
      </c>
      <c r="C971" s="340">
        <v>6</v>
      </c>
    </row>
    <row r="972" spans="1:3" x14ac:dyDescent="0.2">
      <c r="A972" s="341"/>
      <c r="B972" s="339" t="s">
        <v>2579</v>
      </c>
      <c r="C972" s="340">
        <v>6</v>
      </c>
    </row>
    <row r="973" spans="1:3" x14ac:dyDescent="0.2">
      <c r="A973" s="341"/>
      <c r="B973" s="339" t="s">
        <v>2602</v>
      </c>
      <c r="C973" s="340">
        <v>6</v>
      </c>
    </row>
    <row r="974" spans="1:3" x14ac:dyDescent="0.2">
      <c r="A974" s="341"/>
      <c r="B974" s="339" t="s">
        <v>441</v>
      </c>
      <c r="C974" s="340">
        <v>5</v>
      </c>
    </row>
    <row r="975" spans="1:3" x14ac:dyDescent="0.2">
      <c r="A975" s="341"/>
      <c r="B975" s="339" t="s">
        <v>2656</v>
      </c>
      <c r="C975" s="340">
        <v>4</v>
      </c>
    </row>
    <row r="976" spans="1:3" x14ac:dyDescent="0.2">
      <c r="A976" s="341"/>
      <c r="B976" s="339" t="s">
        <v>424</v>
      </c>
      <c r="C976" s="340">
        <v>4</v>
      </c>
    </row>
    <row r="977" spans="1:3" x14ac:dyDescent="0.2">
      <c r="A977" s="341"/>
      <c r="B977" s="339" t="s">
        <v>354</v>
      </c>
      <c r="C977" s="340">
        <v>4</v>
      </c>
    </row>
    <row r="978" spans="1:3" x14ac:dyDescent="0.2">
      <c r="A978" s="341"/>
      <c r="B978" s="339" t="s">
        <v>375</v>
      </c>
      <c r="C978" s="340">
        <v>4</v>
      </c>
    </row>
    <row r="979" spans="1:3" x14ac:dyDescent="0.2">
      <c r="A979" s="341"/>
      <c r="B979" s="339" t="s">
        <v>2601</v>
      </c>
      <c r="C979" s="340">
        <v>4</v>
      </c>
    </row>
    <row r="980" spans="1:3" x14ac:dyDescent="0.2">
      <c r="A980" s="341"/>
      <c r="B980" s="339" t="s">
        <v>2570</v>
      </c>
      <c r="C980" s="340">
        <v>3</v>
      </c>
    </row>
    <row r="981" spans="1:3" x14ac:dyDescent="0.2">
      <c r="A981" s="341"/>
      <c r="B981" s="339" t="s">
        <v>431</v>
      </c>
      <c r="C981" s="340">
        <v>3</v>
      </c>
    </row>
    <row r="982" spans="1:3" x14ac:dyDescent="0.2">
      <c r="A982" s="341"/>
      <c r="B982" s="339" t="s">
        <v>602</v>
      </c>
      <c r="C982" s="340">
        <v>2</v>
      </c>
    </row>
    <row r="983" spans="1:3" x14ac:dyDescent="0.2">
      <c r="A983" s="341"/>
      <c r="B983" s="339" t="s">
        <v>347</v>
      </c>
      <c r="C983" s="340">
        <v>2</v>
      </c>
    </row>
    <row r="984" spans="1:3" x14ac:dyDescent="0.2">
      <c r="A984" s="341"/>
      <c r="B984" s="339" t="s">
        <v>2652</v>
      </c>
      <c r="C984" s="340">
        <v>2</v>
      </c>
    </row>
    <row r="985" spans="1:3" x14ac:dyDescent="0.2">
      <c r="A985" s="341"/>
      <c r="B985" s="339" t="s">
        <v>408</v>
      </c>
      <c r="C985" s="340">
        <v>2</v>
      </c>
    </row>
    <row r="986" spans="1:3" x14ac:dyDescent="0.2">
      <c r="A986" s="341"/>
      <c r="B986" s="339" t="s">
        <v>357</v>
      </c>
      <c r="C986" s="340">
        <v>2</v>
      </c>
    </row>
    <row r="987" spans="1:3" x14ac:dyDescent="0.2">
      <c r="A987" s="341"/>
      <c r="B987" s="339" t="s">
        <v>348</v>
      </c>
      <c r="C987" s="340">
        <v>2</v>
      </c>
    </row>
    <row r="988" spans="1:3" x14ac:dyDescent="0.2">
      <c r="A988" s="341"/>
      <c r="B988" s="339" t="s">
        <v>423</v>
      </c>
      <c r="C988" s="340">
        <v>2</v>
      </c>
    </row>
    <row r="989" spans="1:3" x14ac:dyDescent="0.2">
      <c r="A989" s="341"/>
      <c r="B989" s="339" t="s">
        <v>422</v>
      </c>
      <c r="C989" s="340">
        <v>2</v>
      </c>
    </row>
    <row r="990" spans="1:3" x14ac:dyDescent="0.2">
      <c r="A990" s="341"/>
      <c r="B990" s="339" t="s">
        <v>613</v>
      </c>
      <c r="C990" s="340">
        <v>1</v>
      </c>
    </row>
    <row r="991" spans="1:3" x14ac:dyDescent="0.2">
      <c r="A991" s="341"/>
      <c r="B991" s="339" t="s">
        <v>386</v>
      </c>
      <c r="C991" s="340">
        <v>1</v>
      </c>
    </row>
    <row r="992" spans="1:3" x14ac:dyDescent="0.2">
      <c r="A992" s="341"/>
      <c r="B992" s="339" t="s">
        <v>477</v>
      </c>
      <c r="C992" s="340">
        <v>0.5</v>
      </c>
    </row>
    <row r="993" spans="1:3" x14ac:dyDescent="0.2">
      <c r="A993" s="341"/>
      <c r="B993" s="339" t="s">
        <v>2600</v>
      </c>
      <c r="C993" s="340">
        <v>0.5</v>
      </c>
    </row>
    <row r="994" spans="1:3" x14ac:dyDescent="0.2">
      <c r="A994" s="341"/>
      <c r="B994" s="339" t="s">
        <v>426</v>
      </c>
      <c r="C994" s="340">
        <v>0.5</v>
      </c>
    </row>
    <row r="995" spans="1:3" x14ac:dyDescent="0.2">
      <c r="A995" s="341"/>
      <c r="B995" s="339" t="s">
        <v>402</v>
      </c>
      <c r="C995" s="340">
        <v>0.5</v>
      </c>
    </row>
    <row r="996" spans="1:3" x14ac:dyDescent="0.2">
      <c r="A996" s="341"/>
      <c r="B996" s="339" t="s">
        <v>391</v>
      </c>
      <c r="C996" s="340">
        <v>0.5</v>
      </c>
    </row>
    <row r="997" spans="1:3" x14ac:dyDescent="0.2">
      <c r="A997" s="341"/>
      <c r="B997" s="339" t="s">
        <v>2649</v>
      </c>
      <c r="C997" s="340">
        <v>0.5</v>
      </c>
    </row>
    <row r="998" spans="1:3" x14ac:dyDescent="0.2">
      <c r="A998" s="341"/>
      <c r="B998" s="339" t="s">
        <v>427</v>
      </c>
      <c r="C998" s="340">
        <v>0.5</v>
      </c>
    </row>
    <row r="999" spans="1:3" x14ac:dyDescent="0.2">
      <c r="A999" s="341"/>
      <c r="B999" s="339" t="s">
        <v>425</v>
      </c>
      <c r="C999" s="340">
        <v>0.5</v>
      </c>
    </row>
    <row r="1000" spans="1:3" x14ac:dyDescent="0.2">
      <c r="A1000" s="341"/>
      <c r="B1000" s="339" t="s">
        <v>429</v>
      </c>
      <c r="C1000" s="340">
        <v>0.5</v>
      </c>
    </row>
    <row r="1001" spans="1:3" x14ac:dyDescent="0.2">
      <c r="A1001" s="341"/>
      <c r="B1001" s="339" t="s">
        <v>428</v>
      </c>
      <c r="C1001" s="340">
        <v>0.5</v>
      </c>
    </row>
    <row r="1002" spans="1:3" x14ac:dyDescent="0.2">
      <c r="A1002" s="341"/>
      <c r="B1002" s="339" t="s">
        <v>2568</v>
      </c>
      <c r="C1002" s="340">
        <v>0.5</v>
      </c>
    </row>
    <row r="1003" spans="1:3" x14ac:dyDescent="0.2">
      <c r="A1003" s="341"/>
    </row>
    <row r="1004" spans="1:3" x14ac:dyDescent="0.2">
      <c r="A1004" s="338" t="s">
        <v>1330</v>
      </c>
    </row>
    <row r="1005" spans="1:3" x14ac:dyDescent="0.2">
      <c r="A1005" s="341" t="s">
        <v>914</v>
      </c>
    </row>
    <row r="1006" spans="1:3" x14ac:dyDescent="0.2">
      <c r="A1006" s="341" t="s">
        <v>1125</v>
      </c>
    </row>
    <row r="1007" spans="1:3" x14ac:dyDescent="0.2">
      <c r="A1007" s="341" t="s">
        <v>1331</v>
      </c>
    </row>
    <row r="1008" spans="1:3" x14ac:dyDescent="0.2">
      <c r="A1008" s="341" t="s">
        <v>2514</v>
      </c>
    </row>
    <row r="1009" spans="1:3" x14ac:dyDescent="0.2">
      <c r="A1009" s="341" t="s">
        <v>2440</v>
      </c>
    </row>
    <row r="1010" spans="1:3" x14ac:dyDescent="0.2">
      <c r="A1010" s="341"/>
    </row>
    <row r="1011" spans="1:3" x14ac:dyDescent="0.2">
      <c r="A1011" s="341"/>
      <c r="B1011" s="339" t="s">
        <v>412</v>
      </c>
      <c r="C1011" s="340">
        <v>15</v>
      </c>
    </row>
    <row r="1012" spans="1:3" x14ac:dyDescent="0.2">
      <c r="A1012" s="341"/>
      <c r="B1012" s="339" t="s">
        <v>413</v>
      </c>
      <c r="C1012" s="340">
        <v>14</v>
      </c>
    </row>
    <row r="1013" spans="1:3" x14ac:dyDescent="0.2">
      <c r="A1013" s="341"/>
      <c r="B1013" s="339" t="s">
        <v>437</v>
      </c>
      <c r="C1013" s="340">
        <v>10</v>
      </c>
    </row>
    <row r="1014" spans="1:3" x14ac:dyDescent="0.2">
      <c r="A1014" s="341"/>
      <c r="B1014" s="339" t="s">
        <v>404</v>
      </c>
      <c r="C1014" s="340">
        <v>8</v>
      </c>
    </row>
    <row r="1015" spans="1:3" x14ac:dyDescent="0.2">
      <c r="A1015" s="341"/>
      <c r="B1015" s="339" t="s">
        <v>2652</v>
      </c>
      <c r="C1015" s="340">
        <v>8</v>
      </c>
    </row>
    <row r="1016" spans="1:3" x14ac:dyDescent="0.2">
      <c r="A1016" s="341"/>
      <c r="B1016" s="339" t="s">
        <v>597</v>
      </c>
      <c r="C1016" s="340">
        <v>8</v>
      </c>
    </row>
    <row r="1017" spans="1:3" x14ac:dyDescent="0.2">
      <c r="A1017" s="341"/>
      <c r="B1017" s="339" t="s">
        <v>399</v>
      </c>
      <c r="C1017" s="340">
        <v>6</v>
      </c>
    </row>
    <row r="1018" spans="1:3" x14ac:dyDescent="0.2">
      <c r="A1018" s="341"/>
      <c r="B1018" s="339" t="s">
        <v>407</v>
      </c>
      <c r="C1018" s="340">
        <v>6</v>
      </c>
    </row>
    <row r="1019" spans="1:3" x14ac:dyDescent="0.2">
      <c r="A1019" s="341"/>
      <c r="B1019" s="339" t="s">
        <v>430</v>
      </c>
      <c r="C1019" s="340">
        <v>3</v>
      </c>
    </row>
    <row r="1020" spans="1:3" x14ac:dyDescent="0.2">
      <c r="A1020" s="341"/>
      <c r="B1020" s="339" t="s">
        <v>2649</v>
      </c>
      <c r="C1020" s="340">
        <v>3</v>
      </c>
    </row>
    <row r="1021" spans="1:3" x14ac:dyDescent="0.2">
      <c r="A1021" s="341"/>
      <c r="B1021" s="339" t="s">
        <v>408</v>
      </c>
      <c r="C1021" s="340">
        <v>3</v>
      </c>
    </row>
    <row r="1022" spans="1:3" x14ac:dyDescent="0.2">
      <c r="A1022" s="341"/>
      <c r="B1022" s="339" t="s">
        <v>423</v>
      </c>
      <c r="C1022" s="340">
        <v>3</v>
      </c>
    </row>
    <row r="1023" spans="1:3" x14ac:dyDescent="0.2">
      <c r="A1023" s="341"/>
      <c r="B1023" s="339" t="s">
        <v>431</v>
      </c>
      <c r="C1023" s="340">
        <v>3</v>
      </c>
    </row>
    <row r="1024" spans="1:3" x14ac:dyDescent="0.2">
      <c r="A1024" s="341"/>
      <c r="B1024" s="339" t="s">
        <v>371</v>
      </c>
      <c r="C1024" s="340">
        <v>2</v>
      </c>
    </row>
    <row r="1025" spans="1:3" x14ac:dyDescent="0.2">
      <c r="A1025" s="341"/>
      <c r="B1025" s="339" t="s">
        <v>390</v>
      </c>
      <c r="C1025" s="340">
        <v>2</v>
      </c>
    </row>
    <row r="1026" spans="1:3" x14ac:dyDescent="0.2">
      <c r="A1026" s="341"/>
      <c r="B1026" s="339" t="s">
        <v>409</v>
      </c>
      <c r="C1026" s="340">
        <v>2</v>
      </c>
    </row>
    <row r="1027" spans="1:3" x14ac:dyDescent="0.2">
      <c r="A1027" s="341"/>
      <c r="B1027" s="339" t="s">
        <v>427</v>
      </c>
      <c r="C1027" s="340">
        <v>2</v>
      </c>
    </row>
    <row r="1028" spans="1:3" x14ac:dyDescent="0.2">
      <c r="A1028" s="341"/>
      <c r="B1028" s="339" t="s">
        <v>425</v>
      </c>
      <c r="C1028" s="340">
        <v>2</v>
      </c>
    </row>
    <row r="1029" spans="1:3" x14ac:dyDescent="0.2">
      <c r="A1029" s="341"/>
      <c r="B1029" s="339" t="s">
        <v>347</v>
      </c>
      <c r="C1029" s="340">
        <v>2</v>
      </c>
    </row>
    <row r="1030" spans="1:3" x14ac:dyDescent="0.2">
      <c r="A1030" s="341"/>
      <c r="B1030" s="339" t="s">
        <v>441</v>
      </c>
      <c r="C1030" s="340">
        <v>2</v>
      </c>
    </row>
    <row r="1031" spans="1:3" x14ac:dyDescent="0.2">
      <c r="A1031" s="341"/>
      <c r="B1031" s="339" t="s">
        <v>443</v>
      </c>
      <c r="C1031" s="340">
        <v>2</v>
      </c>
    </row>
    <row r="1032" spans="1:3" x14ac:dyDescent="0.2">
      <c r="A1032" s="341"/>
      <c r="B1032" s="339" t="s">
        <v>424</v>
      </c>
      <c r="C1032" s="340">
        <v>2</v>
      </c>
    </row>
    <row r="1033" spans="1:3" x14ac:dyDescent="0.2">
      <c r="A1033" s="341"/>
      <c r="B1033" s="339" t="s">
        <v>2565</v>
      </c>
      <c r="C1033" s="340">
        <v>2</v>
      </c>
    </row>
    <row r="1034" spans="1:3" x14ac:dyDescent="0.2">
      <c r="A1034" s="341"/>
      <c r="B1034" s="339" t="s">
        <v>422</v>
      </c>
      <c r="C1034" s="340">
        <v>2</v>
      </c>
    </row>
    <row r="1035" spans="1:3" x14ac:dyDescent="0.2">
      <c r="A1035" s="341"/>
      <c r="B1035" s="339" t="s">
        <v>432</v>
      </c>
      <c r="C1035" s="340">
        <v>2</v>
      </c>
    </row>
    <row r="1036" spans="1:3" x14ac:dyDescent="0.2">
      <c r="A1036" s="341"/>
      <c r="B1036" s="339" t="s">
        <v>442</v>
      </c>
      <c r="C1036" s="340">
        <v>2</v>
      </c>
    </row>
    <row r="1037" spans="1:3" x14ac:dyDescent="0.2">
      <c r="A1037" s="341"/>
      <c r="B1037" s="339" t="s">
        <v>430</v>
      </c>
      <c r="C1037" s="340">
        <v>1</v>
      </c>
    </row>
    <row r="1038" spans="1:3" x14ac:dyDescent="0.2">
      <c r="A1038" s="341"/>
      <c r="B1038" s="339" t="s">
        <v>433</v>
      </c>
      <c r="C1038" s="340">
        <v>1</v>
      </c>
    </row>
    <row r="1039" spans="1:3" x14ac:dyDescent="0.2">
      <c r="A1039" s="341"/>
      <c r="B1039" s="339" t="s">
        <v>2642</v>
      </c>
      <c r="C1039" s="340">
        <v>1</v>
      </c>
    </row>
    <row r="1040" spans="1:3" x14ac:dyDescent="0.2">
      <c r="A1040" s="341"/>
      <c r="B1040" s="339" t="s">
        <v>605</v>
      </c>
      <c r="C1040" s="340">
        <v>1</v>
      </c>
    </row>
    <row r="1041" spans="1:3" x14ac:dyDescent="0.2">
      <c r="A1041" s="341"/>
      <c r="B1041" s="339" t="s">
        <v>610</v>
      </c>
      <c r="C1041" s="340">
        <v>1</v>
      </c>
    </row>
    <row r="1042" spans="1:3" x14ac:dyDescent="0.2">
      <c r="A1042" s="341"/>
      <c r="B1042" s="339" t="s">
        <v>387</v>
      </c>
      <c r="C1042" s="340">
        <v>1</v>
      </c>
    </row>
    <row r="1043" spans="1:3" x14ac:dyDescent="0.2">
      <c r="A1043" s="341"/>
      <c r="B1043" s="339" t="s">
        <v>357</v>
      </c>
      <c r="C1043" s="340">
        <v>1</v>
      </c>
    </row>
    <row r="1044" spans="1:3" x14ac:dyDescent="0.2">
      <c r="A1044" s="341"/>
      <c r="B1044" s="339" t="s">
        <v>349</v>
      </c>
      <c r="C1044" s="340">
        <v>1</v>
      </c>
    </row>
    <row r="1045" spans="1:3" x14ac:dyDescent="0.2">
      <c r="A1045" s="341"/>
      <c r="B1045" s="339" t="s">
        <v>2570</v>
      </c>
      <c r="C1045" s="340">
        <v>1</v>
      </c>
    </row>
    <row r="1046" spans="1:3" x14ac:dyDescent="0.2">
      <c r="A1046" s="341"/>
      <c r="B1046" s="339" t="s">
        <v>410</v>
      </c>
      <c r="C1046" s="340">
        <v>1</v>
      </c>
    </row>
    <row r="1047" spans="1:3" x14ac:dyDescent="0.2">
      <c r="A1047" s="341"/>
      <c r="B1047" s="339" t="s">
        <v>2658</v>
      </c>
      <c r="C1047" s="340">
        <v>1</v>
      </c>
    </row>
    <row r="1048" spans="1:3" x14ac:dyDescent="0.2">
      <c r="A1048" s="341"/>
      <c r="B1048" s="339" t="s">
        <v>350</v>
      </c>
      <c r="C1048" s="340">
        <v>0.5</v>
      </c>
    </row>
    <row r="1049" spans="1:3" x14ac:dyDescent="0.2">
      <c r="A1049" s="341"/>
      <c r="B1049" s="339" t="s">
        <v>353</v>
      </c>
      <c r="C1049" s="340">
        <v>0.5</v>
      </c>
    </row>
    <row r="1050" spans="1:3" x14ac:dyDescent="0.2">
      <c r="A1050" s="341"/>
      <c r="B1050" s="339" t="s">
        <v>2657</v>
      </c>
      <c r="C1050" s="340">
        <v>0.5</v>
      </c>
    </row>
    <row r="1051" spans="1:3" x14ac:dyDescent="0.2">
      <c r="A1051" s="341"/>
      <c r="B1051" s="339" t="s">
        <v>368</v>
      </c>
      <c r="C1051" s="340">
        <v>0.5</v>
      </c>
    </row>
    <row r="1052" spans="1:3" x14ac:dyDescent="0.2">
      <c r="A1052" s="341"/>
      <c r="B1052" s="339" t="s">
        <v>2564</v>
      </c>
      <c r="C1052" s="340">
        <v>0.5</v>
      </c>
    </row>
    <row r="1053" spans="1:3" x14ac:dyDescent="0.2">
      <c r="A1053" s="341"/>
      <c r="B1053" s="339" t="s">
        <v>354</v>
      </c>
      <c r="C1053" s="340">
        <v>0.5</v>
      </c>
    </row>
    <row r="1054" spans="1:3" x14ac:dyDescent="0.2">
      <c r="A1054" s="341"/>
      <c r="B1054" s="339" t="s">
        <v>389</v>
      </c>
      <c r="C1054" s="340">
        <v>0.5</v>
      </c>
    </row>
    <row r="1055" spans="1:3" x14ac:dyDescent="0.2">
      <c r="A1055" s="341"/>
    </row>
    <row r="1056" spans="1:3" x14ac:dyDescent="0.2">
      <c r="A1056" s="338" t="s">
        <v>2441</v>
      </c>
    </row>
    <row r="1057" spans="1:3" x14ac:dyDescent="0.2">
      <c r="A1057" s="341" t="s">
        <v>915</v>
      </c>
    </row>
    <row r="1058" spans="1:3" x14ac:dyDescent="0.2">
      <c r="A1058" s="341" t="s">
        <v>1126</v>
      </c>
    </row>
    <row r="1059" spans="1:3" x14ac:dyDescent="0.2">
      <c r="A1059" s="341" t="s">
        <v>1332</v>
      </c>
    </row>
    <row r="1060" spans="1:3" x14ac:dyDescent="0.2">
      <c r="A1060" s="341" t="s">
        <v>2515</v>
      </c>
    </row>
    <row r="1061" spans="1:3" x14ac:dyDescent="0.2">
      <c r="A1061" s="341" t="s">
        <v>2442</v>
      </c>
    </row>
    <row r="1062" spans="1:3" x14ac:dyDescent="0.2">
      <c r="A1062" s="341"/>
    </row>
    <row r="1063" spans="1:3" x14ac:dyDescent="0.2">
      <c r="A1063" s="341"/>
      <c r="B1063" s="339" t="s">
        <v>437</v>
      </c>
      <c r="C1063" s="340">
        <v>15</v>
      </c>
    </row>
    <row r="1064" spans="1:3" x14ac:dyDescent="0.2">
      <c r="A1064" s="341"/>
      <c r="B1064" s="339" t="s">
        <v>373</v>
      </c>
      <c r="C1064" s="340">
        <v>10</v>
      </c>
    </row>
    <row r="1065" spans="1:3" x14ac:dyDescent="0.2">
      <c r="A1065" s="341"/>
      <c r="B1065" s="339" t="s">
        <v>347</v>
      </c>
      <c r="C1065" s="340">
        <v>10</v>
      </c>
    </row>
    <row r="1066" spans="1:3" x14ac:dyDescent="0.2">
      <c r="A1066" s="341"/>
      <c r="B1066" s="339" t="s">
        <v>2579</v>
      </c>
      <c r="C1066" s="340">
        <v>10</v>
      </c>
    </row>
    <row r="1067" spans="1:3" x14ac:dyDescent="0.2">
      <c r="A1067" s="341"/>
      <c r="B1067" s="339" t="s">
        <v>341</v>
      </c>
      <c r="C1067" s="340">
        <v>8</v>
      </c>
    </row>
    <row r="1068" spans="1:3" x14ac:dyDescent="0.2">
      <c r="A1068" s="341"/>
      <c r="B1068" s="339" t="s">
        <v>432</v>
      </c>
      <c r="C1068" s="340">
        <v>6</v>
      </c>
    </row>
    <row r="1069" spans="1:3" x14ac:dyDescent="0.2">
      <c r="A1069" s="341"/>
      <c r="B1069" s="339" t="s">
        <v>2565</v>
      </c>
      <c r="C1069" s="340">
        <v>5</v>
      </c>
    </row>
    <row r="1070" spans="1:3" x14ac:dyDescent="0.2">
      <c r="A1070" s="341"/>
      <c r="B1070" s="339" t="s">
        <v>2636</v>
      </c>
      <c r="C1070" s="340">
        <v>4</v>
      </c>
    </row>
    <row r="1071" spans="1:3" x14ac:dyDescent="0.2">
      <c r="A1071" s="341"/>
      <c r="B1071" s="339" t="s">
        <v>357</v>
      </c>
      <c r="C1071" s="340">
        <v>4</v>
      </c>
    </row>
    <row r="1072" spans="1:3" x14ac:dyDescent="0.2">
      <c r="A1072" s="341"/>
      <c r="B1072" s="339" t="s">
        <v>349</v>
      </c>
      <c r="C1072" s="340">
        <v>4</v>
      </c>
    </row>
    <row r="1073" spans="1:3" x14ac:dyDescent="0.2">
      <c r="A1073" s="341"/>
      <c r="B1073" s="339" t="s">
        <v>586</v>
      </c>
      <c r="C1073" s="340">
        <v>3</v>
      </c>
    </row>
    <row r="1074" spans="1:3" x14ac:dyDescent="0.2">
      <c r="A1074" s="341"/>
      <c r="B1074" s="339" t="s">
        <v>597</v>
      </c>
      <c r="C1074" s="340">
        <v>3</v>
      </c>
    </row>
    <row r="1075" spans="1:3" x14ac:dyDescent="0.2">
      <c r="A1075" s="341"/>
      <c r="B1075" s="339" t="s">
        <v>398</v>
      </c>
      <c r="C1075" s="340">
        <v>2</v>
      </c>
    </row>
    <row r="1076" spans="1:3" x14ac:dyDescent="0.2">
      <c r="A1076" s="341"/>
      <c r="B1076" s="339" t="s">
        <v>369</v>
      </c>
      <c r="C1076" s="340">
        <v>2</v>
      </c>
    </row>
    <row r="1077" spans="1:3" x14ac:dyDescent="0.2">
      <c r="A1077" s="341"/>
      <c r="B1077" s="339" t="s">
        <v>342</v>
      </c>
      <c r="C1077" s="340">
        <v>2</v>
      </c>
    </row>
    <row r="1078" spans="1:3" x14ac:dyDescent="0.2">
      <c r="A1078" s="341"/>
      <c r="B1078" s="339" t="s">
        <v>614</v>
      </c>
      <c r="C1078" s="340">
        <v>2</v>
      </c>
    </row>
    <row r="1079" spans="1:3" x14ac:dyDescent="0.2">
      <c r="A1079" s="341"/>
      <c r="B1079" s="339" t="s">
        <v>350</v>
      </c>
      <c r="C1079" s="340">
        <v>1</v>
      </c>
    </row>
    <row r="1080" spans="1:3" x14ac:dyDescent="0.2">
      <c r="A1080" s="341"/>
      <c r="B1080" s="339" t="s">
        <v>404</v>
      </c>
      <c r="C1080" s="340">
        <v>1</v>
      </c>
    </row>
    <row r="1081" spans="1:3" x14ac:dyDescent="0.2">
      <c r="A1081" s="341"/>
      <c r="B1081" s="339" t="s">
        <v>423</v>
      </c>
      <c r="C1081" s="340">
        <v>1</v>
      </c>
    </row>
    <row r="1082" spans="1:3" x14ac:dyDescent="0.2">
      <c r="A1082" s="341"/>
      <c r="B1082" s="339" t="s">
        <v>380</v>
      </c>
      <c r="C1082" s="340">
        <v>1</v>
      </c>
    </row>
    <row r="1083" spans="1:3" x14ac:dyDescent="0.2">
      <c r="A1083" s="341"/>
      <c r="B1083" s="339" t="s">
        <v>370</v>
      </c>
      <c r="C1083" s="340">
        <v>0.5</v>
      </c>
    </row>
    <row r="1084" spans="1:3" x14ac:dyDescent="0.2">
      <c r="A1084" s="341"/>
    </row>
    <row r="1085" spans="1:3" x14ac:dyDescent="0.2">
      <c r="A1085" s="338" t="s">
        <v>2443</v>
      </c>
    </row>
    <row r="1086" spans="1:3" x14ac:dyDescent="0.2">
      <c r="A1086" s="341" t="s">
        <v>916</v>
      </c>
    </row>
    <row r="1087" spans="1:3" x14ac:dyDescent="0.2">
      <c r="A1087" s="341" t="s">
        <v>1127</v>
      </c>
    </row>
    <row r="1088" spans="1:3" x14ac:dyDescent="0.2">
      <c r="A1088" s="341" t="s">
        <v>1333</v>
      </c>
    </row>
    <row r="1089" spans="1:3" x14ac:dyDescent="0.2">
      <c r="A1089" s="341" t="s">
        <v>2516</v>
      </c>
    </row>
    <row r="1090" spans="1:3" x14ac:dyDescent="0.2">
      <c r="A1090" s="341" t="s">
        <v>2444</v>
      </c>
    </row>
    <row r="1091" spans="1:3" x14ac:dyDescent="0.2">
      <c r="A1091" s="341"/>
    </row>
    <row r="1092" spans="1:3" x14ac:dyDescent="0.2">
      <c r="A1092" s="341"/>
      <c r="B1092" s="339" t="s">
        <v>2660</v>
      </c>
      <c r="C1092" s="340">
        <v>20</v>
      </c>
    </row>
    <row r="1093" spans="1:3" x14ac:dyDescent="0.2">
      <c r="A1093" s="341"/>
      <c r="B1093" s="339" t="s">
        <v>380</v>
      </c>
      <c r="C1093" s="340">
        <v>20</v>
      </c>
    </row>
    <row r="1094" spans="1:3" x14ac:dyDescent="0.2">
      <c r="A1094" s="341"/>
      <c r="B1094" s="339" t="s">
        <v>606</v>
      </c>
      <c r="C1094" s="340">
        <v>15</v>
      </c>
    </row>
    <row r="1095" spans="1:3" x14ac:dyDescent="0.2">
      <c r="A1095" s="341"/>
      <c r="B1095" s="339" t="s">
        <v>394</v>
      </c>
      <c r="C1095" s="340">
        <v>8</v>
      </c>
    </row>
    <row r="1096" spans="1:3" x14ac:dyDescent="0.2">
      <c r="A1096" s="341"/>
      <c r="B1096" s="339" t="s">
        <v>398</v>
      </c>
      <c r="C1096" s="340">
        <v>5</v>
      </c>
    </row>
    <row r="1097" spans="1:3" x14ac:dyDescent="0.2">
      <c r="A1097" s="341"/>
      <c r="B1097" s="339" t="s">
        <v>437</v>
      </c>
      <c r="C1097" s="340">
        <v>5</v>
      </c>
    </row>
    <row r="1098" spans="1:3" x14ac:dyDescent="0.2">
      <c r="A1098" s="341"/>
      <c r="B1098" s="339" t="s">
        <v>345</v>
      </c>
      <c r="C1098" s="340">
        <v>5</v>
      </c>
    </row>
    <row r="1099" spans="1:3" x14ac:dyDescent="0.2">
      <c r="A1099" s="341"/>
      <c r="B1099" s="339" t="s">
        <v>341</v>
      </c>
      <c r="C1099" s="340">
        <v>4</v>
      </c>
    </row>
    <row r="1100" spans="1:3" x14ac:dyDescent="0.2">
      <c r="A1100" s="341"/>
      <c r="B1100" s="339" t="s">
        <v>343</v>
      </c>
      <c r="C1100" s="340">
        <v>3</v>
      </c>
    </row>
    <row r="1101" spans="1:3" x14ac:dyDescent="0.2">
      <c r="A1101" s="341"/>
      <c r="B1101" s="339" t="s">
        <v>342</v>
      </c>
      <c r="C1101" s="340">
        <v>3</v>
      </c>
    </row>
    <row r="1102" spans="1:3" x14ac:dyDescent="0.2">
      <c r="A1102" s="341"/>
      <c r="B1102" s="339" t="s">
        <v>2579</v>
      </c>
      <c r="C1102" s="340">
        <v>3</v>
      </c>
    </row>
    <row r="1103" spans="1:3" x14ac:dyDescent="0.2">
      <c r="A1103" s="341"/>
      <c r="B1103" s="339" t="s">
        <v>327</v>
      </c>
      <c r="C1103" s="340">
        <v>3</v>
      </c>
    </row>
    <row r="1104" spans="1:3" x14ac:dyDescent="0.2">
      <c r="A1104" s="341"/>
      <c r="B1104" s="339" t="s">
        <v>432</v>
      </c>
      <c r="C1104" s="340">
        <v>3</v>
      </c>
    </row>
    <row r="1105" spans="1:3" x14ac:dyDescent="0.2">
      <c r="A1105" s="341"/>
      <c r="B1105" s="339" t="s">
        <v>366</v>
      </c>
      <c r="C1105" s="340">
        <v>2</v>
      </c>
    </row>
    <row r="1106" spans="1:3" x14ac:dyDescent="0.2">
      <c r="A1106" s="341"/>
      <c r="B1106" s="339" t="s">
        <v>355</v>
      </c>
      <c r="C1106" s="340">
        <v>2</v>
      </c>
    </row>
    <row r="1107" spans="1:3" x14ac:dyDescent="0.2">
      <c r="A1107" s="341"/>
      <c r="B1107" s="339" t="s">
        <v>425</v>
      </c>
      <c r="C1107" s="340">
        <v>2</v>
      </c>
    </row>
    <row r="1108" spans="1:3" x14ac:dyDescent="0.2">
      <c r="A1108" s="341"/>
      <c r="B1108" s="339" t="s">
        <v>376</v>
      </c>
      <c r="C1108" s="340">
        <v>2</v>
      </c>
    </row>
    <row r="1109" spans="1:3" x14ac:dyDescent="0.2">
      <c r="A1109" s="341"/>
      <c r="B1109" s="339" t="s">
        <v>386</v>
      </c>
      <c r="C1109" s="340">
        <v>2</v>
      </c>
    </row>
    <row r="1110" spans="1:3" x14ac:dyDescent="0.2">
      <c r="A1110" s="341"/>
      <c r="B1110" s="339" t="s">
        <v>354</v>
      </c>
      <c r="C1110" s="340">
        <v>2</v>
      </c>
    </row>
    <row r="1111" spans="1:3" x14ac:dyDescent="0.2">
      <c r="A1111" s="341"/>
      <c r="B1111" s="339" t="s">
        <v>370</v>
      </c>
      <c r="C1111" s="340">
        <v>2</v>
      </c>
    </row>
    <row r="1112" spans="1:3" x14ac:dyDescent="0.2">
      <c r="A1112" s="341"/>
      <c r="B1112" s="339" t="s">
        <v>436</v>
      </c>
      <c r="C1112" s="340">
        <v>2</v>
      </c>
    </row>
    <row r="1113" spans="1:3" x14ac:dyDescent="0.2">
      <c r="A1113" s="341"/>
      <c r="B1113" s="339" t="s">
        <v>350</v>
      </c>
      <c r="C1113" s="340">
        <v>1</v>
      </c>
    </row>
    <row r="1114" spans="1:3" x14ac:dyDescent="0.2">
      <c r="A1114" s="341"/>
      <c r="B1114" s="339" t="s">
        <v>2642</v>
      </c>
      <c r="C1114" s="340">
        <v>1</v>
      </c>
    </row>
    <row r="1115" spans="1:3" x14ac:dyDescent="0.2">
      <c r="A1115" s="341"/>
      <c r="B1115" s="339" t="s">
        <v>2659</v>
      </c>
      <c r="C1115" s="340">
        <v>1</v>
      </c>
    </row>
    <row r="1116" spans="1:3" x14ac:dyDescent="0.2">
      <c r="A1116" s="341"/>
      <c r="B1116" s="339" t="s">
        <v>391</v>
      </c>
      <c r="C1116" s="340">
        <v>1</v>
      </c>
    </row>
    <row r="1117" spans="1:3" x14ac:dyDescent="0.2">
      <c r="A1117" s="341"/>
      <c r="B1117" s="339" t="s">
        <v>613</v>
      </c>
      <c r="C1117" s="340">
        <v>1</v>
      </c>
    </row>
    <row r="1118" spans="1:3" x14ac:dyDescent="0.2">
      <c r="A1118" s="341"/>
      <c r="B1118" s="339" t="s">
        <v>435</v>
      </c>
      <c r="C1118" s="340">
        <v>1</v>
      </c>
    </row>
    <row r="1119" spans="1:3" x14ac:dyDescent="0.2">
      <c r="A1119" s="341"/>
      <c r="B1119" s="339" t="s">
        <v>434</v>
      </c>
      <c r="C1119" s="340">
        <v>0.5</v>
      </c>
    </row>
    <row r="1120" spans="1:3" x14ac:dyDescent="0.2">
      <c r="A1120" s="341"/>
      <c r="B1120" s="339" t="s">
        <v>361</v>
      </c>
      <c r="C1120" s="340">
        <v>0.5</v>
      </c>
    </row>
    <row r="1121" spans="1:3" x14ac:dyDescent="0.2">
      <c r="A1121" s="341"/>
      <c r="B1121" s="339" t="s">
        <v>395</v>
      </c>
      <c r="C1121" s="340">
        <v>0.5</v>
      </c>
    </row>
    <row r="1122" spans="1:3" x14ac:dyDescent="0.2">
      <c r="A1122" s="341"/>
      <c r="B1122" s="339" t="s">
        <v>349</v>
      </c>
      <c r="C1122" s="340">
        <v>0.5</v>
      </c>
    </row>
    <row r="1123" spans="1:3" x14ac:dyDescent="0.2">
      <c r="A1123" s="341"/>
      <c r="B1123" s="339" t="s">
        <v>375</v>
      </c>
      <c r="C1123" s="340">
        <v>0.5</v>
      </c>
    </row>
    <row r="1124" spans="1:3" x14ac:dyDescent="0.2">
      <c r="A1124" s="341"/>
      <c r="B1124" s="339" t="s">
        <v>435</v>
      </c>
      <c r="C1124" s="340">
        <v>0.5</v>
      </c>
    </row>
    <row r="1125" spans="1:3" x14ac:dyDescent="0.2">
      <c r="A1125" s="341"/>
    </row>
    <row r="1126" spans="1:3" x14ac:dyDescent="0.2">
      <c r="A1126" s="338" t="s">
        <v>2445</v>
      </c>
    </row>
    <row r="1127" spans="1:3" x14ac:dyDescent="0.2">
      <c r="A1127" s="341" t="s">
        <v>916</v>
      </c>
    </row>
    <row r="1128" spans="1:3" x14ac:dyDescent="0.2">
      <c r="A1128" s="341" t="s">
        <v>1128</v>
      </c>
    </row>
    <row r="1129" spans="1:3" x14ac:dyDescent="0.2">
      <c r="A1129" s="341" t="s">
        <v>1334</v>
      </c>
    </row>
    <row r="1130" spans="1:3" x14ac:dyDescent="0.2">
      <c r="A1130" s="341" t="s">
        <v>2517</v>
      </c>
    </row>
    <row r="1131" spans="1:3" x14ac:dyDescent="0.2">
      <c r="A1131" s="341" t="s">
        <v>2446</v>
      </c>
    </row>
    <row r="1132" spans="1:3" x14ac:dyDescent="0.2">
      <c r="A1132" s="341"/>
    </row>
    <row r="1133" spans="1:3" x14ac:dyDescent="0.2">
      <c r="A1133" s="341"/>
      <c r="B1133" s="339" t="s">
        <v>586</v>
      </c>
      <c r="C1133" s="340">
        <v>25</v>
      </c>
    </row>
    <row r="1134" spans="1:3" x14ac:dyDescent="0.2">
      <c r="A1134" s="341"/>
      <c r="B1134" s="339" t="s">
        <v>437</v>
      </c>
      <c r="C1134" s="340">
        <v>15</v>
      </c>
    </row>
    <row r="1135" spans="1:3" x14ac:dyDescent="0.2">
      <c r="A1135" s="341"/>
      <c r="B1135" s="339" t="s">
        <v>2661</v>
      </c>
      <c r="C1135" s="340">
        <v>15</v>
      </c>
    </row>
    <row r="1136" spans="1:3" x14ac:dyDescent="0.2">
      <c r="A1136" s="341"/>
      <c r="B1136" s="339" t="s">
        <v>347</v>
      </c>
      <c r="C1136" s="340">
        <v>13</v>
      </c>
    </row>
    <row r="1137" spans="1:3" x14ac:dyDescent="0.2">
      <c r="A1137" s="341"/>
      <c r="B1137" s="339" t="s">
        <v>402</v>
      </c>
      <c r="C1137" s="340">
        <v>8</v>
      </c>
    </row>
    <row r="1138" spans="1:3" x14ac:dyDescent="0.2">
      <c r="A1138" s="341"/>
      <c r="B1138" s="339" t="s">
        <v>2642</v>
      </c>
      <c r="C1138" s="340">
        <v>7</v>
      </c>
    </row>
    <row r="1139" spans="1:3" x14ac:dyDescent="0.2">
      <c r="A1139" s="341"/>
      <c r="B1139" s="339" t="s">
        <v>391</v>
      </c>
      <c r="C1139" s="340">
        <v>6</v>
      </c>
    </row>
    <row r="1140" spans="1:3" x14ac:dyDescent="0.2">
      <c r="A1140" s="341"/>
      <c r="B1140" s="339" t="s">
        <v>368</v>
      </c>
      <c r="C1140" s="340">
        <v>6</v>
      </c>
    </row>
    <row r="1141" spans="1:3" x14ac:dyDescent="0.2">
      <c r="A1141" s="341"/>
      <c r="B1141" s="339" t="s">
        <v>2601</v>
      </c>
      <c r="C1141" s="340">
        <v>6</v>
      </c>
    </row>
    <row r="1142" spans="1:3" x14ac:dyDescent="0.2">
      <c r="A1142" s="341"/>
      <c r="B1142" s="339" t="s">
        <v>399</v>
      </c>
      <c r="C1142" s="340">
        <v>5</v>
      </c>
    </row>
    <row r="1143" spans="1:3" x14ac:dyDescent="0.2">
      <c r="A1143" s="341"/>
      <c r="B1143" s="339" t="s">
        <v>582</v>
      </c>
      <c r="C1143" s="340">
        <v>5</v>
      </c>
    </row>
    <row r="1144" spans="1:3" x14ac:dyDescent="0.2">
      <c r="A1144" s="341"/>
      <c r="B1144" s="339" t="s">
        <v>350</v>
      </c>
      <c r="C1144" s="340">
        <v>4</v>
      </c>
    </row>
    <row r="1145" spans="1:3" x14ac:dyDescent="0.2">
      <c r="A1145" s="341"/>
      <c r="B1145" s="339" t="s">
        <v>376</v>
      </c>
      <c r="C1145" s="340">
        <v>4</v>
      </c>
    </row>
    <row r="1146" spans="1:3" x14ac:dyDescent="0.2">
      <c r="A1146" s="341"/>
      <c r="B1146" s="339" t="s">
        <v>441</v>
      </c>
      <c r="C1146" s="340">
        <v>4</v>
      </c>
    </row>
    <row r="1147" spans="1:3" x14ac:dyDescent="0.2">
      <c r="A1147" s="341"/>
      <c r="B1147" s="339" t="s">
        <v>344</v>
      </c>
      <c r="C1147" s="340">
        <v>4</v>
      </c>
    </row>
    <row r="1148" spans="1:3" x14ac:dyDescent="0.2">
      <c r="A1148" s="341"/>
      <c r="B1148" s="339" t="s">
        <v>426</v>
      </c>
      <c r="C1148" s="340">
        <v>3</v>
      </c>
    </row>
    <row r="1149" spans="1:3" x14ac:dyDescent="0.2">
      <c r="A1149" s="341"/>
      <c r="B1149" s="339" t="s">
        <v>346</v>
      </c>
      <c r="C1149" s="340">
        <v>3</v>
      </c>
    </row>
    <row r="1150" spans="1:3" x14ac:dyDescent="0.2">
      <c r="A1150" s="341"/>
      <c r="B1150" s="339" t="s">
        <v>583</v>
      </c>
      <c r="C1150" s="340">
        <v>3</v>
      </c>
    </row>
    <row r="1151" spans="1:3" x14ac:dyDescent="0.2">
      <c r="A1151" s="341"/>
      <c r="B1151" s="339" t="s">
        <v>451</v>
      </c>
      <c r="C1151" s="340">
        <v>3</v>
      </c>
    </row>
    <row r="1152" spans="1:3" x14ac:dyDescent="0.2">
      <c r="A1152" s="341"/>
      <c r="B1152" s="339" t="s">
        <v>403</v>
      </c>
      <c r="C1152" s="340">
        <v>2</v>
      </c>
    </row>
    <row r="1153" spans="1:3" x14ac:dyDescent="0.2">
      <c r="A1153" s="341"/>
      <c r="B1153" s="339" t="s">
        <v>400</v>
      </c>
      <c r="C1153" s="340">
        <v>2</v>
      </c>
    </row>
    <row r="1154" spans="1:3" x14ac:dyDescent="0.2">
      <c r="A1154" s="341"/>
      <c r="B1154" s="339" t="s">
        <v>2636</v>
      </c>
      <c r="C1154" s="340">
        <v>2</v>
      </c>
    </row>
    <row r="1155" spans="1:3" x14ac:dyDescent="0.2">
      <c r="A1155" s="341"/>
      <c r="B1155" s="339" t="s">
        <v>342</v>
      </c>
      <c r="C1155" s="340">
        <v>2</v>
      </c>
    </row>
    <row r="1156" spans="1:3" x14ac:dyDescent="0.2">
      <c r="A1156" s="341"/>
      <c r="B1156" s="339" t="s">
        <v>404</v>
      </c>
      <c r="C1156" s="340">
        <v>2</v>
      </c>
    </row>
    <row r="1157" spans="1:3" x14ac:dyDescent="0.2">
      <c r="A1157" s="341"/>
      <c r="B1157" s="339" t="s">
        <v>386</v>
      </c>
      <c r="C1157" s="340">
        <v>2</v>
      </c>
    </row>
    <row r="1158" spans="1:3" x14ac:dyDescent="0.2">
      <c r="A1158" s="341"/>
      <c r="B1158" s="339" t="s">
        <v>440</v>
      </c>
      <c r="C1158" s="340">
        <v>2</v>
      </c>
    </row>
    <row r="1159" spans="1:3" x14ac:dyDescent="0.2">
      <c r="A1159" s="341"/>
      <c r="B1159" s="339" t="s">
        <v>443</v>
      </c>
      <c r="C1159" s="340">
        <v>2</v>
      </c>
    </row>
    <row r="1160" spans="1:3" x14ac:dyDescent="0.2">
      <c r="A1160" s="341"/>
      <c r="B1160" s="339" t="s">
        <v>349</v>
      </c>
      <c r="C1160" s="340">
        <v>2</v>
      </c>
    </row>
    <row r="1161" spans="1:3" x14ac:dyDescent="0.2">
      <c r="A1161" s="341"/>
      <c r="B1161" s="339" t="s">
        <v>432</v>
      </c>
      <c r="C1161" s="340">
        <v>2</v>
      </c>
    </row>
    <row r="1162" spans="1:3" x14ac:dyDescent="0.2">
      <c r="A1162" s="341"/>
      <c r="B1162" s="339" t="s">
        <v>364</v>
      </c>
      <c r="C1162" s="340">
        <v>2</v>
      </c>
    </row>
    <row r="1163" spans="1:3" x14ac:dyDescent="0.2">
      <c r="A1163" s="341"/>
      <c r="B1163" s="339" t="s">
        <v>442</v>
      </c>
      <c r="C1163" s="340">
        <v>2</v>
      </c>
    </row>
    <row r="1164" spans="1:3" x14ac:dyDescent="0.2">
      <c r="A1164" s="341"/>
      <c r="B1164" s="339" t="s">
        <v>410</v>
      </c>
      <c r="C1164" s="340">
        <v>2</v>
      </c>
    </row>
    <row r="1165" spans="1:3" x14ac:dyDescent="0.2">
      <c r="A1165" s="341"/>
      <c r="B1165" s="339" t="s">
        <v>2579</v>
      </c>
      <c r="C1165" s="340">
        <v>1</v>
      </c>
    </row>
    <row r="1166" spans="1:3" x14ac:dyDescent="0.2">
      <c r="A1166" s="341"/>
      <c r="B1166" s="339" t="s">
        <v>2570</v>
      </c>
      <c r="C1166" s="340">
        <v>1</v>
      </c>
    </row>
    <row r="1167" spans="1:3" x14ac:dyDescent="0.2">
      <c r="A1167" s="341"/>
      <c r="B1167" s="339" t="s">
        <v>366</v>
      </c>
      <c r="C1167" s="340">
        <v>0.5</v>
      </c>
    </row>
    <row r="1168" spans="1:3" x14ac:dyDescent="0.2">
      <c r="A1168" s="341"/>
      <c r="B1168" s="339" t="s">
        <v>2649</v>
      </c>
      <c r="C1168" s="340">
        <v>0.5</v>
      </c>
    </row>
    <row r="1169" spans="1:3" x14ac:dyDescent="0.2">
      <c r="A1169" s="341"/>
      <c r="B1169" s="339" t="s">
        <v>438</v>
      </c>
      <c r="C1169" s="340">
        <v>0.5</v>
      </c>
    </row>
    <row r="1170" spans="1:3" x14ac:dyDescent="0.2">
      <c r="A1170" s="341"/>
      <c r="B1170" s="339" t="s">
        <v>439</v>
      </c>
      <c r="C1170" s="340">
        <v>0.5</v>
      </c>
    </row>
    <row r="1171" spans="1:3" x14ac:dyDescent="0.2">
      <c r="A1171" s="341"/>
      <c r="B1171" s="339" t="s">
        <v>450</v>
      </c>
      <c r="C1171" s="340">
        <v>0.5</v>
      </c>
    </row>
    <row r="1172" spans="1:3" x14ac:dyDescent="0.2">
      <c r="A1172" s="341"/>
      <c r="B1172" s="339" t="s">
        <v>372</v>
      </c>
      <c r="C1172" s="340">
        <v>0.5</v>
      </c>
    </row>
    <row r="1173" spans="1:3" x14ac:dyDescent="0.2">
      <c r="A1173" s="341"/>
    </row>
    <row r="1174" spans="1:3" x14ac:dyDescent="0.2">
      <c r="A1174" s="338" t="s">
        <v>2447</v>
      </c>
    </row>
    <row r="1175" spans="1:3" x14ac:dyDescent="0.2">
      <c r="A1175" s="341" t="s">
        <v>917</v>
      </c>
    </row>
    <row r="1176" spans="1:3" x14ac:dyDescent="0.2">
      <c r="A1176" s="341" t="s">
        <v>1129</v>
      </c>
    </row>
    <row r="1177" spans="1:3" x14ac:dyDescent="0.2">
      <c r="A1177" s="341" t="s">
        <v>1335</v>
      </c>
    </row>
    <row r="1178" spans="1:3" x14ac:dyDescent="0.2">
      <c r="A1178" s="341" t="s">
        <v>2518</v>
      </c>
    </row>
    <row r="1179" spans="1:3" x14ac:dyDescent="0.2">
      <c r="A1179" s="341" t="s">
        <v>2448</v>
      </c>
    </row>
    <row r="1180" spans="1:3" x14ac:dyDescent="0.2">
      <c r="A1180" s="341"/>
    </row>
    <row r="1181" spans="1:3" x14ac:dyDescent="0.2">
      <c r="A1181" s="341"/>
      <c r="B1181" s="339" t="s">
        <v>376</v>
      </c>
      <c r="C1181" s="340">
        <v>25</v>
      </c>
    </row>
    <row r="1182" spans="1:3" x14ac:dyDescent="0.2">
      <c r="A1182" s="341"/>
      <c r="B1182" s="339" t="s">
        <v>342</v>
      </c>
      <c r="C1182" s="340">
        <v>15</v>
      </c>
    </row>
    <row r="1183" spans="1:3" x14ac:dyDescent="0.2">
      <c r="A1183" s="341"/>
      <c r="B1183" s="339" t="s">
        <v>364</v>
      </c>
      <c r="C1183" s="340">
        <v>15</v>
      </c>
    </row>
    <row r="1184" spans="1:3" x14ac:dyDescent="0.2">
      <c r="A1184" s="341"/>
      <c r="B1184" s="339" t="s">
        <v>394</v>
      </c>
      <c r="C1184" s="340">
        <v>14</v>
      </c>
    </row>
    <row r="1185" spans="1:3" x14ac:dyDescent="0.2">
      <c r="A1185" s="341"/>
      <c r="B1185" s="339" t="s">
        <v>341</v>
      </c>
      <c r="C1185" s="340">
        <v>8</v>
      </c>
    </row>
    <row r="1186" spans="1:3" x14ac:dyDescent="0.2">
      <c r="A1186" s="341"/>
      <c r="B1186" s="339" t="s">
        <v>395</v>
      </c>
      <c r="C1186" s="340">
        <v>6</v>
      </c>
    </row>
    <row r="1187" spans="1:3" x14ac:dyDescent="0.2">
      <c r="A1187" s="341"/>
      <c r="B1187" s="339" t="s">
        <v>444</v>
      </c>
      <c r="C1187" s="340">
        <v>5</v>
      </c>
    </row>
    <row r="1188" spans="1:3" x14ac:dyDescent="0.2">
      <c r="A1188" s="341"/>
      <c r="B1188" s="339" t="s">
        <v>349</v>
      </c>
      <c r="C1188" s="340">
        <v>4</v>
      </c>
    </row>
    <row r="1189" spans="1:3" x14ac:dyDescent="0.2">
      <c r="A1189" s="341"/>
      <c r="B1189" s="339" t="s">
        <v>375</v>
      </c>
      <c r="C1189" s="340">
        <v>4</v>
      </c>
    </row>
    <row r="1190" spans="1:3" x14ac:dyDescent="0.2">
      <c r="A1190" s="341"/>
      <c r="B1190" s="339" t="s">
        <v>437</v>
      </c>
      <c r="C1190" s="340">
        <v>2</v>
      </c>
    </row>
    <row r="1191" spans="1:3" x14ac:dyDescent="0.2">
      <c r="A1191" s="341"/>
      <c r="B1191" s="339" t="s">
        <v>2579</v>
      </c>
      <c r="C1191" s="340">
        <v>2</v>
      </c>
    </row>
    <row r="1192" spans="1:3" x14ac:dyDescent="0.2">
      <c r="A1192" s="341"/>
      <c r="B1192" s="339" t="s">
        <v>445</v>
      </c>
      <c r="C1192" s="340">
        <v>1</v>
      </c>
    </row>
    <row r="1193" spans="1:3" x14ac:dyDescent="0.2">
      <c r="A1193" s="341"/>
      <c r="B1193" s="339" t="s">
        <v>402</v>
      </c>
      <c r="C1193" s="340">
        <v>0.5</v>
      </c>
    </row>
    <row r="1194" spans="1:3" x14ac:dyDescent="0.2">
      <c r="A1194" s="341"/>
      <c r="B1194" s="339" t="s">
        <v>583</v>
      </c>
      <c r="C1194" s="340">
        <v>0.5</v>
      </c>
    </row>
    <row r="1195" spans="1:3" x14ac:dyDescent="0.2">
      <c r="A1195" s="341"/>
      <c r="B1195" s="339" t="s">
        <v>423</v>
      </c>
      <c r="C1195" s="340">
        <v>0.5</v>
      </c>
    </row>
    <row r="1196" spans="1:3" x14ac:dyDescent="0.2">
      <c r="A1196" s="341"/>
      <c r="B1196" s="339" t="s">
        <v>354</v>
      </c>
      <c r="C1196" s="340">
        <v>0.5</v>
      </c>
    </row>
    <row r="1197" spans="1:3" x14ac:dyDescent="0.2">
      <c r="A1197" s="341"/>
      <c r="B1197" s="339" t="s">
        <v>432</v>
      </c>
      <c r="C1197" s="340">
        <v>0.5</v>
      </c>
    </row>
    <row r="1198" spans="1:3" x14ac:dyDescent="0.2">
      <c r="A1198" s="341"/>
    </row>
    <row r="1199" spans="1:3" x14ac:dyDescent="0.2">
      <c r="A1199" s="338" t="s">
        <v>2449</v>
      </c>
    </row>
    <row r="1200" spans="1:3" x14ac:dyDescent="0.2">
      <c r="A1200" s="341" t="s">
        <v>918</v>
      </c>
    </row>
    <row r="1201" spans="1:3" x14ac:dyDescent="0.2">
      <c r="A1201" s="341" t="s">
        <v>1130</v>
      </c>
    </row>
    <row r="1202" spans="1:3" x14ac:dyDescent="0.2">
      <c r="A1202" s="341" t="s">
        <v>1336</v>
      </c>
    </row>
    <row r="1203" spans="1:3" x14ac:dyDescent="0.2">
      <c r="A1203" s="341" t="s">
        <v>2509</v>
      </c>
    </row>
    <row r="1204" spans="1:3" x14ac:dyDescent="0.2">
      <c r="A1204" s="341" t="s">
        <v>2450</v>
      </c>
    </row>
    <row r="1205" spans="1:3" x14ac:dyDescent="0.2">
      <c r="A1205" s="341"/>
    </row>
    <row r="1206" spans="1:3" x14ac:dyDescent="0.2">
      <c r="A1206" s="341"/>
      <c r="B1206" s="339" t="s">
        <v>445</v>
      </c>
      <c r="C1206" s="340">
        <v>65</v>
      </c>
    </row>
    <row r="1207" spans="1:3" x14ac:dyDescent="0.2">
      <c r="A1207" s="341"/>
      <c r="B1207" s="339" t="s">
        <v>360</v>
      </c>
      <c r="C1207" s="340">
        <v>6</v>
      </c>
    </row>
    <row r="1208" spans="1:3" x14ac:dyDescent="0.2">
      <c r="A1208" s="341"/>
      <c r="B1208" s="339" t="s">
        <v>395</v>
      </c>
      <c r="C1208" s="340">
        <v>5</v>
      </c>
    </row>
    <row r="1209" spans="1:3" x14ac:dyDescent="0.2">
      <c r="A1209" s="341"/>
      <c r="B1209" s="339" t="s">
        <v>394</v>
      </c>
      <c r="C1209" s="340">
        <v>5</v>
      </c>
    </row>
    <row r="1210" spans="1:3" x14ac:dyDescent="0.2">
      <c r="A1210" s="341"/>
      <c r="B1210" s="339" t="s">
        <v>2573</v>
      </c>
      <c r="C1210" s="340">
        <v>2</v>
      </c>
    </row>
    <row r="1211" spans="1:3" x14ac:dyDescent="0.2">
      <c r="A1211" s="341"/>
      <c r="B1211" s="339" t="s">
        <v>403</v>
      </c>
      <c r="C1211" s="340">
        <v>2</v>
      </c>
    </row>
    <row r="1212" spans="1:3" x14ac:dyDescent="0.2">
      <c r="A1212" s="341"/>
      <c r="B1212" s="339" t="s">
        <v>355</v>
      </c>
      <c r="C1212" s="340">
        <v>2</v>
      </c>
    </row>
    <row r="1213" spans="1:3" x14ac:dyDescent="0.2">
      <c r="A1213" s="341"/>
      <c r="B1213" s="339" t="s">
        <v>2639</v>
      </c>
      <c r="C1213" s="340">
        <v>2</v>
      </c>
    </row>
    <row r="1214" spans="1:3" x14ac:dyDescent="0.2">
      <c r="A1214" s="341"/>
      <c r="B1214" s="339" t="s">
        <v>345</v>
      </c>
      <c r="C1214" s="340">
        <v>2</v>
      </c>
    </row>
    <row r="1215" spans="1:3" x14ac:dyDescent="0.2">
      <c r="A1215" s="341"/>
      <c r="B1215" s="339" t="s">
        <v>358</v>
      </c>
      <c r="C1215" s="340">
        <v>2</v>
      </c>
    </row>
    <row r="1216" spans="1:3" x14ac:dyDescent="0.2">
      <c r="A1216" s="341"/>
      <c r="B1216" s="339" t="s">
        <v>364</v>
      </c>
      <c r="C1216" s="340">
        <v>2</v>
      </c>
    </row>
    <row r="1217" spans="1:3" x14ac:dyDescent="0.2">
      <c r="A1217" s="341"/>
      <c r="B1217" s="339" t="s">
        <v>446</v>
      </c>
      <c r="C1217" s="340">
        <v>2</v>
      </c>
    </row>
    <row r="1218" spans="1:3" x14ac:dyDescent="0.2">
      <c r="A1218" s="341"/>
      <c r="B1218" s="339" t="s">
        <v>350</v>
      </c>
      <c r="C1218" s="340">
        <v>0.5</v>
      </c>
    </row>
    <row r="1219" spans="1:3" x14ac:dyDescent="0.2">
      <c r="A1219" s="341"/>
      <c r="B1219" s="339" t="s">
        <v>369</v>
      </c>
      <c r="C1219" s="340">
        <v>0.5</v>
      </c>
    </row>
    <row r="1220" spans="1:3" x14ac:dyDescent="0.2">
      <c r="A1220" s="341"/>
      <c r="B1220" s="339" t="s">
        <v>2636</v>
      </c>
      <c r="C1220" s="340">
        <v>0.5</v>
      </c>
    </row>
    <row r="1221" spans="1:3" x14ac:dyDescent="0.2">
      <c r="A1221" s="341"/>
      <c r="B1221" s="339" t="s">
        <v>2660</v>
      </c>
      <c r="C1221" s="340">
        <v>0.5</v>
      </c>
    </row>
    <row r="1222" spans="1:3" x14ac:dyDescent="0.2">
      <c r="A1222" s="341"/>
      <c r="B1222" s="339" t="s">
        <v>2583</v>
      </c>
      <c r="C1222" s="340">
        <v>0.5</v>
      </c>
    </row>
    <row r="1223" spans="1:3" x14ac:dyDescent="0.2">
      <c r="A1223" s="341"/>
      <c r="B1223" s="339" t="s">
        <v>349</v>
      </c>
      <c r="C1223" s="340">
        <v>0.5</v>
      </c>
    </row>
    <row r="1224" spans="1:3" x14ac:dyDescent="0.2">
      <c r="A1224" s="341"/>
      <c r="B1224" s="339" t="s">
        <v>447</v>
      </c>
      <c r="C1224" s="340">
        <v>0.5</v>
      </c>
    </row>
    <row r="1225" spans="1:3" x14ac:dyDescent="0.2">
      <c r="A1225" s="341"/>
    </row>
    <row r="1226" spans="1:3" x14ac:dyDescent="0.2">
      <c r="A1226" s="338" t="s">
        <v>2451</v>
      </c>
    </row>
    <row r="1227" spans="1:3" x14ac:dyDescent="0.2">
      <c r="A1227" s="341" t="s">
        <v>919</v>
      </c>
    </row>
    <row r="1228" spans="1:3" x14ac:dyDescent="0.2">
      <c r="A1228" s="341" t="s">
        <v>1131</v>
      </c>
    </row>
    <row r="1229" spans="1:3" x14ac:dyDescent="0.2">
      <c r="A1229" s="341" t="s">
        <v>1337</v>
      </c>
    </row>
    <row r="1230" spans="1:3" x14ac:dyDescent="0.2">
      <c r="A1230" s="341" t="s">
        <v>2519</v>
      </c>
    </row>
    <row r="1231" spans="1:3" x14ac:dyDescent="0.2">
      <c r="A1231" s="341" t="s">
        <v>2452</v>
      </c>
    </row>
    <row r="1232" spans="1:3" x14ac:dyDescent="0.2">
      <c r="A1232" s="341"/>
    </row>
    <row r="1233" spans="1:3" x14ac:dyDescent="0.2">
      <c r="A1233" s="341"/>
      <c r="B1233" s="339" t="s">
        <v>398</v>
      </c>
      <c r="C1233" s="340">
        <v>45</v>
      </c>
    </row>
    <row r="1234" spans="1:3" x14ac:dyDescent="0.2">
      <c r="A1234" s="341"/>
      <c r="B1234" s="339" t="s">
        <v>400</v>
      </c>
      <c r="C1234" s="340">
        <v>15</v>
      </c>
    </row>
    <row r="1235" spans="1:3" x14ac:dyDescent="0.2">
      <c r="A1235" s="341"/>
      <c r="B1235" s="339" t="s">
        <v>402</v>
      </c>
      <c r="C1235" s="340">
        <v>6</v>
      </c>
    </row>
    <row r="1236" spans="1:3" x14ac:dyDescent="0.2">
      <c r="A1236" s="341"/>
      <c r="B1236" s="339" t="s">
        <v>2661</v>
      </c>
      <c r="C1236" s="340">
        <v>4</v>
      </c>
    </row>
    <row r="1237" spans="1:3" x14ac:dyDescent="0.2">
      <c r="A1237" s="341"/>
      <c r="B1237" s="339" t="s">
        <v>355</v>
      </c>
      <c r="C1237" s="340">
        <v>3</v>
      </c>
    </row>
    <row r="1238" spans="1:3" x14ac:dyDescent="0.2">
      <c r="A1238" s="341"/>
      <c r="B1238" s="339" t="s">
        <v>449</v>
      </c>
      <c r="C1238" s="340">
        <v>3</v>
      </c>
    </row>
    <row r="1239" spans="1:3" x14ac:dyDescent="0.2">
      <c r="A1239" s="341"/>
      <c r="B1239" s="339" t="s">
        <v>403</v>
      </c>
      <c r="C1239" s="340">
        <v>2</v>
      </c>
    </row>
    <row r="1240" spans="1:3" x14ac:dyDescent="0.2">
      <c r="A1240" s="341"/>
      <c r="B1240" s="339" t="s">
        <v>2642</v>
      </c>
      <c r="C1240" s="340">
        <v>2</v>
      </c>
    </row>
    <row r="1241" spans="1:3" x14ac:dyDescent="0.2">
      <c r="A1241" s="341"/>
      <c r="B1241" s="339" t="s">
        <v>2662</v>
      </c>
      <c r="C1241" s="340">
        <v>2</v>
      </c>
    </row>
    <row r="1242" spans="1:3" x14ac:dyDescent="0.2">
      <c r="A1242" s="341"/>
      <c r="B1242" s="339" t="s">
        <v>448</v>
      </c>
      <c r="C1242" s="340">
        <v>2</v>
      </c>
    </row>
    <row r="1243" spans="1:3" x14ac:dyDescent="0.2">
      <c r="A1243" s="341"/>
      <c r="B1243" s="339" t="s">
        <v>2641</v>
      </c>
      <c r="C1243" s="340">
        <v>1</v>
      </c>
    </row>
    <row r="1244" spans="1:3" x14ac:dyDescent="0.2">
      <c r="A1244" s="341"/>
      <c r="B1244" s="339" t="s">
        <v>366</v>
      </c>
      <c r="C1244" s="340">
        <v>1</v>
      </c>
    </row>
    <row r="1245" spans="1:3" x14ac:dyDescent="0.2">
      <c r="A1245" s="341"/>
      <c r="B1245" s="339" t="s">
        <v>376</v>
      </c>
      <c r="C1245" s="340">
        <v>1</v>
      </c>
    </row>
    <row r="1246" spans="1:3" x14ac:dyDescent="0.2">
      <c r="A1246" s="341"/>
      <c r="B1246" s="339" t="s">
        <v>349</v>
      </c>
      <c r="C1246" s="340">
        <v>1</v>
      </c>
    </row>
    <row r="1247" spans="1:3" x14ac:dyDescent="0.2">
      <c r="A1247" s="341"/>
      <c r="B1247" s="339" t="s">
        <v>348</v>
      </c>
      <c r="C1247" s="340">
        <v>1</v>
      </c>
    </row>
    <row r="1248" spans="1:3" x14ac:dyDescent="0.2">
      <c r="A1248" s="341"/>
      <c r="B1248" s="339" t="s">
        <v>445</v>
      </c>
      <c r="C1248" s="340">
        <v>1</v>
      </c>
    </row>
    <row r="1249" spans="1:3" x14ac:dyDescent="0.2">
      <c r="A1249" s="341"/>
      <c r="B1249" s="339" t="s">
        <v>364</v>
      </c>
      <c r="C1249" s="340">
        <v>1</v>
      </c>
    </row>
    <row r="1250" spans="1:3" x14ac:dyDescent="0.2">
      <c r="A1250" s="341"/>
      <c r="B1250" s="339" t="s">
        <v>451</v>
      </c>
      <c r="C1250" s="340">
        <v>1</v>
      </c>
    </row>
    <row r="1251" spans="1:3" x14ac:dyDescent="0.2">
      <c r="A1251" s="341"/>
      <c r="B1251" s="339" t="s">
        <v>433</v>
      </c>
      <c r="C1251" s="340">
        <v>0.5</v>
      </c>
    </row>
    <row r="1252" spans="1:3" x14ac:dyDescent="0.2">
      <c r="A1252" s="341"/>
      <c r="B1252" s="339" t="s">
        <v>440</v>
      </c>
      <c r="C1252" s="340">
        <v>0.5</v>
      </c>
    </row>
    <row r="1253" spans="1:3" x14ac:dyDescent="0.2">
      <c r="A1253" s="341"/>
      <c r="B1253" s="339" t="s">
        <v>396</v>
      </c>
      <c r="C1253" s="340">
        <v>0.5</v>
      </c>
    </row>
    <row r="1254" spans="1:3" x14ac:dyDescent="0.2">
      <c r="A1254" s="341"/>
      <c r="B1254" s="339" t="s">
        <v>450</v>
      </c>
      <c r="C1254" s="340">
        <v>0.5</v>
      </c>
    </row>
    <row r="1255" spans="1:3" x14ac:dyDescent="0.2">
      <c r="A1255" s="341"/>
    </row>
    <row r="1256" spans="1:3" x14ac:dyDescent="0.2">
      <c r="A1256" s="338" t="s">
        <v>2453</v>
      </c>
    </row>
    <row r="1257" spans="1:3" x14ac:dyDescent="0.2">
      <c r="A1257" s="341" t="s">
        <v>919</v>
      </c>
    </row>
    <row r="1258" spans="1:3" x14ac:dyDescent="0.2">
      <c r="A1258" s="341" t="s">
        <v>1132</v>
      </c>
    </row>
    <row r="1259" spans="1:3" x14ac:dyDescent="0.2">
      <c r="A1259" s="341" t="s">
        <v>1338</v>
      </c>
    </row>
    <row r="1260" spans="1:3" x14ac:dyDescent="0.2">
      <c r="A1260" s="341" t="s">
        <v>2520</v>
      </c>
    </row>
    <row r="1261" spans="1:3" x14ac:dyDescent="0.2">
      <c r="A1261" s="341" t="s">
        <v>2454</v>
      </c>
    </row>
    <row r="1262" spans="1:3" x14ac:dyDescent="0.2">
      <c r="A1262" s="341"/>
    </row>
    <row r="1263" spans="1:3" x14ac:dyDescent="0.2">
      <c r="A1263" s="341"/>
      <c r="B1263" s="339" t="s">
        <v>398</v>
      </c>
      <c r="C1263" s="340">
        <v>40</v>
      </c>
    </row>
    <row r="1264" spans="1:3" x14ac:dyDescent="0.2">
      <c r="A1264" s="341"/>
      <c r="B1264" s="339" t="s">
        <v>400</v>
      </c>
      <c r="C1264" s="340">
        <v>10</v>
      </c>
    </row>
    <row r="1265" spans="1:3" x14ac:dyDescent="0.2">
      <c r="A1265" s="341"/>
      <c r="B1265" s="339" t="s">
        <v>364</v>
      </c>
      <c r="C1265" s="340">
        <v>10</v>
      </c>
    </row>
    <row r="1266" spans="1:3" x14ac:dyDescent="0.2">
      <c r="A1266" s="341"/>
      <c r="B1266" s="339" t="s">
        <v>2566</v>
      </c>
      <c r="C1266" s="340">
        <v>8</v>
      </c>
    </row>
    <row r="1267" spans="1:3" x14ac:dyDescent="0.2">
      <c r="A1267" s="341"/>
      <c r="B1267" s="339" t="s">
        <v>2649</v>
      </c>
      <c r="C1267" s="340">
        <v>4</v>
      </c>
    </row>
    <row r="1268" spans="1:3" x14ac:dyDescent="0.2">
      <c r="A1268" s="341"/>
      <c r="B1268" s="339" t="s">
        <v>2661</v>
      </c>
      <c r="C1268" s="340">
        <v>4</v>
      </c>
    </row>
    <row r="1269" spans="1:3" x14ac:dyDescent="0.2">
      <c r="A1269" s="341"/>
      <c r="B1269" s="339" t="s">
        <v>2641</v>
      </c>
      <c r="C1269" s="340">
        <v>3</v>
      </c>
    </row>
    <row r="1270" spans="1:3" x14ac:dyDescent="0.2">
      <c r="A1270" s="341"/>
      <c r="B1270" s="339" t="s">
        <v>2573</v>
      </c>
      <c r="C1270" s="340">
        <v>3</v>
      </c>
    </row>
    <row r="1271" spans="1:3" x14ac:dyDescent="0.2">
      <c r="A1271" s="341"/>
      <c r="B1271" s="339" t="s">
        <v>2642</v>
      </c>
      <c r="C1271" s="340">
        <v>3</v>
      </c>
    </row>
    <row r="1272" spans="1:3" x14ac:dyDescent="0.2">
      <c r="A1272" s="341"/>
      <c r="B1272" s="339" t="s">
        <v>399</v>
      </c>
      <c r="C1272" s="340">
        <v>2</v>
      </c>
    </row>
    <row r="1273" spans="1:3" x14ac:dyDescent="0.2">
      <c r="A1273" s="341"/>
      <c r="B1273" s="339" t="s">
        <v>355</v>
      </c>
      <c r="C1273" s="340">
        <v>2</v>
      </c>
    </row>
    <row r="1274" spans="1:3" x14ac:dyDescent="0.2">
      <c r="A1274" s="341"/>
      <c r="B1274" s="339" t="s">
        <v>360</v>
      </c>
      <c r="C1274" s="340">
        <v>2</v>
      </c>
    </row>
    <row r="1275" spans="1:3" x14ac:dyDescent="0.2">
      <c r="A1275" s="341"/>
      <c r="B1275" s="339" t="s">
        <v>370</v>
      </c>
      <c r="C1275" s="340">
        <v>2</v>
      </c>
    </row>
    <row r="1276" spans="1:3" x14ac:dyDescent="0.2">
      <c r="A1276" s="341"/>
      <c r="B1276" s="339" t="s">
        <v>451</v>
      </c>
      <c r="C1276" s="340">
        <v>2</v>
      </c>
    </row>
    <row r="1277" spans="1:3" x14ac:dyDescent="0.2">
      <c r="A1277" s="341"/>
      <c r="B1277" s="339" t="s">
        <v>350</v>
      </c>
      <c r="C1277" s="340">
        <v>1</v>
      </c>
    </row>
    <row r="1278" spans="1:3" x14ac:dyDescent="0.2">
      <c r="A1278" s="341"/>
      <c r="B1278" s="339" t="s">
        <v>402</v>
      </c>
      <c r="C1278" s="340">
        <v>1</v>
      </c>
    </row>
    <row r="1279" spans="1:3" x14ac:dyDescent="0.2">
      <c r="A1279" s="341"/>
      <c r="B1279" s="339" t="s">
        <v>440</v>
      </c>
      <c r="C1279" s="340">
        <v>1</v>
      </c>
    </row>
    <row r="1280" spans="1:3" x14ac:dyDescent="0.2">
      <c r="A1280" s="341"/>
      <c r="B1280" s="339" t="s">
        <v>345</v>
      </c>
      <c r="C1280" s="340">
        <v>1</v>
      </c>
    </row>
    <row r="1281" spans="1:3" x14ac:dyDescent="0.2">
      <c r="A1281" s="341"/>
      <c r="B1281" s="339" t="s">
        <v>348</v>
      </c>
      <c r="C1281" s="340">
        <v>1</v>
      </c>
    </row>
    <row r="1282" spans="1:3" x14ac:dyDescent="0.2">
      <c r="A1282" s="341"/>
      <c r="B1282" s="339" t="s">
        <v>369</v>
      </c>
      <c r="C1282" s="340">
        <v>0.5</v>
      </c>
    </row>
    <row r="1283" spans="1:3" x14ac:dyDescent="0.2">
      <c r="A1283" s="341"/>
      <c r="B1283" s="339" t="s">
        <v>452</v>
      </c>
      <c r="C1283" s="340">
        <v>0.5</v>
      </c>
    </row>
    <row r="1284" spans="1:3" x14ac:dyDescent="0.2">
      <c r="A1284" s="341"/>
      <c r="B1284" s="339" t="s">
        <v>349</v>
      </c>
      <c r="C1284" s="340">
        <v>0.5</v>
      </c>
    </row>
    <row r="1285" spans="1:3" x14ac:dyDescent="0.2">
      <c r="A1285" s="341"/>
      <c r="B1285" s="339" t="s">
        <v>380</v>
      </c>
      <c r="C1285" s="340">
        <v>0.5</v>
      </c>
    </row>
    <row r="1286" spans="1:3" x14ac:dyDescent="0.2">
      <c r="A1286" s="341"/>
      <c r="B1286" s="339" t="s">
        <v>2571</v>
      </c>
      <c r="C1286" s="340">
        <v>0.5</v>
      </c>
    </row>
    <row r="1287" spans="1:3" x14ac:dyDescent="0.2">
      <c r="A1287" s="341"/>
    </row>
    <row r="1288" spans="1:3" x14ac:dyDescent="0.2">
      <c r="A1288" s="338" t="s">
        <v>1339</v>
      </c>
    </row>
    <row r="1289" spans="1:3" x14ac:dyDescent="0.2">
      <c r="A1289" s="341" t="s">
        <v>920</v>
      </c>
    </row>
    <row r="1290" spans="1:3" x14ac:dyDescent="0.2">
      <c r="A1290" s="341" t="s">
        <v>1133</v>
      </c>
    </row>
    <row r="1291" spans="1:3" x14ac:dyDescent="0.2">
      <c r="A1291" s="341" t="s">
        <v>1340</v>
      </c>
    </row>
    <row r="1292" spans="1:3" x14ac:dyDescent="0.2">
      <c r="A1292" s="341" t="s">
        <v>2521</v>
      </c>
    </row>
    <row r="1293" spans="1:3" x14ac:dyDescent="0.2">
      <c r="A1293" s="341" t="s">
        <v>2455</v>
      </c>
    </row>
    <row r="1294" spans="1:3" x14ac:dyDescent="0.2">
      <c r="A1294" s="341"/>
    </row>
    <row r="1295" spans="1:3" x14ac:dyDescent="0.2">
      <c r="A1295" s="341"/>
      <c r="B1295" s="339" t="s">
        <v>426</v>
      </c>
      <c r="C1295" s="340">
        <v>10</v>
      </c>
    </row>
    <row r="1296" spans="1:3" x14ac:dyDescent="0.2">
      <c r="A1296" s="341"/>
      <c r="B1296" s="339" t="s">
        <v>2565</v>
      </c>
      <c r="C1296" s="340">
        <v>10</v>
      </c>
    </row>
    <row r="1297" spans="1:3" x14ac:dyDescent="0.2">
      <c r="A1297" s="341"/>
      <c r="B1297" s="339" t="s">
        <v>441</v>
      </c>
      <c r="C1297" s="340">
        <v>8</v>
      </c>
    </row>
    <row r="1298" spans="1:3" x14ac:dyDescent="0.2">
      <c r="A1298" s="341"/>
      <c r="B1298" s="339" t="s">
        <v>2579</v>
      </c>
      <c r="C1298" s="340">
        <v>6</v>
      </c>
    </row>
    <row r="1299" spans="1:3" x14ac:dyDescent="0.2">
      <c r="A1299" s="341"/>
      <c r="B1299" s="339" t="s">
        <v>2663</v>
      </c>
      <c r="C1299" s="340">
        <v>4</v>
      </c>
    </row>
    <row r="1300" spans="1:3" x14ac:dyDescent="0.2">
      <c r="A1300" s="341"/>
      <c r="B1300" s="339" t="s">
        <v>347</v>
      </c>
      <c r="C1300" s="340">
        <v>3</v>
      </c>
    </row>
    <row r="1301" spans="1:3" x14ac:dyDescent="0.2">
      <c r="A1301" s="341"/>
      <c r="B1301" s="339" t="s">
        <v>408</v>
      </c>
      <c r="C1301" s="340">
        <v>3</v>
      </c>
    </row>
    <row r="1302" spans="1:3" x14ac:dyDescent="0.2">
      <c r="A1302" s="341"/>
      <c r="B1302" s="339" t="s">
        <v>2602</v>
      </c>
      <c r="C1302" s="340">
        <v>3</v>
      </c>
    </row>
    <row r="1303" spans="1:3" x14ac:dyDescent="0.2">
      <c r="A1303" s="341"/>
      <c r="B1303" s="339" t="s">
        <v>451</v>
      </c>
      <c r="C1303" s="340">
        <v>3</v>
      </c>
    </row>
    <row r="1304" spans="1:3" x14ac:dyDescent="0.2">
      <c r="A1304" s="341"/>
      <c r="B1304" s="339" t="s">
        <v>350</v>
      </c>
      <c r="C1304" s="340">
        <v>2</v>
      </c>
    </row>
    <row r="1305" spans="1:3" x14ac:dyDescent="0.2">
      <c r="A1305" s="341"/>
      <c r="B1305" s="339" t="s">
        <v>430</v>
      </c>
      <c r="C1305" s="340">
        <v>2</v>
      </c>
    </row>
    <row r="1306" spans="1:3" x14ac:dyDescent="0.2">
      <c r="A1306" s="341"/>
      <c r="B1306" s="339" t="s">
        <v>399</v>
      </c>
      <c r="C1306" s="340">
        <v>2</v>
      </c>
    </row>
    <row r="1307" spans="1:3" x14ac:dyDescent="0.2">
      <c r="A1307" s="341"/>
      <c r="B1307" s="339" t="s">
        <v>398</v>
      </c>
      <c r="C1307" s="340">
        <v>2</v>
      </c>
    </row>
    <row r="1308" spans="1:3" x14ac:dyDescent="0.2">
      <c r="A1308" s="341"/>
      <c r="B1308" s="339" t="s">
        <v>2603</v>
      </c>
      <c r="C1308" s="340">
        <v>2</v>
      </c>
    </row>
    <row r="1309" spans="1:3" x14ac:dyDescent="0.2">
      <c r="A1309" s="341"/>
      <c r="B1309" s="339" t="s">
        <v>412</v>
      </c>
      <c r="C1309" s="340">
        <v>2</v>
      </c>
    </row>
    <row r="1310" spans="1:3" x14ac:dyDescent="0.2">
      <c r="A1310" s="341"/>
      <c r="B1310" s="339" t="s">
        <v>425</v>
      </c>
      <c r="C1310" s="340">
        <v>2</v>
      </c>
    </row>
    <row r="1311" spans="1:3" x14ac:dyDescent="0.2">
      <c r="A1311" s="341"/>
      <c r="B1311" s="339" t="s">
        <v>2664</v>
      </c>
      <c r="C1311" s="340">
        <v>2</v>
      </c>
    </row>
    <row r="1312" spans="1:3" x14ac:dyDescent="0.2">
      <c r="A1312" s="341"/>
      <c r="B1312" s="339" t="s">
        <v>615</v>
      </c>
      <c r="C1312" s="340">
        <v>2</v>
      </c>
    </row>
    <row r="1313" spans="1:3" x14ac:dyDescent="0.2">
      <c r="A1313" s="341"/>
      <c r="B1313" s="339" t="s">
        <v>583</v>
      </c>
      <c r="C1313" s="340">
        <v>2</v>
      </c>
    </row>
    <row r="1314" spans="1:3" x14ac:dyDescent="0.2">
      <c r="A1314" s="341"/>
      <c r="B1314" s="339" t="s">
        <v>424</v>
      </c>
      <c r="C1314" s="340">
        <v>2</v>
      </c>
    </row>
    <row r="1315" spans="1:3" x14ac:dyDescent="0.2">
      <c r="A1315" s="341"/>
      <c r="B1315" s="339" t="s">
        <v>444</v>
      </c>
      <c r="C1315" s="340">
        <v>2</v>
      </c>
    </row>
    <row r="1316" spans="1:3" x14ac:dyDescent="0.2">
      <c r="A1316" s="341"/>
      <c r="B1316" s="339" t="s">
        <v>582</v>
      </c>
      <c r="C1316" s="340">
        <v>2</v>
      </c>
    </row>
    <row r="1317" spans="1:3" x14ac:dyDescent="0.2">
      <c r="A1317" s="341"/>
      <c r="B1317" s="339" t="s">
        <v>432</v>
      </c>
      <c r="C1317" s="340">
        <v>2</v>
      </c>
    </row>
    <row r="1318" spans="1:3" x14ac:dyDescent="0.2">
      <c r="A1318" s="341"/>
      <c r="B1318" s="339" t="s">
        <v>570</v>
      </c>
      <c r="C1318" s="340">
        <v>2</v>
      </c>
    </row>
    <row r="1319" spans="1:3" x14ac:dyDescent="0.2">
      <c r="A1319" s="341"/>
      <c r="B1319" s="339" t="s">
        <v>371</v>
      </c>
      <c r="C1319" s="340">
        <v>1</v>
      </c>
    </row>
    <row r="1320" spans="1:3" x14ac:dyDescent="0.2">
      <c r="A1320" s="341"/>
      <c r="B1320" s="339" t="s">
        <v>2573</v>
      </c>
      <c r="C1320" s="340">
        <v>1</v>
      </c>
    </row>
    <row r="1321" spans="1:3" x14ac:dyDescent="0.2">
      <c r="A1321" s="341"/>
      <c r="B1321" s="339" t="s">
        <v>572</v>
      </c>
      <c r="C1321" s="340">
        <v>1</v>
      </c>
    </row>
    <row r="1322" spans="1:3" x14ac:dyDescent="0.2">
      <c r="A1322" s="341"/>
      <c r="B1322" s="339" t="s">
        <v>2642</v>
      </c>
      <c r="C1322" s="340">
        <v>1</v>
      </c>
    </row>
    <row r="1323" spans="1:3" x14ac:dyDescent="0.2">
      <c r="A1323" s="341"/>
      <c r="B1323" s="339" t="s">
        <v>355</v>
      </c>
      <c r="C1323" s="340">
        <v>1</v>
      </c>
    </row>
    <row r="1324" spans="1:3" x14ac:dyDescent="0.2">
      <c r="A1324" s="341"/>
      <c r="B1324" s="339" t="s">
        <v>607</v>
      </c>
      <c r="C1324" s="340">
        <v>1</v>
      </c>
    </row>
    <row r="1325" spans="1:3" x14ac:dyDescent="0.2">
      <c r="A1325" s="341"/>
      <c r="B1325" s="339" t="s">
        <v>391</v>
      </c>
      <c r="C1325" s="340">
        <v>1</v>
      </c>
    </row>
    <row r="1326" spans="1:3" x14ac:dyDescent="0.2">
      <c r="A1326" s="341"/>
      <c r="B1326" s="339" t="s">
        <v>342</v>
      </c>
      <c r="C1326" s="340">
        <v>1</v>
      </c>
    </row>
    <row r="1327" spans="1:3" x14ac:dyDescent="0.2">
      <c r="A1327" s="341"/>
      <c r="B1327" s="339" t="s">
        <v>404</v>
      </c>
      <c r="C1327" s="340">
        <v>1</v>
      </c>
    </row>
    <row r="1328" spans="1:3" x14ac:dyDescent="0.2">
      <c r="A1328" s="341"/>
      <c r="B1328" s="339" t="s">
        <v>429</v>
      </c>
      <c r="C1328" s="340">
        <v>1</v>
      </c>
    </row>
    <row r="1329" spans="1:3" x14ac:dyDescent="0.2">
      <c r="A1329" s="341"/>
      <c r="B1329" s="339" t="s">
        <v>438</v>
      </c>
      <c r="C1329" s="340">
        <v>1</v>
      </c>
    </row>
    <row r="1330" spans="1:3" x14ac:dyDescent="0.2">
      <c r="A1330" s="341"/>
      <c r="B1330" s="339" t="s">
        <v>2570</v>
      </c>
      <c r="C1330" s="340">
        <v>1</v>
      </c>
    </row>
    <row r="1331" spans="1:3" x14ac:dyDescent="0.2">
      <c r="A1331" s="341"/>
      <c r="B1331" s="339" t="s">
        <v>442</v>
      </c>
      <c r="C1331" s="340">
        <v>1</v>
      </c>
    </row>
    <row r="1332" spans="1:3" x14ac:dyDescent="0.2">
      <c r="A1332" s="341"/>
      <c r="B1332" s="339" t="s">
        <v>389</v>
      </c>
      <c r="C1332" s="340">
        <v>1</v>
      </c>
    </row>
    <row r="1333" spans="1:3" x14ac:dyDescent="0.2">
      <c r="A1333" s="341"/>
      <c r="B1333" s="339" t="s">
        <v>431</v>
      </c>
      <c r="C1333" s="340">
        <v>1</v>
      </c>
    </row>
    <row r="1334" spans="1:3" x14ac:dyDescent="0.2">
      <c r="A1334" s="341"/>
      <c r="B1334" s="339" t="s">
        <v>402</v>
      </c>
      <c r="C1334" s="340">
        <v>0.5</v>
      </c>
    </row>
    <row r="1335" spans="1:3" x14ac:dyDescent="0.2">
      <c r="A1335" s="341"/>
      <c r="B1335" s="339" t="s">
        <v>2649</v>
      </c>
      <c r="C1335" s="340">
        <v>0.5</v>
      </c>
    </row>
    <row r="1336" spans="1:3" x14ac:dyDescent="0.2">
      <c r="A1336" s="341"/>
      <c r="B1336" s="339" t="s">
        <v>386</v>
      </c>
      <c r="C1336" s="340">
        <v>0.5</v>
      </c>
    </row>
    <row r="1337" spans="1:3" x14ac:dyDescent="0.2">
      <c r="A1337" s="341"/>
      <c r="B1337" s="339" t="s">
        <v>370</v>
      </c>
      <c r="C1337" s="340">
        <v>0.5</v>
      </c>
    </row>
    <row r="1338" spans="1:3" x14ac:dyDescent="0.2">
      <c r="A1338" s="341"/>
      <c r="B1338" s="339" t="s">
        <v>571</v>
      </c>
      <c r="C1338" s="340">
        <v>0.5</v>
      </c>
    </row>
    <row r="1339" spans="1:3" x14ac:dyDescent="0.2">
      <c r="A1339" s="341"/>
      <c r="B1339" s="339" t="s">
        <v>2658</v>
      </c>
      <c r="C1339" s="340">
        <v>0.5</v>
      </c>
    </row>
    <row r="1340" spans="1:3" x14ac:dyDescent="0.2">
      <c r="A1340" s="341"/>
      <c r="B1340" s="339" t="s">
        <v>569</v>
      </c>
      <c r="C1340" s="340">
        <v>0.5</v>
      </c>
    </row>
    <row r="1341" spans="1:3" x14ac:dyDescent="0.2">
      <c r="A1341" s="341"/>
    </row>
    <row r="1342" spans="1:3" x14ac:dyDescent="0.2">
      <c r="A1342" s="338" t="s">
        <v>1341</v>
      </c>
    </row>
    <row r="1343" spans="1:3" x14ac:dyDescent="0.2">
      <c r="A1343" s="341" t="s">
        <v>921</v>
      </c>
    </row>
    <row r="1344" spans="1:3" x14ac:dyDescent="0.2">
      <c r="A1344" s="341" t="s">
        <v>1134</v>
      </c>
    </row>
    <row r="1345" spans="1:3" x14ac:dyDescent="0.2">
      <c r="A1345" s="341" t="s">
        <v>1342</v>
      </c>
    </row>
    <row r="1346" spans="1:3" x14ac:dyDescent="0.2">
      <c r="A1346" s="341" t="s">
        <v>2522</v>
      </c>
    </row>
    <row r="1347" spans="1:3" x14ac:dyDescent="0.2">
      <c r="A1347" s="341" t="s">
        <v>2456</v>
      </c>
    </row>
    <row r="1348" spans="1:3" x14ac:dyDescent="0.2">
      <c r="A1348" s="341"/>
    </row>
    <row r="1349" spans="1:3" x14ac:dyDescent="0.2">
      <c r="A1349" s="341"/>
      <c r="B1349" s="339" t="s">
        <v>399</v>
      </c>
      <c r="C1349" s="340">
        <v>20</v>
      </c>
    </row>
    <row r="1350" spans="1:3" x14ac:dyDescent="0.2">
      <c r="A1350" s="341"/>
      <c r="B1350" s="339" t="s">
        <v>2579</v>
      </c>
      <c r="C1350" s="340">
        <v>10</v>
      </c>
    </row>
    <row r="1351" spans="1:3" x14ac:dyDescent="0.2">
      <c r="A1351" s="341"/>
      <c r="B1351" s="339" t="s">
        <v>2565</v>
      </c>
      <c r="C1351" s="340">
        <v>10</v>
      </c>
    </row>
    <row r="1352" spans="1:3" x14ac:dyDescent="0.2">
      <c r="A1352" s="341"/>
      <c r="B1352" s="339" t="s">
        <v>2570</v>
      </c>
      <c r="C1352" s="340">
        <v>6</v>
      </c>
    </row>
    <row r="1353" spans="1:3" x14ac:dyDescent="0.2">
      <c r="A1353" s="341"/>
      <c r="B1353" s="339" t="s">
        <v>425</v>
      </c>
      <c r="C1353" s="340">
        <v>4</v>
      </c>
    </row>
    <row r="1354" spans="1:3" x14ac:dyDescent="0.2">
      <c r="A1354" s="341"/>
      <c r="B1354" s="339" t="s">
        <v>402</v>
      </c>
      <c r="C1354" s="340">
        <v>3</v>
      </c>
    </row>
    <row r="1355" spans="1:3" x14ac:dyDescent="0.2">
      <c r="A1355" s="341"/>
      <c r="B1355" s="339" t="s">
        <v>342</v>
      </c>
      <c r="C1355" s="340">
        <v>3</v>
      </c>
    </row>
    <row r="1356" spans="1:3" x14ac:dyDescent="0.2">
      <c r="A1356" s="341"/>
      <c r="B1356" s="339" t="s">
        <v>572</v>
      </c>
      <c r="C1356" s="340">
        <v>2</v>
      </c>
    </row>
    <row r="1357" spans="1:3" x14ac:dyDescent="0.2">
      <c r="A1357" s="341"/>
      <c r="B1357" s="339" t="s">
        <v>426</v>
      </c>
      <c r="C1357" s="340">
        <v>2</v>
      </c>
    </row>
    <row r="1358" spans="1:3" x14ac:dyDescent="0.2">
      <c r="A1358" s="341"/>
      <c r="B1358" s="339" t="s">
        <v>607</v>
      </c>
      <c r="C1358" s="340">
        <v>2</v>
      </c>
    </row>
    <row r="1359" spans="1:3" x14ac:dyDescent="0.2">
      <c r="A1359" s="341"/>
      <c r="B1359" s="339" t="s">
        <v>408</v>
      </c>
      <c r="C1359" s="340">
        <v>2</v>
      </c>
    </row>
    <row r="1360" spans="1:3" x14ac:dyDescent="0.2">
      <c r="A1360" s="341"/>
      <c r="B1360" s="339" t="s">
        <v>441</v>
      </c>
      <c r="C1360" s="340">
        <v>2</v>
      </c>
    </row>
    <row r="1361" spans="1:3" x14ac:dyDescent="0.2">
      <c r="A1361" s="341"/>
      <c r="B1361" s="339" t="s">
        <v>349</v>
      </c>
      <c r="C1361" s="340">
        <v>2</v>
      </c>
    </row>
    <row r="1362" spans="1:3" x14ac:dyDescent="0.2">
      <c r="A1362" s="341"/>
      <c r="B1362" s="339" t="s">
        <v>445</v>
      </c>
      <c r="C1362" s="340">
        <v>2</v>
      </c>
    </row>
    <row r="1363" spans="1:3" x14ac:dyDescent="0.2">
      <c r="A1363" s="341"/>
      <c r="B1363" s="339" t="s">
        <v>442</v>
      </c>
      <c r="C1363" s="340">
        <v>2</v>
      </c>
    </row>
    <row r="1364" spans="1:3" x14ac:dyDescent="0.2">
      <c r="A1364" s="341"/>
      <c r="B1364" s="339" t="s">
        <v>2601</v>
      </c>
      <c r="C1364" s="340">
        <v>2</v>
      </c>
    </row>
    <row r="1365" spans="1:3" x14ac:dyDescent="0.2">
      <c r="A1365" s="341"/>
      <c r="B1365" s="339" t="s">
        <v>371</v>
      </c>
      <c r="C1365" s="340">
        <v>1</v>
      </c>
    </row>
    <row r="1366" spans="1:3" x14ac:dyDescent="0.2">
      <c r="A1366" s="341"/>
      <c r="B1366" s="339" t="s">
        <v>2651</v>
      </c>
      <c r="C1366" s="340">
        <v>1</v>
      </c>
    </row>
    <row r="1367" spans="1:3" x14ac:dyDescent="0.2">
      <c r="A1367" s="341"/>
      <c r="B1367" s="339" t="s">
        <v>2642</v>
      </c>
      <c r="C1367" s="340">
        <v>1</v>
      </c>
    </row>
    <row r="1368" spans="1:3" x14ac:dyDescent="0.2">
      <c r="A1368" s="341"/>
      <c r="B1368" s="339" t="s">
        <v>355</v>
      </c>
      <c r="C1368" s="340">
        <v>1</v>
      </c>
    </row>
    <row r="1369" spans="1:3" x14ac:dyDescent="0.2">
      <c r="A1369" s="341"/>
      <c r="B1369" s="339" t="s">
        <v>391</v>
      </c>
      <c r="C1369" s="340">
        <v>1</v>
      </c>
    </row>
    <row r="1370" spans="1:3" x14ac:dyDescent="0.2">
      <c r="A1370" s="341"/>
      <c r="B1370" s="339" t="s">
        <v>386</v>
      </c>
      <c r="C1370" s="340">
        <v>1</v>
      </c>
    </row>
    <row r="1371" spans="1:3" x14ac:dyDescent="0.2">
      <c r="A1371" s="341"/>
      <c r="B1371" s="339" t="s">
        <v>2602</v>
      </c>
      <c r="C1371" s="340">
        <v>1</v>
      </c>
    </row>
    <row r="1372" spans="1:3" x14ac:dyDescent="0.2">
      <c r="A1372" s="341"/>
      <c r="B1372" s="339" t="s">
        <v>424</v>
      </c>
      <c r="C1372" s="340">
        <v>1</v>
      </c>
    </row>
    <row r="1373" spans="1:3" x14ac:dyDescent="0.2">
      <c r="A1373" s="341"/>
      <c r="B1373" s="339" t="s">
        <v>590</v>
      </c>
      <c r="C1373" s="340">
        <v>1</v>
      </c>
    </row>
    <row r="1374" spans="1:3" x14ac:dyDescent="0.2">
      <c r="A1374" s="341"/>
      <c r="B1374" s="339" t="s">
        <v>451</v>
      </c>
      <c r="C1374" s="340">
        <v>1</v>
      </c>
    </row>
    <row r="1375" spans="1:3" x14ac:dyDescent="0.2">
      <c r="A1375" s="341"/>
      <c r="B1375" s="339" t="s">
        <v>431</v>
      </c>
      <c r="C1375" s="340">
        <v>1</v>
      </c>
    </row>
    <row r="1376" spans="1:3" x14ac:dyDescent="0.2">
      <c r="A1376" s="341"/>
      <c r="B1376" s="339" t="s">
        <v>350</v>
      </c>
      <c r="C1376" s="340">
        <v>0.5</v>
      </c>
    </row>
    <row r="1377" spans="1:3" x14ac:dyDescent="0.2">
      <c r="A1377" s="341"/>
      <c r="B1377" s="339" t="s">
        <v>604</v>
      </c>
      <c r="C1377" s="340">
        <v>0.5</v>
      </c>
    </row>
    <row r="1378" spans="1:3" x14ac:dyDescent="0.2">
      <c r="A1378" s="341"/>
      <c r="B1378" s="339" t="s">
        <v>608</v>
      </c>
      <c r="C1378" s="340">
        <v>0.5</v>
      </c>
    </row>
    <row r="1379" spans="1:3" x14ac:dyDescent="0.2">
      <c r="A1379" s="341"/>
      <c r="B1379" s="339" t="s">
        <v>385</v>
      </c>
      <c r="C1379" s="340">
        <v>0.5</v>
      </c>
    </row>
    <row r="1380" spans="1:3" x14ac:dyDescent="0.2">
      <c r="A1380" s="341"/>
      <c r="B1380" s="339" t="s">
        <v>585</v>
      </c>
      <c r="C1380" s="340">
        <v>0.5</v>
      </c>
    </row>
    <row r="1381" spans="1:3" x14ac:dyDescent="0.2">
      <c r="A1381" s="341"/>
      <c r="B1381" s="339" t="s">
        <v>2663</v>
      </c>
      <c r="C1381" s="340">
        <v>0.5</v>
      </c>
    </row>
    <row r="1382" spans="1:3" x14ac:dyDescent="0.2">
      <c r="A1382" s="341"/>
      <c r="B1382" s="339" t="s">
        <v>347</v>
      </c>
      <c r="C1382" s="340">
        <v>0.5</v>
      </c>
    </row>
    <row r="1383" spans="1:3" x14ac:dyDescent="0.2">
      <c r="A1383" s="341"/>
      <c r="B1383" s="339" t="s">
        <v>376</v>
      </c>
      <c r="C1383" s="340">
        <v>0.5</v>
      </c>
    </row>
    <row r="1384" spans="1:3" x14ac:dyDescent="0.2">
      <c r="A1384" s="341"/>
      <c r="B1384" s="339" t="s">
        <v>584</v>
      </c>
      <c r="C1384" s="340">
        <v>0.5</v>
      </c>
    </row>
    <row r="1385" spans="1:3" x14ac:dyDescent="0.2">
      <c r="A1385" s="341"/>
      <c r="B1385" s="339" t="s">
        <v>597</v>
      </c>
      <c r="C1385" s="340">
        <v>0.5</v>
      </c>
    </row>
    <row r="1386" spans="1:3" x14ac:dyDescent="0.2">
      <c r="A1386" s="341"/>
      <c r="B1386" s="339" t="s">
        <v>583</v>
      </c>
      <c r="C1386" s="340">
        <v>0.5</v>
      </c>
    </row>
    <row r="1387" spans="1:3" x14ac:dyDescent="0.2">
      <c r="A1387" s="341"/>
      <c r="B1387" s="339" t="s">
        <v>571</v>
      </c>
      <c r="C1387" s="340">
        <v>0.5</v>
      </c>
    </row>
    <row r="1388" spans="1:3" x14ac:dyDescent="0.2">
      <c r="A1388" s="341"/>
      <c r="B1388" s="339" t="s">
        <v>364</v>
      </c>
      <c r="C1388" s="340">
        <v>0.5</v>
      </c>
    </row>
    <row r="1389" spans="1:3" x14ac:dyDescent="0.2">
      <c r="A1389" s="341"/>
      <c r="B1389" s="339" t="s">
        <v>2571</v>
      </c>
      <c r="C1389" s="340">
        <v>0.5</v>
      </c>
    </row>
    <row r="1390" spans="1:3" x14ac:dyDescent="0.2">
      <c r="A1390" s="341"/>
      <c r="B1390" s="339" t="s">
        <v>389</v>
      </c>
      <c r="C1390" s="340">
        <v>0.5</v>
      </c>
    </row>
    <row r="1391" spans="1:3" x14ac:dyDescent="0.2">
      <c r="A1391" s="341"/>
    </row>
    <row r="1392" spans="1:3" x14ac:dyDescent="0.2">
      <c r="A1392" s="338" t="s">
        <v>2457</v>
      </c>
    </row>
    <row r="1393" spans="1:3" x14ac:dyDescent="0.2">
      <c r="A1393" s="341" t="s">
        <v>922</v>
      </c>
    </row>
    <row r="1394" spans="1:3" x14ac:dyDescent="0.2">
      <c r="A1394" s="341" t="s">
        <v>1135</v>
      </c>
    </row>
    <row r="1395" spans="1:3" x14ac:dyDescent="0.2">
      <c r="A1395" s="341" t="s">
        <v>1343</v>
      </c>
    </row>
    <row r="1396" spans="1:3" x14ac:dyDescent="0.2">
      <c r="A1396" s="341" t="s">
        <v>2523</v>
      </c>
    </row>
    <row r="1397" spans="1:3" x14ac:dyDescent="0.2">
      <c r="A1397" s="341" t="s">
        <v>2458</v>
      </c>
    </row>
    <row r="1398" spans="1:3" x14ac:dyDescent="0.2">
      <c r="A1398" s="341"/>
    </row>
    <row r="1399" spans="1:3" x14ac:dyDescent="0.2">
      <c r="A1399" s="341"/>
      <c r="B1399" s="339" t="s">
        <v>2565</v>
      </c>
      <c r="C1399" s="340">
        <v>25</v>
      </c>
    </row>
    <row r="1400" spans="1:3" x14ac:dyDescent="0.2">
      <c r="A1400" s="341"/>
      <c r="B1400" s="339" t="s">
        <v>586</v>
      </c>
      <c r="C1400" s="340">
        <v>12</v>
      </c>
    </row>
    <row r="1401" spans="1:3" x14ac:dyDescent="0.2">
      <c r="A1401" s="341"/>
      <c r="B1401" s="339" t="s">
        <v>398</v>
      </c>
      <c r="C1401" s="340">
        <v>12</v>
      </c>
    </row>
    <row r="1402" spans="1:3" x14ac:dyDescent="0.2">
      <c r="A1402" s="341"/>
      <c r="B1402" s="339" t="s">
        <v>368</v>
      </c>
      <c r="C1402" s="340">
        <v>7</v>
      </c>
    </row>
    <row r="1403" spans="1:3" x14ac:dyDescent="0.2">
      <c r="A1403" s="341"/>
      <c r="B1403" s="339" t="s">
        <v>426</v>
      </c>
      <c r="C1403" s="340">
        <v>4</v>
      </c>
    </row>
    <row r="1404" spans="1:3" x14ac:dyDescent="0.2">
      <c r="A1404" s="341"/>
      <c r="B1404" s="339" t="s">
        <v>412</v>
      </c>
      <c r="C1404" s="340">
        <v>4</v>
      </c>
    </row>
    <row r="1405" spans="1:3" x14ac:dyDescent="0.2">
      <c r="A1405" s="341"/>
      <c r="B1405" s="339" t="s">
        <v>402</v>
      </c>
      <c r="C1405" s="340">
        <v>3</v>
      </c>
    </row>
    <row r="1406" spans="1:3" x14ac:dyDescent="0.2">
      <c r="A1406" s="341"/>
      <c r="B1406" s="339" t="s">
        <v>2663</v>
      </c>
      <c r="C1406" s="340">
        <v>3</v>
      </c>
    </row>
    <row r="1407" spans="1:3" x14ac:dyDescent="0.2">
      <c r="A1407" s="341"/>
      <c r="B1407" s="339" t="s">
        <v>582</v>
      </c>
      <c r="C1407" s="340">
        <v>3</v>
      </c>
    </row>
    <row r="1408" spans="1:3" x14ac:dyDescent="0.2">
      <c r="A1408" s="341"/>
      <c r="B1408" s="339" t="s">
        <v>451</v>
      </c>
      <c r="C1408" s="340">
        <v>3</v>
      </c>
    </row>
    <row r="1409" spans="1:3" x14ac:dyDescent="0.2">
      <c r="A1409" s="341"/>
      <c r="B1409" s="339" t="s">
        <v>2601</v>
      </c>
      <c r="C1409" s="340">
        <v>3</v>
      </c>
    </row>
    <row r="1410" spans="1:3" x14ac:dyDescent="0.2">
      <c r="A1410" s="341"/>
      <c r="B1410" s="339" t="s">
        <v>2651</v>
      </c>
      <c r="C1410" s="340">
        <v>2</v>
      </c>
    </row>
    <row r="1411" spans="1:3" x14ac:dyDescent="0.2">
      <c r="A1411" s="341"/>
      <c r="B1411" s="339" t="s">
        <v>350</v>
      </c>
      <c r="C1411" s="340">
        <v>2</v>
      </c>
    </row>
    <row r="1412" spans="1:3" x14ac:dyDescent="0.2">
      <c r="A1412" s="341"/>
      <c r="B1412" s="339" t="s">
        <v>430</v>
      </c>
      <c r="C1412" s="340">
        <v>2</v>
      </c>
    </row>
    <row r="1413" spans="1:3" x14ac:dyDescent="0.2">
      <c r="A1413" s="341"/>
      <c r="B1413" s="339" t="s">
        <v>592</v>
      </c>
      <c r="C1413" s="340">
        <v>2</v>
      </c>
    </row>
    <row r="1414" spans="1:3" x14ac:dyDescent="0.2">
      <c r="A1414" s="341"/>
      <c r="B1414" s="339" t="s">
        <v>2573</v>
      </c>
      <c r="C1414" s="340">
        <v>2</v>
      </c>
    </row>
    <row r="1415" spans="1:3" x14ac:dyDescent="0.2">
      <c r="A1415" s="341"/>
      <c r="B1415" s="339" t="s">
        <v>391</v>
      </c>
      <c r="C1415" s="340">
        <v>2</v>
      </c>
    </row>
    <row r="1416" spans="1:3" x14ac:dyDescent="0.2">
      <c r="A1416" s="341"/>
      <c r="B1416" s="339" t="s">
        <v>347</v>
      </c>
      <c r="C1416" s="340">
        <v>2</v>
      </c>
    </row>
    <row r="1417" spans="1:3" x14ac:dyDescent="0.2">
      <c r="A1417" s="341"/>
      <c r="B1417" s="339" t="s">
        <v>404</v>
      </c>
      <c r="C1417" s="340">
        <v>2</v>
      </c>
    </row>
    <row r="1418" spans="1:3" x14ac:dyDescent="0.2">
      <c r="A1418" s="341"/>
      <c r="B1418" s="339" t="s">
        <v>394</v>
      </c>
      <c r="C1418" s="340">
        <v>2</v>
      </c>
    </row>
    <row r="1419" spans="1:3" x14ac:dyDescent="0.2">
      <c r="A1419" s="341"/>
      <c r="B1419" s="339" t="s">
        <v>441</v>
      </c>
      <c r="C1419" s="340">
        <v>2</v>
      </c>
    </row>
    <row r="1420" spans="1:3" x14ac:dyDescent="0.2">
      <c r="A1420" s="341"/>
      <c r="B1420" s="339" t="s">
        <v>1286</v>
      </c>
      <c r="C1420" s="340">
        <v>2</v>
      </c>
    </row>
    <row r="1421" spans="1:3" x14ac:dyDescent="0.2">
      <c r="A1421" s="341"/>
      <c r="B1421" s="339" t="s">
        <v>583</v>
      </c>
      <c r="C1421" s="340">
        <v>2</v>
      </c>
    </row>
    <row r="1422" spans="1:3" x14ac:dyDescent="0.2">
      <c r="A1422" s="341"/>
      <c r="B1422" s="339" t="s">
        <v>348</v>
      </c>
      <c r="C1422" s="340">
        <v>2</v>
      </c>
    </row>
    <row r="1423" spans="1:3" x14ac:dyDescent="0.2">
      <c r="A1423" s="341"/>
      <c r="B1423" s="339" t="s">
        <v>424</v>
      </c>
      <c r="C1423" s="340">
        <v>2</v>
      </c>
    </row>
    <row r="1424" spans="1:3" x14ac:dyDescent="0.2">
      <c r="A1424" s="341"/>
      <c r="B1424" s="339" t="s">
        <v>590</v>
      </c>
      <c r="C1424" s="340">
        <v>2</v>
      </c>
    </row>
    <row r="1425" spans="1:3" x14ac:dyDescent="0.2">
      <c r="A1425" s="341"/>
      <c r="B1425" s="339" t="s">
        <v>370</v>
      </c>
      <c r="C1425" s="340">
        <v>2</v>
      </c>
    </row>
    <row r="1426" spans="1:3" x14ac:dyDescent="0.2">
      <c r="A1426" s="341"/>
      <c r="B1426" s="339" t="s">
        <v>442</v>
      </c>
      <c r="C1426" s="340">
        <v>2</v>
      </c>
    </row>
    <row r="1427" spans="1:3" x14ac:dyDescent="0.2">
      <c r="A1427" s="341"/>
      <c r="B1427" s="339" t="s">
        <v>2642</v>
      </c>
      <c r="C1427" s="340">
        <v>1</v>
      </c>
    </row>
    <row r="1428" spans="1:3" x14ac:dyDescent="0.2">
      <c r="A1428" s="341"/>
      <c r="B1428" s="339" t="s">
        <v>2603</v>
      </c>
      <c r="C1428" s="340">
        <v>1</v>
      </c>
    </row>
    <row r="1429" spans="1:3" x14ac:dyDescent="0.2">
      <c r="A1429" s="341"/>
      <c r="B1429" s="339" t="s">
        <v>589</v>
      </c>
      <c r="C1429" s="340">
        <v>1</v>
      </c>
    </row>
    <row r="1430" spans="1:3" x14ac:dyDescent="0.2">
      <c r="A1430" s="341"/>
      <c r="B1430" s="339" t="s">
        <v>587</v>
      </c>
      <c r="C1430" s="340">
        <v>1</v>
      </c>
    </row>
    <row r="1431" spans="1:3" x14ac:dyDescent="0.2">
      <c r="A1431" s="341"/>
      <c r="B1431" s="339" t="s">
        <v>425</v>
      </c>
      <c r="C1431" s="340">
        <v>1</v>
      </c>
    </row>
    <row r="1432" spans="1:3" x14ac:dyDescent="0.2">
      <c r="A1432" s="341"/>
      <c r="B1432" s="339" t="s">
        <v>342</v>
      </c>
      <c r="C1432" s="340">
        <v>1</v>
      </c>
    </row>
    <row r="1433" spans="1:3" x14ac:dyDescent="0.2">
      <c r="A1433" s="341"/>
      <c r="B1433" s="339" t="s">
        <v>376</v>
      </c>
      <c r="C1433" s="340">
        <v>1</v>
      </c>
    </row>
    <row r="1434" spans="1:3" x14ac:dyDescent="0.2">
      <c r="A1434" s="341"/>
      <c r="B1434" s="339" t="s">
        <v>440</v>
      </c>
      <c r="C1434" s="340">
        <v>1</v>
      </c>
    </row>
    <row r="1435" spans="1:3" x14ac:dyDescent="0.2">
      <c r="A1435" s="341"/>
      <c r="B1435" s="339" t="s">
        <v>341</v>
      </c>
      <c r="C1435" s="340">
        <v>1</v>
      </c>
    </row>
    <row r="1436" spans="1:3" x14ac:dyDescent="0.2">
      <c r="A1436" s="341"/>
      <c r="B1436" s="339" t="s">
        <v>443</v>
      </c>
      <c r="C1436" s="340">
        <v>1</v>
      </c>
    </row>
    <row r="1437" spans="1:3" x14ac:dyDescent="0.2">
      <c r="A1437" s="341"/>
      <c r="B1437" s="339" t="s">
        <v>2583</v>
      </c>
      <c r="C1437" s="340">
        <v>1</v>
      </c>
    </row>
    <row r="1438" spans="1:3" x14ac:dyDescent="0.2">
      <c r="A1438" s="341"/>
      <c r="B1438" s="339" t="s">
        <v>588</v>
      </c>
      <c r="C1438" s="340">
        <v>1</v>
      </c>
    </row>
    <row r="1439" spans="1:3" x14ac:dyDescent="0.2">
      <c r="A1439" s="341"/>
      <c r="B1439" s="339" t="s">
        <v>2570</v>
      </c>
      <c r="C1439" s="340">
        <v>1</v>
      </c>
    </row>
    <row r="1440" spans="1:3" x14ac:dyDescent="0.2">
      <c r="A1440" s="341"/>
      <c r="B1440" s="339" t="s">
        <v>372</v>
      </c>
      <c r="C1440" s="340">
        <v>1</v>
      </c>
    </row>
    <row r="1441" spans="1:3" x14ac:dyDescent="0.2">
      <c r="A1441" s="341"/>
      <c r="B1441" s="339" t="s">
        <v>477</v>
      </c>
      <c r="C1441" s="340">
        <v>0.5</v>
      </c>
    </row>
    <row r="1442" spans="1:3" x14ac:dyDescent="0.2">
      <c r="A1442" s="341"/>
      <c r="B1442" s="339" t="s">
        <v>371</v>
      </c>
      <c r="C1442" s="340">
        <v>0.5</v>
      </c>
    </row>
    <row r="1443" spans="1:3" x14ac:dyDescent="0.2">
      <c r="A1443" s="341"/>
      <c r="B1443" s="339" t="s">
        <v>369</v>
      </c>
      <c r="C1443" s="340">
        <v>0.5</v>
      </c>
    </row>
    <row r="1444" spans="1:3" x14ac:dyDescent="0.2">
      <c r="A1444" s="341"/>
      <c r="B1444" s="339" t="s">
        <v>2600</v>
      </c>
      <c r="C1444" s="340">
        <v>0.5</v>
      </c>
    </row>
    <row r="1445" spans="1:3" x14ac:dyDescent="0.2">
      <c r="A1445" s="341"/>
      <c r="B1445" s="339" t="s">
        <v>584</v>
      </c>
      <c r="C1445" s="340">
        <v>0.5</v>
      </c>
    </row>
    <row r="1446" spans="1:3" x14ac:dyDescent="0.2">
      <c r="A1446" s="341"/>
      <c r="B1446" s="339" t="s">
        <v>591</v>
      </c>
      <c r="C1446" s="340">
        <v>0.5</v>
      </c>
    </row>
    <row r="1447" spans="1:3" x14ac:dyDescent="0.2">
      <c r="A1447" s="341"/>
    </row>
    <row r="1448" spans="1:3" x14ac:dyDescent="0.2">
      <c r="A1448" s="338" t="s">
        <v>2459</v>
      </c>
    </row>
    <row r="1449" spans="1:3" x14ac:dyDescent="0.2">
      <c r="A1449" s="341" t="s">
        <v>923</v>
      </c>
    </row>
    <row r="1450" spans="1:3" x14ac:dyDescent="0.2">
      <c r="A1450" s="341" t="s">
        <v>1136</v>
      </c>
    </row>
    <row r="1451" spans="1:3" x14ac:dyDescent="0.2">
      <c r="A1451" s="341" t="s">
        <v>1344</v>
      </c>
    </row>
    <row r="1452" spans="1:3" x14ac:dyDescent="0.2">
      <c r="A1452" s="341" t="s">
        <v>2524</v>
      </c>
    </row>
    <row r="1453" spans="1:3" x14ac:dyDescent="0.2">
      <c r="A1453" s="341" t="s">
        <v>2460</v>
      </c>
    </row>
    <row r="1454" spans="1:3" x14ac:dyDescent="0.2">
      <c r="A1454" s="341"/>
    </row>
    <row r="1455" spans="1:3" x14ac:dyDescent="0.2">
      <c r="A1455" s="341"/>
      <c r="B1455" s="339" t="s">
        <v>326</v>
      </c>
      <c r="C1455" s="340">
        <v>65</v>
      </c>
    </row>
    <row r="1456" spans="1:3" x14ac:dyDescent="0.2">
      <c r="A1456" s="341"/>
      <c r="B1456" s="339" t="s">
        <v>2590</v>
      </c>
      <c r="C1456" s="340">
        <v>8</v>
      </c>
    </row>
    <row r="1457" spans="1:3" x14ac:dyDescent="0.2">
      <c r="A1457" s="341"/>
      <c r="B1457" s="339" t="s">
        <v>2632</v>
      </c>
      <c r="C1457" s="340">
        <v>8</v>
      </c>
    </row>
    <row r="1458" spans="1:3" x14ac:dyDescent="0.2">
      <c r="A1458" s="341"/>
      <c r="B1458" s="339" t="s">
        <v>332</v>
      </c>
      <c r="C1458" s="340">
        <v>5</v>
      </c>
    </row>
    <row r="1459" spans="1:3" x14ac:dyDescent="0.2">
      <c r="A1459" s="341"/>
      <c r="B1459" s="339" t="s">
        <v>2591</v>
      </c>
      <c r="C1459" s="340">
        <v>4</v>
      </c>
    </row>
    <row r="1460" spans="1:3" x14ac:dyDescent="0.2">
      <c r="A1460" s="341"/>
      <c r="B1460" s="339" t="s">
        <v>327</v>
      </c>
      <c r="C1460" s="340">
        <v>4</v>
      </c>
    </row>
    <row r="1461" spans="1:3" x14ac:dyDescent="0.2">
      <c r="A1461" s="341"/>
      <c r="B1461" s="339" t="s">
        <v>333</v>
      </c>
      <c r="C1461" s="340">
        <v>4</v>
      </c>
    </row>
    <row r="1462" spans="1:3" x14ac:dyDescent="0.2">
      <c r="A1462" s="341"/>
      <c r="B1462" s="339" t="s">
        <v>329</v>
      </c>
      <c r="C1462" s="340">
        <v>3</v>
      </c>
    </row>
    <row r="1463" spans="1:3" x14ac:dyDescent="0.2">
      <c r="A1463" s="341"/>
      <c r="B1463" s="339" t="s">
        <v>334</v>
      </c>
      <c r="C1463" s="340">
        <v>3</v>
      </c>
    </row>
    <row r="1464" spans="1:3" x14ac:dyDescent="0.2">
      <c r="A1464" s="341"/>
      <c r="B1464" s="339" t="s">
        <v>593</v>
      </c>
      <c r="C1464" s="340">
        <v>3</v>
      </c>
    </row>
    <row r="1465" spans="1:3" x14ac:dyDescent="0.2">
      <c r="A1465" s="341"/>
      <c r="B1465" s="339" t="s">
        <v>1586</v>
      </c>
      <c r="C1465" s="340">
        <v>3</v>
      </c>
    </row>
    <row r="1466" spans="1:3" x14ac:dyDescent="0.2">
      <c r="A1466" s="341"/>
      <c r="B1466" s="339" t="s">
        <v>434</v>
      </c>
      <c r="C1466" s="340">
        <v>2</v>
      </c>
    </row>
    <row r="1467" spans="1:3" x14ac:dyDescent="0.2">
      <c r="A1467" s="341"/>
      <c r="B1467" s="339" t="s">
        <v>603</v>
      </c>
      <c r="C1467" s="340">
        <v>0.5</v>
      </c>
    </row>
    <row r="1468" spans="1:3" x14ac:dyDescent="0.2">
      <c r="A1468" s="341"/>
    </row>
    <row r="1469" spans="1:3" x14ac:dyDescent="0.2">
      <c r="A1469" s="338" t="s">
        <v>2461</v>
      </c>
    </row>
    <row r="1470" spans="1:3" x14ac:dyDescent="0.2">
      <c r="A1470" s="341" t="s">
        <v>923</v>
      </c>
    </row>
    <row r="1471" spans="1:3" x14ac:dyDescent="0.2">
      <c r="A1471" s="341" t="s">
        <v>1137</v>
      </c>
    </row>
    <row r="1472" spans="1:3" x14ac:dyDescent="0.2">
      <c r="A1472" s="341" t="s">
        <v>1345</v>
      </c>
    </row>
    <row r="1473" spans="1:3" x14ac:dyDescent="0.2">
      <c r="A1473" s="341" t="s">
        <v>2525</v>
      </c>
    </row>
    <row r="1474" spans="1:3" x14ac:dyDescent="0.2">
      <c r="A1474" s="341" t="s">
        <v>2462</v>
      </c>
    </row>
    <row r="1475" spans="1:3" x14ac:dyDescent="0.2">
      <c r="A1475" s="341"/>
    </row>
    <row r="1476" spans="1:3" x14ac:dyDescent="0.2">
      <c r="A1476" s="341"/>
      <c r="B1476" s="339" t="s">
        <v>2569</v>
      </c>
      <c r="C1476" s="340">
        <v>25</v>
      </c>
    </row>
    <row r="1477" spans="1:3" x14ac:dyDescent="0.2">
      <c r="A1477" s="341"/>
      <c r="B1477" s="339" t="s">
        <v>425</v>
      </c>
      <c r="C1477" s="340">
        <v>18</v>
      </c>
    </row>
    <row r="1478" spans="1:3" x14ac:dyDescent="0.2">
      <c r="A1478" s="341"/>
      <c r="B1478" s="339" t="s">
        <v>398</v>
      </c>
      <c r="C1478" s="340">
        <v>10</v>
      </c>
    </row>
    <row r="1479" spans="1:3" x14ac:dyDescent="0.2">
      <c r="A1479" s="341"/>
      <c r="B1479" s="339" t="s">
        <v>361</v>
      </c>
      <c r="C1479" s="340">
        <v>6</v>
      </c>
    </row>
    <row r="1480" spans="1:3" x14ac:dyDescent="0.2">
      <c r="A1480" s="341"/>
      <c r="B1480" s="339" t="s">
        <v>376</v>
      </c>
      <c r="C1480" s="340">
        <v>5</v>
      </c>
    </row>
    <row r="1481" spans="1:3" x14ac:dyDescent="0.2">
      <c r="A1481" s="341"/>
      <c r="B1481" s="339" t="s">
        <v>2644</v>
      </c>
      <c r="C1481" s="340">
        <v>3</v>
      </c>
    </row>
    <row r="1482" spans="1:3" x14ac:dyDescent="0.2">
      <c r="A1482" s="341"/>
      <c r="B1482" s="339" t="s">
        <v>373</v>
      </c>
      <c r="C1482" s="340">
        <v>3</v>
      </c>
    </row>
    <row r="1483" spans="1:3" x14ac:dyDescent="0.2">
      <c r="A1483" s="341"/>
      <c r="B1483" s="339" t="s">
        <v>595</v>
      </c>
      <c r="C1483" s="340">
        <v>3</v>
      </c>
    </row>
    <row r="1484" spans="1:3" x14ac:dyDescent="0.2">
      <c r="A1484" s="341"/>
      <c r="B1484" s="339" t="s">
        <v>347</v>
      </c>
      <c r="C1484" s="340">
        <v>3</v>
      </c>
    </row>
    <row r="1485" spans="1:3" x14ac:dyDescent="0.2">
      <c r="A1485" s="341"/>
      <c r="B1485" s="339" t="s">
        <v>341</v>
      </c>
      <c r="C1485" s="340">
        <v>3</v>
      </c>
    </row>
    <row r="1486" spans="1:3" x14ac:dyDescent="0.2">
      <c r="A1486" s="341"/>
      <c r="B1486" s="339" t="s">
        <v>1286</v>
      </c>
      <c r="C1486" s="340">
        <v>3</v>
      </c>
    </row>
    <row r="1487" spans="1:3" x14ac:dyDescent="0.2">
      <c r="A1487" s="341"/>
      <c r="B1487" s="339" t="s">
        <v>402</v>
      </c>
      <c r="C1487" s="340">
        <v>2</v>
      </c>
    </row>
    <row r="1488" spans="1:3" x14ac:dyDescent="0.2">
      <c r="A1488" s="341"/>
      <c r="B1488" s="339" t="s">
        <v>594</v>
      </c>
      <c r="C1488" s="340">
        <v>1</v>
      </c>
    </row>
    <row r="1489" spans="1:3" x14ac:dyDescent="0.2">
      <c r="A1489" s="341"/>
      <c r="B1489" s="339" t="s">
        <v>2636</v>
      </c>
      <c r="C1489" s="340">
        <v>1</v>
      </c>
    </row>
    <row r="1490" spans="1:3" x14ac:dyDescent="0.2">
      <c r="A1490" s="341"/>
      <c r="B1490" s="339" t="s">
        <v>357</v>
      </c>
      <c r="C1490" s="340">
        <v>1</v>
      </c>
    </row>
    <row r="1491" spans="1:3" x14ac:dyDescent="0.2">
      <c r="A1491" s="341"/>
      <c r="B1491" s="339" t="s">
        <v>2583</v>
      </c>
      <c r="C1491" s="340">
        <v>1</v>
      </c>
    </row>
    <row r="1492" spans="1:3" x14ac:dyDescent="0.2">
      <c r="A1492" s="341"/>
      <c r="B1492" s="339" t="s">
        <v>596</v>
      </c>
      <c r="C1492" s="340">
        <v>1</v>
      </c>
    </row>
    <row r="1493" spans="1:3" x14ac:dyDescent="0.2">
      <c r="A1493" s="341"/>
      <c r="B1493" s="339" t="s">
        <v>375</v>
      </c>
      <c r="C1493" s="340">
        <v>1</v>
      </c>
    </row>
    <row r="1494" spans="1:3" x14ac:dyDescent="0.2">
      <c r="A1494" s="341"/>
      <c r="B1494" s="339" t="s">
        <v>2641</v>
      </c>
      <c r="C1494" s="340">
        <v>0.5</v>
      </c>
    </row>
    <row r="1495" spans="1:3" x14ac:dyDescent="0.2">
      <c r="A1495" s="341"/>
      <c r="B1495" s="339" t="s">
        <v>2645</v>
      </c>
      <c r="C1495" s="340">
        <v>0.5</v>
      </c>
    </row>
    <row r="1496" spans="1:3" x14ac:dyDescent="0.2">
      <c r="A1496" s="341"/>
      <c r="B1496" s="339" t="s">
        <v>437</v>
      </c>
      <c r="C1496" s="340">
        <v>0.5</v>
      </c>
    </row>
    <row r="1497" spans="1:3" x14ac:dyDescent="0.2">
      <c r="A1497" s="341"/>
      <c r="B1497" s="339" t="s">
        <v>358</v>
      </c>
      <c r="C1497" s="340">
        <v>0.5</v>
      </c>
    </row>
    <row r="1498" spans="1:3" x14ac:dyDescent="0.2">
      <c r="A1498" s="341"/>
      <c r="B1498" s="339" t="s">
        <v>372</v>
      </c>
      <c r="C1498" s="340">
        <v>0.5</v>
      </c>
    </row>
    <row r="1499" spans="1:3" x14ac:dyDescent="0.2">
      <c r="A1499" s="341"/>
    </row>
    <row r="1500" spans="1:3" x14ac:dyDescent="0.2">
      <c r="A1500" s="338" t="s">
        <v>2463</v>
      </c>
    </row>
    <row r="1501" spans="1:3" x14ac:dyDescent="0.2">
      <c r="A1501" s="341" t="s">
        <v>924</v>
      </c>
    </row>
    <row r="1502" spans="1:3" x14ac:dyDescent="0.2">
      <c r="A1502" s="341" t="s">
        <v>1138</v>
      </c>
    </row>
    <row r="1503" spans="1:3" x14ac:dyDescent="0.2">
      <c r="A1503" s="341" t="s">
        <v>1346</v>
      </c>
    </row>
    <row r="1504" spans="1:3" x14ac:dyDescent="0.2">
      <c r="A1504" s="341" t="s">
        <v>2526</v>
      </c>
    </row>
    <row r="1505" spans="1:3" x14ac:dyDescent="0.2">
      <c r="A1505" s="341" t="s">
        <v>2464</v>
      </c>
    </row>
    <row r="1506" spans="1:3" x14ac:dyDescent="0.2">
      <c r="A1506" s="341"/>
    </row>
    <row r="1507" spans="1:3" x14ac:dyDescent="0.2">
      <c r="A1507" s="341"/>
      <c r="B1507" s="339" t="s">
        <v>341</v>
      </c>
      <c r="C1507" s="340">
        <v>20</v>
      </c>
    </row>
    <row r="1508" spans="1:3" x14ac:dyDescent="0.2">
      <c r="A1508" s="341"/>
      <c r="B1508" s="339" t="s">
        <v>347</v>
      </c>
      <c r="C1508" s="340">
        <v>12</v>
      </c>
    </row>
    <row r="1509" spans="1:3" x14ac:dyDescent="0.2">
      <c r="A1509" s="341"/>
      <c r="B1509" s="339" t="s">
        <v>361</v>
      </c>
      <c r="C1509" s="340">
        <v>8</v>
      </c>
    </row>
    <row r="1510" spans="1:3" x14ac:dyDescent="0.2">
      <c r="A1510" s="341"/>
      <c r="B1510" s="339" t="s">
        <v>597</v>
      </c>
      <c r="C1510" s="340">
        <v>8</v>
      </c>
    </row>
    <row r="1511" spans="1:3" x14ac:dyDescent="0.2">
      <c r="A1511" s="341"/>
      <c r="B1511" s="339" t="s">
        <v>340</v>
      </c>
      <c r="C1511" s="340">
        <v>8</v>
      </c>
    </row>
    <row r="1512" spans="1:3" x14ac:dyDescent="0.2">
      <c r="A1512" s="341"/>
      <c r="B1512" s="339" t="s">
        <v>432</v>
      </c>
      <c r="C1512" s="340">
        <v>7</v>
      </c>
    </row>
    <row r="1513" spans="1:3" x14ac:dyDescent="0.2">
      <c r="A1513" s="341"/>
      <c r="B1513" s="339" t="s">
        <v>398</v>
      </c>
      <c r="C1513" s="340">
        <v>6</v>
      </c>
    </row>
    <row r="1514" spans="1:3" x14ac:dyDescent="0.2">
      <c r="A1514" s="341"/>
      <c r="B1514" s="339" t="s">
        <v>343</v>
      </c>
      <c r="C1514" s="340">
        <v>6</v>
      </c>
    </row>
    <row r="1515" spans="1:3" x14ac:dyDescent="0.2">
      <c r="A1515" s="341"/>
      <c r="B1515" s="339" t="s">
        <v>345</v>
      </c>
      <c r="C1515" s="340">
        <v>6</v>
      </c>
    </row>
    <row r="1516" spans="1:3" x14ac:dyDescent="0.2">
      <c r="A1516" s="341"/>
      <c r="B1516" s="339" t="s">
        <v>375</v>
      </c>
      <c r="C1516" s="340">
        <v>6</v>
      </c>
    </row>
    <row r="1517" spans="1:3" x14ac:dyDescent="0.2">
      <c r="A1517" s="341"/>
      <c r="B1517" s="339" t="s">
        <v>2636</v>
      </c>
      <c r="C1517" s="340">
        <v>4</v>
      </c>
    </row>
    <row r="1518" spans="1:3" x14ac:dyDescent="0.2">
      <c r="A1518" s="341"/>
      <c r="B1518" s="339" t="s">
        <v>2583</v>
      </c>
      <c r="C1518" s="340">
        <v>3</v>
      </c>
    </row>
    <row r="1519" spans="1:3" x14ac:dyDescent="0.2">
      <c r="A1519" s="341"/>
      <c r="B1519" s="339" t="s">
        <v>349</v>
      </c>
      <c r="C1519" s="340">
        <v>3</v>
      </c>
    </row>
    <row r="1520" spans="1:3" x14ac:dyDescent="0.2">
      <c r="A1520" s="341"/>
      <c r="B1520" s="339" t="s">
        <v>380</v>
      </c>
      <c r="C1520" s="340">
        <v>3</v>
      </c>
    </row>
    <row r="1521" spans="1:3" x14ac:dyDescent="0.2">
      <c r="A1521" s="341"/>
      <c r="B1521" s="339" t="s">
        <v>583</v>
      </c>
      <c r="C1521" s="340">
        <v>2</v>
      </c>
    </row>
    <row r="1522" spans="1:3" x14ac:dyDescent="0.2">
      <c r="A1522" s="341"/>
      <c r="B1522" s="339" t="s">
        <v>613</v>
      </c>
      <c r="C1522" s="340">
        <v>1</v>
      </c>
    </row>
    <row r="1523" spans="1:3" x14ac:dyDescent="0.2">
      <c r="A1523" s="341"/>
    </row>
    <row r="1524" spans="1:3" x14ac:dyDescent="0.2">
      <c r="A1524" s="338" t="s">
        <v>2465</v>
      </c>
    </row>
    <row r="1525" spans="1:3" x14ac:dyDescent="0.2">
      <c r="A1525" s="341" t="s">
        <v>925</v>
      </c>
    </row>
    <row r="1526" spans="1:3" x14ac:dyDescent="0.2">
      <c r="A1526" s="341" t="s">
        <v>1139</v>
      </c>
    </row>
    <row r="1527" spans="1:3" x14ac:dyDescent="0.2">
      <c r="A1527" s="341" t="s">
        <v>1347</v>
      </c>
    </row>
    <row r="1528" spans="1:3" x14ac:dyDescent="0.2">
      <c r="A1528" s="341" t="s">
        <v>2527</v>
      </c>
    </row>
    <row r="1529" spans="1:3" x14ac:dyDescent="0.2">
      <c r="A1529" s="341" t="s">
        <v>2466</v>
      </c>
    </row>
    <row r="1530" spans="1:3" x14ac:dyDescent="0.2">
      <c r="A1530" s="341"/>
    </row>
    <row r="1531" spans="1:3" x14ac:dyDescent="0.2">
      <c r="A1531" s="341"/>
      <c r="B1531" s="339" t="s">
        <v>336</v>
      </c>
      <c r="C1531" s="340">
        <v>40</v>
      </c>
    </row>
    <row r="1532" spans="1:3" x14ac:dyDescent="0.2">
      <c r="A1532" s="341"/>
      <c r="B1532" s="339" t="s">
        <v>337</v>
      </c>
      <c r="C1532" s="340">
        <v>15</v>
      </c>
    </row>
    <row r="1533" spans="1:3" x14ac:dyDescent="0.2">
      <c r="A1533" s="341"/>
      <c r="B1533" s="339" t="s">
        <v>332</v>
      </c>
      <c r="C1533" s="340">
        <v>10</v>
      </c>
    </row>
    <row r="1534" spans="1:3" x14ac:dyDescent="0.2">
      <c r="A1534" s="341"/>
      <c r="B1534" s="339" t="s">
        <v>1585</v>
      </c>
      <c r="C1534" s="340">
        <v>10</v>
      </c>
    </row>
    <row r="1535" spans="1:3" x14ac:dyDescent="0.2">
      <c r="A1535" s="341"/>
      <c r="B1535" s="339" t="s">
        <v>2633</v>
      </c>
      <c r="C1535" s="340">
        <v>5</v>
      </c>
    </row>
    <row r="1536" spans="1:3" x14ac:dyDescent="0.2">
      <c r="A1536" s="341"/>
      <c r="B1536" s="339" t="s">
        <v>329</v>
      </c>
      <c r="C1536" s="340">
        <v>3</v>
      </c>
    </row>
    <row r="1537" spans="1:3" x14ac:dyDescent="0.2">
      <c r="A1537" s="341"/>
      <c r="B1537" s="339" t="s">
        <v>598</v>
      </c>
      <c r="C1537" s="340">
        <v>2</v>
      </c>
    </row>
    <row r="1538" spans="1:3" x14ac:dyDescent="0.2">
      <c r="A1538" s="341"/>
      <c r="B1538" s="339" t="s">
        <v>2590</v>
      </c>
      <c r="C1538" s="340">
        <v>1</v>
      </c>
    </row>
    <row r="1539" spans="1:3" x14ac:dyDescent="0.2">
      <c r="A1539" s="341"/>
      <c r="B1539" s="339" t="s">
        <v>599</v>
      </c>
      <c r="C1539" s="340">
        <v>1</v>
      </c>
    </row>
    <row r="1540" spans="1:3" x14ac:dyDescent="0.2">
      <c r="A1540" s="341"/>
      <c r="B1540" s="339" t="s">
        <v>330</v>
      </c>
      <c r="C1540" s="340">
        <v>1</v>
      </c>
    </row>
    <row r="1541" spans="1:3" x14ac:dyDescent="0.2">
      <c r="A1541" s="341"/>
      <c r="B1541" s="339" t="s">
        <v>434</v>
      </c>
      <c r="C1541" s="340">
        <v>0.5</v>
      </c>
    </row>
    <row r="1542" spans="1:3" x14ac:dyDescent="0.2">
      <c r="A1542" s="341"/>
    </row>
    <row r="1543" spans="1:3" x14ac:dyDescent="0.2">
      <c r="A1543" s="338" t="s">
        <v>2467</v>
      </c>
    </row>
    <row r="1544" spans="1:3" x14ac:dyDescent="0.2">
      <c r="A1544" s="341" t="s">
        <v>1140</v>
      </c>
    </row>
    <row r="1545" spans="1:3" x14ac:dyDescent="0.2">
      <c r="A1545" s="341" t="s">
        <v>1141</v>
      </c>
    </row>
    <row r="1546" spans="1:3" x14ac:dyDescent="0.2">
      <c r="A1546" s="341" t="s">
        <v>1348</v>
      </c>
    </row>
    <row r="1547" spans="1:3" x14ac:dyDescent="0.2">
      <c r="A1547" s="341" t="s">
        <v>2528</v>
      </c>
    </row>
    <row r="1548" spans="1:3" x14ac:dyDescent="0.2">
      <c r="A1548" s="341" t="s">
        <v>2468</v>
      </c>
    </row>
    <row r="1549" spans="1:3" x14ac:dyDescent="0.2">
      <c r="A1549" s="341"/>
    </row>
    <row r="1550" spans="1:3" x14ac:dyDescent="0.2">
      <c r="A1550" s="341"/>
      <c r="B1550" s="339" t="s">
        <v>2660</v>
      </c>
      <c r="C1550" s="340">
        <v>25</v>
      </c>
    </row>
    <row r="1551" spans="1:3" x14ac:dyDescent="0.2">
      <c r="A1551" s="341"/>
      <c r="B1551" s="339" t="s">
        <v>3388</v>
      </c>
      <c r="C1551" s="340">
        <v>10</v>
      </c>
    </row>
    <row r="1552" spans="1:3" x14ac:dyDescent="0.2">
      <c r="A1552" s="341"/>
      <c r="B1552" s="339" t="s">
        <v>432</v>
      </c>
      <c r="C1552" s="340">
        <v>8</v>
      </c>
    </row>
    <row r="1553" spans="1:3" x14ac:dyDescent="0.2">
      <c r="A1553" s="341"/>
      <c r="B1553" s="339" t="s">
        <v>341</v>
      </c>
      <c r="C1553" s="340">
        <v>6</v>
      </c>
    </row>
    <row r="1554" spans="1:3" x14ac:dyDescent="0.2">
      <c r="A1554" s="341"/>
      <c r="B1554" s="339" t="s">
        <v>2673</v>
      </c>
      <c r="C1554" s="340">
        <v>5</v>
      </c>
    </row>
    <row r="1555" spans="1:3" x14ac:dyDescent="0.2">
      <c r="A1555" s="341"/>
      <c r="B1555" s="339" t="s">
        <v>381</v>
      </c>
      <c r="C1555" s="340">
        <v>3</v>
      </c>
    </row>
    <row r="1556" spans="1:3" x14ac:dyDescent="0.2">
      <c r="A1556" s="341"/>
      <c r="B1556" s="339" t="s">
        <v>597</v>
      </c>
      <c r="C1556" s="340">
        <v>3</v>
      </c>
    </row>
    <row r="1557" spans="1:3" x14ac:dyDescent="0.2">
      <c r="A1557" s="341"/>
      <c r="B1557" s="339" t="s">
        <v>350</v>
      </c>
      <c r="C1557" s="340">
        <v>2</v>
      </c>
    </row>
    <row r="1558" spans="1:3" x14ac:dyDescent="0.2">
      <c r="A1558" s="341"/>
      <c r="B1558" s="339" t="s">
        <v>609</v>
      </c>
      <c r="C1558" s="340">
        <v>2</v>
      </c>
    </row>
    <row r="1559" spans="1:3" x14ac:dyDescent="0.2">
      <c r="A1559" s="341"/>
      <c r="B1559" s="339" t="s">
        <v>567</v>
      </c>
      <c r="C1559" s="340">
        <v>2</v>
      </c>
    </row>
    <row r="1560" spans="1:3" x14ac:dyDescent="0.2">
      <c r="A1560" s="341"/>
      <c r="B1560" s="339" t="s">
        <v>345</v>
      </c>
      <c r="C1560" s="340">
        <v>2</v>
      </c>
    </row>
    <row r="1561" spans="1:3" x14ac:dyDescent="0.2">
      <c r="A1561" s="341"/>
      <c r="B1561" s="339" t="s">
        <v>2610</v>
      </c>
      <c r="C1561" s="340">
        <v>2</v>
      </c>
    </row>
    <row r="1562" spans="1:3" x14ac:dyDescent="0.2">
      <c r="A1562" s="341"/>
      <c r="B1562" s="339" t="s">
        <v>601</v>
      </c>
      <c r="C1562" s="340">
        <v>1</v>
      </c>
    </row>
    <row r="1563" spans="1:3" x14ac:dyDescent="0.2">
      <c r="A1563" s="341"/>
      <c r="B1563" s="339" t="s">
        <v>3151</v>
      </c>
      <c r="C1563" s="340">
        <v>1</v>
      </c>
    </row>
    <row r="1564" spans="1:3" x14ac:dyDescent="0.2">
      <c r="A1564" s="341"/>
      <c r="B1564" s="339" t="s">
        <v>2713</v>
      </c>
      <c r="C1564" s="340">
        <v>1</v>
      </c>
    </row>
    <row r="1565" spans="1:3" x14ac:dyDescent="0.2">
      <c r="A1565" s="341"/>
      <c r="B1565" s="339" t="s">
        <v>2672</v>
      </c>
      <c r="C1565" s="340">
        <v>1</v>
      </c>
    </row>
    <row r="1566" spans="1:3" x14ac:dyDescent="0.2">
      <c r="A1566" s="341"/>
      <c r="B1566" s="339" t="s">
        <v>2716</v>
      </c>
      <c r="C1566" s="340">
        <v>0.5</v>
      </c>
    </row>
    <row r="1567" spans="1:3" x14ac:dyDescent="0.2">
      <c r="A1567" s="341"/>
      <c r="B1567" s="339" t="s">
        <v>983</v>
      </c>
      <c r="C1567" s="340">
        <v>0.5</v>
      </c>
    </row>
    <row r="1568" spans="1:3" x14ac:dyDescent="0.2">
      <c r="A1568" s="341"/>
      <c r="B1568" s="339" t="s">
        <v>452</v>
      </c>
      <c r="C1568" s="340">
        <v>0.5</v>
      </c>
    </row>
    <row r="1569" spans="1:3" x14ac:dyDescent="0.2">
      <c r="A1569" s="341"/>
      <c r="B1569" s="339" t="s">
        <v>454</v>
      </c>
      <c r="C1569" s="340">
        <v>0.5</v>
      </c>
    </row>
    <row r="1570" spans="1:3" x14ac:dyDescent="0.2">
      <c r="A1570" s="341"/>
      <c r="B1570" s="339" t="s">
        <v>2659</v>
      </c>
      <c r="C1570" s="340">
        <v>0.5</v>
      </c>
    </row>
    <row r="1571" spans="1:3" x14ac:dyDescent="0.2">
      <c r="A1571" s="341"/>
      <c r="B1571" s="339" t="s">
        <v>2622</v>
      </c>
      <c r="C1571" s="340">
        <v>0.5</v>
      </c>
    </row>
    <row r="1572" spans="1:3" x14ac:dyDescent="0.2">
      <c r="A1572" s="341"/>
      <c r="B1572" s="339" t="s">
        <v>342</v>
      </c>
      <c r="C1572" s="340">
        <v>0.5</v>
      </c>
    </row>
    <row r="1573" spans="1:3" x14ac:dyDescent="0.2">
      <c r="A1573" s="341"/>
      <c r="B1573" s="339" t="s">
        <v>357</v>
      </c>
      <c r="C1573" s="340">
        <v>0.5</v>
      </c>
    </row>
    <row r="1574" spans="1:3" x14ac:dyDescent="0.2">
      <c r="A1574" s="341"/>
      <c r="B1574" s="339" t="s">
        <v>340</v>
      </c>
      <c r="C1574" s="340">
        <v>0.5</v>
      </c>
    </row>
    <row r="1575" spans="1:3" x14ac:dyDescent="0.2">
      <c r="A1575" s="341"/>
      <c r="B1575" s="339" t="s">
        <v>349</v>
      </c>
      <c r="C1575" s="340">
        <v>0.5</v>
      </c>
    </row>
    <row r="1576" spans="1:3" x14ac:dyDescent="0.2">
      <c r="A1576" s="341"/>
      <c r="B1576" s="339" t="s">
        <v>598</v>
      </c>
      <c r="C1576" s="340">
        <v>0.5</v>
      </c>
    </row>
    <row r="1577" spans="1:3" x14ac:dyDescent="0.2">
      <c r="A1577" s="341"/>
      <c r="B1577" s="339" t="s">
        <v>447</v>
      </c>
      <c r="C1577" s="340">
        <v>0.5</v>
      </c>
    </row>
    <row r="1578" spans="1:3" x14ac:dyDescent="0.2">
      <c r="A1578" s="341"/>
      <c r="B1578" s="339" t="s">
        <v>531</v>
      </c>
      <c r="C1578" s="340">
        <v>0.5</v>
      </c>
    </row>
    <row r="1579" spans="1:3" x14ac:dyDescent="0.2">
      <c r="A1579" s="341"/>
    </row>
    <row r="1580" spans="1:3" x14ac:dyDescent="0.2">
      <c r="A1580" s="338" t="s">
        <v>2469</v>
      </c>
    </row>
    <row r="1581" spans="1:3" x14ac:dyDescent="0.2">
      <c r="A1581" s="341" t="s">
        <v>1142</v>
      </c>
    </row>
    <row r="1582" spans="1:3" x14ac:dyDescent="0.2">
      <c r="A1582" s="341" t="s">
        <v>1143</v>
      </c>
    </row>
    <row r="1583" spans="1:3" x14ac:dyDescent="0.2">
      <c r="A1583" s="341" t="s">
        <v>1349</v>
      </c>
    </row>
    <row r="1584" spans="1:3" x14ac:dyDescent="0.2">
      <c r="A1584" s="341" t="s">
        <v>2529</v>
      </c>
    </row>
    <row r="1585" spans="1:3" x14ac:dyDescent="0.2">
      <c r="A1585" s="341" t="s">
        <v>617</v>
      </c>
    </row>
    <row r="1586" spans="1:3" x14ac:dyDescent="0.2">
      <c r="A1586" s="341"/>
    </row>
    <row r="1587" spans="1:3" x14ac:dyDescent="0.2">
      <c r="A1587" s="341"/>
      <c r="B1587" s="339" t="s">
        <v>3150</v>
      </c>
      <c r="C1587" s="340">
        <v>55</v>
      </c>
    </row>
    <row r="1588" spans="1:3" x14ac:dyDescent="0.2">
      <c r="A1588" s="341"/>
      <c r="B1588" s="339" t="s">
        <v>2590</v>
      </c>
      <c r="C1588" s="340">
        <v>40</v>
      </c>
    </row>
    <row r="1589" spans="1:3" x14ac:dyDescent="0.2">
      <c r="A1589" s="341"/>
      <c r="B1589" s="339" t="s">
        <v>326</v>
      </c>
      <c r="C1589" s="340">
        <v>35</v>
      </c>
    </row>
    <row r="1590" spans="1:3" x14ac:dyDescent="0.2">
      <c r="A1590" s="341"/>
      <c r="B1590" s="339" t="s">
        <v>327</v>
      </c>
      <c r="C1590" s="340">
        <v>10</v>
      </c>
    </row>
    <row r="1591" spans="1:3" x14ac:dyDescent="0.2">
      <c r="A1591" s="341"/>
      <c r="B1591" s="339" t="s">
        <v>332</v>
      </c>
      <c r="C1591" s="340">
        <v>8</v>
      </c>
    </row>
    <row r="1592" spans="1:3" x14ac:dyDescent="0.2">
      <c r="A1592" s="341"/>
      <c r="B1592" s="339" t="s">
        <v>2591</v>
      </c>
      <c r="C1592" s="340">
        <v>6</v>
      </c>
    </row>
    <row r="1593" spans="1:3" x14ac:dyDescent="0.2">
      <c r="A1593" s="341"/>
      <c r="B1593" s="339" t="s">
        <v>334</v>
      </c>
      <c r="C1593" s="340">
        <v>3</v>
      </c>
    </row>
    <row r="1594" spans="1:3" x14ac:dyDescent="0.2">
      <c r="A1594" s="341"/>
      <c r="B1594" s="339" t="s">
        <v>329</v>
      </c>
      <c r="C1594" s="340">
        <v>2</v>
      </c>
    </row>
    <row r="1595" spans="1:3" x14ac:dyDescent="0.2">
      <c r="A1595" s="341"/>
      <c r="B1595" s="339" t="s">
        <v>2632</v>
      </c>
      <c r="C1595" s="340">
        <v>0.5</v>
      </c>
    </row>
    <row r="1596" spans="1:3" x14ac:dyDescent="0.2">
      <c r="A1596" s="341"/>
      <c r="B1596" s="339" t="s">
        <v>599</v>
      </c>
      <c r="C1596" s="340">
        <v>0.5</v>
      </c>
    </row>
    <row r="1597" spans="1:3" x14ac:dyDescent="0.2">
      <c r="A1597" s="341"/>
      <c r="B1597" s="339" t="s">
        <v>2613</v>
      </c>
      <c r="C1597" s="340">
        <v>0.5</v>
      </c>
    </row>
    <row r="1598" spans="1:3" x14ac:dyDescent="0.2">
      <c r="A1598" s="341"/>
      <c r="B1598" s="339" t="s">
        <v>2568</v>
      </c>
      <c r="C1598" s="340">
        <v>0.5</v>
      </c>
    </row>
    <row r="1599" spans="1:3" x14ac:dyDescent="0.2">
      <c r="A1599" s="341"/>
    </row>
    <row r="1600" spans="1:3" x14ac:dyDescent="0.2">
      <c r="A1600" s="338" t="s">
        <v>618</v>
      </c>
    </row>
    <row r="1601" spans="1:3" x14ac:dyDescent="0.2">
      <c r="A1601" s="341" t="s">
        <v>1142</v>
      </c>
    </row>
    <row r="1602" spans="1:3" x14ac:dyDescent="0.2">
      <c r="A1602" s="341" t="s">
        <v>2102</v>
      </c>
    </row>
    <row r="1603" spans="1:3" x14ac:dyDescent="0.2">
      <c r="A1603" s="341" t="s">
        <v>1350</v>
      </c>
    </row>
    <row r="1604" spans="1:3" x14ac:dyDescent="0.2">
      <c r="A1604" s="341" t="s">
        <v>2529</v>
      </c>
    </row>
    <row r="1605" spans="1:3" x14ac:dyDescent="0.2">
      <c r="A1605" s="341" t="s">
        <v>619</v>
      </c>
    </row>
    <row r="1606" spans="1:3" x14ac:dyDescent="0.2">
      <c r="A1606" s="341"/>
    </row>
    <row r="1607" spans="1:3" x14ac:dyDescent="0.2">
      <c r="A1607" s="341"/>
      <c r="B1607" s="339" t="s">
        <v>326</v>
      </c>
      <c r="C1607" s="340">
        <v>100</v>
      </c>
    </row>
    <row r="1608" spans="1:3" x14ac:dyDescent="0.2">
      <c r="A1608" s="341"/>
      <c r="B1608" s="339" t="s">
        <v>334</v>
      </c>
      <c r="C1608" s="340">
        <v>20</v>
      </c>
    </row>
    <row r="1609" spans="1:3" x14ac:dyDescent="0.2">
      <c r="A1609" s="341"/>
      <c r="B1609" s="339" t="s">
        <v>332</v>
      </c>
      <c r="C1609" s="340">
        <v>10</v>
      </c>
    </row>
    <row r="1610" spans="1:3" x14ac:dyDescent="0.2">
      <c r="A1610" s="341"/>
      <c r="B1610" s="339" t="s">
        <v>2590</v>
      </c>
      <c r="C1610" s="340">
        <v>7</v>
      </c>
    </row>
    <row r="1611" spans="1:3" x14ac:dyDescent="0.2">
      <c r="A1611" s="341"/>
      <c r="B1611" s="339" t="s">
        <v>329</v>
      </c>
      <c r="C1611" s="340">
        <v>2</v>
      </c>
    </row>
    <row r="1612" spans="1:3" x14ac:dyDescent="0.2">
      <c r="A1612" s="341"/>
      <c r="B1612" s="339" t="s">
        <v>327</v>
      </c>
      <c r="C1612" s="340">
        <v>2</v>
      </c>
    </row>
    <row r="1613" spans="1:3" x14ac:dyDescent="0.2">
      <c r="A1613" s="341"/>
      <c r="B1613" s="339" t="s">
        <v>2591</v>
      </c>
      <c r="C1613" s="340">
        <v>0.5</v>
      </c>
    </row>
    <row r="1614" spans="1:3" x14ac:dyDescent="0.2">
      <c r="A1614" s="341"/>
    </row>
    <row r="1615" spans="1:3" x14ac:dyDescent="0.2">
      <c r="A1615" s="338" t="s">
        <v>620</v>
      </c>
    </row>
    <row r="1616" spans="1:3" x14ac:dyDescent="0.2">
      <c r="A1616" s="341" t="s">
        <v>2103</v>
      </c>
    </row>
    <row r="1617" spans="1:3" x14ac:dyDescent="0.2">
      <c r="A1617" s="341" t="s">
        <v>2104</v>
      </c>
    </row>
    <row r="1618" spans="1:3" x14ac:dyDescent="0.2">
      <c r="A1618" s="341" t="s">
        <v>1351</v>
      </c>
    </row>
    <row r="1619" spans="1:3" x14ac:dyDescent="0.2">
      <c r="A1619" s="341" t="s">
        <v>2530</v>
      </c>
    </row>
    <row r="1620" spans="1:3" x14ac:dyDescent="0.2">
      <c r="A1620" s="341" t="s">
        <v>621</v>
      </c>
    </row>
    <row r="1621" spans="1:3" x14ac:dyDescent="0.2">
      <c r="A1621" s="341"/>
    </row>
    <row r="1622" spans="1:3" x14ac:dyDescent="0.2">
      <c r="A1622" s="341"/>
      <c r="B1622" s="339" t="s">
        <v>361</v>
      </c>
      <c r="C1622" s="340">
        <v>40</v>
      </c>
    </row>
    <row r="1623" spans="1:3" x14ac:dyDescent="0.2">
      <c r="A1623" s="341"/>
      <c r="B1623" s="339" t="s">
        <v>341</v>
      </c>
      <c r="C1623" s="340">
        <v>20</v>
      </c>
    </row>
    <row r="1624" spans="1:3" x14ac:dyDescent="0.2">
      <c r="A1624" s="341"/>
      <c r="B1624" s="339" t="s">
        <v>2583</v>
      </c>
      <c r="C1624" s="340">
        <v>19</v>
      </c>
    </row>
    <row r="1625" spans="1:3" x14ac:dyDescent="0.2">
      <c r="A1625" s="341"/>
      <c r="B1625" s="339" t="s">
        <v>402</v>
      </c>
      <c r="C1625" s="340">
        <v>18</v>
      </c>
    </row>
    <row r="1626" spans="1:3" x14ac:dyDescent="0.2">
      <c r="A1626" s="341"/>
      <c r="B1626" s="339" t="s">
        <v>342</v>
      </c>
      <c r="C1626" s="340">
        <v>14</v>
      </c>
    </row>
    <row r="1627" spans="1:3" x14ac:dyDescent="0.2">
      <c r="A1627" s="341"/>
      <c r="B1627" s="339" t="s">
        <v>2581</v>
      </c>
      <c r="C1627" s="340">
        <v>10</v>
      </c>
    </row>
    <row r="1628" spans="1:3" x14ac:dyDescent="0.2">
      <c r="A1628" s="341"/>
      <c r="B1628" s="339" t="s">
        <v>358</v>
      </c>
      <c r="C1628" s="340">
        <v>9</v>
      </c>
    </row>
    <row r="1629" spans="1:3" x14ac:dyDescent="0.2">
      <c r="A1629" s="341"/>
      <c r="B1629" s="339" t="s">
        <v>364</v>
      </c>
      <c r="C1629" s="340">
        <v>8</v>
      </c>
    </row>
    <row r="1630" spans="1:3" x14ac:dyDescent="0.2">
      <c r="A1630" s="341"/>
      <c r="B1630" s="339" t="s">
        <v>340</v>
      </c>
      <c r="C1630" s="340">
        <v>6</v>
      </c>
    </row>
    <row r="1631" spans="1:3" x14ac:dyDescent="0.2">
      <c r="A1631" s="341"/>
      <c r="B1631" s="339" t="s">
        <v>350</v>
      </c>
      <c r="C1631" s="340">
        <v>5</v>
      </c>
    </row>
    <row r="1632" spans="1:3" x14ac:dyDescent="0.2">
      <c r="A1632" s="341"/>
      <c r="B1632" s="339" t="s">
        <v>369</v>
      </c>
      <c r="C1632" s="340">
        <v>3</v>
      </c>
    </row>
    <row r="1633" spans="1:3" x14ac:dyDescent="0.2">
      <c r="A1633" s="341"/>
      <c r="B1633" s="339" t="s">
        <v>2582</v>
      </c>
      <c r="C1633" s="340">
        <v>3</v>
      </c>
    </row>
    <row r="1634" spans="1:3" x14ac:dyDescent="0.2">
      <c r="A1634" s="341"/>
      <c r="B1634" s="339" t="s">
        <v>366</v>
      </c>
      <c r="C1634" s="340">
        <v>0.5</v>
      </c>
    </row>
    <row r="1635" spans="1:3" x14ac:dyDescent="0.2">
      <c r="A1635" s="341"/>
      <c r="B1635" s="339" t="s">
        <v>356</v>
      </c>
      <c r="C1635" s="340">
        <v>0.5</v>
      </c>
    </row>
    <row r="1636" spans="1:3" x14ac:dyDescent="0.2">
      <c r="A1636" s="341"/>
      <c r="B1636" s="339" t="s">
        <v>353</v>
      </c>
      <c r="C1636" s="340">
        <v>0.5</v>
      </c>
    </row>
    <row r="1637" spans="1:3" x14ac:dyDescent="0.2">
      <c r="A1637" s="341"/>
      <c r="B1637" s="339" t="s">
        <v>3151</v>
      </c>
      <c r="C1637" s="340">
        <v>0.5</v>
      </c>
    </row>
    <row r="1638" spans="1:3" x14ac:dyDescent="0.2">
      <c r="A1638" s="341"/>
      <c r="B1638" s="339" t="s">
        <v>349</v>
      </c>
      <c r="C1638" s="340">
        <v>0.5</v>
      </c>
    </row>
    <row r="1639" spans="1:3" x14ac:dyDescent="0.2">
      <c r="A1639" s="341"/>
      <c r="B1639" s="339" t="s">
        <v>2666</v>
      </c>
      <c r="C1639" s="340">
        <v>0.5</v>
      </c>
    </row>
    <row r="1640" spans="1:3" x14ac:dyDescent="0.2">
      <c r="A1640" s="341"/>
      <c r="B1640" s="339" t="s">
        <v>2589</v>
      </c>
      <c r="C1640" s="340">
        <v>0.5</v>
      </c>
    </row>
    <row r="1641" spans="1:3" x14ac:dyDescent="0.2">
      <c r="A1641" s="341"/>
    </row>
    <row r="1642" spans="1:3" x14ac:dyDescent="0.2">
      <c r="A1642" s="338" t="s">
        <v>622</v>
      </c>
    </row>
    <row r="1643" spans="1:3" x14ac:dyDescent="0.2">
      <c r="A1643" s="341" t="s">
        <v>2105</v>
      </c>
    </row>
    <row r="1644" spans="1:3" x14ac:dyDescent="0.2">
      <c r="A1644" s="341" t="s">
        <v>2106</v>
      </c>
    </row>
    <row r="1645" spans="1:3" x14ac:dyDescent="0.2">
      <c r="A1645" s="341" t="s">
        <v>1352</v>
      </c>
    </row>
    <row r="1646" spans="1:3" x14ac:dyDescent="0.2">
      <c r="A1646" s="341" t="s">
        <v>2530</v>
      </c>
    </row>
    <row r="1647" spans="1:3" x14ac:dyDescent="0.2">
      <c r="A1647" s="341" t="s">
        <v>623</v>
      </c>
    </row>
    <row r="1648" spans="1:3" x14ac:dyDescent="0.2">
      <c r="A1648" s="341"/>
    </row>
    <row r="1649" spans="1:3" x14ac:dyDescent="0.2">
      <c r="A1649" s="341"/>
      <c r="B1649" s="339" t="s">
        <v>601</v>
      </c>
      <c r="C1649" s="340">
        <v>40</v>
      </c>
    </row>
    <row r="1650" spans="1:3" x14ac:dyDescent="0.2">
      <c r="A1650" s="341"/>
      <c r="B1650" s="339" t="s">
        <v>2328</v>
      </c>
      <c r="C1650" s="340">
        <v>20</v>
      </c>
    </row>
    <row r="1651" spans="1:3" x14ac:dyDescent="0.2">
      <c r="A1651" s="341"/>
      <c r="B1651" s="339" t="s">
        <v>342</v>
      </c>
      <c r="C1651" s="340">
        <v>14</v>
      </c>
    </row>
    <row r="1652" spans="1:3" x14ac:dyDescent="0.2">
      <c r="A1652" s="341"/>
      <c r="B1652" s="339" t="s">
        <v>447</v>
      </c>
      <c r="C1652" s="340">
        <v>11</v>
      </c>
    </row>
    <row r="1653" spans="1:3" x14ac:dyDescent="0.2">
      <c r="A1653" s="341"/>
      <c r="B1653" s="339" t="s">
        <v>364</v>
      </c>
      <c r="C1653" s="340">
        <v>11</v>
      </c>
    </row>
    <row r="1654" spans="1:3" x14ac:dyDescent="0.2">
      <c r="A1654" s="341"/>
      <c r="B1654" s="339" t="s">
        <v>362</v>
      </c>
      <c r="C1654" s="340">
        <v>8</v>
      </c>
    </row>
    <row r="1655" spans="1:3" x14ac:dyDescent="0.2">
      <c r="A1655" s="341"/>
      <c r="B1655" s="339" t="s">
        <v>350</v>
      </c>
      <c r="C1655" s="340">
        <v>7</v>
      </c>
    </row>
    <row r="1656" spans="1:3" x14ac:dyDescent="0.2">
      <c r="A1656" s="341"/>
      <c r="B1656" s="339" t="s">
        <v>3388</v>
      </c>
      <c r="C1656" s="340">
        <v>6</v>
      </c>
    </row>
    <row r="1657" spans="1:3" x14ac:dyDescent="0.2">
      <c r="A1657" s="341"/>
      <c r="B1657" s="339" t="s">
        <v>2588</v>
      </c>
      <c r="C1657" s="340">
        <v>6</v>
      </c>
    </row>
    <row r="1658" spans="1:3" x14ac:dyDescent="0.2">
      <c r="A1658" s="341"/>
      <c r="B1658" s="339" t="s">
        <v>2660</v>
      </c>
      <c r="C1658" s="340">
        <v>6</v>
      </c>
    </row>
    <row r="1659" spans="1:3" x14ac:dyDescent="0.2">
      <c r="A1659" s="341"/>
      <c r="B1659" s="339" t="s">
        <v>360</v>
      </c>
      <c r="C1659" s="340">
        <v>6</v>
      </c>
    </row>
    <row r="1660" spans="1:3" x14ac:dyDescent="0.2">
      <c r="A1660" s="341"/>
      <c r="B1660" s="339" t="s">
        <v>361</v>
      </c>
      <c r="C1660" s="340">
        <v>4</v>
      </c>
    </row>
    <row r="1661" spans="1:3" x14ac:dyDescent="0.2">
      <c r="A1661" s="341"/>
      <c r="B1661" s="339" t="s">
        <v>600</v>
      </c>
      <c r="C1661" s="340">
        <v>3</v>
      </c>
    </row>
    <row r="1662" spans="1:3" x14ac:dyDescent="0.2">
      <c r="A1662" s="341"/>
      <c r="B1662" s="339" t="s">
        <v>349</v>
      </c>
      <c r="C1662" s="340">
        <v>3</v>
      </c>
    </row>
    <row r="1663" spans="1:3" x14ac:dyDescent="0.2">
      <c r="A1663" s="341"/>
      <c r="B1663" s="339" t="s">
        <v>358</v>
      </c>
      <c r="C1663" s="340">
        <v>3</v>
      </c>
    </row>
    <row r="1664" spans="1:3" x14ac:dyDescent="0.2">
      <c r="A1664" s="341"/>
      <c r="B1664" s="339" t="s">
        <v>2641</v>
      </c>
      <c r="C1664" s="340">
        <v>2</v>
      </c>
    </row>
    <row r="1665" spans="1:3" x14ac:dyDescent="0.2">
      <c r="A1665" s="341"/>
      <c r="B1665" s="339" t="s">
        <v>2634</v>
      </c>
      <c r="C1665" s="340">
        <v>2</v>
      </c>
    </row>
    <row r="1666" spans="1:3" x14ac:dyDescent="0.2">
      <c r="A1666" s="341"/>
      <c r="B1666" s="339" t="s">
        <v>2713</v>
      </c>
      <c r="C1666" s="340">
        <v>2</v>
      </c>
    </row>
    <row r="1667" spans="1:3" x14ac:dyDescent="0.2">
      <c r="A1667" s="341"/>
      <c r="B1667" s="339" t="s">
        <v>567</v>
      </c>
      <c r="C1667" s="340">
        <v>2</v>
      </c>
    </row>
    <row r="1668" spans="1:3" x14ac:dyDescent="0.2">
      <c r="A1668" s="341"/>
      <c r="B1668" s="339" t="s">
        <v>2642</v>
      </c>
      <c r="C1668" s="340">
        <v>1</v>
      </c>
    </row>
    <row r="1669" spans="1:3" x14ac:dyDescent="0.2">
      <c r="A1669" s="341"/>
      <c r="B1669" s="339" t="s">
        <v>454</v>
      </c>
      <c r="C1669" s="340">
        <v>1</v>
      </c>
    </row>
    <row r="1670" spans="1:3" x14ac:dyDescent="0.2">
      <c r="A1670" s="341"/>
      <c r="B1670" s="339" t="s">
        <v>2575</v>
      </c>
      <c r="C1670" s="340">
        <v>1</v>
      </c>
    </row>
    <row r="1671" spans="1:3" x14ac:dyDescent="0.2">
      <c r="A1671" s="341"/>
      <c r="B1671" s="339" t="s">
        <v>983</v>
      </c>
      <c r="C1671" s="340">
        <v>0.5</v>
      </c>
    </row>
    <row r="1672" spans="1:3" x14ac:dyDescent="0.2">
      <c r="A1672" s="341"/>
      <c r="B1672" s="339" t="s">
        <v>2638</v>
      </c>
      <c r="C1672" s="340">
        <v>0.5</v>
      </c>
    </row>
    <row r="1673" spans="1:3" x14ac:dyDescent="0.2">
      <c r="A1673" s="341"/>
      <c r="B1673" s="339" t="s">
        <v>452</v>
      </c>
      <c r="C1673" s="340">
        <v>0.5</v>
      </c>
    </row>
    <row r="1674" spans="1:3" x14ac:dyDescent="0.2">
      <c r="A1674" s="341"/>
      <c r="B1674" s="339" t="s">
        <v>3151</v>
      </c>
      <c r="C1674" s="340">
        <v>0.5</v>
      </c>
    </row>
    <row r="1675" spans="1:3" x14ac:dyDescent="0.2">
      <c r="A1675" s="341"/>
      <c r="B1675" s="339" t="s">
        <v>613</v>
      </c>
      <c r="C1675" s="340">
        <v>0.5</v>
      </c>
    </row>
    <row r="1676" spans="1:3" x14ac:dyDescent="0.2">
      <c r="A1676" s="341"/>
      <c r="B1676" s="339" t="s">
        <v>327</v>
      </c>
      <c r="C1676" s="340">
        <v>0.5</v>
      </c>
    </row>
    <row r="1677" spans="1:3" x14ac:dyDescent="0.2">
      <c r="A1677" s="341"/>
      <c r="B1677" s="339" t="s">
        <v>345</v>
      </c>
      <c r="C1677" s="340">
        <v>0.5</v>
      </c>
    </row>
    <row r="1678" spans="1:3" x14ac:dyDescent="0.2">
      <c r="A1678" s="341"/>
      <c r="B1678" s="339" t="s">
        <v>432</v>
      </c>
      <c r="C1678" s="340">
        <v>0.5</v>
      </c>
    </row>
    <row r="1679" spans="1:3" x14ac:dyDescent="0.2">
      <c r="A1679" s="341"/>
    </row>
    <row r="1680" spans="1:3" x14ac:dyDescent="0.2">
      <c r="A1680" s="338" t="s">
        <v>624</v>
      </c>
    </row>
    <row r="1681" spans="1:3" x14ac:dyDescent="0.2">
      <c r="A1681" s="341" t="s">
        <v>2105</v>
      </c>
    </row>
    <row r="1682" spans="1:3" x14ac:dyDescent="0.2">
      <c r="A1682" s="341" t="s">
        <v>2107</v>
      </c>
    </row>
    <row r="1683" spans="1:3" x14ac:dyDescent="0.2">
      <c r="A1683" s="341" t="s">
        <v>1353</v>
      </c>
    </row>
    <row r="1684" spans="1:3" x14ac:dyDescent="0.2">
      <c r="A1684" s="341" t="s">
        <v>2531</v>
      </c>
    </row>
    <row r="1685" spans="1:3" x14ac:dyDescent="0.2">
      <c r="A1685" s="341" t="s">
        <v>625</v>
      </c>
    </row>
    <row r="1686" spans="1:3" x14ac:dyDescent="0.2">
      <c r="A1686" s="341"/>
    </row>
    <row r="1687" spans="1:3" x14ac:dyDescent="0.2">
      <c r="A1687" s="341"/>
      <c r="B1687" s="339" t="s">
        <v>454</v>
      </c>
      <c r="C1687" s="340">
        <v>55</v>
      </c>
    </row>
    <row r="1688" spans="1:3" x14ac:dyDescent="0.2">
      <c r="A1688" s="341"/>
      <c r="B1688" s="339" t="s">
        <v>432</v>
      </c>
      <c r="C1688" s="340">
        <v>30</v>
      </c>
    </row>
    <row r="1689" spans="1:3" x14ac:dyDescent="0.2">
      <c r="A1689" s="341"/>
      <c r="B1689" s="339" t="s">
        <v>567</v>
      </c>
      <c r="C1689" s="340">
        <v>10</v>
      </c>
    </row>
    <row r="1690" spans="1:3" x14ac:dyDescent="0.2">
      <c r="A1690" s="341"/>
      <c r="B1690" s="339" t="s">
        <v>447</v>
      </c>
      <c r="C1690" s="340">
        <v>10</v>
      </c>
    </row>
    <row r="1691" spans="1:3" x14ac:dyDescent="0.2">
      <c r="A1691" s="341"/>
      <c r="B1691" s="339" t="s">
        <v>342</v>
      </c>
      <c r="C1691" s="340">
        <v>8</v>
      </c>
    </row>
    <row r="1692" spans="1:3" x14ac:dyDescent="0.2">
      <c r="A1692" s="341"/>
      <c r="B1692" s="339" t="s">
        <v>386</v>
      </c>
      <c r="C1692" s="340">
        <v>6</v>
      </c>
    </row>
    <row r="1693" spans="1:3" x14ac:dyDescent="0.2">
      <c r="A1693" s="341"/>
      <c r="B1693" s="339" t="s">
        <v>2579</v>
      </c>
      <c r="C1693" s="340">
        <v>6</v>
      </c>
    </row>
    <row r="1694" spans="1:3" x14ac:dyDescent="0.2">
      <c r="A1694" s="341"/>
      <c r="B1694" s="339" t="s">
        <v>355</v>
      </c>
      <c r="C1694" s="340">
        <v>4</v>
      </c>
    </row>
    <row r="1695" spans="1:3" x14ac:dyDescent="0.2">
      <c r="A1695" s="341"/>
      <c r="B1695" s="339" t="s">
        <v>347</v>
      </c>
      <c r="C1695" s="340">
        <v>3</v>
      </c>
    </row>
    <row r="1696" spans="1:3" x14ac:dyDescent="0.2">
      <c r="A1696" s="341"/>
      <c r="B1696" s="339" t="s">
        <v>349</v>
      </c>
      <c r="C1696" s="340">
        <v>3</v>
      </c>
    </row>
    <row r="1697" spans="1:3" x14ac:dyDescent="0.2">
      <c r="A1697" s="341"/>
      <c r="B1697" s="339" t="s">
        <v>593</v>
      </c>
      <c r="C1697" s="340">
        <v>3</v>
      </c>
    </row>
    <row r="1698" spans="1:3" x14ac:dyDescent="0.2">
      <c r="A1698" s="341"/>
      <c r="B1698" s="339" t="s">
        <v>345</v>
      </c>
      <c r="C1698" s="340">
        <v>2</v>
      </c>
    </row>
    <row r="1699" spans="1:3" x14ac:dyDescent="0.2">
      <c r="A1699" s="341"/>
      <c r="B1699" s="339" t="s">
        <v>600</v>
      </c>
      <c r="C1699" s="340">
        <v>1</v>
      </c>
    </row>
    <row r="1700" spans="1:3" x14ac:dyDescent="0.2">
      <c r="A1700" s="341"/>
      <c r="B1700" s="339" t="s">
        <v>350</v>
      </c>
      <c r="C1700" s="340">
        <v>1</v>
      </c>
    </row>
    <row r="1701" spans="1:3" x14ac:dyDescent="0.2">
      <c r="A1701" s="341"/>
      <c r="B1701" s="339" t="s">
        <v>2577</v>
      </c>
      <c r="C1701" s="340">
        <v>1</v>
      </c>
    </row>
    <row r="1702" spans="1:3" x14ac:dyDescent="0.2">
      <c r="A1702" s="341"/>
      <c r="B1702" s="339" t="s">
        <v>381</v>
      </c>
      <c r="C1702" s="340">
        <v>1</v>
      </c>
    </row>
    <row r="1703" spans="1:3" x14ac:dyDescent="0.2">
      <c r="A1703" s="341"/>
      <c r="B1703" s="339" t="s">
        <v>2634</v>
      </c>
      <c r="C1703" s="340">
        <v>0.5</v>
      </c>
    </row>
    <row r="1704" spans="1:3" x14ac:dyDescent="0.2">
      <c r="A1704" s="341"/>
      <c r="B1704" s="339" t="s">
        <v>403</v>
      </c>
      <c r="C1704" s="340">
        <v>0.5</v>
      </c>
    </row>
    <row r="1705" spans="1:3" x14ac:dyDescent="0.2">
      <c r="A1705" s="341"/>
      <c r="B1705" s="339" t="s">
        <v>421</v>
      </c>
      <c r="C1705" s="340">
        <v>0.5</v>
      </c>
    </row>
    <row r="1706" spans="1:3" x14ac:dyDescent="0.2">
      <c r="A1706" s="341"/>
      <c r="B1706" s="339" t="s">
        <v>613</v>
      </c>
      <c r="C1706" s="340">
        <v>0.5</v>
      </c>
    </row>
    <row r="1707" spans="1:3" x14ac:dyDescent="0.2">
      <c r="A1707" s="341"/>
      <c r="B1707" s="339" t="s">
        <v>984</v>
      </c>
      <c r="C1707" s="340">
        <v>0.5</v>
      </c>
    </row>
    <row r="1708" spans="1:3" x14ac:dyDescent="0.2">
      <c r="A1708" s="341"/>
    </row>
    <row r="1709" spans="1:3" x14ac:dyDescent="0.2">
      <c r="A1709" s="338" t="s">
        <v>626</v>
      </c>
    </row>
    <row r="1710" spans="1:3" x14ac:dyDescent="0.2">
      <c r="A1710" s="341" t="s">
        <v>2108</v>
      </c>
    </row>
    <row r="1711" spans="1:3" x14ac:dyDescent="0.2">
      <c r="A1711" s="341" t="s">
        <v>2109</v>
      </c>
    </row>
    <row r="1712" spans="1:3" x14ac:dyDescent="0.2">
      <c r="A1712" s="341" t="s">
        <v>1354</v>
      </c>
    </row>
    <row r="1713" spans="1:3" x14ac:dyDescent="0.2">
      <c r="A1713" s="341" t="s">
        <v>2530</v>
      </c>
    </row>
    <row r="1714" spans="1:3" x14ac:dyDescent="0.2">
      <c r="A1714" s="341" t="s">
        <v>627</v>
      </c>
    </row>
    <row r="1715" spans="1:3" x14ac:dyDescent="0.2">
      <c r="A1715" s="341"/>
    </row>
    <row r="1716" spans="1:3" x14ac:dyDescent="0.2">
      <c r="A1716" s="341"/>
      <c r="B1716" s="339" t="s">
        <v>395</v>
      </c>
      <c r="C1716" s="340">
        <v>55</v>
      </c>
    </row>
    <row r="1717" spans="1:3" x14ac:dyDescent="0.2">
      <c r="A1717" s="341"/>
      <c r="B1717" s="339" t="s">
        <v>376</v>
      </c>
      <c r="C1717" s="340">
        <v>30</v>
      </c>
    </row>
    <row r="1718" spans="1:3" x14ac:dyDescent="0.2">
      <c r="A1718" s="341"/>
      <c r="B1718" s="339" t="s">
        <v>2575</v>
      </c>
      <c r="C1718" s="340">
        <v>10</v>
      </c>
    </row>
    <row r="1719" spans="1:3" x14ac:dyDescent="0.2">
      <c r="A1719" s="341"/>
      <c r="B1719" s="339" t="s">
        <v>2667</v>
      </c>
      <c r="C1719" s="340">
        <v>6</v>
      </c>
    </row>
    <row r="1720" spans="1:3" x14ac:dyDescent="0.2">
      <c r="A1720" s="341"/>
      <c r="B1720" s="339" t="s">
        <v>364</v>
      </c>
      <c r="C1720" s="340">
        <v>4</v>
      </c>
    </row>
    <row r="1721" spans="1:3" x14ac:dyDescent="0.2">
      <c r="A1721" s="341"/>
      <c r="B1721" s="339" t="s">
        <v>597</v>
      </c>
      <c r="C1721" s="340">
        <v>3</v>
      </c>
    </row>
    <row r="1722" spans="1:3" x14ac:dyDescent="0.2">
      <c r="A1722" s="341"/>
      <c r="B1722" s="339" t="s">
        <v>340</v>
      </c>
      <c r="C1722" s="340">
        <v>3</v>
      </c>
    </row>
    <row r="1723" spans="1:3" x14ac:dyDescent="0.2">
      <c r="A1723" s="341"/>
      <c r="B1723" s="339" t="s">
        <v>369</v>
      </c>
      <c r="C1723" s="340">
        <v>2</v>
      </c>
    </row>
    <row r="1724" spans="1:3" x14ac:dyDescent="0.2">
      <c r="A1724" s="341"/>
      <c r="B1724" s="339" t="s">
        <v>341</v>
      </c>
      <c r="C1724" s="340">
        <v>2</v>
      </c>
    </row>
    <row r="1725" spans="1:3" x14ac:dyDescent="0.2">
      <c r="A1725" s="341"/>
      <c r="B1725" s="339" t="s">
        <v>357</v>
      </c>
      <c r="C1725" s="340">
        <v>2</v>
      </c>
    </row>
    <row r="1726" spans="1:3" x14ac:dyDescent="0.2">
      <c r="A1726" s="341"/>
      <c r="B1726" s="339" t="s">
        <v>347</v>
      </c>
      <c r="C1726" s="340">
        <v>1</v>
      </c>
    </row>
    <row r="1727" spans="1:3" x14ac:dyDescent="0.2">
      <c r="A1727" s="341"/>
      <c r="B1727" s="339" t="s">
        <v>2582</v>
      </c>
      <c r="C1727" s="340">
        <v>1</v>
      </c>
    </row>
    <row r="1728" spans="1:3" x14ac:dyDescent="0.2">
      <c r="A1728" s="341"/>
      <c r="B1728" s="339" t="s">
        <v>2610</v>
      </c>
      <c r="C1728" s="340">
        <v>1</v>
      </c>
    </row>
    <row r="1729" spans="1:3" x14ac:dyDescent="0.2">
      <c r="A1729" s="341"/>
      <c r="B1729" s="339" t="s">
        <v>2631</v>
      </c>
      <c r="C1729" s="340">
        <v>0.5</v>
      </c>
    </row>
    <row r="1730" spans="1:3" x14ac:dyDescent="0.2">
      <c r="A1730" s="341"/>
      <c r="B1730" s="339" t="s">
        <v>2573</v>
      </c>
      <c r="C1730" s="340">
        <v>0.5</v>
      </c>
    </row>
    <row r="1731" spans="1:3" x14ac:dyDescent="0.2">
      <c r="A1731" s="341"/>
      <c r="B1731" s="339" t="s">
        <v>403</v>
      </c>
      <c r="C1731" s="340">
        <v>0.5</v>
      </c>
    </row>
    <row r="1732" spans="1:3" x14ac:dyDescent="0.2">
      <c r="A1732" s="341"/>
      <c r="B1732" s="339" t="s">
        <v>609</v>
      </c>
      <c r="C1732" s="340">
        <v>0.5</v>
      </c>
    </row>
    <row r="1733" spans="1:3" x14ac:dyDescent="0.2">
      <c r="A1733" s="341"/>
      <c r="B1733" s="339" t="s">
        <v>2623</v>
      </c>
      <c r="C1733" s="340">
        <v>0.5</v>
      </c>
    </row>
    <row r="1734" spans="1:3" x14ac:dyDescent="0.2">
      <c r="A1734" s="341"/>
      <c r="B1734" s="339" t="s">
        <v>349</v>
      </c>
      <c r="C1734" s="340">
        <v>0.5</v>
      </c>
    </row>
    <row r="1735" spans="1:3" x14ac:dyDescent="0.2">
      <c r="A1735" s="341"/>
      <c r="B1735" s="339" t="s">
        <v>2666</v>
      </c>
      <c r="C1735" s="340">
        <v>0.5</v>
      </c>
    </row>
    <row r="1736" spans="1:3" x14ac:dyDescent="0.2">
      <c r="A1736" s="341"/>
      <c r="B1736" s="339" t="s">
        <v>593</v>
      </c>
      <c r="C1736" s="340">
        <v>0.5</v>
      </c>
    </row>
    <row r="1737" spans="1:3" x14ac:dyDescent="0.2">
      <c r="A1737" s="341"/>
    </row>
    <row r="1738" spans="1:3" x14ac:dyDescent="0.2">
      <c r="A1738" s="338" t="s">
        <v>628</v>
      </c>
    </row>
    <row r="1739" spans="1:3" x14ac:dyDescent="0.2">
      <c r="A1739" s="341" t="s">
        <v>2110</v>
      </c>
    </row>
    <row r="1740" spans="1:3" x14ac:dyDescent="0.2">
      <c r="A1740" s="341" t="s">
        <v>2111</v>
      </c>
    </row>
    <row r="1741" spans="1:3" x14ac:dyDescent="0.2">
      <c r="A1741" s="341" t="s">
        <v>1355</v>
      </c>
    </row>
    <row r="1742" spans="1:3" x14ac:dyDescent="0.2">
      <c r="A1742" s="341" t="s">
        <v>2532</v>
      </c>
    </row>
    <row r="1743" spans="1:3" x14ac:dyDescent="0.2">
      <c r="A1743" s="341" t="s">
        <v>629</v>
      </c>
    </row>
    <row r="1744" spans="1:3" x14ac:dyDescent="0.2">
      <c r="A1744" s="341"/>
    </row>
    <row r="1745" spans="1:3" x14ac:dyDescent="0.2">
      <c r="A1745" s="341"/>
      <c r="B1745" s="339" t="s">
        <v>445</v>
      </c>
      <c r="C1745" s="340">
        <v>45</v>
      </c>
    </row>
    <row r="1746" spans="1:3" x14ac:dyDescent="0.2">
      <c r="A1746" s="341"/>
      <c r="B1746" s="339" t="s">
        <v>343</v>
      </c>
      <c r="C1746" s="340">
        <v>18</v>
      </c>
    </row>
    <row r="1747" spans="1:3" x14ac:dyDescent="0.2">
      <c r="A1747" s="341"/>
      <c r="B1747" s="339" t="s">
        <v>400</v>
      </c>
      <c r="C1747" s="340">
        <v>17</v>
      </c>
    </row>
    <row r="1748" spans="1:3" x14ac:dyDescent="0.2">
      <c r="A1748" s="341"/>
      <c r="B1748" s="339" t="s">
        <v>340</v>
      </c>
      <c r="C1748" s="340">
        <v>16</v>
      </c>
    </row>
    <row r="1749" spans="1:3" x14ac:dyDescent="0.2">
      <c r="A1749" s="341"/>
      <c r="B1749" s="339" t="s">
        <v>1583</v>
      </c>
      <c r="C1749" s="340">
        <v>12</v>
      </c>
    </row>
    <row r="1750" spans="1:3" x14ac:dyDescent="0.2">
      <c r="A1750" s="341"/>
      <c r="B1750" s="339" t="s">
        <v>398</v>
      </c>
      <c r="C1750" s="340">
        <v>11</v>
      </c>
    </row>
    <row r="1751" spans="1:3" x14ac:dyDescent="0.2">
      <c r="A1751" s="341"/>
      <c r="B1751" s="339" t="s">
        <v>2639</v>
      </c>
      <c r="C1751" s="340">
        <v>10</v>
      </c>
    </row>
    <row r="1752" spans="1:3" x14ac:dyDescent="0.2">
      <c r="A1752" s="341"/>
      <c r="B1752" s="339" t="s">
        <v>376</v>
      </c>
      <c r="C1752" s="340">
        <v>8</v>
      </c>
    </row>
    <row r="1753" spans="1:3" x14ac:dyDescent="0.2">
      <c r="A1753" s="341"/>
      <c r="B1753" s="339" t="s">
        <v>447</v>
      </c>
      <c r="C1753" s="340">
        <v>8</v>
      </c>
    </row>
    <row r="1754" spans="1:3" x14ac:dyDescent="0.2">
      <c r="A1754" s="341"/>
      <c r="B1754" s="339" t="s">
        <v>364</v>
      </c>
      <c r="C1754" s="340">
        <v>8</v>
      </c>
    </row>
    <row r="1755" spans="1:3" x14ac:dyDescent="0.2">
      <c r="A1755" s="341"/>
      <c r="B1755" s="339" t="s">
        <v>448</v>
      </c>
      <c r="C1755" s="340">
        <v>4</v>
      </c>
    </row>
    <row r="1756" spans="1:3" x14ac:dyDescent="0.2">
      <c r="A1756" s="341"/>
      <c r="B1756" s="339" t="s">
        <v>2575</v>
      </c>
      <c r="C1756" s="340">
        <v>3</v>
      </c>
    </row>
    <row r="1757" spans="1:3" x14ac:dyDescent="0.2">
      <c r="A1757" s="341"/>
      <c r="B1757" s="339" t="s">
        <v>593</v>
      </c>
      <c r="C1757" s="340">
        <v>1</v>
      </c>
    </row>
    <row r="1758" spans="1:3" x14ac:dyDescent="0.2">
      <c r="A1758" s="341"/>
      <c r="B1758" s="339" t="s">
        <v>350</v>
      </c>
      <c r="C1758" s="340">
        <v>0.5</v>
      </c>
    </row>
    <row r="1759" spans="1:3" x14ac:dyDescent="0.2">
      <c r="A1759" s="341"/>
      <c r="B1759" s="339" t="s">
        <v>369</v>
      </c>
      <c r="C1759" s="340">
        <v>0.5</v>
      </c>
    </row>
    <row r="1760" spans="1:3" x14ac:dyDescent="0.2">
      <c r="A1760" s="341"/>
      <c r="B1760" s="339" t="s">
        <v>482</v>
      </c>
      <c r="C1760" s="340">
        <v>0.5</v>
      </c>
    </row>
    <row r="1761" spans="1:3" x14ac:dyDescent="0.2">
      <c r="A1761" s="341"/>
      <c r="B1761" s="339" t="s">
        <v>2612</v>
      </c>
      <c r="C1761" s="340">
        <v>0.5</v>
      </c>
    </row>
    <row r="1762" spans="1:3" x14ac:dyDescent="0.2">
      <c r="A1762" s="341"/>
      <c r="B1762" s="339" t="s">
        <v>349</v>
      </c>
      <c r="C1762" s="340">
        <v>0.5</v>
      </c>
    </row>
    <row r="1763" spans="1:3" x14ac:dyDescent="0.2">
      <c r="A1763" s="341"/>
      <c r="B1763" s="339" t="s">
        <v>2640</v>
      </c>
      <c r="C1763" s="340">
        <v>0.5</v>
      </c>
    </row>
    <row r="1764" spans="1:3" x14ac:dyDescent="0.2">
      <c r="A1764" s="341"/>
    </row>
    <row r="1765" spans="1:3" x14ac:dyDescent="0.2">
      <c r="A1765" s="338" t="s">
        <v>2554</v>
      </c>
    </row>
    <row r="1766" spans="1:3" x14ac:dyDescent="0.2">
      <c r="A1766" s="341" t="s">
        <v>2108</v>
      </c>
    </row>
    <row r="1767" spans="1:3" x14ac:dyDescent="0.2">
      <c r="A1767" s="341" t="s">
        <v>2112</v>
      </c>
    </row>
    <row r="1768" spans="1:3" x14ac:dyDescent="0.2">
      <c r="A1768" s="341" t="s">
        <v>1356</v>
      </c>
    </row>
    <row r="1769" spans="1:3" x14ac:dyDescent="0.2">
      <c r="A1769" s="341" t="s">
        <v>2533</v>
      </c>
    </row>
    <row r="1770" spans="1:3" x14ac:dyDescent="0.2">
      <c r="A1770" s="341" t="s">
        <v>2475</v>
      </c>
    </row>
    <row r="1771" spans="1:3" x14ac:dyDescent="0.2">
      <c r="A1771" s="341"/>
    </row>
    <row r="1772" spans="1:3" x14ac:dyDescent="0.2">
      <c r="A1772" s="341"/>
      <c r="B1772" s="339" t="s">
        <v>347</v>
      </c>
      <c r="C1772" s="340">
        <v>10</v>
      </c>
    </row>
    <row r="1773" spans="1:3" x14ac:dyDescent="0.2">
      <c r="A1773" s="341"/>
      <c r="B1773" s="339" t="s">
        <v>447</v>
      </c>
      <c r="C1773" s="340">
        <v>9</v>
      </c>
    </row>
    <row r="1774" spans="1:3" x14ac:dyDescent="0.2">
      <c r="A1774" s="341"/>
      <c r="B1774" s="339" t="s">
        <v>2717</v>
      </c>
      <c r="C1774" s="340">
        <v>7</v>
      </c>
    </row>
    <row r="1775" spans="1:3" x14ac:dyDescent="0.2">
      <c r="A1775" s="341"/>
      <c r="B1775" s="339" t="s">
        <v>2715</v>
      </c>
      <c r="C1775" s="340">
        <v>7</v>
      </c>
    </row>
    <row r="1776" spans="1:3" x14ac:dyDescent="0.2">
      <c r="A1776" s="341"/>
      <c r="B1776" s="339" t="s">
        <v>342</v>
      </c>
      <c r="C1776" s="340">
        <v>6</v>
      </c>
    </row>
    <row r="1777" spans="1:3" x14ac:dyDescent="0.2">
      <c r="A1777" s="341"/>
      <c r="B1777" s="339" t="s">
        <v>371</v>
      </c>
      <c r="C1777" s="340">
        <v>4</v>
      </c>
    </row>
    <row r="1778" spans="1:3" x14ac:dyDescent="0.2">
      <c r="A1778" s="341"/>
      <c r="B1778" s="339" t="s">
        <v>432</v>
      </c>
      <c r="C1778" s="340">
        <v>4</v>
      </c>
    </row>
    <row r="1779" spans="1:3" x14ac:dyDescent="0.2">
      <c r="A1779" s="341"/>
      <c r="B1779" s="339" t="s">
        <v>448</v>
      </c>
      <c r="C1779" s="340">
        <v>3</v>
      </c>
    </row>
    <row r="1780" spans="1:3" x14ac:dyDescent="0.2">
      <c r="A1780" s="341"/>
      <c r="B1780" s="339" t="s">
        <v>340</v>
      </c>
      <c r="C1780" s="340">
        <v>3</v>
      </c>
    </row>
    <row r="1781" spans="1:3" x14ac:dyDescent="0.2">
      <c r="A1781" s="341"/>
      <c r="B1781" s="339" t="s">
        <v>2581</v>
      </c>
      <c r="C1781" s="340">
        <v>2</v>
      </c>
    </row>
    <row r="1782" spans="1:3" x14ac:dyDescent="0.2">
      <c r="A1782" s="341"/>
      <c r="B1782" s="339" t="s">
        <v>2582</v>
      </c>
      <c r="C1782" s="340">
        <v>2</v>
      </c>
    </row>
    <row r="1783" spans="1:3" x14ac:dyDescent="0.2">
      <c r="A1783" s="341"/>
      <c r="B1783" s="339" t="s">
        <v>357</v>
      </c>
      <c r="C1783" s="340">
        <v>2</v>
      </c>
    </row>
    <row r="1784" spans="1:3" x14ac:dyDescent="0.2">
      <c r="A1784" s="341"/>
      <c r="B1784" s="339" t="s">
        <v>2583</v>
      </c>
      <c r="C1784" s="340">
        <v>2</v>
      </c>
    </row>
    <row r="1785" spans="1:3" x14ac:dyDescent="0.2">
      <c r="A1785" s="341"/>
      <c r="B1785" s="339" t="s">
        <v>395</v>
      </c>
      <c r="C1785" s="340">
        <v>1</v>
      </c>
    </row>
    <row r="1786" spans="1:3" x14ac:dyDescent="0.2">
      <c r="A1786" s="341"/>
      <c r="B1786" s="339" t="s">
        <v>2574</v>
      </c>
      <c r="C1786" s="340">
        <v>1</v>
      </c>
    </row>
    <row r="1787" spans="1:3" x14ac:dyDescent="0.2">
      <c r="A1787" s="341"/>
      <c r="B1787" s="339" t="s">
        <v>424</v>
      </c>
      <c r="C1787" s="340">
        <v>1</v>
      </c>
    </row>
    <row r="1788" spans="1:3" x14ac:dyDescent="0.2">
      <c r="A1788" s="341"/>
      <c r="B1788" s="339" t="s">
        <v>2627</v>
      </c>
      <c r="C1788" s="340">
        <v>1</v>
      </c>
    </row>
    <row r="1789" spans="1:3" x14ac:dyDescent="0.2">
      <c r="A1789" s="341"/>
      <c r="B1789" s="339" t="s">
        <v>2569</v>
      </c>
      <c r="C1789" s="340">
        <v>1</v>
      </c>
    </row>
    <row r="1790" spans="1:3" x14ac:dyDescent="0.2">
      <c r="A1790" s="341"/>
      <c r="B1790" s="339" t="s">
        <v>350</v>
      </c>
      <c r="C1790" s="340">
        <v>0.5</v>
      </c>
    </row>
    <row r="1791" spans="1:3" x14ac:dyDescent="0.2">
      <c r="A1791" s="341"/>
      <c r="B1791" s="339" t="s">
        <v>2625</v>
      </c>
      <c r="C1791" s="340">
        <v>0.5</v>
      </c>
    </row>
    <row r="1792" spans="1:3" x14ac:dyDescent="0.2">
      <c r="A1792" s="341"/>
      <c r="B1792" s="339" t="s">
        <v>403</v>
      </c>
      <c r="C1792" s="340">
        <v>0.5</v>
      </c>
    </row>
    <row r="1793" spans="1:3" x14ac:dyDescent="0.2">
      <c r="A1793" s="341"/>
      <c r="B1793" s="339" t="s">
        <v>454</v>
      </c>
      <c r="C1793" s="340">
        <v>0.5</v>
      </c>
    </row>
    <row r="1794" spans="1:3" x14ac:dyDescent="0.2">
      <c r="A1794" s="341"/>
      <c r="B1794" s="339" t="s">
        <v>609</v>
      </c>
      <c r="C1794" s="340">
        <v>0.5</v>
      </c>
    </row>
    <row r="1795" spans="1:3" x14ac:dyDescent="0.2">
      <c r="A1795" s="341"/>
      <c r="B1795" s="339" t="s">
        <v>589</v>
      </c>
      <c r="C1795" s="340">
        <v>0.5</v>
      </c>
    </row>
    <row r="1796" spans="1:3" x14ac:dyDescent="0.2">
      <c r="A1796" s="341"/>
      <c r="B1796" s="339" t="s">
        <v>341</v>
      </c>
      <c r="C1796" s="340">
        <v>0.5</v>
      </c>
    </row>
    <row r="1797" spans="1:3" x14ac:dyDescent="0.2">
      <c r="A1797" s="341"/>
      <c r="B1797" s="339" t="s">
        <v>349</v>
      </c>
      <c r="C1797" s="340">
        <v>0.5</v>
      </c>
    </row>
    <row r="1798" spans="1:3" x14ac:dyDescent="0.2">
      <c r="A1798" s="341"/>
      <c r="B1798" s="339" t="s">
        <v>2666</v>
      </c>
      <c r="C1798" s="340">
        <v>0.5</v>
      </c>
    </row>
    <row r="1799" spans="1:3" x14ac:dyDescent="0.2">
      <c r="A1799" s="341"/>
      <c r="B1799" s="339" t="s">
        <v>2610</v>
      </c>
      <c r="C1799" s="340">
        <v>0.5</v>
      </c>
    </row>
    <row r="1800" spans="1:3" x14ac:dyDescent="0.2">
      <c r="A1800" s="341"/>
      <c r="B1800" s="339" t="s">
        <v>593</v>
      </c>
      <c r="C1800" s="340">
        <v>0.5</v>
      </c>
    </row>
    <row r="1801" spans="1:3" x14ac:dyDescent="0.2">
      <c r="A1801" s="341"/>
      <c r="B1801" s="339" t="s">
        <v>2626</v>
      </c>
      <c r="C1801" s="340">
        <v>0.5</v>
      </c>
    </row>
    <row r="1802" spans="1:3" x14ac:dyDescent="0.2">
      <c r="A1802" s="341"/>
    </row>
    <row r="1803" spans="1:3" x14ac:dyDescent="0.2">
      <c r="A1803" s="338" t="s">
        <v>2476</v>
      </c>
    </row>
    <row r="1804" spans="1:3" x14ac:dyDescent="0.2">
      <c r="A1804" s="341" t="s">
        <v>2113</v>
      </c>
    </row>
    <row r="1805" spans="1:3" x14ac:dyDescent="0.2">
      <c r="A1805" s="341" t="s">
        <v>2114</v>
      </c>
    </row>
    <row r="1806" spans="1:3" x14ac:dyDescent="0.2">
      <c r="A1806" s="341" t="s">
        <v>1357</v>
      </c>
    </row>
    <row r="1807" spans="1:3" x14ac:dyDescent="0.2">
      <c r="A1807" s="341" t="s">
        <v>2534</v>
      </c>
    </row>
    <row r="1808" spans="1:3" x14ac:dyDescent="0.2">
      <c r="A1808" s="341" t="s">
        <v>2477</v>
      </c>
    </row>
    <row r="1809" spans="1:3" x14ac:dyDescent="0.2">
      <c r="A1809" s="341"/>
    </row>
    <row r="1810" spans="1:3" x14ac:dyDescent="0.2">
      <c r="A1810" s="341"/>
      <c r="B1810" s="339" t="s">
        <v>598</v>
      </c>
      <c r="C1810" s="340">
        <v>95</v>
      </c>
    </row>
    <row r="1811" spans="1:3" x14ac:dyDescent="0.2">
      <c r="A1811" s="341"/>
      <c r="B1811" s="339" t="s">
        <v>336</v>
      </c>
      <c r="C1811" s="340">
        <v>11</v>
      </c>
    </row>
    <row r="1812" spans="1:3" x14ac:dyDescent="0.2">
      <c r="A1812" s="341"/>
      <c r="B1812" s="339" t="s">
        <v>328</v>
      </c>
      <c r="C1812" s="340">
        <v>4</v>
      </c>
    </row>
    <row r="1813" spans="1:3" x14ac:dyDescent="0.2">
      <c r="A1813" s="341"/>
      <c r="B1813" s="339" t="s">
        <v>418</v>
      </c>
      <c r="C1813" s="340">
        <v>2</v>
      </c>
    </row>
    <row r="1814" spans="1:3" x14ac:dyDescent="0.2">
      <c r="A1814" s="341"/>
      <c r="B1814" s="339" t="s">
        <v>337</v>
      </c>
      <c r="C1814" s="340">
        <v>0.5</v>
      </c>
    </row>
    <row r="1815" spans="1:3" x14ac:dyDescent="0.2">
      <c r="A1815" s="341"/>
      <c r="B1815" s="339" t="s">
        <v>1589</v>
      </c>
      <c r="C1815" s="340">
        <v>0.5</v>
      </c>
    </row>
    <row r="1816" spans="1:3" x14ac:dyDescent="0.2">
      <c r="A1816" s="341"/>
    </row>
    <row r="1817" spans="1:3" x14ac:dyDescent="0.2">
      <c r="A1817" s="338" t="s">
        <v>2474</v>
      </c>
    </row>
    <row r="1818" spans="1:3" x14ac:dyDescent="0.2">
      <c r="A1818" s="341" t="s">
        <v>2113</v>
      </c>
    </row>
    <row r="1819" spans="1:3" x14ac:dyDescent="0.2">
      <c r="A1819" s="341" t="s">
        <v>2115</v>
      </c>
    </row>
    <row r="1820" spans="1:3" x14ac:dyDescent="0.2">
      <c r="A1820" s="341" t="s">
        <v>1358</v>
      </c>
    </row>
    <row r="1821" spans="1:3" x14ac:dyDescent="0.2">
      <c r="A1821" s="341" t="s">
        <v>2535</v>
      </c>
    </row>
    <row r="1822" spans="1:3" x14ac:dyDescent="0.2">
      <c r="A1822" s="341" t="s">
        <v>2478</v>
      </c>
    </row>
    <row r="1823" spans="1:3" x14ac:dyDescent="0.2">
      <c r="A1823" s="341"/>
    </row>
    <row r="1824" spans="1:3" x14ac:dyDescent="0.2">
      <c r="A1824" s="341"/>
      <c r="B1824" s="339" t="s">
        <v>416</v>
      </c>
      <c r="C1824" s="340">
        <v>80</v>
      </c>
    </row>
    <row r="1825" spans="1:3" x14ac:dyDescent="0.2">
      <c r="A1825" s="341"/>
      <c r="B1825" s="339" t="s">
        <v>981</v>
      </c>
      <c r="C1825" s="340">
        <v>19</v>
      </c>
    </row>
    <row r="1826" spans="1:3" x14ac:dyDescent="0.2">
      <c r="A1826" s="341"/>
      <c r="B1826" s="339" t="s">
        <v>1589</v>
      </c>
      <c r="C1826" s="340">
        <v>8</v>
      </c>
    </row>
    <row r="1827" spans="1:3" x14ac:dyDescent="0.2">
      <c r="A1827" s="341"/>
      <c r="B1827" s="339" t="s">
        <v>2580</v>
      </c>
      <c r="C1827" s="340">
        <v>7</v>
      </c>
    </row>
    <row r="1828" spans="1:3" x14ac:dyDescent="0.2">
      <c r="A1828" s="341"/>
      <c r="B1828" s="339" t="s">
        <v>417</v>
      </c>
      <c r="C1828" s="340">
        <v>2</v>
      </c>
    </row>
    <row r="1829" spans="1:3" x14ac:dyDescent="0.2">
      <c r="A1829" s="341"/>
      <c r="B1829" s="339" t="s">
        <v>2631</v>
      </c>
      <c r="C1829" s="340">
        <v>0.5</v>
      </c>
    </row>
    <row r="1830" spans="1:3" x14ac:dyDescent="0.2">
      <c r="A1830" s="341"/>
      <c r="B1830" s="339" t="s">
        <v>343</v>
      </c>
      <c r="C1830" s="340">
        <v>0.5</v>
      </c>
    </row>
    <row r="1831" spans="1:3" x14ac:dyDescent="0.2">
      <c r="A1831" s="341"/>
      <c r="B1831" s="339" t="s">
        <v>421</v>
      </c>
      <c r="C1831" s="340">
        <v>0.5</v>
      </c>
    </row>
    <row r="1832" spans="1:3" x14ac:dyDescent="0.2">
      <c r="A1832" s="341"/>
      <c r="B1832" s="339" t="s">
        <v>418</v>
      </c>
      <c r="C1832" s="340">
        <v>0.5</v>
      </c>
    </row>
    <row r="1833" spans="1:3" x14ac:dyDescent="0.2">
      <c r="A1833" s="341"/>
      <c r="B1833" s="339" t="s">
        <v>982</v>
      </c>
      <c r="C1833" s="340">
        <v>0.5</v>
      </c>
    </row>
    <row r="1834" spans="1:3" x14ac:dyDescent="0.2">
      <c r="A1834" s="341"/>
      <c r="B1834" s="339" t="s">
        <v>593</v>
      </c>
      <c r="C1834" s="340">
        <v>0.5</v>
      </c>
    </row>
    <row r="1835" spans="1:3" x14ac:dyDescent="0.2">
      <c r="A1835" s="341"/>
      <c r="B1835" s="339" t="s">
        <v>2576</v>
      </c>
      <c r="C1835" s="340">
        <v>0.5</v>
      </c>
    </row>
    <row r="1836" spans="1:3" x14ac:dyDescent="0.2">
      <c r="A1836" s="341"/>
      <c r="B1836" s="339" t="s">
        <v>328</v>
      </c>
      <c r="C1836" s="340">
        <v>0.5</v>
      </c>
    </row>
    <row r="1837" spans="1:3" x14ac:dyDescent="0.2">
      <c r="A1837" s="341"/>
    </row>
    <row r="1838" spans="1:3" x14ac:dyDescent="0.2">
      <c r="A1838" s="338" t="s">
        <v>2479</v>
      </c>
    </row>
    <row r="1839" spans="1:3" x14ac:dyDescent="0.2">
      <c r="A1839" s="341" t="s">
        <v>2116</v>
      </c>
    </row>
    <row r="1840" spans="1:3" x14ac:dyDescent="0.2">
      <c r="A1840" s="341" t="s">
        <v>2117</v>
      </c>
    </row>
    <row r="1841" spans="1:3" x14ac:dyDescent="0.2">
      <c r="A1841" s="341" t="s">
        <v>1359</v>
      </c>
    </row>
    <row r="1842" spans="1:3" x14ac:dyDescent="0.2">
      <c r="A1842" s="341" t="s">
        <v>2529</v>
      </c>
    </row>
    <row r="1843" spans="1:3" x14ac:dyDescent="0.2">
      <c r="A1843" s="341" t="s">
        <v>2480</v>
      </c>
    </row>
    <row r="1844" spans="1:3" x14ac:dyDescent="0.2">
      <c r="A1844" s="341"/>
    </row>
    <row r="1845" spans="1:3" x14ac:dyDescent="0.2">
      <c r="A1845" s="341"/>
      <c r="B1845" s="339" t="s">
        <v>326</v>
      </c>
      <c r="C1845" s="340">
        <v>95</v>
      </c>
    </row>
    <row r="1846" spans="1:3" x14ac:dyDescent="0.2">
      <c r="A1846" s="341"/>
      <c r="B1846" s="339" t="s">
        <v>332</v>
      </c>
      <c r="C1846" s="340">
        <v>35</v>
      </c>
    </row>
    <row r="1847" spans="1:3" x14ac:dyDescent="0.2">
      <c r="A1847" s="341"/>
      <c r="B1847" s="339" t="s">
        <v>599</v>
      </c>
      <c r="C1847" s="340">
        <v>25</v>
      </c>
    </row>
    <row r="1848" spans="1:3" x14ac:dyDescent="0.2">
      <c r="A1848" s="341"/>
      <c r="B1848" s="339" t="s">
        <v>327</v>
      </c>
      <c r="C1848" s="340">
        <v>19</v>
      </c>
    </row>
    <row r="1849" spans="1:3" x14ac:dyDescent="0.2">
      <c r="A1849" s="341"/>
      <c r="B1849" s="339" t="s">
        <v>2590</v>
      </c>
      <c r="C1849" s="340">
        <v>13</v>
      </c>
    </row>
    <row r="1850" spans="1:3" x14ac:dyDescent="0.2">
      <c r="A1850" s="341"/>
      <c r="B1850" s="339" t="s">
        <v>2632</v>
      </c>
      <c r="C1850" s="340">
        <v>10</v>
      </c>
    </row>
    <row r="1851" spans="1:3" x14ac:dyDescent="0.2">
      <c r="A1851" s="341"/>
      <c r="B1851" s="339" t="s">
        <v>329</v>
      </c>
      <c r="C1851" s="340">
        <v>8</v>
      </c>
    </row>
    <row r="1852" spans="1:3" x14ac:dyDescent="0.2">
      <c r="A1852" s="341"/>
      <c r="B1852" s="339" t="s">
        <v>2591</v>
      </c>
      <c r="C1852" s="340">
        <v>7</v>
      </c>
    </row>
    <row r="1853" spans="1:3" x14ac:dyDescent="0.2">
      <c r="A1853" s="341"/>
      <c r="B1853" s="339" t="s">
        <v>2592</v>
      </c>
      <c r="C1853" s="340">
        <v>3</v>
      </c>
    </row>
    <row r="1854" spans="1:3" x14ac:dyDescent="0.2">
      <c r="A1854" s="341"/>
      <c r="B1854" s="339" t="s">
        <v>334</v>
      </c>
      <c r="C1854" s="340">
        <v>2</v>
      </c>
    </row>
    <row r="1855" spans="1:3" x14ac:dyDescent="0.2">
      <c r="A1855" s="341"/>
    </row>
    <row r="1856" spans="1:3" x14ac:dyDescent="0.2">
      <c r="A1856" s="338" t="s">
        <v>2481</v>
      </c>
    </row>
    <row r="1857" spans="1:3" x14ac:dyDescent="0.2">
      <c r="A1857" s="341" t="s">
        <v>2118</v>
      </c>
    </row>
    <row r="1858" spans="1:3" x14ac:dyDescent="0.2">
      <c r="A1858" s="341" t="s">
        <v>2119</v>
      </c>
    </row>
    <row r="1859" spans="1:3" x14ac:dyDescent="0.2">
      <c r="A1859" s="341" t="s">
        <v>1360</v>
      </c>
    </row>
    <row r="1860" spans="1:3" x14ac:dyDescent="0.2">
      <c r="A1860" s="341" t="s">
        <v>2529</v>
      </c>
    </row>
    <row r="1861" spans="1:3" x14ac:dyDescent="0.2">
      <c r="A1861" s="341" t="s">
        <v>2482</v>
      </c>
    </row>
    <row r="1862" spans="1:3" x14ac:dyDescent="0.2">
      <c r="A1862" s="341"/>
    </row>
    <row r="1863" spans="1:3" x14ac:dyDescent="0.2">
      <c r="A1863" s="341"/>
      <c r="B1863" s="339" t="s">
        <v>326</v>
      </c>
      <c r="C1863" s="340">
        <v>80</v>
      </c>
    </row>
    <row r="1864" spans="1:3" x14ac:dyDescent="0.2">
      <c r="A1864" s="341"/>
      <c r="B1864" s="339" t="s">
        <v>2590</v>
      </c>
      <c r="C1864" s="340">
        <v>45</v>
      </c>
    </row>
    <row r="1865" spans="1:3" x14ac:dyDescent="0.2">
      <c r="A1865" s="341"/>
      <c r="B1865" s="339" t="s">
        <v>3150</v>
      </c>
      <c r="C1865" s="340">
        <v>19</v>
      </c>
    </row>
    <row r="1866" spans="1:3" x14ac:dyDescent="0.2">
      <c r="A1866" s="341"/>
      <c r="B1866" s="339" t="s">
        <v>334</v>
      </c>
      <c r="C1866" s="340">
        <v>12</v>
      </c>
    </row>
    <row r="1867" spans="1:3" x14ac:dyDescent="0.2">
      <c r="A1867" s="341"/>
      <c r="B1867" s="339" t="s">
        <v>332</v>
      </c>
      <c r="C1867" s="340">
        <v>5</v>
      </c>
    </row>
    <row r="1868" spans="1:3" x14ac:dyDescent="0.2">
      <c r="A1868" s="341"/>
      <c r="B1868" s="339" t="s">
        <v>327</v>
      </c>
      <c r="C1868" s="340">
        <v>4</v>
      </c>
    </row>
    <row r="1869" spans="1:3" x14ac:dyDescent="0.2">
      <c r="A1869" s="341"/>
      <c r="B1869" s="339" t="s">
        <v>329</v>
      </c>
      <c r="C1869" s="340">
        <v>2</v>
      </c>
    </row>
    <row r="1870" spans="1:3" x14ac:dyDescent="0.2">
      <c r="A1870" s="341"/>
      <c r="B1870" s="339" t="s">
        <v>2591</v>
      </c>
      <c r="C1870" s="340">
        <v>1</v>
      </c>
    </row>
    <row r="1871" spans="1:3" x14ac:dyDescent="0.2">
      <c r="A1871" s="341"/>
      <c r="B1871" s="339" t="s">
        <v>2609</v>
      </c>
      <c r="C1871" s="340">
        <v>0.5</v>
      </c>
    </row>
    <row r="1872" spans="1:3" x14ac:dyDescent="0.2">
      <c r="A1872" s="341"/>
    </row>
    <row r="1873" spans="1:3" x14ac:dyDescent="0.2">
      <c r="A1873" s="338" t="s">
        <v>2483</v>
      </c>
    </row>
    <row r="1874" spans="1:3" x14ac:dyDescent="0.2">
      <c r="A1874" s="341" t="s">
        <v>2110</v>
      </c>
    </row>
    <row r="1875" spans="1:3" x14ac:dyDescent="0.2">
      <c r="A1875" s="341" t="s">
        <v>2120</v>
      </c>
    </row>
    <row r="1876" spans="1:3" x14ac:dyDescent="0.2">
      <c r="A1876" s="341" t="s">
        <v>53</v>
      </c>
    </row>
    <row r="1877" spans="1:3" x14ac:dyDescent="0.2">
      <c r="A1877" s="341" t="s">
        <v>2532</v>
      </c>
    </row>
    <row r="1878" spans="1:3" x14ac:dyDescent="0.2">
      <c r="A1878" s="341" t="s">
        <v>2484</v>
      </c>
    </row>
    <row r="1879" spans="1:3" x14ac:dyDescent="0.2">
      <c r="A1879" s="341"/>
    </row>
    <row r="1880" spans="1:3" x14ac:dyDescent="0.2">
      <c r="A1880" s="341"/>
      <c r="B1880" s="339" t="s">
        <v>445</v>
      </c>
      <c r="C1880" s="340">
        <v>30</v>
      </c>
    </row>
    <row r="1881" spans="1:3" x14ac:dyDescent="0.2">
      <c r="A1881" s="341"/>
      <c r="B1881" s="339" t="s">
        <v>340</v>
      </c>
      <c r="C1881" s="340">
        <v>19</v>
      </c>
    </row>
    <row r="1882" spans="1:3" x14ac:dyDescent="0.2">
      <c r="A1882" s="341"/>
      <c r="B1882" s="339" t="s">
        <v>400</v>
      </c>
      <c r="C1882" s="340">
        <v>18</v>
      </c>
    </row>
    <row r="1883" spans="1:3" x14ac:dyDescent="0.2">
      <c r="A1883" s="341"/>
      <c r="B1883" s="339" t="s">
        <v>1583</v>
      </c>
      <c r="C1883" s="340">
        <v>16</v>
      </c>
    </row>
    <row r="1884" spans="1:3" x14ac:dyDescent="0.2">
      <c r="A1884" s="341"/>
      <c r="B1884" s="339" t="s">
        <v>376</v>
      </c>
      <c r="C1884" s="340">
        <v>15</v>
      </c>
    </row>
    <row r="1885" spans="1:3" x14ac:dyDescent="0.2">
      <c r="A1885" s="341"/>
      <c r="B1885" s="339" t="s">
        <v>423</v>
      </c>
      <c r="C1885" s="340">
        <v>12</v>
      </c>
    </row>
    <row r="1886" spans="1:3" x14ac:dyDescent="0.2">
      <c r="A1886" s="341"/>
      <c r="B1886" s="339" t="s">
        <v>364</v>
      </c>
      <c r="C1886" s="340">
        <v>6</v>
      </c>
    </row>
    <row r="1887" spans="1:3" x14ac:dyDescent="0.2">
      <c r="A1887" s="341"/>
      <c r="B1887" s="339" t="s">
        <v>448</v>
      </c>
      <c r="C1887" s="340">
        <v>5</v>
      </c>
    </row>
    <row r="1888" spans="1:3" x14ac:dyDescent="0.2">
      <c r="A1888" s="341"/>
      <c r="B1888" s="339" t="s">
        <v>2642</v>
      </c>
      <c r="C1888" s="340">
        <v>4</v>
      </c>
    </row>
    <row r="1889" spans="1:3" x14ac:dyDescent="0.2">
      <c r="A1889" s="341"/>
      <c r="B1889" s="339" t="s">
        <v>1584</v>
      </c>
      <c r="C1889" s="340">
        <v>3</v>
      </c>
    </row>
    <row r="1890" spans="1:3" x14ac:dyDescent="0.2">
      <c r="A1890" s="341"/>
      <c r="B1890" s="339" t="s">
        <v>2575</v>
      </c>
      <c r="C1890" s="340">
        <v>3</v>
      </c>
    </row>
    <row r="1891" spans="1:3" x14ac:dyDescent="0.2">
      <c r="A1891" s="341"/>
      <c r="B1891" s="339" t="s">
        <v>395</v>
      </c>
      <c r="C1891" s="340">
        <v>2</v>
      </c>
    </row>
    <row r="1892" spans="1:3" x14ac:dyDescent="0.2">
      <c r="A1892" s="341"/>
      <c r="B1892" s="339" t="s">
        <v>349</v>
      </c>
      <c r="C1892" s="340">
        <v>2</v>
      </c>
    </row>
    <row r="1893" spans="1:3" x14ac:dyDescent="0.2">
      <c r="A1893" s="341"/>
      <c r="B1893" s="339" t="s">
        <v>583</v>
      </c>
      <c r="C1893" s="340">
        <v>2</v>
      </c>
    </row>
    <row r="1894" spans="1:3" x14ac:dyDescent="0.2">
      <c r="A1894" s="341"/>
      <c r="B1894" s="339" t="s">
        <v>350</v>
      </c>
      <c r="C1894" s="340">
        <v>1</v>
      </c>
    </row>
    <row r="1895" spans="1:3" x14ac:dyDescent="0.2">
      <c r="A1895" s="341"/>
      <c r="B1895" s="339" t="s">
        <v>343</v>
      </c>
      <c r="C1895" s="340">
        <v>1</v>
      </c>
    </row>
    <row r="1896" spans="1:3" x14ac:dyDescent="0.2">
      <c r="A1896" s="341"/>
      <c r="B1896" s="339" t="s">
        <v>447</v>
      </c>
      <c r="C1896" s="340">
        <v>1</v>
      </c>
    </row>
    <row r="1897" spans="1:3" x14ac:dyDescent="0.2">
      <c r="A1897" s="341"/>
      <c r="B1897" s="339" t="s">
        <v>604</v>
      </c>
      <c r="C1897" s="340">
        <v>0.5</v>
      </c>
    </row>
    <row r="1898" spans="1:3" x14ac:dyDescent="0.2">
      <c r="A1898" s="341"/>
      <c r="B1898" s="339" t="s">
        <v>394</v>
      </c>
      <c r="C1898" s="340">
        <v>0.5</v>
      </c>
    </row>
    <row r="1899" spans="1:3" x14ac:dyDescent="0.2">
      <c r="A1899" s="341"/>
    </row>
    <row r="1900" spans="1:3" x14ac:dyDescent="0.2">
      <c r="A1900" s="338" t="s">
        <v>2485</v>
      </c>
    </row>
    <row r="1901" spans="1:3" x14ac:dyDescent="0.2">
      <c r="A1901" s="341" t="s">
        <v>2118</v>
      </c>
    </row>
    <row r="1902" spans="1:3" x14ac:dyDescent="0.2">
      <c r="A1902" s="341" t="s">
        <v>2121</v>
      </c>
    </row>
    <row r="1903" spans="1:3" x14ac:dyDescent="0.2">
      <c r="A1903" s="341" t="s">
        <v>54</v>
      </c>
    </row>
    <row r="1904" spans="1:3" x14ac:dyDescent="0.2">
      <c r="A1904" s="341" t="s">
        <v>2536</v>
      </c>
    </row>
    <row r="1905" spans="1:3" x14ac:dyDescent="0.2">
      <c r="A1905" s="341" t="s">
        <v>2486</v>
      </c>
    </row>
    <row r="1906" spans="1:3" x14ac:dyDescent="0.2">
      <c r="A1906" s="341"/>
    </row>
    <row r="1907" spans="1:3" x14ac:dyDescent="0.2">
      <c r="A1907" s="341"/>
      <c r="B1907" s="339" t="s">
        <v>347</v>
      </c>
      <c r="C1907" s="340">
        <v>35</v>
      </c>
    </row>
    <row r="1908" spans="1:3" x14ac:dyDescent="0.2">
      <c r="A1908" s="341"/>
      <c r="B1908" s="339" t="s">
        <v>409</v>
      </c>
      <c r="C1908" s="340">
        <v>20</v>
      </c>
    </row>
    <row r="1909" spans="1:3" x14ac:dyDescent="0.2">
      <c r="A1909" s="341"/>
      <c r="B1909" s="339" t="s">
        <v>2582</v>
      </c>
      <c r="C1909" s="340">
        <v>19</v>
      </c>
    </row>
    <row r="1910" spans="1:3" x14ac:dyDescent="0.2">
      <c r="A1910" s="341"/>
      <c r="B1910" s="339" t="s">
        <v>609</v>
      </c>
      <c r="C1910" s="340">
        <v>7</v>
      </c>
    </row>
    <row r="1911" spans="1:3" x14ac:dyDescent="0.2">
      <c r="A1911" s="341"/>
      <c r="B1911" s="339" t="s">
        <v>2581</v>
      </c>
      <c r="C1911" s="340">
        <v>3</v>
      </c>
    </row>
    <row r="1912" spans="1:3" x14ac:dyDescent="0.2">
      <c r="A1912" s="341"/>
      <c r="B1912" s="339" t="s">
        <v>340</v>
      </c>
      <c r="C1912" s="340">
        <v>3</v>
      </c>
    </row>
    <row r="1913" spans="1:3" x14ac:dyDescent="0.2">
      <c r="A1913" s="341"/>
      <c r="B1913" s="339" t="s">
        <v>380</v>
      </c>
      <c r="C1913" s="340">
        <v>3</v>
      </c>
    </row>
    <row r="1914" spans="1:3" x14ac:dyDescent="0.2">
      <c r="A1914" s="341"/>
      <c r="B1914" s="339" t="s">
        <v>350</v>
      </c>
      <c r="C1914" s="340">
        <v>2</v>
      </c>
    </row>
    <row r="1915" spans="1:3" x14ac:dyDescent="0.2">
      <c r="A1915" s="341"/>
      <c r="B1915" s="339" t="s">
        <v>341</v>
      </c>
      <c r="C1915" s="340">
        <v>2</v>
      </c>
    </row>
    <row r="1916" spans="1:3" x14ac:dyDescent="0.2">
      <c r="A1916" s="341"/>
      <c r="B1916" s="339" t="s">
        <v>349</v>
      </c>
      <c r="C1916" s="340">
        <v>2</v>
      </c>
    </row>
    <row r="1917" spans="1:3" x14ac:dyDescent="0.2">
      <c r="A1917" s="341"/>
      <c r="B1917" s="339" t="s">
        <v>2666</v>
      </c>
      <c r="C1917" s="340">
        <v>2</v>
      </c>
    </row>
    <row r="1918" spans="1:3" x14ac:dyDescent="0.2">
      <c r="A1918" s="341"/>
      <c r="B1918" s="339" t="s">
        <v>432</v>
      </c>
      <c r="C1918" s="340">
        <v>2</v>
      </c>
    </row>
    <row r="1919" spans="1:3" x14ac:dyDescent="0.2">
      <c r="A1919" s="341"/>
      <c r="B1919" s="339" t="s">
        <v>364</v>
      </c>
      <c r="C1919" s="340">
        <v>2</v>
      </c>
    </row>
    <row r="1920" spans="1:3" x14ac:dyDescent="0.2">
      <c r="A1920" s="341"/>
      <c r="B1920" s="339" t="s">
        <v>2625</v>
      </c>
      <c r="C1920" s="340">
        <v>1</v>
      </c>
    </row>
    <row r="1921" spans="1:3" x14ac:dyDescent="0.2">
      <c r="A1921" s="341"/>
      <c r="B1921" s="339" t="s">
        <v>403</v>
      </c>
      <c r="C1921" s="340">
        <v>1</v>
      </c>
    </row>
    <row r="1922" spans="1:3" x14ac:dyDescent="0.2">
      <c r="A1922" s="341"/>
      <c r="B1922" s="339" t="s">
        <v>2593</v>
      </c>
      <c r="C1922" s="340">
        <v>1</v>
      </c>
    </row>
    <row r="1923" spans="1:3" x14ac:dyDescent="0.2">
      <c r="A1923" s="341"/>
      <c r="B1923" s="339" t="s">
        <v>597</v>
      </c>
      <c r="C1923" s="340">
        <v>1</v>
      </c>
    </row>
    <row r="1924" spans="1:3" x14ac:dyDescent="0.2">
      <c r="A1924" s="341"/>
      <c r="B1924" s="339" t="s">
        <v>360</v>
      </c>
      <c r="C1924" s="340">
        <v>1</v>
      </c>
    </row>
    <row r="1925" spans="1:3" x14ac:dyDescent="0.2">
      <c r="A1925" s="341"/>
      <c r="B1925" s="339" t="s">
        <v>2594</v>
      </c>
      <c r="C1925" s="340">
        <v>1</v>
      </c>
    </row>
    <row r="1926" spans="1:3" x14ac:dyDescent="0.2">
      <c r="A1926" s="341"/>
      <c r="B1926" s="339" t="s">
        <v>2577</v>
      </c>
      <c r="C1926" s="340">
        <v>0.5</v>
      </c>
    </row>
    <row r="1927" spans="1:3" x14ac:dyDescent="0.2">
      <c r="A1927" s="341"/>
      <c r="B1927" s="339" t="s">
        <v>3151</v>
      </c>
      <c r="C1927" s="340">
        <v>0.5</v>
      </c>
    </row>
    <row r="1928" spans="1:3" x14ac:dyDescent="0.2">
      <c r="A1928" s="341"/>
      <c r="B1928" s="339" t="s">
        <v>357</v>
      </c>
      <c r="C1928" s="340">
        <v>0.5</v>
      </c>
    </row>
    <row r="1929" spans="1:3" x14ac:dyDescent="0.2">
      <c r="A1929" s="341"/>
    </row>
    <row r="1930" spans="1:3" x14ac:dyDescent="0.2">
      <c r="A1930" s="338" t="s">
        <v>2487</v>
      </c>
    </row>
    <row r="1931" spans="1:3" x14ac:dyDescent="0.2">
      <c r="A1931" s="341" t="s">
        <v>2122</v>
      </c>
    </row>
    <row r="1932" spans="1:3" x14ac:dyDescent="0.2">
      <c r="A1932" s="341" t="s">
        <v>2123</v>
      </c>
    </row>
    <row r="1933" spans="1:3" x14ac:dyDescent="0.2">
      <c r="A1933" s="341" t="s">
        <v>55</v>
      </c>
    </row>
    <row r="1934" spans="1:3" x14ac:dyDescent="0.2">
      <c r="A1934" s="341" t="s">
        <v>2537</v>
      </c>
    </row>
    <row r="1935" spans="1:3" x14ac:dyDescent="0.2">
      <c r="A1935" s="341" t="s">
        <v>2555</v>
      </c>
    </row>
    <row r="1936" spans="1:3" x14ac:dyDescent="0.2">
      <c r="A1936" s="341"/>
    </row>
    <row r="1937" spans="1:3" x14ac:dyDescent="0.2">
      <c r="A1937" s="341"/>
      <c r="B1937" s="339" t="s">
        <v>342</v>
      </c>
      <c r="C1937" s="340">
        <v>16</v>
      </c>
    </row>
    <row r="1938" spans="1:3" x14ac:dyDescent="0.2">
      <c r="A1938" s="341"/>
      <c r="B1938" s="339" t="s">
        <v>441</v>
      </c>
      <c r="C1938" s="340">
        <v>13</v>
      </c>
    </row>
    <row r="1939" spans="1:3" x14ac:dyDescent="0.2">
      <c r="A1939" s="341"/>
      <c r="B1939" s="339" t="s">
        <v>2579</v>
      </c>
      <c r="C1939" s="340">
        <v>9</v>
      </c>
    </row>
    <row r="1940" spans="1:3" x14ac:dyDescent="0.2">
      <c r="A1940" s="341"/>
      <c r="B1940" s="339" t="s">
        <v>443</v>
      </c>
      <c r="C1940" s="340">
        <v>8</v>
      </c>
    </row>
    <row r="1941" spans="1:3" x14ac:dyDescent="0.2">
      <c r="A1941" s="341"/>
      <c r="B1941" s="339" t="s">
        <v>2602</v>
      </c>
      <c r="C1941" s="340">
        <v>7</v>
      </c>
    </row>
    <row r="1942" spans="1:3" x14ac:dyDescent="0.2">
      <c r="A1942" s="341"/>
      <c r="B1942" s="339" t="s">
        <v>2621</v>
      </c>
      <c r="C1942" s="340">
        <v>6</v>
      </c>
    </row>
    <row r="1943" spans="1:3" x14ac:dyDescent="0.2">
      <c r="A1943" s="341"/>
      <c r="B1943" s="339" t="s">
        <v>404</v>
      </c>
      <c r="C1943" s="340">
        <v>5</v>
      </c>
    </row>
    <row r="1944" spans="1:3" x14ac:dyDescent="0.2">
      <c r="A1944" s="341"/>
      <c r="B1944" s="339" t="s">
        <v>2565</v>
      </c>
      <c r="C1944" s="340">
        <v>5</v>
      </c>
    </row>
    <row r="1945" spans="1:3" x14ac:dyDescent="0.2">
      <c r="A1945" s="341"/>
      <c r="B1945" s="339" t="s">
        <v>412</v>
      </c>
      <c r="C1945" s="340">
        <v>4</v>
      </c>
    </row>
    <row r="1946" spans="1:3" x14ac:dyDescent="0.2">
      <c r="A1946" s="341"/>
      <c r="B1946" s="339" t="s">
        <v>405</v>
      </c>
      <c r="C1946" s="340">
        <v>4</v>
      </c>
    </row>
    <row r="1947" spans="1:3" x14ac:dyDescent="0.2">
      <c r="A1947" s="341"/>
      <c r="B1947" s="339" t="s">
        <v>609</v>
      </c>
      <c r="C1947" s="340">
        <v>4</v>
      </c>
    </row>
    <row r="1948" spans="1:3" x14ac:dyDescent="0.2">
      <c r="A1948" s="341"/>
      <c r="B1948" s="339" t="s">
        <v>402</v>
      </c>
      <c r="C1948" s="340">
        <v>4</v>
      </c>
    </row>
    <row r="1949" spans="1:3" x14ac:dyDescent="0.2">
      <c r="A1949" s="341"/>
      <c r="B1949" s="339" t="s">
        <v>368</v>
      </c>
      <c r="C1949" s="340">
        <v>4</v>
      </c>
    </row>
    <row r="1950" spans="1:3" x14ac:dyDescent="0.2">
      <c r="A1950" s="341"/>
      <c r="B1950" s="339" t="s">
        <v>571</v>
      </c>
      <c r="C1950" s="340">
        <v>4</v>
      </c>
    </row>
    <row r="1951" spans="1:3" x14ac:dyDescent="0.2">
      <c r="A1951" s="341"/>
      <c r="B1951" s="339" t="s">
        <v>2601</v>
      </c>
      <c r="C1951" s="340">
        <v>4</v>
      </c>
    </row>
    <row r="1952" spans="1:3" x14ac:dyDescent="0.2">
      <c r="A1952" s="341"/>
      <c r="B1952" s="339" t="s">
        <v>424</v>
      </c>
      <c r="C1952" s="340">
        <v>3</v>
      </c>
    </row>
    <row r="1953" spans="1:3" x14ac:dyDescent="0.2">
      <c r="A1953" s="341"/>
      <c r="B1953" s="339" t="s">
        <v>364</v>
      </c>
      <c r="C1953" s="340">
        <v>3</v>
      </c>
    </row>
    <row r="1954" spans="1:3" x14ac:dyDescent="0.2">
      <c r="A1954" s="341"/>
      <c r="B1954" s="339" t="s">
        <v>572</v>
      </c>
      <c r="C1954" s="340">
        <v>2</v>
      </c>
    </row>
    <row r="1955" spans="1:3" x14ac:dyDescent="0.2">
      <c r="A1955" s="341"/>
      <c r="B1955" s="339" t="s">
        <v>2605</v>
      </c>
      <c r="C1955" s="340">
        <v>2</v>
      </c>
    </row>
    <row r="1956" spans="1:3" x14ac:dyDescent="0.2">
      <c r="A1956" s="341"/>
      <c r="B1956" s="339" t="s">
        <v>361</v>
      </c>
      <c r="C1956" s="340">
        <v>2</v>
      </c>
    </row>
    <row r="1957" spans="1:3" x14ac:dyDescent="0.2">
      <c r="A1957" s="341"/>
      <c r="B1957" s="339" t="s">
        <v>350</v>
      </c>
      <c r="C1957" s="340">
        <v>1</v>
      </c>
    </row>
    <row r="1958" spans="1:3" x14ac:dyDescent="0.2">
      <c r="A1958" s="341"/>
      <c r="B1958" s="339" t="s">
        <v>347</v>
      </c>
      <c r="C1958" s="340">
        <v>1</v>
      </c>
    </row>
    <row r="1959" spans="1:3" x14ac:dyDescent="0.2">
      <c r="A1959" s="341"/>
      <c r="B1959" s="339" t="s">
        <v>2725</v>
      </c>
      <c r="C1959" s="340">
        <v>0.5</v>
      </c>
    </row>
    <row r="1960" spans="1:3" x14ac:dyDescent="0.2">
      <c r="A1960" s="341"/>
      <c r="B1960" s="339" t="s">
        <v>369</v>
      </c>
      <c r="C1960" s="340">
        <v>0.5</v>
      </c>
    </row>
    <row r="1961" spans="1:3" x14ac:dyDescent="0.2">
      <c r="A1961" s="341"/>
      <c r="B1961" s="339" t="s">
        <v>403</v>
      </c>
      <c r="C1961" s="340">
        <v>0.5</v>
      </c>
    </row>
    <row r="1962" spans="1:3" x14ac:dyDescent="0.2">
      <c r="A1962" s="341"/>
      <c r="B1962" s="339" t="s">
        <v>2603</v>
      </c>
      <c r="C1962" s="340">
        <v>0.5</v>
      </c>
    </row>
    <row r="1963" spans="1:3" x14ac:dyDescent="0.2">
      <c r="A1963" s="341"/>
      <c r="B1963" s="339" t="s">
        <v>406</v>
      </c>
      <c r="C1963" s="340">
        <v>0.5</v>
      </c>
    </row>
    <row r="1964" spans="1:3" x14ac:dyDescent="0.2">
      <c r="A1964" s="341"/>
      <c r="B1964" s="339" t="s">
        <v>2606</v>
      </c>
      <c r="C1964" s="340">
        <v>0.5</v>
      </c>
    </row>
    <row r="1965" spans="1:3" x14ac:dyDescent="0.2">
      <c r="A1965" s="341"/>
      <c r="B1965" s="339" t="s">
        <v>607</v>
      </c>
      <c r="C1965" s="340">
        <v>0.5</v>
      </c>
    </row>
    <row r="1966" spans="1:3" x14ac:dyDescent="0.2">
      <c r="A1966" s="341"/>
      <c r="B1966" s="339" t="s">
        <v>2622</v>
      </c>
      <c r="C1966" s="340">
        <v>0.5</v>
      </c>
    </row>
    <row r="1967" spans="1:3" x14ac:dyDescent="0.2">
      <c r="A1967" s="341"/>
      <c r="B1967" s="339" t="s">
        <v>2607</v>
      </c>
      <c r="C1967" s="340">
        <v>0.5</v>
      </c>
    </row>
    <row r="1968" spans="1:3" x14ac:dyDescent="0.2">
      <c r="A1968" s="341"/>
      <c r="B1968" s="339" t="s">
        <v>376</v>
      </c>
      <c r="C1968" s="340">
        <v>0.5</v>
      </c>
    </row>
    <row r="1969" spans="1:3" x14ac:dyDescent="0.2">
      <c r="A1969" s="341"/>
      <c r="B1969" s="339" t="s">
        <v>401</v>
      </c>
      <c r="C1969" s="340">
        <v>0.5</v>
      </c>
    </row>
    <row r="1970" spans="1:3" x14ac:dyDescent="0.2">
      <c r="A1970" s="341"/>
      <c r="B1970" s="339" t="s">
        <v>597</v>
      </c>
      <c r="C1970" s="340">
        <v>0.5</v>
      </c>
    </row>
    <row r="1971" spans="1:3" x14ac:dyDescent="0.2">
      <c r="A1971" s="341"/>
      <c r="B1971" s="339" t="s">
        <v>615</v>
      </c>
      <c r="C1971" s="340">
        <v>0.5</v>
      </c>
    </row>
    <row r="1972" spans="1:3" x14ac:dyDescent="0.2">
      <c r="A1972" s="341"/>
      <c r="B1972" s="339" t="s">
        <v>590</v>
      </c>
      <c r="C1972" s="340">
        <v>0.5</v>
      </c>
    </row>
    <row r="1973" spans="1:3" x14ac:dyDescent="0.2">
      <c r="A1973" s="341"/>
      <c r="B1973" s="339" t="s">
        <v>2608</v>
      </c>
      <c r="C1973" s="340">
        <v>0.5</v>
      </c>
    </row>
    <row r="1974" spans="1:3" x14ac:dyDescent="0.2">
      <c r="A1974" s="341"/>
      <c r="B1974" s="339" t="s">
        <v>447</v>
      </c>
      <c r="C1974" s="340">
        <v>0.5</v>
      </c>
    </row>
    <row r="1975" spans="1:3" x14ac:dyDescent="0.2">
      <c r="A1975" s="341"/>
      <c r="B1975" s="339" t="s">
        <v>2721</v>
      </c>
      <c r="C1975" s="340">
        <v>0.5</v>
      </c>
    </row>
    <row r="1976" spans="1:3" x14ac:dyDescent="0.2">
      <c r="A1976" s="341"/>
      <c r="B1976" s="339" t="s">
        <v>451</v>
      </c>
      <c r="C1976" s="340">
        <v>0.5</v>
      </c>
    </row>
    <row r="1977" spans="1:3" x14ac:dyDescent="0.2">
      <c r="A1977" s="341"/>
    </row>
    <row r="1978" spans="1:3" x14ac:dyDescent="0.2">
      <c r="A1978" s="338" t="s">
        <v>2556</v>
      </c>
    </row>
    <row r="1979" spans="1:3" x14ac:dyDescent="0.2">
      <c r="A1979" s="341" t="s">
        <v>2116</v>
      </c>
    </row>
    <row r="1980" spans="1:3" x14ac:dyDescent="0.2">
      <c r="A1980" s="341" t="s">
        <v>2124</v>
      </c>
    </row>
    <row r="1981" spans="1:3" x14ac:dyDescent="0.2">
      <c r="A1981" s="341" t="s">
        <v>56</v>
      </c>
    </row>
    <row r="1982" spans="1:3" x14ac:dyDescent="0.2">
      <c r="A1982" s="341" t="s">
        <v>2536</v>
      </c>
    </row>
    <row r="1983" spans="1:3" x14ac:dyDescent="0.2">
      <c r="A1983" s="341" t="s">
        <v>2557</v>
      </c>
    </row>
    <row r="1984" spans="1:3" x14ac:dyDescent="0.2">
      <c r="A1984" s="341"/>
    </row>
    <row r="1985" spans="1:3" x14ac:dyDescent="0.2">
      <c r="A1985" s="341"/>
      <c r="B1985" s="339" t="s">
        <v>448</v>
      </c>
      <c r="C1985" s="340">
        <v>18</v>
      </c>
    </row>
    <row r="1986" spans="1:3" x14ac:dyDescent="0.2">
      <c r="A1986" s="341"/>
      <c r="B1986" s="339" t="s">
        <v>3151</v>
      </c>
      <c r="C1986" s="340">
        <v>17</v>
      </c>
    </row>
    <row r="1987" spans="1:3" x14ac:dyDescent="0.2">
      <c r="A1987" s="341"/>
      <c r="B1987" s="339" t="s">
        <v>349</v>
      </c>
      <c r="C1987" s="340">
        <v>11</v>
      </c>
    </row>
    <row r="1988" spans="1:3" x14ac:dyDescent="0.2">
      <c r="A1988" s="341"/>
      <c r="B1988" s="339" t="s">
        <v>364</v>
      </c>
      <c r="C1988" s="340">
        <v>9</v>
      </c>
    </row>
    <row r="1989" spans="1:3" x14ac:dyDescent="0.2">
      <c r="A1989" s="341"/>
      <c r="B1989" s="339" t="s">
        <v>415</v>
      </c>
      <c r="C1989" s="340">
        <v>8</v>
      </c>
    </row>
    <row r="1990" spans="1:3" x14ac:dyDescent="0.2">
      <c r="A1990" s="341"/>
      <c r="B1990" s="339" t="s">
        <v>350</v>
      </c>
      <c r="C1990" s="340">
        <v>7</v>
      </c>
    </row>
    <row r="1991" spans="1:3" x14ac:dyDescent="0.2">
      <c r="A1991" s="341"/>
      <c r="B1991" s="339" t="s">
        <v>2573</v>
      </c>
      <c r="C1991" s="340">
        <v>7</v>
      </c>
    </row>
    <row r="1992" spans="1:3" x14ac:dyDescent="0.2">
      <c r="A1992" s="341"/>
      <c r="B1992" s="339" t="s">
        <v>360</v>
      </c>
      <c r="C1992" s="340">
        <v>6</v>
      </c>
    </row>
    <row r="1993" spans="1:3" x14ac:dyDescent="0.2">
      <c r="A1993" s="341"/>
      <c r="B1993" s="339" t="s">
        <v>3388</v>
      </c>
      <c r="C1993" s="340">
        <v>5</v>
      </c>
    </row>
    <row r="1994" spans="1:3" x14ac:dyDescent="0.2">
      <c r="A1994" s="341"/>
      <c r="B1994" s="339" t="s">
        <v>2596</v>
      </c>
      <c r="C1994" s="340">
        <v>3</v>
      </c>
    </row>
    <row r="1995" spans="1:3" x14ac:dyDescent="0.2">
      <c r="A1995" s="341"/>
      <c r="B1995" s="339" t="s">
        <v>2630</v>
      </c>
      <c r="C1995" s="340">
        <v>2</v>
      </c>
    </row>
    <row r="1996" spans="1:3" x14ac:dyDescent="0.2">
      <c r="A1996" s="341"/>
      <c r="B1996" s="339" t="s">
        <v>392</v>
      </c>
      <c r="C1996" s="340">
        <v>2</v>
      </c>
    </row>
    <row r="1997" spans="1:3" x14ac:dyDescent="0.2">
      <c r="A1997" s="341"/>
      <c r="B1997" s="339" t="s">
        <v>2660</v>
      </c>
      <c r="C1997" s="340">
        <v>1</v>
      </c>
    </row>
    <row r="1998" spans="1:3" x14ac:dyDescent="0.2">
      <c r="A1998" s="341"/>
      <c r="B1998" s="339" t="s">
        <v>367</v>
      </c>
      <c r="C1998" s="340">
        <v>1</v>
      </c>
    </row>
    <row r="1999" spans="1:3" x14ac:dyDescent="0.2">
      <c r="A1999" s="341"/>
      <c r="B1999" s="339" t="s">
        <v>2575</v>
      </c>
      <c r="C1999" s="340">
        <v>1</v>
      </c>
    </row>
    <row r="2000" spans="1:3" x14ac:dyDescent="0.2">
      <c r="A2000" s="341"/>
      <c r="B2000" s="339" t="s">
        <v>369</v>
      </c>
      <c r="C2000" s="340">
        <v>0.5</v>
      </c>
    </row>
    <row r="2001" spans="1:3" x14ac:dyDescent="0.2">
      <c r="A2001" s="341"/>
      <c r="B2001" s="339" t="s">
        <v>366</v>
      </c>
      <c r="C2001" s="340">
        <v>0.5</v>
      </c>
    </row>
    <row r="2002" spans="1:3" x14ac:dyDescent="0.2">
      <c r="A2002" s="341"/>
      <c r="B2002" s="339" t="s">
        <v>400</v>
      </c>
      <c r="C2002" s="340">
        <v>0.5</v>
      </c>
    </row>
    <row r="2003" spans="1:3" x14ac:dyDescent="0.2">
      <c r="A2003" s="341"/>
      <c r="B2003" s="339" t="s">
        <v>352</v>
      </c>
      <c r="C2003" s="340">
        <v>0.5</v>
      </c>
    </row>
    <row r="2004" spans="1:3" x14ac:dyDescent="0.2">
      <c r="A2004" s="341"/>
      <c r="B2004" s="339" t="s">
        <v>381</v>
      </c>
      <c r="C2004" s="340">
        <v>0.5</v>
      </c>
    </row>
    <row r="2005" spans="1:3" x14ac:dyDescent="0.2">
      <c r="A2005" s="341"/>
      <c r="B2005" s="339" t="s">
        <v>376</v>
      </c>
      <c r="C2005" s="340">
        <v>0.5</v>
      </c>
    </row>
    <row r="2006" spans="1:3" x14ac:dyDescent="0.2">
      <c r="A2006" s="341"/>
      <c r="B2006" s="339" t="s">
        <v>394</v>
      </c>
      <c r="C2006" s="340">
        <v>0.5</v>
      </c>
    </row>
    <row r="2007" spans="1:3" x14ac:dyDescent="0.2">
      <c r="A2007" s="341"/>
      <c r="B2007" s="339" t="s">
        <v>327</v>
      </c>
      <c r="C2007" s="340">
        <v>0.5</v>
      </c>
    </row>
    <row r="2008" spans="1:3" x14ac:dyDescent="0.2">
      <c r="A2008" s="341"/>
      <c r="B2008" s="339" t="s">
        <v>2612</v>
      </c>
      <c r="C2008" s="340">
        <v>0.5</v>
      </c>
    </row>
    <row r="2009" spans="1:3" x14ac:dyDescent="0.2">
      <c r="A2009" s="341"/>
      <c r="B2009" s="339" t="s">
        <v>340</v>
      </c>
      <c r="C2009" s="340">
        <v>0.5</v>
      </c>
    </row>
    <row r="2010" spans="1:3" x14ac:dyDescent="0.2">
      <c r="A2010" s="341"/>
      <c r="B2010" s="339" t="s">
        <v>2666</v>
      </c>
      <c r="C2010" s="340">
        <v>0.5</v>
      </c>
    </row>
    <row r="2011" spans="1:3" x14ac:dyDescent="0.2">
      <c r="A2011" s="341"/>
      <c r="B2011" s="339" t="s">
        <v>344</v>
      </c>
      <c r="C2011" s="340">
        <v>0.5</v>
      </c>
    </row>
    <row r="2012" spans="1:3" x14ac:dyDescent="0.2">
      <c r="A2012" s="341"/>
    </row>
    <row r="2013" spans="1:3" x14ac:dyDescent="0.2">
      <c r="A2013" s="338" t="s">
        <v>2558</v>
      </c>
    </row>
    <row r="2014" spans="1:3" x14ac:dyDescent="0.2">
      <c r="A2014" s="341" t="s">
        <v>2125</v>
      </c>
    </row>
    <row r="2015" spans="1:3" x14ac:dyDescent="0.2">
      <c r="A2015" s="341" t="s">
        <v>2126</v>
      </c>
    </row>
    <row r="2016" spans="1:3" x14ac:dyDescent="0.2">
      <c r="A2016" s="341" t="s">
        <v>57</v>
      </c>
    </row>
    <row r="2017" spans="1:3" x14ac:dyDescent="0.2">
      <c r="A2017" s="341" t="s">
        <v>2532</v>
      </c>
    </row>
    <row r="2018" spans="1:3" x14ac:dyDescent="0.2">
      <c r="A2018" s="341" t="s">
        <v>2559</v>
      </c>
    </row>
    <row r="2019" spans="1:3" x14ac:dyDescent="0.2">
      <c r="A2019" s="341"/>
    </row>
    <row r="2020" spans="1:3" x14ac:dyDescent="0.2">
      <c r="A2020" s="341"/>
      <c r="B2020" s="339" t="s">
        <v>376</v>
      </c>
      <c r="C2020" s="340">
        <v>25</v>
      </c>
    </row>
    <row r="2021" spans="1:3" x14ac:dyDescent="0.2">
      <c r="A2021" s="341"/>
      <c r="B2021" s="339" t="s">
        <v>361</v>
      </c>
      <c r="C2021" s="340">
        <v>20</v>
      </c>
    </row>
    <row r="2022" spans="1:3" x14ac:dyDescent="0.2">
      <c r="A2022" s="341"/>
      <c r="B2022" s="339" t="s">
        <v>3388</v>
      </c>
      <c r="C2022" s="340">
        <v>20</v>
      </c>
    </row>
    <row r="2023" spans="1:3" x14ac:dyDescent="0.2">
      <c r="A2023" s="341"/>
      <c r="B2023" s="339" t="s">
        <v>600</v>
      </c>
      <c r="C2023" s="340">
        <v>15</v>
      </c>
    </row>
    <row r="2024" spans="1:3" x14ac:dyDescent="0.2">
      <c r="A2024" s="341"/>
      <c r="B2024" s="339" t="s">
        <v>343</v>
      </c>
      <c r="C2024" s="340">
        <v>14</v>
      </c>
    </row>
    <row r="2025" spans="1:3" x14ac:dyDescent="0.2">
      <c r="A2025" s="341"/>
      <c r="B2025" s="339" t="s">
        <v>2660</v>
      </c>
      <c r="C2025" s="340">
        <v>14</v>
      </c>
    </row>
    <row r="2026" spans="1:3" x14ac:dyDescent="0.2">
      <c r="A2026" s="341"/>
      <c r="B2026" s="339" t="s">
        <v>340</v>
      </c>
      <c r="C2026" s="340">
        <v>9</v>
      </c>
    </row>
    <row r="2027" spans="1:3" x14ac:dyDescent="0.2">
      <c r="A2027" s="341"/>
      <c r="B2027" s="339" t="s">
        <v>369</v>
      </c>
      <c r="C2027" s="340">
        <v>7</v>
      </c>
    </row>
    <row r="2028" spans="1:3" x14ac:dyDescent="0.2">
      <c r="A2028" s="341"/>
      <c r="B2028" s="339" t="s">
        <v>3151</v>
      </c>
      <c r="C2028" s="340">
        <v>7</v>
      </c>
    </row>
    <row r="2029" spans="1:3" x14ac:dyDescent="0.2">
      <c r="A2029" s="341"/>
      <c r="B2029" s="339" t="s">
        <v>344</v>
      </c>
      <c r="C2029" s="340">
        <v>7</v>
      </c>
    </row>
    <row r="2030" spans="1:3" x14ac:dyDescent="0.2">
      <c r="A2030" s="341"/>
      <c r="B2030" s="339" t="s">
        <v>358</v>
      </c>
      <c r="C2030" s="340">
        <v>7</v>
      </c>
    </row>
    <row r="2031" spans="1:3" x14ac:dyDescent="0.2">
      <c r="A2031" s="341"/>
      <c r="B2031" s="339" t="s">
        <v>400</v>
      </c>
      <c r="C2031" s="340">
        <v>4</v>
      </c>
    </row>
    <row r="2032" spans="1:3" x14ac:dyDescent="0.2">
      <c r="A2032" s="341"/>
      <c r="B2032" s="339" t="s">
        <v>392</v>
      </c>
      <c r="C2032" s="340">
        <v>4</v>
      </c>
    </row>
    <row r="2033" spans="1:3" x14ac:dyDescent="0.2">
      <c r="A2033" s="341"/>
      <c r="B2033" s="339" t="s">
        <v>364</v>
      </c>
      <c r="C2033" s="340">
        <v>4</v>
      </c>
    </row>
    <row r="2034" spans="1:3" x14ac:dyDescent="0.2">
      <c r="A2034" s="341"/>
      <c r="B2034" s="339" t="s">
        <v>2573</v>
      </c>
      <c r="C2034" s="340">
        <v>2</v>
      </c>
    </row>
    <row r="2035" spans="1:3" x14ac:dyDescent="0.2">
      <c r="A2035" s="341"/>
      <c r="B2035" s="339" t="s">
        <v>2594</v>
      </c>
      <c r="C2035" s="340">
        <v>2</v>
      </c>
    </row>
    <row r="2036" spans="1:3" x14ac:dyDescent="0.2">
      <c r="A2036" s="341"/>
      <c r="B2036" s="339" t="s">
        <v>350</v>
      </c>
      <c r="C2036" s="340">
        <v>1</v>
      </c>
    </row>
    <row r="2037" spans="1:3" x14ac:dyDescent="0.2">
      <c r="A2037" s="341"/>
      <c r="B2037" s="339" t="s">
        <v>327</v>
      </c>
      <c r="C2037" s="340">
        <v>1</v>
      </c>
    </row>
    <row r="2038" spans="1:3" x14ac:dyDescent="0.2">
      <c r="A2038" s="341"/>
      <c r="B2038" s="339" t="s">
        <v>357</v>
      </c>
      <c r="C2038" s="340">
        <v>1</v>
      </c>
    </row>
    <row r="2039" spans="1:3" x14ac:dyDescent="0.2">
      <c r="A2039" s="341"/>
      <c r="B2039" s="339" t="s">
        <v>345</v>
      </c>
      <c r="C2039" s="340">
        <v>1</v>
      </c>
    </row>
    <row r="2040" spans="1:3" x14ac:dyDescent="0.2">
      <c r="A2040" s="341"/>
      <c r="B2040" s="339" t="s">
        <v>609</v>
      </c>
      <c r="C2040" s="340">
        <v>0.5</v>
      </c>
    </row>
    <row r="2041" spans="1:3" x14ac:dyDescent="0.2">
      <c r="A2041" s="341"/>
      <c r="B2041" s="339" t="s">
        <v>349</v>
      </c>
      <c r="C2041" s="340">
        <v>0.5</v>
      </c>
    </row>
    <row r="2042" spans="1:3" x14ac:dyDescent="0.2">
      <c r="A2042" s="341"/>
      <c r="B2042" s="339" t="s">
        <v>2597</v>
      </c>
      <c r="C2042" s="340">
        <v>0.5</v>
      </c>
    </row>
    <row r="2043" spans="1:3" x14ac:dyDescent="0.2">
      <c r="A2043" s="341"/>
      <c r="B2043" s="339" t="s">
        <v>593</v>
      </c>
      <c r="C2043" s="340">
        <v>0.5</v>
      </c>
    </row>
    <row r="2044" spans="1:3" x14ac:dyDescent="0.2">
      <c r="A2044" s="341"/>
      <c r="B2044" s="339" t="s">
        <v>2566</v>
      </c>
      <c r="C2044" s="340">
        <v>0.5</v>
      </c>
    </row>
    <row r="2045" spans="1:3" x14ac:dyDescent="0.2">
      <c r="A2045" s="341"/>
    </row>
    <row r="2046" spans="1:3" x14ac:dyDescent="0.2">
      <c r="A2046" s="338" t="s">
        <v>58</v>
      </c>
    </row>
    <row r="2047" spans="1:3" x14ac:dyDescent="0.2">
      <c r="A2047" s="341" t="s">
        <v>2125</v>
      </c>
    </row>
    <row r="2048" spans="1:3" x14ac:dyDescent="0.2">
      <c r="A2048" s="341" t="s">
        <v>2127</v>
      </c>
    </row>
    <row r="2049" spans="1:3" x14ac:dyDescent="0.2">
      <c r="A2049" s="341" t="s">
        <v>59</v>
      </c>
    </row>
    <row r="2050" spans="1:3" x14ac:dyDescent="0.2">
      <c r="A2050" s="341" t="s">
        <v>2536</v>
      </c>
    </row>
    <row r="2051" spans="1:3" x14ac:dyDescent="0.2">
      <c r="A2051" s="341" t="s">
        <v>2560</v>
      </c>
    </row>
    <row r="2052" spans="1:3" x14ac:dyDescent="0.2">
      <c r="A2052" s="341"/>
    </row>
    <row r="2053" spans="1:3" x14ac:dyDescent="0.2">
      <c r="A2053" s="341"/>
      <c r="B2053" s="339" t="s">
        <v>2629</v>
      </c>
      <c r="C2053" s="340">
        <v>65</v>
      </c>
    </row>
    <row r="2054" spans="1:3" x14ac:dyDescent="0.2">
      <c r="A2054" s="341"/>
      <c r="B2054" s="339" t="s">
        <v>2628</v>
      </c>
      <c r="C2054" s="340">
        <v>35</v>
      </c>
    </row>
    <row r="2055" spans="1:3" x14ac:dyDescent="0.2">
      <c r="A2055" s="341"/>
      <c r="B2055" s="339" t="s">
        <v>349</v>
      </c>
      <c r="C2055" s="340">
        <v>16</v>
      </c>
    </row>
    <row r="2056" spans="1:3" x14ac:dyDescent="0.2">
      <c r="A2056" s="341"/>
      <c r="B2056" s="339" t="s">
        <v>369</v>
      </c>
      <c r="C2056" s="340">
        <v>11</v>
      </c>
    </row>
    <row r="2057" spans="1:3" x14ac:dyDescent="0.2">
      <c r="A2057" s="341"/>
      <c r="B2057" s="339" t="s">
        <v>350</v>
      </c>
      <c r="C2057" s="340">
        <v>7</v>
      </c>
    </row>
    <row r="2058" spans="1:3" x14ac:dyDescent="0.2">
      <c r="A2058" s="341"/>
      <c r="B2058" s="339" t="s">
        <v>448</v>
      </c>
      <c r="C2058" s="340">
        <v>7</v>
      </c>
    </row>
    <row r="2059" spans="1:3" x14ac:dyDescent="0.2">
      <c r="A2059" s="341"/>
      <c r="B2059" s="339" t="s">
        <v>2722</v>
      </c>
      <c r="C2059" s="340">
        <v>6</v>
      </c>
    </row>
    <row r="2060" spans="1:3" x14ac:dyDescent="0.2">
      <c r="A2060" s="341"/>
      <c r="B2060" s="339" t="s">
        <v>394</v>
      </c>
      <c r="C2060" s="340">
        <v>4</v>
      </c>
    </row>
    <row r="2061" spans="1:3" x14ac:dyDescent="0.2">
      <c r="A2061" s="341"/>
      <c r="B2061" s="339" t="s">
        <v>2597</v>
      </c>
      <c r="C2061" s="340">
        <v>3</v>
      </c>
    </row>
    <row r="2062" spans="1:3" x14ac:dyDescent="0.2">
      <c r="A2062" s="341"/>
      <c r="B2062" s="339" t="s">
        <v>400</v>
      </c>
      <c r="C2062" s="340">
        <v>1</v>
      </c>
    </row>
    <row r="2063" spans="1:3" x14ac:dyDescent="0.2">
      <c r="A2063" s="341"/>
      <c r="B2063" s="339" t="s">
        <v>423</v>
      </c>
      <c r="C2063" s="340">
        <v>1</v>
      </c>
    </row>
    <row r="2064" spans="1:3" x14ac:dyDescent="0.2">
      <c r="A2064" s="341"/>
      <c r="B2064" s="339" t="s">
        <v>2641</v>
      </c>
      <c r="C2064" s="340">
        <v>0.5</v>
      </c>
    </row>
    <row r="2065" spans="1:3" x14ac:dyDescent="0.2">
      <c r="A2065" s="341"/>
      <c r="B2065" s="339" t="s">
        <v>2638</v>
      </c>
      <c r="C2065" s="340">
        <v>0.5</v>
      </c>
    </row>
    <row r="2066" spans="1:3" x14ac:dyDescent="0.2">
      <c r="A2066" s="341"/>
      <c r="B2066" s="339" t="s">
        <v>2612</v>
      </c>
      <c r="C2066" s="340">
        <v>0.5</v>
      </c>
    </row>
    <row r="2067" spans="1:3" x14ac:dyDescent="0.2">
      <c r="A2067" s="341"/>
      <c r="B2067" s="339" t="s">
        <v>340</v>
      </c>
      <c r="C2067" s="340">
        <v>0.5</v>
      </c>
    </row>
    <row r="2068" spans="1:3" x14ac:dyDescent="0.2">
      <c r="A2068" s="341"/>
      <c r="B2068" s="339" t="s">
        <v>2596</v>
      </c>
      <c r="C2068" s="340">
        <v>0.5</v>
      </c>
    </row>
    <row r="2069" spans="1:3" x14ac:dyDescent="0.2">
      <c r="A2069" s="341"/>
      <c r="B2069" s="339" t="s">
        <v>344</v>
      </c>
      <c r="C2069" s="340">
        <v>0.5</v>
      </c>
    </row>
    <row r="2070" spans="1:3" x14ac:dyDescent="0.2">
      <c r="A2070" s="341"/>
    </row>
    <row r="2071" spans="1:3" x14ac:dyDescent="0.2">
      <c r="A2071" s="338" t="s">
        <v>2561</v>
      </c>
    </row>
    <row r="2072" spans="1:3" x14ac:dyDescent="0.2">
      <c r="A2072" s="341" t="s">
        <v>2128</v>
      </c>
    </row>
    <row r="2073" spans="1:3" x14ac:dyDescent="0.2">
      <c r="A2073" s="341" t="s">
        <v>2129</v>
      </c>
    </row>
    <row r="2074" spans="1:3" x14ac:dyDescent="0.2">
      <c r="A2074" s="341" t="s">
        <v>60</v>
      </c>
    </row>
    <row r="2075" spans="1:3" x14ac:dyDescent="0.2">
      <c r="A2075" s="341" t="s">
        <v>2538</v>
      </c>
    </row>
    <row r="2076" spans="1:3" x14ac:dyDescent="0.2">
      <c r="A2076" s="341" t="s">
        <v>630</v>
      </c>
    </row>
    <row r="2077" spans="1:3" x14ac:dyDescent="0.2">
      <c r="A2077" s="341"/>
    </row>
    <row r="2078" spans="1:3" x14ac:dyDescent="0.2">
      <c r="A2078" s="341"/>
      <c r="B2078" s="339" t="s">
        <v>2565</v>
      </c>
      <c r="C2078" s="340">
        <v>17</v>
      </c>
    </row>
    <row r="2079" spans="1:3" x14ac:dyDescent="0.2">
      <c r="A2079" s="341"/>
      <c r="B2079" s="339" t="s">
        <v>385</v>
      </c>
      <c r="C2079" s="340">
        <v>11</v>
      </c>
    </row>
    <row r="2080" spans="1:3" x14ac:dyDescent="0.2">
      <c r="A2080" s="341"/>
      <c r="B2080" s="339" t="s">
        <v>2602</v>
      </c>
      <c r="C2080" s="340">
        <v>11</v>
      </c>
    </row>
    <row r="2081" spans="1:3" x14ac:dyDescent="0.2">
      <c r="A2081" s="341"/>
      <c r="B2081" s="339" t="s">
        <v>404</v>
      </c>
      <c r="C2081" s="340">
        <v>9</v>
      </c>
    </row>
    <row r="2082" spans="1:3" x14ac:dyDescent="0.2">
      <c r="A2082" s="341"/>
      <c r="B2082" s="339" t="s">
        <v>2579</v>
      </c>
      <c r="C2082" s="340">
        <v>9</v>
      </c>
    </row>
    <row r="2083" spans="1:3" x14ac:dyDescent="0.2">
      <c r="A2083" s="341"/>
      <c r="B2083" s="339" t="s">
        <v>1588</v>
      </c>
      <c r="C2083" s="340">
        <v>8</v>
      </c>
    </row>
    <row r="2084" spans="1:3" x14ac:dyDescent="0.2">
      <c r="A2084" s="341"/>
      <c r="B2084" s="339" t="s">
        <v>395</v>
      </c>
      <c r="C2084" s="340">
        <v>7</v>
      </c>
    </row>
    <row r="2085" spans="1:3" x14ac:dyDescent="0.2">
      <c r="A2085" s="341"/>
      <c r="B2085" s="339" t="s">
        <v>412</v>
      </c>
      <c r="C2085" s="340">
        <v>5</v>
      </c>
    </row>
    <row r="2086" spans="1:3" x14ac:dyDescent="0.2">
      <c r="A2086" s="341"/>
      <c r="B2086" s="339" t="s">
        <v>441</v>
      </c>
      <c r="C2086" s="340">
        <v>5</v>
      </c>
    </row>
    <row r="2087" spans="1:3" x14ac:dyDescent="0.2">
      <c r="A2087" s="341"/>
      <c r="B2087" s="339" t="s">
        <v>425</v>
      </c>
      <c r="C2087" s="340">
        <v>4</v>
      </c>
    </row>
    <row r="2088" spans="1:3" x14ac:dyDescent="0.2">
      <c r="A2088" s="341"/>
      <c r="B2088" s="339" t="s">
        <v>340</v>
      </c>
      <c r="C2088" s="340">
        <v>4</v>
      </c>
    </row>
    <row r="2089" spans="1:3" x14ac:dyDescent="0.2">
      <c r="A2089" s="341"/>
      <c r="B2089" s="339" t="s">
        <v>2603</v>
      </c>
      <c r="C2089" s="340">
        <v>3</v>
      </c>
    </row>
    <row r="2090" spans="1:3" x14ac:dyDescent="0.2">
      <c r="A2090" s="341"/>
      <c r="B2090" s="339" t="s">
        <v>597</v>
      </c>
      <c r="C2090" s="340">
        <v>3</v>
      </c>
    </row>
    <row r="2091" spans="1:3" x14ac:dyDescent="0.2">
      <c r="A2091" s="341"/>
      <c r="B2091" s="339" t="s">
        <v>424</v>
      </c>
      <c r="C2091" s="340">
        <v>3</v>
      </c>
    </row>
    <row r="2092" spans="1:3" x14ac:dyDescent="0.2">
      <c r="A2092" s="341"/>
      <c r="B2092" s="339" t="s">
        <v>364</v>
      </c>
      <c r="C2092" s="340">
        <v>3</v>
      </c>
    </row>
    <row r="2093" spans="1:3" x14ac:dyDescent="0.2">
      <c r="A2093" s="341"/>
      <c r="B2093" s="339" t="s">
        <v>350</v>
      </c>
      <c r="C2093" s="340">
        <v>2</v>
      </c>
    </row>
    <row r="2094" spans="1:3" x14ac:dyDescent="0.2">
      <c r="A2094" s="341"/>
      <c r="B2094" s="339" t="s">
        <v>444</v>
      </c>
      <c r="C2094" s="340">
        <v>2</v>
      </c>
    </row>
    <row r="2095" spans="1:3" x14ac:dyDescent="0.2">
      <c r="A2095" s="341"/>
      <c r="B2095" s="339" t="s">
        <v>2600</v>
      </c>
      <c r="C2095" s="340">
        <v>1</v>
      </c>
    </row>
    <row r="2096" spans="1:3" x14ac:dyDescent="0.2">
      <c r="A2096" s="341"/>
      <c r="B2096" s="339" t="s">
        <v>583</v>
      </c>
      <c r="C2096" s="340">
        <v>1</v>
      </c>
    </row>
    <row r="2097" spans="1:3" x14ac:dyDescent="0.2">
      <c r="A2097" s="341"/>
      <c r="B2097" s="339" t="s">
        <v>2601</v>
      </c>
      <c r="C2097" s="340">
        <v>1</v>
      </c>
    </row>
    <row r="2098" spans="1:3" x14ac:dyDescent="0.2">
      <c r="A2098" s="341"/>
      <c r="B2098" s="339" t="s">
        <v>457</v>
      </c>
      <c r="C2098" s="340">
        <v>1</v>
      </c>
    </row>
    <row r="2099" spans="1:3" x14ac:dyDescent="0.2">
      <c r="A2099" s="341"/>
      <c r="B2099" s="339" t="s">
        <v>371</v>
      </c>
      <c r="C2099" s="340">
        <v>0.5</v>
      </c>
    </row>
    <row r="2100" spans="1:3" x14ac:dyDescent="0.2">
      <c r="A2100" s="341"/>
      <c r="B2100" s="339" t="s">
        <v>2621</v>
      </c>
      <c r="C2100" s="340">
        <v>0.5</v>
      </c>
    </row>
    <row r="2101" spans="1:3" x14ac:dyDescent="0.2">
      <c r="A2101" s="341"/>
      <c r="B2101" s="339" t="s">
        <v>2631</v>
      </c>
      <c r="C2101" s="340">
        <v>0.5</v>
      </c>
    </row>
    <row r="2102" spans="1:3" x14ac:dyDescent="0.2">
      <c r="A2102" s="341"/>
      <c r="B2102" s="339" t="s">
        <v>2573</v>
      </c>
      <c r="C2102" s="340">
        <v>0.5</v>
      </c>
    </row>
    <row r="2103" spans="1:3" x14ac:dyDescent="0.2">
      <c r="A2103" s="341"/>
      <c r="B2103" s="339" t="s">
        <v>2628</v>
      </c>
      <c r="C2103" s="340">
        <v>0.5</v>
      </c>
    </row>
    <row r="2104" spans="1:3" x14ac:dyDescent="0.2">
      <c r="A2104" s="341"/>
      <c r="B2104" s="339" t="s">
        <v>405</v>
      </c>
      <c r="C2104" s="340">
        <v>0.5</v>
      </c>
    </row>
    <row r="2105" spans="1:3" x14ac:dyDescent="0.2">
      <c r="A2105" s="341"/>
      <c r="B2105" s="339" t="s">
        <v>2622</v>
      </c>
      <c r="C2105" s="340">
        <v>0.5</v>
      </c>
    </row>
    <row r="2106" spans="1:3" x14ac:dyDescent="0.2">
      <c r="A2106" s="341"/>
      <c r="B2106" s="339" t="s">
        <v>2649</v>
      </c>
      <c r="C2106" s="340">
        <v>0.5</v>
      </c>
    </row>
    <row r="2107" spans="1:3" x14ac:dyDescent="0.2">
      <c r="A2107" s="341"/>
      <c r="B2107" s="339" t="s">
        <v>2604</v>
      </c>
      <c r="C2107" s="340">
        <v>0.5</v>
      </c>
    </row>
    <row r="2108" spans="1:3" x14ac:dyDescent="0.2">
      <c r="A2108" s="341"/>
      <c r="B2108" s="339" t="s">
        <v>342</v>
      </c>
      <c r="C2108" s="340">
        <v>0.5</v>
      </c>
    </row>
    <row r="2109" spans="1:3" x14ac:dyDescent="0.2">
      <c r="A2109" s="341"/>
      <c r="B2109" s="339" t="s">
        <v>347</v>
      </c>
      <c r="C2109" s="340">
        <v>0.5</v>
      </c>
    </row>
    <row r="2110" spans="1:3" x14ac:dyDescent="0.2">
      <c r="A2110" s="341"/>
      <c r="B2110" s="339" t="s">
        <v>613</v>
      </c>
      <c r="C2110" s="340">
        <v>0.5</v>
      </c>
    </row>
    <row r="2111" spans="1:3" x14ac:dyDescent="0.2">
      <c r="A2111" s="341"/>
      <c r="B2111" s="339" t="s">
        <v>394</v>
      </c>
      <c r="C2111" s="340">
        <v>0.5</v>
      </c>
    </row>
    <row r="2112" spans="1:3" x14ac:dyDescent="0.2">
      <c r="A2112" s="341"/>
      <c r="B2112" s="339" t="s">
        <v>408</v>
      </c>
      <c r="C2112" s="340">
        <v>0.5</v>
      </c>
    </row>
    <row r="2113" spans="1:3" x14ac:dyDescent="0.2">
      <c r="A2113" s="341"/>
      <c r="B2113" s="339" t="s">
        <v>368</v>
      </c>
      <c r="C2113" s="340">
        <v>0.5</v>
      </c>
    </row>
    <row r="2114" spans="1:3" x14ac:dyDescent="0.2">
      <c r="A2114" s="341"/>
      <c r="B2114" s="339" t="s">
        <v>367</v>
      </c>
      <c r="C2114" s="340">
        <v>0.5</v>
      </c>
    </row>
    <row r="2115" spans="1:3" x14ac:dyDescent="0.2">
      <c r="A2115" s="341"/>
    </row>
    <row r="2116" spans="1:3" x14ac:dyDescent="0.2">
      <c r="A2116" s="338" t="s">
        <v>631</v>
      </c>
    </row>
    <row r="2117" spans="1:3" x14ac:dyDescent="0.2">
      <c r="A2117" s="341" t="s">
        <v>2128</v>
      </c>
    </row>
    <row r="2118" spans="1:3" x14ac:dyDescent="0.2">
      <c r="A2118" s="341" t="s">
        <v>2130</v>
      </c>
    </row>
    <row r="2119" spans="1:3" x14ac:dyDescent="0.2">
      <c r="A2119" s="341" t="s">
        <v>61</v>
      </c>
    </row>
    <row r="2120" spans="1:3" x14ac:dyDescent="0.2">
      <c r="A2120" s="341" t="s">
        <v>2539</v>
      </c>
    </row>
    <row r="2121" spans="1:3" x14ac:dyDescent="0.2">
      <c r="A2121" s="341" t="s">
        <v>632</v>
      </c>
    </row>
    <row r="2122" spans="1:3" x14ac:dyDescent="0.2">
      <c r="A2122" s="341"/>
    </row>
    <row r="2123" spans="1:3" x14ac:dyDescent="0.2">
      <c r="A2123" s="341"/>
      <c r="B2123" s="339" t="s">
        <v>340</v>
      </c>
      <c r="C2123" s="340">
        <v>23</v>
      </c>
    </row>
    <row r="2124" spans="1:3" x14ac:dyDescent="0.2">
      <c r="A2124" s="341"/>
      <c r="B2124" s="339" t="s">
        <v>405</v>
      </c>
      <c r="C2124" s="340">
        <v>20</v>
      </c>
    </row>
    <row r="2125" spans="1:3" x14ac:dyDescent="0.2">
      <c r="A2125" s="341"/>
      <c r="B2125" s="339" t="s">
        <v>415</v>
      </c>
      <c r="C2125" s="340">
        <v>20</v>
      </c>
    </row>
    <row r="2126" spans="1:3" x14ac:dyDescent="0.2">
      <c r="A2126" s="341"/>
      <c r="B2126" s="339" t="s">
        <v>1869</v>
      </c>
      <c r="C2126" s="340">
        <v>19</v>
      </c>
    </row>
    <row r="2127" spans="1:3" x14ac:dyDescent="0.2">
      <c r="A2127" s="341"/>
      <c r="B2127" s="339" t="s">
        <v>376</v>
      </c>
      <c r="C2127" s="340">
        <v>16</v>
      </c>
    </row>
    <row r="2128" spans="1:3" x14ac:dyDescent="0.2">
      <c r="A2128" s="341"/>
      <c r="B2128" s="339" t="s">
        <v>416</v>
      </c>
      <c r="C2128" s="340">
        <v>13</v>
      </c>
    </row>
    <row r="2129" spans="1:3" x14ac:dyDescent="0.2">
      <c r="A2129" s="341"/>
      <c r="B2129" s="339" t="s">
        <v>441</v>
      </c>
      <c r="C2129" s="340">
        <v>8</v>
      </c>
    </row>
    <row r="2130" spans="1:3" x14ac:dyDescent="0.2">
      <c r="A2130" s="341"/>
      <c r="B2130" s="339" t="s">
        <v>394</v>
      </c>
      <c r="C2130" s="340">
        <v>6</v>
      </c>
    </row>
    <row r="2131" spans="1:3" x14ac:dyDescent="0.2">
      <c r="A2131" s="341"/>
      <c r="B2131" s="339" t="s">
        <v>392</v>
      </c>
      <c r="C2131" s="340">
        <v>6</v>
      </c>
    </row>
    <row r="2132" spans="1:3" x14ac:dyDescent="0.2">
      <c r="A2132" s="341"/>
      <c r="B2132" s="339" t="s">
        <v>2575</v>
      </c>
      <c r="C2132" s="340">
        <v>5</v>
      </c>
    </row>
    <row r="2133" spans="1:3" x14ac:dyDescent="0.2">
      <c r="A2133" s="341"/>
      <c r="B2133" s="339" t="s">
        <v>364</v>
      </c>
      <c r="C2133" s="340">
        <v>3</v>
      </c>
    </row>
    <row r="2134" spans="1:3" x14ac:dyDescent="0.2">
      <c r="A2134" s="341"/>
      <c r="B2134" s="339" t="s">
        <v>343</v>
      </c>
      <c r="C2134" s="340">
        <v>1</v>
      </c>
    </row>
    <row r="2135" spans="1:3" x14ac:dyDescent="0.2">
      <c r="A2135" s="341"/>
      <c r="B2135" s="339" t="s">
        <v>2636</v>
      </c>
      <c r="C2135" s="340">
        <v>1</v>
      </c>
    </row>
    <row r="2136" spans="1:3" x14ac:dyDescent="0.2">
      <c r="A2136" s="341"/>
      <c r="B2136" s="339" t="s">
        <v>2598</v>
      </c>
      <c r="C2136" s="340">
        <v>0.5</v>
      </c>
    </row>
    <row r="2137" spans="1:3" x14ac:dyDescent="0.2">
      <c r="A2137" s="341"/>
      <c r="B2137" s="339" t="s">
        <v>2573</v>
      </c>
      <c r="C2137" s="340">
        <v>0.5</v>
      </c>
    </row>
    <row r="2138" spans="1:3" x14ac:dyDescent="0.2">
      <c r="A2138" s="341"/>
      <c r="B2138" s="339" t="s">
        <v>2599</v>
      </c>
      <c r="C2138" s="340">
        <v>0.5</v>
      </c>
    </row>
    <row r="2139" spans="1:3" x14ac:dyDescent="0.2">
      <c r="A2139" s="341"/>
      <c r="B2139" s="339" t="s">
        <v>2574</v>
      </c>
      <c r="C2139" s="340">
        <v>0.5</v>
      </c>
    </row>
    <row r="2140" spans="1:3" x14ac:dyDescent="0.2">
      <c r="A2140" s="341"/>
      <c r="B2140" s="339" t="s">
        <v>2579</v>
      </c>
      <c r="C2140" s="340">
        <v>0.5</v>
      </c>
    </row>
    <row r="2141" spans="1:3" x14ac:dyDescent="0.2">
      <c r="A2141" s="341"/>
      <c r="B2141" s="339" t="s">
        <v>349</v>
      </c>
      <c r="C2141" s="340">
        <v>0.5</v>
      </c>
    </row>
    <row r="2142" spans="1:3" x14ac:dyDescent="0.2">
      <c r="A2142" s="341"/>
      <c r="B2142" s="339" t="s">
        <v>358</v>
      </c>
      <c r="C2142" s="340">
        <v>0.5</v>
      </c>
    </row>
    <row r="2143" spans="1:3" x14ac:dyDescent="0.2">
      <c r="A2143" s="341"/>
      <c r="B2143" s="339" t="s">
        <v>984</v>
      </c>
      <c r="C2143" s="340">
        <v>0.5</v>
      </c>
    </row>
    <row r="2144" spans="1:3" x14ac:dyDescent="0.2">
      <c r="A2144" s="341"/>
      <c r="B2144" s="339" t="s">
        <v>447</v>
      </c>
      <c r="C2144" s="340">
        <v>0.5</v>
      </c>
    </row>
    <row r="2145" spans="1:3" x14ac:dyDescent="0.2">
      <c r="A2145" s="341"/>
    </row>
    <row r="2146" spans="1:3" x14ac:dyDescent="0.2">
      <c r="A2146" s="338" t="s">
        <v>633</v>
      </c>
    </row>
    <row r="2147" spans="1:3" x14ac:dyDescent="0.2">
      <c r="A2147" s="341" t="s">
        <v>2116</v>
      </c>
    </row>
    <row r="2148" spans="1:3" x14ac:dyDescent="0.2">
      <c r="A2148" s="341" t="s">
        <v>2131</v>
      </c>
    </row>
    <row r="2149" spans="1:3" x14ac:dyDescent="0.2">
      <c r="A2149" s="341" t="s">
        <v>62</v>
      </c>
    </row>
    <row r="2150" spans="1:3" x14ac:dyDescent="0.2">
      <c r="A2150" s="341" t="s">
        <v>2540</v>
      </c>
    </row>
    <row r="2151" spans="1:3" x14ac:dyDescent="0.2">
      <c r="A2151" s="341" t="s">
        <v>634</v>
      </c>
    </row>
    <row r="2152" spans="1:3" x14ac:dyDescent="0.2">
      <c r="A2152" s="341"/>
    </row>
    <row r="2153" spans="1:3" x14ac:dyDescent="0.2">
      <c r="A2153" s="341"/>
      <c r="B2153" s="339" t="s">
        <v>364</v>
      </c>
      <c r="C2153" s="340">
        <v>21</v>
      </c>
    </row>
    <row r="2154" spans="1:3" x14ac:dyDescent="0.2">
      <c r="A2154" s="341"/>
      <c r="B2154" s="339" t="s">
        <v>361</v>
      </c>
      <c r="C2154" s="340">
        <v>20</v>
      </c>
    </row>
    <row r="2155" spans="1:3" x14ac:dyDescent="0.2">
      <c r="A2155" s="341"/>
      <c r="B2155" s="339" t="s">
        <v>341</v>
      </c>
      <c r="C2155" s="340">
        <v>16</v>
      </c>
    </row>
    <row r="2156" spans="1:3" x14ac:dyDescent="0.2">
      <c r="A2156" s="341"/>
      <c r="B2156" s="339" t="s">
        <v>432</v>
      </c>
      <c r="C2156" s="340">
        <v>15</v>
      </c>
    </row>
    <row r="2157" spans="1:3" x14ac:dyDescent="0.2">
      <c r="A2157" s="341"/>
      <c r="B2157" s="339" t="s">
        <v>2583</v>
      </c>
      <c r="C2157" s="340">
        <v>13</v>
      </c>
    </row>
    <row r="2158" spans="1:3" x14ac:dyDescent="0.2">
      <c r="A2158" s="341"/>
      <c r="B2158" s="339" t="s">
        <v>600</v>
      </c>
      <c r="C2158" s="340">
        <v>12</v>
      </c>
    </row>
    <row r="2159" spans="1:3" x14ac:dyDescent="0.2">
      <c r="A2159" s="341"/>
      <c r="B2159" s="339" t="s">
        <v>347</v>
      </c>
      <c r="C2159" s="340">
        <v>10</v>
      </c>
    </row>
    <row r="2160" spans="1:3" x14ac:dyDescent="0.2">
      <c r="A2160" s="341"/>
      <c r="B2160" s="339" t="s">
        <v>376</v>
      </c>
      <c r="C2160" s="340">
        <v>10</v>
      </c>
    </row>
    <row r="2161" spans="1:3" x14ac:dyDescent="0.2">
      <c r="A2161" s="341"/>
      <c r="B2161" s="339" t="s">
        <v>609</v>
      </c>
      <c r="C2161" s="340">
        <v>7</v>
      </c>
    </row>
    <row r="2162" spans="1:3" x14ac:dyDescent="0.2">
      <c r="A2162" s="341"/>
      <c r="B2162" s="339" t="s">
        <v>360</v>
      </c>
      <c r="C2162" s="340">
        <v>7</v>
      </c>
    </row>
    <row r="2163" spans="1:3" x14ac:dyDescent="0.2">
      <c r="A2163" s="341"/>
      <c r="B2163" s="339" t="s">
        <v>392</v>
      </c>
      <c r="C2163" s="340">
        <v>6</v>
      </c>
    </row>
    <row r="2164" spans="1:3" x14ac:dyDescent="0.2">
      <c r="A2164" s="341"/>
      <c r="B2164" s="339" t="s">
        <v>2582</v>
      </c>
      <c r="C2164" s="340">
        <v>5</v>
      </c>
    </row>
    <row r="2165" spans="1:3" x14ac:dyDescent="0.2">
      <c r="A2165" s="341"/>
      <c r="B2165" s="339" t="s">
        <v>340</v>
      </c>
      <c r="C2165" s="340">
        <v>5</v>
      </c>
    </row>
    <row r="2166" spans="1:3" x14ac:dyDescent="0.2">
      <c r="A2166" s="341"/>
      <c r="B2166" s="339" t="s">
        <v>343</v>
      </c>
      <c r="C2166" s="340">
        <v>4</v>
      </c>
    </row>
    <row r="2167" spans="1:3" x14ac:dyDescent="0.2">
      <c r="A2167" s="341"/>
      <c r="B2167" s="339" t="s">
        <v>3151</v>
      </c>
      <c r="C2167" s="340">
        <v>4</v>
      </c>
    </row>
    <row r="2168" spans="1:3" x14ac:dyDescent="0.2">
      <c r="A2168" s="341"/>
      <c r="B2168" s="339" t="s">
        <v>2581</v>
      </c>
      <c r="C2168" s="340">
        <v>4</v>
      </c>
    </row>
    <row r="2169" spans="1:3" x14ac:dyDescent="0.2">
      <c r="A2169" s="341"/>
      <c r="B2169" s="339" t="s">
        <v>614</v>
      </c>
      <c r="C2169" s="340">
        <v>2</v>
      </c>
    </row>
    <row r="2170" spans="1:3" x14ac:dyDescent="0.2">
      <c r="A2170" s="341"/>
      <c r="B2170" s="339" t="s">
        <v>357</v>
      </c>
      <c r="C2170" s="340">
        <v>2</v>
      </c>
    </row>
    <row r="2171" spans="1:3" x14ac:dyDescent="0.2">
      <c r="A2171" s="341"/>
      <c r="B2171" s="339" t="s">
        <v>345</v>
      </c>
      <c r="C2171" s="340">
        <v>2</v>
      </c>
    </row>
    <row r="2172" spans="1:3" x14ac:dyDescent="0.2">
      <c r="A2172" s="341"/>
      <c r="B2172" s="339" t="s">
        <v>447</v>
      </c>
      <c r="C2172" s="340">
        <v>2</v>
      </c>
    </row>
    <row r="2173" spans="1:3" x14ac:dyDescent="0.2">
      <c r="A2173" s="341"/>
      <c r="B2173" s="339" t="s">
        <v>369</v>
      </c>
      <c r="C2173" s="340">
        <v>1</v>
      </c>
    </row>
    <row r="2174" spans="1:3" x14ac:dyDescent="0.2">
      <c r="A2174" s="341"/>
      <c r="B2174" s="339" t="s">
        <v>349</v>
      </c>
      <c r="C2174" s="340">
        <v>1</v>
      </c>
    </row>
    <row r="2175" spans="1:3" x14ac:dyDescent="0.2">
      <c r="A2175" s="341"/>
      <c r="B2175" s="339" t="s">
        <v>2666</v>
      </c>
      <c r="C2175" s="340">
        <v>1</v>
      </c>
    </row>
    <row r="2176" spans="1:3" x14ac:dyDescent="0.2">
      <c r="A2176" s="341"/>
      <c r="B2176" s="339" t="s">
        <v>367</v>
      </c>
      <c r="C2176" s="340">
        <v>1</v>
      </c>
    </row>
    <row r="2177" spans="1:3" x14ac:dyDescent="0.2">
      <c r="A2177" s="341"/>
      <c r="B2177" s="339" t="s">
        <v>350</v>
      </c>
      <c r="C2177" s="340">
        <v>0.5</v>
      </c>
    </row>
    <row r="2178" spans="1:3" x14ac:dyDescent="0.2">
      <c r="A2178" s="341"/>
      <c r="B2178" s="339" t="s">
        <v>2625</v>
      </c>
      <c r="C2178" s="340">
        <v>0.5</v>
      </c>
    </row>
    <row r="2179" spans="1:3" x14ac:dyDescent="0.2">
      <c r="A2179" s="341"/>
      <c r="B2179" s="339" t="s">
        <v>403</v>
      </c>
      <c r="C2179" s="340">
        <v>0.5</v>
      </c>
    </row>
    <row r="2180" spans="1:3" x14ac:dyDescent="0.2">
      <c r="A2180" s="341"/>
      <c r="B2180" s="339" t="s">
        <v>2638</v>
      </c>
      <c r="C2180" s="340">
        <v>0.5</v>
      </c>
    </row>
    <row r="2181" spans="1:3" x14ac:dyDescent="0.2">
      <c r="A2181" s="341"/>
      <c r="B2181" s="339" t="s">
        <v>3388</v>
      </c>
      <c r="C2181" s="340">
        <v>0.5</v>
      </c>
    </row>
    <row r="2182" spans="1:3" x14ac:dyDescent="0.2">
      <c r="A2182" s="341"/>
      <c r="B2182" s="339" t="s">
        <v>2599</v>
      </c>
      <c r="C2182" s="340">
        <v>0.5</v>
      </c>
    </row>
    <row r="2183" spans="1:3" x14ac:dyDescent="0.2">
      <c r="A2183" s="341"/>
      <c r="B2183" s="339" t="s">
        <v>2574</v>
      </c>
      <c r="C2183" s="340">
        <v>0.5</v>
      </c>
    </row>
    <row r="2184" spans="1:3" x14ac:dyDescent="0.2">
      <c r="A2184" s="341"/>
      <c r="B2184" s="339" t="s">
        <v>597</v>
      </c>
      <c r="C2184" s="340">
        <v>0.5</v>
      </c>
    </row>
    <row r="2185" spans="1:3" x14ac:dyDescent="0.2">
      <c r="A2185" s="341"/>
      <c r="B2185" s="339" t="s">
        <v>2610</v>
      </c>
      <c r="C2185" s="340">
        <v>0.5</v>
      </c>
    </row>
    <row r="2186" spans="1:3" x14ac:dyDescent="0.2">
      <c r="A2186" s="341"/>
      <c r="B2186" s="339" t="s">
        <v>2594</v>
      </c>
      <c r="C2186" s="340">
        <v>0.5</v>
      </c>
    </row>
    <row r="2187" spans="1:3" x14ac:dyDescent="0.2">
      <c r="A2187" s="341"/>
      <c r="B2187" s="339" t="s">
        <v>2720</v>
      </c>
      <c r="C2187" s="340">
        <v>0.5</v>
      </c>
    </row>
    <row r="2188" spans="1:3" x14ac:dyDescent="0.2">
      <c r="A2188" s="341"/>
    </row>
    <row r="2189" spans="1:3" x14ac:dyDescent="0.2">
      <c r="A2189" s="338" t="s">
        <v>635</v>
      </c>
    </row>
    <row r="2190" spans="1:3" x14ac:dyDescent="0.2">
      <c r="A2190" s="341" t="s">
        <v>2132</v>
      </c>
    </row>
    <row r="2191" spans="1:3" x14ac:dyDescent="0.2">
      <c r="A2191" s="341" t="s">
        <v>2133</v>
      </c>
    </row>
    <row r="2192" spans="1:3" x14ac:dyDescent="0.2">
      <c r="A2192" s="341" t="s">
        <v>63</v>
      </c>
    </row>
    <row r="2193" spans="1:3" x14ac:dyDescent="0.2">
      <c r="A2193" s="341" t="s">
        <v>2541</v>
      </c>
    </row>
    <row r="2194" spans="1:3" x14ac:dyDescent="0.2">
      <c r="A2194" s="341" t="s">
        <v>636</v>
      </c>
    </row>
    <row r="2195" spans="1:3" x14ac:dyDescent="0.2">
      <c r="A2195" s="341"/>
    </row>
    <row r="2196" spans="1:3" x14ac:dyDescent="0.2">
      <c r="A2196" s="341"/>
      <c r="B2196" s="339" t="s">
        <v>2565</v>
      </c>
      <c r="C2196" s="340">
        <v>20</v>
      </c>
    </row>
    <row r="2197" spans="1:3" x14ac:dyDescent="0.2">
      <c r="A2197" s="341"/>
      <c r="B2197" s="339" t="s">
        <v>446</v>
      </c>
      <c r="C2197" s="340">
        <v>13</v>
      </c>
    </row>
    <row r="2198" spans="1:3" x14ac:dyDescent="0.2">
      <c r="A2198" s="341"/>
      <c r="B2198" s="339" t="s">
        <v>349</v>
      </c>
      <c r="C2198" s="340">
        <v>12</v>
      </c>
    </row>
    <row r="2199" spans="1:3" x14ac:dyDescent="0.2">
      <c r="A2199" s="341"/>
      <c r="B2199" s="339" t="s">
        <v>342</v>
      </c>
      <c r="C2199" s="340">
        <v>10</v>
      </c>
    </row>
    <row r="2200" spans="1:3" x14ac:dyDescent="0.2">
      <c r="A2200" s="341"/>
      <c r="B2200" s="339" t="s">
        <v>432</v>
      </c>
      <c r="C2200" s="340">
        <v>6</v>
      </c>
    </row>
    <row r="2201" spans="1:3" x14ac:dyDescent="0.2">
      <c r="A2201" s="341"/>
      <c r="B2201" s="339" t="s">
        <v>615</v>
      </c>
      <c r="C2201" s="340">
        <v>5</v>
      </c>
    </row>
    <row r="2202" spans="1:3" x14ac:dyDescent="0.2">
      <c r="A2202" s="341"/>
      <c r="B2202" s="339" t="s">
        <v>399</v>
      </c>
      <c r="C2202" s="340">
        <v>4</v>
      </c>
    </row>
    <row r="2203" spans="1:3" x14ac:dyDescent="0.2">
      <c r="A2203" s="341"/>
      <c r="B2203" s="339" t="s">
        <v>609</v>
      </c>
      <c r="C2203" s="340">
        <v>4</v>
      </c>
    </row>
    <row r="2204" spans="1:3" x14ac:dyDescent="0.2">
      <c r="A2204" s="341"/>
      <c r="B2204" s="339" t="s">
        <v>345</v>
      </c>
      <c r="C2204" s="340">
        <v>4</v>
      </c>
    </row>
    <row r="2205" spans="1:3" x14ac:dyDescent="0.2">
      <c r="A2205" s="341"/>
      <c r="B2205" s="339" t="s">
        <v>327</v>
      </c>
      <c r="C2205" s="340">
        <v>2</v>
      </c>
    </row>
    <row r="2206" spans="1:3" x14ac:dyDescent="0.2">
      <c r="A2206" s="341"/>
      <c r="B2206" s="339" t="s">
        <v>447</v>
      </c>
      <c r="C2206" s="340">
        <v>2</v>
      </c>
    </row>
    <row r="2207" spans="1:3" x14ac:dyDescent="0.2">
      <c r="A2207" s="341"/>
      <c r="B2207" s="339" t="s">
        <v>410</v>
      </c>
      <c r="C2207" s="340">
        <v>2</v>
      </c>
    </row>
    <row r="2208" spans="1:3" x14ac:dyDescent="0.2">
      <c r="A2208" s="341"/>
      <c r="B2208" s="339" t="s">
        <v>446</v>
      </c>
      <c r="C2208" s="340">
        <v>2</v>
      </c>
    </row>
    <row r="2209" spans="1:3" x14ac:dyDescent="0.2">
      <c r="A2209" s="341"/>
      <c r="B2209" s="339" t="s">
        <v>2625</v>
      </c>
      <c r="C2209" s="340">
        <v>1</v>
      </c>
    </row>
    <row r="2210" spans="1:3" x14ac:dyDescent="0.2">
      <c r="A2210" s="341"/>
      <c r="B2210" s="339" t="s">
        <v>597</v>
      </c>
      <c r="C2210" s="340">
        <v>1</v>
      </c>
    </row>
    <row r="2211" spans="1:3" x14ac:dyDescent="0.2">
      <c r="A2211" s="341"/>
      <c r="B2211" s="339" t="s">
        <v>2714</v>
      </c>
      <c r="C2211" s="340">
        <v>1</v>
      </c>
    </row>
    <row r="2212" spans="1:3" x14ac:dyDescent="0.2">
      <c r="A2212" s="341"/>
      <c r="B2212" s="339" t="s">
        <v>593</v>
      </c>
      <c r="C2212" s="340">
        <v>1</v>
      </c>
    </row>
    <row r="2213" spans="1:3" x14ac:dyDescent="0.2">
      <c r="A2213" s="341"/>
      <c r="B2213" s="339" t="s">
        <v>600</v>
      </c>
      <c r="C2213" s="340">
        <v>0.5</v>
      </c>
    </row>
    <row r="2214" spans="1:3" x14ac:dyDescent="0.2">
      <c r="A2214" s="341"/>
      <c r="B2214" s="339" t="s">
        <v>2641</v>
      </c>
      <c r="C2214" s="340">
        <v>0.5</v>
      </c>
    </row>
    <row r="2215" spans="1:3" x14ac:dyDescent="0.2">
      <c r="A2215" s="341"/>
      <c r="B2215" s="339" t="s">
        <v>601</v>
      </c>
      <c r="C2215" s="340">
        <v>0.5</v>
      </c>
    </row>
    <row r="2216" spans="1:3" x14ac:dyDescent="0.2">
      <c r="A2216" s="341"/>
      <c r="B2216" s="339" t="s">
        <v>369</v>
      </c>
      <c r="C2216" s="340">
        <v>0.5</v>
      </c>
    </row>
    <row r="2217" spans="1:3" x14ac:dyDescent="0.2">
      <c r="A2217" s="341"/>
      <c r="B2217" s="339" t="s">
        <v>400</v>
      </c>
      <c r="C2217" s="340">
        <v>0.5</v>
      </c>
    </row>
    <row r="2218" spans="1:3" x14ac:dyDescent="0.2">
      <c r="A2218" s="341"/>
      <c r="B2218" s="339" t="s">
        <v>454</v>
      </c>
      <c r="C2218" s="340">
        <v>0.5</v>
      </c>
    </row>
    <row r="2219" spans="1:3" x14ac:dyDescent="0.2">
      <c r="A2219" s="341"/>
      <c r="B2219" s="339" t="s">
        <v>3151</v>
      </c>
      <c r="C2219" s="340">
        <v>0.5</v>
      </c>
    </row>
    <row r="2220" spans="1:3" x14ac:dyDescent="0.2">
      <c r="A2220" s="341"/>
      <c r="B2220" s="339" t="s">
        <v>2723</v>
      </c>
      <c r="C2220" s="340">
        <v>0.5</v>
      </c>
    </row>
    <row r="2221" spans="1:3" x14ac:dyDescent="0.2">
      <c r="A2221" s="341"/>
      <c r="B2221" s="339" t="s">
        <v>363</v>
      </c>
      <c r="C2221" s="340">
        <v>0.5</v>
      </c>
    </row>
    <row r="2222" spans="1:3" x14ac:dyDescent="0.2">
      <c r="A2222" s="341"/>
      <c r="B2222" s="339" t="s">
        <v>2649</v>
      </c>
      <c r="C2222" s="340">
        <v>0.5</v>
      </c>
    </row>
    <row r="2223" spans="1:3" x14ac:dyDescent="0.2">
      <c r="A2223" s="341"/>
      <c r="B2223" s="339" t="s">
        <v>613</v>
      </c>
      <c r="C2223" s="340">
        <v>0.5</v>
      </c>
    </row>
    <row r="2224" spans="1:3" x14ac:dyDescent="0.2">
      <c r="A2224" s="341"/>
      <c r="B2224" s="339" t="s">
        <v>394</v>
      </c>
      <c r="C2224" s="340">
        <v>0.5</v>
      </c>
    </row>
    <row r="2225" spans="1:3" x14ac:dyDescent="0.2">
      <c r="A2225" s="341"/>
      <c r="B2225" s="339" t="s">
        <v>2579</v>
      </c>
      <c r="C2225" s="340">
        <v>0.5</v>
      </c>
    </row>
    <row r="2226" spans="1:3" x14ac:dyDescent="0.2">
      <c r="A2226" s="341"/>
      <c r="B2226" s="339" t="s">
        <v>2718</v>
      </c>
      <c r="C2226" s="340">
        <v>0.5</v>
      </c>
    </row>
    <row r="2227" spans="1:3" x14ac:dyDescent="0.2">
      <c r="A2227" s="341"/>
      <c r="B2227" s="339" t="s">
        <v>411</v>
      </c>
      <c r="C2227" s="340">
        <v>0.5</v>
      </c>
    </row>
    <row r="2228" spans="1:3" x14ac:dyDescent="0.2">
      <c r="A2228" s="341"/>
      <c r="B2228" s="339" t="s">
        <v>432</v>
      </c>
      <c r="C2228" s="340">
        <v>0.5</v>
      </c>
    </row>
    <row r="2229" spans="1:3" x14ac:dyDescent="0.2">
      <c r="A2229" s="341"/>
    </row>
    <row r="2230" spans="1:3" x14ac:dyDescent="0.2">
      <c r="A2230" s="338" t="s">
        <v>3526</v>
      </c>
    </row>
    <row r="2231" spans="1:3" x14ac:dyDescent="0.2">
      <c r="A2231" s="341" t="s">
        <v>637</v>
      </c>
    </row>
    <row r="2232" spans="1:3" x14ac:dyDescent="0.2">
      <c r="A2232" s="341" t="s">
        <v>638</v>
      </c>
    </row>
    <row r="2233" spans="1:3" x14ac:dyDescent="0.2">
      <c r="A2233" s="341" t="s">
        <v>64</v>
      </c>
    </row>
    <row r="2234" spans="1:3" x14ac:dyDescent="0.2">
      <c r="A2234" s="341" t="s">
        <v>2542</v>
      </c>
    </row>
    <row r="2235" spans="1:3" x14ac:dyDescent="0.2">
      <c r="A2235" s="341" t="s">
        <v>639</v>
      </c>
    </row>
    <row r="2236" spans="1:3" x14ac:dyDescent="0.2">
      <c r="A2236" s="341"/>
    </row>
    <row r="2237" spans="1:3" x14ac:dyDescent="0.2">
      <c r="A2237" s="341"/>
      <c r="B2237" s="339" t="s">
        <v>416</v>
      </c>
      <c r="C2237" s="340">
        <v>100</v>
      </c>
    </row>
    <row r="2238" spans="1:3" x14ac:dyDescent="0.2">
      <c r="A2238" s="341"/>
      <c r="B2238" s="339" t="s">
        <v>982</v>
      </c>
      <c r="C2238" s="340">
        <v>40</v>
      </c>
    </row>
    <row r="2239" spans="1:3" x14ac:dyDescent="0.2">
      <c r="A2239" s="341"/>
      <c r="B2239" s="339" t="s">
        <v>340</v>
      </c>
      <c r="C2239" s="340">
        <v>18</v>
      </c>
    </row>
    <row r="2240" spans="1:3" x14ac:dyDescent="0.2">
      <c r="A2240" s="341"/>
      <c r="B2240" s="339" t="s">
        <v>2811</v>
      </c>
      <c r="C2240" s="340">
        <v>10</v>
      </c>
    </row>
    <row r="2241" spans="1:3" x14ac:dyDescent="0.2">
      <c r="A2241" s="341"/>
      <c r="B2241" s="339" t="s">
        <v>2812</v>
      </c>
      <c r="C2241" s="340">
        <v>3</v>
      </c>
    </row>
    <row r="2242" spans="1:3" x14ac:dyDescent="0.2">
      <c r="A2242" s="341"/>
      <c r="B2242" s="339" t="s">
        <v>405</v>
      </c>
      <c r="C2242" s="340">
        <v>3</v>
      </c>
    </row>
    <row r="2243" spans="1:3" x14ac:dyDescent="0.2">
      <c r="A2243" s="341"/>
    </row>
    <row r="2244" spans="1:3" x14ac:dyDescent="0.2">
      <c r="A2244" s="338" t="s">
        <v>3527</v>
      </c>
    </row>
    <row r="2245" spans="1:3" x14ac:dyDescent="0.2">
      <c r="A2245" s="341" t="s">
        <v>637</v>
      </c>
    </row>
    <row r="2246" spans="1:3" x14ac:dyDescent="0.2">
      <c r="A2246" s="341" t="s">
        <v>640</v>
      </c>
    </row>
    <row r="2247" spans="1:3" x14ac:dyDescent="0.2">
      <c r="A2247" s="341" t="s">
        <v>65</v>
      </c>
    </row>
    <row r="2248" spans="1:3" x14ac:dyDescent="0.2">
      <c r="A2248" s="341" t="s">
        <v>2543</v>
      </c>
    </row>
    <row r="2249" spans="1:3" x14ac:dyDescent="0.2">
      <c r="A2249" s="341" t="s">
        <v>639</v>
      </c>
    </row>
    <row r="2250" spans="1:3" x14ac:dyDescent="0.2">
      <c r="A2250" s="341"/>
    </row>
    <row r="2251" spans="1:3" x14ac:dyDescent="0.2">
      <c r="A2251" s="341"/>
      <c r="B2251" s="339" t="s">
        <v>376</v>
      </c>
      <c r="C2251" s="340">
        <v>25</v>
      </c>
    </row>
    <row r="2252" spans="1:3" x14ac:dyDescent="0.2">
      <c r="A2252" s="341"/>
      <c r="B2252" s="339" t="s">
        <v>342</v>
      </c>
      <c r="C2252" s="340">
        <v>12</v>
      </c>
    </row>
    <row r="2253" spans="1:3" x14ac:dyDescent="0.2">
      <c r="A2253" s="341"/>
      <c r="B2253" s="339" t="s">
        <v>394</v>
      </c>
      <c r="C2253" s="340">
        <v>8</v>
      </c>
    </row>
    <row r="2254" spans="1:3" x14ac:dyDescent="0.2">
      <c r="A2254" s="341"/>
      <c r="B2254" s="339" t="s">
        <v>392</v>
      </c>
      <c r="C2254" s="340">
        <v>8</v>
      </c>
    </row>
    <row r="2255" spans="1:3" x14ac:dyDescent="0.2">
      <c r="A2255" s="341"/>
      <c r="B2255" s="339" t="s">
        <v>405</v>
      </c>
      <c r="C2255" s="340">
        <v>6</v>
      </c>
    </row>
    <row r="2256" spans="1:3" x14ac:dyDescent="0.2">
      <c r="A2256" s="341"/>
      <c r="B2256" s="339" t="s">
        <v>395</v>
      </c>
      <c r="C2256" s="340">
        <v>6</v>
      </c>
    </row>
    <row r="2257" spans="1:3" x14ac:dyDescent="0.2">
      <c r="A2257" s="341"/>
      <c r="B2257" s="339" t="s">
        <v>404</v>
      </c>
      <c r="C2257" s="340">
        <v>5</v>
      </c>
    </row>
    <row r="2258" spans="1:3" x14ac:dyDescent="0.2">
      <c r="A2258" s="341"/>
    </row>
    <row r="2259" spans="1:3" x14ac:dyDescent="0.2">
      <c r="A2259" s="338" t="s">
        <v>3528</v>
      </c>
    </row>
    <row r="2260" spans="1:3" x14ac:dyDescent="0.2">
      <c r="A2260" s="341" t="s">
        <v>641</v>
      </c>
    </row>
    <row r="2261" spans="1:3" x14ac:dyDescent="0.2">
      <c r="A2261" s="341" t="s">
        <v>642</v>
      </c>
    </row>
    <row r="2262" spans="1:3" x14ac:dyDescent="0.2">
      <c r="A2262" s="341" t="s">
        <v>66</v>
      </c>
    </row>
    <row r="2263" spans="1:3" x14ac:dyDescent="0.2">
      <c r="A2263" s="341" t="s">
        <v>2544</v>
      </c>
    </row>
    <row r="2264" spans="1:3" x14ac:dyDescent="0.2">
      <c r="A2264" s="341" t="s">
        <v>639</v>
      </c>
    </row>
    <row r="2265" spans="1:3" x14ac:dyDescent="0.2">
      <c r="A2265" s="341"/>
    </row>
    <row r="2266" spans="1:3" x14ac:dyDescent="0.2">
      <c r="A2266" s="341"/>
      <c r="B2266" s="339" t="s">
        <v>421</v>
      </c>
      <c r="C2266" s="340">
        <v>12</v>
      </c>
    </row>
    <row r="2267" spans="1:3" x14ac:dyDescent="0.2">
      <c r="A2267" s="341"/>
      <c r="B2267" s="339" t="s">
        <v>598</v>
      </c>
      <c r="C2267" s="340">
        <v>12</v>
      </c>
    </row>
    <row r="2268" spans="1:3" x14ac:dyDescent="0.2">
      <c r="A2268" s="341"/>
      <c r="B2268" s="339" t="s">
        <v>350</v>
      </c>
      <c r="C2268" s="340">
        <v>8</v>
      </c>
    </row>
    <row r="2269" spans="1:3" x14ac:dyDescent="0.2">
      <c r="A2269" s="341"/>
      <c r="B2269" s="339" t="s">
        <v>363</v>
      </c>
      <c r="C2269" s="340">
        <v>5</v>
      </c>
    </row>
    <row r="2270" spans="1:3" x14ac:dyDescent="0.2">
      <c r="A2270" s="341"/>
      <c r="B2270" s="339" t="s">
        <v>2649</v>
      </c>
      <c r="C2270" s="340">
        <v>5</v>
      </c>
    </row>
    <row r="2271" spans="1:3" x14ac:dyDescent="0.2">
      <c r="A2271" s="341"/>
      <c r="B2271" s="339" t="s">
        <v>453</v>
      </c>
      <c r="C2271" s="340">
        <v>5</v>
      </c>
    </row>
    <row r="2272" spans="1:3" x14ac:dyDescent="0.2">
      <c r="A2272" s="341"/>
      <c r="B2272" s="339" t="s">
        <v>432</v>
      </c>
      <c r="C2272" s="340">
        <v>4</v>
      </c>
    </row>
    <row r="2273" spans="1:3" x14ac:dyDescent="0.2">
      <c r="A2273" s="341"/>
      <c r="B2273" s="339" t="s">
        <v>597</v>
      </c>
      <c r="C2273" s="340">
        <v>2</v>
      </c>
    </row>
    <row r="2274" spans="1:3" x14ac:dyDescent="0.2">
      <c r="A2274" s="341"/>
    </row>
    <row r="2275" spans="1:3" x14ac:dyDescent="0.2">
      <c r="A2275" s="338" t="s">
        <v>3529</v>
      </c>
    </row>
    <row r="2276" spans="1:3" x14ac:dyDescent="0.2">
      <c r="A2276" s="341" t="s">
        <v>641</v>
      </c>
    </row>
    <row r="2277" spans="1:3" x14ac:dyDescent="0.2">
      <c r="A2277" s="341" t="s">
        <v>643</v>
      </c>
    </row>
    <row r="2278" spans="1:3" x14ac:dyDescent="0.2">
      <c r="A2278" s="341" t="s">
        <v>67</v>
      </c>
    </row>
    <row r="2279" spans="1:3" x14ac:dyDescent="0.2">
      <c r="A2279" s="341" t="s">
        <v>2544</v>
      </c>
    </row>
    <row r="2280" spans="1:3" x14ac:dyDescent="0.2">
      <c r="A2280" s="341" t="s">
        <v>639</v>
      </c>
    </row>
    <row r="2281" spans="1:3" x14ac:dyDescent="0.2">
      <c r="A2281" s="341"/>
    </row>
    <row r="2282" spans="1:3" x14ac:dyDescent="0.2">
      <c r="A2282" s="341"/>
      <c r="B2282" s="339" t="s">
        <v>347</v>
      </c>
      <c r="C2282" s="340">
        <v>40</v>
      </c>
    </row>
    <row r="2283" spans="1:3" x14ac:dyDescent="0.2">
      <c r="A2283" s="341"/>
      <c r="B2283" s="339" t="s">
        <v>2667</v>
      </c>
      <c r="C2283" s="340">
        <v>20</v>
      </c>
    </row>
    <row r="2284" spans="1:3" x14ac:dyDescent="0.2">
      <c r="A2284" s="341"/>
      <c r="B2284" s="339" t="s">
        <v>350</v>
      </c>
      <c r="C2284" s="340">
        <v>15</v>
      </c>
    </row>
    <row r="2285" spans="1:3" x14ac:dyDescent="0.2">
      <c r="A2285" s="341"/>
      <c r="B2285" s="339" t="s">
        <v>597</v>
      </c>
      <c r="C2285" s="340">
        <v>15</v>
      </c>
    </row>
    <row r="2286" spans="1:3" x14ac:dyDescent="0.2">
      <c r="A2286" s="341"/>
      <c r="B2286" s="339" t="s">
        <v>349</v>
      </c>
      <c r="C2286" s="340">
        <v>10</v>
      </c>
    </row>
    <row r="2287" spans="1:3" x14ac:dyDescent="0.2">
      <c r="A2287" s="341"/>
      <c r="B2287" s="339" t="s">
        <v>593</v>
      </c>
      <c r="C2287" s="340">
        <v>10</v>
      </c>
    </row>
    <row r="2288" spans="1:3" x14ac:dyDescent="0.2">
      <c r="A2288" s="341"/>
      <c r="B2288" s="339" t="s">
        <v>454</v>
      </c>
      <c r="C2288" s="340">
        <v>8</v>
      </c>
    </row>
    <row r="2289" spans="1:3" x14ac:dyDescent="0.2">
      <c r="A2289" s="341"/>
      <c r="B2289" s="339" t="s">
        <v>2577</v>
      </c>
      <c r="C2289" s="340">
        <v>5</v>
      </c>
    </row>
    <row r="2290" spans="1:3" x14ac:dyDescent="0.2">
      <c r="A2290" s="341"/>
      <c r="B2290" s="339" t="s">
        <v>363</v>
      </c>
      <c r="C2290" s="340">
        <v>5</v>
      </c>
    </row>
    <row r="2291" spans="1:3" x14ac:dyDescent="0.2">
      <c r="A2291" s="341"/>
      <c r="B2291" s="339" t="s">
        <v>341</v>
      </c>
      <c r="C2291" s="340">
        <v>5</v>
      </c>
    </row>
    <row r="2292" spans="1:3" x14ac:dyDescent="0.2">
      <c r="A2292" s="341"/>
      <c r="B2292" s="339" t="s">
        <v>342</v>
      </c>
      <c r="C2292" s="340">
        <v>3</v>
      </c>
    </row>
    <row r="2293" spans="1:3" x14ac:dyDescent="0.2">
      <c r="A2293" s="341"/>
      <c r="B2293" s="339" t="s">
        <v>2579</v>
      </c>
      <c r="C2293" s="340">
        <v>3</v>
      </c>
    </row>
    <row r="2294" spans="1:3" x14ac:dyDescent="0.2">
      <c r="A2294" s="341"/>
    </row>
    <row r="2295" spans="1:3" x14ac:dyDescent="0.2">
      <c r="A2295" s="338" t="s">
        <v>3530</v>
      </c>
    </row>
    <row r="2296" spans="1:3" x14ac:dyDescent="0.2">
      <c r="A2296" s="341" t="s">
        <v>641</v>
      </c>
    </row>
    <row r="2297" spans="1:3" x14ac:dyDescent="0.2">
      <c r="A2297" s="341" t="s">
        <v>644</v>
      </c>
    </row>
    <row r="2298" spans="1:3" x14ac:dyDescent="0.2">
      <c r="A2298" s="341" t="s">
        <v>68</v>
      </c>
    </row>
    <row r="2299" spans="1:3" x14ac:dyDescent="0.2">
      <c r="A2299" s="341" t="s">
        <v>2544</v>
      </c>
    </row>
    <row r="2300" spans="1:3" x14ac:dyDescent="0.2">
      <c r="A2300" s="341" t="s">
        <v>639</v>
      </c>
    </row>
    <row r="2301" spans="1:3" x14ac:dyDescent="0.2">
      <c r="A2301" s="341"/>
    </row>
    <row r="2302" spans="1:3" x14ac:dyDescent="0.2">
      <c r="A2302" s="341"/>
      <c r="B2302" s="339" t="s">
        <v>454</v>
      </c>
      <c r="C2302" s="340">
        <v>30</v>
      </c>
    </row>
    <row r="2303" spans="1:3" x14ac:dyDescent="0.2">
      <c r="A2303" s="341"/>
      <c r="B2303" s="339" t="s">
        <v>342</v>
      </c>
      <c r="C2303" s="340">
        <v>15</v>
      </c>
    </row>
    <row r="2304" spans="1:3" x14ac:dyDescent="0.2">
      <c r="A2304" s="341"/>
      <c r="B2304" s="339" t="s">
        <v>597</v>
      </c>
      <c r="C2304" s="340">
        <v>15</v>
      </c>
    </row>
    <row r="2305" spans="1:3" x14ac:dyDescent="0.2">
      <c r="A2305" s="341"/>
      <c r="B2305" s="339" t="s">
        <v>2579</v>
      </c>
      <c r="C2305" s="340">
        <v>15</v>
      </c>
    </row>
    <row r="2306" spans="1:3" x14ac:dyDescent="0.2">
      <c r="A2306" s="341"/>
      <c r="B2306" s="339" t="s">
        <v>447</v>
      </c>
      <c r="C2306" s="340">
        <v>8</v>
      </c>
    </row>
    <row r="2307" spans="1:3" x14ac:dyDescent="0.2">
      <c r="A2307" s="341"/>
    </row>
    <row r="2308" spans="1:3" x14ac:dyDescent="0.2">
      <c r="A2308" s="338" t="s">
        <v>3531</v>
      </c>
    </row>
    <row r="2309" spans="1:3" x14ac:dyDescent="0.2">
      <c r="A2309" s="341" t="s">
        <v>641</v>
      </c>
    </row>
    <row r="2310" spans="1:3" x14ac:dyDescent="0.2">
      <c r="A2310" s="341" t="s">
        <v>645</v>
      </c>
    </row>
    <row r="2311" spans="1:3" x14ac:dyDescent="0.2">
      <c r="A2311" s="341" t="s">
        <v>69</v>
      </c>
    </row>
    <row r="2312" spans="1:3" x14ac:dyDescent="0.2">
      <c r="A2312" s="341" t="s">
        <v>2542</v>
      </c>
    </row>
    <row r="2313" spans="1:3" x14ac:dyDescent="0.2">
      <c r="A2313" s="341" t="s">
        <v>639</v>
      </c>
    </row>
    <row r="2314" spans="1:3" x14ac:dyDescent="0.2">
      <c r="A2314" s="341"/>
    </row>
    <row r="2315" spans="1:3" x14ac:dyDescent="0.2">
      <c r="A2315" s="341"/>
      <c r="B2315" s="339" t="s">
        <v>363</v>
      </c>
      <c r="C2315" s="340">
        <v>40</v>
      </c>
    </row>
    <row r="2316" spans="1:3" x14ac:dyDescent="0.2">
      <c r="A2316" s="341"/>
      <c r="B2316" s="339" t="s">
        <v>341</v>
      </c>
      <c r="C2316" s="340">
        <v>20</v>
      </c>
    </row>
    <row r="2317" spans="1:3" x14ac:dyDescent="0.2">
      <c r="A2317" s="341"/>
      <c r="B2317" s="339" t="s">
        <v>2654</v>
      </c>
      <c r="C2317" s="340">
        <v>6</v>
      </c>
    </row>
    <row r="2318" spans="1:3" x14ac:dyDescent="0.2">
      <c r="A2318" s="341"/>
      <c r="B2318" s="339" t="s">
        <v>2653</v>
      </c>
      <c r="C2318" s="340">
        <v>2</v>
      </c>
    </row>
    <row r="2319" spans="1:3" x14ac:dyDescent="0.2">
      <c r="A2319" s="341"/>
      <c r="B2319" s="339" t="s">
        <v>376</v>
      </c>
      <c r="C2319" s="340">
        <v>2</v>
      </c>
    </row>
    <row r="2320" spans="1:3" x14ac:dyDescent="0.2">
      <c r="A2320" s="341"/>
    </row>
    <row r="2321" spans="1:3" x14ac:dyDescent="0.2">
      <c r="A2321" s="338" t="s">
        <v>3532</v>
      </c>
    </row>
    <row r="2322" spans="1:3" x14ac:dyDescent="0.2">
      <c r="A2322" s="341" t="s">
        <v>641</v>
      </c>
    </row>
    <row r="2323" spans="1:3" x14ac:dyDescent="0.2">
      <c r="A2323" s="341" t="s">
        <v>646</v>
      </c>
    </row>
    <row r="2324" spans="1:3" x14ac:dyDescent="0.2">
      <c r="A2324" s="341" t="s">
        <v>70</v>
      </c>
    </row>
    <row r="2325" spans="1:3" x14ac:dyDescent="0.2">
      <c r="A2325" s="341" t="s">
        <v>2544</v>
      </c>
    </row>
    <row r="2326" spans="1:3" x14ac:dyDescent="0.2">
      <c r="A2326" s="341" t="s">
        <v>639</v>
      </c>
    </row>
    <row r="2327" spans="1:3" x14ac:dyDescent="0.2">
      <c r="A2327" s="341"/>
    </row>
    <row r="2328" spans="1:3" x14ac:dyDescent="0.2">
      <c r="A2328" s="341"/>
      <c r="B2328" s="339" t="s">
        <v>363</v>
      </c>
      <c r="C2328" s="340">
        <v>35</v>
      </c>
    </row>
    <row r="2329" spans="1:3" x14ac:dyDescent="0.2">
      <c r="A2329" s="341"/>
      <c r="B2329" s="339" t="s">
        <v>2654</v>
      </c>
      <c r="C2329" s="340">
        <v>25</v>
      </c>
    </row>
    <row r="2330" spans="1:3" x14ac:dyDescent="0.2">
      <c r="A2330" s="341"/>
      <c r="B2330" s="339" t="s">
        <v>376</v>
      </c>
      <c r="C2330" s="340">
        <v>25</v>
      </c>
    </row>
    <row r="2331" spans="1:3" x14ac:dyDescent="0.2">
      <c r="A2331" s="341"/>
      <c r="B2331" s="339" t="s">
        <v>341</v>
      </c>
      <c r="C2331" s="340">
        <v>15</v>
      </c>
    </row>
    <row r="2332" spans="1:3" x14ac:dyDescent="0.2">
      <c r="A2332" s="341"/>
    </row>
    <row r="2333" spans="1:3" x14ac:dyDescent="0.2">
      <c r="A2333" s="338" t="s">
        <v>3533</v>
      </c>
    </row>
    <row r="2334" spans="1:3" x14ac:dyDescent="0.2">
      <c r="A2334" s="341" t="s">
        <v>641</v>
      </c>
    </row>
    <row r="2335" spans="1:3" x14ac:dyDescent="0.2">
      <c r="A2335" s="341" t="s">
        <v>647</v>
      </c>
    </row>
    <row r="2336" spans="1:3" x14ac:dyDescent="0.2">
      <c r="A2336" s="341" t="s">
        <v>71</v>
      </c>
    </row>
    <row r="2337" spans="1:3" x14ac:dyDescent="0.2">
      <c r="A2337" s="341" t="s">
        <v>2544</v>
      </c>
    </row>
    <row r="2338" spans="1:3" x14ac:dyDescent="0.2">
      <c r="A2338" s="341" t="s">
        <v>639</v>
      </c>
    </row>
    <row r="2339" spans="1:3" x14ac:dyDescent="0.2">
      <c r="A2339" s="341"/>
    </row>
    <row r="2340" spans="1:3" x14ac:dyDescent="0.2">
      <c r="A2340" s="341"/>
      <c r="B2340" s="339" t="s">
        <v>600</v>
      </c>
      <c r="C2340" s="340">
        <v>25</v>
      </c>
    </row>
    <row r="2341" spans="1:3" x14ac:dyDescent="0.2">
      <c r="A2341" s="341"/>
      <c r="B2341" s="339" t="s">
        <v>2328</v>
      </c>
      <c r="C2341" s="340">
        <v>25</v>
      </c>
    </row>
    <row r="2342" spans="1:3" x14ac:dyDescent="0.2">
      <c r="A2342" s="341"/>
      <c r="B2342" s="339" t="s">
        <v>3388</v>
      </c>
      <c r="C2342" s="340">
        <v>25</v>
      </c>
    </row>
    <row r="2343" spans="1:3" x14ac:dyDescent="0.2">
      <c r="A2343" s="341"/>
      <c r="B2343" s="339" t="s">
        <v>347</v>
      </c>
      <c r="C2343" s="340">
        <v>25</v>
      </c>
    </row>
    <row r="2344" spans="1:3" x14ac:dyDescent="0.2">
      <c r="A2344" s="341"/>
      <c r="B2344" s="339" t="s">
        <v>350</v>
      </c>
      <c r="C2344" s="340">
        <v>15</v>
      </c>
    </row>
    <row r="2345" spans="1:3" x14ac:dyDescent="0.2">
      <c r="A2345" s="341"/>
      <c r="B2345" s="339" t="s">
        <v>364</v>
      </c>
      <c r="C2345" s="340">
        <v>10</v>
      </c>
    </row>
    <row r="2346" spans="1:3" x14ac:dyDescent="0.2">
      <c r="A2346" s="341"/>
      <c r="B2346" s="339" t="s">
        <v>369</v>
      </c>
      <c r="C2346" s="340">
        <v>3</v>
      </c>
    </row>
    <row r="2347" spans="1:3" x14ac:dyDescent="0.2">
      <c r="A2347" s="341"/>
      <c r="B2347" s="339" t="s">
        <v>395</v>
      </c>
      <c r="C2347" s="340">
        <v>3</v>
      </c>
    </row>
    <row r="2348" spans="1:3" x14ac:dyDescent="0.2">
      <c r="A2348" s="341"/>
      <c r="B2348" s="339" t="s">
        <v>453</v>
      </c>
      <c r="C2348" s="340">
        <v>3</v>
      </c>
    </row>
    <row r="2349" spans="1:3" x14ac:dyDescent="0.2">
      <c r="A2349" s="341"/>
      <c r="B2349" s="339" t="s">
        <v>2810</v>
      </c>
      <c r="C2349" s="340">
        <v>3</v>
      </c>
    </row>
    <row r="2350" spans="1:3" x14ac:dyDescent="0.2">
      <c r="A2350" s="341"/>
    </row>
    <row r="2351" spans="1:3" x14ac:dyDescent="0.2">
      <c r="A2351" s="338" t="s">
        <v>3534</v>
      </c>
    </row>
    <row r="2352" spans="1:3" x14ac:dyDescent="0.2">
      <c r="A2352" s="341" t="s">
        <v>641</v>
      </c>
    </row>
    <row r="2353" spans="1:3" x14ac:dyDescent="0.2">
      <c r="A2353" s="341" t="s">
        <v>648</v>
      </c>
    </row>
    <row r="2354" spans="1:3" x14ac:dyDescent="0.2">
      <c r="A2354" s="341" t="s">
        <v>72</v>
      </c>
    </row>
    <row r="2355" spans="1:3" x14ac:dyDescent="0.2">
      <c r="A2355" s="341" t="s">
        <v>2544</v>
      </c>
    </row>
    <row r="2356" spans="1:3" x14ac:dyDescent="0.2">
      <c r="A2356" s="341" t="s">
        <v>639</v>
      </c>
    </row>
    <row r="2357" spans="1:3" x14ac:dyDescent="0.2">
      <c r="A2357" s="341"/>
    </row>
    <row r="2358" spans="1:3" x14ac:dyDescent="0.2">
      <c r="A2358" s="341"/>
      <c r="B2358" s="339" t="s">
        <v>361</v>
      </c>
      <c r="C2358" s="340">
        <v>30</v>
      </c>
    </row>
    <row r="2359" spans="1:3" x14ac:dyDescent="0.2">
      <c r="A2359" s="341"/>
      <c r="B2359" s="339" t="s">
        <v>3388</v>
      </c>
      <c r="C2359" s="340">
        <v>25</v>
      </c>
    </row>
    <row r="2360" spans="1:3" x14ac:dyDescent="0.2">
      <c r="A2360" s="341"/>
      <c r="B2360" s="339" t="s">
        <v>347</v>
      </c>
      <c r="C2360" s="340">
        <v>25</v>
      </c>
    </row>
    <row r="2361" spans="1:3" x14ac:dyDescent="0.2">
      <c r="A2361" s="341"/>
      <c r="B2361" s="339" t="s">
        <v>454</v>
      </c>
      <c r="C2361" s="340">
        <v>20</v>
      </c>
    </row>
    <row r="2362" spans="1:3" x14ac:dyDescent="0.2">
      <c r="A2362" s="341"/>
      <c r="B2362" s="339" t="s">
        <v>453</v>
      </c>
      <c r="C2362" s="340">
        <v>5</v>
      </c>
    </row>
    <row r="2363" spans="1:3" x14ac:dyDescent="0.2">
      <c r="A2363" s="341"/>
    </row>
    <row r="2364" spans="1:3" x14ac:dyDescent="0.2">
      <c r="A2364" s="338" t="s">
        <v>3535</v>
      </c>
    </row>
    <row r="2365" spans="1:3" x14ac:dyDescent="0.2">
      <c r="A2365" s="341" t="s">
        <v>641</v>
      </c>
    </row>
    <row r="2366" spans="1:3" x14ac:dyDescent="0.2">
      <c r="A2366" s="341" t="s">
        <v>649</v>
      </c>
    </row>
    <row r="2367" spans="1:3" x14ac:dyDescent="0.2">
      <c r="A2367" s="341" t="s">
        <v>73</v>
      </c>
    </row>
    <row r="2368" spans="1:3" x14ac:dyDescent="0.2">
      <c r="A2368" s="341" t="s">
        <v>2544</v>
      </c>
    </row>
    <row r="2369" spans="1:3" x14ac:dyDescent="0.2">
      <c r="A2369" s="341" t="s">
        <v>639</v>
      </c>
    </row>
    <row r="2370" spans="1:3" x14ac:dyDescent="0.2">
      <c r="A2370" s="341"/>
    </row>
    <row r="2371" spans="1:3" x14ac:dyDescent="0.2">
      <c r="A2371" s="341"/>
      <c r="B2371" s="339" t="s">
        <v>597</v>
      </c>
      <c r="C2371" s="340">
        <v>35</v>
      </c>
    </row>
    <row r="2372" spans="1:3" x14ac:dyDescent="0.2">
      <c r="A2372" s="341"/>
      <c r="B2372" s="339" t="s">
        <v>347</v>
      </c>
      <c r="C2372" s="340">
        <v>15</v>
      </c>
    </row>
    <row r="2373" spans="1:3" x14ac:dyDescent="0.2">
      <c r="A2373" s="341"/>
      <c r="B2373" s="339" t="s">
        <v>432</v>
      </c>
      <c r="C2373" s="340">
        <v>15</v>
      </c>
    </row>
    <row r="2374" spans="1:3" x14ac:dyDescent="0.2">
      <c r="A2374" s="341"/>
      <c r="B2374" s="339" t="s">
        <v>3151</v>
      </c>
      <c r="C2374" s="340">
        <v>10</v>
      </c>
    </row>
    <row r="2375" spans="1:3" x14ac:dyDescent="0.2">
      <c r="A2375" s="341"/>
      <c r="B2375" s="339" t="s">
        <v>593</v>
      </c>
      <c r="C2375" s="340">
        <v>10</v>
      </c>
    </row>
    <row r="2376" spans="1:3" x14ac:dyDescent="0.2">
      <c r="A2376" s="341"/>
      <c r="B2376" s="339" t="s">
        <v>364</v>
      </c>
      <c r="C2376" s="340">
        <v>10</v>
      </c>
    </row>
    <row r="2377" spans="1:3" x14ac:dyDescent="0.2">
      <c r="A2377" s="341"/>
      <c r="B2377" s="339" t="s">
        <v>340</v>
      </c>
      <c r="C2377" s="340">
        <v>8</v>
      </c>
    </row>
    <row r="2378" spans="1:3" x14ac:dyDescent="0.2">
      <c r="A2378" s="341"/>
      <c r="B2378" s="339" t="s">
        <v>349</v>
      </c>
      <c r="C2378" s="340">
        <v>8</v>
      </c>
    </row>
    <row r="2379" spans="1:3" x14ac:dyDescent="0.2">
      <c r="A2379" s="341"/>
      <c r="B2379" s="339" t="s">
        <v>350</v>
      </c>
      <c r="C2379" s="340">
        <v>5</v>
      </c>
    </row>
    <row r="2380" spans="1:3" x14ac:dyDescent="0.2">
      <c r="A2380" s="341"/>
      <c r="B2380" s="339" t="s">
        <v>376</v>
      </c>
      <c r="C2380" s="340">
        <v>4</v>
      </c>
    </row>
    <row r="2381" spans="1:3" x14ac:dyDescent="0.2">
      <c r="A2381" s="341"/>
      <c r="B2381" s="339" t="s">
        <v>601</v>
      </c>
      <c r="C2381" s="340">
        <v>3</v>
      </c>
    </row>
    <row r="2382" spans="1:3" x14ac:dyDescent="0.2">
      <c r="A2382" s="341"/>
    </row>
    <row r="2383" spans="1:3" x14ac:dyDescent="0.2">
      <c r="A2383" s="338" t="s">
        <v>3536</v>
      </c>
    </row>
    <row r="2384" spans="1:3" x14ac:dyDescent="0.2">
      <c r="A2384" s="341" t="s">
        <v>641</v>
      </c>
    </row>
    <row r="2385" spans="1:3" x14ac:dyDescent="0.2">
      <c r="A2385" s="341" t="s">
        <v>650</v>
      </c>
    </row>
    <row r="2386" spans="1:3" x14ac:dyDescent="0.2">
      <c r="A2386" s="341" t="s">
        <v>74</v>
      </c>
    </row>
    <row r="2387" spans="1:3" x14ac:dyDescent="0.2">
      <c r="A2387" s="341" t="s">
        <v>2544</v>
      </c>
    </row>
    <row r="2388" spans="1:3" x14ac:dyDescent="0.2">
      <c r="A2388" s="341" t="s">
        <v>639</v>
      </c>
    </row>
    <row r="2389" spans="1:3" x14ac:dyDescent="0.2">
      <c r="A2389" s="341"/>
    </row>
    <row r="2390" spans="1:3" x14ac:dyDescent="0.2">
      <c r="A2390" s="341"/>
      <c r="B2390" s="339" t="s">
        <v>454</v>
      </c>
      <c r="C2390" s="340">
        <v>20</v>
      </c>
    </row>
    <row r="2391" spans="1:3" x14ac:dyDescent="0.2">
      <c r="A2391" s="341"/>
      <c r="B2391" s="339" t="s">
        <v>2565</v>
      </c>
      <c r="C2391" s="340">
        <v>12</v>
      </c>
    </row>
    <row r="2392" spans="1:3" x14ac:dyDescent="0.2">
      <c r="A2392" s="341"/>
      <c r="B2392" s="339" t="s">
        <v>423</v>
      </c>
      <c r="C2392" s="340">
        <v>12</v>
      </c>
    </row>
    <row r="2393" spans="1:3" x14ac:dyDescent="0.2">
      <c r="A2393" s="341"/>
      <c r="B2393" s="339" t="s">
        <v>432</v>
      </c>
      <c r="C2393" s="340">
        <v>10</v>
      </c>
    </row>
    <row r="2394" spans="1:3" x14ac:dyDescent="0.2">
      <c r="A2394" s="341"/>
      <c r="B2394" s="339" t="s">
        <v>347</v>
      </c>
      <c r="C2394" s="340">
        <v>5</v>
      </c>
    </row>
    <row r="2395" spans="1:3" x14ac:dyDescent="0.2">
      <c r="A2395" s="341"/>
      <c r="B2395" s="339" t="s">
        <v>447</v>
      </c>
      <c r="C2395" s="340">
        <v>5</v>
      </c>
    </row>
    <row r="2396" spans="1:3" x14ac:dyDescent="0.2">
      <c r="A2396" s="341"/>
      <c r="B2396" s="339" t="s">
        <v>453</v>
      </c>
      <c r="C2396" s="340">
        <v>3</v>
      </c>
    </row>
    <row r="2397" spans="1:3" x14ac:dyDescent="0.2">
      <c r="A2397" s="341"/>
      <c r="B2397" s="339" t="s">
        <v>349</v>
      </c>
      <c r="C2397" s="340">
        <v>3</v>
      </c>
    </row>
    <row r="2398" spans="1:3" x14ac:dyDescent="0.2">
      <c r="A2398" s="341"/>
      <c r="B2398" s="339" t="s">
        <v>357</v>
      </c>
      <c r="C2398" s="340">
        <v>1</v>
      </c>
    </row>
    <row r="2399" spans="1:3" x14ac:dyDescent="0.2">
      <c r="A2399" s="341"/>
    </row>
    <row r="2400" spans="1:3" x14ac:dyDescent="0.2">
      <c r="A2400" s="338" t="s">
        <v>3537</v>
      </c>
    </row>
    <row r="2401" spans="1:3" x14ac:dyDescent="0.2">
      <c r="A2401" s="341" t="s">
        <v>641</v>
      </c>
    </row>
    <row r="2402" spans="1:3" x14ac:dyDescent="0.2">
      <c r="A2402" s="341" t="s">
        <v>651</v>
      </c>
    </row>
    <row r="2403" spans="1:3" x14ac:dyDescent="0.2">
      <c r="A2403" s="341" t="s">
        <v>75</v>
      </c>
    </row>
    <row r="2404" spans="1:3" x14ac:dyDescent="0.2">
      <c r="A2404" s="341" t="s">
        <v>2544</v>
      </c>
    </row>
    <row r="2405" spans="1:3" x14ac:dyDescent="0.2">
      <c r="A2405" s="341" t="s">
        <v>639</v>
      </c>
    </row>
    <row r="2406" spans="1:3" x14ac:dyDescent="0.2">
      <c r="A2406" s="341"/>
    </row>
    <row r="2407" spans="1:3" x14ac:dyDescent="0.2">
      <c r="A2407" s="341"/>
      <c r="B2407" s="339" t="s">
        <v>2569</v>
      </c>
      <c r="C2407" s="340">
        <v>30</v>
      </c>
    </row>
    <row r="2408" spans="1:3" x14ac:dyDescent="0.2">
      <c r="A2408" s="341"/>
      <c r="B2408" s="339" t="s">
        <v>593</v>
      </c>
      <c r="C2408" s="340">
        <v>15</v>
      </c>
    </row>
    <row r="2409" spans="1:3" x14ac:dyDescent="0.2">
      <c r="A2409" s="341"/>
      <c r="B2409" s="339" t="s">
        <v>601</v>
      </c>
      <c r="C2409" s="340">
        <v>10</v>
      </c>
    </row>
    <row r="2410" spans="1:3" x14ac:dyDescent="0.2">
      <c r="A2410" s="341"/>
      <c r="B2410" s="339" t="s">
        <v>432</v>
      </c>
      <c r="C2410" s="340">
        <v>10</v>
      </c>
    </row>
    <row r="2411" spans="1:3" x14ac:dyDescent="0.2">
      <c r="A2411" s="341"/>
      <c r="B2411" s="339" t="s">
        <v>369</v>
      </c>
      <c r="C2411" s="340">
        <v>8</v>
      </c>
    </row>
    <row r="2412" spans="1:3" x14ac:dyDescent="0.2">
      <c r="A2412" s="341"/>
      <c r="B2412" s="339" t="s">
        <v>2582</v>
      </c>
      <c r="C2412" s="340">
        <v>5</v>
      </c>
    </row>
    <row r="2413" spans="1:3" x14ac:dyDescent="0.2">
      <c r="A2413" s="341"/>
      <c r="B2413" s="339" t="s">
        <v>424</v>
      </c>
      <c r="C2413" s="340">
        <v>5</v>
      </c>
    </row>
    <row r="2414" spans="1:3" x14ac:dyDescent="0.2">
      <c r="A2414" s="341"/>
      <c r="B2414" s="339" t="s">
        <v>362</v>
      </c>
      <c r="C2414" s="340">
        <v>2</v>
      </c>
    </row>
    <row r="2415" spans="1:3" x14ac:dyDescent="0.2">
      <c r="A2415" s="341"/>
      <c r="B2415" s="339" t="s">
        <v>403</v>
      </c>
      <c r="C2415" s="340">
        <v>2</v>
      </c>
    </row>
    <row r="2416" spans="1:3" x14ac:dyDescent="0.2">
      <c r="A2416" s="341"/>
      <c r="B2416" s="339" t="s">
        <v>454</v>
      </c>
      <c r="C2416" s="340">
        <v>2</v>
      </c>
    </row>
    <row r="2417" spans="1:3" x14ac:dyDescent="0.2">
      <c r="A2417" s="341"/>
      <c r="B2417" s="339" t="s">
        <v>3151</v>
      </c>
      <c r="C2417" s="340">
        <v>2</v>
      </c>
    </row>
    <row r="2418" spans="1:3" x14ac:dyDescent="0.2">
      <c r="A2418" s="341"/>
      <c r="B2418" s="339" t="s">
        <v>2565</v>
      </c>
      <c r="C2418" s="340">
        <v>2</v>
      </c>
    </row>
    <row r="2419" spans="1:3" x14ac:dyDescent="0.2">
      <c r="A2419" s="341"/>
    </row>
    <row r="2420" spans="1:3" x14ac:dyDescent="0.2">
      <c r="A2420" s="338" t="s">
        <v>3538</v>
      </c>
    </row>
    <row r="2421" spans="1:3" x14ac:dyDescent="0.2">
      <c r="A2421" s="341" t="s">
        <v>641</v>
      </c>
    </row>
    <row r="2422" spans="1:3" x14ac:dyDescent="0.2">
      <c r="A2422" s="341" t="s">
        <v>652</v>
      </c>
    </row>
    <row r="2423" spans="1:3" x14ac:dyDescent="0.2">
      <c r="A2423" s="341" t="s">
        <v>76</v>
      </c>
    </row>
    <row r="2424" spans="1:3" x14ac:dyDescent="0.2">
      <c r="A2424" s="341" t="s">
        <v>2544</v>
      </c>
    </row>
    <row r="2425" spans="1:3" x14ac:dyDescent="0.2">
      <c r="A2425" s="341" t="s">
        <v>639</v>
      </c>
    </row>
    <row r="2426" spans="1:3" x14ac:dyDescent="0.2">
      <c r="A2426" s="341"/>
    </row>
    <row r="2427" spans="1:3" x14ac:dyDescent="0.2">
      <c r="A2427" s="341"/>
      <c r="B2427" s="339" t="s">
        <v>361</v>
      </c>
      <c r="C2427" s="340">
        <v>20</v>
      </c>
    </row>
    <row r="2428" spans="1:3" x14ac:dyDescent="0.2">
      <c r="A2428" s="341"/>
      <c r="B2428" s="339" t="s">
        <v>341</v>
      </c>
      <c r="C2428" s="340">
        <v>18</v>
      </c>
    </row>
    <row r="2429" spans="1:3" x14ac:dyDescent="0.2">
      <c r="A2429" s="341"/>
      <c r="B2429" s="339" t="s">
        <v>340</v>
      </c>
      <c r="C2429" s="340">
        <v>15</v>
      </c>
    </row>
    <row r="2430" spans="1:3" x14ac:dyDescent="0.2">
      <c r="A2430" s="341"/>
      <c r="B2430" s="339" t="s">
        <v>364</v>
      </c>
      <c r="C2430" s="340">
        <v>12</v>
      </c>
    </row>
    <row r="2431" spans="1:3" x14ac:dyDescent="0.2">
      <c r="A2431" s="341"/>
      <c r="B2431" s="339" t="s">
        <v>2582</v>
      </c>
      <c r="C2431" s="340">
        <v>10</v>
      </c>
    </row>
    <row r="2432" spans="1:3" x14ac:dyDescent="0.2">
      <c r="A2432" s="341"/>
      <c r="B2432" s="339" t="s">
        <v>350</v>
      </c>
      <c r="C2432" s="340">
        <v>8</v>
      </c>
    </row>
    <row r="2433" spans="1:3" x14ac:dyDescent="0.2">
      <c r="A2433" s="341"/>
      <c r="B2433" s="339" t="s">
        <v>432</v>
      </c>
      <c r="C2433" s="340">
        <v>7</v>
      </c>
    </row>
    <row r="2434" spans="1:3" x14ac:dyDescent="0.2">
      <c r="A2434" s="341"/>
      <c r="B2434" s="339" t="s">
        <v>2575</v>
      </c>
      <c r="C2434" s="340">
        <v>4</v>
      </c>
    </row>
    <row r="2435" spans="1:3" x14ac:dyDescent="0.2">
      <c r="A2435" s="341"/>
      <c r="B2435" s="339" t="s">
        <v>357</v>
      </c>
      <c r="C2435" s="340">
        <v>1</v>
      </c>
    </row>
    <row r="2436" spans="1:3" x14ac:dyDescent="0.2">
      <c r="A2436" s="341"/>
    </row>
    <row r="2437" spans="1:3" x14ac:dyDescent="0.2">
      <c r="A2437" s="338" t="s">
        <v>3539</v>
      </c>
    </row>
    <row r="2438" spans="1:3" x14ac:dyDescent="0.2">
      <c r="A2438" s="341" t="s">
        <v>641</v>
      </c>
    </row>
    <row r="2439" spans="1:3" x14ac:dyDescent="0.2">
      <c r="A2439" s="341" t="s">
        <v>653</v>
      </c>
    </row>
    <row r="2440" spans="1:3" x14ac:dyDescent="0.2">
      <c r="A2440" s="341" t="s">
        <v>77</v>
      </c>
    </row>
    <row r="2441" spans="1:3" x14ac:dyDescent="0.2">
      <c r="A2441" s="341" t="s">
        <v>2544</v>
      </c>
    </row>
    <row r="2442" spans="1:3" x14ac:dyDescent="0.2">
      <c r="A2442" s="341" t="s">
        <v>639</v>
      </c>
    </row>
    <row r="2443" spans="1:3" x14ac:dyDescent="0.2">
      <c r="A2443" s="341"/>
    </row>
    <row r="2444" spans="1:3" x14ac:dyDescent="0.2">
      <c r="A2444" s="341"/>
      <c r="B2444" s="339" t="s">
        <v>341</v>
      </c>
      <c r="C2444" s="340">
        <v>25</v>
      </c>
    </row>
    <row r="2445" spans="1:3" x14ac:dyDescent="0.2">
      <c r="A2445" s="341"/>
      <c r="B2445" s="339" t="s">
        <v>376</v>
      </c>
      <c r="C2445" s="340">
        <v>20</v>
      </c>
    </row>
    <row r="2446" spans="1:3" x14ac:dyDescent="0.2">
      <c r="A2446" s="341"/>
      <c r="B2446" s="339" t="s">
        <v>600</v>
      </c>
      <c r="C2446" s="340">
        <v>15</v>
      </c>
    </row>
    <row r="2447" spans="1:3" x14ac:dyDescent="0.2">
      <c r="A2447" s="341"/>
      <c r="B2447" s="339" t="s">
        <v>355</v>
      </c>
      <c r="C2447" s="340">
        <v>10</v>
      </c>
    </row>
    <row r="2448" spans="1:3" x14ac:dyDescent="0.2">
      <c r="A2448" s="341"/>
      <c r="B2448" s="339" t="s">
        <v>454</v>
      </c>
      <c r="C2448" s="340">
        <v>7</v>
      </c>
    </row>
    <row r="2449" spans="1:3" x14ac:dyDescent="0.2">
      <c r="A2449" s="341"/>
      <c r="B2449" s="339" t="s">
        <v>350</v>
      </c>
      <c r="C2449" s="340">
        <v>5</v>
      </c>
    </row>
    <row r="2450" spans="1:3" x14ac:dyDescent="0.2">
      <c r="A2450" s="341"/>
      <c r="B2450" s="339" t="s">
        <v>601</v>
      </c>
      <c r="C2450" s="340">
        <v>5</v>
      </c>
    </row>
    <row r="2451" spans="1:3" x14ac:dyDescent="0.2">
      <c r="A2451" s="341"/>
      <c r="B2451" s="339" t="s">
        <v>394</v>
      </c>
      <c r="C2451" s="340">
        <v>5</v>
      </c>
    </row>
    <row r="2452" spans="1:3" x14ac:dyDescent="0.2">
      <c r="A2452" s="341"/>
      <c r="B2452" s="339" t="s">
        <v>340</v>
      </c>
      <c r="C2452" s="340">
        <v>5</v>
      </c>
    </row>
    <row r="2453" spans="1:3" x14ac:dyDescent="0.2">
      <c r="A2453" s="341"/>
      <c r="B2453" s="339" t="s">
        <v>593</v>
      </c>
      <c r="C2453" s="340">
        <v>5</v>
      </c>
    </row>
    <row r="2454" spans="1:3" x14ac:dyDescent="0.2">
      <c r="A2454" s="341"/>
      <c r="B2454" s="339" t="s">
        <v>2566</v>
      </c>
      <c r="C2454" s="340">
        <v>5</v>
      </c>
    </row>
    <row r="2455" spans="1:3" x14ac:dyDescent="0.2">
      <c r="A2455" s="341"/>
    </row>
    <row r="2456" spans="1:3" x14ac:dyDescent="0.2">
      <c r="A2456" s="338" t="s">
        <v>3540</v>
      </c>
    </row>
    <row r="2457" spans="1:3" x14ac:dyDescent="0.2">
      <c r="A2457" s="341" t="s">
        <v>641</v>
      </c>
    </row>
    <row r="2458" spans="1:3" x14ac:dyDescent="0.2">
      <c r="A2458" s="341" t="s">
        <v>654</v>
      </c>
    </row>
    <row r="2459" spans="1:3" x14ac:dyDescent="0.2">
      <c r="A2459" s="341" t="s">
        <v>78</v>
      </c>
    </row>
    <row r="2460" spans="1:3" x14ac:dyDescent="0.2">
      <c r="A2460" s="341" t="s">
        <v>2544</v>
      </c>
    </row>
    <row r="2461" spans="1:3" x14ac:dyDescent="0.2">
      <c r="A2461" s="341" t="s">
        <v>639</v>
      </c>
    </row>
    <row r="2462" spans="1:3" x14ac:dyDescent="0.2">
      <c r="A2462" s="341"/>
    </row>
    <row r="2463" spans="1:3" x14ac:dyDescent="0.2">
      <c r="A2463" s="341"/>
      <c r="B2463" s="339" t="s">
        <v>2722</v>
      </c>
      <c r="C2463" s="340">
        <v>70</v>
      </c>
    </row>
    <row r="2464" spans="1:3" x14ac:dyDescent="0.2">
      <c r="A2464" s="341"/>
      <c r="B2464" s="339" t="s">
        <v>347</v>
      </c>
      <c r="C2464" s="340">
        <v>25</v>
      </c>
    </row>
    <row r="2465" spans="1:3" x14ac:dyDescent="0.2">
      <c r="A2465" s="341"/>
      <c r="B2465" s="339" t="s">
        <v>2579</v>
      </c>
      <c r="C2465" s="340">
        <v>20</v>
      </c>
    </row>
    <row r="2466" spans="1:3" x14ac:dyDescent="0.2">
      <c r="A2466" s="341"/>
      <c r="B2466" s="339" t="s">
        <v>415</v>
      </c>
      <c r="C2466" s="340">
        <v>12</v>
      </c>
    </row>
    <row r="2467" spans="1:3" x14ac:dyDescent="0.2">
      <c r="A2467" s="341"/>
      <c r="B2467" s="339" t="s">
        <v>341</v>
      </c>
      <c r="C2467" s="340">
        <v>12</v>
      </c>
    </row>
    <row r="2468" spans="1:3" x14ac:dyDescent="0.2">
      <c r="A2468" s="341"/>
      <c r="B2468" s="339" t="s">
        <v>394</v>
      </c>
      <c r="C2468" s="340">
        <v>10</v>
      </c>
    </row>
    <row r="2469" spans="1:3" x14ac:dyDescent="0.2">
      <c r="A2469" s="341"/>
      <c r="B2469" s="339" t="s">
        <v>340</v>
      </c>
      <c r="C2469" s="340">
        <v>4</v>
      </c>
    </row>
    <row r="2470" spans="1:3" x14ac:dyDescent="0.2">
      <c r="A2470" s="341"/>
    </row>
    <row r="2471" spans="1:3" x14ac:dyDescent="0.2">
      <c r="A2471" s="338" t="s">
        <v>3541</v>
      </c>
    </row>
    <row r="2472" spans="1:3" x14ac:dyDescent="0.2">
      <c r="A2472" s="341" t="s">
        <v>655</v>
      </c>
    </row>
    <row r="2473" spans="1:3" x14ac:dyDescent="0.2">
      <c r="A2473" s="341" t="s">
        <v>656</v>
      </c>
    </row>
    <row r="2474" spans="1:3" x14ac:dyDescent="0.2">
      <c r="A2474" s="341" t="s">
        <v>79</v>
      </c>
    </row>
    <row r="2475" spans="1:3" x14ac:dyDescent="0.2">
      <c r="A2475" s="341" t="s">
        <v>2542</v>
      </c>
    </row>
    <row r="2476" spans="1:3" x14ac:dyDescent="0.2">
      <c r="A2476" s="341" t="s">
        <v>639</v>
      </c>
    </row>
    <row r="2477" spans="1:3" x14ac:dyDescent="0.2">
      <c r="A2477" s="341"/>
    </row>
    <row r="2478" spans="1:3" x14ac:dyDescent="0.2">
      <c r="A2478" s="341"/>
      <c r="B2478" s="339" t="s">
        <v>598</v>
      </c>
      <c r="C2478" s="340">
        <v>80</v>
      </c>
    </row>
    <row r="2479" spans="1:3" x14ac:dyDescent="0.2">
      <c r="A2479" s="341"/>
      <c r="B2479" s="339" t="s">
        <v>376</v>
      </c>
      <c r="C2479" s="340">
        <v>10</v>
      </c>
    </row>
    <row r="2480" spans="1:3" x14ac:dyDescent="0.2">
      <c r="A2480" s="341"/>
      <c r="B2480" s="339" t="s">
        <v>2632</v>
      </c>
      <c r="C2480" s="340">
        <v>8</v>
      </c>
    </row>
    <row r="2481" spans="1:3" x14ac:dyDescent="0.2">
      <c r="A2481" s="341"/>
      <c r="B2481" s="339" t="s">
        <v>418</v>
      </c>
      <c r="C2481" s="340">
        <v>8</v>
      </c>
    </row>
    <row r="2482" spans="1:3" x14ac:dyDescent="0.2">
      <c r="A2482" s="341"/>
      <c r="B2482" s="339" t="s">
        <v>453</v>
      </c>
      <c r="C2482" s="340">
        <v>8</v>
      </c>
    </row>
    <row r="2483" spans="1:3" x14ac:dyDescent="0.2">
      <c r="A2483" s="341"/>
      <c r="B2483" s="339" t="s">
        <v>327</v>
      </c>
      <c r="C2483" s="340">
        <v>6</v>
      </c>
    </row>
    <row r="2484" spans="1:3" x14ac:dyDescent="0.2">
      <c r="A2484" s="341"/>
      <c r="B2484" s="339" t="s">
        <v>526</v>
      </c>
      <c r="C2484" s="340">
        <v>4</v>
      </c>
    </row>
    <row r="2485" spans="1:3" x14ac:dyDescent="0.2">
      <c r="A2485" s="341"/>
    </row>
    <row r="2486" spans="1:3" x14ac:dyDescent="0.2">
      <c r="A2486" s="338" t="s">
        <v>3542</v>
      </c>
    </row>
    <row r="2487" spans="1:3" x14ac:dyDescent="0.2">
      <c r="A2487" s="341" t="s">
        <v>655</v>
      </c>
    </row>
    <row r="2488" spans="1:3" x14ac:dyDescent="0.2">
      <c r="A2488" s="341" t="s">
        <v>657</v>
      </c>
    </row>
    <row r="2489" spans="1:3" x14ac:dyDescent="0.2">
      <c r="A2489" s="341" t="s">
        <v>80</v>
      </c>
    </row>
    <row r="2490" spans="1:3" x14ac:dyDescent="0.2">
      <c r="A2490" s="341" t="s">
        <v>2545</v>
      </c>
    </row>
    <row r="2491" spans="1:3" x14ac:dyDescent="0.2">
      <c r="A2491" s="341" t="s">
        <v>639</v>
      </c>
    </row>
    <row r="2492" spans="1:3" x14ac:dyDescent="0.2">
      <c r="A2492" s="341"/>
    </row>
    <row r="2493" spans="1:3" x14ac:dyDescent="0.2">
      <c r="A2493" s="341"/>
      <c r="B2493" s="339" t="s">
        <v>530</v>
      </c>
      <c r="C2493" s="340">
        <v>50</v>
      </c>
    </row>
    <row r="2494" spans="1:3" x14ac:dyDescent="0.2">
      <c r="A2494" s="341"/>
      <c r="B2494" s="339" t="s">
        <v>598</v>
      </c>
      <c r="C2494" s="340">
        <v>50</v>
      </c>
    </row>
    <row r="2495" spans="1:3" x14ac:dyDescent="0.2">
      <c r="A2495" s="341"/>
      <c r="B2495" s="339" t="s">
        <v>2567</v>
      </c>
      <c r="C2495" s="340">
        <v>50</v>
      </c>
    </row>
    <row r="2496" spans="1:3" x14ac:dyDescent="0.2">
      <c r="A2496" s="341"/>
      <c r="B2496" s="339" t="s">
        <v>418</v>
      </c>
      <c r="C2496" s="340">
        <v>10</v>
      </c>
    </row>
    <row r="2497" spans="1:3" x14ac:dyDescent="0.2">
      <c r="A2497" s="341"/>
      <c r="B2497" s="339" t="s">
        <v>982</v>
      </c>
      <c r="C2497" s="340">
        <v>5</v>
      </c>
    </row>
    <row r="2498" spans="1:3" x14ac:dyDescent="0.2">
      <c r="A2498" s="341"/>
      <c r="B2498" s="339" t="s">
        <v>421</v>
      </c>
      <c r="C2498" s="340">
        <v>3</v>
      </c>
    </row>
    <row r="2499" spans="1:3" x14ac:dyDescent="0.2">
      <c r="A2499" s="341"/>
      <c r="B2499" s="339" t="s">
        <v>526</v>
      </c>
      <c r="C2499" s="340">
        <v>2</v>
      </c>
    </row>
    <row r="2500" spans="1:3" x14ac:dyDescent="0.2">
      <c r="A2500" s="341"/>
      <c r="B2500" s="339" t="s">
        <v>528</v>
      </c>
      <c r="C2500" s="340">
        <v>2</v>
      </c>
    </row>
    <row r="2501" spans="1:3" x14ac:dyDescent="0.2">
      <c r="A2501" s="341"/>
      <c r="B2501" s="339" t="s">
        <v>2809</v>
      </c>
      <c r="C2501" s="340">
        <v>1</v>
      </c>
    </row>
    <row r="2502" spans="1:3" x14ac:dyDescent="0.2">
      <c r="A2502" s="341"/>
    </row>
    <row r="2503" spans="1:3" x14ac:dyDescent="0.2">
      <c r="A2503" s="338" t="s">
        <v>3543</v>
      </c>
    </row>
    <row r="2504" spans="1:3" x14ac:dyDescent="0.2">
      <c r="A2504" s="341" t="s">
        <v>655</v>
      </c>
    </row>
    <row r="2505" spans="1:3" x14ac:dyDescent="0.2">
      <c r="A2505" s="341" t="s">
        <v>658</v>
      </c>
    </row>
    <row r="2506" spans="1:3" x14ac:dyDescent="0.2">
      <c r="A2506" s="341" t="s">
        <v>81</v>
      </c>
    </row>
    <row r="2507" spans="1:3" x14ac:dyDescent="0.2">
      <c r="A2507" s="341" t="s">
        <v>2545</v>
      </c>
    </row>
    <row r="2508" spans="1:3" x14ac:dyDescent="0.2">
      <c r="A2508" s="341" t="s">
        <v>639</v>
      </c>
    </row>
    <row r="2509" spans="1:3" x14ac:dyDescent="0.2">
      <c r="A2509" s="341"/>
    </row>
    <row r="2510" spans="1:3" x14ac:dyDescent="0.2">
      <c r="A2510" s="341"/>
      <c r="B2510" s="339" t="s">
        <v>2649</v>
      </c>
      <c r="C2510" s="340">
        <v>30</v>
      </c>
    </row>
    <row r="2511" spans="1:3" x14ac:dyDescent="0.2">
      <c r="A2511" s="341"/>
      <c r="B2511" s="339" t="s">
        <v>341</v>
      </c>
      <c r="C2511" s="340">
        <v>25</v>
      </c>
    </row>
    <row r="2512" spans="1:3" x14ac:dyDescent="0.2">
      <c r="A2512" s="341"/>
      <c r="B2512" s="339" t="s">
        <v>2808</v>
      </c>
      <c r="C2512" s="340">
        <v>20</v>
      </c>
    </row>
    <row r="2513" spans="1:3" x14ac:dyDescent="0.2">
      <c r="A2513" s="341"/>
      <c r="B2513" s="339" t="s">
        <v>2566</v>
      </c>
      <c r="C2513" s="340">
        <v>15</v>
      </c>
    </row>
    <row r="2514" spans="1:3" x14ac:dyDescent="0.2">
      <c r="A2514" s="341"/>
      <c r="B2514" s="339" t="s">
        <v>327</v>
      </c>
      <c r="C2514" s="340">
        <v>10</v>
      </c>
    </row>
    <row r="2515" spans="1:3" x14ac:dyDescent="0.2">
      <c r="A2515" s="341"/>
      <c r="B2515" s="339" t="s">
        <v>2576</v>
      </c>
      <c r="C2515" s="340">
        <v>10</v>
      </c>
    </row>
    <row r="2516" spans="1:3" x14ac:dyDescent="0.2">
      <c r="A2516" s="341"/>
      <c r="B2516" s="339" t="s">
        <v>593</v>
      </c>
      <c r="C2516" s="340">
        <v>8</v>
      </c>
    </row>
    <row r="2517" spans="1:3" x14ac:dyDescent="0.2">
      <c r="A2517" s="341"/>
      <c r="B2517" s="339" t="s">
        <v>2666</v>
      </c>
      <c r="C2517" s="340">
        <v>7</v>
      </c>
    </row>
    <row r="2518" spans="1:3" x14ac:dyDescent="0.2">
      <c r="A2518" s="341"/>
      <c r="B2518" s="339" t="s">
        <v>350</v>
      </c>
      <c r="C2518" s="340">
        <v>5</v>
      </c>
    </row>
    <row r="2519" spans="1:3" x14ac:dyDescent="0.2">
      <c r="A2519" s="341"/>
      <c r="B2519" s="339" t="s">
        <v>2573</v>
      </c>
      <c r="C2519" s="340">
        <v>5</v>
      </c>
    </row>
    <row r="2520" spans="1:3" x14ac:dyDescent="0.2">
      <c r="A2520" s="341"/>
    </row>
    <row r="2521" spans="1:3" x14ac:dyDescent="0.2">
      <c r="A2521" s="338" t="s">
        <v>3544</v>
      </c>
    </row>
    <row r="2522" spans="1:3" x14ac:dyDescent="0.2">
      <c r="A2522" s="341" t="s">
        <v>655</v>
      </c>
    </row>
    <row r="2523" spans="1:3" x14ac:dyDescent="0.2">
      <c r="A2523" s="341" t="s">
        <v>659</v>
      </c>
    </row>
    <row r="2524" spans="1:3" x14ac:dyDescent="0.2">
      <c r="A2524" s="341" t="s">
        <v>82</v>
      </c>
    </row>
    <row r="2525" spans="1:3" x14ac:dyDescent="0.2">
      <c r="A2525" s="341" t="s">
        <v>2545</v>
      </c>
    </row>
    <row r="2526" spans="1:3" x14ac:dyDescent="0.2">
      <c r="A2526" s="341" t="s">
        <v>639</v>
      </c>
    </row>
    <row r="2527" spans="1:3" x14ac:dyDescent="0.2">
      <c r="A2527" s="341"/>
    </row>
    <row r="2528" spans="1:3" x14ac:dyDescent="0.2">
      <c r="A2528" s="341"/>
      <c r="B2528" s="339" t="s">
        <v>2580</v>
      </c>
      <c r="C2528" s="340">
        <v>45</v>
      </c>
    </row>
    <row r="2529" spans="1:3" x14ac:dyDescent="0.2">
      <c r="A2529" s="341"/>
      <c r="B2529" s="339" t="s">
        <v>2567</v>
      </c>
      <c r="C2529" s="340">
        <v>45</v>
      </c>
    </row>
    <row r="2530" spans="1:3" x14ac:dyDescent="0.2">
      <c r="A2530" s="341"/>
      <c r="B2530" s="339" t="s">
        <v>421</v>
      </c>
      <c r="C2530" s="340">
        <v>40</v>
      </c>
    </row>
    <row r="2531" spans="1:3" x14ac:dyDescent="0.2">
      <c r="A2531" s="341"/>
      <c r="B2531" s="339" t="s">
        <v>2632</v>
      </c>
      <c r="C2531" s="340">
        <v>15</v>
      </c>
    </row>
    <row r="2532" spans="1:3" x14ac:dyDescent="0.2">
      <c r="A2532" s="341"/>
      <c r="B2532" s="339" t="s">
        <v>343</v>
      </c>
      <c r="C2532" s="340">
        <v>10</v>
      </c>
    </row>
    <row r="2533" spans="1:3" x14ac:dyDescent="0.2">
      <c r="A2533" s="341"/>
      <c r="B2533" s="339" t="s">
        <v>1589</v>
      </c>
      <c r="C2533" s="340">
        <v>10</v>
      </c>
    </row>
    <row r="2534" spans="1:3" x14ac:dyDescent="0.2">
      <c r="A2534" s="341"/>
      <c r="B2534" s="339" t="s">
        <v>418</v>
      </c>
      <c r="C2534" s="340">
        <v>10</v>
      </c>
    </row>
    <row r="2535" spans="1:3" x14ac:dyDescent="0.2">
      <c r="A2535" s="341"/>
      <c r="B2535" s="339" t="s">
        <v>1585</v>
      </c>
      <c r="C2535" s="340">
        <v>7</v>
      </c>
    </row>
    <row r="2536" spans="1:3" x14ac:dyDescent="0.2">
      <c r="A2536" s="341"/>
      <c r="B2536" s="339" t="s">
        <v>2576</v>
      </c>
      <c r="C2536" s="340">
        <v>6</v>
      </c>
    </row>
    <row r="2537" spans="1:3" x14ac:dyDescent="0.2">
      <c r="A2537" s="341"/>
      <c r="B2537" s="339" t="s">
        <v>982</v>
      </c>
      <c r="C2537" s="340">
        <v>5</v>
      </c>
    </row>
    <row r="2538" spans="1:3" x14ac:dyDescent="0.2">
      <c r="A2538" s="341"/>
      <c r="B2538" s="339" t="s">
        <v>593</v>
      </c>
      <c r="C2538" s="340">
        <v>4</v>
      </c>
    </row>
    <row r="2539" spans="1:3" x14ac:dyDescent="0.2">
      <c r="A2539" s="341"/>
    </row>
    <row r="2540" spans="1:3" x14ac:dyDescent="0.2">
      <c r="A2540" s="338" t="s">
        <v>3545</v>
      </c>
    </row>
    <row r="2541" spans="1:3" x14ac:dyDescent="0.2">
      <c r="A2541" s="341" t="s">
        <v>655</v>
      </c>
    </row>
    <row r="2542" spans="1:3" x14ac:dyDescent="0.2">
      <c r="A2542" s="341" t="s">
        <v>660</v>
      </c>
    </row>
    <row r="2543" spans="1:3" x14ac:dyDescent="0.2">
      <c r="A2543" s="341" t="s">
        <v>83</v>
      </c>
    </row>
    <row r="2544" spans="1:3" x14ac:dyDescent="0.2">
      <c r="A2544" s="341" t="s">
        <v>2545</v>
      </c>
    </row>
    <row r="2545" spans="1:3" x14ac:dyDescent="0.2">
      <c r="A2545" s="341" t="s">
        <v>639</v>
      </c>
    </row>
    <row r="2546" spans="1:3" x14ac:dyDescent="0.2">
      <c r="A2546" s="341"/>
    </row>
    <row r="2547" spans="1:3" x14ac:dyDescent="0.2">
      <c r="A2547" s="341"/>
      <c r="B2547" s="339" t="s">
        <v>2565</v>
      </c>
      <c r="C2547" s="340">
        <v>90</v>
      </c>
    </row>
    <row r="2548" spans="1:3" x14ac:dyDescent="0.2">
      <c r="A2548" s="341"/>
      <c r="B2548" s="339" t="s">
        <v>432</v>
      </c>
      <c r="C2548" s="340">
        <v>25</v>
      </c>
    </row>
    <row r="2549" spans="1:3" x14ac:dyDescent="0.2">
      <c r="A2549" s="341"/>
      <c r="B2549" s="339" t="s">
        <v>404</v>
      </c>
      <c r="C2549" s="340">
        <v>10</v>
      </c>
    </row>
    <row r="2550" spans="1:3" x14ac:dyDescent="0.2">
      <c r="A2550" s="341"/>
      <c r="B2550" s="339" t="s">
        <v>341</v>
      </c>
      <c r="C2550" s="340">
        <v>8</v>
      </c>
    </row>
    <row r="2551" spans="1:3" x14ac:dyDescent="0.2">
      <c r="A2551" s="341"/>
      <c r="B2551" s="339" t="s">
        <v>2579</v>
      </c>
      <c r="C2551" s="340">
        <v>8</v>
      </c>
    </row>
    <row r="2552" spans="1:3" x14ac:dyDescent="0.2">
      <c r="A2552" s="341"/>
      <c r="B2552" s="339" t="s">
        <v>350</v>
      </c>
      <c r="C2552" s="340">
        <v>6</v>
      </c>
    </row>
    <row r="2553" spans="1:3" x14ac:dyDescent="0.2">
      <c r="A2553" s="341"/>
      <c r="B2553" s="339" t="s">
        <v>2576</v>
      </c>
      <c r="C2553" s="340">
        <v>6</v>
      </c>
    </row>
    <row r="2554" spans="1:3" x14ac:dyDescent="0.2">
      <c r="A2554" s="341"/>
      <c r="B2554" s="339" t="s">
        <v>2649</v>
      </c>
      <c r="C2554" s="340">
        <v>5</v>
      </c>
    </row>
    <row r="2555" spans="1:3" x14ac:dyDescent="0.2">
      <c r="A2555" s="341"/>
      <c r="B2555" s="339" t="s">
        <v>394</v>
      </c>
      <c r="C2555" s="340">
        <v>3</v>
      </c>
    </row>
    <row r="2556" spans="1:3" x14ac:dyDescent="0.2">
      <c r="A2556" s="341"/>
    </row>
    <row r="2557" spans="1:3" x14ac:dyDescent="0.2">
      <c r="A2557" s="338" t="s">
        <v>3546</v>
      </c>
    </row>
    <row r="2558" spans="1:3" x14ac:dyDescent="0.2">
      <c r="A2558" s="341" t="s">
        <v>661</v>
      </c>
    </row>
    <row r="2559" spans="1:3" x14ac:dyDescent="0.2">
      <c r="A2559" s="341" t="s">
        <v>662</v>
      </c>
    </row>
    <row r="2560" spans="1:3" x14ac:dyDescent="0.2">
      <c r="A2560" s="341" t="s">
        <v>84</v>
      </c>
    </row>
    <row r="2561" spans="1:3" x14ac:dyDescent="0.2">
      <c r="A2561" s="341" t="s">
        <v>2543</v>
      </c>
    </row>
    <row r="2562" spans="1:3" x14ac:dyDescent="0.2">
      <c r="A2562" s="341" t="s">
        <v>639</v>
      </c>
    </row>
    <row r="2563" spans="1:3" x14ac:dyDescent="0.2">
      <c r="A2563" s="341"/>
    </row>
    <row r="2564" spans="1:3" x14ac:dyDescent="0.2">
      <c r="A2564" s="341"/>
      <c r="B2564" s="339" t="s">
        <v>601</v>
      </c>
      <c r="C2564" s="340">
        <v>40</v>
      </c>
    </row>
    <row r="2565" spans="1:3" x14ac:dyDescent="0.2">
      <c r="A2565" s="341"/>
      <c r="B2565" s="339" t="s">
        <v>360</v>
      </c>
      <c r="C2565" s="340">
        <v>20</v>
      </c>
    </row>
    <row r="2566" spans="1:3" x14ac:dyDescent="0.2">
      <c r="A2566" s="341"/>
      <c r="B2566" s="339" t="s">
        <v>356</v>
      </c>
      <c r="C2566" s="340">
        <v>15</v>
      </c>
    </row>
    <row r="2567" spans="1:3" x14ac:dyDescent="0.2">
      <c r="A2567" s="341"/>
      <c r="B2567" s="339" t="s">
        <v>340</v>
      </c>
      <c r="C2567" s="340">
        <v>15</v>
      </c>
    </row>
    <row r="2568" spans="1:3" x14ac:dyDescent="0.2">
      <c r="A2568" s="341"/>
      <c r="B2568" s="339" t="s">
        <v>364</v>
      </c>
      <c r="C2568" s="340">
        <v>15</v>
      </c>
    </row>
    <row r="2569" spans="1:3" x14ac:dyDescent="0.2">
      <c r="A2569" s="341"/>
      <c r="B2569" s="339" t="s">
        <v>352</v>
      </c>
      <c r="C2569" s="340">
        <v>12</v>
      </c>
    </row>
    <row r="2570" spans="1:3" x14ac:dyDescent="0.2">
      <c r="A2570" s="341"/>
      <c r="B2570" s="339" t="s">
        <v>342</v>
      </c>
      <c r="C2570" s="340">
        <v>10</v>
      </c>
    </row>
    <row r="2571" spans="1:3" x14ac:dyDescent="0.2">
      <c r="A2571" s="341"/>
      <c r="B2571" s="339" t="s">
        <v>2583</v>
      </c>
      <c r="C2571" s="340">
        <v>10</v>
      </c>
    </row>
    <row r="2572" spans="1:3" x14ac:dyDescent="0.2">
      <c r="A2572" s="341"/>
      <c r="B2572" s="339" t="s">
        <v>3151</v>
      </c>
      <c r="C2572" s="340">
        <v>5</v>
      </c>
    </row>
    <row r="2573" spans="1:3" x14ac:dyDescent="0.2">
      <c r="A2573" s="341"/>
      <c r="B2573" s="339" t="s">
        <v>2639</v>
      </c>
      <c r="C2573" s="340">
        <v>3</v>
      </c>
    </row>
    <row r="2574" spans="1:3" x14ac:dyDescent="0.2">
      <c r="A2574" s="341"/>
      <c r="B2574" s="339" t="s">
        <v>344</v>
      </c>
      <c r="C2574" s="340">
        <v>3</v>
      </c>
    </row>
    <row r="2575" spans="1:3" x14ac:dyDescent="0.2">
      <c r="A2575" s="341"/>
    </row>
    <row r="2576" spans="1:3" x14ac:dyDescent="0.2">
      <c r="A2576" s="338" t="s">
        <v>3547</v>
      </c>
    </row>
    <row r="2577" spans="1:3" x14ac:dyDescent="0.2">
      <c r="A2577" s="341" t="s">
        <v>661</v>
      </c>
    </row>
    <row r="2578" spans="1:3" x14ac:dyDescent="0.2">
      <c r="A2578" s="341" t="s">
        <v>663</v>
      </c>
    </row>
    <row r="2579" spans="1:3" x14ac:dyDescent="0.2">
      <c r="A2579" s="341" t="s">
        <v>85</v>
      </c>
    </row>
    <row r="2580" spans="1:3" x14ac:dyDescent="0.2">
      <c r="A2580" s="341" t="s">
        <v>2543</v>
      </c>
    </row>
    <row r="2581" spans="1:3" x14ac:dyDescent="0.2">
      <c r="A2581" s="341" t="s">
        <v>639</v>
      </c>
    </row>
    <row r="2582" spans="1:3" x14ac:dyDescent="0.2">
      <c r="A2582" s="341"/>
    </row>
    <row r="2583" spans="1:3" x14ac:dyDescent="0.2">
      <c r="A2583" s="341"/>
      <c r="B2583" s="339" t="s">
        <v>360</v>
      </c>
      <c r="C2583" s="340">
        <v>20</v>
      </c>
    </row>
    <row r="2584" spans="1:3" x14ac:dyDescent="0.2">
      <c r="A2584" s="341"/>
      <c r="B2584" s="339" t="s">
        <v>340</v>
      </c>
      <c r="C2584" s="340">
        <v>15</v>
      </c>
    </row>
    <row r="2585" spans="1:3" x14ac:dyDescent="0.2">
      <c r="A2585" s="341"/>
      <c r="B2585" s="339" t="s">
        <v>364</v>
      </c>
      <c r="C2585" s="340">
        <v>15</v>
      </c>
    </row>
    <row r="2586" spans="1:3" x14ac:dyDescent="0.2">
      <c r="A2586" s="341"/>
      <c r="B2586" s="339" t="s">
        <v>352</v>
      </c>
      <c r="C2586" s="340">
        <v>12</v>
      </c>
    </row>
    <row r="2587" spans="1:3" x14ac:dyDescent="0.2">
      <c r="A2587" s="341"/>
      <c r="B2587" s="339" t="s">
        <v>342</v>
      </c>
      <c r="C2587" s="340">
        <v>10</v>
      </c>
    </row>
    <row r="2588" spans="1:3" x14ac:dyDescent="0.2">
      <c r="A2588" s="341"/>
      <c r="B2588" s="339" t="s">
        <v>350</v>
      </c>
      <c r="C2588" s="340">
        <v>5</v>
      </c>
    </row>
    <row r="2589" spans="1:3" x14ac:dyDescent="0.2">
      <c r="A2589" s="341"/>
      <c r="B2589" s="339" t="s">
        <v>3151</v>
      </c>
      <c r="C2589" s="340">
        <v>5</v>
      </c>
    </row>
    <row r="2590" spans="1:3" x14ac:dyDescent="0.2">
      <c r="A2590" s="341"/>
      <c r="B2590" s="339" t="s">
        <v>453</v>
      </c>
      <c r="C2590" s="340">
        <v>5</v>
      </c>
    </row>
    <row r="2591" spans="1:3" x14ac:dyDescent="0.2">
      <c r="A2591" s="341"/>
      <c r="B2591" s="339" t="s">
        <v>2639</v>
      </c>
      <c r="C2591" s="340">
        <v>3</v>
      </c>
    </row>
    <row r="2592" spans="1:3" x14ac:dyDescent="0.2">
      <c r="A2592" s="341"/>
      <c r="B2592" s="339" t="s">
        <v>341</v>
      </c>
      <c r="C2592" s="340">
        <v>3</v>
      </c>
    </row>
    <row r="2593" spans="1:3" x14ac:dyDescent="0.2">
      <c r="A2593" s="341"/>
      <c r="B2593" s="339" t="s">
        <v>344</v>
      </c>
      <c r="C2593" s="340">
        <v>3</v>
      </c>
    </row>
    <row r="2594" spans="1:3" x14ac:dyDescent="0.2">
      <c r="A2594" s="341"/>
      <c r="B2594" s="339" t="s">
        <v>392</v>
      </c>
      <c r="C2594" s="340">
        <v>0.5</v>
      </c>
    </row>
    <row r="2595" spans="1:3" x14ac:dyDescent="0.2">
      <c r="A2595" s="341"/>
    </row>
    <row r="2596" spans="1:3" x14ac:dyDescent="0.2">
      <c r="A2596" s="338" t="s">
        <v>3548</v>
      </c>
    </row>
    <row r="2597" spans="1:3" x14ac:dyDescent="0.2">
      <c r="A2597" s="341" t="s">
        <v>661</v>
      </c>
    </row>
    <row r="2598" spans="1:3" x14ac:dyDescent="0.2">
      <c r="A2598" s="341" t="s">
        <v>664</v>
      </c>
    </row>
    <row r="2599" spans="1:3" x14ac:dyDescent="0.2">
      <c r="A2599" s="341" t="s">
        <v>86</v>
      </c>
    </row>
    <row r="2600" spans="1:3" x14ac:dyDescent="0.2">
      <c r="A2600" s="341" t="s">
        <v>2543</v>
      </c>
    </row>
    <row r="2601" spans="1:3" x14ac:dyDescent="0.2">
      <c r="A2601" s="341" t="s">
        <v>639</v>
      </c>
    </row>
    <row r="2602" spans="1:3" x14ac:dyDescent="0.2">
      <c r="A2602" s="341"/>
    </row>
    <row r="2603" spans="1:3" x14ac:dyDescent="0.2">
      <c r="A2603" s="341"/>
      <c r="B2603" s="339" t="s">
        <v>355</v>
      </c>
      <c r="C2603" s="340">
        <v>50</v>
      </c>
    </row>
    <row r="2604" spans="1:3" x14ac:dyDescent="0.2">
      <c r="A2604" s="341"/>
      <c r="B2604" s="339" t="s">
        <v>400</v>
      </c>
      <c r="C2604" s="340">
        <v>15</v>
      </c>
    </row>
    <row r="2605" spans="1:3" x14ac:dyDescent="0.2">
      <c r="A2605" s="341"/>
      <c r="B2605" s="339" t="s">
        <v>356</v>
      </c>
      <c r="C2605" s="340">
        <v>10</v>
      </c>
    </row>
    <row r="2606" spans="1:3" x14ac:dyDescent="0.2">
      <c r="A2606" s="341"/>
      <c r="B2606" s="339" t="s">
        <v>2649</v>
      </c>
      <c r="C2606" s="340">
        <v>10</v>
      </c>
    </row>
    <row r="2607" spans="1:3" x14ac:dyDescent="0.2">
      <c r="A2607" s="341"/>
      <c r="B2607" s="339" t="s">
        <v>394</v>
      </c>
      <c r="C2607" s="340">
        <v>10</v>
      </c>
    </row>
    <row r="2608" spans="1:3" x14ac:dyDescent="0.2">
      <c r="A2608" s="341"/>
      <c r="B2608" s="339" t="s">
        <v>2579</v>
      </c>
      <c r="C2608" s="340">
        <v>10</v>
      </c>
    </row>
    <row r="2609" spans="1:3" x14ac:dyDescent="0.2">
      <c r="A2609" s="341"/>
      <c r="B2609" s="339" t="s">
        <v>593</v>
      </c>
      <c r="C2609" s="340">
        <v>10</v>
      </c>
    </row>
    <row r="2610" spans="1:3" x14ac:dyDescent="0.2">
      <c r="A2610" s="341"/>
      <c r="B2610" s="339" t="s">
        <v>364</v>
      </c>
      <c r="C2610" s="340">
        <v>5</v>
      </c>
    </row>
    <row r="2611" spans="1:3" x14ac:dyDescent="0.2">
      <c r="A2611" s="341"/>
    </row>
    <row r="2612" spans="1:3" x14ac:dyDescent="0.2">
      <c r="A2612" s="338" t="s">
        <v>3549</v>
      </c>
    </row>
    <row r="2613" spans="1:3" x14ac:dyDescent="0.2">
      <c r="A2613" s="341" t="s">
        <v>661</v>
      </c>
    </row>
    <row r="2614" spans="1:3" x14ac:dyDescent="0.2">
      <c r="A2614" s="341" t="s">
        <v>665</v>
      </c>
    </row>
    <row r="2615" spans="1:3" x14ac:dyDescent="0.2">
      <c r="A2615" s="341" t="s">
        <v>87</v>
      </c>
    </row>
    <row r="2616" spans="1:3" x14ac:dyDescent="0.2">
      <c r="A2616" s="341" t="s">
        <v>2543</v>
      </c>
    </row>
    <row r="2617" spans="1:3" x14ac:dyDescent="0.2">
      <c r="A2617" s="341" t="s">
        <v>639</v>
      </c>
    </row>
    <row r="2618" spans="1:3" x14ac:dyDescent="0.2">
      <c r="A2618" s="341"/>
    </row>
    <row r="2619" spans="1:3" x14ac:dyDescent="0.2">
      <c r="A2619" s="341"/>
      <c r="B2619" s="339" t="s">
        <v>376</v>
      </c>
      <c r="C2619" s="340">
        <v>20</v>
      </c>
    </row>
    <row r="2620" spans="1:3" x14ac:dyDescent="0.2">
      <c r="A2620" s="341"/>
      <c r="B2620" s="339" t="s">
        <v>400</v>
      </c>
      <c r="C2620" s="340">
        <v>15</v>
      </c>
    </row>
    <row r="2621" spans="1:3" x14ac:dyDescent="0.2">
      <c r="A2621" s="341"/>
      <c r="B2621" s="339" t="s">
        <v>445</v>
      </c>
      <c r="C2621" s="340">
        <v>15</v>
      </c>
    </row>
    <row r="2622" spans="1:3" x14ac:dyDescent="0.2">
      <c r="A2622" s="341"/>
      <c r="B2622" s="339" t="s">
        <v>356</v>
      </c>
      <c r="C2622" s="340">
        <v>10</v>
      </c>
    </row>
    <row r="2623" spans="1:3" x14ac:dyDescent="0.2">
      <c r="A2623" s="341"/>
      <c r="B2623" s="339" t="s">
        <v>2722</v>
      </c>
      <c r="C2623" s="340">
        <v>10</v>
      </c>
    </row>
    <row r="2624" spans="1:3" x14ac:dyDescent="0.2">
      <c r="A2624" s="341"/>
      <c r="B2624" s="339" t="s">
        <v>415</v>
      </c>
      <c r="C2624" s="340">
        <v>10</v>
      </c>
    </row>
    <row r="2625" spans="1:3" x14ac:dyDescent="0.2">
      <c r="A2625" s="341"/>
      <c r="B2625" s="339" t="s">
        <v>394</v>
      </c>
      <c r="C2625" s="340">
        <v>10</v>
      </c>
    </row>
    <row r="2626" spans="1:3" x14ac:dyDescent="0.2">
      <c r="A2626" s="341"/>
      <c r="B2626" s="339" t="s">
        <v>2579</v>
      </c>
      <c r="C2626" s="340">
        <v>10</v>
      </c>
    </row>
    <row r="2627" spans="1:3" x14ac:dyDescent="0.2">
      <c r="A2627" s="341"/>
      <c r="B2627" s="339" t="s">
        <v>453</v>
      </c>
      <c r="C2627" s="340">
        <v>5</v>
      </c>
    </row>
    <row r="2628" spans="1:3" x14ac:dyDescent="0.2">
      <c r="A2628" s="341"/>
      <c r="B2628" s="339" t="s">
        <v>364</v>
      </c>
      <c r="C2628" s="340">
        <v>5</v>
      </c>
    </row>
    <row r="2629" spans="1:3" x14ac:dyDescent="0.2">
      <c r="A2629" s="341"/>
    </row>
    <row r="2630" spans="1:3" x14ac:dyDescent="0.2">
      <c r="A2630" s="338" t="s">
        <v>3550</v>
      </c>
    </row>
    <row r="2631" spans="1:3" x14ac:dyDescent="0.2">
      <c r="A2631" s="341" t="s">
        <v>661</v>
      </c>
    </row>
    <row r="2632" spans="1:3" x14ac:dyDescent="0.2">
      <c r="A2632" s="341" t="s">
        <v>666</v>
      </c>
    </row>
    <row r="2633" spans="1:3" x14ac:dyDescent="0.2">
      <c r="A2633" s="341" t="s">
        <v>88</v>
      </c>
    </row>
    <row r="2634" spans="1:3" x14ac:dyDescent="0.2">
      <c r="A2634" s="341" t="s">
        <v>2543</v>
      </c>
    </row>
    <row r="2635" spans="1:3" x14ac:dyDescent="0.2">
      <c r="A2635" s="341" t="s">
        <v>639</v>
      </c>
    </row>
    <row r="2636" spans="1:3" x14ac:dyDescent="0.2">
      <c r="A2636" s="341"/>
    </row>
    <row r="2637" spans="1:3" x14ac:dyDescent="0.2">
      <c r="A2637" s="341"/>
      <c r="B2637" s="339" t="s">
        <v>415</v>
      </c>
      <c r="C2637" s="340">
        <v>50</v>
      </c>
    </row>
    <row r="2638" spans="1:3" x14ac:dyDescent="0.2">
      <c r="A2638" s="341"/>
      <c r="B2638" s="339" t="s">
        <v>2649</v>
      </c>
      <c r="C2638" s="340">
        <v>30</v>
      </c>
    </row>
    <row r="2639" spans="1:3" x14ac:dyDescent="0.2">
      <c r="A2639" s="341"/>
      <c r="B2639" s="339" t="s">
        <v>2579</v>
      </c>
      <c r="C2639" s="340">
        <v>25</v>
      </c>
    </row>
    <row r="2640" spans="1:3" x14ac:dyDescent="0.2">
      <c r="A2640" s="341"/>
      <c r="B2640" s="339" t="s">
        <v>2722</v>
      </c>
      <c r="C2640" s="340">
        <v>15</v>
      </c>
    </row>
    <row r="2641" spans="1:3" x14ac:dyDescent="0.2">
      <c r="A2641" s="341"/>
      <c r="B2641" s="339" t="s">
        <v>441</v>
      </c>
      <c r="C2641" s="340">
        <v>10</v>
      </c>
    </row>
    <row r="2642" spans="1:3" x14ac:dyDescent="0.2">
      <c r="A2642" s="341"/>
      <c r="B2642" s="339" t="s">
        <v>340</v>
      </c>
      <c r="C2642" s="340">
        <v>7</v>
      </c>
    </row>
    <row r="2643" spans="1:3" x14ac:dyDescent="0.2">
      <c r="A2643" s="341"/>
      <c r="B2643" s="339" t="s">
        <v>394</v>
      </c>
      <c r="C2643" s="340">
        <v>4</v>
      </c>
    </row>
    <row r="2644" spans="1:3" x14ac:dyDescent="0.2">
      <c r="A2644" s="341"/>
    </row>
    <row r="2645" spans="1:3" x14ac:dyDescent="0.2">
      <c r="A2645" s="338" t="s">
        <v>3551</v>
      </c>
    </row>
    <row r="2646" spans="1:3" x14ac:dyDescent="0.2">
      <c r="A2646" s="341" t="s">
        <v>661</v>
      </c>
    </row>
    <row r="2647" spans="1:3" x14ac:dyDescent="0.2">
      <c r="A2647" s="341" t="s">
        <v>667</v>
      </c>
    </row>
    <row r="2648" spans="1:3" x14ac:dyDescent="0.2">
      <c r="A2648" s="341" t="s">
        <v>89</v>
      </c>
    </row>
    <row r="2649" spans="1:3" x14ac:dyDescent="0.2">
      <c r="A2649" s="341" t="s">
        <v>2543</v>
      </c>
    </row>
    <row r="2650" spans="1:3" x14ac:dyDescent="0.2">
      <c r="A2650" s="341" t="s">
        <v>639</v>
      </c>
    </row>
    <row r="2651" spans="1:3" x14ac:dyDescent="0.2">
      <c r="A2651" s="341"/>
    </row>
    <row r="2652" spans="1:3" x14ac:dyDescent="0.2">
      <c r="A2652" s="341"/>
      <c r="B2652" s="339" t="s">
        <v>415</v>
      </c>
      <c r="C2652" s="340">
        <v>95</v>
      </c>
    </row>
    <row r="2653" spans="1:3" x14ac:dyDescent="0.2">
      <c r="A2653" s="341"/>
      <c r="B2653" s="339" t="s">
        <v>2722</v>
      </c>
      <c r="C2653" s="340">
        <v>15</v>
      </c>
    </row>
    <row r="2654" spans="1:3" x14ac:dyDescent="0.2">
      <c r="A2654" s="341"/>
      <c r="B2654" s="339" t="s">
        <v>400</v>
      </c>
      <c r="C2654" s="340">
        <v>7</v>
      </c>
    </row>
    <row r="2655" spans="1:3" x14ac:dyDescent="0.2">
      <c r="A2655" s="341"/>
      <c r="B2655" s="339" t="s">
        <v>394</v>
      </c>
      <c r="C2655" s="340">
        <v>3</v>
      </c>
    </row>
    <row r="2656" spans="1:3" x14ac:dyDescent="0.2">
      <c r="A2656" s="341"/>
    </row>
    <row r="2657" spans="1:3" x14ac:dyDescent="0.2">
      <c r="A2657" s="338" t="s">
        <v>3552</v>
      </c>
    </row>
    <row r="2658" spans="1:3" x14ac:dyDescent="0.2">
      <c r="A2658" s="341" t="s">
        <v>668</v>
      </c>
    </row>
    <row r="2659" spans="1:3" x14ac:dyDescent="0.2">
      <c r="A2659" s="341" t="s">
        <v>669</v>
      </c>
    </row>
    <row r="2660" spans="1:3" x14ac:dyDescent="0.2">
      <c r="A2660" s="341" t="s">
        <v>90</v>
      </c>
    </row>
    <row r="2661" spans="1:3" x14ac:dyDescent="0.2">
      <c r="A2661" s="341" t="s">
        <v>2545</v>
      </c>
    </row>
    <row r="2662" spans="1:3" x14ac:dyDescent="0.2">
      <c r="A2662" s="341" t="s">
        <v>639</v>
      </c>
    </row>
    <row r="2663" spans="1:3" x14ac:dyDescent="0.2">
      <c r="A2663" s="341"/>
    </row>
    <row r="2664" spans="1:3" x14ac:dyDescent="0.2">
      <c r="A2664" s="341"/>
      <c r="B2664" s="339" t="s">
        <v>340</v>
      </c>
      <c r="C2664" s="340">
        <v>50</v>
      </c>
    </row>
    <row r="2665" spans="1:3" x14ac:dyDescent="0.2">
      <c r="A2665" s="341"/>
      <c r="B2665" s="339" t="s">
        <v>347</v>
      </c>
      <c r="C2665" s="340">
        <v>35</v>
      </c>
    </row>
    <row r="2666" spans="1:3" x14ac:dyDescent="0.2">
      <c r="A2666" s="341"/>
      <c r="B2666" s="339" t="s">
        <v>341</v>
      </c>
      <c r="C2666" s="340">
        <v>15</v>
      </c>
    </row>
    <row r="2667" spans="1:3" x14ac:dyDescent="0.2">
      <c r="A2667" s="341"/>
      <c r="B2667" s="339" t="s">
        <v>453</v>
      </c>
      <c r="C2667" s="340">
        <v>15</v>
      </c>
    </row>
    <row r="2668" spans="1:3" x14ac:dyDescent="0.2">
      <c r="A2668" s="341"/>
      <c r="B2668" s="339" t="s">
        <v>376</v>
      </c>
      <c r="C2668" s="340">
        <v>8</v>
      </c>
    </row>
    <row r="2669" spans="1:3" x14ac:dyDescent="0.2">
      <c r="A2669" s="341"/>
      <c r="B2669" s="339" t="s">
        <v>386</v>
      </c>
      <c r="C2669" s="340">
        <v>8</v>
      </c>
    </row>
    <row r="2670" spans="1:3" x14ac:dyDescent="0.2">
      <c r="A2670" s="341"/>
      <c r="B2670" s="339" t="s">
        <v>432</v>
      </c>
      <c r="C2670" s="340">
        <v>8</v>
      </c>
    </row>
    <row r="2671" spans="1:3" x14ac:dyDescent="0.2">
      <c r="A2671" s="341"/>
      <c r="B2671" s="339" t="s">
        <v>2581</v>
      </c>
      <c r="C2671" s="340">
        <v>7</v>
      </c>
    </row>
    <row r="2672" spans="1:3" x14ac:dyDescent="0.2">
      <c r="A2672" s="341"/>
      <c r="B2672" s="339" t="s">
        <v>363</v>
      </c>
      <c r="C2672" s="340">
        <v>6</v>
      </c>
    </row>
    <row r="2673" spans="1:3" x14ac:dyDescent="0.2">
      <c r="A2673" s="341"/>
    </row>
    <row r="2674" spans="1:3" x14ac:dyDescent="0.2">
      <c r="A2674" s="338" t="s">
        <v>3553</v>
      </c>
    </row>
    <row r="2675" spans="1:3" x14ac:dyDescent="0.2">
      <c r="A2675" s="341" t="s">
        <v>668</v>
      </c>
    </row>
    <row r="2676" spans="1:3" x14ac:dyDescent="0.2">
      <c r="A2676" s="341" t="s">
        <v>670</v>
      </c>
    </row>
    <row r="2677" spans="1:3" x14ac:dyDescent="0.2">
      <c r="A2677" s="341" t="s">
        <v>91</v>
      </c>
    </row>
    <row r="2678" spans="1:3" x14ac:dyDescent="0.2">
      <c r="A2678" s="341" t="s">
        <v>2545</v>
      </c>
    </row>
    <row r="2679" spans="1:3" x14ac:dyDescent="0.2">
      <c r="A2679" s="341" t="s">
        <v>639</v>
      </c>
    </row>
    <row r="2680" spans="1:3" x14ac:dyDescent="0.2">
      <c r="A2680" s="341"/>
    </row>
    <row r="2681" spans="1:3" x14ac:dyDescent="0.2">
      <c r="A2681" s="341"/>
      <c r="B2681" s="339" t="s">
        <v>448</v>
      </c>
      <c r="C2681" s="340">
        <v>40</v>
      </c>
    </row>
    <row r="2682" spans="1:3" x14ac:dyDescent="0.2">
      <c r="A2682" s="341"/>
      <c r="B2682" s="339" t="s">
        <v>340</v>
      </c>
      <c r="C2682" s="340">
        <v>18</v>
      </c>
    </row>
    <row r="2683" spans="1:3" x14ac:dyDescent="0.2">
      <c r="A2683" s="341"/>
      <c r="B2683" s="339" t="s">
        <v>342</v>
      </c>
      <c r="C2683" s="340">
        <v>15</v>
      </c>
    </row>
    <row r="2684" spans="1:3" x14ac:dyDescent="0.2">
      <c r="A2684" s="341"/>
      <c r="B2684" s="339" t="s">
        <v>376</v>
      </c>
      <c r="C2684" s="340">
        <v>15</v>
      </c>
    </row>
    <row r="2685" spans="1:3" x14ac:dyDescent="0.2">
      <c r="A2685" s="341"/>
      <c r="B2685" s="339" t="s">
        <v>350</v>
      </c>
      <c r="C2685" s="340">
        <v>9</v>
      </c>
    </row>
    <row r="2686" spans="1:3" x14ac:dyDescent="0.2">
      <c r="A2686" s="341"/>
      <c r="B2686" s="339" t="s">
        <v>2581</v>
      </c>
      <c r="C2686" s="340">
        <v>7</v>
      </c>
    </row>
    <row r="2687" spans="1:3" x14ac:dyDescent="0.2">
      <c r="A2687" s="341"/>
      <c r="B2687" s="339" t="s">
        <v>386</v>
      </c>
      <c r="C2687" s="340">
        <v>6</v>
      </c>
    </row>
    <row r="2688" spans="1:3" x14ac:dyDescent="0.2">
      <c r="A2688" s="341"/>
      <c r="B2688" s="339" t="s">
        <v>2583</v>
      </c>
      <c r="C2688" s="340">
        <v>6</v>
      </c>
    </row>
    <row r="2689" spans="1:3" x14ac:dyDescent="0.2">
      <c r="A2689" s="341"/>
      <c r="B2689" s="339" t="s">
        <v>363</v>
      </c>
      <c r="C2689" s="340">
        <v>4</v>
      </c>
    </row>
    <row r="2690" spans="1:3" x14ac:dyDescent="0.2">
      <c r="A2690" s="341"/>
    </row>
    <row r="2691" spans="1:3" x14ac:dyDescent="0.2">
      <c r="A2691" s="338" t="s">
        <v>3554</v>
      </c>
    </row>
    <row r="2692" spans="1:3" x14ac:dyDescent="0.2">
      <c r="A2692" s="341" t="s">
        <v>668</v>
      </c>
    </row>
    <row r="2693" spans="1:3" x14ac:dyDescent="0.2">
      <c r="A2693" s="341" t="s">
        <v>671</v>
      </c>
    </row>
    <row r="2694" spans="1:3" x14ac:dyDescent="0.2">
      <c r="A2694" s="341" t="s">
        <v>92</v>
      </c>
    </row>
    <row r="2695" spans="1:3" x14ac:dyDescent="0.2">
      <c r="A2695" s="341" t="s">
        <v>2542</v>
      </c>
    </row>
    <row r="2696" spans="1:3" x14ac:dyDescent="0.2">
      <c r="A2696" s="341" t="s">
        <v>639</v>
      </c>
    </row>
    <row r="2697" spans="1:3" x14ac:dyDescent="0.2">
      <c r="A2697" s="341"/>
    </row>
    <row r="2698" spans="1:3" x14ac:dyDescent="0.2">
      <c r="A2698" s="341"/>
      <c r="B2698" s="339" t="s">
        <v>376</v>
      </c>
      <c r="C2698" s="340">
        <v>25</v>
      </c>
    </row>
    <row r="2699" spans="1:3" x14ac:dyDescent="0.2">
      <c r="A2699" s="341"/>
      <c r="B2699" s="339" t="s">
        <v>327</v>
      </c>
      <c r="C2699" s="340">
        <v>25</v>
      </c>
    </row>
    <row r="2700" spans="1:3" x14ac:dyDescent="0.2">
      <c r="A2700" s="341"/>
      <c r="B2700" s="339" t="s">
        <v>2634</v>
      </c>
      <c r="C2700" s="340">
        <v>7</v>
      </c>
    </row>
    <row r="2701" spans="1:3" x14ac:dyDescent="0.2">
      <c r="A2701" s="341"/>
      <c r="B2701" s="339" t="s">
        <v>329</v>
      </c>
      <c r="C2701" s="340">
        <v>6</v>
      </c>
    </row>
    <row r="2702" spans="1:3" x14ac:dyDescent="0.2">
      <c r="A2702" s="341"/>
      <c r="B2702" s="339" t="s">
        <v>599</v>
      </c>
      <c r="C2702" s="340">
        <v>6</v>
      </c>
    </row>
    <row r="2703" spans="1:3" x14ac:dyDescent="0.2">
      <c r="A2703" s="341"/>
      <c r="B2703" s="339" t="s">
        <v>2566</v>
      </c>
      <c r="C2703" s="340">
        <v>6</v>
      </c>
    </row>
    <row r="2704" spans="1:3" x14ac:dyDescent="0.2">
      <c r="A2704" s="341"/>
      <c r="B2704" s="339" t="s">
        <v>2590</v>
      </c>
      <c r="C2704" s="340">
        <v>5</v>
      </c>
    </row>
    <row r="2705" spans="1:3" x14ac:dyDescent="0.2">
      <c r="A2705" s="341"/>
      <c r="B2705" s="339" t="s">
        <v>394</v>
      </c>
      <c r="C2705" s="340">
        <v>5</v>
      </c>
    </row>
    <row r="2706" spans="1:3" x14ac:dyDescent="0.2">
      <c r="A2706" s="341"/>
      <c r="B2706" s="339" t="s">
        <v>983</v>
      </c>
      <c r="C2706" s="340">
        <v>4</v>
      </c>
    </row>
    <row r="2707" spans="1:3" x14ac:dyDescent="0.2">
      <c r="A2707" s="341"/>
      <c r="B2707" s="339" t="s">
        <v>2713</v>
      </c>
      <c r="C2707" s="340">
        <v>4</v>
      </c>
    </row>
    <row r="2708" spans="1:3" x14ac:dyDescent="0.2">
      <c r="A2708" s="341"/>
      <c r="B2708" s="339" t="s">
        <v>1893</v>
      </c>
      <c r="C2708" s="340">
        <v>4</v>
      </c>
    </row>
    <row r="2709" spans="1:3" x14ac:dyDescent="0.2">
      <c r="A2709" s="341"/>
      <c r="B2709" s="339" t="s">
        <v>333</v>
      </c>
      <c r="C2709" s="340">
        <v>4</v>
      </c>
    </row>
    <row r="2710" spans="1:3" x14ac:dyDescent="0.2">
      <c r="A2710" s="341"/>
      <c r="B2710" s="339" t="s">
        <v>3150</v>
      </c>
      <c r="C2710" s="340">
        <v>3</v>
      </c>
    </row>
    <row r="2711" spans="1:3" x14ac:dyDescent="0.2">
      <c r="A2711" s="341"/>
      <c r="B2711" s="339" t="s">
        <v>598</v>
      </c>
      <c r="C2711" s="340">
        <v>3</v>
      </c>
    </row>
    <row r="2712" spans="1:3" x14ac:dyDescent="0.2">
      <c r="A2712" s="341"/>
      <c r="B2712" s="339" t="s">
        <v>2632</v>
      </c>
      <c r="C2712" s="340">
        <v>2</v>
      </c>
    </row>
    <row r="2713" spans="1:3" x14ac:dyDescent="0.2">
      <c r="A2713" s="341"/>
      <c r="B2713" s="339" t="s">
        <v>1585</v>
      </c>
      <c r="C2713" s="340">
        <v>2</v>
      </c>
    </row>
    <row r="2714" spans="1:3" x14ac:dyDescent="0.2">
      <c r="A2714" s="341"/>
      <c r="B2714" s="339" t="s">
        <v>593</v>
      </c>
      <c r="C2714" s="340">
        <v>2</v>
      </c>
    </row>
    <row r="2715" spans="1:3" x14ac:dyDescent="0.2">
      <c r="A2715" s="341"/>
      <c r="B2715" s="339" t="s">
        <v>326</v>
      </c>
      <c r="C2715" s="340">
        <v>2</v>
      </c>
    </row>
    <row r="2716" spans="1:3" x14ac:dyDescent="0.2">
      <c r="A2716" s="341"/>
    </row>
    <row r="2717" spans="1:3" x14ac:dyDescent="0.2">
      <c r="A2717" s="338" t="s">
        <v>3555</v>
      </c>
    </row>
    <row r="2718" spans="1:3" x14ac:dyDescent="0.2">
      <c r="A2718" s="341" t="s">
        <v>668</v>
      </c>
    </row>
    <row r="2719" spans="1:3" x14ac:dyDescent="0.2">
      <c r="A2719" s="341" t="s">
        <v>672</v>
      </c>
    </row>
    <row r="2720" spans="1:3" x14ac:dyDescent="0.2">
      <c r="A2720" s="341" t="s">
        <v>93</v>
      </c>
    </row>
    <row r="2721" spans="1:3" x14ac:dyDescent="0.2">
      <c r="A2721" s="341" t="s">
        <v>2545</v>
      </c>
    </row>
    <row r="2722" spans="1:3" x14ac:dyDescent="0.2">
      <c r="A2722" s="341" t="s">
        <v>639</v>
      </c>
    </row>
    <row r="2723" spans="1:3" x14ac:dyDescent="0.2">
      <c r="A2723" s="341"/>
    </row>
    <row r="2724" spans="1:3" x14ac:dyDescent="0.2">
      <c r="A2724" s="341"/>
      <c r="B2724" s="339" t="s">
        <v>376</v>
      </c>
      <c r="C2724" s="340">
        <v>70</v>
      </c>
    </row>
    <row r="2725" spans="1:3" x14ac:dyDescent="0.2">
      <c r="A2725" s="341"/>
      <c r="B2725" s="339" t="s">
        <v>2634</v>
      </c>
      <c r="C2725" s="340">
        <v>20</v>
      </c>
    </row>
    <row r="2726" spans="1:3" x14ac:dyDescent="0.2">
      <c r="A2726" s="341"/>
      <c r="B2726" s="339" t="s">
        <v>340</v>
      </c>
      <c r="C2726" s="340">
        <v>7</v>
      </c>
    </row>
    <row r="2727" spans="1:3" x14ac:dyDescent="0.2">
      <c r="A2727" s="341"/>
      <c r="B2727" s="339" t="s">
        <v>350</v>
      </c>
      <c r="C2727" s="340">
        <v>6</v>
      </c>
    </row>
    <row r="2728" spans="1:3" x14ac:dyDescent="0.2">
      <c r="A2728" s="341"/>
      <c r="B2728" s="339" t="s">
        <v>447</v>
      </c>
      <c r="C2728" s="340">
        <v>6</v>
      </c>
    </row>
    <row r="2729" spans="1:3" x14ac:dyDescent="0.2">
      <c r="A2729" s="341"/>
      <c r="B2729" s="339" t="s">
        <v>394</v>
      </c>
      <c r="C2729" s="340">
        <v>4</v>
      </c>
    </row>
    <row r="2730" spans="1:3" x14ac:dyDescent="0.2">
      <c r="A2730" s="341"/>
      <c r="B2730" s="339" t="s">
        <v>432</v>
      </c>
      <c r="C2730" s="340">
        <v>4</v>
      </c>
    </row>
    <row r="2731" spans="1:3" x14ac:dyDescent="0.2">
      <c r="A2731" s="341"/>
      <c r="B2731" s="339" t="s">
        <v>2641</v>
      </c>
      <c r="C2731" s="340">
        <v>3</v>
      </c>
    </row>
    <row r="2732" spans="1:3" x14ac:dyDescent="0.2">
      <c r="A2732" s="341"/>
    </row>
    <row r="2733" spans="1:3" x14ac:dyDescent="0.2">
      <c r="A2733" s="338" t="s">
        <v>3556</v>
      </c>
    </row>
    <row r="2734" spans="1:3" x14ac:dyDescent="0.2">
      <c r="A2734" s="341" t="s">
        <v>668</v>
      </c>
    </row>
    <row r="2735" spans="1:3" x14ac:dyDescent="0.2">
      <c r="A2735" s="341" t="s">
        <v>673</v>
      </c>
    </row>
    <row r="2736" spans="1:3" x14ac:dyDescent="0.2">
      <c r="A2736" s="341" t="s">
        <v>94</v>
      </c>
    </row>
    <row r="2737" spans="1:3" x14ac:dyDescent="0.2">
      <c r="A2737" s="341" t="s">
        <v>2545</v>
      </c>
    </row>
    <row r="2738" spans="1:3" x14ac:dyDescent="0.2">
      <c r="A2738" s="341" t="s">
        <v>639</v>
      </c>
    </row>
    <row r="2739" spans="1:3" x14ac:dyDescent="0.2">
      <c r="A2739" s="341"/>
    </row>
    <row r="2740" spans="1:3" x14ac:dyDescent="0.2">
      <c r="A2740" s="341"/>
      <c r="B2740" s="339" t="s">
        <v>357</v>
      </c>
      <c r="C2740" s="340">
        <v>18</v>
      </c>
    </row>
    <row r="2741" spans="1:3" x14ac:dyDescent="0.2">
      <c r="A2741" s="341"/>
      <c r="B2741" s="339" t="s">
        <v>2565</v>
      </c>
      <c r="C2741" s="340">
        <v>15</v>
      </c>
    </row>
    <row r="2742" spans="1:3" x14ac:dyDescent="0.2">
      <c r="A2742" s="341"/>
      <c r="B2742" s="339" t="s">
        <v>597</v>
      </c>
      <c r="C2742" s="340">
        <v>12</v>
      </c>
    </row>
    <row r="2743" spans="1:3" x14ac:dyDescent="0.2">
      <c r="A2743" s="341"/>
      <c r="B2743" s="339" t="s">
        <v>394</v>
      </c>
      <c r="C2743" s="340">
        <v>11</v>
      </c>
    </row>
    <row r="2744" spans="1:3" x14ac:dyDescent="0.2">
      <c r="A2744" s="341"/>
      <c r="B2744" s="339" t="s">
        <v>350</v>
      </c>
      <c r="C2744" s="340">
        <v>9</v>
      </c>
    </row>
    <row r="2745" spans="1:3" x14ac:dyDescent="0.2">
      <c r="A2745" s="341"/>
      <c r="B2745" s="339" t="s">
        <v>347</v>
      </c>
      <c r="C2745" s="340">
        <v>9</v>
      </c>
    </row>
    <row r="2746" spans="1:3" x14ac:dyDescent="0.2">
      <c r="A2746" s="341"/>
      <c r="B2746" s="339" t="s">
        <v>376</v>
      </c>
      <c r="C2746" s="340">
        <v>5</v>
      </c>
    </row>
    <row r="2747" spans="1:3" x14ac:dyDescent="0.2">
      <c r="A2747" s="341"/>
      <c r="B2747" s="339" t="s">
        <v>2600</v>
      </c>
      <c r="C2747" s="340">
        <v>4</v>
      </c>
    </row>
    <row r="2748" spans="1:3" x14ac:dyDescent="0.2">
      <c r="A2748" s="341"/>
      <c r="B2748" s="339" t="s">
        <v>2649</v>
      </c>
      <c r="C2748" s="340">
        <v>3</v>
      </c>
    </row>
    <row r="2749" spans="1:3" x14ac:dyDescent="0.2">
      <c r="A2749" s="341"/>
      <c r="B2749" s="339" t="s">
        <v>341</v>
      </c>
      <c r="C2749" s="340">
        <v>3</v>
      </c>
    </row>
    <row r="2750" spans="1:3" x14ac:dyDescent="0.2">
      <c r="A2750" s="341"/>
      <c r="B2750" s="339" t="s">
        <v>589</v>
      </c>
      <c r="C2750" s="340">
        <v>1</v>
      </c>
    </row>
    <row r="2751" spans="1:3" x14ac:dyDescent="0.2">
      <c r="A2751" s="341"/>
      <c r="B2751" s="339" t="s">
        <v>404</v>
      </c>
      <c r="C2751" s="340">
        <v>1</v>
      </c>
    </row>
    <row r="2752" spans="1:3" x14ac:dyDescent="0.2">
      <c r="A2752" s="341"/>
      <c r="B2752" s="339" t="s">
        <v>408</v>
      </c>
      <c r="C2752" s="340">
        <v>1</v>
      </c>
    </row>
    <row r="2753" spans="1:3" x14ac:dyDescent="0.2">
      <c r="A2753" s="341"/>
      <c r="B2753" s="339" t="s">
        <v>1897</v>
      </c>
      <c r="C2753" s="340">
        <v>1</v>
      </c>
    </row>
    <row r="2754" spans="1:3" x14ac:dyDescent="0.2">
      <c r="A2754" s="341"/>
    </row>
    <row r="2755" spans="1:3" x14ac:dyDescent="0.2">
      <c r="A2755" s="338" t="s">
        <v>3557</v>
      </c>
    </row>
    <row r="2756" spans="1:3" x14ac:dyDescent="0.2">
      <c r="A2756" s="341" t="s">
        <v>668</v>
      </c>
    </row>
    <row r="2757" spans="1:3" x14ac:dyDescent="0.2">
      <c r="A2757" s="341" t="s">
        <v>2563</v>
      </c>
    </row>
    <row r="2758" spans="1:3" x14ac:dyDescent="0.2">
      <c r="A2758" s="341" t="s">
        <v>95</v>
      </c>
    </row>
    <row r="2759" spans="1:3" x14ac:dyDescent="0.2">
      <c r="A2759" s="341" t="s">
        <v>2542</v>
      </c>
    </row>
    <row r="2760" spans="1:3" x14ac:dyDescent="0.2">
      <c r="A2760" s="341" t="s">
        <v>639</v>
      </c>
    </row>
    <row r="2761" spans="1:3" x14ac:dyDescent="0.2">
      <c r="A2761" s="341"/>
    </row>
    <row r="2762" spans="1:3" x14ac:dyDescent="0.2">
      <c r="A2762" s="341"/>
      <c r="B2762" s="339" t="s">
        <v>376</v>
      </c>
      <c r="C2762" s="340">
        <v>70</v>
      </c>
    </row>
    <row r="2763" spans="1:3" x14ac:dyDescent="0.2">
      <c r="A2763" s="341"/>
      <c r="B2763" s="339" t="s">
        <v>1893</v>
      </c>
      <c r="C2763" s="340">
        <v>30</v>
      </c>
    </row>
    <row r="2764" spans="1:3" x14ac:dyDescent="0.2">
      <c r="A2764" s="341"/>
    </row>
    <row r="2765" spans="1:3" x14ac:dyDescent="0.2">
      <c r="A2765" s="338" t="s">
        <v>3558</v>
      </c>
    </row>
    <row r="2766" spans="1:3" x14ac:dyDescent="0.2">
      <c r="A2766" s="341" t="s">
        <v>668</v>
      </c>
    </row>
    <row r="2767" spans="1:3" x14ac:dyDescent="0.2">
      <c r="A2767" s="341" t="s">
        <v>1290</v>
      </c>
    </row>
    <row r="2768" spans="1:3" x14ac:dyDescent="0.2">
      <c r="A2768" s="341" t="s">
        <v>96</v>
      </c>
    </row>
    <row r="2769" spans="1:3" x14ac:dyDescent="0.2">
      <c r="A2769" s="341" t="s">
        <v>2542</v>
      </c>
    </row>
    <row r="2770" spans="1:3" x14ac:dyDescent="0.2">
      <c r="A2770" s="341" t="s">
        <v>639</v>
      </c>
    </row>
    <row r="2771" spans="1:3" x14ac:dyDescent="0.2">
      <c r="A2771" s="341"/>
    </row>
    <row r="2772" spans="1:3" x14ac:dyDescent="0.2">
      <c r="A2772" s="341"/>
      <c r="B2772" s="339" t="s">
        <v>376</v>
      </c>
      <c r="C2772" s="340">
        <v>40</v>
      </c>
    </row>
    <row r="2773" spans="1:3" x14ac:dyDescent="0.2">
      <c r="A2773" s="341"/>
      <c r="B2773" s="339" t="s">
        <v>332</v>
      </c>
      <c r="C2773" s="340">
        <v>35</v>
      </c>
    </row>
    <row r="2774" spans="1:3" x14ac:dyDescent="0.2">
      <c r="A2774" s="341"/>
      <c r="B2774" s="339" t="s">
        <v>1893</v>
      </c>
      <c r="C2774" s="340">
        <v>15</v>
      </c>
    </row>
    <row r="2775" spans="1:3" x14ac:dyDescent="0.2">
      <c r="A2775" s="341"/>
      <c r="B2775" s="339" t="s">
        <v>453</v>
      </c>
      <c r="C2775" s="340">
        <v>5</v>
      </c>
    </row>
    <row r="2776" spans="1:3" x14ac:dyDescent="0.2">
      <c r="A2776" s="341"/>
      <c r="B2776" s="339" t="s">
        <v>982</v>
      </c>
      <c r="C2776" s="340">
        <v>4</v>
      </c>
    </row>
    <row r="2777" spans="1:3" x14ac:dyDescent="0.2">
      <c r="A2777" s="341"/>
    </row>
    <row r="2778" spans="1:3" x14ac:dyDescent="0.2">
      <c r="A2778" s="338" t="s">
        <v>3559</v>
      </c>
    </row>
    <row r="2779" spans="1:3" x14ac:dyDescent="0.2">
      <c r="A2779" s="341" t="s">
        <v>668</v>
      </c>
    </row>
    <row r="2780" spans="1:3" x14ac:dyDescent="0.2">
      <c r="A2780" s="341" t="s">
        <v>1291</v>
      </c>
    </row>
    <row r="2781" spans="1:3" x14ac:dyDescent="0.2">
      <c r="A2781" s="341" t="s">
        <v>97</v>
      </c>
    </row>
    <row r="2782" spans="1:3" x14ac:dyDescent="0.2">
      <c r="A2782" s="341" t="s">
        <v>2545</v>
      </c>
    </row>
    <row r="2783" spans="1:3" x14ac:dyDescent="0.2">
      <c r="A2783" s="341" t="s">
        <v>639</v>
      </c>
    </row>
    <row r="2784" spans="1:3" x14ac:dyDescent="0.2">
      <c r="A2784" s="341"/>
    </row>
    <row r="2785" spans="1:3" x14ac:dyDescent="0.2">
      <c r="A2785" s="341"/>
      <c r="B2785" s="339" t="s">
        <v>2722</v>
      </c>
      <c r="C2785" s="340">
        <v>60</v>
      </c>
    </row>
    <row r="2786" spans="1:3" x14ac:dyDescent="0.2">
      <c r="A2786" s="341"/>
      <c r="B2786" s="339" t="s">
        <v>2579</v>
      </c>
      <c r="C2786" s="340">
        <v>40</v>
      </c>
    </row>
    <row r="2787" spans="1:3" x14ac:dyDescent="0.2">
      <c r="A2787" s="341"/>
      <c r="B2787" s="339" t="s">
        <v>341</v>
      </c>
      <c r="C2787" s="340">
        <v>30</v>
      </c>
    </row>
    <row r="2788" spans="1:3" x14ac:dyDescent="0.2">
      <c r="A2788" s="341"/>
      <c r="B2788" s="339" t="s">
        <v>2565</v>
      </c>
      <c r="C2788" s="340">
        <v>30</v>
      </c>
    </row>
    <row r="2789" spans="1:3" x14ac:dyDescent="0.2">
      <c r="A2789" s="341"/>
      <c r="B2789" s="339" t="s">
        <v>376</v>
      </c>
      <c r="C2789" s="340">
        <v>11</v>
      </c>
    </row>
    <row r="2790" spans="1:3" x14ac:dyDescent="0.2">
      <c r="A2790" s="341"/>
      <c r="B2790" s="339" t="s">
        <v>394</v>
      </c>
      <c r="C2790" s="340">
        <v>8</v>
      </c>
    </row>
    <row r="2791" spans="1:3" x14ac:dyDescent="0.2">
      <c r="A2791" s="341"/>
    </row>
    <row r="2792" spans="1:3" x14ac:dyDescent="0.2">
      <c r="A2792" s="338" t="s">
        <v>3560</v>
      </c>
    </row>
    <row r="2793" spans="1:3" x14ac:dyDescent="0.2">
      <c r="A2793" s="341" t="s">
        <v>668</v>
      </c>
    </row>
    <row r="2794" spans="1:3" x14ac:dyDescent="0.2">
      <c r="A2794" s="341" t="s">
        <v>1292</v>
      </c>
    </row>
    <row r="2795" spans="1:3" x14ac:dyDescent="0.2">
      <c r="A2795" s="341" t="s">
        <v>98</v>
      </c>
    </row>
    <row r="2796" spans="1:3" x14ac:dyDescent="0.2">
      <c r="A2796" s="341" t="s">
        <v>2542</v>
      </c>
    </row>
    <row r="2797" spans="1:3" x14ac:dyDescent="0.2">
      <c r="A2797" s="341" t="s">
        <v>639</v>
      </c>
    </row>
    <row r="2798" spans="1:3" x14ac:dyDescent="0.2">
      <c r="A2798" s="341"/>
    </row>
    <row r="2799" spans="1:3" x14ac:dyDescent="0.2">
      <c r="A2799" s="341"/>
      <c r="B2799" s="339" t="s">
        <v>367</v>
      </c>
      <c r="C2799" s="340">
        <v>40</v>
      </c>
    </row>
    <row r="2800" spans="1:3" x14ac:dyDescent="0.2">
      <c r="A2800" s="341"/>
      <c r="B2800" s="339" t="s">
        <v>593</v>
      </c>
      <c r="C2800" s="340">
        <v>20</v>
      </c>
    </row>
    <row r="2801" spans="1:3" x14ac:dyDescent="0.2">
      <c r="A2801" s="341"/>
      <c r="B2801" s="339" t="s">
        <v>327</v>
      </c>
      <c r="C2801" s="340">
        <v>15</v>
      </c>
    </row>
    <row r="2802" spans="1:3" x14ac:dyDescent="0.2">
      <c r="A2802" s="341"/>
      <c r="B2802" s="339" t="s">
        <v>2634</v>
      </c>
      <c r="C2802" s="340">
        <v>12</v>
      </c>
    </row>
    <row r="2803" spans="1:3" x14ac:dyDescent="0.2">
      <c r="A2803" s="341"/>
      <c r="B2803" s="339" t="s">
        <v>421</v>
      </c>
      <c r="C2803" s="340">
        <v>10</v>
      </c>
    </row>
    <row r="2804" spans="1:3" x14ac:dyDescent="0.2">
      <c r="A2804" s="341"/>
      <c r="B2804" s="339" t="s">
        <v>599</v>
      </c>
      <c r="C2804" s="340">
        <v>10</v>
      </c>
    </row>
    <row r="2805" spans="1:3" x14ac:dyDescent="0.2">
      <c r="A2805" s="341"/>
      <c r="B2805" s="339" t="s">
        <v>333</v>
      </c>
      <c r="C2805" s="340">
        <v>10</v>
      </c>
    </row>
    <row r="2806" spans="1:3" x14ac:dyDescent="0.2">
      <c r="A2806" s="341"/>
      <c r="B2806" s="339" t="s">
        <v>332</v>
      </c>
      <c r="C2806" s="340">
        <v>8</v>
      </c>
    </row>
    <row r="2807" spans="1:3" x14ac:dyDescent="0.2">
      <c r="A2807" s="341"/>
      <c r="B2807" s="339" t="s">
        <v>326</v>
      </c>
      <c r="C2807" s="340">
        <v>4</v>
      </c>
    </row>
    <row r="2808" spans="1:3" x14ac:dyDescent="0.2">
      <c r="A2808" s="341"/>
    </row>
    <row r="2809" spans="1:3" x14ac:dyDescent="0.2">
      <c r="A2809" s="338" t="s">
        <v>3561</v>
      </c>
    </row>
    <row r="2810" spans="1:3" x14ac:dyDescent="0.2">
      <c r="A2810" s="341" t="s">
        <v>668</v>
      </c>
    </row>
    <row r="2811" spans="1:3" x14ac:dyDescent="0.2">
      <c r="A2811" s="341" t="s">
        <v>1293</v>
      </c>
    </row>
    <row r="2812" spans="1:3" x14ac:dyDescent="0.2">
      <c r="A2812" s="341" t="s">
        <v>99</v>
      </c>
    </row>
    <row r="2813" spans="1:3" x14ac:dyDescent="0.2">
      <c r="A2813" s="341" t="s">
        <v>2542</v>
      </c>
    </row>
    <row r="2814" spans="1:3" x14ac:dyDescent="0.2">
      <c r="A2814" s="341" t="s">
        <v>639</v>
      </c>
    </row>
    <row r="2815" spans="1:3" x14ac:dyDescent="0.2">
      <c r="A2815" s="341"/>
    </row>
    <row r="2816" spans="1:3" x14ac:dyDescent="0.2">
      <c r="A2816" s="341"/>
      <c r="B2816" s="339" t="s">
        <v>376</v>
      </c>
      <c r="C2816" s="340">
        <v>90</v>
      </c>
    </row>
    <row r="2817" spans="1:3" x14ac:dyDescent="0.2">
      <c r="A2817" s="341"/>
      <c r="B2817" s="339" t="s">
        <v>327</v>
      </c>
      <c r="C2817" s="340">
        <v>20</v>
      </c>
    </row>
    <row r="2818" spans="1:3" x14ac:dyDescent="0.2">
      <c r="A2818" s="341"/>
      <c r="B2818" s="339" t="s">
        <v>2632</v>
      </c>
      <c r="C2818" s="340">
        <v>15</v>
      </c>
    </row>
    <row r="2819" spans="1:3" x14ac:dyDescent="0.2">
      <c r="A2819" s="341"/>
      <c r="B2819" s="339" t="s">
        <v>333</v>
      </c>
      <c r="C2819" s="340">
        <v>10</v>
      </c>
    </row>
    <row r="2820" spans="1:3" x14ac:dyDescent="0.2">
      <c r="A2820" s="341"/>
      <c r="B2820" s="339" t="s">
        <v>2573</v>
      </c>
      <c r="C2820" s="340">
        <v>3</v>
      </c>
    </row>
    <row r="2821" spans="1:3" x14ac:dyDescent="0.2">
      <c r="A2821" s="341"/>
      <c r="B2821" s="339" t="s">
        <v>2634</v>
      </c>
      <c r="C2821" s="340">
        <v>2</v>
      </c>
    </row>
    <row r="2822" spans="1:3" x14ac:dyDescent="0.2">
      <c r="A2822" s="341"/>
      <c r="B2822" s="339" t="s">
        <v>326</v>
      </c>
      <c r="C2822" s="340">
        <v>2</v>
      </c>
    </row>
    <row r="2823" spans="1:3" x14ac:dyDescent="0.2">
      <c r="A2823" s="341"/>
      <c r="B2823" s="339" t="s">
        <v>328</v>
      </c>
      <c r="C2823" s="340">
        <v>2</v>
      </c>
    </row>
    <row r="2824" spans="1:3" x14ac:dyDescent="0.2">
      <c r="A2824" s="341"/>
    </row>
    <row r="2825" spans="1:3" x14ac:dyDescent="0.2">
      <c r="A2825" s="338" t="s">
        <v>3562</v>
      </c>
    </row>
    <row r="2826" spans="1:3" x14ac:dyDescent="0.2">
      <c r="A2826" s="341" t="s">
        <v>668</v>
      </c>
    </row>
    <row r="2827" spans="1:3" x14ac:dyDescent="0.2">
      <c r="A2827" s="341" t="s">
        <v>1294</v>
      </c>
    </row>
    <row r="2828" spans="1:3" x14ac:dyDescent="0.2">
      <c r="A2828" s="341" t="s">
        <v>100</v>
      </c>
    </row>
    <row r="2829" spans="1:3" x14ac:dyDescent="0.2">
      <c r="A2829" s="341" t="s">
        <v>2545</v>
      </c>
    </row>
    <row r="2830" spans="1:3" x14ac:dyDescent="0.2">
      <c r="A2830" s="341" t="s">
        <v>639</v>
      </c>
    </row>
    <row r="2831" spans="1:3" x14ac:dyDescent="0.2">
      <c r="A2831" s="341"/>
    </row>
    <row r="2832" spans="1:3" x14ac:dyDescent="0.2">
      <c r="A2832" s="341"/>
      <c r="B2832" s="339" t="s">
        <v>2567</v>
      </c>
      <c r="C2832" s="340">
        <v>95</v>
      </c>
    </row>
    <row r="2833" spans="1:3" x14ac:dyDescent="0.2">
      <c r="A2833" s="341"/>
      <c r="B2833" s="339" t="s">
        <v>530</v>
      </c>
      <c r="C2833" s="340">
        <v>15</v>
      </c>
    </row>
    <row r="2834" spans="1:3" x14ac:dyDescent="0.2">
      <c r="A2834" s="341"/>
      <c r="B2834" s="339" t="s">
        <v>418</v>
      </c>
      <c r="C2834" s="340">
        <v>5</v>
      </c>
    </row>
    <row r="2835" spans="1:3" x14ac:dyDescent="0.2">
      <c r="A2835" s="341"/>
      <c r="B2835" s="339" t="s">
        <v>982</v>
      </c>
      <c r="C2835" s="340">
        <v>5</v>
      </c>
    </row>
    <row r="2836" spans="1:3" x14ac:dyDescent="0.2">
      <c r="A2836" s="341"/>
      <c r="B2836" s="339" t="s">
        <v>526</v>
      </c>
      <c r="C2836" s="340">
        <v>3</v>
      </c>
    </row>
    <row r="2837" spans="1:3" x14ac:dyDescent="0.2">
      <c r="A2837" s="341"/>
      <c r="B2837" s="339" t="s">
        <v>421</v>
      </c>
      <c r="C2837" s="340">
        <v>3</v>
      </c>
    </row>
    <row r="2838" spans="1:3" x14ac:dyDescent="0.2">
      <c r="A2838" s="341"/>
    </row>
    <row r="2839" spans="1:3" x14ac:dyDescent="0.2">
      <c r="A2839" s="338" t="s">
        <v>3563</v>
      </c>
    </row>
    <row r="2840" spans="1:3" x14ac:dyDescent="0.2">
      <c r="A2840" s="341" t="s">
        <v>668</v>
      </c>
    </row>
    <row r="2841" spans="1:3" x14ac:dyDescent="0.2">
      <c r="A2841" s="341" t="s">
        <v>1295</v>
      </c>
    </row>
    <row r="2842" spans="1:3" x14ac:dyDescent="0.2">
      <c r="A2842" s="341" t="s">
        <v>101</v>
      </c>
    </row>
    <row r="2843" spans="1:3" x14ac:dyDescent="0.2">
      <c r="A2843" s="341" t="s">
        <v>2545</v>
      </c>
    </row>
    <row r="2844" spans="1:3" x14ac:dyDescent="0.2">
      <c r="A2844" s="341" t="s">
        <v>639</v>
      </c>
    </row>
    <row r="2845" spans="1:3" x14ac:dyDescent="0.2">
      <c r="A2845" s="341"/>
    </row>
    <row r="2846" spans="1:3" x14ac:dyDescent="0.2">
      <c r="A2846" s="341"/>
      <c r="B2846" s="339" t="s">
        <v>416</v>
      </c>
      <c r="C2846" s="340">
        <v>80</v>
      </c>
    </row>
    <row r="2847" spans="1:3" x14ac:dyDescent="0.2">
      <c r="A2847" s="341"/>
      <c r="B2847" s="339" t="s">
        <v>343</v>
      </c>
      <c r="C2847" s="340">
        <v>25</v>
      </c>
    </row>
    <row r="2848" spans="1:3" x14ac:dyDescent="0.2">
      <c r="A2848" s="341"/>
      <c r="B2848" s="339" t="s">
        <v>526</v>
      </c>
      <c r="C2848" s="340">
        <v>20</v>
      </c>
    </row>
    <row r="2849" spans="1:3" x14ac:dyDescent="0.2">
      <c r="A2849" s="341"/>
      <c r="B2849" s="339" t="s">
        <v>2580</v>
      </c>
      <c r="C2849" s="340">
        <v>15</v>
      </c>
    </row>
    <row r="2850" spans="1:3" x14ac:dyDescent="0.2">
      <c r="A2850" s="341"/>
      <c r="B2850" s="339" t="s">
        <v>341</v>
      </c>
      <c r="C2850" s="340">
        <v>15</v>
      </c>
    </row>
    <row r="2851" spans="1:3" x14ac:dyDescent="0.2">
      <c r="A2851" s="341"/>
      <c r="B2851" s="339" t="s">
        <v>593</v>
      </c>
      <c r="C2851" s="340">
        <v>15</v>
      </c>
    </row>
    <row r="2852" spans="1:3" x14ac:dyDescent="0.2">
      <c r="A2852" s="341"/>
      <c r="B2852" s="339" t="s">
        <v>2576</v>
      </c>
      <c r="C2852" s="340">
        <v>15</v>
      </c>
    </row>
    <row r="2853" spans="1:3" x14ac:dyDescent="0.2">
      <c r="A2853" s="341"/>
      <c r="B2853" s="339" t="s">
        <v>1928</v>
      </c>
      <c r="C2853" s="340">
        <v>7</v>
      </c>
    </row>
    <row r="2854" spans="1:3" x14ac:dyDescent="0.2">
      <c r="A2854" s="341"/>
    </row>
    <row r="2855" spans="1:3" x14ac:dyDescent="0.2">
      <c r="A2855" s="338" t="s">
        <v>3564</v>
      </c>
    </row>
    <row r="2856" spans="1:3" x14ac:dyDescent="0.2">
      <c r="A2856" s="341" t="s">
        <v>668</v>
      </c>
    </row>
    <row r="2857" spans="1:3" x14ac:dyDescent="0.2">
      <c r="A2857" s="341" t="s">
        <v>1296</v>
      </c>
    </row>
    <row r="2858" spans="1:3" x14ac:dyDescent="0.2">
      <c r="A2858" s="341" t="s">
        <v>102</v>
      </c>
    </row>
    <row r="2859" spans="1:3" x14ac:dyDescent="0.2">
      <c r="A2859" s="341" t="s">
        <v>2543</v>
      </c>
    </row>
    <row r="2860" spans="1:3" x14ac:dyDescent="0.2">
      <c r="A2860" s="341" t="s">
        <v>639</v>
      </c>
    </row>
    <row r="2861" spans="1:3" x14ac:dyDescent="0.2">
      <c r="A2861" s="341"/>
    </row>
    <row r="2862" spans="1:3" x14ac:dyDescent="0.2">
      <c r="A2862" s="341"/>
      <c r="B2862" s="339" t="s">
        <v>400</v>
      </c>
      <c r="C2862" s="340">
        <v>30</v>
      </c>
    </row>
    <row r="2863" spans="1:3" x14ac:dyDescent="0.2">
      <c r="A2863" s="341"/>
      <c r="B2863" s="339" t="s">
        <v>415</v>
      </c>
      <c r="C2863" s="340">
        <v>20</v>
      </c>
    </row>
    <row r="2864" spans="1:3" x14ac:dyDescent="0.2">
      <c r="A2864" s="341"/>
      <c r="B2864" s="339" t="s">
        <v>340</v>
      </c>
      <c r="C2864" s="340">
        <v>20</v>
      </c>
    </row>
    <row r="2865" spans="1:3" x14ac:dyDescent="0.2">
      <c r="A2865" s="341"/>
      <c r="B2865" s="339" t="s">
        <v>1583</v>
      </c>
      <c r="C2865" s="340">
        <v>20</v>
      </c>
    </row>
    <row r="2866" spans="1:3" x14ac:dyDescent="0.2">
      <c r="A2866" s="341"/>
      <c r="B2866" s="339" t="s">
        <v>376</v>
      </c>
      <c r="C2866" s="340">
        <v>15</v>
      </c>
    </row>
    <row r="2867" spans="1:3" x14ac:dyDescent="0.2">
      <c r="A2867" s="341"/>
      <c r="B2867" s="339" t="s">
        <v>364</v>
      </c>
      <c r="C2867" s="340">
        <v>15</v>
      </c>
    </row>
    <row r="2868" spans="1:3" x14ac:dyDescent="0.2">
      <c r="A2868" s="341"/>
      <c r="B2868" s="339" t="s">
        <v>453</v>
      </c>
      <c r="C2868" s="340">
        <v>10</v>
      </c>
    </row>
    <row r="2869" spans="1:3" x14ac:dyDescent="0.2">
      <c r="A2869" s="341"/>
    </row>
    <row r="2870" spans="1:3" x14ac:dyDescent="0.2">
      <c r="A2870" s="338" t="s">
        <v>3565</v>
      </c>
    </row>
    <row r="2871" spans="1:3" x14ac:dyDescent="0.2">
      <c r="A2871" s="341" t="s">
        <v>668</v>
      </c>
    </row>
    <row r="2872" spans="1:3" x14ac:dyDescent="0.2">
      <c r="A2872" s="341" t="s">
        <v>3210</v>
      </c>
    </row>
    <row r="2873" spans="1:3" x14ac:dyDescent="0.2">
      <c r="A2873" s="341" t="s">
        <v>103</v>
      </c>
    </row>
    <row r="2874" spans="1:3" x14ac:dyDescent="0.2">
      <c r="A2874" s="341" t="s">
        <v>2543</v>
      </c>
    </row>
    <row r="2875" spans="1:3" x14ac:dyDescent="0.2">
      <c r="A2875" s="341" t="s">
        <v>639</v>
      </c>
    </row>
    <row r="2876" spans="1:3" x14ac:dyDescent="0.2">
      <c r="A2876" s="341"/>
    </row>
    <row r="2877" spans="1:3" x14ac:dyDescent="0.2">
      <c r="A2877" s="341"/>
      <c r="B2877" s="339" t="s">
        <v>340</v>
      </c>
      <c r="C2877" s="340">
        <v>50</v>
      </c>
    </row>
    <row r="2878" spans="1:3" x14ac:dyDescent="0.2">
      <c r="A2878" s="341"/>
      <c r="B2878" s="339" t="s">
        <v>400</v>
      </c>
      <c r="C2878" s="340">
        <v>18</v>
      </c>
    </row>
    <row r="2879" spans="1:3" x14ac:dyDescent="0.2">
      <c r="A2879" s="341"/>
      <c r="B2879" s="339" t="s">
        <v>1583</v>
      </c>
      <c r="C2879" s="340">
        <v>15</v>
      </c>
    </row>
    <row r="2880" spans="1:3" x14ac:dyDescent="0.2">
      <c r="A2880" s="341"/>
      <c r="B2880" s="339" t="s">
        <v>445</v>
      </c>
      <c r="C2880" s="340">
        <v>15</v>
      </c>
    </row>
    <row r="2881" spans="1:3" x14ac:dyDescent="0.2">
      <c r="A2881" s="341"/>
      <c r="B2881" s="339" t="s">
        <v>364</v>
      </c>
      <c r="C2881" s="340">
        <v>15</v>
      </c>
    </row>
    <row r="2882" spans="1:3" x14ac:dyDescent="0.2">
      <c r="A2882" s="341"/>
      <c r="B2882" s="339" t="s">
        <v>376</v>
      </c>
      <c r="C2882" s="340">
        <v>9</v>
      </c>
    </row>
    <row r="2883" spans="1:3" x14ac:dyDescent="0.2">
      <c r="A2883" s="341"/>
      <c r="B2883" s="339" t="s">
        <v>355</v>
      </c>
      <c r="C2883" s="340">
        <v>4</v>
      </c>
    </row>
    <row r="2884" spans="1:3" x14ac:dyDescent="0.2">
      <c r="A2884" s="341"/>
      <c r="B2884" s="339" t="s">
        <v>343</v>
      </c>
      <c r="C2884" s="340">
        <v>3</v>
      </c>
    </row>
    <row r="2885" spans="1:3" x14ac:dyDescent="0.2">
      <c r="A2885" s="341"/>
      <c r="B2885" s="339" t="s">
        <v>447</v>
      </c>
      <c r="C2885" s="340">
        <v>3</v>
      </c>
    </row>
    <row r="2886" spans="1:3" x14ac:dyDescent="0.2">
      <c r="A2886" s="341"/>
    </row>
    <row r="2887" spans="1:3" x14ac:dyDescent="0.2">
      <c r="A2887" s="338" t="s">
        <v>3566</v>
      </c>
    </row>
    <row r="2888" spans="1:3" x14ac:dyDescent="0.2">
      <c r="A2888" s="341" t="s">
        <v>668</v>
      </c>
    </row>
    <row r="2889" spans="1:3" x14ac:dyDescent="0.2">
      <c r="A2889" s="341" t="s">
        <v>3211</v>
      </c>
    </row>
    <row r="2890" spans="1:3" x14ac:dyDescent="0.2">
      <c r="A2890" s="341" t="s">
        <v>104</v>
      </c>
    </row>
    <row r="2891" spans="1:3" x14ac:dyDescent="0.2">
      <c r="A2891" s="341" t="s">
        <v>2543</v>
      </c>
    </row>
    <row r="2892" spans="1:3" x14ac:dyDescent="0.2">
      <c r="A2892" s="341" t="s">
        <v>639</v>
      </c>
    </row>
    <row r="2893" spans="1:3" x14ac:dyDescent="0.2">
      <c r="A2893" s="341"/>
    </row>
    <row r="2894" spans="1:3" x14ac:dyDescent="0.2">
      <c r="A2894" s="341"/>
      <c r="B2894" s="339" t="s">
        <v>352</v>
      </c>
      <c r="C2894" s="340">
        <v>75</v>
      </c>
    </row>
    <row r="2895" spans="1:3" x14ac:dyDescent="0.2">
      <c r="A2895" s="341"/>
      <c r="B2895" s="339" t="s">
        <v>454</v>
      </c>
      <c r="C2895" s="340">
        <v>20</v>
      </c>
    </row>
    <row r="2896" spans="1:3" x14ac:dyDescent="0.2">
      <c r="A2896" s="341"/>
      <c r="B2896" s="339" t="s">
        <v>342</v>
      </c>
      <c r="C2896" s="340">
        <v>20</v>
      </c>
    </row>
    <row r="2897" spans="1:3" x14ac:dyDescent="0.2">
      <c r="A2897" s="341"/>
      <c r="B2897" s="339" t="s">
        <v>601</v>
      </c>
      <c r="C2897" s="340">
        <v>15</v>
      </c>
    </row>
    <row r="2898" spans="1:3" x14ac:dyDescent="0.2">
      <c r="A2898" s="341"/>
      <c r="B2898" s="339" t="s">
        <v>340</v>
      </c>
      <c r="C2898" s="340">
        <v>9</v>
      </c>
    </row>
    <row r="2899" spans="1:3" x14ac:dyDescent="0.2">
      <c r="A2899" s="341"/>
      <c r="B2899" s="339" t="s">
        <v>361</v>
      </c>
      <c r="C2899" s="340">
        <v>5</v>
      </c>
    </row>
    <row r="2900" spans="1:3" x14ac:dyDescent="0.2">
      <c r="A2900" s="341"/>
    </row>
    <row r="2901" spans="1:3" x14ac:dyDescent="0.2">
      <c r="A2901" s="338" t="s">
        <v>3567</v>
      </c>
    </row>
    <row r="2902" spans="1:3" x14ac:dyDescent="0.2">
      <c r="A2902" s="341" t="s">
        <v>668</v>
      </c>
    </row>
    <row r="2903" spans="1:3" x14ac:dyDescent="0.2">
      <c r="A2903" s="341" t="s">
        <v>3212</v>
      </c>
    </row>
    <row r="2904" spans="1:3" x14ac:dyDescent="0.2">
      <c r="A2904" s="341" t="s">
        <v>105</v>
      </c>
    </row>
    <row r="2905" spans="1:3" x14ac:dyDescent="0.2">
      <c r="A2905" s="341" t="s">
        <v>2543</v>
      </c>
    </row>
    <row r="2906" spans="1:3" x14ac:dyDescent="0.2">
      <c r="A2906" s="341" t="s">
        <v>639</v>
      </c>
    </row>
    <row r="2907" spans="1:3" x14ac:dyDescent="0.2">
      <c r="A2907" s="341"/>
    </row>
    <row r="2908" spans="1:3" x14ac:dyDescent="0.2">
      <c r="A2908" s="341"/>
      <c r="B2908" s="339" t="s">
        <v>361</v>
      </c>
      <c r="C2908" s="340">
        <v>70</v>
      </c>
    </row>
    <row r="2909" spans="1:3" x14ac:dyDescent="0.2">
      <c r="A2909" s="341"/>
      <c r="B2909" s="339" t="s">
        <v>342</v>
      </c>
      <c r="C2909" s="340">
        <v>30</v>
      </c>
    </row>
    <row r="2910" spans="1:3" x14ac:dyDescent="0.2">
      <c r="A2910" s="341"/>
      <c r="B2910" s="339" t="s">
        <v>340</v>
      </c>
      <c r="C2910" s="340">
        <v>9</v>
      </c>
    </row>
    <row r="2911" spans="1:3" x14ac:dyDescent="0.2">
      <c r="A2911" s="341"/>
      <c r="B2911" s="339" t="s">
        <v>350</v>
      </c>
      <c r="C2911" s="340">
        <v>5</v>
      </c>
    </row>
    <row r="2912" spans="1:3" x14ac:dyDescent="0.2">
      <c r="A2912" s="341"/>
      <c r="B2912" s="339" t="s">
        <v>1936</v>
      </c>
      <c r="C2912" s="340">
        <v>3</v>
      </c>
    </row>
    <row r="2913" spans="1:3" x14ac:dyDescent="0.2">
      <c r="A2913" s="341"/>
      <c r="B2913" s="339" t="s">
        <v>356</v>
      </c>
      <c r="C2913" s="340">
        <v>3</v>
      </c>
    </row>
    <row r="2914" spans="1:3" x14ac:dyDescent="0.2">
      <c r="A2914" s="341"/>
      <c r="B2914" s="339" t="s">
        <v>3151</v>
      </c>
      <c r="C2914" s="340">
        <v>3</v>
      </c>
    </row>
    <row r="2915" spans="1:3" x14ac:dyDescent="0.2">
      <c r="A2915" s="341"/>
      <c r="B2915" s="339" t="s">
        <v>453</v>
      </c>
      <c r="C2915" s="340">
        <v>3</v>
      </c>
    </row>
    <row r="2916" spans="1:3" x14ac:dyDescent="0.2">
      <c r="A2916" s="341"/>
      <c r="B2916" s="339" t="s">
        <v>593</v>
      </c>
      <c r="C2916" s="340">
        <v>1</v>
      </c>
    </row>
    <row r="2917" spans="1:3" x14ac:dyDescent="0.2">
      <c r="A2917" s="341"/>
    </row>
    <row r="2918" spans="1:3" x14ac:dyDescent="0.2">
      <c r="A2918" s="338" t="s">
        <v>3568</v>
      </c>
    </row>
    <row r="2919" spans="1:3" x14ac:dyDescent="0.2">
      <c r="A2919" s="341" t="s">
        <v>668</v>
      </c>
    </row>
    <row r="2920" spans="1:3" x14ac:dyDescent="0.2">
      <c r="A2920" s="341" t="s">
        <v>3213</v>
      </c>
    </row>
    <row r="2921" spans="1:3" x14ac:dyDescent="0.2">
      <c r="A2921" s="341" t="s">
        <v>106</v>
      </c>
    </row>
    <row r="2922" spans="1:3" x14ac:dyDescent="0.2">
      <c r="A2922" s="341" t="s">
        <v>2543</v>
      </c>
    </row>
    <row r="2923" spans="1:3" x14ac:dyDescent="0.2">
      <c r="A2923" s="341" t="s">
        <v>639</v>
      </c>
    </row>
    <row r="2924" spans="1:3" x14ac:dyDescent="0.2">
      <c r="A2924" s="341"/>
    </row>
    <row r="2925" spans="1:3" x14ac:dyDescent="0.2">
      <c r="A2925" s="341"/>
      <c r="B2925" s="339" t="s">
        <v>376</v>
      </c>
      <c r="C2925" s="340">
        <v>30</v>
      </c>
    </row>
    <row r="2926" spans="1:3" x14ac:dyDescent="0.2">
      <c r="A2926" s="341"/>
      <c r="B2926" s="339" t="s">
        <v>1583</v>
      </c>
      <c r="C2926" s="340">
        <v>25</v>
      </c>
    </row>
    <row r="2927" spans="1:3" x14ac:dyDescent="0.2">
      <c r="A2927" s="341"/>
      <c r="B2927" s="339" t="s">
        <v>400</v>
      </c>
      <c r="C2927" s="340">
        <v>20</v>
      </c>
    </row>
    <row r="2928" spans="1:3" x14ac:dyDescent="0.2">
      <c r="A2928" s="341"/>
      <c r="B2928" s="339" t="s">
        <v>340</v>
      </c>
      <c r="C2928" s="340">
        <v>20</v>
      </c>
    </row>
    <row r="2929" spans="1:3" x14ac:dyDescent="0.2">
      <c r="A2929" s="341"/>
      <c r="B2929" s="339" t="s">
        <v>394</v>
      </c>
      <c r="C2929" s="340">
        <v>4</v>
      </c>
    </row>
    <row r="2930" spans="1:3" x14ac:dyDescent="0.2">
      <c r="A2930" s="341"/>
    </row>
    <row r="2931" spans="1:3" x14ac:dyDescent="0.2">
      <c r="A2931" s="338" t="s">
        <v>3569</v>
      </c>
    </row>
    <row r="2932" spans="1:3" x14ac:dyDescent="0.2">
      <c r="A2932" s="341" t="s">
        <v>668</v>
      </c>
    </row>
    <row r="2933" spans="1:3" x14ac:dyDescent="0.2">
      <c r="A2933" s="341" t="s">
        <v>3214</v>
      </c>
    </row>
    <row r="2934" spans="1:3" x14ac:dyDescent="0.2">
      <c r="A2934" s="341" t="s">
        <v>107</v>
      </c>
    </row>
    <row r="2935" spans="1:3" x14ac:dyDescent="0.2">
      <c r="A2935" s="341" t="s">
        <v>2545</v>
      </c>
    </row>
    <row r="2936" spans="1:3" x14ac:dyDescent="0.2">
      <c r="A2936" s="341" t="s">
        <v>639</v>
      </c>
    </row>
    <row r="2937" spans="1:3" x14ac:dyDescent="0.2">
      <c r="A2937" s="341"/>
    </row>
    <row r="2938" spans="1:3" x14ac:dyDescent="0.2">
      <c r="A2938" s="341"/>
      <c r="B2938" s="339" t="s">
        <v>376</v>
      </c>
      <c r="C2938" s="340">
        <v>12</v>
      </c>
    </row>
    <row r="2939" spans="1:3" x14ac:dyDescent="0.2">
      <c r="A2939" s="341"/>
      <c r="B2939" s="339" t="s">
        <v>363</v>
      </c>
      <c r="C2939" s="340">
        <v>7</v>
      </c>
    </row>
    <row r="2940" spans="1:3" x14ac:dyDescent="0.2">
      <c r="A2940" s="341"/>
      <c r="B2940" s="339" t="s">
        <v>2649</v>
      </c>
      <c r="C2940" s="340">
        <v>7</v>
      </c>
    </row>
    <row r="2941" spans="1:3" x14ac:dyDescent="0.2">
      <c r="A2941" s="341"/>
      <c r="B2941" s="339" t="s">
        <v>394</v>
      </c>
      <c r="C2941" s="340">
        <v>6</v>
      </c>
    </row>
    <row r="2942" spans="1:3" x14ac:dyDescent="0.2">
      <c r="A2942" s="341"/>
      <c r="B2942" s="339" t="s">
        <v>593</v>
      </c>
      <c r="C2942" s="340">
        <v>5</v>
      </c>
    </row>
    <row r="2943" spans="1:3" x14ac:dyDescent="0.2">
      <c r="A2943" s="341"/>
      <c r="B2943" s="339" t="s">
        <v>453</v>
      </c>
      <c r="C2943" s="340">
        <v>3</v>
      </c>
    </row>
    <row r="2944" spans="1:3" x14ac:dyDescent="0.2">
      <c r="A2944" s="341"/>
      <c r="B2944" s="339" t="s">
        <v>341</v>
      </c>
      <c r="C2944" s="340">
        <v>1</v>
      </c>
    </row>
    <row r="2945" spans="1:3" x14ac:dyDescent="0.2">
      <c r="A2945" s="341"/>
    </row>
    <row r="2946" spans="1:3" x14ac:dyDescent="0.2">
      <c r="A2946" s="338" t="s">
        <v>3570</v>
      </c>
    </row>
    <row r="2947" spans="1:3" x14ac:dyDescent="0.2">
      <c r="A2947" s="341" t="s">
        <v>1363</v>
      </c>
    </row>
    <row r="2948" spans="1:3" x14ac:dyDescent="0.2">
      <c r="A2948" s="341" t="s">
        <v>1364</v>
      </c>
    </row>
    <row r="2949" spans="1:3" x14ac:dyDescent="0.2">
      <c r="A2949" s="341" t="s">
        <v>108</v>
      </c>
    </row>
    <row r="2950" spans="1:3" x14ac:dyDescent="0.2">
      <c r="A2950" s="341" t="s">
        <v>2546</v>
      </c>
    </row>
    <row r="2951" spans="1:3" x14ac:dyDescent="0.2">
      <c r="A2951" s="341" t="s">
        <v>1365</v>
      </c>
    </row>
    <row r="2952" spans="1:3" x14ac:dyDescent="0.2">
      <c r="A2952" s="341"/>
    </row>
    <row r="2953" spans="1:3" x14ac:dyDescent="0.2">
      <c r="A2953" s="341"/>
      <c r="B2953" s="339" t="s">
        <v>445</v>
      </c>
      <c r="C2953" s="340">
        <v>50</v>
      </c>
    </row>
    <row r="2954" spans="1:3" x14ac:dyDescent="0.2">
      <c r="A2954" s="341"/>
      <c r="B2954" s="339" t="s">
        <v>340</v>
      </c>
      <c r="C2954" s="340">
        <v>15</v>
      </c>
    </row>
    <row r="2955" spans="1:3" x14ac:dyDescent="0.2">
      <c r="A2955" s="341"/>
      <c r="B2955" s="339" t="s">
        <v>400</v>
      </c>
      <c r="C2955" s="340">
        <v>12</v>
      </c>
    </row>
    <row r="2956" spans="1:3" x14ac:dyDescent="0.2">
      <c r="A2956" s="341"/>
      <c r="B2956" s="339" t="s">
        <v>376</v>
      </c>
      <c r="C2956" s="340">
        <v>12</v>
      </c>
    </row>
    <row r="2957" spans="1:3" x14ac:dyDescent="0.2">
      <c r="A2957" s="341"/>
      <c r="B2957" s="339" t="s">
        <v>360</v>
      </c>
      <c r="C2957" s="340">
        <v>9</v>
      </c>
    </row>
    <row r="2958" spans="1:3" x14ac:dyDescent="0.2">
      <c r="A2958" s="341"/>
      <c r="B2958" s="339" t="s">
        <v>392</v>
      </c>
      <c r="C2958" s="340">
        <v>9</v>
      </c>
    </row>
    <row r="2959" spans="1:3" x14ac:dyDescent="0.2">
      <c r="A2959" s="341"/>
      <c r="B2959" s="339" t="s">
        <v>364</v>
      </c>
      <c r="C2959" s="340">
        <v>8</v>
      </c>
    </row>
    <row r="2960" spans="1:3" x14ac:dyDescent="0.2">
      <c r="A2960" s="341"/>
      <c r="B2960" s="339" t="s">
        <v>447</v>
      </c>
      <c r="C2960" s="340">
        <v>6</v>
      </c>
    </row>
    <row r="2961" spans="1:3" x14ac:dyDescent="0.2">
      <c r="A2961" s="341"/>
      <c r="B2961" s="339" t="s">
        <v>2575</v>
      </c>
      <c r="C2961" s="340">
        <v>6</v>
      </c>
    </row>
    <row r="2962" spans="1:3" x14ac:dyDescent="0.2">
      <c r="A2962" s="341"/>
      <c r="B2962" s="339" t="s">
        <v>2592</v>
      </c>
      <c r="C2962" s="340">
        <v>4</v>
      </c>
    </row>
    <row r="2963" spans="1:3" x14ac:dyDescent="0.2">
      <c r="A2963" s="341"/>
    </row>
    <row r="2964" spans="1:3" x14ac:dyDescent="0.2">
      <c r="A2964" s="338" t="s">
        <v>3571</v>
      </c>
    </row>
    <row r="2965" spans="1:3" x14ac:dyDescent="0.2">
      <c r="A2965" s="341" t="s">
        <v>1363</v>
      </c>
    </row>
    <row r="2966" spans="1:3" x14ac:dyDescent="0.2">
      <c r="A2966" s="341" t="s">
        <v>1366</v>
      </c>
    </row>
    <row r="2967" spans="1:3" x14ac:dyDescent="0.2">
      <c r="A2967" s="341" t="s">
        <v>109</v>
      </c>
    </row>
    <row r="2968" spans="1:3" x14ac:dyDescent="0.2">
      <c r="A2968" s="341" t="s">
        <v>2542</v>
      </c>
    </row>
    <row r="2969" spans="1:3" x14ac:dyDescent="0.2">
      <c r="A2969" s="341" t="s">
        <v>639</v>
      </c>
    </row>
    <row r="2970" spans="1:3" x14ac:dyDescent="0.2">
      <c r="A2970" s="341"/>
    </row>
    <row r="2971" spans="1:3" x14ac:dyDescent="0.2">
      <c r="A2971" s="341"/>
      <c r="B2971" s="339" t="s">
        <v>376</v>
      </c>
      <c r="C2971" s="340">
        <v>15</v>
      </c>
    </row>
    <row r="2972" spans="1:3" x14ac:dyDescent="0.2">
      <c r="A2972" s="341"/>
      <c r="B2972" s="339" t="s">
        <v>340</v>
      </c>
      <c r="C2972" s="340">
        <v>15</v>
      </c>
    </row>
    <row r="2973" spans="1:3" x14ac:dyDescent="0.2">
      <c r="A2973" s="341"/>
      <c r="B2973" s="339" t="s">
        <v>1936</v>
      </c>
      <c r="C2973" s="340">
        <v>12</v>
      </c>
    </row>
    <row r="2974" spans="1:3" x14ac:dyDescent="0.2">
      <c r="A2974" s="341"/>
      <c r="B2974" s="339" t="s">
        <v>2566</v>
      </c>
      <c r="C2974" s="340">
        <v>10</v>
      </c>
    </row>
    <row r="2975" spans="1:3" x14ac:dyDescent="0.2">
      <c r="A2975" s="341"/>
      <c r="B2975" s="339" t="s">
        <v>2665</v>
      </c>
      <c r="C2975" s="340">
        <v>9</v>
      </c>
    </row>
    <row r="2976" spans="1:3" x14ac:dyDescent="0.2">
      <c r="A2976" s="341"/>
      <c r="B2976" s="339" t="s">
        <v>459</v>
      </c>
      <c r="C2976" s="340">
        <v>9</v>
      </c>
    </row>
    <row r="2977" spans="1:3" x14ac:dyDescent="0.2">
      <c r="A2977" s="341"/>
      <c r="B2977" s="339" t="s">
        <v>364</v>
      </c>
      <c r="C2977" s="340">
        <v>9</v>
      </c>
    </row>
    <row r="2978" spans="1:3" x14ac:dyDescent="0.2">
      <c r="A2978" s="341"/>
      <c r="B2978" s="339" t="s">
        <v>1589</v>
      </c>
      <c r="C2978" s="340">
        <v>8</v>
      </c>
    </row>
    <row r="2979" spans="1:3" x14ac:dyDescent="0.2">
      <c r="A2979" s="341"/>
      <c r="B2979" s="339" t="s">
        <v>392</v>
      </c>
      <c r="C2979" s="340">
        <v>6</v>
      </c>
    </row>
    <row r="2980" spans="1:3" x14ac:dyDescent="0.2">
      <c r="A2980" s="341"/>
      <c r="B2980" s="339" t="s">
        <v>350</v>
      </c>
      <c r="C2980" s="340">
        <v>5</v>
      </c>
    </row>
    <row r="2981" spans="1:3" x14ac:dyDescent="0.2">
      <c r="A2981" s="341"/>
      <c r="B2981" s="339" t="s">
        <v>3151</v>
      </c>
      <c r="C2981" s="340">
        <v>5</v>
      </c>
    </row>
    <row r="2982" spans="1:3" x14ac:dyDescent="0.2">
      <c r="A2982" s="341"/>
      <c r="B2982" s="339" t="s">
        <v>529</v>
      </c>
      <c r="C2982" s="340">
        <v>5</v>
      </c>
    </row>
    <row r="2983" spans="1:3" x14ac:dyDescent="0.2">
      <c r="A2983" s="341"/>
      <c r="B2983" s="339" t="s">
        <v>326</v>
      </c>
      <c r="C2983" s="340">
        <v>5</v>
      </c>
    </row>
    <row r="2984" spans="1:3" x14ac:dyDescent="0.2">
      <c r="A2984" s="341"/>
      <c r="B2984" s="339" t="s">
        <v>327</v>
      </c>
      <c r="C2984" s="340">
        <v>4</v>
      </c>
    </row>
    <row r="2985" spans="1:3" x14ac:dyDescent="0.2">
      <c r="A2985" s="341"/>
      <c r="B2985" s="339" t="s">
        <v>360</v>
      </c>
      <c r="C2985" s="340">
        <v>4</v>
      </c>
    </row>
    <row r="2986" spans="1:3" x14ac:dyDescent="0.2">
      <c r="A2986" s="341"/>
      <c r="B2986" s="339" t="s">
        <v>367</v>
      </c>
      <c r="C2986" s="340">
        <v>4</v>
      </c>
    </row>
    <row r="2987" spans="1:3" x14ac:dyDescent="0.2">
      <c r="A2987" s="341"/>
      <c r="B2987" s="339" t="s">
        <v>593</v>
      </c>
      <c r="C2987" s="340">
        <v>4</v>
      </c>
    </row>
    <row r="2988" spans="1:3" x14ac:dyDescent="0.2">
      <c r="A2988" s="341"/>
    </row>
    <row r="2989" spans="1:3" x14ac:dyDescent="0.2">
      <c r="A2989" s="338" t="s">
        <v>3572</v>
      </c>
    </row>
    <row r="2990" spans="1:3" x14ac:dyDescent="0.2">
      <c r="A2990" s="341" t="s">
        <v>1363</v>
      </c>
    </row>
    <row r="2991" spans="1:3" x14ac:dyDescent="0.2">
      <c r="A2991" s="341" t="s">
        <v>1367</v>
      </c>
    </row>
    <row r="2992" spans="1:3" x14ac:dyDescent="0.2">
      <c r="A2992" s="341" t="s">
        <v>110</v>
      </c>
    </row>
    <row r="2993" spans="1:3" x14ac:dyDescent="0.2">
      <c r="A2993" s="341" t="s">
        <v>2542</v>
      </c>
    </row>
    <row r="2994" spans="1:3" x14ac:dyDescent="0.2">
      <c r="A2994" s="341" t="s">
        <v>639</v>
      </c>
    </row>
    <row r="2995" spans="1:3" x14ac:dyDescent="0.2">
      <c r="A2995" s="341"/>
    </row>
    <row r="2996" spans="1:3" x14ac:dyDescent="0.2">
      <c r="A2996" s="341"/>
      <c r="B2996" s="339" t="s">
        <v>350</v>
      </c>
      <c r="C2996" s="340">
        <v>25</v>
      </c>
    </row>
    <row r="2997" spans="1:3" x14ac:dyDescent="0.2">
      <c r="A2997" s="341"/>
      <c r="B2997" s="339" t="s">
        <v>364</v>
      </c>
      <c r="C2997" s="340">
        <v>25</v>
      </c>
    </row>
    <row r="2998" spans="1:3" x14ac:dyDescent="0.2">
      <c r="A2998" s="341"/>
      <c r="B2998" s="339" t="s">
        <v>340</v>
      </c>
      <c r="C2998" s="340">
        <v>15</v>
      </c>
    </row>
    <row r="2999" spans="1:3" x14ac:dyDescent="0.2">
      <c r="A2999" s="341"/>
      <c r="B2999" s="339" t="s">
        <v>593</v>
      </c>
      <c r="C2999" s="340">
        <v>10</v>
      </c>
    </row>
    <row r="3000" spans="1:3" x14ac:dyDescent="0.2">
      <c r="A3000" s="341"/>
      <c r="B3000" s="339" t="s">
        <v>3151</v>
      </c>
      <c r="C3000" s="340">
        <v>7</v>
      </c>
    </row>
    <row r="3001" spans="1:3" x14ac:dyDescent="0.2">
      <c r="A3001" s="341"/>
      <c r="B3001" s="339" t="s">
        <v>2566</v>
      </c>
      <c r="C3001" s="340">
        <v>7</v>
      </c>
    </row>
    <row r="3002" spans="1:3" x14ac:dyDescent="0.2">
      <c r="A3002" s="341"/>
      <c r="B3002" s="339" t="s">
        <v>447</v>
      </c>
      <c r="C3002" s="340">
        <v>7</v>
      </c>
    </row>
    <row r="3003" spans="1:3" x14ac:dyDescent="0.2">
      <c r="A3003" s="341"/>
      <c r="B3003" s="339" t="s">
        <v>376</v>
      </c>
      <c r="C3003" s="340">
        <v>4</v>
      </c>
    </row>
    <row r="3004" spans="1:3" x14ac:dyDescent="0.2">
      <c r="A3004" s="341"/>
      <c r="B3004" s="339" t="s">
        <v>356</v>
      </c>
      <c r="C3004" s="340">
        <v>3</v>
      </c>
    </row>
    <row r="3005" spans="1:3" x14ac:dyDescent="0.2">
      <c r="A3005" s="341"/>
      <c r="B3005" s="339" t="s">
        <v>2592</v>
      </c>
      <c r="C3005" s="340">
        <v>3</v>
      </c>
    </row>
    <row r="3006" spans="1:3" x14ac:dyDescent="0.2">
      <c r="A3006" s="341"/>
      <c r="B3006" s="339" t="s">
        <v>453</v>
      </c>
      <c r="C3006" s="340">
        <v>3</v>
      </c>
    </row>
    <row r="3007" spans="1:3" x14ac:dyDescent="0.2">
      <c r="A3007" s="341"/>
    </row>
    <row r="3008" spans="1:3" x14ac:dyDescent="0.2">
      <c r="A3008" s="338" t="s">
        <v>3573</v>
      </c>
    </row>
    <row r="3009" spans="1:3" x14ac:dyDescent="0.2">
      <c r="A3009" s="341" t="s">
        <v>1363</v>
      </c>
    </row>
    <row r="3010" spans="1:3" x14ac:dyDescent="0.2">
      <c r="A3010" s="341" t="s">
        <v>1368</v>
      </c>
    </row>
    <row r="3011" spans="1:3" x14ac:dyDescent="0.2">
      <c r="A3011" s="341" t="s">
        <v>111</v>
      </c>
    </row>
    <row r="3012" spans="1:3" x14ac:dyDescent="0.2">
      <c r="A3012" s="341" t="s">
        <v>2547</v>
      </c>
    </row>
    <row r="3013" spans="1:3" x14ac:dyDescent="0.2">
      <c r="A3013" s="341" t="s">
        <v>639</v>
      </c>
    </row>
    <row r="3014" spans="1:3" x14ac:dyDescent="0.2">
      <c r="A3014" s="341"/>
    </row>
    <row r="3015" spans="1:3" x14ac:dyDescent="0.2">
      <c r="A3015" s="341"/>
      <c r="B3015" s="339" t="s">
        <v>350</v>
      </c>
      <c r="C3015" s="340">
        <v>30</v>
      </c>
    </row>
    <row r="3016" spans="1:3" x14ac:dyDescent="0.2">
      <c r="A3016" s="341"/>
      <c r="B3016" s="339" t="s">
        <v>3388</v>
      </c>
      <c r="C3016" s="340">
        <v>15</v>
      </c>
    </row>
    <row r="3017" spans="1:3" x14ac:dyDescent="0.2">
      <c r="A3017" s="341"/>
      <c r="B3017" s="339" t="s">
        <v>597</v>
      </c>
      <c r="C3017" s="340">
        <v>15</v>
      </c>
    </row>
    <row r="3018" spans="1:3" x14ac:dyDescent="0.2">
      <c r="A3018" s="341"/>
      <c r="B3018" s="339" t="s">
        <v>2588</v>
      </c>
      <c r="C3018" s="340">
        <v>12</v>
      </c>
    </row>
    <row r="3019" spans="1:3" x14ac:dyDescent="0.2">
      <c r="A3019" s="341"/>
      <c r="B3019" s="339" t="s">
        <v>364</v>
      </c>
      <c r="C3019" s="340">
        <v>10</v>
      </c>
    </row>
    <row r="3020" spans="1:3" x14ac:dyDescent="0.2">
      <c r="A3020" s="341"/>
      <c r="B3020" s="339" t="s">
        <v>360</v>
      </c>
      <c r="C3020" s="340">
        <v>9</v>
      </c>
    </row>
    <row r="3021" spans="1:3" x14ac:dyDescent="0.2">
      <c r="A3021" s="341"/>
      <c r="B3021" s="339" t="s">
        <v>340</v>
      </c>
      <c r="C3021" s="340">
        <v>6</v>
      </c>
    </row>
    <row r="3022" spans="1:3" x14ac:dyDescent="0.2">
      <c r="A3022" s="341"/>
      <c r="B3022" s="339" t="s">
        <v>362</v>
      </c>
      <c r="C3022" s="340">
        <v>4</v>
      </c>
    </row>
    <row r="3023" spans="1:3" x14ac:dyDescent="0.2">
      <c r="A3023" s="341"/>
      <c r="B3023" s="339" t="s">
        <v>3151</v>
      </c>
      <c r="C3023" s="340">
        <v>4</v>
      </c>
    </row>
    <row r="3024" spans="1:3" x14ac:dyDescent="0.2">
      <c r="A3024" s="341"/>
      <c r="B3024" s="339" t="s">
        <v>593</v>
      </c>
      <c r="C3024" s="340">
        <v>3</v>
      </c>
    </row>
    <row r="3025" spans="1:3" x14ac:dyDescent="0.2">
      <c r="A3025" s="341"/>
    </row>
    <row r="3026" spans="1:3" x14ac:dyDescent="0.2">
      <c r="A3026" s="338" t="s">
        <v>3574</v>
      </c>
    </row>
    <row r="3027" spans="1:3" x14ac:dyDescent="0.2">
      <c r="A3027" s="341" t="s">
        <v>1363</v>
      </c>
    </row>
    <row r="3028" spans="1:3" x14ac:dyDescent="0.2">
      <c r="A3028" s="341" t="s">
        <v>1369</v>
      </c>
    </row>
    <row r="3029" spans="1:3" x14ac:dyDescent="0.2">
      <c r="A3029" s="341" t="s">
        <v>112</v>
      </c>
    </row>
    <row r="3030" spans="1:3" x14ac:dyDescent="0.2">
      <c r="A3030" s="341" t="s">
        <v>2547</v>
      </c>
    </row>
    <row r="3031" spans="1:3" x14ac:dyDescent="0.2">
      <c r="A3031" s="341" t="s">
        <v>639</v>
      </c>
    </row>
    <row r="3032" spans="1:3" x14ac:dyDescent="0.2">
      <c r="A3032" s="341"/>
    </row>
    <row r="3033" spans="1:3" x14ac:dyDescent="0.2">
      <c r="A3033" s="341"/>
      <c r="B3033" s="339" t="s">
        <v>386</v>
      </c>
      <c r="C3033" s="340">
        <v>30</v>
      </c>
    </row>
    <row r="3034" spans="1:3" x14ac:dyDescent="0.2">
      <c r="A3034" s="341"/>
      <c r="B3034" s="339" t="s">
        <v>349</v>
      </c>
      <c r="C3034" s="340">
        <v>30</v>
      </c>
    </row>
    <row r="3035" spans="1:3" x14ac:dyDescent="0.2">
      <c r="A3035" s="341"/>
      <c r="B3035" s="339" t="s">
        <v>432</v>
      </c>
      <c r="C3035" s="340">
        <v>25</v>
      </c>
    </row>
    <row r="3036" spans="1:3" x14ac:dyDescent="0.2">
      <c r="A3036" s="341"/>
      <c r="B3036" s="339" t="s">
        <v>342</v>
      </c>
      <c r="C3036" s="340">
        <v>20</v>
      </c>
    </row>
    <row r="3037" spans="1:3" x14ac:dyDescent="0.2">
      <c r="A3037" s="341"/>
      <c r="B3037" s="339" t="s">
        <v>403</v>
      </c>
      <c r="C3037" s="340">
        <v>7</v>
      </c>
    </row>
    <row r="3038" spans="1:3" x14ac:dyDescent="0.2">
      <c r="A3038" s="341"/>
      <c r="B3038" s="339" t="s">
        <v>2642</v>
      </c>
      <c r="C3038" s="340">
        <v>7</v>
      </c>
    </row>
    <row r="3039" spans="1:3" x14ac:dyDescent="0.2">
      <c r="A3039" s="341"/>
      <c r="B3039" s="339" t="s">
        <v>344</v>
      </c>
      <c r="C3039" s="340">
        <v>7</v>
      </c>
    </row>
    <row r="3040" spans="1:3" x14ac:dyDescent="0.2">
      <c r="A3040" s="341"/>
      <c r="B3040" s="339" t="s">
        <v>2631</v>
      </c>
      <c r="C3040" s="340">
        <v>6</v>
      </c>
    </row>
    <row r="3041" spans="1:3" x14ac:dyDescent="0.2">
      <c r="A3041" s="341"/>
      <c r="B3041" s="339" t="s">
        <v>2641</v>
      </c>
      <c r="C3041" s="340">
        <v>5</v>
      </c>
    </row>
    <row r="3042" spans="1:3" x14ac:dyDescent="0.2">
      <c r="A3042" s="341"/>
      <c r="B3042" s="339" t="s">
        <v>347</v>
      </c>
      <c r="C3042" s="340">
        <v>5</v>
      </c>
    </row>
    <row r="3043" spans="1:3" x14ac:dyDescent="0.2">
      <c r="A3043" s="341"/>
      <c r="B3043" s="339" t="s">
        <v>3151</v>
      </c>
      <c r="C3043" s="340">
        <v>3</v>
      </c>
    </row>
    <row r="3044" spans="1:3" x14ac:dyDescent="0.2">
      <c r="A3044" s="341"/>
      <c r="B3044" s="339" t="s">
        <v>2583</v>
      </c>
      <c r="C3044" s="340">
        <v>3</v>
      </c>
    </row>
    <row r="3045" spans="1:3" x14ac:dyDescent="0.2">
      <c r="A3045" s="341"/>
      <c r="B3045" s="339" t="s">
        <v>593</v>
      </c>
      <c r="C3045" s="340">
        <v>2</v>
      </c>
    </row>
    <row r="3046" spans="1:3" x14ac:dyDescent="0.2">
      <c r="A3046" s="341"/>
      <c r="B3046" s="339" t="s">
        <v>2594</v>
      </c>
      <c r="C3046" s="340">
        <v>2</v>
      </c>
    </row>
    <row r="3047" spans="1:3" x14ac:dyDescent="0.2">
      <c r="A3047" s="341"/>
    </row>
    <row r="3048" spans="1:3" x14ac:dyDescent="0.2">
      <c r="A3048" s="338" t="s">
        <v>3575</v>
      </c>
    </row>
    <row r="3049" spans="1:3" x14ac:dyDescent="0.2">
      <c r="A3049" s="341" t="s">
        <v>1363</v>
      </c>
    </row>
    <row r="3050" spans="1:3" x14ac:dyDescent="0.2">
      <c r="A3050" s="341" t="s">
        <v>1370</v>
      </c>
    </row>
    <row r="3051" spans="1:3" x14ac:dyDescent="0.2">
      <c r="A3051" s="341" t="s">
        <v>113</v>
      </c>
    </row>
    <row r="3052" spans="1:3" x14ac:dyDescent="0.2">
      <c r="A3052" s="341" t="s">
        <v>2547</v>
      </c>
    </row>
    <row r="3053" spans="1:3" x14ac:dyDescent="0.2">
      <c r="A3053" s="341" t="s">
        <v>639</v>
      </c>
    </row>
    <row r="3054" spans="1:3" x14ac:dyDescent="0.2">
      <c r="A3054" s="341"/>
    </row>
    <row r="3055" spans="1:3" x14ac:dyDescent="0.2">
      <c r="A3055" s="341"/>
      <c r="B3055" s="339" t="s">
        <v>349</v>
      </c>
      <c r="C3055" s="340">
        <v>70</v>
      </c>
    </row>
    <row r="3056" spans="1:3" x14ac:dyDescent="0.2">
      <c r="A3056" s="341"/>
      <c r="B3056" s="339" t="s">
        <v>342</v>
      </c>
      <c r="C3056" s="340">
        <v>30</v>
      </c>
    </row>
    <row r="3057" spans="1:3" x14ac:dyDescent="0.2">
      <c r="A3057" s="341"/>
      <c r="B3057" s="339" t="s">
        <v>454</v>
      </c>
      <c r="C3057" s="340">
        <v>10</v>
      </c>
    </row>
    <row r="3058" spans="1:3" x14ac:dyDescent="0.2">
      <c r="A3058" s="341"/>
      <c r="B3058" s="339" t="s">
        <v>352</v>
      </c>
      <c r="C3058" s="340">
        <v>8</v>
      </c>
    </row>
    <row r="3059" spans="1:3" x14ac:dyDescent="0.2">
      <c r="A3059" s="341"/>
      <c r="B3059" s="339" t="s">
        <v>432</v>
      </c>
      <c r="C3059" s="340">
        <v>8</v>
      </c>
    </row>
    <row r="3060" spans="1:3" x14ac:dyDescent="0.2">
      <c r="A3060" s="341"/>
      <c r="B3060" s="339" t="s">
        <v>2579</v>
      </c>
      <c r="C3060" s="340">
        <v>7</v>
      </c>
    </row>
    <row r="3061" spans="1:3" x14ac:dyDescent="0.2">
      <c r="A3061" s="341"/>
      <c r="B3061" s="339" t="s">
        <v>369</v>
      </c>
      <c r="C3061" s="340">
        <v>4</v>
      </c>
    </row>
    <row r="3062" spans="1:3" x14ac:dyDescent="0.2">
      <c r="A3062" s="341"/>
      <c r="B3062" s="339" t="s">
        <v>347</v>
      </c>
      <c r="C3062" s="340">
        <v>3</v>
      </c>
    </row>
    <row r="3063" spans="1:3" x14ac:dyDescent="0.2">
      <c r="A3063" s="341"/>
      <c r="B3063" s="339" t="s">
        <v>376</v>
      </c>
      <c r="C3063" s="340">
        <v>3</v>
      </c>
    </row>
    <row r="3064" spans="1:3" x14ac:dyDescent="0.2">
      <c r="A3064" s="341"/>
      <c r="B3064" s="339" t="s">
        <v>394</v>
      </c>
      <c r="C3064" s="340">
        <v>2</v>
      </c>
    </row>
    <row r="3065" spans="1:3" x14ac:dyDescent="0.2">
      <c r="A3065" s="341"/>
      <c r="B3065" s="339" t="s">
        <v>392</v>
      </c>
      <c r="C3065" s="340">
        <v>2</v>
      </c>
    </row>
    <row r="3066" spans="1:3" x14ac:dyDescent="0.2">
      <c r="A3066" s="341"/>
    </row>
    <row r="3067" spans="1:3" x14ac:dyDescent="0.2">
      <c r="A3067" s="338" t="s">
        <v>3576</v>
      </c>
    </row>
    <row r="3068" spans="1:3" x14ac:dyDescent="0.2">
      <c r="A3068" s="341" t="s">
        <v>1363</v>
      </c>
    </row>
    <row r="3069" spans="1:3" x14ac:dyDescent="0.2">
      <c r="A3069" s="341" t="s">
        <v>1371</v>
      </c>
    </row>
    <row r="3070" spans="1:3" x14ac:dyDescent="0.2">
      <c r="A3070" s="341" t="s">
        <v>114</v>
      </c>
    </row>
    <row r="3071" spans="1:3" x14ac:dyDescent="0.2">
      <c r="A3071" s="341" t="s">
        <v>2547</v>
      </c>
    </row>
    <row r="3072" spans="1:3" x14ac:dyDescent="0.2">
      <c r="A3072" s="341" t="s">
        <v>639</v>
      </c>
    </row>
    <row r="3073" spans="1:3" x14ac:dyDescent="0.2">
      <c r="A3073" s="341"/>
    </row>
    <row r="3074" spans="1:3" x14ac:dyDescent="0.2">
      <c r="A3074" s="341"/>
      <c r="B3074" s="339" t="s">
        <v>446</v>
      </c>
      <c r="C3074" s="340">
        <v>25</v>
      </c>
    </row>
    <row r="3075" spans="1:3" x14ac:dyDescent="0.2">
      <c r="A3075" s="341"/>
      <c r="B3075" s="339" t="s">
        <v>395</v>
      </c>
      <c r="C3075" s="340">
        <v>20</v>
      </c>
    </row>
    <row r="3076" spans="1:3" x14ac:dyDescent="0.2">
      <c r="A3076" s="341"/>
      <c r="B3076" s="339" t="s">
        <v>342</v>
      </c>
      <c r="C3076" s="340">
        <v>20</v>
      </c>
    </row>
    <row r="3077" spans="1:3" x14ac:dyDescent="0.2">
      <c r="A3077" s="341"/>
      <c r="B3077" s="339" t="s">
        <v>615</v>
      </c>
      <c r="C3077" s="340">
        <v>15</v>
      </c>
    </row>
    <row r="3078" spans="1:3" x14ac:dyDescent="0.2">
      <c r="A3078" s="341"/>
      <c r="B3078" s="339" t="s">
        <v>349</v>
      </c>
      <c r="C3078" s="340">
        <v>9</v>
      </c>
    </row>
    <row r="3079" spans="1:3" x14ac:dyDescent="0.2">
      <c r="A3079" s="341"/>
      <c r="B3079" s="339" t="s">
        <v>368</v>
      </c>
      <c r="C3079" s="340">
        <v>9</v>
      </c>
    </row>
    <row r="3080" spans="1:3" x14ac:dyDescent="0.2">
      <c r="A3080" s="341"/>
      <c r="B3080" s="339" t="s">
        <v>394</v>
      </c>
      <c r="C3080" s="340">
        <v>7</v>
      </c>
    </row>
    <row r="3081" spans="1:3" x14ac:dyDescent="0.2">
      <c r="A3081" s="341"/>
      <c r="B3081" s="339" t="s">
        <v>453</v>
      </c>
      <c r="C3081" s="340">
        <v>6</v>
      </c>
    </row>
    <row r="3082" spans="1:3" x14ac:dyDescent="0.2">
      <c r="A3082" s="341"/>
      <c r="B3082" s="339" t="s">
        <v>2579</v>
      </c>
      <c r="C3082" s="340">
        <v>5</v>
      </c>
    </row>
    <row r="3083" spans="1:3" x14ac:dyDescent="0.2">
      <c r="A3083" s="341"/>
      <c r="B3083" s="339" t="s">
        <v>597</v>
      </c>
      <c r="C3083" s="340">
        <v>3</v>
      </c>
    </row>
    <row r="3084" spans="1:3" x14ac:dyDescent="0.2">
      <c r="A3084" s="341"/>
    </row>
    <row r="3085" spans="1:3" x14ac:dyDescent="0.2">
      <c r="A3085" s="338" t="s">
        <v>3577</v>
      </c>
    </row>
    <row r="3086" spans="1:3" x14ac:dyDescent="0.2">
      <c r="A3086" s="341" t="s">
        <v>1363</v>
      </c>
    </row>
    <row r="3087" spans="1:3" x14ac:dyDescent="0.2">
      <c r="A3087" s="341" t="s">
        <v>1372</v>
      </c>
    </row>
    <row r="3088" spans="1:3" x14ac:dyDescent="0.2">
      <c r="A3088" s="341" t="s">
        <v>115</v>
      </c>
    </row>
    <row r="3089" spans="1:3" x14ac:dyDescent="0.2">
      <c r="A3089" s="341" t="s">
        <v>2547</v>
      </c>
    </row>
    <row r="3090" spans="1:3" x14ac:dyDescent="0.2">
      <c r="A3090" s="341" t="s">
        <v>639</v>
      </c>
    </row>
    <row r="3091" spans="1:3" x14ac:dyDescent="0.2">
      <c r="A3091" s="341"/>
    </row>
    <row r="3092" spans="1:3" x14ac:dyDescent="0.2">
      <c r="A3092" s="341"/>
      <c r="B3092" s="339" t="s">
        <v>347</v>
      </c>
      <c r="C3092" s="340">
        <v>11</v>
      </c>
    </row>
    <row r="3093" spans="1:3" x14ac:dyDescent="0.2">
      <c r="A3093" s="341"/>
      <c r="B3093" s="339" t="s">
        <v>394</v>
      </c>
      <c r="C3093" s="340">
        <v>8</v>
      </c>
    </row>
    <row r="3094" spans="1:3" x14ac:dyDescent="0.2">
      <c r="A3094" s="341"/>
      <c r="B3094" s="339" t="s">
        <v>349</v>
      </c>
      <c r="C3094" s="340">
        <v>8</v>
      </c>
    </row>
    <row r="3095" spans="1:3" x14ac:dyDescent="0.2">
      <c r="A3095" s="341"/>
      <c r="B3095" s="339" t="s">
        <v>2565</v>
      </c>
      <c r="C3095" s="340">
        <v>8</v>
      </c>
    </row>
    <row r="3096" spans="1:3" x14ac:dyDescent="0.2">
      <c r="A3096" s="341"/>
      <c r="B3096" s="339" t="s">
        <v>342</v>
      </c>
      <c r="C3096" s="340">
        <v>7</v>
      </c>
    </row>
    <row r="3097" spans="1:3" x14ac:dyDescent="0.2">
      <c r="A3097" s="341"/>
      <c r="B3097" s="339" t="s">
        <v>386</v>
      </c>
      <c r="C3097" s="340">
        <v>5</v>
      </c>
    </row>
    <row r="3098" spans="1:3" x14ac:dyDescent="0.2">
      <c r="A3098" s="341"/>
      <c r="B3098" s="339" t="s">
        <v>395</v>
      </c>
      <c r="C3098" s="340">
        <v>4</v>
      </c>
    </row>
    <row r="3099" spans="1:3" x14ac:dyDescent="0.2">
      <c r="A3099" s="341"/>
      <c r="B3099" s="339" t="s">
        <v>615</v>
      </c>
      <c r="C3099" s="340">
        <v>4</v>
      </c>
    </row>
    <row r="3100" spans="1:3" x14ac:dyDescent="0.2">
      <c r="A3100" s="341"/>
      <c r="B3100" s="339" t="s">
        <v>399</v>
      </c>
      <c r="C3100" s="340">
        <v>3</v>
      </c>
    </row>
    <row r="3101" spans="1:3" x14ac:dyDescent="0.2">
      <c r="A3101" s="341"/>
      <c r="B3101" s="339" t="s">
        <v>404</v>
      </c>
      <c r="C3101" s="340">
        <v>3</v>
      </c>
    </row>
    <row r="3102" spans="1:3" x14ac:dyDescent="0.2">
      <c r="A3102" s="341"/>
      <c r="B3102" s="339" t="s">
        <v>453</v>
      </c>
      <c r="C3102" s="340">
        <v>3</v>
      </c>
    </row>
    <row r="3103" spans="1:3" x14ac:dyDescent="0.2">
      <c r="A3103" s="341"/>
      <c r="B3103" s="339" t="s">
        <v>457</v>
      </c>
      <c r="C3103" s="340">
        <v>3</v>
      </c>
    </row>
    <row r="3104" spans="1:3" x14ac:dyDescent="0.2">
      <c r="A3104" s="341"/>
      <c r="B3104" s="339" t="s">
        <v>527</v>
      </c>
      <c r="C3104" s="340">
        <v>2</v>
      </c>
    </row>
    <row r="3105" spans="1:3" x14ac:dyDescent="0.2">
      <c r="A3105" s="341"/>
      <c r="B3105" s="339" t="s">
        <v>597</v>
      </c>
      <c r="C3105" s="340">
        <v>2</v>
      </c>
    </row>
    <row r="3106" spans="1:3" x14ac:dyDescent="0.2">
      <c r="A3106" s="341"/>
      <c r="B3106" s="339" t="s">
        <v>444</v>
      </c>
      <c r="C3106" s="340">
        <v>2</v>
      </c>
    </row>
    <row r="3107" spans="1:3" x14ac:dyDescent="0.2">
      <c r="A3107" s="341"/>
      <c r="B3107" s="339" t="s">
        <v>410</v>
      </c>
      <c r="C3107" s="340">
        <v>1</v>
      </c>
    </row>
    <row r="3108" spans="1:3" x14ac:dyDescent="0.2">
      <c r="A3108" s="341"/>
      <c r="B3108" s="339" t="s">
        <v>446</v>
      </c>
      <c r="C3108" s="340">
        <v>1</v>
      </c>
    </row>
    <row r="3109" spans="1:3" x14ac:dyDescent="0.2">
      <c r="A3109" s="341"/>
    </row>
    <row r="3110" spans="1:3" x14ac:dyDescent="0.2">
      <c r="A3110" s="338" t="s">
        <v>3578</v>
      </c>
    </row>
    <row r="3111" spans="1:3" x14ac:dyDescent="0.2">
      <c r="A3111" s="341" t="s">
        <v>1363</v>
      </c>
    </row>
    <row r="3112" spans="1:3" x14ac:dyDescent="0.2">
      <c r="A3112" s="341" t="s">
        <v>1373</v>
      </c>
    </row>
    <row r="3113" spans="1:3" x14ac:dyDescent="0.2">
      <c r="A3113" s="341" t="s">
        <v>116</v>
      </c>
    </row>
    <row r="3114" spans="1:3" x14ac:dyDescent="0.2">
      <c r="A3114" s="341" t="s">
        <v>2547</v>
      </c>
    </row>
    <row r="3115" spans="1:3" x14ac:dyDescent="0.2">
      <c r="A3115" s="341" t="s">
        <v>639</v>
      </c>
    </row>
    <row r="3116" spans="1:3" x14ac:dyDescent="0.2">
      <c r="A3116" s="341"/>
    </row>
    <row r="3117" spans="1:3" x14ac:dyDescent="0.2">
      <c r="A3117" s="341"/>
      <c r="B3117" s="339" t="s">
        <v>350</v>
      </c>
      <c r="C3117" s="340">
        <v>18</v>
      </c>
    </row>
    <row r="3118" spans="1:3" x14ac:dyDescent="0.2">
      <c r="A3118" s="341"/>
      <c r="B3118" s="339" t="s">
        <v>2722</v>
      </c>
      <c r="C3118" s="340">
        <v>15</v>
      </c>
    </row>
    <row r="3119" spans="1:3" x14ac:dyDescent="0.2">
      <c r="A3119" s="341"/>
      <c r="B3119" s="339" t="s">
        <v>394</v>
      </c>
      <c r="C3119" s="340">
        <v>15</v>
      </c>
    </row>
    <row r="3120" spans="1:3" x14ac:dyDescent="0.2">
      <c r="A3120" s="341"/>
      <c r="B3120" s="339" t="s">
        <v>2649</v>
      </c>
      <c r="C3120" s="340">
        <v>8</v>
      </c>
    </row>
    <row r="3121" spans="1:3" x14ac:dyDescent="0.2">
      <c r="A3121" s="341"/>
      <c r="B3121" s="339" t="s">
        <v>2565</v>
      </c>
      <c r="C3121" s="340">
        <v>3</v>
      </c>
    </row>
    <row r="3122" spans="1:3" x14ac:dyDescent="0.2">
      <c r="A3122" s="341"/>
    </row>
    <row r="3123" spans="1:3" x14ac:dyDescent="0.2">
      <c r="A3123" s="338" t="s">
        <v>3579</v>
      </c>
    </row>
    <row r="3124" spans="1:3" x14ac:dyDescent="0.2">
      <c r="A3124" s="341" t="s">
        <v>1363</v>
      </c>
    </row>
    <row r="3125" spans="1:3" x14ac:dyDescent="0.2">
      <c r="A3125" s="341" t="s">
        <v>1374</v>
      </c>
    </row>
    <row r="3126" spans="1:3" x14ac:dyDescent="0.2">
      <c r="A3126" s="341" t="s">
        <v>117</v>
      </c>
    </row>
    <row r="3127" spans="1:3" x14ac:dyDescent="0.2">
      <c r="A3127" s="341" t="s">
        <v>2547</v>
      </c>
    </row>
    <row r="3128" spans="1:3" x14ac:dyDescent="0.2">
      <c r="A3128" s="341" t="s">
        <v>639</v>
      </c>
    </row>
    <row r="3129" spans="1:3" x14ac:dyDescent="0.2">
      <c r="A3129" s="341"/>
    </row>
    <row r="3130" spans="1:3" x14ac:dyDescent="0.2">
      <c r="A3130" s="341"/>
      <c r="B3130" s="339" t="s">
        <v>2654</v>
      </c>
      <c r="C3130" s="340">
        <v>25</v>
      </c>
    </row>
    <row r="3131" spans="1:3" x14ac:dyDescent="0.2">
      <c r="A3131" s="341"/>
      <c r="B3131" s="339" t="s">
        <v>2649</v>
      </c>
      <c r="C3131" s="340">
        <v>15</v>
      </c>
    </row>
    <row r="3132" spans="1:3" x14ac:dyDescent="0.2">
      <c r="A3132" s="341"/>
      <c r="B3132" s="339" t="s">
        <v>349</v>
      </c>
      <c r="C3132" s="340">
        <v>12</v>
      </c>
    </row>
    <row r="3133" spans="1:3" x14ac:dyDescent="0.2">
      <c r="A3133" s="341"/>
      <c r="B3133" s="339" t="s">
        <v>2566</v>
      </c>
      <c r="C3133" s="340">
        <v>7</v>
      </c>
    </row>
    <row r="3134" spans="1:3" x14ac:dyDescent="0.2">
      <c r="A3134" s="341"/>
      <c r="B3134" s="339" t="s">
        <v>363</v>
      </c>
      <c r="C3134" s="340">
        <v>6</v>
      </c>
    </row>
    <row r="3135" spans="1:3" x14ac:dyDescent="0.2">
      <c r="A3135" s="341"/>
      <c r="B3135" s="339" t="s">
        <v>453</v>
      </c>
      <c r="C3135" s="340">
        <v>4</v>
      </c>
    </row>
    <row r="3136" spans="1:3" x14ac:dyDescent="0.2">
      <c r="A3136" s="341"/>
      <c r="B3136" s="339" t="s">
        <v>593</v>
      </c>
      <c r="C3136" s="340">
        <v>4</v>
      </c>
    </row>
    <row r="3137" spans="1:3" x14ac:dyDescent="0.2">
      <c r="A3137" s="341"/>
      <c r="B3137" s="339" t="s">
        <v>327</v>
      </c>
      <c r="C3137" s="340">
        <v>3</v>
      </c>
    </row>
    <row r="3138" spans="1:3" x14ac:dyDescent="0.2">
      <c r="A3138" s="341"/>
    </row>
    <row r="3139" spans="1:3" x14ac:dyDescent="0.2">
      <c r="A3139" s="338" t="s">
        <v>3580</v>
      </c>
    </row>
    <row r="3140" spans="1:3" x14ac:dyDescent="0.2">
      <c r="A3140" s="341" t="s">
        <v>1363</v>
      </c>
    </row>
    <row r="3141" spans="1:3" x14ac:dyDescent="0.2">
      <c r="A3141" s="341" t="s">
        <v>1375</v>
      </c>
    </row>
    <row r="3142" spans="1:3" x14ac:dyDescent="0.2">
      <c r="A3142" s="341" t="s">
        <v>118</v>
      </c>
    </row>
    <row r="3143" spans="1:3" x14ac:dyDescent="0.2">
      <c r="A3143" s="341" t="s">
        <v>2547</v>
      </c>
    </row>
    <row r="3144" spans="1:3" x14ac:dyDescent="0.2">
      <c r="A3144" s="341" t="s">
        <v>639</v>
      </c>
    </row>
    <row r="3145" spans="1:3" x14ac:dyDescent="0.2">
      <c r="A3145" s="341"/>
    </row>
    <row r="3146" spans="1:3" x14ac:dyDescent="0.2">
      <c r="A3146" s="341"/>
      <c r="B3146" s="339" t="s">
        <v>399</v>
      </c>
      <c r="C3146" s="340">
        <v>18</v>
      </c>
    </row>
    <row r="3147" spans="1:3" x14ac:dyDescent="0.2">
      <c r="A3147" s="341"/>
      <c r="B3147" s="339" t="s">
        <v>349</v>
      </c>
      <c r="C3147" s="340">
        <v>15</v>
      </c>
    </row>
    <row r="3148" spans="1:3" x14ac:dyDescent="0.2">
      <c r="A3148" s="341"/>
      <c r="B3148" s="339" t="s">
        <v>454</v>
      </c>
      <c r="C3148" s="340">
        <v>12</v>
      </c>
    </row>
    <row r="3149" spans="1:3" x14ac:dyDescent="0.2">
      <c r="A3149" s="341"/>
      <c r="B3149" s="339" t="s">
        <v>342</v>
      </c>
      <c r="C3149" s="340">
        <v>10</v>
      </c>
    </row>
    <row r="3150" spans="1:3" x14ac:dyDescent="0.2">
      <c r="A3150" s="341"/>
      <c r="B3150" s="339" t="s">
        <v>446</v>
      </c>
      <c r="C3150" s="340">
        <v>9</v>
      </c>
    </row>
    <row r="3151" spans="1:3" x14ac:dyDescent="0.2">
      <c r="A3151" s="341"/>
      <c r="B3151" s="339" t="s">
        <v>2579</v>
      </c>
      <c r="C3151" s="340">
        <v>7</v>
      </c>
    </row>
    <row r="3152" spans="1:3" x14ac:dyDescent="0.2">
      <c r="A3152" s="341"/>
      <c r="B3152" s="339" t="s">
        <v>394</v>
      </c>
      <c r="C3152" s="340">
        <v>6</v>
      </c>
    </row>
    <row r="3153" spans="1:3" x14ac:dyDescent="0.2">
      <c r="A3153" s="341"/>
      <c r="B3153" s="339" t="s">
        <v>2581</v>
      </c>
      <c r="C3153" s="340">
        <v>4</v>
      </c>
    </row>
    <row r="3154" spans="1:3" x14ac:dyDescent="0.2">
      <c r="A3154" s="341"/>
      <c r="B3154" s="339" t="s">
        <v>2594</v>
      </c>
      <c r="C3154" s="340">
        <v>4</v>
      </c>
    </row>
    <row r="3155" spans="1:3" x14ac:dyDescent="0.2">
      <c r="A3155" s="341"/>
      <c r="B3155" s="339" t="s">
        <v>2625</v>
      </c>
      <c r="C3155" s="340">
        <v>3</v>
      </c>
    </row>
    <row r="3156" spans="1:3" x14ac:dyDescent="0.2">
      <c r="A3156" s="341"/>
      <c r="B3156" s="339" t="s">
        <v>2642</v>
      </c>
      <c r="C3156" s="340">
        <v>3</v>
      </c>
    </row>
    <row r="3157" spans="1:3" x14ac:dyDescent="0.2">
      <c r="A3157" s="341"/>
      <c r="B3157" s="339" t="s">
        <v>527</v>
      </c>
      <c r="C3157" s="340">
        <v>2</v>
      </c>
    </row>
    <row r="3158" spans="1:3" x14ac:dyDescent="0.2">
      <c r="A3158" s="341"/>
    </row>
    <row r="3159" spans="1:3" x14ac:dyDescent="0.2">
      <c r="A3159" s="338" t="s">
        <v>3581</v>
      </c>
    </row>
    <row r="3160" spans="1:3" x14ac:dyDescent="0.2">
      <c r="A3160" s="341" t="s">
        <v>1363</v>
      </c>
    </row>
    <row r="3161" spans="1:3" x14ac:dyDescent="0.2">
      <c r="A3161" s="341" t="s">
        <v>1376</v>
      </c>
    </row>
    <row r="3162" spans="1:3" x14ac:dyDescent="0.2">
      <c r="A3162" s="341" t="s">
        <v>119</v>
      </c>
    </row>
    <row r="3163" spans="1:3" x14ac:dyDescent="0.2">
      <c r="A3163" s="341" t="s">
        <v>2548</v>
      </c>
    </row>
    <row r="3164" spans="1:3" x14ac:dyDescent="0.2">
      <c r="A3164" s="341" t="s">
        <v>639</v>
      </c>
    </row>
    <row r="3165" spans="1:3" x14ac:dyDescent="0.2">
      <c r="A3165" s="341"/>
    </row>
    <row r="3166" spans="1:3" x14ac:dyDescent="0.2">
      <c r="A3166" s="341"/>
      <c r="B3166" s="339" t="s">
        <v>445</v>
      </c>
      <c r="C3166" s="340">
        <v>50</v>
      </c>
    </row>
    <row r="3167" spans="1:3" x14ac:dyDescent="0.2">
      <c r="A3167" s="341"/>
      <c r="B3167" s="339" t="s">
        <v>376</v>
      </c>
      <c r="C3167" s="340">
        <v>45</v>
      </c>
    </row>
    <row r="3168" spans="1:3" x14ac:dyDescent="0.2">
      <c r="A3168" s="341"/>
      <c r="B3168" s="339" t="s">
        <v>400</v>
      </c>
      <c r="C3168" s="340">
        <v>35</v>
      </c>
    </row>
    <row r="3169" spans="1:3" x14ac:dyDescent="0.2">
      <c r="A3169" s="341"/>
      <c r="B3169" s="339" t="s">
        <v>340</v>
      </c>
      <c r="C3169" s="340">
        <v>25</v>
      </c>
    </row>
    <row r="3170" spans="1:3" x14ac:dyDescent="0.2">
      <c r="A3170" s="341"/>
      <c r="B3170" s="339" t="s">
        <v>364</v>
      </c>
      <c r="C3170" s="340">
        <v>8</v>
      </c>
    </row>
    <row r="3171" spans="1:3" x14ac:dyDescent="0.2">
      <c r="A3171" s="341"/>
      <c r="B3171" s="339" t="s">
        <v>1583</v>
      </c>
      <c r="C3171" s="340">
        <v>7</v>
      </c>
    </row>
    <row r="3172" spans="1:3" x14ac:dyDescent="0.2">
      <c r="A3172" s="341"/>
      <c r="B3172" s="339" t="s">
        <v>2575</v>
      </c>
      <c r="C3172" s="340">
        <v>7</v>
      </c>
    </row>
    <row r="3173" spans="1:3" x14ac:dyDescent="0.2">
      <c r="A3173" s="341"/>
      <c r="B3173" s="339" t="s">
        <v>415</v>
      </c>
      <c r="C3173" s="340">
        <v>3</v>
      </c>
    </row>
    <row r="3174" spans="1:3" x14ac:dyDescent="0.2">
      <c r="A3174" s="341"/>
    </row>
    <row r="3175" spans="1:3" x14ac:dyDescent="0.2">
      <c r="A3175" s="338" t="s">
        <v>3582</v>
      </c>
    </row>
    <row r="3176" spans="1:3" x14ac:dyDescent="0.2">
      <c r="A3176" s="341" t="s">
        <v>1363</v>
      </c>
    </row>
    <row r="3177" spans="1:3" x14ac:dyDescent="0.2">
      <c r="A3177" s="341" t="s">
        <v>1377</v>
      </c>
    </row>
    <row r="3178" spans="1:3" x14ac:dyDescent="0.2">
      <c r="A3178" s="341" t="s">
        <v>120</v>
      </c>
    </row>
    <row r="3179" spans="1:3" x14ac:dyDescent="0.2">
      <c r="A3179" s="341" t="s">
        <v>2547</v>
      </c>
    </row>
    <row r="3180" spans="1:3" x14ac:dyDescent="0.2">
      <c r="A3180" s="341" t="s">
        <v>639</v>
      </c>
    </row>
    <row r="3181" spans="1:3" x14ac:dyDescent="0.2">
      <c r="A3181" s="341"/>
    </row>
    <row r="3182" spans="1:3" x14ac:dyDescent="0.2">
      <c r="A3182" s="341"/>
      <c r="B3182" s="339" t="s">
        <v>364</v>
      </c>
      <c r="C3182" s="340">
        <v>45</v>
      </c>
    </row>
    <row r="3183" spans="1:3" x14ac:dyDescent="0.2">
      <c r="A3183" s="341"/>
      <c r="B3183" s="339" t="s">
        <v>2575</v>
      </c>
      <c r="C3183" s="340">
        <v>20</v>
      </c>
    </row>
    <row r="3184" spans="1:3" x14ac:dyDescent="0.2">
      <c r="A3184" s="341"/>
      <c r="B3184" s="339" t="s">
        <v>2666</v>
      </c>
      <c r="C3184" s="340">
        <v>11</v>
      </c>
    </row>
    <row r="3185" spans="1:3" x14ac:dyDescent="0.2">
      <c r="A3185" s="341"/>
      <c r="B3185" s="339" t="s">
        <v>3151</v>
      </c>
      <c r="C3185" s="340">
        <v>10</v>
      </c>
    </row>
    <row r="3186" spans="1:3" x14ac:dyDescent="0.2">
      <c r="A3186" s="341"/>
      <c r="B3186" s="339" t="s">
        <v>350</v>
      </c>
      <c r="C3186" s="340">
        <v>8</v>
      </c>
    </row>
    <row r="3187" spans="1:3" x14ac:dyDescent="0.2">
      <c r="A3187" s="341"/>
      <c r="B3187" s="339" t="s">
        <v>445</v>
      </c>
      <c r="C3187" s="340">
        <v>7</v>
      </c>
    </row>
    <row r="3188" spans="1:3" x14ac:dyDescent="0.2">
      <c r="A3188" s="341"/>
      <c r="B3188" s="339" t="s">
        <v>2654</v>
      </c>
      <c r="C3188" s="340">
        <v>4</v>
      </c>
    </row>
    <row r="3189" spans="1:3" x14ac:dyDescent="0.2">
      <c r="A3189" s="341"/>
      <c r="B3189" s="339" t="s">
        <v>2626</v>
      </c>
      <c r="C3189" s="340">
        <v>4</v>
      </c>
    </row>
    <row r="3190" spans="1:3" x14ac:dyDescent="0.2">
      <c r="A3190" s="341"/>
      <c r="B3190" s="339" t="s">
        <v>2573</v>
      </c>
      <c r="C3190" s="340">
        <v>3</v>
      </c>
    </row>
    <row r="3191" spans="1:3" x14ac:dyDescent="0.2">
      <c r="A3191" s="341"/>
      <c r="B3191" s="339" t="s">
        <v>2642</v>
      </c>
      <c r="C3191" s="340">
        <v>3</v>
      </c>
    </row>
    <row r="3192" spans="1:3" x14ac:dyDescent="0.2">
      <c r="A3192" s="341"/>
      <c r="B3192" s="339" t="s">
        <v>415</v>
      </c>
      <c r="C3192" s="340">
        <v>3</v>
      </c>
    </row>
    <row r="3193" spans="1:3" x14ac:dyDescent="0.2">
      <c r="A3193" s="341"/>
      <c r="B3193" s="339" t="s">
        <v>593</v>
      </c>
      <c r="C3193" s="340">
        <v>3</v>
      </c>
    </row>
    <row r="3194" spans="1:3" x14ac:dyDescent="0.2">
      <c r="A3194" s="341"/>
      <c r="B3194" s="339" t="s">
        <v>400</v>
      </c>
      <c r="C3194" s="340">
        <v>2</v>
      </c>
    </row>
    <row r="3195" spans="1:3" x14ac:dyDescent="0.2">
      <c r="A3195" s="341"/>
    </row>
    <row r="3196" spans="1:3" x14ac:dyDescent="0.2">
      <c r="A3196" s="338" t="s">
        <v>3583</v>
      </c>
    </row>
    <row r="3197" spans="1:3" x14ac:dyDescent="0.2">
      <c r="A3197" s="341" t="s">
        <v>1363</v>
      </c>
    </row>
    <row r="3198" spans="1:3" x14ac:dyDescent="0.2">
      <c r="A3198" s="341" t="s">
        <v>1378</v>
      </c>
    </row>
    <row r="3199" spans="1:3" x14ac:dyDescent="0.2">
      <c r="A3199" s="341" t="s">
        <v>121</v>
      </c>
    </row>
    <row r="3200" spans="1:3" x14ac:dyDescent="0.2">
      <c r="A3200" s="341" t="s">
        <v>2547</v>
      </c>
    </row>
    <row r="3201" spans="1:3" x14ac:dyDescent="0.2">
      <c r="A3201" s="341" t="s">
        <v>639</v>
      </c>
    </row>
    <row r="3202" spans="1:3" x14ac:dyDescent="0.2">
      <c r="A3202" s="341"/>
    </row>
    <row r="3203" spans="1:3" x14ac:dyDescent="0.2">
      <c r="A3203" s="341"/>
      <c r="B3203" s="339" t="s">
        <v>2629</v>
      </c>
      <c r="C3203" s="340">
        <v>75</v>
      </c>
    </row>
    <row r="3204" spans="1:3" x14ac:dyDescent="0.2">
      <c r="A3204" s="341"/>
      <c r="B3204" s="339" t="s">
        <v>394</v>
      </c>
      <c r="C3204" s="340">
        <v>12</v>
      </c>
    </row>
    <row r="3205" spans="1:3" x14ac:dyDescent="0.2">
      <c r="A3205" s="341"/>
      <c r="B3205" s="339" t="s">
        <v>350</v>
      </c>
      <c r="C3205" s="340">
        <v>9</v>
      </c>
    </row>
    <row r="3206" spans="1:3" x14ac:dyDescent="0.2">
      <c r="A3206" s="341"/>
      <c r="B3206" s="339" t="s">
        <v>349</v>
      </c>
      <c r="C3206" s="340">
        <v>9</v>
      </c>
    </row>
    <row r="3207" spans="1:3" x14ac:dyDescent="0.2">
      <c r="A3207" s="341"/>
      <c r="B3207" s="339" t="s">
        <v>364</v>
      </c>
      <c r="C3207" s="340">
        <v>8</v>
      </c>
    </row>
    <row r="3208" spans="1:3" x14ac:dyDescent="0.2">
      <c r="A3208" s="341"/>
      <c r="B3208" s="339" t="s">
        <v>2575</v>
      </c>
      <c r="C3208" s="340">
        <v>7</v>
      </c>
    </row>
    <row r="3209" spans="1:3" x14ac:dyDescent="0.2">
      <c r="A3209" s="341"/>
      <c r="B3209" s="339" t="s">
        <v>400</v>
      </c>
      <c r="C3209" s="340">
        <v>6</v>
      </c>
    </row>
    <row r="3210" spans="1:3" x14ac:dyDescent="0.2">
      <c r="A3210" s="341"/>
      <c r="B3210" s="339" t="s">
        <v>3388</v>
      </c>
      <c r="C3210" s="340">
        <v>5</v>
      </c>
    </row>
    <row r="3211" spans="1:3" x14ac:dyDescent="0.2">
      <c r="A3211" s="341"/>
      <c r="B3211" s="339" t="s">
        <v>2566</v>
      </c>
      <c r="C3211" s="340">
        <v>2</v>
      </c>
    </row>
    <row r="3212" spans="1:3" x14ac:dyDescent="0.2">
      <c r="A3212" s="341"/>
      <c r="B3212" s="339" t="s">
        <v>593</v>
      </c>
      <c r="C3212" s="340">
        <v>1</v>
      </c>
    </row>
    <row r="3213" spans="1:3" x14ac:dyDescent="0.2">
      <c r="A3213" s="341"/>
    </row>
    <row r="3214" spans="1:3" x14ac:dyDescent="0.2">
      <c r="A3214" s="338" t="s">
        <v>3584</v>
      </c>
    </row>
    <row r="3215" spans="1:3" x14ac:dyDescent="0.2">
      <c r="A3215" s="341" t="s">
        <v>1363</v>
      </c>
    </row>
    <row r="3216" spans="1:3" x14ac:dyDescent="0.2">
      <c r="A3216" s="341" t="s">
        <v>1379</v>
      </c>
    </row>
    <row r="3217" spans="1:3" x14ac:dyDescent="0.2">
      <c r="A3217" s="341" t="s">
        <v>122</v>
      </c>
    </row>
    <row r="3218" spans="1:3" x14ac:dyDescent="0.2">
      <c r="A3218" s="341" t="s">
        <v>2547</v>
      </c>
    </row>
    <row r="3219" spans="1:3" x14ac:dyDescent="0.2">
      <c r="A3219" s="341" t="s">
        <v>639</v>
      </c>
    </row>
    <row r="3220" spans="1:3" x14ac:dyDescent="0.2">
      <c r="A3220" s="341"/>
    </row>
    <row r="3221" spans="1:3" x14ac:dyDescent="0.2">
      <c r="A3221" s="341"/>
      <c r="B3221" s="339" t="s">
        <v>446</v>
      </c>
      <c r="C3221" s="340">
        <v>50</v>
      </c>
    </row>
    <row r="3222" spans="1:3" x14ac:dyDescent="0.2">
      <c r="A3222" s="341"/>
      <c r="B3222" s="339" t="s">
        <v>399</v>
      </c>
      <c r="C3222" s="340">
        <v>20</v>
      </c>
    </row>
    <row r="3223" spans="1:3" x14ac:dyDescent="0.2">
      <c r="A3223" s="341"/>
      <c r="B3223" s="339" t="s">
        <v>2649</v>
      </c>
      <c r="C3223" s="340">
        <v>10</v>
      </c>
    </row>
    <row r="3224" spans="1:3" x14ac:dyDescent="0.2">
      <c r="A3224" s="341"/>
      <c r="B3224" s="339" t="s">
        <v>615</v>
      </c>
      <c r="C3224" s="340">
        <v>9</v>
      </c>
    </row>
    <row r="3225" spans="1:3" x14ac:dyDescent="0.2">
      <c r="A3225" s="341"/>
      <c r="B3225" s="339" t="s">
        <v>349</v>
      </c>
      <c r="C3225" s="340">
        <v>8</v>
      </c>
    </row>
    <row r="3226" spans="1:3" x14ac:dyDescent="0.2">
      <c r="A3226" s="341"/>
      <c r="B3226" s="339" t="s">
        <v>2565</v>
      </c>
      <c r="C3226" s="340">
        <v>8</v>
      </c>
    </row>
    <row r="3227" spans="1:3" x14ac:dyDescent="0.2">
      <c r="A3227" s="341"/>
      <c r="B3227" s="339" t="s">
        <v>395</v>
      </c>
      <c r="C3227" s="340">
        <v>7</v>
      </c>
    </row>
    <row r="3228" spans="1:3" x14ac:dyDescent="0.2">
      <c r="A3228" s="341"/>
      <c r="B3228" s="339" t="s">
        <v>432</v>
      </c>
      <c r="C3228" s="340">
        <v>6</v>
      </c>
    </row>
    <row r="3229" spans="1:3" x14ac:dyDescent="0.2">
      <c r="A3229" s="341"/>
      <c r="B3229" s="339" t="s">
        <v>394</v>
      </c>
      <c r="C3229" s="340">
        <v>5</v>
      </c>
    </row>
    <row r="3230" spans="1:3" x14ac:dyDescent="0.2">
      <c r="A3230" s="341"/>
      <c r="B3230" s="339" t="s">
        <v>350</v>
      </c>
      <c r="C3230" s="340">
        <v>4</v>
      </c>
    </row>
    <row r="3231" spans="1:3" x14ac:dyDescent="0.2">
      <c r="A3231" s="341"/>
      <c r="B3231" s="339" t="s">
        <v>400</v>
      </c>
      <c r="C3231" s="340">
        <v>4</v>
      </c>
    </row>
    <row r="3232" spans="1:3" x14ac:dyDescent="0.2">
      <c r="A3232" s="341"/>
      <c r="B3232" s="339" t="s">
        <v>2599</v>
      </c>
      <c r="C3232" s="340">
        <v>4</v>
      </c>
    </row>
    <row r="3233" spans="1:3" x14ac:dyDescent="0.2">
      <c r="A3233" s="341"/>
      <c r="B3233" s="339" t="s">
        <v>2603</v>
      </c>
      <c r="C3233" s="340">
        <v>2</v>
      </c>
    </row>
    <row r="3234" spans="1:3" x14ac:dyDescent="0.2">
      <c r="A3234" s="341"/>
      <c r="B3234" s="339" t="s">
        <v>2600</v>
      </c>
      <c r="C3234" s="340">
        <v>2</v>
      </c>
    </row>
    <row r="3235" spans="1:3" x14ac:dyDescent="0.2">
      <c r="A3235" s="341"/>
      <c r="B3235" s="339" t="s">
        <v>415</v>
      </c>
      <c r="C3235" s="340">
        <v>2</v>
      </c>
    </row>
    <row r="3236" spans="1:3" x14ac:dyDescent="0.2">
      <c r="A3236" s="341"/>
    </row>
    <row r="3237" spans="1:3" x14ac:dyDescent="0.2">
      <c r="A3237" s="338" t="s">
        <v>3585</v>
      </c>
    </row>
    <row r="3238" spans="1:3" x14ac:dyDescent="0.2">
      <c r="A3238" s="341" t="s">
        <v>1363</v>
      </c>
    </row>
    <row r="3239" spans="1:3" x14ac:dyDescent="0.2">
      <c r="A3239" s="341" t="s">
        <v>1380</v>
      </c>
    </row>
    <row r="3240" spans="1:3" x14ac:dyDescent="0.2">
      <c r="A3240" s="341" t="s">
        <v>123</v>
      </c>
    </row>
    <row r="3241" spans="1:3" x14ac:dyDescent="0.2">
      <c r="A3241" s="341" t="s">
        <v>2547</v>
      </c>
    </row>
    <row r="3242" spans="1:3" x14ac:dyDescent="0.2">
      <c r="A3242" s="341" t="s">
        <v>639</v>
      </c>
    </row>
    <row r="3243" spans="1:3" x14ac:dyDescent="0.2">
      <c r="A3243" s="341"/>
    </row>
    <row r="3244" spans="1:3" x14ac:dyDescent="0.2">
      <c r="A3244" s="341"/>
      <c r="B3244" s="339" t="s">
        <v>399</v>
      </c>
      <c r="C3244" s="340">
        <v>40</v>
      </c>
    </row>
    <row r="3245" spans="1:3" x14ac:dyDescent="0.2">
      <c r="A3245" s="341"/>
      <c r="B3245" s="339" t="s">
        <v>400</v>
      </c>
      <c r="C3245" s="340">
        <v>18</v>
      </c>
    </row>
    <row r="3246" spans="1:3" x14ac:dyDescent="0.2">
      <c r="A3246" s="341"/>
      <c r="B3246" s="339" t="s">
        <v>2649</v>
      </c>
      <c r="C3246" s="340">
        <v>10</v>
      </c>
    </row>
    <row r="3247" spans="1:3" x14ac:dyDescent="0.2">
      <c r="A3247" s="341"/>
      <c r="B3247" s="339" t="s">
        <v>432</v>
      </c>
      <c r="C3247" s="340">
        <v>9</v>
      </c>
    </row>
    <row r="3248" spans="1:3" x14ac:dyDescent="0.2">
      <c r="A3248" s="341"/>
      <c r="B3248" s="339" t="s">
        <v>349</v>
      </c>
      <c r="C3248" s="340">
        <v>6</v>
      </c>
    </row>
    <row r="3249" spans="1:3" x14ac:dyDescent="0.2">
      <c r="A3249" s="341"/>
      <c r="B3249" s="339" t="s">
        <v>441</v>
      </c>
      <c r="C3249" s="340">
        <v>5</v>
      </c>
    </row>
    <row r="3250" spans="1:3" x14ac:dyDescent="0.2">
      <c r="A3250" s="341"/>
      <c r="B3250" s="339" t="s">
        <v>355</v>
      </c>
      <c r="C3250" s="340">
        <v>3</v>
      </c>
    </row>
    <row r="3251" spans="1:3" x14ac:dyDescent="0.2">
      <c r="A3251" s="341"/>
      <c r="B3251" s="339" t="s">
        <v>415</v>
      </c>
      <c r="C3251" s="340">
        <v>3</v>
      </c>
    </row>
    <row r="3252" spans="1:3" x14ac:dyDescent="0.2">
      <c r="A3252" s="341"/>
      <c r="B3252" s="339" t="s">
        <v>394</v>
      </c>
      <c r="C3252" s="340">
        <v>2</v>
      </c>
    </row>
    <row r="3253" spans="1:3" x14ac:dyDescent="0.2">
      <c r="A3253" s="341"/>
      <c r="B3253" s="339" t="s">
        <v>615</v>
      </c>
      <c r="C3253" s="340">
        <v>2</v>
      </c>
    </row>
    <row r="3254" spans="1:3" x14ac:dyDescent="0.2">
      <c r="A3254" s="341"/>
    </row>
    <row r="3255" spans="1:3" x14ac:dyDescent="0.2">
      <c r="A3255" s="338" t="s">
        <v>3586</v>
      </c>
    </row>
    <row r="3256" spans="1:3" x14ac:dyDescent="0.2">
      <c r="A3256" s="341" t="s">
        <v>1363</v>
      </c>
    </row>
    <row r="3257" spans="1:3" x14ac:dyDescent="0.2">
      <c r="A3257" s="341" t="s">
        <v>1381</v>
      </c>
    </row>
    <row r="3258" spans="1:3" x14ac:dyDescent="0.2">
      <c r="A3258" s="341" t="s">
        <v>124</v>
      </c>
    </row>
    <row r="3259" spans="1:3" x14ac:dyDescent="0.2">
      <c r="A3259" s="341" t="s">
        <v>2547</v>
      </c>
    </row>
    <row r="3260" spans="1:3" x14ac:dyDescent="0.2">
      <c r="A3260" s="341" t="s">
        <v>639</v>
      </c>
    </row>
    <row r="3261" spans="1:3" x14ac:dyDescent="0.2">
      <c r="A3261" s="341"/>
    </row>
    <row r="3262" spans="1:3" x14ac:dyDescent="0.2">
      <c r="A3262" s="341"/>
      <c r="B3262" s="339" t="s">
        <v>2811</v>
      </c>
      <c r="C3262" s="340">
        <v>15</v>
      </c>
    </row>
    <row r="3263" spans="1:3" x14ac:dyDescent="0.2">
      <c r="A3263" s="341"/>
      <c r="B3263" s="339" t="s">
        <v>416</v>
      </c>
      <c r="C3263" s="340">
        <v>15</v>
      </c>
    </row>
    <row r="3264" spans="1:3" x14ac:dyDescent="0.2">
      <c r="A3264" s="341"/>
      <c r="B3264" s="339" t="s">
        <v>526</v>
      </c>
      <c r="C3264" s="340">
        <v>15</v>
      </c>
    </row>
    <row r="3265" spans="1:3" x14ac:dyDescent="0.2">
      <c r="A3265" s="341"/>
      <c r="B3265" s="339" t="s">
        <v>421</v>
      </c>
      <c r="C3265" s="340">
        <v>12</v>
      </c>
    </row>
    <row r="3266" spans="1:3" x14ac:dyDescent="0.2">
      <c r="A3266" s="341"/>
      <c r="B3266" s="339" t="s">
        <v>2649</v>
      </c>
      <c r="C3266" s="340">
        <v>8</v>
      </c>
    </row>
    <row r="3267" spans="1:3" x14ac:dyDescent="0.2">
      <c r="A3267" s="341"/>
      <c r="B3267" s="339" t="s">
        <v>2576</v>
      </c>
      <c r="C3267" s="340">
        <v>6</v>
      </c>
    </row>
    <row r="3268" spans="1:3" x14ac:dyDescent="0.2">
      <c r="A3268" s="341"/>
      <c r="B3268" s="339" t="s">
        <v>350</v>
      </c>
      <c r="C3268" s="340">
        <v>4</v>
      </c>
    </row>
    <row r="3269" spans="1:3" x14ac:dyDescent="0.2">
      <c r="A3269" s="341"/>
      <c r="B3269" s="339" t="s">
        <v>2629</v>
      </c>
      <c r="C3269" s="340">
        <v>4</v>
      </c>
    </row>
    <row r="3270" spans="1:3" x14ac:dyDescent="0.2">
      <c r="A3270" s="341"/>
      <c r="B3270" s="339" t="s">
        <v>394</v>
      </c>
      <c r="C3270" s="340">
        <v>3</v>
      </c>
    </row>
    <row r="3271" spans="1:3" x14ac:dyDescent="0.2">
      <c r="A3271" s="341"/>
      <c r="B3271" s="339" t="s">
        <v>1928</v>
      </c>
      <c r="C3271" s="340">
        <v>2</v>
      </c>
    </row>
    <row r="3272" spans="1:3" x14ac:dyDescent="0.2">
      <c r="A3272" s="341"/>
      <c r="B3272" s="339" t="s">
        <v>418</v>
      </c>
      <c r="C3272" s="340">
        <v>1</v>
      </c>
    </row>
    <row r="3273" spans="1:3" x14ac:dyDescent="0.2">
      <c r="A3273" s="341"/>
    </row>
    <row r="3274" spans="1:3" x14ac:dyDescent="0.2">
      <c r="A3274" s="338" t="s">
        <v>3587</v>
      </c>
    </row>
    <row r="3275" spans="1:3" x14ac:dyDescent="0.2">
      <c r="A3275" s="341" t="s">
        <v>1363</v>
      </c>
    </row>
    <row r="3276" spans="1:3" x14ac:dyDescent="0.2">
      <c r="A3276" s="341" t="s">
        <v>1382</v>
      </c>
    </row>
    <row r="3277" spans="1:3" x14ac:dyDescent="0.2">
      <c r="A3277" s="341" t="s">
        <v>125</v>
      </c>
    </row>
    <row r="3278" spans="1:3" x14ac:dyDescent="0.2">
      <c r="A3278" s="341" t="s">
        <v>2549</v>
      </c>
    </row>
    <row r="3279" spans="1:3" x14ac:dyDescent="0.2">
      <c r="A3279" s="341" t="s">
        <v>639</v>
      </c>
    </row>
    <row r="3280" spans="1:3" x14ac:dyDescent="0.2">
      <c r="A3280" s="341"/>
    </row>
    <row r="3281" spans="1:3" x14ac:dyDescent="0.2">
      <c r="A3281" s="341"/>
      <c r="B3281" s="339" t="s">
        <v>392</v>
      </c>
      <c r="C3281" s="340">
        <v>60</v>
      </c>
    </row>
    <row r="3282" spans="1:3" x14ac:dyDescent="0.2">
      <c r="A3282" s="341"/>
      <c r="B3282" s="339" t="s">
        <v>424</v>
      </c>
      <c r="C3282" s="340">
        <v>9</v>
      </c>
    </row>
    <row r="3283" spans="1:3" x14ac:dyDescent="0.2">
      <c r="A3283" s="341"/>
      <c r="B3283" s="339" t="s">
        <v>404</v>
      </c>
      <c r="C3283" s="340">
        <v>7</v>
      </c>
    </row>
    <row r="3284" spans="1:3" x14ac:dyDescent="0.2">
      <c r="A3284" s="341"/>
      <c r="B3284" s="339" t="s">
        <v>401</v>
      </c>
      <c r="C3284" s="340">
        <v>7</v>
      </c>
    </row>
    <row r="3285" spans="1:3" x14ac:dyDescent="0.2">
      <c r="A3285" s="341"/>
      <c r="B3285" s="339" t="s">
        <v>351</v>
      </c>
      <c r="C3285" s="340">
        <v>6</v>
      </c>
    </row>
    <row r="3286" spans="1:3" x14ac:dyDescent="0.2">
      <c r="A3286" s="341"/>
      <c r="B3286" s="339" t="s">
        <v>2725</v>
      </c>
      <c r="C3286" s="340">
        <v>3</v>
      </c>
    </row>
    <row r="3287" spans="1:3" x14ac:dyDescent="0.2">
      <c r="A3287" s="341"/>
      <c r="B3287" s="339" t="s">
        <v>2648</v>
      </c>
      <c r="C3287" s="340">
        <v>2</v>
      </c>
    </row>
    <row r="3288" spans="1:3" x14ac:dyDescent="0.2">
      <c r="A3288" s="341"/>
      <c r="B3288" s="339" t="s">
        <v>2600</v>
      </c>
      <c r="C3288" s="340">
        <v>2</v>
      </c>
    </row>
    <row r="3289" spans="1:3" x14ac:dyDescent="0.2">
      <c r="A3289" s="341"/>
      <c r="B3289" s="339" t="s">
        <v>457</v>
      </c>
      <c r="C3289" s="340">
        <v>1</v>
      </c>
    </row>
    <row r="3290" spans="1:3" x14ac:dyDescent="0.2">
      <c r="A3290" s="341"/>
    </row>
    <row r="3291" spans="1:3" x14ac:dyDescent="0.2">
      <c r="A3291" s="338" t="s">
        <v>3588</v>
      </c>
    </row>
    <row r="3292" spans="1:3" x14ac:dyDescent="0.2">
      <c r="A3292" s="341" t="s">
        <v>1363</v>
      </c>
    </row>
    <row r="3293" spans="1:3" x14ac:dyDescent="0.2">
      <c r="A3293" s="341" t="s">
        <v>1383</v>
      </c>
    </row>
    <row r="3294" spans="1:3" x14ac:dyDescent="0.2">
      <c r="A3294" s="341" t="s">
        <v>126</v>
      </c>
    </row>
    <row r="3295" spans="1:3" x14ac:dyDescent="0.2">
      <c r="A3295" s="341" t="s">
        <v>2543</v>
      </c>
    </row>
    <row r="3296" spans="1:3" x14ac:dyDescent="0.2">
      <c r="A3296" s="341" t="s">
        <v>639</v>
      </c>
    </row>
    <row r="3297" spans="1:3" x14ac:dyDescent="0.2">
      <c r="A3297" s="341"/>
    </row>
    <row r="3298" spans="1:3" x14ac:dyDescent="0.2">
      <c r="A3298" s="341"/>
      <c r="B3298" s="339" t="s">
        <v>392</v>
      </c>
      <c r="C3298" s="340">
        <v>50</v>
      </c>
    </row>
    <row r="3299" spans="1:3" x14ac:dyDescent="0.2">
      <c r="A3299" s="341"/>
      <c r="B3299" s="339" t="s">
        <v>2725</v>
      </c>
      <c r="C3299" s="340">
        <v>30</v>
      </c>
    </row>
    <row r="3300" spans="1:3" x14ac:dyDescent="0.2">
      <c r="A3300" s="341"/>
      <c r="B3300" s="339" t="s">
        <v>405</v>
      </c>
      <c r="C3300" s="340">
        <v>20</v>
      </c>
    </row>
    <row r="3301" spans="1:3" x14ac:dyDescent="0.2">
      <c r="A3301" s="341"/>
      <c r="B3301" s="339" t="s">
        <v>395</v>
      </c>
      <c r="C3301" s="340">
        <v>15</v>
      </c>
    </row>
    <row r="3302" spans="1:3" x14ac:dyDescent="0.2">
      <c r="A3302" s="341"/>
      <c r="B3302" s="339" t="s">
        <v>394</v>
      </c>
      <c r="C3302" s="340">
        <v>9</v>
      </c>
    </row>
    <row r="3303" spans="1:3" x14ac:dyDescent="0.2">
      <c r="A3303" s="341"/>
      <c r="B3303" s="339" t="s">
        <v>342</v>
      </c>
      <c r="C3303" s="340">
        <v>8</v>
      </c>
    </row>
    <row r="3304" spans="1:3" x14ac:dyDescent="0.2">
      <c r="A3304" s="341"/>
      <c r="B3304" s="339" t="s">
        <v>404</v>
      </c>
      <c r="C3304" s="340">
        <v>7</v>
      </c>
    </row>
    <row r="3305" spans="1:3" x14ac:dyDescent="0.2">
      <c r="A3305" s="341"/>
      <c r="B3305" s="339" t="s">
        <v>368</v>
      </c>
      <c r="C3305" s="340">
        <v>4</v>
      </c>
    </row>
    <row r="3306" spans="1:3" x14ac:dyDescent="0.2">
      <c r="A3306" s="341"/>
      <c r="B3306" s="339" t="s">
        <v>444</v>
      </c>
      <c r="C3306" s="340">
        <v>2</v>
      </c>
    </row>
    <row r="3307" spans="1:3" x14ac:dyDescent="0.2">
      <c r="A3307" s="341"/>
    </row>
    <row r="3308" spans="1:3" x14ac:dyDescent="0.2">
      <c r="A3308" s="338" t="s">
        <v>3589</v>
      </c>
    </row>
    <row r="3309" spans="1:3" x14ac:dyDescent="0.2">
      <c r="A3309" s="341" t="s">
        <v>1363</v>
      </c>
    </row>
    <row r="3310" spans="1:3" x14ac:dyDescent="0.2">
      <c r="A3310" s="341" t="s">
        <v>1384</v>
      </c>
    </row>
    <row r="3311" spans="1:3" x14ac:dyDescent="0.2">
      <c r="A3311" s="341" t="s">
        <v>127</v>
      </c>
    </row>
    <row r="3312" spans="1:3" x14ac:dyDescent="0.2">
      <c r="A3312" s="341" t="s">
        <v>2543</v>
      </c>
    </row>
    <row r="3313" spans="1:3" x14ac:dyDescent="0.2">
      <c r="A3313" s="341" t="s">
        <v>639</v>
      </c>
    </row>
    <row r="3314" spans="1:3" x14ac:dyDescent="0.2">
      <c r="A3314" s="341"/>
    </row>
    <row r="3315" spans="1:3" x14ac:dyDescent="0.2">
      <c r="A3315" s="341"/>
      <c r="B3315" s="339" t="s">
        <v>405</v>
      </c>
      <c r="C3315" s="340">
        <v>25</v>
      </c>
    </row>
    <row r="3316" spans="1:3" x14ac:dyDescent="0.2">
      <c r="A3316" s="341"/>
      <c r="B3316" s="339" t="s">
        <v>394</v>
      </c>
      <c r="C3316" s="340">
        <v>18</v>
      </c>
    </row>
    <row r="3317" spans="1:3" x14ac:dyDescent="0.2">
      <c r="A3317" s="341"/>
      <c r="B3317" s="339" t="s">
        <v>376</v>
      </c>
      <c r="C3317" s="340">
        <v>12</v>
      </c>
    </row>
    <row r="3318" spans="1:3" x14ac:dyDescent="0.2">
      <c r="A3318" s="341"/>
      <c r="B3318" s="339" t="s">
        <v>395</v>
      </c>
      <c r="C3318" s="340">
        <v>11</v>
      </c>
    </row>
    <row r="3319" spans="1:3" x14ac:dyDescent="0.2">
      <c r="A3319" s="341"/>
      <c r="B3319" s="339" t="s">
        <v>401</v>
      </c>
      <c r="C3319" s="340">
        <v>7</v>
      </c>
    </row>
    <row r="3320" spans="1:3" x14ac:dyDescent="0.2">
      <c r="A3320" s="341"/>
      <c r="B3320" s="339" t="s">
        <v>2725</v>
      </c>
      <c r="C3320" s="340">
        <v>6</v>
      </c>
    </row>
    <row r="3321" spans="1:3" x14ac:dyDescent="0.2">
      <c r="A3321" s="341"/>
      <c r="B3321" s="339" t="s">
        <v>404</v>
      </c>
      <c r="C3321" s="340">
        <v>4</v>
      </c>
    </row>
    <row r="3322" spans="1:3" x14ac:dyDescent="0.2">
      <c r="A3322" s="341"/>
      <c r="B3322" s="339" t="s">
        <v>392</v>
      </c>
      <c r="C3322" s="340">
        <v>2</v>
      </c>
    </row>
    <row r="3323" spans="1:3" x14ac:dyDescent="0.2">
      <c r="A3323" s="341"/>
    </row>
    <row r="3324" spans="1:3" x14ac:dyDescent="0.2">
      <c r="A3324" s="338" t="s">
        <v>3590</v>
      </c>
    </row>
    <row r="3325" spans="1:3" x14ac:dyDescent="0.2">
      <c r="A3325" s="341" t="s">
        <v>1363</v>
      </c>
    </row>
    <row r="3326" spans="1:3" x14ac:dyDescent="0.2">
      <c r="A3326" s="341" t="s">
        <v>1385</v>
      </c>
    </row>
    <row r="3327" spans="1:3" x14ac:dyDescent="0.2">
      <c r="A3327" s="341" t="s">
        <v>128</v>
      </c>
    </row>
    <row r="3328" spans="1:3" x14ac:dyDescent="0.2">
      <c r="A3328" s="341" t="s">
        <v>2543</v>
      </c>
    </row>
    <row r="3329" spans="1:3" x14ac:dyDescent="0.2">
      <c r="A3329" s="341" t="s">
        <v>639</v>
      </c>
    </row>
    <row r="3330" spans="1:3" x14ac:dyDescent="0.2">
      <c r="A3330" s="341"/>
    </row>
    <row r="3331" spans="1:3" x14ac:dyDescent="0.2">
      <c r="A3331" s="341"/>
      <c r="B3331" s="339" t="s">
        <v>2725</v>
      </c>
      <c r="C3331" s="340">
        <v>75</v>
      </c>
    </row>
    <row r="3332" spans="1:3" x14ac:dyDescent="0.2">
      <c r="A3332" s="341"/>
      <c r="B3332" s="339" t="s">
        <v>395</v>
      </c>
      <c r="C3332" s="340">
        <v>20</v>
      </c>
    </row>
    <row r="3333" spans="1:3" x14ac:dyDescent="0.2">
      <c r="A3333" s="341"/>
      <c r="B3333" s="339" t="s">
        <v>405</v>
      </c>
      <c r="C3333" s="340">
        <v>10</v>
      </c>
    </row>
    <row r="3334" spans="1:3" x14ac:dyDescent="0.2">
      <c r="A3334" s="341"/>
      <c r="B3334" s="339" t="s">
        <v>415</v>
      </c>
      <c r="C3334" s="340">
        <v>10</v>
      </c>
    </row>
    <row r="3335" spans="1:3" x14ac:dyDescent="0.2">
      <c r="A3335" s="341"/>
      <c r="B3335" s="339" t="s">
        <v>342</v>
      </c>
      <c r="C3335" s="340">
        <v>10</v>
      </c>
    </row>
    <row r="3336" spans="1:3" x14ac:dyDescent="0.2">
      <c r="A3336" s="341"/>
      <c r="B3336" s="339" t="s">
        <v>404</v>
      </c>
      <c r="C3336" s="340">
        <v>8</v>
      </c>
    </row>
    <row r="3337" spans="1:3" x14ac:dyDescent="0.2">
      <c r="A3337" s="341"/>
      <c r="B3337" s="339" t="s">
        <v>2579</v>
      </c>
      <c r="C3337" s="340">
        <v>3</v>
      </c>
    </row>
    <row r="3338" spans="1:3" x14ac:dyDescent="0.2">
      <c r="A3338" s="341"/>
      <c r="B3338" s="339" t="s">
        <v>2602</v>
      </c>
      <c r="C3338" s="340">
        <v>3</v>
      </c>
    </row>
    <row r="3339" spans="1:3" x14ac:dyDescent="0.2">
      <c r="A3339" s="341"/>
      <c r="B3339" s="339" t="s">
        <v>444</v>
      </c>
      <c r="C3339" s="340">
        <v>2</v>
      </c>
    </row>
    <row r="3340" spans="1:3" x14ac:dyDescent="0.2">
      <c r="A3340" s="341"/>
      <c r="B3340" s="339" t="s">
        <v>394</v>
      </c>
      <c r="C3340" s="340">
        <v>1</v>
      </c>
    </row>
    <row r="3341" spans="1:3" x14ac:dyDescent="0.2">
      <c r="A3341" s="341"/>
      <c r="B3341" s="339" t="s">
        <v>441</v>
      </c>
      <c r="C3341" s="340">
        <v>1</v>
      </c>
    </row>
    <row r="3342" spans="1:3" x14ac:dyDescent="0.2">
      <c r="A3342" s="341"/>
    </row>
    <row r="3343" spans="1:3" x14ac:dyDescent="0.2">
      <c r="A3343" s="338" t="s">
        <v>3591</v>
      </c>
    </row>
    <row r="3344" spans="1:3" x14ac:dyDescent="0.2">
      <c r="A3344" s="341" t="s">
        <v>1363</v>
      </c>
    </row>
    <row r="3345" spans="1:3" x14ac:dyDescent="0.2">
      <c r="A3345" s="341" t="s">
        <v>1386</v>
      </c>
    </row>
    <row r="3346" spans="1:3" x14ac:dyDescent="0.2">
      <c r="A3346" s="341" t="s">
        <v>129</v>
      </c>
    </row>
    <row r="3347" spans="1:3" x14ac:dyDescent="0.2">
      <c r="A3347" s="341" t="s">
        <v>2548</v>
      </c>
    </row>
    <row r="3348" spans="1:3" x14ac:dyDescent="0.2">
      <c r="A3348" s="341" t="s">
        <v>639</v>
      </c>
    </row>
    <row r="3349" spans="1:3" x14ac:dyDescent="0.2">
      <c r="A3349" s="341"/>
    </row>
    <row r="3350" spans="1:3" x14ac:dyDescent="0.2">
      <c r="A3350" s="341"/>
      <c r="B3350" s="339" t="s">
        <v>415</v>
      </c>
      <c r="C3350" s="340">
        <v>50</v>
      </c>
    </row>
    <row r="3351" spans="1:3" x14ac:dyDescent="0.2">
      <c r="A3351" s="341"/>
      <c r="B3351" s="339" t="s">
        <v>376</v>
      </c>
      <c r="C3351" s="340">
        <v>30</v>
      </c>
    </row>
    <row r="3352" spans="1:3" x14ac:dyDescent="0.2">
      <c r="A3352" s="341"/>
      <c r="B3352" s="339" t="s">
        <v>401</v>
      </c>
      <c r="C3352" s="340">
        <v>18</v>
      </c>
    </row>
    <row r="3353" spans="1:3" x14ac:dyDescent="0.2">
      <c r="A3353" s="341"/>
      <c r="B3353" s="339" t="s">
        <v>454</v>
      </c>
      <c r="C3353" s="340">
        <v>15</v>
      </c>
    </row>
    <row r="3354" spans="1:3" x14ac:dyDescent="0.2">
      <c r="A3354" s="341"/>
      <c r="B3354" s="339" t="s">
        <v>416</v>
      </c>
      <c r="C3354" s="340">
        <v>10</v>
      </c>
    </row>
    <row r="3355" spans="1:3" x14ac:dyDescent="0.2">
      <c r="A3355" s="341"/>
      <c r="B3355" s="339" t="s">
        <v>441</v>
      </c>
      <c r="C3355" s="340">
        <v>8</v>
      </c>
    </row>
    <row r="3356" spans="1:3" x14ac:dyDescent="0.2">
      <c r="A3356" s="341"/>
      <c r="B3356" s="339" t="s">
        <v>405</v>
      </c>
      <c r="C3356" s="340">
        <v>5</v>
      </c>
    </row>
    <row r="3357" spans="1:3" x14ac:dyDescent="0.2">
      <c r="A3357" s="341"/>
      <c r="B3357" s="339" t="s">
        <v>2642</v>
      </c>
      <c r="C3357" s="340">
        <v>4</v>
      </c>
    </row>
    <row r="3358" spans="1:3" x14ac:dyDescent="0.2">
      <c r="A3358" s="341"/>
      <c r="B3358" s="339" t="s">
        <v>2579</v>
      </c>
      <c r="C3358" s="340">
        <v>3</v>
      </c>
    </row>
    <row r="3359" spans="1:3" x14ac:dyDescent="0.2">
      <c r="A3359" s="341"/>
      <c r="B3359" s="339" t="s">
        <v>572</v>
      </c>
      <c r="C3359" s="340">
        <v>2</v>
      </c>
    </row>
    <row r="3360" spans="1:3" x14ac:dyDescent="0.2">
      <c r="A3360" s="341"/>
      <c r="B3360" s="339" t="s">
        <v>456</v>
      </c>
      <c r="C3360" s="340">
        <v>2</v>
      </c>
    </row>
    <row r="3361" spans="1:3" x14ac:dyDescent="0.2">
      <c r="A3361" s="341"/>
      <c r="B3361" s="339" t="s">
        <v>392</v>
      </c>
      <c r="C3361" s="340">
        <v>2</v>
      </c>
    </row>
    <row r="3362" spans="1:3" x14ac:dyDescent="0.2">
      <c r="A3362" s="341"/>
    </row>
    <row r="3363" spans="1:3" x14ac:dyDescent="0.2">
      <c r="A3363" s="338" t="s">
        <v>3592</v>
      </c>
    </row>
    <row r="3364" spans="1:3" x14ac:dyDescent="0.2">
      <c r="A3364" s="341" t="s">
        <v>1363</v>
      </c>
    </row>
    <row r="3365" spans="1:3" x14ac:dyDescent="0.2">
      <c r="A3365" s="341" t="s">
        <v>1387</v>
      </c>
    </row>
    <row r="3366" spans="1:3" x14ac:dyDescent="0.2">
      <c r="A3366" s="341" t="s">
        <v>130</v>
      </c>
    </row>
    <row r="3367" spans="1:3" x14ac:dyDescent="0.2">
      <c r="A3367" s="341" t="s">
        <v>2550</v>
      </c>
    </row>
    <row r="3368" spans="1:3" x14ac:dyDescent="0.2">
      <c r="A3368" s="341" t="s">
        <v>639</v>
      </c>
    </row>
    <row r="3369" spans="1:3" x14ac:dyDescent="0.2">
      <c r="A3369" s="341"/>
    </row>
    <row r="3370" spans="1:3" x14ac:dyDescent="0.2">
      <c r="A3370" s="341"/>
      <c r="B3370" s="339" t="s">
        <v>572</v>
      </c>
      <c r="C3370" s="340">
        <v>70</v>
      </c>
    </row>
    <row r="3371" spans="1:3" x14ac:dyDescent="0.2">
      <c r="A3371" s="341"/>
      <c r="B3371" s="339" t="s">
        <v>399</v>
      </c>
      <c r="C3371" s="340">
        <v>25</v>
      </c>
    </row>
    <row r="3372" spans="1:3" x14ac:dyDescent="0.2">
      <c r="A3372" s="341"/>
      <c r="B3372" s="339" t="s">
        <v>2602</v>
      </c>
      <c r="C3372" s="340">
        <v>15</v>
      </c>
    </row>
    <row r="3373" spans="1:3" x14ac:dyDescent="0.2">
      <c r="A3373" s="341"/>
      <c r="B3373" s="339" t="s">
        <v>347</v>
      </c>
      <c r="C3373" s="340">
        <v>12</v>
      </c>
    </row>
    <row r="3374" spans="1:3" x14ac:dyDescent="0.2">
      <c r="A3374" s="341"/>
      <c r="B3374" s="339" t="s">
        <v>342</v>
      </c>
      <c r="C3374" s="340">
        <v>10</v>
      </c>
    </row>
    <row r="3375" spans="1:3" x14ac:dyDescent="0.2">
      <c r="A3375" s="341"/>
      <c r="B3375" s="339" t="s">
        <v>441</v>
      </c>
      <c r="C3375" s="340">
        <v>9</v>
      </c>
    </row>
    <row r="3376" spans="1:3" x14ac:dyDescent="0.2">
      <c r="A3376" s="341"/>
      <c r="B3376" s="339" t="s">
        <v>2579</v>
      </c>
      <c r="C3376" s="340">
        <v>8</v>
      </c>
    </row>
    <row r="3377" spans="1:3" x14ac:dyDescent="0.2">
      <c r="A3377" s="341"/>
      <c r="B3377" s="339" t="s">
        <v>425</v>
      </c>
      <c r="C3377" s="340">
        <v>7</v>
      </c>
    </row>
    <row r="3378" spans="1:3" x14ac:dyDescent="0.2">
      <c r="A3378" s="341"/>
      <c r="B3378" s="339" t="s">
        <v>455</v>
      </c>
      <c r="C3378" s="340">
        <v>7</v>
      </c>
    </row>
    <row r="3379" spans="1:3" x14ac:dyDescent="0.2">
      <c r="A3379" s="341"/>
      <c r="B3379" s="339" t="s">
        <v>424</v>
      </c>
      <c r="C3379" s="340">
        <v>6</v>
      </c>
    </row>
    <row r="3380" spans="1:3" x14ac:dyDescent="0.2">
      <c r="A3380" s="341"/>
      <c r="B3380" s="339" t="s">
        <v>350</v>
      </c>
      <c r="C3380" s="340">
        <v>5</v>
      </c>
    </row>
    <row r="3381" spans="1:3" x14ac:dyDescent="0.2">
      <c r="A3381" s="341"/>
      <c r="B3381" s="339" t="s">
        <v>349</v>
      </c>
      <c r="C3381" s="340">
        <v>5</v>
      </c>
    </row>
    <row r="3382" spans="1:3" x14ac:dyDescent="0.2">
      <c r="A3382" s="341"/>
      <c r="B3382" s="339" t="s">
        <v>401</v>
      </c>
      <c r="C3382" s="340">
        <v>4</v>
      </c>
    </row>
    <row r="3383" spans="1:3" x14ac:dyDescent="0.2">
      <c r="A3383" s="341"/>
      <c r="B3383" s="339" t="s">
        <v>456</v>
      </c>
      <c r="C3383" s="340">
        <v>3</v>
      </c>
    </row>
    <row r="3384" spans="1:3" x14ac:dyDescent="0.2">
      <c r="A3384" s="341"/>
      <c r="B3384" s="339" t="s">
        <v>410</v>
      </c>
      <c r="C3384" s="340">
        <v>3</v>
      </c>
    </row>
    <row r="3385" spans="1:3" x14ac:dyDescent="0.2">
      <c r="A3385" s="341"/>
      <c r="B3385" s="339" t="s">
        <v>2608</v>
      </c>
      <c r="C3385" s="340">
        <v>2</v>
      </c>
    </row>
    <row r="3386" spans="1:3" x14ac:dyDescent="0.2">
      <c r="A3386" s="341"/>
    </row>
    <row r="3387" spans="1:3" x14ac:dyDescent="0.2">
      <c r="A3387" s="338" t="s">
        <v>3593</v>
      </c>
    </row>
    <row r="3388" spans="1:3" x14ac:dyDescent="0.2">
      <c r="A3388" s="341" t="s">
        <v>1363</v>
      </c>
    </row>
    <row r="3389" spans="1:3" x14ac:dyDescent="0.2">
      <c r="A3389" s="341" t="s">
        <v>1388</v>
      </c>
    </row>
    <row r="3390" spans="1:3" x14ac:dyDescent="0.2">
      <c r="A3390" s="341" t="s">
        <v>131</v>
      </c>
    </row>
    <row r="3391" spans="1:3" x14ac:dyDescent="0.2">
      <c r="A3391" s="341" t="s">
        <v>2543</v>
      </c>
    </row>
    <row r="3392" spans="1:3" x14ac:dyDescent="0.2">
      <c r="A3392" s="341" t="s">
        <v>639</v>
      </c>
    </row>
    <row r="3393" spans="1:3" x14ac:dyDescent="0.2">
      <c r="A3393" s="341"/>
    </row>
    <row r="3394" spans="1:3" x14ac:dyDescent="0.2">
      <c r="A3394" s="341"/>
      <c r="B3394" s="339" t="s">
        <v>376</v>
      </c>
      <c r="C3394" s="340">
        <v>35</v>
      </c>
    </row>
    <row r="3395" spans="1:3" x14ac:dyDescent="0.2">
      <c r="A3395" s="341"/>
      <c r="B3395" s="339" t="s">
        <v>405</v>
      </c>
      <c r="C3395" s="340">
        <v>30</v>
      </c>
    </row>
    <row r="3396" spans="1:3" x14ac:dyDescent="0.2">
      <c r="A3396" s="341"/>
      <c r="B3396" s="339" t="s">
        <v>416</v>
      </c>
      <c r="C3396" s="340">
        <v>18</v>
      </c>
    </row>
    <row r="3397" spans="1:3" x14ac:dyDescent="0.2">
      <c r="A3397" s="341"/>
      <c r="B3397" s="339" t="s">
        <v>2811</v>
      </c>
      <c r="C3397" s="340">
        <v>12</v>
      </c>
    </row>
    <row r="3398" spans="1:3" x14ac:dyDescent="0.2">
      <c r="A3398" s="341"/>
      <c r="B3398" s="339" t="s">
        <v>441</v>
      </c>
      <c r="C3398" s="340">
        <v>12</v>
      </c>
    </row>
    <row r="3399" spans="1:3" x14ac:dyDescent="0.2">
      <c r="A3399" s="341"/>
      <c r="B3399" s="339" t="s">
        <v>340</v>
      </c>
      <c r="C3399" s="340">
        <v>12</v>
      </c>
    </row>
    <row r="3400" spans="1:3" x14ac:dyDescent="0.2">
      <c r="A3400" s="341"/>
      <c r="B3400" s="339" t="s">
        <v>982</v>
      </c>
      <c r="C3400" s="340">
        <v>9</v>
      </c>
    </row>
    <row r="3401" spans="1:3" x14ac:dyDescent="0.2">
      <c r="A3401" s="341"/>
    </row>
    <row r="3402" spans="1:3" x14ac:dyDescent="0.2">
      <c r="A3402" s="338" t="s">
        <v>3594</v>
      </c>
    </row>
    <row r="3403" spans="1:3" x14ac:dyDescent="0.2">
      <c r="A3403" s="341" t="s">
        <v>1363</v>
      </c>
    </row>
    <row r="3404" spans="1:3" x14ac:dyDescent="0.2">
      <c r="A3404" s="341" t="s">
        <v>1389</v>
      </c>
    </row>
    <row r="3405" spans="1:3" x14ac:dyDescent="0.2">
      <c r="A3405" s="341" t="s">
        <v>132</v>
      </c>
    </row>
    <row r="3406" spans="1:3" x14ac:dyDescent="0.2">
      <c r="A3406" s="341" t="s">
        <v>2543</v>
      </c>
    </row>
    <row r="3407" spans="1:3" x14ac:dyDescent="0.2">
      <c r="A3407" s="341" t="s">
        <v>639</v>
      </c>
    </row>
    <row r="3408" spans="1:3" x14ac:dyDescent="0.2">
      <c r="A3408" s="341"/>
    </row>
    <row r="3409" spans="1:3" x14ac:dyDescent="0.2">
      <c r="A3409" s="341"/>
      <c r="B3409" s="339" t="s">
        <v>2725</v>
      </c>
      <c r="C3409" s="340">
        <v>45</v>
      </c>
    </row>
    <row r="3410" spans="1:3" x14ac:dyDescent="0.2">
      <c r="A3410" s="341"/>
      <c r="B3410" s="339" t="s">
        <v>405</v>
      </c>
      <c r="C3410" s="340">
        <v>25</v>
      </c>
    </row>
    <row r="3411" spans="1:3" x14ac:dyDescent="0.2">
      <c r="A3411" s="341"/>
      <c r="B3411" s="339" t="s">
        <v>394</v>
      </c>
      <c r="C3411" s="340">
        <v>20</v>
      </c>
    </row>
    <row r="3412" spans="1:3" x14ac:dyDescent="0.2">
      <c r="A3412" s="341"/>
      <c r="B3412" s="339" t="s">
        <v>395</v>
      </c>
      <c r="C3412" s="340">
        <v>12</v>
      </c>
    </row>
    <row r="3413" spans="1:3" x14ac:dyDescent="0.2">
      <c r="A3413" s="341"/>
      <c r="B3413" s="339" t="s">
        <v>376</v>
      </c>
      <c r="C3413" s="340">
        <v>6</v>
      </c>
    </row>
    <row r="3414" spans="1:3" x14ac:dyDescent="0.2">
      <c r="A3414" s="341"/>
      <c r="B3414" s="339" t="s">
        <v>408</v>
      </c>
      <c r="C3414" s="340">
        <v>4</v>
      </c>
    </row>
    <row r="3415" spans="1:3" x14ac:dyDescent="0.2">
      <c r="A3415" s="341"/>
      <c r="B3415" s="339" t="s">
        <v>444</v>
      </c>
      <c r="C3415" s="340">
        <v>2</v>
      </c>
    </row>
    <row r="3416" spans="1:3" x14ac:dyDescent="0.2">
      <c r="A3416" s="341"/>
    </row>
    <row r="3417" spans="1:3" x14ac:dyDescent="0.2">
      <c r="A3417" s="338" t="s">
        <v>3595</v>
      </c>
    </row>
    <row r="3418" spans="1:3" x14ac:dyDescent="0.2">
      <c r="A3418" s="341" t="s">
        <v>1363</v>
      </c>
    </row>
    <row r="3419" spans="1:3" x14ac:dyDescent="0.2">
      <c r="A3419" s="341" t="s">
        <v>1390</v>
      </c>
    </row>
    <row r="3420" spans="1:3" x14ac:dyDescent="0.2">
      <c r="A3420" s="341" t="s">
        <v>133</v>
      </c>
    </row>
    <row r="3421" spans="1:3" x14ac:dyDescent="0.2">
      <c r="A3421" s="341" t="s">
        <v>2543</v>
      </c>
    </row>
    <row r="3422" spans="1:3" x14ac:dyDescent="0.2">
      <c r="A3422" s="341" t="s">
        <v>639</v>
      </c>
    </row>
    <row r="3423" spans="1:3" x14ac:dyDescent="0.2">
      <c r="A3423" s="341"/>
    </row>
    <row r="3424" spans="1:3" x14ac:dyDescent="0.2">
      <c r="A3424" s="341"/>
      <c r="B3424" s="339" t="s">
        <v>376</v>
      </c>
      <c r="C3424" s="340">
        <v>20</v>
      </c>
    </row>
    <row r="3425" spans="1:3" x14ac:dyDescent="0.2">
      <c r="A3425" s="341"/>
      <c r="B3425" s="339" t="s">
        <v>405</v>
      </c>
      <c r="C3425" s="340">
        <v>12</v>
      </c>
    </row>
    <row r="3426" spans="1:3" x14ac:dyDescent="0.2">
      <c r="A3426" s="341"/>
      <c r="B3426" s="339" t="s">
        <v>394</v>
      </c>
      <c r="C3426" s="340">
        <v>12</v>
      </c>
    </row>
    <row r="3427" spans="1:3" x14ac:dyDescent="0.2">
      <c r="A3427" s="341"/>
      <c r="B3427" s="339" t="s">
        <v>340</v>
      </c>
      <c r="C3427" s="340">
        <v>12</v>
      </c>
    </row>
    <row r="3428" spans="1:3" x14ac:dyDescent="0.2">
      <c r="A3428" s="341"/>
      <c r="B3428" s="339" t="s">
        <v>2722</v>
      </c>
      <c r="C3428" s="340">
        <v>8</v>
      </c>
    </row>
    <row r="3429" spans="1:3" x14ac:dyDescent="0.2">
      <c r="A3429" s="341"/>
      <c r="B3429" s="339" t="s">
        <v>395</v>
      </c>
      <c r="C3429" s="340">
        <v>8</v>
      </c>
    </row>
    <row r="3430" spans="1:3" x14ac:dyDescent="0.2">
      <c r="A3430" s="341"/>
      <c r="B3430" s="339" t="s">
        <v>593</v>
      </c>
      <c r="C3430" s="340">
        <v>2</v>
      </c>
    </row>
    <row r="3431" spans="1:3" x14ac:dyDescent="0.2">
      <c r="A3431" s="341"/>
      <c r="B3431" s="339" t="s">
        <v>2569</v>
      </c>
      <c r="C3431" s="340">
        <v>1</v>
      </c>
    </row>
    <row r="3432" spans="1:3" x14ac:dyDescent="0.2">
      <c r="A3432" s="341"/>
    </row>
    <row r="3433" spans="1:3" x14ac:dyDescent="0.2">
      <c r="A3433" s="338" t="s">
        <v>3596</v>
      </c>
    </row>
    <row r="3434" spans="1:3" x14ac:dyDescent="0.2">
      <c r="A3434" s="341" t="s">
        <v>1363</v>
      </c>
    </row>
    <row r="3435" spans="1:3" x14ac:dyDescent="0.2">
      <c r="A3435" s="341" t="s">
        <v>1391</v>
      </c>
    </row>
    <row r="3436" spans="1:3" x14ac:dyDescent="0.2">
      <c r="A3436" s="341" t="s">
        <v>134</v>
      </c>
    </row>
    <row r="3437" spans="1:3" x14ac:dyDescent="0.2">
      <c r="A3437" s="341" t="s">
        <v>2543</v>
      </c>
    </row>
    <row r="3438" spans="1:3" x14ac:dyDescent="0.2">
      <c r="A3438" s="341" t="s">
        <v>639</v>
      </c>
    </row>
    <row r="3439" spans="1:3" x14ac:dyDescent="0.2">
      <c r="A3439" s="341"/>
    </row>
    <row r="3440" spans="1:3" x14ac:dyDescent="0.2">
      <c r="A3440" s="341"/>
      <c r="B3440" s="339" t="s">
        <v>454</v>
      </c>
      <c r="C3440" s="340">
        <v>70</v>
      </c>
    </row>
    <row r="3441" spans="1:3" x14ac:dyDescent="0.2">
      <c r="A3441" s="341"/>
      <c r="B3441" s="339" t="s">
        <v>342</v>
      </c>
      <c r="C3441" s="340">
        <v>20</v>
      </c>
    </row>
    <row r="3442" spans="1:3" x14ac:dyDescent="0.2">
      <c r="A3442" s="341"/>
      <c r="B3442" s="339" t="s">
        <v>2579</v>
      </c>
      <c r="C3442" s="340">
        <v>20</v>
      </c>
    </row>
    <row r="3443" spans="1:3" x14ac:dyDescent="0.2">
      <c r="A3443" s="341"/>
      <c r="B3443" s="339" t="s">
        <v>376</v>
      </c>
      <c r="C3443" s="340">
        <v>18</v>
      </c>
    </row>
    <row r="3444" spans="1:3" x14ac:dyDescent="0.2">
      <c r="A3444" s="341"/>
      <c r="B3444" s="339" t="s">
        <v>343</v>
      </c>
      <c r="C3444" s="340">
        <v>12</v>
      </c>
    </row>
    <row r="3445" spans="1:3" x14ac:dyDescent="0.2">
      <c r="A3445" s="341"/>
      <c r="B3445" s="339" t="s">
        <v>350</v>
      </c>
      <c r="C3445" s="340">
        <v>8</v>
      </c>
    </row>
    <row r="3446" spans="1:3" x14ac:dyDescent="0.2">
      <c r="A3446" s="341"/>
      <c r="B3446" s="339" t="s">
        <v>349</v>
      </c>
      <c r="C3446" s="340">
        <v>8</v>
      </c>
    </row>
    <row r="3447" spans="1:3" x14ac:dyDescent="0.2">
      <c r="A3447" s="341"/>
      <c r="B3447" s="339" t="s">
        <v>362</v>
      </c>
      <c r="C3447" s="340">
        <v>6</v>
      </c>
    </row>
    <row r="3448" spans="1:3" x14ac:dyDescent="0.2">
      <c r="A3448" s="341"/>
      <c r="B3448" s="339" t="s">
        <v>400</v>
      </c>
      <c r="C3448" s="340">
        <v>3</v>
      </c>
    </row>
    <row r="3449" spans="1:3" x14ac:dyDescent="0.2">
      <c r="A3449" s="341"/>
    </row>
    <row r="3450" spans="1:3" x14ac:dyDescent="0.2">
      <c r="A3450" s="338" t="s">
        <v>3597</v>
      </c>
    </row>
    <row r="3451" spans="1:3" x14ac:dyDescent="0.2">
      <c r="A3451" s="341" t="s">
        <v>1363</v>
      </c>
    </row>
    <row r="3452" spans="1:3" x14ac:dyDescent="0.2">
      <c r="A3452" s="341" t="s">
        <v>1392</v>
      </c>
    </row>
    <row r="3453" spans="1:3" x14ac:dyDescent="0.2">
      <c r="A3453" s="341" t="s">
        <v>135</v>
      </c>
    </row>
    <row r="3454" spans="1:3" x14ac:dyDescent="0.2">
      <c r="A3454" s="341" t="s">
        <v>2543</v>
      </c>
    </row>
    <row r="3455" spans="1:3" x14ac:dyDescent="0.2">
      <c r="A3455" s="341" t="s">
        <v>639</v>
      </c>
    </row>
    <row r="3456" spans="1:3" x14ac:dyDescent="0.2">
      <c r="A3456" s="341"/>
    </row>
    <row r="3457" spans="1:3" x14ac:dyDescent="0.2">
      <c r="A3457" s="341"/>
      <c r="B3457" s="339" t="s">
        <v>340</v>
      </c>
      <c r="C3457" s="340">
        <v>20</v>
      </c>
    </row>
    <row r="3458" spans="1:3" x14ac:dyDescent="0.2">
      <c r="A3458" s="341"/>
      <c r="B3458" s="339" t="s">
        <v>394</v>
      </c>
      <c r="C3458" s="340">
        <v>18</v>
      </c>
    </row>
    <row r="3459" spans="1:3" x14ac:dyDescent="0.2">
      <c r="A3459" s="341"/>
      <c r="B3459" s="339" t="s">
        <v>376</v>
      </c>
      <c r="C3459" s="340">
        <v>6</v>
      </c>
    </row>
    <row r="3460" spans="1:3" x14ac:dyDescent="0.2">
      <c r="A3460" s="341"/>
    </row>
    <row r="3461" spans="1:3" x14ac:dyDescent="0.2">
      <c r="A3461" s="338" t="s">
        <v>3598</v>
      </c>
    </row>
    <row r="3462" spans="1:3" x14ac:dyDescent="0.2">
      <c r="A3462" s="341" t="s">
        <v>1393</v>
      </c>
    </row>
    <row r="3463" spans="1:3" x14ac:dyDescent="0.2">
      <c r="A3463" s="341" t="s">
        <v>1394</v>
      </c>
    </row>
    <row r="3464" spans="1:3" x14ac:dyDescent="0.2">
      <c r="A3464" s="341" t="s">
        <v>136</v>
      </c>
    </row>
    <row r="3465" spans="1:3" x14ac:dyDescent="0.2">
      <c r="A3465" s="341" t="s">
        <v>2546</v>
      </c>
    </row>
    <row r="3466" spans="1:3" x14ac:dyDescent="0.2">
      <c r="A3466" s="341" t="s">
        <v>1395</v>
      </c>
    </row>
    <row r="3467" spans="1:3" x14ac:dyDescent="0.2">
      <c r="A3467" s="341"/>
    </row>
    <row r="3468" spans="1:3" x14ac:dyDescent="0.2">
      <c r="A3468" s="341"/>
      <c r="B3468" s="339" t="s">
        <v>445</v>
      </c>
      <c r="C3468" s="340">
        <v>25</v>
      </c>
    </row>
    <row r="3469" spans="1:3" x14ac:dyDescent="0.2">
      <c r="A3469" s="341"/>
      <c r="B3469" s="339" t="s">
        <v>340</v>
      </c>
      <c r="C3469" s="340">
        <v>15</v>
      </c>
    </row>
    <row r="3470" spans="1:3" x14ac:dyDescent="0.2">
      <c r="A3470" s="341"/>
      <c r="B3470" s="339" t="s">
        <v>2639</v>
      </c>
      <c r="C3470" s="340">
        <v>12</v>
      </c>
    </row>
    <row r="3471" spans="1:3" x14ac:dyDescent="0.2">
      <c r="A3471" s="341"/>
      <c r="B3471" s="339" t="s">
        <v>1583</v>
      </c>
      <c r="C3471" s="340">
        <v>12</v>
      </c>
    </row>
    <row r="3472" spans="1:3" x14ac:dyDescent="0.2">
      <c r="A3472" s="341"/>
      <c r="B3472" s="339" t="s">
        <v>364</v>
      </c>
      <c r="C3472" s="340">
        <v>10</v>
      </c>
    </row>
    <row r="3473" spans="1:3" x14ac:dyDescent="0.2">
      <c r="A3473" s="341"/>
      <c r="B3473" s="339" t="s">
        <v>2575</v>
      </c>
      <c r="C3473" s="340">
        <v>10</v>
      </c>
    </row>
    <row r="3474" spans="1:3" x14ac:dyDescent="0.2">
      <c r="A3474" s="341"/>
      <c r="B3474" s="339" t="s">
        <v>3151</v>
      </c>
      <c r="C3474" s="340">
        <v>8</v>
      </c>
    </row>
    <row r="3475" spans="1:3" x14ac:dyDescent="0.2">
      <c r="A3475" s="341"/>
      <c r="B3475" s="339" t="s">
        <v>360</v>
      </c>
      <c r="C3475" s="340">
        <v>7</v>
      </c>
    </row>
    <row r="3476" spans="1:3" x14ac:dyDescent="0.2">
      <c r="A3476" s="341"/>
      <c r="B3476" s="339" t="s">
        <v>400</v>
      </c>
      <c r="C3476" s="340">
        <v>5</v>
      </c>
    </row>
    <row r="3477" spans="1:3" x14ac:dyDescent="0.2">
      <c r="A3477" s="341"/>
      <c r="B3477" s="339" t="s">
        <v>2592</v>
      </c>
      <c r="C3477" s="340">
        <v>4</v>
      </c>
    </row>
    <row r="3478" spans="1:3" x14ac:dyDescent="0.2">
      <c r="A3478" s="341"/>
      <c r="B3478" s="339" t="s">
        <v>376</v>
      </c>
      <c r="C3478" s="340">
        <v>3</v>
      </c>
    </row>
    <row r="3479" spans="1:3" x14ac:dyDescent="0.2">
      <c r="A3479" s="341"/>
    </row>
    <row r="3480" spans="1:3" x14ac:dyDescent="0.2">
      <c r="A3480" s="338" t="s">
        <v>3599</v>
      </c>
    </row>
    <row r="3481" spans="1:3" x14ac:dyDescent="0.2">
      <c r="A3481" s="341" t="s">
        <v>1393</v>
      </c>
    </row>
    <row r="3482" spans="1:3" x14ac:dyDescent="0.2">
      <c r="A3482" s="341" t="s">
        <v>1396</v>
      </c>
    </row>
    <row r="3483" spans="1:3" x14ac:dyDescent="0.2">
      <c r="A3483" s="341" t="s">
        <v>137</v>
      </c>
    </row>
    <row r="3484" spans="1:3" x14ac:dyDescent="0.2">
      <c r="A3484" s="341" t="s">
        <v>2551</v>
      </c>
    </row>
    <row r="3485" spans="1:3" x14ac:dyDescent="0.2">
      <c r="A3485" s="341" t="s">
        <v>1397</v>
      </c>
    </row>
    <row r="3486" spans="1:3" x14ac:dyDescent="0.2">
      <c r="A3486" s="341"/>
    </row>
    <row r="3487" spans="1:3" x14ac:dyDescent="0.2">
      <c r="A3487" s="341"/>
      <c r="B3487" s="339" t="s">
        <v>415</v>
      </c>
      <c r="C3487" s="340">
        <v>65</v>
      </c>
    </row>
    <row r="3488" spans="1:3" x14ac:dyDescent="0.2">
      <c r="A3488" s="341"/>
      <c r="B3488" s="339" t="s">
        <v>445</v>
      </c>
      <c r="C3488" s="340">
        <v>25</v>
      </c>
    </row>
    <row r="3489" spans="1:3" x14ac:dyDescent="0.2">
      <c r="A3489" s="341"/>
      <c r="B3489" s="339" t="s">
        <v>376</v>
      </c>
      <c r="C3489" s="340">
        <v>20</v>
      </c>
    </row>
    <row r="3490" spans="1:3" x14ac:dyDescent="0.2">
      <c r="A3490" s="341"/>
      <c r="B3490" s="339" t="s">
        <v>2642</v>
      </c>
      <c r="C3490" s="340">
        <v>8</v>
      </c>
    </row>
    <row r="3491" spans="1:3" x14ac:dyDescent="0.2">
      <c r="A3491" s="341"/>
      <c r="B3491" s="339" t="s">
        <v>2592</v>
      </c>
      <c r="C3491" s="340">
        <v>7</v>
      </c>
    </row>
    <row r="3492" spans="1:3" x14ac:dyDescent="0.2">
      <c r="A3492" s="341"/>
      <c r="B3492" s="339" t="s">
        <v>394</v>
      </c>
      <c r="C3492" s="340">
        <v>7</v>
      </c>
    </row>
    <row r="3493" spans="1:3" x14ac:dyDescent="0.2">
      <c r="A3493" s="341"/>
      <c r="B3493" s="339" t="s">
        <v>400</v>
      </c>
      <c r="C3493" s="340">
        <v>6</v>
      </c>
    </row>
    <row r="3494" spans="1:3" x14ac:dyDescent="0.2">
      <c r="A3494" s="341"/>
      <c r="B3494" s="339" t="s">
        <v>343</v>
      </c>
      <c r="C3494" s="340">
        <v>4</v>
      </c>
    </row>
    <row r="3495" spans="1:3" x14ac:dyDescent="0.2">
      <c r="A3495" s="341"/>
      <c r="B3495" s="339" t="s">
        <v>369</v>
      </c>
      <c r="C3495" s="340">
        <v>3</v>
      </c>
    </row>
    <row r="3496" spans="1:3" x14ac:dyDescent="0.2">
      <c r="A3496" s="341"/>
      <c r="B3496" s="339" t="s">
        <v>2575</v>
      </c>
      <c r="C3496" s="340">
        <v>3</v>
      </c>
    </row>
    <row r="3497" spans="1:3" x14ac:dyDescent="0.2">
      <c r="A3497" s="341"/>
    </row>
    <row r="3498" spans="1:3" x14ac:dyDescent="0.2">
      <c r="A3498" s="338" t="s">
        <v>3600</v>
      </c>
    </row>
    <row r="3499" spans="1:3" x14ac:dyDescent="0.2">
      <c r="A3499" s="341" t="s">
        <v>1393</v>
      </c>
    </row>
    <row r="3500" spans="1:3" x14ac:dyDescent="0.2">
      <c r="A3500" s="341" t="s">
        <v>1398</v>
      </c>
    </row>
    <row r="3501" spans="1:3" x14ac:dyDescent="0.2">
      <c r="A3501" s="341" t="s">
        <v>138</v>
      </c>
    </row>
    <row r="3502" spans="1:3" x14ac:dyDescent="0.2">
      <c r="A3502" s="341" t="s">
        <v>2544</v>
      </c>
    </row>
    <row r="3503" spans="1:3" x14ac:dyDescent="0.2">
      <c r="A3503" s="341" t="s">
        <v>639</v>
      </c>
    </row>
    <row r="3504" spans="1:3" x14ac:dyDescent="0.2">
      <c r="A3504" s="341"/>
    </row>
    <row r="3505" spans="1:3" x14ac:dyDescent="0.2">
      <c r="A3505" s="341"/>
      <c r="B3505" s="339" t="s">
        <v>2569</v>
      </c>
      <c r="C3505" s="340">
        <v>20</v>
      </c>
    </row>
    <row r="3506" spans="1:3" x14ac:dyDescent="0.2">
      <c r="A3506" s="341"/>
      <c r="B3506" s="339" t="s">
        <v>342</v>
      </c>
      <c r="C3506" s="340">
        <v>18</v>
      </c>
    </row>
    <row r="3507" spans="1:3" x14ac:dyDescent="0.2">
      <c r="A3507" s="341"/>
      <c r="B3507" s="339" t="s">
        <v>2579</v>
      </c>
      <c r="C3507" s="340">
        <v>18</v>
      </c>
    </row>
    <row r="3508" spans="1:3" x14ac:dyDescent="0.2">
      <c r="A3508" s="341"/>
      <c r="B3508" s="339" t="s">
        <v>424</v>
      </c>
      <c r="C3508" s="340">
        <v>9</v>
      </c>
    </row>
    <row r="3509" spans="1:3" x14ac:dyDescent="0.2">
      <c r="A3509" s="341"/>
      <c r="B3509" s="339" t="s">
        <v>352</v>
      </c>
      <c r="C3509" s="340">
        <v>7</v>
      </c>
    </row>
    <row r="3510" spans="1:3" x14ac:dyDescent="0.2">
      <c r="A3510" s="341"/>
      <c r="B3510" s="339" t="s">
        <v>340</v>
      </c>
      <c r="C3510" s="340">
        <v>6</v>
      </c>
    </row>
    <row r="3511" spans="1:3" x14ac:dyDescent="0.2">
      <c r="A3511" s="341"/>
      <c r="B3511" s="339" t="s">
        <v>341</v>
      </c>
      <c r="C3511" s="340">
        <v>4</v>
      </c>
    </row>
    <row r="3512" spans="1:3" x14ac:dyDescent="0.2">
      <c r="A3512" s="341"/>
      <c r="B3512" s="339" t="s">
        <v>350</v>
      </c>
      <c r="C3512" s="340">
        <v>3</v>
      </c>
    </row>
    <row r="3513" spans="1:3" x14ac:dyDescent="0.2">
      <c r="A3513" s="341"/>
      <c r="B3513" s="339" t="s">
        <v>376</v>
      </c>
      <c r="C3513" s="340">
        <v>3</v>
      </c>
    </row>
    <row r="3514" spans="1:3" x14ac:dyDescent="0.2">
      <c r="A3514" s="341"/>
      <c r="B3514" s="339" t="s">
        <v>2583</v>
      </c>
      <c r="C3514" s="340">
        <v>3</v>
      </c>
    </row>
    <row r="3515" spans="1:3" x14ac:dyDescent="0.2">
      <c r="A3515" s="341"/>
      <c r="B3515" s="339" t="s">
        <v>349</v>
      </c>
      <c r="C3515" s="340">
        <v>3</v>
      </c>
    </row>
    <row r="3516" spans="1:3" x14ac:dyDescent="0.2">
      <c r="A3516" s="341"/>
      <c r="B3516" s="339" t="s">
        <v>369</v>
      </c>
      <c r="C3516" s="340">
        <v>2</v>
      </c>
    </row>
    <row r="3517" spans="1:3" x14ac:dyDescent="0.2">
      <c r="A3517" s="341"/>
      <c r="B3517" s="339" t="s">
        <v>3151</v>
      </c>
      <c r="C3517" s="340">
        <v>1</v>
      </c>
    </row>
    <row r="3518" spans="1:3" x14ac:dyDescent="0.2">
      <c r="A3518" s="341"/>
      <c r="B3518" s="339" t="s">
        <v>357</v>
      </c>
      <c r="C3518" s="340">
        <v>1</v>
      </c>
    </row>
    <row r="3519" spans="1:3" x14ac:dyDescent="0.2">
      <c r="A3519" s="341"/>
    </row>
    <row r="3520" spans="1:3" x14ac:dyDescent="0.2">
      <c r="A3520" s="338" t="s">
        <v>3601</v>
      </c>
    </row>
    <row r="3521" spans="1:3" x14ac:dyDescent="0.2">
      <c r="A3521" s="341" t="s">
        <v>1393</v>
      </c>
    </row>
    <row r="3522" spans="1:3" x14ac:dyDescent="0.2">
      <c r="A3522" s="341" t="s">
        <v>1724</v>
      </c>
    </row>
    <row r="3523" spans="1:3" x14ac:dyDescent="0.2">
      <c r="A3523" s="341" t="s">
        <v>139</v>
      </c>
    </row>
    <row r="3524" spans="1:3" x14ac:dyDescent="0.2">
      <c r="A3524" s="341" t="s">
        <v>2544</v>
      </c>
    </row>
    <row r="3525" spans="1:3" x14ac:dyDescent="0.2">
      <c r="A3525" s="341" t="s">
        <v>639</v>
      </c>
    </row>
    <row r="3526" spans="1:3" x14ac:dyDescent="0.2">
      <c r="A3526" s="341"/>
    </row>
    <row r="3527" spans="1:3" x14ac:dyDescent="0.2">
      <c r="A3527" s="341"/>
      <c r="B3527" s="339" t="s">
        <v>450</v>
      </c>
      <c r="C3527" s="340">
        <v>30</v>
      </c>
    </row>
    <row r="3528" spans="1:3" x14ac:dyDescent="0.2">
      <c r="A3528" s="341"/>
      <c r="B3528" s="339" t="s">
        <v>2569</v>
      </c>
      <c r="C3528" s="340">
        <v>30</v>
      </c>
    </row>
    <row r="3529" spans="1:3" x14ac:dyDescent="0.2">
      <c r="A3529" s="341"/>
      <c r="B3529" s="339" t="s">
        <v>2579</v>
      </c>
      <c r="C3529" s="340">
        <v>7</v>
      </c>
    </row>
    <row r="3530" spans="1:3" x14ac:dyDescent="0.2">
      <c r="A3530" s="341"/>
      <c r="B3530" s="339" t="s">
        <v>424</v>
      </c>
      <c r="C3530" s="340">
        <v>6</v>
      </c>
    </row>
    <row r="3531" spans="1:3" x14ac:dyDescent="0.2">
      <c r="A3531" s="341"/>
      <c r="B3531" s="339" t="s">
        <v>2641</v>
      </c>
      <c r="C3531" s="340">
        <v>3</v>
      </c>
    </row>
    <row r="3532" spans="1:3" x14ac:dyDescent="0.2">
      <c r="A3532" s="341"/>
      <c r="B3532" s="339" t="s">
        <v>2582</v>
      </c>
      <c r="C3532" s="340">
        <v>3</v>
      </c>
    </row>
    <row r="3533" spans="1:3" x14ac:dyDescent="0.2">
      <c r="A3533" s="341"/>
      <c r="B3533" s="339" t="s">
        <v>357</v>
      </c>
      <c r="C3533" s="340">
        <v>2</v>
      </c>
    </row>
    <row r="3534" spans="1:3" x14ac:dyDescent="0.2">
      <c r="A3534" s="341"/>
    </row>
    <row r="3535" spans="1:3" x14ac:dyDescent="0.2">
      <c r="A3535" s="338" t="s">
        <v>3602</v>
      </c>
    </row>
    <row r="3536" spans="1:3" x14ac:dyDescent="0.2">
      <c r="A3536" s="341" t="s">
        <v>1393</v>
      </c>
    </row>
    <row r="3537" spans="1:3" x14ac:dyDescent="0.2">
      <c r="A3537" s="341" t="s">
        <v>1725</v>
      </c>
    </row>
    <row r="3538" spans="1:3" x14ac:dyDescent="0.2">
      <c r="A3538" s="341" t="s">
        <v>140</v>
      </c>
    </row>
    <row r="3539" spans="1:3" x14ac:dyDescent="0.2">
      <c r="A3539" s="341" t="s">
        <v>2544</v>
      </c>
    </row>
    <row r="3540" spans="1:3" x14ac:dyDescent="0.2">
      <c r="A3540" s="341" t="s">
        <v>639</v>
      </c>
    </row>
    <row r="3541" spans="1:3" x14ac:dyDescent="0.2">
      <c r="A3541" s="341"/>
    </row>
    <row r="3542" spans="1:3" x14ac:dyDescent="0.2">
      <c r="A3542" s="341"/>
      <c r="B3542" s="339" t="s">
        <v>340</v>
      </c>
      <c r="C3542" s="340">
        <v>50</v>
      </c>
    </row>
    <row r="3543" spans="1:3" x14ac:dyDescent="0.2">
      <c r="A3543" s="341"/>
      <c r="B3543" s="339" t="s">
        <v>600</v>
      </c>
      <c r="C3543" s="340">
        <v>15</v>
      </c>
    </row>
    <row r="3544" spans="1:3" x14ac:dyDescent="0.2">
      <c r="A3544" s="341"/>
      <c r="B3544" s="339" t="s">
        <v>342</v>
      </c>
      <c r="C3544" s="340">
        <v>15</v>
      </c>
    </row>
    <row r="3545" spans="1:3" x14ac:dyDescent="0.2">
      <c r="A3545" s="341"/>
      <c r="B3545" s="339" t="s">
        <v>350</v>
      </c>
      <c r="C3545" s="340">
        <v>12</v>
      </c>
    </row>
    <row r="3546" spans="1:3" x14ac:dyDescent="0.2">
      <c r="A3546" s="341"/>
      <c r="B3546" s="339" t="s">
        <v>2582</v>
      </c>
      <c r="C3546" s="340">
        <v>12</v>
      </c>
    </row>
    <row r="3547" spans="1:3" x14ac:dyDescent="0.2">
      <c r="A3547" s="341"/>
      <c r="B3547" s="339" t="s">
        <v>2583</v>
      </c>
      <c r="C3547" s="340">
        <v>12</v>
      </c>
    </row>
    <row r="3548" spans="1:3" x14ac:dyDescent="0.2">
      <c r="A3548" s="341"/>
      <c r="B3548" s="339" t="s">
        <v>597</v>
      </c>
      <c r="C3548" s="340">
        <v>6</v>
      </c>
    </row>
    <row r="3549" spans="1:3" x14ac:dyDescent="0.2">
      <c r="A3549" s="341"/>
    </row>
    <row r="3550" spans="1:3" x14ac:dyDescent="0.2">
      <c r="A3550" s="338" t="s">
        <v>3603</v>
      </c>
    </row>
    <row r="3551" spans="1:3" x14ac:dyDescent="0.2">
      <c r="A3551" s="341" t="s">
        <v>1393</v>
      </c>
    </row>
    <row r="3552" spans="1:3" x14ac:dyDescent="0.2">
      <c r="A3552" s="341" t="s">
        <v>1726</v>
      </c>
    </row>
    <row r="3553" spans="1:3" x14ac:dyDescent="0.2">
      <c r="A3553" s="341" t="s">
        <v>141</v>
      </c>
    </row>
    <row r="3554" spans="1:3" x14ac:dyDescent="0.2">
      <c r="A3554" s="341" t="s">
        <v>2544</v>
      </c>
    </row>
    <row r="3555" spans="1:3" x14ac:dyDescent="0.2">
      <c r="A3555" s="341" t="s">
        <v>639</v>
      </c>
    </row>
    <row r="3556" spans="1:3" x14ac:dyDescent="0.2">
      <c r="A3556" s="341"/>
    </row>
    <row r="3557" spans="1:3" x14ac:dyDescent="0.2">
      <c r="A3557" s="341"/>
      <c r="B3557" s="339" t="s">
        <v>2569</v>
      </c>
      <c r="C3557" s="340">
        <v>55</v>
      </c>
    </row>
    <row r="3558" spans="1:3" x14ac:dyDescent="0.2">
      <c r="A3558" s="341"/>
      <c r="B3558" s="339" t="s">
        <v>600</v>
      </c>
      <c r="C3558" s="340">
        <v>15</v>
      </c>
    </row>
    <row r="3559" spans="1:3" x14ac:dyDescent="0.2">
      <c r="A3559" s="341"/>
      <c r="B3559" s="339" t="s">
        <v>2579</v>
      </c>
      <c r="C3559" s="340">
        <v>10</v>
      </c>
    </row>
    <row r="3560" spans="1:3" x14ac:dyDescent="0.2">
      <c r="A3560" s="341"/>
      <c r="B3560" s="339" t="s">
        <v>2583</v>
      </c>
      <c r="C3560" s="340">
        <v>8</v>
      </c>
    </row>
    <row r="3561" spans="1:3" x14ac:dyDescent="0.2">
      <c r="A3561" s="341"/>
      <c r="B3561" s="339" t="s">
        <v>450</v>
      </c>
      <c r="C3561" s="340">
        <v>6</v>
      </c>
    </row>
    <row r="3562" spans="1:3" x14ac:dyDescent="0.2">
      <c r="A3562" s="341"/>
      <c r="B3562" s="339" t="s">
        <v>2641</v>
      </c>
      <c r="C3562" s="340">
        <v>4</v>
      </c>
    </row>
    <row r="3563" spans="1:3" x14ac:dyDescent="0.2">
      <c r="A3563" s="341"/>
      <c r="B3563" s="339" t="s">
        <v>376</v>
      </c>
      <c r="C3563" s="340">
        <v>4</v>
      </c>
    </row>
    <row r="3564" spans="1:3" x14ac:dyDescent="0.2">
      <c r="A3564" s="341"/>
      <c r="B3564" s="339" t="s">
        <v>2577</v>
      </c>
      <c r="C3564" s="340">
        <v>3</v>
      </c>
    </row>
    <row r="3565" spans="1:3" x14ac:dyDescent="0.2">
      <c r="A3565" s="341"/>
      <c r="B3565" s="339" t="s">
        <v>340</v>
      </c>
      <c r="C3565" s="340">
        <v>3</v>
      </c>
    </row>
    <row r="3566" spans="1:3" x14ac:dyDescent="0.2">
      <c r="A3566" s="341"/>
      <c r="B3566" s="339" t="s">
        <v>1936</v>
      </c>
      <c r="C3566" s="340">
        <v>2</v>
      </c>
    </row>
    <row r="3567" spans="1:3" x14ac:dyDescent="0.2">
      <c r="A3567" s="341"/>
      <c r="B3567" s="339" t="s">
        <v>2648</v>
      </c>
      <c r="C3567" s="340">
        <v>1</v>
      </c>
    </row>
    <row r="3568" spans="1:3" x14ac:dyDescent="0.2">
      <c r="A3568" s="341"/>
    </row>
    <row r="3569" spans="1:3" x14ac:dyDescent="0.2">
      <c r="A3569" s="338" t="s">
        <v>3604</v>
      </c>
    </row>
    <row r="3570" spans="1:3" x14ac:dyDescent="0.2">
      <c r="A3570" s="341" t="s">
        <v>1393</v>
      </c>
    </row>
    <row r="3571" spans="1:3" x14ac:dyDescent="0.2">
      <c r="A3571" s="341" t="s">
        <v>1727</v>
      </c>
    </row>
    <row r="3572" spans="1:3" x14ac:dyDescent="0.2">
      <c r="A3572" s="341" t="s">
        <v>142</v>
      </c>
    </row>
    <row r="3573" spans="1:3" x14ac:dyDescent="0.2">
      <c r="A3573" s="341" t="s">
        <v>2544</v>
      </c>
    </row>
    <row r="3574" spans="1:3" x14ac:dyDescent="0.2">
      <c r="A3574" s="341" t="s">
        <v>639</v>
      </c>
    </row>
    <row r="3575" spans="1:3" x14ac:dyDescent="0.2">
      <c r="A3575" s="341"/>
    </row>
    <row r="3576" spans="1:3" x14ac:dyDescent="0.2">
      <c r="A3576" s="341"/>
      <c r="B3576" s="339" t="s">
        <v>2579</v>
      </c>
      <c r="C3576" s="340">
        <v>40</v>
      </c>
    </row>
    <row r="3577" spans="1:3" x14ac:dyDescent="0.2">
      <c r="A3577" s="341"/>
      <c r="B3577" s="339" t="s">
        <v>415</v>
      </c>
      <c r="C3577" s="340">
        <v>25</v>
      </c>
    </row>
    <row r="3578" spans="1:3" x14ac:dyDescent="0.2">
      <c r="A3578" s="341"/>
      <c r="B3578" s="339" t="s">
        <v>364</v>
      </c>
      <c r="C3578" s="340">
        <v>25</v>
      </c>
    </row>
    <row r="3579" spans="1:3" x14ac:dyDescent="0.2">
      <c r="A3579" s="341"/>
      <c r="B3579" s="339" t="s">
        <v>350</v>
      </c>
      <c r="C3579" s="340">
        <v>10</v>
      </c>
    </row>
    <row r="3580" spans="1:3" x14ac:dyDescent="0.2">
      <c r="A3580" s="341"/>
      <c r="B3580" s="339" t="s">
        <v>345</v>
      </c>
      <c r="C3580" s="340">
        <v>4</v>
      </c>
    </row>
    <row r="3581" spans="1:3" x14ac:dyDescent="0.2">
      <c r="A3581" s="341"/>
      <c r="B3581" s="339" t="s">
        <v>2649</v>
      </c>
      <c r="C3581" s="340">
        <v>3</v>
      </c>
    </row>
    <row r="3582" spans="1:3" x14ac:dyDescent="0.2">
      <c r="A3582" s="341"/>
      <c r="B3582" s="339" t="s">
        <v>376</v>
      </c>
      <c r="C3582" s="340">
        <v>3</v>
      </c>
    </row>
    <row r="3583" spans="1:3" x14ac:dyDescent="0.2">
      <c r="A3583" s="341"/>
      <c r="B3583" s="339" t="s">
        <v>597</v>
      </c>
      <c r="C3583" s="340">
        <v>2</v>
      </c>
    </row>
    <row r="3584" spans="1:3" x14ac:dyDescent="0.2">
      <c r="A3584" s="341"/>
      <c r="B3584" s="339" t="s">
        <v>2576</v>
      </c>
      <c r="C3584" s="340">
        <v>2</v>
      </c>
    </row>
    <row r="3585" spans="1:3" x14ac:dyDescent="0.2">
      <c r="A3585" s="341"/>
    </row>
    <row r="3586" spans="1:3" x14ac:dyDescent="0.2">
      <c r="A3586" s="338" t="s">
        <v>3605</v>
      </c>
    </row>
    <row r="3587" spans="1:3" x14ac:dyDescent="0.2">
      <c r="A3587" s="341" t="s">
        <v>1393</v>
      </c>
    </row>
    <row r="3588" spans="1:3" x14ac:dyDescent="0.2">
      <c r="A3588" s="341" t="s">
        <v>1728</v>
      </c>
    </row>
    <row r="3589" spans="1:3" x14ac:dyDescent="0.2">
      <c r="A3589" s="341" t="s">
        <v>143</v>
      </c>
    </row>
    <row r="3590" spans="1:3" x14ac:dyDescent="0.2">
      <c r="A3590" s="341" t="s">
        <v>2544</v>
      </c>
    </row>
    <row r="3591" spans="1:3" x14ac:dyDescent="0.2">
      <c r="A3591" s="341" t="s">
        <v>639</v>
      </c>
    </row>
    <row r="3592" spans="1:3" x14ac:dyDescent="0.2">
      <c r="A3592" s="341"/>
    </row>
    <row r="3593" spans="1:3" x14ac:dyDescent="0.2">
      <c r="A3593" s="341"/>
      <c r="B3593" s="339" t="s">
        <v>2579</v>
      </c>
      <c r="C3593" s="340">
        <v>30</v>
      </c>
    </row>
    <row r="3594" spans="1:3" x14ac:dyDescent="0.2">
      <c r="A3594" s="341"/>
      <c r="B3594" s="339" t="s">
        <v>364</v>
      </c>
      <c r="C3594" s="340">
        <v>25</v>
      </c>
    </row>
    <row r="3595" spans="1:3" x14ac:dyDescent="0.2">
      <c r="A3595" s="341"/>
      <c r="B3595" s="339" t="s">
        <v>350</v>
      </c>
      <c r="C3595" s="340">
        <v>9</v>
      </c>
    </row>
    <row r="3596" spans="1:3" x14ac:dyDescent="0.2">
      <c r="A3596" s="341"/>
      <c r="B3596" s="339" t="s">
        <v>2573</v>
      </c>
      <c r="C3596" s="340">
        <v>9</v>
      </c>
    </row>
    <row r="3597" spans="1:3" x14ac:dyDescent="0.2">
      <c r="A3597" s="341"/>
      <c r="B3597" s="339" t="s">
        <v>2666</v>
      </c>
      <c r="C3597" s="340">
        <v>7</v>
      </c>
    </row>
    <row r="3598" spans="1:3" x14ac:dyDescent="0.2">
      <c r="A3598" s="341"/>
      <c r="B3598" s="339" t="s">
        <v>340</v>
      </c>
      <c r="C3598" s="340">
        <v>6</v>
      </c>
    </row>
    <row r="3599" spans="1:3" x14ac:dyDescent="0.2">
      <c r="A3599" s="341"/>
      <c r="B3599" s="339" t="s">
        <v>1583</v>
      </c>
      <c r="C3599" s="340">
        <v>4</v>
      </c>
    </row>
    <row r="3600" spans="1:3" x14ac:dyDescent="0.2">
      <c r="A3600" s="341"/>
      <c r="B3600" s="339" t="s">
        <v>376</v>
      </c>
      <c r="C3600" s="340">
        <v>3</v>
      </c>
    </row>
    <row r="3601" spans="1:3" x14ac:dyDescent="0.2">
      <c r="A3601" s="341"/>
      <c r="B3601" s="339" t="s">
        <v>593</v>
      </c>
      <c r="C3601" s="340">
        <v>3</v>
      </c>
    </row>
    <row r="3602" spans="1:3" x14ac:dyDescent="0.2">
      <c r="A3602" s="341"/>
      <c r="B3602" s="339" t="s">
        <v>982</v>
      </c>
      <c r="C3602" s="340">
        <v>2</v>
      </c>
    </row>
    <row r="3603" spans="1:3" x14ac:dyDescent="0.2">
      <c r="A3603" s="341"/>
      <c r="B3603" s="339" t="s">
        <v>2566</v>
      </c>
      <c r="C3603" s="340">
        <v>2</v>
      </c>
    </row>
    <row r="3604" spans="1:3" x14ac:dyDescent="0.2">
      <c r="A3604" s="341"/>
    </row>
    <row r="3605" spans="1:3" x14ac:dyDescent="0.2">
      <c r="A3605" s="338" t="s">
        <v>3606</v>
      </c>
    </row>
    <row r="3606" spans="1:3" x14ac:dyDescent="0.2">
      <c r="A3606" s="341" t="s">
        <v>1393</v>
      </c>
    </row>
    <row r="3607" spans="1:3" x14ac:dyDescent="0.2">
      <c r="A3607" s="341" t="s">
        <v>1729</v>
      </c>
    </row>
    <row r="3608" spans="1:3" x14ac:dyDescent="0.2">
      <c r="A3608" s="341" t="s">
        <v>144</v>
      </c>
    </row>
    <row r="3609" spans="1:3" x14ac:dyDescent="0.2">
      <c r="A3609" s="341" t="s">
        <v>2544</v>
      </c>
    </row>
    <row r="3610" spans="1:3" x14ac:dyDescent="0.2">
      <c r="A3610" s="341" t="s">
        <v>639</v>
      </c>
    </row>
    <row r="3611" spans="1:3" x14ac:dyDescent="0.2">
      <c r="A3611" s="341"/>
    </row>
    <row r="3612" spans="1:3" x14ac:dyDescent="0.2">
      <c r="A3612" s="341"/>
      <c r="B3612" s="339" t="s">
        <v>2583</v>
      </c>
      <c r="C3612" s="340">
        <v>25</v>
      </c>
    </row>
    <row r="3613" spans="1:3" x14ac:dyDescent="0.2">
      <c r="A3613" s="341"/>
      <c r="B3613" s="339" t="s">
        <v>350</v>
      </c>
      <c r="C3613" s="340">
        <v>12</v>
      </c>
    </row>
    <row r="3614" spans="1:3" x14ac:dyDescent="0.2">
      <c r="A3614" s="341"/>
      <c r="B3614" s="339" t="s">
        <v>347</v>
      </c>
      <c r="C3614" s="340">
        <v>12</v>
      </c>
    </row>
    <row r="3615" spans="1:3" x14ac:dyDescent="0.2">
      <c r="A3615" s="341"/>
      <c r="B3615" s="339" t="s">
        <v>2566</v>
      </c>
      <c r="C3615" s="340">
        <v>10</v>
      </c>
    </row>
    <row r="3616" spans="1:3" x14ac:dyDescent="0.2">
      <c r="A3616" s="341"/>
      <c r="B3616" s="339" t="s">
        <v>340</v>
      </c>
      <c r="C3616" s="340">
        <v>8</v>
      </c>
    </row>
    <row r="3617" spans="1:3" x14ac:dyDescent="0.2">
      <c r="A3617" s="341"/>
      <c r="B3617" s="339" t="s">
        <v>600</v>
      </c>
      <c r="C3617" s="340">
        <v>7</v>
      </c>
    </row>
    <row r="3618" spans="1:3" x14ac:dyDescent="0.2">
      <c r="A3618" s="341"/>
      <c r="B3618" s="339" t="s">
        <v>369</v>
      </c>
      <c r="C3618" s="340">
        <v>7</v>
      </c>
    </row>
    <row r="3619" spans="1:3" x14ac:dyDescent="0.2">
      <c r="A3619" s="341"/>
      <c r="B3619" s="339" t="s">
        <v>593</v>
      </c>
      <c r="C3619" s="340">
        <v>7</v>
      </c>
    </row>
    <row r="3620" spans="1:3" x14ac:dyDescent="0.2">
      <c r="A3620" s="341"/>
      <c r="B3620" s="339" t="s">
        <v>2581</v>
      </c>
      <c r="C3620" s="340">
        <v>6</v>
      </c>
    </row>
    <row r="3621" spans="1:3" x14ac:dyDescent="0.2">
      <c r="A3621" s="341"/>
      <c r="B3621" s="339" t="s">
        <v>2579</v>
      </c>
      <c r="C3621" s="340">
        <v>6</v>
      </c>
    </row>
    <row r="3622" spans="1:3" x14ac:dyDescent="0.2">
      <c r="A3622" s="341"/>
      <c r="B3622" s="339" t="s">
        <v>349</v>
      </c>
      <c r="C3622" s="340">
        <v>4</v>
      </c>
    </row>
    <row r="3623" spans="1:3" x14ac:dyDescent="0.2">
      <c r="A3623" s="341"/>
      <c r="B3623" s="339" t="s">
        <v>344</v>
      </c>
      <c r="C3623" s="340">
        <v>4</v>
      </c>
    </row>
    <row r="3624" spans="1:3" x14ac:dyDescent="0.2">
      <c r="A3624" s="341"/>
      <c r="B3624" s="339" t="s">
        <v>376</v>
      </c>
      <c r="C3624" s="340">
        <v>2</v>
      </c>
    </row>
    <row r="3625" spans="1:3" x14ac:dyDescent="0.2">
      <c r="A3625" s="341"/>
    </row>
    <row r="3626" spans="1:3" x14ac:dyDescent="0.2">
      <c r="A3626" s="338" t="s">
        <v>3607</v>
      </c>
    </row>
    <row r="3627" spans="1:3" x14ac:dyDescent="0.2">
      <c r="A3627" s="341" t="s">
        <v>1393</v>
      </c>
    </row>
    <row r="3628" spans="1:3" x14ac:dyDescent="0.2">
      <c r="A3628" s="341" t="s">
        <v>1730</v>
      </c>
    </row>
    <row r="3629" spans="1:3" x14ac:dyDescent="0.2">
      <c r="A3629" s="341" t="s">
        <v>145</v>
      </c>
    </row>
    <row r="3630" spans="1:3" x14ac:dyDescent="0.2">
      <c r="A3630" s="341" t="s">
        <v>2544</v>
      </c>
    </row>
    <row r="3631" spans="1:3" x14ac:dyDescent="0.2">
      <c r="A3631" s="341" t="s">
        <v>639</v>
      </c>
    </row>
    <row r="3632" spans="1:3" x14ac:dyDescent="0.2">
      <c r="A3632" s="341"/>
    </row>
    <row r="3633" spans="1:3" x14ac:dyDescent="0.2">
      <c r="A3633" s="341"/>
      <c r="B3633" s="339" t="s">
        <v>2722</v>
      </c>
      <c r="C3633" s="340">
        <v>60</v>
      </c>
    </row>
    <row r="3634" spans="1:3" x14ac:dyDescent="0.2">
      <c r="A3634" s="341"/>
      <c r="B3634" s="339" t="s">
        <v>399</v>
      </c>
      <c r="C3634" s="340">
        <v>35</v>
      </c>
    </row>
    <row r="3635" spans="1:3" x14ac:dyDescent="0.2">
      <c r="A3635" s="341"/>
      <c r="B3635" s="339" t="s">
        <v>341</v>
      </c>
      <c r="C3635" s="340">
        <v>15</v>
      </c>
    </row>
    <row r="3636" spans="1:3" x14ac:dyDescent="0.2">
      <c r="A3636" s="341"/>
      <c r="B3636" s="339" t="s">
        <v>2579</v>
      </c>
      <c r="C3636" s="340">
        <v>8</v>
      </c>
    </row>
    <row r="3637" spans="1:3" x14ac:dyDescent="0.2">
      <c r="A3637" s="341"/>
      <c r="B3637" s="339" t="s">
        <v>2641</v>
      </c>
      <c r="C3637" s="340">
        <v>7</v>
      </c>
    </row>
    <row r="3638" spans="1:3" x14ac:dyDescent="0.2">
      <c r="A3638" s="341"/>
      <c r="B3638" s="339" t="s">
        <v>394</v>
      </c>
      <c r="C3638" s="340">
        <v>7</v>
      </c>
    </row>
    <row r="3639" spans="1:3" x14ac:dyDescent="0.2">
      <c r="A3639" s="341"/>
      <c r="B3639" s="339" t="s">
        <v>347</v>
      </c>
      <c r="C3639" s="340">
        <v>4</v>
      </c>
    </row>
    <row r="3640" spans="1:3" x14ac:dyDescent="0.2">
      <c r="A3640" s="341"/>
      <c r="B3640" s="339" t="s">
        <v>2649</v>
      </c>
      <c r="C3640" s="340">
        <v>3</v>
      </c>
    </row>
    <row r="3641" spans="1:3" x14ac:dyDescent="0.2">
      <c r="A3641" s="341"/>
      <c r="B3641" s="339" t="s">
        <v>403</v>
      </c>
      <c r="C3641" s="340">
        <v>2</v>
      </c>
    </row>
    <row r="3642" spans="1:3" x14ac:dyDescent="0.2">
      <c r="A3642" s="341"/>
      <c r="B3642" s="339" t="s">
        <v>340</v>
      </c>
      <c r="C3642" s="340">
        <v>2</v>
      </c>
    </row>
    <row r="3643" spans="1:3" x14ac:dyDescent="0.2">
      <c r="A3643" s="341"/>
      <c r="B3643" s="339" t="s">
        <v>2565</v>
      </c>
      <c r="C3643" s="340">
        <v>2</v>
      </c>
    </row>
    <row r="3644" spans="1:3" x14ac:dyDescent="0.2">
      <c r="A3644" s="341"/>
    </row>
    <row r="3645" spans="1:3" x14ac:dyDescent="0.2">
      <c r="A3645" s="338" t="s">
        <v>3608</v>
      </c>
    </row>
    <row r="3646" spans="1:3" x14ac:dyDescent="0.2">
      <c r="A3646" s="341" t="s">
        <v>1393</v>
      </c>
    </row>
    <row r="3647" spans="1:3" x14ac:dyDescent="0.2">
      <c r="A3647" s="341" t="s">
        <v>1731</v>
      </c>
    </row>
    <row r="3648" spans="1:3" x14ac:dyDescent="0.2">
      <c r="A3648" s="341" t="s">
        <v>146</v>
      </c>
    </row>
    <row r="3649" spans="1:3" x14ac:dyDescent="0.2">
      <c r="A3649" s="341" t="s">
        <v>2544</v>
      </c>
    </row>
    <row r="3650" spans="1:3" x14ac:dyDescent="0.2">
      <c r="A3650" s="341" t="s">
        <v>639</v>
      </c>
    </row>
    <row r="3651" spans="1:3" x14ac:dyDescent="0.2">
      <c r="A3651" s="341"/>
    </row>
    <row r="3652" spans="1:3" x14ac:dyDescent="0.2">
      <c r="A3652" s="341"/>
      <c r="B3652" s="339" t="s">
        <v>361</v>
      </c>
      <c r="C3652" s="340">
        <v>45</v>
      </c>
    </row>
    <row r="3653" spans="1:3" x14ac:dyDescent="0.2">
      <c r="A3653" s="341"/>
      <c r="B3653" s="339" t="s">
        <v>341</v>
      </c>
      <c r="C3653" s="340">
        <v>25</v>
      </c>
    </row>
    <row r="3654" spans="1:3" x14ac:dyDescent="0.2">
      <c r="A3654" s="341"/>
      <c r="B3654" s="339" t="s">
        <v>2583</v>
      </c>
      <c r="C3654" s="340">
        <v>15</v>
      </c>
    </row>
    <row r="3655" spans="1:3" x14ac:dyDescent="0.2">
      <c r="A3655" s="341"/>
      <c r="B3655" s="339" t="s">
        <v>340</v>
      </c>
      <c r="C3655" s="340">
        <v>12</v>
      </c>
    </row>
    <row r="3656" spans="1:3" x14ac:dyDescent="0.2">
      <c r="A3656" s="341"/>
      <c r="B3656" s="339" t="s">
        <v>364</v>
      </c>
      <c r="C3656" s="340">
        <v>10</v>
      </c>
    </row>
    <row r="3657" spans="1:3" x14ac:dyDescent="0.2">
      <c r="A3657" s="341"/>
      <c r="B3657" s="339" t="s">
        <v>347</v>
      </c>
      <c r="C3657" s="340">
        <v>7</v>
      </c>
    </row>
    <row r="3658" spans="1:3" x14ac:dyDescent="0.2">
      <c r="A3658" s="341"/>
      <c r="B3658" s="339" t="s">
        <v>403</v>
      </c>
      <c r="C3658" s="340">
        <v>6</v>
      </c>
    </row>
    <row r="3659" spans="1:3" x14ac:dyDescent="0.2">
      <c r="A3659" s="341"/>
      <c r="B3659" s="339" t="s">
        <v>2642</v>
      </c>
      <c r="C3659" s="340">
        <v>6</v>
      </c>
    </row>
    <row r="3660" spans="1:3" x14ac:dyDescent="0.2">
      <c r="A3660" s="341"/>
      <c r="B3660" s="339" t="s">
        <v>344</v>
      </c>
      <c r="C3660" s="340">
        <v>3</v>
      </c>
    </row>
    <row r="3661" spans="1:3" x14ac:dyDescent="0.2">
      <c r="A3661" s="341"/>
      <c r="B3661" s="339" t="s">
        <v>2582</v>
      </c>
      <c r="C3661" s="340">
        <v>2</v>
      </c>
    </row>
    <row r="3662" spans="1:3" x14ac:dyDescent="0.2">
      <c r="A3662" s="341"/>
      <c r="B3662" s="339" t="s">
        <v>2638</v>
      </c>
      <c r="C3662" s="340">
        <v>1</v>
      </c>
    </row>
    <row r="3663" spans="1:3" x14ac:dyDescent="0.2">
      <c r="A3663" s="341"/>
      <c r="B3663" s="339" t="s">
        <v>2293</v>
      </c>
      <c r="C3663" s="340">
        <v>1</v>
      </c>
    </row>
    <row r="3664" spans="1:3" x14ac:dyDescent="0.2">
      <c r="A3664" s="341"/>
      <c r="B3664" s="339" t="s">
        <v>590</v>
      </c>
      <c r="C3664" s="340">
        <v>1</v>
      </c>
    </row>
    <row r="3665" spans="1:3" x14ac:dyDescent="0.2">
      <c r="A3665" s="341"/>
    </row>
    <row r="3666" spans="1:3" x14ac:dyDescent="0.2">
      <c r="A3666" s="338" t="s">
        <v>3609</v>
      </c>
    </row>
    <row r="3667" spans="1:3" x14ac:dyDescent="0.2">
      <c r="A3667" s="341" t="s">
        <v>1393</v>
      </c>
    </row>
    <row r="3668" spans="1:3" x14ac:dyDescent="0.2">
      <c r="A3668" s="341" t="s">
        <v>1732</v>
      </c>
    </row>
    <row r="3669" spans="1:3" x14ac:dyDescent="0.2">
      <c r="A3669" s="341" t="s">
        <v>147</v>
      </c>
    </row>
    <row r="3670" spans="1:3" x14ac:dyDescent="0.2">
      <c r="A3670" s="341" t="s">
        <v>2544</v>
      </c>
    </row>
    <row r="3671" spans="1:3" x14ac:dyDescent="0.2">
      <c r="A3671" s="341" t="s">
        <v>639</v>
      </c>
    </row>
    <row r="3672" spans="1:3" x14ac:dyDescent="0.2">
      <c r="A3672" s="341"/>
    </row>
    <row r="3673" spans="1:3" x14ac:dyDescent="0.2">
      <c r="A3673" s="341"/>
      <c r="B3673" s="339" t="s">
        <v>454</v>
      </c>
      <c r="C3673" s="340">
        <v>85</v>
      </c>
    </row>
    <row r="3674" spans="1:3" x14ac:dyDescent="0.2">
      <c r="A3674" s="341"/>
      <c r="B3674" s="339" t="s">
        <v>416</v>
      </c>
      <c r="C3674" s="340">
        <v>20</v>
      </c>
    </row>
    <row r="3675" spans="1:3" x14ac:dyDescent="0.2">
      <c r="A3675" s="341"/>
      <c r="B3675" s="339" t="s">
        <v>600</v>
      </c>
      <c r="C3675" s="340">
        <v>12</v>
      </c>
    </row>
    <row r="3676" spans="1:3" x14ac:dyDescent="0.2">
      <c r="A3676" s="341"/>
      <c r="B3676" s="339" t="s">
        <v>347</v>
      </c>
      <c r="C3676" s="340">
        <v>12</v>
      </c>
    </row>
    <row r="3677" spans="1:3" x14ac:dyDescent="0.2">
      <c r="A3677" s="341"/>
      <c r="B3677" s="339" t="s">
        <v>376</v>
      </c>
      <c r="C3677" s="340">
        <v>4</v>
      </c>
    </row>
    <row r="3678" spans="1:3" x14ac:dyDescent="0.2">
      <c r="A3678" s="341"/>
      <c r="B3678" s="339" t="s">
        <v>597</v>
      </c>
      <c r="C3678" s="340">
        <v>2</v>
      </c>
    </row>
    <row r="3679" spans="1:3" x14ac:dyDescent="0.2">
      <c r="A3679" s="341"/>
      <c r="B3679" s="339" t="s">
        <v>2583</v>
      </c>
      <c r="C3679" s="340">
        <v>2</v>
      </c>
    </row>
    <row r="3680" spans="1:3" x14ac:dyDescent="0.2">
      <c r="A3680" s="341"/>
      <c r="B3680" s="339" t="s">
        <v>2577</v>
      </c>
      <c r="C3680" s="340">
        <v>1</v>
      </c>
    </row>
    <row r="3681" spans="1:3" x14ac:dyDescent="0.2">
      <c r="A3681" s="341"/>
      <c r="B3681" s="339" t="s">
        <v>2576</v>
      </c>
      <c r="C3681" s="340">
        <v>1</v>
      </c>
    </row>
    <row r="3682" spans="1:3" x14ac:dyDescent="0.2">
      <c r="A3682" s="341"/>
    </row>
    <row r="3683" spans="1:3" x14ac:dyDescent="0.2">
      <c r="A3683" s="338" t="s">
        <v>3610</v>
      </c>
    </row>
    <row r="3684" spans="1:3" x14ac:dyDescent="0.2">
      <c r="A3684" s="341" t="s">
        <v>1393</v>
      </c>
    </row>
    <row r="3685" spans="1:3" x14ac:dyDescent="0.2">
      <c r="A3685" s="341" t="s">
        <v>1733</v>
      </c>
    </row>
    <row r="3686" spans="1:3" x14ac:dyDescent="0.2">
      <c r="A3686" s="341" t="s">
        <v>148</v>
      </c>
    </row>
    <row r="3687" spans="1:3" x14ac:dyDescent="0.2">
      <c r="A3687" s="341" t="s">
        <v>2544</v>
      </c>
    </row>
    <row r="3688" spans="1:3" x14ac:dyDescent="0.2">
      <c r="A3688" s="341" t="s">
        <v>639</v>
      </c>
    </row>
    <row r="3689" spans="1:3" x14ac:dyDescent="0.2">
      <c r="A3689" s="341"/>
    </row>
    <row r="3690" spans="1:3" x14ac:dyDescent="0.2">
      <c r="A3690" s="341"/>
      <c r="B3690" s="339" t="s">
        <v>2576</v>
      </c>
      <c r="C3690" s="340">
        <v>60</v>
      </c>
    </row>
    <row r="3691" spans="1:3" x14ac:dyDescent="0.2">
      <c r="A3691" s="341"/>
      <c r="B3691" s="339" t="s">
        <v>340</v>
      </c>
      <c r="C3691" s="340">
        <v>18</v>
      </c>
    </row>
    <row r="3692" spans="1:3" x14ac:dyDescent="0.2">
      <c r="A3692" s="341"/>
      <c r="B3692" s="339" t="s">
        <v>416</v>
      </c>
      <c r="C3692" s="340">
        <v>8</v>
      </c>
    </row>
    <row r="3693" spans="1:3" x14ac:dyDescent="0.2">
      <c r="A3693" s="341"/>
      <c r="B3693" s="339" t="s">
        <v>345</v>
      </c>
      <c r="C3693" s="340">
        <v>7</v>
      </c>
    </row>
    <row r="3694" spans="1:3" x14ac:dyDescent="0.2">
      <c r="A3694" s="341"/>
      <c r="B3694" s="339" t="s">
        <v>394</v>
      </c>
      <c r="C3694" s="340">
        <v>6</v>
      </c>
    </row>
    <row r="3695" spans="1:3" x14ac:dyDescent="0.2">
      <c r="A3695" s="341"/>
      <c r="B3695" s="339" t="s">
        <v>376</v>
      </c>
      <c r="C3695" s="340">
        <v>5</v>
      </c>
    </row>
    <row r="3696" spans="1:3" x14ac:dyDescent="0.2">
      <c r="A3696" s="341"/>
      <c r="B3696" s="339" t="s">
        <v>350</v>
      </c>
      <c r="C3696" s="340">
        <v>4</v>
      </c>
    </row>
    <row r="3697" spans="1:3" x14ac:dyDescent="0.2">
      <c r="A3697" s="341"/>
      <c r="B3697" s="339" t="s">
        <v>601</v>
      </c>
      <c r="C3697" s="340">
        <v>3</v>
      </c>
    </row>
    <row r="3698" spans="1:3" x14ac:dyDescent="0.2">
      <c r="A3698" s="341"/>
      <c r="B3698" s="339" t="s">
        <v>1589</v>
      </c>
      <c r="C3698" s="340">
        <v>3</v>
      </c>
    </row>
    <row r="3699" spans="1:3" x14ac:dyDescent="0.2">
      <c r="A3699" s="341"/>
      <c r="B3699" s="339" t="s">
        <v>478</v>
      </c>
      <c r="C3699" s="340">
        <v>2</v>
      </c>
    </row>
    <row r="3700" spans="1:3" x14ac:dyDescent="0.2">
      <c r="A3700" s="341"/>
      <c r="B3700" s="339" t="s">
        <v>2566</v>
      </c>
      <c r="C3700" s="340">
        <v>2</v>
      </c>
    </row>
    <row r="3701" spans="1:3" x14ac:dyDescent="0.2">
      <c r="A3701" s="341"/>
    </row>
    <row r="3702" spans="1:3" x14ac:dyDescent="0.2">
      <c r="A3702" s="338" t="s">
        <v>3611</v>
      </c>
    </row>
    <row r="3703" spans="1:3" x14ac:dyDescent="0.2">
      <c r="A3703" s="341" t="s">
        <v>1393</v>
      </c>
    </row>
    <row r="3704" spans="1:3" x14ac:dyDescent="0.2">
      <c r="A3704" s="341" t="s">
        <v>1734</v>
      </c>
    </row>
    <row r="3705" spans="1:3" x14ac:dyDescent="0.2">
      <c r="A3705" s="341" t="s">
        <v>149</v>
      </c>
    </row>
    <row r="3706" spans="1:3" x14ac:dyDescent="0.2">
      <c r="A3706" s="341" t="s">
        <v>2544</v>
      </c>
    </row>
    <row r="3707" spans="1:3" x14ac:dyDescent="0.2">
      <c r="A3707" s="341" t="s">
        <v>639</v>
      </c>
    </row>
    <row r="3708" spans="1:3" x14ac:dyDescent="0.2">
      <c r="A3708" s="341"/>
    </row>
    <row r="3709" spans="1:3" x14ac:dyDescent="0.2">
      <c r="A3709" s="341"/>
      <c r="B3709" s="339" t="s">
        <v>454</v>
      </c>
      <c r="C3709" s="340">
        <v>45</v>
      </c>
    </row>
    <row r="3710" spans="1:3" x14ac:dyDescent="0.2">
      <c r="A3710" s="341"/>
      <c r="B3710" s="339" t="s">
        <v>597</v>
      </c>
      <c r="C3710" s="340">
        <v>20</v>
      </c>
    </row>
    <row r="3711" spans="1:3" x14ac:dyDescent="0.2">
      <c r="A3711" s="341"/>
      <c r="B3711" s="339" t="s">
        <v>347</v>
      </c>
      <c r="C3711" s="340">
        <v>15</v>
      </c>
    </row>
    <row r="3712" spans="1:3" x14ac:dyDescent="0.2">
      <c r="A3712" s="341"/>
      <c r="B3712" s="339" t="s">
        <v>2583</v>
      </c>
      <c r="C3712" s="340">
        <v>12</v>
      </c>
    </row>
    <row r="3713" spans="1:3" x14ac:dyDescent="0.2">
      <c r="A3713" s="341"/>
      <c r="B3713" s="339" t="s">
        <v>600</v>
      </c>
      <c r="C3713" s="340">
        <v>6</v>
      </c>
    </row>
    <row r="3714" spans="1:3" x14ac:dyDescent="0.2">
      <c r="A3714" s="341"/>
      <c r="B3714" s="339" t="s">
        <v>341</v>
      </c>
      <c r="C3714" s="340">
        <v>5</v>
      </c>
    </row>
    <row r="3715" spans="1:3" x14ac:dyDescent="0.2">
      <c r="A3715" s="341"/>
      <c r="B3715" s="339" t="s">
        <v>369</v>
      </c>
      <c r="C3715" s="340">
        <v>3</v>
      </c>
    </row>
    <row r="3716" spans="1:3" x14ac:dyDescent="0.2">
      <c r="A3716" s="341"/>
      <c r="B3716" s="339" t="s">
        <v>344</v>
      </c>
      <c r="C3716" s="340">
        <v>2</v>
      </c>
    </row>
    <row r="3717" spans="1:3" x14ac:dyDescent="0.2">
      <c r="A3717" s="341"/>
    </row>
    <row r="3718" spans="1:3" x14ac:dyDescent="0.2">
      <c r="A3718" s="338" t="s">
        <v>3612</v>
      </c>
    </row>
    <row r="3719" spans="1:3" x14ac:dyDescent="0.2">
      <c r="A3719" s="341" t="s">
        <v>1393</v>
      </c>
    </row>
    <row r="3720" spans="1:3" x14ac:dyDescent="0.2">
      <c r="A3720" s="341" t="s">
        <v>1735</v>
      </c>
    </row>
    <row r="3721" spans="1:3" x14ac:dyDescent="0.2">
      <c r="A3721" s="341" t="s">
        <v>150</v>
      </c>
    </row>
    <row r="3722" spans="1:3" x14ac:dyDescent="0.2">
      <c r="A3722" s="341" t="s">
        <v>2544</v>
      </c>
    </row>
    <row r="3723" spans="1:3" x14ac:dyDescent="0.2">
      <c r="A3723" s="341" t="s">
        <v>639</v>
      </c>
    </row>
    <row r="3724" spans="1:3" x14ac:dyDescent="0.2">
      <c r="A3724" s="341"/>
    </row>
    <row r="3725" spans="1:3" x14ac:dyDescent="0.2">
      <c r="A3725" s="341"/>
      <c r="B3725" s="339" t="s">
        <v>454</v>
      </c>
      <c r="C3725" s="340">
        <v>25</v>
      </c>
    </row>
    <row r="3726" spans="1:3" x14ac:dyDescent="0.2">
      <c r="A3726" s="341"/>
      <c r="B3726" s="339" t="s">
        <v>347</v>
      </c>
      <c r="C3726" s="340">
        <v>20</v>
      </c>
    </row>
    <row r="3727" spans="1:3" x14ac:dyDescent="0.2">
      <c r="A3727" s="341"/>
      <c r="B3727" s="339" t="s">
        <v>361</v>
      </c>
      <c r="C3727" s="340">
        <v>12</v>
      </c>
    </row>
    <row r="3728" spans="1:3" x14ac:dyDescent="0.2">
      <c r="A3728" s="341"/>
      <c r="B3728" s="339" t="s">
        <v>340</v>
      </c>
      <c r="C3728" s="340">
        <v>8</v>
      </c>
    </row>
    <row r="3729" spans="1:3" x14ac:dyDescent="0.2">
      <c r="A3729" s="341"/>
      <c r="B3729" s="339" t="s">
        <v>341</v>
      </c>
      <c r="C3729" s="340">
        <v>7</v>
      </c>
    </row>
    <row r="3730" spans="1:3" x14ac:dyDescent="0.2">
      <c r="A3730" s="341"/>
      <c r="B3730" s="339" t="s">
        <v>364</v>
      </c>
      <c r="C3730" s="340">
        <v>7</v>
      </c>
    </row>
    <row r="3731" spans="1:3" x14ac:dyDescent="0.2">
      <c r="A3731" s="341"/>
      <c r="B3731" s="339" t="s">
        <v>2583</v>
      </c>
      <c r="C3731" s="340">
        <v>4</v>
      </c>
    </row>
    <row r="3732" spans="1:3" x14ac:dyDescent="0.2">
      <c r="A3732" s="341"/>
      <c r="B3732" s="339" t="s">
        <v>376</v>
      </c>
      <c r="C3732" s="340">
        <v>3</v>
      </c>
    </row>
    <row r="3733" spans="1:3" x14ac:dyDescent="0.2">
      <c r="A3733" s="341"/>
    </row>
    <row r="3734" spans="1:3" x14ac:dyDescent="0.2">
      <c r="A3734" s="338" t="s">
        <v>3613</v>
      </c>
    </row>
    <row r="3735" spans="1:3" x14ac:dyDescent="0.2">
      <c r="A3735" s="341" t="s">
        <v>1393</v>
      </c>
    </row>
    <row r="3736" spans="1:3" x14ac:dyDescent="0.2">
      <c r="A3736" s="341" t="s">
        <v>1736</v>
      </c>
    </row>
    <row r="3737" spans="1:3" x14ac:dyDescent="0.2">
      <c r="A3737" s="341" t="s">
        <v>151</v>
      </c>
    </row>
    <row r="3738" spans="1:3" x14ac:dyDescent="0.2">
      <c r="A3738" s="341" t="s">
        <v>2544</v>
      </c>
    </row>
    <row r="3739" spans="1:3" x14ac:dyDescent="0.2">
      <c r="A3739" s="341" t="s">
        <v>639</v>
      </c>
    </row>
    <row r="3740" spans="1:3" x14ac:dyDescent="0.2">
      <c r="A3740" s="341"/>
    </row>
    <row r="3741" spans="1:3" x14ac:dyDescent="0.2">
      <c r="A3741" s="341"/>
      <c r="B3741" s="339" t="s">
        <v>352</v>
      </c>
      <c r="C3741" s="340">
        <v>60</v>
      </c>
    </row>
    <row r="3742" spans="1:3" x14ac:dyDescent="0.2">
      <c r="A3742" s="341"/>
      <c r="B3742" s="339" t="s">
        <v>2579</v>
      </c>
      <c r="C3742" s="340">
        <v>40</v>
      </c>
    </row>
    <row r="3743" spans="1:3" x14ac:dyDescent="0.2">
      <c r="A3743" s="341"/>
      <c r="B3743" s="339" t="s">
        <v>454</v>
      </c>
      <c r="C3743" s="340">
        <v>20</v>
      </c>
    </row>
    <row r="3744" spans="1:3" x14ac:dyDescent="0.2">
      <c r="A3744" s="341"/>
      <c r="B3744" s="339" t="s">
        <v>342</v>
      </c>
      <c r="C3744" s="340">
        <v>15</v>
      </c>
    </row>
    <row r="3745" spans="1:3" x14ac:dyDescent="0.2">
      <c r="A3745" s="341"/>
      <c r="B3745" s="339" t="s">
        <v>2569</v>
      </c>
      <c r="C3745" s="340">
        <v>15</v>
      </c>
    </row>
    <row r="3746" spans="1:3" x14ac:dyDescent="0.2">
      <c r="A3746" s="341"/>
      <c r="B3746" s="339" t="s">
        <v>447</v>
      </c>
      <c r="C3746" s="340">
        <v>7</v>
      </c>
    </row>
    <row r="3747" spans="1:3" x14ac:dyDescent="0.2">
      <c r="A3747" s="341"/>
      <c r="B3747" s="339" t="s">
        <v>432</v>
      </c>
      <c r="C3747" s="340">
        <v>6</v>
      </c>
    </row>
    <row r="3748" spans="1:3" x14ac:dyDescent="0.2">
      <c r="A3748" s="341"/>
    </row>
    <row r="3749" spans="1:3" x14ac:dyDescent="0.2">
      <c r="A3749" s="338" t="s">
        <v>926</v>
      </c>
    </row>
    <row r="3750" spans="1:3" x14ac:dyDescent="0.2">
      <c r="A3750" s="341" t="s">
        <v>1393</v>
      </c>
    </row>
    <row r="3751" spans="1:3" x14ac:dyDescent="0.2">
      <c r="A3751" s="341" t="s">
        <v>1737</v>
      </c>
    </row>
    <row r="3752" spans="1:3" x14ac:dyDescent="0.2">
      <c r="A3752" s="341" t="s">
        <v>152</v>
      </c>
    </row>
    <row r="3753" spans="1:3" x14ac:dyDescent="0.2">
      <c r="A3753" s="341" t="s">
        <v>2544</v>
      </c>
    </row>
    <row r="3754" spans="1:3" x14ac:dyDescent="0.2">
      <c r="A3754" s="341" t="s">
        <v>639</v>
      </c>
    </row>
    <row r="3755" spans="1:3" x14ac:dyDescent="0.2">
      <c r="A3755" s="341"/>
    </row>
    <row r="3756" spans="1:3" x14ac:dyDescent="0.2">
      <c r="A3756" s="341"/>
      <c r="B3756" s="339" t="s">
        <v>2569</v>
      </c>
      <c r="C3756" s="340">
        <v>40</v>
      </c>
    </row>
    <row r="3757" spans="1:3" x14ac:dyDescent="0.2">
      <c r="A3757" s="341"/>
      <c r="B3757" s="339" t="s">
        <v>454</v>
      </c>
      <c r="C3757" s="340">
        <v>20</v>
      </c>
    </row>
    <row r="3758" spans="1:3" x14ac:dyDescent="0.2">
      <c r="A3758" s="341"/>
      <c r="B3758" s="339" t="s">
        <v>357</v>
      </c>
      <c r="C3758" s="340">
        <v>7</v>
      </c>
    </row>
    <row r="3759" spans="1:3" x14ac:dyDescent="0.2">
      <c r="A3759" s="341"/>
      <c r="B3759" s="339" t="s">
        <v>450</v>
      </c>
      <c r="C3759" s="340">
        <v>7</v>
      </c>
    </row>
    <row r="3760" spans="1:3" x14ac:dyDescent="0.2">
      <c r="A3760" s="341"/>
      <c r="B3760" s="339" t="s">
        <v>2582</v>
      </c>
      <c r="C3760" s="340">
        <v>5</v>
      </c>
    </row>
    <row r="3761" spans="1:3" x14ac:dyDescent="0.2">
      <c r="A3761" s="341"/>
      <c r="B3761" s="339" t="s">
        <v>342</v>
      </c>
      <c r="C3761" s="340">
        <v>4</v>
      </c>
    </row>
    <row r="3762" spans="1:3" x14ac:dyDescent="0.2">
      <c r="A3762" s="341"/>
      <c r="B3762" s="339" t="s">
        <v>447</v>
      </c>
      <c r="C3762" s="340">
        <v>2</v>
      </c>
    </row>
    <row r="3763" spans="1:3" x14ac:dyDescent="0.2">
      <c r="A3763" s="341"/>
    </row>
    <row r="3764" spans="1:3" x14ac:dyDescent="0.2">
      <c r="A3764" s="338" t="s">
        <v>927</v>
      </c>
    </row>
    <row r="3765" spans="1:3" x14ac:dyDescent="0.2">
      <c r="A3765" s="341" t="s">
        <v>1738</v>
      </c>
    </row>
    <row r="3766" spans="1:3" x14ac:dyDescent="0.2">
      <c r="A3766" s="341" t="s">
        <v>1739</v>
      </c>
    </row>
    <row r="3767" spans="1:3" x14ac:dyDescent="0.2">
      <c r="A3767" s="341" t="s">
        <v>153</v>
      </c>
    </row>
    <row r="3768" spans="1:3" x14ac:dyDescent="0.2">
      <c r="A3768" s="341" t="s">
        <v>2543</v>
      </c>
    </row>
    <row r="3769" spans="1:3" x14ac:dyDescent="0.2">
      <c r="A3769" s="341" t="s">
        <v>639</v>
      </c>
    </row>
    <row r="3770" spans="1:3" x14ac:dyDescent="0.2">
      <c r="A3770" s="341"/>
    </row>
    <row r="3771" spans="1:3" x14ac:dyDescent="0.2">
      <c r="A3771" s="341"/>
      <c r="B3771" s="339" t="s">
        <v>376</v>
      </c>
      <c r="C3771" s="340">
        <v>30</v>
      </c>
    </row>
    <row r="3772" spans="1:3" x14ac:dyDescent="0.2">
      <c r="A3772" s="341"/>
      <c r="B3772" s="339" t="s">
        <v>392</v>
      </c>
      <c r="C3772" s="340">
        <v>20</v>
      </c>
    </row>
    <row r="3773" spans="1:3" x14ac:dyDescent="0.2">
      <c r="A3773" s="341"/>
      <c r="B3773" s="339" t="s">
        <v>2592</v>
      </c>
      <c r="C3773" s="340">
        <v>18</v>
      </c>
    </row>
    <row r="3774" spans="1:3" x14ac:dyDescent="0.2">
      <c r="A3774" s="341"/>
      <c r="B3774" s="339" t="s">
        <v>341</v>
      </c>
      <c r="C3774" s="340">
        <v>15</v>
      </c>
    </row>
    <row r="3775" spans="1:3" x14ac:dyDescent="0.2">
      <c r="A3775" s="341"/>
      <c r="B3775" s="339" t="s">
        <v>340</v>
      </c>
      <c r="C3775" s="340">
        <v>15</v>
      </c>
    </row>
    <row r="3776" spans="1:3" x14ac:dyDescent="0.2">
      <c r="A3776" s="341"/>
      <c r="B3776" s="339" t="s">
        <v>358</v>
      </c>
      <c r="C3776" s="340">
        <v>15</v>
      </c>
    </row>
    <row r="3777" spans="1:3" x14ac:dyDescent="0.2">
      <c r="A3777" s="341"/>
      <c r="B3777" s="339" t="s">
        <v>364</v>
      </c>
      <c r="C3777" s="340">
        <v>10</v>
      </c>
    </row>
    <row r="3778" spans="1:3" x14ac:dyDescent="0.2">
      <c r="A3778" s="341"/>
      <c r="B3778" s="339" t="s">
        <v>343</v>
      </c>
      <c r="C3778" s="340">
        <v>8</v>
      </c>
    </row>
    <row r="3779" spans="1:3" x14ac:dyDescent="0.2">
      <c r="A3779" s="341"/>
      <c r="B3779" s="339" t="s">
        <v>349</v>
      </c>
      <c r="C3779" s="340">
        <v>7</v>
      </c>
    </row>
    <row r="3780" spans="1:3" x14ac:dyDescent="0.2">
      <c r="A3780" s="341"/>
      <c r="B3780" s="339" t="s">
        <v>400</v>
      </c>
      <c r="C3780" s="340">
        <v>5</v>
      </c>
    </row>
    <row r="3781" spans="1:3" x14ac:dyDescent="0.2">
      <c r="A3781" s="341"/>
      <c r="B3781" s="339" t="s">
        <v>355</v>
      </c>
      <c r="C3781" s="340">
        <v>2</v>
      </c>
    </row>
    <row r="3782" spans="1:3" x14ac:dyDescent="0.2">
      <c r="A3782" s="341"/>
      <c r="B3782" s="339" t="s">
        <v>353</v>
      </c>
      <c r="C3782" s="340">
        <v>2</v>
      </c>
    </row>
    <row r="3783" spans="1:3" x14ac:dyDescent="0.2">
      <c r="A3783" s="341"/>
      <c r="B3783" s="339" t="s">
        <v>478</v>
      </c>
      <c r="C3783" s="340">
        <v>2</v>
      </c>
    </row>
    <row r="3784" spans="1:3" x14ac:dyDescent="0.2">
      <c r="A3784" s="341"/>
      <c r="B3784" s="339" t="s">
        <v>369</v>
      </c>
      <c r="C3784" s="340">
        <v>1</v>
      </c>
    </row>
    <row r="3785" spans="1:3" x14ac:dyDescent="0.2">
      <c r="A3785" s="341"/>
      <c r="B3785" s="339" t="s">
        <v>342</v>
      </c>
      <c r="C3785" s="340">
        <v>1</v>
      </c>
    </row>
    <row r="3786" spans="1:3" x14ac:dyDescent="0.2">
      <c r="A3786" s="341"/>
      <c r="B3786" s="339" t="s">
        <v>1583</v>
      </c>
      <c r="C3786" s="340">
        <v>1</v>
      </c>
    </row>
    <row r="3787" spans="1:3" x14ac:dyDescent="0.2">
      <c r="A3787" s="341"/>
    </row>
    <row r="3788" spans="1:3" x14ac:dyDescent="0.2">
      <c r="A3788" s="338" t="s">
        <v>928</v>
      </c>
    </row>
    <row r="3789" spans="1:3" x14ac:dyDescent="0.2">
      <c r="A3789" s="341" t="s">
        <v>1738</v>
      </c>
    </row>
    <row r="3790" spans="1:3" x14ac:dyDescent="0.2">
      <c r="A3790" s="341" t="s">
        <v>1740</v>
      </c>
    </row>
    <row r="3791" spans="1:3" x14ac:dyDescent="0.2">
      <c r="A3791" s="341" t="s">
        <v>154</v>
      </c>
    </row>
    <row r="3792" spans="1:3" x14ac:dyDescent="0.2">
      <c r="A3792" s="341" t="s">
        <v>2543</v>
      </c>
    </row>
    <row r="3793" spans="1:3" x14ac:dyDescent="0.2">
      <c r="A3793" s="341" t="s">
        <v>639</v>
      </c>
    </row>
    <row r="3794" spans="1:3" x14ac:dyDescent="0.2">
      <c r="A3794" s="341"/>
    </row>
    <row r="3795" spans="1:3" x14ac:dyDescent="0.2">
      <c r="A3795" s="341"/>
      <c r="B3795" s="339" t="s">
        <v>400</v>
      </c>
      <c r="C3795" s="340">
        <v>30</v>
      </c>
    </row>
    <row r="3796" spans="1:3" x14ac:dyDescent="0.2">
      <c r="A3796" s="341"/>
      <c r="B3796" s="339" t="s">
        <v>376</v>
      </c>
      <c r="C3796" s="340">
        <v>18</v>
      </c>
    </row>
    <row r="3797" spans="1:3" x14ac:dyDescent="0.2">
      <c r="A3797" s="341"/>
      <c r="B3797" s="339" t="s">
        <v>340</v>
      </c>
      <c r="C3797" s="340">
        <v>10</v>
      </c>
    </row>
    <row r="3798" spans="1:3" x14ac:dyDescent="0.2">
      <c r="A3798" s="341"/>
      <c r="B3798" s="339" t="s">
        <v>364</v>
      </c>
      <c r="C3798" s="340">
        <v>10</v>
      </c>
    </row>
    <row r="3799" spans="1:3" x14ac:dyDescent="0.2">
      <c r="A3799" s="341"/>
      <c r="B3799" s="339" t="s">
        <v>1583</v>
      </c>
      <c r="C3799" s="340">
        <v>7</v>
      </c>
    </row>
    <row r="3800" spans="1:3" x14ac:dyDescent="0.2">
      <c r="A3800" s="341"/>
      <c r="B3800" s="339" t="s">
        <v>1936</v>
      </c>
      <c r="C3800" s="340">
        <v>5</v>
      </c>
    </row>
    <row r="3801" spans="1:3" x14ac:dyDescent="0.2">
      <c r="A3801" s="341"/>
      <c r="B3801" s="339" t="s">
        <v>343</v>
      </c>
      <c r="C3801" s="340">
        <v>3</v>
      </c>
    </row>
    <row r="3802" spans="1:3" x14ac:dyDescent="0.2">
      <c r="A3802" s="341"/>
      <c r="B3802" s="339" t="s">
        <v>2592</v>
      </c>
      <c r="C3802" s="340">
        <v>3</v>
      </c>
    </row>
    <row r="3803" spans="1:3" x14ac:dyDescent="0.2">
      <c r="A3803" s="341"/>
      <c r="B3803" s="339" t="s">
        <v>3151</v>
      </c>
      <c r="C3803" s="340">
        <v>2</v>
      </c>
    </row>
    <row r="3804" spans="1:3" x14ac:dyDescent="0.2">
      <c r="A3804" s="341"/>
    </row>
    <row r="3805" spans="1:3" x14ac:dyDescent="0.2">
      <c r="A3805" s="338" t="s">
        <v>929</v>
      </c>
    </row>
    <row r="3806" spans="1:3" x14ac:dyDescent="0.2">
      <c r="A3806" s="341" t="s">
        <v>1738</v>
      </c>
    </row>
    <row r="3807" spans="1:3" x14ac:dyDescent="0.2">
      <c r="A3807" s="341" t="s">
        <v>1741</v>
      </c>
    </row>
    <row r="3808" spans="1:3" x14ac:dyDescent="0.2">
      <c r="A3808" s="341" t="s">
        <v>155</v>
      </c>
    </row>
    <row r="3809" spans="1:3" x14ac:dyDescent="0.2">
      <c r="A3809" s="341" t="s">
        <v>2542</v>
      </c>
    </row>
    <row r="3810" spans="1:3" x14ac:dyDescent="0.2">
      <c r="A3810" s="341" t="s">
        <v>639</v>
      </c>
    </row>
    <row r="3811" spans="1:3" x14ac:dyDescent="0.2">
      <c r="A3811" s="341"/>
    </row>
    <row r="3812" spans="1:3" x14ac:dyDescent="0.2">
      <c r="A3812" s="341"/>
      <c r="B3812" s="339" t="s">
        <v>982</v>
      </c>
      <c r="C3812" s="340">
        <v>25</v>
      </c>
    </row>
    <row r="3813" spans="1:3" x14ac:dyDescent="0.2">
      <c r="A3813" s="341"/>
      <c r="B3813" s="339" t="s">
        <v>394</v>
      </c>
      <c r="C3813" s="340">
        <v>12</v>
      </c>
    </row>
    <row r="3814" spans="1:3" x14ac:dyDescent="0.2">
      <c r="A3814" s="341"/>
      <c r="B3814" s="339" t="s">
        <v>392</v>
      </c>
      <c r="C3814" s="340">
        <v>12</v>
      </c>
    </row>
    <row r="3815" spans="1:3" x14ac:dyDescent="0.2">
      <c r="A3815" s="341"/>
      <c r="B3815" s="339" t="s">
        <v>2722</v>
      </c>
      <c r="C3815" s="340">
        <v>10</v>
      </c>
    </row>
    <row r="3816" spans="1:3" x14ac:dyDescent="0.2">
      <c r="A3816" s="341"/>
      <c r="B3816" s="339" t="s">
        <v>376</v>
      </c>
      <c r="C3816" s="340">
        <v>4</v>
      </c>
    </row>
    <row r="3817" spans="1:3" x14ac:dyDescent="0.2">
      <c r="A3817" s="341"/>
      <c r="B3817" s="339" t="s">
        <v>445</v>
      </c>
      <c r="C3817" s="340">
        <v>1</v>
      </c>
    </row>
    <row r="3818" spans="1:3" x14ac:dyDescent="0.2">
      <c r="A3818" s="341"/>
    </row>
    <row r="3819" spans="1:3" x14ac:dyDescent="0.2">
      <c r="A3819" s="338" t="s">
        <v>930</v>
      </c>
    </row>
    <row r="3820" spans="1:3" x14ac:dyDescent="0.2">
      <c r="A3820" s="341" t="s">
        <v>1738</v>
      </c>
    </row>
    <row r="3821" spans="1:3" x14ac:dyDescent="0.2">
      <c r="A3821" s="341" t="s">
        <v>1742</v>
      </c>
    </row>
    <row r="3822" spans="1:3" x14ac:dyDescent="0.2">
      <c r="A3822" s="341" t="s">
        <v>156</v>
      </c>
    </row>
    <row r="3823" spans="1:3" x14ac:dyDescent="0.2">
      <c r="A3823" s="341" t="s">
        <v>2542</v>
      </c>
    </row>
    <row r="3824" spans="1:3" x14ac:dyDescent="0.2">
      <c r="A3824" s="341" t="s">
        <v>639</v>
      </c>
    </row>
    <row r="3825" spans="1:3" x14ac:dyDescent="0.2">
      <c r="A3825" s="341"/>
    </row>
    <row r="3826" spans="1:3" x14ac:dyDescent="0.2">
      <c r="A3826" s="341"/>
      <c r="B3826" s="339" t="s">
        <v>416</v>
      </c>
      <c r="C3826" s="340">
        <v>60</v>
      </c>
    </row>
    <row r="3827" spans="1:3" x14ac:dyDescent="0.2">
      <c r="A3827" s="341"/>
      <c r="B3827" s="339" t="s">
        <v>2567</v>
      </c>
      <c r="C3827" s="340">
        <v>25</v>
      </c>
    </row>
    <row r="3828" spans="1:3" x14ac:dyDescent="0.2">
      <c r="A3828" s="341"/>
      <c r="B3828" s="339" t="s">
        <v>421</v>
      </c>
      <c r="C3828" s="340">
        <v>15</v>
      </c>
    </row>
    <row r="3829" spans="1:3" x14ac:dyDescent="0.2">
      <c r="A3829" s="341"/>
      <c r="B3829" s="339" t="s">
        <v>418</v>
      </c>
      <c r="C3829" s="340">
        <v>15</v>
      </c>
    </row>
    <row r="3830" spans="1:3" x14ac:dyDescent="0.2">
      <c r="A3830" s="341"/>
    </row>
    <row r="3831" spans="1:3" x14ac:dyDescent="0.2">
      <c r="A3831" s="338" t="s">
        <v>931</v>
      </c>
    </row>
    <row r="3832" spans="1:3" x14ac:dyDescent="0.2">
      <c r="A3832" s="341" t="s">
        <v>1738</v>
      </c>
    </row>
    <row r="3833" spans="1:3" x14ac:dyDescent="0.2">
      <c r="A3833" s="341" t="s">
        <v>1743</v>
      </c>
    </row>
    <row r="3834" spans="1:3" x14ac:dyDescent="0.2">
      <c r="A3834" s="341" t="s">
        <v>157</v>
      </c>
    </row>
    <row r="3835" spans="1:3" x14ac:dyDescent="0.2">
      <c r="A3835" s="341" t="s">
        <v>2543</v>
      </c>
    </row>
    <row r="3836" spans="1:3" x14ac:dyDescent="0.2">
      <c r="A3836" s="341" t="s">
        <v>639</v>
      </c>
    </row>
    <row r="3837" spans="1:3" x14ac:dyDescent="0.2">
      <c r="A3837" s="341"/>
    </row>
    <row r="3838" spans="1:3" x14ac:dyDescent="0.2">
      <c r="A3838" s="341"/>
      <c r="B3838" s="339" t="s">
        <v>415</v>
      </c>
      <c r="C3838" s="340">
        <v>70</v>
      </c>
    </row>
    <row r="3839" spans="1:3" x14ac:dyDescent="0.2">
      <c r="A3839" s="341"/>
      <c r="B3839" s="339" t="s">
        <v>1441</v>
      </c>
      <c r="C3839" s="340">
        <v>25</v>
      </c>
    </row>
    <row r="3840" spans="1:3" x14ac:dyDescent="0.2">
      <c r="A3840" s="341"/>
      <c r="B3840" s="339" t="s">
        <v>982</v>
      </c>
      <c r="C3840" s="340">
        <v>20</v>
      </c>
    </row>
    <row r="3841" spans="1:3" x14ac:dyDescent="0.2">
      <c r="A3841" s="341"/>
      <c r="B3841" s="339" t="s">
        <v>416</v>
      </c>
      <c r="C3841" s="340">
        <v>12</v>
      </c>
    </row>
    <row r="3842" spans="1:3" x14ac:dyDescent="0.2">
      <c r="A3842" s="341"/>
      <c r="B3842" s="339" t="s">
        <v>2722</v>
      </c>
      <c r="C3842" s="340">
        <v>12</v>
      </c>
    </row>
    <row r="3843" spans="1:3" x14ac:dyDescent="0.2">
      <c r="A3843" s="341"/>
      <c r="B3843" s="339" t="s">
        <v>441</v>
      </c>
      <c r="C3843" s="340">
        <v>12</v>
      </c>
    </row>
    <row r="3844" spans="1:3" x14ac:dyDescent="0.2">
      <c r="A3844" s="341"/>
      <c r="B3844" s="339" t="s">
        <v>2579</v>
      </c>
      <c r="C3844" s="340">
        <v>10</v>
      </c>
    </row>
    <row r="3845" spans="1:3" x14ac:dyDescent="0.2">
      <c r="A3845" s="341"/>
      <c r="B3845" s="339" t="s">
        <v>394</v>
      </c>
      <c r="C3845" s="340">
        <v>8</v>
      </c>
    </row>
    <row r="3846" spans="1:3" x14ac:dyDescent="0.2">
      <c r="A3846" s="341"/>
      <c r="B3846" s="339" t="s">
        <v>340</v>
      </c>
      <c r="C3846" s="340">
        <v>3</v>
      </c>
    </row>
    <row r="3847" spans="1:3" x14ac:dyDescent="0.2">
      <c r="A3847" s="341"/>
    </row>
    <row r="3848" spans="1:3" x14ac:dyDescent="0.2">
      <c r="A3848" s="338" t="s">
        <v>932</v>
      </c>
    </row>
    <row r="3849" spans="1:3" x14ac:dyDescent="0.2">
      <c r="A3849" s="341" t="s">
        <v>1738</v>
      </c>
    </row>
    <row r="3850" spans="1:3" x14ac:dyDescent="0.2">
      <c r="A3850" s="341" t="s">
        <v>1744</v>
      </c>
    </row>
    <row r="3851" spans="1:3" x14ac:dyDescent="0.2">
      <c r="A3851" s="341" t="s">
        <v>158</v>
      </c>
    </row>
    <row r="3852" spans="1:3" x14ac:dyDescent="0.2">
      <c r="A3852" s="341" t="s">
        <v>2552</v>
      </c>
    </row>
    <row r="3853" spans="1:3" x14ac:dyDescent="0.2">
      <c r="A3853" s="341" t="s">
        <v>639</v>
      </c>
    </row>
    <row r="3854" spans="1:3" x14ac:dyDescent="0.2">
      <c r="A3854" s="341"/>
    </row>
    <row r="3855" spans="1:3" x14ac:dyDescent="0.2">
      <c r="A3855" s="341"/>
      <c r="B3855" s="339" t="s">
        <v>982</v>
      </c>
      <c r="C3855" s="340">
        <v>15</v>
      </c>
    </row>
    <row r="3856" spans="1:3" x14ac:dyDescent="0.2">
      <c r="A3856" s="341"/>
      <c r="B3856" s="339" t="s">
        <v>416</v>
      </c>
      <c r="C3856" s="340">
        <v>12</v>
      </c>
    </row>
    <row r="3857" spans="1:3" x14ac:dyDescent="0.2">
      <c r="A3857" s="341"/>
      <c r="B3857" s="339" t="s">
        <v>2649</v>
      </c>
      <c r="C3857" s="340">
        <v>12</v>
      </c>
    </row>
    <row r="3858" spans="1:3" x14ac:dyDescent="0.2">
      <c r="A3858" s="341"/>
      <c r="B3858" s="339" t="s">
        <v>350</v>
      </c>
      <c r="C3858" s="340">
        <v>10</v>
      </c>
    </row>
    <row r="3859" spans="1:3" x14ac:dyDescent="0.2">
      <c r="A3859" s="341"/>
      <c r="B3859" s="339" t="s">
        <v>2579</v>
      </c>
      <c r="C3859" s="340">
        <v>10</v>
      </c>
    </row>
    <row r="3860" spans="1:3" x14ac:dyDescent="0.2">
      <c r="A3860" s="341"/>
      <c r="B3860" s="339" t="s">
        <v>340</v>
      </c>
      <c r="C3860" s="340">
        <v>10</v>
      </c>
    </row>
    <row r="3861" spans="1:3" x14ac:dyDescent="0.2">
      <c r="A3861" s="341"/>
      <c r="B3861" s="339" t="s">
        <v>2654</v>
      </c>
      <c r="C3861" s="340">
        <v>9</v>
      </c>
    </row>
    <row r="3862" spans="1:3" x14ac:dyDescent="0.2">
      <c r="A3862" s="341"/>
      <c r="B3862" s="339" t="s">
        <v>395</v>
      </c>
      <c r="C3862" s="340">
        <v>8</v>
      </c>
    </row>
    <row r="3863" spans="1:3" x14ac:dyDescent="0.2">
      <c r="A3863" s="341"/>
      <c r="B3863" s="339" t="s">
        <v>415</v>
      </c>
      <c r="C3863" s="340">
        <v>8</v>
      </c>
    </row>
    <row r="3864" spans="1:3" x14ac:dyDescent="0.2">
      <c r="A3864" s="341"/>
      <c r="B3864" s="339" t="s">
        <v>615</v>
      </c>
      <c r="C3864" s="340">
        <v>8</v>
      </c>
    </row>
    <row r="3865" spans="1:3" x14ac:dyDescent="0.2">
      <c r="A3865" s="341"/>
      <c r="B3865" s="339" t="s">
        <v>342</v>
      </c>
      <c r="C3865" s="340">
        <v>7</v>
      </c>
    </row>
    <row r="3866" spans="1:3" x14ac:dyDescent="0.2">
      <c r="A3866" s="341"/>
      <c r="B3866" s="339" t="s">
        <v>1445</v>
      </c>
      <c r="C3866" s="340">
        <v>7</v>
      </c>
    </row>
    <row r="3867" spans="1:3" x14ac:dyDescent="0.2">
      <c r="A3867" s="341"/>
      <c r="B3867" s="339" t="s">
        <v>593</v>
      </c>
      <c r="C3867" s="340">
        <v>5</v>
      </c>
    </row>
    <row r="3868" spans="1:3" x14ac:dyDescent="0.2">
      <c r="A3868" s="341"/>
      <c r="B3868" s="339" t="s">
        <v>356</v>
      </c>
      <c r="C3868" s="340">
        <v>3</v>
      </c>
    </row>
    <row r="3869" spans="1:3" x14ac:dyDescent="0.2">
      <c r="A3869" s="341"/>
      <c r="B3869" s="339" t="s">
        <v>394</v>
      </c>
      <c r="C3869" s="340">
        <v>3</v>
      </c>
    </row>
    <row r="3870" spans="1:3" x14ac:dyDescent="0.2">
      <c r="A3870" s="341"/>
      <c r="B3870" s="339" t="s">
        <v>2576</v>
      </c>
      <c r="C3870" s="340">
        <v>3</v>
      </c>
    </row>
    <row r="3871" spans="1:3" x14ac:dyDescent="0.2">
      <c r="A3871" s="341"/>
      <c r="B3871" s="339" t="s">
        <v>392</v>
      </c>
      <c r="C3871" s="340">
        <v>1</v>
      </c>
    </row>
    <row r="3872" spans="1:3" x14ac:dyDescent="0.2">
      <c r="A3872" s="341"/>
    </row>
    <row r="3873" spans="1:3" x14ac:dyDescent="0.2">
      <c r="A3873" s="338" t="s">
        <v>933</v>
      </c>
    </row>
    <row r="3874" spans="1:3" x14ac:dyDescent="0.2">
      <c r="A3874" s="341" t="s">
        <v>1738</v>
      </c>
    </row>
    <row r="3875" spans="1:3" x14ac:dyDescent="0.2">
      <c r="A3875" s="341" t="s">
        <v>1745</v>
      </c>
    </row>
    <row r="3876" spans="1:3" x14ac:dyDescent="0.2">
      <c r="A3876" s="341" t="s">
        <v>159</v>
      </c>
    </row>
    <row r="3877" spans="1:3" x14ac:dyDescent="0.2">
      <c r="A3877" s="341" t="s">
        <v>2543</v>
      </c>
    </row>
    <row r="3878" spans="1:3" x14ac:dyDescent="0.2">
      <c r="A3878" s="341" t="s">
        <v>639</v>
      </c>
    </row>
    <row r="3879" spans="1:3" x14ac:dyDescent="0.2">
      <c r="A3879" s="341"/>
    </row>
    <row r="3880" spans="1:3" x14ac:dyDescent="0.2">
      <c r="A3880" s="341"/>
      <c r="B3880" s="339" t="s">
        <v>405</v>
      </c>
      <c r="C3880" s="340">
        <v>70</v>
      </c>
    </row>
    <row r="3881" spans="1:3" x14ac:dyDescent="0.2">
      <c r="A3881" s="341"/>
      <c r="B3881" s="339" t="s">
        <v>2722</v>
      </c>
      <c r="C3881" s="340">
        <v>12</v>
      </c>
    </row>
    <row r="3882" spans="1:3" x14ac:dyDescent="0.2">
      <c r="A3882" s="341"/>
      <c r="B3882" s="339" t="s">
        <v>376</v>
      </c>
      <c r="C3882" s="340">
        <v>10</v>
      </c>
    </row>
    <row r="3883" spans="1:3" x14ac:dyDescent="0.2">
      <c r="A3883" s="341"/>
      <c r="B3883" s="339" t="s">
        <v>404</v>
      </c>
      <c r="C3883" s="340">
        <v>9</v>
      </c>
    </row>
    <row r="3884" spans="1:3" x14ac:dyDescent="0.2">
      <c r="A3884" s="341"/>
      <c r="B3884" s="339" t="s">
        <v>394</v>
      </c>
      <c r="C3884" s="340">
        <v>4</v>
      </c>
    </row>
    <row r="3885" spans="1:3" x14ac:dyDescent="0.2">
      <c r="A3885" s="341"/>
      <c r="B3885" s="339" t="s">
        <v>441</v>
      </c>
      <c r="C3885" s="340">
        <v>4</v>
      </c>
    </row>
    <row r="3886" spans="1:3" x14ac:dyDescent="0.2">
      <c r="A3886" s="341"/>
      <c r="B3886" s="339" t="s">
        <v>2579</v>
      </c>
      <c r="C3886" s="340">
        <v>3</v>
      </c>
    </row>
    <row r="3887" spans="1:3" x14ac:dyDescent="0.2">
      <c r="A3887" s="341"/>
      <c r="B3887" s="339" t="s">
        <v>395</v>
      </c>
      <c r="C3887" s="340">
        <v>2</v>
      </c>
    </row>
    <row r="3888" spans="1:3" x14ac:dyDescent="0.2">
      <c r="A3888" s="341"/>
      <c r="B3888" s="339" t="s">
        <v>444</v>
      </c>
      <c r="C3888" s="340">
        <v>2</v>
      </c>
    </row>
    <row r="3889" spans="1:3" x14ac:dyDescent="0.2">
      <c r="A3889" s="341"/>
    </row>
    <row r="3890" spans="1:3" x14ac:dyDescent="0.2">
      <c r="A3890" s="338" t="s">
        <v>934</v>
      </c>
    </row>
    <row r="3891" spans="1:3" x14ac:dyDescent="0.2">
      <c r="A3891" s="341" t="s">
        <v>1738</v>
      </c>
    </row>
    <row r="3892" spans="1:3" x14ac:dyDescent="0.2">
      <c r="A3892" s="341" t="s">
        <v>1746</v>
      </c>
    </row>
    <row r="3893" spans="1:3" x14ac:dyDescent="0.2">
      <c r="A3893" s="341" t="s">
        <v>160</v>
      </c>
    </row>
    <row r="3894" spans="1:3" x14ac:dyDescent="0.2">
      <c r="A3894" s="341" t="s">
        <v>2543</v>
      </c>
    </row>
    <row r="3895" spans="1:3" x14ac:dyDescent="0.2">
      <c r="A3895" s="341" t="s">
        <v>639</v>
      </c>
    </row>
    <row r="3896" spans="1:3" x14ac:dyDescent="0.2">
      <c r="A3896" s="341"/>
    </row>
    <row r="3897" spans="1:3" x14ac:dyDescent="0.2">
      <c r="A3897" s="341"/>
      <c r="B3897" s="339" t="s">
        <v>398</v>
      </c>
      <c r="C3897" s="340">
        <v>25</v>
      </c>
    </row>
    <row r="3898" spans="1:3" x14ac:dyDescent="0.2">
      <c r="A3898" s="341"/>
      <c r="B3898" s="339" t="s">
        <v>340</v>
      </c>
      <c r="C3898" s="340">
        <v>18</v>
      </c>
    </row>
    <row r="3899" spans="1:3" x14ac:dyDescent="0.2">
      <c r="A3899" s="341"/>
      <c r="B3899" s="339" t="s">
        <v>376</v>
      </c>
      <c r="C3899" s="340">
        <v>15</v>
      </c>
    </row>
    <row r="3900" spans="1:3" x14ac:dyDescent="0.2">
      <c r="A3900" s="341"/>
      <c r="B3900" s="339" t="s">
        <v>2579</v>
      </c>
      <c r="C3900" s="340">
        <v>12</v>
      </c>
    </row>
    <row r="3901" spans="1:3" x14ac:dyDescent="0.2">
      <c r="A3901" s="341"/>
      <c r="B3901" s="339" t="s">
        <v>404</v>
      </c>
      <c r="C3901" s="340">
        <v>9</v>
      </c>
    </row>
    <row r="3902" spans="1:3" x14ac:dyDescent="0.2">
      <c r="A3902" s="341"/>
      <c r="B3902" s="339" t="s">
        <v>394</v>
      </c>
      <c r="C3902" s="340">
        <v>9</v>
      </c>
    </row>
    <row r="3903" spans="1:3" x14ac:dyDescent="0.2">
      <c r="A3903" s="341"/>
      <c r="B3903" s="339" t="s">
        <v>416</v>
      </c>
      <c r="C3903" s="340">
        <v>8</v>
      </c>
    </row>
    <row r="3904" spans="1:3" x14ac:dyDescent="0.2">
      <c r="A3904" s="341"/>
      <c r="B3904" s="339" t="s">
        <v>395</v>
      </c>
      <c r="C3904" s="340">
        <v>8</v>
      </c>
    </row>
    <row r="3905" spans="1:3" x14ac:dyDescent="0.2">
      <c r="A3905" s="341"/>
      <c r="B3905" s="339" t="s">
        <v>441</v>
      </c>
      <c r="C3905" s="340">
        <v>3</v>
      </c>
    </row>
    <row r="3906" spans="1:3" x14ac:dyDescent="0.2">
      <c r="A3906" s="341"/>
      <c r="B3906" s="339" t="s">
        <v>401</v>
      </c>
      <c r="C3906" s="340">
        <v>2</v>
      </c>
    </row>
    <row r="3907" spans="1:3" x14ac:dyDescent="0.2">
      <c r="A3907" s="341"/>
    </row>
    <row r="3908" spans="1:3" x14ac:dyDescent="0.2">
      <c r="A3908" s="338" t="s">
        <v>935</v>
      </c>
    </row>
    <row r="3909" spans="1:3" x14ac:dyDescent="0.2">
      <c r="A3909" s="341" t="s">
        <v>1738</v>
      </c>
    </row>
    <row r="3910" spans="1:3" x14ac:dyDescent="0.2">
      <c r="A3910" s="341" t="s">
        <v>1747</v>
      </c>
    </row>
    <row r="3911" spans="1:3" x14ac:dyDescent="0.2">
      <c r="A3911" s="341" t="s">
        <v>161</v>
      </c>
    </row>
    <row r="3912" spans="1:3" x14ac:dyDescent="0.2">
      <c r="A3912" s="341" t="s">
        <v>2543</v>
      </c>
    </row>
    <row r="3913" spans="1:3" x14ac:dyDescent="0.2">
      <c r="A3913" s="341" t="s">
        <v>639</v>
      </c>
    </row>
    <row r="3914" spans="1:3" x14ac:dyDescent="0.2">
      <c r="A3914" s="341"/>
    </row>
    <row r="3915" spans="1:3" x14ac:dyDescent="0.2">
      <c r="A3915" s="341"/>
      <c r="B3915" s="339" t="s">
        <v>2725</v>
      </c>
      <c r="C3915" s="340">
        <v>45</v>
      </c>
    </row>
    <row r="3916" spans="1:3" x14ac:dyDescent="0.2">
      <c r="A3916" s="341"/>
      <c r="B3916" s="339" t="s">
        <v>395</v>
      </c>
      <c r="C3916" s="340">
        <v>18</v>
      </c>
    </row>
    <row r="3917" spans="1:3" x14ac:dyDescent="0.2">
      <c r="A3917" s="341"/>
      <c r="B3917" s="339" t="s">
        <v>2602</v>
      </c>
      <c r="C3917" s="340">
        <v>15</v>
      </c>
    </row>
    <row r="3918" spans="1:3" x14ac:dyDescent="0.2">
      <c r="A3918" s="341"/>
      <c r="B3918" s="339" t="s">
        <v>412</v>
      </c>
      <c r="C3918" s="340">
        <v>12</v>
      </c>
    </row>
    <row r="3919" spans="1:3" x14ac:dyDescent="0.2">
      <c r="A3919" s="341"/>
      <c r="B3919" s="339" t="s">
        <v>401</v>
      </c>
      <c r="C3919" s="340">
        <v>10</v>
      </c>
    </row>
    <row r="3920" spans="1:3" x14ac:dyDescent="0.2">
      <c r="A3920" s="341"/>
      <c r="B3920" s="339" t="s">
        <v>342</v>
      </c>
      <c r="C3920" s="340">
        <v>8</v>
      </c>
    </row>
    <row r="3921" spans="1:3" x14ac:dyDescent="0.2">
      <c r="A3921" s="341"/>
      <c r="B3921" s="339" t="s">
        <v>404</v>
      </c>
      <c r="C3921" s="340">
        <v>8</v>
      </c>
    </row>
    <row r="3922" spans="1:3" x14ac:dyDescent="0.2">
      <c r="A3922" s="341"/>
      <c r="B3922" s="339" t="s">
        <v>398</v>
      </c>
      <c r="C3922" s="340">
        <v>7</v>
      </c>
    </row>
    <row r="3923" spans="1:3" x14ac:dyDescent="0.2">
      <c r="A3923" s="341"/>
      <c r="B3923" s="339" t="s">
        <v>2649</v>
      </c>
      <c r="C3923" s="340">
        <v>2</v>
      </c>
    </row>
    <row r="3924" spans="1:3" x14ac:dyDescent="0.2">
      <c r="A3924" s="341"/>
      <c r="B3924" s="339" t="s">
        <v>444</v>
      </c>
      <c r="C3924" s="340">
        <v>2</v>
      </c>
    </row>
    <row r="3925" spans="1:3" x14ac:dyDescent="0.2">
      <c r="A3925" s="341"/>
    </row>
    <row r="3926" spans="1:3" x14ac:dyDescent="0.2">
      <c r="A3926" s="338" t="s">
        <v>936</v>
      </c>
    </row>
    <row r="3927" spans="1:3" x14ac:dyDescent="0.2">
      <c r="A3927" s="341" t="s">
        <v>1738</v>
      </c>
    </row>
    <row r="3928" spans="1:3" x14ac:dyDescent="0.2">
      <c r="A3928" s="341" t="s">
        <v>1748</v>
      </c>
    </row>
    <row r="3929" spans="1:3" x14ac:dyDescent="0.2">
      <c r="A3929" s="341" t="s">
        <v>162</v>
      </c>
    </row>
    <row r="3930" spans="1:3" x14ac:dyDescent="0.2">
      <c r="A3930" s="341" t="s">
        <v>2550</v>
      </c>
    </row>
    <row r="3931" spans="1:3" x14ac:dyDescent="0.2">
      <c r="A3931" s="341" t="s">
        <v>639</v>
      </c>
    </row>
    <row r="3932" spans="1:3" x14ac:dyDescent="0.2">
      <c r="A3932" s="341"/>
    </row>
    <row r="3933" spans="1:3" x14ac:dyDescent="0.2">
      <c r="A3933" s="341"/>
      <c r="B3933" s="339" t="s">
        <v>399</v>
      </c>
      <c r="C3933" s="340">
        <v>25</v>
      </c>
    </row>
    <row r="3934" spans="1:3" x14ac:dyDescent="0.2">
      <c r="A3934" s="341"/>
      <c r="B3934" s="339" t="s">
        <v>2649</v>
      </c>
      <c r="C3934" s="340">
        <v>15</v>
      </c>
    </row>
    <row r="3935" spans="1:3" x14ac:dyDescent="0.2">
      <c r="A3935" s="341"/>
      <c r="B3935" s="339" t="s">
        <v>2579</v>
      </c>
      <c r="C3935" s="340">
        <v>15</v>
      </c>
    </row>
    <row r="3936" spans="1:3" x14ac:dyDescent="0.2">
      <c r="A3936" s="341"/>
      <c r="B3936" s="339" t="s">
        <v>982</v>
      </c>
      <c r="C3936" s="340">
        <v>15</v>
      </c>
    </row>
    <row r="3937" spans="1:3" x14ac:dyDescent="0.2">
      <c r="A3937" s="341"/>
      <c r="B3937" s="339" t="s">
        <v>416</v>
      </c>
      <c r="C3937" s="340">
        <v>8</v>
      </c>
    </row>
    <row r="3938" spans="1:3" x14ac:dyDescent="0.2">
      <c r="A3938" s="341"/>
      <c r="B3938" s="339" t="s">
        <v>2642</v>
      </c>
      <c r="C3938" s="340">
        <v>7</v>
      </c>
    </row>
    <row r="3939" spans="1:3" x14ac:dyDescent="0.2">
      <c r="A3939" s="341"/>
      <c r="B3939" s="339" t="s">
        <v>432</v>
      </c>
      <c r="C3939" s="340">
        <v>5</v>
      </c>
    </row>
    <row r="3940" spans="1:3" x14ac:dyDescent="0.2">
      <c r="A3940" s="341"/>
      <c r="B3940" s="339" t="s">
        <v>350</v>
      </c>
      <c r="C3940" s="340">
        <v>3</v>
      </c>
    </row>
    <row r="3941" spans="1:3" x14ac:dyDescent="0.2">
      <c r="A3941" s="341"/>
      <c r="B3941" s="339" t="s">
        <v>394</v>
      </c>
      <c r="C3941" s="340">
        <v>3</v>
      </c>
    </row>
    <row r="3942" spans="1:3" x14ac:dyDescent="0.2">
      <c r="A3942" s="341"/>
      <c r="B3942" s="339" t="s">
        <v>441</v>
      </c>
      <c r="C3942" s="340">
        <v>3</v>
      </c>
    </row>
    <row r="3943" spans="1:3" x14ac:dyDescent="0.2">
      <c r="A3943" s="341"/>
      <c r="B3943" s="339" t="s">
        <v>425</v>
      </c>
      <c r="C3943" s="340">
        <v>1</v>
      </c>
    </row>
    <row r="3944" spans="1:3" x14ac:dyDescent="0.2">
      <c r="A3944" s="341"/>
      <c r="B3944" s="339" t="s">
        <v>410</v>
      </c>
      <c r="C3944" s="340">
        <v>1</v>
      </c>
    </row>
    <row r="3945" spans="1:3" x14ac:dyDescent="0.2">
      <c r="A3945" s="341"/>
    </row>
    <row r="3946" spans="1:3" x14ac:dyDescent="0.2">
      <c r="A3946" s="338" t="s">
        <v>937</v>
      </c>
    </row>
    <row r="3947" spans="1:3" x14ac:dyDescent="0.2">
      <c r="A3947" s="341" t="s">
        <v>1738</v>
      </c>
    </row>
    <row r="3948" spans="1:3" x14ac:dyDescent="0.2">
      <c r="A3948" s="341" t="s">
        <v>1749</v>
      </c>
    </row>
    <row r="3949" spans="1:3" x14ac:dyDescent="0.2">
      <c r="A3949" s="341" t="s">
        <v>163</v>
      </c>
    </row>
    <row r="3950" spans="1:3" x14ac:dyDescent="0.2">
      <c r="A3950" s="341" t="s">
        <v>2550</v>
      </c>
    </row>
    <row r="3951" spans="1:3" x14ac:dyDescent="0.2">
      <c r="A3951" s="341" t="s">
        <v>639</v>
      </c>
    </row>
    <row r="3952" spans="1:3" x14ac:dyDescent="0.2">
      <c r="A3952" s="341"/>
    </row>
    <row r="3953" spans="1:3" x14ac:dyDescent="0.2">
      <c r="A3953" s="341"/>
      <c r="B3953" s="339" t="s">
        <v>2629</v>
      </c>
      <c r="C3953" s="340">
        <v>65</v>
      </c>
    </row>
    <row r="3954" spans="1:3" x14ac:dyDescent="0.2">
      <c r="A3954" s="341"/>
      <c r="B3954" s="339" t="s">
        <v>2649</v>
      </c>
      <c r="C3954" s="340">
        <v>8</v>
      </c>
    </row>
    <row r="3955" spans="1:3" x14ac:dyDescent="0.2">
      <c r="A3955" s="341"/>
      <c r="B3955" s="339" t="s">
        <v>2579</v>
      </c>
      <c r="C3955" s="340">
        <v>6</v>
      </c>
    </row>
    <row r="3956" spans="1:3" x14ac:dyDescent="0.2">
      <c r="A3956" s="341"/>
      <c r="B3956" s="339" t="s">
        <v>399</v>
      </c>
      <c r="C3956" s="340">
        <v>4</v>
      </c>
    </row>
    <row r="3957" spans="1:3" x14ac:dyDescent="0.2">
      <c r="A3957" s="341"/>
      <c r="B3957" s="339" t="s">
        <v>349</v>
      </c>
      <c r="C3957" s="340">
        <v>4</v>
      </c>
    </row>
    <row r="3958" spans="1:3" x14ac:dyDescent="0.2">
      <c r="A3958" s="341"/>
      <c r="B3958" s="339" t="s">
        <v>2642</v>
      </c>
      <c r="C3958" s="340">
        <v>3</v>
      </c>
    </row>
    <row r="3959" spans="1:3" x14ac:dyDescent="0.2">
      <c r="A3959" s="341"/>
      <c r="B3959" s="339" t="s">
        <v>593</v>
      </c>
      <c r="C3959" s="340">
        <v>3</v>
      </c>
    </row>
    <row r="3960" spans="1:3" x14ac:dyDescent="0.2">
      <c r="A3960" s="341"/>
      <c r="B3960" s="339" t="s">
        <v>432</v>
      </c>
      <c r="C3960" s="340">
        <v>3</v>
      </c>
    </row>
    <row r="3961" spans="1:3" x14ac:dyDescent="0.2">
      <c r="A3961" s="341"/>
      <c r="B3961" s="339" t="s">
        <v>394</v>
      </c>
      <c r="C3961" s="340">
        <v>2</v>
      </c>
    </row>
    <row r="3962" spans="1:3" x14ac:dyDescent="0.2">
      <c r="A3962" s="341"/>
      <c r="B3962" s="339" t="s">
        <v>2666</v>
      </c>
      <c r="C3962" s="340">
        <v>2</v>
      </c>
    </row>
    <row r="3963" spans="1:3" x14ac:dyDescent="0.2">
      <c r="A3963" s="341"/>
      <c r="B3963" s="339" t="s">
        <v>350</v>
      </c>
      <c r="C3963" s="340">
        <v>1</v>
      </c>
    </row>
    <row r="3964" spans="1:3" x14ac:dyDescent="0.2">
      <c r="A3964" s="341"/>
    </row>
    <row r="3965" spans="1:3" x14ac:dyDescent="0.2">
      <c r="A3965" s="338" t="s">
        <v>938</v>
      </c>
    </row>
    <row r="3966" spans="1:3" x14ac:dyDescent="0.2">
      <c r="A3966" s="341" t="s">
        <v>1738</v>
      </c>
    </row>
    <row r="3967" spans="1:3" x14ac:dyDescent="0.2">
      <c r="A3967" s="341" t="s">
        <v>1750</v>
      </c>
    </row>
    <row r="3968" spans="1:3" x14ac:dyDescent="0.2">
      <c r="A3968" s="341" t="s">
        <v>164</v>
      </c>
    </row>
    <row r="3969" spans="1:3" x14ac:dyDescent="0.2">
      <c r="A3969" s="341" t="s">
        <v>2550</v>
      </c>
    </row>
    <row r="3970" spans="1:3" x14ac:dyDescent="0.2">
      <c r="A3970" s="341" t="s">
        <v>639</v>
      </c>
    </row>
    <row r="3971" spans="1:3" x14ac:dyDescent="0.2">
      <c r="A3971" s="341"/>
    </row>
    <row r="3972" spans="1:3" x14ac:dyDescent="0.2">
      <c r="A3972" s="341"/>
      <c r="B3972" s="339" t="s">
        <v>2565</v>
      </c>
      <c r="C3972" s="340">
        <v>20</v>
      </c>
    </row>
    <row r="3973" spans="1:3" x14ac:dyDescent="0.2">
      <c r="A3973" s="341"/>
      <c r="B3973" s="339" t="s">
        <v>399</v>
      </c>
      <c r="C3973" s="340">
        <v>15</v>
      </c>
    </row>
    <row r="3974" spans="1:3" x14ac:dyDescent="0.2">
      <c r="A3974" s="341"/>
      <c r="B3974" s="339" t="s">
        <v>349</v>
      </c>
      <c r="C3974" s="340">
        <v>8</v>
      </c>
    </row>
    <row r="3975" spans="1:3" x14ac:dyDescent="0.2">
      <c r="A3975" s="341"/>
      <c r="B3975" s="339" t="s">
        <v>2649</v>
      </c>
      <c r="C3975" s="340">
        <v>6</v>
      </c>
    </row>
    <row r="3976" spans="1:3" x14ac:dyDescent="0.2">
      <c r="A3976" s="341"/>
      <c r="B3976" s="339" t="s">
        <v>342</v>
      </c>
      <c r="C3976" s="340">
        <v>6</v>
      </c>
    </row>
    <row r="3977" spans="1:3" x14ac:dyDescent="0.2">
      <c r="A3977" s="341"/>
      <c r="B3977" s="339" t="s">
        <v>425</v>
      </c>
      <c r="C3977" s="340">
        <v>5</v>
      </c>
    </row>
    <row r="3978" spans="1:3" x14ac:dyDescent="0.2">
      <c r="A3978" s="341"/>
      <c r="B3978" s="339" t="s">
        <v>441</v>
      </c>
      <c r="C3978" s="340">
        <v>4</v>
      </c>
    </row>
    <row r="3979" spans="1:3" x14ac:dyDescent="0.2">
      <c r="A3979" s="341"/>
      <c r="B3979" s="339" t="s">
        <v>615</v>
      </c>
      <c r="C3979" s="340">
        <v>4</v>
      </c>
    </row>
    <row r="3980" spans="1:3" x14ac:dyDescent="0.2">
      <c r="A3980" s="341"/>
      <c r="B3980" s="339" t="s">
        <v>572</v>
      </c>
      <c r="C3980" s="340">
        <v>3</v>
      </c>
    </row>
    <row r="3981" spans="1:3" x14ac:dyDescent="0.2">
      <c r="A3981" s="341"/>
      <c r="B3981" s="339" t="s">
        <v>432</v>
      </c>
      <c r="C3981" s="340">
        <v>2</v>
      </c>
    </row>
    <row r="3982" spans="1:3" x14ac:dyDescent="0.2">
      <c r="A3982" s="341"/>
    </row>
    <row r="3983" spans="1:3" x14ac:dyDescent="0.2">
      <c r="A3983" s="338" t="s">
        <v>939</v>
      </c>
    </row>
    <row r="3984" spans="1:3" x14ac:dyDescent="0.2">
      <c r="A3984" s="341" t="s">
        <v>1738</v>
      </c>
    </row>
    <row r="3985" spans="1:3" x14ac:dyDescent="0.2">
      <c r="A3985" s="341" t="s">
        <v>1751</v>
      </c>
    </row>
    <row r="3986" spans="1:3" x14ac:dyDescent="0.2">
      <c r="A3986" s="341" t="s">
        <v>165</v>
      </c>
    </row>
    <row r="3987" spans="1:3" x14ac:dyDescent="0.2">
      <c r="A3987" s="341" t="s">
        <v>2549</v>
      </c>
    </row>
    <row r="3988" spans="1:3" x14ac:dyDescent="0.2">
      <c r="A3988" s="341" t="s">
        <v>639</v>
      </c>
    </row>
    <row r="3989" spans="1:3" x14ac:dyDescent="0.2">
      <c r="A3989" s="341"/>
    </row>
    <row r="3990" spans="1:3" x14ac:dyDescent="0.2">
      <c r="A3990" s="341"/>
      <c r="B3990" s="339" t="s">
        <v>415</v>
      </c>
      <c r="C3990" s="340">
        <v>70</v>
      </c>
    </row>
    <row r="3991" spans="1:3" x14ac:dyDescent="0.2">
      <c r="A3991" s="341"/>
      <c r="B3991" s="339" t="s">
        <v>376</v>
      </c>
      <c r="C3991" s="340">
        <v>25</v>
      </c>
    </row>
    <row r="3992" spans="1:3" x14ac:dyDescent="0.2">
      <c r="A3992" s="341"/>
      <c r="B3992" s="339" t="s">
        <v>423</v>
      </c>
      <c r="C3992" s="340">
        <v>15</v>
      </c>
    </row>
    <row r="3993" spans="1:3" x14ac:dyDescent="0.2">
      <c r="A3993" s="341"/>
      <c r="B3993" s="339" t="s">
        <v>394</v>
      </c>
      <c r="C3993" s="340">
        <v>12</v>
      </c>
    </row>
    <row r="3994" spans="1:3" x14ac:dyDescent="0.2">
      <c r="A3994" s="341"/>
    </row>
    <row r="3995" spans="1:3" x14ac:dyDescent="0.2">
      <c r="A3995" s="338" t="s">
        <v>940</v>
      </c>
    </row>
    <row r="3996" spans="1:3" x14ac:dyDescent="0.2">
      <c r="A3996" s="341" t="s">
        <v>1738</v>
      </c>
    </row>
    <row r="3997" spans="1:3" x14ac:dyDescent="0.2">
      <c r="A3997" s="341" t="s">
        <v>1752</v>
      </c>
    </row>
    <row r="3998" spans="1:3" x14ac:dyDescent="0.2">
      <c r="A3998" s="341" t="s">
        <v>166</v>
      </c>
    </row>
    <row r="3999" spans="1:3" x14ac:dyDescent="0.2">
      <c r="A3999" s="341" t="s">
        <v>2543</v>
      </c>
    </row>
    <row r="4000" spans="1:3" x14ac:dyDescent="0.2">
      <c r="A4000" s="341" t="s">
        <v>639</v>
      </c>
    </row>
    <row r="4001" spans="1:3" x14ac:dyDescent="0.2">
      <c r="A4001" s="341"/>
    </row>
    <row r="4002" spans="1:3" x14ac:dyDescent="0.2">
      <c r="A4002" s="341"/>
      <c r="B4002" s="339" t="s">
        <v>361</v>
      </c>
      <c r="C4002" s="340">
        <v>75</v>
      </c>
    </row>
    <row r="4003" spans="1:3" x14ac:dyDescent="0.2">
      <c r="A4003" s="341"/>
      <c r="B4003" s="339" t="s">
        <v>2660</v>
      </c>
      <c r="C4003" s="340">
        <v>20</v>
      </c>
    </row>
    <row r="4004" spans="1:3" x14ac:dyDescent="0.2">
      <c r="A4004" s="341"/>
      <c r="B4004" s="339" t="s">
        <v>432</v>
      </c>
      <c r="C4004" s="340">
        <v>7</v>
      </c>
    </row>
    <row r="4005" spans="1:3" x14ac:dyDescent="0.2">
      <c r="A4005" s="341"/>
      <c r="B4005" s="339" t="s">
        <v>601</v>
      </c>
      <c r="C4005" s="340">
        <v>5</v>
      </c>
    </row>
    <row r="4006" spans="1:3" x14ac:dyDescent="0.2">
      <c r="A4006" s="341"/>
      <c r="B4006" s="339" t="s">
        <v>342</v>
      </c>
      <c r="C4006" s="340">
        <v>5</v>
      </c>
    </row>
    <row r="4007" spans="1:3" x14ac:dyDescent="0.2">
      <c r="A4007" s="341"/>
      <c r="B4007" s="339" t="s">
        <v>350</v>
      </c>
      <c r="C4007" s="340">
        <v>4</v>
      </c>
    </row>
    <row r="4008" spans="1:3" x14ac:dyDescent="0.2">
      <c r="A4008" s="341"/>
      <c r="B4008" s="339" t="s">
        <v>369</v>
      </c>
      <c r="C4008" s="340">
        <v>4</v>
      </c>
    </row>
    <row r="4009" spans="1:3" x14ac:dyDescent="0.2">
      <c r="A4009" s="341"/>
      <c r="B4009" s="339" t="s">
        <v>2582</v>
      </c>
      <c r="C4009" s="340">
        <v>4</v>
      </c>
    </row>
    <row r="4010" spans="1:3" x14ac:dyDescent="0.2">
      <c r="A4010" s="341"/>
      <c r="B4010" s="339" t="s">
        <v>400</v>
      </c>
      <c r="C4010" s="340">
        <v>3</v>
      </c>
    </row>
    <row r="4011" spans="1:3" x14ac:dyDescent="0.2">
      <c r="A4011" s="341"/>
      <c r="B4011" s="339" t="s">
        <v>454</v>
      </c>
      <c r="C4011" s="340">
        <v>3</v>
      </c>
    </row>
    <row r="4012" spans="1:3" x14ac:dyDescent="0.2">
      <c r="A4012" s="341"/>
      <c r="B4012" s="339" t="s">
        <v>376</v>
      </c>
      <c r="C4012" s="340">
        <v>3</v>
      </c>
    </row>
    <row r="4013" spans="1:3" x14ac:dyDescent="0.2">
      <c r="A4013" s="341"/>
      <c r="B4013" s="339" t="s">
        <v>392</v>
      </c>
      <c r="C4013" s="340">
        <v>1</v>
      </c>
    </row>
    <row r="4014" spans="1:3" x14ac:dyDescent="0.2">
      <c r="A4014" s="341"/>
    </row>
    <row r="4015" spans="1:3" x14ac:dyDescent="0.2">
      <c r="A4015" s="338" t="s">
        <v>941</v>
      </c>
    </row>
    <row r="4016" spans="1:3" x14ac:dyDescent="0.2">
      <c r="A4016" s="341" t="s">
        <v>1738</v>
      </c>
    </row>
    <row r="4017" spans="1:3" x14ac:dyDescent="0.2">
      <c r="A4017" s="341" t="s">
        <v>1753</v>
      </c>
    </row>
    <row r="4018" spans="1:3" x14ac:dyDescent="0.2">
      <c r="A4018" s="341" t="s">
        <v>167</v>
      </c>
    </row>
    <row r="4019" spans="1:3" x14ac:dyDescent="0.2">
      <c r="A4019" s="341" t="s">
        <v>2550</v>
      </c>
    </row>
    <row r="4020" spans="1:3" x14ac:dyDescent="0.2">
      <c r="A4020" s="341" t="s">
        <v>639</v>
      </c>
    </row>
    <row r="4021" spans="1:3" x14ac:dyDescent="0.2">
      <c r="A4021" s="341"/>
    </row>
    <row r="4022" spans="1:3" x14ac:dyDescent="0.2">
      <c r="A4022" s="341"/>
      <c r="B4022" s="339" t="s">
        <v>448</v>
      </c>
      <c r="C4022" s="340">
        <v>40</v>
      </c>
    </row>
    <row r="4023" spans="1:3" x14ac:dyDescent="0.2">
      <c r="A4023" s="341"/>
      <c r="B4023" s="339" t="s">
        <v>342</v>
      </c>
      <c r="C4023" s="340">
        <v>18</v>
      </c>
    </row>
    <row r="4024" spans="1:3" x14ac:dyDescent="0.2">
      <c r="A4024" s="341"/>
      <c r="B4024" s="339" t="s">
        <v>349</v>
      </c>
      <c r="C4024" s="340">
        <v>15</v>
      </c>
    </row>
    <row r="4025" spans="1:3" x14ac:dyDescent="0.2">
      <c r="A4025" s="341"/>
      <c r="B4025" s="339" t="s">
        <v>364</v>
      </c>
      <c r="C4025" s="340">
        <v>15</v>
      </c>
    </row>
    <row r="4026" spans="1:3" x14ac:dyDescent="0.2">
      <c r="A4026" s="341"/>
      <c r="B4026" s="339" t="s">
        <v>350</v>
      </c>
      <c r="C4026" s="340">
        <v>5</v>
      </c>
    </row>
    <row r="4027" spans="1:3" x14ac:dyDescent="0.2">
      <c r="A4027" s="341"/>
      <c r="B4027" s="339" t="s">
        <v>2641</v>
      </c>
      <c r="C4027" s="340">
        <v>5</v>
      </c>
    </row>
    <row r="4028" spans="1:3" x14ac:dyDescent="0.2">
      <c r="A4028" s="341"/>
      <c r="B4028" s="339" t="s">
        <v>1457</v>
      </c>
      <c r="C4028" s="340">
        <v>4</v>
      </c>
    </row>
    <row r="4029" spans="1:3" x14ac:dyDescent="0.2">
      <c r="A4029" s="341"/>
      <c r="B4029" s="339" t="s">
        <v>2566</v>
      </c>
      <c r="C4029" s="340">
        <v>1</v>
      </c>
    </row>
    <row r="4030" spans="1:3" x14ac:dyDescent="0.2">
      <c r="A4030" s="341"/>
    </row>
    <row r="4031" spans="1:3" x14ac:dyDescent="0.2">
      <c r="A4031" s="338" t="s">
        <v>942</v>
      </c>
    </row>
    <row r="4032" spans="1:3" x14ac:dyDescent="0.2">
      <c r="A4032" s="341" t="s">
        <v>1738</v>
      </c>
    </row>
    <row r="4033" spans="1:3" x14ac:dyDescent="0.2">
      <c r="A4033" s="341" t="s">
        <v>1754</v>
      </c>
    </row>
    <row r="4034" spans="1:3" x14ac:dyDescent="0.2">
      <c r="A4034" s="341" t="s">
        <v>168</v>
      </c>
    </row>
    <row r="4035" spans="1:3" x14ac:dyDescent="0.2">
      <c r="A4035" s="341" t="s">
        <v>2543</v>
      </c>
    </row>
    <row r="4036" spans="1:3" x14ac:dyDescent="0.2">
      <c r="A4036" s="341" t="s">
        <v>639</v>
      </c>
    </row>
    <row r="4037" spans="1:3" x14ac:dyDescent="0.2">
      <c r="A4037" s="341"/>
    </row>
    <row r="4038" spans="1:3" x14ac:dyDescent="0.2">
      <c r="A4038" s="341"/>
      <c r="B4038" s="339" t="s">
        <v>376</v>
      </c>
      <c r="C4038" s="340">
        <v>50</v>
      </c>
    </row>
    <row r="4039" spans="1:3" x14ac:dyDescent="0.2">
      <c r="A4039" s="341"/>
      <c r="B4039" s="339" t="s">
        <v>415</v>
      </c>
      <c r="C4039" s="340">
        <v>35</v>
      </c>
    </row>
    <row r="4040" spans="1:3" x14ac:dyDescent="0.2">
      <c r="A4040" s="341"/>
      <c r="B4040" s="339" t="s">
        <v>1583</v>
      </c>
      <c r="C4040" s="340">
        <v>30</v>
      </c>
    </row>
    <row r="4041" spans="1:3" x14ac:dyDescent="0.2">
      <c r="A4041" s="341"/>
      <c r="B4041" s="339" t="s">
        <v>340</v>
      </c>
      <c r="C4041" s="340">
        <v>12</v>
      </c>
    </row>
    <row r="4042" spans="1:3" x14ac:dyDescent="0.2">
      <c r="A4042" s="341"/>
      <c r="B4042" s="339" t="s">
        <v>364</v>
      </c>
      <c r="C4042" s="340">
        <v>10</v>
      </c>
    </row>
    <row r="4043" spans="1:3" x14ac:dyDescent="0.2">
      <c r="A4043" s="341"/>
      <c r="B4043" s="339" t="s">
        <v>395</v>
      </c>
      <c r="C4043" s="340">
        <v>6</v>
      </c>
    </row>
    <row r="4044" spans="1:3" x14ac:dyDescent="0.2">
      <c r="A4044" s="341"/>
      <c r="B4044" s="339" t="s">
        <v>400</v>
      </c>
      <c r="C4044" s="340">
        <v>5</v>
      </c>
    </row>
    <row r="4045" spans="1:3" x14ac:dyDescent="0.2">
      <c r="A4045" s="341"/>
    </row>
    <row r="4046" spans="1:3" x14ac:dyDescent="0.2">
      <c r="A4046" s="338" t="s">
        <v>943</v>
      </c>
    </row>
    <row r="4047" spans="1:3" x14ac:dyDescent="0.2">
      <c r="A4047" s="341" t="s">
        <v>1738</v>
      </c>
    </row>
    <row r="4048" spans="1:3" x14ac:dyDescent="0.2">
      <c r="A4048" s="341" t="s">
        <v>1755</v>
      </c>
    </row>
    <row r="4049" spans="1:3" x14ac:dyDescent="0.2">
      <c r="A4049" s="341" t="s">
        <v>169</v>
      </c>
    </row>
    <row r="4050" spans="1:3" x14ac:dyDescent="0.2">
      <c r="A4050" s="341" t="s">
        <v>2543</v>
      </c>
    </row>
    <row r="4051" spans="1:3" x14ac:dyDescent="0.2">
      <c r="A4051" s="341" t="s">
        <v>639</v>
      </c>
    </row>
    <row r="4052" spans="1:3" x14ac:dyDescent="0.2">
      <c r="A4052" s="341"/>
    </row>
    <row r="4053" spans="1:3" x14ac:dyDescent="0.2">
      <c r="A4053" s="341"/>
      <c r="B4053" s="339" t="s">
        <v>376</v>
      </c>
      <c r="C4053" s="340">
        <v>20</v>
      </c>
    </row>
    <row r="4054" spans="1:3" x14ac:dyDescent="0.2">
      <c r="A4054" s="341"/>
      <c r="B4054" s="339" t="s">
        <v>352</v>
      </c>
      <c r="C4054" s="340">
        <v>18</v>
      </c>
    </row>
    <row r="4055" spans="1:3" x14ac:dyDescent="0.2">
      <c r="A4055" s="341"/>
      <c r="B4055" s="339" t="s">
        <v>343</v>
      </c>
      <c r="C4055" s="340">
        <v>12</v>
      </c>
    </row>
    <row r="4056" spans="1:3" x14ac:dyDescent="0.2">
      <c r="A4056" s="341"/>
      <c r="B4056" s="339" t="s">
        <v>400</v>
      </c>
      <c r="C4056" s="340">
        <v>10</v>
      </c>
    </row>
    <row r="4057" spans="1:3" x14ac:dyDescent="0.2">
      <c r="A4057" s="341"/>
      <c r="B4057" s="339" t="s">
        <v>340</v>
      </c>
      <c r="C4057" s="340">
        <v>10</v>
      </c>
    </row>
    <row r="4058" spans="1:3" x14ac:dyDescent="0.2">
      <c r="A4058" s="341"/>
      <c r="B4058" s="339" t="s">
        <v>364</v>
      </c>
      <c r="C4058" s="340">
        <v>9</v>
      </c>
    </row>
    <row r="4059" spans="1:3" x14ac:dyDescent="0.2">
      <c r="A4059" s="341"/>
      <c r="B4059" s="339" t="s">
        <v>360</v>
      </c>
      <c r="C4059" s="340">
        <v>7</v>
      </c>
    </row>
    <row r="4060" spans="1:3" x14ac:dyDescent="0.2">
      <c r="A4060" s="341"/>
      <c r="B4060" s="339" t="s">
        <v>392</v>
      </c>
      <c r="C4060" s="340">
        <v>7</v>
      </c>
    </row>
    <row r="4061" spans="1:3" x14ac:dyDescent="0.2">
      <c r="A4061" s="341"/>
      <c r="B4061" s="339" t="s">
        <v>2575</v>
      </c>
      <c r="C4061" s="340">
        <v>6</v>
      </c>
    </row>
    <row r="4062" spans="1:3" x14ac:dyDescent="0.2">
      <c r="A4062" s="341"/>
      <c r="B4062" s="339" t="s">
        <v>3151</v>
      </c>
      <c r="C4062" s="340">
        <v>4</v>
      </c>
    </row>
    <row r="4063" spans="1:3" x14ac:dyDescent="0.2">
      <c r="A4063" s="341"/>
      <c r="B4063" s="339" t="s">
        <v>394</v>
      </c>
      <c r="C4063" s="340">
        <v>4</v>
      </c>
    </row>
    <row r="4064" spans="1:3" x14ac:dyDescent="0.2">
      <c r="A4064" s="341"/>
      <c r="B4064" s="339" t="s">
        <v>349</v>
      </c>
      <c r="C4064" s="340">
        <v>2</v>
      </c>
    </row>
    <row r="4065" spans="1:3" x14ac:dyDescent="0.2">
      <c r="A4065" s="341"/>
    </row>
    <row r="4066" spans="1:3" x14ac:dyDescent="0.2">
      <c r="A4066" s="338" t="s">
        <v>944</v>
      </c>
    </row>
    <row r="4067" spans="1:3" x14ac:dyDescent="0.2">
      <c r="A4067" s="341" t="s">
        <v>1738</v>
      </c>
    </row>
    <row r="4068" spans="1:3" x14ac:dyDescent="0.2">
      <c r="A4068" s="341" t="s">
        <v>1756</v>
      </c>
    </row>
    <row r="4069" spans="1:3" x14ac:dyDescent="0.2">
      <c r="A4069" s="341" t="s">
        <v>170</v>
      </c>
    </row>
    <row r="4070" spans="1:3" x14ac:dyDescent="0.2">
      <c r="A4070" s="341" t="s">
        <v>2543</v>
      </c>
    </row>
    <row r="4071" spans="1:3" x14ac:dyDescent="0.2">
      <c r="A4071" s="341" t="s">
        <v>639</v>
      </c>
    </row>
    <row r="4072" spans="1:3" x14ac:dyDescent="0.2">
      <c r="A4072" s="341"/>
    </row>
    <row r="4073" spans="1:3" x14ac:dyDescent="0.2">
      <c r="A4073" s="341"/>
      <c r="B4073" s="339" t="s">
        <v>376</v>
      </c>
      <c r="C4073" s="340">
        <v>35</v>
      </c>
    </row>
    <row r="4074" spans="1:3" x14ac:dyDescent="0.2">
      <c r="A4074" s="341"/>
      <c r="B4074" s="339" t="s">
        <v>400</v>
      </c>
      <c r="C4074" s="340">
        <v>25</v>
      </c>
    </row>
    <row r="4075" spans="1:3" x14ac:dyDescent="0.2">
      <c r="A4075" s="341"/>
      <c r="B4075" s="339" t="s">
        <v>340</v>
      </c>
      <c r="C4075" s="340">
        <v>20</v>
      </c>
    </row>
    <row r="4076" spans="1:3" x14ac:dyDescent="0.2">
      <c r="A4076" s="341"/>
      <c r="B4076" s="339" t="s">
        <v>445</v>
      </c>
      <c r="C4076" s="340">
        <v>15</v>
      </c>
    </row>
    <row r="4077" spans="1:3" x14ac:dyDescent="0.2">
      <c r="A4077" s="341"/>
      <c r="B4077" s="339" t="s">
        <v>2575</v>
      </c>
      <c r="C4077" s="340">
        <v>12</v>
      </c>
    </row>
    <row r="4078" spans="1:3" x14ac:dyDescent="0.2">
      <c r="A4078" s="341"/>
      <c r="B4078" s="339" t="s">
        <v>356</v>
      </c>
      <c r="C4078" s="340">
        <v>9</v>
      </c>
    </row>
    <row r="4079" spans="1:3" x14ac:dyDescent="0.2">
      <c r="A4079" s="341"/>
      <c r="B4079" s="339" t="s">
        <v>363</v>
      </c>
      <c r="C4079" s="340">
        <v>4</v>
      </c>
    </row>
    <row r="4080" spans="1:3" x14ac:dyDescent="0.2">
      <c r="A4080" s="341"/>
      <c r="B4080" s="339" t="s">
        <v>350</v>
      </c>
      <c r="C4080" s="340">
        <v>3</v>
      </c>
    </row>
    <row r="4081" spans="1:3" x14ac:dyDescent="0.2">
      <c r="A4081" s="341"/>
      <c r="B4081" s="339" t="s">
        <v>415</v>
      </c>
      <c r="C4081" s="340">
        <v>2</v>
      </c>
    </row>
    <row r="4082" spans="1:3" x14ac:dyDescent="0.2">
      <c r="A4082" s="341"/>
      <c r="B4082" s="339" t="s">
        <v>2649</v>
      </c>
      <c r="C4082" s="340">
        <v>2</v>
      </c>
    </row>
    <row r="4083" spans="1:3" x14ac:dyDescent="0.2">
      <c r="A4083" s="341"/>
      <c r="B4083" s="339" t="s">
        <v>615</v>
      </c>
      <c r="C4083" s="340">
        <v>2</v>
      </c>
    </row>
    <row r="4084" spans="1:3" x14ac:dyDescent="0.2">
      <c r="A4084" s="341"/>
      <c r="B4084" s="339" t="s">
        <v>593</v>
      </c>
      <c r="C4084" s="340">
        <v>2</v>
      </c>
    </row>
    <row r="4085" spans="1:3" x14ac:dyDescent="0.2">
      <c r="A4085" s="341"/>
      <c r="B4085" s="339" t="s">
        <v>392</v>
      </c>
      <c r="C4085" s="340">
        <v>1</v>
      </c>
    </row>
    <row r="4086" spans="1:3" x14ac:dyDescent="0.2">
      <c r="A4086" s="341"/>
    </row>
    <row r="4087" spans="1:3" x14ac:dyDescent="0.2">
      <c r="A4087" s="338" t="s">
        <v>2337</v>
      </c>
    </row>
    <row r="4088" spans="1:3" x14ac:dyDescent="0.2">
      <c r="A4088" s="341" t="s">
        <v>1738</v>
      </c>
    </row>
    <row r="4089" spans="1:3" x14ac:dyDescent="0.2">
      <c r="A4089" s="341" t="s">
        <v>1757</v>
      </c>
    </row>
    <row r="4090" spans="1:3" x14ac:dyDescent="0.2">
      <c r="A4090" s="341" t="s">
        <v>171</v>
      </c>
    </row>
    <row r="4091" spans="1:3" x14ac:dyDescent="0.2">
      <c r="A4091" s="341" t="s">
        <v>2543</v>
      </c>
    </row>
    <row r="4092" spans="1:3" x14ac:dyDescent="0.2">
      <c r="A4092" s="341" t="s">
        <v>639</v>
      </c>
    </row>
    <row r="4093" spans="1:3" x14ac:dyDescent="0.2">
      <c r="A4093" s="341"/>
    </row>
    <row r="4094" spans="1:3" x14ac:dyDescent="0.2">
      <c r="A4094" s="341"/>
      <c r="B4094" s="339" t="s">
        <v>2660</v>
      </c>
      <c r="C4094" s="340">
        <v>40</v>
      </c>
    </row>
    <row r="4095" spans="1:3" x14ac:dyDescent="0.2">
      <c r="A4095" s="341"/>
      <c r="B4095" s="339" t="s">
        <v>392</v>
      </c>
      <c r="C4095" s="340">
        <v>30</v>
      </c>
    </row>
    <row r="4096" spans="1:3" x14ac:dyDescent="0.2">
      <c r="A4096" s="341"/>
      <c r="B4096" s="339" t="s">
        <v>363</v>
      </c>
      <c r="C4096" s="340">
        <v>25</v>
      </c>
    </row>
    <row r="4097" spans="1:3" x14ac:dyDescent="0.2">
      <c r="A4097" s="341"/>
      <c r="B4097" s="339" t="s">
        <v>454</v>
      </c>
      <c r="C4097" s="340">
        <v>15</v>
      </c>
    </row>
    <row r="4098" spans="1:3" x14ac:dyDescent="0.2">
      <c r="A4098" s="341"/>
      <c r="B4098" s="339" t="s">
        <v>340</v>
      </c>
      <c r="C4098" s="340">
        <v>10</v>
      </c>
    </row>
    <row r="4099" spans="1:3" x14ac:dyDescent="0.2">
      <c r="A4099" s="341"/>
      <c r="B4099" s="339" t="s">
        <v>593</v>
      </c>
      <c r="C4099" s="340">
        <v>6</v>
      </c>
    </row>
    <row r="4100" spans="1:3" x14ac:dyDescent="0.2">
      <c r="A4100" s="341"/>
      <c r="B4100" s="339" t="s">
        <v>356</v>
      </c>
      <c r="C4100" s="340">
        <v>5</v>
      </c>
    </row>
    <row r="4101" spans="1:3" x14ac:dyDescent="0.2">
      <c r="A4101" s="341"/>
      <c r="B4101" s="339" t="s">
        <v>400</v>
      </c>
      <c r="C4101" s="340">
        <v>5</v>
      </c>
    </row>
    <row r="4102" spans="1:3" x14ac:dyDescent="0.2">
      <c r="A4102" s="341"/>
    </row>
    <row r="4103" spans="1:3" x14ac:dyDescent="0.2">
      <c r="A4103" s="338" t="s">
        <v>2338</v>
      </c>
    </row>
    <row r="4104" spans="1:3" x14ac:dyDescent="0.2">
      <c r="A4104" s="341" t="s">
        <v>1738</v>
      </c>
    </row>
    <row r="4105" spans="1:3" x14ac:dyDescent="0.2">
      <c r="A4105" s="341" t="s">
        <v>1758</v>
      </c>
    </row>
    <row r="4106" spans="1:3" x14ac:dyDescent="0.2">
      <c r="A4106" s="341" t="s">
        <v>172</v>
      </c>
    </row>
    <row r="4107" spans="1:3" x14ac:dyDescent="0.2">
      <c r="A4107" s="341" t="s">
        <v>2543</v>
      </c>
    </row>
    <row r="4108" spans="1:3" x14ac:dyDescent="0.2">
      <c r="A4108" s="341" t="s">
        <v>639</v>
      </c>
    </row>
    <row r="4109" spans="1:3" x14ac:dyDescent="0.2">
      <c r="A4109" s="341"/>
    </row>
    <row r="4110" spans="1:3" x14ac:dyDescent="0.2">
      <c r="A4110" s="341"/>
      <c r="B4110" s="339" t="s">
        <v>342</v>
      </c>
      <c r="C4110" s="340">
        <v>50</v>
      </c>
    </row>
    <row r="4111" spans="1:3" x14ac:dyDescent="0.2">
      <c r="A4111" s="341"/>
      <c r="B4111" s="339" t="s">
        <v>454</v>
      </c>
      <c r="C4111" s="340">
        <v>35</v>
      </c>
    </row>
    <row r="4112" spans="1:3" x14ac:dyDescent="0.2">
      <c r="A4112" s="341"/>
      <c r="B4112" s="339" t="s">
        <v>361</v>
      </c>
      <c r="C4112" s="340">
        <v>35</v>
      </c>
    </row>
    <row r="4113" spans="1:3" x14ac:dyDescent="0.2">
      <c r="A4113" s="341"/>
      <c r="B4113" s="339" t="s">
        <v>2660</v>
      </c>
      <c r="C4113" s="340">
        <v>30</v>
      </c>
    </row>
    <row r="4114" spans="1:3" x14ac:dyDescent="0.2">
      <c r="A4114" s="341"/>
      <c r="B4114" s="339" t="s">
        <v>601</v>
      </c>
      <c r="C4114" s="340">
        <v>10</v>
      </c>
    </row>
    <row r="4115" spans="1:3" x14ac:dyDescent="0.2">
      <c r="A4115" s="341"/>
      <c r="B4115" s="339" t="s">
        <v>392</v>
      </c>
      <c r="C4115" s="340">
        <v>9</v>
      </c>
    </row>
    <row r="4116" spans="1:3" x14ac:dyDescent="0.2">
      <c r="A4116" s="341"/>
      <c r="B4116" s="339" t="s">
        <v>345</v>
      </c>
      <c r="C4116" s="340">
        <v>8</v>
      </c>
    </row>
    <row r="4117" spans="1:3" x14ac:dyDescent="0.2">
      <c r="A4117" s="341"/>
      <c r="B4117" s="339" t="s">
        <v>593</v>
      </c>
      <c r="C4117" s="340">
        <v>8</v>
      </c>
    </row>
    <row r="4118" spans="1:3" x14ac:dyDescent="0.2">
      <c r="A4118" s="341"/>
      <c r="B4118" s="339" t="s">
        <v>376</v>
      </c>
      <c r="C4118" s="340">
        <v>3</v>
      </c>
    </row>
    <row r="4119" spans="1:3" x14ac:dyDescent="0.2">
      <c r="A4119" s="341"/>
    </row>
    <row r="4120" spans="1:3" x14ac:dyDescent="0.2">
      <c r="A4120" s="338" t="s">
        <v>2339</v>
      </c>
    </row>
    <row r="4121" spans="1:3" x14ac:dyDescent="0.2">
      <c r="A4121" s="341" t="s">
        <v>1738</v>
      </c>
    </row>
    <row r="4122" spans="1:3" x14ac:dyDescent="0.2">
      <c r="A4122" s="341" t="s">
        <v>1759</v>
      </c>
    </row>
    <row r="4123" spans="1:3" x14ac:dyDescent="0.2">
      <c r="A4123" s="341" t="s">
        <v>173</v>
      </c>
    </row>
    <row r="4124" spans="1:3" x14ac:dyDescent="0.2">
      <c r="A4124" s="341" t="s">
        <v>2543</v>
      </c>
    </row>
    <row r="4125" spans="1:3" x14ac:dyDescent="0.2">
      <c r="A4125" s="341" t="s">
        <v>639</v>
      </c>
    </row>
    <row r="4126" spans="1:3" x14ac:dyDescent="0.2">
      <c r="A4126" s="341"/>
    </row>
    <row r="4127" spans="1:3" x14ac:dyDescent="0.2">
      <c r="A4127" s="341"/>
      <c r="B4127" s="339" t="s">
        <v>347</v>
      </c>
      <c r="C4127" s="340">
        <v>50</v>
      </c>
    </row>
    <row r="4128" spans="1:3" x14ac:dyDescent="0.2">
      <c r="A4128" s="341"/>
      <c r="B4128" s="339" t="s">
        <v>2583</v>
      </c>
      <c r="C4128" s="340">
        <v>20</v>
      </c>
    </row>
    <row r="4129" spans="1:3" x14ac:dyDescent="0.2">
      <c r="A4129" s="341"/>
      <c r="B4129" s="339" t="s">
        <v>340</v>
      </c>
      <c r="C4129" s="340">
        <v>15</v>
      </c>
    </row>
    <row r="4130" spans="1:3" x14ac:dyDescent="0.2">
      <c r="A4130" s="341"/>
      <c r="B4130" s="339" t="s">
        <v>392</v>
      </c>
      <c r="C4130" s="340">
        <v>15</v>
      </c>
    </row>
    <row r="4131" spans="1:3" x14ac:dyDescent="0.2">
      <c r="A4131" s="341"/>
      <c r="B4131" s="339" t="s">
        <v>361</v>
      </c>
      <c r="C4131" s="340">
        <v>12</v>
      </c>
    </row>
    <row r="4132" spans="1:3" x14ac:dyDescent="0.2">
      <c r="A4132" s="341"/>
      <c r="B4132" s="339" t="s">
        <v>343</v>
      </c>
      <c r="C4132" s="340">
        <v>10</v>
      </c>
    </row>
    <row r="4133" spans="1:3" x14ac:dyDescent="0.2">
      <c r="A4133" s="341"/>
      <c r="B4133" s="339" t="s">
        <v>376</v>
      </c>
      <c r="C4133" s="340">
        <v>10</v>
      </c>
    </row>
    <row r="4134" spans="1:3" x14ac:dyDescent="0.2">
      <c r="A4134" s="341"/>
      <c r="B4134" s="339" t="s">
        <v>345</v>
      </c>
      <c r="C4134" s="340">
        <v>9</v>
      </c>
    </row>
    <row r="4135" spans="1:3" x14ac:dyDescent="0.2">
      <c r="A4135" s="341"/>
      <c r="B4135" s="339" t="s">
        <v>445</v>
      </c>
      <c r="C4135" s="340">
        <v>7</v>
      </c>
    </row>
    <row r="4136" spans="1:3" x14ac:dyDescent="0.2">
      <c r="A4136" s="341"/>
      <c r="B4136" s="339" t="s">
        <v>2638</v>
      </c>
      <c r="C4136" s="340">
        <v>1</v>
      </c>
    </row>
    <row r="4137" spans="1:3" x14ac:dyDescent="0.2">
      <c r="A4137" s="341"/>
    </row>
    <row r="4138" spans="1:3" x14ac:dyDescent="0.2">
      <c r="A4138" s="338" t="s">
        <v>2340</v>
      </c>
    </row>
    <row r="4139" spans="1:3" x14ac:dyDescent="0.2">
      <c r="A4139" s="341" t="s">
        <v>1738</v>
      </c>
    </row>
    <row r="4140" spans="1:3" x14ac:dyDescent="0.2">
      <c r="A4140" s="341" t="s">
        <v>2084</v>
      </c>
    </row>
    <row r="4141" spans="1:3" x14ac:dyDescent="0.2">
      <c r="A4141" s="341" t="s">
        <v>174</v>
      </c>
    </row>
    <row r="4142" spans="1:3" x14ac:dyDescent="0.2">
      <c r="A4142" s="341" t="s">
        <v>2553</v>
      </c>
    </row>
    <row r="4143" spans="1:3" x14ac:dyDescent="0.2">
      <c r="A4143" s="341" t="s">
        <v>639</v>
      </c>
    </row>
    <row r="4144" spans="1:3" x14ac:dyDescent="0.2">
      <c r="A4144" s="341"/>
    </row>
    <row r="4145" spans="1:3" x14ac:dyDescent="0.2">
      <c r="A4145" s="341"/>
      <c r="B4145" s="339" t="s">
        <v>340</v>
      </c>
      <c r="C4145" s="340">
        <v>40</v>
      </c>
    </row>
    <row r="4146" spans="1:3" x14ac:dyDescent="0.2">
      <c r="A4146" s="341"/>
      <c r="B4146" s="339" t="s">
        <v>432</v>
      </c>
      <c r="C4146" s="340">
        <v>12</v>
      </c>
    </row>
    <row r="4147" spans="1:3" x14ac:dyDescent="0.2">
      <c r="A4147" s="341"/>
      <c r="B4147" s="339" t="s">
        <v>361</v>
      </c>
      <c r="C4147" s="340">
        <v>9</v>
      </c>
    </row>
    <row r="4148" spans="1:3" x14ac:dyDescent="0.2">
      <c r="A4148" s="341"/>
      <c r="B4148" s="339" t="s">
        <v>601</v>
      </c>
      <c r="C4148" s="340">
        <v>7</v>
      </c>
    </row>
    <row r="4149" spans="1:3" x14ac:dyDescent="0.2">
      <c r="A4149" s="341"/>
      <c r="B4149" s="339" t="s">
        <v>341</v>
      </c>
      <c r="C4149" s="340">
        <v>7</v>
      </c>
    </row>
    <row r="4150" spans="1:3" x14ac:dyDescent="0.2">
      <c r="A4150" s="341"/>
      <c r="B4150" s="339" t="s">
        <v>364</v>
      </c>
      <c r="C4150" s="340">
        <v>7</v>
      </c>
    </row>
    <row r="4151" spans="1:3" x14ac:dyDescent="0.2">
      <c r="A4151" s="341"/>
      <c r="B4151" s="339" t="s">
        <v>2575</v>
      </c>
      <c r="C4151" s="340">
        <v>6</v>
      </c>
    </row>
    <row r="4152" spans="1:3" x14ac:dyDescent="0.2">
      <c r="A4152" s="341"/>
      <c r="B4152" s="339" t="s">
        <v>403</v>
      </c>
      <c r="C4152" s="340">
        <v>5</v>
      </c>
    </row>
    <row r="4153" spans="1:3" x14ac:dyDescent="0.2">
      <c r="A4153" s="341"/>
      <c r="B4153" s="339" t="s">
        <v>342</v>
      </c>
      <c r="C4153" s="340">
        <v>3</v>
      </c>
    </row>
    <row r="4154" spans="1:3" x14ac:dyDescent="0.2">
      <c r="A4154" s="341"/>
      <c r="B4154" s="339" t="s">
        <v>350</v>
      </c>
      <c r="C4154" s="340">
        <v>2</v>
      </c>
    </row>
    <row r="4155" spans="1:3" x14ac:dyDescent="0.2">
      <c r="A4155" s="341"/>
    </row>
    <row r="4156" spans="1:3" x14ac:dyDescent="0.2">
      <c r="A4156" s="338" t="s">
        <v>2341</v>
      </c>
    </row>
    <row r="4157" spans="1:3" x14ac:dyDescent="0.2">
      <c r="A4157" s="341" t="s">
        <v>2085</v>
      </c>
    </row>
    <row r="4158" spans="1:3" x14ac:dyDescent="0.2">
      <c r="A4158" s="341" t="s">
        <v>2086</v>
      </c>
    </row>
    <row r="4159" spans="1:3" x14ac:dyDescent="0.2">
      <c r="A4159" s="341" t="s">
        <v>175</v>
      </c>
    </row>
    <row r="4160" spans="1:3" x14ac:dyDescent="0.2">
      <c r="A4160" s="341" t="s">
        <v>2545</v>
      </c>
    </row>
    <row r="4161" spans="1:3" x14ac:dyDescent="0.2">
      <c r="A4161" s="341" t="s">
        <v>639</v>
      </c>
    </row>
    <row r="4162" spans="1:3" x14ac:dyDescent="0.2">
      <c r="A4162" s="341"/>
    </row>
    <row r="4163" spans="1:3" x14ac:dyDescent="0.2">
      <c r="A4163" s="341"/>
      <c r="B4163" s="339" t="s">
        <v>405</v>
      </c>
      <c r="C4163" s="340">
        <v>50</v>
      </c>
    </row>
    <row r="4164" spans="1:3" x14ac:dyDescent="0.2">
      <c r="A4164" s="341"/>
      <c r="B4164" s="339" t="s">
        <v>364</v>
      </c>
      <c r="C4164" s="340">
        <v>20</v>
      </c>
    </row>
    <row r="4165" spans="1:3" x14ac:dyDescent="0.2">
      <c r="A4165" s="341"/>
      <c r="B4165" s="339" t="s">
        <v>2808</v>
      </c>
      <c r="C4165" s="340">
        <v>12</v>
      </c>
    </row>
    <row r="4166" spans="1:3" x14ac:dyDescent="0.2">
      <c r="A4166" s="341"/>
      <c r="B4166" s="339" t="s">
        <v>1866</v>
      </c>
      <c r="C4166" s="340">
        <v>12</v>
      </c>
    </row>
    <row r="4167" spans="1:3" x14ac:dyDescent="0.2">
      <c r="A4167" s="341"/>
      <c r="B4167" s="339" t="s">
        <v>398</v>
      </c>
      <c r="C4167" s="340">
        <v>8</v>
      </c>
    </row>
    <row r="4168" spans="1:3" x14ac:dyDescent="0.2">
      <c r="A4168" s="341"/>
      <c r="B4168" s="339" t="s">
        <v>2722</v>
      </c>
      <c r="C4168" s="340">
        <v>8</v>
      </c>
    </row>
    <row r="4169" spans="1:3" x14ac:dyDescent="0.2">
      <c r="A4169" s="341"/>
      <c r="B4169" s="339" t="s">
        <v>2579</v>
      </c>
      <c r="C4169" s="340">
        <v>6</v>
      </c>
    </row>
    <row r="4170" spans="1:3" x14ac:dyDescent="0.2">
      <c r="A4170" s="341"/>
      <c r="B4170" s="339" t="s">
        <v>341</v>
      </c>
      <c r="C4170" s="340">
        <v>5</v>
      </c>
    </row>
    <row r="4171" spans="1:3" x14ac:dyDescent="0.2">
      <c r="A4171" s="341"/>
      <c r="B4171" s="339" t="s">
        <v>344</v>
      </c>
      <c r="C4171" s="340">
        <v>5</v>
      </c>
    </row>
    <row r="4172" spans="1:3" x14ac:dyDescent="0.2">
      <c r="A4172" s="341"/>
      <c r="B4172" s="339" t="s">
        <v>2573</v>
      </c>
      <c r="C4172" s="340">
        <v>4</v>
      </c>
    </row>
    <row r="4173" spans="1:3" x14ac:dyDescent="0.2">
      <c r="A4173" s="341"/>
      <c r="B4173" s="339" t="s">
        <v>408</v>
      </c>
      <c r="C4173" s="340">
        <v>4</v>
      </c>
    </row>
    <row r="4174" spans="1:3" x14ac:dyDescent="0.2">
      <c r="A4174" s="341"/>
      <c r="B4174" s="339" t="s">
        <v>349</v>
      </c>
      <c r="C4174" s="340">
        <v>4</v>
      </c>
    </row>
    <row r="4175" spans="1:3" x14ac:dyDescent="0.2">
      <c r="A4175" s="341"/>
      <c r="B4175" s="339" t="s">
        <v>441</v>
      </c>
      <c r="C4175" s="340">
        <v>3</v>
      </c>
    </row>
    <row r="4176" spans="1:3" x14ac:dyDescent="0.2">
      <c r="A4176" s="341"/>
      <c r="B4176" s="339" t="s">
        <v>2576</v>
      </c>
      <c r="C4176" s="340">
        <v>3</v>
      </c>
    </row>
    <row r="4177" spans="1:3" x14ac:dyDescent="0.2">
      <c r="A4177" s="341"/>
      <c r="B4177" s="339" t="s">
        <v>2649</v>
      </c>
      <c r="C4177" s="340">
        <v>2</v>
      </c>
    </row>
    <row r="4178" spans="1:3" x14ac:dyDescent="0.2">
      <c r="A4178" s="341"/>
      <c r="B4178" s="339" t="s">
        <v>404</v>
      </c>
      <c r="C4178" s="340">
        <v>2</v>
      </c>
    </row>
    <row r="4179" spans="1:3" x14ac:dyDescent="0.2">
      <c r="A4179" s="341"/>
      <c r="B4179" s="339" t="s">
        <v>1441</v>
      </c>
      <c r="C4179" s="340">
        <v>1</v>
      </c>
    </row>
    <row r="4180" spans="1:3" x14ac:dyDescent="0.2">
      <c r="A4180" s="341"/>
      <c r="B4180" s="339" t="s">
        <v>526</v>
      </c>
      <c r="C4180" s="340">
        <v>1</v>
      </c>
    </row>
    <row r="4181" spans="1:3" x14ac:dyDescent="0.2">
      <c r="A4181" s="341"/>
      <c r="B4181" s="339" t="s">
        <v>394</v>
      </c>
      <c r="C4181" s="340">
        <v>1</v>
      </c>
    </row>
    <row r="4182" spans="1:3" x14ac:dyDescent="0.2">
      <c r="A4182" s="341"/>
    </row>
    <row r="4183" spans="1:3" x14ac:dyDescent="0.2">
      <c r="A4183" s="338" t="s">
        <v>2342</v>
      </c>
    </row>
    <row r="4184" spans="1:3" x14ac:dyDescent="0.2">
      <c r="A4184" s="341" t="s">
        <v>2085</v>
      </c>
    </row>
    <row r="4185" spans="1:3" x14ac:dyDescent="0.2">
      <c r="A4185" s="341" t="s">
        <v>2087</v>
      </c>
    </row>
    <row r="4186" spans="1:3" x14ac:dyDescent="0.2">
      <c r="A4186" s="341" t="s">
        <v>176</v>
      </c>
    </row>
    <row r="4187" spans="1:3" x14ac:dyDescent="0.2">
      <c r="A4187" s="341" t="s">
        <v>2545</v>
      </c>
    </row>
    <row r="4188" spans="1:3" x14ac:dyDescent="0.2">
      <c r="A4188" s="341" t="s">
        <v>639</v>
      </c>
    </row>
    <row r="4189" spans="1:3" x14ac:dyDescent="0.2">
      <c r="A4189" s="341"/>
    </row>
    <row r="4190" spans="1:3" x14ac:dyDescent="0.2">
      <c r="A4190" s="341"/>
      <c r="B4190" s="339" t="s">
        <v>405</v>
      </c>
      <c r="C4190" s="340">
        <v>50</v>
      </c>
    </row>
    <row r="4191" spans="1:3" x14ac:dyDescent="0.2">
      <c r="A4191" s="341"/>
      <c r="B4191" s="339" t="s">
        <v>2725</v>
      </c>
      <c r="C4191" s="340">
        <v>45</v>
      </c>
    </row>
    <row r="4192" spans="1:3" x14ac:dyDescent="0.2">
      <c r="A4192" s="341"/>
      <c r="B4192" s="339" t="s">
        <v>2579</v>
      </c>
      <c r="C4192" s="340">
        <v>15</v>
      </c>
    </row>
    <row r="4193" spans="1:3" x14ac:dyDescent="0.2">
      <c r="A4193" s="341"/>
      <c r="B4193" s="339" t="s">
        <v>376</v>
      </c>
      <c r="C4193" s="340">
        <v>12</v>
      </c>
    </row>
    <row r="4194" spans="1:3" x14ac:dyDescent="0.2">
      <c r="A4194" s="341"/>
      <c r="B4194" s="339" t="s">
        <v>398</v>
      </c>
      <c r="C4194" s="340">
        <v>10</v>
      </c>
    </row>
    <row r="4195" spans="1:3" x14ac:dyDescent="0.2">
      <c r="A4195" s="341"/>
      <c r="B4195" s="339" t="s">
        <v>414</v>
      </c>
      <c r="C4195" s="340">
        <v>10</v>
      </c>
    </row>
    <row r="4196" spans="1:3" x14ac:dyDescent="0.2">
      <c r="A4196" s="341"/>
      <c r="B4196" s="339" t="s">
        <v>404</v>
      </c>
      <c r="C4196" s="340">
        <v>8</v>
      </c>
    </row>
    <row r="4197" spans="1:3" x14ac:dyDescent="0.2">
      <c r="A4197" s="341"/>
      <c r="B4197" s="339" t="s">
        <v>350</v>
      </c>
      <c r="C4197" s="340">
        <v>6</v>
      </c>
    </row>
    <row r="4198" spans="1:3" x14ac:dyDescent="0.2">
      <c r="A4198" s="341"/>
      <c r="B4198" s="339" t="s">
        <v>441</v>
      </c>
      <c r="C4198" s="340">
        <v>6</v>
      </c>
    </row>
    <row r="4199" spans="1:3" x14ac:dyDescent="0.2">
      <c r="A4199" s="341"/>
      <c r="B4199" s="339" t="s">
        <v>423</v>
      </c>
      <c r="C4199" s="340">
        <v>5</v>
      </c>
    </row>
    <row r="4200" spans="1:3" x14ac:dyDescent="0.2">
      <c r="A4200" s="341"/>
      <c r="B4200" s="339" t="s">
        <v>444</v>
      </c>
      <c r="C4200" s="340">
        <v>2</v>
      </c>
    </row>
    <row r="4201" spans="1:3" x14ac:dyDescent="0.2">
      <c r="A4201" s="341"/>
    </row>
    <row r="4202" spans="1:3" x14ac:dyDescent="0.2">
      <c r="A4202" s="338" t="s">
        <v>2343</v>
      </c>
    </row>
    <row r="4203" spans="1:3" x14ac:dyDescent="0.2">
      <c r="A4203" s="341" t="s">
        <v>2085</v>
      </c>
    </row>
    <row r="4204" spans="1:3" x14ac:dyDescent="0.2">
      <c r="A4204" s="341" t="s">
        <v>2088</v>
      </c>
    </row>
    <row r="4205" spans="1:3" x14ac:dyDescent="0.2">
      <c r="A4205" s="341" t="s">
        <v>177</v>
      </c>
    </row>
    <row r="4206" spans="1:3" x14ac:dyDescent="0.2">
      <c r="A4206" s="341" t="s">
        <v>2545</v>
      </c>
    </row>
    <row r="4207" spans="1:3" x14ac:dyDescent="0.2">
      <c r="A4207" s="341" t="s">
        <v>639</v>
      </c>
    </row>
    <row r="4208" spans="1:3" x14ac:dyDescent="0.2">
      <c r="A4208" s="341"/>
    </row>
    <row r="4209" spans="1:3" x14ac:dyDescent="0.2">
      <c r="A4209" s="341"/>
      <c r="B4209" s="339" t="s">
        <v>376</v>
      </c>
      <c r="C4209" s="340">
        <v>50</v>
      </c>
    </row>
    <row r="4210" spans="1:3" x14ac:dyDescent="0.2">
      <c r="A4210" s="341"/>
      <c r="B4210" s="339" t="s">
        <v>398</v>
      </c>
      <c r="C4210" s="340">
        <v>25</v>
      </c>
    </row>
    <row r="4211" spans="1:3" x14ac:dyDescent="0.2">
      <c r="A4211" s="341"/>
      <c r="B4211" s="339" t="s">
        <v>405</v>
      </c>
      <c r="C4211" s="340">
        <v>25</v>
      </c>
    </row>
    <row r="4212" spans="1:3" x14ac:dyDescent="0.2">
      <c r="A4212" s="341"/>
      <c r="B4212" s="339" t="s">
        <v>2579</v>
      </c>
      <c r="C4212" s="340">
        <v>6</v>
      </c>
    </row>
    <row r="4213" spans="1:3" x14ac:dyDescent="0.2">
      <c r="A4213" s="341"/>
      <c r="B4213" s="339" t="s">
        <v>404</v>
      </c>
      <c r="C4213" s="340">
        <v>3</v>
      </c>
    </row>
    <row r="4214" spans="1:3" x14ac:dyDescent="0.2">
      <c r="A4214" s="341"/>
      <c r="B4214" s="339" t="s">
        <v>408</v>
      </c>
      <c r="C4214" s="340">
        <v>3</v>
      </c>
    </row>
    <row r="4215" spans="1:3" x14ac:dyDescent="0.2">
      <c r="A4215" s="341"/>
      <c r="B4215" s="339" t="s">
        <v>441</v>
      </c>
      <c r="C4215" s="340">
        <v>2</v>
      </c>
    </row>
    <row r="4216" spans="1:3" x14ac:dyDescent="0.2">
      <c r="A4216" s="341"/>
      <c r="B4216" s="339" t="s">
        <v>2576</v>
      </c>
      <c r="C4216" s="340">
        <v>2</v>
      </c>
    </row>
    <row r="4217" spans="1:3" x14ac:dyDescent="0.2">
      <c r="A4217" s="341"/>
      <c r="B4217" s="339" t="s">
        <v>447</v>
      </c>
      <c r="C4217" s="340">
        <v>2</v>
      </c>
    </row>
    <row r="4218" spans="1:3" x14ac:dyDescent="0.2">
      <c r="A4218" s="341"/>
      <c r="B4218" s="339" t="s">
        <v>425</v>
      </c>
      <c r="C4218" s="340">
        <v>1</v>
      </c>
    </row>
    <row r="4219" spans="1:3" x14ac:dyDescent="0.2">
      <c r="A4219" s="341"/>
      <c r="B4219" s="339" t="s">
        <v>414</v>
      </c>
      <c r="C4219" s="340">
        <v>1</v>
      </c>
    </row>
    <row r="4220" spans="1:3" x14ac:dyDescent="0.2">
      <c r="A4220" s="341"/>
    </row>
    <row r="4221" spans="1:3" x14ac:dyDescent="0.2">
      <c r="A4221" s="338" t="s">
        <v>2344</v>
      </c>
    </row>
    <row r="4222" spans="1:3" x14ac:dyDescent="0.2">
      <c r="A4222" s="341" t="s">
        <v>2085</v>
      </c>
    </row>
    <row r="4223" spans="1:3" x14ac:dyDescent="0.2">
      <c r="A4223" s="341" t="s">
        <v>2089</v>
      </c>
    </row>
    <row r="4224" spans="1:3" x14ac:dyDescent="0.2">
      <c r="A4224" s="341" t="s">
        <v>178</v>
      </c>
    </row>
    <row r="4225" spans="1:3" x14ac:dyDescent="0.2">
      <c r="A4225" s="341" t="s">
        <v>2545</v>
      </c>
    </row>
    <row r="4226" spans="1:3" x14ac:dyDescent="0.2">
      <c r="A4226" s="341" t="s">
        <v>639</v>
      </c>
    </row>
    <row r="4227" spans="1:3" x14ac:dyDescent="0.2">
      <c r="A4227" s="341"/>
    </row>
    <row r="4228" spans="1:3" x14ac:dyDescent="0.2">
      <c r="A4228" s="341"/>
      <c r="B4228" s="339" t="s">
        <v>405</v>
      </c>
      <c r="C4228" s="340">
        <v>35</v>
      </c>
    </row>
    <row r="4229" spans="1:3" x14ac:dyDescent="0.2">
      <c r="A4229" s="341"/>
      <c r="B4229" s="339" t="s">
        <v>404</v>
      </c>
      <c r="C4229" s="340">
        <v>15</v>
      </c>
    </row>
    <row r="4230" spans="1:3" x14ac:dyDescent="0.2">
      <c r="A4230" s="341"/>
      <c r="B4230" s="339" t="s">
        <v>423</v>
      </c>
      <c r="C4230" s="340">
        <v>12</v>
      </c>
    </row>
    <row r="4231" spans="1:3" x14ac:dyDescent="0.2">
      <c r="A4231" s="341"/>
      <c r="B4231" s="339" t="s">
        <v>398</v>
      </c>
      <c r="C4231" s="340">
        <v>10</v>
      </c>
    </row>
    <row r="4232" spans="1:3" x14ac:dyDescent="0.2">
      <c r="A4232" s="341"/>
      <c r="B4232" s="339" t="s">
        <v>401</v>
      </c>
      <c r="C4232" s="340">
        <v>10</v>
      </c>
    </row>
    <row r="4233" spans="1:3" x14ac:dyDescent="0.2">
      <c r="A4233" s="341"/>
      <c r="B4233" s="339" t="s">
        <v>441</v>
      </c>
      <c r="C4233" s="340">
        <v>10</v>
      </c>
    </row>
    <row r="4234" spans="1:3" x14ac:dyDescent="0.2">
      <c r="A4234" s="341"/>
      <c r="B4234" s="339" t="s">
        <v>2579</v>
      </c>
      <c r="C4234" s="340">
        <v>8</v>
      </c>
    </row>
    <row r="4235" spans="1:3" x14ac:dyDescent="0.2">
      <c r="A4235" s="341"/>
      <c r="B4235" s="339" t="s">
        <v>432</v>
      </c>
      <c r="C4235" s="340">
        <v>8</v>
      </c>
    </row>
    <row r="4236" spans="1:3" x14ac:dyDescent="0.2">
      <c r="A4236" s="341"/>
      <c r="B4236" s="339" t="s">
        <v>394</v>
      </c>
      <c r="C4236" s="340">
        <v>6</v>
      </c>
    </row>
    <row r="4237" spans="1:3" x14ac:dyDescent="0.2">
      <c r="A4237" s="341"/>
      <c r="B4237" s="339" t="s">
        <v>350</v>
      </c>
      <c r="C4237" s="340">
        <v>5</v>
      </c>
    </row>
    <row r="4238" spans="1:3" x14ac:dyDescent="0.2">
      <c r="A4238" s="341"/>
      <c r="B4238" s="339" t="s">
        <v>395</v>
      </c>
      <c r="C4238" s="340">
        <v>1</v>
      </c>
    </row>
    <row r="4239" spans="1:3" x14ac:dyDescent="0.2">
      <c r="A4239" s="341"/>
    </row>
    <row r="4240" spans="1:3" x14ac:dyDescent="0.2">
      <c r="A4240" s="338" t="s">
        <v>2345</v>
      </c>
    </row>
    <row r="4241" spans="1:3" x14ac:dyDescent="0.2">
      <c r="A4241" s="341" t="s">
        <v>2085</v>
      </c>
    </row>
    <row r="4242" spans="1:3" x14ac:dyDescent="0.2">
      <c r="A4242" s="341" t="s">
        <v>2090</v>
      </c>
    </row>
    <row r="4243" spans="1:3" x14ac:dyDescent="0.2">
      <c r="A4243" s="341" t="s">
        <v>179</v>
      </c>
    </row>
    <row r="4244" spans="1:3" x14ac:dyDescent="0.2">
      <c r="A4244" s="341" t="s">
        <v>2553</v>
      </c>
    </row>
    <row r="4245" spans="1:3" x14ac:dyDescent="0.2">
      <c r="A4245" s="341" t="s">
        <v>639</v>
      </c>
    </row>
    <row r="4246" spans="1:3" x14ac:dyDescent="0.2">
      <c r="A4246" s="341"/>
    </row>
    <row r="4247" spans="1:3" x14ac:dyDescent="0.2">
      <c r="A4247" s="341"/>
      <c r="B4247" s="339" t="s">
        <v>371</v>
      </c>
      <c r="C4247" s="340">
        <v>25</v>
      </c>
    </row>
    <row r="4248" spans="1:3" x14ac:dyDescent="0.2">
      <c r="A4248" s="341"/>
      <c r="B4248" s="339" t="s">
        <v>441</v>
      </c>
      <c r="C4248" s="340">
        <v>20</v>
      </c>
    </row>
    <row r="4249" spans="1:3" x14ac:dyDescent="0.2">
      <c r="A4249" s="341"/>
      <c r="B4249" s="339" t="s">
        <v>572</v>
      </c>
      <c r="C4249" s="340">
        <v>15</v>
      </c>
    </row>
    <row r="4250" spans="1:3" x14ac:dyDescent="0.2">
      <c r="A4250" s="341"/>
      <c r="B4250" s="339" t="s">
        <v>607</v>
      </c>
      <c r="C4250" s="340">
        <v>12</v>
      </c>
    </row>
    <row r="4251" spans="1:3" x14ac:dyDescent="0.2">
      <c r="A4251" s="341"/>
      <c r="B4251" s="339" t="s">
        <v>404</v>
      </c>
      <c r="C4251" s="340">
        <v>12</v>
      </c>
    </row>
    <row r="4252" spans="1:3" x14ac:dyDescent="0.2">
      <c r="A4252" s="341"/>
      <c r="B4252" s="339" t="s">
        <v>398</v>
      </c>
      <c r="C4252" s="340">
        <v>8</v>
      </c>
    </row>
    <row r="4253" spans="1:3" x14ac:dyDescent="0.2">
      <c r="A4253" s="341"/>
      <c r="B4253" s="339" t="s">
        <v>400</v>
      </c>
      <c r="C4253" s="340">
        <v>7</v>
      </c>
    </row>
    <row r="4254" spans="1:3" x14ac:dyDescent="0.2">
      <c r="A4254" s="341"/>
      <c r="B4254" s="339" t="s">
        <v>2649</v>
      </c>
      <c r="C4254" s="340">
        <v>6</v>
      </c>
    </row>
    <row r="4255" spans="1:3" x14ac:dyDescent="0.2">
      <c r="A4255" s="341"/>
      <c r="B4255" s="339" t="s">
        <v>401</v>
      </c>
      <c r="C4255" s="340">
        <v>6</v>
      </c>
    </row>
    <row r="4256" spans="1:3" x14ac:dyDescent="0.2">
      <c r="A4256" s="341"/>
      <c r="B4256" s="339" t="s">
        <v>408</v>
      </c>
      <c r="C4256" s="340">
        <v>5</v>
      </c>
    </row>
    <row r="4257" spans="1:3" x14ac:dyDescent="0.2">
      <c r="A4257" s="341"/>
      <c r="B4257" s="339" t="s">
        <v>395</v>
      </c>
      <c r="C4257" s="340">
        <v>4</v>
      </c>
    </row>
    <row r="4258" spans="1:3" x14ac:dyDescent="0.2">
      <c r="A4258" s="341"/>
      <c r="B4258" s="339" t="s">
        <v>423</v>
      </c>
      <c r="C4258" s="340">
        <v>3</v>
      </c>
    </row>
    <row r="4259" spans="1:3" x14ac:dyDescent="0.2">
      <c r="A4259" s="341"/>
      <c r="B4259" s="339" t="s">
        <v>415</v>
      </c>
      <c r="C4259" s="340">
        <v>1</v>
      </c>
    </row>
    <row r="4260" spans="1:3" x14ac:dyDescent="0.2">
      <c r="A4260" s="341"/>
      <c r="B4260" s="339" t="s">
        <v>444</v>
      </c>
      <c r="C4260" s="340">
        <v>1</v>
      </c>
    </row>
    <row r="4261" spans="1:3" x14ac:dyDescent="0.2">
      <c r="A4261" s="341"/>
      <c r="B4261" s="339" t="s">
        <v>593</v>
      </c>
      <c r="C4261" s="340">
        <v>1</v>
      </c>
    </row>
    <row r="4262" spans="1:3" x14ac:dyDescent="0.2">
      <c r="A4262" s="341"/>
    </row>
    <row r="4263" spans="1:3" x14ac:dyDescent="0.2">
      <c r="A4263" s="338" t="s">
        <v>2346</v>
      </c>
    </row>
    <row r="4264" spans="1:3" x14ac:dyDescent="0.2">
      <c r="A4264" s="341" t="s">
        <v>2085</v>
      </c>
    </row>
    <row r="4265" spans="1:3" x14ac:dyDescent="0.2">
      <c r="A4265" s="341" t="s">
        <v>2091</v>
      </c>
    </row>
    <row r="4266" spans="1:3" x14ac:dyDescent="0.2">
      <c r="A4266" s="341" t="s">
        <v>180</v>
      </c>
    </row>
    <row r="4267" spans="1:3" x14ac:dyDescent="0.2">
      <c r="A4267" s="341" t="s">
        <v>2553</v>
      </c>
    </row>
    <row r="4268" spans="1:3" x14ac:dyDescent="0.2">
      <c r="A4268" s="341" t="s">
        <v>639</v>
      </c>
    </row>
    <row r="4269" spans="1:3" x14ac:dyDescent="0.2">
      <c r="A4269" s="341"/>
    </row>
    <row r="4270" spans="1:3" x14ac:dyDescent="0.2">
      <c r="A4270" s="341"/>
      <c r="B4270" s="339" t="s">
        <v>453</v>
      </c>
      <c r="C4270" s="340">
        <v>75</v>
      </c>
    </row>
    <row r="4271" spans="1:3" x14ac:dyDescent="0.2">
      <c r="A4271" s="341"/>
      <c r="B4271" s="339" t="s">
        <v>355</v>
      </c>
      <c r="C4271" s="340">
        <v>15</v>
      </c>
    </row>
    <row r="4272" spans="1:3" x14ac:dyDescent="0.2">
      <c r="A4272" s="341"/>
      <c r="B4272" s="339" t="s">
        <v>376</v>
      </c>
      <c r="C4272" s="340">
        <v>15</v>
      </c>
    </row>
    <row r="4273" spans="1:3" x14ac:dyDescent="0.2">
      <c r="A4273" s="341"/>
      <c r="B4273" s="339" t="s">
        <v>441</v>
      </c>
      <c r="C4273" s="340">
        <v>6</v>
      </c>
    </row>
    <row r="4274" spans="1:3" x14ac:dyDescent="0.2">
      <c r="A4274" s="341"/>
      <c r="B4274" s="339" t="s">
        <v>350</v>
      </c>
      <c r="C4274" s="340">
        <v>5</v>
      </c>
    </row>
    <row r="4275" spans="1:3" x14ac:dyDescent="0.2">
      <c r="A4275" s="341"/>
      <c r="B4275" s="339" t="s">
        <v>421</v>
      </c>
      <c r="C4275" s="340">
        <v>5</v>
      </c>
    </row>
    <row r="4276" spans="1:3" x14ac:dyDescent="0.2">
      <c r="A4276" s="341"/>
    </row>
    <row r="4277" spans="1:3" x14ac:dyDescent="0.2">
      <c r="A4277" s="338" t="s">
        <v>2347</v>
      </c>
    </row>
    <row r="4278" spans="1:3" x14ac:dyDescent="0.2">
      <c r="A4278" s="341" t="s">
        <v>2085</v>
      </c>
    </row>
    <row r="4279" spans="1:3" x14ac:dyDescent="0.2">
      <c r="A4279" s="341" t="s">
        <v>2092</v>
      </c>
    </row>
    <row r="4280" spans="1:3" x14ac:dyDescent="0.2">
      <c r="A4280" s="341" t="s">
        <v>181</v>
      </c>
    </row>
    <row r="4281" spans="1:3" x14ac:dyDescent="0.2">
      <c r="A4281" s="341" t="s">
        <v>2553</v>
      </c>
    </row>
    <row r="4282" spans="1:3" x14ac:dyDescent="0.2">
      <c r="A4282" s="341" t="s">
        <v>639</v>
      </c>
    </row>
    <row r="4283" spans="1:3" x14ac:dyDescent="0.2">
      <c r="A4283" s="341"/>
    </row>
    <row r="4284" spans="1:3" x14ac:dyDescent="0.2">
      <c r="A4284" s="341"/>
      <c r="B4284" s="339" t="s">
        <v>2565</v>
      </c>
      <c r="C4284" s="340">
        <v>30</v>
      </c>
    </row>
    <row r="4285" spans="1:3" x14ac:dyDescent="0.2">
      <c r="A4285" s="341"/>
      <c r="B4285" s="339" t="s">
        <v>398</v>
      </c>
      <c r="C4285" s="340">
        <v>12</v>
      </c>
    </row>
    <row r="4286" spans="1:3" x14ac:dyDescent="0.2">
      <c r="A4286" s="341"/>
      <c r="B4286" s="339" t="s">
        <v>376</v>
      </c>
      <c r="C4286" s="340">
        <v>10</v>
      </c>
    </row>
    <row r="4287" spans="1:3" x14ac:dyDescent="0.2">
      <c r="A4287" s="341"/>
      <c r="B4287" s="339" t="s">
        <v>414</v>
      </c>
      <c r="C4287" s="340">
        <v>10</v>
      </c>
    </row>
    <row r="4288" spans="1:3" x14ac:dyDescent="0.2">
      <c r="A4288" s="341"/>
      <c r="B4288" s="339" t="s">
        <v>412</v>
      </c>
      <c r="C4288" s="340">
        <v>9</v>
      </c>
    </row>
    <row r="4289" spans="1:3" x14ac:dyDescent="0.2">
      <c r="A4289" s="341"/>
      <c r="B4289" s="339" t="s">
        <v>404</v>
      </c>
      <c r="C4289" s="340">
        <v>9</v>
      </c>
    </row>
    <row r="4290" spans="1:3" x14ac:dyDescent="0.2">
      <c r="A4290" s="341"/>
      <c r="B4290" s="339" t="s">
        <v>342</v>
      </c>
      <c r="C4290" s="340">
        <v>8</v>
      </c>
    </row>
    <row r="4291" spans="1:3" x14ac:dyDescent="0.2">
      <c r="A4291" s="341"/>
      <c r="B4291" s="339" t="s">
        <v>395</v>
      </c>
      <c r="C4291" s="340">
        <v>6</v>
      </c>
    </row>
    <row r="4292" spans="1:3" x14ac:dyDescent="0.2">
      <c r="A4292" s="341"/>
      <c r="B4292" s="339" t="s">
        <v>441</v>
      </c>
      <c r="C4292" s="340">
        <v>6</v>
      </c>
    </row>
    <row r="4293" spans="1:3" x14ac:dyDescent="0.2">
      <c r="A4293" s="341"/>
      <c r="B4293" s="339" t="s">
        <v>2649</v>
      </c>
      <c r="C4293" s="340">
        <v>5</v>
      </c>
    </row>
    <row r="4294" spans="1:3" x14ac:dyDescent="0.2">
      <c r="A4294" s="341"/>
      <c r="B4294" s="339" t="s">
        <v>432</v>
      </c>
      <c r="C4294" s="340">
        <v>5</v>
      </c>
    </row>
    <row r="4295" spans="1:3" x14ac:dyDescent="0.2">
      <c r="A4295" s="341"/>
      <c r="B4295" s="339" t="s">
        <v>2722</v>
      </c>
      <c r="C4295" s="340">
        <v>4</v>
      </c>
    </row>
    <row r="4296" spans="1:3" x14ac:dyDescent="0.2">
      <c r="A4296" s="341"/>
      <c r="B4296" s="339" t="s">
        <v>2579</v>
      </c>
      <c r="C4296" s="340">
        <v>4</v>
      </c>
    </row>
    <row r="4297" spans="1:3" x14ac:dyDescent="0.2">
      <c r="A4297" s="341"/>
      <c r="B4297" s="339" t="s">
        <v>572</v>
      </c>
      <c r="C4297" s="340">
        <v>3</v>
      </c>
    </row>
    <row r="4298" spans="1:3" x14ac:dyDescent="0.2">
      <c r="A4298" s="341"/>
      <c r="B4298" s="339" t="s">
        <v>444</v>
      </c>
      <c r="C4298" s="340">
        <v>3</v>
      </c>
    </row>
    <row r="4299" spans="1:3" x14ac:dyDescent="0.2">
      <c r="A4299" s="341"/>
      <c r="B4299" s="339" t="s">
        <v>593</v>
      </c>
      <c r="C4299" s="340">
        <v>1</v>
      </c>
    </row>
    <row r="4300" spans="1:3" x14ac:dyDescent="0.2">
      <c r="A4300" s="341"/>
      <c r="B4300" s="339" t="s">
        <v>2576</v>
      </c>
      <c r="C4300" s="340">
        <v>1</v>
      </c>
    </row>
    <row r="4301" spans="1:3" x14ac:dyDescent="0.2">
      <c r="A4301" s="341"/>
    </row>
    <row r="4302" spans="1:3" x14ac:dyDescent="0.2">
      <c r="A4302" s="338" t="s">
        <v>2348</v>
      </c>
    </row>
    <row r="4303" spans="1:3" x14ac:dyDescent="0.2">
      <c r="A4303" s="341" t="s">
        <v>2085</v>
      </c>
    </row>
    <row r="4304" spans="1:3" x14ac:dyDescent="0.2">
      <c r="A4304" s="341" t="s">
        <v>2093</v>
      </c>
    </row>
    <row r="4305" spans="1:3" x14ac:dyDescent="0.2">
      <c r="A4305" s="341" t="s">
        <v>182</v>
      </c>
    </row>
    <row r="4306" spans="1:3" x14ac:dyDescent="0.2">
      <c r="A4306" s="341" t="s">
        <v>2553</v>
      </c>
    </row>
    <row r="4307" spans="1:3" x14ac:dyDescent="0.2">
      <c r="A4307" s="341" t="s">
        <v>639</v>
      </c>
    </row>
    <row r="4308" spans="1:3" x14ac:dyDescent="0.2">
      <c r="A4308" s="341"/>
    </row>
    <row r="4309" spans="1:3" x14ac:dyDescent="0.2">
      <c r="A4309" s="341"/>
      <c r="B4309" s="339" t="s">
        <v>423</v>
      </c>
      <c r="C4309" s="340">
        <v>40</v>
      </c>
    </row>
    <row r="4310" spans="1:3" x14ac:dyDescent="0.2">
      <c r="A4310" s="341"/>
      <c r="B4310" s="339" t="s">
        <v>376</v>
      </c>
      <c r="C4310" s="340">
        <v>30</v>
      </c>
    </row>
    <row r="4311" spans="1:3" x14ac:dyDescent="0.2">
      <c r="A4311" s="341"/>
      <c r="B4311" s="339" t="s">
        <v>398</v>
      </c>
      <c r="C4311" s="340">
        <v>15</v>
      </c>
    </row>
    <row r="4312" spans="1:3" x14ac:dyDescent="0.2">
      <c r="A4312" s="341"/>
      <c r="B4312" s="339" t="s">
        <v>394</v>
      </c>
      <c r="C4312" s="340">
        <v>15</v>
      </c>
    </row>
    <row r="4313" spans="1:3" x14ac:dyDescent="0.2">
      <c r="A4313" s="341"/>
      <c r="B4313" s="339" t="s">
        <v>2579</v>
      </c>
      <c r="C4313" s="340">
        <v>7</v>
      </c>
    </row>
    <row r="4314" spans="1:3" x14ac:dyDescent="0.2">
      <c r="A4314" s="341"/>
      <c r="B4314" s="339" t="s">
        <v>441</v>
      </c>
      <c r="C4314" s="340">
        <v>5</v>
      </c>
    </row>
    <row r="4315" spans="1:3" x14ac:dyDescent="0.2">
      <c r="A4315" s="341"/>
      <c r="B4315" s="339" t="s">
        <v>424</v>
      </c>
      <c r="C4315" s="340">
        <v>4</v>
      </c>
    </row>
    <row r="4316" spans="1:3" x14ac:dyDescent="0.2">
      <c r="A4316" s="341"/>
      <c r="B4316" s="339" t="s">
        <v>572</v>
      </c>
      <c r="C4316" s="340">
        <v>3</v>
      </c>
    </row>
    <row r="4317" spans="1:3" x14ac:dyDescent="0.2">
      <c r="A4317" s="341"/>
      <c r="B4317" s="339" t="s">
        <v>342</v>
      </c>
      <c r="C4317" s="340">
        <v>3</v>
      </c>
    </row>
    <row r="4318" spans="1:3" x14ac:dyDescent="0.2">
      <c r="A4318" s="341"/>
      <c r="B4318" s="339" t="s">
        <v>404</v>
      </c>
      <c r="C4318" s="340">
        <v>3</v>
      </c>
    </row>
    <row r="4319" spans="1:3" x14ac:dyDescent="0.2">
      <c r="A4319" s="341"/>
      <c r="B4319" s="339" t="s">
        <v>2565</v>
      </c>
      <c r="C4319" s="340">
        <v>3</v>
      </c>
    </row>
    <row r="4320" spans="1:3" x14ac:dyDescent="0.2">
      <c r="A4320" s="341"/>
      <c r="B4320" s="339" t="s">
        <v>2722</v>
      </c>
      <c r="C4320" s="340">
        <v>2</v>
      </c>
    </row>
    <row r="4321" spans="1:3" x14ac:dyDescent="0.2">
      <c r="A4321" s="341"/>
      <c r="B4321" s="339" t="s">
        <v>395</v>
      </c>
      <c r="C4321" s="340">
        <v>2</v>
      </c>
    </row>
    <row r="4322" spans="1:3" x14ac:dyDescent="0.2">
      <c r="A4322" s="341"/>
    </row>
    <row r="4323" spans="1:3" x14ac:dyDescent="0.2">
      <c r="A4323" s="338" t="s">
        <v>2349</v>
      </c>
    </row>
    <row r="4324" spans="1:3" x14ac:dyDescent="0.2">
      <c r="A4324" s="341" t="s">
        <v>2085</v>
      </c>
    </row>
    <row r="4325" spans="1:3" x14ac:dyDescent="0.2">
      <c r="A4325" s="341" t="s">
        <v>2094</v>
      </c>
    </row>
    <row r="4326" spans="1:3" x14ac:dyDescent="0.2">
      <c r="A4326" s="341" t="s">
        <v>183</v>
      </c>
    </row>
    <row r="4327" spans="1:3" x14ac:dyDescent="0.2">
      <c r="A4327" s="341" t="s">
        <v>2553</v>
      </c>
    </row>
    <row r="4328" spans="1:3" x14ac:dyDescent="0.2">
      <c r="A4328" s="341" t="s">
        <v>639</v>
      </c>
    </row>
    <row r="4329" spans="1:3" x14ac:dyDescent="0.2">
      <c r="A4329" s="341"/>
    </row>
    <row r="4330" spans="1:3" x14ac:dyDescent="0.2">
      <c r="A4330" s="341"/>
      <c r="B4330" s="339" t="s">
        <v>415</v>
      </c>
      <c r="C4330" s="340">
        <v>75</v>
      </c>
    </row>
    <row r="4331" spans="1:3" x14ac:dyDescent="0.2">
      <c r="A4331" s="341"/>
      <c r="B4331" s="339" t="s">
        <v>394</v>
      </c>
      <c r="C4331" s="340">
        <v>25</v>
      </c>
    </row>
    <row r="4332" spans="1:3" x14ac:dyDescent="0.2">
      <c r="A4332" s="341"/>
      <c r="B4332" s="339" t="s">
        <v>1583</v>
      </c>
      <c r="C4332" s="340">
        <v>7</v>
      </c>
    </row>
    <row r="4333" spans="1:3" x14ac:dyDescent="0.2">
      <c r="A4333" s="341"/>
      <c r="B4333" s="339" t="s">
        <v>376</v>
      </c>
      <c r="C4333" s="340">
        <v>6</v>
      </c>
    </row>
    <row r="4334" spans="1:3" x14ac:dyDescent="0.2">
      <c r="A4334" s="341"/>
      <c r="B4334" s="339" t="s">
        <v>2812</v>
      </c>
      <c r="C4334" s="340">
        <v>3</v>
      </c>
    </row>
    <row r="4335" spans="1:3" x14ac:dyDescent="0.2">
      <c r="A4335" s="341"/>
      <c r="B4335" s="339" t="s">
        <v>364</v>
      </c>
      <c r="C4335" s="340">
        <v>3</v>
      </c>
    </row>
    <row r="4336" spans="1:3" x14ac:dyDescent="0.2">
      <c r="A4336" s="341"/>
      <c r="B4336" s="339" t="s">
        <v>2649</v>
      </c>
      <c r="C4336" s="340">
        <v>2</v>
      </c>
    </row>
    <row r="4337" spans="1:3" x14ac:dyDescent="0.2">
      <c r="A4337" s="341"/>
      <c r="B4337" s="339" t="s">
        <v>593</v>
      </c>
      <c r="C4337" s="340">
        <v>2</v>
      </c>
    </row>
    <row r="4338" spans="1:3" x14ac:dyDescent="0.2">
      <c r="A4338" s="341"/>
      <c r="B4338" s="339" t="s">
        <v>343</v>
      </c>
      <c r="C4338" s="340">
        <v>1</v>
      </c>
    </row>
    <row r="4339" spans="1:3" x14ac:dyDescent="0.2">
      <c r="A4339" s="341"/>
      <c r="B4339" s="339" t="s">
        <v>345</v>
      </c>
      <c r="C4339" s="340">
        <v>1</v>
      </c>
    </row>
    <row r="4340" spans="1:3" x14ac:dyDescent="0.2">
      <c r="A4340" s="341"/>
    </row>
    <row r="4341" spans="1:3" x14ac:dyDescent="0.2">
      <c r="A4341" s="338" t="s">
        <v>2350</v>
      </c>
    </row>
    <row r="4342" spans="1:3" x14ac:dyDescent="0.2">
      <c r="A4342" s="341" t="s">
        <v>2085</v>
      </c>
    </row>
    <row r="4343" spans="1:3" x14ac:dyDescent="0.2">
      <c r="A4343" s="341" t="s">
        <v>2095</v>
      </c>
    </row>
    <row r="4344" spans="1:3" x14ac:dyDescent="0.2">
      <c r="A4344" s="341" t="s">
        <v>184</v>
      </c>
    </row>
    <row r="4345" spans="1:3" x14ac:dyDescent="0.2">
      <c r="A4345" s="341" t="s">
        <v>2553</v>
      </c>
    </row>
    <row r="4346" spans="1:3" x14ac:dyDescent="0.2">
      <c r="A4346" s="341" t="s">
        <v>639</v>
      </c>
    </row>
    <row r="4347" spans="1:3" x14ac:dyDescent="0.2">
      <c r="A4347" s="341"/>
    </row>
    <row r="4348" spans="1:3" x14ac:dyDescent="0.2">
      <c r="A4348" s="341"/>
      <c r="B4348" s="339" t="s">
        <v>405</v>
      </c>
      <c r="C4348" s="340">
        <v>60</v>
      </c>
    </row>
    <row r="4349" spans="1:3" x14ac:dyDescent="0.2">
      <c r="A4349" s="341"/>
      <c r="B4349" s="339" t="s">
        <v>400</v>
      </c>
      <c r="C4349" s="340">
        <v>15</v>
      </c>
    </row>
    <row r="4350" spans="1:3" x14ac:dyDescent="0.2">
      <c r="A4350" s="341"/>
      <c r="B4350" s="339" t="s">
        <v>412</v>
      </c>
      <c r="C4350" s="340">
        <v>12</v>
      </c>
    </row>
    <row r="4351" spans="1:3" x14ac:dyDescent="0.2">
      <c r="A4351" s="341"/>
      <c r="B4351" s="339" t="s">
        <v>441</v>
      </c>
      <c r="C4351" s="340">
        <v>12</v>
      </c>
    </row>
    <row r="4352" spans="1:3" x14ac:dyDescent="0.2">
      <c r="A4352" s="341"/>
      <c r="B4352" s="339" t="s">
        <v>395</v>
      </c>
      <c r="C4352" s="340">
        <v>10</v>
      </c>
    </row>
    <row r="4353" spans="1:3" x14ac:dyDescent="0.2">
      <c r="A4353" s="341"/>
      <c r="B4353" s="339" t="s">
        <v>572</v>
      </c>
      <c r="C4353" s="340">
        <v>9</v>
      </c>
    </row>
    <row r="4354" spans="1:3" x14ac:dyDescent="0.2">
      <c r="A4354" s="341"/>
      <c r="B4354" s="339" t="s">
        <v>404</v>
      </c>
      <c r="C4354" s="340">
        <v>8</v>
      </c>
    </row>
    <row r="4355" spans="1:3" x14ac:dyDescent="0.2">
      <c r="A4355" s="341"/>
      <c r="B4355" s="339" t="s">
        <v>2602</v>
      </c>
      <c r="C4355" s="340">
        <v>5</v>
      </c>
    </row>
    <row r="4356" spans="1:3" x14ac:dyDescent="0.2">
      <c r="A4356" s="341"/>
      <c r="B4356" s="339" t="s">
        <v>401</v>
      </c>
      <c r="C4356" s="340">
        <v>3</v>
      </c>
    </row>
    <row r="4357" spans="1:3" x14ac:dyDescent="0.2">
      <c r="A4357" s="341"/>
      <c r="B4357" s="339" t="s">
        <v>342</v>
      </c>
      <c r="C4357" s="340">
        <v>2</v>
      </c>
    </row>
    <row r="4358" spans="1:3" x14ac:dyDescent="0.2">
      <c r="A4358" s="341"/>
      <c r="B4358" s="339" t="s">
        <v>2579</v>
      </c>
      <c r="C4358" s="340">
        <v>2</v>
      </c>
    </row>
    <row r="4359" spans="1:3" x14ac:dyDescent="0.2">
      <c r="A4359" s="341"/>
    </row>
    <row r="4360" spans="1:3" x14ac:dyDescent="0.2">
      <c r="A4360" s="338" t="s">
        <v>2351</v>
      </c>
    </row>
    <row r="4361" spans="1:3" x14ac:dyDescent="0.2">
      <c r="A4361" s="341" t="s">
        <v>2085</v>
      </c>
    </row>
    <row r="4362" spans="1:3" x14ac:dyDescent="0.2">
      <c r="A4362" s="341" t="s">
        <v>2096</v>
      </c>
    </row>
    <row r="4363" spans="1:3" x14ac:dyDescent="0.2">
      <c r="A4363" s="341" t="s">
        <v>185</v>
      </c>
    </row>
    <row r="4364" spans="1:3" x14ac:dyDescent="0.2">
      <c r="A4364" s="341" t="s">
        <v>2550</v>
      </c>
    </row>
    <row r="4365" spans="1:3" x14ac:dyDescent="0.2">
      <c r="A4365" s="341" t="s">
        <v>639</v>
      </c>
    </row>
    <row r="4366" spans="1:3" x14ac:dyDescent="0.2">
      <c r="A4366" s="341"/>
    </row>
    <row r="4367" spans="1:3" x14ac:dyDescent="0.2">
      <c r="A4367" s="341"/>
      <c r="B4367" s="339" t="s">
        <v>2565</v>
      </c>
      <c r="C4367" s="340">
        <v>50</v>
      </c>
    </row>
    <row r="4368" spans="1:3" x14ac:dyDescent="0.2">
      <c r="A4368" s="341"/>
      <c r="B4368" s="339" t="s">
        <v>423</v>
      </c>
      <c r="C4368" s="340">
        <v>30</v>
      </c>
    </row>
    <row r="4369" spans="1:3" x14ac:dyDescent="0.2">
      <c r="A4369" s="341"/>
      <c r="B4369" s="339" t="s">
        <v>2649</v>
      </c>
      <c r="C4369" s="340">
        <v>25</v>
      </c>
    </row>
    <row r="4370" spans="1:3" x14ac:dyDescent="0.2">
      <c r="A4370" s="341"/>
      <c r="B4370" s="339" t="s">
        <v>607</v>
      </c>
      <c r="C4370" s="340">
        <v>15</v>
      </c>
    </row>
    <row r="4371" spans="1:3" x14ac:dyDescent="0.2">
      <c r="A4371" s="341"/>
      <c r="B4371" s="339" t="s">
        <v>2579</v>
      </c>
      <c r="C4371" s="340">
        <v>6</v>
      </c>
    </row>
    <row r="4372" spans="1:3" x14ac:dyDescent="0.2">
      <c r="A4372" s="341"/>
      <c r="B4372" s="339" t="s">
        <v>441</v>
      </c>
      <c r="C4372" s="340">
        <v>5</v>
      </c>
    </row>
    <row r="4373" spans="1:3" x14ac:dyDescent="0.2">
      <c r="A4373" s="341"/>
      <c r="B4373" s="339" t="s">
        <v>1445</v>
      </c>
      <c r="C4373" s="340">
        <v>5</v>
      </c>
    </row>
    <row r="4374" spans="1:3" x14ac:dyDescent="0.2">
      <c r="A4374" s="341"/>
      <c r="B4374" s="339" t="s">
        <v>350</v>
      </c>
      <c r="C4374" s="340">
        <v>4</v>
      </c>
    </row>
    <row r="4375" spans="1:3" x14ac:dyDescent="0.2">
      <c r="A4375" s="341"/>
      <c r="B4375" s="339" t="s">
        <v>404</v>
      </c>
      <c r="C4375" s="340">
        <v>3</v>
      </c>
    </row>
    <row r="4376" spans="1:3" x14ac:dyDescent="0.2">
      <c r="A4376" s="341"/>
      <c r="B4376" s="339" t="s">
        <v>399</v>
      </c>
      <c r="C4376" s="340">
        <v>2</v>
      </c>
    </row>
    <row r="4377" spans="1:3" x14ac:dyDescent="0.2">
      <c r="A4377" s="341"/>
      <c r="B4377" s="339" t="s">
        <v>401</v>
      </c>
      <c r="C4377" s="340">
        <v>2</v>
      </c>
    </row>
    <row r="4378" spans="1:3" x14ac:dyDescent="0.2">
      <c r="A4378" s="341"/>
    </row>
    <row r="4379" spans="1:3" x14ac:dyDescent="0.2">
      <c r="A4379" s="338" t="s">
        <v>2352</v>
      </c>
    </row>
    <row r="4380" spans="1:3" x14ac:dyDescent="0.2">
      <c r="A4380" s="341" t="s">
        <v>2085</v>
      </c>
    </row>
    <row r="4381" spans="1:3" x14ac:dyDescent="0.2">
      <c r="A4381" s="341" t="s">
        <v>2097</v>
      </c>
    </row>
    <row r="4382" spans="1:3" x14ac:dyDescent="0.2">
      <c r="A4382" s="341" t="s">
        <v>186</v>
      </c>
    </row>
    <row r="4383" spans="1:3" x14ac:dyDescent="0.2">
      <c r="A4383" s="341" t="s">
        <v>2553</v>
      </c>
    </row>
    <row r="4384" spans="1:3" x14ac:dyDescent="0.2">
      <c r="A4384" s="341" t="s">
        <v>639</v>
      </c>
    </row>
    <row r="4385" spans="1:3" x14ac:dyDescent="0.2">
      <c r="A4385" s="341"/>
    </row>
    <row r="4386" spans="1:3" x14ac:dyDescent="0.2">
      <c r="A4386" s="341"/>
      <c r="B4386" s="339" t="s">
        <v>405</v>
      </c>
      <c r="C4386" s="340">
        <v>25</v>
      </c>
    </row>
    <row r="4387" spans="1:3" x14ac:dyDescent="0.2">
      <c r="A4387" s="341"/>
      <c r="B4387" s="339" t="s">
        <v>2725</v>
      </c>
      <c r="C4387" s="340">
        <v>20</v>
      </c>
    </row>
    <row r="4388" spans="1:3" x14ac:dyDescent="0.2">
      <c r="A4388" s="341"/>
      <c r="B4388" s="339" t="s">
        <v>1441</v>
      </c>
      <c r="C4388" s="340">
        <v>20</v>
      </c>
    </row>
    <row r="4389" spans="1:3" x14ac:dyDescent="0.2">
      <c r="A4389" s="341"/>
      <c r="B4389" s="339" t="s">
        <v>376</v>
      </c>
      <c r="C4389" s="340">
        <v>20</v>
      </c>
    </row>
    <row r="4390" spans="1:3" x14ac:dyDescent="0.2">
      <c r="A4390" s="341"/>
      <c r="B4390" s="339" t="s">
        <v>2722</v>
      </c>
      <c r="C4390" s="340">
        <v>8</v>
      </c>
    </row>
    <row r="4391" spans="1:3" x14ac:dyDescent="0.2">
      <c r="A4391" s="341"/>
      <c r="B4391" s="339" t="s">
        <v>441</v>
      </c>
      <c r="C4391" s="340">
        <v>6</v>
      </c>
    </row>
    <row r="4392" spans="1:3" x14ac:dyDescent="0.2">
      <c r="A4392" s="341"/>
      <c r="B4392" s="339" t="s">
        <v>404</v>
      </c>
      <c r="C4392" s="340">
        <v>4</v>
      </c>
    </row>
    <row r="4393" spans="1:3" x14ac:dyDescent="0.2">
      <c r="A4393" s="341"/>
      <c r="B4393" s="339" t="s">
        <v>2579</v>
      </c>
      <c r="C4393" s="340">
        <v>4</v>
      </c>
    </row>
    <row r="4394" spans="1:3" x14ac:dyDescent="0.2">
      <c r="A4394" s="341"/>
    </row>
    <row r="4395" spans="1:3" x14ac:dyDescent="0.2">
      <c r="A4395" s="338" t="s">
        <v>2353</v>
      </c>
    </row>
    <row r="4396" spans="1:3" x14ac:dyDescent="0.2">
      <c r="A4396" s="341" t="s">
        <v>2085</v>
      </c>
    </row>
    <row r="4397" spans="1:3" x14ac:dyDescent="0.2">
      <c r="A4397" s="341" t="s">
        <v>2098</v>
      </c>
    </row>
    <row r="4398" spans="1:3" x14ac:dyDescent="0.2">
      <c r="A4398" s="341" t="s">
        <v>187</v>
      </c>
    </row>
    <row r="4399" spans="1:3" x14ac:dyDescent="0.2">
      <c r="A4399" s="341" t="s">
        <v>2543</v>
      </c>
    </row>
    <row r="4400" spans="1:3" x14ac:dyDescent="0.2">
      <c r="A4400" s="341" t="s">
        <v>639</v>
      </c>
    </row>
    <row r="4401" spans="1:3" x14ac:dyDescent="0.2">
      <c r="A4401" s="341"/>
    </row>
    <row r="4402" spans="1:3" x14ac:dyDescent="0.2">
      <c r="A4402" s="341"/>
      <c r="B4402" s="339" t="s">
        <v>415</v>
      </c>
      <c r="C4402" s="340">
        <v>80</v>
      </c>
    </row>
    <row r="4403" spans="1:3" x14ac:dyDescent="0.2">
      <c r="A4403" s="341"/>
      <c r="B4403" s="339" t="s">
        <v>405</v>
      </c>
      <c r="C4403" s="340">
        <v>30</v>
      </c>
    </row>
    <row r="4404" spans="1:3" x14ac:dyDescent="0.2">
      <c r="A4404" s="341"/>
      <c r="B4404" s="339" t="s">
        <v>863</v>
      </c>
      <c r="C4404" s="340">
        <v>20</v>
      </c>
    </row>
    <row r="4405" spans="1:3" x14ac:dyDescent="0.2">
      <c r="A4405" s="341"/>
      <c r="B4405" s="339" t="s">
        <v>441</v>
      </c>
      <c r="C4405" s="340">
        <v>15</v>
      </c>
    </row>
    <row r="4406" spans="1:3" x14ac:dyDescent="0.2">
      <c r="A4406" s="341"/>
      <c r="B4406" s="339" t="s">
        <v>408</v>
      </c>
      <c r="C4406" s="340">
        <v>4</v>
      </c>
    </row>
    <row r="4407" spans="1:3" x14ac:dyDescent="0.2">
      <c r="A4407" s="341"/>
    </row>
    <row r="4408" spans="1:3" x14ac:dyDescent="0.2">
      <c r="A4408" s="338" t="s">
        <v>2354</v>
      </c>
    </row>
    <row r="4409" spans="1:3" x14ac:dyDescent="0.2">
      <c r="A4409" s="341" t="s">
        <v>2085</v>
      </c>
    </row>
    <row r="4410" spans="1:3" x14ac:dyDescent="0.2">
      <c r="A4410" s="341" t="s">
        <v>2099</v>
      </c>
    </row>
    <row r="4411" spans="1:3" x14ac:dyDescent="0.2">
      <c r="A4411" s="341" t="s">
        <v>188</v>
      </c>
    </row>
    <row r="4412" spans="1:3" x14ac:dyDescent="0.2">
      <c r="A4412" s="341" t="s">
        <v>2543</v>
      </c>
    </row>
    <row r="4413" spans="1:3" x14ac:dyDescent="0.2">
      <c r="A4413" s="341" t="s">
        <v>639</v>
      </c>
    </row>
    <row r="4414" spans="1:3" x14ac:dyDescent="0.2">
      <c r="A4414" s="341"/>
    </row>
    <row r="4415" spans="1:3" x14ac:dyDescent="0.2">
      <c r="A4415" s="341"/>
      <c r="B4415" s="339" t="s">
        <v>412</v>
      </c>
      <c r="C4415" s="340">
        <v>25</v>
      </c>
    </row>
    <row r="4416" spans="1:3" x14ac:dyDescent="0.2">
      <c r="A4416" s="341"/>
      <c r="B4416" s="339" t="s">
        <v>863</v>
      </c>
      <c r="C4416" s="340">
        <v>25</v>
      </c>
    </row>
    <row r="4417" spans="1:3" x14ac:dyDescent="0.2">
      <c r="A4417" s="341"/>
      <c r="B4417" s="339" t="s">
        <v>2602</v>
      </c>
      <c r="C4417" s="340">
        <v>20</v>
      </c>
    </row>
    <row r="4418" spans="1:3" x14ac:dyDescent="0.2">
      <c r="A4418" s="341"/>
      <c r="B4418" s="339" t="s">
        <v>398</v>
      </c>
      <c r="C4418" s="340">
        <v>8</v>
      </c>
    </row>
    <row r="4419" spans="1:3" x14ac:dyDescent="0.2">
      <c r="A4419" s="341"/>
      <c r="B4419" s="339" t="s">
        <v>441</v>
      </c>
      <c r="C4419" s="340">
        <v>7</v>
      </c>
    </row>
    <row r="4420" spans="1:3" x14ac:dyDescent="0.2">
      <c r="A4420" s="341"/>
      <c r="B4420" s="339" t="s">
        <v>408</v>
      </c>
      <c r="C4420" s="340">
        <v>6</v>
      </c>
    </row>
    <row r="4421" spans="1:3" x14ac:dyDescent="0.2">
      <c r="A4421" s="341"/>
      <c r="B4421" s="339" t="s">
        <v>429</v>
      </c>
      <c r="C4421" s="340">
        <v>5</v>
      </c>
    </row>
    <row r="4422" spans="1:3" x14ac:dyDescent="0.2">
      <c r="A4422" s="341"/>
      <c r="B4422" s="339" t="s">
        <v>406</v>
      </c>
      <c r="C4422" s="340">
        <v>4</v>
      </c>
    </row>
    <row r="4423" spans="1:3" x14ac:dyDescent="0.2">
      <c r="A4423" s="341"/>
      <c r="B4423" s="339" t="s">
        <v>2608</v>
      </c>
      <c r="C4423" s="340">
        <v>4</v>
      </c>
    </row>
    <row r="4424" spans="1:3" x14ac:dyDescent="0.2">
      <c r="A4424" s="341"/>
      <c r="B4424" s="339" t="s">
        <v>395</v>
      </c>
      <c r="C4424" s="340">
        <v>2</v>
      </c>
    </row>
    <row r="4425" spans="1:3" x14ac:dyDescent="0.2">
      <c r="A4425" s="341"/>
      <c r="B4425" s="339" t="s">
        <v>444</v>
      </c>
      <c r="C4425" s="340">
        <v>2</v>
      </c>
    </row>
    <row r="4426" spans="1:3" x14ac:dyDescent="0.2">
      <c r="A4426" s="341"/>
    </row>
    <row r="4427" spans="1:3" x14ac:dyDescent="0.2">
      <c r="A4427" s="338" t="s">
        <v>2355</v>
      </c>
    </row>
    <row r="4428" spans="1:3" x14ac:dyDescent="0.2">
      <c r="A4428" s="341" t="s">
        <v>2085</v>
      </c>
    </row>
    <row r="4429" spans="1:3" x14ac:dyDescent="0.2">
      <c r="A4429" s="341" t="s">
        <v>2100</v>
      </c>
    </row>
    <row r="4430" spans="1:3" x14ac:dyDescent="0.2">
      <c r="A4430" s="341" t="s">
        <v>189</v>
      </c>
    </row>
    <row r="4431" spans="1:3" x14ac:dyDescent="0.2">
      <c r="A4431" s="341" t="s">
        <v>2543</v>
      </c>
    </row>
    <row r="4432" spans="1:3" x14ac:dyDescent="0.2">
      <c r="A4432" s="341" t="s">
        <v>639</v>
      </c>
    </row>
    <row r="4433" spans="1:3" x14ac:dyDescent="0.2">
      <c r="A4433" s="341"/>
    </row>
    <row r="4434" spans="1:3" x14ac:dyDescent="0.2">
      <c r="A4434" s="341"/>
      <c r="B4434" s="339" t="s">
        <v>398</v>
      </c>
      <c r="C4434" s="340">
        <v>70</v>
      </c>
    </row>
    <row r="4435" spans="1:3" x14ac:dyDescent="0.2">
      <c r="A4435" s="341"/>
      <c r="B4435" s="339" t="s">
        <v>376</v>
      </c>
      <c r="C4435" s="340">
        <v>40</v>
      </c>
    </row>
    <row r="4436" spans="1:3" x14ac:dyDescent="0.2">
      <c r="A4436" s="341"/>
      <c r="B4436" s="339" t="s">
        <v>423</v>
      </c>
      <c r="C4436" s="340">
        <v>18</v>
      </c>
    </row>
    <row r="4437" spans="1:3" x14ac:dyDescent="0.2">
      <c r="A4437" s="341"/>
      <c r="B4437" s="339" t="s">
        <v>404</v>
      </c>
      <c r="C4437" s="340">
        <v>12</v>
      </c>
    </row>
    <row r="4438" spans="1:3" x14ac:dyDescent="0.2">
      <c r="A4438" s="341"/>
      <c r="B4438" s="339" t="s">
        <v>364</v>
      </c>
      <c r="C4438" s="340">
        <v>8</v>
      </c>
    </row>
    <row r="4439" spans="1:3" x14ac:dyDescent="0.2">
      <c r="A4439" s="341"/>
      <c r="B4439" s="339" t="s">
        <v>424</v>
      </c>
      <c r="C4439" s="340">
        <v>5</v>
      </c>
    </row>
    <row r="4440" spans="1:3" x14ac:dyDescent="0.2">
      <c r="A4440" s="341"/>
      <c r="B4440" s="339" t="s">
        <v>2722</v>
      </c>
      <c r="C4440" s="340">
        <v>4</v>
      </c>
    </row>
    <row r="4441" spans="1:3" x14ac:dyDescent="0.2">
      <c r="A4441" s="341"/>
      <c r="B4441" s="339" t="s">
        <v>408</v>
      </c>
      <c r="C4441" s="340">
        <v>3</v>
      </c>
    </row>
    <row r="4442" spans="1:3" x14ac:dyDescent="0.2">
      <c r="A4442" s="341"/>
      <c r="B4442" s="339" t="s">
        <v>441</v>
      </c>
      <c r="C4442" s="340">
        <v>2</v>
      </c>
    </row>
    <row r="4443" spans="1:3" x14ac:dyDescent="0.2">
      <c r="A4443" s="341"/>
      <c r="B4443" s="339" t="s">
        <v>401</v>
      </c>
      <c r="C4443" s="340">
        <v>1</v>
      </c>
    </row>
    <row r="4444" spans="1:3" x14ac:dyDescent="0.2">
      <c r="A4444" s="341"/>
    </row>
    <row r="4445" spans="1:3" x14ac:dyDescent="0.2">
      <c r="A4445" s="338" t="s">
        <v>2356</v>
      </c>
    </row>
    <row r="4446" spans="1:3" x14ac:dyDescent="0.2">
      <c r="A4446" s="341" t="s">
        <v>2085</v>
      </c>
    </row>
    <row r="4447" spans="1:3" x14ac:dyDescent="0.2">
      <c r="A4447" s="341" t="s">
        <v>2101</v>
      </c>
    </row>
    <row r="4448" spans="1:3" x14ac:dyDescent="0.2">
      <c r="A4448" s="341" t="s">
        <v>190</v>
      </c>
    </row>
    <row r="4449" spans="1:3" x14ac:dyDescent="0.2">
      <c r="A4449" s="341" t="s">
        <v>2543</v>
      </c>
    </row>
    <row r="4450" spans="1:3" x14ac:dyDescent="0.2">
      <c r="A4450" s="341" t="s">
        <v>639</v>
      </c>
    </row>
    <row r="4451" spans="1:3" x14ac:dyDescent="0.2">
      <c r="A4451" s="341"/>
    </row>
    <row r="4452" spans="1:3" x14ac:dyDescent="0.2">
      <c r="A4452" s="341"/>
      <c r="B4452" s="339" t="s">
        <v>405</v>
      </c>
      <c r="C4452" s="340">
        <v>45</v>
      </c>
    </row>
    <row r="4453" spans="1:3" x14ac:dyDescent="0.2">
      <c r="A4453" s="341"/>
      <c r="B4453" s="339" t="s">
        <v>376</v>
      </c>
      <c r="C4453" s="340">
        <v>25</v>
      </c>
    </row>
    <row r="4454" spans="1:3" x14ac:dyDescent="0.2">
      <c r="A4454" s="341"/>
      <c r="B4454" s="339" t="s">
        <v>412</v>
      </c>
      <c r="C4454" s="340">
        <v>10</v>
      </c>
    </row>
    <row r="4455" spans="1:3" x14ac:dyDescent="0.2">
      <c r="A4455" s="341"/>
      <c r="B4455" s="339" t="s">
        <v>401</v>
      </c>
      <c r="C4455" s="340">
        <v>9</v>
      </c>
    </row>
    <row r="4456" spans="1:3" x14ac:dyDescent="0.2">
      <c r="A4456" s="341"/>
      <c r="B4456" s="339" t="s">
        <v>395</v>
      </c>
      <c r="C4456" s="340">
        <v>8</v>
      </c>
    </row>
    <row r="4457" spans="1:3" x14ac:dyDescent="0.2">
      <c r="A4457" s="341"/>
      <c r="B4457" s="339" t="s">
        <v>342</v>
      </c>
      <c r="C4457" s="340">
        <v>5</v>
      </c>
    </row>
    <row r="4458" spans="1:3" x14ac:dyDescent="0.2">
      <c r="A4458" s="341"/>
      <c r="B4458" s="339" t="s">
        <v>444</v>
      </c>
      <c r="C4458" s="340">
        <v>4</v>
      </c>
    </row>
    <row r="4459" spans="1:3" x14ac:dyDescent="0.2">
      <c r="A4459" s="341"/>
      <c r="B4459" s="339" t="s">
        <v>572</v>
      </c>
      <c r="C4459" s="340">
        <v>2</v>
      </c>
    </row>
    <row r="4460" spans="1:3" x14ac:dyDescent="0.2">
      <c r="A4460" s="341"/>
      <c r="B4460" s="339" t="s">
        <v>2649</v>
      </c>
      <c r="C4460" s="340">
        <v>2</v>
      </c>
    </row>
    <row r="4461" spans="1:3" x14ac:dyDescent="0.2">
      <c r="A4461" s="341"/>
    </row>
    <row r="4462" spans="1:3" x14ac:dyDescent="0.2">
      <c r="A4462" s="341"/>
    </row>
    <row r="4463" spans="1:3" x14ac:dyDescent="0.2">
      <c r="A4463" s="341"/>
    </row>
    <row r="4464" spans="1:3" x14ac:dyDescent="0.2">
      <c r="A4464" s="341"/>
    </row>
    <row r="4465" spans="1:1" x14ac:dyDescent="0.2">
      <c r="A4465" s="341"/>
    </row>
    <row r="4466" spans="1:1" x14ac:dyDescent="0.2">
      <c r="A4466" s="341"/>
    </row>
    <row r="4467" spans="1:1" x14ac:dyDescent="0.2">
      <c r="A4467" s="341"/>
    </row>
    <row r="4468" spans="1:1" x14ac:dyDescent="0.2">
      <c r="A4468" s="341"/>
    </row>
    <row r="4469" spans="1:1" x14ac:dyDescent="0.2">
      <c r="A4469" s="341"/>
    </row>
    <row r="4470" spans="1:1" x14ac:dyDescent="0.2">
      <c r="A4470" s="341"/>
    </row>
    <row r="4471" spans="1:1" x14ac:dyDescent="0.2">
      <c r="A4471" s="341"/>
    </row>
    <row r="4472" spans="1:1" x14ac:dyDescent="0.2">
      <c r="A4472" s="341"/>
    </row>
    <row r="4473" spans="1:1" x14ac:dyDescent="0.2">
      <c r="A4473" s="341"/>
    </row>
    <row r="4474" spans="1:1" x14ac:dyDescent="0.2">
      <c r="A4474" s="341"/>
    </row>
    <row r="4475" spans="1:1" x14ac:dyDescent="0.2">
      <c r="A4475" s="341"/>
    </row>
    <row r="4476" spans="1:1" x14ac:dyDescent="0.2">
      <c r="A4476" s="341"/>
    </row>
    <row r="4477" spans="1:1" x14ac:dyDescent="0.2">
      <c r="A4477" s="341"/>
    </row>
    <row r="4478" spans="1:1" x14ac:dyDescent="0.2">
      <c r="A4478" s="341"/>
    </row>
    <row r="4479" spans="1:1" x14ac:dyDescent="0.2">
      <c r="A4479" s="341"/>
    </row>
    <row r="4480" spans="1:1" x14ac:dyDescent="0.2">
      <c r="A4480" s="341"/>
    </row>
    <row r="4481" spans="1:1" x14ac:dyDescent="0.2">
      <c r="A4481" s="341"/>
    </row>
    <row r="4482" spans="1:1" x14ac:dyDescent="0.2">
      <c r="A4482" s="341"/>
    </row>
    <row r="4483" spans="1:1" x14ac:dyDescent="0.2">
      <c r="A4483" s="341"/>
    </row>
    <row r="4484" spans="1:1" x14ac:dyDescent="0.2">
      <c r="A4484" s="341"/>
    </row>
    <row r="4485" spans="1:1" x14ac:dyDescent="0.2">
      <c r="A4485" s="341"/>
    </row>
    <row r="4486" spans="1:1" x14ac:dyDescent="0.2">
      <c r="A4486" s="341"/>
    </row>
    <row r="4487" spans="1:1" x14ac:dyDescent="0.2">
      <c r="A4487" s="341"/>
    </row>
    <row r="4488" spans="1:1" x14ac:dyDescent="0.2">
      <c r="A4488" s="341"/>
    </row>
    <row r="4489" spans="1:1" x14ac:dyDescent="0.2">
      <c r="A4489" s="341"/>
    </row>
    <row r="4490" spans="1:1" x14ac:dyDescent="0.2">
      <c r="A4490" s="341"/>
    </row>
    <row r="4491" spans="1:1" x14ac:dyDescent="0.2">
      <c r="A4491" s="341"/>
    </row>
    <row r="4492" spans="1:1" x14ac:dyDescent="0.2">
      <c r="A4492" s="341"/>
    </row>
    <row r="4493" spans="1:1" x14ac:dyDescent="0.2">
      <c r="A4493" s="341"/>
    </row>
    <row r="4494" spans="1:1" x14ac:dyDescent="0.2">
      <c r="A4494" s="341"/>
    </row>
    <row r="4495" spans="1:1" x14ac:dyDescent="0.2">
      <c r="A4495" s="341"/>
    </row>
    <row r="4496" spans="1:1" x14ac:dyDescent="0.2">
      <c r="A4496" s="341"/>
    </row>
    <row r="4497" spans="1:1" x14ac:dyDescent="0.2">
      <c r="A4497" s="341"/>
    </row>
    <row r="4498" spans="1:1" x14ac:dyDescent="0.2">
      <c r="A4498" s="341"/>
    </row>
    <row r="4499" spans="1:1" x14ac:dyDescent="0.2">
      <c r="A4499" s="341"/>
    </row>
    <row r="4500" spans="1:1" x14ac:dyDescent="0.2">
      <c r="A4500" s="341"/>
    </row>
    <row r="4501" spans="1:1" x14ac:dyDescent="0.2">
      <c r="A4501" s="341"/>
    </row>
    <row r="4502" spans="1:1" x14ac:dyDescent="0.2">
      <c r="A4502" s="341"/>
    </row>
    <row r="4503" spans="1:1" x14ac:dyDescent="0.2">
      <c r="A4503" s="341"/>
    </row>
    <row r="4504" spans="1:1" x14ac:dyDescent="0.2">
      <c r="A4504" s="341"/>
    </row>
    <row r="4505" spans="1:1" x14ac:dyDescent="0.2">
      <c r="A4505" s="341"/>
    </row>
    <row r="4506" spans="1:1" x14ac:dyDescent="0.2">
      <c r="A4506" s="341"/>
    </row>
    <row r="4507" spans="1:1" x14ac:dyDescent="0.2">
      <c r="A4507" s="341"/>
    </row>
    <row r="4508" spans="1:1" x14ac:dyDescent="0.2">
      <c r="A4508" s="341"/>
    </row>
    <row r="4509" spans="1:1" x14ac:dyDescent="0.2">
      <c r="A4509" s="341"/>
    </row>
    <row r="4510" spans="1:1" x14ac:dyDescent="0.2">
      <c r="A4510" s="341"/>
    </row>
    <row r="4511" spans="1:1" x14ac:dyDescent="0.2">
      <c r="A4511" s="341"/>
    </row>
    <row r="4512" spans="1:1" x14ac:dyDescent="0.2">
      <c r="A4512" s="341"/>
    </row>
    <row r="4513" spans="1:1" x14ac:dyDescent="0.2">
      <c r="A4513" s="341"/>
    </row>
    <row r="4514" spans="1:1" x14ac:dyDescent="0.2">
      <c r="A4514" s="341"/>
    </row>
    <row r="4515" spans="1:1" x14ac:dyDescent="0.2">
      <c r="A4515" s="341"/>
    </row>
    <row r="4516" spans="1:1" x14ac:dyDescent="0.2">
      <c r="A4516" s="341"/>
    </row>
    <row r="4517" spans="1:1" x14ac:dyDescent="0.2">
      <c r="A4517" s="341"/>
    </row>
    <row r="4518" spans="1:1" x14ac:dyDescent="0.2">
      <c r="A4518" s="341"/>
    </row>
    <row r="4519" spans="1:1" x14ac:dyDescent="0.2">
      <c r="A4519" s="341"/>
    </row>
    <row r="4520" spans="1:1" x14ac:dyDescent="0.2">
      <c r="A4520" s="341"/>
    </row>
    <row r="4521" spans="1:1" x14ac:dyDescent="0.2">
      <c r="A4521" s="341"/>
    </row>
    <row r="4522" spans="1:1" x14ac:dyDescent="0.2">
      <c r="A4522" s="341"/>
    </row>
    <row r="4523" spans="1:1" x14ac:dyDescent="0.2">
      <c r="A4523" s="341"/>
    </row>
    <row r="4524" spans="1:1" x14ac:dyDescent="0.2">
      <c r="A4524" s="341"/>
    </row>
    <row r="4525" spans="1:1" x14ac:dyDescent="0.2">
      <c r="A4525" s="341"/>
    </row>
    <row r="4526" spans="1:1" x14ac:dyDescent="0.2">
      <c r="A4526" s="341"/>
    </row>
    <row r="4527" spans="1:1" x14ac:dyDescent="0.2">
      <c r="A4527" s="341"/>
    </row>
    <row r="4528" spans="1:1" x14ac:dyDescent="0.2">
      <c r="A4528" s="341"/>
    </row>
    <row r="4529" spans="1:1" x14ac:dyDescent="0.2">
      <c r="A4529" s="341"/>
    </row>
    <row r="4530" spans="1:1" x14ac:dyDescent="0.2">
      <c r="A4530" s="341"/>
    </row>
    <row r="4531" spans="1:1" x14ac:dyDescent="0.2">
      <c r="A4531" s="341"/>
    </row>
    <row r="4532" spans="1:1" x14ac:dyDescent="0.2">
      <c r="A4532" s="341"/>
    </row>
    <row r="4533" spans="1:1" x14ac:dyDescent="0.2">
      <c r="A4533" s="341"/>
    </row>
    <row r="4534" spans="1:1" x14ac:dyDescent="0.2">
      <c r="A4534" s="341"/>
    </row>
    <row r="4535" spans="1:1" x14ac:dyDescent="0.2">
      <c r="A4535" s="341"/>
    </row>
    <row r="4536" spans="1:1" x14ac:dyDescent="0.2">
      <c r="A4536" s="341"/>
    </row>
    <row r="4537" spans="1:1" x14ac:dyDescent="0.2">
      <c r="A4537" s="341"/>
    </row>
    <row r="4538" spans="1:1" x14ac:dyDescent="0.2">
      <c r="A4538" s="341"/>
    </row>
    <row r="4539" spans="1:1" x14ac:dyDescent="0.2">
      <c r="A4539" s="341"/>
    </row>
    <row r="4540" spans="1:1" x14ac:dyDescent="0.2">
      <c r="A4540" s="341"/>
    </row>
    <row r="4541" spans="1:1" x14ac:dyDescent="0.2">
      <c r="A4541" s="341"/>
    </row>
    <row r="4542" spans="1:1" x14ac:dyDescent="0.2">
      <c r="A4542" s="341"/>
    </row>
    <row r="4543" spans="1:1" x14ac:dyDescent="0.2">
      <c r="A4543" s="341"/>
    </row>
    <row r="4544" spans="1:1" x14ac:dyDescent="0.2">
      <c r="A4544" s="341"/>
    </row>
    <row r="4545" spans="1:1" x14ac:dyDescent="0.2">
      <c r="A4545" s="341"/>
    </row>
    <row r="4546" spans="1:1" x14ac:dyDescent="0.2">
      <c r="A4546" s="341"/>
    </row>
    <row r="4547" spans="1:1" x14ac:dyDescent="0.2">
      <c r="A4547" s="341"/>
    </row>
    <row r="4548" spans="1:1" x14ac:dyDescent="0.2">
      <c r="A4548" s="341"/>
    </row>
    <row r="4549" spans="1:1" x14ac:dyDescent="0.2">
      <c r="A4549" s="341"/>
    </row>
    <row r="4550" spans="1:1" x14ac:dyDescent="0.2">
      <c r="A4550" s="341"/>
    </row>
    <row r="4551" spans="1:1" x14ac:dyDescent="0.2">
      <c r="A4551" s="341"/>
    </row>
    <row r="4552" spans="1:1" x14ac:dyDescent="0.2">
      <c r="A4552" s="341"/>
    </row>
    <row r="4553" spans="1:1" x14ac:dyDescent="0.2">
      <c r="A4553" s="341"/>
    </row>
    <row r="4554" spans="1:1" x14ac:dyDescent="0.2">
      <c r="A4554" s="341"/>
    </row>
    <row r="4555" spans="1:1" x14ac:dyDescent="0.2">
      <c r="A4555" s="341"/>
    </row>
    <row r="4556" spans="1:1" x14ac:dyDescent="0.2">
      <c r="A4556" s="341"/>
    </row>
    <row r="4557" spans="1:1" x14ac:dyDescent="0.2">
      <c r="A4557" s="341"/>
    </row>
    <row r="4558" spans="1:1" x14ac:dyDescent="0.2">
      <c r="A4558" s="341"/>
    </row>
    <row r="4559" spans="1:1" x14ac:dyDescent="0.2">
      <c r="A4559" s="341"/>
    </row>
    <row r="4560" spans="1:1" x14ac:dyDescent="0.2">
      <c r="A4560" s="341"/>
    </row>
    <row r="4561" spans="1:1" x14ac:dyDescent="0.2">
      <c r="A4561" s="341"/>
    </row>
    <row r="4562" spans="1:1" x14ac:dyDescent="0.2">
      <c r="A4562" s="341"/>
    </row>
    <row r="4563" spans="1:1" x14ac:dyDescent="0.2">
      <c r="A4563" s="341"/>
    </row>
    <row r="4564" spans="1:1" x14ac:dyDescent="0.2">
      <c r="A4564" s="341"/>
    </row>
    <row r="4565" spans="1:1" x14ac:dyDescent="0.2">
      <c r="A4565" s="341"/>
    </row>
    <row r="4566" spans="1:1" x14ac:dyDescent="0.2">
      <c r="A4566" s="341"/>
    </row>
    <row r="4567" spans="1:1" x14ac:dyDescent="0.2">
      <c r="A4567" s="341"/>
    </row>
    <row r="4568" spans="1:1" x14ac:dyDescent="0.2">
      <c r="A4568" s="341"/>
    </row>
    <row r="4569" spans="1:1" x14ac:dyDescent="0.2">
      <c r="A4569" s="341"/>
    </row>
    <row r="4570" spans="1:1" x14ac:dyDescent="0.2">
      <c r="A4570" s="341"/>
    </row>
    <row r="4571" spans="1:1" x14ac:dyDescent="0.2">
      <c r="A4571" s="341"/>
    </row>
    <row r="4572" spans="1:1" x14ac:dyDescent="0.2">
      <c r="A4572" s="341"/>
    </row>
    <row r="4573" spans="1:1" x14ac:dyDescent="0.2">
      <c r="A4573" s="341"/>
    </row>
    <row r="4574" spans="1:1" x14ac:dyDescent="0.2">
      <c r="A4574" s="341"/>
    </row>
    <row r="4575" spans="1:1" x14ac:dyDescent="0.2">
      <c r="A4575" s="341"/>
    </row>
    <row r="4576" spans="1:1" x14ac:dyDescent="0.2">
      <c r="A4576" s="341"/>
    </row>
    <row r="4577" spans="1:1" x14ac:dyDescent="0.2">
      <c r="A4577" s="341"/>
    </row>
    <row r="4578" spans="1:1" x14ac:dyDescent="0.2">
      <c r="A4578" s="341"/>
    </row>
    <row r="4579" spans="1:1" x14ac:dyDescent="0.2">
      <c r="A4579" s="341"/>
    </row>
    <row r="4580" spans="1:1" x14ac:dyDescent="0.2">
      <c r="A4580" s="341"/>
    </row>
    <row r="4581" spans="1:1" x14ac:dyDescent="0.2">
      <c r="A4581" s="341"/>
    </row>
    <row r="4582" spans="1:1" x14ac:dyDescent="0.2">
      <c r="A4582" s="341"/>
    </row>
    <row r="4583" spans="1:1" x14ac:dyDescent="0.2">
      <c r="A4583" s="341"/>
    </row>
    <row r="4584" spans="1:1" x14ac:dyDescent="0.2">
      <c r="A4584" s="341"/>
    </row>
    <row r="4585" spans="1:1" x14ac:dyDescent="0.2">
      <c r="A4585" s="341"/>
    </row>
    <row r="4586" spans="1:1" x14ac:dyDescent="0.2">
      <c r="A4586" s="341"/>
    </row>
    <row r="4587" spans="1:1" x14ac:dyDescent="0.2">
      <c r="A4587" s="341"/>
    </row>
    <row r="4588" spans="1:1" x14ac:dyDescent="0.2">
      <c r="A4588" s="341"/>
    </row>
    <row r="4589" spans="1:1" x14ac:dyDescent="0.2">
      <c r="A4589" s="341"/>
    </row>
    <row r="4590" spans="1:1" x14ac:dyDescent="0.2">
      <c r="A4590" s="341"/>
    </row>
    <row r="4591" spans="1:1" x14ac:dyDescent="0.2">
      <c r="A4591" s="341"/>
    </row>
    <row r="4592" spans="1:1" x14ac:dyDescent="0.2">
      <c r="A4592" s="341"/>
    </row>
    <row r="4593" spans="1:1" x14ac:dyDescent="0.2">
      <c r="A4593" s="341"/>
    </row>
    <row r="4594" spans="1:1" x14ac:dyDescent="0.2">
      <c r="A4594" s="341"/>
    </row>
    <row r="4595" spans="1:1" x14ac:dyDescent="0.2">
      <c r="A4595" s="341"/>
    </row>
    <row r="4596" spans="1:1" x14ac:dyDescent="0.2">
      <c r="A4596" s="341"/>
    </row>
    <row r="4597" spans="1:1" x14ac:dyDescent="0.2">
      <c r="A4597" s="341"/>
    </row>
    <row r="4598" spans="1:1" x14ac:dyDescent="0.2">
      <c r="A4598" s="341"/>
    </row>
    <row r="4599" spans="1:1" x14ac:dyDescent="0.2">
      <c r="A4599" s="341"/>
    </row>
    <row r="4600" spans="1:1" x14ac:dyDescent="0.2">
      <c r="A4600" s="341"/>
    </row>
    <row r="4601" spans="1:1" x14ac:dyDescent="0.2">
      <c r="A4601" s="341"/>
    </row>
    <row r="4602" spans="1:1" x14ac:dyDescent="0.2">
      <c r="A4602" s="341"/>
    </row>
    <row r="4603" spans="1:1" x14ac:dyDescent="0.2">
      <c r="A4603" s="341"/>
    </row>
    <row r="4604" spans="1:1" x14ac:dyDescent="0.2">
      <c r="A4604" s="341"/>
    </row>
    <row r="4605" spans="1:1" x14ac:dyDescent="0.2">
      <c r="A4605" s="341"/>
    </row>
    <row r="4606" spans="1:1" x14ac:dyDescent="0.2">
      <c r="A4606" s="341"/>
    </row>
    <row r="4607" spans="1:1" x14ac:dyDescent="0.2">
      <c r="A4607" s="341"/>
    </row>
    <row r="4608" spans="1:1" x14ac:dyDescent="0.2">
      <c r="A4608" s="341"/>
    </row>
    <row r="4609" spans="1:1" x14ac:dyDescent="0.2">
      <c r="A4609" s="341"/>
    </row>
    <row r="4610" spans="1:1" x14ac:dyDescent="0.2">
      <c r="A4610" s="341"/>
    </row>
    <row r="4611" spans="1:1" x14ac:dyDescent="0.2">
      <c r="A4611" s="341"/>
    </row>
    <row r="4612" spans="1:1" x14ac:dyDescent="0.2">
      <c r="A4612" s="341"/>
    </row>
    <row r="4613" spans="1:1" x14ac:dyDescent="0.2">
      <c r="A4613" s="341"/>
    </row>
    <row r="4614" spans="1:1" x14ac:dyDescent="0.2">
      <c r="A4614" s="341"/>
    </row>
    <row r="4615" spans="1:1" x14ac:dyDescent="0.2">
      <c r="A4615" s="341"/>
    </row>
    <row r="4616" spans="1:1" x14ac:dyDescent="0.2">
      <c r="A4616" s="341"/>
    </row>
    <row r="4617" spans="1:1" x14ac:dyDescent="0.2">
      <c r="A4617" s="341"/>
    </row>
    <row r="4618" spans="1:1" x14ac:dyDescent="0.2">
      <c r="A4618" s="341"/>
    </row>
    <row r="4619" spans="1:1" x14ac:dyDescent="0.2">
      <c r="A4619" s="341"/>
    </row>
    <row r="4620" spans="1:1" x14ac:dyDescent="0.2">
      <c r="A4620" s="341"/>
    </row>
    <row r="4621" spans="1:1" x14ac:dyDescent="0.2">
      <c r="A4621" s="341"/>
    </row>
    <row r="4622" spans="1:1" x14ac:dyDescent="0.2">
      <c r="A4622" s="341"/>
    </row>
    <row r="4623" spans="1:1" x14ac:dyDescent="0.2">
      <c r="A4623" s="341"/>
    </row>
    <row r="4624" spans="1:1" x14ac:dyDescent="0.2">
      <c r="A4624" s="341"/>
    </row>
    <row r="4625" spans="1:1" x14ac:dyDescent="0.2">
      <c r="A4625" s="341"/>
    </row>
    <row r="4626" spans="1:1" x14ac:dyDescent="0.2">
      <c r="A4626" s="341"/>
    </row>
    <row r="4627" spans="1:1" x14ac:dyDescent="0.2">
      <c r="A4627" s="341"/>
    </row>
    <row r="4628" spans="1:1" x14ac:dyDescent="0.2">
      <c r="A4628" s="341"/>
    </row>
    <row r="4629" spans="1:1" x14ac:dyDescent="0.2">
      <c r="A4629" s="341"/>
    </row>
    <row r="4630" spans="1:1" x14ac:dyDescent="0.2">
      <c r="A4630" s="341"/>
    </row>
    <row r="4631" spans="1:1" x14ac:dyDescent="0.2">
      <c r="A4631" s="341"/>
    </row>
    <row r="4632" spans="1:1" x14ac:dyDescent="0.2">
      <c r="A4632" s="341"/>
    </row>
    <row r="4633" spans="1:1" x14ac:dyDescent="0.2">
      <c r="A4633" s="341"/>
    </row>
    <row r="4634" spans="1:1" x14ac:dyDescent="0.2">
      <c r="A4634" s="341"/>
    </row>
    <row r="4635" spans="1:1" x14ac:dyDescent="0.2">
      <c r="A4635" s="341"/>
    </row>
    <row r="4636" spans="1:1" x14ac:dyDescent="0.2">
      <c r="A4636" s="341"/>
    </row>
    <row r="4637" spans="1:1" x14ac:dyDescent="0.2">
      <c r="A4637" s="341"/>
    </row>
    <row r="4638" spans="1:1" x14ac:dyDescent="0.2">
      <c r="A4638" s="341"/>
    </row>
    <row r="4639" spans="1:1" x14ac:dyDescent="0.2">
      <c r="A4639" s="341"/>
    </row>
    <row r="4640" spans="1:1" x14ac:dyDescent="0.2">
      <c r="A4640" s="341"/>
    </row>
    <row r="4641" spans="1:1" x14ac:dyDescent="0.2">
      <c r="A4641" s="341"/>
    </row>
    <row r="4642" spans="1:1" x14ac:dyDescent="0.2">
      <c r="A4642" s="341"/>
    </row>
    <row r="4643" spans="1:1" x14ac:dyDescent="0.2">
      <c r="A4643" s="341"/>
    </row>
    <row r="4644" spans="1:1" x14ac:dyDescent="0.2">
      <c r="A4644" s="341"/>
    </row>
    <row r="4645" spans="1:1" x14ac:dyDescent="0.2">
      <c r="A4645" s="341"/>
    </row>
    <row r="4646" spans="1:1" x14ac:dyDescent="0.2">
      <c r="A4646" s="341"/>
    </row>
    <row r="4647" spans="1:1" x14ac:dyDescent="0.2">
      <c r="A4647" s="341"/>
    </row>
    <row r="4648" spans="1:1" x14ac:dyDescent="0.2">
      <c r="A4648" s="341"/>
    </row>
    <row r="4649" spans="1:1" x14ac:dyDescent="0.2">
      <c r="A4649" s="341"/>
    </row>
    <row r="4650" spans="1:1" x14ac:dyDescent="0.2">
      <c r="A4650" s="341"/>
    </row>
    <row r="4651" spans="1:1" x14ac:dyDescent="0.2">
      <c r="A4651" s="341"/>
    </row>
    <row r="4652" spans="1:1" x14ac:dyDescent="0.2">
      <c r="A4652" s="341"/>
    </row>
    <row r="4653" spans="1:1" x14ac:dyDescent="0.2">
      <c r="A4653" s="341"/>
    </row>
    <row r="4654" spans="1:1" x14ac:dyDescent="0.2">
      <c r="A4654" s="341"/>
    </row>
    <row r="4655" spans="1:1" x14ac:dyDescent="0.2">
      <c r="A4655" s="341"/>
    </row>
    <row r="4656" spans="1:1" x14ac:dyDescent="0.2">
      <c r="A4656" s="341"/>
    </row>
    <row r="4657" spans="1:1" x14ac:dyDescent="0.2">
      <c r="A4657" s="341"/>
    </row>
    <row r="4658" spans="1:1" x14ac:dyDescent="0.2">
      <c r="A4658" s="341"/>
    </row>
    <row r="4659" spans="1:1" x14ac:dyDescent="0.2">
      <c r="A4659" s="341"/>
    </row>
    <row r="4660" spans="1:1" x14ac:dyDescent="0.2">
      <c r="A4660" s="341"/>
    </row>
    <row r="4661" spans="1:1" x14ac:dyDescent="0.2">
      <c r="A4661" s="341"/>
    </row>
    <row r="4662" spans="1:1" x14ac:dyDescent="0.2">
      <c r="A4662" s="341"/>
    </row>
    <row r="4663" spans="1:1" x14ac:dyDescent="0.2">
      <c r="A4663" s="341"/>
    </row>
    <row r="4664" spans="1:1" x14ac:dyDescent="0.2">
      <c r="A4664" s="341"/>
    </row>
    <row r="4665" spans="1:1" x14ac:dyDescent="0.2">
      <c r="A4665" s="341"/>
    </row>
    <row r="4666" spans="1:1" x14ac:dyDescent="0.2">
      <c r="A4666" s="341"/>
    </row>
    <row r="4667" spans="1:1" x14ac:dyDescent="0.2">
      <c r="A4667" s="341"/>
    </row>
    <row r="4668" spans="1:1" x14ac:dyDescent="0.2">
      <c r="A4668" s="341"/>
    </row>
    <row r="4669" spans="1:1" x14ac:dyDescent="0.2">
      <c r="A4669" s="341"/>
    </row>
    <row r="4670" spans="1:1" x14ac:dyDescent="0.2">
      <c r="A4670" s="341"/>
    </row>
    <row r="4671" spans="1:1" x14ac:dyDescent="0.2">
      <c r="A4671" s="341"/>
    </row>
    <row r="4672" spans="1:1" x14ac:dyDescent="0.2">
      <c r="A4672" s="341"/>
    </row>
    <row r="4673" spans="1:1" x14ac:dyDescent="0.2">
      <c r="A4673" s="341"/>
    </row>
    <row r="4674" spans="1:1" x14ac:dyDescent="0.2">
      <c r="A4674" s="341"/>
    </row>
    <row r="4675" spans="1:1" x14ac:dyDescent="0.2">
      <c r="A4675" s="341"/>
    </row>
    <row r="4676" spans="1:1" x14ac:dyDescent="0.2">
      <c r="A4676" s="341"/>
    </row>
    <row r="4677" spans="1:1" x14ac:dyDescent="0.2">
      <c r="A4677" s="341"/>
    </row>
    <row r="4678" spans="1:1" x14ac:dyDescent="0.2">
      <c r="A4678" s="341"/>
    </row>
    <row r="4679" spans="1:1" x14ac:dyDescent="0.2">
      <c r="A4679" s="341"/>
    </row>
    <row r="4680" spans="1:1" x14ac:dyDescent="0.2">
      <c r="A4680" s="341"/>
    </row>
    <row r="4681" spans="1:1" x14ac:dyDescent="0.2">
      <c r="A4681" s="341"/>
    </row>
    <row r="4682" spans="1:1" x14ac:dyDescent="0.2">
      <c r="A4682" s="341"/>
    </row>
    <row r="4683" spans="1:1" x14ac:dyDescent="0.2">
      <c r="A4683" s="341"/>
    </row>
    <row r="4684" spans="1:1" x14ac:dyDescent="0.2">
      <c r="A4684" s="341"/>
    </row>
    <row r="4685" spans="1:1" x14ac:dyDescent="0.2">
      <c r="A4685" s="341"/>
    </row>
    <row r="4686" spans="1:1" x14ac:dyDescent="0.2">
      <c r="A4686" s="341"/>
    </row>
    <row r="4687" spans="1:1" x14ac:dyDescent="0.2">
      <c r="A4687" s="341"/>
    </row>
    <row r="4688" spans="1:1" x14ac:dyDescent="0.2">
      <c r="A4688" s="341"/>
    </row>
    <row r="4689" spans="1:1" x14ac:dyDescent="0.2">
      <c r="A4689" s="341"/>
    </row>
    <row r="4690" spans="1:1" x14ac:dyDescent="0.2">
      <c r="A4690" s="341"/>
    </row>
    <row r="4691" spans="1:1" x14ac:dyDescent="0.2">
      <c r="A4691" s="341"/>
    </row>
    <row r="4692" spans="1:1" x14ac:dyDescent="0.2">
      <c r="A4692" s="341"/>
    </row>
    <row r="4693" spans="1:1" x14ac:dyDescent="0.2">
      <c r="A4693" s="341"/>
    </row>
    <row r="4694" spans="1:1" x14ac:dyDescent="0.2">
      <c r="A4694" s="341"/>
    </row>
    <row r="4695" spans="1:1" x14ac:dyDescent="0.2">
      <c r="A4695" s="341"/>
    </row>
    <row r="4696" spans="1:1" x14ac:dyDescent="0.2">
      <c r="A4696" s="341"/>
    </row>
    <row r="4697" spans="1:1" x14ac:dyDescent="0.2">
      <c r="A4697" s="341"/>
    </row>
    <row r="4698" spans="1:1" x14ac:dyDescent="0.2">
      <c r="A4698" s="341"/>
    </row>
    <row r="4699" spans="1:1" x14ac:dyDescent="0.2">
      <c r="A4699" s="341"/>
    </row>
    <row r="4700" spans="1:1" x14ac:dyDescent="0.2">
      <c r="A4700" s="341"/>
    </row>
    <row r="4701" spans="1:1" x14ac:dyDescent="0.2">
      <c r="A4701" s="341"/>
    </row>
    <row r="4702" spans="1:1" x14ac:dyDescent="0.2">
      <c r="A4702" s="341"/>
    </row>
    <row r="4703" spans="1:1" x14ac:dyDescent="0.2">
      <c r="A4703" s="341"/>
    </row>
    <row r="4704" spans="1:1" x14ac:dyDescent="0.2">
      <c r="A4704" s="341"/>
    </row>
    <row r="4705" spans="1:1" x14ac:dyDescent="0.2">
      <c r="A4705" s="341"/>
    </row>
    <row r="4706" spans="1:1" x14ac:dyDescent="0.2">
      <c r="A4706" s="341"/>
    </row>
    <row r="4707" spans="1:1" x14ac:dyDescent="0.2">
      <c r="A4707" s="341"/>
    </row>
    <row r="4708" spans="1:1" x14ac:dyDescent="0.2">
      <c r="A4708" s="341"/>
    </row>
    <row r="4709" spans="1:1" x14ac:dyDescent="0.2">
      <c r="A4709" s="341"/>
    </row>
    <row r="4710" spans="1:1" x14ac:dyDescent="0.2">
      <c r="A4710" s="341"/>
    </row>
    <row r="4711" spans="1:1" x14ac:dyDescent="0.2">
      <c r="A4711" s="341"/>
    </row>
    <row r="4712" spans="1:1" x14ac:dyDescent="0.2">
      <c r="A4712" s="341"/>
    </row>
    <row r="4713" spans="1:1" x14ac:dyDescent="0.2">
      <c r="A4713" s="341"/>
    </row>
    <row r="4714" spans="1:1" x14ac:dyDescent="0.2">
      <c r="A4714" s="341"/>
    </row>
    <row r="4715" spans="1:1" x14ac:dyDescent="0.2">
      <c r="A4715" s="341"/>
    </row>
    <row r="4716" spans="1:1" x14ac:dyDescent="0.2">
      <c r="A4716" s="341"/>
    </row>
    <row r="4717" spans="1:1" x14ac:dyDescent="0.2">
      <c r="A4717" s="341"/>
    </row>
    <row r="4718" spans="1:1" x14ac:dyDescent="0.2">
      <c r="A4718" s="341"/>
    </row>
    <row r="4719" spans="1:1" x14ac:dyDescent="0.2">
      <c r="A4719" s="341"/>
    </row>
    <row r="4720" spans="1:1" x14ac:dyDescent="0.2">
      <c r="A4720" s="341"/>
    </row>
    <row r="4721" spans="1:1" x14ac:dyDescent="0.2">
      <c r="A4721" s="341"/>
    </row>
    <row r="4722" spans="1:1" x14ac:dyDescent="0.2">
      <c r="A4722" s="341"/>
    </row>
    <row r="4723" spans="1:1" x14ac:dyDescent="0.2">
      <c r="A4723" s="341"/>
    </row>
    <row r="4724" spans="1:1" x14ac:dyDescent="0.2">
      <c r="A4724" s="341"/>
    </row>
    <row r="4725" spans="1:1" x14ac:dyDescent="0.2">
      <c r="A4725" s="341"/>
    </row>
    <row r="4726" spans="1:1" x14ac:dyDescent="0.2">
      <c r="A4726" s="341"/>
    </row>
    <row r="4727" spans="1:1" x14ac:dyDescent="0.2">
      <c r="A4727" s="341"/>
    </row>
    <row r="4728" spans="1:1" x14ac:dyDescent="0.2">
      <c r="A4728" s="341"/>
    </row>
    <row r="4729" spans="1:1" x14ac:dyDescent="0.2">
      <c r="A4729" s="341"/>
    </row>
    <row r="4730" spans="1:1" x14ac:dyDescent="0.2">
      <c r="A4730" s="341"/>
    </row>
    <row r="4731" spans="1:1" x14ac:dyDescent="0.2">
      <c r="A4731" s="341"/>
    </row>
    <row r="4732" spans="1:1" x14ac:dyDescent="0.2">
      <c r="A4732" s="341"/>
    </row>
    <row r="4733" spans="1:1" x14ac:dyDescent="0.2">
      <c r="A4733" s="341"/>
    </row>
    <row r="4734" spans="1:1" x14ac:dyDescent="0.2">
      <c r="A4734" s="341"/>
    </row>
    <row r="4735" spans="1:1" x14ac:dyDescent="0.2">
      <c r="A4735" s="341"/>
    </row>
    <row r="4736" spans="1:1" x14ac:dyDescent="0.2">
      <c r="A4736" s="341"/>
    </row>
    <row r="4737" spans="1:1" x14ac:dyDescent="0.2">
      <c r="A4737" s="341"/>
    </row>
    <row r="4738" spans="1:1" x14ac:dyDescent="0.2">
      <c r="A4738" s="341"/>
    </row>
    <row r="4739" spans="1:1" x14ac:dyDescent="0.2">
      <c r="A4739" s="341"/>
    </row>
    <row r="4740" spans="1:1" x14ac:dyDescent="0.2">
      <c r="A4740" s="341"/>
    </row>
    <row r="4741" spans="1:1" x14ac:dyDescent="0.2">
      <c r="A4741" s="341"/>
    </row>
    <row r="4742" spans="1:1" x14ac:dyDescent="0.2">
      <c r="A4742" s="341"/>
    </row>
    <row r="4743" spans="1:1" x14ac:dyDescent="0.2">
      <c r="A4743" s="341"/>
    </row>
    <row r="4744" spans="1:1" x14ac:dyDescent="0.2">
      <c r="A4744" s="341"/>
    </row>
    <row r="4745" spans="1:1" x14ac:dyDescent="0.2">
      <c r="A4745" s="341"/>
    </row>
    <row r="4746" spans="1:1" x14ac:dyDescent="0.2">
      <c r="A4746" s="341"/>
    </row>
    <row r="4747" spans="1:1" x14ac:dyDescent="0.2">
      <c r="A4747" s="341"/>
    </row>
    <row r="4748" spans="1:1" x14ac:dyDescent="0.2">
      <c r="A4748" s="341"/>
    </row>
    <row r="4749" spans="1:1" x14ac:dyDescent="0.2">
      <c r="A4749" s="341"/>
    </row>
    <row r="4750" spans="1:1" x14ac:dyDescent="0.2">
      <c r="A4750" s="341"/>
    </row>
    <row r="4751" spans="1:1" x14ac:dyDescent="0.2">
      <c r="A4751" s="341"/>
    </row>
    <row r="4752" spans="1:1" x14ac:dyDescent="0.2">
      <c r="A4752" s="341"/>
    </row>
    <row r="4753" spans="1:1" x14ac:dyDescent="0.2">
      <c r="A4753" s="341"/>
    </row>
    <row r="4754" spans="1:1" x14ac:dyDescent="0.2">
      <c r="A4754" s="341"/>
    </row>
    <row r="4755" spans="1:1" x14ac:dyDescent="0.2">
      <c r="A4755" s="341"/>
    </row>
    <row r="4756" spans="1:1" x14ac:dyDescent="0.2">
      <c r="A4756" s="341"/>
    </row>
    <row r="4757" spans="1:1" x14ac:dyDescent="0.2">
      <c r="A4757" s="341"/>
    </row>
    <row r="4758" spans="1:1" x14ac:dyDescent="0.2">
      <c r="A4758" s="341"/>
    </row>
    <row r="4759" spans="1:1" x14ac:dyDescent="0.2">
      <c r="A4759" s="341"/>
    </row>
    <row r="4760" spans="1:1" x14ac:dyDescent="0.2">
      <c r="A4760" s="341"/>
    </row>
    <row r="4761" spans="1:1" x14ac:dyDescent="0.2">
      <c r="A4761" s="341"/>
    </row>
    <row r="4762" spans="1:1" x14ac:dyDescent="0.2">
      <c r="A4762" s="341"/>
    </row>
    <row r="4763" spans="1:1" x14ac:dyDescent="0.2">
      <c r="A4763" s="341"/>
    </row>
    <row r="4764" spans="1:1" x14ac:dyDescent="0.2">
      <c r="A4764" s="341"/>
    </row>
    <row r="4765" spans="1:1" x14ac:dyDescent="0.2">
      <c r="A4765" s="341"/>
    </row>
    <row r="4766" spans="1:1" x14ac:dyDescent="0.2">
      <c r="A4766" s="341"/>
    </row>
    <row r="4767" spans="1:1" x14ac:dyDescent="0.2">
      <c r="A4767" s="341"/>
    </row>
    <row r="4768" spans="1:1" x14ac:dyDescent="0.2">
      <c r="A4768" s="341"/>
    </row>
    <row r="4769" spans="1:1" x14ac:dyDescent="0.2">
      <c r="A4769" s="341"/>
    </row>
    <row r="4770" spans="1:1" x14ac:dyDescent="0.2">
      <c r="A4770" s="341"/>
    </row>
    <row r="4771" spans="1:1" x14ac:dyDescent="0.2">
      <c r="A4771" s="341"/>
    </row>
    <row r="4772" spans="1:1" x14ac:dyDescent="0.2">
      <c r="A4772" s="341"/>
    </row>
    <row r="4773" spans="1:1" x14ac:dyDescent="0.2">
      <c r="A4773" s="341"/>
    </row>
    <row r="4774" spans="1:1" x14ac:dyDescent="0.2">
      <c r="A4774" s="341"/>
    </row>
    <row r="4775" spans="1:1" x14ac:dyDescent="0.2">
      <c r="A4775" s="341"/>
    </row>
    <row r="4776" spans="1:1" x14ac:dyDescent="0.2">
      <c r="A4776" s="341"/>
    </row>
    <row r="4777" spans="1:1" x14ac:dyDescent="0.2">
      <c r="A4777" s="341"/>
    </row>
    <row r="4778" spans="1:1" x14ac:dyDescent="0.2">
      <c r="A4778" s="341"/>
    </row>
    <row r="4779" spans="1:1" x14ac:dyDescent="0.2">
      <c r="A4779" s="341"/>
    </row>
    <row r="4780" spans="1:1" x14ac:dyDescent="0.2">
      <c r="A4780" s="341"/>
    </row>
    <row r="4781" spans="1:1" x14ac:dyDescent="0.2">
      <c r="A4781" s="341"/>
    </row>
    <row r="4782" spans="1:1" x14ac:dyDescent="0.2">
      <c r="A4782" s="341"/>
    </row>
    <row r="4783" spans="1:1" x14ac:dyDescent="0.2">
      <c r="A4783" s="341"/>
    </row>
    <row r="4784" spans="1:1" x14ac:dyDescent="0.2">
      <c r="A4784" s="341"/>
    </row>
    <row r="4785" spans="1:1" x14ac:dyDescent="0.2">
      <c r="A4785" s="341"/>
    </row>
    <row r="4786" spans="1:1" x14ac:dyDescent="0.2">
      <c r="A4786" s="341"/>
    </row>
    <row r="4787" spans="1:1" x14ac:dyDescent="0.2">
      <c r="A4787" s="341"/>
    </row>
    <row r="4788" spans="1:1" x14ac:dyDescent="0.2">
      <c r="A4788" s="341"/>
    </row>
    <row r="4789" spans="1:1" x14ac:dyDescent="0.2">
      <c r="A4789" s="341"/>
    </row>
    <row r="4790" spans="1:1" x14ac:dyDescent="0.2">
      <c r="A4790" s="341"/>
    </row>
    <row r="4791" spans="1:1" x14ac:dyDescent="0.2">
      <c r="A4791" s="341"/>
    </row>
    <row r="4792" spans="1:1" x14ac:dyDescent="0.2">
      <c r="A4792" s="341"/>
    </row>
    <row r="4793" spans="1:1" x14ac:dyDescent="0.2">
      <c r="A4793" s="341"/>
    </row>
    <row r="4794" spans="1:1" x14ac:dyDescent="0.2">
      <c r="A4794" s="341"/>
    </row>
    <row r="4795" spans="1:1" x14ac:dyDescent="0.2">
      <c r="A4795" s="341"/>
    </row>
    <row r="4796" spans="1:1" x14ac:dyDescent="0.2">
      <c r="A4796" s="341"/>
    </row>
    <row r="4797" spans="1:1" x14ac:dyDescent="0.2">
      <c r="A4797" s="341"/>
    </row>
    <row r="4798" spans="1:1" x14ac:dyDescent="0.2">
      <c r="A4798" s="341"/>
    </row>
    <row r="4799" spans="1:1" x14ac:dyDescent="0.2">
      <c r="A4799" s="341"/>
    </row>
    <row r="4800" spans="1:1" x14ac:dyDescent="0.2">
      <c r="A4800" s="341"/>
    </row>
    <row r="4801" spans="1:1" x14ac:dyDescent="0.2">
      <c r="A4801" s="341"/>
    </row>
    <row r="4802" spans="1:1" x14ac:dyDescent="0.2">
      <c r="A4802" s="341"/>
    </row>
    <row r="4803" spans="1:1" x14ac:dyDescent="0.2">
      <c r="A4803" s="341"/>
    </row>
    <row r="4804" spans="1:1" x14ac:dyDescent="0.2">
      <c r="A4804" s="341"/>
    </row>
    <row r="4805" spans="1:1" x14ac:dyDescent="0.2">
      <c r="A4805" s="341"/>
    </row>
    <row r="4806" spans="1:1" x14ac:dyDescent="0.2">
      <c r="A4806" s="341"/>
    </row>
    <row r="4807" spans="1:1" x14ac:dyDescent="0.2">
      <c r="A4807" s="341"/>
    </row>
    <row r="4808" spans="1:1" x14ac:dyDescent="0.2">
      <c r="A4808" s="341"/>
    </row>
    <row r="4809" spans="1:1" x14ac:dyDescent="0.2">
      <c r="A4809" s="341"/>
    </row>
    <row r="4810" spans="1:1" x14ac:dyDescent="0.2">
      <c r="A4810" s="341"/>
    </row>
    <row r="4811" spans="1:1" x14ac:dyDescent="0.2">
      <c r="A4811" s="341"/>
    </row>
    <row r="4812" spans="1:1" x14ac:dyDescent="0.2">
      <c r="A4812" s="341"/>
    </row>
    <row r="4813" spans="1:1" x14ac:dyDescent="0.2">
      <c r="A4813" s="341"/>
    </row>
    <row r="4814" spans="1:1" x14ac:dyDescent="0.2">
      <c r="A4814" s="341"/>
    </row>
    <row r="4815" spans="1:1" x14ac:dyDescent="0.2">
      <c r="A4815" s="341"/>
    </row>
    <row r="4816" spans="1:1" x14ac:dyDescent="0.2">
      <c r="A4816" s="341"/>
    </row>
    <row r="4817" spans="1:1" x14ac:dyDescent="0.2">
      <c r="A4817" s="341"/>
    </row>
    <row r="4818" spans="1:1" x14ac:dyDescent="0.2">
      <c r="A4818" s="341"/>
    </row>
    <row r="4819" spans="1:1" x14ac:dyDescent="0.2">
      <c r="A4819" s="341"/>
    </row>
    <row r="4820" spans="1:1" x14ac:dyDescent="0.2">
      <c r="A4820" s="341"/>
    </row>
    <row r="4821" spans="1:1" x14ac:dyDescent="0.2">
      <c r="A4821" s="341"/>
    </row>
    <row r="4822" spans="1:1" x14ac:dyDescent="0.2">
      <c r="A4822" s="341"/>
    </row>
    <row r="4823" spans="1:1" x14ac:dyDescent="0.2">
      <c r="A4823" s="341"/>
    </row>
    <row r="4824" spans="1:1" x14ac:dyDescent="0.2">
      <c r="A4824" s="341"/>
    </row>
    <row r="4825" spans="1:1" x14ac:dyDescent="0.2">
      <c r="A4825" s="341"/>
    </row>
    <row r="4826" spans="1:1" x14ac:dyDescent="0.2">
      <c r="A4826" s="341"/>
    </row>
    <row r="4827" spans="1:1" x14ac:dyDescent="0.2">
      <c r="A4827" s="341"/>
    </row>
    <row r="4828" spans="1:1" x14ac:dyDescent="0.2">
      <c r="A4828" s="341"/>
    </row>
    <row r="4829" spans="1:1" x14ac:dyDescent="0.2">
      <c r="A4829" s="341"/>
    </row>
    <row r="4830" spans="1:1" x14ac:dyDescent="0.2">
      <c r="A4830" s="341"/>
    </row>
    <row r="4831" spans="1:1" x14ac:dyDescent="0.2">
      <c r="A4831" s="341"/>
    </row>
    <row r="4832" spans="1:1" x14ac:dyDescent="0.2">
      <c r="A4832" s="341"/>
    </row>
    <row r="4833" spans="1:1" x14ac:dyDescent="0.2">
      <c r="A4833" s="341"/>
    </row>
    <row r="4834" spans="1:1" x14ac:dyDescent="0.2">
      <c r="A4834" s="341"/>
    </row>
    <row r="4835" spans="1:1" x14ac:dyDescent="0.2">
      <c r="A4835" s="341"/>
    </row>
    <row r="4836" spans="1:1" x14ac:dyDescent="0.2">
      <c r="A4836" s="341"/>
    </row>
    <row r="4837" spans="1:1" x14ac:dyDescent="0.2">
      <c r="A4837" s="341"/>
    </row>
    <row r="4838" spans="1:1" x14ac:dyDescent="0.2">
      <c r="A4838" s="341"/>
    </row>
    <row r="4839" spans="1:1" x14ac:dyDescent="0.2">
      <c r="A4839" s="341"/>
    </row>
    <row r="4840" spans="1:1" x14ac:dyDescent="0.2">
      <c r="A4840" s="341"/>
    </row>
    <row r="4841" spans="1:1" x14ac:dyDescent="0.2">
      <c r="A4841" s="341"/>
    </row>
    <row r="4842" spans="1:1" x14ac:dyDescent="0.2">
      <c r="A4842" s="341"/>
    </row>
    <row r="4843" spans="1:1" x14ac:dyDescent="0.2">
      <c r="A4843" s="341"/>
    </row>
    <row r="4844" spans="1:1" x14ac:dyDescent="0.2">
      <c r="A4844" s="341"/>
    </row>
    <row r="4845" spans="1:1" x14ac:dyDescent="0.2">
      <c r="A4845" s="341"/>
    </row>
    <row r="4846" spans="1:1" x14ac:dyDescent="0.2">
      <c r="A4846" s="341"/>
    </row>
    <row r="4847" spans="1:1" x14ac:dyDescent="0.2">
      <c r="A4847" s="341"/>
    </row>
    <row r="4848" spans="1:1" x14ac:dyDescent="0.2">
      <c r="A4848" s="341"/>
    </row>
    <row r="4849" spans="1:1" x14ac:dyDescent="0.2">
      <c r="A4849" s="341"/>
    </row>
    <row r="4850" spans="1:1" x14ac:dyDescent="0.2">
      <c r="A4850" s="341"/>
    </row>
    <row r="4851" spans="1:1" x14ac:dyDescent="0.2">
      <c r="A4851" s="341"/>
    </row>
    <row r="4852" spans="1:1" x14ac:dyDescent="0.2">
      <c r="A4852" s="341"/>
    </row>
    <row r="4853" spans="1:1" x14ac:dyDescent="0.2">
      <c r="A4853" s="341"/>
    </row>
    <row r="4854" spans="1:1" x14ac:dyDescent="0.2">
      <c r="A4854" s="341"/>
    </row>
    <row r="4855" spans="1:1" x14ac:dyDescent="0.2">
      <c r="A4855" s="341"/>
    </row>
    <row r="4856" spans="1:1" x14ac:dyDescent="0.2">
      <c r="A4856" s="341"/>
    </row>
    <row r="4857" spans="1:1" x14ac:dyDescent="0.2">
      <c r="A4857" s="341"/>
    </row>
    <row r="4858" spans="1:1" x14ac:dyDescent="0.2">
      <c r="A4858" s="341"/>
    </row>
    <row r="4859" spans="1:1" x14ac:dyDescent="0.2">
      <c r="A4859" s="341"/>
    </row>
    <row r="4860" spans="1:1" x14ac:dyDescent="0.2">
      <c r="A4860" s="341"/>
    </row>
    <row r="4861" spans="1:1" x14ac:dyDescent="0.2">
      <c r="A4861" s="341"/>
    </row>
    <row r="4862" spans="1:1" x14ac:dyDescent="0.2">
      <c r="A4862" s="341"/>
    </row>
    <row r="4863" spans="1:1" x14ac:dyDescent="0.2">
      <c r="A4863" s="341"/>
    </row>
    <row r="4864" spans="1:1" x14ac:dyDescent="0.2">
      <c r="A4864" s="341"/>
    </row>
    <row r="4865" spans="1:1" x14ac:dyDescent="0.2">
      <c r="A4865" s="341"/>
    </row>
    <row r="4866" spans="1:1" x14ac:dyDescent="0.2">
      <c r="A4866" s="341"/>
    </row>
    <row r="4867" spans="1:1" x14ac:dyDescent="0.2">
      <c r="A4867" s="341"/>
    </row>
    <row r="4868" spans="1:1" x14ac:dyDescent="0.2">
      <c r="A4868" s="341"/>
    </row>
    <row r="4869" spans="1:1" x14ac:dyDescent="0.2">
      <c r="A4869" s="341"/>
    </row>
    <row r="4870" spans="1:1" x14ac:dyDescent="0.2">
      <c r="A4870" s="341"/>
    </row>
    <row r="4871" spans="1:1" x14ac:dyDescent="0.2">
      <c r="A4871" s="341"/>
    </row>
    <row r="4872" spans="1:1" x14ac:dyDescent="0.2">
      <c r="A4872" s="341"/>
    </row>
    <row r="4873" spans="1:1" x14ac:dyDescent="0.2">
      <c r="A4873" s="341"/>
    </row>
    <row r="4874" spans="1:1" x14ac:dyDescent="0.2">
      <c r="A4874" s="341"/>
    </row>
    <row r="4875" spans="1:1" x14ac:dyDescent="0.2">
      <c r="A4875" s="341"/>
    </row>
    <row r="4876" spans="1:1" x14ac:dyDescent="0.2">
      <c r="A4876" s="341"/>
    </row>
    <row r="4877" spans="1:1" x14ac:dyDescent="0.2">
      <c r="A4877" s="341"/>
    </row>
    <row r="4878" spans="1:1" x14ac:dyDescent="0.2">
      <c r="A4878" s="341"/>
    </row>
    <row r="4879" spans="1:1" x14ac:dyDescent="0.2">
      <c r="A4879" s="341"/>
    </row>
    <row r="4880" spans="1:1" x14ac:dyDescent="0.2">
      <c r="A4880" s="341"/>
    </row>
    <row r="4881" spans="1:1" x14ac:dyDescent="0.2">
      <c r="A4881" s="341"/>
    </row>
    <row r="4882" spans="1:1" x14ac:dyDescent="0.2">
      <c r="A4882" s="341"/>
    </row>
    <row r="4883" spans="1:1" x14ac:dyDescent="0.2">
      <c r="A4883" s="341"/>
    </row>
    <row r="4884" spans="1:1" x14ac:dyDescent="0.2">
      <c r="A4884" s="341"/>
    </row>
    <row r="4885" spans="1:1" x14ac:dyDescent="0.2">
      <c r="A4885" s="341"/>
    </row>
    <row r="4886" spans="1:1" x14ac:dyDescent="0.2">
      <c r="A4886" s="341"/>
    </row>
    <row r="4887" spans="1:1" x14ac:dyDescent="0.2">
      <c r="A4887" s="341"/>
    </row>
    <row r="4888" spans="1:1" x14ac:dyDescent="0.2">
      <c r="A4888" s="341"/>
    </row>
    <row r="4889" spans="1:1" x14ac:dyDescent="0.2">
      <c r="A4889" s="341"/>
    </row>
    <row r="4890" spans="1:1" x14ac:dyDescent="0.2">
      <c r="A4890" s="341"/>
    </row>
    <row r="4891" spans="1:1" x14ac:dyDescent="0.2">
      <c r="A4891" s="341"/>
    </row>
    <row r="4892" spans="1:1" x14ac:dyDescent="0.2">
      <c r="A4892" s="341"/>
    </row>
    <row r="4893" spans="1:1" x14ac:dyDescent="0.2">
      <c r="A4893" s="341"/>
    </row>
    <row r="4894" spans="1:1" x14ac:dyDescent="0.2">
      <c r="A4894" s="341"/>
    </row>
    <row r="4895" spans="1:1" x14ac:dyDescent="0.2">
      <c r="A4895" s="341"/>
    </row>
    <row r="4896" spans="1:1" x14ac:dyDescent="0.2">
      <c r="A4896" s="341"/>
    </row>
    <row r="4897" spans="1:1" x14ac:dyDescent="0.2">
      <c r="A4897" s="341"/>
    </row>
    <row r="4898" spans="1:1" x14ac:dyDescent="0.2">
      <c r="A4898" s="341"/>
    </row>
    <row r="4899" spans="1:1" x14ac:dyDescent="0.2">
      <c r="A4899" s="341"/>
    </row>
    <row r="4900" spans="1:1" x14ac:dyDescent="0.2">
      <c r="A4900" s="341"/>
    </row>
    <row r="4901" spans="1:1" x14ac:dyDescent="0.2">
      <c r="A4901" s="341"/>
    </row>
    <row r="4902" spans="1:1" x14ac:dyDescent="0.2">
      <c r="A4902" s="341"/>
    </row>
    <row r="4903" spans="1:1" x14ac:dyDescent="0.2">
      <c r="A4903" s="341"/>
    </row>
    <row r="4904" spans="1:1" x14ac:dyDescent="0.2">
      <c r="A4904" s="341"/>
    </row>
    <row r="4905" spans="1:1" x14ac:dyDescent="0.2">
      <c r="A4905" s="341"/>
    </row>
    <row r="4906" spans="1:1" x14ac:dyDescent="0.2">
      <c r="A4906" s="341"/>
    </row>
    <row r="4907" spans="1:1" x14ac:dyDescent="0.2">
      <c r="A4907" s="341"/>
    </row>
    <row r="4908" spans="1:1" x14ac:dyDescent="0.2">
      <c r="A4908" s="341"/>
    </row>
    <row r="4909" spans="1:1" x14ac:dyDescent="0.2">
      <c r="A4909" s="341"/>
    </row>
    <row r="4910" spans="1:1" x14ac:dyDescent="0.2">
      <c r="A4910" s="341"/>
    </row>
    <row r="4911" spans="1:1" x14ac:dyDescent="0.2">
      <c r="A4911" s="341"/>
    </row>
    <row r="4912" spans="1:1" x14ac:dyDescent="0.2">
      <c r="A4912" s="341"/>
    </row>
    <row r="4913" spans="1:1" x14ac:dyDescent="0.2">
      <c r="A4913" s="341"/>
    </row>
    <row r="4914" spans="1:1" x14ac:dyDescent="0.2">
      <c r="A4914" s="341"/>
    </row>
    <row r="4915" spans="1:1" x14ac:dyDescent="0.2">
      <c r="A4915" s="341"/>
    </row>
    <row r="4916" spans="1:1" x14ac:dyDescent="0.2">
      <c r="A4916" s="341"/>
    </row>
    <row r="4917" spans="1:1" x14ac:dyDescent="0.2">
      <c r="A4917" s="341"/>
    </row>
    <row r="4918" spans="1:1" x14ac:dyDescent="0.2">
      <c r="A4918" s="341"/>
    </row>
    <row r="4919" spans="1:1" x14ac:dyDescent="0.2">
      <c r="A4919" s="341"/>
    </row>
    <row r="4920" spans="1:1" x14ac:dyDescent="0.2">
      <c r="A4920" s="341"/>
    </row>
    <row r="4921" spans="1:1" x14ac:dyDescent="0.2">
      <c r="A4921" s="341"/>
    </row>
    <row r="4922" spans="1:1" x14ac:dyDescent="0.2">
      <c r="A4922" s="341"/>
    </row>
    <row r="4923" spans="1:1" x14ac:dyDescent="0.2">
      <c r="A4923" s="341"/>
    </row>
    <row r="4924" spans="1:1" x14ac:dyDescent="0.2">
      <c r="A4924" s="341"/>
    </row>
    <row r="4925" spans="1:1" x14ac:dyDescent="0.2">
      <c r="A4925" s="341"/>
    </row>
    <row r="4926" spans="1:1" x14ac:dyDescent="0.2">
      <c r="A4926" s="341"/>
    </row>
    <row r="4927" spans="1:1" x14ac:dyDescent="0.2">
      <c r="A4927" s="341"/>
    </row>
    <row r="4928" spans="1:1" x14ac:dyDescent="0.2">
      <c r="A4928" s="341"/>
    </row>
    <row r="4929" spans="1:1" x14ac:dyDescent="0.2">
      <c r="A4929" s="341"/>
    </row>
    <row r="4930" spans="1:1" x14ac:dyDescent="0.2">
      <c r="A4930" s="341"/>
    </row>
    <row r="4931" spans="1:1" x14ac:dyDescent="0.2">
      <c r="A4931" s="341"/>
    </row>
    <row r="4932" spans="1:1" x14ac:dyDescent="0.2">
      <c r="A4932" s="341"/>
    </row>
    <row r="4933" spans="1:1" x14ac:dyDescent="0.2">
      <c r="A4933" s="341"/>
    </row>
    <row r="4934" spans="1:1" x14ac:dyDescent="0.2">
      <c r="A4934" s="341"/>
    </row>
    <row r="4935" spans="1:1" x14ac:dyDescent="0.2">
      <c r="A4935" s="341"/>
    </row>
    <row r="4936" spans="1:1" x14ac:dyDescent="0.2">
      <c r="A4936" s="341"/>
    </row>
    <row r="4937" spans="1:1" x14ac:dyDescent="0.2">
      <c r="A4937" s="341"/>
    </row>
    <row r="4938" spans="1:1" x14ac:dyDescent="0.2">
      <c r="A4938" s="341"/>
    </row>
    <row r="4939" spans="1:1" x14ac:dyDescent="0.2">
      <c r="A4939" s="341"/>
    </row>
    <row r="4940" spans="1:1" x14ac:dyDescent="0.2">
      <c r="A4940" s="341"/>
    </row>
    <row r="4941" spans="1:1" x14ac:dyDescent="0.2">
      <c r="A4941" s="341"/>
    </row>
    <row r="4942" spans="1:1" x14ac:dyDescent="0.2">
      <c r="A4942" s="341"/>
    </row>
    <row r="4943" spans="1:1" x14ac:dyDescent="0.2">
      <c r="A4943" s="341"/>
    </row>
    <row r="4944" spans="1:1" x14ac:dyDescent="0.2">
      <c r="A4944" s="341"/>
    </row>
    <row r="4945" spans="1:1" x14ac:dyDescent="0.2">
      <c r="A4945" s="341"/>
    </row>
    <row r="4946" spans="1:1" x14ac:dyDescent="0.2">
      <c r="A4946" s="341"/>
    </row>
    <row r="4947" spans="1:1" x14ac:dyDescent="0.2">
      <c r="A4947" s="341"/>
    </row>
    <row r="4948" spans="1:1" x14ac:dyDescent="0.2">
      <c r="A4948" s="341"/>
    </row>
    <row r="4949" spans="1:1" x14ac:dyDescent="0.2">
      <c r="A4949" s="341"/>
    </row>
    <row r="4950" spans="1:1" x14ac:dyDescent="0.2">
      <c r="A4950" s="341"/>
    </row>
    <row r="4951" spans="1:1" x14ac:dyDescent="0.2">
      <c r="A4951" s="341"/>
    </row>
    <row r="4952" spans="1:1" x14ac:dyDescent="0.2">
      <c r="A4952" s="341"/>
    </row>
    <row r="4953" spans="1:1" x14ac:dyDescent="0.2">
      <c r="A4953" s="341"/>
    </row>
    <row r="4954" spans="1:1" x14ac:dyDescent="0.2">
      <c r="A4954" s="341"/>
    </row>
    <row r="4955" spans="1:1" x14ac:dyDescent="0.2">
      <c r="A4955" s="341"/>
    </row>
    <row r="4956" spans="1:1" x14ac:dyDescent="0.2">
      <c r="A4956" s="341"/>
    </row>
    <row r="4957" spans="1:1" x14ac:dyDescent="0.2">
      <c r="A4957" s="341"/>
    </row>
    <row r="4958" spans="1:1" x14ac:dyDescent="0.2">
      <c r="A4958" s="341"/>
    </row>
    <row r="4959" spans="1:1" x14ac:dyDescent="0.2">
      <c r="A4959" s="341"/>
    </row>
    <row r="4960" spans="1:1" x14ac:dyDescent="0.2">
      <c r="A4960" s="341"/>
    </row>
    <row r="4961" spans="1:1" x14ac:dyDescent="0.2">
      <c r="A4961" s="341"/>
    </row>
    <row r="4962" spans="1:1" x14ac:dyDescent="0.2">
      <c r="A4962" s="341"/>
    </row>
    <row r="4963" spans="1:1" x14ac:dyDescent="0.2">
      <c r="A4963" s="341"/>
    </row>
    <row r="4964" spans="1:1" x14ac:dyDescent="0.2">
      <c r="A4964" s="341"/>
    </row>
    <row r="4965" spans="1:1" x14ac:dyDescent="0.2">
      <c r="A4965" s="341"/>
    </row>
    <row r="4966" spans="1:1" x14ac:dyDescent="0.2">
      <c r="A4966" s="341"/>
    </row>
    <row r="4967" spans="1:1" x14ac:dyDescent="0.2">
      <c r="A4967" s="341"/>
    </row>
    <row r="4968" spans="1:1" x14ac:dyDescent="0.2">
      <c r="A4968" s="341"/>
    </row>
    <row r="4969" spans="1:1" x14ac:dyDescent="0.2">
      <c r="A4969" s="341"/>
    </row>
    <row r="4970" spans="1:1" x14ac:dyDescent="0.2">
      <c r="A4970" s="341"/>
    </row>
    <row r="4971" spans="1:1" x14ac:dyDescent="0.2">
      <c r="A4971" s="341"/>
    </row>
    <row r="4972" spans="1:1" x14ac:dyDescent="0.2">
      <c r="A4972" s="341"/>
    </row>
    <row r="4973" spans="1:1" x14ac:dyDescent="0.2">
      <c r="A4973" s="341"/>
    </row>
    <row r="4974" spans="1:1" x14ac:dyDescent="0.2">
      <c r="A4974" s="341"/>
    </row>
    <row r="4975" spans="1:1" x14ac:dyDescent="0.2">
      <c r="A4975" s="341"/>
    </row>
    <row r="4976" spans="1:1" x14ac:dyDescent="0.2">
      <c r="A4976" s="341"/>
    </row>
    <row r="4977" spans="1:1" x14ac:dyDescent="0.2">
      <c r="A4977" s="341"/>
    </row>
    <row r="4978" spans="1:1" x14ac:dyDescent="0.2">
      <c r="A4978" s="341"/>
    </row>
    <row r="4979" spans="1:1" x14ac:dyDescent="0.2">
      <c r="A4979" s="341"/>
    </row>
    <row r="4980" spans="1:1" x14ac:dyDescent="0.2">
      <c r="A4980" s="341"/>
    </row>
    <row r="4981" spans="1:1" x14ac:dyDescent="0.2">
      <c r="A4981" s="341"/>
    </row>
    <row r="4982" spans="1:1" x14ac:dyDescent="0.2">
      <c r="A4982" s="341"/>
    </row>
    <row r="4983" spans="1:1" x14ac:dyDescent="0.2">
      <c r="A4983" s="341"/>
    </row>
    <row r="4984" spans="1:1" x14ac:dyDescent="0.2">
      <c r="A4984" s="341"/>
    </row>
    <row r="4985" spans="1:1" x14ac:dyDescent="0.2">
      <c r="A4985" s="341"/>
    </row>
    <row r="4986" spans="1:1" x14ac:dyDescent="0.2">
      <c r="A4986" s="341"/>
    </row>
    <row r="4987" spans="1:1" x14ac:dyDescent="0.2">
      <c r="A4987" s="341"/>
    </row>
    <row r="4988" spans="1:1" x14ac:dyDescent="0.2">
      <c r="A4988" s="341"/>
    </row>
    <row r="4989" spans="1:1" x14ac:dyDescent="0.2">
      <c r="A4989" s="341"/>
    </row>
    <row r="4990" spans="1:1" x14ac:dyDescent="0.2">
      <c r="A4990" s="341"/>
    </row>
    <row r="4991" spans="1:1" x14ac:dyDescent="0.2">
      <c r="A4991" s="341"/>
    </row>
    <row r="4992" spans="1:1" x14ac:dyDescent="0.2">
      <c r="A4992" s="341"/>
    </row>
    <row r="4993" spans="1:1" x14ac:dyDescent="0.2">
      <c r="A4993" s="341"/>
    </row>
    <row r="4994" spans="1:1" x14ac:dyDescent="0.2">
      <c r="A4994" s="341"/>
    </row>
    <row r="4995" spans="1:1" x14ac:dyDescent="0.2">
      <c r="A4995" s="341"/>
    </row>
    <row r="4996" spans="1:1" x14ac:dyDescent="0.2">
      <c r="A4996" s="341"/>
    </row>
    <row r="4997" spans="1:1" x14ac:dyDescent="0.2">
      <c r="A4997" s="341"/>
    </row>
    <row r="4998" spans="1:1" x14ac:dyDescent="0.2">
      <c r="A4998" s="341"/>
    </row>
    <row r="4999" spans="1:1" x14ac:dyDescent="0.2">
      <c r="A4999" s="341"/>
    </row>
    <row r="5000" spans="1:1" x14ac:dyDescent="0.2">
      <c r="A5000" s="341"/>
    </row>
    <row r="5001" spans="1:1" x14ac:dyDescent="0.2">
      <c r="A5001" s="341"/>
    </row>
    <row r="5002" spans="1:1" x14ac:dyDescent="0.2">
      <c r="A5002" s="341"/>
    </row>
    <row r="5003" spans="1:1" x14ac:dyDescent="0.2">
      <c r="A5003" s="341"/>
    </row>
    <row r="5004" spans="1:1" x14ac:dyDescent="0.2">
      <c r="A5004" s="341"/>
    </row>
    <row r="5005" spans="1:1" x14ac:dyDescent="0.2">
      <c r="A5005" s="341"/>
    </row>
    <row r="5006" spans="1:1" x14ac:dyDescent="0.2">
      <c r="A5006" s="341"/>
    </row>
    <row r="5007" spans="1:1" x14ac:dyDescent="0.2">
      <c r="A5007" s="341"/>
    </row>
    <row r="5008" spans="1:1" x14ac:dyDescent="0.2">
      <c r="A5008" s="341"/>
    </row>
    <row r="5009" spans="1:1" x14ac:dyDescent="0.2">
      <c r="A5009" s="341"/>
    </row>
    <row r="5010" spans="1:1" x14ac:dyDescent="0.2">
      <c r="A5010" s="341"/>
    </row>
    <row r="5011" spans="1:1" x14ac:dyDescent="0.2">
      <c r="A5011" s="341"/>
    </row>
    <row r="5012" spans="1:1" x14ac:dyDescent="0.2">
      <c r="A5012" s="341"/>
    </row>
    <row r="5013" spans="1:1" x14ac:dyDescent="0.2">
      <c r="A5013" s="341"/>
    </row>
    <row r="5014" spans="1:1" x14ac:dyDescent="0.2">
      <c r="A5014" s="341"/>
    </row>
    <row r="5015" spans="1:1" x14ac:dyDescent="0.2">
      <c r="A5015" s="341"/>
    </row>
    <row r="5016" spans="1:1" x14ac:dyDescent="0.2">
      <c r="A5016" s="341"/>
    </row>
    <row r="5017" spans="1:1" x14ac:dyDescent="0.2">
      <c r="A5017" s="341"/>
    </row>
    <row r="5018" spans="1:1" x14ac:dyDescent="0.2">
      <c r="A5018" s="341"/>
    </row>
    <row r="5019" spans="1:1" x14ac:dyDescent="0.2">
      <c r="A5019" s="341"/>
    </row>
    <row r="5020" spans="1:1" x14ac:dyDescent="0.2">
      <c r="A5020" s="341"/>
    </row>
    <row r="5021" spans="1:1" x14ac:dyDescent="0.2">
      <c r="A5021" s="341"/>
    </row>
    <row r="5022" spans="1:1" x14ac:dyDescent="0.2">
      <c r="A5022" s="341"/>
    </row>
    <row r="5023" spans="1:1" x14ac:dyDescent="0.2">
      <c r="A5023" s="341"/>
    </row>
    <row r="5024" spans="1:1" x14ac:dyDescent="0.2">
      <c r="A5024" s="341"/>
    </row>
    <row r="5025" spans="1:1" x14ac:dyDescent="0.2">
      <c r="A5025" s="341"/>
    </row>
    <row r="5026" spans="1:1" x14ac:dyDescent="0.2">
      <c r="A5026" s="341"/>
    </row>
    <row r="5027" spans="1:1" x14ac:dyDescent="0.2">
      <c r="A5027" s="341"/>
    </row>
    <row r="5028" spans="1:1" x14ac:dyDescent="0.2">
      <c r="A5028" s="341"/>
    </row>
    <row r="5029" spans="1:1" x14ac:dyDescent="0.2">
      <c r="A5029" s="341"/>
    </row>
    <row r="5030" spans="1:1" x14ac:dyDescent="0.2">
      <c r="A5030" s="341"/>
    </row>
    <row r="5031" spans="1:1" x14ac:dyDescent="0.2">
      <c r="A5031" s="341"/>
    </row>
    <row r="5032" spans="1:1" x14ac:dyDescent="0.2">
      <c r="A5032" s="341"/>
    </row>
    <row r="5033" spans="1:1" x14ac:dyDescent="0.2">
      <c r="A5033" s="341"/>
    </row>
    <row r="5034" spans="1:1" x14ac:dyDescent="0.2">
      <c r="A5034" s="341"/>
    </row>
    <row r="5035" spans="1:1" x14ac:dyDescent="0.2">
      <c r="A5035" s="341"/>
    </row>
    <row r="5036" spans="1:1" x14ac:dyDescent="0.2">
      <c r="A5036" s="341"/>
    </row>
    <row r="5037" spans="1:1" x14ac:dyDescent="0.2">
      <c r="A5037" s="341"/>
    </row>
    <row r="5038" spans="1:1" x14ac:dyDescent="0.2">
      <c r="A5038" s="341"/>
    </row>
    <row r="5039" spans="1:1" x14ac:dyDescent="0.2">
      <c r="A5039" s="341"/>
    </row>
    <row r="5040" spans="1:1" x14ac:dyDescent="0.2">
      <c r="A5040" s="341"/>
    </row>
    <row r="5041" spans="1:1" x14ac:dyDescent="0.2">
      <c r="A5041" s="341"/>
    </row>
    <row r="5042" spans="1:1" x14ac:dyDescent="0.2">
      <c r="A5042" s="341"/>
    </row>
    <row r="5043" spans="1:1" x14ac:dyDescent="0.2">
      <c r="A5043" s="341"/>
    </row>
    <row r="5044" spans="1:1" x14ac:dyDescent="0.2">
      <c r="A5044" s="341"/>
    </row>
    <row r="5045" spans="1:1" x14ac:dyDescent="0.2">
      <c r="A5045" s="341"/>
    </row>
    <row r="5046" spans="1:1" x14ac:dyDescent="0.2">
      <c r="A5046" s="341"/>
    </row>
    <row r="5047" spans="1:1" x14ac:dyDescent="0.2">
      <c r="A5047" s="341"/>
    </row>
    <row r="5048" spans="1:1" x14ac:dyDescent="0.2">
      <c r="A5048" s="341"/>
    </row>
    <row r="5049" spans="1:1" x14ac:dyDescent="0.2">
      <c r="A5049" s="341"/>
    </row>
    <row r="5050" spans="1:1" x14ac:dyDescent="0.2">
      <c r="A5050" s="341"/>
    </row>
    <row r="5051" spans="1:1" x14ac:dyDescent="0.2">
      <c r="A5051" s="341"/>
    </row>
    <row r="5052" spans="1:1" x14ac:dyDescent="0.2">
      <c r="A5052" s="341"/>
    </row>
    <row r="5053" spans="1:1" x14ac:dyDescent="0.2">
      <c r="A5053" s="341"/>
    </row>
    <row r="5054" spans="1:1" x14ac:dyDescent="0.2">
      <c r="A5054" s="341"/>
    </row>
    <row r="5055" spans="1:1" x14ac:dyDescent="0.2">
      <c r="A5055" s="341"/>
    </row>
    <row r="5056" spans="1:1" x14ac:dyDescent="0.2">
      <c r="A5056" s="341"/>
    </row>
    <row r="5057" spans="1:1" x14ac:dyDescent="0.2">
      <c r="A5057" s="341"/>
    </row>
    <row r="5058" spans="1:1" x14ac:dyDescent="0.2">
      <c r="A5058" s="341"/>
    </row>
    <row r="5059" spans="1:1" x14ac:dyDescent="0.2">
      <c r="A5059" s="341"/>
    </row>
    <row r="5060" spans="1:1" x14ac:dyDescent="0.2">
      <c r="A5060" s="341"/>
    </row>
    <row r="5061" spans="1:1" x14ac:dyDescent="0.2">
      <c r="A5061" s="341"/>
    </row>
    <row r="5062" spans="1:1" x14ac:dyDescent="0.2">
      <c r="A5062" s="341"/>
    </row>
    <row r="5063" spans="1:1" x14ac:dyDescent="0.2">
      <c r="A5063" s="341"/>
    </row>
    <row r="5064" spans="1:1" x14ac:dyDescent="0.2">
      <c r="A5064" s="341"/>
    </row>
    <row r="5065" spans="1:1" x14ac:dyDescent="0.2">
      <c r="A5065" s="341"/>
    </row>
    <row r="5066" spans="1:1" x14ac:dyDescent="0.2">
      <c r="A5066" s="341"/>
    </row>
    <row r="5067" spans="1:1" x14ac:dyDescent="0.2">
      <c r="A5067" s="341"/>
    </row>
    <row r="5068" spans="1:1" x14ac:dyDescent="0.2">
      <c r="A5068" s="341"/>
    </row>
    <row r="5069" spans="1:1" x14ac:dyDescent="0.2">
      <c r="A5069" s="341"/>
    </row>
    <row r="5070" spans="1:1" x14ac:dyDescent="0.2">
      <c r="A5070" s="341"/>
    </row>
    <row r="5071" spans="1:1" x14ac:dyDescent="0.2">
      <c r="A5071" s="341"/>
    </row>
    <row r="5072" spans="1:1" x14ac:dyDescent="0.2">
      <c r="A5072" s="341"/>
    </row>
    <row r="5073" spans="1:1" x14ac:dyDescent="0.2">
      <c r="A5073" s="341"/>
    </row>
    <row r="5074" spans="1:1" x14ac:dyDescent="0.2">
      <c r="A5074" s="341"/>
    </row>
    <row r="5075" spans="1:1" x14ac:dyDescent="0.2">
      <c r="A5075" s="341"/>
    </row>
    <row r="5076" spans="1:1" x14ac:dyDescent="0.2">
      <c r="A5076" s="341"/>
    </row>
    <row r="5077" spans="1:1" x14ac:dyDescent="0.2">
      <c r="A5077" s="341"/>
    </row>
    <row r="5078" spans="1:1" x14ac:dyDescent="0.2">
      <c r="A5078" s="341"/>
    </row>
    <row r="5079" spans="1:1" x14ac:dyDescent="0.2">
      <c r="A5079" s="341"/>
    </row>
    <row r="5080" spans="1:1" x14ac:dyDescent="0.2">
      <c r="A5080" s="341"/>
    </row>
    <row r="5081" spans="1:1" x14ac:dyDescent="0.2">
      <c r="A5081" s="341"/>
    </row>
    <row r="5082" spans="1:1" x14ac:dyDescent="0.2">
      <c r="A5082" s="341"/>
    </row>
    <row r="5083" spans="1:1" x14ac:dyDescent="0.2">
      <c r="A5083" s="341"/>
    </row>
    <row r="5084" spans="1:1" x14ac:dyDescent="0.2">
      <c r="A5084" s="341"/>
    </row>
    <row r="5085" spans="1:1" x14ac:dyDescent="0.2">
      <c r="A5085" s="341"/>
    </row>
    <row r="5086" spans="1:1" x14ac:dyDescent="0.2">
      <c r="A5086" s="341"/>
    </row>
    <row r="5087" spans="1:1" x14ac:dyDescent="0.2">
      <c r="A5087" s="341"/>
    </row>
    <row r="5088" spans="1:1" x14ac:dyDescent="0.2">
      <c r="A5088" s="341"/>
    </row>
    <row r="5089" spans="1:1" x14ac:dyDescent="0.2">
      <c r="A5089" s="341"/>
    </row>
    <row r="5090" spans="1:1" x14ac:dyDescent="0.2">
      <c r="A5090" s="341"/>
    </row>
    <row r="5091" spans="1:1" x14ac:dyDescent="0.2">
      <c r="A5091" s="341"/>
    </row>
    <row r="5092" spans="1:1" x14ac:dyDescent="0.2">
      <c r="A5092" s="341"/>
    </row>
    <row r="5093" spans="1:1" x14ac:dyDescent="0.2">
      <c r="A5093" s="341"/>
    </row>
    <row r="5094" spans="1:1" x14ac:dyDescent="0.2">
      <c r="A5094" s="341"/>
    </row>
    <row r="5095" spans="1:1" x14ac:dyDescent="0.2">
      <c r="A5095" s="341"/>
    </row>
    <row r="5096" spans="1:1" x14ac:dyDescent="0.2">
      <c r="A5096" s="341"/>
    </row>
    <row r="5097" spans="1:1" x14ac:dyDescent="0.2">
      <c r="A5097" s="341"/>
    </row>
    <row r="5098" spans="1:1" x14ac:dyDescent="0.2">
      <c r="A5098" s="341"/>
    </row>
    <row r="5099" spans="1:1" x14ac:dyDescent="0.2">
      <c r="A5099" s="341"/>
    </row>
    <row r="5100" spans="1:1" x14ac:dyDescent="0.2">
      <c r="A5100" s="341"/>
    </row>
    <row r="5101" spans="1:1" x14ac:dyDescent="0.2">
      <c r="A5101" s="341"/>
    </row>
    <row r="5102" spans="1:1" x14ac:dyDescent="0.2">
      <c r="A5102" s="341"/>
    </row>
    <row r="5103" spans="1:1" x14ac:dyDescent="0.2">
      <c r="A5103" s="341"/>
    </row>
    <row r="5104" spans="1:1" x14ac:dyDescent="0.2">
      <c r="A5104" s="341"/>
    </row>
    <row r="5105" spans="1:1" x14ac:dyDescent="0.2">
      <c r="A5105" s="341"/>
    </row>
    <row r="5106" spans="1:1" x14ac:dyDescent="0.2">
      <c r="A5106" s="341"/>
    </row>
    <row r="5107" spans="1:1" x14ac:dyDescent="0.2">
      <c r="A5107" s="341"/>
    </row>
    <row r="5108" spans="1:1" x14ac:dyDescent="0.2">
      <c r="A5108" s="341"/>
    </row>
    <row r="5109" spans="1:1" x14ac:dyDescent="0.2">
      <c r="A5109" s="341"/>
    </row>
    <row r="5110" spans="1:1" x14ac:dyDescent="0.2">
      <c r="A5110" s="341"/>
    </row>
    <row r="5111" spans="1:1" x14ac:dyDescent="0.2">
      <c r="A5111" s="341"/>
    </row>
    <row r="5112" spans="1:1" x14ac:dyDescent="0.2">
      <c r="A5112" s="341"/>
    </row>
    <row r="5113" spans="1:1" x14ac:dyDescent="0.2">
      <c r="A5113" s="341"/>
    </row>
    <row r="5114" spans="1:1" x14ac:dyDescent="0.2">
      <c r="A5114" s="341"/>
    </row>
    <row r="5115" spans="1:1" x14ac:dyDescent="0.2">
      <c r="A5115" s="341"/>
    </row>
    <row r="5116" spans="1:1" x14ac:dyDescent="0.2">
      <c r="A5116" s="341"/>
    </row>
    <row r="5117" spans="1:1" x14ac:dyDescent="0.2">
      <c r="A5117" s="341"/>
    </row>
    <row r="5118" spans="1:1" x14ac:dyDescent="0.2">
      <c r="A5118" s="341"/>
    </row>
    <row r="5119" spans="1:1" x14ac:dyDescent="0.2">
      <c r="A5119" s="341"/>
    </row>
    <row r="5120" spans="1:1" x14ac:dyDescent="0.2">
      <c r="A5120" s="341"/>
    </row>
    <row r="5121" spans="1:1" x14ac:dyDescent="0.2">
      <c r="A5121" s="341"/>
    </row>
    <row r="5122" spans="1:1" x14ac:dyDescent="0.2">
      <c r="A5122" s="341"/>
    </row>
    <row r="5123" spans="1:1" x14ac:dyDescent="0.2">
      <c r="A5123" s="341"/>
    </row>
    <row r="5124" spans="1:1" x14ac:dyDescent="0.2">
      <c r="A5124" s="341"/>
    </row>
    <row r="5125" spans="1:1" x14ac:dyDescent="0.2">
      <c r="A5125" s="341"/>
    </row>
    <row r="5126" spans="1:1" x14ac:dyDescent="0.2">
      <c r="A5126" s="341"/>
    </row>
    <row r="5127" spans="1:1" x14ac:dyDescent="0.2">
      <c r="A5127" s="341"/>
    </row>
    <row r="5128" spans="1:1" x14ac:dyDescent="0.2">
      <c r="A5128" s="341"/>
    </row>
    <row r="5129" spans="1:1" x14ac:dyDescent="0.2">
      <c r="A5129" s="341"/>
    </row>
    <row r="5130" spans="1:1" x14ac:dyDescent="0.2">
      <c r="A5130" s="341"/>
    </row>
    <row r="5131" spans="1:1" x14ac:dyDescent="0.2">
      <c r="A5131" s="341"/>
    </row>
    <row r="5132" spans="1:1" x14ac:dyDescent="0.2">
      <c r="A5132" s="341"/>
    </row>
    <row r="5133" spans="1:1" x14ac:dyDescent="0.2">
      <c r="A5133" s="341"/>
    </row>
    <row r="5134" spans="1:1" x14ac:dyDescent="0.2">
      <c r="A5134" s="341"/>
    </row>
    <row r="5135" spans="1:1" x14ac:dyDescent="0.2">
      <c r="A5135" s="341"/>
    </row>
    <row r="5136" spans="1:1" x14ac:dyDescent="0.2">
      <c r="A5136" s="341"/>
    </row>
    <row r="5137" spans="1:1" x14ac:dyDescent="0.2">
      <c r="A5137" s="341"/>
    </row>
    <row r="5138" spans="1:1" x14ac:dyDescent="0.2">
      <c r="A5138" s="341"/>
    </row>
    <row r="5139" spans="1:1" x14ac:dyDescent="0.2">
      <c r="A5139" s="341"/>
    </row>
    <row r="5140" spans="1:1" x14ac:dyDescent="0.2">
      <c r="A5140" s="341"/>
    </row>
    <row r="5141" spans="1:1" x14ac:dyDescent="0.2">
      <c r="A5141" s="341"/>
    </row>
    <row r="5142" spans="1:1" x14ac:dyDescent="0.2">
      <c r="A5142" s="341"/>
    </row>
    <row r="5143" spans="1:1" x14ac:dyDescent="0.2">
      <c r="A5143" s="341"/>
    </row>
    <row r="5144" spans="1:1" x14ac:dyDescent="0.2">
      <c r="A5144" s="341"/>
    </row>
    <row r="5145" spans="1:1" x14ac:dyDescent="0.2">
      <c r="A5145" s="341"/>
    </row>
    <row r="5146" spans="1:1" x14ac:dyDescent="0.2">
      <c r="A5146" s="341"/>
    </row>
    <row r="5147" spans="1:1" x14ac:dyDescent="0.2">
      <c r="A5147" s="341"/>
    </row>
    <row r="5148" spans="1:1" x14ac:dyDescent="0.2">
      <c r="A5148" s="341"/>
    </row>
    <row r="5149" spans="1:1" x14ac:dyDescent="0.2">
      <c r="A5149" s="341"/>
    </row>
    <row r="5150" spans="1:1" x14ac:dyDescent="0.2">
      <c r="A5150" s="341"/>
    </row>
    <row r="5151" spans="1:1" x14ac:dyDescent="0.2">
      <c r="A5151" s="341"/>
    </row>
    <row r="5152" spans="1:1" x14ac:dyDescent="0.2">
      <c r="A5152" s="341"/>
    </row>
    <row r="5153" spans="1:1" x14ac:dyDescent="0.2">
      <c r="A5153" s="341"/>
    </row>
    <row r="5154" spans="1:1" x14ac:dyDescent="0.2">
      <c r="A5154" s="341"/>
    </row>
    <row r="5155" spans="1:1" x14ac:dyDescent="0.2">
      <c r="A5155" s="341"/>
    </row>
    <row r="5156" spans="1:1" x14ac:dyDescent="0.2">
      <c r="A5156" s="341"/>
    </row>
    <row r="5157" spans="1:1" x14ac:dyDescent="0.2">
      <c r="A5157" s="341"/>
    </row>
    <row r="5158" spans="1:1" x14ac:dyDescent="0.2">
      <c r="A5158" s="341"/>
    </row>
    <row r="5159" spans="1:1" x14ac:dyDescent="0.2">
      <c r="A5159" s="341"/>
    </row>
    <row r="5160" spans="1:1" x14ac:dyDescent="0.2">
      <c r="A5160" s="341"/>
    </row>
    <row r="5161" spans="1:1" x14ac:dyDescent="0.2">
      <c r="A5161" s="341"/>
    </row>
    <row r="5162" spans="1:1" x14ac:dyDescent="0.2">
      <c r="A5162" s="341"/>
    </row>
    <row r="5163" spans="1:1" x14ac:dyDescent="0.2">
      <c r="A5163" s="341"/>
    </row>
    <row r="5164" spans="1:1" x14ac:dyDescent="0.2">
      <c r="A5164" s="341"/>
    </row>
    <row r="5165" spans="1:1" x14ac:dyDescent="0.2">
      <c r="A5165" s="341"/>
    </row>
    <row r="5166" spans="1:1" x14ac:dyDescent="0.2">
      <c r="A5166" s="341"/>
    </row>
    <row r="5167" spans="1:1" x14ac:dyDescent="0.2">
      <c r="A5167" s="341"/>
    </row>
    <row r="5168" spans="1:1" x14ac:dyDescent="0.2">
      <c r="A5168" s="341"/>
    </row>
    <row r="5169" spans="1:1" x14ac:dyDescent="0.2">
      <c r="A5169" s="341"/>
    </row>
    <row r="5170" spans="1:1" x14ac:dyDescent="0.2">
      <c r="A5170" s="341"/>
    </row>
    <row r="5171" spans="1:1" x14ac:dyDescent="0.2">
      <c r="A5171" s="341"/>
    </row>
    <row r="5172" spans="1:1" x14ac:dyDescent="0.2">
      <c r="A5172" s="341"/>
    </row>
    <row r="5173" spans="1:1" x14ac:dyDescent="0.2">
      <c r="A5173" s="341"/>
    </row>
    <row r="5174" spans="1:1" x14ac:dyDescent="0.2">
      <c r="A5174" s="341"/>
    </row>
    <row r="5175" spans="1:1" x14ac:dyDescent="0.2">
      <c r="A5175" s="341"/>
    </row>
    <row r="5176" spans="1:1" x14ac:dyDescent="0.2">
      <c r="A5176" s="341"/>
    </row>
    <row r="5177" spans="1:1" x14ac:dyDescent="0.2">
      <c r="A5177" s="341"/>
    </row>
    <row r="5178" spans="1:1" x14ac:dyDescent="0.2">
      <c r="A5178" s="341"/>
    </row>
    <row r="5179" spans="1:1" x14ac:dyDescent="0.2">
      <c r="A5179" s="341"/>
    </row>
    <row r="5180" spans="1:1" x14ac:dyDescent="0.2">
      <c r="A5180" s="341"/>
    </row>
    <row r="5181" spans="1:1" x14ac:dyDescent="0.2">
      <c r="A5181" s="341"/>
    </row>
    <row r="5182" spans="1:1" x14ac:dyDescent="0.2">
      <c r="A5182" s="341"/>
    </row>
    <row r="5183" spans="1:1" x14ac:dyDescent="0.2">
      <c r="A5183" s="341"/>
    </row>
    <row r="5184" spans="1:1" x14ac:dyDescent="0.2">
      <c r="A5184" s="341"/>
    </row>
    <row r="5185" spans="1:1" x14ac:dyDescent="0.2">
      <c r="A5185" s="341"/>
    </row>
    <row r="5186" spans="1:1" x14ac:dyDescent="0.2">
      <c r="A5186" s="341"/>
    </row>
    <row r="5187" spans="1:1" x14ac:dyDescent="0.2">
      <c r="A5187" s="341"/>
    </row>
    <row r="5188" spans="1:1" x14ac:dyDescent="0.2">
      <c r="A5188" s="341"/>
    </row>
    <row r="5189" spans="1:1" x14ac:dyDescent="0.2">
      <c r="A5189" s="341"/>
    </row>
    <row r="5190" spans="1:1" x14ac:dyDescent="0.2">
      <c r="A5190" s="341"/>
    </row>
    <row r="5191" spans="1:1" x14ac:dyDescent="0.2">
      <c r="A5191" s="341"/>
    </row>
    <row r="5192" spans="1:1" x14ac:dyDescent="0.2">
      <c r="A5192" s="341"/>
    </row>
    <row r="5193" spans="1:1" x14ac:dyDescent="0.2">
      <c r="A5193" s="341"/>
    </row>
    <row r="5194" spans="1:1" x14ac:dyDescent="0.2">
      <c r="A5194" s="341"/>
    </row>
    <row r="5195" spans="1:1" x14ac:dyDescent="0.2">
      <c r="A5195" s="341"/>
    </row>
    <row r="5196" spans="1:1" x14ac:dyDescent="0.2">
      <c r="A5196" s="341"/>
    </row>
    <row r="5197" spans="1:1" x14ac:dyDescent="0.2">
      <c r="A5197" s="341"/>
    </row>
    <row r="5198" spans="1:1" x14ac:dyDescent="0.2">
      <c r="A5198" s="341"/>
    </row>
    <row r="5199" spans="1:1" x14ac:dyDescent="0.2">
      <c r="A5199" s="341"/>
    </row>
    <row r="5200" spans="1:1" x14ac:dyDescent="0.2">
      <c r="A5200" s="341"/>
    </row>
    <row r="5201" spans="1:1" x14ac:dyDescent="0.2">
      <c r="A5201" s="341"/>
    </row>
    <row r="5202" spans="1:1" x14ac:dyDescent="0.2">
      <c r="A5202" s="341"/>
    </row>
    <row r="5203" spans="1:1" x14ac:dyDescent="0.2">
      <c r="A5203" s="341"/>
    </row>
    <row r="5204" spans="1:1" x14ac:dyDescent="0.2">
      <c r="A5204" s="341"/>
    </row>
    <row r="5205" spans="1:1" x14ac:dyDescent="0.2">
      <c r="A5205" s="341"/>
    </row>
    <row r="5206" spans="1:1" x14ac:dyDescent="0.2">
      <c r="A5206" s="341"/>
    </row>
    <row r="5207" spans="1:1" x14ac:dyDescent="0.2">
      <c r="A5207" s="341"/>
    </row>
    <row r="5208" spans="1:1" x14ac:dyDescent="0.2">
      <c r="A5208" s="341"/>
    </row>
    <row r="5209" spans="1:1" x14ac:dyDescent="0.2">
      <c r="A5209" s="341"/>
    </row>
    <row r="5210" spans="1:1" x14ac:dyDescent="0.2">
      <c r="A5210" s="341"/>
    </row>
    <row r="5211" spans="1:1" x14ac:dyDescent="0.2">
      <c r="A5211" s="341"/>
    </row>
    <row r="5212" spans="1:1" x14ac:dyDescent="0.2">
      <c r="A5212" s="341"/>
    </row>
    <row r="5213" spans="1:1" x14ac:dyDescent="0.2">
      <c r="A5213" s="341"/>
    </row>
    <row r="5214" spans="1:1" x14ac:dyDescent="0.2">
      <c r="A5214" s="341"/>
    </row>
    <row r="5215" spans="1:1" x14ac:dyDescent="0.2">
      <c r="A5215" s="341"/>
    </row>
    <row r="5216" spans="1:1" x14ac:dyDescent="0.2">
      <c r="A5216" s="341"/>
    </row>
    <row r="5217" spans="1:1" x14ac:dyDescent="0.2">
      <c r="A5217" s="341"/>
    </row>
    <row r="5218" spans="1:1" x14ac:dyDescent="0.2">
      <c r="A5218" s="341"/>
    </row>
    <row r="5219" spans="1:1" x14ac:dyDescent="0.2">
      <c r="A5219" s="341"/>
    </row>
    <row r="5220" spans="1:1" x14ac:dyDescent="0.2">
      <c r="A5220" s="341"/>
    </row>
    <row r="5221" spans="1:1" x14ac:dyDescent="0.2">
      <c r="A5221" s="341"/>
    </row>
    <row r="5222" spans="1:1" x14ac:dyDescent="0.2">
      <c r="A5222" s="341"/>
    </row>
    <row r="5223" spans="1:1" x14ac:dyDescent="0.2">
      <c r="A5223" s="341"/>
    </row>
    <row r="5224" spans="1:1" x14ac:dyDescent="0.2">
      <c r="A5224" s="341"/>
    </row>
    <row r="5225" spans="1:1" x14ac:dyDescent="0.2">
      <c r="A5225" s="341"/>
    </row>
    <row r="5226" spans="1:1" x14ac:dyDescent="0.2">
      <c r="A5226" s="341"/>
    </row>
    <row r="5227" spans="1:1" x14ac:dyDescent="0.2">
      <c r="A5227" s="341"/>
    </row>
    <row r="5228" spans="1:1" x14ac:dyDescent="0.2">
      <c r="A5228" s="341"/>
    </row>
    <row r="5229" spans="1:1" x14ac:dyDescent="0.2">
      <c r="A5229" s="341"/>
    </row>
    <row r="5230" spans="1:1" x14ac:dyDescent="0.2">
      <c r="A5230" s="341"/>
    </row>
    <row r="5231" spans="1:1" x14ac:dyDescent="0.2">
      <c r="A5231" s="341"/>
    </row>
    <row r="5232" spans="1:1" x14ac:dyDescent="0.2">
      <c r="A5232" s="341"/>
    </row>
    <row r="5233" spans="1:1" x14ac:dyDescent="0.2">
      <c r="A5233" s="341"/>
    </row>
    <row r="5234" spans="1:1" x14ac:dyDescent="0.2">
      <c r="A5234" s="341"/>
    </row>
    <row r="5235" spans="1:1" x14ac:dyDescent="0.2">
      <c r="A5235" s="341"/>
    </row>
    <row r="5236" spans="1:1" x14ac:dyDescent="0.2">
      <c r="A5236" s="341"/>
    </row>
    <row r="5237" spans="1:1" x14ac:dyDescent="0.2">
      <c r="A5237" s="341"/>
    </row>
    <row r="5238" spans="1:1" x14ac:dyDescent="0.2">
      <c r="A5238" s="341"/>
    </row>
    <row r="5239" spans="1:1" x14ac:dyDescent="0.2">
      <c r="A5239" s="341"/>
    </row>
    <row r="5240" spans="1:1" x14ac:dyDescent="0.2">
      <c r="A5240" s="341"/>
    </row>
    <row r="5241" spans="1:1" x14ac:dyDescent="0.2">
      <c r="A5241" s="341"/>
    </row>
    <row r="5242" spans="1:1" x14ac:dyDescent="0.2">
      <c r="A5242" s="341"/>
    </row>
    <row r="5243" spans="1:1" x14ac:dyDescent="0.2">
      <c r="A5243" s="341"/>
    </row>
    <row r="5244" spans="1:1" x14ac:dyDescent="0.2">
      <c r="A5244" s="341"/>
    </row>
    <row r="5245" spans="1:1" x14ac:dyDescent="0.2">
      <c r="A5245" s="341"/>
    </row>
    <row r="5246" spans="1:1" x14ac:dyDescent="0.2">
      <c r="A5246" s="341"/>
    </row>
    <row r="5247" spans="1:1" x14ac:dyDescent="0.2">
      <c r="A5247" s="341"/>
    </row>
    <row r="5248" spans="1:1" x14ac:dyDescent="0.2">
      <c r="A5248" s="341"/>
    </row>
    <row r="5249" spans="1:1" x14ac:dyDescent="0.2">
      <c r="A5249" s="341"/>
    </row>
    <row r="5250" spans="1:1" x14ac:dyDescent="0.2">
      <c r="A5250" s="341"/>
    </row>
    <row r="5251" spans="1:1" x14ac:dyDescent="0.2">
      <c r="A5251" s="341"/>
    </row>
    <row r="5252" spans="1:1" x14ac:dyDescent="0.2">
      <c r="A5252" s="341"/>
    </row>
    <row r="5253" spans="1:1" x14ac:dyDescent="0.2">
      <c r="A5253" s="341"/>
    </row>
    <row r="5254" spans="1:1" x14ac:dyDescent="0.2">
      <c r="A5254" s="341"/>
    </row>
    <row r="5255" spans="1:1" x14ac:dyDescent="0.2">
      <c r="A5255" s="341"/>
    </row>
    <row r="5256" spans="1:1" x14ac:dyDescent="0.2">
      <c r="A5256" s="341"/>
    </row>
    <row r="5257" spans="1:1" x14ac:dyDescent="0.2">
      <c r="A5257" s="341"/>
    </row>
    <row r="5258" spans="1:1" x14ac:dyDescent="0.2">
      <c r="A5258" s="341"/>
    </row>
    <row r="5259" spans="1:1" x14ac:dyDescent="0.2">
      <c r="A5259" s="341"/>
    </row>
    <row r="5260" spans="1:1" x14ac:dyDescent="0.2">
      <c r="A5260" s="341"/>
    </row>
    <row r="5261" spans="1:1" x14ac:dyDescent="0.2">
      <c r="A5261" s="341"/>
    </row>
    <row r="5262" spans="1:1" x14ac:dyDescent="0.2">
      <c r="A5262" s="341"/>
    </row>
    <row r="5263" spans="1:1" x14ac:dyDescent="0.2">
      <c r="A5263" s="341"/>
    </row>
    <row r="5264" spans="1:1" x14ac:dyDescent="0.2">
      <c r="A5264" s="341"/>
    </row>
    <row r="5265" spans="1:1" x14ac:dyDescent="0.2">
      <c r="A5265" s="341"/>
    </row>
    <row r="5266" spans="1:1" x14ac:dyDescent="0.2">
      <c r="A5266" s="341"/>
    </row>
    <row r="5267" spans="1:1" x14ac:dyDescent="0.2">
      <c r="A5267" s="341"/>
    </row>
    <row r="5268" spans="1:1" x14ac:dyDescent="0.2">
      <c r="A5268" s="341"/>
    </row>
    <row r="5269" spans="1:1" x14ac:dyDescent="0.2">
      <c r="A5269" s="341"/>
    </row>
    <row r="5270" spans="1:1" x14ac:dyDescent="0.2">
      <c r="A5270" s="341"/>
    </row>
    <row r="5271" spans="1:1" x14ac:dyDescent="0.2">
      <c r="A5271" s="341"/>
    </row>
    <row r="5272" spans="1:1" x14ac:dyDescent="0.2">
      <c r="A5272" s="341"/>
    </row>
    <row r="5273" spans="1:1" x14ac:dyDescent="0.2">
      <c r="A5273" s="341"/>
    </row>
    <row r="5274" spans="1:1" x14ac:dyDescent="0.2">
      <c r="A5274" s="341"/>
    </row>
    <row r="5275" spans="1:1" x14ac:dyDescent="0.2">
      <c r="A5275" s="341"/>
    </row>
    <row r="5276" spans="1:1" x14ac:dyDescent="0.2">
      <c r="A5276" s="341"/>
    </row>
    <row r="5277" spans="1:1" x14ac:dyDescent="0.2">
      <c r="A5277" s="341"/>
    </row>
    <row r="5278" spans="1:1" x14ac:dyDescent="0.2">
      <c r="A5278" s="341"/>
    </row>
    <row r="5279" spans="1:1" x14ac:dyDescent="0.2">
      <c r="A5279" s="341"/>
    </row>
    <row r="5280" spans="1:1" x14ac:dyDescent="0.2">
      <c r="A5280" s="341"/>
    </row>
    <row r="5281" spans="1:1" x14ac:dyDescent="0.2">
      <c r="A5281" s="341"/>
    </row>
    <row r="5282" spans="1:1" x14ac:dyDescent="0.2">
      <c r="A5282" s="341"/>
    </row>
    <row r="5283" spans="1:1" x14ac:dyDescent="0.2">
      <c r="A5283" s="341"/>
    </row>
    <row r="5284" spans="1:1" x14ac:dyDescent="0.2">
      <c r="A5284" s="341"/>
    </row>
    <row r="5285" spans="1:1" x14ac:dyDescent="0.2">
      <c r="A5285" s="341"/>
    </row>
    <row r="5286" spans="1:1" x14ac:dyDescent="0.2">
      <c r="A5286" s="341"/>
    </row>
    <row r="5287" spans="1:1" x14ac:dyDescent="0.2">
      <c r="A5287" s="341"/>
    </row>
    <row r="5288" spans="1:1" x14ac:dyDescent="0.2">
      <c r="A5288" s="341"/>
    </row>
    <row r="5289" spans="1:1" x14ac:dyDescent="0.2">
      <c r="A5289" s="341"/>
    </row>
    <row r="5290" spans="1:1" x14ac:dyDescent="0.2">
      <c r="A5290" s="341"/>
    </row>
    <row r="5291" spans="1:1" x14ac:dyDescent="0.2">
      <c r="A5291" s="341"/>
    </row>
    <row r="5292" spans="1:1" x14ac:dyDescent="0.2">
      <c r="A5292" s="341"/>
    </row>
    <row r="5293" spans="1:1" x14ac:dyDescent="0.2">
      <c r="A5293" s="341"/>
    </row>
    <row r="5294" spans="1:1" x14ac:dyDescent="0.2">
      <c r="A5294" s="341"/>
    </row>
    <row r="5295" spans="1:1" x14ac:dyDescent="0.2">
      <c r="A5295" s="341"/>
    </row>
    <row r="5296" spans="1:1" x14ac:dyDescent="0.2">
      <c r="A5296" s="341"/>
    </row>
    <row r="5297" spans="1:1" x14ac:dyDescent="0.2">
      <c r="A5297" s="341"/>
    </row>
    <row r="5298" spans="1:1" x14ac:dyDescent="0.2">
      <c r="A5298" s="341"/>
    </row>
    <row r="5299" spans="1:1" x14ac:dyDescent="0.2">
      <c r="A5299" s="341"/>
    </row>
    <row r="5300" spans="1:1" x14ac:dyDescent="0.2">
      <c r="A5300" s="341"/>
    </row>
    <row r="5301" spans="1:1" x14ac:dyDescent="0.2">
      <c r="A5301" s="341"/>
    </row>
    <row r="5302" spans="1:1" x14ac:dyDescent="0.2">
      <c r="A5302" s="341"/>
    </row>
    <row r="5303" spans="1:1" x14ac:dyDescent="0.2">
      <c r="A5303" s="341"/>
    </row>
    <row r="5304" spans="1:1" x14ac:dyDescent="0.2">
      <c r="A5304" s="341"/>
    </row>
    <row r="5305" spans="1:1" x14ac:dyDescent="0.2">
      <c r="A5305" s="341"/>
    </row>
    <row r="5306" spans="1:1" x14ac:dyDescent="0.2">
      <c r="A5306" s="341"/>
    </row>
    <row r="5307" spans="1:1" x14ac:dyDescent="0.2">
      <c r="A5307" s="341"/>
    </row>
    <row r="5308" spans="1:1" x14ac:dyDescent="0.2">
      <c r="A5308" s="341"/>
    </row>
    <row r="5309" spans="1:1" x14ac:dyDescent="0.2">
      <c r="A5309" s="341"/>
    </row>
    <row r="5310" spans="1:1" x14ac:dyDescent="0.2">
      <c r="A5310" s="341"/>
    </row>
    <row r="5311" spans="1:1" x14ac:dyDescent="0.2">
      <c r="A5311" s="341"/>
    </row>
    <row r="5312" spans="1:1" x14ac:dyDescent="0.2">
      <c r="A5312" s="341"/>
    </row>
    <row r="5313" spans="1:1" x14ac:dyDescent="0.2">
      <c r="A5313" s="341"/>
    </row>
    <row r="5314" spans="1:1" x14ac:dyDescent="0.2">
      <c r="A5314" s="341"/>
    </row>
    <row r="5315" spans="1:1" x14ac:dyDescent="0.2">
      <c r="A5315" s="341"/>
    </row>
    <row r="5316" spans="1:1" x14ac:dyDescent="0.2">
      <c r="A5316" s="341"/>
    </row>
    <row r="5317" spans="1:1" x14ac:dyDescent="0.2">
      <c r="A5317" s="341"/>
    </row>
    <row r="5318" spans="1:1" x14ac:dyDescent="0.2">
      <c r="A5318" s="341"/>
    </row>
    <row r="5319" spans="1:1" x14ac:dyDescent="0.2">
      <c r="A5319" s="341"/>
    </row>
    <row r="5320" spans="1:1" x14ac:dyDescent="0.2">
      <c r="A5320" s="341"/>
    </row>
    <row r="5321" spans="1:1" x14ac:dyDescent="0.2">
      <c r="A5321" s="341"/>
    </row>
    <row r="5322" spans="1:1" x14ac:dyDescent="0.2">
      <c r="A5322" s="341"/>
    </row>
    <row r="5323" spans="1:1" x14ac:dyDescent="0.2">
      <c r="A5323" s="341"/>
    </row>
    <row r="5324" spans="1:1" x14ac:dyDescent="0.2">
      <c r="A5324" s="341"/>
    </row>
    <row r="5325" spans="1:1" x14ac:dyDescent="0.2">
      <c r="A5325" s="341"/>
    </row>
    <row r="5326" spans="1:1" x14ac:dyDescent="0.2">
      <c r="A5326" s="341"/>
    </row>
    <row r="5327" spans="1:1" x14ac:dyDescent="0.2">
      <c r="A5327" s="341"/>
    </row>
    <row r="5328" spans="1:1" x14ac:dyDescent="0.2">
      <c r="A5328" s="341"/>
    </row>
    <row r="5329" spans="1:1" x14ac:dyDescent="0.2">
      <c r="A5329" s="341"/>
    </row>
    <row r="5330" spans="1:1" x14ac:dyDescent="0.2">
      <c r="A5330" s="341"/>
    </row>
    <row r="5331" spans="1:1" x14ac:dyDescent="0.2">
      <c r="A5331" s="341"/>
    </row>
    <row r="5332" spans="1:1" x14ac:dyDescent="0.2">
      <c r="A5332" s="341"/>
    </row>
    <row r="5333" spans="1:1" x14ac:dyDescent="0.2">
      <c r="A5333" s="341"/>
    </row>
    <row r="5334" spans="1:1" x14ac:dyDescent="0.2">
      <c r="A5334" s="341"/>
    </row>
    <row r="5335" spans="1:1" x14ac:dyDescent="0.2">
      <c r="A5335" s="341"/>
    </row>
    <row r="5336" spans="1:1" x14ac:dyDescent="0.2">
      <c r="A5336" s="341"/>
    </row>
    <row r="5337" spans="1:1" x14ac:dyDescent="0.2">
      <c r="A5337" s="341"/>
    </row>
    <row r="5338" spans="1:1" x14ac:dyDescent="0.2">
      <c r="A5338" s="341"/>
    </row>
    <row r="5339" spans="1:1" x14ac:dyDescent="0.2">
      <c r="A5339" s="341"/>
    </row>
    <row r="5340" spans="1:1" x14ac:dyDescent="0.2">
      <c r="A5340" s="341"/>
    </row>
    <row r="5341" spans="1:1" x14ac:dyDescent="0.2">
      <c r="A5341" s="341"/>
    </row>
    <row r="5342" spans="1:1" x14ac:dyDescent="0.2">
      <c r="A5342" s="341"/>
    </row>
    <row r="5343" spans="1:1" x14ac:dyDescent="0.2">
      <c r="A5343" s="341"/>
    </row>
    <row r="5344" spans="1:1" x14ac:dyDescent="0.2">
      <c r="A5344" s="341"/>
    </row>
    <row r="5345" spans="1:1" x14ac:dyDescent="0.2">
      <c r="A5345" s="341"/>
    </row>
    <row r="5346" spans="1:1" x14ac:dyDescent="0.2">
      <c r="A5346" s="341"/>
    </row>
    <row r="5347" spans="1:1" x14ac:dyDescent="0.2">
      <c r="A5347" s="341"/>
    </row>
    <row r="5348" spans="1:1" x14ac:dyDescent="0.2">
      <c r="A5348" s="341"/>
    </row>
    <row r="5349" spans="1:1" x14ac:dyDescent="0.2">
      <c r="A5349" s="341"/>
    </row>
    <row r="5350" spans="1:1" x14ac:dyDescent="0.2">
      <c r="A5350" s="341"/>
    </row>
    <row r="5351" spans="1:1" x14ac:dyDescent="0.2">
      <c r="A5351" s="341"/>
    </row>
    <row r="5352" spans="1:1" x14ac:dyDescent="0.2">
      <c r="A5352" s="341"/>
    </row>
    <row r="5353" spans="1:1" x14ac:dyDescent="0.2">
      <c r="A5353" s="341"/>
    </row>
    <row r="5354" spans="1:1" x14ac:dyDescent="0.2">
      <c r="A5354" s="341"/>
    </row>
    <row r="5355" spans="1:1" x14ac:dyDescent="0.2">
      <c r="A5355" s="341"/>
    </row>
    <row r="5356" spans="1:1" x14ac:dyDescent="0.2">
      <c r="A5356" s="341"/>
    </row>
    <row r="5357" spans="1:1" x14ac:dyDescent="0.2">
      <c r="A5357" s="341"/>
    </row>
    <row r="5358" spans="1:1" x14ac:dyDescent="0.2">
      <c r="A5358" s="341"/>
    </row>
    <row r="5359" spans="1:1" x14ac:dyDescent="0.2">
      <c r="A5359" s="341"/>
    </row>
    <row r="5360" spans="1:1" x14ac:dyDescent="0.2">
      <c r="A5360" s="341"/>
    </row>
    <row r="5361" spans="1:1" x14ac:dyDescent="0.2">
      <c r="A5361" s="341"/>
    </row>
    <row r="5362" spans="1:1" x14ac:dyDescent="0.2">
      <c r="A5362" s="341"/>
    </row>
    <row r="5363" spans="1:1" x14ac:dyDescent="0.2">
      <c r="A5363" s="341"/>
    </row>
    <row r="5364" spans="1:1" x14ac:dyDescent="0.2">
      <c r="A5364" s="341"/>
    </row>
    <row r="5365" spans="1:1" x14ac:dyDescent="0.2">
      <c r="A5365" s="341"/>
    </row>
    <row r="5366" spans="1:1" x14ac:dyDescent="0.2">
      <c r="A5366" s="341"/>
    </row>
    <row r="5367" spans="1:1" x14ac:dyDescent="0.2">
      <c r="A5367" s="341"/>
    </row>
    <row r="5368" spans="1:1" x14ac:dyDescent="0.2">
      <c r="A5368" s="341"/>
    </row>
    <row r="5369" spans="1:1" x14ac:dyDescent="0.2">
      <c r="A5369" s="341"/>
    </row>
    <row r="5370" spans="1:1" x14ac:dyDescent="0.2">
      <c r="A5370" s="341"/>
    </row>
    <row r="5371" spans="1:1" x14ac:dyDescent="0.2">
      <c r="A5371" s="341"/>
    </row>
    <row r="5372" spans="1:1" x14ac:dyDescent="0.2">
      <c r="A5372" s="341"/>
    </row>
    <row r="5373" spans="1:1" x14ac:dyDescent="0.2">
      <c r="A5373" s="341"/>
    </row>
    <row r="5374" spans="1:1" x14ac:dyDescent="0.2">
      <c r="A5374" s="341"/>
    </row>
    <row r="5375" spans="1:1" x14ac:dyDescent="0.2">
      <c r="A5375" s="341"/>
    </row>
    <row r="5376" spans="1:1" x14ac:dyDescent="0.2">
      <c r="A5376" s="341"/>
    </row>
    <row r="5377" spans="1:1" x14ac:dyDescent="0.2">
      <c r="A5377" s="341"/>
    </row>
    <row r="5378" spans="1:1" x14ac:dyDescent="0.2">
      <c r="A5378" s="341"/>
    </row>
    <row r="5379" spans="1:1" x14ac:dyDescent="0.2">
      <c r="A5379" s="341"/>
    </row>
    <row r="5380" spans="1:1" x14ac:dyDescent="0.2">
      <c r="A5380" s="341"/>
    </row>
    <row r="5381" spans="1:1" x14ac:dyDescent="0.2">
      <c r="A5381" s="341"/>
    </row>
    <row r="5382" spans="1:1" x14ac:dyDescent="0.2">
      <c r="A5382" s="341"/>
    </row>
    <row r="5383" spans="1:1" x14ac:dyDescent="0.2">
      <c r="A5383" s="341"/>
    </row>
    <row r="5384" spans="1:1" x14ac:dyDescent="0.2">
      <c r="A5384" s="341"/>
    </row>
    <row r="5385" spans="1:1" x14ac:dyDescent="0.2">
      <c r="A5385" s="341"/>
    </row>
    <row r="5386" spans="1:1" x14ac:dyDescent="0.2">
      <c r="A5386" s="341"/>
    </row>
    <row r="5387" spans="1:1" x14ac:dyDescent="0.2">
      <c r="A5387" s="341"/>
    </row>
    <row r="5388" spans="1:1" x14ac:dyDescent="0.2">
      <c r="A5388" s="341"/>
    </row>
    <row r="5389" spans="1:1" x14ac:dyDescent="0.2">
      <c r="A5389" s="341"/>
    </row>
    <row r="5390" spans="1:1" x14ac:dyDescent="0.2">
      <c r="A5390" s="341"/>
    </row>
    <row r="5391" spans="1:1" x14ac:dyDescent="0.2">
      <c r="A5391" s="341"/>
    </row>
    <row r="5392" spans="1:1" x14ac:dyDescent="0.2">
      <c r="A5392" s="341"/>
    </row>
    <row r="5393" spans="1:1" x14ac:dyDescent="0.2">
      <c r="A5393" s="341"/>
    </row>
    <row r="5394" spans="1:1" x14ac:dyDescent="0.2">
      <c r="A5394" s="341"/>
    </row>
    <row r="5395" spans="1:1" x14ac:dyDescent="0.2">
      <c r="A5395" s="341"/>
    </row>
    <row r="5396" spans="1:1" x14ac:dyDescent="0.2">
      <c r="A5396" s="341"/>
    </row>
    <row r="5397" spans="1:1" x14ac:dyDescent="0.2">
      <c r="A5397" s="341"/>
    </row>
    <row r="5398" spans="1:1" x14ac:dyDescent="0.2">
      <c r="A5398" s="341"/>
    </row>
    <row r="5399" spans="1:1" x14ac:dyDescent="0.2">
      <c r="A5399" s="341"/>
    </row>
    <row r="5400" spans="1:1" x14ac:dyDescent="0.2">
      <c r="A5400" s="341"/>
    </row>
    <row r="5401" spans="1:1" x14ac:dyDescent="0.2">
      <c r="A5401" s="341"/>
    </row>
    <row r="5402" spans="1:1" x14ac:dyDescent="0.2">
      <c r="A5402" s="341"/>
    </row>
    <row r="5403" spans="1:1" x14ac:dyDescent="0.2">
      <c r="A5403" s="341"/>
    </row>
    <row r="5404" spans="1:1" x14ac:dyDescent="0.2">
      <c r="A5404" s="341"/>
    </row>
    <row r="5405" spans="1:1" x14ac:dyDescent="0.2">
      <c r="A5405" s="341"/>
    </row>
    <row r="5406" spans="1:1" x14ac:dyDescent="0.2">
      <c r="A5406" s="341"/>
    </row>
    <row r="5407" spans="1:1" x14ac:dyDescent="0.2">
      <c r="A5407" s="341"/>
    </row>
    <row r="5408" spans="1:1" x14ac:dyDescent="0.2">
      <c r="A5408" s="341"/>
    </row>
    <row r="5409" spans="1:1" x14ac:dyDescent="0.2">
      <c r="A5409" s="341"/>
    </row>
    <row r="5410" spans="1:1" x14ac:dyDescent="0.2">
      <c r="A5410" s="341"/>
    </row>
    <row r="5411" spans="1:1" x14ac:dyDescent="0.2">
      <c r="A5411" s="341"/>
    </row>
    <row r="5412" spans="1:1" x14ac:dyDescent="0.2">
      <c r="A5412" s="341"/>
    </row>
    <row r="5413" spans="1:1" x14ac:dyDescent="0.2">
      <c r="A5413" s="341"/>
    </row>
    <row r="5414" spans="1:1" x14ac:dyDescent="0.2">
      <c r="A5414" s="341"/>
    </row>
    <row r="5415" spans="1:1" x14ac:dyDescent="0.2">
      <c r="A5415" s="341"/>
    </row>
    <row r="5416" spans="1:1" x14ac:dyDescent="0.2">
      <c r="A5416" s="341"/>
    </row>
    <row r="5417" spans="1:1" x14ac:dyDescent="0.2">
      <c r="A5417" s="341"/>
    </row>
    <row r="5418" spans="1:1" x14ac:dyDescent="0.2">
      <c r="A5418" s="341"/>
    </row>
    <row r="5419" spans="1:1" x14ac:dyDescent="0.2">
      <c r="A5419" s="341"/>
    </row>
    <row r="5420" spans="1:1" x14ac:dyDescent="0.2">
      <c r="A5420" s="341"/>
    </row>
    <row r="5421" spans="1:1" x14ac:dyDescent="0.2">
      <c r="A5421" s="341"/>
    </row>
    <row r="5422" spans="1:1" x14ac:dyDescent="0.2">
      <c r="A5422" s="341"/>
    </row>
    <row r="5423" spans="1:1" x14ac:dyDescent="0.2">
      <c r="A5423" s="341"/>
    </row>
    <row r="5424" spans="1:1" x14ac:dyDescent="0.2">
      <c r="A5424" s="341"/>
    </row>
    <row r="5425" spans="1:1" x14ac:dyDescent="0.2">
      <c r="A5425" s="341"/>
    </row>
    <row r="5426" spans="1:1" x14ac:dyDescent="0.2">
      <c r="A5426" s="341"/>
    </row>
    <row r="5427" spans="1:1" x14ac:dyDescent="0.2">
      <c r="A5427" s="341"/>
    </row>
    <row r="5428" spans="1:1" x14ac:dyDescent="0.2">
      <c r="A5428" s="341"/>
    </row>
    <row r="5429" spans="1:1" x14ac:dyDescent="0.2">
      <c r="A5429" s="341"/>
    </row>
    <row r="5430" spans="1:1" x14ac:dyDescent="0.2">
      <c r="A5430" s="341"/>
    </row>
    <row r="5431" spans="1:1" x14ac:dyDescent="0.2">
      <c r="A5431" s="341"/>
    </row>
    <row r="5432" spans="1:1" x14ac:dyDescent="0.2">
      <c r="A5432" s="341"/>
    </row>
    <row r="5433" spans="1:1" x14ac:dyDescent="0.2">
      <c r="A5433" s="341"/>
    </row>
    <row r="5434" spans="1:1" x14ac:dyDescent="0.2">
      <c r="A5434" s="341"/>
    </row>
    <row r="5435" spans="1:1" x14ac:dyDescent="0.2">
      <c r="A5435" s="341"/>
    </row>
    <row r="5436" spans="1:1" x14ac:dyDescent="0.2">
      <c r="A5436" s="341"/>
    </row>
    <row r="5437" spans="1:1" x14ac:dyDescent="0.2">
      <c r="A5437" s="341"/>
    </row>
    <row r="5438" spans="1:1" x14ac:dyDescent="0.2">
      <c r="A5438" s="341"/>
    </row>
    <row r="5439" spans="1:1" x14ac:dyDescent="0.2">
      <c r="A5439" s="341"/>
    </row>
    <row r="5440" spans="1:1" x14ac:dyDescent="0.2">
      <c r="A5440" s="341"/>
    </row>
    <row r="5441" spans="1:1" x14ac:dyDescent="0.2">
      <c r="A5441" s="341"/>
    </row>
    <row r="5442" spans="1:1" x14ac:dyDescent="0.2">
      <c r="A5442" s="341"/>
    </row>
    <row r="5443" spans="1:1" x14ac:dyDescent="0.2">
      <c r="A5443" s="341"/>
    </row>
    <row r="5444" spans="1:1" x14ac:dyDescent="0.2">
      <c r="A5444" s="341"/>
    </row>
    <row r="5445" spans="1:1" x14ac:dyDescent="0.2">
      <c r="A5445" s="341"/>
    </row>
    <row r="5446" spans="1:1" x14ac:dyDescent="0.2">
      <c r="A5446" s="341"/>
    </row>
    <row r="5447" spans="1:1" x14ac:dyDescent="0.2">
      <c r="A5447" s="341"/>
    </row>
    <row r="5448" spans="1:1" x14ac:dyDescent="0.2">
      <c r="A5448" s="341"/>
    </row>
    <row r="5449" spans="1:1" x14ac:dyDescent="0.2">
      <c r="A5449" s="341"/>
    </row>
    <row r="5450" spans="1:1" x14ac:dyDescent="0.2">
      <c r="A5450" s="341"/>
    </row>
    <row r="5451" spans="1:1" x14ac:dyDescent="0.2">
      <c r="A5451" s="341"/>
    </row>
    <row r="5452" spans="1:1" x14ac:dyDescent="0.2">
      <c r="A5452" s="341"/>
    </row>
    <row r="5453" spans="1:1" x14ac:dyDescent="0.2">
      <c r="A5453" s="341"/>
    </row>
    <row r="5454" spans="1:1" x14ac:dyDescent="0.2">
      <c r="A5454" s="341"/>
    </row>
    <row r="5455" spans="1:1" x14ac:dyDescent="0.2">
      <c r="A5455" s="341"/>
    </row>
    <row r="5456" spans="1:1" x14ac:dyDescent="0.2">
      <c r="A5456" s="341"/>
    </row>
    <row r="5457" spans="1:1" x14ac:dyDescent="0.2">
      <c r="A5457" s="341"/>
    </row>
    <row r="5458" spans="1:1" x14ac:dyDescent="0.2">
      <c r="A5458" s="341"/>
    </row>
    <row r="5459" spans="1:1" x14ac:dyDescent="0.2">
      <c r="A5459" s="341"/>
    </row>
    <row r="5460" spans="1:1" x14ac:dyDescent="0.2">
      <c r="A5460" s="341"/>
    </row>
    <row r="5461" spans="1:1" x14ac:dyDescent="0.2">
      <c r="A5461" s="341"/>
    </row>
    <row r="5462" spans="1:1" x14ac:dyDescent="0.2">
      <c r="A5462" s="341"/>
    </row>
    <row r="5463" spans="1:1" x14ac:dyDescent="0.2">
      <c r="A5463" s="341"/>
    </row>
    <row r="5464" spans="1:1" x14ac:dyDescent="0.2">
      <c r="A5464" s="341"/>
    </row>
    <row r="5465" spans="1:1" x14ac:dyDescent="0.2">
      <c r="A5465" s="341"/>
    </row>
    <row r="5466" spans="1:1" x14ac:dyDescent="0.2">
      <c r="A5466" s="341"/>
    </row>
    <row r="5467" spans="1:1" x14ac:dyDescent="0.2">
      <c r="A5467" s="341"/>
    </row>
    <row r="5468" spans="1:1" x14ac:dyDescent="0.2">
      <c r="A5468" s="341"/>
    </row>
    <row r="5469" spans="1:1" x14ac:dyDescent="0.2">
      <c r="A5469" s="341"/>
    </row>
    <row r="5470" spans="1:1" x14ac:dyDescent="0.2">
      <c r="A5470" s="341"/>
    </row>
    <row r="5471" spans="1:1" x14ac:dyDescent="0.2">
      <c r="A5471" s="341"/>
    </row>
    <row r="5472" spans="1:1" x14ac:dyDescent="0.2">
      <c r="A5472" s="341"/>
    </row>
    <row r="5473" spans="1:1" x14ac:dyDescent="0.2">
      <c r="A5473" s="341"/>
    </row>
    <row r="5474" spans="1:1" x14ac:dyDescent="0.2">
      <c r="A5474" s="341"/>
    </row>
    <row r="5475" spans="1:1" x14ac:dyDescent="0.2">
      <c r="A5475" s="341"/>
    </row>
    <row r="5476" spans="1:1" x14ac:dyDescent="0.2">
      <c r="A5476" s="341"/>
    </row>
    <row r="5477" spans="1:1" x14ac:dyDescent="0.2">
      <c r="A5477" s="341"/>
    </row>
    <row r="5478" spans="1:1" x14ac:dyDescent="0.2">
      <c r="A5478" s="341"/>
    </row>
    <row r="5479" spans="1:1" x14ac:dyDescent="0.2">
      <c r="A5479" s="341"/>
    </row>
    <row r="5480" spans="1:1" x14ac:dyDescent="0.2">
      <c r="A5480" s="341"/>
    </row>
    <row r="5481" spans="1:1" x14ac:dyDescent="0.2">
      <c r="A5481" s="341"/>
    </row>
    <row r="5482" spans="1:1" x14ac:dyDescent="0.2">
      <c r="A5482" s="341"/>
    </row>
    <row r="5483" spans="1:1" x14ac:dyDescent="0.2">
      <c r="A5483" s="341"/>
    </row>
    <row r="5484" spans="1:1" x14ac:dyDescent="0.2">
      <c r="A5484" s="341"/>
    </row>
    <row r="5485" spans="1:1" x14ac:dyDescent="0.2">
      <c r="A5485" s="341"/>
    </row>
    <row r="5486" spans="1:1" x14ac:dyDescent="0.2">
      <c r="A5486" s="341"/>
    </row>
    <row r="5487" spans="1:1" x14ac:dyDescent="0.2">
      <c r="A5487" s="341"/>
    </row>
    <row r="5488" spans="1:1" x14ac:dyDescent="0.2">
      <c r="A5488" s="341"/>
    </row>
    <row r="5489" spans="1:1" x14ac:dyDescent="0.2">
      <c r="A5489" s="341"/>
    </row>
    <row r="5490" spans="1:1" x14ac:dyDescent="0.2">
      <c r="A5490" s="341"/>
    </row>
    <row r="5491" spans="1:1" x14ac:dyDescent="0.2">
      <c r="A5491" s="341"/>
    </row>
    <row r="5492" spans="1:1" x14ac:dyDescent="0.2">
      <c r="A5492" s="341"/>
    </row>
    <row r="5493" spans="1:1" x14ac:dyDescent="0.2">
      <c r="A5493" s="341"/>
    </row>
    <row r="5494" spans="1:1" x14ac:dyDescent="0.2">
      <c r="A5494" s="341"/>
    </row>
    <row r="5495" spans="1:1" x14ac:dyDescent="0.2">
      <c r="A5495" s="341"/>
    </row>
    <row r="5496" spans="1:1" x14ac:dyDescent="0.2">
      <c r="A5496" s="341"/>
    </row>
    <row r="5497" spans="1:1" x14ac:dyDescent="0.2">
      <c r="A5497" s="341"/>
    </row>
    <row r="5498" spans="1:1" x14ac:dyDescent="0.2">
      <c r="A5498" s="341"/>
    </row>
    <row r="5499" spans="1:1" x14ac:dyDescent="0.2">
      <c r="A5499" s="341"/>
    </row>
    <row r="5500" spans="1:1" x14ac:dyDescent="0.2">
      <c r="A5500" s="341"/>
    </row>
    <row r="5501" spans="1:1" x14ac:dyDescent="0.2">
      <c r="A5501" s="341"/>
    </row>
    <row r="5502" spans="1:1" x14ac:dyDescent="0.2">
      <c r="A5502" s="341"/>
    </row>
    <row r="5503" spans="1:1" x14ac:dyDescent="0.2">
      <c r="A5503" s="341"/>
    </row>
    <row r="5504" spans="1:1" x14ac:dyDescent="0.2">
      <c r="A5504" s="341"/>
    </row>
    <row r="5505" spans="1:1" x14ac:dyDescent="0.2">
      <c r="A5505" s="341"/>
    </row>
    <row r="5506" spans="1:1" x14ac:dyDescent="0.2">
      <c r="A5506" s="341"/>
    </row>
    <row r="5507" spans="1:1" x14ac:dyDescent="0.2">
      <c r="A5507" s="341"/>
    </row>
    <row r="5508" spans="1:1" x14ac:dyDescent="0.2">
      <c r="A5508" s="341"/>
    </row>
    <row r="5509" spans="1:1" x14ac:dyDescent="0.2">
      <c r="A5509" s="341"/>
    </row>
    <row r="5510" spans="1:1" x14ac:dyDescent="0.2">
      <c r="A5510" s="341"/>
    </row>
    <row r="5511" spans="1:1" x14ac:dyDescent="0.2">
      <c r="A5511" s="341"/>
    </row>
    <row r="5512" spans="1:1" x14ac:dyDescent="0.2">
      <c r="A5512" s="341"/>
    </row>
    <row r="5513" spans="1:1" x14ac:dyDescent="0.2">
      <c r="A5513" s="341"/>
    </row>
    <row r="5514" spans="1:1" x14ac:dyDescent="0.2">
      <c r="A5514" s="341"/>
    </row>
    <row r="5515" spans="1:1" x14ac:dyDescent="0.2">
      <c r="A5515" s="341"/>
    </row>
    <row r="5516" spans="1:1" x14ac:dyDescent="0.2">
      <c r="A5516" s="341"/>
    </row>
    <row r="5517" spans="1:1" x14ac:dyDescent="0.2">
      <c r="A5517" s="341"/>
    </row>
    <row r="5518" spans="1:1" x14ac:dyDescent="0.2">
      <c r="A5518" s="341"/>
    </row>
    <row r="5519" spans="1:1" x14ac:dyDescent="0.2">
      <c r="A5519" s="341"/>
    </row>
    <row r="5520" spans="1:1" x14ac:dyDescent="0.2">
      <c r="A5520" s="341"/>
    </row>
    <row r="5521" spans="1:1" x14ac:dyDescent="0.2">
      <c r="A5521" s="341"/>
    </row>
    <row r="5522" spans="1:1" x14ac:dyDescent="0.2">
      <c r="A5522" s="341"/>
    </row>
    <row r="5523" spans="1:1" x14ac:dyDescent="0.2">
      <c r="A5523" s="341"/>
    </row>
    <row r="5524" spans="1:1" x14ac:dyDescent="0.2">
      <c r="A5524" s="341"/>
    </row>
    <row r="5525" spans="1:1" x14ac:dyDescent="0.2">
      <c r="A5525" s="341"/>
    </row>
    <row r="5526" spans="1:1" x14ac:dyDescent="0.2">
      <c r="A5526" s="341"/>
    </row>
    <row r="5527" spans="1:1" x14ac:dyDescent="0.2">
      <c r="A5527" s="341"/>
    </row>
    <row r="5528" spans="1:1" x14ac:dyDescent="0.2">
      <c r="A5528" s="341"/>
    </row>
    <row r="5529" spans="1:1" x14ac:dyDescent="0.2">
      <c r="A5529" s="341"/>
    </row>
    <row r="5530" spans="1:1" x14ac:dyDescent="0.2">
      <c r="A5530" s="341"/>
    </row>
    <row r="5531" spans="1:1" x14ac:dyDescent="0.2">
      <c r="A5531" s="341"/>
    </row>
    <row r="5532" spans="1:1" x14ac:dyDescent="0.2">
      <c r="A5532" s="341"/>
    </row>
    <row r="5533" spans="1:1" x14ac:dyDescent="0.2">
      <c r="A5533" s="341"/>
    </row>
    <row r="5534" spans="1:1" x14ac:dyDescent="0.2">
      <c r="A5534" s="341"/>
    </row>
    <row r="5535" spans="1:1" x14ac:dyDescent="0.2">
      <c r="A5535" s="341"/>
    </row>
    <row r="5536" spans="1:1" x14ac:dyDescent="0.2">
      <c r="A5536" s="341"/>
    </row>
    <row r="5537" spans="1:1" x14ac:dyDescent="0.2">
      <c r="A5537" s="341"/>
    </row>
    <row r="5538" spans="1:1" x14ac:dyDescent="0.2">
      <c r="A5538" s="341"/>
    </row>
    <row r="5539" spans="1:1" x14ac:dyDescent="0.2">
      <c r="A5539" s="341"/>
    </row>
    <row r="5540" spans="1:1" x14ac:dyDescent="0.2">
      <c r="A5540" s="341"/>
    </row>
    <row r="5541" spans="1:1" x14ac:dyDescent="0.2">
      <c r="A5541" s="341"/>
    </row>
    <row r="5542" spans="1:1" x14ac:dyDescent="0.2">
      <c r="A5542" s="341"/>
    </row>
    <row r="5543" spans="1:1" x14ac:dyDescent="0.2">
      <c r="A5543" s="341"/>
    </row>
    <row r="5544" spans="1:1" x14ac:dyDescent="0.2">
      <c r="A5544" s="341"/>
    </row>
    <row r="5545" spans="1:1" x14ac:dyDescent="0.2">
      <c r="A5545" s="341"/>
    </row>
    <row r="5546" spans="1:1" x14ac:dyDescent="0.2">
      <c r="A5546" s="341"/>
    </row>
    <row r="5547" spans="1:1" x14ac:dyDescent="0.2">
      <c r="A5547" s="341"/>
    </row>
    <row r="5548" spans="1:1" x14ac:dyDescent="0.2">
      <c r="A5548" s="341"/>
    </row>
    <row r="5549" spans="1:1" x14ac:dyDescent="0.2">
      <c r="A5549" s="341"/>
    </row>
    <row r="5550" spans="1:1" x14ac:dyDescent="0.2">
      <c r="A5550" s="341"/>
    </row>
    <row r="5551" spans="1:1" x14ac:dyDescent="0.2">
      <c r="A5551" s="341"/>
    </row>
    <row r="5552" spans="1:1" x14ac:dyDescent="0.2">
      <c r="A5552" s="341"/>
    </row>
    <row r="5553" spans="1:1" x14ac:dyDescent="0.2">
      <c r="A5553" s="341"/>
    </row>
    <row r="5554" spans="1:1" x14ac:dyDescent="0.2">
      <c r="A5554" s="341"/>
    </row>
    <row r="5555" spans="1:1" x14ac:dyDescent="0.2">
      <c r="A5555" s="341"/>
    </row>
    <row r="5556" spans="1:1" x14ac:dyDescent="0.2">
      <c r="A5556" s="341"/>
    </row>
    <row r="5557" spans="1:1" x14ac:dyDescent="0.2">
      <c r="A5557" s="341"/>
    </row>
    <row r="5558" spans="1:1" x14ac:dyDescent="0.2">
      <c r="A5558" s="341"/>
    </row>
    <row r="5559" spans="1:1" x14ac:dyDescent="0.2">
      <c r="A5559" s="341"/>
    </row>
    <row r="5560" spans="1:1" x14ac:dyDescent="0.2">
      <c r="A5560" s="341"/>
    </row>
    <row r="5561" spans="1:1" x14ac:dyDescent="0.2">
      <c r="A5561" s="341"/>
    </row>
    <row r="5562" spans="1:1" x14ac:dyDescent="0.2">
      <c r="A5562" s="341"/>
    </row>
    <row r="5563" spans="1:1" x14ac:dyDescent="0.2">
      <c r="A5563" s="341"/>
    </row>
    <row r="5564" spans="1:1" x14ac:dyDescent="0.2">
      <c r="A5564" s="341"/>
    </row>
    <row r="5565" spans="1:1" x14ac:dyDescent="0.2">
      <c r="A5565" s="341"/>
    </row>
    <row r="5566" spans="1:1" x14ac:dyDescent="0.2">
      <c r="A5566" s="341"/>
    </row>
    <row r="5567" spans="1:1" x14ac:dyDescent="0.2">
      <c r="A5567" s="341"/>
    </row>
    <row r="5568" spans="1:1" x14ac:dyDescent="0.2">
      <c r="A5568" s="341"/>
    </row>
    <row r="5569" spans="1:1" x14ac:dyDescent="0.2">
      <c r="A5569" s="341"/>
    </row>
    <row r="5570" spans="1:1" x14ac:dyDescent="0.2">
      <c r="A5570" s="341"/>
    </row>
    <row r="5571" spans="1:1" x14ac:dyDescent="0.2">
      <c r="A5571" s="341"/>
    </row>
    <row r="5572" spans="1:1" x14ac:dyDescent="0.2">
      <c r="A5572" s="341"/>
    </row>
    <row r="5573" spans="1:1" x14ac:dyDescent="0.2">
      <c r="A5573" s="341"/>
    </row>
    <row r="5574" spans="1:1" x14ac:dyDescent="0.2">
      <c r="A5574" s="341"/>
    </row>
    <row r="5575" spans="1:1" x14ac:dyDescent="0.2">
      <c r="A5575" s="341"/>
    </row>
    <row r="5576" spans="1:1" x14ac:dyDescent="0.2">
      <c r="A5576" s="341"/>
    </row>
    <row r="5577" spans="1:1" x14ac:dyDescent="0.2">
      <c r="A5577" s="341"/>
    </row>
    <row r="5578" spans="1:1" x14ac:dyDescent="0.2">
      <c r="A5578" s="341"/>
    </row>
    <row r="5579" spans="1:1" x14ac:dyDescent="0.2">
      <c r="A5579" s="341"/>
    </row>
    <row r="5580" spans="1:1" x14ac:dyDescent="0.2">
      <c r="A5580" s="341"/>
    </row>
    <row r="5581" spans="1:1" x14ac:dyDescent="0.2">
      <c r="A5581" s="341"/>
    </row>
    <row r="5582" spans="1:1" x14ac:dyDescent="0.2">
      <c r="A5582" s="341"/>
    </row>
    <row r="5583" spans="1:1" x14ac:dyDescent="0.2">
      <c r="A5583" s="341"/>
    </row>
    <row r="5584" spans="1:1" x14ac:dyDescent="0.2">
      <c r="A5584" s="341"/>
    </row>
    <row r="5585" spans="1:1" x14ac:dyDescent="0.2">
      <c r="A5585" s="341"/>
    </row>
    <row r="5586" spans="1:1" x14ac:dyDescent="0.2">
      <c r="A5586" s="341"/>
    </row>
    <row r="5587" spans="1:1" x14ac:dyDescent="0.2">
      <c r="A5587" s="341"/>
    </row>
    <row r="5588" spans="1:1" x14ac:dyDescent="0.2">
      <c r="A5588" s="341"/>
    </row>
    <row r="5589" spans="1:1" x14ac:dyDescent="0.2">
      <c r="A5589" s="341"/>
    </row>
    <row r="5590" spans="1:1" x14ac:dyDescent="0.2">
      <c r="A5590" s="341"/>
    </row>
    <row r="5591" spans="1:1" x14ac:dyDescent="0.2">
      <c r="A5591" s="341"/>
    </row>
    <row r="5592" spans="1:1" x14ac:dyDescent="0.2">
      <c r="A5592" s="341"/>
    </row>
    <row r="5593" spans="1:1" x14ac:dyDescent="0.2">
      <c r="A5593" s="341"/>
    </row>
    <row r="5594" spans="1:1" x14ac:dyDescent="0.2">
      <c r="A5594" s="341"/>
    </row>
    <row r="5595" spans="1:1" x14ac:dyDescent="0.2">
      <c r="A5595" s="341"/>
    </row>
    <row r="5596" spans="1:1" x14ac:dyDescent="0.2">
      <c r="A5596" s="341"/>
    </row>
    <row r="5597" spans="1:1" x14ac:dyDescent="0.2">
      <c r="A5597" s="341"/>
    </row>
    <row r="5598" spans="1:1" x14ac:dyDescent="0.2">
      <c r="A5598" s="341"/>
    </row>
    <row r="5599" spans="1:1" x14ac:dyDescent="0.2">
      <c r="A5599" s="341"/>
    </row>
    <row r="5600" spans="1:1" x14ac:dyDescent="0.2">
      <c r="A5600" s="341"/>
    </row>
    <row r="5601" spans="1:1" x14ac:dyDescent="0.2">
      <c r="A5601" s="341"/>
    </row>
    <row r="5602" spans="1:1" x14ac:dyDescent="0.2">
      <c r="A5602" s="341"/>
    </row>
    <row r="5603" spans="1:1" x14ac:dyDescent="0.2">
      <c r="A5603" s="341"/>
    </row>
    <row r="5604" spans="1:1" x14ac:dyDescent="0.2">
      <c r="A5604" s="341"/>
    </row>
    <row r="5605" spans="1:1" x14ac:dyDescent="0.2">
      <c r="A5605" s="341"/>
    </row>
    <row r="5606" spans="1:1" x14ac:dyDescent="0.2">
      <c r="A5606" s="341"/>
    </row>
    <row r="5607" spans="1:1" x14ac:dyDescent="0.2">
      <c r="A5607" s="341"/>
    </row>
    <row r="5608" spans="1:1" x14ac:dyDescent="0.2">
      <c r="A5608" s="341"/>
    </row>
    <row r="5609" spans="1:1" x14ac:dyDescent="0.2">
      <c r="A5609" s="341"/>
    </row>
    <row r="5610" spans="1:1" x14ac:dyDescent="0.2">
      <c r="A5610" s="341"/>
    </row>
    <row r="5611" spans="1:1" x14ac:dyDescent="0.2">
      <c r="A5611" s="341"/>
    </row>
    <row r="5612" spans="1:1" x14ac:dyDescent="0.2">
      <c r="A5612" s="341"/>
    </row>
    <row r="5613" spans="1:1" x14ac:dyDescent="0.2">
      <c r="A5613" s="341"/>
    </row>
    <row r="5614" spans="1:1" x14ac:dyDescent="0.2">
      <c r="A5614" s="341"/>
    </row>
    <row r="5615" spans="1:1" x14ac:dyDescent="0.2">
      <c r="A5615" s="341"/>
    </row>
    <row r="5616" spans="1:1" x14ac:dyDescent="0.2">
      <c r="A5616" s="341"/>
    </row>
    <row r="5617" spans="1:1" x14ac:dyDescent="0.2">
      <c r="A5617" s="341"/>
    </row>
    <row r="5618" spans="1:1" x14ac:dyDescent="0.2">
      <c r="A5618" s="341"/>
    </row>
    <row r="5619" spans="1:1" x14ac:dyDescent="0.2">
      <c r="A5619" s="341"/>
    </row>
    <row r="5620" spans="1:1" x14ac:dyDescent="0.2">
      <c r="A5620" s="341"/>
    </row>
    <row r="5621" spans="1:1" x14ac:dyDescent="0.2">
      <c r="A5621" s="341"/>
    </row>
    <row r="5622" spans="1:1" x14ac:dyDescent="0.2">
      <c r="A5622" s="341"/>
    </row>
    <row r="5623" spans="1:1" x14ac:dyDescent="0.2">
      <c r="A5623" s="341"/>
    </row>
    <row r="5624" spans="1:1" x14ac:dyDescent="0.2">
      <c r="A5624" s="341"/>
    </row>
    <row r="5625" spans="1:1" x14ac:dyDescent="0.2">
      <c r="A5625" s="341"/>
    </row>
    <row r="5626" spans="1:1" x14ac:dyDescent="0.2">
      <c r="A5626" s="341"/>
    </row>
    <row r="5627" spans="1:1" x14ac:dyDescent="0.2">
      <c r="A5627" s="341"/>
    </row>
    <row r="5628" spans="1:1" x14ac:dyDescent="0.2">
      <c r="A5628" s="341"/>
    </row>
    <row r="5629" spans="1:1" x14ac:dyDescent="0.2">
      <c r="A5629" s="341"/>
    </row>
    <row r="5630" spans="1:1" x14ac:dyDescent="0.2">
      <c r="A5630" s="341"/>
    </row>
    <row r="5631" spans="1:1" x14ac:dyDescent="0.2">
      <c r="A5631" s="341"/>
    </row>
    <row r="5632" spans="1:1" x14ac:dyDescent="0.2">
      <c r="A5632" s="341"/>
    </row>
    <row r="5633" spans="1:1" x14ac:dyDescent="0.2">
      <c r="A5633" s="341"/>
    </row>
    <row r="5634" spans="1:1" x14ac:dyDescent="0.2">
      <c r="A5634" s="341"/>
    </row>
    <row r="5635" spans="1:1" x14ac:dyDescent="0.2">
      <c r="A5635" s="341"/>
    </row>
    <row r="5636" spans="1:1" x14ac:dyDescent="0.2">
      <c r="A5636" s="341"/>
    </row>
    <row r="5637" spans="1:1" x14ac:dyDescent="0.2">
      <c r="A5637" s="341"/>
    </row>
    <row r="5638" spans="1:1" x14ac:dyDescent="0.2">
      <c r="A5638" s="341"/>
    </row>
    <row r="5639" spans="1:1" x14ac:dyDescent="0.2">
      <c r="A5639" s="341"/>
    </row>
    <row r="5640" spans="1:1" x14ac:dyDescent="0.2">
      <c r="A5640" s="341"/>
    </row>
    <row r="5641" spans="1:1" x14ac:dyDescent="0.2">
      <c r="A5641" s="341"/>
    </row>
    <row r="5642" spans="1:1" x14ac:dyDescent="0.2">
      <c r="A5642" s="341"/>
    </row>
    <row r="5643" spans="1:1" x14ac:dyDescent="0.2">
      <c r="A5643" s="341"/>
    </row>
    <row r="5644" spans="1:1" x14ac:dyDescent="0.2">
      <c r="A5644" s="341"/>
    </row>
    <row r="5645" spans="1:1" x14ac:dyDescent="0.2">
      <c r="A5645" s="341"/>
    </row>
    <row r="5646" spans="1:1" x14ac:dyDescent="0.2">
      <c r="A5646" s="341"/>
    </row>
    <row r="5647" spans="1:1" x14ac:dyDescent="0.2">
      <c r="A5647" s="341"/>
    </row>
    <row r="5648" spans="1:1" x14ac:dyDescent="0.2">
      <c r="A5648" s="341"/>
    </row>
    <row r="5649" spans="1:1" x14ac:dyDescent="0.2">
      <c r="A5649" s="341"/>
    </row>
    <row r="5650" spans="1:1" x14ac:dyDescent="0.2">
      <c r="A5650" s="341"/>
    </row>
    <row r="5651" spans="1:1" x14ac:dyDescent="0.2">
      <c r="A5651" s="341"/>
    </row>
    <row r="5652" spans="1:1" x14ac:dyDescent="0.2">
      <c r="A5652" s="341"/>
    </row>
    <row r="5653" spans="1:1" x14ac:dyDescent="0.2">
      <c r="A5653" s="341"/>
    </row>
    <row r="5654" spans="1:1" x14ac:dyDescent="0.2">
      <c r="A5654" s="341"/>
    </row>
    <row r="5655" spans="1:1" x14ac:dyDescent="0.2">
      <c r="A5655" s="341"/>
    </row>
    <row r="5656" spans="1:1" x14ac:dyDescent="0.2">
      <c r="A5656" s="341"/>
    </row>
    <row r="5657" spans="1:1" x14ac:dyDescent="0.2">
      <c r="A5657" s="341"/>
    </row>
    <row r="5658" spans="1:1" x14ac:dyDescent="0.2">
      <c r="A5658" s="341"/>
    </row>
    <row r="5659" spans="1:1" x14ac:dyDescent="0.2">
      <c r="A5659" s="341"/>
    </row>
    <row r="5660" spans="1:1" x14ac:dyDescent="0.2">
      <c r="A5660" s="341"/>
    </row>
    <row r="5661" spans="1:1" x14ac:dyDescent="0.2">
      <c r="A5661" s="341"/>
    </row>
    <row r="5662" spans="1:1" x14ac:dyDescent="0.2">
      <c r="A5662" s="341"/>
    </row>
    <row r="5663" spans="1:1" x14ac:dyDescent="0.2">
      <c r="A5663" s="341"/>
    </row>
    <row r="5664" spans="1:1" x14ac:dyDescent="0.2">
      <c r="A5664" s="341"/>
    </row>
    <row r="5665" spans="1:1" x14ac:dyDescent="0.2">
      <c r="A5665" s="341"/>
    </row>
    <row r="5666" spans="1:1" x14ac:dyDescent="0.2">
      <c r="A5666" s="341"/>
    </row>
    <row r="5667" spans="1:1" x14ac:dyDescent="0.2">
      <c r="A5667" s="341"/>
    </row>
    <row r="5668" spans="1:1" x14ac:dyDescent="0.2">
      <c r="A5668" s="341"/>
    </row>
    <row r="5669" spans="1:1" x14ac:dyDescent="0.2">
      <c r="A5669" s="341"/>
    </row>
    <row r="5670" spans="1:1" x14ac:dyDescent="0.2">
      <c r="A5670" s="341"/>
    </row>
    <row r="5671" spans="1:1" x14ac:dyDescent="0.2">
      <c r="A5671" s="341"/>
    </row>
    <row r="5672" spans="1:1" x14ac:dyDescent="0.2">
      <c r="A5672" s="341"/>
    </row>
    <row r="5673" spans="1:1" x14ac:dyDescent="0.2">
      <c r="A5673" s="341"/>
    </row>
    <row r="5674" spans="1:1" x14ac:dyDescent="0.2">
      <c r="A5674" s="341"/>
    </row>
    <row r="5675" spans="1:1" x14ac:dyDescent="0.2">
      <c r="A5675" s="341"/>
    </row>
    <row r="5676" spans="1:1" x14ac:dyDescent="0.2">
      <c r="A5676" s="341"/>
    </row>
    <row r="5677" spans="1:1" x14ac:dyDescent="0.2">
      <c r="A5677" s="341"/>
    </row>
    <row r="5678" spans="1:1" x14ac:dyDescent="0.2">
      <c r="A5678" s="341"/>
    </row>
    <row r="5679" spans="1:1" x14ac:dyDescent="0.2">
      <c r="A5679" s="341"/>
    </row>
    <row r="5680" spans="1:1" x14ac:dyDescent="0.2">
      <c r="A5680" s="341"/>
    </row>
    <row r="5681" spans="1:1" x14ac:dyDescent="0.2">
      <c r="A5681" s="341"/>
    </row>
    <row r="5682" spans="1:1" x14ac:dyDescent="0.2">
      <c r="A5682" s="341"/>
    </row>
    <row r="5683" spans="1:1" x14ac:dyDescent="0.2">
      <c r="A5683" s="341"/>
    </row>
    <row r="5684" spans="1:1" x14ac:dyDescent="0.2">
      <c r="A5684" s="341"/>
    </row>
    <row r="5685" spans="1:1" x14ac:dyDescent="0.2">
      <c r="A5685" s="341"/>
    </row>
    <row r="5686" spans="1:1" x14ac:dyDescent="0.2">
      <c r="A5686" s="341"/>
    </row>
    <row r="5687" spans="1:1" x14ac:dyDescent="0.2">
      <c r="A5687" s="341"/>
    </row>
    <row r="5688" spans="1:1" x14ac:dyDescent="0.2">
      <c r="A5688" s="341"/>
    </row>
    <row r="5689" spans="1:1" x14ac:dyDescent="0.2">
      <c r="A5689" s="341"/>
    </row>
    <row r="5690" spans="1:1" x14ac:dyDescent="0.2">
      <c r="A5690" s="341"/>
    </row>
    <row r="5691" spans="1:1" x14ac:dyDescent="0.2">
      <c r="A5691" s="341"/>
    </row>
    <row r="5692" spans="1:1" x14ac:dyDescent="0.2">
      <c r="A5692" s="341"/>
    </row>
    <row r="5693" spans="1:1" x14ac:dyDescent="0.2">
      <c r="A5693" s="341"/>
    </row>
    <row r="5694" spans="1:1" x14ac:dyDescent="0.2">
      <c r="A5694" s="341"/>
    </row>
    <row r="5695" spans="1:1" x14ac:dyDescent="0.2">
      <c r="A5695" s="341"/>
    </row>
    <row r="5696" spans="1:1" x14ac:dyDescent="0.2">
      <c r="A5696" s="341"/>
    </row>
    <row r="5697" spans="1:1" x14ac:dyDescent="0.2">
      <c r="A5697" s="341"/>
    </row>
    <row r="5698" spans="1:1" x14ac:dyDescent="0.2">
      <c r="A5698" s="341"/>
    </row>
    <row r="5699" spans="1:1" x14ac:dyDescent="0.2">
      <c r="A5699" s="341"/>
    </row>
    <row r="5700" spans="1:1" x14ac:dyDescent="0.2">
      <c r="A5700" s="341"/>
    </row>
    <row r="5701" spans="1:1" x14ac:dyDescent="0.2">
      <c r="A5701" s="341"/>
    </row>
    <row r="5702" spans="1:1" x14ac:dyDescent="0.2">
      <c r="A5702" s="341"/>
    </row>
    <row r="5703" spans="1:1" x14ac:dyDescent="0.2">
      <c r="A5703" s="341"/>
    </row>
    <row r="5704" spans="1:1" x14ac:dyDescent="0.2">
      <c r="A5704" s="341"/>
    </row>
    <row r="5705" spans="1:1" x14ac:dyDescent="0.2">
      <c r="A5705" s="341"/>
    </row>
    <row r="5706" spans="1:1" x14ac:dyDescent="0.2">
      <c r="A5706" s="341"/>
    </row>
    <row r="5707" spans="1:1" x14ac:dyDescent="0.2">
      <c r="A5707" s="341"/>
    </row>
    <row r="5708" spans="1:1" x14ac:dyDescent="0.2">
      <c r="A5708" s="341"/>
    </row>
    <row r="5709" spans="1:1" x14ac:dyDescent="0.2">
      <c r="A5709" s="341"/>
    </row>
    <row r="5710" spans="1:1" x14ac:dyDescent="0.2">
      <c r="A5710" s="341"/>
    </row>
    <row r="5711" spans="1:1" x14ac:dyDescent="0.2">
      <c r="A5711" s="341"/>
    </row>
    <row r="5712" spans="1:1" x14ac:dyDescent="0.2">
      <c r="A5712" s="341"/>
    </row>
    <row r="5713" spans="1:1" x14ac:dyDescent="0.2">
      <c r="A5713" s="341"/>
    </row>
    <row r="5714" spans="1:1" x14ac:dyDescent="0.2">
      <c r="A5714" s="341"/>
    </row>
    <row r="5715" spans="1:1" x14ac:dyDescent="0.2">
      <c r="A5715" s="341"/>
    </row>
    <row r="5716" spans="1:1" x14ac:dyDescent="0.2">
      <c r="A5716" s="341"/>
    </row>
    <row r="5717" spans="1:1" x14ac:dyDescent="0.2">
      <c r="A5717" s="341"/>
    </row>
    <row r="5718" spans="1:1" x14ac:dyDescent="0.2">
      <c r="A5718" s="341"/>
    </row>
    <row r="5719" spans="1:1" x14ac:dyDescent="0.2">
      <c r="A5719" s="341"/>
    </row>
    <row r="5720" spans="1:1" x14ac:dyDescent="0.2">
      <c r="A5720" s="341"/>
    </row>
    <row r="5721" spans="1:1" x14ac:dyDescent="0.2">
      <c r="A5721" s="341"/>
    </row>
    <row r="5722" spans="1:1" x14ac:dyDescent="0.2">
      <c r="A5722" s="341"/>
    </row>
    <row r="5723" spans="1:1" x14ac:dyDescent="0.2">
      <c r="A5723" s="341"/>
    </row>
    <row r="5724" spans="1:1" x14ac:dyDescent="0.2">
      <c r="A5724" s="341"/>
    </row>
    <row r="5725" spans="1:1" x14ac:dyDescent="0.2">
      <c r="A5725" s="341"/>
    </row>
    <row r="5726" spans="1:1" x14ac:dyDescent="0.2">
      <c r="A5726" s="341"/>
    </row>
    <row r="5727" spans="1:1" x14ac:dyDescent="0.2">
      <c r="A5727" s="341"/>
    </row>
    <row r="5728" spans="1:1" x14ac:dyDescent="0.2">
      <c r="A5728" s="341"/>
    </row>
    <row r="5729" spans="1:1" x14ac:dyDescent="0.2">
      <c r="A5729" s="341"/>
    </row>
    <row r="5730" spans="1:1" x14ac:dyDescent="0.2">
      <c r="A5730" s="341"/>
    </row>
    <row r="5731" spans="1:1" x14ac:dyDescent="0.2">
      <c r="A5731" s="341"/>
    </row>
    <row r="5732" spans="1:1" x14ac:dyDescent="0.2">
      <c r="A5732" s="341"/>
    </row>
    <row r="5733" spans="1:1" x14ac:dyDescent="0.2">
      <c r="A5733" s="341"/>
    </row>
    <row r="5734" spans="1:1" x14ac:dyDescent="0.2">
      <c r="A5734" s="341"/>
    </row>
    <row r="5735" spans="1:1" x14ac:dyDescent="0.2">
      <c r="A5735" s="341"/>
    </row>
    <row r="5736" spans="1:1" x14ac:dyDescent="0.2">
      <c r="A5736" s="341"/>
    </row>
    <row r="5737" spans="1:1" x14ac:dyDescent="0.2">
      <c r="A5737" s="341"/>
    </row>
    <row r="5738" spans="1:1" x14ac:dyDescent="0.2">
      <c r="A5738" s="341"/>
    </row>
    <row r="5739" spans="1:1" x14ac:dyDescent="0.2">
      <c r="A5739" s="341"/>
    </row>
    <row r="5740" spans="1:1" x14ac:dyDescent="0.2">
      <c r="A5740" s="341"/>
    </row>
    <row r="5741" spans="1:1" x14ac:dyDescent="0.2">
      <c r="A5741" s="341"/>
    </row>
    <row r="5742" spans="1:1" x14ac:dyDescent="0.2">
      <c r="A5742" s="341"/>
    </row>
    <row r="5743" spans="1:1" x14ac:dyDescent="0.2">
      <c r="A5743" s="341"/>
    </row>
    <row r="5744" spans="1:1" x14ac:dyDescent="0.2">
      <c r="A5744" s="341"/>
    </row>
    <row r="5745" spans="1:1" x14ac:dyDescent="0.2">
      <c r="A5745" s="341"/>
    </row>
    <row r="5746" spans="1:1" x14ac:dyDescent="0.2">
      <c r="A5746" s="341"/>
    </row>
    <row r="5747" spans="1:1" x14ac:dyDescent="0.2">
      <c r="A5747" s="341"/>
    </row>
    <row r="5748" spans="1:1" x14ac:dyDescent="0.2">
      <c r="A5748" s="341"/>
    </row>
    <row r="5749" spans="1:1" x14ac:dyDescent="0.2">
      <c r="A5749" s="341"/>
    </row>
    <row r="5750" spans="1:1" x14ac:dyDescent="0.2">
      <c r="A5750" s="341"/>
    </row>
    <row r="5751" spans="1:1" x14ac:dyDescent="0.2">
      <c r="A5751" s="341"/>
    </row>
    <row r="5752" spans="1:1" x14ac:dyDescent="0.2">
      <c r="A5752" s="341"/>
    </row>
    <row r="5753" spans="1:1" x14ac:dyDescent="0.2">
      <c r="A5753" s="341"/>
    </row>
    <row r="5754" spans="1:1" x14ac:dyDescent="0.2">
      <c r="A5754" s="341"/>
    </row>
    <row r="5755" spans="1:1" x14ac:dyDescent="0.2">
      <c r="A5755" s="341"/>
    </row>
    <row r="5756" spans="1:1" x14ac:dyDescent="0.2">
      <c r="A5756" s="341"/>
    </row>
    <row r="5757" spans="1:1" x14ac:dyDescent="0.2">
      <c r="A5757" s="341"/>
    </row>
    <row r="5758" spans="1:1" x14ac:dyDescent="0.2">
      <c r="A5758" s="341"/>
    </row>
    <row r="5759" spans="1:1" x14ac:dyDescent="0.2">
      <c r="A5759" s="341"/>
    </row>
    <row r="5760" spans="1:1" x14ac:dyDescent="0.2">
      <c r="A5760" s="341"/>
    </row>
    <row r="5761" spans="1:1" x14ac:dyDescent="0.2">
      <c r="A5761" s="341"/>
    </row>
    <row r="5762" spans="1:1" x14ac:dyDescent="0.2">
      <c r="A5762" s="341"/>
    </row>
    <row r="5763" spans="1:1" x14ac:dyDescent="0.2">
      <c r="A5763" s="341"/>
    </row>
    <row r="5764" spans="1:1" x14ac:dyDescent="0.2">
      <c r="A5764" s="341"/>
    </row>
    <row r="5765" spans="1:1" x14ac:dyDescent="0.2">
      <c r="A5765" s="341"/>
    </row>
    <row r="5766" spans="1:1" x14ac:dyDescent="0.2">
      <c r="A5766" s="341"/>
    </row>
    <row r="5767" spans="1:1" x14ac:dyDescent="0.2">
      <c r="A5767" s="341"/>
    </row>
    <row r="5768" spans="1:1" x14ac:dyDescent="0.2">
      <c r="A5768" s="341"/>
    </row>
    <row r="5769" spans="1:1" x14ac:dyDescent="0.2">
      <c r="A5769" s="341"/>
    </row>
    <row r="5770" spans="1:1" x14ac:dyDescent="0.2">
      <c r="A5770" s="341"/>
    </row>
    <row r="5771" spans="1:1" x14ac:dyDescent="0.2">
      <c r="A5771" s="341"/>
    </row>
    <row r="5772" spans="1:1" x14ac:dyDescent="0.2">
      <c r="A5772" s="341"/>
    </row>
    <row r="5773" spans="1:1" x14ac:dyDescent="0.2">
      <c r="A5773" s="341"/>
    </row>
    <row r="5774" spans="1:1" x14ac:dyDescent="0.2">
      <c r="A5774" s="341"/>
    </row>
    <row r="5775" spans="1:1" x14ac:dyDescent="0.2">
      <c r="A5775" s="341"/>
    </row>
    <row r="5776" spans="1:1" x14ac:dyDescent="0.2">
      <c r="A5776" s="341"/>
    </row>
    <row r="5777" spans="1:1" x14ac:dyDescent="0.2">
      <c r="A5777" s="341"/>
    </row>
    <row r="5778" spans="1:1" x14ac:dyDescent="0.2">
      <c r="A5778" s="341"/>
    </row>
    <row r="5779" spans="1:1" x14ac:dyDescent="0.2">
      <c r="A5779" s="341"/>
    </row>
    <row r="5780" spans="1:1" x14ac:dyDescent="0.2">
      <c r="A5780" s="341"/>
    </row>
    <row r="5781" spans="1:1" x14ac:dyDescent="0.2">
      <c r="A5781" s="341"/>
    </row>
    <row r="5782" spans="1:1" x14ac:dyDescent="0.2">
      <c r="A5782" s="341"/>
    </row>
    <row r="5783" spans="1:1" x14ac:dyDescent="0.2">
      <c r="A5783" s="341"/>
    </row>
    <row r="5784" spans="1:1" x14ac:dyDescent="0.2">
      <c r="A5784" s="341"/>
    </row>
    <row r="5785" spans="1:1" x14ac:dyDescent="0.2">
      <c r="A5785" s="341"/>
    </row>
    <row r="5786" spans="1:1" x14ac:dyDescent="0.2">
      <c r="A5786" s="341"/>
    </row>
    <row r="5787" spans="1:1" x14ac:dyDescent="0.2">
      <c r="A5787" s="341"/>
    </row>
    <row r="5788" spans="1:1" x14ac:dyDescent="0.2">
      <c r="A5788" s="341"/>
    </row>
    <row r="5789" spans="1:1" x14ac:dyDescent="0.2">
      <c r="A5789" s="341"/>
    </row>
    <row r="5790" spans="1:1" x14ac:dyDescent="0.2">
      <c r="A5790" s="341"/>
    </row>
    <row r="5791" spans="1:1" x14ac:dyDescent="0.2">
      <c r="A5791" s="341"/>
    </row>
    <row r="5792" spans="1:1" x14ac:dyDescent="0.2">
      <c r="A5792" s="341"/>
    </row>
    <row r="5793" spans="1:1" x14ac:dyDescent="0.2">
      <c r="A5793" s="341"/>
    </row>
    <row r="5794" spans="1:1" x14ac:dyDescent="0.2">
      <c r="A5794" s="341"/>
    </row>
    <row r="5795" spans="1:1" x14ac:dyDescent="0.2">
      <c r="A5795" s="341"/>
    </row>
    <row r="5796" spans="1:1" x14ac:dyDescent="0.2">
      <c r="A5796" s="341"/>
    </row>
    <row r="5797" spans="1:1" x14ac:dyDescent="0.2">
      <c r="A5797" s="341"/>
    </row>
    <row r="5798" spans="1:1" x14ac:dyDescent="0.2">
      <c r="A5798" s="341"/>
    </row>
    <row r="5799" spans="1:1" x14ac:dyDescent="0.2">
      <c r="A5799" s="341"/>
    </row>
    <row r="5800" spans="1:1" x14ac:dyDescent="0.2">
      <c r="A5800" s="341"/>
    </row>
    <row r="5801" spans="1:1" x14ac:dyDescent="0.2">
      <c r="A5801" s="341"/>
    </row>
    <row r="5802" spans="1:1" x14ac:dyDescent="0.2">
      <c r="A5802" s="341"/>
    </row>
    <row r="5803" spans="1:1" x14ac:dyDescent="0.2">
      <c r="A5803" s="341"/>
    </row>
    <row r="5804" spans="1:1" x14ac:dyDescent="0.2">
      <c r="A5804" s="341"/>
    </row>
    <row r="5805" spans="1:1" x14ac:dyDescent="0.2">
      <c r="A5805" s="341"/>
    </row>
    <row r="5806" spans="1:1" x14ac:dyDescent="0.2">
      <c r="A5806" s="341"/>
    </row>
    <row r="5807" spans="1:1" x14ac:dyDescent="0.2">
      <c r="A5807" s="341"/>
    </row>
    <row r="5808" spans="1:1" x14ac:dyDescent="0.2">
      <c r="A5808" s="341"/>
    </row>
    <row r="5809" spans="1:1" x14ac:dyDescent="0.2">
      <c r="A5809" s="341"/>
    </row>
    <row r="5810" spans="1:1" x14ac:dyDescent="0.2">
      <c r="A5810" s="341"/>
    </row>
    <row r="5811" spans="1:1" x14ac:dyDescent="0.2">
      <c r="A5811" s="341"/>
    </row>
    <row r="5812" spans="1:1" x14ac:dyDescent="0.2">
      <c r="A5812" s="341"/>
    </row>
    <row r="5813" spans="1:1" x14ac:dyDescent="0.2">
      <c r="A5813" s="341"/>
    </row>
    <row r="5814" spans="1:1" x14ac:dyDescent="0.2">
      <c r="A5814" s="341"/>
    </row>
    <row r="5815" spans="1:1" x14ac:dyDescent="0.2">
      <c r="A5815" s="341"/>
    </row>
    <row r="5816" spans="1:1" x14ac:dyDescent="0.2">
      <c r="A5816" s="341"/>
    </row>
    <row r="5817" spans="1:1" x14ac:dyDescent="0.2">
      <c r="A5817" s="341"/>
    </row>
    <row r="5818" spans="1:1" x14ac:dyDescent="0.2">
      <c r="A5818" s="341"/>
    </row>
    <row r="5819" spans="1:1" x14ac:dyDescent="0.2">
      <c r="A5819" s="341"/>
    </row>
    <row r="5820" spans="1:1" x14ac:dyDescent="0.2">
      <c r="A5820" s="341"/>
    </row>
    <row r="5821" spans="1:1" x14ac:dyDescent="0.2">
      <c r="A5821" s="341"/>
    </row>
    <row r="5822" spans="1:1" x14ac:dyDescent="0.2">
      <c r="A5822" s="341"/>
    </row>
    <row r="5823" spans="1:1" x14ac:dyDescent="0.2">
      <c r="A5823" s="341"/>
    </row>
    <row r="5824" spans="1:1" x14ac:dyDescent="0.2">
      <c r="A5824" s="341"/>
    </row>
    <row r="5825" spans="1:1" x14ac:dyDescent="0.2">
      <c r="A5825" s="341"/>
    </row>
    <row r="5826" spans="1:1" x14ac:dyDescent="0.2">
      <c r="A5826" s="341"/>
    </row>
    <row r="5827" spans="1:1" x14ac:dyDescent="0.2">
      <c r="A5827" s="341"/>
    </row>
    <row r="5828" spans="1:1" x14ac:dyDescent="0.2">
      <c r="A5828" s="341"/>
    </row>
    <row r="5829" spans="1:1" x14ac:dyDescent="0.2">
      <c r="A5829" s="341"/>
    </row>
    <row r="5830" spans="1:1" x14ac:dyDescent="0.2">
      <c r="A5830" s="341"/>
    </row>
    <row r="5831" spans="1:1" x14ac:dyDescent="0.2">
      <c r="A5831" s="341"/>
    </row>
    <row r="5832" spans="1:1" x14ac:dyDescent="0.2">
      <c r="A5832" s="341"/>
    </row>
    <row r="5833" spans="1:1" x14ac:dyDescent="0.2">
      <c r="A5833" s="341"/>
    </row>
    <row r="5834" spans="1:1" x14ac:dyDescent="0.2">
      <c r="A5834" s="341"/>
    </row>
    <row r="5835" spans="1:1" x14ac:dyDescent="0.2">
      <c r="A5835" s="341"/>
    </row>
    <row r="5836" spans="1:1" x14ac:dyDescent="0.2">
      <c r="A5836" s="341"/>
    </row>
    <row r="5837" spans="1:1" x14ac:dyDescent="0.2">
      <c r="A5837" s="341"/>
    </row>
    <row r="5838" spans="1:1" x14ac:dyDescent="0.2">
      <c r="A5838" s="341"/>
    </row>
    <row r="5839" spans="1:1" x14ac:dyDescent="0.2">
      <c r="A5839" s="341"/>
    </row>
    <row r="5840" spans="1:1" x14ac:dyDescent="0.2">
      <c r="A5840" s="341"/>
    </row>
    <row r="5841" spans="1:1" x14ac:dyDescent="0.2">
      <c r="A5841" s="341"/>
    </row>
    <row r="5842" spans="1:1" x14ac:dyDescent="0.2">
      <c r="A5842" s="341"/>
    </row>
    <row r="5843" spans="1:1" x14ac:dyDescent="0.2">
      <c r="A5843" s="341"/>
    </row>
    <row r="5844" spans="1:1" x14ac:dyDescent="0.2">
      <c r="A5844" s="341"/>
    </row>
    <row r="5845" spans="1:1" x14ac:dyDescent="0.2">
      <c r="A5845" s="341"/>
    </row>
    <row r="5846" spans="1:1" x14ac:dyDescent="0.2">
      <c r="A5846" s="341"/>
    </row>
    <row r="5847" spans="1:1" x14ac:dyDescent="0.2">
      <c r="A5847" s="341"/>
    </row>
    <row r="5848" spans="1:1" x14ac:dyDescent="0.2">
      <c r="A5848" s="341"/>
    </row>
    <row r="5849" spans="1:1" x14ac:dyDescent="0.2">
      <c r="A5849" s="341"/>
    </row>
    <row r="5850" spans="1:1" x14ac:dyDescent="0.2">
      <c r="A5850" s="341"/>
    </row>
    <row r="5851" spans="1:1" x14ac:dyDescent="0.2">
      <c r="A5851" s="341"/>
    </row>
    <row r="5852" spans="1:1" x14ac:dyDescent="0.2">
      <c r="A5852" s="341"/>
    </row>
    <row r="5853" spans="1:1" x14ac:dyDescent="0.2">
      <c r="A5853" s="341"/>
    </row>
    <row r="5854" spans="1:1" x14ac:dyDescent="0.2">
      <c r="A5854" s="341"/>
    </row>
    <row r="5855" spans="1:1" x14ac:dyDescent="0.2">
      <c r="A5855" s="341"/>
    </row>
    <row r="5856" spans="1:1" x14ac:dyDescent="0.2">
      <c r="A5856" s="341"/>
    </row>
    <row r="5857" spans="1:1" x14ac:dyDescent="0.2">
      <c r="A5857" s="341"/>
    </row>
    <row r="5858" spans="1:1" x14ac:dyDescent="0.2">
      <c r="A5858" s="341"/>
    </row>
    <row r="5859" spans="1:1" x14ac:dyDescent="0.2">
      <c r="A5859" s="341"/>
    </row>
    <row r="5860" spans="1:1" x14ac:dyDescent="0.2">
      <c r="A5860" s="341"/>
    </row>
    <row r="5861" spans="1:1" x14ac:dyDescent="0.2">
      <c r="A5861" s="341"/>
    </row>
    <row r="5862" spans="1:1" x14ac:dyDescent="0.2">
      <c r="A5862" s="341"/>
    </row>
    <row r="5863" spans="1:1" x14ac:dyDescent="0.2">
      <c r="A5863" s="341"/>
    </row>
    <row r="5864" spans="1:1" x14ac:dyDescent="0.2">
      <c r="A5864" s="341"/>
    </row>
    <row r="5865" spans="1:1" x14ac:dyDescent="0.2">
      <c r="A5865" s="341"/>
    </row>
    <row r="5866" spans="1:1" x14ac:dyDescent="0.2">
      <c r="A5866" s="341"/>
    </row>
    <row r="5867" spans="1:1" x14ac:dyDescent="0.2">
      <c r="A5867" s="341"/>
    </row>
    <row r="5868" spans="1:1" x14ac:dyDescent="0.2">
      <c r="A5868" s="341"/>
    </row>
    <row r="5869" spans="1:1" x14ac:dyDescent="0.2">
      <c r="A5869" s="341"/>
    </row>
    <row r="5870" spans="1:1" x14ac:dyDescent="0.2">
      <c r="A5870" s="341"/>
    </row>
    <row r="5871" spans="1:1" x14ac:dyDescent="0.2">
      <c r="A5871" s="341"/>
    </row>
    <row r="5872" spans="1:1" x14ac:dyDescent="0.2">
      <c r="A5872" s="341"/>
    </row>
    <row r="5873" spans="1:1" x14ac:dyDescent="0.2">
      <c r="A5873" s="341"/>
    </row>
    <row r="5874" spans="1:1" x14ac:dyDescent="0.2">
      <c r="A5874" s="341"/>
    </row>
    <row r="5875" spans="1:1" x14ac:dyDescent="0.2">
      <c r="A5875" s="341"/>
    </row>
    <row r="5876" spans="1:1" x14ac:dyDescent="0.2">
      <c r="A5876" s="341"/>
    </row>
    <row r="5877" spans="1:1" x14ac:dyDescent="0.2">
      <c r="A5877" s="341"/>
    </row>
    <row r="5878" spans="1:1" x14ac:dyDescent="0.2">
      <c r="A5878" s="341"/>
    </row>
    <row r="5879" spans="1:1" x14ac:dyDescent="0.2">
      <c r="A5879" s="341"/>
    </row>
    <row r="5880" spans="1:1" x14ac:dyDescent="0.2">
      <c r="A5880" s="341"/>
    </row>
    <row r="5881" spans="1:1" x14ac:dyDescent="0.2">
      <c r="A5881" s="341"/>
    </row>
    <row r="5882" spans="1:1" x14ac:dyDescent="0.2">
      <c r="A5882" s="341"/>
    </row>
    <row r="5883" spans="1:1" x14ac:dyDescent="0.2">
      <c r="A5883" s="341"/>
    </row>
    <row r="5884" spans="1:1" x14ac:dyDescent="0.2">
      <c r="A5884" s="341"/>
    </row>
    <row r="5885" spans="1:1" x14ac:dyDescent="0.2">
      <c r="A5885" s="341"/>
    </row>
    <row r="5886" spans="1:1" x14ac:dyDescent="0.2">
      <c r="A5886" s="341"/>
    </row>
    <row r="5887" spans="1:1" x14ac:dyDescent="0.2">
      <c r="A5887" s="341"/>
    </row>
    <row r="5888" spans="1:1" x14ac:dyDescent="0.2">
      <c r="A5888" s="341"/>
    </row>
    <row r="5889" spans="1:1" x14ac:dyDescent="0.2">
      <c r="A5889" s="341"/>
    </row>
    <row r="5890" spans="1:1" x14ac:dyDescent="0.2">
      <c r="A5890" s="341"/>
    </row>
    <row r="5891" spans="1:1" x14ac:dyDescent="0.2">
      <c r="A5891" s="341"/>
    </row>
    <row r="5892" spans="1:1" x14ac:dyDescent="0.2">
      <c r="A5892" s="341"/>
    </row>
    <row r="5893" spans="1:1" x14ac:dyDescent="0.2">
      <c r="A5893" s="341"/>
    </row>
    <row r="5894" spans="1:1" x14ac:dyDescent="0.2">
      <c r="A5894" s="341"/>
    </row>
    <row r="5895" spans="1:1" x14ac:dyDescent="0.2">
      <c r="A5895" s="341"/>
    </row>
    <row r="5896" spans="1:1" x14ac:dyDescent="0.2">
      <c r="A5896" s="341"/>
    </row>
    <row r="5897" spans="1:1" x14ac:dyDescent="0.2">
      <c r="A5897" s="341"/>
    </row>
    <row r="5898" spans="1:1" x14ac:dyDescent="0.2">
      <c r="A5898" s="341"/>
    </row>
    <row r="5899" spans="1:1" x14ac:dyDescent="0.2">
      <c r="A5899" s="341"/>
    </row>
    <row r="5900" spans="1:1" x14ac:dyDescent="0.2">
      <c r="A5900" s="341"/>
    </row>
    <row r="5901" spans="1:1" x14ac:dyDescent="0.2">
      <c r="A5901" s="341"/>
    </row>
    <row r="5902" spans="1:1" x14ac:dyDescent="0.2">
      <c r="A5902" s="341"/>
    </row>
    <row r="5903" spans="1:1" x14ac:dyDescent="0.2">
      <c r="A5903" s="341"/>
    </row>
    <row r="5904" spans="1:1" x14ac:dyDescent="0.2">
      <c r="A5904" s="341"/>
    </row>
    <row r="5905" spans="1:1" x14ac:dyDescent="0.2">
      <c r="A5905" s="341"/>
    </row>
    <row r="5906" spans="1:1" x14ac:dyDescent="0.2">
      <c r="A5906" s="341"/>
    </row>
    <row r="5907" spans="1:1" x14ac:dyDescent="0.2">
      <c r="A5907" s="341"/>
    </row>
    <row r="5908" spans="1:1" x14ac:dyDescent="0.2">
      <c r="A5908" s="341"/>
    </row>
    <row r="5909" spans="1:1" x14ac:dyDescent="0.2">
      <c r="A5909" s="341"/>
    </row>
    <row r="5910" spans="1:1" x14ac:dyDescent="0.2">
      <c r="A5910" s="341"/>
    </row>
    <row r="5911" spans="1:1" x14ac:dyDescent="0.2">
      <c r="A5911" s="341"/>
    </row>
    <row r="5912" spans="1:1" x14ac:dyDescent="0.2">
      <c r="A5912" s="341"/>
    </row>
    <row r="5913" spans="1:1" x14ac:dyDescent="0.2">
      <c r="A5913" s="341"/>
    </row>
    <row r="5914" spans="1:1" x14ac:dyDescent="0.2">
      <c r="A5914" s="341"/>
    </row>
    <row r="5915" spans="1:1" x14ac:dyDescent="0.2">
      <c r="A5915" s="341"/>
    </row>
    <row r="5916" spans="1:1" x14ac:dyDescent="0.2">
      <c r="A5916" s="341"/>
    </row>
    <row r="5917" spans="1:1" x14ac:dyDescent="0.2">
      <c r="A5917" s="341"/>
    </row>
    <row r="5918" spans="1:1" x14ac:dyDescent="0.2">
      <c r="A5918" s="341"/>
    </row>
    <row r="5919" spans="1:1" x14ac:dyDescent="0.2">
      <c r="A5919" s="341"/>
    </row>
    <row r="5920" spans="1:1" x14ac:dyDescent="0.2">
      <c r="A5920" s="341"/>
    </row>
    <row r="5921" spans="1:1" x14ac:dyDescent="0.2">
      <c r="A5921" s="341"/>
    </row>
    <row r="5922" spans="1:1" x14ac:dyDescent="0.2">
      <c r="A5922" s="341"/>
    </row>
    <row r="5923" spans="1:1" x14ac:dyDescent="0.2">
      <c r="A5923" s="341"/>
    </row>
    <row r="5924" spans="1:1" x14ac:dyDescent="0.2">
      <c r="A5924" s="341"/>
    </row>
    <row r="5925" spans="1:1" x14ac:dyDescent="0.2">
      <c r="A5925" s="341"/>
    </row>
    <row r="5926" spans="1:1" x14ac:dyDescent="0.2">
      <c r="A5926" s="341"/>
    </row>
    <row r="5927" spans="1:1" x14ac:dyDescent="0.2">
      <c r="A5927" s="341"/>
    </row>
    <row r="5928" spans="1:1" x14ac:dyDescent="0.2">
      <c r="A5928" s="341"/>
    </row>
    <row r="5929" spans="1:1" x14ac:dyDescent="0.2">
      <c r="A5929" s="341"/>
    </row>
    <row r="5930" spans="1:1" x14ac:dyDescent="0.2">
      <c r="A5930" s="341"/>
    </row>
    <row r="5931" spans="1:1" x14ac:dyDescent="0.2">
      <c r="A5931" s="341"/>
    </row>
    <row r="5932" spans="1:1" x14ac:dyDescent="0.2">
      <c r="A5932" s="341"/>
    </row>
    <row r="5933" spans="1:1" x14ac:dyDescent="0.2">
      <c r="A5933" s="341"/>
    </row>
    <row r="5934" spans="1:1" x14ac:dyDescent="0.2">
      <c r="A5934" s="341"/>
    </row>
    <row r="5935" spans="1:1" x14ac:dyDescent="0.2">
      <c r="A5935" s="341"/>
    </row>
    <row r="5936" spans="1:1" x14ac:dyDescent="0.2">
      <c r="A5936" s="341"/>
    </row>
    <row r="5937" spans="1:1" x14ac:dyDescent="0.2">
      <c r="A5937" s="341"/>
    </row>
    <row r="5938" spans="1:1" x14ac:dyDescent="0.2">
      <c r="A5938" s="341"/>
    </row>
    <row r="5939" spans="1:1" x14ac:dyDescent="0.2">
      <c r="A5939" s="341"/>
    </row>
    <row r="5940" spans="1:1" x14ac:dyDescent="0.2">
      <c r="A5940" s="341"/>
    </row>
    <row r="5941" spans="1:1" x14ac:dyDescent="0.2">
      <c r="A5941" s="341"/>
    </row>
    <row r="5942" spans="1:1" x14ac:dyDescent="0.2">
      <c r="A5942" s="341"/>
    </row>
    <row r="5943" spans="1:1" x14ac:dyDescent="0.2">
      <c r="A5943" s="341"/>
    </row>
    <row r="5944" spans="1:1" x14ac:dyDescent="0.2">
      <c r="A5944" s="341"/>
    </row>
    <row r="5945" spans="1:1" x14ac:dyDescent="0.2">
      <c r="A5945" s="341"/>
    </row>
    <row r="5946" spans="1:1" x14ac:dyDescent="0.2">
      <c r="A5946" s="341"/>
    </row>
    <row r="5947" spans="1:1" x14ac:dyDescent="0.2">
      <c r="A5947" s="341"/>
    </row>
    <row r="5948" spans="1:1" x14ac:dyDescent="0.2">
      <c r="A5948" s="341"/>
    </row>
    <row r="5949" spans="1:1" x14ac:dyDescent="0.2">
      <c r="A5949" s="341"/>
    </row>
    <row r="5950" spans="1:1" x14ac:dyDescent="0.2">
      <c r="A5950" s="341"/>
    </row>
    <row r="5951" spans="1:1" x14ac:dyDescent="0.2">
      <c r="A5951" s="341"/>
    </row>
    <row r="5952" spans="1:1" x14ac:dyDescent="0.2">
      <c r="A5952" s="341"/>
    </row>
    <row r="5953" spans="1:1" x14ac:dyDescent="0.2">
      <c r="A5953" s="341"/>
    </row>
    <row r="5954" spans="1:1" x14ac:dyDescent="0.2">
      <c r="A5954" s="341"/>
    </row>
    <row r="5955" spans="1:1" x14ac:dyDescent="0.2">
      <c r="A5955" s="341"/>
    </row>
    <row r="5956" spans="1:1" x14ac:dyDescent="0.2">
      <c r="A5956" s="341"/>
    </row>
    <row r="5957" spans="1:1" x14ac:dyDescent="0.2">
      <c r="A5957" s="341"/>
    </row>
    <row r="5958" spans="1:1" x14ac:dyDescent="0.2">
      <c r="A5958" s="341"/>
    </row>
    <row r="5959" spans="1:1" x14ac:dyDescent="0.2">
      <c r="A5959" s="341"/>
    </row>
    <row r="5960" spans="1:1" x14ac:dyDescent="0.2">
      <c r="A5960" s="341"/>
    </row>
    <row r="5961" spans="1:1" x14ac:dyDescent="0.2">
      <c r="A5961" s="341"/>
    </row>
    <row r="5962" spans="1:1" x14ac:dyDescent="0.2">
      <c r="A5962" s="341"/>
    </row>
    <row r="5963" spans="1:1" x14ac:dyDescent="0.2">
      <c r="A5963" s="341"/>
    </row>
    <row r="5964" spans="1:1" x14ac:dyDescent="0.2">
      <c r="A5964" s="341"/>
    </row>
    <row r="5965" spans="1:1" x14ac:dyDescent="0.2">
      <c r="A5965" s="341"/>
    </row>
    <row r="5966" spans="1:1" x14ac:dyDescent="0.2">
      <c r="A5966" s="341"/>
    </row>
    <row r="5967" spans="1:1" x14ac:dyDescent="0.2">
      <c r="A5967" s="341"/>
    </row>
    <row r="5968" spans="1:1" x14ac:dyDescent="0.2">
      <c r="A5968" s="341"/>
    </row>
    <row r="5969" spans="1:1" x14ac:dyDescent="0.2">
      <c r="A5969" s="341"/>
    </row>
    <row r="5970" spans="1:1" x14ac:dyDescent="0.2">
      <c r="A5970" s="341"/>
    </row>
    <row r="5971" spans="1:1" x14ac:dyDescent="0.2">
      <c r="A5971" s="341"/>
    </row>
    <row r="5972" spans="1:1" x14ac:dyDescent="0.2">
      <c r="A5972" s="341"/>
    </row>
    <row r="5973" spans="1:1" x14ac:dyDescent="0.2">
      <c r="A5973" s="341"/>
    </row>
    <row r="5974" spans="1:1" x14ac:dyDescent="0.2">
      <c r="A5974" s="341"/>
    </row>
    <row r="5975" spans="1:1" x14ac:dyDescent="0.2">
      <c r="A5975" s="341"/>
    </row>
    <row r="5976" spans="1:1" x14ac:dyDescent="0.2">
      <c r="A5976" s="341"/>
    </row>
    <row r="5977" spans="1:1" x14ac:dyDescent="0.2">
      <c r="A5977" s="341"/>
    </row>
    <row r="5978" spans="1:1" x14ac:dyDescent="0.2">
      <c r="A5978" s="341"/>
    </row>
    <row r="5979" spans="1:1" x14ac:dyDescent="0.2">
      <c r="A5979" s="341"/>
    </row>
    <row r="5980" spans="1:1" x14ac:dyDescent="0.2">
      <c r="A5980" s="341"/>
    </row>
    <row r="5981" spans="1:1" x14ac:dyDescent="0.2">
      <c r="A5981" s="341"/>
    </row>
    <row r="5982" spans="1:1" x14ac:dyDescent="0.2">
      <c r="A5982" s="341"/>
    </row>
    <row r="5983" spans="1:1" x14ac:dyDescent="0.2">
      <c r="A5983" s="341"/>
    </row>
    <row r="5984" spans="1:1" x14ac:dyDescent="0.2">
      <c r="A5984" s="341"/>
    </row>
    <row r="5985" spans="1:1" x14ac:dyDescent="0.2">
      <c r="A5985" s="341"/>
    </row>
    <row r="5986" spans="1:1" x14ac:dyDescent="0.2">
      <c r="A5986" s="341"/>
    </row>
    <row r="5987" spans="1:1" x14ac:dyDescent="0.2">
      <c r="A5987" s="341"/>
    </row>
    <row r="5988" spans="1:1" x14ac:dyDescent="0.2">
      <c r="A5988" s="341"/>
    </row>
    <row r="5989" spans="1:1" x14ac:dyDescent="0.2">
      <c r="A5989" s="341"/>
    </row>
    <row r="5990" spans="1:1" x14ac:dyDescent="0.2">
      <c r="A5990" s="341"/>
    </row>
    <row r="5991" spans="1:1" x14ac:dyDescent="0.2">
      <c r="A5991" s="341"/>
    </row>
    <row r="5992" spans="1:1" x14ac:dyDescent="0.2">
      <c r="A5992" s="341"/>
    </row>
    <row r="5993" spans="1:1" x14ac:dyDescent="0.2">
      <c r="A5993" s="341"/>
    </row>
    <row r="5994" spans="1:1" x14ac:dyDescent="0.2">
      <c r="A5994" s="341"/>
    </row>
    <row r="5995" spans="1:1" x14ac:dyDescent="0.2">
      <c r="A5995" s="341"/>
    </row>
    <row r="5996" spans="1:1" x14ac:dyDescent="0.2">
      <c r="A5996" s="341"/>
    </row>
    <row r="5997" spans="1:1" x14ac:dyDescent="0.2">
      <c r="A5997" s="341"/>
    </row>
    <row r="5998" spans="1:1" x14ac:dyDescent="0.2">
      <c r="A5998" s="341"/>
    </row>
    <row r="5999" spans="1:1" x14ac:dyDescent="0.2">
      <c r="A5999" s="341"/>
    </row>
    <row r="6000" spans="1:1" x14ac:dyDescent="0.2">
      <c r="A6000" s="341"/>
    </row>
    <row r="6001" spans="1:1" x14ac:dyDescent="0.2">
      <c r="A6001" s="341"/>
    </row>
    <row r="6002" spans="1:1" x14ac:dyDescent="0.2">
      <c r="A6002" s="341"/>
    </row>
    <row r="6003" spans="1:1" x14ac:dyDescent="0.2">
      <c r="A6003" s="341"/>
    </row>
    <row r="6004" spans="1:1" x14ac:dyDescent="0.2">
      <c r="A6004" s="341"/>
    </row>
    <row r="6005" spans="1:1" x14ac:dyDescent="0.2">
      <c r="A6005" s="341"/>
    </row>
    <row r="6006" spans="1:1" x14ac:dyDescent="0.2">
      <c r="A6006" s="341"/>
    </row>
    <row r="6007" spans="1:1" x14ac:dyDescent="0.2">
      <c r="A6007" s="341"/>
    </row>
    <row r="6008" spans="1:1" x14ac:dyDescent="0.2">
      <c r="A6008" s="341"/>
    </row>
    <row r="6009" spans="1:1" x14ac:dyDescent="0.2">
      <c r="A6009" s="341"/>
    </row>
    <row r="6010" spans="1:1" x14ac:dyDescent="0.2">
      <c r="A6010" s="341"/>
    </row>
    <row r="6011" spans="1:1" x14ac:dyDescent="0.2">
      <c r="A6011" s="341"/>
    </row>
    <row r="6012" spans="1:1" x14ac:dyDescent="0.2">
      <c r="A6012" s="341"/>
    </row>
    <row r="6013" spans="1:1" x14ac:dyDescent="0.2">
      <c r="A6013" s="341"/>
    </row>
    <row r="6014" spans="1:1" x14ac:dyDescent="0.2">
      <c r="A6014" s="341"/>
    </row>
    <row r="6015" spans="1:1" x14ac:dyDescent="0.2">
      <c r="A6015" s="341"/>
    </row>
    <row r="6016" spans="1:1" x14ac:dyDescent="0.2">
      <c r="A6016" s="341"/>
    </row>
    <row r="6017" spans="1:1" x14ac:dyDescent="0.2">
      <c r="A6017" s="341"/>
    </row>
    <row r="6018" spans="1:1" x14ac:dyDescent="0.2">
      <c r="A6018" s="341"/>
    </row>
    <row r="6019" spans="1:1" x14ac:dyDescent="0.2">
      <c r="A6019" s="341"/>
    </row>
    <row r="6020" spans="1:1" x14ac:dyDescent="0.2">
      <c r="A6020" s="341"/>
    </row>
    <row r="6021" spans="1:1" x14ac:dyDescent="0.2">
      <c r="A6021" s="341"/>
    </row>
    <row r="6022" spans="1:1" x14ac:dyDescent="0.2">
      <c r="A6022" s="341"/>
    </row>
    <row r="6023" spans="1:1" x14ac:dyDescent="0.2">
      <c r="A6023" s="341"/>
    </row>
    <row r="6024" spans="1:1" x14ac:dyDescent="0.2">
      <c r="A6024" s="341"/>
    </row>
    <row r="6025" spans="1:1" x14ac:dyDescent="0.2">
      <c r="A6025" s="341"/>
    </row>
    <row r="6026" spans="1:1" x14ac:dyDescent="0.2">
      <c r="A6026" s="341"/>
    </row>
    <row r="6027" spans="1:1" x14ac:dyDescent="0.2">
      <c r="A6027" s="341"/>
    </row>
    <row r="6028" spans="1:1" x14ac:dyDescent="0.2">
      <c r="A6028" s="341"/>
    </row>
    <row r="6029" spans="1:1" x14ac:dyDescent="0.2">
      <c r="A6029" s="341"/>
    </row>
    <row r="6030" spans="1:1" x14ac:dyDescent="0.2">
      <c r="A6030" s="341"/>
    </row>
    <row r="6031" spans="1:1" x14ac:dyDescent="0.2">
      <c r="A6031" s="341"/>
    </row>
    <row r="6032" spans="1:1" x14ac:dyDescent="0.2">
      <c r="A6032" s="341"/>
    </row>
    <row r="6033" spans="1:1" x14ac:dyDescent="0.2">
      <c r="A6033" s="341"/>
    </row>
    <row r="6034" spans="1:1" x14ac:dyDescent="0.2">
      <c r="A6034" s="341"/>
    </row>
    <row r="6035" spans="1:1" x14ac:dyDescent="0.2">
      <c r="A6035" s="341"/>
    </row>
    <row r="6036" spans="1:1" x14ac:dyDescent="0.2">
      <c r="A6036" s="341"/>
    </row>
    <row r="6037" spans="1:1" x14ac:dyDescent="0.2">
      <c r="A6037" s="341"/>
    </row>
    <row r="6038" spans="1:1" x14ac:dyDescent="0.2">
      <c r="A6038" s="341"/>
    </row>
    <row r="6039" spans="1:1" x14ac:dyDescent="0.2">
      <c r="A6039" s="341"/>
    </row>
    <row r="6040" spans="1:1" x14ac:dyDescent="0.2">
      <c r="A6040" s="341"/>
    </row>
    <row r="6041" spans="1:1" x14ac:dyDescent="0.2">
      <c r="A6041" s="341"/>
    </row>
    <row r="6042" spans="1:1" x14ac:dyDescent="0.2">
      <c r="A6042" s="341"/>
    </row>
    <row r="6043" spans="1:1" x14ac:dyDescent="0.2">
      <c r="A6043" s="341"/>
    </row>
    <row r="6044" spans="1:1" x14ac:dyDescent="0.2">
      <c r="A6044" s="341"/>
    </row>
    <row r="6045" spans="1:1" x14ac:dyDescent="0.2">
      <c r="A6045" s="341"/>
    </row>
    <row r="6046" spans="1:1" x14ac:dyDescent="0.2">
      <c r="A6046" s="341"/>
    </row>
    <row r="6047" spans="1:1" x14ac:dyDescent="0.2">
      <c r="A6047" s="341"/>
    </row>
    <row r="6048" spans="1:1" x14ac:dyDescent="0.2">
      <c r="A6048" s="341"/>
    </row>
    <row r="6049" spans="1:1" x14ac:dyDescent="0.2">
      <c r="A6049" s="341"/>
    </row>
    <row r="6050" spans="1:1" x14ac:dyDescent="0.2">
      <c r="A6050" s="341"/>
    </row>
    <row r="6051" spans="1:1" x14ac:dyDescent="0.2">
      <c r="A6051" s="341"/>
    </row>
    <row r="6052" spans="1:1" x14ac:dyDescent="0.2">
      <c r="A6052" s="341"/>
    </row>
    <row r="6053" spans="1:1" x14ac:dyDescent="0.2">
      <c r="A6053" s="341"/>
    </row>
    <row r="6054" spans="1:1" x14ac:dyDescent="0.2">
      <c r="A6054" s="341"/>
    </row>
    <row r="6055" spans="1:1" x14ac:dyDescent="0.2">
      <c r="A6055" s="341"/>
    </row>
    <row r="6056" spans="1:1" x14ac:dyDescent="0.2">
      <c r="A6056" s="341"/>
    </row>
    <row r="6057" spans="1:1" x14ac:dyDescent="0.2">
      <c r="A6057" s="341"/>
    </row>
    <row r="6058" spans="1:1" x14ac:dyDescent="0.2">
      <c r="A6058" s="341"/>
    </row>
    <row r="6059" spans="1:1" x14ac:dyDescent="0.2">
      <c r="A6059" s="341"/>
    </row>
    <row r="6060" spans="1:1" x14ac:dyDescent="0.2">
      <c r="A6060" s="341"/>
    </row>
    <row r="6061" spans="1:1" x14ac:dyDescent="0.2">
      <c r="A6061" s="341"/>
    </row>
    <row r="6062" spans="1:1" x14ac:dyDescent="0.2">
      <c r="A6062" s="341"/>
    </row>
    <row r="6063" spans="1:1" x14ac:dyDescent="0.2">
      <c r="A6063" s="341"/>
    </row>
    <row r="6064" spans="1:1" x14ac:dyDescent="0.2">
      <c r="A6064" s="341"/>
    </row>
    <row r="6065" spans="1:1" x14ac:dyDescent="0.2">
      <c r="A6065" s="341"/>
    </row>
    <row r="6066" spans="1:1" x14ac:dyDescent="0.2">
      <c r="A6066" s="341"/>
    </row>
    <row r="6067" spans="1:1" x14ac:dyDescent="0.2">
      <c r="A6067" s="341"/>
    </row>
    <row r="6068" spans="1:1" x14ac:dyDescent="0.2">
      <c r="A6068" s="341"/>
    </row>
    <row r="6069" spans="1:1" x14ac:dyDescent="0.2">
      <c r="A6069" s="341"/>
    </row>
    <row r="6070" spans="1:1" x14ac:dyDescent="0.2">
      <c r="A6070" s="341"/>
    </row>
    <row r="6071" spans="1:1" x14ac:dyDescent="0.2">
      <c r="A6071" s="341"/>
    </row>
    <row r="6072" spans="1:1" x14ac:dyDescent="0.2">
      <c r="A6072" s="341"/>
    </row>
    <row r="6073" spans="1:1" x14ac:dyDescent="0.2">
      <c r="A6073" s="341"/>
    </row>
    <row r="6074" spans="1:1" x14ac:dyDescent="0.2">
      <c r="A6074" s="341"/>
    </row>
    <row r="6075" spans="1:1" x14ac:dyDescent="0.2">
      <c r="A6075" s="341"/>
    </row>
    <row r="6076" spans="1:1" x14ac:dyDescent="0.2">
      <c r="A6076" s="341"/>
    </row>
    <row r="6077" spans="1:1" x14ac:dyDescent="0.2">
      <c r="A6077" s="341"/>
    </row>
    <row r="6078" spans="1:1" x14ac:dyDescent="0.2">
      <c r="A6078" s="341"/>
    </row>
    <row r="6079" spans="1:1" x14ac:dyDescent="0.2">
      <c r="A6079" s="341"/>
    </row>
    <row r="6080" spans="1:1" x14ac:dyDescent="0.2">
      <c r="A6080" s="341"/>
    </row>
    <row r="6081" spans="1:1" x14ac:dyDescent="0.2">
      <c r="A6081" s="341"/>
    </row>
    <row r="6082" spans="1:1" x14ac:dyDescent="0.2">
      <c r="A6082" s="341"/>
    </row>
    <row r="6083" spans="1:1" x14ac:dyDescent="0.2">
      <c r="A6083" s="341"/>
    </row>
    <row r="6084" spans="1:1" x14ac:dyDescent="0.2">
      <c r="A6084" s="341"/>
    </row>
    <row r="6085" spans="1:1" x14ac:dyDescent="0.2">
      <c r="A6085" s="341"/>
    </row>
    <row r="6086" spans="1:1" x14ac:dyDescent="0.2">
      <c r="A6086" s="341"/>
    </row>
    <row r="6087" spans="1:1" x14ac:dyDescent="0.2">
      <c r="A6087" s="341"/>
    </row>
    <row r="6088" spans="1:1" x14ac:dyDescent="0.2">
      <c r="A6088" s="341"/>
    </row>
    <row r="6089" spans="1:1" x14ac:dyDescent="0.2">
      <c r="A6089" s="341"/>
    </row>
    <row r="6090" spans="1:1" x14ac:dyDescent="0.2">
      <c r="A6090" s="341"/>
    </row>
    <row r="6091" spans="1:1" x14ac:dyDescent="0.2">
      <c r="A6091" s="341"/>
    </row>
    <row r="6092" spans="1:1" x14ac:dyDescent="0.2">
      <c r="A6092" s="341"/>
    </row>
    <row r="6093" spans="1:1" x14ac:dyDescent="0.2">
      <c r="A6093" s="341"/>
    </row>
    <row r="6094" spans="1:1" x14ac:dyDescent="0.2">
      <c r="A6094" s="341"/>
    </row>
    <row r="6095" spans="1:1" x14ac:dyDescent="0.2">
      <c r="A6095" s="341"/>
    </row>
    <row r="6096" spans="1:1" x14ac:dyDescent="0.2">
      <c r="A6096" s="341"/>
    </row>
    <row r="6097" spans="1:1" x14ac:dyDescent="0.2">
      <c r="A6097" s="341"/>
    </row>
    <row r="6098" spans="1:1" x14ac:dyDescent="0.2">
      <c r="A6098" s="341"/>
    </row>
    <row r="6099" spans="1:1" x14ac:dyDescent="0.2">
      <c r="A6099" s="341"/>
    </row>
    <row r="6100" spans="1:1" x14ac:dyDescent="0.2">
      <c r="A6100" s="341"/>
    </row>
    <row r="6101" spans="1:1" x14ac:dyDescent="0.2">
      <c r="A6101" s="341"/>
    </row>
    <row r="6102" spans="1:1" x14ac:dyDescent="0.2">
      <c r="A6102" s="341"/>
    </row>
    <row r="6103" spans="1:1" x14ac:dyDescent="0.2">
      <c r="A6103" s="341"/>
    </row>
    <row r="6104" spans="1:1" x14ac:dyDescent="0.2">
      <c r="A6104" s="341"/>
    </row>
    <row r="6105" spans="1:1" x14ac:dyDescent="0.2">
      <c r="A6105" s="341"/>
    </row>
    <row r="6106" spans="1:1" x14ac:dyDescent="0.2">
      <c r="A6106" s="341"/>
    </row>
    <row r="6107" spans="1:1" x14ac:dyDescent="0.2">
      <c r="A6107" s="341"/>
    </row>
    <row r="6108" spans="1:1" x14ac:dyDescent="0.2">
      <c r="A6108" s="341"/>
    </row>
    <row r="6109" spans="1:1" x14ac:dyDescent="0.2">
      <c r="A6109" s="341"/>
    </row>
    <row r="6110" spans="1:1" x14ac:dyDescent="0.2">
      <c r="A6110" s="341"/>
    </row>
    <row r="6111" spans="1:1" x14ac:dyDescent="0.2">
      <c r="A6111" s="341"/>
    </row>
    <row r="6112" spans="1:1" x14ac:dyDescent="0.2">
      <c r="A6112" s="341"/>
    </row>
    <row r="6113" spans="1:1" x14ac:dyDescent="0.2">
      <c r="A6113" s="341"/>
    </row>
    <row r="6114" spans="1:1" x14ac:dyDescent="0.2">
      <c r="A6114" s="341"/>
    </row>
    <row r="6115" spans="1:1" x14ac:dyDescent="0.2">
      <c r="A6115" s="341"/>
    </row>
    <row r="6116" spans="1:1" x14ac:dyDescent="0.2">
      <c r="A6116" s="341"/>
    </row>
    <row r="6117" spans="1:1" x14ac:dyDescent="0.2">
      <c r="A6117" s="341"/>
    </row>
    <row r="6118" spans="1:1" x14ac:dyDescent="0.2">
      <c r="A6118" s="341"/>
    </row>
    <row r="6119" spans="1:1" x14ac:dyDescent="0.2">
      <c r="A6119" s="341"/>
    </row>
    <row r="6120" spans="1:1" x14ac:dyDescent="0.2">
      <c r="A6120" s="341"/>
    </row>
    <row r="6121" spans="1:1" x14ac:dyDescent="0.2">
      <c r="A6121" s="341"/>
    </row>
    <row r="6122" spans="1:1" x14ac:dyDescent="0.2">
      <c r="A6122" s="341"/>
    </row>
    <row r="6123" spans="1:1" x14ac:dyDescent="0.2">
      <c r="A6123" s="341"/>
    </row>
    <row r="6124" spans="1:1" x14ac:dyDescent="0.2">
      <c r="A6124" s="341"/>
    </row>
    <row r="6125" spans="1:1" x14ac:dyDescent="0.2">
      <c r="A6125" s="341"/>
    </row>
    <row r="6126" spans="1:1" x14ac:dyDescent="0.2">
      <c r="A6126" s="341"/>
    </row>
    <row r="6127" spans="1:1" x14ac:dyDescent="0.2">
      <c r="A6127" s="341"/>
    </row>
    <row r="6128" spans="1:1" x14ac:dyDescent="0.2">
      <c r="A6128" s="341"/>
    </row>
    <row r="6129" spans="1:1" x14ac:dyDescent="0.2">
      <c r="A6129" s="341"/>
    </row>
    <row r="6130" spans="1:1" x14ac:dyDescent="0.2">
      <c r="A6130" s="341"/>
    </row>
    <row r="6131" spans="1:1" x14ac:dyDescent="0.2">
      <c r="A6131" s="341"/>
    </row>
    <row r="6132" spans="1:1" x14ac:dyDescent="0.2">
      <c r="A6132" s="341"/>
    </row>
    <row r="6133" spans="1:1" x14ac:dyDescent="0.2">
      <c r="A6133" s="341"/>
    </row>
    <row r="6134" spans="1:1" x14ac:dyDescent="0.2">
      <c r="A6134" s="341"/>
    </row>
    <row r="6135" spans="1:1" x14ac:dyDescent="0.2">
      <c r="A6135" s="341"/>
    </row>
    <row r="6136" spans="1:1" x14ac:dyDescent="0.2">
      <c r="A6136" s="341"/>
    </row>
    <row r="6137" spans="1:1" x14ac:dyDescent="0.2">
      <c r="A6137" s="341"/>
    </row>
    <row r="6138" spans="1:1" x14ac:dyDescent="0.2">
      <c r="A6138" s="341"/>
    </row>
    <row r="6139" spans="1:1" x14ac:dyDescent="0.2">
      <c r="A6139" s="341"/>
    </row>
    <row r="6140" spans="1:1" x14ac:dyDescent="0.2">
      <c r="A6140" s="341"/>
    </row>
    <row r="6141" spans="1:1" x14ac:dyDescent="0.2">
      <c r="A6141" s="341"/>
    </row>
    <row r="6142" spans="1:1" x14ac:dyDescent="0.2">
      <c r="A6142" s="341"/>
    </row>
    <row r="6143" spans="1:1" x14ac:dyDescent="0.2">
      <c r="A6143" s="341"/>
    </row>
    <row r="6144" spans="1:1" x14ac:dyDescent="0.2">
      <c r="A6144" s="341"/>
    </row>
    <row r="6145" spans="1:1" x14ac:dyDescent="0.2">
      <c r="A6145" s="341"/>
    </row>
    <row r="6146" spans="1:1" x14ac:dyDescent="0.2">
      <c r="A6146" s="341"/>
    </row>
    <row r="6147" spans="1:1" x14ac:dyDescent="0.2">
      <c r="A6147" s="341"/>
    </row>
    <row r="6148" spans="1:1" x14ac:dyDescent="0.2">
      <c r="A6148" s="341"/>
    </row>
    <row r="6149" spans="1:1" x14ac:dyDescent="0.2">
      <c r="A6149" s="341"/>
    </row>
    <row r="6150" spans="1:1" x14ac:dyDescent="0.2">
      <c r="A6150" s="341"/>
    </row>
    <row r="6151" spans="1:1" x14ac:dyDescent="0.2">
      <c r="A6151" s="341"/>
    </row>
    <row r="6152" spans="1:1" x14ac:dyDescent="0.2">
      <c r="A6152" s="341"/>
    </row>
    <row r="6153" spans="1:1" x14ac:dyDescent="0.2">
      <c r="A6153" s="341"/>
    </row>
    <row r="6154" spans="1:1" x14ac:dyDescent="0.2">
      <c r="A6154" s="341"/>
    </row>
    <row r="6155" spans="1:1" x14ac:dyDescent="0.2">
      <c r="A6155" s="341"/>
    </row>
    <row r="6156" spans="1:1" x14ac:dyDescent="0.2">
      <c r="A6156" s="341"/>
    </row>
    <row r="6157" spans="1:1" x14ac:dyDescent="0.2">
      <c r="A6157" s="341"/>
    </row>
    <row r="6158" spans="1:1" x14ac:dyDescent="0.2">
      <c r="A6158" s="341"/>
    </row>
    <row r="6159" spans="1:1" x14ac:dyDescent="0.2">
      <c r="A6159" s="341"/>
    </row>
    <row r="6160" spans="1:1" x14ac:dyDescent="0.2">
      <c r="A6160" s="341"/>
    </row>
    <row r="6161" spans="1:1" x14ac:dyDescent="0.2">
      <c r="A6161" s="341"/>
    </row>
    <row r="6162" spans="1:1" x14ac:dyDescent="0.2">
      <c r="A6162" s="341"/>
    </row>
    <row r="6163" spans="1:1" x14ac:dyDescent="0.2">
      <c r="A6163" s="341"/>
    </row>
    <row r="6164" spans="1:1" x14ac:dyDescent="0.2">
      <c r="A6164" s="341"/>
    </row>
    <row r="6165" spans="1:1" x14ac:dyDescent="0.2">
      <c r="A6165" s="341"/>
    </row>
    <row r="6166" spans="1:1" x14ac:dyDescent="0.2">
      <c r="A6166" s="341"/>
    </row>
    <row r="6167" spans="1:1" x14ac:dyDescent="0.2">
      <c r="A6167" s="341"/>
    </row>
    <row r="6168" spans="1:1" x14ac:dyDescent="0.2">
      <c r="A6168" s="341"/>
    </row>
    <row r="6169" spans="1:1" x14ac:dyDescent="0.2">
      <c r="A6169" s="341"/>
    </row>
    <row r="6170" spans="1:1" x14ac:dyDescent="0.2">
      <c r="A6170" s="341"/>
    </row>
    <row r="6171" spans="1:1" x14ac:dyDescent="0.2">
      <c r="A6171" s="341"/>
    </row>
    <row r="6172" spans="1:1" x14ac:dyDescent="0.2">
      <c r="A6172" s="341"/>
    </row>
    <row r="6173" spans="1:1" x14ac:dyDescent="0.2">
      <c r="A6173" s="341"/>
    </row>
    <row r="6174" spans="1:1" x14ac:dyDescent="0.2">
      <c r="A6174" s="341"/>
    </row>
    <row r="6175" spans="1:1" x14ac:dyDescent="0.2">
      <c r="A6175" s="341"/>
    </row>
    <row r="6176" spans="1:1" x14ac:dyDescent="0.2">
      <c r="A6176" s="341"/>
    </row>
    <row r="6177" spans="1:1" x14ac:dyDescent="0.2">
      <c r="A6177" s="341"/>
    </row>
    <row r="6178" spans="1:1" x14ac:dyDescent="0.2">
      <c r="A6178" s="341"/>
    </row>
    <row r="6179" spans="1:1" x14ac:dyDescent="0.2">
      <c r="A6179" s="341"/>
    </row>
    <row r="6180" spans="1:1" x14ac:dyDescent="0.2">
      <c r="A6180" s="341"/>
    </row>
    <row r="6181" spans="1:1" x14ac:dyDescent="0.2">
      <c r="A6181" s="341"/>
    </row>
    <row r="6182" spans="1:1" x14ac:dyDescent="0.2">
      <c r="A6182" s="341"/>
    </row>
    <row r="6183" spans="1:1" x14ac:dyDescent="0.2">
      <c r="A6183" s="341"/>
    </row>
    <row r="6184" spans="1:1" x14ac:dyDescent="0.2">
      <c r="A6184" s="341"/>
    </row>
    <row r="6185" spans="1:1" x14ac:dyDescent="0.2">
      <c r="A6185" s="341"/>
    </row>
    <row r="6186" spans="1:1" x14ac:dyDescent="0.2">
      <c r="A6186" s="341"/>
    </row>
    <row r="6187" spans="1:1" x14ac:dyDescent="0.2">
      <c r="A6187" s="341"/>
    </row>
    <row r="6188" spans="1:1" x14ac:dyDescent="0.2">
      <c r="A6188" s="341"/>
    </row>
    <row r="6189" spans="1:1" x14ac:dyDescent="0.2">
      <c r="A6189" s="341"/>
    </row>
    <row r="6190" spans="1:1" x14ac:dyDescent="0.2">
      <c r="A6190" s="341"/>
    </row>
    <row r="6191" spans="1:1" x14ac:dyDescent="0.2">
      <c r="A6191" s="341"/>
    </row>
    <row r="6192" spans="1:1" x14ac:dyDescent="0.2">
      <c r="A6192" s="341"/>
    </row>
    <row r="6193" spans="1:1" x14ac:dyDescent="0.2">
      <c r="A6193" s="341"/>
    </row>
    <row r="6194" spans="1:1" x14ac:dyDescent="0.2">
      <c r="A6194" s="341"/>
    </row>
    <row r="6195" spans="1:1" x14ac:dyDescent="0.2">
      <c r="A6195" s="341"/>
    </row>
    <row r="6196" spans="1:1" x14ac:dyDescent="0.2">
      <c r="A6196" s="341"/>
    </row>
    <row r="6197" spans="1:1" x14ac:dyDescent="0.2">
      <c r="A6197" s="341"/>
    </row>
    <row r="6198" spans="1:1" x14ac:dyDescent="0.2">
      <c r="A6198" s="341"/>
    </row>
    <row r="6199" spans="1:1" x14ac:dyDescent="0.2">
      <c r="A6199" s="341"/>
    </row>
    <row r="6200" spans="1:1" x14ac:dyDescent="0.2">
      <c r="A6200" s="341"/>
    </row>
    <row r="6201" spans="1:1" x14ac:dyDescent="0.2">
      <c r="A6201" s="341"/>
    </row>
    <row r="6202" spans="1:1" x14ac:dyDescent="0.2">
      <c r="A6202" s="341"/>
    </row>
    <row r="6203" spans="1:1" x14ac:dyDescent="0.2">
      <c r="A6203" s="341"/>
    </row>
    <row r="6204" spans="1:1" x14ac:dyDescent="0.2">
      <c r="A6204" s="341"/>
    </row>
    <row r="6205" spans="1:1" x14ac:dyDescent="0.2">
      <c r="A6205" s="341"/>
    </row>
    <row r="6206" spans="1:1" x14ac:dyDescent="0.2">
      <c r="A6206" s="341"/>
    </row>
    <row r="6207" spans="1:1" x14ac:dyDescent="0.2">
      <c r="A6207" s="341"/>
    </row>
    <row r="6208" spans="1:1" x14ac:dyDescent="0.2">
      <c r="A6208" s="341"/>
    </row>
    <row r="6209" spans="1:1" x14ac:dyDescent="0.2">
      <c r="A6209" s="341"/>
    </row>
    <row r="6210" spans="1:1" x14ac:dyDescent="0.2">
      <c r="A6210" s="341"/>
    </row>
    <row r="6211" spans="1:1" x14ac:dyDescent="0.2">
      <c r="A6211" s="341"/>
    </row>
    <row r="6212" spans="1:1" x14ac:dyDescent="0.2">
      <c r="A6212" s="341"/>
    </row>
    <row r="6213" spans="1:1" x14ac:dyDescent="0.2">
      <c r="A6213" s="341"/>
    </row>
    <row r="6214" spans="1:1" x14ac:dyDescent="0.2">
      <c r="A6214" s="341"/>
    </row>
    <row r="6215" spans="1:1" x14ac:dyDescent="0.2">
      <c r="A6215" s="341"/>
    </row>
    <row r="6216" spans="1:1" x14ac:dyDescent="0.2">
      <c r="A6216" s="341"/>
    </row>
    <row r="6217" spans="1:1" x14ac:dyDescent="0.2">
      <c r="A6217" s="341"/>
    </row>
    <row r="6218" spans="1:1" x14ac:dyDescent="0.2">
      <c r="A6218" s="341"/>
    </row>
    <row r="6219" spans="1:1" x14ac:dyDescent="0.2">
      <c r="A6219" s="341"/>
    </row>
    <row r="6220" spans="1:1" x14ac:dyDescent="0.2">
      <c r="A6220" s="341"/>
    </row>
    <row r="6221" spans="1:1" x14ac:dyDescent="0.2">
      <c r="A6221" s="341"/>
    </row>
    <row r="6222" spans="1:1" x14ac:dyDescent="0.2">
      <c r="A6222" s="341"/>
    </row>
    <row r="6223" spans="1:1" x14ac:dyDescent="0.2">
      <c r="A6223" s="341"/>
    </row>
    <row r="6224" spans="1:1" x14ac:dyDescent="0.2">
      <c r="A6224" s="341"/>
    </row>
    <row r="6225" spans="1:1" x14ac:dyDescent="0.2">
      <c r="A6225" s="341"/>
    </row>
    <row r="6226" spans="1:1" x14ac:dyDescent="0.2">
      <c r="A6226" s="341"/>
    </row>
    <row r="6227" spans="1:1" x14ac:dyDescent="0.2">
      <c r="A6227" s="341"/>
    </row>
    <row r="6228" spans="1:1" x14ac:dyDescent="0.2">
      <c r="A6228" s="341"/>
    </row>
    <row r="6229" spans="1:1" x14ac:dyDescent="0.2">
      <c r="A6229" s="341"/>
    </row>
    <row r="6230" spans="1:1" x14ac:dyDescent="0.2">
      <c r="A6230" s="341"/>
    </row>
    <row r="6231" spans="1:1" x14ac:dyDescent="0.2">
      <c r="A6231" s="341"/>
    </row>
    <row r="6232" spans="1:1" x14ac:dyDescent="0.2">
      <c r="A6232" s="341"/>
    </row>
    <row r="6233" spans="1:1" x14ac:dyDescent="0.2">
      <c r="A6233" s="341"/>
    </row>
    <row r="6234" spans="1:1" x14ac:dyDescent="0.2">
      <c r="A6234" s="341"/>
    </row>
    <row r="6235" spans="1:1" x14ac:dyDescent="0.2">
      <c r="A6235" s="341"/>
    </row>
    <row r="6236" spans="1:1" x14ac:dyDescent="0.2">
      <c r="A6236" s="341"/>
    </row>
    <row r="6237" spans="1:1" x14ac:dyDescent="0.2">
      <c r="A6237" s="341"/>
    </row>
    <row r="6238" spans="1:1" x14ac:dyDescent="0.2">
      <c r="A6238" s="341"/>
    </row>
    <row r="6239" spans="1:1" x14ac:dyDescent="0.2">
      <c r="A6239" s="341"/>
    </row>
    <row r="6240" spans="1:1" x14ac:dyDescent="0.2">
      <c r="A6240" s="341"/>
    </row>
    <row r="6241" spans="1:1" x14ac:dyDescent="0.2">
      <c r="A6241" s="341"/>
    </row>
    <row r="6242" spans="1:1" x14ac:dyDescent="0.2">
      <c r="A6242" s="341"/>
    </row>
    <row r="6243" spans="1:1" x14ac:dyDescent="0.2">
      <c r="A6243" s="341"/>
    </row>
    <row r="6244" spans="1:1" x14ac:dyDescent="0.2">
      <c r="A6244" s="341"/>
    </row>
    <row r="6245" spans="1:1" x14ac:dyDescent="0.2">
      <c r="A6245" s="341"/>
    </row>
    <row r="6246" spans="1:1" x14ac:dyDescent="0.2">
      <c r="A6246" s="341"/>
    </row>
    <row r="6247" spans="1:1" x14ac:dyDescent="0.2">
      <c r="A6247" s="341"/>
    </row>
    <row r="6248" spans="1:1" x14ac:dyDescent="0.2">
      <c r="A6248" s="341"/>
    </row>
    <row r="6249" spans="1:1" x14ac:dyDescent="0.2">
      <c r="A6249" s="341"/>
    </row>
    <row r="6250" spans="1:1" x14ac:dyDescent="0.2">
      <c r="A6250" s="341"/>
    </row>
    <row r="6251" spans="1:1" x14ac:dyDescent="0.2">
      <c r="A6251" s="341"/>
    </row>
    <row r="6252" spans="1:1" x14ac:dyDescent="0.2">
      <c r="A6252" s="341"/>
    </row>
    <row r="6253" spans="1:1" x14ac:dyDescent="0.2">
      <c r="A6253" s="341"/>
    </row>
    <row r="6254" spans="1:1" x14ac:dyDescent="0.2">
      <c r="A6254" s="341"/>
    </row>
    <row r="6255" spans="1:1" x14ac:dyDescent="0.2">
      <c r="A6255" s="341"/>
    </row>
    <row r="6256" spans="1:1" x14ac:dyDescent="0.2">
      <c r="A6256" s="341"/>
    </row>
    <row r="6257" spans="1:1" x14ac:dyDescent="0.2">
      <c r="A6257" s="341"/>
    </row>
    <row r="6258" spans="1:1" x14ac:dyDescent="0.2">
      <c r="A6258" s="341"/>
    </row>
    <row r="6259" spans="1:1" x14ac:dyDescent="0.2">
      <c r="A6259" s="341"/>
    </row>
    <row r="6260" spans="1:1" x14ac:dyDescent="0.2">
      <c r="A6260" s="341"/>
    </row>
    <row r="6261" spans="1:1" x14ac:dyDescent="0.2">
      <c r="A6261" s="341"/>
    </row>
    <row r="6262" spans="1:1" x14ac:dyDescent="0.2">
      <c r="A6262" s="341"/>
    </row>
    <row r="6263" spans="1:1" x14ac:dyDescent="0.2">
      <c r="A6263" s="341"/>
    </row>
    <row r="6264" spans="1:1" x14ac:dyDescent="0.2">
      <c r="A6264" s="341"/>
    </row>
    <row r="6265" spans="1:1" x14ac:dyDescent="0.2">
      <c r="A6265" s="341"/>
    </row>
    <row r="6266" spans="1:1" x14ac:dyDescent="0.2">
      <c r="A6266" s="341"/>
    </row>
    <row r="6267" spans="1:1" x14ac:dyDescent="0.2">
      <c r="A6267" s="341"/>
    </row>
    <row r="6268" spans="1:1" x14ac:dyDescent="0.2">
      <c r="A6268" s="341"/>
    </row>
    <row r="6269" spans="1:1" x14ac:dyDescent="0.2">
      <c r="A6269" s="341"/>
    </row>
    <row r="6270" spans="1:1" x14ac:dyDescent="0.2">
      <c r="A6270" s="341"/>
    </row>
    <row r="6271" spans="1:1" x14ac:dyDescent="0.2">
      <c r="A6271" s="341"/>
    </row>
    <row r="6272" spans="1:1" x14ac:dyDescent="0.2">
      <c r="A6272" s="341"/>
    </row>
    <row r="6273" spans="1:1" x14ac:dyDescent="0.2">
      <c r="A6273" s="341"/>
    </row>
    <row r="6274" spans="1:1" x14ac:dyDescent="0.2">
      <c r="A6274" s="341"/>
    </row>
    <row r="6275" spans="1:1" x14ac:dyDescent="0.2">
      <c r="A6275" s="341"/>
    </row>
    <row r="6276" spans="1:1" x14ac:dyDescent="0.2">
      <c r="A6276" s="341"/>
    </row>
    <row r="6277" spans="1:1" x14ac:dyDescent="0.2">
      <c r="A6277" s="341"/>
    </row>
    <row r="6278" spans="1:1" x14ac:dyDescent="0.2">
      <c r="A6278" s="341"/>
    </row>
    <row r="6279" spans="1:1" x14ac:dyDescent="0.2">
      <c r="A6279" s="341"/>
    </row>
    <row r="6280" spans="1:1" x14ac:dyDescent="0.2">
      <c r="A6280" s="341"/>
    </row>
    <row r="6281" spans="1:1" x14ac:dyDescent="0.2">
      <c r="A6281" s="341"/>
    </row>
    <row r="6282" spans="1:1" x14ac:dyDescent="0.2">
      <c r="A6282" s="341"/>
    </row>
    <row r="6283" spans="1:1" x14ac:dyDescent="0.2">
      <c r="A6283" s="341"/>
    </row>
    <row r="6284" spans="1:1" x14ac:dyDescent="0.2">
      <c r="A6284" s="341"/>
    </row>
    <row r="6285" spans="1:1" x14ac:dyDescent="0.2">
      <c r="A6285" s="341"/>
    </row>
    <row r="6286" spans="1:1" x14ac:dyDescent="0.2">
      <c r="A6286" s="341"/>
    </row>
    <row r="6287" spans="1:1" x14ac:dyDescent="0.2">
      <c r="A6287" s="341"/>
    </row>
    <row r="6288" spans="1:1" x14ac:dyDescent="0.2">
      <c r="A6288" s="341"/>
    </row>
    <row r="6289" spans="1:1" x14ac:dyDescent="0.2">
      <c r="A6289" s="341"/>
    </row>
    <row r="6290" spans="1:1" x14ac:dyDescent="0.2">
      <c r="A6290" s="341"/>
    </row>
    <row r="6291" spans="1:1" x14ac:dyDescent="0.2">
      <c r="A6291" s="341"/>
    </row>
    <row r="6292" spans="1:1" x14ac:dyDescent="0.2">
      <c r="A6292" s="341"/>
    </row>
    <row r="6293" spans="1:1" x14ac:dyDescent="0.2">
      <c r="A6293" s="341"/>
    </row>
    <row r="6294" spans="1:1" x14ac:dyDescent="0.2">
      <c r="A6294" s="341"/>
    </row>
    <row r="6295" spans="1:1" x14ac:dyDescent="0.2">
      <c r="A6295" s="341"/>
    </row>
    <row r="6296" spans="1:1" x14ac:dyDescent="0.2">
      <c r="A6296" s="341"/>
    </row>
    <row r="6297" spans="1:1" x14ac:dyDescent="0.2">
      <c r="A6297" s="341"/>
    </row>
    <row r="6298" spans="1:1" x14ac:dyDescent="0.2">
      <c r="A6298" s="341"/>
    </row>
    <row r="6299" spans="1:1" x14ac:dyDescent="0.2">
      <c r="A6299" s="341"/>
    </row>
    <row r="6300" spans="1:1" x14ac:dyDescent="0.2">
      <c r="A6300" s="341"/>
    </row>
    <row r="6301" spans="1:1" x14ac:dyDescent="0.2">
      <c r="A6301" s="341"/>
    </row>
    <row r="6302" spans="1:1" x14ac:dyDescent="0.2">
      <c r="A6302" s="341"/>
    </row>
    <row r="6303" spans="1:1" x14ac:dyDescent="0.2">
      <c r="A6303" s="341"/>
    </row>
    <row r="6304" spans="1:1" x14ac:dyDescent="0.2">
      <c r="A6304" s="341"/>
    </row>
    <row r="6305" spans="1:1" x14ac:dyDescent="0.2">
      <c r="A6305" s="341"/>
    </row>
    <row r="6306" spans="1:1" x14ac:dyDescent="0.2">
      <c r="A6306" s="341"/>
    </row>
    <row r="6307" spans="1:1" x14ac:dyDescent="0.2">
      <c r="A6307" s="341"/>
    </row>
    <row r="6308" spans="1:1" x14ac:dyDescent="0.2">
      <c r="A6308" s="341"/>
    </row>
    <row r="6309" spans="1:1" x14ac:dyDescent="0.2">
      <c r="A6309" s="341"/>
    </row>
    <row r="6310" spans="1:1" x14ac:dyDescent="0.2">
      <c r="A6310" s="341"/>
    </row>
    <row r="6311" spans="1:1" x14ac:dyDescent="0.2">
      <c r="A6311" s="341"/>
    </row>
    <row r="6312" spans="1:1" x14ac:dyDescent="0.2">
      <c r="A6312" s="341"/>
    </row>
    <row r="6313" spans="1:1" x14ac:dyDescent="0.2">
      <c r="A6313" s="341"/>
    </row>
    <row r="6314" spans="1:1" x14ac:dyDescent="0.2">
      <c r="A6314" s="341"/>
    </row>
    <row r="6315" spans="1:1" x14ac:dyDescent="0.2">
      <c r="A6315" s="341"/>
    </row>
    <row r="6316" spans="1:1" x14ac:dyDescent="0.2">
      <c r="A6316" s="341"/>
    </row>
    <row r="6317" spans="1:1" x14ac:dyDescent="0.2">
      <c r="A6317" s="341"/>
    </row>
    <row r="6318" spans="1:1" x14ac:dyDescent="0.2">
      <c r="A6318" s="341"/>
    </row>
    <row r="6319" spans="1:1" x14ac:dyDescent="0.2">
      <c r="A6319" s="341"/>
    </row>
    <row r="6320" spans="1:1" x14ac:dyDescent="0.2">
      <c r="A6320" s="341"/>
    </row>
    <row r="6321" spans="1:1" x14ac:dyDescent="0.2">
      <c r="A6321" s="341"/>
    </row>
    <row r="6322" spans="1:1" x14ac:dyDescent="0.2">
      <c r="A6322" s="341"/>
    </row>
    <row r="6323" spans="1:1" x14ac:dyDescent="0.2">
      <c r="A6323" s="341"/>
    </row>
    <row r="6324" spans="1:1" x14ac:dyDescent="0.2">
      <c r="A6324" s="341"/>
    </row>
    <row r="6325" spans="1:1" x14ac:dyDescent="0.2">
      <c r="A6325" s="341"/>
    </row>
    <row r="6326" spans="1:1" x14ac:dyDescent="0.2">
      <c r="A6326" s="341"/>
    </row>
    <row r="6327" spans="1:1" x14ac:dyDescent="0.2">
      <c r="A6327" s="341"/>
    </row>
    <row r="6328" spans="1:1" x14ac:dyDescent="0.2">
      <c r="A6328" s="341"/>
    </row>
    <row r="6329" spans="1:1" x14ac:dyDescent="0.2">
      <c r="A6329" s="341"/>
    </row>
    <row r="6330" spans="1:1" x14ac:dyDescent="0.2">
      <c r="A6330" s="341"/>
    </row>
    <row r="6331" spans="1:1" x14ac:dyDescent="0.2">
      <c r="A6331" s="341"/>
    </row>
    <row r="6332" spans="1:1" x14ac:dyDescent="0.2">
      <c r="A6332" s="341"/>
    </row>
    <row r="6333" spans="1:1" x14ac:dyDescent="0.2">
      <c r="A6333" s="341"/>
    </row>
    <row r="6334" spans="1:1" x14ac:dyDescent="0.2">
      <c r="A6334" s="341"/>
    </row>
    <row r="6335" spans="1:1" x14ac:dyDescent="0.2">
      <c r="A6335" s="341"/>
    </row>
    <row r="6336" spans="1:1" x14ac:dyDescent="0.2">
      <c r="A6336" s="341"/>
    </row>
    <row r="6337" spans="1:1" x14ac:dyDescent="0.2">
      <c r="A6337" s="341"/>
    </row>
    <row r="6338" spans="1:1" x14ac:dyDescent="0.2">
      <c r="A6338" s="341"/>
    </row>
    <row r="6339" spans="1:1" x14ac:dyDescent="0.2">
      <c r="A6339" s="341"/>
    </row>
    <row r="6340" spans="1:1" x14ac:dyDescent="0.2">
      <c r="A6340" s="341"/>
    </row>
    <row r="6341" spans="1:1" x14ac:dyDescent="0.2">
      <c r="A6341" s="341"/>
    </row>
    <row r="6342" spans="1:1" x14ac:dyDescent="0.2">
      <c r="A6342" s="341"/>
    </row>
    <row r="6343" spans="1:1" x14ac:dyDescent="0.2">
      <c r="A6343" s="341"/>
    </row>
    <row r="6344" spans="1:1" x14ac:dyDescent="0.2">
      <c r="A6344" s="341"/>
    </row>
    <row r="6345" spans="1:1" x14ac:dyDescent="0.2">
      <c r="A6345" s="341"/>
    </row>
    <row r="6346" spans="1:1" x14ac:dyDescent="0.2">
      <c r="A6346" s="341"/>
    </row>
    <row r="6347" spans="1:1" x14ac:dyDescent="0.2">
      <c r="A6347" s="341"/>
    </row>
    <row r="6348" spans="1:1" x14ac:dyDescent="0.2">
      <c r="A6348" s="341"/>
    </row>
    <row r="6349" spans="1:1" x14ac:dyDescent="0.2">
      <c r="A6349" s="341"/>
    </row>
    <row r="6350" spans="1:1" x14ac:dyDescent="0.2">
      <c r="A6350" s="341"/>
    </row>
    <row r="6351" spans="1:1" x14ac:dyDescent="0.2">
      <c r="A6351" s="341"/>
    </row>
    <row r="6352" spans="1:1" x14ac:dyDescent="0.2">
      <c r="A6352" s="341"/>
    </row>
    <row r="6353" spans="1:1" x14ac:dyDescent="0.2">
      <c r="A6353" s="341"/>
    </row>
    <row r="6354" spans="1:1" x14ac:dyDescent="0.2">
      <c r="A6354" s="341"/>
    </row>
    <row r="6355" spans="1:1" x14ac:dyDescent="0.2">
      <c r="A6355" s="341"/>
    </row>
    <row r="6356" spans="1:1" x14ac:dyDescent="0.2">
      <c r="A6356" s="341"/>
    </row>
    <row r="6357" spans="1:1" x14ac:dyDescent="0.2">
      <c r="A6357" s="341"/>
    </row>
    <row r="6358" spans="1:1" x14ac:dyDescent="0.2">
      <c r="A6358" s="341"/>
    </row>
    <row r="6359" spans="1:1" x14ac:dyDescent="0.2">
      <c r="A6359" s="341"/>
    </row>
    <row r="6360" spans="1:1" x14ac:dyDescent="0.2">
      <c r="A6360" s="341"/>
    </row>
    <row r="6361" spans="1:1" x14ac:dyDescent="0.2">
      <c r="A6361" s="341"/>
    </row>
    <row r="6362" spans="1:1" x14ac:dyDescent="0.2">
      <c r="A6362" s="341"/>
    </row>
    <row r="6363" spans="1:1" x14ac:dyDescent="0.2">
      <c r="A6363" s="341"/>
    </row>
    <row r="6364" spans="1:1" x14ac:dyDescent="0.2">
      <c r="A6364" s="341"/>
    </row>
    <row r="6365" spans="1:1" x14ac:dyDescent="0.2">
      <c r="A6365" s="341"/>
    </row>
    <row r="6366" spans="1:1" x14ac:dyDescent="0.2">
      <c r="A6366" s="341"/>
    </row>
    <row r="6367" spans="1:1" x14ac:dyDescent="0.2">
      <c r="A6367" s="341"/>
    </row>
    <row r="6368" spans="1:1" x14ac:dyDescent="0.2">
      <c r="A6368" s="341"/>
    </row>
    <row r="6369" spans="1:1" x14ac:dyDescent="0.2">
      <c r="A6369" s="341"/>
    </row>
    <row r="6370" spans="1:1" x14ac:dyDescent="0.2">
      <c r="A6370" s="341"/>
    </row>
    <row r="6371" spans="1:1" x14ac:dyDescent="0.2">
      <c r="A6371" s="341"/>
    </row>
    <row r="6372" spans="1:1" x14ac:dyDescent="0.2">
      <c r="A6372" s="341"/>
    </row>
    <row r="6373" spans="1:1" x14ac:dyDescent="0.2">
      <c r="A6373" s="341"/>
    </row>
    <row r="6374" spans="1:1" x14ac:dyDescent="0.2">
      <c r="A6374" s="341"/>
    </row>
    <row r="6375" spans="1:1" x14ac:dyDescent="0.2">
      <c r="A6375" s="341"/>
    </row>
    <row r="6376" spans="1:1" x14ac:dyDescent="0.2">
      <c r="A6376" s="341"/>
    </row>
    <row r="6377" spans="1:1" x14ac:dyDescent="0.2">
      <c r="A6377" s="341"/>
    </row>
    <row r="6378" spans="1:1" x14ac:dyDescent="0.2">
      <c r="A6378" s="341"/>
    </row>
    <row r="6379" spans="1:1" x14ac:dyDescent="0.2">
      <c r="A6379" s="341"/>
    </row>
    <row r="6380" spans="1:1" x14ac:dyDescent="0.2">
      <c r="A6380" s="341"/>
    </row>
    <row r="6381" spans="1:1" x14ac:dyDescent="0.2">
      <c r="A6381" s="341"/>
    </row>
    <row r="6382" spans="1:1" x14ac:dyDescent="0.2">
      <c r="A6382" s="341"/>
    </row>
    <row r="6383" spans="1:1" x14ac:dyDescent="0.2">
      <c r="A6383" s="341"/>
    </row>
    <row r="6384" spans="1:1" x14ac:dyDescent="0.2">
      <c r="A6384" s="341"/>
    </row>
    <row r="6385" spans="1:1" x14ac:dyDescent="0.2">
      <c r="A6385" s="341"/>
    </row>
    <row r="6386" spans="1:1" x14ac:dyDescent="0.2">
      <c r="A6386" s="341"/>
    </row>
    <row r="6387" spans="1:1" x14ac:dyDescent="0.2">
      <c r="A6387" s="341"/>
    </row>
    <row r="6388" spans="1:1" x14ac:dyDescent="0.2">
      <c r="A6388" s="341"/>
    </row>
    <row r="6389" spans="1:1" x14ac:dyDescent="0.2">
      <c r="A6389" s="341"/>
    </row>
    <row r="6390" spans="1:1" x14ac:dyDescent="0.2">
      <c r="A6390" s="341"/>
    </row>
    <row r="6391" spans="1:1" x14ac:dyDescent="0.2">
      <c r="A6391" s="341"/>
    </row>
    <row r="6392" spans="1:1" x14ac:dyDescent="0.2">
      <c r="A6392" s="341"/>
    </row>
    <row r="6393" spans="1:1" x14ac:dyDescent="0.2">
      <c r="A6393" s="341"/>
    </row>
    <row r="6394" spans="1:1" x14ac:dyDescent="0.2">
      <c r="A6394" s="341"/>
    </row>
    <row r="6395" spans="1:1" x14ac:dyDescent="0.2">
      <c r="A6395" s="341"/>
    </row>
    <row r="6396" spans="1:1" x14ac:dyDescent="0.2">
      <c r="A6396" s="341"/>
    </row>
    <row r="6397" spans="1:1" x14ac:dyDescent="0.2">
      <c r="A6397" s="341"/>
    </row>
    <row r="6398" spans="1:1" x14ac:dyDescent="0.2">
      <c r="A6398" s="341"/>
    </row>
    <row r="6399" spans="1:1" x14ac:dyDescent="0.2">
      <c r="A6399" s="341"/>
    </row>
    <row r="6400" spans="1:1" x14ac:dyDescent="0.2">
      <c r="A6400" s="341"/>
    </row>
    <row r="6401" spans="1:1" x14ac:dyDescent="0.2">
      <c r="A6401" s="341"/>
    </row>
    <row r="6402" spans="1:1" x14ac:dyDescent="0.2">
      <c r="A6402" s="341"/>
    </row>
    <row r="6403" spans="1:1" x14ac:dyDescent="0.2">
      <c r="A6403" s="341"/>
    </row>
    <row r="6404" spans="1:1" x14ac:dyDescent="0.2">
      <c r="A6404" s="341"/>
    </row>
    <row r="6405" spans="1:1" x14ac:dyDescent="0.2">
      <c r="A6405" s="341"/>
    </row>
    <row r="6406" spans="1:1" x14ac:dyDescent="0.2">
      <c r="A6406" s="341"/>
    </row>
    <row r="6407" spans="1:1" x14ac:dyDescent="0.2">
      <c r="A6407" s="341"/>
    </row>
    <row r="6408" spans="1:1" x14ac:dyDescent="0.2">
      <c r="A6408" s="341"/>
    </row>
    <row r="6409" spans="1:1" x14ac:dyDescent="0.2">
      <c r="A6409" s="341"/>
    </row>
    <row r="6410" spans="1:1" x14ac:dyDescent="0.2">
      <c r="A6410" s="341"/>
    </row>
    <row r="6411" spans="1:1" x14ac:dyDescent="0.2">
      <c r="A6411" s="341"/>
    </row>
    <row r="6412" spans="1:1" x14ac:dyDescent="0.2">
      <c r="A6412" s="341"/>
    </row>
    <row r="6413" spans="1:1" x14ac:dyDescent="0.2">
      <c r="A6413" s="341"/>
    </row>
    <row r="6414" spans="1:1" x14ac:dyDescent="0.2">
      <c r="A6414" s="341"/>
    </row>
    <row r="6415" spans="1:1" x14ac:dyDescent="0.2">
      <c r="A6415" s="341"/>
    </row>
    <row r="6416" spans="1:1" x14ac:dyDescent="0.2">
      <c r="A6416" s="341"/>
    </row>
    <row r="6417" spans="1:1" x14ac:dyDescent="0.2">
      <c r="A6417" s="341"/>
    </row>
    <row r="6418" spans="1:1" x14ac:dyDescent="0.2">
      <c r="A6418" s="341"/>
    </row>
    <row r="6419" spans="1:1" x14ac:dyDescent="0.2">
      <c r="A6419" s="341"/>
    </row>
    <row r="6420" spans="1:1" x14ac:dyDescent="0.2">
      <c r="A6420" s="341"/>
    </row>
    <row r="6421" spans="1:1" x14ac:dyDescent="0.2">
      <c r="A6421" s="341"/>
    </row>
    <row r="6422" spans="1:1" x14ac:dyDescent="0.2">
      <c r="A6422" s="341"/>
    </row>
    <row r="6423" spans="1:1" x14ac:dyDescent="0.2">
      <c r="A6423" s="341"/>
    </row>
    <row r="6424" spans="1:1" x14ac:dyDescent="0.2">
      <c r="A6424" s="341"/>
    </row>
    <row r="6425" spans="1:1" x14ac:dyDescent="0.2">
      <c r="A6425" s="341"/>
    </row>
    <row r="6426" spans="1:1" x14ac:dyDescent="0.2">
      <c r="A6426" s="341"/>
    </row>
    <row r="6427" spans="1:1" x14ac:dyDescent="0.2">
      <c r="A6427" s="341"/>
    </row>
    <row r="6428" spans="1:1" x14ac:dyDescent="0.2">
      <c r="A6428" s="341"/>
    </row>
    <row r="6429" spans="1:1" x14ac:dyDescent="0.2">
      <c r="A6429" s="341"/>
    </row>
    <row r="6430" spans="1:1" x14ac:dyDescent="0.2">
      <c r="A6430" s="341"/>
    </row>
    <row r="6431" spans="1:1" x14ac:dyDescent="0.2">
      <c r="A6431" s="341"/>
    </row>
    <row r="6432" spans="1:1" x14ac:dyDescent="0.2">
      <c r="A6432" s="341"/>
    </row>
    <row r="6433" spans="1:1" x14ac:dyDescent="0.2">
      <c r="A6433" s="341"/>
    </row>
    <row r="6434" spans="1:1" x14ac:dyDescent="0.2">
      <c r="A6434" s="341"/>
    </row>
    <row r="6435" spans="1:1" x14ac:dyDescent="0.2">
      <c r="A6435" s="341"/>
    </row>
    <row r="6436" spans="1:1" x14ac:dyDescent="0.2">
      <c r="A6436" s="341"/>
    </row>
    <row r="6437" spans="1:1" x14ac:dyDescent="0.2">
      <c r="A6437" s="341"/>
    </row>
    <row r="6438" spans="1:1" x14ac:dyDescent="0.2">
      <c r="A6438" s="341"/>
    </row>
    <row r="6439" spans="1:1" x14ac:dyDescent="0.2">
      <c r="A6439" s="341"/>
    </row>
    <row r="6440" spans="1:1" x14ac:dyDescent="0.2">
      <c r="A6440" s="341"/>
    </row>
    <row r="6441" spans="1:1" x14ac:dyDescent="0.2">
      <c r="A6441" s="341"/>
    </row>
    <row r="6442" spans="1:1" x14ac:dyDescent="0.2">
      <c r="A6442" s="341"/>
    </row>
    <row r="6443" spans="1:1" x14ac:dyDescent="0.2">
      <c r="A6443" s="341"/>
    </row>
    <row r="6444" spans="1:1" x14ac:dyDescent="0.2">
      <c r="A6444" s="341"/>
    </row>
    <row r="6445" spans="1:1" x14ac:dyDescent="0.2">
      <c r="A6445" s="341"/>
    </row>
    <row r="6446" spans="1:1" x14ac:dyDescent="0.2">
      <c r="A6446" s="341"/>
    </row>
    <row r="6447" spans="1:1" x14ac:dyDescent="0.2">
      <c r="A6447" s="341"/>
    </row>
    <row r="6448" spans="1:1" x14ac:dyDescent="0.2">
      <c r="A6448" s="341"/>
    </row>
    <row r="6449" spans="1:1" x14ac:dyDescent="0.2">
      <c r="A6449" s="341"/>
    </row>
    <row r="6450" spans="1:1" x14ac:dyDescent="0.2">
      <c r="A6450" s="341"/>
    </row>
    <row r="6451" spans="1:1" x14ac:dyDescent="0.2">
      <c r="A6451" s="341"/>
    </row>
    <row r="6452" spans="1:1" x14ac:dyDescent="0.2">
      <c r="A6452" s="341"/>
    </row>
    <row r="6453" spans="1:1" x14ac:dyDescent="0.2">
      <c r="A6453" s="341"/>
    </row>
    <row r="6454" spans="1:1" x14ac:dyDescent="0.2">
      <c r="A6454" s="341"/>
    </row>
    <row r="6455" spans="1:1" x14ac:dyDescent="0.2">
      <c r="A6455" s="341"/>
    </row>
    <row r="6456" spans="1:1" x14ac:dyDescent="0.2">
      <c r="A6456" s="341"/>
    </row>
    <row r="6457" spans="1:1" x14ac:dyDescent="0.2">
      <c r="A6457" s="341"/>
    </row>
    <row r="6458" spans="1:1" x14ac:dyDescent="0.2">
      <c r="A6458" s="341"/>
    </row>
    <row r="6459" spans="1:1" x14ac:dyDescent="0.2">
      <c r="A6459" s="341"/>
    </row>
    <row r="6460" spans="1:1" x14ac:dyDescent="0.2">
      <c r="A6460" s="341"/>
    </row>
    <row r="6461" spans="1:1" x14ac:dyDescent="0.2">
      <c r="A6461" s="341"/>
    </row>
    <row r="6462" spans="1:1" x14ac:dyDescent="0.2">
      <c r="A6462" s="341"/>
    </row>
    <row r="6463" spans="1:1" x14ac:dyDescent="0.2">
      <c r="A6463" s="341"/>
    </row>
    <row r="6464" spans="1:1" x14ac:dyDescent="0.2">
      <c r="A6464" s="341"/>
    </row>
    <row r="6465" spans="1:1" x14ac:dyDescent="0.2">
      <c r="A6465" s="341"/>
    </row>
    <row r="6466" spans="1:1" x14ac:dyDescent="0.2">
      <c r="A6466" s="341"/>
    </row>
    <row r="6467" spans="1:1" x14ac:dyDescent="0.2">
      <c r="A6467" s="341"/>
    </row>
    <row r="6468" spans="1:1" x14ac:dyDescent="0.2">
      <c r="A6468" s="341"/>
    </row>
    <row r="6469" spans="1:1" x14ac:dyDescent="0.2">
      <c r="A6469" s="341"/>
    </row>
    <row r="6470" spans="1:1" x14ac:dyDescent="0.2">
      <c r="A6470" s="341"/>
    </row>
    <row r="6471" spans="1:1" x14ac:dyDescent="0.2">
      <c r="A6471" s="341"/>
    </row>
    <row r="6472" spans="1:1" x14ac:dyDescent="0.2">
      <c r="A6472" s="341"/>
    </row>
    <row r="6473" spans="1:1" x14ac:dyDescent="0.2">
      <c r="A6473" s="341"/>
    </row>
    <row r="6474" spans="1:1" x14ac:dyDescent="0.2">
      <c r="A6474" s="341"/>
    </row>
    <row r="6475" spans="1:1" x14ac:dyDescent="0.2">
      <c r="A6475" s="341"/>
    </row>
    <row r="6476" spans="1:1" x14ac:dyDescent="0.2">
      <c r="A6476" s="341"/>
    </row>
    <row r="6477" spans="1:1" x14ac:dyDescent="0.2">
      <c r="A6477" s="341"/>
    </row>
    <row r="6478" spans="1:1" x14ac:dyDescent="0.2">
      <c r="A6478" s="341"/>
    </row>
    <row r="6479" spans="1:1" x14ac:dyDescent="0.2">
      <c r="A6479" s="341"/>
    </row>
    <row r="6480" spans="1:1" x14ac:dyDescent="0.2">
      <c r="A6480" s="341"/>
    </row>
    <row r="6481" spans="1:1" x14ac:dyDescent="0.2">
      <c r="A6481" s="341"/>
    </row>
    <row r="6482" spans="1:1" x14ac:dyDescent="0.2">
      <c r="A6482" s="341"/>
    </row>
    <row r="6483" spans="1:1" x14ac:dyDescent="0.2">
      <c r="A6483" s="341"/>
    </row>
    <row r="6484" spans="1:1" x14ac:dyDescent="0.2">
      <c r="A6484" s="341"/>
    </row>
    <row r="6485" spans="1:1" x14ac:dyDescent="0.2">
      <c r="A6485" s="341"/>
    </row>
    <row r="6486" spans="1:1" x14ac:dyDescent="0.2">
      <c r="A6486" s="341"/>
    </row>
    <row r="6487" spans="1:1" x14ac:dyDescent="0.2">
      <c r="A6487" s="341"/>
    </row>
    <row r="6488" spans="1:1" x14ac:dyDescent="0.2">
      <c r="A6488" s="341"/>
    </row>
    <row r="6489" spans="1:1" x14ac:dyDescent="0.2">
      <c r="A6489" s="341"/>
    </row>
    <row r="6490" spans="1:1" x14ac:dyDescent="0.2">
      <c r="A6490" s="341"/>
    </row>
    <row r="6491" spans="1:1" x14ac:dyDescent="0.2">
      <c r="A6491" s="341"/>
    </row>
    <row r="6492" spans="1:1" x14ac:dyDescent="0.2">
      <c r="A6492" s="341"/>
    </row>
    <row r="6493" spans="1:1" x14ac:dyDescent="0.2">
      <c r="A6493" s="341"/>
    </row>
    <row r="6494" spans="1:1" x14ac:dyDescent="0.2">
      <c r="A6494" s="341"/>
    </row>
    <row r="6495" spans="1:1" x14ac:dyDescent="0.2">
      <c r="A6495" s="341"/>
    </row>
    <row r="6496" spans="1:1" x14ac:dyDescent="0.2">
      <c r="A6496" s="341"/>
    </row>
    <row r="6497" spans="1:1" x14ac:dyDescent="0.2">
      <c r="A6497" s="341"/>
    </row>
    <row r="6498" spans="1:1" x14ac:dyDescent="0.2">
      <c r="A6498" s="341"/>
    </row>
    <row r="6499" spans="1:1" x14ac:dyDescent="0.2">
      <c r="A6499" s="341"/>
    </row>
    <row r="6500" spans="1:1" x14ac:dyDescent="0.2">
      <c r="A6500" s="341"/>
    </row>
    <row r="6501" spans="1:1" x14ac:dyDescent="0.2">
      <c r="A6501" s="341"/>
    </row>
    <row r="6502" spans="1:1" x14ac:dyDescent="0.2">
      <c r="A6502" s="341"/>
    </row>
    <row r="6503" spans="1:1" x14ac:dyDescent="0.2">
      <c r="A6503" s="341"/>
    </row>
    <row r="6504" spans="1:1" x14ac:dyDescent="0.2">
      <c r="A6504" s="341"/>
    </row>
    <row r="6505" spans="1:1" x14ac:dyDescent="0.2">
      <c r="A6505" s="341"/>
    </row>
    <row r="6506" spans="1:1" x14ac:dyDescent="0.2">
      <c r="A6506" s="341"/>
    </row>
    <row r="6507" spans="1:1" x14ac:dyDescent="0.2">
      <c r="A6507" s="341"/>
    </row>
    <row r="6508" spans="1:1" x14ac:dyDescent="0.2">
      <c r="A6508" s="341"/>
    </row>
    <row r="6509" spans="1:1" x14ac:dyDescent="0.2">
      <c r="A6509" s="341"/>
    </row>
    <row r="6510" spans="1:1" x14ac:dyDescent="0.2">
      <c r="A6510" s="341"/>
    </row>
    <row r="6511" spans="1:1" x14ac:dyDescent="0.2">
      <c r="A6511" s="341"/>
    </row>
    <row r="6512" spans="1:1" x14ac:dyDescent="0.2">
      <c r="A6512" s="341"/>
    </row>
    <row r="6513" spans="1:1" x14ac:dyDescent="0.2">
      <c r="A6513" s="341"/>
    </row>
    <row r="6514" spans="1:1" x14ac:dyDescent="0.2">
      <c r="A6514" s="341"/>
    </row>
    <row r="6515" spans="1:1" x14ac:dyDescent="0.2">
      <c r="A6515" s="341"/>
    </row>
    <row r="6516" spans="1:1" x14ac:dyDescent="0.2">
      <c r="A6516" s="341"/>
    </row>
    <row r="6517" spans="1:1" x14ac:dyDescent="0.2">
      <c r="A6517" s="341"/>
    </row>
    <row r="6518" spans="1:1" x14ac:dyDescent="0.2">
      <c r="A6518" s="341"/>
    </row>
    <row r="6519" spans="1:1" x14ac:dyDescent="0.2">
      <c r="A6519" s="341"/>
    </row>
    <row r="6520" spans="1:1" x14ac:dyDescent="0.2">
      <c r="A6520" s="341"/>
    </row>
    <row r="6521" spans="1:1" x14ac:dyDescent="0.2">
      <c r="A6521" s="341"/>
    </row>
    <row r="6522" spans="1:1" x14ac:dyDescent="0.2">
      <c r="A6522" s="341"/>
    </row>
    <row r="6523" spans="1:1" x14ac:dyDescent="0.2">
      <c r="A6523" s="341"/>
    </row>
    <row r="6524" spans="1:1" x14ac:dyDescent="0.2">
      <c r="A6524" s="341"/>
    </row>
    <row r="6525" spans="1:1" x14ac:dyDescent="0.2">
      <c r="A6525" s="341"/>
    </row>
    <row r="6526" spans="1:1" x14ac:dyDescent="0.2">
      <c r="A6526" s="341"/>
    </row>
    <row r="6527" spans="1:1" x14ac:dyDescent="0.2">
      <c r="A6527" s="341"/>
    </row>
    <row r="6528" spans="1:1" x14ac:dyDescent="0.2">
      <c r="A6528" s="341"/>
    </row>
    <row r="6529" spans="1:1" x14ac:dyDescent="0.2">
      <c r="A6529" s="341"/>
    </row>
    <row r="6530" spans="1:1" x14ac:dyDescent="0.2">
      <c r="A6530" s="341"/>
    </row>
    <row r="6531" spans="1:1" x14ac:dyDescent="0.2">
      <c r="A6531" s="341"/>
    </row>
    <row r="6532" spans="1:1" x14ac:dyDescent="0.2">
      <c r="A6532" s="341"/>
    </row>
    <row r="6533" spans="1:1" x14ac:dyDescent="0.2">
      <c r="A6533" s="341"/>
    </row>
    <row r="6534" spans="1:1" x14ac:dyDescent="0.2">
      <c r="A6534" s="341"/>
    </row>
    <row r="6535" spans="1:1" x14ac:dyDescent="0.2">
      <c r="A6535" s="341"/>
    </row>
    <row r="6536" spans="1:1" x14ac:dyDescent="0.2">
      <c r="A6536" s="341"/>
    </row>
    <row r="6537" spans="1:1" x14ac:dyDescent="0.2">
      <c r="A6537" s="341"/>
    </row>
    <row r="6538" spans="1:1" x14ac:dyDescent="0.2">
      <c r="A6538" s="341"/>
    </row>
    <row r="6539" spans="1:1" x14ac:dyDescent="0.2">
      <c r="A6539" s="341"/>
    </row>
    <row r="6540" spans="1:1" x14ac:dyDescent="0.2">
      <c r="A6540" s="341"/>
    </row>
    <row r="6541" spans="1:1" x14ac:dyDescent="0.2">
      <c r="A6541" s="341"/>
    </row>
    <row r="6542" spans="1:1" x14ac:dyDescent="0.2">
      <c r="A6542" s="341"/>
    </row>
    <row r="6543" spans="1:1" x14ac:dyDescent="0.2">
      <c r="A6543" s="341"/>
    </row>
    <row r="6544" spans="1:1" x14ac:dyDescent="0.2">
      <c r="A6544" s="341"/>
    </row>
    <row r="6545" spans="1:1" x14ac:dyDescent="0.2">
      <c r="A6545" s="341"/>
    </row>
    <row r="6546" spans="1:1" x14ac:dyDescent="0.2">
      <c r="A6546" s="341"/>
    </row>
    <row r="6547" spans="1:1" x14ac:dyDescent="0.2">
      <c r="A6547" s="341"/>
    </row>
    <row r="6548" spans="1:1" x14ac:dyDescent="0.2">
      <c r="A6548" s="341"/>
    </row>
    <row r="6549" spans="1:1" x14ac:dyDescent="0.2">
      <c r="A6549" s="341"/>
    </row>
    <row r="6550" spans="1:1" x14ac:dyDescent="0.2">
      <c r="A6550" s="341"/>
    </row>
    <row r="6551" spans="1:1" x14ac:dyDescent="0.2">
      <c r="A6551" s="341"/>
    </row>
    <row r="6552" spans="1:1" x14ac:dyDescent="0.2">
      <c r="A6552" s="341"/>
    </row>
    <row r="6553" spans="1:1" x14ac:dyDescent="0.2">
      <c r="A6553" s="341"/>
    </row>
    <row r="6554" spans="1:1" x14ac:dyDescent="0.2">
      <c r="A6554" s="341"/>
    </row>
    <row r="6555" spans="1:1" x14ac:dyDescent="0.2">
      <c r="A6555" s="341"/>
    </row>
    <row r="6556" spans="1:1" x14ac:dyDescent="0.2">
      <c r="A6556" s="341"/>
    </row>
    <row r="6557" spans="1:1" x14ac:dyDescent="0.2">
      <c r="A6557" s="341"/>
    </row>
    <row r="6558" spans="1:1" x14ac:dyDescent="0.2">
      <c r="A6558" s="341"/>
    </row>
    <row r="6559" spans="1:1" x14ac:dyDescent="0.2">
      <c r="A6559" s="341"/>
    </row>
    <row r="6560" spans="1:1" x14ac:dyDescent="0.2">
      <c r="A6560" s="341"/>
    </row>
    <row r="6561" spans="1:1" x14ac:dyDescent="0.2">
      <c r="A6561" s="341"/>
    </row>
    <row r="6562" spans="1:1" x14ac:dyDescent="0.2">
      <c r="A6562" s="341"/>
    </row>
    <row r="6563" spans="1:1" x14ac:dyDescent="0.2">
      <c r="A6563" s="341"/>
    </row>
    <row r="6564" spans="1:1" x14ac:dyDescent="0.2">
      <c r="A6564" s="341"/>
    </row>
    <row r="6565" spans="1:1" x14ac:dyDescent="0.2">
      <c r="A6565" s="341"/>
    </row>
    <row r="6566" spans="1:1" x14ac:dyDescent="0.2">
      <c r="A6566" s="341"/>
    </row>
    <row r="6567" spans="1:1" x14ac:dyDescent="0.2">
      <c r="A6567" s="341"/>
    </row>
    <row r="6568" spans="1:1" x14ac:dyDescent="0.2">
      <c r="A6568" s="341"/>
    </row>
    <row r="6569" spans="1:1" x14ac:dyDescent="0.2">
      <c r="A6569" s="341"/>
    </row>
    <row r="6570" spans="1:1" x14ac:dyDescent="0.2">
      <c r="A6570" s="341"/>
    </row>
    <row r="6571" spans="1:1" x14ac:dyDescent="0.2">
      <c r="A6571" s="341"/>
    </row>
    <row r="6572" spans="1:1" x14ac:dyDescent="0.2">
      <c r="A6572" s="341"/>
    </row>
    <row r="6573" spans="1:1" x14ac:dyDescent="0.2">
      <c r="A6573" s="341"/>
    </row>
    <row r="6574" spans="1:1" x14ac:dyDescent="0.2">
      <c r="A6574" s="341"/>
    </row>
    <row r="6575" spans="1:1" x14ac:dyDescent="0.2">
      <c r="A6575" s="341"/>
    </row>
    <row r="6576" spans="1:1" x14ac:dyDescent="0.2">
      <c r="A6576" s="341"/>
    </row>
    <row r="6577" spans="1:1" x14ac:dyDescent="0.2">
      <c r="A6577" s="341"/>
    </row>
    <row r="6578" spans="1:1" x14ac:dyDescent="0.2">
      <c r="A6578" s="341"/>
    </row>
    <row r="6579" spans="1:1" x14ac:dyDescent="0.2">
      <c r="A6579" s="341"/>
    </row>
    <row r="6580" spans="1:1" x14ac:dyDescent="0.2">
      <c r="A6580" s="341"/>
    </row>
    <row r="6581" spans="1:1" x14ac:dyDescent="0.2">
      <c r="A6581" s="341"/>
    </row>
    <row r="6582" spans="1:1" x14ac:dyDescent="0.2">
      <c r="A6582" s="341"/>
    </row>
    <row r="6583" spans="1:1" x14ac:dyDescent="0.2">
      <c r="A6583" s="341"/>
    </row>
    <row r="6584" spans="1:1" x14ac:dyDescent="0.2">
      <c r="A6584" s="341"/>
    </row>
    <row r="6585" spans="1:1" x14ac:dyDescent="0.2">
      <c r="A6585" s="341"/>
    </row>
    <row r="6586" spans="1:1" x14ac:dyDescent="0.2">
      <c r="A6586" s="341"/>
    </row>
    <row r="6587" spans="1:1" x14ac:dyDescent="0.2">
      <c r="A6587" s="341"/>
    </row>
    <row r="6588" spans="1:1" x14ac:dyDescent="0.2">
      <c r="A6588" s="341"/>
    </row>
    <row r="6589" spans="1:1" x14ac:dyDescent="0.2">
      <c r="A6589" s="341"/>
    </row>
    <row r="6590" spans="1:1" x14ac:dyDescent="0.2">
      <c r="A6590" s="341"/>
    </row>
    <row r="6591" spans="1:1" x14ac:dyDescent="0.2">
      <c r="A6591" s="341"/>
    </row>
    <row r="6592" spans="1:1" x14ac:dyDescent="0.2">
      <c r="A6592" s="341"/>
    </row>
    <row r="6593" spans="1:1" x14ac:dyDescent="0.2">
      <c r="A6593" s="341"/>
    </row>
    <row r="6594" spans="1:1" x14ac:dyDescent="0.2">
      <c r="A6594" s="341"/>
    </row>
    <row r="6595" spans="1:1" x14ac:dyDescent="0.2">
      <c r="A6595" s="341"/>
    </row>
    <row r="6596" spans="1:1" x14ac:dyDescent="0.2">
      <c r="A6596" s="341"/>
    </row>
    <row r="6597" spans="1:1" x14ac:dyDescent="0.2">
      <c r="A6597" s="341"/>
    </row>
    <row r="6598" spans="1:1" x14ac:dyDescent="0.2">
      <c r="A6598" s="341"/>
    </row>
    <row r="6599" spans="1:1" x14ac:dyDescent="0.2">
      <c r="A6599" s="341"/>
    </row>
    <row r="6600" spans="1:1" x14ac:dyDescent="0.2">
      <c r="A6600" s="341"/>
    </row>
    <row r="6601" spans="1:1" x14ac:dyDescent="0.2">
      <c r="A6601" s="341"/>
    </row>
    <row r="6602" spans="1:1" x14ac:dyDescent="0.2">
      <c r="A6602" s="341"/>
    </row>
    <row r="6603" spans="1:1" x14ac:dyDescent="0.2">
      <c r="A6603" s="341"/>
    </row>
    <row r="6604" spans="1:1" x14ac:dyDescent="0.2">
      <c r="A6604" s="341"/>
    </row>
    <row r="6605" spans="1:1" x14ac:dyDescent="0.2">
      <c r="A6605" s="341"/>
    </row>
    <row r="6606" spans="1:1" x14ac:dyDescent="0.2">
      <c r="A6606" s="341"/>
    </row>
    <row r="6607" spans="1:1" x14ac:dyDescent="0.2">
      <c r="A6607" s="341"/>
    </row>
    <row r="6608" spans="1:1" x14ac:dyDescent="0.2">
      <c r="A6608" s="341"/>
    </row>
    <row r="6609" spans="1:1" x14ac:dyDescent="0.2">
      <c r="A6609" s="341"/>
    </row>
    <row r="6610" spans="1:1" x14ac:dyDescent="0.2">
      <c r="A6610" s="341"/>
    </row>
    <row r="6611" spans="1:1" x14ac:dyDescent="0.2">
      <c r="A6611" s="341"/>
    </row>
    <row r="6612" spans="1:1" x14ac:dyDescent="0.2">
      <c r="A6612" s="341"/>
    </row>
    <row r="6613" spans="1:1" x14ac:dyDescent="0.2">
      <c r="A6613" s="341"/>
    </row>
    <row r="6614" spans="1:1" x14ac:dyDescent="0.2">
      <c r="A6614" s="341"/>
    </row>
    <row r="6615" spans="1:1" x14ac:dyDescent="0.2">
      <c r="A6615" s="341"/>
    </row>
    <row r="6616" spans="1:1" x14ac:dyDescent="0.2">
      <c r="A6616" s="341"/>
    </row>
    <row r="6617" spans="1:1" x14ac:dyDescent="0.2">
      <c r="A6617" s="341"/>
    </row>
    <row r="6618" spans="1:1" x14ac:dyDescent="0.2">
      <c r="A6618" s="341"/>
    </row>
    <row r="6619" spans="1:1" x14ac:dyDescent="0.2">
      <c r="A6619" s="341"/>
    </row>
    <row r="6620" spans="1:1" x14ac:dyDescent="0.2">
      <c r="A6620" s="341"/>
    </row>
    <row r="6621" spans="1:1" x14ac:dyDescent="0.2">
      <c r="A6621" s="341"/>
    </row>
    <row r="6622" spans="1:1" x14ac:dyDescent="0.2">
      <c r="A6622" s="341"/>
    </row>
    <row r="6623" spans="1:1" x14ac:dyDescent="0.2">
      <c r="A6623" s="341"/>
    </row>
    <row r="6624" spans="1:1" x14ac:dyDescent="0.2">
      <c r="A6624" s="341"/>
    </row>
    <row r="6625" spans="1:1" x14ac:dyDescent="0.2">
      <c r="A6625" s="341"/>
    </row>
    <row r="6626" spans="1:1" x14ac:dyDescent="0.2">
      <c r="A6626" s="341"/>
    </row>
    <row r="6627" spans="1:1" x14ac:dyDescent="0.2">
      <c r="A6627" s="341"/>
    </row>
    <row r="6628" spans="1:1" x14ac:dyDescent="0.2">
      <c r="A6628" s="341"/>
    </row>
    <row r="6629" spans="1:1" x14ac:dyDescent="0.2">
      <c r="A6629" s="341"/>
    </row>
    <row r="6630" spans="1:1" x14ac:dyDescent="0.2">
      <c r="A6630" s="341"/>
    </row>
    <row r="6631" spans="1:1" x14ac:dyDescent="0.2">
      <c r="A6631" s="341"/>
    </row>
    <row r="6632" spans="1:1" x14ac:dyDescent="0.2">
      <c r="A6632" s="341"/>
    </row>
    <row r="6633" spans="1:1" x14ac:dyDescent="0.2">
      <c r="A6633" s="341"/>
    </row>
    <row r="6634" spans="1:1" x14ac:dyDescent="0.2">
      <c r="A6634" s="341"/>
    </row>
    <row r="6635" spans="1:1" x14ac:dyDescent="0.2">
      <c r="A6635" s="341"/>
    </row>
    <row r="6636" spans="1:1" x14ac:dyDescent="0.2">
      <c r="A6636" s="341"/>
    </row>
    <row r="6637" spans="1:1" x14ac:dyDescent="0.2">
      <c r="A6637" s="341"/>
    </row>
    <row r="6638" spans="1:1" x14ac:dyDescent="0.2">
      <c r="A6638" s="341"/>
    </row>
    <row r="6639" spans="1:1" x14ac:dyDescent="0.2">
      <c r="A6639" s="341"/>
    </row>
    <row r="6640" spans="1:1" x14ac:dyDescent="0.2">
      <c r="A6640" s="341"/>
    </row>
    <row r="6641" spans="1:1" x14ac:dyDescent="0.2">
      <c r="A6641" s="341"/>
    </row>
    <row r="6642" spans="1:1" x14ac:dyDescent="0.2">
      <c r="A6642" s="341"/>
    </row>
    <row r="6643" spans="1:1" x14ac:dyDescent="0.2">
      <c r="A6643" s="341"/>
    </row>
    <row r="6644" spans="1:1" x14ac:dyDescent="0.2">
      <c r="A6644" s="341"/>
    </row>
    <row r="6645" spans="1:1" x14ac:dyDescent="0.2">
      <c r="A6645" s="341"/>
    </row>
    <row r="6646" spans="1:1" x14ac:dyDescent="0.2">
      <c r="A6646" s="341"/>
    </row>
    <row r="6647" spans="1:1" x14ac:dyDescent="0.2">
      <c r="A6647" s="341"/>
    </row>
    <row r="6648" spans="1:1" x14ac:dyDescent="0.2">
      <c r="A6648" s="341"/>
    </row>
    <row r="6649" spans="1:1" x14ac:dyDescent="0.2">
      <c r="A6649" s="341"/>
    </row>
    <row r="6650" spans="1:1" x14ac:dyDescent="0.2">
      <c r="A6650" s="341"/>
    </row>
    <row r="6651" spans="1:1" x14ac:dyDescent="0.2">
      <c r="A6651" s="341"/>
    </row>
    <row r="6652" spans="1:1" x14ac:dyDescent="0.2">
      <c r="A6652" s="341"/>
    </row>
    <row r="6653" spans="1:1" x14ac:dyDescent="0.2">
      <c r="A6653" s="341"/>
    </row>
    <row r="6654" spans="1:1" x14ac:dyDescent="0.2">
      <c r="A6654" s="341"/>
    </row>
    <row r="6655" spans="1:1" x14ac:dyDescent="0.2">
      <c r="A6655" s="341"/>
    </row>
    <row r="6656" spans="1:1" x14ac:dyDescent="0.2">
      <c r="A6656" s="341"/>
    </row>
    <row r="6657" spans="1:1" x14ac:dyDescent="0.2">
      <c r="A6657" s="341"/>
    </row>
    <row r="6658" spans="1:1" x14ac:dyDescent="0.2">
      <c r="A6658" s="341"/>
    </row>
    <row r="6659" spans="1:1" x14ac:dyDescent="0.2">
      <c r="A6659" s="341"/>
    </row>
    <row r="6660" spans="1:1" x14ac:dyDescent="0.2">
      <c r="A6660" s="341"/>
    </row>
    <row r="6661" spans="1:1" x14ac:dyDescent="0.2">
      <c r="A6661" s="341"/>
    </row>
    <row r="6662" spans="1:1" x14ac:dyDescent="0.2">
      <c r="A6662" s="341"/>
    </row>
    <row r="6663" spans="1:1" x14ac:dyDescent="0.2">
      <c r="A6663" s="341"/>
    </row>
    <row r="6664" spans="1:1" x14ac:dyDescent="0.2">
      <c r="A6664" s="341"/>
    </row>
    <row r="6665" spans="1:1" x14ac:dyDescent="0.2">
      <c r="A6665" s="341"/>
    </row>
    <row r="6666" spans="1:1" x14ac:dyDescent="0.2">
      <c r="A6666" s="341"/>
    </row>
    <row r="6667" spans="1:1" x14ac:dyDescent="0.2">
      <c r="A6667" s="341"/>
    </row>
    <row r="6668" spans="1:1" x14ac:dyDescent="0.2">
      <c r="A6668" s="341"/>
    </row>
    <row r="6669" spans="1:1" x14ac:dyDescent="0.2">
      <c r="A6669" s="341"/>
    </row>
    <row r="6670" spans="1:1" x14ac:dyDescent="0.2">
      <c r="A6670" s="341"/>
    </row>
    <row r="6671" spans="1:1" x14ac:dyDescent="0.2">
      <c r="A6671" s="341"/>
    </row>
    <row r="6672" spans="1:1" x14ac:dyDescent="0.2">
      <c r="A6672" s="341"/>
    </row>
    <row r="6673" spans="1:1" x14ac:dyDescent="0.2">
      <c r="A6673" s="341"/>
    </row>
    <row r="6674" spans="1:1" x14ac:dyDescent="0.2">
      <c r="A6674" s="341"/>
    </row>
    <row r="6675" spans="1:1" x14ac:dyDescent="0.2">
      <c r="A6675" s="341"/>
    </row>
    <row r="6676" spans="1:1" x14ac:dyDescent="0.2">
      <c r="A6676" s="341"/>
    </row>
    <row r="6677" spans="1:1" x14ac:dyDescent="0.2">
      <c r="A6677" s="341"/>
    </row>
    <row r="6678" spans="1:1" x14ac:dyDescent="0.2">
      <c r="A6678" s="341"/>
    </row>
    <row r="6679" spans="1:1" x14ac:dyDescent="0.2">
      <c r="A6679" s="341"/>
    </row>
    <row r="6680" spans="1:1" x14ac:dyDescent="0.2">
      <c r="A6680" s="341"/>
    </row>
    <row r="6681" spans="1:1" x14ac:dyDescent="0.2">
      <c r="A6681" s="341"/>
    </row>
    <row r="6682" spans="1:1" x14ac:dyDescent="0.2">
      <c r="A6682" s="341"/>
    </row>
    <row r="6683" spans="1:1" x14ac:dyDescent="0.2">
      <c r="A6683" s="341"/>
    </row>
    <row r="6684" spans="1:1" x14ac:dyDescent="0.2">
      <c r="A6684" s="341"/>
    </row>
    <row r="6685" spans="1:1" x14ac:dyDescent="0.2">
      <c r="A6685" s="341"/>
    </row>
    <row r="6686" spans="1:1" x14ac:dyDescent="0.2">
      <c r="A6686" s="341"/>
    </row>
    <row r="6687" spans="1:1" x14ac:dyDescent="0.2">
      <c r="A6687" s="341"/>
    </row>
    <row r="6688" spans="1:1" x14ac:dyDescent="0.2">
      <c r="A6688" s="341"/>
    </row>
    <row r="6689" spans="1:1" x14ac:dyDescent="0.2">
      <c r="A6689" s="341"/>
    </row>
    <row r="6690" spans="1:1" x14ac:dyDescent="0.2">
      <c r="A6690" s="341"/>
    </row>
    <row r="6691" spans="1:1" x14ac:dyDescent="0.2">
      <c r="A6691" s="341"/>
    </row>
    <row r="6692" spans="1:1" x14ac:dyDescent="0.2">
      <c r="A6692" s="341"/>
    </row>
    <row r="6693" spans="1:1" x14ac:dyDescent="0.2">
      <c r="A6693" s="341"/>
    </row>
    <row r="6694" spans="1:1" x14ac:dyDescent="0.2">
      <c r="A6694" s="341"/>
    </row>
    <row r="6695" spans="1:1" x14ac:dyDescent="0.2">
      <c r="A6695" s="341"/>
    </row>
    <row r="6696" spans="1:1" x14ac:dyDescent="0.2">
      <c r="A6696" s="341"/>
    </row>
    <row r="6697" spans="1:1" x14ac:dyDescent="0.2">
      <c r="A6697" s="341"/>
    </row>
    <row r="6698" spans="1:1" x14ac:dyDescent="0.2">
      <c r="A6698" s="341"/>
    </row>
    <row r="6699" spans="1:1" x14ac:dyDescent="0.2">
      <c r="A6699" s="341"/>
    </row>
    <row r="6700" spans="1:1" x14ac:dyDescent="0.2">
      <c r="A6700" s="341"/>
    </row>
    <row r="6701" spans="1:1" x14ac:dyDescent="0.2">
      <c r="A6701" s="341"/>
    </row>
    <row r="6702" spans="1:1" x14ac:dyDescent="0.2">
      <c r="A6702" s="341"/>
    </row>
    <row r="6703" spans="1:1" x14ac:dyDescent="0.2">
      <c r="A6703" s="341"/>
    </row>
    <row r="6704" spans="1:1" x14ac:dyDescent="0.2">
      <c r="A6704" s="341"/>
    </row>
    <row r="6705" spans="1:1" x14ac:dyDescent="0.2">
      <c r="A6705" s="341"/>
    </row>
    <row r="6706" spans="1:1" x14ac:dyDescent="0.2">
      <c r="A6706" s="341"/>
    </row>
    <row r="6707" spans="1:1" x14ac:dyDescent="0.2">
      <c r="A6707" s="341"/>
    </row>
    <row r="6708" spans="1:1" x14ac:dyDescent="0.2">
      <c r="A6708" s="341"/>
    </row>
    <row r="6709" spans="1:1" x14ac:dyDescent="0.2">
      <c r="A6709" s="341"/>
    </row>
    <row r="6710" spans="1:1" x14ac:dyDescent="0.2">
      <c r="A6710" s="341"/>
    </row>
    <row r="6711" spans="1:1" x14ac:dyDescent="0.2">
      <c r="A6711" s="341"/>
    </row>
    <row r="6712" spans="1:1" x14ac:dyDescent="0.2">
      <c r="A6712" s="341"/>
    </row>
    <row r="6713" spans="1:1" x14ac:dyDescent="0.2">
      <c r="A6713" s="341"/>
    </row>
    <row r="6714" spans="1:1" x14ac:dyDescent="0.2">
      <c r="A6714" s="341"/>
    </row>
    <row r="6715" spans="1:1" x14ac:dyDescent="0.2">
      <c r="A6715" s="341"/>
    </row>
    <row r="6716" spans="1:1" x14ac:dyDescent="0.2">
      <c r="A6716" s="341"/>
    </row>
    <row r="6717" spans="1:1" x14ac:dyDescent="0.2">
      <c r="A6717" s="341"/>
    </row>
    <row r="6718" spans="1:1" x14ac:dyDescent="0.2">
      <c r="A6718" s="341"/>
    </row>
    <row r="6719" spans="1:1" x14ac:dyDescent="0.2">
      <c r="A6719" s="341"/>
    </row>
    <row r="6720" spans="1:1" x14ac:dyDescent="0.2">
      <c r="A6720" s="341"/>
    </row>
    <row r="6721" spans="1:1" x14ac:dyDescent="0.2">
      <c r="A6721" s="341"/>
    </row>
    <row r="6722" spans="1:1" x14ac:dyDescent="0.2">
      <c r="A6722" s="341"/>
    </row>
    <row r="6723" spans="1:1" x14ac:dyDescent="0.2">
      <c r="A6723" s="341"/>
    </row>
    <row r="6724" spans="1:1" x14ac:dyDescent="0.2">
      <c r="A6724" s="341"/>
    </row>
    <row r="6725" spans="1:1" x14ac:dyDescent="0.2">
      <c r="A6725" s="341"/>
    </row>
    <row r="6726" spans="1:1" x14ac:dyDescent="0.2">
      <c r="A6726" s="341"/>
    </row>
    <row r="6727" spans="1:1" x14ac:dyDescent="0.2">
      <c r="A6727" s="341"/>
    </row>
    <row r="6728" spans="1:1" x14ac:dyDescent="0.2">
      <c r="A6728" s="341"/>
    </row>
    <row r="6729" spans="1:1" x14ac:dyDescent="0.2">
      <c r="A6729" s="341"/>
    </row>
    <row r="6730" spans="1:1" x14ac:dyDescent="0.2">
      <c r="A6730" s="341"/>
    </row>
    <row r="6731" spans="1:1" x14ac:dyDescent="0.2">
      <c r="A6731" s="341"/>
    </row>
    <row r="6732" spans="1:1" x14ac:dyDescent="0.2">
      <c r="A6732" s="341"/>
    </row>
    <row r="6733" spans="1:1" x14ac:dyDescent="0.2">
      <c r="A6733" s="341"/>
    </row>
    <row r="6734" spans="1:1" x14ac:dyDescent="0.2">
      <c r="A6734" s="341"/>
    </row>
    <row r="6735" spans="1:1" x14ac:dyDescent="0.2">
      <c r="A6735" s="341"/>
    </row>
    <row r="6736" spans="1:1" x14ac:dyDescent="0.2">
      <c r="A6736" s="341"/>
    </row>
    <row r="6737" spans="1:1" x14ac:dyDescent="0.2">
      <c r="A6737" s="341"/>
    </row>
    <row r="6738" spans="1:1" x14ac:dyDescent="0.2">
      <c r="A6738" s="341"/>
    </row>
    <row r="6739" spans="1:1" x14ac:dyDescent="0.2">
      <c r="A6739" s="341"/>
    </row>
    <row r="6740" spans="1:1" x14ac:dyDescent="0.2">
      <c r="A6740" s="341"/>
    </row>
    <row r="6741" spans="1:1" x14ac:dyDescent="0.2">
      <c r="A6741" s="341"/>
    </row>
    <row r="6742" spans="1:1" x14ac:dyDescent="0.2">
      <c r="A6742" s="341"/>
    </row>
    <row r="6743" spans="1:1" x14ac:dyDescent="0.2">
      <c r="A6743" s="341"/>
    </row>
    <row r="6744" spans="1:1" x14ac:dyDescent="0.2">
      <c r="A6744" s="341"/>
    </row>
    <row r="6745" spans="1:1" x14ac:dyDescent="0.2">
      <c r="A6745" s="341"/>
    </row>
    <row r="6746" spans="1:1" x14ac:dyDescent="0.2">
      <c r="A6746" s="341"/>
    </row>
    <row r="6747" spans="1:1" x14ac:dyDescent="0.2">
      <c r="A6747" s="341"/>
    </row>
    <row r="6748" spans="1:1" x14ac:dyDescent="0.2">
      <c r="A6748" s="341"/>
    </row>
    <row r="6749" spans="1:1" x14ac:dyDescent="0.2">
      <c r="A6749" s="341"/>
    </row>
    <row r="6750" spans="1:1" x14ac:dyDescent="0.2">
      <c r="A6750" s="341"/>
    </row>
    <row r="6751" spans="1:1" x14ac:dyDescent="0.2">
      <c r="A6751" s="341"/>
    </row>
    <row r="6752" spans="1:1" x14ac:dyDescent="0.2">
      <c r="A6752" s="341"/>
    </row>
    <row r="6753" spans="1:1" x14ac:dyDescent="0.2">
      <c r="A6753" s="341"/>
    </row>
    <row r="6754" spans="1:1" x14ac:dyDescent="0.2">
      <c r="A6754" s="341"/>
    </row>
    <row r="6755" spans="1:1" x14ac:dyDescent="0.2">
      <c r="A6755" s="341"/>
    </row>
    <row r="6756" spans="1:1" x14ac:dyDescent="0.2">
      <c r="A6756" s="341"/>
    </row>
    <row r="6757" spans="1:1" x14ac:dyDescent="0.2">
      <c r="A6757" s="341"/>
    </row>
    <row r="6758" spans="1:1" x14ac:dyDescent="0.2">
      <c r="A6758" s="341"/>
    </row>
    <row r="6759" spans="1:1" x14ac:dyDescent="0.2">
      <c r="A6759" s="341"/>
    </row>
    <row r="6760" spans="1:1" x14ac:dyDescent="0.2">
      <c r="A6760" s="341"/>
    </row>
    <row r="6761" spans="1:1" x14ac:dyDescent="0.2">
      <c r="A6761" s="341"/>
    </row>
    <row r="6762" spans="1:1" x14ac:dyDescent="0.2">
      <c r="A6762" s="341"/>
    </row>
    <row r="6763" spans="1:1" x14ac:dyDescent="0.2">
      <c r="A6763" s="341"/>
    </row>
    <row r="6764" spans="1:1" x14ac:dyDescent="0.2">
      <c r="A6764" s="341"/>
    </row>
    <row r="6765" spans="1:1" x14ac:dyDescent="0.2">
      <c r="A6765" s="341"/>
    </row>
    <row r="6766" spans="1:1" x14ac:dyDescent="0.2">
      <c r="A6766" s="341"/>
    </row>
    <row r="6767" spans="1:1" x14ac:dyDescent="0.2">
      <c r="A6767" s="341"/>
    </row>
    <row r="6768" spans="1:1" x14ac:dyDescent="0.2">
      <c r="A6768" s="341"/>
    </row>
    <row r="6769" spans="1:1" x14ac:dyDescent="0.2">
      <c r="A6769" s="341"/>
    </row>
    <row r="6770" spans="1:1" x14ac:dyDescent="0.2">
      <c r="A6770" s="341"/>
    </row>
    <row r="6771" spans="1:1" x14ac:dyDescent="0.2">
      <c r="A6771" s="341"/>
    </row>
    <row r="6772" spans="1:1" x14ac:dyDescent="0.2">
      <c r="A6772" s="341"/>
    </row>
    <row r="6773" spans="1:1" x14ac:dyDescent="0.2">
      <c r="A6773" s="341"/>
    </row>
    <row r="6774" spans="1:1" x14ac:dyDescent="0.2">
      <c r="A6774" s="341"/>
    </row>
    <row r="6775" spans="1:1" x14ac:dyDescent="0.2">
      <c r="A6775" s="341"/>
    </row>
    <row r="6776" spans="1:1" x14ac:dyDescent="0.2">
      <c r="A6776" s="341"/>
    </row>
    <row r="6777" spans="1:1" x14ac:dyDescent="0.2">
      <c r="A6777" s="341"/>
    </row>
    <row r="6778" spans="1:1" x14ac:dyDescent="0.2">
      <c r="A6778" s="341"/>
    </row>
    <row r="6779" spans="1:1" x14ac:dyDescent="0.2">
      <c r="A6779" s="341"/>
    </row>
    <row r="6780" spans="1:1" x14ac:dyDescent="0.2">
      <c r="A6780" s="341"/>
    </row>
    <row r="6781" spans="1:1" x14ac:dyDescent="0.2">
      <c r="A6781" s="341"/>
    </row>
    <row r="6782" spans="1:1" x14ac:dyDescent="0.2">
      <c r="A6782" s="341"/>
    </row>
    <row r="6783" spans="1:1" x14ac:dyDescent="0.2">
      <c r="A6783" s="341"/>
    </row>
    <row r="6784" spans="1:1" x14ac:dyDescent="0.2">
      <c r="A6784" s="341"/>
    </row>
    <row r="6785" spans="1:1" x14ac:dyDescent="0.2">
      <c r="A6785" s="341"/>
    </row>
    <row r="6786" spans="1:1" x14ac:dyDescent="0.2">
      <c r="A6786" s="341"/>
    </row>
    <row r="6787" spans="1:1" x14ac:dyDescent="0.2">
      <c r="A6787" s="341"/>
    </row>
    <row r="6788" spans="1:1" x14ac:dyDescent="0.2">
      <c r="A6788" s="341"/>
    </row>
    <row r="6789" spans="1:1" x14ac:dyDescent="0.2">
      <c r="A6789" s="341"/>
    </row>
    <row r="6790" spans="1:1" x14ac:dyDescent="0.2">
      <c r="A6790" s="341"/>
    </row>
    <row r="6791" spans="1:1" x14ac:dyDescent="0.2">
      <c r="A6791" s="341"/>
    </row>
    <row r="6792" spans="1:1" x14ac:dyDescent="0.2">
      <c r="A6792" s="341"/>
    </row>
    <row r="6793" spans="1:1" x14ac:dyDescent="0.2">
      <c r="A6793" s="341"/>
    </row>
    <row r="6794" spans="1:1" x14ac:dyDescent="0.2">
      <c r="A6794" s="341"/>
    </row>
    <row r="6795" spans="1:1" x14ac:dyDescent="0.2">
      <c r="A6795" s="341"/>
    </row>
    <row r="6796" spans="1:1" x14ac:dyDescent="0.2">
      <c r="A6796" s="341"/>
    </row>
    <row r="6797" spans="1:1" x14ac:dyDescent="0.2">
      <c r="A6797" s="341"/>
    </row>
    <row r="6798" spans="1:1" x14ac:dyDescent="0.2">
      <c r="A6798" s="341"/>
    </row>
    <row r="6799" spans="1:1" x14ac:dyDescent="0.2">
      <c r="A6799" s="341"/>
    </row>
    <row r="6800" spans="1:1" x14ac:dyDescent="0.2">
      <c r="A6800" s="341"/>
    </row>
    <row r="6801" spans="1:1" x14ac:dyDescent="0.2">
      <c r="A6801" s="341"/>
    </row>
    <row r="6802" spans="1:1" x14ac:dyDescent="0.2">
      <c r="A6802" s="341"/>
    </row>
    <row r="6803" spans="1:1" x14ac:dyDescent="0.2">
      <c r="A6803" s="341"/>
    </row>
    <row r="6804" spans="1:1" x14ac:dyDescent="0.2">
      <c r="A6804" s="341"/>
    </row>
    <row r="6805" spans="1:1" x14ac:dyDescent="0.2">
      <c r="A6805" s="341"/>
    </row>
    <row r="6806" spans="1:1" x14ac:dyDescent="0.2">
      <c r="A6806" s="341"/>
    </row>
    <row r="6807" spans="1:1" x14ac:dyDescent="0.2">
      <c r="A6807" s="341"/>
    </row>
    <row r="6808" spans="1:1" x14ac:dyDescent="0.2">
      <c r="A6808" s="341"/>
    </row>
    <row r="6809" spans="1:1" x14ac:dyDescent="0.2">
      <c r="A6809" s="341"/>
    </row>
    <row r="6810" spans="1:1" x14ac:dyDescent="0.2">
      <c r="A6810" s="341"/>
    </row>
    <row r="6811" spans="1:1" x14ac:dyDescent="0.2">
      <c r="A6811" s="341"/>
    </row>
    <row r="6812" spans="1:1" x14ac:dyDescent="0.2">
      <c r="A6812" s="341"/>
    </row>
    <row r="6813" spans="1:1" x14ac:dyDescent="0.2">
      <c r="A6813" s="341"/>
    </row>
    <row r="6814" spans="1:1" x14ac:dyDescent="0.2">
      <c r="A6814" s="341"/>
    </row>
    <row r="6815" spans="1:1" x14ac:dyDescent="0.2">
      <c r="A6815" s="341"/>
    </row>
    <row r="6816" spans="1:1" x14ac:dyDescent="0.2">
      <c r="A6816" s="341"/>
    </row>
    <row r="6817" spans="1:1" x14ac:dyDescent="0.2">
      <c r="A6817" s="341"/>
    </row>
    <row r="6818" spans="1:1" x14ac:dyDescent="0.2">
      <c r="A6818" s="341"/>
    </row>
    <row r="6819" spans="1:1" x14ac:dyDescent="0.2">
      <c r="A6819" s="341"/>
    </row>
    <row r="6820" spans="1:1" x14ac:dyDescent="0.2">
      <c r="A6820" s="341"/>
    </row>
    <row r="6821" spans="1:1" x14ac:dyDescent="0.2">
      <c r="A6821" s="341"/>
    </row>
    <row r="6822" spans="1:1" x14ac:dyDescent="0.2">
      <c r="A6822" s="341"/>
    </row>
    <row r="6823" spans="1:1" x14ac:dyDescent="0.2">
      <c r="A6823" s="341"/>
    </row>
    <row r="6824" spans="1:1" x14ac:dyDescent="0.2">
      <c r="A6824" s="341"/>
    </row>
    <row r="6825" spans="1:1" x14ac:dyDescent="0.2">
      <c r="A6825" s="341"/>
    </row>
    <row r="6826" spans="1:1" x14ac:dyDescent="0.2">
      <c r="A6826" s="341"/>
    </row>
    <row r="6827" spans="1:1" x14ac:dyDescent="0.2">
      <c r="A6827" s="341"/>
    </row>
    <row r="6828" spans="1:1" x14ac:dyDescent="0.2">
      <c r="A6828" s="341"/>
    </row>
    <row r="6829" spans="1:1" x14ac:dyDescent="0.2">
      <c r="A6829" s="341"/>
    </row>
    <row r="6830" spans="1:1" x14ac:dyDescent="0.2">
      <c r="A6830" s="341"/>
    </row>
    <row r="6831" spans="1:1" x14ac:dyDescent="0.2">
      <c r="A6831" s="341"/>
    </row>
    <row r="6832" spans="1:1" x14ac:dyDescent="0.2">
      <c r="A6832" s="341"/>
    </row>
    <row r="6833" spans="1:1" x14ac:dyDescent="0.2">
      <c r="A6833" s="341"/>
    </row>
    <row r="6834" spans="1:1" x14ac:dyDescent="0.2">
      <c r="A6834" s="341"/>
    </row>
    <row r="6835" spans="1:1" x14ac:dyDescent="0.2">
      <c r="A6835" s="341"/>
    </row>
    <row r="6836" spans="1:1" x14ac:dyDescent="0.2">
      <c r="A6836" s="341"/>
    </row>
    <row r="6837" spans="1:1" x14ac:dyDescent="0.2">
      <c r="A6837" s="341"/>
    </row>
    <row r="6838" spans="1:1" x14ac:dyDescent="0.2">
      <c r="A6838" s="341"/>
    </row>
    <row r="6839" spans="1:1" x14ac:dyDescent="0.2">
      <c r="A6839" s="341"/>
    </row>
    <row r="6840" spans="1:1" x14ac:dyDescent="0.2">
      <c r="A6840" s="341"/>
    </row>
    <row r="6841" spans="1:1" x14ac:dyDescent="0.2">
      <c r="A6841" s="341"/>
    </row>
    <row r="6842" spans="1:1" x14ac:dyDescent="0.2">
      <c r="A6842" s="341"/>
    </row>
    <row r="6843" spans="1:1" x14ac:dyDescent="0.2">
      <c r="A6843" s="341"/>
    </row>
    <row r="6844" spans="1:1" x14ac:dyDescent="0.2">
      <c r="A6844" s="341"/>
    </row>
    <row r="6845" spans="1:1" x14ac:dyDescent="0.2">
      <c r="A6845" s="341"/>
    </row>
    <row r="6846" spans="1:1" x14ac:dyDescent="0.2">
      <c r="A6846" s="341"/>
    </row>
    <row r="6847" spans="1:1" x14ac:dyDescent="0.2">
      <c r="A6847" s="341"/>
    </row>
    <row r="6848" spans="1:1" x14ac:dyDescent="0.2">
      <c r="A6848" s="341"/>
    </row>
    <row r="6849" spans="1:1" x14ac:dyDescent="0.2">
      <c r="A6849" s="341"/>
    </row>
    <row r="6850" spans="1:1" x14ac:dyDescent="0.2">
      <c r="A6850" s="341"/>
    </row>
    <row r="6851" spans="1:1" x14ac:dyDescent="0.2">
      <c r="A6851" s="341"/>
    </row>
    <row r="6852" spans="1:1" x14ac:dyDescent="0.2">
      <c r="A6852" s="341"/>
    </row>
    <row r="6853" spans="1:1" x14ac:dyDescent="0.2">
      <c r="A6853" s="341"/>
    </row>
    <row r="6854" spans="1:1" x14ac:dyDescent="0.2">
      <c r="A6854" s="341"/>
    </row>
    <row r="6855" spans="1:1" x14ac:dyDescent="0.2">
      <c r="A6855" s="341"/>
    </row>
    <row r="6856" spans="1:1" x14ac:dyDescent="0.2">
      <c r="A6856" s="341"/>
    </row>
    <row r="6857" spans="1:1" x14ac:dyDescent="0.2">
      <c r="A6857" s="341"/>
    </row>
    <row r="6858" spans="1:1" x14ac:dyDescent="0.2">
      <c r="A6858" s="341"/>
    </row>
    <row r="6859" spans="1:1" x14ac:dyDescent="0.2">
      <c r="A6859" s="341"/>
    </row>
    <row r="6860" spans="1:1" x14ac:dyDescent="0.2">
      <c r="A6860" s="341"/>
    </row>
    <row r="6861" spans="1:1" x14ac:dyDescent="0.2">
      <c r="A6861" s="341"/>
    </row>
    <row r="6862" spans="1:1" x14ac:dyDescent="0.2">
      <c r="A6862" s="341"/>
    </row>
    <row r="6863" spans="1:1" x14ac:dyDescent="0.2">
      <c r="A6863" s="341"/>
    </row>
    <row r="6864" spans="1:1" x14ac:dyDescent="0.2">
      <c r="A6864" s="341"/>
    </row>
    <row r="6865" spans="1:1" x14ac:dyDescent="0.2">
      <c r="A6865" s="341"/>
    </row>
    <row r="6866" spans="1:1" x14ac:dyDescent="0.2">
      <c r="A6866" s="341"/>
    </row>
    <row r="6867" spans="1:1" x14ac:dyDescent="0.2">
      <c r="A6867" s="341"/>
    </row>
    <row r="6868" spans="1:1" x14ac:dyDescent="0.2">
      <c r="A6868" s="341"/>
    </row>
    <row r="6869" spans="1:1" x14ac:dyDescent="0.2">
      <c r="A6869" s="341"/>
    </row>
    <row r="6870" spans="1:1" x14ac:dyDescent="0.2">
      <c r="A6870" s="341"/>
    </row>
    <row r="6871" spans="1:1" x14ac:dyDescent="0.2">
      <c r="A6871" s="341"/>
    </row>
    <row r="6872" spans="1:1" x14ac:dyDescent="0.2">
      <c r="A6872" s="341"/>
    </row>
    <row r="6873" spans="1:1" x14ac:dyDescent="0.2">
      <c r="A6873" s="341"/>
    </row>
    <row r="6874" spans="1:1" x14ac:dyDescent="0.2">
      <c r="A6874" s="341"/>
    </row>
    <row r="6875" spans="1:1" x14ac:dyDescent="0.2">
      <c r="A6875" s="341"/>
    </row>
    <row r="6876" spans="1:1" x14ac:dyDescent="0.2">
      <c r="A6876" s="341"/>
    </row>
    <row r="6877" spans="1:1" x14ac:dyDescent="0.2">
      <c r="A6877" s="341"/>
    </row>
    <row r="6878" spans="1:1" x14ac:dyDescent="0.2">
      <c r="A6878" s="341"/>
    </row>
    <row r="6879" spans="1:1" x14ac:dyDescent="0.2">
      <c r="A6879" s="341"/>
    </row>
    <row r="6880" spans="1:1" x14ac:dyDescent="0.2">
      <c r="A6880" s="341"/>
    </row>
    <row r="6881" spans="1:1" x14ac:dyDescent="0.2">
      <c r="A6881" s="341"/>
    </row>
    <row r="6882" spans="1:1" x14ac:dyDescent="0.2">
      <c r="A6882" s="341"/>
    </row>
    <row r="6883" spans="1:1" x14ac:dyDescent="0.2">
      <c r="A6883" s="341"/>
    </row>
    <row r="6884" spans="1:1" x14ac:dyDescent="0.2">
      <c r="A6884" s="341"/>
    </row>
    <row r="6885" spans="1:1" x14ac:dyDescent="0.2">
      <c r="A6885" s="341"/>
    </row>
    <row r="6886" spans="1:1" x14ac:dyDescent="0.2">
      <c r="A6886" s="341"/>
    </row>
    <row r="6887" spans="1:1" x14ac:dyDescent="0.2">
      <c r="A6887" s="341"/>
    </row>
    <row r="6888" spans="1:1" x14ac:dyDescent="0.2">
      <c r="A6888" s="341"/>
    </row>
    <row r="6889" spans="1:1" x14ac:dyDescent="0.2">
      <c r="A6889" s="341"/>
    </row>
    <row r="6890" spans="1:1" x14ac:dyDescent="0.2">
      <c r="A6890" s="341"/>
    </row>
    <row r="6891" spans="1:1" x14ac:dyDescent="0.2">
      <c r="A6891" s="341"/>
    </row>
    <row r="6892" spans="1:1" x14ac:dyDescent="0.2">
      <c r="A6892" s="341"/>
    </row>
    <row r="6893" spans="1:1" x14ac:dyDescent="0.2">
      <c r="A6893" s="341"/>
    </row>
    <row r="6894" spans="1:1" x14ac:dyDescent="0.2">
      <c r="A6894" s="341"/>
    </row>
    <row r="6895" spans="1:1" x14ac:dyDescent="0.2">
      <c r="A6895" s="341"/>
    </row>
    <row r="6896" spans="1:1" x14ac:dyDescent="0.2">
      <c r="A6896" s="341"/>
    </row>
    <row r="6897" spans="1:1" x14ac:dyDescent="0.2">
      <c r="A6897" s="341"/>
    </row>
    <row r="6898" spans="1:1" x14ac:dyDescent="0.2">
      <c r="A6898" s="341"/>
    </row>
    <row r="6899" spans="1:1" x14ac:dyDescent="0.2">
      <c r="A6899" s="341"/>
    </row>
    <row r="6900" spans="1:1" x14ac:dyDescent="0.2">
      <c r="A6900" s="341"/>
    </row>
    <row r="6901" spans="1:1" x14ac:dyDescent="0.2">
      <c r="A6901" s="341"/>
    </row>
    <row r="6902" spans="1:1" x14ac:dyDescent="0.2">
      <c r="A6902" s="341"/>
    </row>
    <row r="6903" spans="1:1" x14ac:dyDescent="0.2">
      <c r="A6903" s="341"/>
    </row>
    <row r="6904" spans="1:1" x14ac:dyDescent="0.2">
      <c r="A6904" s="341"/>
    </row>
    <row r="6905" spans="1:1" x14ac:dyDescent="0.2">
      <c r="A6905" s="341"/>
    </row>
    <row r="6906" spans="1:1" x14ac:dyDescent="0.2">
      <c r="A6906" s="341"/>
    </row>
    <row r="6907" spans="1:1" x14ac:dyDescent="0.2">
      <c r="A6907" s="341"/>
    </row>
    <row r="6908" spans="1:1" x14ac:dyDescent="0.2">
      <c r="A6908" s="341"/>
    </row>
    <row r="6909" spans="1:1" x14ac:dyDescent="0.2">
      <c r="A6909" s="341"/>
    </row>
    <row r="6910" spans="1:1" x14ac:dyDescent="0.2">
      <c r="A6910" s="341"/>
    </row>
    <row r="6911" spans="1:1" x14ac:dyDescent="0.2">
      <c r="A6911" s="341"/>
    </row>
    <row r="6912" spans="1:1" x14ac:dyDescent="0.2">
      <c r="A6912" s="341"/>
    </row>
    <row r="6913" spans="1:1" x14ac:dyDescent="0.2">
      <c r="A6913" s="341"/>
    </row>
    <row r="6914" spans="1:1" x14ac:dyDescent="0.2">
      <c r="A6914" s="341"/>
    </row>
    <row r="6915" spans="1:1" x14ac:dyDescent="0.2">
      <c r="A6915" s="341"/>
    </row>
    <row r="6916" spans="1:1" x14ac:dyDescent="0.2">
      <c r="A6916" s="341"/>
    </row>
    <row r="6917" spans="1:1" x14ac:dyDescent="0.2">
      <c r="A6917" s="341"/>
    </row>
    <row r="6918" spans="1:1" x14ac:dyDescent="0.2">
      <c r="A6918" s="341"/>
    </row>
    <row r="6919" spans="1:1" x14ac:dyDescent="0.2">
      <c r="A6919" s="341"/>
    </row>
    <row r="6920" spans="1:1" x14ac:dyDescent="0.2">
      <c r="A6920" s="341"/>
    </row>
    <row r="6921" spans="1:1" x14ac:dyDescent="0.2">
      <c r="A6921" s="341"/>
    </row>
    <row r="6922" spans="1:1" x14ac:dyDescent="0.2">
      <c r="A6922" s="341"/>
    </row>
    <row r="6923" spans="1:1" x14ac:dyDescent="0.2">
      <c r="A6923" s="341"/>
    </row>
    <row r="6924" spans="1:1" x14ac:dyDescent="0.2">
      <c r="A6924" s="341"/>
    </row>
    <row r="6925" spans="1:1" x14ac:dyDescent="0.2">
      <c r="A6925" s="341"/>
    </row>
    <row r="6926" spans="1:1" x14ac:dyDescent="0.2">
      <c r="A6926" s="341"/>
    </row>
    <row r="6927" spans="1:1" x14ac:dyDescent="0.2">
      <c r="A6927" s="341"/>
    </row>
    <row r="6928" spans="1:1" x14ac:dyDescent="0.2">
      <c r="A6928" s="341"/>
    </row>
    <row r="6929" spans="1:1" x14ac:dyDescent="0.2">
      <c r="A6929" s="341"/>
    </row>
    <row r="6930" spans="1:1" x14ac:dyDescent="0.2">
      <c r="A6930" s="341"/>
    </row>
    <row r="6931" spans="1:1" x14ac:dyDescent="0.2">
      <c r="A6931" s="341"/>
    </row>
    <row r="6932" spans="1:1" x14ac:dyDescent="0.2">
      <c r="A6932" s="341"/>
    </row>
    <row r="6933" spans="1:1" x14ac:dyDescent="0.2">
      <c r="A6933" s="341"/>
    </row>
    <row r="6934" spans="1:1" x14ac:dyDescent="0.2">
      <c r="A6934" s="341"/>
    </row>
    <row r="6935" spans="1:1" x14ac:dyDescent="0.2">
      <c r="A6935" s="341"/>
    </row>
    <row r="6936" spans="1:1" x14ac:dyDescent="0.2">
      <c r="A6936" s="341"/>
    </row>
    <row r="6937" spans="1:1" x14ac:dyDescent="0.2">
      <c r="A6937" s="341"/>
    </row>
    <row r="6938" spans="1:1" x14ac:dyDescent="0.2">
      <c r="A6938" s="341"/>
    </row>
    <row r="6939" spans="1:1" x14ac:dyDescent="0.2">
      <c r="A6939" s="341"/>
    </row>
    <row r="6940" spans="1:1" x14ac:dyDescent="0.2">
      <c r="A6940" s="341"/>
    </row>
    <row r="6941" spans="1:1" x14ac:dyDescent="0.2">
      <c r="A6941" s="341"/>
    </row>
    <row r="6942" spans="1:1" x14ac:dyDescent="0.2">
      <c r="A6942" s="341"/>
    </row>
    <row r="6943" spans="1:1" x14ac:dyDescent="0.2">
      <c r="A6943" s="341"/>
    </row>
    <row r="6944" spans="1:1" x14ac:dyDescent="0.2">
      <c r="A6944" s="341"/>
    </row>
    <row r="6945" spans="1:1" x14ac:dyDescent="0.2">
      <c r="A6945" s="341"/>
    </row>
    <row r="6946" spans="1:1" x14ac:dyDescent="0.2">
      <c r="A6946" s="341"/>
    </row>
    <row r="6947" spans="1:1" x14ac:dyDescent="0.2">
      <c r="A6947" s="341"/>
    </row>
    <row r="6948" spans="1:1" x14ac:dyDescent="0.2">
      <c r="A6948" s="341"/>
    </row>
    <row r="6949" spans="1:1" x14ac:dyDescent="0.2">
      <c r="A6949" s="341"/>
    </row>
    <row r="6950" spans="1:1" x14ac:dyDescent="0.2">
      <c r="A6950" s="341"/>
    </row>
    <row r="6951" spans="1:1" x14ac:dyDescent="0.2">
      <c r="A6951" s="341"/>
    </row>
    <row r="6952" spans="1:1" x14ac:dyDescent="0.2">
      <c r="A6952" s="341"/>
    </row>
    <row r="6953" spans="1:1" x14ac:dyDescent="0.2">
      <c r="A6953" s="341"/>
    </row>
    <row r="6954" spans="1:1" x14ac:dyDescent="0.2">
      <c r="A6954" s="341"/>
    </row>
    <row r="6955" spans="1:1" x14ac:dyDescent="0.2">
      <c r="A6955" s="341"/>
    </row>
    <row r="6956" spans="1:1" x14ac:dyDescent="0.2">
      <c r="A6956" s="341"/>
    </row>
    <row r="6957" spans="1:1" x14ac:dyDescent="0.2">
      <c r="A6957" s="341"/>
    </row>
    <row r="6958" spans="1:1" x14ac:dyDescent="0.2">
      <c r="A6958" s="341"/>
    </row>
    <row r="6959" spans="1:1" x14ac:dyDescent="0.2">
      <c r="A6959" s="341"/>
    </row>
    <row r="6960" spans="1:1" x14ac:dyDescent="0.2">
      <c r="A6960" s="341"/>
    </row>
    <row r="6961" spans="1:1" x14ac:dyDescent="0.2">
      <c r="A6961" s="341"/>
    </row>
    <row r="6962" spans="1:1" x14ac:dyDescent="0.2">
      <c r="A6962" s="341"/>
    </row>
    <row r="6963" spans="1:1" x14ac:dyDescent="0.2">
      <c r="A6963" s="341"/>
    </row>
    <row r="6964" spans="1:1" x14ac:dyDescent="0.2">
      <c r="A6964" s="341"/>
    </row>
    <row r="6965" spans="1:1" x14ac:dyDescent="0.2">
      <c r="A6965" s="341"/>
    </row>
    <row r="6966" spans="1:1" x14ac:dyDescent="0.2">
      <c r="A6966" s="341"/>
    </row>
    <row r="6967" spans="1:1" x14ac:dyDescent="0.2">
      <c r="A6967" s="341"/>
    </row>
    <row r="6968" spans="1:1" x14ac:dyDescent="0.2">
      <c r="A6968" s="341"/>
    </row>
    <row r="6969" spans="1:1" x14ac:dyDescent="0.2">
      <c r="A6969" s="341"/>
    </row>
    <row r="6970" spans="1:1" x14ac:dyDescent="0.2">
      <c r="A6970" s="341"/>
    </row>
    <row r="6971" spans="1:1" x14ac:dyDescent="0.2">
      <c r="A6971" s="341"/>
    </row>
    <row r="6972" spans="1:1" x14ac:dyDescent="0.2">
      <c r="A6972" s="341"/>
    </row>
    <row r="6973" spans="1:1" x14ac:dyDescent="0.2">
      <c r="A6973" s="341"/>
    </row>
    <row r="6974" spans="1:1" x14ac:dyDescent="0.2">
      <c r="A6974" s="341"/>
    </row>
    <row r="6975" spans="1:1" x14ac:dyDescent="0.2">
      <c r="A6975" s="341"/>
    </row>
    <row r="6976" spans="1:1" x14ac:dyDescent="0.2">
      <c r="A6976" s="341"/>
    </row>
    <row r="6977" spans="1:1" x14ac:dyDescent="0.2">
      <c r="A6977" s="341"/>
    </row>
    <row r="6978" spans="1:1" x14ac:dyDescent="0.2">
      <c r="A6978" s="341"/>
    </row>
    <row r="6979" spans="1:1" x14ac:dyDescent="0.2">
      <c r="A6979" s="341"/>
    </row>
    <row r="6980" spans="1:1" x14ac:dyDescent="0.2">
      <c r="A6980" s="341"/>
    </row>
    <row r="6981" spans="1:1" x14ac:dyDescent="0.2">
      <c r="A6981" s="341"/>
    </row>
    <row r="6982" spans="1:1" x14ac:dyDescent="0.2">
      <c r="A6982" s="341"/>
    </row>
    <row r="6983" spans="1:1" x14ac:dyDescent="0.2">
      <c r="A6983" s="341"/>
    </row>
    <row r="6984" spans="1:1" x14ac:dyDescent="0.2">
      <c r="A6984" s="341"/>
    </row>
    <row r="6985" spans="1:1" x14ac:dyDescent="0.2">
      <c r="A6985" s="341"/>
    </row>
    <row r="6986" spans="1:1" x14ac:dyDescent="0.2">
      <c r="A6986" s="341"/>
    </row>
    <row r="6987" spans="1:1" x14ac:dyDescent="0.2">
      <c r="A6987" s="341"/>
    </row>
    <row r="6988" spans="1:1" x14ac:dyDescent="0.2">
      <c r="A6988" s="341"/>
    </row>
    <row r="6989" spans="1:1" x14ac:dyDescent="0.2">
      <c r="A6989" s="341"/>
    </row>
    <row r="6990" spans="1:1" x14ac:dyDescent="0.2">
      <c r="A6990" s="341"/>
    </row>
    <row r="6991" spans="1:1" x14ac:dyDescent="0.2">
      <c r="A6991" s="341"/>
    </row>
    <row r="6992" spans="1:1" x14ac:dyDescent="0.2">
      <c r="A6992" s="341"/>
    </row>
    <row r="6993" spans="1:1" x14ac:dyDescent="0.2">
      <c r="A6993" s="341"/>
    </row>
    <row r="6994" spans="1:1" x14ac:dyDescent="0.2">
      <c r="A6994" s="341"/>
    </row>
    <row r="6995" spans="1:1" x14ac:dyDescent="0.2">
      <c r="A6995" s="341"/>
    </row>
    <row r="6996" spans="1:1" x14ac:dyDescent="0.2">
      <c r="A6996" s="341"/>
    </row>
    <row r="6997" spans="1:1" x14ac:dyDescent="0.2">
      <c r="A6997" s="341"/>
    </row>
    <row r="6998" spans="1:1" x14ac:dyDescent="0.2">
      <c r="A6998" s="341"/>
    </row>
    <row r="6999" spans="1:1" x14ac:dyDescent="0.2">
      <c r="A6999" s="341"/>
    </row>
    <row r="7000" spans="1:1" x14ac:dyDescent="0.2">
      <c r="A7000" s="341"/>
    </row>
    <row r="7001" spans="1:1" x14ac:dyDescent="0.2">
      <c r="A7001" s="341"/>
    </row>
    <row r="7002" spans="1:1" x14ac:dyDescent="0.2">
      <c r="A7002" s="341"/>
    </row>
    <row r="7003" spans="1:1" x14ac:dyDescent="0.2">
      <c r="A7003" s="341"/>
    </row>
    <row r="7004" spans="1:1" x14ac:dyDescent="0.2">
      <c r="A7004" s="341"/>
    </row>
    <row r="7005" spans="1:1" x14ac:dyDescent="0.2">
      <c r="A7005" s="341"/>
    </row>
    <row r="7006" spans="1:1" x14ac:dyDescent="0.2">
      <c r="A7006" s="341"/>
    </row>
    <row r="7007" spans="1:1" x14ac:dyDescent="0.2">
      <c r="A7007" s="341"/>
    </row>
    <row r="7008" spans="1:1" x14ac:dyDescent="0.2">
      <c r="A7008" s="341"/>
    </row>
    <row r="7009" spans="1:1" x14ac:dyDescent="0.2">
      <c r="A7009" s="341"/>
    </row>
    <row r="7010" spans="1:1" x14ac:dyDescent="0.2">
      <c r="A7010" s="341"/>
    </row>
    <row r="7011" spans="1:1" x14ac:dyDescent="0.2">
      <c r="A7011" s="341"/>
    </row>
    <row r="7012" spans="1:1" x14ac:dyDescent="0.2">
      <c r="A7012" s="341"/>
    </row>
    <row r="7013" spans="1:1" x14ac:dyDescent="0.2">
      <c r="A7013" s="341"/>
    </row>
    <row r="7014" spans="1:1" x14ac:dyDescent="0.2">
      <c r="A7014" s="341"/>
    </row>
    <row r="7015" spans="1:1" x14ac:dyDescent="0.2">
      <c r="A7015" s="341"/>
    </row>
    <row r="7016" spans="1:1" x14ac:dyDescent="0.2">
      <c r="A7016" s="341"/>
    </row>
    <row r="7017" spans="1:1" x14ac:dyDescent="0.2">
      <c r="A7017" s="341"/>
    </row>
    <row r="7018" spans="1:1" x14ac:dyDescent="0.2">
      <c r="A7018" s="341"/>
    </row>
    <row r="7019" spans="1:1" x14ac:dyDescent="0.2">
      <c r="A7019" s="341"/>
    </row>
    <row r="7020" spans="1:1" x14ac:dyDescent="0.2">
      <c r="A7020" s="341"/>
    </row>
    <row r="7021" spans="1:1" x14ac:dyDescent="0.2">
      <c r="A7021" s="341"/>
    </row>
    <row r="7022" spans="1:1" x14ac:dyDescent="0.2">
      <c r="A7022" s="341"/>
    </row>
    <row r="7023" spans="1:1" x14ac:dyDescent="0.2">
      <c r="A7023" s="341"/>
    </row>
    <row r="7024" spans="1:1" x14ac:dyDescent="0.2">
      <c r="A7024" s="341"/>
    </row>
    <row r="7025" spans="1:1" x14ac:dyDescent="0.2">
      <c r="A7025" s="341"/>
    </row>
    <row r="7026" spans="1:1" x14ac:dyDescent="0.2">
      <c r="A7026" s="341"/>
    </row>
    <row r="7027" spans="1:1" x14ac:dyDescent="0.2">
      <c r="A7027" s="341"/>
    </row>
    <row r="7028" spans="1:1" x14ac:dyDescent="0.2">
      <c r="A7028" s="341"/>
    </row>
    <row r="7029" spans="1:1" x14ac:dyDescent="0.2">
      <c r="A7029" s="341"/>
    </row>
    <row r="7030" spans="1:1" x14ac:dyDescent="0.2">
      <c r="A7030" s="341"/>
    </row>
    <row r="7031" spans="1:1" x14ac:dyDescent="0.2">
      <c r="A7031" s="341"/>
    </row>
    <row r="7032" spans="1:1" x14ac:dyDescent="0.2">
      <c r="A7032" s="341"/>
    </row>
    <row r="7033" spans="1:1" x14ac:dyDescent="0.2">
      <c r="A7033" s="341"/>
    </row>
    <row r="7034" spans="1:1" x14ac:dyDescent="0.2">
      <c r="A7034" s="341"/>
    </row>
    <row r="7035" spans="1:1" x14ac:dyDescent="0.2">
      <c r="A7035" s="341"/>
    </row>
    <row r="7036" spans="1:1" x14ac:dyDescent="0.2">
      <c r="A7036" s="341"/>
    </row>
    <row r="7037" spans="1:1" x14ac:dyDescent="0.2">
      <c r="A7037" s="341"/>
    </row>
    <row r="7038" spans="1:1" x14ac:dyDescent="0.2">
      <c r="A7038" s="341"/>
    </row>
    <row r="7039" spans="1:1" x14ac:dyDescent="0.2">
      <c r="A7039" s="341"/>
    </row>
    <row r="7040" spans="1:1" x14ac:dyDescent="0.2">
      <c r="A7040" s="341"/>
    </row>
    <row r="7041" spans="1:1" x14ac:dyDescent="0.2">
      <c r="A7041" s="341"/>
    </row>
    <row r="7042" spans="1:1" x14ac:dyDescent="0.2">
      <c r="A7042" s="341"/>
    </row>
    <row r="7043" spans="1:1" x14ac:dyDescent="0.2">
      <c r="A7043" s="341"/>
    </row>
    <row r="7044" spans="1:1" x14ac:dyDescent="0.2">
      <c r="A7044" s="341"/>
    </row>
    <row r="7045" spans="1:1" x14ac:dyDescent="0.2">
      <c r="A7045" s="341"/>
    </row>
    <row r="7046" spans="1:1" x14ac:dyDescent="0.2">
      <c r="A7046" s="341"/>
    </row>
    <row r="7047" spans="1:1" x14ac:dyDescent="0.2">
      <c r="A7047" s="341"/>
    </row>
    <row r="7048" spans="1:1" x14ac:dyDescent="0.2">
      <c r="A7048" s="341"/>
    </row>
    <row r="7049" spans="1:1" x14ac:dyDescent="0.2">
      <c r="A7049" s="341"/>
    </row>
    <row r="7050" spans="1:1" x14ac:dyDescent="0.2">
      <c r="A7050" s="341"/>
    </row>
    <row r="7051" spans="1:1" x14ac:dyDescent="0.2">
      <c r="A7051" s="341"/>
    </row>
    <row r="7052" spans="1:1" x14ac:dyDescent="0.2">
      <c r="A7052" s="341"/>
    </row>
    <row r="7053" spans="1:1" x14ac:dyDescent="0.2">
      <c r="A7053" s="341"/>
    </row>
    <row r="7054" spans="1:1" x14ac:dyDescent="0.2">
      <c r="A7054" s="341"/>
    </row>
    <row r="7055" spans="1:1" x14ac:dyDescent="0.2">
      <c r="A7055" s="341"/>
    </row>
    <row r="7056" spans="1:1" x14ac:dyDescent="0.2">
      <c r="A7056" s="341"/>
    </row>
    <row r="7057" spans="1:1" x14ac:dyDescent="0.2">
      <c r="A7057" s="341"/>
    </row>
    <row r="7058" spans="1:1" x14ac:dyDescent="0.2">
      <c r="A7058" s="341"/>
    </row>
    <row r="7059" spans="1:1" x14ac:dyDescent="0.2">
      <c r="A7059" s="341"/>
    </row>
    <row r="7060" spans="1:1" x14ac:dyDescent="0.2">
      <c r="A7060" s="341"/>
    </row>
    <row r="7061" spans="1:1" x14ac:dyDescent="0.2">
      <c r="A7061" s="341"/>
    </row>
    <row r="7062" spans="1:1" x14ac:dyDescent="0.2">
      <c r="A7062" s="341"/>
    </row>
    <row r="7063" spans="1:1" x14ac:dyDescent="0.2">
      <c r="A7063" s="341"/>
    </row>
    <row r="7064" spans="1:1" x14ac:dyDescent="0.2">
      <c r="A7064" s="341"/>
    </row>
    <row r="7065" spans="1:1" x14ac:dyDescent="0.2">
      <c r="A7065" s="341"/>
    </row>
    <row r="7066" spans="1:1" x14ac:dyDescent="0.2">
      <c r="A7066" s="341"/>
    </row>
    <row r="7067" spans="1:1" x14ac:dyDescent="0.2">
      <c r="A7067" s="341"/>
    </row>
    <row r="7068" spans="1:1" x14ac:dyDescent="0.2">
      <c r="A7068" s="341"/>
    </row>
    <row r="7069" spans="1:1" x14ac:dyDescent="0.2">
      <c r="A7069" s="341"/>
    </row>
    <row r="7070" spans="1:1" x14ac:dyDescent="0.2">
      <c r="A7070" s="341"/>
    </row>
    <row r="7071" spans="1:1" x14ac:dyDescent="0.2">
      <c r="A7071" s="341"/>
    </row>
    <row r="7072" spans="1:1" x14ac:dyDescent="0.2">
      <c r="A7072" s="341"/>
    </row>
    <row r="7073" spans="1:1" x14ac:dyDescent="0.2">
      <c r="A7073" s="341"/>
    </row>
    <row r="7074" spans="1:1" x14ac:dyDescent="0.2">
      <c r="A7074" s="341"/>
    </row>
    <row r="7075" spans="1:1" x14ac:dyDescent="0.2">
      <c r="A7075" s="341"/>
    </row>
    <row r="7076" spans="1:1" x14ac:dyDescent="0.2">
      <c r="A7076" s="341"/>
    </row>
    <row r="7077" spans="1:1" x14ac:dyDescent="0.2">
      <c r="A7077" s="341"/>
    </row>
    <row r="7078" spans="1:1" x14ac:dyDescent="0.2">
      <c r="A7078" s="341"/>
    </row>
    <row r="7079" spans="1:1" x14ac:dyDescent="0.2">
      <c r="A7079" s="341"/>
    </row>
    <row r="7080" spans="1:1" x14ac:dyDescent="0.2">
      <c r="A7080" s="341"/>
    </row>
    <row r="7081" spans="1:1" x14ac:dyDescent="0.2">
      <c r="A7081" s="341"/>
    </row>
    <row r="7082" spans="1:1" x14ac:dyDescent="0.2">
      <c r="A7082" s="341"/>
    </row>
    <row r="7083" spans="1:1" x14ac:dyDescent="0.2">
      <c r="A7083" s="341"/>
    </row>
    <row r="7084" spans="1:1" x14ac:dyDescent="0.2">
      <c r="A7084" s="341"/>
    </row>
    <row r="7085" spans="1:1" x14ac:dyDescent="0.2">
      <c r="A7085" s="341"/>
    </row>
    <row r="7086" spans="1:1" x14ac:dyDescent="0.2">
      <c r="A7086" s="341"/>
    </row>
    <row r="7087" spans="1:1" x14ac:dyDescent="0.2">
      <c r="A7087" s="341"/>
    </row>
    <row r="7088" spans="1:1" x14ac:dyDescent="0.2">
      <c r="A7088" s="341"/>
    </row>
    <row r="7089" spans="1:1" x14ac:dyDescent="0.2">
      <c r="A7089" s="341"/>
    </row>
    <row r="7090" spans="1:1" x14ac:dyDescent="0.2">
      <c r="A7090" s="341"/>
    </row>
    <row r="7091" spans="1:1" x14ac:dyDescent="0.2">
      <c r="A7091" s="341"/>
    </row>
    <row r="7092" spans="1:1" x14ac:dyDescent="0.2">
      <c r="A7092" s="341"/>
    </row>
    <row r="7093" spans="1:1" x14ac:dyDescent="0.2">
      <c r="A7093" s="341"/>
    </row>
    <row r="7094" spans="1:1" x14ac:dyDescent="0.2">
      <c r="A7094" s="341"/>
    </row>
    <row r="7095" spans="1:1" x14ac:dyDescent="0.2">
      <c r="A7095" s="341"/>
    </row>
    <row r="7096" spans="1:1" x14ac:dyDescent="0.2">
      <c r="A7096" s="341"/>
    </row>
    <row r="7097" spans="1:1" x14ac:dyDescent="0.2">
      <c r="A7097" s="341"/>
    </row>
    <row r="7098" spans="1:1" x14ac:dyDescent="0.2">
      <c r="A7098" s="341"/>
    </row>
    <row r="7099" spans="1:1" x14ac:dyDescent="0.2">
      <c r="A7099" s="341"/>
    </row>
    <row r="7100" spans="1:1" x14ac:dyDescent="0.2">
      <c r="A7100" s="341"/>
    </row>
    <row r="7101" spans="1:1" x14ac:dyDescent="0.2">
      <c r="A7101" s="341"/>
    </row>
    <row r="7102" spans="1:1" x14ac:dyDescent="0.2">
      <c r="A7102" s="341"/>
    </row>
    <row r="7103" spans="1:1" x14ac:dyDescent="0.2">
      <c r="A7103" s="341"/>
    </row>
    <row r="7104" spans="1:1" x14ac:dyDescent="0.2">
      <c r="A7104" s="341"/>
    </row>
    <row r="7105" spans="1:1" x14ac:dyDescent="0.2">
      <c r="A7105" s="341"/>
    </row>
    <row r="7106" spans="1:1" x14ac:dyDescent="0.2">
      <c r="A7106" s="341"/>
    </row>
    <row r="7107" spans="1:1" x14ac:dyDescent="0.2">
      <c r="A7107" s="341"/>
    </row>
    <row r="7108" spans="1:1" x14ac:dyDescent="0.2">
      <c r="A7108" s="341"/>
    </row>
    <row r="7109" spans="1:1" x14ac:dyDescent="0.2">
      <c r="A7109" s="341"/>
    </row>
    <row r="7110" spans="1:1" x14ac:dyDescent="0.2">
      <c r="A7110" s="341"/>
    </row>
    <row r="7111" spans="1:1" x14ac:dyDescent="0.2">
      <c r="A7111" s="341"/>
    </row>
    <row r="7112" spans="1:1" x14ac:dyDescent="0.2">
      <c r="A7112" s="341"/>
    </row>
    <row r="7113" spans="1:1" x14ac:dyDescent="0.2">
      <c r="A7113" s="341"/>
    </row>
    <row r="7114" spans="1:1" x14ac:dyDescent="0.2">
      <c r="A7114" s="341"/>
    </row>
    <row r="7115" spans="1:1" x14ac:dyDescent="0.2">
      <c r="A7115" s="341"/>
    </row>
    <row r="7116" spans="1:1" x14ac:dyDescent="0.2">
      <c r="A7116" s="341"/>
    </row>
    <row r="7117" spans="1:1" x14ac:dyDescent="0.2">
      <c r="A7117" s="341"/>
    </row>
    <row r="7118" spans="1:1" x14ac:dyDescent="0.2">
      <c r="A7118" s="341"/>
    </row>
    <row r="7119" spans="1:1" x14ac:dyDescent="0.2">
      <c r="A7119" s="341"/>
    </row>
    <row r="7120" spans="1:1" x14ac:dyDescent="0.2">
      <c r="A7120" s="341"/>
    </row>
    <row r="7121" spans="1:1" x14ac:dyDescent="0.2">
      <c r="A7121" s="341"/>
    </row>
    <row r="7122" spans="1:1" x14ac:dyDescent="0.2">
      <c r="A7122" s="341"/>
    </row>
    <row r="7123" spans="1:1" x14ac:dyDescent="0.2">
      <c r="A7123" s="341"/>
    </row>
    <row r="7124" spans="1:1" x14ac:dyDescent="0.2">
      <c r="A7124" s="341"/>
    </row>
    <row r="7125" spans="1:1" x14ac:dyDescent="0.2">
      <c r="A7125" s="341"/>
    </row>
    <row r="7126" spans="1:1" x14ac:dyDescent="0.2">
      <c r="A7126" s="341"/>
    </row>
    <row r="7127" spans="1:1" x14ac:dyDescent="0.2">
      <c r="A7127" s="341"/>
    </row>
    <row r="7128" spans="1:1" x14ac:dyDescent="0.2">
      <c r="A7128" s="341"/>
    </row>
    <row r="7129" spans="1:1" x14ac:dyDescent="0.2">
      <c r="A7129" s="341"/>
    </row>
    <row r="7130" spans="1:1" x14ac:dyDescent="0.2">
      <c r="A7130" s="341"/>
    </row>
    <row r="7131" spans="1:1" x14ac:dyDescent="0.2">
      <c r="A7131" s="341"/>
    </row>
    <row r="7132" spans="1:1" x14ac:dyDescent="0.2">
      <c r="A7132" s="341"/>
    </row>
    <row r="7133" spans="1:1" x14ac:dyDescent="0.2">
      <c r="A7133" s="341"/>
    </row>
    <row r="7134" spans="1:1" x14ac:dyDescent="0.2">
      <c r="A7134" s="341"/>
    </row>
    <row r="7135" spans="1:1" x14ac:dyDescent="0.2">
      <c r="A7135" s="341"/>
    </row>
    <row r="7136" spans="1:1" x14ac:dyDescent="0.2">
      <c r="A7136" s="341"/>
    </row>
    <row r="7137" spans="1:1" x14ac:dyDescent="0.2">
      <c r="A7137" s="341"/>
    </row>
    <row r="7138" spans="1:1" x14ac:dyDescent="0.2">
      <c r="A7138" s="341"/>
    </row>
    <row r="7139" spans="1:1" x14ac:dyDescent="0.2">
      <c r="A7139" s="341"/>
    </row>
    <row r="7140" spans="1:1" x14ac:dyDescent="0.2">
      <c r="A7140" s="341"/>
    </row>
    <row r="7141" spans="1:1" x14ac:dyDescent="0.2">
      <c r="A7141" s="341"/>
    </row>
    <row r="7142" spans="1:1" x14ac:dyDescent="0.2">
      <c r="A7142" s="341"/>
    </row>
    <row r="7143" spans="1:1" x14ac:dyDescent="0.2">
      <c r="A7143" s="341"/>
    </row>
    <row r="7144" spans="1:1" x14ac:dyDescent="0.2">
      <c r="A7144" s="341"/>
    </row>
    <row r="7145" spans="1:1" x14ac:dyDescent="0.2">
      <c r="A7145" s="341"/>
    </row>
    <row r="7146" spans="1:1" x14ac:dyDescent="0.2">
      <c r="A7146" s="341"/>
    </row>
    <row r="7147" spans="1:1" x14ac:dyDescent="0.2">
      <c r="A7147" s="341"/>
    </row>
    <row r="7148" spans="1:1" x14ac:dyDescent="0.2">
      <c r="A7148" s="341"/>
    </row>
    <row r="7149" spans="1:1" x14ac:dyDescent="0.2">
      <c r="A7149" s="341"/>
    </row>
    <row r="7150" spans="1:1" x14ac:dyDescent="0.2">
      <c r="A7150" s="341"/>
    </row>
    <row r="7151" spans="1:1" x14ac:dyDescent="0.2">
      <c r="A7151" s="341"/>
    </row>
    <row r="7152" spans="1:1" x14ac:dyDescent="0.2">
      <c r="A7152" s="341"/>
    </row>
    <row r="7153" spans="1:1" x14ac:dyDescent="0.2">
      <c r="A7153" s="341"/>
    </row>
    <row r="7154" spans="1:1" x14ac:dyDescent="0.2">
      <c r="A7154" s="341"/>
    </row>
    <row r="7155" spans="1:1" x14ac:dyDescent="0.2">
      <c r="A7155" s="341"/>
    </row>
    <row r="7156" spans="1:1" x14ac:dyDescent="0.2">
      <c r="A7156" s="341"/>
    </row>
    <row r="7157" spans="1:1" x14ac:dyDescent="0.2">
      <c r="A7157" s="341"/>
    </row>
    <row r="7158" spans="1:1" x14ac:dyDescent="0.2">
      <c r="A7158" s="341"/>
    </row>
    <row r="7159" spans="1:1" x14ac:dyDescent="0.2">
      <c r="A7159" s="341"/>
    </row>
    <row r="7160" spans="1:1" x14ac:dyDescent="0.2">
      <c r="A7160" s="341"/>
    </row>
    <row r="7161" spans="1:1" x14ac:dyDescent="0.2">
      <c r="A7161" s="341"/>
    </row>
    <row r="7162" spans="1:1" x14ac:dyDescent="0.2">
      <c r="A7162" s="341"/>
    </row>
    <row r="7163" spans="1:1" x14ac:dyDescent="0.2">
      <c r="A7163" s="341"/>
    </row>
    <row r="7164" spans="1:1" x14ac:dyDescent="0.2">
      <c r="A7164" s="341"/>
    </row>
    <row r="7165" spans="1:1" x14ac:dyDescent="0.2">
      <c r="A7165" s="341"/>
    </row>
    <row r="7166" spans="1:1" x14ac:dyDescent="0.2">
      <c r="A7166" s="341"/>
    </row>
    <row r="7167" spans="1:1" x14ac:dyDescent="0.2">
      <c r="A7167" s="341"/>
    </row>
    <row r="7168" spans="1:1" x14ac:dyDescent="0.2">
      <c r="A7168" s="341"/>
    </row>
    <row r="7169" spans="1:1" x14ac:dyDescent="0.2">
      <c r="A7169" s="341"/>
    </row>
    <row r="7170" spans="1:1" x14ac:dyDescent="0.2">
      <c r="A7170" s="341"/>
    </row>
    <row r="7171" spans="1:1" x14ac:dyDescent="0.2">
      <c r="A7171" s="341"/>
    </row>
    <row r="7172" spans="1:1" x14ac:dyDescent="0.2">
      <c r="A7172" s="341"/>
    </row>
    <row r="7173" spans="1:1" x14ac:dyDescent="0.2">
      <c r="A7173" s="341"/>
    </row>
    <row r="7174" spans="1:1" x14ac:dyDescent="0.2">
      <c r="A7174" s="341"/>
    </row>
    <row r="7175" spans="1:1" x14ac:dyDescent="0.2">
      <c r="A7175" s="341"/>
    </row>
    <row r="7176" spans="1:1" x14ac:dyDescent="0.2">
      <c r="A7176" s="341"/>
    </row>
    <row r="7177" spans="1:1" x14ac:dyDescent="0.2">
      <c r="A7177" s="341"/>
    </row>
    <row r="7178" spans="1:1" x14ac:dyDescent="0.2">
      <c r="A7178" s="341"/>
    </row>
    <row r="7179" spans="1:1" x14ac:dyDescent="0.2">
      <c r="A7179" s="341"/>
    </row>
    <row r="7180" spans="1:1" x14ac:dyDescent="0.2">
      <c r="A7180" s="341"/>
    </row>
    <row r="7181" spans="1:1" x14ac:dyDescent="0.2">
      <c r="A7181" s="341"/>
    </row>
    <row r="7182" spans="1:1" x14ac:dyDescent="0.2">
      <c r="A7182" s="341"/>
    </row>
    <row r="7183" spans="1:1" x14ac:dyDescent="0.2">
      <c r="A7183" s="341"/>
    </row>
    <row r="7184" spans="1:1" x14ac:dyDescent="0.2">
      <c r="A7184" s="341"/>
    </row>
    <row r="7185" spans="1:1" x14ac:dyDescent="0.2">
      <c r="A7185" s="341"/>
    </row>
    <row r="7186" spans="1:1" x14ac:dyDescent="0.2">
      <c r="A7186" s="341"/>
    </row>
    <row r="7187" spans="1:1" x14ac:dyDescent="0.2">
      <c r="A7187" s="341"/>
    </row>
    <row r="7188" spans="1:1" x14ac:dyDescent="0.2">
      <c r="A7188" s="341"/>
    </row>
    <row r="7189" spans="1:1" x14ac:dyDescent="0.2">
      <c r="A7189" s="341"/>
    </row>
    <row r="7190" spans="1:1" x14ac:dyDescent="0.2">
      <c r="A7190" s="341"/>
    </row>
    <row r="7191" spans="1:1" x14ac:dyDescent="0.2">
      <c r="A7191" s="341"/>
    </row>
    <row r="7192" spans="1:1" x14ac:dyDescent="0.2">
      <c r="A7192" s="341"/>
    </row>
    <row r="7193" spans="1:1" x14ac:dyDescent="0.2">
      <c r="A7193" s="341"/>
    </row>
    <row r="7194" spans="1:1" x14ac:dyDescent="0.2">
      <c r="A7194" s="341"/>
    </row>
    <row r="7195" spans="1:1" x14ac:dyDescent="0.2">
      <c r="A7195" s="341"/>
    </row>
    <row r="7196" spans="1:1" x14ac:dyDescent="0.2">
      <c r="A7196" s="341"/>
    </row>
    <row r="7197" spans="1:1" x14ac:dyDescent="0.2">
      <c r="A7197" s="341"/>
    </row>
    <row r="7198" spans="1:1" x14ac:dyDescent="0.2">
      <c r="A7198" s="341"/>
    </row>
    <row r="7199" spans="1:1" x14ac:dyDescent="0.2">
      <c r="A7199" s="341"/>
    </row>
    <row r="7200" spans="1:1" x14ac:dyDescent="0.2">
      <c r="A7200" s="341"/>
    </row>
    <row r="7201" spans="1:1" x14ac:dyDescent="0.2">
      <c r="A7201" s="341"/>
    </row>
    <row r="7202" spans="1:1" x14ac:dyDescent="0.2">
      <c r="A7202" s="341"/>
    </row>
    <row r="7203" spans="1:1" x14ac:dyDescent="0.2">
      <c r="A7203" s="341"/>
    </row>
    <row r="7204" spans="1:1" x14ac:dyDescent="0.2">
      <c r="A7204" s="341"/>
    </row>
    <row r="7205" spans="1:1" x14ac:dyDescent="0.2">
      <c r="A7205" s="341"/>
    </row>
    <row r="7206" spans="1:1" x14ac:dyDescent="0.2">
      <c r="A7206" s="341"/>
    </row>
    <row r="7207" spans="1:1" x14ac:dyDescent="0.2">
      <c r="A7207" s="341"/>
    </row>
    <row r="7208" spans="1:1" x14ac:dyDescent="0.2">
      <c r="A7208" s="341"/>
    </row>
    <row r="7209" spans="1:1" x14ac:dyDescent="0.2">
      <c r="A7209" s="341"/>
    </row>
    <row r="7210" spans="1:1" x14ac:dyDescent="0.2">
      <c r="A7210" s="341"/>
    </row>
    <row r="7211" spans="1:1" x14ac:dyDescent="0.2">
      <c r="A7211" s="341"/>
    </row>
    <row r="7212" spans="1:1" x14ac:dyDescent="0.2">
      <c r="A7212" s="341"/>
    </row>
    <row r="7213" spans="1:1" x14ac:dyDescent="0.2">
      <c r="A7213" s="341"/>
    </row>
    <row r="7214" spans="1:1" x14ac:dyDescent="0.2">
      <c r="A7214" s="341"/>
    </row>
    <row r="7215" spans="1:1" x14ac:dyDescent="0.2">
      <c r="A7215" s="341"/>
    </row>
    <row r="7216" spans="1:1" x14ac:dyDescent="0.2">
      <c r="A7216" s="341"/>
    </row>
    <row r="7217" spans="1:1" x14ac:dyDescent="0.2">
      <c r="A7217" s="341"/>
    </row>
    <row r="7218" spans="1:1" x14ac:dyDescent="0.2">
      <c r="A7218" s="341"/>
    </row>
    <row r="7219" spans="1:1" x14ac:dyDescent="0.2">
      <c r="A7219" s="341"/>
    </row>
    <row r="7220" spans="1:1" x14ac:dyDescent="0.2">
      <c r="A7220" s="341"/>
    </row>
    <row r="7221" spans="1:1" x14ac:dyDescent="0.2">
      <c r="A7221" s="341"/>
    </row>
    <row r="7222" spans="1:1" x14ac:dyDescent="0.2">
      <c r="A7222" s="341"/>
    </row>
    <row r="7223" spans="1:1" x14ac:dyDescent="0.2">
      <c r="A7223" s="341"/>
    </row>
    <row r="7224" spans="1:1" x14ac:dyDescent="0.2">
      <c r="A7224" s="341"/>
    </row>
    <row r="7225" spans="1:1" x14ac:dyDescent="0.2">
      <c r="A7225" s="341"/>
    </row>
    <row r="7226" spans="1:1" x14ac:dyDescent="0.2">
      <c r="A7226" s="341"/>
    </row>
    <row r="7227" spans="1:1" x14ac:dyDescent="0.2">
      <c r="A7227" s="341"/>
    </row>
    <row r="7228" spans="1:1" x14ac:dyDescent="0.2">
      <c r="A7228" s="341"/>
    </row>
    <row r="7229" spans="1:1" x14ac:dyDescent="0.2">
      <c r="A7229" s="341"/>
    </row>
    <row r="7230" spans="1:1" x14ac:dyDescent="0.2">
      <c r="A7230" s="341"/>
    </row>
    <row r="7231" spans="1:1" x14ac:dyDescent="0.2">
      <c r="A7231" s="341"/>
    </row>
    <row r="7232" spans="1:1" x14ac:dyDescent="0.2">
      <c r="A7232" s="341"/>
    </row>
    <row r="7233" spans="1:1" x14ac:dyDescent="0.2">
      <c r="A7233" s="341"/>
    </row>
    <row r="7234" spans="1:1" x14ac:dyDescent="0.2">
      <c r="A7234" s="341"/>
    </row>
    <row r="7235" spans="1:1" x14ac:dyDescent="0.2">
      <c r="A7235" s="341"/>
    </row>
    <row r="7236" spans="1:1" x14ac:dyDescent="0.2">
      <c r="A7236" s="341"/>
    </row>
    <row r="7237" spans="1:1" x14ac:dyDescent="0.2">
      <c r="A7237" s="341"/>
    </row>
    <row r="7238" spans="1:1" x14ac:dyDescent="0.2">
      <c r="A7238" s="341"/>
    </row>
    <row r="7239" spans="1:1" x14ac:dyDescent="0.2">
      <c r="A7239" s="341"/>
    </row>
    <row r="7240" spans="1:1" x14ac:dyDescent="0.2">
      <c r="A7240" s="341"/>
    </row>
    <row r="7241" spans="1:1" x14ac:dyDescent="0.2">
      <c r="A7241" s="341"/>
    </row>
    <row r="7242" spans="1:1" x14ac:dyDescent="0.2">
      <c r="A7242" s="341"/>
    </row>
    <row r="7243" spans="1:1" x14ac:dyDescent="0.2">
      <c r="A7243" s="341"/>
    </row>
    <row r="7244" spans="1:1" x14ac:dyDescent="0.2">
      <c r="A7244" s="341"/>
    </row>
    <row r="7245" spans="1:1" x14ac:dyDescent="0.2">
      <c r="A7245" s="341"/>
    </row>
    <row r="7246" spans="1:1" x14ac:dyDescent="0.2">
      <c r="A7246" s="341"/>
    </row>
    <row r="7247" spans="1:1" x14ac:dyDescent="0.2">
      <c r="A7247" s="341"/>
    </row>
    <row r="7248" spans="1:1" x14ac:dyDescent="0.2">
      <c r="A7248" s="341"/>
    </row>
    <row r="7249" spans="1:1" x14ac:dyDescent="0.2">
      <c r="A7249" s="341"/>
    </row>
    <row r="7250" spans="1:1" x14ac:dyDescent="0.2">
      <c r="A7250" s="341"/>
    </row>
    <row r="7251" spans="1:1" x14ac:dyDescent="0.2">
      <c r="A7251" s="341"/>
    </row>
    <row r="7252" spans="1:1" x14ac:dyDescent="0.2">
      <c r="A7252" s="341"/>
    </row>
    <row r="7253" spans="1:1" x14ac:dyDescent="0.2">
      <c r="A7253" s="341"/>
    </row>
    <row r="7254" spans="1:1" x14ac:dyDescent="0.2">
      <c r="A7254" s="341"/>
    </row>
    <row r="7255" spans="1:1" x14ac:dyDescent="0.2">
      <c r="A7255" s="341"/>
    </row>
    <row r="7256" spans="1:1" x14ac:dyDescent="0.2">
      <c r="A7256" s="341"/>
    </row>
    <row r="7257" spans="1:1" x14ac:dyDescent="0.2">
      <c r="A7257" s="341"/>
    </row>
    <row r="7258" spans="1:1" x14ac:dyDescent="0.2">
      <c r="A7258" s="341"/>
    </row>
    <row r="7259" spans="1:1" x14ac:dyDescent="0.2">
      <c r="A7259" s="341"/>
    </row>
    <row r="7260" spans="1:1" x14ac:dyDescent="0.2">
      <c r="A7260" s="341"/>
    </row>
    <row r="7261" spans="1:1" x14ac:dyDescent="0.2">
      <c r="A7261" s="341"/>
    </row>
    <row r="7262" spans="1:1" x14ac:dyDescent="0.2">
      <c r="A7262" s="341"/>
    </row>
    <row r="7263" spans="1:1" x14ac:dyDescent="0.2">
      <c r="A7263" s="341"/>
    </row>
    <row r="7264" spans="1:1" x14ac:dyDescent="0.2">
      <c r="A7264" s="341"/>
    </row>
    <row r="7265" spans="1:1" x14ac:dyDescent="0.2">
      <c r="A7265" s="341"/>
    </row>
    <row r="7266" spans="1:1" x14ac:dyDescent="0.2">
      <c r="A7266" s="341"/>
    </row>
    <row r="7267" spans="1:1" x14ac:dyDescent="0.2">
      <c r="A7267" s="341"/>
    </row>
    <row r="7268" spans="1:1" x14ac:dyDescent="0.2">
      <c r="A7268" s="341"/>
    </row>
    <row r="7269" spans="1:1" x14ac:dyDescent="0.2">
      <c r="A7269" s="341"/>
    </row>
    <row r="7270" spans="1:1" x14ac:dyDescent="0.2">
      <c r="A7270" s="341"/>
    </row>
    <row r="7271" spans="1:1" x14ac:dyDescent="0.2">
      <c r="A7271" s="341"/>
    </row>
    <row r="7272" spans="1:1" x14ac:dyDescent="0.2">
      <c r="A7272" s="341"/>
    </row>
    <row r="7273" spans="1:1" x14ac:dyDescent="0.2">
      <c r="A7273" s="341"/>
    </row>
    <row r="7274" spans="1:1" x14ac:dyDescent="0.2">
      <c r="A7274" s="341"/>
    </row>
    <row r="7275" spans="1:1" x14ac:dyDescent="0.2">
      <c r="A7275" s="341"/>
    </row>
    <row r="7276" spans="1:1" x14ac:dyDescent="0.2">
      <c r="A7276" s="341"/>
    </row>
    <row r="7277" spans="1:1" x14ac:dyDescent="0.2">
      <c r="A7277" s="341"/>
    </row>
    <row r="7278" spans="1:1" x14ac:dyDescent="0.2">
      <c r="A7278" s="341"/>
    </row>
    <row r="7279" spans="1:1" x14ac:dyDescent="0.2">
      <c r="A7279" s="341"/>
    </row>
    <row r="7280" spans="1:1" x14ac:dyDescent="0.2">
      <c r="A7280" s="341"/>
    </row>
    <row r="7281" spans="1:1" x14ac:dyDescent="0.2">
      <c r="A7281" s="341"/>
    </row>
    <row r="7282" spans="1:1" x14ac:dyDescent="0.2">
      <c r="A7282" s="341"/>
    </row>
    <row r="7283" spans="1:1" x14ac:dyDescent="0.2">
      <c r="A7283" s="341"/>
    </row>
    <row r="7284" spans="1:1" x14ac:dyDescent="0.2">
      <c r="A7284" s="341"/>
    </row>
    <row r="7285" spans="1:1" x14ac:dyDescent="0.2">
      <c r="A7285" s="341"/>
    </row>
    <row r="7286" spans="1:1" x14ac:dyDescent="0.2">
      <c r="A7286" s="341"/>
    </row>
    <row r="7287" spans="1:1" x14ac:dyDescent="0.2">
      <c r="A7287" s="341"/>
    </row>
    <row r="7288" spans="1:1" x14ac:dyDescent="0.2">
      <c r="A7288" s="341"/>
    </row>
    <row r="7289" spans="1:1" x14ac:dyDescent="0.2">
      <c r="A7289" s="341"/>
    </row>
    <row r="7290" spans="1:1" x14ac:dyDescent="0.2">
      <c r="A7290" s="341"/>
    </row>
    <row r="7291" spans="1:1" x14ac:dyDescent="0.2">
      <c r="A7291" s="341"/>
    </row>
    <row r="7292" spans="1:1" x14ac:dyDescent="0.2">
      <c r="A7292" s="341"/>
    </row>
    <row r="7293" spans="1:1" x14ac:dyDescent="0.2">
      <c r="A7293" s="341"/>
    </row>
    <row r="7294" spans="1:1" x14ac:dyDescent="0.2">
      <c r="A7294" s="341"/>
    </row>
    <row r="7295" spans="1:1" x14ac:dyDescent="0.2">
      <c r="A7295" s="341"/>
    </row>
    <row r="7296" spans="1:1" x14ac:dyDescent="0.2">
      <c r="A7296" s="341"/>
    </row>
    <row r="7297" spans="1:1" x14ac:dyDescent="0.2">
      <c r="A7297" s="341"/>
    </row>
    <row r="7298" spans="1:1" x14ac:dyDescent="0.2">
      <c r="A7298" s="341"/>
    </row>
    <row r="7299" spans="1:1" x14ac:dyDescent="0.2">
      <c r="A7299" s="341"/>
    </row>
    <row r="7300" spans="1:1" x14ac:dyDescent="0.2">
      <c r="A7300" s="341"/>
    </row>
    <row r="7301" spans="1:1" x14ac:dyDescent="0.2">
      <c r="A7301" s="341"/>
    </row>
    <row r="7302" spans="1:1" x14ac:dyDescent="0.2">
      <c r="A7302" s="341"/>
    </row>
    <row r="7303" spans="1:1" x14ac:dyDescent="0.2">
      <c r="A7303" s="341"/>
    </row>
    <row r="7304" spans="1:1" x14ac:dyDescent="0.2">
      <c r="A7304" s="341"/>
    </row>
    <row r="7305" spans="1:1" x14ac:dyDescent="0.2">
      <c r="A7305" s="341"/>
    </row>
    <row r="7306" spans="1:1" x14ac:dyDescent="0.2">
      <c r="A7306" s="341"/>
    </row>
    <row r="7307" spans="1:1" x14ac:dyDescent="0.2">
      <c r="A7307" s="341"/>
    </row>
    <row r="7308" spans="1:1" x14ac:dyDescent="0.2">
      <c r="A7308" s="341"/>
    </row>
    <row r="7309" spans="1:1" x14ac:dyDescent="0.2">
      <c r="A7309" s="341"/>
    </row>
    <row r="7310" spans="1:1" x14ac:dyDescent="0.2">
      <c r="A7310" s="341"/>
    </row>
    <row r="7311" spans="1:1" x14ac:dyDescent="0.2">
      <c r="A7311" s="341"/>
    </row>
    <row r="7312" spans="1:1" x14ac:dyDescent="0.2">
      <c r="A7312" s="341"/>
    </row>
    <row r="7313" spans="1:1" x14ac:dyDescent="0.2">
      <c r="A7313" s="341"/>
    </row>
    <row r="7314" spans="1:1" x14ac:dyDescent="0.2">
      <c r="A7314" s="341"/>
    </row>
    <row r="7315" spans="1:1" x14ac:dyDescent="0.2">
      <c r="A7315" s="341"/>
    </row>
    <row r="7316" spans="1:1" x14ac:dyDescent="0.2">
      <c r="A7316" s="341"/>
    </row>
    <row r="7317" spans="1:1" x14ac:dyDescent="0.2">
      <c r="A7317" s="341"/>
    </row>
    <row r="7318" spans="1:1" x14ac:dyDescent="0.2">
      <c r="A7318" s="341"/>
    </row>
    <row r="7319" spans="1:1" x14ac:dyDescent="0.2">
      <c r="A7319" s="341"/>
    </row>
    <row r="7320" spans="1:1" x14ac:dyDescent="0.2">
      <c r="A7320" s="341"/>
    </row>
    <row r="7321" spans="1:1" x14ac:dyDescent="0.2">
      <c r="A7321" s="341"/>
    </row>
    <row r="7322" spans="1:1" x14ac:dyDescent="0.2">
      <c r="A7322" s="341"/>
    </row>
    <row r="7323" spans="1:1" x14ac:dyDescent="0.2">
      <c r="A7323" s="341"/>
    </row>
    <row r="7324" spans="1:1" x14ac:dyDescent="0.2">
      <c r="A7324" s="341"/>
    </row>
    <row r="7325" spans="1:1" x14ac:dyDescent="0.2">
      <c r="A7325" s="341"/>
    </row>
    <row r="7326" spans="1:1" x14ac:dyDescent="0.2">
      <c r="A7326" s="341"/>
    </row>
    <row r="7327" spans="1:1" x14ac:dyDescent="0.2">
      <c r="A7327" s="341"/>
    </row>
    <row r="7328" spans="1:1" x14ac:dyDescent="0.2">
      <c r="A7328" s="341"/>
    </row>
    <row r="7329" spans="1:1" x14ac:dyDescent="0.2">
      <c r="A7329" s="341"/>
    </row>
    <row r="7330" spans="1:1" x14ac:dyDescent="0.2">
      <c r="A7330" s="341"/>
    </row>
    <row r="7331" spans="1:1" x14ac:dyDescent="0.2">
      <c r="A7331" s="341"/>
    </row>
    <row r="7332" spans="1:1" x14ac:dyDescent="0.2">
      <c r="A7332" s="341"/>
    </row>
    <row r="7333" spans="1:1" x14ac:dyDescent="0.2">
      <c r="A7333" s="341"/>
    </row>
    <row r="7334" spans="1:1" x14ac:dyDescent="0.2">
      <c r="A7334" s="341"/>
    </row>
    <row r="7335" spans="1:1" x14ac:dyDescent="0.2">
      <c r="A7335" s="341"/>
    </row>
    <row r="7336" spans="1:1" x14ac:dyDescent="0.2">
      <c r="A7336" s="341"/>
    </row>
    <row r="7337" spans="1:1" x14ac:dyDescent="0.2">
      <c r="A7337" s="341"/>
    </row>
    <row r="7338" spans="1:1" x14ac:dyDescent="0.2">
      <c r="A7338" s="341"/>
    </row>
    <row r="7339" spans="1:1" x14ac:dyDescent="0.2">
      <c r="A7339" s="341"/>
    </row>
    <row r="7340" spans="1:1" x14ac:dyDescent="0.2">
      <c r="A7340" s="341"/>
    </row>
    <row r="7341" spans="1:1" x14ac:dyDescent="0.2">
      <c r="A7341" s="341"/>
    </row>
    <row r="7342" spans="1:1" x14ac:dyDescent="0.2">
      <c r="A7342" s="341"/>
    </row>
    <row r="7343" spans="1:1" x14ac:dyDescent="0.2">
      <c r="A7343" s="341"/>
    </row>
    <row r="7344" spans="1:1" x14ac:dyDescent="0.2">
      <c r="A7344" s="341"/>
    </row>
    <row r="7345" spans="1:1" x14ac:dyDescent="0.2">
      <c r="A7345" s="341"/>
    </row>
    <row r="7346" spans="1:1" x14ac:dyDescent="0.2">
      <c r="A7346" s="341"/>
    </row>
    <row r="7347" spans="1:1" x14ac:dyDescent="0.2">
      <c r="A7347" s="341"/>
    </row>
    <row r="7348" spans="1:1" x14ac:dyDescent="0.2">
      <c r="A7348" s="341"/>
    </row>
    <row r="7349" spans="1:1" x14ac:dyDescent="0.2">
      <c r="A7349" s="341"/>
    </row>
    <row r="7350" spans="1:1" x14ac:dyDescent="0.2">
      <c r="A7350" s="341"/>
    </row>
    <row r="7351" spans="1:1" x14ac:dyDescent="0.2">
      <c r="A7351" s="341"/>
    </row>
    <row r="7352" spans="1:1" x14ac:dyDescent="0.2">
      <c r="A7352" s="341"/>
    </row>
    <row r="7353" spans="1:1" x14ac:dyDescent="0.2">
      <c r="A7353" s="341"/>
    </row>
    <row r="7354" spans="1:1" x14ac:dyDescent="0.2">
      <c r="A7354" s="341"/>
    </row>
    <row r="7355" spans="1:1" x14ac:dyDescent="0.2">
      <c r="A7355" s="341"/>
    </row>
    <row r="7356" spans="1:1" x14ac:dyDescent="0.2">
      <c r="A7356" s="341"/>
    </row>
    <row r="7357" spans="1:1" x14ac:dyDescent="0.2">
      <c r="A7357" s="341"/>
    </row>
    <row r="7358" spans="1:1" x14ac:dyDescent="0.2">
      <c r="A7358" s="341"/>
    </row>
    <row r="7359" spans="1:1" x14ac:dyDescent="0.2">
      <c r="A7359" s="341"/>
    </row>
    <row r="7360" spans="1:1" x14ac:dyDescent="0.2">
      <c r="A7360" s="341"/>
    </row>
    <row r="7361" spans="1:1" x14ac:dyDescent="0.2">
      <c r="A7361" s="341"/>
    </row>
    <row r="7362" spans="1:1" x14ac:dyDescent="0.2">
      <c r="A7362" s="341"/>
    </row>
    <row r="7363" spans="1:1" x14ac:dyDescent="0.2">
      <c r="A7363" s="341"/>
    </row>
    <row r="7364" spans="1:1" x14ac:dyDescent="0.2">
      <c r="A7364" s="341"/>
    </row>
    <row r="7365" spans="1:1" x14ac:dyDescent="0.2">
      <c r="A7365" s="341"/>
    </row>
    <row r="7366" spans="1:1" x14ac:dyDescent="0.2">
      <c r="A7366" s="341"/>
    </row>
    <row r="7367" spans="1:1" x14ac:dyDescent="0.2">
      <c r="A7367" s="341"/>
    </row>
    <row r="7368" spans="1:1" x14ac:dyDescent="0.2">
      <c r="A7368" s="341"/>
    </row>
    <row r="7369" spans="1:1" x14ac:dyDescent="0.2">
      <c r="A7369" s="341"/>
    </row>
    <row r="7370" spans="1:1" x14ac:dyDescent="0.2">
      <c r="A7370" s="341"/>
    </row>
    <row r="7371" spans="1:1" x14ac:dyDescent="0.2">
      <c r="A7371" s="341"/>
    </row>
    <row r="7372" spans="1:1" x14ac:dyDescent="0.2">
      <c r="A7372" s="341"/>
    </row>
    <row r="7373" spans="1:1" x14ac:dyDescent="0.2">
      <c r="A7373" s="341"/>
    </row>
    <row r="7374" spans="1:1" x14ac:dyDescent="0.2">
      <c r="A7374" s="341"/>
    </row>
    <row r="7375" spans="1:1" x14ac:dyDescent="0.2">
      <c r="A7375" s="341"/>
    </row>
    <row r="7376" spans="1:1" x14ac:dyDescent="0.2">
      <c r="A7376" s="341"/>
    </row>
    <row r="7377" spans="1:1" x14ac:dyDescent="0.2">
      <c r="A7377" s="341"/>
    </row>
    <row r="7378" spans="1:1" x14ac:dyDescent="0.2">
      <c r="A7378" s="341"/>
    </row>
    <row r="7379" spans="1:1" x14ac:dyDescent="0.2">
      <c r="A7379" s="341"/>
    </row>
    <row r="7380" spans="1:1" x14ac:dyDescent="0.2">
      <c r="A7380" s="341"/>
    </row>
    <row r="7381" spans="1:1" x14ac:dyDescent="0.2">
      <c r="A7381" s="341"/>
    </row>
    <row r="7382" spans="1:1" x14ac:dyDescent="0.2">
      <c r="A7382" s="341"/>
    </row>
    <row r="7383" spans="1:1" x14ac:dyDescent="0.2">
      <c r="A7383" s="341"/>
    </row>
    <row r="7384" spans="1:1" x14ac:dyDescent="0.2">
      <c r="A7384" s="341"/>
    </row>
    <row r="7385" spans="1:1" x14ac:dyDescent="0.2">
      <c r="A7385" s="341"/>
    </row>
    <row r="7386" spans="1:1" x14ac:dyDescent="0.2">
      <c r="A7386" s="341"/>
    </row>
    <row r="7387" spans="1:1" x14ac:dyDescent="0.2">
      <c r="A7387" s="341"/>
    </row>
    <row r="7388" spans="1:1" x14ac:dyDescent="0.2">
      <c r="A7388" s="341"/>
    </row>
    <row r="7389" spans="1:1" x14ac:dyDescent="0.2">
      <c r="A7389" s="341"/>
    </row>
    <row r="7390" spans="1:1" x14ac:dyDescent="0.2">
      <c r="A7390" s="341"/>
    </row>
    <row r="7391" spans="1:1" x14ac:dyDescent="0.2">
      <c r="A7391" s="341"/>
    </row>
    <row r="7392" spans="1:1" x14ac:dyDescent="0.2">
      <c r="A7392" s="341"/>
    </row>
    <row r="7393" spans="1:1" x14ac:dyDescent="0.2">
      <c r="A7393" s="341"/>
    </row>
    <row r="7394" spans="1:1" x14ac:dyDescent="0.2">
      <c r="A7394" s="341"/>
    </row>
    <row r="7395" spans="1:1" x14ac:dyDescent="0.2">
      <c r="A7395" s="341"/>
    </row>
    <row r="7396" spans="1:1" x14ac:dyDescent="0.2">
      <c r="A7396" s="341"/>
    </row>
    <row r="7397" spans="1:1" x14ac:dyDescent="0.2">
      <c r="A7397" s="341"/>
    </row>
    <row r="7398" spans="1:1" x14ac:dyDescent="0.2">
      <c r="A7398" s="341"/>
    </row>
    <row r="7399" spans="1:1" x14ac:dyDescent="0.2">
      <c r="A7399" s="341"/>
    </row>
    <row r="7400" spans="1:1" x14ac:dyDescent="0.2">
      <c r="A7400" s="341"/>
    </row>
    <row r="7401" spans="1:1" x14ac:dyDescent="0.2">
      <c r="A7401" s="341"/>
    </row>
    <row r="7402" spans="1:1" x14ac:dyDescent="0.2">
      <c r="A7402" s="341"/>
    </row>
    <row r="7403" spans="1:1" x14ac:dyDescent="0.2">
      <c r="A7403" s="341"/>
    </row>
    <row r="7404" spans="1:1" x14ac:dyDescent="0.2">
      <c r="A7404" s="341"/>
    </row>
    <row r="7405" spans="1:1" x14ac:dyDescent="0.2">
      <c r="A7405" s="341"/>
    </row>
    <row r="7406" spans="1:1" x14ac:dyDescent="0.2">
      <c r="A7406" s="341"/>
    </row>
    <row r="7407" spans="1:1" x14ac:dyDescent="0.2">
      <c r="A7407" s="341"/>
    </row>
    <row r="7408" spans="1:1" x14ac:dyDescent="0.2">
      <c r="A7408" s="341"/>
    </row>
    <row r="7409" spans="1:1" x14ac:dyDescent="0.2">
      <c r="A7409" s="341"/>
    </row>
    <row r="7410" spans="1:1" x14ac:dyDescent="0.2">
      <c r="A7410" s="341"/>
    </row>
    <row r="7411" spans="1:1" x14ac:dyDescent="0.2">
      <c r="A7411" s="341"/>
    </row>
    <row r="7412" spans="1:1" x14ac:dyDescent="0.2">
      <c r="A7412" s="341"/>
    </row>
    <row r="7413" spans="1:1" x14ac:dyDescent="0.2">
      <c r="A7413" s="341"/>
    </row>
    <row r="7414" spans="1:1" x14ac:dyDescent="0.2">
      <c r="A7414" s="341"/>
    </row>
    <row r="7415" spans="1:1" x14ac:dyDescent="0.2">
      <c r="A7415" s="341"/>
    </row>
    <row r="7416" spans="1:1" x14ac:dyDescent="0.2">
      <c r="A7416" s="341"/>
    </row>
    <row r="7417" spans="1:1" x14ac:dyDescent="0.2">
      <c r="A7417" s="341"/>
    </row>
    <row r="7418" spans="1:1" x14ac:dyDescent="0.2">
      <c r="A7418" s="341"/>
    </row>
    <row r="7419" spans="1:1" x14ac:dyDescent="0.2">
      <c r="A7419" s="341"/>
    </row>
    <row r="7420" spans="1:1" x14ac:dyDescent="0.2">
      <c r="A7420" s="341"/>
    </row>
    <row r="7421" spans="1:1" x14ac:dyDescent="0.2">
      <c r="A7421" s="341"/>
    </row>
    <row r="7422" spans="1:1" x14ac:dyDescent="0.2">
      <c r="A7422" s="341"/>
    </row>
    <row r="7423" spans="1:1" x14ac:dyDescent="0.2">
      <c r="A7423" s="341"/>
    </row>
    <row r="7424" spans="1:1" x14ac:dyDescent="0.2">
      <c r="A7424" s="341"/>
    </row>
    <row r="7425" spans="1:1" x14ac:dyDescent="0.2">
      <c r="A7425" s="341"/>
    </row>
    <row r="7426" spans="1:1" x14ac:dyDescent="0.2">
      <c r="A7426" s="341"/>
    </row>
    <row r="7427" spans="1:1" x14ac:dyDescent="0.2">
      <c r="A7427" s="341"/>
    </row>
    <row r="7428" spans="1:1" x14ac:dyDescent="0.2">
      <c r="A7428" s="341"/>
    </row>
    <row r="7429" spans="1:1" x14ac:dyDescent="0.2">
      <c r="A7429" s="341"/>
    </row>
    <row r="7430" spans="1:1" x14ac:dyDescent="0.2">
      <c r="A7430" s="341"/>
    </row>
    <row r="7431" spans="1:1" x14ac:dyDescent="0.2">
      <c r="A7431" s="341"/>
    </row>
    <row r="7432" spans="1:1" x14ac:dyDescent="0.2">
      <c r="A7432" s="341"/>
    </row>
    <row r="7433" spans="1:1" x14ac:dyDescent="0.2">
      <c r="A7433" s="341"/>
    </row>
    <row r="7434" spans="1:1" x14ac:dyDescent="0.2">
      <c r="A7434" s="341"/>
    </row>
    <row r="7435" spans="1:1" x14ac:dyDescent="0.2">
      <c r="A7435" s="341"/>
    </row>
    <row r="7436" spans="1:1" x14ac:dyDescent="0.2">
      <c r="A7436" s="341"/>
    </row>
    <row r="7437" spans="1:1" x14ac:dyDescent="0.2">
      <c r="A7437" s="341"/>
    </row>
    <row r="7438" spans="1:1" x14ac:dyDescent="0.2">
      <c r="A7438" s="341"/>
    </row>
    <row r="7439" spans="1:1" x14ac:dyDescent="0.2">
      <c r="A7439" s="341"/>
    </row>
    <row r="7440" spans="1:1" x14ac:dyDescent="0.2">
      <c r="A7440" s="341"/>
    </row>
    <row r="7441" spans="1:1" x14ac:dyDescent="0.2">
      <c r="A7441" s="341"/>
    </row>
    <row r="7442" spans="1:1" x14ac:dyDescent="0.2">
      <c r="A7442" s="341"/>
    </row>
    <row r="7443" spans="1:1" x14ac:dyDescent="0.2">
      <c r="A7443" s="341"/>
    </row>
    <row r="7444" spans="1:1" x14ac:dyDescent="0.2">
      <c r="A7444" s="341"/>
    </row>
    <row r="7445" spans="1:1" x14ac:dyDescent="0.2">
      <c r="A7445" s="341"/>
    </row>
    <row r="7446" spans="1:1" x14ac:dyDescent="0.2">
      <c r="A7446" s="341"/>
    </row>
    <row r="7447" spans="1:1" x14ac:dyDescent="0.2">
      <c r="A7447" s="341"/>
    </row>
    <row r="7448" spans="1:1" x14ac:dyDescent="0.2">
      <c r="A7448" s="341"/>
    </row>
    <row r="7449" spans="1:1" x14ac:dyDescent="0.2">
      <c r="A7449" s="341"/>
    </row>
    <row r="7450" spans="1:1" x14ac:dyDescent="0.2">
      <c r="A7450" s="341"/>
    </row>
    <row r="7451" spans="1:1" x14ac:dyDescent="0.2">
      <c r="A7451" s="341"/>
    </row>
    <row r="7452" spans="1:1" x14ac:dyDescent="0.2">
      <c r="A7452" s="341"/>
    </row>
    <row r="7453" spans="1:1" x14ac:dyDescent="0.2">
      <c r="A7453" s="341"/>
    </row>
    <row r="7454" spans="1:1" x14ac:dyDescent="0.2">
      <c r="A7454" s="341"/>
    </row>
    <row r="7455" spans="1:1" x14ac:dyDescent="0.2">
      <c r="A7455" s="341"/>
    </row>
    <row r="7456" spans="1:1" x14ac:dyDescent="0.2">
      <c r="A7456" s="341"/>
    </row>
    <row r="7457" spans="1:1" x14ac:dyDescent="0.2">
      <c r="A7457" s="341"/>
    </row>
    <row r="7458" spans="1:1" x14ac:dyDescent="0.2">
      <c r="A7458" s="341"/>
    </row>
    <row r="7459" spans="1:1" x14ac:dyDescent="0.2">
      <c r="A7459" s="341"/>
    </row>
    <row r="7460" spans="1:1" x14ac:dyDescent="0.2">
      <c r="A7460" s="341"/>
    </row>
    <row r="7461" spans="1:1" x14ac:dyDescent="0.2">
      <c r="A7461" s="341"/>
    </row>
    <row r="7462" spans="1:1" x14ac:dyDescent="0.2">
      <c r="A7462" s="341"/>
    </row>
    <row r="7463" spans="1:1" x14ac:dyDescent="0.2">
      <c r="A7463" s="341"/>
    </row>
    <row r="7464" spans="1:1" x14ac:dyDescent="0.2">
      <c r="A7464" s="341"/>
    </row>
    <row r="7465" spans="1:1" x14ac:dyDescent="0.2">
      <c r="A7465" s="341"/>
    </row>
    <row r="7466" spans="1:1" x14ac:dyDescent="0.2">
      <c r="A7466" s="341"/>
    </row>
    <row r="7467" spans="1:1" x14ac:dyDescent="0.2">
      <c r="A7467" s="341"/>
    </row>
    <row r="7468" spans="1:1" x14ac:dyDescent="0.2">
      <c r="A7468" s="341"/>
    </row>
    <row r="7469" spans="1:1" x14ac:dyDescent="0.2">
      <c r="A7469" s="341"/>
    </row>
    <row r="7470" spans="1:1" x14ac:dyDescent="0.2">
      <c r="A7470" s="341"/>
    </row>
    <row r="7471" spans="1:1" x14ac:dyDescent="0.2">
      <c r="A7471" s="341"/>
    </row>
    <row r="7472" spans="1:1" x14ac:dyDescent="0.2">
      <c r="A7472" s="341"/>
    </row>
    <row r="7473" spans="1:1" x14ac:dyDescent="0.2">
      <c r="A7473" s="341"/>
    </row>
    <row r="7474" spans="1:1" x14ac:dyDescent="0.2">
      <c r="A7474" s="341"/>
    </row>
    <row r="7475" spans="1:1" x14ac:dyDescent="0.2">
      <c r="A7475" s="341"/>
    </row>
    <row r="7476" spans="1:1" x14ac:dyDescent="0.2">
      <c r="A7476" s="341"/>
    </row>
    <row r="7477" spans="1:1" x14ac:dyDescent="0.2">
      <c r="A7477" s="341"/>
    </row>
    <row r="7478" spans="1:1" x14ac:dyDescent="0.2">
      <c r="A7478" s="341"/>
    </row>
    <row r="7479" spans="1:1" x14ac:dyDescent="0.2">
      <c r="A7479" s="341"/>
    </row>
    <row r="7480" spans="1:1" x14ac:dyDescent="0.2">
      <c r="A7480" s="341"/>
    </row>
    <row r="7481" spans="1:1" x14ac:dyDescent="0.2">
      <c r="A7481" s="341"/>
    </row>
    <row r="7482" spans="1:1" x14ac:dyDescent="0.2">
      <c r="A7482" s="341"/>
    </row>
    <row r="7483" spans="1:1" x14ac:dyDescent="0.2">
      <c r="A7483" s="341"/>
    </row>
    <row r="7484" spans="1:1" x14ac:dyDescent="0.2">
      <c r="A7484" s="341"/>
    </row>
    <row r="7485" spans="1:1" x14ac:dyDescent="0.2">
      <c r="A7485" s="341"/>
    </row>
    <row r="7486" spans="1:1" x14ac:dyDescent="0.2">
      <c r="A7486" s="341"/>
    </row>
    <row r="7487" spans="1:1" x14ac:dyDescent="0.2">
      <c r="A7487" s="341"/>
    </row>
    <row r="7488" spans="1:1" x14ac:dyDescent="0.2">
      <c r="A7488" s="341"/>
    </row>
    <row r="7489" spans="1:1" x14ac:dyDescent="0.2">
      <c r="A7489" s="341"/>
    </row>
    <row r="7490" spans="1:1" x14ac:dyDescent="0.2">
      <c r="A7490" s="341"/>
    </row>
    <row r="7491" spans="1:1" x14ac:dyDescent="0.2">
      <c r="A7491" s="341"/>
    </row>
    <row r="7492" spans="1:1" x14ac:dyDescent="0.2">
      <c r="A7492" s="341"/>
    </row>
    <row r="7493" spans="1:1" x14ac:dyDescent="0.2">
      <c r="A7493" s="341"/>
    </row>
    <row r="7494" spans="1:1" x14ac:dyDescent="0.2">
      <c r="A7494" s="341"/>
    </row>
    <row r="7495" spans="1:1" x14ac:dyDescent="0.2">
      <c r="A7495" s="341"/>
    </row>
    <row r="7496" spans="1:1" x14ac:dyDescent="0.2">
      <c r="A7496" s="341"/>
    </row>
    <row r="7497" spans="1:1" x14ac:dyDescent="0.2">
      <c r="A7497" s="341"/>
    </row>
    <row r="7498" spans="1:1" x14ac:dyDescent="0.2">
      <c r="A7498" s="341"/>
    </row>
    <row r="7499" spans="1:1" x14ac:dyDescent="0.2">
      <c r="A7499" s="341"/>
    </row>
    <row r="7500" spans="1:1" x14ac:dyDescent="0.2">
      <c r="A7500" s="341"/>
    </row>
    <row r="7501" spans="1:1" x14ac:dyDescent="0.2">
      <c r="A7501" s="341"/>
    </row>
    <row r="7502" spans="1:1" x14ac:dyDescent="0.2">
      <c r="A7502" s="341"/>
    </row>
    <row r="7503" spans="1:1" x14ac:dyDescent="0.2">
      <c r="A7503" s="341"/>
    </row>
    <row r="7504" spans="1:1" x14ac:dyDescent="0.2">
      <c r="A7504" s="341"/>
    </row>
    <row r="7505" spans="1:1" x14ac:dyDescent="0.2">
      <c r="A7505" s="341"/>
    </row>
    <row r="7506" spans="1:1" x14ac:dyDescent="0.2">
      <c r="A7506" s="341"/>
    </row>
    <row r="7507" spans="1:1" x14ac:dyDescent="0.2">
      <c r="A7507" s="341"/>
    </row>
    <row r="7508" spans="1:1" x14ac:dyDescent="0.2">
      <c r="A7508" s="341"/>
    </row>
    <row r="7509" spans="1:1" x14ac:dyDescent="0.2">
      <c r="A7509" s="341"/>
    </row>
    <row r="7510" spans="1:1" x14ac:dyDescent="0.2">
      <c r="A7510" s="341"/>
    </row>
    <row r="7511" spans="1:1" x14ac:dyDescent="0.2">
      <c r="A7511" s="341"/>
    </row>
    <row r="7512" spans="1:1" x14ac:dyDescent="0.2">
      <c r="A7512" s="341"/>
    </row>
    <row r="7513" spans="1:1" x14ac:dyDescent="0.2">
      <c r="A7513" s="341"/>
    </row>
    <row r="7514" spans="1:1" x14ac:dyDescent="0.2">
      <c r="A7514" s="341"/>
    </row>
    <row r="7515" spans="1:1" x14ac:dyDescent="0.2">
      <c r="A7515" s="341"/>
    </row>
    <row r="7516" spans="1:1" x14ac:dyDescent="0.2">
      <c r="A7516" s="341"/>
    </row>
    <row r="7517" spans="1:1" x14ac:dyDescent="0.2">
      <c r="A7517" s="341"/>
    </row>
    <row r="7518" spans="1:1" x14ac:dyDescent="0.2">
      <c r="A7518" s="341"/>
    </row>
    <row r="7519" spans="1:1" x14ac:dyDescent="0.2">
      <c r="A7519" s="341"/>
    </row>
    <row r="7520" spans="1:1" x14ac:dyDescent="0.2">
      <c r="A7520" s="341"/>
    </row>
    <row r="7521" spans="1:1" x14ac:dyDescent="0.2">
      <c r="A7521" s="341"/>
    </row>
    <row r="7522" spans="1:1" x14ac:dyDescent="0.2">
      <c r="A7522" s="341"/>
    </row>
    <row r="7523" spans="1:1" x14ac:dyDescent="0.2">
      <c r="A7523" s="341"/>
    </row>
    <row r="7524" spans="1:1" x14ac:dyDescent="0.2">
      <c r="A7524" s="341"/>
    </row>
    <row r="7525" spans="1:1" x14ac:dyDescent="0.2">
      <c r="A7525" s="341"/>
    </row>
    <row r="7526" spans="1:1" x14ac:dyDescent="0.2">
      <c r="A7526" s="341"/>
    </row>
    <row r="7527" spans="1:1" x14ac:dyDescent="0.2">
      <c r="A7527" s="341"/>
    </row>
    <row r="7528" spans="1:1" x14ac:dyDescent="0.2">
      <c r="A7528" s="341"/>
    </row>
    <row r="7529" spans="1:1" x14ac:dyDescent="0.2">
      <c r="A7529" s="341"/>
    </row>
    <row r="7530" spans="1:1" x14ac:dyDescent="0.2">
      <c r="A7530" s="341"/>
    </row>
    <row r="7531" spans="1:1" x14ac:dyDescent="0.2">
      <c r="A7531" s="341"/>
    </row>
    <row r="7532" spans="1:1" x14ac:dyDescent="0.2">
      <c r="A7532" s="341"/>
    </row>
    <row r="7533" spans="1:1" x14ac:dyDescent="0.2">
      <c r="A7533" s="341"/>
    </row>
    <row r="7534" spans="1:1" x14ac:dyDescent="0.2">
      <c r="A7534" s="341"/>
    </row>
    <row r="7535" spans="1:1" x14ac:dyDescent="0.2">
      <c r="A7535" s="341"/>
    </row>
    <row r="7536" spans="1:1" x14ac:dyDescent="0.2">
      <c r="A7536" s="341"/>
    </row>
    <row r="7537" spans="1:1" x14ac:dyDescent="0.2">
      <c r="A7537" s="341"/>
    </row>
    <row r="7538" spans="1:1" x14ac:dyDescent="0.2">
      <c r="A7538" s="341"/>
    </row>
    <row r="7539" spans="1:1" x14ac:dyDescent="0.2">
      <c r="A7539" s="341"/>
    </row>
    <row r="7540" spans="1:1" x14ac:dyDescent="0.2">
      <c r="A7540" s="341"/>
    </row>
    <row r="7541" spans="1:1" x14ac:dyDescent="0.2">
      <c r="A7541" s="341"/>
    </row>
    <row r="7542" spans="1:1" x14ac:dyDescent="0.2">
      <c r="A7542" s="341"/>
    </row>
    <row r="7543" spans="1:1" x14ac:dyDescent="0.2">
      <c r="A7543" s="341"/>
    </row>
    <row r="7544" spans="1:1" x14ac:dyDescent="0.2">
      <c r="A7544" s="341"/>
    </row>
    <row r="7545" spans="1:1" x14ac:dyDescent="0.2">
      <c r="A7545" s="341"/>
    </row>
    <row r="7546" spans="1:1" x14ac:dyDescent="0.2">
      <c r="A7546" s="341"/>
    </row>
    <row r="7547" spans="1:1" x14ac:dyDescent="0.2">
      <c r="A7547" s="341"/>
    </row>
    <row r="7548" spans="1:1" x14ac:dyDescent="0.2">
      <c r="A7548" s="341"/>
    </row>
    <row r="7549" spans="1:1" x14ac:dyDescent="0.2">
      <c r="A7549" s="341"/>
    </row>
    <row r="7550" spans="1:1" x14ac:dyDescent="0.2">
      <c r="A7550" s="341"/>
    </row>
    <row r="7551" spans="1:1" x14ac:dyDescent="0.2">
      <c r="A7551" s="341"/>
    </row>
    <row r="7552" spans="1:1" x14ac:dyDescent="0.2">
      <c r="A7552" s="341"/>
    </row>
    <row r="7553" spans="1:1" x14ac:dyDescent="0.2">
      <c r="A7553" s="341"/>
    </row>
    <row r="7554" spans="1:1" x14ac:dyDescent="0.2">
      <c r="A7554" s="341"/>
    </row>
    <row r="7555" spans="1:1" x14ac:dyDescent="0.2">
      <c r="A7555" s="341"/>
    </row>
    <row r="7556" spans="1:1" x14ac:dyDescent="0.2">
      <c r="A7556" s="341"/>
    </row>
    <row r="7557" spans="1:1" x14ac:dyDescent="0.2">
      <c r="A7557" s="341"/>
    </row>
    <row r="7558" spans="1:1" x14ac:dyDescent="0.2">
      <c r="A7558" s="341"/>
    </row>
    <row r="7559" spans="1:1" x14ac:dyDescent="0.2">
      <c r="A7559" s="341"/>
    </row>
    <row r="7560" spans="1:1" x14ac:dyDescent="0.2">
      <c r="A7560" s="341"/>
    </row>
    <row r="7561" spans="1:1" x14ac:dyDescent="0.2">
      <c r="A7561" s="341"/>
    </row>
    <row r="7562" spans="1:1" x14ac:dyDescent="0.2">
      <c r="A7562" s="341"/>
    </row>
    <row r="7563" spans="1:1" x14ac:dyDescent="0.2">
      <c r="A7563" s="341"/>
    </row>
    <row r="7564" spans="1:1" x14ac:dyDescent="0.2">
      <c r="A7564" s="341"/>
    </row>
    <row r="7565" spans="1:1" x14ac:dyDescent="0.2">
      <c r="A7565" s="341"/>
    </row>
    <row r="7566" spans="1:1" x14ac:dyDescent="0.2">
      <c r="A7566" s="341"/>
    </row>
    <row r="7567" spans="1:1" x14ac:dyDescent="0.2">
      <c r="A7567" s="341"/>
    </row>
    <row r="7568" spans="1:1" x14ac:dyDescent="0.2">
      <c r="A7568" s="341"/>
    </row>
    <row r="7569" spans="1:1" x14ac:dyDescent="0.2">
      <c r="A7569" s="341"/>
    </row>
    <row r="7570" spans="1:1" x14ac:dyDescent="0.2">
      <c r="A7570" s="341"/>
    </row>
    <row r="7571" spans="1:1" x14ac:dyDescent="0.2">
      <c r="A7571" s="341"/>
    </row>
    <row r="7572" spans="1:1" x14ac:dyDescent="0.2">
      <c r="A7572" s="341"/>
    </row>
    <row r="7573" spans="1:1" x14ac:dyDescent="0.2">
      <c r="A7573" s="341"/>
    </row>
    <row r="7574" spans="1:1" x14ac:dyDescent="0.2">
      <c r="A7574" s="341"/>
    </row>
    <row r="7575" spans="1:1" x14ac:dyDescent="0.2">
      <c r="A7575" s="341"/>
    </row>
    <row r="7576" spans="1:1" x14ac:dyDescent="0.2">
      <c r="A7576" s="341"/>
    </row>
    <row r="7577" spans="1:1" x14ac:dyDescent="0.2">
      <c r="A7577" s="341"/>
    </row>
    <row r="7578" spans="1:1" x14ac:dyDescent="0.2">
      <c r="A7578" s="341"/>
    </row>
    <row r="7579" spans="1:1" x14ac:dyDescent="0.2">
      <c r="A7579" s="341"/>
    </row>
    <row r="7580" spans="1:1" x14ac:dyDescent="0.2">
      <c r="A7580" s="341"/>
    </row>
    <row r="7581" spans="1:1" x14ac:dyDescent="0.2">
      <c r="A7581" s="341"/>
    </row>
    <row r="7582" spans="1:1" x14ac:dyDescent="0.2">
      <c r="A7582" s="341"/>
    </row>
    <row r="7583" spans="1:1" x14ac:dyDescent="0.2">
      <c r="A7583" s="341"/>
    </row>
    <row r="7584" spans="1:1" x14ac:dyDescent="0.2">
      <c r="A7584" s="341"/>
    </row>
    <row r="7585" spans="1:1" x14ac:dyDescent="0.2">
      <c r="A7585" s="341"/>
    </row>
    <row r="7586" spans="1:1" x14ac:dyDescent="0.2">
      <c r="A7586" s="341"/>
    </row>
    <row r="7587" spans="1:1" x14ac:dyDescent="0.2">
      <c r="A7587" s="341"/>
    </row>
    <row r="7588" spans="1:1" x14ac:dyDescent="0.2">
      <c r="A7588" s="341"/>
    </row>
    <row r="7589" spans="1:1" x14ac:dyDescent="0.2">
      <c r="A7589" s="341"/>
    </row>
    <row r="7590" spans="1:1" x14ac:dyDescent="0.2">
      <c r="A7590" s="341"/>
    </row>
    <row r="7591" spans="1:1" x14ac:dyDescent="0.2">
      <c r="A7591" s="341"/>
    </row>
    <row r="7592" spans="1:1" x14ac:dyDescent="0.2">
      <c r="A7592" s="341"/>
    </row>
    <row r="7593" spans="1:1" x14ac:dyDescent="0.2">
      <c r="A7593" s="341"/>
    </row>
    <row r="7594" spans="1:1" x14ac:dyDescent="0.2">
      <c r="A7594" s="341"/>
    </row>
    <row r="7595" spans="1:1" x14ac:dyDescent="0.2">
      <c r="A7595" s="341"/>
    </row>
    <row r="7596" spans="1:1" x14ac:dyDescent="0.2">
      <c r="A7596" s="341"/>
    </row>
    <row r="7597" spans="1:1" x14ac:dyDescent="0.2">
      <c r="A7597" s="341"/>
    </row>
    <row r="7598" spans="1:1" x14ac:dyDescent="0.2">
      <c r="A7598" s="341"/>
    </row>
    <row r="7599" spans="1:1" x14ac:dyDescent="0.2">
      <c r="A7599" s="341"/>
    </row>
    <row r="7600" spans="1:1" x14ac:dyDescent="0.2">
      <c r="A7600" s="341"/>
    </row>
    <row r="7601" spans="1:1" x14ac:dyDescent="0.2">
      <c r="A7601" s="341"/>
    </row>
    <row r="7602" spans="1:1" x14ac:dyDescent="0.2">
      <c r="A7602" s="341"/>
    </row>
    <row r="7603" spans="1:1" x14ac:dyDescent="0.2">
      <c r="A7603" s="341"/>
    </row>
    <row r="7604" spans="1:1" x14ac:dyDescent="0.2">
      <c r="A7604" s="341"/>
    </row>
    <row r="7605" spans="1:1" x14ac:dyDescent="0.2">
      <c r="A7605" s="341"/>
    </row>
    <row r="7606" spans="1:1" x14ac:dyDescent="0.2">
      <c r="A7606" s="341"/>
    </row>
    <row r="7607" spans="1:1" x14ac:dyDescent="0.2">
      <c r="A7607" s="341"/>
    </row>
    <row r="7608" spans="1:1" x14ac:dyDescent="0.2">
      <c r="A7608" s="341"/>
    </row>
    <row r="7609" spans="1:1" x14ac:dyDescent="0.2">
      <c r="A7609" s="341"/>
    </row>
    <row r="7610" spans="1:1" x14ac:dyDescent="0.2">
      <c r="A7610" s="341"/>
    </row>
    <row r="7611" spans="1:1" x14ac:dyDescent="0.2">
      <c r="A7611" s="341"/>
    </row>
    <row r="7612" spans="1:1" x14ac:dyDescent="0.2">
      <c r="A7612" s="341"/>
    </row>
    <row r="7613" spans="1:1" x14ac:dyDescent="0.2">
      <c r="A7613" s="341"/>
    </row>
    <row r="7614" spans="1:1" x14ac:dyDescent="0.2">
      <c r="A7614" s="341"/>
    </row>
    <row r="7615" spans="1:1" x14ac:dyDescent="0.2">
      <c r="A7615" s="341"/>
    </row>
    <row r="7616" spans="1:1" x14ac:dyDescent="0.2">
      <c r="A7616" s="341"/>
    </row>
    <row r="7617" spans="1:1" x14ac:dyDescent="0.2">
      <c r="A7617" s="341"/>
    </row>
    <row r="7618" spans="1:1" x14ac:dyDescent="0.2">
      <c r="A7618" s="341"/>
    </row>
    <row r="7619" spans="1:1" x14ac:dyDescent="0.2">
      <c r="A7619" s="341"/>
    </row>
    <row r="7620" spans="1:1" x14ac:dyDescent="0.2">
      <c r="A7620" s="341"/>
    </row>
    <row r="7621" spans="1:1" x14ac:dyDescent="0.2">
      <c r="A7621" s="341"/>
    </row>
    <row r="7622" spans="1:1" x14ac:dyDescent="0.2">
      <c r="A7622" s="341"/>
    </row>
    <row r="7623" spans="1:1" x14ac:dyDescent="0.2">
      <c r="A7623" s="341"/>
    </row>
    <row r="7624" spans="1:1" x14ac:dyDescent="0.2">
      <c r="A7624" s="341"/>
    </row>
    <row r="7625" spans="1:1" x14ac:dyDescent="0.2">
      <c r="A7625" s="341"/>
    </row>
    <row r="7626" spans="1:1" x14ac:dyDescent="0.2">
      <c r="A7626" s="341"/>
    </row>
    <row r="7627" spans="1:1" x14ac:dyDescent="0.2">
      <c r="A7627" s="341"/>
    </row>
    <row r="7628" spans="1:1" x14ac:dyDescent="0.2">
      <c r="A7628" s="341"/>
    </row>
    <row r="7629" spans="1:1" x14ac:dyDescent="0.2">
      <c r="A7629" s="341"/>
    </row>
    <row r="7630" spans="1:1" x14ac:dyDescent="0.2">
      <c r="A7630" s="341"/>
    </row>
    <row r="7631" spans="1:1" x14ac:dyDescent="0.2">
      <c r="A7631" s="341"/>
    </row>
    <row r="7632" spans="1:1" x14ac:dyDescent="0.2">
      <c r="A7632" s="341"/>
    </row>
    <row r="7633" spans="1:1" x14ac:dyDescent="0.2">
      <c r="A7633" s="341"/>
    </row>
    <row r="7634" spans="1:1" x14ac:dyDescent="0.2">
      <c r="A7634" s="341"/>
    </row>
    <row r="7635" spans="1:1" x14ac:dyDescent="0.2">
      <c r="A7635" s="341"/>
    </row>
    <row r="7636" spans="1:1" x14ac:dyDescent="0.2">
      <c r="A7636" s="341"/>
    </row>
    <row r="7637" spans="1:1" x14ac:dyDescent="0.2">
      <c r="A7637" s="341"/>
    </row>
    <row r="7638" spans="1:1" x14ac:dyDescent="0.2">
      <c r="A7638" s="341"/>
    </row>
    <row r="7639" spans="1:1" x14ac:dyDescent="0.2">
      <c r="A7639" s="341"/>
    </row>
    <row r="7640" spans="1:1" x14ac:dyDescent="0.2">
      <c r="A7640" s="341"/>
    </row>
    <row r="7641" spans="1:1" x14ac:dyDescent="0.2">
      <c r="A7641" s="341"/>
    </row>
    <row r="7642" spans="1:1" x14ac:dyDescent="0.2">
      <c r="A7642" s="341"/>
    </row>
    <row r="7643" spans="1:1" x14ac:dyDescent="0.2">
      <c r="A7643" s="341"/>
    </row>
    <row r="7644" spans="1:1" x14ac:dyDescent="0.2">
      <c r="A7644" s="341"/>
    </row>
    <row r="7645" spans="1:1" x14ac:dyDescent="0.2">
      <c r="A7645" s="341"/>
    </row>
    <row r="7646" spans="1:1" x14ac:dyDescent="0.2">
      <c r="A7646" s="341"/>
    </row>
    <row r="7647" spans="1:1" x14ac:dyDescent="0.2">
      <c r="A7647" s="341"/>
    </row>
    <row r="7648" spans="1:1" x14ac:dyDescent="0.2">
      <c r="A7648" s="341"/>
    </row>
    <row r="7649" spans="1:1" x14ac:dyDescent="0.2">
      <c r="A7649" s="341"/>
    </row>
    <row r="7650" spans="1:1" x14ac:dyDescent="0.2">
      <c r="A7650" s="341"/>
    </row>
    <row r="7651" spans="1:1" x14ac:dyDescent="0.2">
      <c r="A7651" s="341"/>
    </row>
    <row r="7652" spans="1:1" x14ac:dyDescent="0.2">
      <c r="A7652" s="341"/>
    </row>
    <row r="7653" spans="1:1" x14ac:dyDescent="0.2">
      <c r="A7653" s="341"/>
    </row>
    <row r="7654" spans="1:1" x14ac:dyDescent="0.2">
      <c r="A7654" s="341"/>
    </row>
    <row r="7655" spans="1:1" x14ac:dyDescent="0.2">
      <c r="A7655" s="341"/>
    </row>
    <row r="7656" spans="1:1" x14ac:dyDescent="0.2">
      <c r="A7656" s="341"/>
    </row>
    <row r="7657" spans="1:1" x14ac:dyDescent="0.2">
      <c r="A7657" s="341"/>
    </row>
    <row r="7658" spans="1:1" x14ac:dyDescent="0.2">
      <c r="A7658" s="341"/>
    </row>
    <row r="7659" spans="1:1" x14ac:dyDescent="0.2">
      <c r="A7659" s="341"/>
    </row>
    <row r="7660" spans="1:1" x14ac:dyDescent="0.2">
      <c r="A7660" s="341"/>
    </row>
    <row r="7661" spans="1:1" x14ac:dyDescent="0.2">
      <c r="A7661" s="341"/>
    </row>
    <row r="7662" spans="1:1" x14ac:dyDescent="0.2">
      <c r="A7662" s="341"/>
    </row>
    <row r="7663" spans="1:1" x14ac:dyDescent="0.2">
      <c r="A7663" s="341"/>
    </row>
    <row r="7664" spans="1:1" x14ac:dyDescent="0.2">
      <c r="A7664" s="341"/>
    </row>
    <row r="7665" spans="1:1" x14ac:dyDescent="0.2">
      <c r="A7665" s="341"/>
    </row>
    <row r="7666" spans="1:1" x14ac:dyDescent="0.2">
      <c r="A7666" s="341"/>
    </row>
    <row r="7667" spans="1:1" x14ac:dyDescent="0.2">
      <c r="A7667" s="341"/>
    </row>
    <row r="7668" spans="1:1" x14ac:dyDescent="0.2">
      <c r="A7668" s="341"/>
    </row>
    <row r="7669" spans="1:1" x14ac:dyDescent="0.2">
      <c r="A7669" s="341"/>
    </row>
    <row r="7670" spans="1:1" x14ac:dyDescent="0.2">
      <c r="A7670" s="341"/>
    </row>
    <row r="7671" spans="1:1" x14ac:dyDescent="0.2">
      <c r="A7671" s="341"/>
    </row>
    <row r="7672" spans="1:1" x14ac:dyDescent="0.2">
      <c r="A7672" s="341"/>
    </row>
    <row r="7673" spans="1:1" x14ac:dyDescent="0.2">
      <c r="A7673" s="341"/>
    </row>
    <row r="7674" spans="1:1" x14ac:dyDescent="0.2">
      <c r="A7674" s="341"/>
    </row>
    <row r="7675" spans="1:1" x14ac:dyDescent="0.2">
      <c r="A7675" s="341"/>
    </row>
    <row r="7676" spans="1:1" x14ac:dyDescent="0.2">
      <c r="A7676" s="341"/>
    </row>
    <row r="7677" spans="1:1" x14ac:dyDescent="0.2">
      <c r="A7677" s="341"/>
    </row>
    <row r="7678" spans="1:1" x14ac:dyDescent="0.2">
      <c r="A7678" s="341"/>
    </row>
    <row r="7679" spans="1:1" x14ac:dyDescent="0.2">
      <c r="A7679" s="341"/>
    </row>
    <row r="7680" spans="1:1" x14ac:dyDescent="0.2">
      <c r="A7680" s="341"/>
    </row>
    <row r="7681" spans="1:1" x14ac:dyDescent="0.2">
      <c r="A7681" s="341"/>
    </row>
    <row r="7682" spans="1:1" x14ac:dyDescent="0.2">
      <c r="A7682" s="341"/>
    </row>
    <row r="7683" spans="1:1" x14ac:dyDescent="0.2">
      <c r="A7683" s="341"/>
    </row>
    <row r="7684" spans="1:1" x14ac:dyDescent="0.2">
      <c r="A7684" s="341"/>
    </row>
    <row r="7685" spans="1:1" x14ac:dyDescent="0.2">
      <c r="A7685" s="341"/>
    </row>
    <row r="7686" spans="1:1" x14ac:dyDescent="0.2">
      <c r="A7686" s="341"/>
    </row>
    <row r="7687" spans="1:1" x14ac:dyDescent="0.2">
      <c r="A7687" s="341"/>
    </row>
    <row r="7688" spans="1:1" x14ac:dyDescent="0.2">
      <c r="A7688" s="341"/>
    </row>
    <row r="7689" spans="1:1" x14ac:dyDescent="0.2">
      <c r="A7689" s="341"/>
    </row>
    <row r="7690" spans="1:1" x14ac:dyDescent="0.2">
      <c r="A7690" s="341"/>
    </row>
    <row r="7691" spans="1:1" x14ac:dyDescent="0.2">
      <c r="A7691" s="341"/>
    </row>
    <row r="7692" spans="1:1" x14ac:dyDescent="0.2">
      <c r="A7692" s="341"/>
    </row>
    <row r="7693" spans="1:1" x14ac:dyDescent="0.2">
      <c r="A7693" s="341"/>
    </row>
    <row r="7694" spans="1:1" x14ac:dyDescent="0.2">
      <c r="A7694" s="341"/>
    </row>
    <row r="7695" spans="1:1" x14ac:dyDescent="0.2">
      <c r="A7695" s="341"/>
    </row>
    <row r="7696" spans="1:1" x14ac:dyDescent="0.2">
      <c r="A7696" s="341"/>
    </row>
    <row r="7697" spans="1:1" x14ac:dyDescent="0.2">
      <c r="A7697" s="341"/>
    </row>
    <row r="7698" spans="1:1" x14ac:dyDescent="0.2">
      <c r="A7698" s="341"/>
    </row>
    <row r="7699" spans="1:1" x14ac:dyDescent="0.2">
      <c r="A7699" s="341"/>
    </row>
    <row r="7700" spans="1:1" x14ac:dyDescent="0.2">
      <c r="A7700" s="341"/>
    </row>
    <row r="7701" spans="1:1" x14ac:dyDescent="0.2">
      <c r="A7701" s="341"/>
    </row>
    <row r="7702" spans="1:1" x14ac:dyDescent="0.2">
      <c r="A7702" s="341"/>
    </row>
    <row r="7703" spans="1:1" x14ac:dyDescent="0.2">
      <c r="A7703" s="341"/>
    </row>
    <row r="7704" spans="1:1" x14ac:dyDescent="0.2">
      <c r="A7704" s="341"/>
    </row>
    <row r="7705" spans="1:1" x14ac:dyDescent="0.2">
      <c r="A7705" s="341"/>
    </row>
    <row r="7706" spans="1:1" x14ac:dyDescent="0.2">
      <c r="A7706" s="341"/>
    </row>
    <row r="7707" spans="1:1" x14ac:dyDescent="0.2">
      <c r="A7707" s="341"/>
    </row>
    <row r="7708" spans="1:1" x14ac:dyDescent="0.2">
      <c r="A7708" s="341"/>
    </row>
    <row r="7709" spans="1:1" x14ac:dyDescent="0.2">
      <c r="A7709" s="341"/>
    </row>
    <row r="7710" spans="1:1" x14ac:dyDescent="0.2">
      <c r="A7710" s="341"/>
    </row>
    <row r="7711" spans="1:1" x14ac:dyDescent="0.2">
      <c r="A7711" s="341"/>
    </row>
    <row r="7712" spans="1:1" x14ac:dyDescent="0.2">
      <c r="A7712" s="341"/>
    </row>
    <row r="7713" spans="1:1" x14ac:dyDescent="0.2">
      <c r="A7713" s="341"/>
    </row>
    <row r="7714" spans="1:1" x14ac:dyDescent="0.2">
      <c r="A7714" s="341"/>
    </row>
    <row r="7715" spans="1:1" x14ac:dyDescent="0.2">
      <c r="A7715" s="341"/>
    </row>
    <row r="7716" spans="1:1" x14ac:dyDescent="0.2">
      <c r="A7716" s="341"/>
    </row>
    <row r="7717" spans="1:1" x14ac:dyDescent="0.2">
      <c r="A7717" s="341"/>
    </row>
    <row r="7718" spans="1:1" x14ac:dyDescent="0.2">
      <c r="A7718" s="341"/>
    </row>
    <row r="7719" spans="1:1" x14ac:dyDescent="0.2">
      <c r="A7719" s="341"/>
    </row>
    <row r="7720" spans="1:1" x14ac:dyDescent="0.2">
      <c r="A7720" s="341"/>
    </row>
    <row r="7721" spans="1:1" x14ac:dyDescent="0.2">
      <c r="A7721" s="341"/>
    </row>
    <row r="7722" spans="1:1" x14ac:dyDescent="0.2">
      <c r="A7722" s="341"/>
    </row>
    <row r="7723" spans="1:1" x14ac:dyDescent="0.2">
      <c r="A7723" s="341"/>
    </row>
    <row r="7724" spans="1:1" x14ac:dyDescent="0.2">
      <c r="A7724" s="341"/>
    </row>
    <row r="7725" spans="1:1" x14ac:dyDescent="0.2">
      <c r="A7725" s="341"/>
    </row>
    <row r="7726" spans="1:1" x14ac:dyDescent="0.2">
      <c r="A7726" s="341"/>
    </row>
    <row r="7727" spans="1:1" x14ac:dyDescent="0.2">
      <c r="A7727" s="341"/>
    </row>
    <row r="7728" spans="1:1" x14ac:dyDescent="0.2">
      <c r="A7728" s="341"/>
    </row>
    <row r="7729" spans="1:1" x14ac:dyDescent="0.2">
      <c r="A7729" s="341"/>
    </row>
    <row r="7730" spans="1:1" x14ac:dyDescent="0.2">
      <c r="A7730" s="341"/>
    </row>
    <row r="7731" spans="1:1" x14ac:dyDescent="0.2">
      <c r="A7731" s="341"/>
    </row>
    <row r="7732" spans="1:1" x14ac:dyDescent="0.2">
      <c r="A7732" s="341"/>
    </row>
    <row r="7733" spans="1:1" x14ac:dyDescent="0.2">
      <c r="A7733" s="341"/>
    </row>
    <row r="7734" spans="1:1" x14ac:dyDescent="0.2">
      <c r="A7734" s="341"/>
    </row>
    <row r="7735" spans="1:1" x14ac:dyDescent="0.2">
      <c r="A7735" s="341"/>
    </row>
    <row r="7736" spans="1:1" x14ac:dyDescent="0.2">
      <c r="A7736" s="341"/>
    </row>
    <row r="7737" spans="1:1" x14ac:dyDescent="0.2">
      <c r="A7737" s="341"/>
    </row>
    <row r="7738" spans="1:1" x14ac:dyDescent="0.2">
      <c r="A7738" s="341"/>
    </row>
    <row r="7739" spans="1:1" x14ac:dyDescent="0.2">
      <c r="A7739" s="341"/>
    </row>
    <row r="7740" spans="1:1" x14ac:dyDescent="0.2">
      <c r="A7740" s="341"/>
    </row>
    <row r="7741" spans="1:1" x14ac:dyDescent="0.2">
      <c r="A7741" s="341"/>
    </row>
    <row r="7742" spans="1:1" x14ac:dyDescent="0.2">
      <c r="A7742" s="341"/>
    </row>
    <row r="7743" spans="1:1" x14ac:dyDescent="0.2">
      <c r="A7743" s="341"/>
    </row>
    <row r="7744" spans="1:1" x14ac:dyDescent="0.2">
      <c r="A7744" s="341"/>
    </row>
    <row r="7745" spans="1:1" x14ac:dyDescent="0.2">
      <c r="A7745" s="341"/>
    </row>
    <row r="7746" spans="1:1" x14ac:dyDescent="0.2">
      <c r="A7746" s="341"/>
    </row>
    <row r="7747" spans="1:1" x14ac:dyDescent="0.2">
      <c r="A7747" s="341"/>
    </row>
    <row r="7748" spans="1:1" x14ac:dyDescent="0.2">
      <c r="A7748" s="341"/>
    </row>
    <row r="7749" spans="1:1" x14ac:dyDescent="0.2">
      <c r="A7749" s="341"/>
    </row>
    <row r="7750" spans="1:1" x14ac:dyDescent="0.2">
      <c r="A7750" s="341"/>
    </row>
    <row r="7751" spans="1:1" x14ac:dyDescent="0.2">
      <c r="A7751" s="341"/>
    </row>
    <row r="7752" spans="1:1" x14ac:dyDescent="0.2">
      <c r="A7752" s="341"/>
    </row>
    <row r="7753" spans="1:1" x14ac:dyDescent="0.2">
      <c r="A7753" s="341"/>
    </row>
    <row r="7754" spans="1:1" x14ac:dyDescent="0.2">
      <c r="A7754" s="341"/>
    </row>
    <row r="7755" spans="1:1" x14ac:dyDescent="0.2">
      <c r="A7755" s="341"/>
    </row>
    <row r="7756" spans="1:1" x14ac:dyDescent="0.2">
      <c r="A7756" s="341"/>
    </row>
    <row r="7757" spans="1:1" x14ac:dyDescent="0.2">
      <c r="A7757" s="341"/>
    </row>
    <row r="7758" spans="1:1" x14ac:dyDescent="0.2">
      <c r="A7758" s="341"/>
    </row>
    <row r="7759" spans="1:1" x14ac:dyDescent="0.2">
      <c r="A7759" s="341"/>
    </row>
    <row r="7760" spans="1:1" x14ac:dyDescent="0.2">
      <c r="A7760" s="341"/>
    </row>
    <row r="7761" spans="1:1" x14ac:dyDescent="0.2">
      <c r="A7761" s="341"/>
    </row>
    <row r="7762" spans="1:1" x14ac:dyDescent="0.2">
      <c r="A7762" s="341"/>
    </row>
    <row r="7763" spans="1:1" x14ac:dyDescent="0.2">
      <c r="A7763" s="341"/>
    </row>
    <row r="7764" spans="1:1" x14ac:dyDescent="0.2">
      <c r="A7764" s="341"/>
    </row>
    <row r="7765" spans="1:1" x14ac:dyDescent="0.2">
      <c r="A7765" s="341"/>
    </row>
    <row r="7766" spans="1:1" x14ac:dyDescent="0.2">
      <c r="A7766" s="341"/>
    </row>
    <row r="7767" spans="1:1" x14ac:dyDescent="0.2">
      <c r="A7767" s="341"/>
    </row>
    <row r="7768" spans="1:1" x14ac:dyDescent="0.2">
      <c r="A7768" s="341"/>
    </row>
    <row r="7769" spans="1:1" x14ac:dyDescent="0.2">
      <c r="A7769" s="341"/>
    </row>
    <row r="7770" spans="1:1" x14ac:dyDescent="0.2">
      <c r="A7770" s="341"/>
    </row>
    <row r="7771" spans="1:1" x14ac:dyDescent="0.2">
      <c r="A7771" s="341"/>
    </row>
    <row r="7772" spans="1:1" x14ac:dyDescent="0.2">
      <c r="A7772" s="341"/>
    </row>
    <row r="7773" spans="1:1" x14ac:dyDescent="0.2">
      <c r="A7773" s="341"/>
    </row>
    <row r="7774" spans="1:1" x14ac:dyDescent="0.2">
      <c r="A7774" s="341"/>
    </row>
    <row r="7775" spans="1:1" x14ac:dyDescent="0.2">
      <c r="A7775" s="341"/>
    </row>
    <row r="7776" spans="1:1" x14ac:dyDescent="0.2">
      <c r="A7776" s="341"/>
    </row>
    <row r="7777" spans="1:1" x14ac:dyDescent="0.2">
      <c r="A7777" s="341"/>
    </row>
    <row r="7778" spans="1:1" x14ac:dyDescent="0.2">
      <c r="A7778" s="341"/>
    </row>
    <row r="7779" spans="1:1" x14ac:dyDescent="0.2">
      <c r="A7779" s="341"/>
    </row>
    <row r="7780" spans="1:1" x14ac:dyDescent="0.2">
      <c r="A7780" s="341"/>
    </row>
    <row r="7781" spans="1:1" x14ac:dyDescent="0.2">
      <c r="A7781" s="341"/>
    </row>
    <row r="7782" spans="1:1" x14ac:dyDescent="0.2">
      <c r="A7782" s="341"/>
    </row>
    <row r="7783" spans="1:1" x14ac:dyDescent="0.2">
      <c r="A7783" s="341"/>
    </row>
    <row r="7784" spans="1:1" x14ac:dyDescent="0.2">
      <c r="A7784" s="341"/>
    </row>
    <row r="7785" spans="1:1" x14ac:dyDescent="0.2">
      <c r="A7785" s="341"/>
    </row>
    <row r="7786" spans="1:1" x14ac:dyDescent="0.2">
      <c r="A7786" s="341"/>
    </row>
    <row r="7787" spans="1:1" x14ac:dyDescent="0.2">
      <c r="A7787" s="341"/>
    </row>
    <row r="7788" spans="1:1" x14ac:dyDescent="0.2">
      <c r="A7788" s="341"/>
    </row>
    <row r="7789" spans="1:1" x14ac:dyDescent="0.2">
      <c r="A7789" s="341"/>
    </row>
    <row r="7790" spans="1:1" x14ac:dyDescent="0.2">
      <c r="A7790" s="341"/>
    </row>
    <row r="7791" spans="1:1" x14ac:dyDescent="0.2">
      <c r="A7791" s="341"/>
    </row>
    <row r="7792" spans="1:1" x14ac:dyDescent="0.2">
      <c r="A7792" s="341"/>
    </row>
    <row r="7793" spans="1:1" x14ac:dyDescent="0.2">
      <c r="A7793" s="341"/>
    </row>
    <row r="7794" spans="1:1" x14ac:dyDescent="0.2">
      <c r="A7794" s="341"/>
    </row>
    <row r="7795" spans="1:1" x14ac:dyDescent="0.2">
      <c r="A7795" s="341"/>
    </row>
    <row r="7796" spans="1:1" x14ac:dyDescent="0.2">
      <c r="A7796" s="341"/>
    </row>
    <row r="7797" spans="1:1" x14ac:dyDescent="0.2">
      <c r="A7797" s="341"/>
    </row>
    <row r="7798" spans="1:1" x14ac:dyDescent="0.2">
      <c r="A7798" s="341"/>
    </row>
    <row r="7799" spans="1:1" x14ac:dyDescent="0.2">
      <c r="A7799" s="341"/>
    </row>
    <row r="7800" spans="1:1" x14ac:dyDescent="0.2">
      <c r="A7800" s="341"/>
    </row>
    <row r="7801" spans="1:1" x14ac:dyDescent="0.2">
      <c r="A7801" s="341"/>
    </row>
    <row r="7802" spans="1:1" x14ac:dyDescent="0.2">
      <c r="A7802" s="341"/>
    </row>
    <row r="7803" spans="1:1" x14ac:dyDescent="0.2">
      <c r="A7803" s="341"/>
    </row>
    <row r="7804" spans="1:1" x14ac:dyDescent="0.2">
      <c r="A7804" s="341"/>
    </row>
    <row r="7805" spans="1:1" x14ac:dyDescent="0.2">
      <c r="A7805" s="341"/>
    </row>
    <row r="7806" spans="1:1" x14ac:dyDescent="0.2">
      <c r="A7806" s="341"/>
    </row>
    <row r="7807" spans="1:1" x14ac:dyDescent="0.2">
      <c r="A7807" s="341"/>
    </row>
    <row r="7808" spans="1:1" x14ac:dyDescent="0.2">
      <c r="A7808" s="341"/>
    </row>
    <row r="7809" spans="1:1" x14ac:dyDescent="0.2">
      <c r="A7809" s="341"/>
    </row>
    <row r="7810" spans="1:1" x14ac:dyDescent="0.2">
      <c r="A7810" s="341"/>
    </row>
    <row r="7811" spans="1:1" x14ac:dyDescent="0.2">
      <c r="A7811" s="341"/>
    </row>
    <row r="7812" spans="1:1" x14ac:dyDescent="0.2">
      <c r="A7812" s="341"/>
    </row>
    <row r="7813" spans="1:1" x14ac:dyDescent="0.2">
      <c r="A7813" s="341"/>
    </row>
    <row r="7814" spans="1:1" x14ac:dyDescent="0.2">
      <c r="A7814" s="341"/>
    </row>
    <row r="7815" spans="1:1" x14ac:dyDescent="0.2">
      <c r="A7815" s="341"/>
    </row>
    <row r="7816" spans="1:1" x14ac:dyDescent="0.2">
      <c r="A7816" s="341"/>
    </row>
    <row r="7817" spans="1:1" x14ac:dyDescent="0.2">
      <c r="A7817" s="341"/>
    </row>
    <row r="7818" spans="1:1" x14ac:dyDescent="0.2">
      <c r="A7818" s="341"/>
    </row>
    <row r="7819" spans="1:1" x14ac:dyDescent="0.2">
      <c r="A7819" s="341"/>
    </row>
    <row r="7820" spans="1:1" x14ac:dyDescent="0.2">
      <c r="A7820" s="341"/>
    </row>
    <row r="7821" spans="1:1" x14ac:dyDescent="0.2">
      <c r="A7821" s="341"/>
    </row>
    <row r="7822" spans="1:1" x14ac:dyDescent="0.2">
      <c r="A7822" s="341"/>
    </row>
    <row r="7823" spans="1:1" x14ac:dyDescent="0.2">
      <c r="A7823" s="341"/>
    </row>
    <row r="7824" spans="1:1" x14ac:dyDescent="0.2">
      <c r="A7824" s="341"/>
    </row>
    <row r="7825" spans="1:1" x14ac:dyDescent="0.2">
      <c r="A7825" s="341"/>
    </row>
    <row r="7826" spans="1:1" x14ac:dyDescent="0.2">
      <c r="A7826" s="341"/>
    </row>
    <row r="7827" spans="1:1" x14ac:dyDescent="0.2">
      <c r="A7827" s="341"/>
    </row>
    <row r="7828" spans="1:1" x14ac:dyDescent="0.2">
      <c r="A7828" s="341"/>
    </row>
    <row r="7829" spans="1:1" x14ac:dyDescent="0.2">
      <c r="A7829" s="341"/>
    </row>
    <row r="7830" spans="1:1" x14ac:dyDescent="0.2">
      <c r="A7830" s="341"/>
    </row>
    <row r="7831" spans="1:1" x14ac:dyDescent="0.2">
      <c r="A7831" s="341"/>
    </row>
    <row r="7832" spans="1:1" x14ac:dyDescent="0.2">
      <c r="A7832" s="341"/>
    </row>
    <row r="7833" spans="1:1" x14ac:dyDescent="0.2">
      <c r="A7833" s="341"/>
    </row>
    <row r="7834" spans="1:1" x14ac:dyDescent="0.2">
      <c r="A7834" s="341"/>
    </row>
    <row r="7835" spans="1:1" x14ac:dyDescent="0.2">
      <c r="A7835" s="341"/>
    </row>
    <row r="7836" spans="1:1" x14ac:dyDescent="0.2">
      <c r="A7836" s="341"/>
    </row>
    <row r="7837" spans="1:1" x14ac:dyDescent="0.2">
      <c r="A7837" s="341"/>
    </row>
    <row r="7838" spans="1:1" x14ac:dyDescent="0.2">
      <c r="A7838" s="341"/>
    </row>
    <row r="7839" spans="1:1" x14ac:dyDescent="0.2">
      <c r="A7839" s="341"/>
    </row>
    <row r="7840" spans="1:1" x14ac:dyDescent="0.2">
      <c r="A7840" s="341"/>
    </row>
    <row r="7841" spans="1:1" x14ac:dyDescent="0.2">
      <c r="A7841" s="341"/>
    </row>
    <row r="7842" spans="1:1" x14ac:dyDescent="0.2">
      <c r="A7842" s="341"/>
    </row>
    <row r="7843" spans="1:1" x14ac:dyDescent="0.2">
      <c r="A7843" s="341"/>
    </row>
    <row r="7844" spans="1:1" x14ac:dyDescent="0.2">
      <c r="A7844" s="341"/>
    </row>
    <row r="7845" spans="1:1" x14ac:dyDescent="0.2">
      <c r="A7845" s="341"/>
    </row>
    <row r="7846" spans="1:1" x14ac:dyDescent="0.2">
      <c r="A7846" s="341"/>
    </row>
    <row r="7847" spans="1:1" x14ac:dyDescent="0.2">
      <c r="A7847" s="341"/>
    </row>
    <row r="7848" spans="1:1" x14ac:dyDescent="0.2">
      <c r="A7848" s="341"/>
    </row>
    <row r="7849" spans="1:1" x14ac:dyDescent="0.2">
      <c r="A7849" s="341"/>
    </row>
    <row r="7850" spans="1:1" x14ac:dyDescent="0.2">
      <c r="A7850" s="341"/>
    </row>
    <row r="7851" spans="1:1" x14ac:dyDescent="0.2">
      <c r="A7851" s="341"/>
    </row>
    <row r="7852" spans="1:1" x14ac:dyDescent="0.2">
      <c r="A7852" s="341"/>
    </row>
    <row r="7853" spans="1:1" x14ac:dyDescent="0.2">
      <c r="A7853" s="341"/>
    </row>
    <row r="7854" spans="1:1" x14ac:dyDescent="0.2">
      <c r="A7854" s="341"/>
    </row>
    <row r="7855" spans="1:1" x14ac:dyDescent="0.2">
      <c r="A7855" s="341"/>
    </row>
    <row r="7856" spans="1:1" x14ac:dyDescent="0.2">
      <c r="A7856" s="341"/>
    </row>
    <row r="7857" spans="1:1" x14ac:dyDescent="0.2">
      <c r="A7857" s="341"/>
    </row>
    <row r="7858" spans="1:1" x14ac:dyDescent="0.2">
      <c r="A7858" s="341"/>
    </row>
    <row r="7859" spans="1:1" x14ac:dyDescent="0.2">
      <c r="A7859" s="341"/>
    </row>
    <row r="7860" spans="1:1" x14ac:dyDescent="0.2">
      <c r="A7860" s="341"/>
    </row>
    <row r="7861" spans="1:1" x14ac:dyDescent="0.2">
      <c r="A7861" s="341"/>
    </row>
    <row r="7862" spans="1:1" x14ac:dyDescent="0.2">
      <c r="A7862" s="341"/>
    </row>
    <row r="7863" spans="1:1" x14ac:dyDescent="0.2">
      <c r="A7863" s="341"/>
    </row>
    <row r="7864" spans="1:1" x14ac:dyDescent="0.2">
      <c r="A7864" s="341"/>
    </row>
    <row r="7865" spans="1:1" x14ac:dyDescent="0.2">
      <c r="A7865" s="341"/>
    </row>
    <row r="7866" spans="1:1" x14ac:dyDescent="0.2">
      <c r="A7866" s="341"/>
    </row>
    <row r="7867" spans="1:1" x14ac:dyDescent="0.2">
      <c r="A7867" s="341"/>
    </row>
    <row r="7868" spans="1:1" x14ac:dyDescent="0.2">
      <c r="A7868" s="341"/>
    </row>
    <row r="7869" spans="1:1" x14ac:dyDescent="0.2">
      <c r="A7869" s="341"/>
    </row>
    <row r="7870" spans="1:1" x14ac:dyDescent="0.2">
      <c r="A7870" s="341"/>
    </row>
    <row r="7871" spans="1:1" x14ac:dyDescent="0.2">
      <c r="A7871" s="341"/>
    </row>
    <row r="7872" spans="1:1" x14ac:dyDescent="0.2">
      <c r="A7872" s="341"/>
    </row>
    <row r="7873" spans="1:1" x14ac:dyDescent="0.2">
      <c r="A7873" s="341"/>
    </row>
    <row r="7874" spans="1:1" x14ac:dyDescent="0.2">
      <c r="A7874" s="341"/>
    </row>
    <row r="7875" spans="1:1" x14ac:dyDescent="0.2">
      <c r="A7875" s="341"/>
    </row>
    <row r="7876" spans="1:1" x14ac:dyDescent="0.2">
      <c r="A7876" s="341"/>
    </row>
    <row r="7877" spans="1:1" x14ac:dyDescent="0.2">
      <c r="A7877" s="341"/>
    </row>
    <row r="7878" spans="1:1" x14ac:dyDescent="0.2">
      <c r="A7878" s="341"/>
    </row>
    <row r="7879" spans="1:1" x14ac:dyDescent="0.2">
      <c r="A7879" s="341"/>
    </row>
    <row r="7880" spans="1:1" x14ac:dyDescent="0.2">
      <c r="A7880" s="341"/>
    </row>
    <row r="7881" spans="1:1" x14ac:dyDescent="0.2">
      <c r="A7881" s="341"/>
    </row>
    <row r="7882" spans="1:1" x14ac:dyDescent="0.2">
      <c r="A7882" s="341"/>
    </row>
    <row r="7883" spans="1:1" x14ac:dyDescent="0.2">
      <c r="A7883" s="341"/>
    </row>
    <row r="7884" spans="1:1" x14ac:dyDescent="0.2">
      <c r="A7884" s="341"/>
    </row>
    <row r="7885" spans="1:1" x14ac:dyDescent="0.2">
      <c r="A7885" s="341"/>
    </row>
    <row r="7886" spans="1:1" x14ac:dyDescent="0.2">
      <c r="A7886" s="341"/>
    </row>
    <row r="7887" spans="1:1" x14ac:dyDescent="0.2">
      <c r="A7887" s="341"/>
    </row>
    <row r="7888" spans="1:1" x14ac:dyDescent="0.2">
      <c r="A7888" s="341"/>
    </row>
    <row r="7889" spans="1:1" x14ac:dyDescent="0.2">
      <c r="A7889" s="341"/>
    </row>
    <row r="7890" spans="1:1" x14ac:dyDescent="0.2">
      <c r="A7890" s="341"/>
    </row>
    <row r="7891" spans="1:1" x14ac:dyDescent="0.2">
      <c r="A7891" s="341"/>
    </row>
    <row r="7892" spans="1:1" x14ac:dyDescent="0.2">
      <c r="A7892" s="341"/>
    </row>
    <row r="7893" spans="1:1" x14ac:dyDescent="0.2">
      <c r="A7893" s="341"/>
    </row>
    <row r="7894" spans="1:1" x14ac:dyDescent="0.2">
      <c r="A7894" s="341"/>
    </row>
    <row r="7895" spans="1:1" x14ac:dyDescent="0.2">
      <c r="A7895" s="341"/>
    </row>
    <row r="7896" spans="1:1" x14ac:dyDescent="0.2">
      <c r="A7896" s="341"/>
    </row>
    <row r="7897" spans="1:1" x14ac:dyDescent="0.2">
      <c r="A7897" s="341"/>
    </row>
    <row r="7898" spans="1:1" x14ac:dyDescent="0.2">
      <c r="A7898" s="341"/>
    </row>
    <row r="7899" spans="1:1" x14ac:dyDescent="0.2">
      <c r="A7899" s="341"/>
    </row>
    <row r="7900" spans="1:1" x14ac:dyDescent="0.2">
      <c r="A7900" s="341"/>
    </row>
    <row r="7901" spans="1:1" x14ac:dyDescent="0.2">
      <c r="A7901" s="341"/>
    </row>
    <row r="7902" spans="1:1" x14ac:dyDescent="0.2">
      <c r="A7902" s="341"/>
    </row>
    <row r="7903" spans="1:1" x14ac:dyDescent="0.2">
      <c r="A7903" s="341"/>
    </row>
    <row r="7904" spans="1:1" x14ac:dyDescent="0.2">
      <c r="A7904" s="341"/>
    </row>
    <row r="7905" spans="1:1" x14ac:dyDescent="0.2">
      <c r="A7905" s="341"/>
    </row>
    <row r="7906" spans="1:1" x14ac:dyDescent="0.2">
      <c r="A7906" s="341"/>
    </row>
    <row r="7907" spans="1:1" x14ac:dyDescent="0.2">
      <c r="A7907" s="341"/>
    </row>
    <row r="7908" spans="1:1" x14ac:dyDescent="0.2">
      <c r="A7908" s="341"/>
    </row>
    <row r="7909" spans="1:1" x14ac:dyDescent="0.2">
      <c r="A7909" s="341"/>
    </row>
    <row r="7910" spans="1:1" x14ac:dyDescent="0.2">
      <c r="A7910" s="341"/>
    </row>
    <row r="7911" spans="1:1" x14ac:dyDescent="0.2">
      <c r="A7911" s="341"/>
    </row>
    <row r="7912" spans="1:1" x14ac:dyDescent="0.2">
      <c r="A7912" s="341"/>
    </row>
    <row r="7913" spans="1:1" x14ac:dyDescent="0.2">
      <c r="A7913" s="341"/>
    </row>
    <row r="7914" spans="1:1" x14ac:dyDescent="0.2">
      <c r="A7914" s="341"/>
    </row>
    <row r="7915" spans="1:1" x14ac:dyDescent="0.2">
      <c r="A7915" s="341"/>
    </row>
    <row r="7916" spans="1:1" x14ac:dyDescent="0.2">
      <c r="A7916" s="341"/>
    </row>
    <row r="7917" spans="1:1" x14ac:dyDescent="0.2">
      <c r="A7917" s="341"/>
    </row>
    <row r="7918" spans="1:1" x14ac:dyDescent="0.2">
      <c r="A7918" s="341"/>
    </row>
    <row r="7919" spans="1:1" x14ac:dyDescent="0.2">
      <c r="A7919" s="341"/>
    </row>
    <row r="7920" spans="1:1" x14ac:dyDescent="0.2">
      <c r="A7920" s="341"/>
    </row>
    <row r="7921" spans="1:1" x14ac:dyDescent="0.2">
      <c r="A7921" s="341"/>
    </row>
    <row r="7922" spans="1:1" x14ac:dyDescent="0.2">
      <c r="A7922" s="341"/>
    </row>
    <row r="7923" spans="1:1" x14ac:dyDescent="0.2">
      <c r="A7923" s="341"/>
    </row>
    <row r="7924" spans="1:1" x14ac:dyDescent="0.2">
      <c r="A7924" s="341"/>
    </row>
    <row r="7925" spans="1:1" x14ac:dyDescent="0.2">
      <c r="A7925" s="341"/>
    </row>
    <row r="7926" spans="1:1" x14ac:dyDescent="0.2">
      <c r="A7926" s="341"/>
    </row>
    <row r="7927" spans="1:1" x14ac:dyDescent="0.2">
      <c r="A7927" s="341"/>
    </row>
    <row r="7928" spans="1:1" x14ac:dyDescent="0.2">
      <c r="A7928" s="341"/>
    </row>
    <row r="7929" spans="1:1" x14ac:dyDescent="0.2">
      <c r="A7929" s="341"/>
    </row>
    <row r="7930" spans="1:1" x14ac:dyDescent="0.2">
      <c r="A7930" s="341"/>
    </row>
    <row r="7931" spans="1:1" x14ac:dyDescent="0.2">
      <c r="A7931" s="341"/>
    </row>
    <row r="7932" spans="1:1" x14ac:dyDescent="0.2">
      <c r="A7932" s="341"/>
    </row>
    <row r="7933" spans="1:1" x14ac:dyDescent="0.2">
      <c r="A7933" s="341"/>
    </row>
    <row r="7934" spans="1:1" x14ac:dyDescent="0.2">
      <c r="A7934" s="341"/>
    </row>
    <row r="7935" spans="1:1" x14ac:dyDescent="0.2">
      <c r="A7935" s="341"/>
    </row>
    <row r="7936" spans="1:1" x14ac:dyDescent="0.2">
      <c r="A7936" s="341"/>
    </row>
    <row r="7937" spans="1:1" x14ac:dyDescent="0.2">
      <c r="A7937" s="341"/>
    </row>
    <row r="7938" spans="1:1" x14ac:dyDescent="0.2">
      <c r="A7938" s="341"/>
    </row>
    <row r="7939" spans="1:1" x14ac:dyDescent="0.2">
      <c r="A7939" s="341"/>
    </row>
    <row r="7940" spans="1:1" x14ac:dyDescent="0.2">
      <c r="A7940" s="341"/>
    </row>
    <row r="7941" spans="1:1" x14ac:dyDescent="0.2">
      <c r="A7941" s="341"/>
    </row>
    <row r="7942" spans="1:1" x14ac:dyDescent="0.2">
      <c r="A7942" s="341"/>
    </row>
    <row r="7943" spans="1:1" x14ac:dyDescent="0.2">
      <c r="A7943" s="341"/>
    </row>
    <row r="7944" spans="1:1" x14ac:dyDescent="0.2">
      <c r="A7944" s="341"/>
    </row>
    <row r="7945" spans="1:1" x14ac:dyDescent="0.2">
      <c r="A7945" s="341"/>
    </row>
    <row r="7946" spans="1:1" x14ac:dyDescent="0.2">
      <c r="A7946" s="341"/>
    </row>
    <row r="7947" spans="1:1" x14ac:dyDescent="0.2">
      <c r="A7947" s="341"/>
    </row>
    <row r="7948" spans="1:1" x14ac:dyDescent="0.2">
      <c r="A7948" s="341"/>
    </row>
    <row r="7949" spans="1:1" x14ac:dyDescent="0.2">
      <c r="A7949" s="341"/>
    </row>
    <row r="7950" spans="1:1" x14ac:dyDescent="0.2">
      <c r="A7950" s="341"/>
    </row>
    <row r="7951" spans="1:1" x14ac:dyDescent="0.2">
      <c r="A7951" s="341"/>
    </row>
    <row r="7952" spans="1:1" x14ac:dyDescent="0.2">
      <c r="A7952" s="341"/>
    </row>
    <row r="7953" spans="1:1" x14ac:dyDescent="0.2">
      <c r="A7953" s="341"/>
    </row>
    <row r="7954" spans="1:1" x14ac:dyDescent="0.2">
      <c r="A7954" s="341"/>
    </row>
    <row r="7955" spans="1:1" x14ac:dyDescent="0.2">
      <c r="A7955" s="341"/>
    </row>
    <row r="7956" spans="1:1" x14ac:dyDescent="0.2">
      <c r="A7956" s="341"/>
    </row>
    <row r="7957" spans="1:1" x14ac:dyDescent="0.2">
      <c r="A7957" s="341"/>
    </row>
    <row r="7958" spans="1:1" x14ac:dyDescent="0.2">
      <c r="A7958" s="341"/>
    </row>
    <row r="7959" spans="1:1" x14ac:dyDescent="0.2">
      <c r="A7959" s="341"/>
    </row>
    <row r="7960" spans="1:1" x14ac:dyDescent="0.2">
      <c r="A7960" s="341"/>
    </row>
    <row r="7961" spans="1:1" x14ac:dyDescent="0.2">
      <c r="A7961" s="341"/>
    </row>
    <row r="7962" spans="1:1" x14ac:dyDescent="0.2">
      <c r="A7962" s="341"/>
    </row>
    <row r="7963" spans="1:1" x14ac:dyDescent="0.2">
      <c r="A7963" s="341"/>
    </row>
    <row r="7964" spans="1:1" x14ac:dyDescent="0.2">
      <c r="A7964" s="341"/>
    </row>
    <row r="7965" spans="1:1" x14ac:dyDescent="0.2">
      <c r="A7965" s="341"/>
    </row>
    <row r="7966" spans="1:1" x14ac:dyDescent="0.2">
      <c r="A7966" s="341"/>
    </row>
    <row r="7967" spans="1:1" x14ac:dyDescent="0.2">
      <c r="A7967" s="341"/>
    </row>
    <row r="7968" spans="1:1" x14ac:dyDescent="0.2">
      <c r="A7968" s="341"/>
    </row>
    <row r="7969" spans="1:1" x14ac:dyDescent="0.2">
      <c r="A7969" s="341"/>
    </row>
    <row r="7970" spans="1:1" x14ac:dyDescent="0.2">
      <c r="A7970" s="341"/>
    </row>
    <row r="7971" spans="1:1" x14ac:dyDescent="0.2">
      <c r="A7971" s="341"/>
    </row>
    <row r="7972" spans="1:1" x14ac:dyDescent="0.2">
      <c r="A7972" s="341"/>
    </row>
    <row r="7973" spans="1:1" x14ac:dyDescent="0.2">
      <c r="A7973" s="341"/>
    </row>
    <row r="7974" spans="1:1" x14ac:dyDescent="0.2">
      <c r="A7974" s="341"/>
    </row>
    <row r="7975" spans="1:1" x14ac:dyDescent="0.2">
      <c r="A7975" s="341"/>
    </row>
    <row r="7976" spans="1:1" x14ac:dyDescent="0.2">
      <c r="A7976" s="341"/>
    </row>
    <row r="7977" spans="1:1" x14ac:dyDescent="0.2">
      <c r="A7977" s="341"/>
    </row>
    <row r="7978" spans="1:1" x14ac:dyDescent="0.2">
      <c r="A7978" s="341"/>
    </row>
    <row r="7979" spans="1:1" x14ac:dyDescent="0.2">
      <c r="A7979" s="341"/>
    </row>
    <row r="7980" spans="1:1" x14ac:dyDescent="0.2">
      <c r="A7980" s="341"/>
    </row>
    <row r="7981" spans="1:1" x14ac:dyDescent="0.2">
      <c r="A7981" s="341"/>
    </row>
    <row r="7982" spans="1:1" x14ac:dyDescent="0.2">
      <c r="A7982" s="341"/>
    </row>
    <row r="7983" spans="1:1" x14ac:dyDescent="0.2">
      <c r="A7983" s="341"/>
    </row>
    <row r="7984" spans="1:1" x14ac:dyDescent="0.2">
      <c r="A7984" s="341"/>
    </row>
    <row r="7985" spans="1:1" x14ac:dyDescent="0.2">
      <c r="A7985" s="341"/>
    </row>
    <row r="7986" spans="1:1" x14ac:dyDescent="0.2">
      <c r="A7986" s="341"/>
    </row>
    <row r="7987" spans="1:1" x14ac:dyDescent="0.2">
      <c r="A7987" s="341"/>
    </row>
    <row r="7988" spans="1:1" x14ac:dyDescent="0.2">
      <c r="A7988" s="341"/>
    </row>
    <row r="7989" spans="1:1" x14ac:dyDescent="0.2">
      <c r="A7989" s="341"/>
    </row>
    <row r="7990" spans="1:1" x14ac:dyDescent="0.2">
      <c r="A7990" s="341"/>
    </row>
    <row r="7991" spans="1:1" x14ac:dyDescent="0.2">
      <c r="A7991" s="341"/>
    </row>
    <row r="7992" spans="1:1" x14ac:dyDescent="0.2">
      <c r="A7992" s="341"/>
    </row>
    <row r="7993" spans="1:1" x14ac:dyDescent="0.2">
      <c r="A7993" s="341"/>
    </row>
    <row r="7994" spans="1:1" x14ac:dyDescent="0.2">
      <c r="A7994" s="341"/>
    </row>
    <row r="7995" spans="1:1" x14ac:dyDescent="0.2">
      <c r="A7995" s="341"/>
    </row>
    <row r="7996" spans="1:1" x14ac:dyDescent="0.2">
      <c r="A7996" s="341"/>
    </row>
    <row r="7997" spans="1:1" x14ac:dyDescent="0.2">
      <c r="A7997" s="341"/>
    </row>
    <row r="7998" spans="1:1" x14ac:dyDescent="0.2">
      <c r="A7998" s="341"/>
    </row>
    <row r="7999" spans="1:1" x14ac:dyDescent="0.2">
      <c r="A7999" s="341"/>
    </row>
    <row r="8000" spans="1:1" x14ac:dyDescent="0.2">
      <c r="A8000" s="341"/>
    </row>
    <row r="8001" spans="1:1" x14ac:dyDescent="0.2">
      <c r="A8001" s="341"/>
    </row>
    <row r="8002" spans="1:1" x14ac:dyDescent="0.2">
      <c r="A8002" s="341"/>
    </row>
    <row r="8003" spans="1:1" x14ac:dyDescent="0.2">
      <c r="A8003" s="341"/>
    </row>
    <row r="8004" spans="1:1" x14ac:dyDescent="0.2">
      <c r="A8004" s="341"/>
    </row>
    <row r="8005" spans="1:1" x14ac:dyDescent="0.2">
      <c r="A8005" s="341"/>
    </row>
    <row r="8006" spans="1:1" x14ac:dyDescent="0.2">
      <c r="A8006" s="341"/>
    </row>
    <row r="8007" spans="1:1" x14ac:dyDescent="0.2">
      <c r="A8007" s="341"/>
    </row>
    <row r="8008" spans="1:1" x14ac:dyDescent="0.2">
      <c r="A8008" s="341"/>
    </row>
    <row r="8009" spans="1:1" x14ac:dyDescent="0.2">
      <c r="A8009" s="341"/>
    </row>
    <row r="8010" spans="1:1" x14ac:dyDescent="0.2">
      <c r="A8010" s="341"/>
    </row>
    <row r="8011" spans="1:1" x14ac:dyDescent="0.2">
      <c r="A8011" s="341"/>
    </row>
    <row r="8012" spans="1:1" x14ac:dyDescent="0.2">
      <c r="A8012" s="341"/>
    </row>
    <row r="8013" spans="1:1" x14ac:dyDescent="0.2">
      <c r="A8013" s="341"/>
    </row>
    <row r="8014" spans="1:1" x14ac:dyDescent="0.2">
      <c r="A8014" s="341"/>
    </row>
    <row r="8015" spans="1:1" x14ac:dyDescent="0.2">
      <c r="A8015" s="341"/>
    </row>
    <row r="8016" spans="1:1" x14ac:dyDescent="0.2">
      <c r="A8016" s="341"/>
    </row>
    <row r="8017" spans="1:1" x14ac:dyDescent="0.2">
      <c r="A8017" s="341"/>
    </row>
    <row r="8018" spans="1:1" x14ac:dyDescent="0.2">
      <c r="A8018" s="341"/>
    </row>
    <row r="8019" spans="1:1" x14ac:dyDescent="0.2">
      <c r="A8019" s="341"/>
    </row>
    <row r="8020" spans="1:1" x14ac:dyDescent="0.2">
      <c r="A8020" s="341"/>
    </row>
    <row r="8021" spans="1:1" x14ac:dyDescent="0.2">
      <c r="A8021" s="341"/>
    </row>
    <row r="8022" spans="1:1" x14ac:dyDescent="0.2">
      <c r="A8022" s="341"/>
    </row>
    <row r="8023" spans="1:1" x14ac:dyDescent="0.2">
      <c r="A8023" s="341"/>
    </row>
    <row r="8024" spans="1:1" x14ac:dyDescent="0.2">
      <c r="A8024" s="341"/>
    </row>
    <row r="8025" spans="1:1" x14ac:dyDescent="0.2">
      <c r="A8025" s="341"/>
    </row>
    <row r="8026" spans="1:1" x14ac:dyDescent="0.2">
      <c r="A8026" s="341"/>
    </row>
    <row r="8027" spans="1:1" x14ac:dyDescent="0.2">
      <c r="A8027" s="341"/>
    </row>
    <row r="8028" spans="1:1" x14ac:dyDescent="0.2">
      <c r="A8028" s="341"/>
    </row>
    <row r="8029" spans="1:1" x14ac:dyDescent="0.2">
      <c r="A8029" s="341"/>
    </row>
    <row r="8030" spans="1:1" x14ac:dyDescent="0.2">
      <c r="A8030" s="341"/>
    </row>
    <row r="8031" spans="1:1" x14ac:dyDescent="0.2">
      <c r="A8031" s="341"/>
    </row>
    <row r="8032" spans="1:1" x14ac:dyDescent="0.2">
      <c r="A8032" s="341"/>
    </row>
    <row r="8033" spans="1:1" x14ac:dyDescent="0.2">
      <c r="A8033" s="341"/>
    </row>
    <row r="8034" spans="1:1" x14ac:dyDescent="0.2">
      <c r="A8034" s="341"/>
    </row>
    <row r="8035" spans="1:1" x14ac:dyDescent="0.2">
      <c r="A8035" s="341"/>
    </row>
    <row r="8036" spans="1:1" x14ac:dyDescent="0.2">
      <c r="A8036" s="341"/>
    </row>
    <row r="8037" spans="1:1" x14ac:dyDescent="0.2">
      <c r="A8037" s="341"/>
    </row>
    <row r="8038" spans="1:1" x14ac:dyDescent="0.2">
      <c r="A8038" s="341"/>
    </row>
    <row r="8039" spans="1:1" x14ac:dyDescent="0.2">
      <c r="A8039" s="341"/>
    </row>
    <row r="8040" spans="1:1" x14ac:dyDescent="0.2">
      <c r="A8040" s="341"/>
    </row>
    <row r="8041" spans="1:1" x14ac:dyDescent="0.2">
      <c r="A8041" s="341"/>
    </row>
    <row r="8042" spans="1:1" x14ac:dyDescent="0.2">
      <c r="A8042" s="341"/>
    </row>
    <row r="8043" spans="1:1" x14ac:dyDescent="0.2">
      <c r="A8043" s="341"/>
    </row>
    <row r="8044" spans="1:1" x14ac:dyDescent="0.2">
      <c r="A8044" s="341"/>
    </row>
    <row r="8045" spans="1:1" x14ac:dyDescent="0.2">
      <c r="A8045" s="341"/>
    </row>
    <row r="8046" spans="1:1" x14ac:dyDescent="0.2">
      <c r="A8046" s="341"/>
    </row>
    <row r="8047" spans="1:1" x14ac:dyDescent="0.2">
      <c r="A8047" s="341"/>
    </row>
    <row r="8048" spans="1:1" x14ac:dyDescent="0.2">
      <c r="A8048" s="341"/>
    </row>
    <row r="8049" spans="1:1" x14ac:dyDescent="0.2">
      <c r="A8049" s="341"/>
    </row>
    <row r="8050" spans="1:1" x14ac:dyDescent="0.2">
      <c r="A8050" s="341"/>
    </row>
    <row r="8051" spans="1:1" x14ac:dyDescent="0.2">
      <c r="A8051" s="341"/>
    </row>
    <row r="8052" spans="1:1" x14ac:dyDescent="0.2">
      <c r="A8052" s="341"/>
    </row>
    <row r="8053" spans="1:1" x14ac:dyDescent="0.2">
      <c r="A8053" s="341"/>
    </row>
    <row r="8054" spans="1:1" x14ac:dyDescent="0.2">
      <c r="A8054" s="341"/>
    </row>
    <row r="8055" spans="1:1" x14ac:dyDescent="0.2">
      <c r="A8055" s="341"/>
    </row>
    <row r="8056" spans="1:1" x14ac:dyDescent="0.2">
      <c r="A8056" s="341"/>
    </row>
    <row r="8057" spans="1:1" x14ac:dyDescent="0.2">
      <c r="A8057" s="341"/>
    </row>
    <row r="8058" spans="1:1" x14ac:dyDescent="0.2">
      <c r="A8058" s="341"/>
    </row>
    <row r="8059" spans="1:1" x14ac:dyDescent="0.2">
      <c r="A8059" s="341"/>
    </row>
    <row r="8060" spans="1:1" x14ac:dyDescent="0.2">
      <c r="A8060" s="341"/>
    </row>
    <row r="8061" spans="1:1" x14ac:dyDescent="0.2">
      <c r="A8061" s="341"/>
    </row>
    <row r="8062" spans="1:1" x14ac:dyDescent="0.2">
      <c r="A8062" s="341"/>
    </row>
    <row r="8063" spans="1:1" x14ac:dyDescent="0.2">
      <c r="A8063" s="341"/>
    </row>
    <row r="8064" spans="1:1" x14ac:dyDescent="0.2">
      <c r="A8064" s="341"/>
    </row>
    <row r="8065" spans="1:1" x14ac:dyDescent="0.2">
      <c r="A8065" s="341"/>
    </row>
    <row r="8066" spans="1:1" x14ac:dyDescent="0.2">
      <c r="A8066" s="341"/>
    </row>
    <row r="8067" spans="1:1" x14ac:dyDescent="0.2">
      <c r="A8067" s="341"/>
    </row>
    <row r="8068" spans="1:1" x14ac:dyDescent="0.2">
      <c r="A8068" s="341"/>
    </row>
    <row r="8069" spans="1:1" x14ac:dyDescent="0.2">
      <c r="A8069" s="341"/>
    </row>
    <row r="8070" spans="1:1" x14ac:dyDescent="0.2">
      <c r="A8070" s="341"/>
    </row>
    <row r="8071" spans="1:1" x14ac:dyDescent="0.2">
      <c r="A8071" s="341"/>
    </row>
    <row r="8072" spans="1:1" x14ac:dyDescent="0.2">
      <c r="A8072" s="341"/>
    </row>
    <row r="8073" spans="1:1" x14ac:dyDescent="0.2">
      <c r="A8073" s="341"/>
    </row>
    <row r="8074" spans="1:1" x14ac:dyDescent="0.2">
      <c r="A8074" s="341"/>
    </row>
    <row r="8075" spans="1:1" x14ac:dyDescent="0.2">
      <c r="A8075" s="341"/>
    </row>
    <row r="8076" spans="1:1" x14ac:dyDescent="0.2">
      <c r="A8076" s="341"/>
    </row>
    <row r="8077" spans="1:1" x14ac:dyDescent="0.2">
      <c r="A8077" s="341"/>
    </row>
    <row r="8078" spans="1:1" x14ac:dyDescent="0.2">
      <c r="A8078" s="341"/>
    </row>
    <row r="8079" spans="1:1" x14ac:dyDescent="0.2">
      <c r="A8079" s="341"/>
    </row>
    <row r="8080" spans="1:1" x14ac:dyDescent="0.2">
      <c r="A8080" s="341"/>
    </row>
    <row r="8081" spans="1:1" x14ac:dyDescent="0.2">
      <c r="A8081" s="341"/>
    </row>
    <row r="8082" spans="1:1" x14ac:dyDescent="0.2">
      <c r="A8082" s="341"/>
    </row>
    <row r="8083" spans="1:1" x14ac:dyDescent="0.2">
      <c r="A8083" s="341"/>
    </row>
    <row r="8084" spans="1:1" x14ac:dyDescent="0.2">
      <c r="A8084" s="341"/>
    </row>
    <row r="8085" spans="1:1" x14ac:dyDescent="0.2">
      <c r="A8085" s="341"/>
    </row>
    <row r="8086" spans="1:1" x14ac:dyDescent="0.2">
      <c r="A8086" s="341"/>
    </row>
    <row r="8087" spans="1:1" x14ac:dyDescent="0.2">
      <c r="A8087" s="341"/>
    </row>
    <row r="8088" spans="1:1" x14ac:dyDescent="0.2">
      <c r="A8088" s="341"/>
    </row>
    <row r="8089" spans="1:1" x14ac:dyDescent="0.2">
      <c r="A8089" s="341"/>
    </row>
    <row r="8090" spans="1:1" x14ac:dyDescent="0.2">
      <c r="A8090" s="341"/>
    </row>
    <row r="8091" spans="1:1" x14ac:dyDescent="0.2">
      <c r="A8091" s="341"/>
    </row>
    <row r="8092" spans="1:1" x14ac:dyDescent="0.2">
      <c r="A8092" s="341"/>
    </row>
    <row r="8093" spans="1:1" x14ac:dyDescent="0.2">
      <c r="A8093" s="341"/>
    </row>
    <row r="8094" spans="1:1" x14ac:dyDescent="0.2">
      <c r="A8094" s="341"/>
    </row>
    <row r="8095" spans="1:1" x14ac:dyDescent="0.2">
      <c r="A8095" s="341"/>
    </row>
    <row r="8096" spans="1:1" x14ac:dyDescent="0.2">
      <c r="A8096" s="341"/>
    </row>
    <row r="8097" spans="1:1" x14ac:dyDescent="0.2">
      <c r="A8097" s="341"/>
    </row>
    <row r="8098" spans="1:1" x14ac:dyDescent="0.2">
      <c r="A8098" s="341"/>
    </row>
    <row r="8099" spans="1:1" x14ac:dyDescent="0.2">
      <c r="A8099" s="341"/>
    </row>
    <row r="8100" spans="1:1" x14ac:dyDescent="0.2">
      <c r="A8100" s="341"/>
    </row>
    <row r="8101" spans="1:1" x14ac:dyDescent="0.2">
      <c r="A8101" s="341"/>
    </row>
    <row r="8102" spans="1:1" x14ac:dyDescent="0.2">
      <c r="A8102" s="341"/>
    </row>
    <row r="8103" spans="1:1" x14ac:dyDescent="0.2">
      <c r="A8103" s="341"/>
    </row>
    <row r="8104" spans="1:1" x14ac:dyDescent="0.2">
      <c r="A8104" s="341"/>
    </row>
    <row r="8105" spans="1:1" x14ac:dyDescent="0.2">
      <c r="A8105" s="341"/>
    </row>
    <row r="8106" spans="1:1" x14ac:dyDescent="0.2">
      <c r="A8106" s="341"/>
    </row>
    <row r="8107" spans="1:1" x14ac:dyDescent="0.2">
      <c r="A8107" s="341"/>
    </row>
    <row r="8108" spans="1:1" x14ac:dyDescent="0.2">
      <c r="A8108" s="341"/>
    </row>
    <row r="8109" spans="1:1" x14ac:dyDescent="0.2">
      <c r="A8109" s="341"/>
    </row>
    <row r="8110" spans="1:1" x14ac:dyDescent="0.2">
      <c r="A8110" s="341"/>
    </row>
    <row r="8111" spans="1:1" x14ac:dyDescent="0.2">
      <c r="A8111" s="341"/>
    </row>
    <row r="8112" spans="1:1" x14ac:dyDescent="0.2">
      <c r="A8112" s="341"/>
    </row>
    <row r="8113" spans="1:1" x14ac:dyDescent="0.2">
      <c r="A8113" s="341"/>
    </row>
    <row r="8114" spans="1:1" x14ac:dyDescent="0.2">
      <c r="A8114" s="341"/>
    </row>
    <row r="8115" spans="1:1" x14ac:dyDescent="0.2">
      <c r="A8115" s="341"/>
    </row>
    <row r="8116" spans="1:1" x14ac:dyDescent="0.2">
      <c r="A8116" s="341"/>
    </row>
    <row r="8117" spans="1:1" x14ac:dyDescent="0.2">
      <c r="A8117" s="341"/>
    </row>
    <row r="8118" spans="1:1" x14ac:dyDescent="0.2">
      <c r="A8118" s="341"/>
    </row>
    <row r="8119" spans="1:1" x14ac:dyDescent="0.2">
      <c r="A8119" s="341"/>
    </row>
    <row r="8120" spans="1:1" x14ac:dyDescent="0.2">
      <c r="A8120" s="341"/>
    </row>
    <row r="8121" spans="1:1" x14ac:dyDescent="0.2">
      <c r="A8121" s="341"/>
    </row>
    <row r="8122" spans="1:1" x14ac:dyDescent="0.2">
      <c r="A8122" s="341"/>
    </row>
    <row r="8123" spans="1:1" x14ac:dyDescent="0.2">
      <c r="A8123" s="341"/>
    </row>
    <row r="8124" spans="1:1" x14ac:dyDescent="0.2">
      <c r="A8124" s="341"/>
    </row>
    <row r="8125" spans="1:1" x14ac:dyDescent="0.2">
      <c r="A8125" s="341"/>
    </row>
    <row r="8126" spans="1:1" x14ac:dyDescent="0.2">
      <c r="A8126" s="341"/>
    </row>
    <row r="8127" spans="1:1" x14ac:dyDescent="0.2">
      <c r="A8127" s="341"/>
    </row>
    <row r="8128" spans="1:1" x14ac:dyDescent="0.2">
      <c r="A8128" s="341"/>
    </row>
    <row r="8129" spans="1:1" x14ac:dyDescent="0.2">
      <c r="A8129" s="341"/>
    </row>
    <row r="8130" spans="1:1" x14ac:dyDescent="0.2">
      <c r="A8130" s="341"/>
    </row>
    <row r="8131" spans="1:1" x14ac:dyDescent="0.2">
      <c r="A8131" s="341"/>
    </row>
    <row r="8132" spans="1:1" x14ac:dyDescent="0.2">
      <c r="A8132" s="341"/>
    </row>
    <row r="8133" spans="1:1" x14ac:dyDescent="0.2">
      <c r="A8133" s="341"/>
    </row>
    <row r="8134" spans="1:1" x14ac:dyDescent="0.2">
      <c r="A8134" s="341"/>
    </row>
    <row r="8135" spans="1:1" x14ac:dyDescent="0.2">
      <c r="A8135" s="341"/>
    </row>
    <row r="8136" spans="1:1" x14ac:dyDescent="0.2">
      <c r="A8136" s="341"/>
    </row>
    <row r="8137" spans="1:1" x14ac:dyDescent="0.2">
      <c r="A8137" s="341"/>
    </row>
    <row r="8138" spans="1:1" x14ac:dyDescent="0.2">
      <c r="A8138" s="341"/>
    </row>
    <row r="8139" spans="1:1" x14ac:dyDescent="0.2">
      <c r="A8139" s="341"/>
    </row>
    <row r="8140" spans="1:1" x14ac:dyDescent="0.2">
      <c r="A8140" s="341"/>
    </row>
    <row r="8141" spans="1:1" x14ac:dyDescent="0.2">
      <c r="A8141" s="341"/>
    </row>
    <row r="8142" spans="1:1" x14ac:dyDescent="0.2">
      <c r="A8142" s="341"/>
    </row>
    <row r="8143" spans="1:1" x14ac:dyDescent="0.2">
      <c r="A8143" s="341"/>
    </row>
    <row r="8144" spans="1:1" x14ac:dyDescent="0.2">
      <c r="A8144" s="341"/>
    </row>
    <row r="8145" spans="1:1" x14ac:dyDescent="0.2">
      <c r="A8145" s="341"/>
    </row>
    <row r="8146" spans="1:1" x14ac:dyDescent="0.2">
      <c r="A8146" s="341"/>
    </row>
    <row r="8147" spans="1:1" x14ac:dyDescent="0.2">
      <c r="A8147" s="341"/>
    </row>
    <row r="8148" spans="1:1" x14ac:dyDescent="0.2">
      <c r="A8148" s="341"/>
    </row>
    <row r="8149" spans="1:1" x14ac:dyDescent="0.2">
      <c r="A8149" s="341"/>
    </row>
    <row r="8150" spans="1:1" x14ac:dyDescent="0.2">
      <c r="A8150" s="341"/>
    </row>
    <row r="8151" spans="1:1" x14ac:dyDescent="0.2">
      <c r="A8151" s="341"/>
    </row>
    <row r="8152" spans="1:1" x14ac:dyDescent="0.2">
      <c r="A8152" s="341"/>
    </row>
    <row r="8153" spans="1:1" x14ac:dyDescent="0.2">
      <c r="A8153" s="341"/>
    </row>
    <row r="8154" spans="1:1" x14ac:dyDescent="0.2">
      <c r="A8154" s="341"/>
    </row>
    <row r="8155" spans="1:1" x14ac:dyDescent="0.2">
      <c r="A8155" s="341"/>
    </row>
    <row r="8156" spans="1:1" x14ac:dyDescent="0.2">
      <c r="A8156" s="341"/>
    </row>
    <row r="8157" spans="1:1" x14ac:dyDescent="0.2">
      <c r="A8157" s="341"/>
    </row>
    <row r="8158" spans="1:1" x14ac:dyDescent="0.2">
      <c r="A8158" s="341"/>
    </row>
    <row r="8159" spans="1:1" x14ac:dyDescent="0.2">
      <c r="A8159" s="341"/>
    </row>
    <row r="8160" spans="1:1" x14ac:dyDescent="0.2">
      <c r="A8160" s="341"/>
    </row>
    <row r="8161" spans="1:1" x14ac:dyDescent="0.2">
      <c r="A8161" s="341"/>
    </row>
    <row r="8162" spans="1:1" x14ac:dyDescent="0.2">
      <c r="A8162" s="341"/>
    </row>
    <row r="8163" spans="1:1" x14ac:dyDescent="0.2">
      <c r="A8163" s="341"/>
    </row>
    <row r="8164" spans="1:1" x14ac:dyDescent="0.2">
      <c r="A8164" s="341"/>
    </row>
    <row r="8165" spans="1:1" x14ac:dyDescent="0.2">
      <c r="A8165" s="341"/>
    </row>
    <row r="8166" spans="1:1" x14ac:dyDescent="0.2">
      <c r="A8166" s="341"/>
    </row>
    <row r="8167" spans="1:1" x14ac:dyDescent="0.2">
      <c r="A8167" s="341"/>
    </row>
    <row r="8168" spans="1:1" x14ac:dyDescent="0.2">
      <c r="A8168" s="341"/>
    </row>
    <row r="8169" spans="1:1" x14ac:dyDescent="0.2">
      <c r="A8169" s="341"/>
    </row>
    <row r="8170" spans="1:1" x14ac:dyDescent="0.2">
      <c r="A8170" s="341"/>
    </row>
    <row r="8171" spans="1:1" x14ac:dyDescent="0.2">
      <c r="A8171" s="341"/>
    </row>
    <row r="8172" spans="1:1" x14ac:dyDescent="0.2">
      <c r="A8172" s="341"/>
    </row>
    <row r="8173" spans="1:1" x14ac:dyDescent="0.2">
      <c r="A8173" s="341"/>
    </row>
    <row r="8174" spans="1:1" x14ac:dyDescent="0.2">
      <c r="A8174" s="341"/>
    </row>
    <row r="8175" spans="1:1" x14ac:dyDescent="0.2">
      <c r="A8175" s="341"/>
    </row>
    <row r="8176" spans="1:1" x14ac:dyDescent="0.2">
      <c r="A8176" s="341"/>
    </row>
    <row r="8177" spans="1:1" x14ac:dyDescent="0.2">
      <c r="A8177" s="341"/>
    </row>
    <row r="8178" spans="1:1" x14ac:dyDescent="0.2">
      <c r="A8178" s="341"/>
    </row>
    <row r="8179" spans="1:1" x14ac:dyDescent="0.2">
      <c r="A8179" s="341"/>
    </row>
    <row r="8180" spans="1:1" x14ac:dyDescent="0.2">
      <c r="A8180" s="341"/>
    </row>
    <row r="8181" spans="1:1" x14ac:dyDescent="0.2">
      <c r="A8181" s="341"/>
    </row>
    <row r="8182" spans="1:1" x14ac:dyDescent="0.2">
      <c r="A8182" s="341"/>
    </row>
    <row r="8183" spans="1:1" x14ac:dyDescent="0.2">
      <c r="A8183" s="341"/>
    </row>
    <row r="8184" spans="1:1" x14ac:dyDescent="0.2">
      <c r="A8184" s="341"/>
    </row>
    <row r="8185" spans="1:1" x14ac:dyDescent="0.2">
      <c r="A8185" s="341"/>
    </row>
    <row r="8186" spans="1:1" x14ac:dyDescent="0.2">
      <c r="A8186" s="341"/>
    </row>
    <row r="8187" spans="1:1" x14ac:dyDescent="0.2">
      <c r="A8187" s="341"/>
    </row>
    <row r="8188" spans="1:1" x14ac:dyDescent="0.2">
      <c r="A8188" s="341"/>
    </row>
    <row r="8189" spans="1:1" x14ac:dyDescent="0.2">
      <c r="A8189" s="341"/>
    </row>
    <row r="8190" spans="1:1" x14ac:dyDescent="0.2">
      <c r="A8190" s="341"/>
    </row>
    <row r="8191" spans="1:1" x14ac:dyDescent="0.2">
      <c r="A8191" s="341"/>
    </row>
    <row r="8192" spans="1:1" x14ac:dyDescent="0.2">
      <c r="A8192" s="341"/>
    </row>
    <row r="8193" spans="1:1" x14ac:dyDescent="0.2">
      <c r="A8193" s="341"/>
    </row>
    <row r="8194" spans="1:1" x14ac:dyDescent="0.2">
      <c r="A8194" s="341"/>
    </row>
    <row r="8195" spans="1:1" x14ac:dyDescent="0.2">
      <c r="A8195" s="341"/>
    </row>
    <row r="8196" spans="1:1" x14ac:dyDescent="0.2">
      <c r="A8196" s="341"/>
    </row>
    <row r="8197" spans="1:1" x14ac:dyDescent="0.2">
      <c r="A8197" s="341"/>
    </row>
    <row r="8198" spans="1:1" x14ac:dyDescent="0.2">
      <c r="A8198" s="341"/>
    </row>
    <row r="8199" spans="1:1" x14ac:dyDescent="0.2">
      <c r="A8199" s="341"/>
    </row>
    <row r="8200" spans="1:1" x14ac:dyDescent="0.2">
      <c r="A8200" s="341"/>
    </row>
    <row r="8201" spans="1:1" x14ac:dyDescent="0.2">
      <c r="A8201" s="341"/>
    </row>
    <row r="8202" spans="1:1" x14ac:dyDescent="0.2">
      <c r="A8202" s="341"/>
    </row>
    <row r="8203" spans="1:1" x14ac:dyDescent="0.2">
      <c r="A8203" s="341"/>
    </row>
    <row r="8204" spans="1:1" x14ac:dyDescent="0.2">
      <c r="A8204" s="341"/>
    </row>
    <row r="8205" spans="1:1" x14ac:dyDescent="0.2">
      <c r="A8205" s="341"/>
    </row>
    <row r="8206" spans="1:1" x14ac:dyDescent="0.2">
      <c r="A8206" s="341"/>
    </row>
    <row r="8207" spans="1:1" x14ac:dyDescent="0.2">
      <c r="A8207" s="341"/>
    </row>
    <row r="8208" spans="1:1" x14ac:dyDescent="0.2">
      <c r="A8208" s="341"/>
    </row>
    <row r="8209" spans="1:1" x14ac:dyDescent="0.2">
      <c r="A8209" s="341"/>
    </row>
    <row r="8210" spans="1:1" x14ac:dyDescent="0.2">
      <c r="A8210" s="341"/>
    </row>
    <row r="8211" spans="1:1" x14ac:dyDescent="0.2">
      <c r="A8211" s="341"/>
    </row>
    <row r="8212" spans="1:1" x14ac:dyDescent="0.2">
      <c r="A8212" s="341"/>
    </row>
    <row r="8213" spans="1:1" x14ac:dyDescent="0.2">
      <c r="A8213" s="341"/>
    </row>
    <row r="8214" spans="1:1" x14ac:dyDescent="0.2">
      <c r="A8214" s="341"/>
    </row>
    <row r="8215" spans="1:1" x14ac:dyDescent="0.2">
      <c r="A8215" s="341"/>
    </row>
    <row r="8216" spans="1:1" x14ac:dyDescent="0.2">
      <c r="A8216" s="341"/>
    </row>
    <row r="8217" spans="1:1" x14ac:dyDescent="0.2">
      <c r="A8217" s="341"/>
    </row>
    <row r="8218" spans="1:1" x14ac:dyDescent="0.2">
      <c r="A8218" s="341"/>
    </row>
    <row r="8219" spans="1:1" x14ac:dyDescent="0.2">
      <c r="A8219" s="341"/>
    </row>
    <row r="8220" spans="1:1" x14ac:dyDescent="0.2">
      <c r="A8220" s="341"/>
    </row>
    <row r="8221" spans="1:1" x14ac:dyDescent="0.2">
      <c r="A8221" s="341"/>
    </row>
    <row r="8222" spans="1:1" x14ac:dyDescent="0.2">
      <c r="A8222" s="341"/>
    </row>
    <row r="8223" spans="1:1" x14ac:dyDescent="0.2">
      <c r="A8223" s="341"/>
    </row>
    <row r="8224" spans="1:1" x14ac:dyDescent="0.2">
      <c r="A8224" s="341"/>
    </row>
    <row r="8225" spans="1:1" x14ac:dyDescent="0.2">
      <c r="A8225" s="341"/>
    </row>
    <row r="8226" spans="1:1" x14ac:dyDescent="0.2">
      <c r="A8226" s="341"/>
    </row>
    <row r="8227" spans="1:1" x14ac:dyDescent="0.2">
      <c r="A8227" s="341"/>
    </row>
    <row r="8228" spans="1:1" x14ac:dyDescent="0.2">
      <c r="A8228" s="341"/>
    </row>
    <row r="8229" spans="1:1" x14ac:dyDescent="0.2">
      <c r="A8229" s="341"/>
    </row>
    <row r="8230" spans="1:1" x14ac:dyDescent="0.2">
      <c r="A8230" s="341"/>
    </row>
    <row r="8231" spans="1:1" x14ac:dyDescent="0.2">
      <c r="A8231" s="341"/>
    </row>
    <row r="8232" spans="1:1" x14ac:dyDescent="0.2">
      <c r="A8232" s="341"/>
    </row>
    <row r="8233" spans="1:1" x14ac:dyDescent="0.2">
      <c r="A8233" s="341"/>
    </row>
    <row r="8234" spans="1:1" x14ac:dyDescent="0.2">
      <c r="A8234" s="341"/>
    </row>
    <row r="8235" spans="1:1" x14ac:dyDescent="0.2">
      <c r="A8235" s="341"/>
    </row>
    <row r="8236" spans="1:1" x14ac:dyDescent="0.2">
      <c r="A8236" s="341"/>
    </row>
    <row r="8237" spans="1:1" x14ac:dyDescent="0.2">
      <c r="A8237" s="341"/>
    </row>
    <row r="8238" spans="1:1" x14ac:dyDescent="0.2">
      <c r="A8238" s="341"/>
    </row>
    <row r="8239" spans="1:1" x14ac:dyDescent="0.2">
      <c r="A8239" s="341"/>
    </row>
    <row r="8240" spans="1:1" x14ac:dyDescent="0.2">
      <c r="A8240" s="341"/>
    </row>
    <row r="8241" spans="1:1" x14ac:dyDescent="0.2">
      <c r="A8241" s="341"/>
    </row>
    <row r="8242" spans="1:1" x14ac:dyDescent="0.2">
      <c r="A8242" s="341"/>
    </row>
    <row r="8243" spans="1:1" x14ac:dyDescent="0.2">
      <c r="A8243" s="341"/>
    </row>
    <row r="8244" spans="1:1" x14ac:dyDescent="0.2">
      <c r="A8244" s="341"/>
    </row>
    <row r="8245" spans="1:1" x14ac:dyDescent="0.2">
      <c r="A8245" s="341"/>
    </row>
    <row r="8246" spans="1:1" x14ac:dyDescent="0.2">
      <c r="A8246" s="341"/>
    </row>
    <row r="8247" spans="1:1" x14ac:dyDescent="0.2">
      <c r="A8247" s="341"/>
    </row>
    <row r="8248" spans="1:1" x14ac:dyDescent="0.2">
      <c r="A8248" s="341"/>
    </row>
    <row r="8249" spans="1:1" x14ac:dyDescent="0.2">
      <c r="A8249" s="341"/>
    </row>
    <row r="8250" spans="1:1" x14ac:dyDescent="0.2">
      <c r="A8250" s="341"/>
    </row>
    <row r="8251" spans="1:1" x14ac:dyDescent="0.2">
      <c r="A8251" s="341"/>
    </row>
    <row r="8252" spans="1:1" x14ac:dyDescent="0.2">
      <c r="A8252" s="341"/>
    </row>
    <row r="8253" spans="1:1" x14ac:dyDescent="0.2">
      <c r="A8253" s="341"/>
    </row>
    <row r="8254" spans="1:1" x14ac:dyDescent="0.2">
      <c r="A8254" s="341"/>
    </row>
    <row r="8255" spans="1:1" x14ac:dyDescent="0.2">
      <c r="A8255" s="341"/>
    </row>
    <row r="8256" spans="1:1" x14ac:dyDescent="0.2">
      <c r="A8256" s="341"/>
    </row>
    <row r="8257" spans="1:1" x14ac:dyDescent="0.2">
      <c r="A8257" s="341"/>
    </row>
    <row r="8258" spans="1:1" x14ac:dyDescent="0.2">
      <c r="A8258" s="341"/>
    </row>
    <row r="8259" spans="1:1" x14ac:dyDescent="0.2">
      <c r="A8259" s="341"/>
    </row>
    <row r="8260" spans="1:1" x14ac:dyDescent="0.2">
      <c r="A8260" s="341"/>
    </row>
    <row r="8261" spans="1:1" x14ac:dyDescent="0.2">
      <c r="A8261" s="341"/>
    </row>
    <row r="8262" spans="1:1" x14ac:dyDescent="0.2">
      <c r="A8262" s="341"/>
    </row>
    <row r="8263" spans="1:1" x14ac:dyDescent="0.2">
      <c r="A8263" s="341"/>
    </row>
    <row r="8264" spans="1:1" x14ac:dyDescent="0.2">
      <c r="A8264" s="341"/>
    </row>
    <row r="8265" spans="1:1" x14ac:dyDescent="0.2">
      <c r="A8265" s="341"/>
    </row>
    <row r="8266" spans="1:1" x14ac:dyDescent="0.2">
      <c r="A8266" s="341"/>
    </row>
    <row r="8267" spans="1:1" x14ac:dyDescent="0.2">
      <c r="A8267" s="341"/>
    </row>
    <row r="8268" spans="1:1" x14ac:dyDescent="0.2">
      <c r="A8268" s="341"/>
    </row>
    <row r="8269" spans="1:1" x14ac:dyDescent="0.2">
      <c r="A8269" s="341"/>
    </row>
    <row r="8270" spans="1:1" x14ac:dyDescent="0.2">
      <c r="A8270" s="341"/>
    </row>
    <row r="8271" spans="1:1" x14ac:dyDescent="0.2">
      <c r="A8271" s="341"/>
    </row>
    <row r="8272" spans="1:1" x14ac:dyDescent="0.2">
      <c r="A8272" s="341"/>
    </row>
    <row r="8273" spans="1:1" x14ac:dyDescent="0.2">
      <c r="A8273" s="341"/>
    </row>
    <row r="8274" spans="1:1" x14ac:dyDescent="0.2">
      <c r="A8274" s="341"/>
    </row>
    <row r="8275" spans="1:1" x14ac:dyDescent="0.2">
      <c r="A8275" s="341"/>
    </row>
    <row r="8276" spans="1:1" x14ac:dyDescent="0.2">
      <c r="A8276" s="341"/>
    </row>
    <row r="8277" spans="1:1" x14ac:dyDescent="0.2">
      <c r="A8277" s="341"/>
    </row>
    <row r="8278" spans="1:1" x14ac:dyDescent="0.2">
      <c r="A8278" s="341"/>
    </row>
    <row r="8279" spans="1:1" x14ac:dyDescent="0.2">
      <c r="A8279" s="341"/>
    </row>
    <row r="8280" spans="1:1" x14ac:dyDescent="0.2">
      <c r="A8280" s="341"/>
    </row>
    <row r="8281" spans="1:1" x14ac:dyDescent="0.2">
      <c r="A8281" s="341"/>
    </row>
    <row r="8282" spans="1:1" x14ac:dyDescent="0.2">
      <c r="A8282" s="341"/>
    </row>
    <row r="8283" spans="1:1" x14ac:dyDescent="0.2">
      <c r="A8283" s="341"/>
    </row>
    <row r="8284" spans="1:1" x14ac:dyDescent="0.2">
      <c r="A8284" s="341"/>
    </row>
    <row r="8285" spans="1:1" x14ac:dyDescent="0.2">
      <c r="A8285" s="341"/>
    </row>
    <row r="8286" spans="1:1" x14ac:dyDescent="0.2">
      <c r="A8286" s="341"/>
    </row>
    <row r="8287" spans="1:1" x14ac:dyDescent="0.2">
      <c r="A8287" s="341"/>
    </row>
    <row r="8288" spans="1:1" x14ac:dyDescent="0.2">
      <c r="A8288" s="341"/>
    </row>
    <row r="8289" spans="1:1" x14ac:dyDescent="0.2">
      <c r="A8289" s="341"/>
    </row>
    <row r="8290" spans="1:1" x14ac:dyDescent="0.2">
      <c r="A8290" s="341"/>
    </row>
    <row r="8291" spans="1:1" x14ac:dyDescent="0.2">
      <c r="A8291" s="341"/>
    </row>
    <row r="8292" spans="1:1" x14ac:dyDescent="0.2">
      <c r="A8292" s="341"/>
    </row>
    <row r="8293" spans="1:1" x14ac:dyDescent="0.2">
      <c r="A8293" s="341"/>
    </row>
    <row r="8294" spans="1:1" x14ac:dyDescent="0.2">
      <c r="A8294" s="341"/>
    </row>
    <row r="8295" spans="1:1" x14ac:dyDescent="0.2">
      <c r="A8295" s="341"/>
    </row>
    <row r="8296" spans="1:1" x14ac:dyDescent="0.2">
      <c r="A8296" s="341"/>
    </row>
    <row r="8297" spans="1:1" x14ac:dyDescent="0.2">
      <c r="A8297" s="341"/>
    </row>
    <row r="8298" spans="1:1" x14ac:dyDescent="0.2">
      <c r="A8298" s="341"/>
    </row>
    <row r="8299" spans="1:1" x14ac:dyDescent="0.2">
      <c r="A8299" s="341"/>
    </row>
    <row r="8300" spans="1:1" x14ac:dyDescent="0.2">
      <c r="A8300" s="341"/>
    </row>
    <row r="8301" spans="1:1" x14ac:dyDescent="0.2">
      <c r="A8301" s="341"/>
    </row>
    <row r="8302" spans="1:1" x14ac:dyDescent="0.2">
      <c r="A8302" s="341"/>
    </row>
    <row r="8303" spans="1:1" x14ac:dyDescent="0.2">
      <c r="A8303" s="341"/>
    </row>
    <row r="8304" spans="1:1" x14ac:dyDescent="0.2">
      <c r="A8304" s="341"/>
    </row>
    <row r="8305" spans="1:1" x14ac:dyDescent="0.2">
      <c r="A8305" s="341"/>
    </row>
    <row r="8306" spans="1:1" x14ac:dyDescent="0.2">
      <c r="A8306" s="341"/>
    </row>
    <row r="8307" spans="1:1" x14ac:dyDescent="0.2">
      <c r="A8307" s="341"/>
    </row>
    <row r="8308" spans="1:1" x14ac:dyDescent="0.2">
      <c r="A8308" s="341"/>
    </row>
    <row r="8309" spans="1:1" x14ac:dyDescent="0.2">
      <c r="A8309" s="341"/>
    </row>
    <row r="8310" spans="1:1" x14ac:dyDescent="0.2">
      <c r="A8310" s="341"/>
    </row>
    <row r="8311" spans="1:1" x14ac:dyDescent="0.2">
      <c r="A8311" s="341"/>
    </row>
    <row r="8312" spans="1:1" x14ac:dyDescent="0.2">
      <c r="A8312" s="341"/>
    </row>
    <row r="8313" spans="1:1" x14ac:dyDescent="0.2">
      <c r="A8313" s="341"/>
    </row>
    <row r="8314" spans="1:1" x14ac:dyDescent="0.2">
      <c r="A8314" s="341"/>
    </row>
    <row r="8315" spans="1:1" x14ac:dyDescent="0.2">
      <c r="A8315" s="341"/>
    </row>
    <row r="8316" spans="1:1" x14ac:dyDescent="0.2">
      <c r="A8316" s="341"/>
    </row>
    <row r="8317" spans="1:1" x14ac:dyDescent="0.2">
      <c r="A8317" s="341"/>
    </row>
    <row r="8318" spans="1:1" x14ac:dyDescent="0.2">
      <c r="A8318" s="341"/>
    </row>
    <row r="8319" spans="1:1" x14ac:dyDescent="0.2">
      <c r="A8319" s="341"/>
    </row>
    <row r="8320" spans="1:1" x14ac:dyDescent="0.2">
      <c r="A8320" s="341"/>
    </row>
    <row r="8321" spans="1:1" x14ac:dyDescent="0.2">
      <c r="A8321" s="341"/>
    </row>
    <row r="8322" spans="1:1" x14ac:dyDescent="0.2">
      <c r="A8322" s="341"/>
    </row>
    <row r="8323" spans="1:1" x14ac:dyDescent="0.2">
      <c r="A8323" s="341"/>
    </row>
    <row r="8324" spans="1:1" x14ac:dyDescent="0.2">
      <c r="A8324" s="341"/>
    </row>
    <row r="8325" spans="1:1" x14ac:dyDescent="0.2">
      <c r="A8325" s="341"/>
    </row>
    <row r="8326" spans="1:1" x14ac:dyDescent="0.2">
      <c r="A8326" s="341"/>
    </row>
    <row r="8327" spans="1:1" x14ac:dyDescent="0.2">
      <c r="A8327" s="341"/>
    </row>
    <row r="8328" spans="1:1" x14ac:dyDescent="0.2">
      <c r="A8328" s="341"/>
    </row>
    <row r="8329" spans="1:1" x14ac:dyDescent="0.2">
      <c r="A8329" s="341"/>
    </row>
    <row r="8330" spans="1:1" x14ac:dyDescent="0.2">
      <c r="A8330" s="341"/>
    </row>
    <row r="8331" spans="1:1" x14ac:dyDescent="0.2">
      <c r="A8331" s="341"/>
    </row>
    <row r="8332" spans="1:1" x14ac:dyDescent="0.2">
      <c r="A8332" s="341"/>
    </row>
    <row r="8333" spans="1:1" x14ac:dyDescent="0.2">
      <c r="A8333" s="341"/>
    </row>
    <row r="8334" spans="1:1" x14ac:dyDescent="0.2">
      <c r="A8334" s="341"/>
    </row>
    <row r="8335" spans="1:1" x14ac:dyDescent="0.2">
      <c r="A8335" s="341"/>
    </row>
    <row r="8336" spans="1:1" x14ac:dyDescent="0.2">
      <c r="A8336" s="341"/>
    </row>
    <row r="8337" spans="1:1" x14ac:dyDescent="0.2">
      <c r="A8337" s="341"/>
    </row>
    <row r="8338" spans="1:1" x14ac:dyDescent="0.2">
      <c r="A8338" s="341"/>
    </row>
    <row r="8339" spans="1:1" x14ac:dyDescent="0.2">
      <c r="A8339" s="341"/>
    </row>
    <row r="8340" spans="1:1" x14ac:dyDescent="0.2">
      <c r="A8340" s="341"/>
    </row>
    <row r="8341" spans="1:1" x14ac:dyDescent="0.2">
      <c r="A8341" s="341"/>
    </row>
    <row r="8342" spans="1:1" x14ac:dyDescent="0.2">
      <c r="A8342" s="341"/>
    </row>
    <row r="8343" spans="1:1" x14ac:dyDescent="0.2">
      <c r="A8343" s="341"/>
    </row>
    <row r="8344" spans="1:1" x14ac:dyDescent="0.2">
      <c r="A8344" s="341"/>
    </row>
    <row r="8345" spans="1:1" x14ac:dyDescent="0.2">
      <c r="A8345" s="341"/>
    </row>
    <row r="8346" spans="1:1" x14ac:dyDescent="0.2">
      <c r="A8346" s="341"/>
    </row>
    <row r="8347" spans="1:1" x14ac:dyDescent="0.2">
      <c r="A8347" s="341"/>
    </row>
    <row r="8348" spans="1:1" x14ac:dyDescent="0.2">
      <c r="A8348" s="341"/>
    </row>
    <row r="8349" spans="1:1" x14ac:dyDescent="0.2">
      <c r="A8349" s="341"/>
    </row>
    <row r="8350" spans="1:1" x14ac:dyDescent="0.2">
      <c r="A8350" s="341"/>
    </row>
    <row r="8351" spans="1:1" x14ac:dyDescent="0.2">
      <c r="A8351" s="341"/>
    </row>
    <row r="8352" spans="1:1" x14ac:dyDescent="0.2">
      <c r="A8352" s="341"/>
    </row>
    <row r="8353" spans="1:1" x14ac:dyDescent="0.2">
      <c r="A8353" s="341"/>
    </row>
    <row r="8354" spans="1:1" x14ac:dyDescent="0.2">
      <c r="A8354" s="341"/>
    </row>
    <row r="8355" spans="1:1" x14ac:dyDescent="0.2">
      <c r="A8355" s="341"/>
    </row>
    <row r="8356" spans="1:1" x14ac:dyDescent="0.2">
      <c r="A8356" s="341"/>
    </row>
    <row r="8357" spans="1:1" x14ac:dyDescent="0.2">
      <c r="A8357" s="341"/>
    </row>
    <row r="8358" spans="1:1" x14ac:dyDescent="0.2">
      <c r="A8358" s="341"/>
    </row>
    <row r="8359" spans="1:1" x14ac:dyDescent="0.2">
      <c r="A8359" s="341"/>
    </row>
    <row r="8360" spans="1:1" x14ac:dyDescent="0.2">
      <c r="A8360" s="341"/>
    </row>
    <row r="8361" spans="1:1" x14ac:dyDescent="0.2">
      <c r="A8361" s="341"/>
    </row>
    <row r="8362" spans="1:1" x14ac:dyDescent="0.2">
      <c r="A8362" s="341"/>
    </row>
    <row r="8363" spans="1:1" x14ac:dyDescent="0.2">
      <c r="A8363" s="341"/>
    </row>
    <row r="8364" spans="1:1" x14ac:dyDescent="0.2">
      <c r="A8364" s="341"/>
    </row>
    <row r="8365" spans="1:1" x14ac:dyDescent="0.2">
      <c r="A8365" s="341"/>
    </row>
    <row r="8366" spans="1:1" x14ac:dyDescent="0.2">
      <c r="A8366" s="341"/>
    </row>
    <row r="8367" spans="1:1" x14ac:dyDescent="0.2">
      <c r="A8367" s="341"/>
    </row>
    <row r="8368" spans="1:1" x14ac:dyDescent="0.2">
      <c r="A8368" s="341"/>
    </row>
    <row r="8369" spans="1:1" x14ac:dyDescent="0.2">
      <c r="A8369" s="341"/>
    </row>
    <row r="8370" spans="1:1" x14ac:dyDescent="0.2">
      <c r="A8370" s="341"/>
    </row>
    <row r="8371" spans="1:1" x14ac:dyDescent="0.2">
      <c r="A8371" s="341"/>
    </row>
    <row r="8372" spans="1:1" x14ac:dyDescent="0.2">
      <c r="A8372" s="341"/>
    </row>
    <row r="8373" spans="1:1" x14ac:dyDescent="0.2">
      <c r="A8373" s="341"/>
    </row>
    <row r="8374" spans="1:1" x14ac:dyDescent="0.2">
      <c r="A8374" s="341"/>
    </row>
    <row r="8375" spans="1:1" x14ac:dyDescent="0.2">
      <c r="A8375" s="341"/>
    </row>
    <row r="8376" spans="1:1" x14ac:dyDescent="0.2">
      <c r="A8376" s="341"/>
    </row>
    <row r="8377" spans="1:1" x14ac:dyDescent="0.2">
      <c r="A8377" s="341"/>
    </row>
    <row r="8378" spans="1:1" x14ac:dyDescent="0.2">
      <c r="A8378" s="341"/>
    </row>
    <row r="8379" spans="1:1" x14ac:dyDescent="0.2">
      <c r="A8379" s="341"/>
    </row>
    <row r="8380" spans="1:1" x14ac:dyDescent="0.2">
      <c r="A8380" s="341"/>
    </row>
    <row r="8381" spans="1:1" x14ac:dyDescent="0.2">
      <c r="A8381" s="341"/>
    </row>
    <row r="8382" spans="1:1" x14ac:dyDescent="0.2">
      <c r="A8382" s="341"/>
    </row>
    <row r="8383" spans="1:1" x14ac:dyDescent="0.2">
      <c r="A8383" s="341"/>
    </row>
    <row r="8384" spans="1:1" x14ac:dyDescent="0.2">
      <c r="A8384" s="341"/>
    </row>
    <row r="8385" spans="1:1" x14ac:dyDescent="0.2">
      <c r="A8385" s="341"/>
    </row>
    <row r="8386" spans="1:1" x14ac:dyDescent="0.2">
      <c r="A8386" s="341"/>
    </row>
    <row r="8387" spans="1:1" x14ac:dyDescent="0.2">
      <c r="A8387" s="341"/>
    </row>
    <row r="8388" spans="1:1" x14ac:dyDescent="0.2">
      <c r="A8388" s="341"/>
    </row>
    <row r="8389" spans="1:1" x14ac:dyDescent="0.2">
      <c r="A8389" s="341"/>
    </row>
    <row r="8390" spans="1:1" x14ac:dyDescent="0.2">
      <c r="A8390" s="341"/>
    </row>
    <row r="8391" spans="1:1" x14ac:dyDescent="0.2">
      <c r="A8391" s="341"/>
    </row>
    <row r="8392" spans="1:1" x14ac:dyDescent="0.2">
      <c r="A8392" s="341"/>
    </row>
    <row r="8393" spans="1:1" x14ac:dyDescent="0.2">
      <c r="A8393" s="341"/>
    </row>
    <row r="8394" spans="1:1" x14ac:dyDescent="0.2">
      <c r="A8394" s="341"/>
    </row>
    <row r="8395" spans="1:1" x14ac:dyDescent="0.2">
      <c r="A8395" s="341"/>
    </row>
    <row r="8396" spans="1:1" x14ac:dyDescent="0.2">
      <c r="A8396" s="341"/>
    </row>
    <row r="8397" spans="1:1" x14ac:dyDescent="0.2">
      <c r="A8397" s="341"/>
    </row>
    <row r="8398" spans="1:1" x14ac:dyDescent="0.2">
      <c r="A8398" s="341"/>
    </row>
    <row r="8399" spans="1:1" x14ac:dyDescent="0.2">
      <c r="A8399" s="341"/>
    </row>
    <row r="8400" spans="1:1" x14ac:dyDescent="0.2">
      <c r="A8400" s="341"/>
    </row>
    <row r="8401" spans="1:1" x14ac:dyDescent="0.2">
      <c r="A8401" s="341"/>
    </row>
    <row r="8402" spans="1:1" x14ac:dyDescent="0.2">
      <c r="A8402" s="341"/>
    </row>
    <row r="8403" spans="1:1" x14ac:dyDescent="0.2">
      <c r="A8403" s="341"/>
    </row>
    <row r="8404" spans="1:1" x14ac:dyDescent="0.2">
      <c r="A8404" s="341"/>
    </row>
    <row r="8405" spans="1:1" x14ac:dyDescent="0.2">
      <c r="A8405" s="341"/>
    </row>
    <row r="8406" spans="1:1" x14ac:dyDescent="0.2">
      <c r="A8406" s="341"/>
    </row>
    <row r="8407" spans="1:1" x14ac:dyDescent="0.2">
      <c r="A8407" s="341"/>
    </row>
    <row r="8408" spans="1:1" x14ac:dyDescent="0.2">
      <c r="A8408" s="341"/>
    </row>
    <row r="8409" spans="1:1" x14ac:dyDescent="0.2">
      <c r="A8409" s="341"/>
    </row>
    <row r="8410" spans="1:1" x14ac:dyDescent="0.2">
      <c r="A8410" s="341"/>
    </row>
    <row r="8411" spans="1:1" x14ac:dyDescent="0.2">
      <c r="A8411" s="341"/>
    </row>
    <row r="8412" spans="1:1" x14ac:dyDescent="0.2">
      <c r="A8412" s="341"/>
    </row>
    <row r="8413" spans="1:1" x14ac:dyDescent="0.2">
      <c r="A8413" s="341"/>
    </row>
    <row r="8414" spans="1:1" x14ac:dyDescent="0.2">
      <c r="A8414" s="341"/>
    </row>
    <row r="8415" spans="1:1" x14ac:dyDescent="0.2">
      <c r="A8415" s="341"/>
    </row>
    <row r="8416" spans="1:1" x14ac:dyDescent="0.2">
      <c r="A8416" s="341"/>
    </row>
    <row r="8417" spans="1:1" x14ac:dyDescent="0.2">
      <c r="A8417" s="341"/>
    </row>
    <row r="8418" spans="1:1" x14ac:dyDescent="0.2">
      <c r="A8418" s="341"/>
    </row>
    <row r="8419" spans="1:1" x14ac:dyDescent="0.2">
      <c r="A8419" s="341"/>
    </row>
    <row r="8420" spans="1:1" x14ac:dyDescent="0.2">
      <c r="A8420" s="341"/>
    </row>
    <row r="8421" spans="1:1" x14ac:dyDescent="0.2">
      <c r="A8421" s="341"/>
    </row>
    <row r="8422" spans="1:1" x14ac:dyDescent="0.2">
      <c r="A8422" s="341"/>
    </row>
    <row r="8423" spans="1:1" x14ac:dyDescent="0.2">
      <c r="A8423" s="341"/>
    </row>
    <row r="8424" spans="1:1" x14ac:dyDescent="0.2">
      <c r="A8424" s="341"/>
    </row>
    <row r="8425" spans="1:1" x14ac:dyDescent="0.2">
      <c r="A8425" s="341"/>
    </row>
    <row r="8426" spans="1:1" x14ac:dyDescent="0.2">
      <c r="A8426" s="341"/>
    </row>
    <row r="8427" spans="1:1" x14ac:dyDescent="0.2">
      <c r="A8427" s="341"/>
    </row>
    <row r="8428" spans="1:1" x14ac:dyDescent="0.2">
      <c r="A8428" s="341"/>
    </row>
    <row r="8429" spans="1:1" x14ac:dyDescent="0.2">
      <c r="A8429" s="341"/>
    </row>
    <row r="8430" spans="1:1" x14ac:dyDescent="0.2">
      <c r="A8430" s="341"/>
    </row>
    <row r="8431" spans="1:1" x14ac:dyDescent="0.2">
      <c r="A8431" s="341"/>
    </row>
    <row r="8432" spans="1:1" x14ac:dyDescent="0.2">
      <c r="A8432" s="341"/>
    </row>
    <row r="8433" spans="1:1" x14ac:dyDescent="0.2">
      <c r="A8433" s="341"/>
    </row>
    <row r="8434" spans="1:1" x14ac:dyDescent="0.2">
      <c r="A8434" s="341"/>
    </row>
    <row r="8435" spans="1:1" x14ac:dyDescent="0.2">
      <c r="A8435" s="341"/>
    </row>
    <row r="8436" spans="1:1" x14ac:dyDescent="0.2">
      <c r="A8436" s="341"/>
    </row>
    <row r="8437" spans="1:1" x14ac:dyDescent="0.2">
      <c r="A8437" s="341"/>
    </row>
    <row r="8438" spans="1:1" x14ac:dyDescent="0.2">
      <c r="A8438" s="341"/>
    </row>
    <row r="8439" spans="1:1" x14ac:dyDescent="0.2">
      <c r="A8439" s="341"/>
    </row>
    <row r="8440" spans="1:1" x14ac:dyDescent="0.2">
      <c r="A8440" s="341"/>
    </row>
    <row r="8441" spans="1:1" x14ac:dyDescent="0.2">
      <c r="A8441" s="341"/>
    </row>
    <row r="8442" spans="1:1" x14ac:dyDescent="0.2">
      <c r="A8442" s="341"/>
    </row>
    <row r="8443" spans="1:1" x14ac:dyDescent="0.2">
      <c r="A8443" s="341"/>
    </row>
    <row r="8444" spans="1:1" x14ac:dyDescent="0.2">
      <c r="A8444" s="341"/>
    </row>
    <row r="8445" spans="1:1" x14ac:dyDescent="0.2">
      <c r="A8445" s="341"/>
    </row>
    <row r="8446" spans="1:1" x14ac:dyDescent="0.2">
      <c r="A8446" s="341"/>
    </row>
    <row r="8447" spans="1:1" x14ac:dyDescent="0.2">
      <c r="A8447" s="341"/>
    </row>
    <row r="8448" spans="1:1" x14ac:dyDescent="0.2">
      <c r="A8448" s="341"/>
    </row>
    <row r="8449" spans="1:1" x14ac:dyDescent="0.2">
      <c r="A8449" s="341"/>
    </row>
    <row r="8450" spans="1:1" x14ac:dyDescent="0.2">
      <c r="A8450" s="341"/>
    </row>
    <row r="8451" spans="1:1" x14ac:dyDescent="0.2">
      <c r="A8451" s="341"/>
    </row>
    <row r="8452" spans="1:1" x14ac:dyDescent="0.2">
      <c r="A8452" s="341"/>
    </row>
    <row r="8453" spans="1:1" x14ac:dyDescent="0.2">
      <c r="A8453" s="341"/>
    </row>
    <row r="8454" spans="1:1" x14ac:dyDescent="0.2">
      <c r="A8454" s="341"/>
    </row>
    <row r="8455" spans="1:1" x14ac:dyDescent="0.2">
      <c r="A8455" s="341"/>
    </row>
    <row r="8456" spans="1:1" x14ac:dyDescent="0.2">
      <c r="A8456" s="341"/>
    </row>
    <row r="8457" spans="1:1" x14ac:dyDescent="0.2">
      <c r="A8457" s="341"/>
    </row>
    <row r="8458" spans="1:1" x14ac:dyDescent="0.2">
      <c r="A8458" s="341"/>
    </row>
    <row r="8459" spans="1:1" x14ac:dyDescent="0.2">
      <c r="A8459" s="341"/>
    </row>
    <row r="8460" spans="1:1" x14ac:dyDescent="0.2">
      <c r="A8460" s="341"/>
    </row>
    <row r="8461" spans="1:1" x14ac:dyDescent="0.2">
      <c r="A8461" s="341"/>
    </row>
    <row r="8462" spans="1:1" x14ac:dyDescent="0.2">
      <c r="A8462" s="341"/>
    </row>
    <row r="8463" spans="1:1" x14ac:dyDescent="0.2">
      <c r="A8463" s="341"/>
    </row>
    <row r="8464" spans="1:1" x14ac:dyDescent="0.2">
      <c r="A8464" s="341"/>
    </row>
    <row r="8465" spans="1:1" x14ac:dyDescent="0.2">
      <c r="A8465" s="341"/>
    </row>
    <row r="8466" spans="1:1" x14ac:dyDescent="0.2">
      <c r="A8466" s="341"/>
    </row>
    <row r="8467" spans="1:1" x14ac:dyDescent="0.2">
      <c r="A8467" s="341"/>
    </row>
    <row r="8468" spans="1:1" x14ac:dyDescent="0.2">
      <c r="A8468" s="341"/>
    </row>
    <row r="8469" spans="1:1" x14ac:dyDescent="0.2">
      <c r="A8469" s="341"/>
    </row>
    <row r="8470" spans="1:1" x14ac:dyDescent="0.2">
      <c r="A8470" s="341"/>
    </row>
    <row r="8471" spans="1:1" x14ac:dyDescent="0.2">
      <c r="A8471" s="341"/>
    </row>
    <row r="8472" spans="1:1" x14ac:dyDescent="0.2">
      <c r="A8472" s="341"/>
    </row>
    <row r="8473" spans="1:1" x14ac:dyDescent="0.2">
      <c r="A8473" s="341"/>
    </row>
    <row r="8474" spans="1:1" x14ac:dyDescent="0.2">
      <c r="A8474" s="341"/>
    </row>
    <row r="8475" spans="1:1" x14ac:dyDescent="0.2">
      <c r="A8475" s="341"/>
    </row>
    <row r="8476" spans="1:1" x14ac:dyDescent="0.2">
      <c r="A8476" s="341"/>
    </row>
    <row r="8477" spans="1:1" x14ac:dyDescent="0.2">
      <c r="A8477" s="341"/>
    </row>
    <row r="8478" spans="1:1" x14ac:dyDescent="0.2">
      <c r="A8478" s="341"/>
    </row>
    <row r="8479" spans="1:1" x14ac:dyDescent="0.2">
      <c r="A8479" s="341"/>
    </row>
    <row r="8480" spans="1:1" x14ac:dyDescent="0.2">
      <c r="A8480" s="341"/>
    </row>
    <row r="8481" spans="1:1" x14ac:dyDescent="0.2">
      <c r="A8481" s="341"/>
    </row>
    <row r="8482" spans="1:1" x14ac:dyDescent="0.2">
      <c r="A8482" s="341"/>
    </row>
    <row r="8483" spans="1:1" x14ac:dyDescent="0.2">
      <c r="A8483" s="341"/>
    </row>
    <row r="8484" spans="1:1" x14ac:dyDescent="0.2">
      <c r="A8484" s="341"/>
    </row>
    <row r="8485" spans="1:1" x14ac:dyDescent="0.2">
      <c r="A8485" s="341"/>
    </row>
    <row r="8486" spans="1:1" x14ac:dyDescent="0.2">
      <c r="A8486" s="341"/>
    </row>
    <row r="8487" spans="1:1" x14ac:dyDescent="0.2">
      <c r="A8487" s="341"/>
    </row>
    <row r="8488" spans="1:1" x14ac:dyDescent="0.2">
      <c r="A8488" s="341"/>
    </row>
    <row r="8489" spans="1:1" x14ac:dyDescent="0.2">
      <c r="A8489" s="341"/>
    </row>
    <row r="8490" spans="1:1" x14ac:dyDescent="0.2">
      <c r="A8490" s="341"/>
    </row>
    <row r="8491" spans="1:1" x14ac:dyDescent="0.2">
      <c r="A8491" s="341"/>
    </row>
    <row r="8492" spans="1:1" x14ac:dyDescent="0.2">
      <c r="A8492" s="341"/>
    </row>
    <row r="8493" spans="1:1" x14ac:dyDescent="0.2">
      <c r="A8493" s="341"/>
    </row>
    <row r="8494" spans="1:1" x14ac:dyDescent="0.2">
      <c r="A8494" s="341"/>
    </row>
    <row r="8495" spans="1:1" x14ac:dyDescent="0.2">
      <c r="A8495" s="341"/>
    </row>
    <row r="8496" spans="1:1" x14ac:dyDescent="0.2">
      <c r="A8496" s="341"/>
    </row>
    <row r="8497" spans="1:1" x14ac:dyDescent="0.2">
      <c r="A8497" s="341"/>
    </row>
    <row r="8498" spans="1:1" x14ac:dyDescent="0.2">
      <c r="A8498" s="341"/>
    </row>
    <row r="8499" spans="1:1" x14ac:dyDescent="0.2">
      <c r="A8499" s="341"/>
    </row>
    <row r="8500" spans="1:1" x14ac:dyDescent="0.2">
      <c r="A8500" s="341"/>
    </row>
    <row r="8501" spans="1:1" x14ac:dyDescent="0.2">
      <c r="A8501" s="341"/>
    </row>
    <row r="8502" spans="1:1" x14ac:dyDescent="0.2">
      <c r="A8502" s="341"/>
    </row>
    <row r="8503" spans="1:1" x14ac:dyDescent="0.2">
      <c r="A8503" s="341"/>
    </row>
    <row r="8504" spans="1:1" x14ac:dyDescent="0.2">
      <c r="A8504" s="341"/>
    </row>
    <row r="8505" spans="1:1" x14ac:dyDescent="0.2">
      <c r="A8505" s="341"/>
    </row>
    <row r="8506" spans="1:1" x14ac:dyDescent="0.2">
      <c r="A8506" s="341"/>
    </row>
    <row r="8507" spans="1:1" x14ac:dyDescent="0.2">
      <c r="A8507" s="341"/>
    </row>
    <row r="8508" spans="1:1" x14ac:dyDescent="0.2">
      <c r="A8508" s="341"/>
    </row>
    <row r="8509" spans="1:1" x14ac:dyDescent="0.2">
      <c r="A8509" s="341"/>
    </row>
    <row r="8510" spans="1:1" x14ac:dyDescent="0.2">
      <c r="A8510" s="341"/>
    </row>
    <row r="8511" spans="1:1" x14ac:dyDescent="0.2">
      <c r="A8511" s="341"/>
    </row>
    <row r="8512" spans="1:1" x14ac:dyDescent="0.2">
      <c r="A8512" s="341"/>
    </row>
    <row r="8513" spans="1:1" x14ac:dyDescent="0.2">
      <c r="A8513" s="341"/>
    </row>
    <row r="8514" spans="1:1" x14ac:dyDescent="0.2">
      <c r="A8514" s="341"/>
    </row>
    <row r="8515" spans="1:1" x14ac:dyDescent="0.2">
      <c r="A8515" s="341"/>
    </row>
    <row r="8516" spans="1:1" x14ac:dyDescent="0.2">
      <c r="A8516" s="341"/>
    </row>
    <row r="8517" spans="1:1" x14ac:dyDescent="0.2">
      <c r="A8517" s="341"/>
    </row>
    <row r="8518" spans="1:1" x14ac:dyDescent="0.2">
      <c r="A8518" s="341"/>
    </row>
    <row r="8519" spans="1:1" x14ac:dyDescent="0.2">
      <c r="A8519" s="341"/>
    </row>
    <row r="8520" spans="1:1" x14ac:dyDescent="0.2">
      <c r="A8520" s="341"/>
    </row>
    <row r="8521" spans="1:1" x14ac:dyDescent="0.2">
      <c r="A8521" s="341"/>
    </row>
    <row r="8522" spans="1:1" x14ac:dyDescent="0.2">
      <c r="A8522" s="341"/>
    </row>
    <row r="8523" spans="1:1" x14ac:dyDescent="0.2">
      <c r="A8523" s="341"/>
    </row>
    <row r="8524" spans="1:1" x14ac:dyDescent="0.2">
      <c r="A8524" s="341"/>
    </row>
    <row r="8525" spans="1:1" x14ac:dyDescent="0.2">
      <c r="A8525" s="341"/>
    </row>
    <row r="8526" spans="1:1" x14ac:dyDescent="0.2">
      <c r="A8526" s="341"/>
    </row>
    <row r="8527" spans="1:1" x14ac:dyDescent="0.2">
      <c r="A8527" s="341"/>
    </row>
    <row r="8528" spans="1:1" x14ac:dyDescent="0.2">
      <c r="A8528" s="341"/>
    </row>
    <row r="8529" spans="1:1" x14ac:dyDescent="0.2">
      <c r="A8529" s="341"/>
    </row>
    <row r="8530" spans="1:1" x14ac:dyDescent="0.2">
      <c r="A8530" s="341"/>
    </row>
    <row r="8531" spans="1:1" x14ac:dyDescent="0.2">
      <c r="A8531" s="341"/>
    </row>
    <row r="8532" spans="1:1" x14ac:dyDescent="0.2">
      <c r="A8532" s="341"/>
    </row>
    <row r="8533" spans="1:1" x14ac:dyDescent="0.2">
      <c r="A8533" s="341"/>
    </row>
    <row r="8534" spans="1:1" x14ac:dyDescent="0.2">
      <c r="A8534" s="341"/>
    </row>
    <row r="8535" spans="1:1" x14ac:dyDescent="0.2">
      <c r="A8535" s="341"/>
    </row>
    <row r="8536" spans="1:1" x14ac:dyDescent="0.2">
      <c r="A8536" s="341"/>
    </row>
    <row r="8537" spans="1:1" x14ac:dyDescent="0.2">
      <c r="A8537" s="341"/>
    </row>
    <row r="8538" spans="1:1" x14ac:dyDescent="0.2">
      <c r="A8538" s="341"/>
    </row>
    <row r="8539" spans="1:1" x14ac:dyDescent="0.2">
      <c r="A8539" s="341"/>
    </row>
    <row r="8540" spans="1:1" x14ac:dyDescent="0.2">
      <c r="A8540" s="341"/>
    </row>
    <row r="8541" spans="1:1" x14ac:dyDescent="0.2">
      <c r="A8541" s="341"/>
    </row>
    <row r="8542" spans="1:1" x14ac:dyDescent="0.2">
      <c r="A8542" s="341"/>
    </row>
    <row r="8543" spans="1:1" x14ac:dyDescent="0.2">
      <c r="A8543" s="341"/>
    </row>
    <row r="8544" spans="1:1" x14ac:dyDescent="0.2">
      <c r="A8544" s="341"/>
    </row>
    <row r="8545" spans="1:1" x14ac:dyDescent="0.2">
      <c r="A8545" s="341"/>
    </row>
    <row r="8546" spans="1:1" x14ac:dyDescent="0.2">
      <c r="A8546" s="341"/>
    </row>
    <row r="8547" spans="1:1" x14ac:dyDescent="0.2">
      <c r="A8547" s="341"/>
    </row>
    <row r="8548" spans="1:1" x14ac:dyDescent="0.2">
      <c r="A8548" s="341"/>
    </row>
    <row r="8549" spans="1:1" x14ac:dyDescent="0.2">
      <c r="A8549" s="341"/>
    </row>
    <row r="8550" spans="1:1" x14ac:dyDescent="0.2">
      <c r="A8550" s="341"/>
    </row>
    <row r="8551" spans="1:1" x14ac:dyDescent="0.2">
      <c r="A8551" s="341"/>
    </row>
    <row r="8552" spans="1:1" x14ac:dyDescent="0.2">
      <c r="A8552" s="341"/>
    </row>
    <row r="8553" spans="1:1" x14ac:dyDescent="0.2">
      <c r="A8553" s="341"/>
    </row>
    <row r="8554" spans="1:1" x14ac:dyDescent="0.2">
      <c r="A8554" s="341"/>
    </row>
    <row r="8555" spans="1:1" x14ac:dyDescent="0.2">
      <c r="A8555" s="341"/>
    </row>
    <row r="8556" spans="1:1" x14ac:dyDescent="0.2">
      <c r="A8556" s="341"/>
    </row>
    <row r="8557" spans="1:1" x14ac:dyDescent="0.2">
      <c r="A8557" s="341"/>
    </row>
    <row r="8558" spans="1:1" x14ac:dyDescent="0.2">
      <c r="A8558" s="341"/>
    </row>
    <row r="8559" spans="1:1" x14ac:dyDescent="0.2">
      <c r="A8559" s="341"/>
    </row>
    <row r="8560" spans="1:1" x14ac:dyDescent="0.2">
      <c r="A8560" s="341"/>
    </row>
    <row r="8561" spans="1:1" x14ac:dyDescent="0.2">
      <c r="A8561" s="341"/>
    </row>
    <row r="8562" spans="1:1" x14ac:dyDescent="0.2">
      <c r="A8562" s="341"/>
    </row>
    <row r="8563" spans="1:1" x14ac:dyDescent="0.2">
      <c r="A8563" s="341"/>
    </row>
    <row r="8564" spans="1:1" x14ac:dyDescent="0.2">
      <c r="A8564" s="341"/>
    </row>
    <row r="8565" spans="1:1" x14ac:dyDescent="0.2">
      <c r="A8565" s="341"/>
    </row>
    <row r="8566" spans="1:1" x14ac:dyDescent="0.2">
      <c r="A8566" s="341"/>
    </row>
    <row r="8567" spans="1:1" x14ac:dyDescent="0.2">
      <c r="A8567" s="341"/>
    </row>
    <row r="8568" spans="1:1" x14ac:dyDescent="0.2">
      <c r="A8568" s="341"/>
    </row>
    <row r="8569" spans="1:1" x14ac:dyDescent="0.2">
      <c r="A8569" s="341"/>
    </row>
    <row r="8570" spans="1:1" x14ac:dyDescent="0.2">
      <c r="A8570" s="341"/>
    </row>
    <row r="8571" spans="1:1" x14ac:dyDescent="0.2">
      <c r="A8571" s="341"/>
    </row>
    <row r="8572" spans="1:1" x14ac:dyDescent="0.2">
      <c r="A8572" s="341"/>
    </row>
    <row r="8573" spans="1:1" x14ac:dyDescent="0.2">
      <c r="A8573" s="341"/>
    </row>
    <row r="8574" spans="1:1" x14ac:dyDescent="0.2">
      <c r="A8574" s="341"/>
    </row>
    <row r="8575" spans="1:1" x14ac:dyDescent="0.2">
      <c r="A8575" s="341"/>
    </row>
    <row r="8576" spans="1:1" x14ac:dyDescent="0.2">
      <c r="A8576" s="341"/>
    </row>
    <row r="8577" spans="1:1" x14ac:dyDescent="0.2">
      <c r="A8577" s="341"/>
    </row>
    <row r="8578" spans="1:1" x14ac:dyDescent="0.2">
      <c r="A8578" s="341"/>
    </row>
    <row r="8579" spans="1:1" x14ac:dyDescent="0.2">
      <c r="A8579" s="341"/>
    </row>
    <row r="8580" spans="1:1" x14ac:dyDescent="0.2">
      <c r="A8580" s="341"/>
    </row>
    <row r="8581" spans="1:1" x14ac:dyDescent="0.2">
      <c r="A8581" s="341"/>
    </row>
    <row r="8582" spans="1:1" x14ac:dyDescent="0.2">
      <c r="A8582" s="341"/>
    </row>
    <row r="8583" spans="1:1" x14ac:dyDescent="0.2">
      <c r="A8583" s="341"/>
    </row>
    <row r="8584" spans="1:1" x14ac:dyDescent="0.2">
      <c r="A8584" s="341"/>
    </row>
    <row r="8585" spans="1:1" x14ac:dyDescent="0.2">
      <c r="A8585" s="341"/>
    </row>
    <row r="8586" spans="1:1" x14ac:dyDescent="0.2">
      <c r="A8586" s="341"/>
    </row>
    <row r="8587" spans="1:1" x14ac:dyDescent="0.2">
      <c r="A8587" s="341"/>
    </row>
    <row r="8588" spans="1:1" x14ac:dyDescent="0.2">
      <c r="A8588" s="341"/>
    </row>
    <row r="8589" spans="1:1" x14ac:dyDescent="0.2">
      <c r="A8589" s="341"/>
    </row>
    <row r="8590" spans="1:1" x14ac:dyDescent="0.2">
      <c r="A8590" s="341"/>
    </row>
    <row r="8591" spans="1:1" x14ac:dyDescent="0.2">
      <c r="A8591" s="341"/>
    </row>
    <row r="8592" spans="1:1" x14ac:dyDescent="0.2">
      <c r="A8592" s="341"/>
    </row>
    <row r="8593" spans="1:1" x14ac:dyDescent="0.2">
      <c r="A8593" s="341"/>
    </row>
    <row r="8594" spans="1:1" x14ac:dyDescent="0.2">
      <c r="A8594" s="341"/>
    </row>
    <row r="8595" spans="1:1" x14ac:dyDescent="0.2">
      <c r="A8595" s="341"/>
    </row>
    <row r="8596" spans="1:1" x14ac:dyDescent="0.2">
      <c r="A8596" s="341"/>
    </row>
    <row r="8597" spans="1:1" x14ac:dyDescent="0.2">
      <c r="A8597" s="341"/>
    </row>
    <row r="8598" spans="1:1" x14ac:dyDescent="0.2">
      <c r="A8598" s="341"/>
    </row>
    <row r="8599" spans="1:1" x14ac:dyDescent="0.2">
      <c r="A8599" s="341"/>
    </row>
    <row r="8600" spans="1:1" x14ac:dyDescent="0.2">
      <c r="A8600" s="341"/>
    </row>
    <row r="8601" spans="1:1" x14ac:dyDescent="0.2">
      <c r="A8601" s="341"/>
    </row>
    <row r="8602" spans="1:1" x14ac:dyDescent="0.2">
      <c r="A8602" s="341"/>
    </row>
    <row r="8603" spans="1:1" x14ac:dyDescent="0.2">
      <c r="A8603" s="341"/>
    </row>
    <row r="8604" spans="1:1" x14ac:dyDescent="0.2">
      <c r="A8604" s="341"/>
    </row>
    <row r="8605" spans="1:1" x14ac:dyDescent="0.2">
      <c r="A8605" s="341"/>
    </row>
    <row r="8606" spans="1:1" x14ac:dyDescent="0.2">
      <c r="A8606" s="341"/>
    </row>
    <row r="8607" spans="1:1" x14ac:dyDescent="0.2">
      <c r="A8607" s="341"/>
    </row>
    <row r="8608" spans="1:1" x14ac:dyDescent="0.2">
      <c r="A8608" s="341"/>
    </row>
    <row r="8609" spans="1:1" x14ac:dyDescent="0.2">
      <c r="A8609" s="341"/>
    </row>
    <row r="8610" spans="1:1" x14ac:dyDescent="0.2">
      <c r="A8610" s="341"/>
    </row>
    <row r="8611" spans="1:1" x14ac:dyDescent="0.2">
      <c r="A8611" s="341"/>
    </row>
    <row r="8612" spans="1:1" x14ac:dyDescent="0.2">
      <c r="A8612" s="341"/>
    </row>
    <row r="8613" spans="1:1" x14ac:dyDescent="0.2">
      <c r="A8613" s="341"/>
    </row>
    <row r="8614" spans="1:1" x14ac:dyDescent="0.2">
      <c r="A8614" s="341"/>
    </row>
    <row r="8615" spans="1:1" x14ac:dyDescent="0.2">
      <c r="A8615" s="341"/>
    </row>
    <row r="8616" spans="1:1" x14ac:dyDescent="0.2">
      <c r="A8616" s="341"/>
    </row>
    <row r="8617" spans="1:1" x14ac:dyDescent="0.2">
      <c r="A8617" s="341"/>
    </row>
    <row r="8618" spans="1:1" x14ac:dyDescent="0.2">
      <c r="A8618" s="341"/>
    </row>
    <row r="8619" spans="1:1" x14ac:dyDescent="0.2">
      <c r="A8619" s="341"/>
    </row>
    <row r="8620" spans="1:1" x14ac:dyDescent="0.2">
      <c r="A8620" s="341"/>
    </row>
    <row r="8621" spans="1:1" x14ac:dyDescent="0.2">
      <c r="A8621" s="341"/>
    </row>
    <row r="8622" spans="1:1" x14ac:dyDescent="0.2">
      <c r="A8622" s="341"/>
    </row>
    <row r="8623" spans="1:1" x14ac:dyDescent="0.2">
      <c r="A8623" s="341"/>
    </row>
    <row r="8624" spans="1:1" x14ac:dyDescent="0.2">
      <c r="A8624" s="341"/>
    </row>
    <row r="8625" spans="1:1" x14ac:dyDescent="0.2">
      <c r="A8625" s="341"/>
    </row>
    <row r="8626" spans="1:1" x14ac:dyDescent="0.2">
      <c r="A8626" s="341"/>
    </row>
    <row r="8627" spans="1:1" x14ac:dyDescent="0.2">
      <c r="A8627" s="341"/>
    </row>
    <row r="8628" spans="1:1" x14ac:dyDescent="0.2">
      <c r="A8628" s="341"/>
    </row>
    <row r="8629" spans="1:1" x14ac:dyDescent="0.2">
      <c r="A8629" s="341"/>
    </row>
    <row r="8630" spans="1:1" x14ac:dyDescent="0.2">
      <c r="A8630" s="341"/>
    </row>
    <row r="8631" spans="1:1" x14ac:dyDescent="0.2">
      <c r="A8631" s="341"/>
    </row>
    <row r="8632" spans="1:1" x14ac:dyDescent="0.2">
      <c r="A8632" s="341"/>
    </row>
    <row r="8633" spans="1:1" x14ac:dyDescent="0.2">
      <c r="A8633" s="341"/>
    </row>
    <row r="8634" spans="1:1" x14ac:dyDescent="0.2">
      <c r="A8634" s="341"/>
    </row>
    <row r="8635" spans="1:1" x14ac:dyDescent="0.2">
      <c r="A8635" s="341"/>
    </row>
    <row r="8636" spans="1:1" x14ac:dyDescent="0.2">
      <c r="A8636" s="341"/>
    </row>
    <row r="8637" spans="1:1" x14ac:dyDescent="0.2">
      <c r="A8637" s="341"/>
    </row>
    <row r="8638" spans="1:1" x14ac:dyDescent="0.2">
      <c r="A8638" s="341"/>
    </row>
    <row r="8639" spans="1:1" x14ac:dyDescent="0.2">
      <c r="A8639" s="341"/>
    </row>
    <row r="8640" spans="1:1" x14ac:dyDescent="0.2">
      <c r="A8640" s="341"/>
    </row>
    <row r="8641" spans="1:1" x14ac:dyDescent="0.2">
      <c r="A8641" s="341"/>
    </row>
    <row r="8642" spans="1:1" x14ac:dyDescent="0.2">
      <c r="A8642" s="341"/>
    </row>
    <row r="8643" spans="1:1" x14ac:dyDescent="0.2">
      <c r="A8643" s="341"/>
    </row>
    <row r="8644" spans="1:1" x14ac:dyDescent="0.2">
      <c r="A8644" s="341"/>
    </row>
    <row r="8645" spans="1:1" x14ac:dyDescent="0.2">
      <c r="A8645" s="341"/>
    </row>
    <row r="8646" spans="1:1" x14ac:dyDescent="0.2">
      <c r="A8646" s="341"/>
    </row>
    <row r="8647" spans="1:1" x14ac:dyDescent="0.2">
      <c r="A8647" s="341"/>
    </row>
    <row r="8648" spans="1:1" x14ac:dyDescent="0.2">
      <c r="A8648" s="341"/>
    </row>
    <row r="8649" spans="1:1" x14ac:dyDescent="0.2">
      <c r="A8649" s="341"/>
    </row>
    <row r="8650" spans="1:1" x14ac:dyDescent="0.2">
      <c r="A8650" s="341"/>
    </row>
    <row r="8651" spans="1:1" x14ac:dyDescent="0.2">
      <c r="A8651" s="341"/>
    </row>
    <row r="8652" spans="1:1" x14ac:dyDescent="0.2">
      <c r="A8652" s="341"/>
    </row>
    <row r="8653" spans="1:1" x14ac:dyDescent="0.2">
      <c r="A8653" s="341"/>
    </row>
    <row r="8654" spans="1:1" x14ac:dyDescent="0.2">
      <c r="A8654" s="341"/>
    </row>
    <row r="8655" spans="1:1" x14ac:dyDescent="0.2">
      <c r="A8655" s="341"/>
    </row>
    <row r="8656" spans="1:1" x14ac:dyDescent="0.2">
      <c r="A8656" s="341"/>
    </row>
    <row r="8657" spans="1:1" x14ac:dyDescent="0.2">
      <c r="A8657" s="341"/>
    </row>
    <row r="8658" spans="1:1" x14ac:dyDescent="0.2">
      <c r="A8658" s="341"/>
    </row>
    <row r="8659" spans="1:1" x14ac:dyDescent="0.2">
      <c r="A8659" s="341"/>
    </row>
    <row r="8660" spans="1:1" x14ac:dyDescent="0.2">
      <c r="A8660" s="341"/>
    </row>
    <row r="8661" spans="1:1" x14ac:dyDescent="0.2">
      <c r="A8661" s="341"/>
    </row>
    <row r="8662" spans="1:1" x14ac:dyDescent="0.2">
      <c r="A8662" s="341"/>
    </row>
    <row r="8663" spans="1:1" x14ac:dyDescent="0.2">
      <c r="A8663" s="341"/>
    </row>
    <row r="8664" spans="1:1" x14ac:dyDescent="0.2">
      <c r="A8664" s="341"/>
    </row>
    <row r="8665" spans="1:1" x14ac:dyDescent="0.2">
      <c r="A8665" s="341"/>
    </row>
    <row r="8666" spans="1:1" x14ac:dyDescent="0.2">
      <c r="A8666" s="341"/>
    </row>
    <row r="8667" spans="1:1" x14ac:dyDescent="0.2">
      <c r="A8667" s="341"/>
    </row>
    <row r="8668" spans="1:1" x14ac:dyDescent="0.2">
      <c r="A8668" s="341"/>
    </row>
    <row r="8669" spans="1:1" x14ac:dyDescent="0.2">
      <c r="A8669" s="341"/>
    </row>
    <row r="8670" spans="1:1" x14ac:dyDescent="0.2">
      <c r="A8670" s="341"/>
    </row>
    <row r="8671" spans="1:1" x14ac:dyDescent="0.2">
      <c r="A8671" s="341"/>
    </row>
    <row r="8672" spans="1:1" x14ac:dyDescent="0.2">
      <c r="A8672" s="341"/>
    </row>
    <row r="8673" spans="1:1" x14ac:dyDescent="0.2">
      <c r="A8673" s="341"/>
    </row>
    <row r="8674" spans="1:1" x14ac:dyDescent="0.2">
      <c r="A8674" s="341"/>
    </row>
    <row r="8675" spans="1:1" x14ac:dyDescent="0.2">
      <c r="A8675" s="341"/>
    </row>
    <row r="8676" spans="1:1" x14ac:dyDescent="0.2">
      <c r="A8676" s="341"/>
    </row>
    <row r="8677" spans="1:1" x14ac:dyDescent="0.2">
      <c r="A8677" s="341"/>
    </row>
    <row r="8678" spans="1:1" x14ac:dyDescent="0.2">
      <c r="A8678" s="341"/>
    </row>
    <row r="8679" spans="1:1" x14ac:dyDescent="0.2">
      <c r="A8679" s="341"/>
    </row>
    <row r="8680" spans="1:1" x14ac:dyDescent="0.2">
      <c r="A8680" s="341"/>
    </row>
    <row r="8681" spans="1:1" x14ac:dyDescent="0.2">
      <c r="A8681" s="341"/>
    </row>
    <row r="8682" spans="1:1" x14ac:dyDescent="0.2">
      <c r="A8682" s="341"/>
    </row>
    <row r="8683" spans="1:1" x14ac:dyDescent="0.2">
      <c r="A8683" s="341"/>
    </row>
    <row r="8684" spans="1:1" x14ac:dyDescent="0.2">
      <c r="A8684" s="341"/>
    </row>
    <row r="8685" spans="1:1" x14ac:dyDescent="0.2">
      <c r="A8685" s="341"/>
    </row>
    <row r="8686" spans="1:1" x14ac:dyDescent="0.2">
      <c r="A8686" s="341"/>
    </row>
    <row r="8687" spans="1:1" x14ac:dyDescent="0.2">
      <c r="A8687" s="341"/>
    </row>
    <row r="8688" spans="1:1" x14ac:dyDescent="0.2">
      <c r="A8688" s="341"/>
    </row>
    <row r="8689" spans="1:1" x14ac:dyDescent="0.2">
      <c r="A8689" s="341"/>
    </row>
    <row r="8690" spans="1:1" x14ac:dyDescent="0.2">
      <c r="A8690" s="341"/>
    </row>
    <row r="8691" spans="1:1" x14ac:dyDescent="0.2">
      <c r="A8691" s="341"/>
    </row>
    <row r="8692" spans="1:1" x14ac:dyDescent="0.2">
      <c r="A8692" s="341"/>
    </row>
    <row r="8693" spans="1:1" x14ac:dyDescent="0.2">
      <c r="A8693" s="341"/>
    </row>
    <row r="8694" spans="1:1" x14ac:dyDescent="0.2">
      <c r="A8694" s="341"/>
    </row>
    <row r="8695" spans="1:1" x14ac:dyDescent="0.2">
      <c r="A8695" s="341"/>
    </row>
    <row r="8696" spans="1:1" x14ac:dyDescent="0.2">
      <c r="A8696" s="341"/>
    </row>
    <row r="8697" spans="1:1" x14ac:dyDescent="0.2">
      <c r="A8697" s="341"/>
    </row>
    <row r="8698" spans="1:1" x14ac:dyDescent="0.2">
      <c r="A8698" s="341"/>
    </row>
    <row r="8699" spans="1:1" x14ac:dyDescent="0.2">
      <c r="A8699" s="341"/>
    </row>
    <row r="8700" spans="1:1" x14ac:dyDescent="0.2">
      <c r="A8700" s="341"/>
    </row>
    <row r="8701" spans="1:1" x14ac:dyDescent="0.2">
      <c r="A8701" s="341"/>
    </row>
    <row r="8702" spans="1:1" x14ac:dyDescent="0.2">
      <c r="A8702" s="341"/>
    </row>
    <row r="8703" spans="1:1" x14ac:dyDescent="0.2">
      <c r="A8703" s="341"/>
    </row>
    <row r="8704" spans="1:1" x14ac:dyDescent="0.2">
      <c r="A8704" s="341"/>
    </row>
    <row r="8705" spans="1:1" x14ac:dyDescent="0.2">
      <c r="A8705" s="341"/>
    </row>
    <row r="8706" spans="1:1" x14ac:dyDescent="0.2">
      <c r="A8706" s="341"/>
    </row>
    <row r="8707" spans="1:1" x14ac:dyDescent="0.2">
      <c r="A8707" s="341"/>
    </row>
    <row r="8708" spans="1:1" x14ac:dyDescent="0.2">
      <c r="A8708" s="341"/>
    </row>
    <row r="8709" spans="1:1" x14ac:dyDescent="0.2">
      <c r="A8709" s="341"/>
    </row>
    <row r="8710" spans="1:1" x14ac:dyDescent="0.2">
      <c r="A8710" s="341"/>
    </row>
    <row r="8711" spans="1:1" x14ac:dyDescent="0.2">
      <c r="A8711" s="341"/>
    </row>
    <row r="8712" spans="1:1" x14ac:dyDescent="0.2">
      <c r="A8712" s="341"/>
    </row>
    <row r="8713" spans="1:1" x14ac:dyDescent="0.2">
      <c r="A8713" s="341"/>
    </row>
    <row r="8714" spans="1:1" x14ac:dyDescent="0.2">
      <c r="A8714" s="341"/>
    </row>
    <row r="8715" spans="1:1" x14ac:dyDescent="0.2">
      <c r="A8715" s="341"/>
    </row>
    <row r="8716" spans="1:1" x14ac:dyDescent="0.2">
      <c r="A8716" s="341"/>
    </row>
    <row r="8717" spans="1:1" x14ac:dyDescent="0.2">
      <c r="A8717" s="341"/>
    </row>
    <row r="8718" spans="1:1" x14ac:dyDescent="0.2">
      <c r="A8718" s="341"/>
    </row>
    <row r="8719" spans="1:1" x14ac:dyDescent="0.2">
      <c r="A8719" s="341"/>
    </row>
    <row r="8720" spans="1:1" x14ac:dyDescent="0.2">
      <c r="A8720" s="341"/>
    </row>
    <row r="8721" spans="1:1" x14ac:dyDescent="0.2">
      <c r="A8721" s="341"/>
    </row>
    <row r="8722" spans="1:1" x14ac:dyDescent="0.2">
      <c r="A8722" s="341"/>
    </row>
    <row r="8723" spans="1:1" x14ac:dyDescent="0.2">
      <c r="A8723" s="341"/>
    </row>
    <row r="8724" spans="1:1" x14ac:dyDescent="0.2">
      <c r="A8724" s="341"/>
    </row>
    <row r="8725" spans="1:1" x14ac:dyDescent="0.2">
      <c r="A8725" s="341"/>
    </row>
    <row r="8726" spans="1:1" x14ac:dyDescent="0.2">
      <c r="A8726" s="341"/>
    </row>
    <row r="8727" spans="1:1" x14ac:dyDescent="0.2">
      <c r="A8727" s="341"/>
    </row>
    <row r="8728" spans="1:1" x14ac:dyDescent="0.2">
      <c r="A8728" s="341"/>
    </row>
    <row r="8729" spans="1:1" x14ac:dyDescent="0.2">
      <c r="A8729" s="341"/>
    </row>
    <row r="8730" spans="1:1" x14ac:dyDescent="0.2">
      <c r="A8730" s="341"/>
    </row>
    <row r="8731" spans="1:1" x14ac:dyDescent="0.2">
      <c r="A8731" s="341"/>
    </row>
    <row r="8732" spans="1:1" x14ac:dyDescent="0.2">
      <c r="A8732" s="341"/>
    </row>
    <row r="8733" spans="1:1" x14ac:dyDescent="0.2">
      <c r="A8733" s="341"/>
    </row>
    <row r="8734" spans="1:1" x14ac:dyDescent="0.2">
      <c r="A8734" s="341"/>
    </row>
    <row r="8735" spans="1:1" x14ac:dyDescent="0.2">
      <c r="A8735" s="341"/>
    </row>
    <row r="8736" spans="1:1" x14ac:dyDescent="0.2">
      <c r="A8736" s="341"/>
    </row>
    <row r="8737" spans="1:1" x14ac:dyDescent="0.2">
      <c r="A8737" s="341"/>
    </row>
    <row r="8738" spans="1:1" x14ac:dyDescent="0.2">
      <c r="A8738" s="341"/>
    </row>
    <row r="8739" spans="1:1" x14ac:dyDescent="0.2">
      <c r="A8739" s="341"/>
    </row>
    <row r="8740" spans="1:1" x14ac:dyDescent="0.2">
      <c r="A8740" s="341"/>
    </row>
    <row r="8741" spans="1:1" x14ac:dyDescent="0.2">
      <c r="A8741" s="341"/>
    </row>
    <row r="8742" spans="1:1" x14ac:dyDescent="0.2">
      <c r="A8742" s="341"/>
    </row>
    <row r="8743" spans="1:1" x14ac:dyDescent="0.2">
      <c r="A8743" s="341"/>
    </row>
    <row r="8744" spans="1:1" x14ac:dyDescent="0.2">
      <c r="A8744" s="341"/>
    </row>
    <row r="8745" spans="1:1" x14ac:dyDescent="0.2">
      <c r="A8745" s="341"/>
    </row>
    <row r="8746" spans="1:1" x14ac:dyDescent="0.2">
      <c r="A8746" s="341"/>
    </row>
    <row r="8747" spans="1:1" x14ac:dyDescent="0.2">
      <c r="A8747" s="341"/>
    </row>
    <row r="8748" spans="1:1" x14ac:dyDescent="0.2">
      <c r="A8748" s="341"/>
    </row>
    <row r="8749" spans="1:1" x14ac:dyDescent="0.2">
      <c r="A8749" s="341"/>
    </row>
    <row r="8750" spans="1:1" x14ac:dyDescent="0.2">
      <c r="A8750" s="341"/>
    </row>
    <row r="8751" spans="1:1" x14ac:dyDescent="0.2">
      <c r="A8751" s="341"/>
    </row>
    <row r="8752" spans="1:1" x14ac:dyDescent="0.2">
      <c r="A8752" s="341"/>
    </row>
    <row r="8753" spans="1:1" x14ac:dyDescent="0.2">
      <c r="A8753" s="341"/>
    </row>
    <row r="8754" spans="1:1" x14ac:dyDescent="0.2">
      <c r="A8754" s="341"/>
    </row>
    <row r="8755" spans="1:1" x14ac:dyDescent="0.2">
      <c r="A8755" s="341"/>
    </row>
    <row r="8756" spans="1:1" x14ac:dyDescent="0.2">
      <c r="A8756" s="341"/>
    </row>
    <row r="8757" spans="1:1" x14ac:dyDescent="0.2">
      <c r="A8757" s="341"/>
    </row>
    <row r="8758" spans="1:1" x14ac:dyDescent="0.2">
      <c r="A8758" s="341"/>
    </row>
    <row r="8759" spans="1:1" x14ac:dyDescent="0.2">
      <c r="A8759" s="341"/>
    </row>
    <row r="8760" spans="1:1" x14ac:dyDescent="0.2">
      <c r="A8760" s="341"/>
    </row>
    <row r="8761" spans="1:1" x14ac:dyDescent="0.2">
      <c r="A8761" s="341"/>
    </row>
    <row r="8762" spans="1:1" x14ac:dyDescent="0.2">
      <c r="A8762" s="341"/>
    </row>
    <row r="8763" spans="1:1" x14ac:dyDescent="0.2">
      <c r="A8763" s="341"/>
    </row>
    <row r="8764" spans="1:1" x14ac:dyDescent="0.2">
      <c r="A8764" s="341"/>
    </row>
    <row r="8765" spans="1:1" x14ac:dyDescent="0.2">
      <c r="A8765" s="341"/>
    </row>
    <row r="8766" spans="1:1" x14ac:dyDescent="0.2">
      <c r="A8766" s="341"/>
    </row>
    <row r="8767" spans="1:1" x14ac:dyDescent="0.2">
      <c r="A8767" s="341"/>
    </row>
    <row r="8768" spans="1:1" x14ac:dyDescent="0.2">
      <c r="A8768" s="341"/>
    </row>
    <row r="8769" spans="1:1" x14ac:dyDescent="0.2">
      <c r="A8769" s="341"/>
    </row>
    <row r="8770" spans="1:1" x14ac:dyDescent="0.2">
      <c r="A8770" s="341"/>
    </row>
    <row r="8771" spans="1:1" x14ac:dyDescent="0.2">
      <c r="A8771" s="341"/>
    </row>
    <row r="8772" spans="1:1" x14ac:dyDescent="0.2">
      <c r="A8772" s="341"/>
    </row>
    <row r="8773" spans="1:1" x14ac:dyDescent="0.2">
      <c r="A8773" s="341"/>
    </row>
    <row r="8774" spans="1:1" x14ac:dyDescent="0.2">
      <c r="A8774" s="341"/>
    </row>
    <row r="8775" spans="1:1" x14ac:dyDescent="0.2">
      <c r="A8775" s="341"/>
    </row>
    <row r="8776" spans="1:1" x14ac:dyDescent="0.2">
      <c r="A8776" s="341"/>
    </row>
    <row r="8777" spans="1:1" x14ac:dyDescent="0.2">
      <c r="A8777" s="341"/>
    </row>
    <row r="8778" spans="1:1" x14ac:dyDescent="0.2">
      <c r="A8778" s="341"/>
    </row>
    <row r="8779" spans="1:1" x14ac:dyDescent="0.2">
      <c r="A8779" s="341"/>
    </row>
    <row r="8780" spans="1:1" x14ac:dyDescent="0.2">
      <c r="A8780" s="341"/>
    </row>
    <row r="8781" spans="1:1" x14ac:dyDescent="0.2">
      <c r="A8781" s="341"/>
    </row>
    <row r="8782" spans="1:1" x14ac:dyDescent="0.2">
      <c r="A8782" s="341"/>
    </row>
    <row r="8783" spans="1:1" x14ac:dyDescent="0.2">
      <c r="A8783" s="341"/>
    </row>
    <row r="8784" spans="1:1" x14ac:dyDescent="0.2">
      <c r="A8784" s="341"/>
    </row>
    <row r="8785" spans="1:1" x14ac:dyDescent="0.2">
      <c r="A8785" s="341"/>
    </row>
    <row r="8786" spans="1:1" x14ac:dyDescent="0.2">
      <c r="A8786" s="341"/>
    </row>
    <row r="8787" spans="1:1" x14ac:dyDescent="0.2">
      <c r="A8787" s="341"/>
    </row>
    <row r="8788" spans="1:1" x14ac:dyDescent="0.2">
      <c r="A8788" s="341"/>
    </row>
    <row r="8789" spans="1:1" x14ac:dyDescent="0.2">
      <c r="A8789" s="341"/>
    </row>
    <row r="8790" spans="1:1" x14ac:dyDescent="0.2">
      <c r="A8790" s="341"/>
    </row>
    <row r="8791" spans="1:1" x14ac:dyDescent="0.2">
      <c r="A8791" s="341"/>
    </row>
    <row r="8792" spans="1:1" x14ac:dyDescent="0.2">
      <c r="A8792" s="341"/>
    </row>
    <row r="8793" spans="1:1" x14ac:dyDescent="0.2">
      <c r="A8793" s="341"/>
    </row>
    <row r="8794" spans="1:1" x14ac:dyDescent="0.2">
      <c r="A8794" s="341"/>
    </row>
    <row r="8795" spans="1:1" x14ac:dyDescent="0.2">
      <c r="A8795" s="341"/>
    </row>
    <row r="8796" spans="1:1" x14ac:dyDescent="0.2">
      <c r="A8796" s="341"/>
    </row>
    <row r="8797" spans="1:1" x14ac:dyDescent="0.2">
      <c r="A8797" s="341"/>
    </row>
    <row r="8798" spans="1:1" x14ac:dyDescent="0.2">
      <c r="A8798" s="341"/>
    </row>
    <row r="8799" spans="1:1" x14ac:dyDescent="0.2">
      <c r="A8799" s="341"/>
    </row>
    <row r="8800" spans="1:1" x14ac:dyDescent="0.2">
      <c r="A8800" s="341"/>
    </row>
    <row r="8801" spans="1:1" x14ac:dyDescent="0.2">
      <c r="A8801" s="341"/>
    </row>
    <row r="8802" spans="1:1" x14ac:dyDescent="0.2">
      <c r="A8802" s="341"/>
    </row>
    <row r="8803" spans="1:1" x14ac:dyDescent="0.2">
      <c r="A8803" s="341"/>
    </row>
    <row r="8804" spans="1:1" x14ac:dyDescent="0.2">
      <c r="A8804" s="341"/>
    </row>
    <row r="8805" spans="1:1" x14ac:dyDescent="0.2">
      <c r="A8805" s="341"/>
    </row>
    <row r="8806" spans="1:1" x14ac:dyDescent="0.2">
      <c r="A8806" s="341"/>
    </row>
    <row r="8807" spans="1:1" x14ac:dyDescent="0.2">
      <c r="A8807" s="341"/>
    </row>
    <row r="8808" spans="1:1" x14ac:dyDescent="0.2">
      <c r="A8808" s="341"/>
    </row>
    <row r="8809" spans="1:1" x14ac:dyDescent="0.2">
      <c r="A8809" s="341"/>
    </row>
    <row r="8810" spans="1:1" x14ac:dyDescent="0.2">
      <c r="A8810" s="341"/>
    </row>
    <row r="8811" spans="1:1" x14ac:dyDescent="0.2">
      <c r="A8811" s="341"/>
    </row>
    <row r="8812" spans="1:1" x14ac:dyDescent="0.2">
      <c r="A8812" s="341"/>
    </row>
    <row r="8813" spans="1:1" x14ac:dyDescent="0.2">
      <c r="A8813" s="341"/>
    </row>
    <row r="8814" spans="1:1" x14ac:dyDescent="0.2">
      <c r="A8814" s="341"/>
    </row>
    <row r="8815" spans="1:1" x14ac:dyDescent="0.2">
      <c r="A8815" s="341"/>
    </row>
    <row r="8816" spans="1:1" x14ac:dyDescent="0.2">
      <c r="A8816" s="341"/>
    </row>
    <row r="8817" spans="1:1" x14ac:dyDescent="0.2">
      <c r="A8817" s="341"/>
    </row>
    <row r="8818" spans="1:1" x14ac:dyDescent="0.2">
      <c r="A8818" s="341"/>
    </row>
    <row r="8819" spans="1:1" x14ac:dyDescent="0.2">
      <c r="A8819" s="341"/>
    </row>
    <row r="8820" spans="1:1" x14ac:dyDescent="0.2">
      <c r="A8820" s="341"/>
    </row>
    <row r="8821" spans="1:1" x14ac:dyDescent="0.2">
      <c r="A8821" s="341"/>
    </row>
    <row r="8822" spans="1:1" x14ac:dyDescent="0.2">
      <c r="A8822" s="341"/>
    </row>
    <row r="8823" spans="1:1" x14ac:dyDescent="0.2">
      <c r="A8823" s="341"/>
    </row>
    <row r="8824" spans="1:1" x14ac:dyDescent="0.2">
      <c r="A8824" s="341"/>
    </row>
    <row r="8825" spans="1:1" x14ac:dyDescent="0.2">
      <c r="A8825" s="341"/>
    </row>
    <row r="8826" spans="1:1" x14ac:dyDescent="0.2">
      <c r="A8826" s="341"/>
    </row>
    <row r="8827" spans="1:1" x14ac:dyDescent="0.2">
      <c r="A8827" s="341"/>
    </row>
    <row r="8828" spans="1:1" x14ac:dyDescent="0.2">
      <c r="A8828" s="341"/>
    </row>
    <row r="8829" spans="1:1" x14ac:dyDescent="0.2">
      <c r="A8829" s="341"/>
    </row>
    <row r="8830" spans="1:1" x14ac:dyDescent="0.2">
      <c r="A8830" s="341"/>
    </row>
    <row r="8831" spans="1:1" x14ac:dyDescent="0.2">
      <c r="A8831" s="341"/>
    </row>
    <row r="8832" spans="1:1" x14ac:dyDescent="0.2">
      <c r="A8832" s="341"/>
    </row>
    <row r="8833" spans="1:1" x14ac:dyDescent="0.2">
      <c r="A8833" s="341"/>
    </row>
    <row r="8834" spans="1:1" x14ac:dyDescent="0.2">
      <c r="A8834" s="341"/>
    </row>
    <row r="8835" spans="1:1" x14ac:dyDescent="0.2">
      <c r="A8835" s="341"/>
    </row>
    <row r="8836" spans="1:1" x14ac:dyDescent="0.2">
      <c r="A8836" s="341"/>
    </row>
    <row r="8837" spans="1:1" x14ac:dyDescent="0.2">
      <c r="A8837" s="341"/>
    </row>
    <row r="8838" spans="1:1" x14ac:dyDescent="0.2">
      <c r="A8838" s="341"/>
    </row>
    <row r="8839" spans="1:1" x14ac:dyDescent="0.2">
      <c r="A8839" s="341"/>
    </row>
    <row r="8840" spans="1:1" x14ac:dyDescent="0.2">
      <c r="A8840" s="341"/>
    </row>
    <row r="8841" spans="1:1" x14ac:dyDescent="0.2">
      <c r="A8841" s="341"/>
    </row>
    <row r="8842" spans="1:1" x14ac:dyDescent="0.2">
      <c r="A8842" s="341"/>
    </row>
    <row r="8843" spans="1:1" x14ac:dyDescent="0.2">
      <c r="A8843" s="341"/>
    </row>
    <row r="8844" spans="1:1" x14ac:dyDescent="0.2">
      <c r="A8844" s="341"/>
    </row>
    <row r="8845" spans="1:1" x14ac:dyDescent="0.2">
      <c r="A8845" s="341"/>
    </row>
    <row r="8846" spans="1:1" x14ac:dyDescent="0.2">
      <c r="A8846" s="341"/>
    </row>
    <row r="8847" spans="1:1" x14ac:dyDescent="0.2">
      <c r="A8847" s="341"/>
    </row>
    <row r="8848" spans="1:1" x14ac:dyDescent="0.2">
      <c r="A8848" s="341"/>
    </row>
    <row r="8849" spans="1:1" x14ac:dyDescent="0.2">
      <c r="A8849" s="341"/>
    </row>
    <row r="8850" spans="1:1" x14ac:dyDescent="0.2">
      <c r="A8850" s="341"/>
    </row>
    <row r="8851" spans="1:1" x14ac:dyDescent="0.2">
      <c r="A8851" s="341"/>
    </row>
    <row r="8852" spans="1:1" x14ac:dyDescent="0.2">
      <c r="A8852" s="341"/>
    </row>
    <row r="8853" spans="1:1" x14ac:dyDescent="0.2">
      <c r="A8853" s="341"/>
    </row>
    <row r="8854" spans="1:1" x14ac:dyDescent="0.2">
      <c r="A8854" s="341"/>
    </row>
    <row r="8855" spans="1:1" x14ac:dyDescent="0.2">
      <c r="A8855" s="341"/>
    </row>
    <row r="8856" spans="1:1" x14ac:dyDescent="0.2">
      <c r="A8856" s="341"/>
    </row>
    <row r="8857" spans="1:1" x14ac:dyDescent="0.2">
      <c r="A8857" s="341"/>
    </row>
    <row r="8858" spans="1:1" x14ac:dyDescent="0.2">
      <c r="A8858" s="341"/>
    </row>
    <row r="8859" spans="1:1" x14ac:dyDescent="0.2">
      <c r="A8859" s="341"/>
    </row>
    <row r="8860" spans="1:1" x14ac:dyDescent="0.2">
      <c r="A8860" s="341"/>
    </row>
    <row r="8861" spans="1:1" x14ac:dyDescent="0.2">
      <c r="A8861" s="341"/>
    </row>
    <row r="8862" spans="1:1" x14ac:dyDescent="0.2">
      <c r="A8862" s="341"/>
    </row>
    <row r="8863" spans="1:1" x14ac:dyDescent="0.2">
      <c r="A8863" s="341"/>
    </row>
    <row r="8864" spans="1:1" x14ac:dyDescent="0.2">
      <c r="A8864" s="341"/>
    </row>
    <row r="8865" spans="1:1" x14ac:dyDescent="0.2">
      <c r="A8865" s="341"/>
    </row>
    <row r="8866" spans="1:1" x14ac:dyDescent="0.2">
      <c r="A8866" s="341"/>
    </row>
    <row r="8867" spans="1:1" x14ac:dyDescent="0.2">
      <c r="A8867" s="341"/>
    </row>
    <row r="8868" spans="1:1" x14ac:dyDescent="0.2">
      <c r="A8868" s="341"/>
    </row>
    <row r="8869" spans="1:1" x14ac:dyDescent="0.2">
      <c r="A8869" s="341"/>
    </row>
    <row r="8870" spans="1:1" x14ac:dyDescent="0.2">
      <c r="A8870" s="341"/>
    </row>
    <row r="8871" spans="1:1" x14ac:dyDescent="0.2">
      <c r="A8871" s="341"/>
    </row>
    <row r="8872" spans="1:1" x14ac:dyDescent="0.2">
      <c r="A8872" s="341"/>
    </row>
    <row r="8873" spans="1:1" x14ac:dyDescent="0.2">
      <c r="A8873" s="341"/>
    </row>
    <row r="8874" spans="1:1" x14ac:dyDescent="0.2">
      <c r="A8874" s="341"/>
    </row>
    <row r="8875" spans="1:1" x14ac:dyDescent="0.2">
      <c r="A8875" s="341"/>
    </row>
    <row r="8876" spans="1:1" x14ac:dyDescent="0.2">
      <c r="A8876" s="341"/>
    </row>
    <row r="8877" spans="1:1" x14ac:dyDescent="0.2">
      <c r="A8877" s="341"/>
    </row>
    <row r="8878" spans="1:1" x14ac:dyDescent="0.2">
      <c r="A8878" s="341"/>
    </row>
    <row r="8879" spans="1:1" x14ac:dyDescent="0.2">
      <c r="A8879" s="341"/>
    </row>
    <row r="8880" spans="1:1" x14ac:dyDescent="0.2">
      <c r="A8880" s="341"/>
    </row>
    <row r="8881" spans="1:1" x14ac:dyDescent="0.2">
      <c r="A8881" s="341"/>
    </row>
    <row r="8882" spans="1:1" x14ac:dyDescent="0.2">
      <c r="A8882" s="341"/>
    </row>
    <row r="8883" spans="1:1" x14ac:dyDescent="0.2">
      <c r="A8883" s="341"/>
    </row>
    <row r="8884" spans="1:1" x14ac:dyDescent="0.2">
      <c r="A8884" s="341"/>
    </row>
    <row r="8885" spans="1:1" x14ac:dyDescent="0.2">
      <c r="A8885" s="341"/>
    </row>
    <row r="8886" spans="1:1" x14ac:dyDescent="0.2">
      <c r="A8886" s="341"/>
    </row>
    <row r="8887" spans="1:1" x14ac:dyDescent="0.2">
      <c r="A8887" s="341"/>
    </row>
    <row r="8888" spans="1:1" x14ac:dyDescent="0.2">
      <c r="A8888" s="341"/>
    </row>
    <row r="8889" spans="1:1" x14ac:dyDescent="0.2">
      <c r="A8889" s="341"/>
    </row>
    <row r="8890" spans="1:1" x14ac:dyDescent="0.2">
      <c r="A8890" s="341"/>
    </row>
    <row r="8891" spans="1:1" x14ac:dyDescent="0.2">
      <c r="A8891" s="341"/>
    </row>
    <row r="8892" spans="1:1" x14ac:dyDescent="0.2">
      <c r="A8892" s="341"/>
    </row>
    <row r="8893" spans="1:1" x14ac:dyDescent="0.2">
      <c r="A8893" s="341"/>
    </row>
    <row r="8894" spans="1:1" x14ac:dyDescent="0.2">
      <c r="A8894" s="341"/>
    </row>
    <row r="8895" spans="1:1" x14ac:dyDescent="0.2">
      <c r="A8895" s="341"/>
    </row>
    <row r="8896" spans="1:1" x14ac:dyDescent="0.2">
      <c r="A8896" s="341"/>
    </row>
    <row r="8897" spans="1:1" x14ac:dyDescent="0.2">
      <c r="A8897" s="341"/>
    </row>
    <row r="8898" spans="1:1" x14ac:dyDescent="0.2">
      <c r="A8898" s="341"/>
    </row>
    <row r="8899" spans="1:1" x14ac:dyDescent="0.2">
      <c r="A8899" s="341"/>
    </row>
    <row r="8900" spans="1:1" x14ac:dyDescent="0.2">
      <c r="A8900" s="341"/>
    </row>
    <row r="8901" spans="1:1" x14ac:dyDescent="0.2">
      <c r="A8901" s="341"/>
    </row>
    <row r="8902" spans="1:1" x14ac:dyDescent="0.2">
      <c r="A8902" s="341"/>
    </row>
    <row r="8903" spans="1:1" x14ac:dyDescent="0.2">
      <c r="A8903" s="341"/>
    </row>
    <row r="8904" spans="1:1" x14ac:dyDescent="0.2">
      <c r="A8904" s="341"/>
    </row>
    <row r="8905" spans="1:1" x14ac:dyDescent="0.2">
      <c r="A8905" s="341"/>
    </row>
    <row r="8906" spans="1:1" x14ac:dyDescent="0.2">
      <c r="A8906" s="341"/>
    </row>
    <row r="8907" spans="1:1" x14ac:dyDescent="0.2">
      <c r="A8907" s="341"/>
    </row>
    <row r="8908" spans="1:1" x14ac:dyDescent="0.2">
      <c r="A8908" s="341"/>
    </row>
    <row r="8909" spans="1:1" x14ac:dyDescent="0.2">
      <c r="A8909" s="341"/>
    </row>
    <row r="8910" spans="1:1" x14ac:dyDescent="0.2">
      <c r="A8910" s="341"/>
    </row>
    <row r="8911" spans="1:1" x14ac:dyDescent="0.2">
      <c r="A8911" s="341"/>
    </row>
    <row r="8912" spans="1:1" x14ac:dyDescent="0.2">
      <c r="A8912" s="341"/>
    </row>
    <row r="8913" spans="1:1" x14ac:dyDescent="0.2">
      <c r="A8913" s="341"/>
    </row>
    <row r="8914" spans="1:1" x14ac:dyDescent="0.2">
      <c r="A8914" s="341"/>
    </row>
    <row r="8915" spans="1:1" x14ac:dyDescent="0.2">
      <c r="A8915" s="341"/>
    </row>
    <row r="8916" spans="1:1" x14ac:dyDescent="0.2">
      <c r="A8916" s="341"/>
    </row>
    <row r="8917" spans="1:1" x14ac:dyDescent="0.2">
      <c r="A8917" s="341"/>
    </row>
    <row r="8918" spans="1:1" x14ac:dyDescent="0.2">
      <c r="A8918" s="341"/>
    </row>
    <row r="8919" spans="1:1" x14ac:dyDescent="0.2">
      <c r="A8919" s="341"/>
    </row>
    <row r="8920" spans="1:1" x14ac:dyDescent="0.2">
      <c r="A8920" s="341"/>
    </row>
    <row r="8921" spans="1:1" x14ac:dyDescent="0.2">
      <c r="A8921" s="341"/>
    </row>
    <row r="8922" spans="1:1" x14ac:dyDescent="0.2">
      <c r="A8922" s="341"/>
    </row>
    <row r="8923" spans="1:1" x14ac:dyDescent="0.2">
      <c r="A8923" s="341"/>
    </row>
    <row r="8924" spans="1:1" x14ac:dyDescent="0.2">
      <c r="A8924" s="341"/>
    </row>
    <row r="8925" spans="1:1" x14ac:dyDescent="0.2">
      <c r="A8925" s="341"/>
    </row>
    <row r="8926" spans="1:1" x14ac:dyDescent="0.2">
      <c r="A8926" s="341"/>
    </row>
    <row r="8927" spans="1:1" x14ac:dyDescent="0.2">
      <c r="A8927" s="341"/>
    </row>
    <row r="8928" spans="1:1" x14ac:dyDescent="0.2">
      <c r="A8928" s="341"/>
    </row>
    <row r="8929" spans="1:1" x14ac:dyDescent="0.2">
      <c r="A8929" s="341"/>
    </row>
    <row r="8930" spans="1:1" x14ac:dyDescent="0.2">
      <c r="A8930" s="341"/>
    </row>
    <row r="8931" spans="1:1" x14ac:dyDescent="0.2">
      <c r="A8931" s="341"/>
    </row>
    <row r="8932" spans="1:1" x14ac:dyDescent="0.2">
      <c r="A8932" s="341"/>
    </row>
    <row r="8933" spans="1:1" x14ac:dyDescent="0.2">
      <c r="A8933" s="341"/>
    </row>
    <row r="8934" spans="1:1" x14ac:dyDescent="0.2">
      <c r="A8934" s="341"/>
    </row>
    <row r="8935" spans="1:1" x14ac:dyDescent="0.2">
      <c r="A8935" s="341"/>
    </row>
    <row r="8936" spans="1:1" x14ac:dyDescent="0.2">
      <c r="A8936" s="341"/>
    </row>
    <row r="8937" spans="1:1" x14ac:dyDescent="0.2">
      <c r="A8937" s="341"/>
    </row>
    <row r="8938" spans="1:1" x14ac:dyDescent="0.2">
      <c r="A8938" s="341"/>
    </row>
    <row r="8939" spans="1:1" x14ac:dyDescent="0.2">
      <c r="A8939" s="341"/>
    </row>
    <row r="8940" spans="1:1" x14ac:dyDescent="0.2">
      <c r="A8940" s="341"/>
    </row>
    <row r="8941" spans="1:1" x14ac:dyDescent="0.2">
      <c r="A8941" s="341"/>
    </row>
    <row r="8942" spans="1:1" x14ac:dyDescent="0.2">
      <c r="A8942" s="341"/>
    </row>
    <row r="8943" spans="1:1" x14ac:dyDescent="0.2">
      <c r="A8943" s="341"/>
    </row>
    <row r="8944" spans="1:1" x14ac:dyDescent="0.2">
      <c r="A8944" s="341"/>
    </row>
    <row r="8945" spans="1:1" x14ac:dyDescent="0.2">
      <c r="A8945" s="341"/>
    </row>
    <row r="8946" spans="1:1" x14ac:dyDescent="0.2">
      <c r="A8946" s="341"/>
    </row>
    <row r="8947" spans="1:1" x14ac:dyDescent="0.2">
      <c r="A8947" s="341"/>
    </row>
    <row r="8948" spans="1:1" x14ac:dyDescent="0.2">
      <c r="A8948" s="341"/>
    </row>
    <row r="8949" spans="1:1" x14ac:dyDescent="0.2">
      <c r="A8949" s="341"/>
    </row>
    <row r="8950" spans="1:1" x14ac:dyDescent="0.2">
      <c r="A8950" s="341"/>
    </row>
    <row r="8951" spans="1:1" x14ac:dyDescent="0.2">
      <c r="A8951" s="341"/>
    </row>
    <row r="8952" spans="1:1" x14ac:dyDescent="0.2">
      <c r="A8952" s="341"/>
    </row>
    <row r="8953" spans="1:1" x14ac:dyDescent="0.2">
      <c r="A8953" s="341"/>
    </row>
    <row r="8954" spans="1:1" x14ac:dyDescent="0.2">
      <c r="A8954" s="341"/>
    </row>
    <row r="8955" spans="1:1" x14ac:dyDescent="0.2">
      <c r="A8955" s="341"/>
    </row>
    <row r="8956" spans="1:1" x14ac:dyDescent="0.2">
      <c r="A8956" s="341"/>
    </row>
    <row r="8957" spans="1:1" x14ac:dyDescent="0.2">
      <c r="A8957" s="341"/>
    </row>
    <row r="8958" spans="1:1" x14ac:dyDescent="0.2">
      <c r="A8958" s="341"/>
    </row>
    <row r="8959" spans="1:1" x14ac:dyDescent="0.2">
      <c r="A8959" s="341"/>
    </row>
    <row r="8960" spans="1:1" x14ac:dyDescent="0.2">
      <c r="A8960" s="341"/>
    </row>
    <row r="8961" spans="1:1" x14ac:dyDescent="0.2">
      <c r="A8961" s="341"/>
    </row>
    <row r="8962" spans="1:1" x14ac:dyDescent="0.2">
      <c r="A8962" s="341"/>
    </row>
    <row r="8963" spans="1:1" x14ac:dyDescent="0.2">
      <c r="A8963" s="341"/>
    </row>
    <row r="8964" spans="1:1" x14ac:dyDescent="0.2">
      <c r="A8964" s="341"/>
    </row>
    <row r="8965" spans="1:1" x14ac:dyDescent="0.2">
      <c r="A8965" s="341"/>
    </row>
    <row r="8966" spans="1:1" x14ac:dyDescent="0.2">
      <c r="A8966" s="341"/>
    </row>
    <row r="8967" spans="1:1" x14ac:dyDescent="0.2">
      <c r="A8967" s="341"/>
    </row>
    <row r="8968" spans="1:1" x14ac:dyDescent="0.2">
      <c r="A8968" s="341"/>
    </row>
    <row r="8969" spans="1:1" x14ac:dyDescent="0.2">
      <c r="A8969" s="341"/>
    </row>
    <row r="8970" spans="1:1" x14ac:dyDescent="0.2">
      <c r="A8970" s="341"/>
    </row>
    <row r="8971" spans="1:1" x14ac:dyDescent="0.2">
      <c r="A8971" s="341"/>
    </row>
    <row r="8972" spans="1:1" x14ac:dyDescent="0.2">
      <c r="A8972" s="341"/>
    </row>
    <row r="8973" spans="1:1" x14ac:dyDescent="0.2">
      <c r="A8973" s="341"/>
    </row>
    <row r="8974" spans="1:1" x14ac:dyDescent="0.2">
      <c r="A8974" s="341"/>
    </row>
    <row r="8975" spans="1:1" x14ac:dyDescent="0.2">
      <c r="A8975" s="341"/>
    </row>
    <row r="8976" spans="1:1" x14ac:dyDescent="0.2">
      <c r="A8976" s="341"/>
    </row>
    <row r="8977" spans="1:1" x14ac:dyDescent="0.2">
      <c r="A8977" s="341"/>
    </row>
    <row r="8978" spans="1:1" x14ac:dyDescent="0.2">
      <c r="A8978" s="341"/>
    </row>
    <row r="8979" spans="1:1" x14ac:dyDescent="0.2">
      <c r="A8979" s="341"/>
    </row>
    <row r="8980" spans="1:1" x14ac:dyDescent="0.2">
      <c r="A8980" s="341"/>
    </row>
    <row r="8981" spans="1:1" x14ac:dyDescent="0.2">
      <c r="A8981" s="341"/>
    </row>
    <row r="8982" spans="1:1" x14ac:dyDescent="0.2">
      <c r="A8982" s="341"/>
    </row>
    <row r="8983" spans="1:1" x14ac:dyDescent="0.2">
      <c r="A8983" s="341"/>
    </row>
    <row r="8984" spans="1:1" x14ac:dyDescent="0.2">
      <c r="A8984" s="341"/>
    </row>
    <row r="8985" spans="1:1" x14ac:dyDescent="0.2">
      <c r="A8985" s="341"/>
    </row>
    <row r="8986" spans="1:1" x14ac:dyDescent="0.2">
      <c r="A8986" s="341"/>
    </row>
    <row r="8987" spans="1:1" x14ac:dyDescent="0.2">
      <c r="A8987" s="341"/>
    </row>
    <row r="8988" spans="1:1" x14ac:dyDescent="0.2">
      <c r="A8988" s="341"/>
    </row>
    <row r="8989" spans="1:1" x14ac:dyDescent="0.2">
      <c r="A8989" s="341"/>
    </row>
    <row r="8990" spans="1:1" x14ac:dyDescent="0.2">
      <c r="A8990" s="341"/>
    </row>
    <row r="8991" spans="1:1" x14ac:dyDescent="0.2">
      <c r="A8991" s="341"/>
    </row>
    <row r="8992" spans="1:1" x14ac:dyDescent="0.2">
      <c r="A8992" s="341"/>
    </row>
    <row r="8993" spans="1:1" x14ac:dyDescent="0.2">
      <c r="A8993" s="341"/>
    </row>
    <row r="8994" spans="1:1" x14ac:dyDescent="0.2">
      <c r="A8994" s="341"/>
    </row>
    <row r="8995" spans="1:1" x14ac:dyDescent="0.2">
      <c r="A8995" s="341"/>
    </row>
    <row r="8996" spans="1:1" x14ac:dyDescent="0.2">
      <c r="A8996" s="341"/>
    </row>
    <row r="8997" spans="1:1" x14ac:dyDescent="0.2">
      <c r="A8997" s="341"/>
    </row>
    <row r="8998" spans="1:1" x14ac:dyDescent="0.2">
      <c r="A8998" s="341"/>
    </row>
    <row r="8999" spans="1:1" x14ac:dyDescent="0.2">
      <c r="A8999" s="341"/>
    </row>
    <row r="9000" spans="1:1" x14ac:dyDescent="0.2">
      <c r="A9000" s="341"/>
    </row>
    <row r="9001" spans="1:1" x14ac:dyDescent="0.2">
      <c r="A9001" s="341"/>
    </row>
    <row r="9002" spans="1:1" x14ac:dyDescent="0.2">
      <c r="A9002" s="341"/>
    </row>
    <row r="9003" spans="1:1" x14ac:dyDescent="0.2">
      <c r="A9003" s="341"/>
    </row>
    <row r="9004" spans="1:1" x14ac:dyDescent="0.2">
      <c r="A9004" s="341"/>
    </row>
    <row r="9005" spans="1:1" x14ac:dyDescent="0.2">
      <c r="A9005" s="341"/>
    </row>
    <row r="9006" spans="1:1" x14ac:dyDescent="0.2">
      <c r="A9006" s="341"/>
    </row>
    <row r="9007" spans="1:1" x14ac:dyDescent="0.2">
      <c r="A9007" s="341"/>
    </row>
    <row r="9008" spans="1:1" x14ac:dyDescent="0.2">
      <c r="A9008" s="341"/>
    </row>
    <row r="9009" spans="1:1" x14ac:dyDescent="0.2">
      <c r="A9009" s="341"/>
    </row>
    <row r="9010" spans="1:1" x14ac:dyDescent="0.2">
      <c r="A9010" s="341"/>
    </row>
    <row r="9011" spans="1:1" x14ac:dyDescent="0.2">
      <c r="A9011" s="341"/>
    </row>
    <row r="9012" spans="1:1" x14ac:dyDescent="0.2">
      <c r="A9012" s="341"/>
    </row>
    <row r="9013" spans="1:1" x14ac:dyDescent="0.2">
      <c r="A9013" s="341"/>
    </row>
    <row r="9014" spans="1:1" x14ac:dyDescent="0.2">
      <c r="A9014" s="341"/>
    </row>
    <row r="9015" spans="1:1" x14ac:dyDescent="0.2">
      <c r="A9015" s="341"/>
    </row>
    <row r="9016" spans="1:1" x14ac:dyDescent="0.2">
      <c r="A9016" s="341"/>
    </row>
    <row r="9017" spans="1:1" x14ac:dyDescent="0.2">
      <c r="A9017" s="341"/>
    </row>
    <row r="9018" spans="1:1" x14ac:dyDescent="0.2">
      <c r="A9018" s="341"/>
    </row>
    <row r="9019" spans="1:1" x14ac:dyDescent="0.2">
      <c r="A9019" s="341"/>
    </row>
    <row r="9020" spans="1:1" x14ac:dyDescent="0.2">
      <c r="A9020" s="341"/>
    </row>
    <row r="9021" spans="1:1" x14ac:dyDescent="0.2">
      <c r="A9021" s="341"/>
    </row>
    <row r="9022" spans="1:1" x14ac:dyDescent="0.2">
      <c r="A9022" s="341"/>
    </row>
    <row r="9023" spans="1:1" x14ac:dyDescent="0.2">
      <c r="A9023" s="341"/>
    </row>
    <row r="9024" spans="1:1" x14ac:dyDescent="0.2">
      <c r="A9024" s="341"/>
    </row>
    <row r="9025" spans="1:1" x14ac:dyDescent="0.2">
      <c r="A9025" s="341"/>
    </row>
    <row r="9026" spans="1:1" x14ac:dyDescent="0.2">
      <c r="A9026" s="341"/>
    </row>
    <row r="9027" spans="1:1" x14ac:dyDescent="0.2">
      <c r="A9027" s="341"/>
    </row>
    <row r="9028" spans="1:1" x14ac:dyDescent="0.2">
      <c r="A9028" s="341"/>
    </row>
    <row r="9029" spans="1:1" x14ac:dyDescent="0.2">
      <c r="A9029" s="341"/>
    </row>
    <row r="9030" spans="1:1" x14ac:dyDescent="0.2">
      <c r="A9030" s="341"/>
    </row>
    <row r="9031" spans="1:1" x14ac:dyDescent="0.2">
      <c r="A9031" s="341"/>
    </row>
    <row r="9032" spans="1:1" x14ac:dyDescent="0.2">
      <c r="A9032" s="341"/>
    </row>
    <row r="9033" spans="1:1" x14ac:dyDescent="0.2">
      <c r="A9033" s="341"/>
    </row>
    <row r="9034" spans="1:1" x14ac:dyDescent="0.2">
      <c r="A9034" s="341"/>
    </row>
    <row r="9035" spans="1:1" x14ac:dyDescent="0.2">
      <c r="A9035" s="341"/>
    </row>
    <row r="9036" spans="1:1" x14ac:dyDescent="0.2">
      <c r="A9036" s="341"/>
    </row>
    <row r="9037" spans="1:1" x14ac:dyDescent="0.2">
      <c r="A9037" s="341"/>
    </row>
    <row r="9038" spans="1:1" x14ac:dyDescent="0.2">
      <c r="A9038" s="341"/>
    </row>
    <row r="9039" spans="1:1" x14ac:dyDescent="0.2">
      <c r="A9039" s="341"/>
    </row>
    <row r="9040" spans="1:1" x14ac:dyDescent="0.2">
      <c r="A9040" s="341"/>
    </row>
    <row r="9041" spans="1:1" x14ac:dyDescent="0.2">
      <c r="A9041" s="341"/>
    </row>
    <row r="9042" spans="1:1" x14ac:dyDescent="0.2">
      <c r="A9042" s="341"/>
    </row>
    <row r="9043" spans="1:1" x14ac:dyDescent="0.2">
      <c r="A9043" s="341"/>
    </row>
    <row r="9044" spans="1:1" x14ac:dyDescent="0.2">
      <c r="A9044" s="341"/>
    </row>
    <row r="9045" spans="1:1" x14ac:dyDescent="0.2">
      <c r="A9045" s="341"/>
    </row>
    <row r="9046" spans="1:1" x14ac:dyDescent="0.2">
      <c r="A9046" s="341"/>
    </row>
    <row r="9047" spans="1:1" x14ac:dyDescent="0.2">
      <c r="A9047" s="341"/>
    </row>
    <row r="9048" spans="1:1" x14ac:dyDescent="0.2">
      <c r="A9048" s="341"/>
    </row>
    <row r="9049" spans="1:1" x14ac:dyDescent="0.2">
      <c r="A9049" s="341"/>
    </row>
    <row r="9050" spans="1:1" x14ac:dyDescent="0.2">
      <c r="A9050" s="341"/>
    </row>
    <row r="9051" spans="1:1" x14ac:dyDescent="0.2">
      <c r="A9051" s="341"/>
    </row>
    <row r="9052" spans="1:1" x14ac:dyDescent="0.2">
      <c r="A9052" s="341"/>
    </row>
    <row r="9053" spans="1:1" x14ac:dyDescent="0.2">
      <c r="A9053" s="341"/>
    </row>
    <row r="9054" spans="1:1" x14ac:dyDescent="0.2">
      <c r="A9054" s="341"/>
    </row>
    <row r="9055" spans="1:1" x14ac:dyDescent="0.2">
      <c r="A9055" s="341"/>
    </row>
    <row r="9056" spans="1:1" x14ac:dyDescent="0.2">
      <c r="A9056" s="341"/>
    </row>
    <row r="9057" spans="1:1" x14ac:dyDescent="0.2">
      <c r="A9057" s="341"/>
    </row>
    <row r="9058" spans="1:1" x14ac:dyDescent="0.2">
      <c r="A9058" s="341"/>
    </row>
    <row r="9059" spans="1:1" x14ac:dyDescent="0.2">
      <c r="A9059" s="341"/>
    </row>
    <row r="9060" spans="1:1" x14ac:dyDescent="0.2">
      <c r="A9060" s="341"/>
    </row>
    <row r="9061" spans="1:1" x14ac:dyDescent="0.2">
      <c r="A9061" s="341"/>
    </row>
    <row r="9062" spans="1:1" x14ac:dyDescent="0.2">
      <c r="A9062" s="341"/>
    </row>
    <row r="9063" spans="1:1" x14ac:dyDescent="0.2">
      <c r="A9063" s="341"/>
    </row>
    <row r="9064" spans="1:1" x14ac:dyDescent="0.2">
      <c r="A9064" s="341"/>
    </row>
    <row r="9065" spans="1:1" x14ac:dyDescent="0.2">
      <c r="A9065" s="341"/>
    </row>
    <row r="9066" spans="1:1" x14ac:dyDescent="0.2">
      <c r="A9066" s="341"/>
    </row>
    <row r="9067" spans="1:1" x14ac:dyDescent="0.2">
      <c r="A9067" s="341"/>
    </row>
    <row r="9068" spans="1:1" x14ac:dyDescent="0.2">
      <c r="A9068" s="341"/>
    </row>
    <row r="9069" spans="1:1" x14ac:dyDescent="0.2">
      <c r="A9069" s="341"/>
    </row>
    <row r="9070" spans="1:1" x14ac:dyDescent="0.2">
      <c r="A9070" s="341"/>
    </row>
    <row r="9071" spans="1:1" x14ac:dyDescent="0.2">
      <c r="A9071" s="341"/>
    </row>
    <row r="9072" spans="1:1" x14ac:dyDescent="0.2">
      <c r="A9072" s="341"/>
    </row>
    <row r="9073" spans="1:1" x14ac:dyDescent="0.2">
      <c r="A9073" s="341"/>
    </row>
    <row r="9074" spans="1:1" x14ac:dyDescent="0.2">
      <c r="A9074" s="341"/>
    </row>
    <row r="9075" spans="1:1" x14ac:dyDescent="0.2">
      <c r="A9075" s="341"/>
    </row>
    <row r="9076" spans="1:1" x14ac:dyDescent="0.2">
      <c r="A9076" s="341"/>
    </row>
    <row r="9077" spans="1:1" x14ac:dyDescent="0.2">
      <c r="A9077" s="341"/>
    </row>
    <row r="9078" spans="1:1" x14ac:dyDescent="0.2">
      <c r="A9078" s="341"/>
    </row>
    <row r="9079" spans="1:1" x14ac:dyDescent="0.2">
      <c r="A9079" s="341"/>
    </row>
    <row r="9080" spans="1:1" x14ac:dyDescent="0.2">
      <c r="A9080" s="341"/>
    </row>
    <row r="9081" spans="1:1" x14ac:dyDescent="0.2">
      <c r="A9081" s="341"/>
    </row>
    <row r="9082" spans="1:1" x14ac:dyDescent="0.2">
      <c r="A9082" s="341"/>
    </row>
    <row r="9083" spans="1:1" x14ac:dyDescent="0.2">
      <c r="A9083" s="341"/>
    </row>
    <row r="9084" spans="1:1" x14ac:dyDescent="0.2">
      <c r="A9084" s="341"/>
    </row>
    <row r="9085" spans="1:1" x14ac:dyDescent="0.2">
      <c r="A9085" s="341"/>
    </row>
    <row r="9086" spans="1:1" x14ac:dyDescent="0.2">
      <c r="A9086" s="341"/>
    </row>
    <row r="9087" spans="1:1" x14ac:dyDescent="0.2">
      <c r="A9087" s="341"/>
    </row>
    <row r="9088" spans="1:1" x14ac:dyDescent="0.2">
      <c r="A9088" s="341"/>
    </row>
    <row r="9089" spans="1:1" x14ac:dyDescent="0.2">
      <c r="A9089" s="341"/>
    </row>
    <row r="9090" spans="1:1" x14ac:dyDescent="0.2">
      <c r="A9090" s="341"/>
    </row>
    <row r="9091" spans="1:1" x14ac:dyDescent="0.2">
      <c r="A9091" s="341"/>
    </row>
    <row r="9092" spans="1:1" x14ac:dyDescent="0.2">
      <c r="A9092" s="341"/>
    </row>
    <row r="9093" spans="1:1" x14ac:dyDescent="0.2">
      <c r="A9093" s="341"/>
    </row>
    <row r="9094" spans="1:1" x14ac:dyDescent="0.2">
      <c r="A9094" s="341"/>
    </row>
    <row r="9095" spans="1:1" x14ac:dyDescent="0.2">
      <c r="A9095" s="341"/>
    </row>
    <row r="9096" spans="1:1" x14ac:dyDescent="0.2">
      <c r="A9096" s="341"/>
    </row>
    <row r="9097" spans="1:1" x14ac:dyDescent="0.2">
      <c r="A9097" s="341"/>
    </row>
    <row r="9098" spans="1:1" x14ac:dyDescent="0.2">
      <c r="A9098" s="341"/>
    </row>
    <row r="9099" spans="1:1" x14ac:dyDescent="0.2">
      <c r="A9099" s="341"/>
    </row>
    <row r="9100" spans="1:1" x14ac:dyDescent="0.2">
      <c r="A9100" s="341"/>
    </row>
    <row r="9101" spans="1:1" x14ac:dyDescent="0.2">
      <c r="A9101" s="341"/>
    </row>
    <row r="9102" spans="1:1" x14ac:dyDescent="0.2">
      <c r="A9102" s="341"/>
    </row>
    <row r="9103" spans="1:1" x14ac:dyDescent="0.2">
      <c r="A9103" s="341"/>
    </row>
    <row r="9104" spans="1:1" x14ac:dyDescent="0.2">
      <c r="A9104" s="341"/>
    </row>
    <row r="9105" spans="1:1" x14ac:dyDescent="0.2">
      <c r="A9105" s="341"/>
    </row>
    <row r="9106" spans="1:1" x14ac:dyDescent="0.2">
      <c r="A9106" s="341"/>
    </row>
    <row r="9107" spans="1:1" x14ac:dyDescent="0.2">
      <c r="A9107" s="341"/>
    </row>
    <row r="9108" spans="1:1" x14ac:dyDescent="0.2">
      <c r="A9108" s="341"/>
    </row>
    <row r="9109" spans="1:1" x14ac:dyDescent="0.2">
      <c r="A9109" s="341"/>
    </row>
    <row r="9110" spans="1:1" x14ac:dyDescent="0.2">
      <c r="A9110" s="341"/>
    </row>
    <row r="9111" spans="1:1" x14ac:dyDescent="0.2">
      <c r="A9111" s="341"/>
    </row>
    <row r="9112" spans="1:1" x14ac:dyDescent="0.2">
      <c r="A9112" s="341"/>
    </row>
    <row r="9113" spans="1:1" x14ac:dyDescent="0.2">
      <c r="A9113" s="341"/>
    </row>
    <row r="9114" spans="1:1" x14ac:dyDescent="0.2">
      <c r="A9114" s="341"/>
    </row>
    <row r="9115" spans="1:1" x14ac:dyDescent="0.2">
      <c r="A9115" s="341"/>
    </row>
    <row r="9116" spans="1:1" x14ac:dyDescent="0.2">
      <c r="A9116" s="341"/>
    </row>
    <row r="9117" spans="1:1" x14ac:dyDescent="0.2">
      <c r="A9117" s="341"/>
    </row>
    <row r="9118" spans="1:1" x14ac:dyDescent="0.2">
      <c r="A9118" s="341"/>
    </row>
    <row r="9119" spans="1:1" x14ac:dyDescent="0.2">
      <c r="A9119" s="341"/>
    </row>
    <row r="9120" spans="1:1" x14ac:dyDescent="0.2">
      <c r="A9120" s="341"/>
    </row>
    <row r="9121" spans="1:1" x14ac:dyDescent="0.2">
      <c r="A9121" s="341"/>
    </row>
    <row r="9122" spans="1:1" x14ac:dyDescent="0.2">
      <c r="A9122" s="341"/>
    </row>
    <row r="9123" spans="1:1" x14ac:dyDescent="0.2">
      <c r="A9123" s="341"/>
    </row>
    <row r="9124" spans="1:1" x14ac:dyDescent="0.2">
      <c r="A9124" s="341"/>
    </row>
    <row r="9125" spans="1:1" x14ac:dyDescent="0.2">
      <c r="A9125" s="341"/>
    </row>
    <row r="9126" spans="1:1" x14ac:dyDescent="0.2">
      <c r="A9126" s="341"/>
    </row>
    <row r="9127" spans="1:1" x14ac:dyDescent="0.2">
      <c r="A9127" s="341"/>
    </row>
    <row r="9128" spans="1:1" x14ac:dyDescent="0.2">
      <c r="A9128" s="341"/>
    </row>
    <row r="9129" spans="1:1" x14ac:dyDescent="0.2">
      <c r="A9129" s="341"/>
    </row>
    <row r="9130" spans="1:1" x14ac:dyDescent="0.2">
      <c r="A9130" s="341"/>
    </row>
    <row r="9131" spans="1:1" x14ac:dyDescent="0.2">
      <c r="A9131" s="341"/>
    </row>
    <row r="9132" spans="1:1" x14ac:dyDescent="0.2">
      <c r="A9132" s="341"/>
    </row>
    <row r="9133" spans="1:1" x14ac:dyDescent="0.2">
      <c r="A9133" s="341"/>
    </row>
    <row r="9134" spans="1:1" x14ac:dyDescent="0.2">
      <c r="A9134" s="341"/>
    </row>
    <row r="9135" spans="1:1" x14ac:dyDescent="0.2">
      <c r="A9135" s="341"/>
    </row>
    <row r="9136" spans="1:1" x14ac:dyDescent="0.2">
      <c r="A9136" s="341"/>
    </row>
    <row r="9137" spans="1:1" x14ac:dyDescent="0.2">
      <c r="A9137" s="341"/>
    </row>
    <row r="9138" spans="1:1" x14ac:dyDescent="0.2">
      <c r="A9138" s="341"/>
    </row>
    <row r="9139" spans="1:1" x14ac:dyDescent="0.2">
      <c r="A9139" s="341"/>
    </row>
    <row r="9140" spans="1:1" x14ac:dyDescent="0.2">
      <c r="A9140" s="341"/>
    </row>
    <row r="9141" spans="1:1" x14ac:dyDescent="0.2">
      <c r="A9141" s="341"/>
    </row>
    <row r="9142" spans="1:1" x14ac:dyDescent="0.2">
      <c r="A9142" s="341"/>
    </row>
    <row r="9143" spans="1:1" x14ac:dyDescent="0.2">
      <c r="A9143" s="341"/>
    </row>
    <row r="9144" spans="1:1" x14ac:dyDescent="0.2">
      <c r="A9144" s="341"/>
    </row>
    <row r="9145" spans="1:1" x14ac:dyDescent="0.2">
      <c r="A9145" s="341"/>
    </row>
    <row r="9146" spans="1:1" x14ac:dyDescent="0.2">
      <c r="A9146" s="341"/>
    </row>
    <row r="9147" spans="1:1" x14ac:dyDescent="0.2">
      <c r="A9147" s="341"/>
    </row>
    <row r="9148" spans="1:1" x14ac:dyDescent="0.2">
      <c r="A9148" s="341"/>
    </row>
    <row r="9149" spans="1:1" x14ac:dyDescent="0.2">
      <c r="A9149" s="341"/>
    </row>
    <row r="9150" spans="1:1" x14ac:dyDescent="0.2">
      <c r="A9150" s="341"/>
    </row>
    <row r="9151" spans="1:1" x14ac:dyDescent="0.2">
      <c r="A9151" s="341"/>
    </row>
    <row r="9152" spans="1:1" x14ac:dyDescent="0.2">
      <c r="A9152" s="341"/>
    </row>
    <row r="9153" spans="1:1" x14ac:dyDescent="0.2">
      <c r="A9153" s="341"/>
    </row>
    <row r="9154" spans="1:1" x14ac:dyDescent="0.2">
      <c r="A9154" s="341"/>
    </row>
    <row r="9155" spans="1:1" x14ac:dyDescent="0.2">
      <c r="A9155" s="341"/>
    </row>
    <row r="9156" spans="1:1" x14ac:dyDescent="0.2">
      <c r="A9156" s="341"/>
    </row>
    <row r="9157" spans="1:1" x14ac:dyDescent="0.2">
      <c r="A9157" s="341"/>
    </row>
    <row r="9158" spans="1:1" x14ac:dyDescent="0.2">
      <c r="A9158" s="341"/>
    </row>
    <row r="9159" spans="1:1" x14ac:dyDescent="0.2">
      <c r="A9159" s="341"/>
    </row>
    <row r="9160" spans="1:1" x14ac:dyDescent="0.2">
      <c r="A9160" s="341"/>
    </row>
    <row r="9161" spans="1:1" x14ac:dyDescent="0.2">
      <c r="A9161" s="341"/>
    </row>
    <row r="9162" spans="1:1" x14ac:dyDescent="0.2">
      <c r="A9162" s="341"/>
    </row>
    <row r="9163" spans="1:1" x14ac:dyDescent="0.2">
      <c r="A9163" s="341"/>
    </row>
    <row r="9164" spans="1:1" x14ac:dyDescent="0.2">
      <c r="A9164" s="341"/>
    </row>
    <row r="9165" spans="1:1" x14ac:dyDescent="0.2">
      <c r="A9165" s="341"/>
    </row>
    <row r="9166" spans="1:1" x14ac:dyDescent="0.2">
      <c r="A9166" s="341"/>
    </row>
    <row r="9167" spans="1:1" x14ac:dyDescent="0.2">
      <c r="A9167" s="341"/>
    </row>
    <row r="9168" spans="1:1" x14ac:dyDescent="0.2">
      <c r="A9168" s="341"/>
    </row>
    <row r="9169" spans="1:1" x14ac:dyDescent="0.2">
      <c r="A9169" s="341"/>
    </row>
    <row r="9170" spans="1:1" x14ac:dyDescent="0.2">
      <c r="A9170" s="341"/>
    </row>
    <row r="9171" spans="1:1" x14ac:dyDescent="0.2">
      <c r="A9171" s="341"/>
    </row>
    <row r="9172" spans="1:1" x14ac:dyDescent="0.2">
      <c r="A9172" s="341"/>
    </row>
    <row r="9173" spans="1:1" x14ac:dyDescent="0.2">
      <c r="A9173" s="341"/>
    </row>
    <row r="9174" spans="1:1" x14ac:dyDescent="0.2">
      <c r="A9174" s="341"/>
    </row>
    <row r="9175" spans="1:1" x14ac:dyDescent="0.2">
      <c r="A9175" s="341"/>
    </row>
    <row r="9176" spans="1:1" x14ac:dyDescent="0.2">
      <c r="A9176" s="341"/>
    </row>
    <row r="9177" spans="1:1" x14ac:dyDescent="0.2">
      <c r="A9177" s="341"/>
    </row>
    <row r="9178" spans="1:1" x14ac:dyDescent="0.2">
      <c r="A9178" s="341"/>
    </row>
    <row r="9179" spans="1:1" x14ac:dyDescent="0.2">
      <c r="A9179" s="341"/>
    </row>
    <row r="9180" spans="1:1" x14ac:dyDescent="0.2">
      <c r="A9180" s="341"/>
    </row>
    <row r="9181" spans="1:1" x14ac:dyDescent="0.2">
      <c r="A9181" s="341"/>
    </row>
    <row r="9182" spans="1:1" x14ac:dyDescent="0.2">
      <c r="A9182" s="341"/>
    </row>
    <row r="9183" spans="1:1" x14ac:dyDescent="0.2">
      <c r="A9183" s="341"/>
    </row>
    <row r="9184" spans="1:1" x14ac:dyDescent="0.2">
      <c r="A9184" s="341"/>
    </row>
    <row r="9185" spans="1:1" x14ac:dyDescent="0.2">
      <c r="A9185" s="341"/>
    </row>
    <row r="9186" spans="1:1" x14ac:dyDescent="0.2">
      <c r="A9186" s="341"/>
    </row>
    <row r="9187" spans="1:1" x14ac:dyDescent="0.2">
      <c r="A9187" s="341"/>
    </row>
    <row r="9188" spans="1:1" x14ac:dyDescent="0.2">
      <c r="A9188" s="341"/>
    </row>
    <row r="9189" spans="1:1" x14ac:dyDescent="0.2">
      <c r="A9189" s="341"/>
    </row>
    <row r="9190" spans="1:1" x14ac:dyDescent="0.2">
      <c r="A9190" s="341"/>
    </row>
    <row r="9191" spans="1:1" x14ac:dyDescent="0.2">
      <c r="A9191" s="341"/>
    </row>
    <row r="9192" spans="1:1" x14ac:dyDescent="0.2">
      <c r="A9192" s="341"/>
    </row>
    <row r="9193" spans="1:1" x14ac:dyDescent="0.2">
      <c r="A9193" s="341"/>
    </row>
    <row r="9194" spans="1:1" x14ac:dyDescent="0.2">
      <c r="A9194" s="341"/>
    </row>
    <row r="9195" spans="1:1" x14ac:dyDescent="0.2">
      <c r="A9195" s="341"/>
    </row>
    <row r="9196" spans="1:1" x14ac:dyDescent="0.2">
      <c r="A9196" s="341"/>
    </row>
    <row r="9197" spans="1:1" x14ac:dyDescent="0.2">
      <c r="A9197" s="341"/>
    </row>
    <row r="9198" spans="1:1" x14ac:dyDescent="0.2">
      <c r="A9198" s="341"/>
    </row>
    <row r="9199" spans="1:1" x14ac:dyDescent="0.2">
      <c r="A9199" s="341"/>
    </row>
    <row r="9200" spans="1:1" x14ac:dyDescent="0.2">
      <c r="A9200" s="341"/>
    </row>
    <row r="9201" spans="1:1" x14ac:dyDescent="0.2">
      <c r="A9201" s="341"/>
    </row>
    <row r="9202" spans="1:1" x14ac:dyDescent="0.2">
      <c r="A9202" s="341"/>
    </row>
    <row r="9203" spans="1:1" x14ac:dyDescent="0.2">
      <c r="A9203" s="341"/>
    </row>
    <row r="9204" spans="1:1" x14ac:dyDescent="0.2">
      <c r="A9204" s="341"/>
    </row>
    <row r="9205" spans="1:1" x14ac:dyDescent="0.2">
      <c r="A9205" s="341"/>
    </row>
    <row r="9206" spans="1:1" x14ac:dyDescent="0.2">
      <c r="A9206" s="341"/>
    </row>
    <row r="9207" spans="1:1" x14ac:dyDescent="0.2">
      <c r="A9207" s="341"/>
    </row>
    <row r="9208" spans="1:1" x14ac:dyDescent="0.2">
      <c r="A9208" s="341"/>
    </row>
    <row r="9209" spans="1:1" x14ac:dyDescent="0.2">
      <c r="A9209" s="341"/>
    </row>
    <row r="9210" spans="1:1" x14ac:dyDescent="0.2">
      <c r="A9210" s="341"/>
    </row>
    <row r="9211" spans="1:1" x14ac:dyDescent="0.2">
      <c r="A9211" s="341"/>
    </row>
    <row r="9212" spans="1:1" x14ac:dyDescent="0.2">
      <c r="A9212" s="341"/>
    </row>
    <row r="9213" spans="1:1" x14ac:dyDescent="0.2">
      <c r="A9213" s="341"/>
    </row>
    <row r="9214" spans="1:1" x14ac:dyDescent="0.2">
      <c r="A9214" s="341"/>
    </row>
    <row r="9215" spans="1:1" x14ac:dyDescent="0.2">
      <c r="A9215" s="341"/>
    </row>
    <row r="9216" spans="1:1" x14ac:dyDescent="0.2">
      <c r="A9216" s="341"/>
    </row>
    <row r="9217" spans="1:1" x14ac:dyDescent="0.2">
      <c r="A9217" s="341"/>
    </row>
    <row r="9218" spans="1:1" x14ac:dyDescent="0.2">
      <c r="A9218" s="341"/>
    </row>
    <row r="9219" spans="1:1" x14ac:dyDescent="0.2">
      <c r="A9219" s="341"/>
    </row>
    <row r="9220" spans="1:1" x14ac:dyDescent="0.2">
      <c r="A9220" s="341"/>
    </row>
    <row r="9221" spans="1:1" x14ac:dyDescent="0.2">
      <c r="A9221" s="341"/>
    </row>
    <row r="9222" spans="1:1" x14ac:dyDescent="0.2">
      <c r="A9222" s="341"/>
    </row>
    <row r="9223" spans="1:1" x14ac:dyDescent="0.2">
      <c r="A9223" s="341"/>
    </row>
    <row r="9224" spans="1:1" x14ac:dyDescent="0.2">
      <c r="A9224" s="341"/>
    </row>
    <row r="9225" spans="1:1" x14ac:dyDescent="0.2">
      <c r="A9225" s="341"/>
    </row>
    <row r="9226" spans="1:1" x14ac:dyDescent="0.2">
      <c r="A9226" s="341"/>
    </row>
    <row r="9227" spans="1:1" x14ac:dyDescent="0.2">
      <c r="A9227" s="341"/>
    </row>
    <row r="9228" spans="1:1" x14ac:dyDescent="0.2">
      <c r="A9228" s="341"/>
    </row>
    <row r="9229" spans="1:1" x14ac:dyDescent="0.2">
      <c r="A9229" s="341"/>
    </row>
    <row r="9230" spans="1:1" x14ac:dyDescent="0.2">
      <c r="A9230" s="341"/>
    </row>
    <row r="9231" spans="1:1" x14ac:dyDescent="0.2">
      <c r="A9231" s="341"/>
    </row>
    <row r="9232" spans="1:1" x14ac:dyDescent="0.2">
      <c r="A9232" s="341"/>
    </row>
    <row r="9233" spans="1:1" x14ac:dyDescent="0.2">
      <c r="A9233" s="341"/>
    </row>
    <row r="9234" spans="1:1" x14ac:dyDescent="0.2">
      <c r="A9234" s="341"/>
    </row>
    <row r="9235" spans="1:1" x14ac:dyDescent="0.2">
      <c r="A9235" s="341"/>
    </row>
    <row r="9236" spans="1:1" x14ac:dyDescent="0.2">
      <c r="A9236" s="341"/>
    </row>
    <row r="9237" spans="1:1" x14ac:dyDescent="0.2">
      <c r="A9237" s="341"/>
    </row>
    <row r="9238" spans="1:1" x14ac:dyDescent="0.2">
      <c r="A9238" s="341"/>
    </row>
    <row r="9239" spans="1:1" x14ac:dyDescent="0.2">
      <c r="A9239" s="341"/>
    </row>
    <row r="9240" spans="1:1" x14ac:dyDescent="0.2">
      <c r="A9240" s="341"/>
    </row>
    <row r="9241" spans="1:1" x14ac:dyDescent="0.2">
      <c r="A9241" s="341"/>
    </row>
    <row r="9242" spans="1:1" x14ac:dyDescent="0.2">
      <c r="A9242" s="341"/>
    </row>
    <row r="9243" spans="1:1" x14ac:dyDescent="0.2">
      <c r="A9243" s="341"/>
    </row>
    <row r="9244" spans="1:1" x14ac:dyDescent="0.2">
      <c r="A9244" s="341"/>
    </row>
    <row r="9245" spans="1:1" x14ac:dyDescent="0.2">
      <c r="A9245" s="341"/>
    </row>
    <row r="9246" spans="1:1" x14ac:dyDescent="0.2">
      <c r="A9246" s="341"/>
    </row>
    <row r="9247" spans="1:1" x14ac:dyDescent="0.2">
      <c r="A9247" s="341"/>
    </row>
    <row r="9248" spans="1:1" x14ac:dyDescent="0.2">
      <c r="A9248" s="341"/>
    </row>
    <row r="9249" spans="1:1" x14ac:dyDescent="0.2">
      <c r="A9249" s="341"/>
    </row>
    <row r="9250" spans="1:1" x14ac:dyDescent="0.2">
      <c r="A9250" s="341"/>
    </row>
    <row r="9251" spans="1:1" x14ac:dyDescent="0.2">
      <c r="A9251" s="341"/>
    </row>
    <row r="9252" spans="1:1" x14ac:dyDescent="0.2">
      <c r="A9252" s="341"/>
    </row>
    <row r="9253" spans="1:1" x14ac:dyDescent="0.2">
      <c r="A9253" s="341"/>
    </row>
    <row r="9254" spans="1:1" x14ac:dyDescent="0.2">
      <c r="A9254" s="341"/>
    </row>
    <row r="9255" spans="1:1" x14ac:dyDescent="0.2">
      <c r="A9255" s="341"/>
    </row>
    <row r="9256" spans="1:1" x14ac:dyDescent="0.2">
      <c r="A9256" s="341"/>
    </row>
    <row r="9257" spans="1:1" x14ac:dyDescent="0.2">
      <c r="A9257" s="341"/>
    </row>
    <row r="9258" spans="1:1" x14ac:dyDescent="0.2">
      <c r="A9258" s="341"/>
    </row>
    <row r="9259" spans="1:1" x14ac:dyDescent="0.2">
      <c r="A9259" s="341"/>
    </row>
    <row r="9260" spans="1:1" x14ac:dyDescent="0.2">
      <c r="A9260" s="341"/>
    </row>
    <row r="9261" spans="1:1" x14ac:dyDescent="0.2">
      <c r="A9261" s="341"/>
    </row>
    <row r="9262" spans="1:1" x14ac:dyDescent="0.2">
      <c r="A9262" s="341"/>
    </row>
    <row r="9263" spans="1:1" x14ac:dyDescent="0.2">
      <c r="A9263" s="341"/>
    </row>
    <row r="9264" spans="1:1" x14ac:dyDescent="0.2">
      <c r="A9264" s="341"/>
    </row>
    <row r="9265" spans="1:1" x14ac:dyDescent="0.2">
      <c r="A9265" s="341"/>
    </row>
    <row r="9266" spans="1:1" x14ac:dyDescent="0.2">
      <c r="A9266" s="341"/>
    </row>
    <row r="9267" spans="1:1" x14ac:dyDescent="0.2">
      <c r="A9267" s="341"/>
    </row>
    <row r="9268" spans="1:1" x14ac:dyDescent="0.2">
      <c r="A9268" s="341"/>
    </row>
    <row r="9269" spans="1:1" x14ac:dyDescent="0.2">
      <c r="A9269" s="341"/>
    </row>
    <row r="9270" spans="1:1" x14ac:dyDescent="0.2">
      <c r="A9270" s="341"/>
    </row>
    <row r="9271" spans="1:1" x14ac:dyDescent="0.2">
      <c r="A9271" s="341"/>
    </row>
    <row r="9272" spans="1:1" x14ac:dyDescent="0.2">
      <c r="A9272" s="341"/>
    </row>
    <row r="9273" spans="1:1" x14ac:dyDescent="0.2">
      <c r="A9273" s="341"/>
    </row>
    <row r="9274" spans="1:1" x14ac:dyDescent="0.2">
      <c r="A9274" s="341"/>
    </row>
    <row r="9275" spans="1:1" x14ac:dyDescent="0.2">
      <c r="A9275" s="341"/>
    </row>
    <row r="9276" spans="1:1" x14ac:dyDescent="0.2">
      <c r="A9276" s="341"/>
    </row>
    <row r="9277" spans="1:1" x14ac:dyDescent="0.2">
      <c r="A9277" s="341"/>
    </row>
    <row r="9278" spans="1:1" x14ac:dyDescent="0.2">
      <c r="A9278" s="341"/>
    </row>
    <row r="9279" spans="1:1" x14ac:dyDescent="0.2">
      <c r="A9279" s="341"/>
    </row>
    <row r="9280" spans="1:1" x14ac:dyDescent="0.2">
      <c r="A9280" s="341"/>
    </row>
    <row r="9281" spans="1:1" x14ac:dyDescent="0.2">
      <c r="A9281" s="341"/>
    </row>
    <row r="9282" spans="1:1" x14ac:dyDescent="0.2">
      <c r="A9282" s="341"/>
    </row>
    <row r="9283" spans="1:1" x14ac:dyDescent="0.2">
      <c r="A9283" s="341"/>
    </row>
    <row r="9284" spans="1:1" x14ac:dyDescent="0.2">
      <c r="A9284" s="341"/>
    </row>
    <row r="9285" spans="1:1" x14ac:dyDescent="0.2">
      <c r="A9285" s="341"/>
    </row>
    <row r="9286" spans="1:1" x14ac:dyDescent="0.2">
      <c r="A9286" s="341"/>
    </row>
    <row r="9287" spans="1:1" x14ac:dyDescent="0.2">
      <c r="A9287" s="341"/>
    </row>
    <row r="9288" spans="1:1" x14ac:dyDescent="0.2">
      <c r="A9288" s="341"/>
    </row>
    <row r="9289" spans="1:1" x14ac:dyDescent="0.2">
      <c r="A9289" s="341"/>
    </row>
    <row r="9290" spans="1:1" x14ac:dyDescent="0.2">
      <c r="A9290" s="341"/>
    </row>
    <row r="9291" spans="1:1" x14ac:dyDescent="0.2">
      <c r="A9291" s="341"/>
    </row>
    <row r="9292" spans="1:1" x14ac:dyDescent="0.2">
      <c r="A9292" s="341"/>
    </row>
    <row r="9293" spans="1:1" x14ac:dyDescent="0.2">
      <c r="A9293" s="341"/>
    </row>
    <row r="9294" spans="1:1" x14ac:dyDescent="0.2">
      <c r="A9294" s="341"/>
    </row>
    <row r="9295" spans="1:1" x14ac:dyDescent="0.2">
      <c r="A9295" s="341"/>
    </row>
    <row r="9296" spans="1:1" x14ac:dyDescent="0.2">
      <c r="A9296" s="341"/>
    </row>
    <row r="9297" spans="1:1" x14ac:dyDescent="0.2">
      <c r="A9297" s="341"/>
    </row>
    <row r="9298" spans="1:1" x14ac:dyDescent="0.2">
      <c r="A9298" s="341"/>
    </row>
    <row r="9299" spans="1:1" x14ac:dyDescent="0.2">
      <c r="A9299" s="341"/>
    </row>
    <row r="9300" spans="1:1" x14ac:dyDescent="0.2">
      <c r="A9300" s="341"/>
    </row>
    <row r="9301" spans="1:1" x14ac:dyDescent="0.2">
      <c r="A9301" s="341"/>
    </row>
    <row r="9302" spans="1:1" x14ac:dyDescent="0.2">
      <c r="A9302" s="341"/>
    </row>
    <row r="9303" spans="1:1" x14ac:dyDescent="0.2">
      <c r="A9303" s="341"/>
    </row>
    <row r="9304" spans="1:1" x14ac:dyDescent="0.2">
      <c r="A9304" s="341"/>
    </row>
    <row r="9305" spans="1:1" x14ac:dyDescent="0.2">
      <c r="A9305" s="341"/>
    </row>
    <row r="9306" spans="1:1" x14ac:dyDescent="0.2">
      <c r="A9306" s="341"/>
    </row>
    <row r="9307" spans="1:1" x14ac:dyDescent="0.2">
      <c r="A9307" s="341"/>
    </row>
    <row r="9308" spans="1:1" x14ac:dyDescent="0.2">
      <c r="A9308" s="341"/>
    </row>
    <row r="9309" spans="1:1" x14ac:dyDescent="0.2">
      <c r="A9309" s="341"/>
    </row>
    <row r="9310" spans="1:1" x14ac:dyDescent="0.2">
      <c r="A9310" s="341"/>
    </row>
    <row r="9311" spans="1:1" x14ac:dyDescent="0.2">
      <c r="A9311" s="341"/>
    </row>
    <row r="9312" spans="1:1" x14ac:dyDescent="0.2">
      <c r="A9312" s="341"/>
    </row>
    <row r="9313" spans="1:1" x14ac:dyDescent="0.2">
      <c r="A9313" s="341"/>
    </row>
    <row r="9314" spans="1:1" x14ac:dyDescent="0.2">
      <c r="A9314" s="341"/>
    </row>
    <row r="9315" spans="1:1" x14ac:dyDescent="0.2">
      <c r="A9315" s="341"/>
    </row>
    <row r="9316" spans="1:1" x14ac:dyDescent="0.2">
      <c r="A9316" s="341"/>
    </row>
    <row r="9317" spans="1:1" x14ac:dyDescent="0.2">
      <c r="A9317" s="341"/>
    </row>
    <row r="9318" spans="1:1" x14ac:dyDescent="0.2">
      <c r="A9318" s="341"/>
    </row>
    <row r="9319" spans="1:1" x14ac:dyDescent="0.2">
      <c r="A9319" s="341"/>
    </row>
    <row r="9320" spans="1:1" x14ac:dyDescent="0.2">
      <c r="A9320" s="341"/>
    </row>
    <row r="9321" spans="1:1" x14ac:dyDescent="0.2">
      <c r="A9321" s="341"/>
    </row>
    <row r="9322" spans="1:1" x14ac:dyDescent="0.2">
      <c r="A9322" s="341"/>
    </row>
    <row r="9323" spans="1:1" x14ac:dyDescent="0.2">
      <c r="A9323" s="341"/>
    </row>
    <row r="9324" spans="1:1" x14ac:dyDescent="0.2">
      <c r="A9324" s="341"/>
    </row>
    <row r="9325" spans="1:1" x14ac:dyDescent="0.2">
      <c r="A9325" s="341"/>
    </row>
    <row r="9326" spans="1:1" x14ac:dyDescent="0.2">
      <c r="A9326" s="341"/>
    </row>
    <row r="9327" spans="1:1" x14ac:dyDescent="0.2">
      <c r="A9327" s="341"/>
    </row>
    <row r="9328" spans="1:1" x14ac:dyDescent="0.2">
      <c r="A9328" s="341"/>
    </row>
    <row r="9329" spans="1:1" x14ac:dyDescent="0.2">
      <c r="A9329" s="341"/>
    </row>
    <row r="9330" spans="1:1" x14ac:dyDescent="0.2">
      <c r="A9330" s="341"/>
    </row>
    <row r="9331" spans="1:1" x14ac:dyDescent="0.2">
      <c r="A9331" s="341"/>
    </row>
    <row r="9332" spans="1:1" x14ac:dyDescent="0.2">
      <c r="A9332" s="341"/>
    </row>
    <row r="9333" spans="1:1" x14ac:dyDescent="0.2">
      <c r="A9333" s="341"/>
    </row>
    <row r="9334" spans="1:1" x14ac:dyDescent="0.2">
      <c r="A9334" s="341"/>
    </row>
    <row r="9335" spans="1:1" x14ac:dyDescent="0.2">
      <c r="A9335" s="341"/>
    </row>
    <row r="9336" spans="1:1" x14ac:dyDescent="0.2">
      <c r="A9336" s="341"/>
    </row>
    <row r="9337" spans="1:1" x14ac:dyDescent="0.2">
      <c r="A9337" s="341"/>
    </row>
    <row r="9338" spans="1:1" x14ac:dyDescent="0.2">
      <c r="A9338" s="341"/>
    </row>
    <row r="9339" spans="1:1" x14ac:dyDescent="0.2">
      <c r="A9339" s="341"/>
    </row>
    <row r="9340" spans="1:1" x14ac:dyDescent="0.2">
      <c r="A9340" s="341"/>
    </row>
    <row r="9341" spans="1:1" x14ac:dyDescent="0.2">
      <c r="A9341" s="341"/>
    </row>
    <row r="9342" spans="1:1" x14ac:dyDescent="0.2">
      <c r="A9342" s="341"/>
    </row>
    <row r="9343" spans="1:1" x14ac:dyDescent="0.2">
      <c r="A9343" s="341"/>
    </row>
    <row r="9344" spans="1:1" x14ac:dyDescent="0.2">
      <c r="A9344" s="341"/>
    </row>
    <row r="9345" spans="1:1" x14ac:dyDescent="0.2">
      <c r="A9345" s="341"/>
    </row>
    <row r="9346" spans="1:1" x14ac:dyDescent="0.2">
      <c r="A9346" s="341"/>
    </row>
    <row r="9347" spans="1:1" x14ac:dyDescent="0.2">
      <c r="A9347" s="341"/>
    </row>
    <row r="9348" spans="1:1" x14ac:dyDescent="0.2">
      <c r="A9348" s="341"/>
    </row>
    <row r="9349" spans="1:1" x14ac:dyDescent="0.2">
      <c r="A9349" s="341"/>
    </row>
    <row r="9350" spans="1:1" x14ac:dyDescent="0.2">
      <c r="A9350" s="341"/>
    </row>
    <row r="9351" spans="1:1" x14ac:dyDescent="0.2">
      <c r="A9351" s="341"/>
    </row>
    <row r="9352" spans="1:1" x14ac:dyDescent="0.2">
      <c r="A9352" s="341"/>
    </row>
    <row r="9353" spans="1:1" x14ac:dyDescent="0.2">
      <c r="A9353" s="341"/>
    </row>
    <row r="9354" spans="1:1" x14ac:dyDescent="0.2">
      <c r="A9354" s="341"/>
    </row>
    <row r="9355" spans="1:1" x14ac:dyDescent="0.2">
      <c r="A9355" s="341"/>
    </row>
    <row r="9356" spans="1:1" x14ac:dyDescent="0.2">
      <c r="A9356" s="341"/>
    </row>
    <row r="9357" spans="1:1" x14ac:dyDescent="0.2">
      <c r="A9357" s="341"/>
    </row>
    <row r="9358" spans="1:1" x14ac:dyDescent="0.2">
      <c r="A9358" s="341"/>
    </row>
    <row r="9359" spans="1:1" x14ac:dyDescent="0.2">
      <c r="A9359" s="341"/>
    </row>
    <row r="9360" spans="1:1" x14ac:dyDescent="0.2">
      <c r="A9360" s="341"/>
    </row>
    <row r="9361" spans="1:1" x14ac:dyDescent="0.2">
      <c r="A9361" s="341"/>
    </row>
    <row r="9362" spans="1:1" x14ac:dyDescent="0.2">
      <c r="A9362" s="341"/>
    </row>
    <row r="9363" spans="1:1" x14ac:dyDescent="0.2">
      <c r="A9363" s="341"/>
    </row>
    <row r="9364" spans="1:1" x14ac:dyDescent="0.2">
      <c r="A9364" s="341"/>
    </row>
    <row r="9365" spans="1:1" x14ac:dyDescent="0.2">
      <c r="A9365" s="341"/>
    </row>
    <row r="9366" spans="1:1" x14ac:dyDescent="0.2">
      <c r="A9366" s="341"/>
    </row>
    <row r="9367" spans="1:1" x14ac:dyDescent="0.2">
      <c r="A9367" s="341"/>
    </row>
    <row r="9368" spans="1:1" x14ac:dyDescent="0.2">
      <c r="A9368" s="341"/>
    </row>
    <row r="9369" spans="1:1" x14ac:dyDescent="0.2">
      <c r="A9369" s="341"/>
    </row>
    <row r="9370" spans="1:1" x14ac:dyDescent="0.2">
      <c r="A9370" s="341"/>
    </row>
    <row r="9371" spans="1:1" x14ac:dyDescent="0.2">
      <c r="A9371" s="341"/>
    </row>
    <row r="9372" spans="1:1" x14ac:dyDescent="0.2">
      <c r="A9372" s="341"/>
    </row>
    <row r="9373" spans="1:1" x14ac:dyDescent="0.2">
      <c r="A9373" s="341"/>
    </row>
    <row r="9374" spans="1:1" x14ac:dyDescent="0.2">
      <c r="A9374" s="341"/>
    </row>
    <row r="9375" spans="1:1" x14ac:dyDescent="0.2">
      <c r="A9375" s="341"/>
    </row>
    <row r="9376" spans="1:1" x14ac:dyDescent="0.2">
      <c r="A9376" s="341"/>
    </row>
    <row r="9377" spans="1:1" x14ac:dyDescent="0.2">
      <c r="A9377" s="341"/>
    </row>
    <row r="9378" spans="1:1" x14ac:dyDescent="0.2">
      <c r="A9378" s="341"/>
    </row>
    <row r="9379" spans="1:1" x14ac:dyDescent="0.2">
      <c r="A9379" s="341"/>
    </row>
    <row r="9380" spans="1:1" x14ac:dyDescent="0.2">
      <c r="A9380" s="341"/>
    </row>
    <row r="9381" spans="1:1" x14ac:dyDescent="0.2">
      <c r="A9381" s="341"/>
    </row>
    <row r="9382" spans="1:1" x14ac:dyDescent="0.2">
      <c r="A9382" s="341"/>
    </row>
    <row r="9383" spans="1:1" x14ac:dyDescent="0.2">
      <c r="A9383" s="341"/>
    </row>
    <row r="9384" spans="1:1" x14ac:dyDescent="0.2">
      <c r="A9384" s="341"/>
    </row>
    <row r="9385" spans="1:1" x14ac:dyDescent="0.2">
      <c r="A9385" s="341"/>
    </row>
    <row r="9386" spans="1:1" x14ac:dyDescent="0.2">
      <c r="A9386" s="341"/>
    </row>
    <row r="9387" spans="1:1" x14ac:dyDescent="0.2">
      <c r="A9387" s="341"/>
    </row>
    <row r="9388" spans="1:1" x14ac:dyDescent="0.2">
      <c r="A9388" s="341"/>
    </row>
    <row r="9389" spans="1:1" x14ac:dyDescent="0.2">
      <c r="A9389" s="341"/>
    </row>
    <row r="9390" spans="1:1" x14ac:dyDescent="0.2">
      <c r="A9390" s="341"/>
    </row>
    <row r="9391" spans="1:1" x14ac:dyDescent="0.2">
      <c r="A9391" s="341"/>
    </row>
    <row r="9392" spans="1:1" x14ac:dyDescent="0.2">
      <c r="A9392" s="341"/>
    </row>
    <row r="9393" spans="1:1" x14ac:dyDescent="0.2">
      <c r="A9393" s="341"/>
    </row>
    <row r="9394" spans="1:1" x14ac:dyDescent="0.2">
      <c r="A9394" s="341"/>
    </row>
    <row r="9395" spans="1:1" x14ac:dyDescent="0.2">
      <c r="A9395" s="341"/>
    </row>
    <row r="9396" spans="1:1" x14ac:dyDescent="0.2">
      <c r="A9396" s="341"/>
    </row>
    <row r="9397" spans="1:1" x14ac:dyDescent="0.2">
      <c r="A9397" s="341"/>
    </row>
    <row r="9398" spans="1:1" x14ac:dyDescent="0.2">
      <c r="A9398" s="341"/>
    </row>
    <row r="9399" spans="1:1" x14ac:dyDescent="0.2">
      <c r="A9399" s="341"/>
    </row>
    <row r="9400" spans="1:1" x14ac:dyDescent="0.2">
      <c r="A9400" s="341"/>
    </row>
    <row r="9401" spans="1:1" x14ac:dyDescent="0.2">
      <c r="A9401" s="341"/>
    </row>
    <row r="9402" spans="1:1" x14ac:dyDescent="0.2">
      <c r="A9402" s="341"/>
    </row>
    <row r="9403" spans="1:1" x14ac:dyDescent="0.2">
      <c r="A9403" s="341"/>
    </row>
    <row r="9404" spans="1:1" x14ac:dyDescent="0.2">
      <c r="A9404" s="341"/>
    </row>
    <row r="9405" spans="1:1" x14ac:dyDescent="0.2">
      <c r="A9405" s="341"/>
    </row>
    <row r="9406" spans="1:1" x14ac:dyDescent="0.2">
      <c r="A9406" s="341"/>
    </row>
    <row r="9407" spans="1:1" x14ac:dyDescent="0.2">
      <c r="A9407" s="341"/>
    </row>
    <row r="9408" spans="1:1" x14ac:dyDescent="0.2">
      <c r="A9408" s="341"/>
    </row>
    <row r="9409" spans="1:1" x14ac:dyDescent="0.2">
      <c r="A9409" s="341"/>
    </row>
    <row r="9410" spans="1:1" x14ac:dyDescent="0.2">
      <c r="A9410" s="341"/>
    </row>
    <row r="9411" spans="1:1" x14ac:dyDescent="0.2">
      <c r="A9411" s="341"/>
    </row>
    <row r="9412" spans="1:1" x14ac:dyDescent="0.2">
      <c r="A9412" s="341"/>
    </row>
    <row r="9413" spans="1:1" x14ac:dyDescent="0.2">
      <c r="A9413" s="341"/>
    </row>
    <row r="9414" spans="1:1" x14ac:dyDescent="0.2">
      <c r="A9414" s="341"/>
    </row>
    <row r="9415" spans="1:1" x14ac:dyDescent="0.2">
      <c r="A9415" s="341"/>
    </row>
    <row r="9416" spans="1:1" x14ac:dyDescent="0.2">
      <c r="A9416" s="341"/>
    </row>
    <row r="9417" spans="1:1" x14ac:dyDescent="0.2">
      <c r="A9417" s="341"/>
    </row>
    <row r="9418" spans="1:1" x14ac:dyDescent="0.2">
      <c r="A9418" s="341"/>
    </row>
    <row r="9419" spans="1:1" x14ac:dyDescent="0.2">
      <c r="A9419" s="341"/>
    </row>
    <row r="9420" spans="1:1" x14ac:dyDescent="0.2">
      <c r="A9420" s="341"/>
    </row>
    <row r="9421" spans="1:1" x14ac:dyDescent="0.2">
      <c r="A9421" s="341"/>
    </row>
    <row r="9422" spans="1:1" x14ac:dyDescent="0.2">
      <c r="A9422" s="341"/>
    </row>
    <row r="9423" spans="1:1" x14ac:dyDescent="0.2">
      <c r="A9423" s="341"/>
    </row>
    <row r="9424" spans="1:1" x14ac:dyDescent="0.2">
      <c r="A9424" s="341"/>
    </row>
    <row r="9425" spans="1:1" x14ac:dyDescent="0.2">
      <c r="A9425" s="341"/>
    </row>
    <row r="9426" spans="1:1" x14ac:dyDescent="0.2">
      <c r="A9426" s="341"/>
    </row>
    <row r="9427" spans="1:1" x14ac:dyDescent="0.2">
      <c r="A9427" s="341"/>
    </row>
    <row r="9428" spans="1:1" x14ac:dyDescent="0.2">
      <c r="A9428" s="341"/>
    </row>
    <row r="9429" spans="1:1" x14ac:dyDescent="0.2">
      <c r="A9429" s="341"/>
    </row>
    <row r="9430" spans="1:1" x14ac:dyDescent="0.2">
      <c r="A9430" s="341"/>
    </row>
    <row r="9431" spans="1:1" x14ac:dyDescent="0.2">
      <c r="A9431" s="341"/>
    </row>
    <row r="9432" spans="1:1" x14ac:dyDescent="0.2">
      <c r="A9432" s="341"/>
    </row>
    <row r="9433" spans="1:1" x14ac:dyDescent="0.2">
      <c r="A9433" s="341"/>
    </row>
    <row r="9434" spans="1:1" x14ac:dyDescent="0.2">
      <c r="A9434" s="341"/>
    </row>
    <row r="9435" spans="1:1" x14ac:dyDescent="0.2">
      <c r="A9435" s="341"/>
    </row>
    <row r="9436" spans="1:1" x14ac:dyDescent="0.2">
      <c r="A9436" s="341"/>
    </row>
    <row r="9437" spans="1:1" x14ac:dyDescent="0.2">
      <c r="A9437" s="341"/>
    </row>
    <row r="9438" spans="1:1" x14ac:dyDescent="0.2">
      <c r="A9438" s="341"/>
    </row>
    <row r="9439" spans="1:1" x14ac:dyDescent="0.2">
      <c r="A9439" s="341"/>
    </row>
    <row r="9440" spans="1:1" x14ac:dyDescent="0.2">
      <c r="A9440" s="341"/>
    </row>
    <row r="9441" spans="1:1" x14ac:dyDescent="0.2">
      <c r="A9441" s="341"/>
    </row>
    <row r="9442" spans="1:1" x14ac:dyDescent="0.2">
      <c r="A9442" s="341"/>
    </row>
    <row r="9443" spans="1:1" x14ac:dyDescent="0.2">
      <c r="A9443" s="341"/>
    </row>
    <row r="9444" spans="1:1" x14ac:dyDescent="0.2">
      <c r="A9444" s="341"/>
    </row>
    <row r="9445" spans="1:1" x14ac:dyDescent="0.2">
      <c r="A9445" s="341"/>
    </row>
    <row r="9446" spans="1:1" x14ac:dyDescent="0.2">
      <c r="A9446" s="341"/>
    </row>
    <row r="9447" spans="1:1" x14ac:dyDescent="0.2">
      <c r="A9447" s="341"/>
    </row>
    <row r="9448" spans="1:1" x14ac:dyDescent="0.2">
      <c r="A9448" s="341"/>
    </row>
    <row r="9449" spans="1:1" x14ac:dyDescent="0.2">
      <c r="A9449" s="341"/>
    </row>
    <row r="9450" spans="1:1" x14ac:dyDescent="0.2">
      <c r="A9450" s="341"/>
    </row>
    <row r="9451" spans="1:1" x14ac:dyDescent="0.2">
      <c r="A9451" s="341"/>
    </row>
    <row r="9452" spans="1:1" x14ac:dyDescent="0.2">
      <c r="A9452" s="341"/>
    </row>
    <row r="9453" spans="1:1" x14ac:dyDescent="0.2">
      <c r="A9453" s="341"/>
    </row>
    <row r="9454" spans="1:1" x14ac:dyDescent="0.2">
      <c r="A9454" s="341"/>
    </row>
    <row r="9455" spans="1:1" x14ac:dyDescent="0.2">
      <c r="A9455" s="341"/>
    </row>
    <row r="9456" spans="1:1" x14ac:dyDescent="0.2">
      <c r="A9456" s="341"/>
    </row>
    <row r="9457" spans="1:1" x14ac:dyDescent="0.2">
      <c r="A9457" s="341"/>
    </row>
    <row r="9458" spans="1:1" x14ac:dyDescent="0.2">
      <c r="A9458" s="341"/>
    </row>
    <row r="9459" spans="1:1" x14ac:dyDescent="0.2">
      <c r="A9459" s="341"/>
    </row>
    <row r="9460" spans="1:1" x14ac:dyDescent="0.2">
      <c r="A9460" s="341"/>
    </row>
    <row r="9461" spans="1:1" x14ac:dyDescent="0.2">
      <c r="A9461" s="341"/>
    </row>
    <row r="9462" spans="1:1" x14ac:dyDescent="0.2">
      <c r="A9462" s="341"/>
    </row>
    <row r="9463" spans="1:1" x14ac:dyDescent="0.2">
      <c r="A9463" s="341"/>
    </row>
    <row r="9464" spans="1:1" x14ac:dyDescent="0.2">
      <c r="A9464" s="341"/>
    </row>
    <row r="9465" spans="1:1" x14ac:dyDescent="0.2">
      <c r="A9465" s="341"/>
    </row>
    <row r="9466" spans="1:1" x14ac:dyDescent="0.2">
      <c r="A9466" s="341"/>
    </row>
    <row r="9467" spans="1:1" x14ac:dyDescent="0.2">
      <c r="A9467" s="341"/>
    </row>
    <row r="9468" spans="1:1" x14ac:dyDescent="0.2">
      <c r="A9468" s="341"/>
    </row>
    <row r="9469" spans="1:1" x14ac:dyDescent="0.2">
      <c r="A9469" s="341"/>
    </row>
    <row r="9470" spans="1:1" x14ac:dyDescent="0.2">
      <c r="A9470" s="341"/>
    </row>
    <row r="9471" spans="1:1" x14ac:dyDescent="0.2">
      <c r="A9471" s="341"/>
    </row>
    <row r="9472" spans="1:1" x14ac:dyDescent="0.2">
      <c r="A9472" s="341"/>
    </row>
    <row r="9473" spans="1:1" x14ac:dyDescent="0.2">
      <c r="A9473" s="341"/>
    </row>
    <row r="9474" spans="1:1" x14ac:dyDescent="0.2">
      <c r="A9474" s="341"/>
    </row>
    <row r="9475" spans="1:1" x14ac:dyDescent="0.2">
      <c r="A9475" s="341"/>
    </row>
    <row r="9476" spans="1:1" x14ac:dyDescent="0.2">
      <c r="A9476" s="341"/>
    </row>
    <row r="9477" spans="1:1" x14ac:dyDescent="0.2">
      <c r="A9477" s="341"/>
    </row>
    <row r="9478" spans="1:1" x14ac:dyDescent="0.2">
      <c r="A9478" s="341"/>
    </row>
    <row r="9479" spans="1:1" x14ac:dyDescent="0.2">
      <c r="A9479" s="341"/>
    </row>
    <row r="9480" spans="1:1" x14ac:dyDescent="0.2">
      <c r="A9480" s="341"/>
    </row>
    <row r="9481" spans="1:1" x14ac:dyDescent="0.2">
      <c r="A9481" s="341"/>
    </row>
    <row r="9482" spans="1:1" x14ac:dyDescent="0.2">
      <c r="A9482" s="341"/>
    </row>
    <row r="9483" spans="1:1" x14ac:dyDescent="0.2">
      <c r="A9483" s="341"/>
    </row>
    <row r="9484" spans="1:1" x14ac:dyDescent="0.2">
      <c r="A9484" s="341"/>
    </row>
    <row r="9485" spans="1:1" x14ac:dyDescent="0.2">
      <c r="A9485" s="341"/>
    </row>
    <row r="9486" spans="1:1" x14ac:dyDescent="0.2">
      <c r="A9486" s="341"/>
    </row>
    <row r="9487" spans="1:1" x14ac:dyDescent="0.2">
      <c r="A9487" s="341"/>
    </row>
    <row r="9488" spans="1:1" x14ac:dyDescent="0.2">
      <c r="A9488" s="341"/>
    </row>
    <row r="9489" spans="1:1" x14ac:dyDescent="0.2">
      <c r="A9489" s="341"/>
    </row>
    <row r="9490" spans="1:1" x14ac:dyDescent="0.2">
      <c r="A9490" s="341"/>
    </row>
    <row r="9491" spans="1:1" x14ac:dyDescent="0.2">
      <c r="A9491" s="341"/>
    </row>
    <row r="9492" spans="1:1" x14ac:dyDescent="0.2">
      <c r="A9492" s="341"/>
    </row>
    <row r="9493" spans="1:1" x14ac:dyDescent="0.2">
      <c r="A9493" s="341"/>
    </row>
    <row r="9494" spans="1:1" x14ac:dyDescent="0.2">
      <c r="A9494" s="341"/>
    </row>
    <row r="9495" spans="1:1" x14ac:dyDescent="0.2">
      <c r="A9495" s="341"/>
    </row>
    <row r="9496" spans="1:1" x14ac:dyDescent="0.2">
      <c r="A9496" s="341"/>
    </row>
    <row r="9497" spans="1:1" x14ac:dyDescent="0.2">
      <c r="A9497" s="341"/>
    </row>
    <row r="9498" spans="1:1" x14ac:dyDescent="0.2">
      <c r="A9498" s="341"/>
    </row>
    <row r="9499" spans="1:1" x14ac:dyDescent="0.2">
      <c r="A9499" s="341"/>
    </row>
    <row r="9500" spans="1:1" x14ac:dyDescent="0.2">
      <c r="A9500" s="341"/>
    </row>
    <row r="9501" spans="1:1" x14ac:dyDescent="0.2">
      <c r="A9501" s="341"/>
    </row>
    <row r="9502" spans="1:1" x14ac:dyDescent="0.2">
      <c r="A9502" s="341"/>
    </row>
    <row r="9503" spans="1:1" x14ac:dyDescent="0.2">
      <c r="A9503" s="341"/>
    </row>
    <row r="9504" spans="1:1" x14ac:dyDescent="0.2">
      <c r="A9504" s="341"/>
    </row>
    <row r="9505" spans="1:1" x14ac:dyDescent="0.2">
      <c r="A9505" s="341"/>
    </row>
    <row r="9506" spans="1:1" x14ac:dyDescent="0.2">
      <c r="A9506" s="341"/>
    </row>
    <row r="9507" spans="1:1" x14ac:dyDescent="0.2">
      <c r="A9507" s="341"/>
    </row>
    <row r="9508" spans="1:1" x14ac:dyDescent="0.2">
      <c r="A9508" s="341"/>
    </row>
    <row r="9509" spans="1:1" x14ac:dyDescent="0.2">
      <c r="A9509" s="341"/>
    </row>
    <row r="9510" spans="1:1" x14ac:dyDescent="0.2">
      <c r="A9510" s="341"/>
    </row>
    <row r="9511" spans="1:1" x14ac:dyDescent="0.2">
      <c r="A9511" s="341"/>
    </row>
    <row r="9512" spans="1:1" x14ac:dyDescent="0.2">
      <c r="A9512" s="341"/>
    </row>
    <row r="9513" spans="1:1" x14ac:dyDescent="0.2">
      <c r="A9513" s="341"/>
    </row>
    <row r="9514" spans="1:1" x14ac:dyDescent="0.2">
      <c r="A9514" s="341"/>
    </row>
    <row r="9515" spans="1:1" x14ac:dyDescent="0.2">
      <c r="A9515" s="341"/>
    </row>
    <row r="9516" spans="1:1" x14ac:dyDescent="0.2">
      <c r="A9516" s="341"/>
    </row>
    <row r="9517" spans="1:1" x14ac:dyDescent="0.2">
      <c r="A9517" s="341"/>
    </row>
    <row r="9518" spans="1:1" x14ac:dyDescent="0.2">
      <c r="A9518" s="341"/>
    </row>
    <row r="9519" spans="1:1" x14ac:dyDescent="0.2">
      <c r="A9519" s="341"/>
    </row>
    <row r="9520" spans="1:1" x14ac:dyDescent="0.2">
      <c r="A9520" s="341"/>
    </row>
    <row r="9521" spans="1:1" x14ac:dyDescent="0.2">
      <c r="A9521" s="341"/>
    </row>
    <row r="9522" spans="1:1" x14ac:dyDescent="0.2">
      <c r="A9522" s="341"/>
    </row>
    <row r="9523" spans="1:1" x14ac:dyDescent="0.2">
      <c r="A9523" s="341"/>
    </row>
    <row r="9524" spans="1:1" x14ac:dyDescent="0.2">
      <c r="A9524" s="341"/>
    </row>
    <row r="9525" spans="1:1" x14ac:dyDescent="0.2">
      <c r="A9525" s="341"/>
    </row>
    <row r="9526" spans="1:1" x14ac:dyDescent="0.2">
      <c r="A9526" s="341"/>
    </row>
    <row r="9527" spans="1:1" x14ac:dyDescent="0.2">
      <c r="A9527" s="341"/>
    </row>
    <row r="9528" spans="1:1" x14ac:dyDescent="0.2">
      <c r="A9528" s="341"/>
    </row>
    <row r="9529" spans="1:1" x14ac:dyDescent="0.2">
      <c r="A9529" s="341"/>
    </row>
    <row r="9530" spans="1:1" x14ac:dyDescent="0.2">
      <c r="A9530" s="341"/>
    </row>
    <row r="9531" spans="1:1" x14ac:dyDescent="0.2">
      <c r="A9531" s="341"/>
    </row>
    <row r="9532" spans="1:1" x14ac:dyDescent="0.2">
      <c r="A9532" s="341"/>
    </row>
    <row r="9533" spans="1:1" x14ac:dyDescent="0.2">
      <c r="A9533" s="341"/>
    </row>
    <row r="9534" spans="1:1" x14ac:dyDescent="0.2">
      <c r="A9534" s="341"/>
    </row>
    <row r="9535" spans="1:1" x14ac:dyDescent="0.2">
      <c r="A9535" s="341"/>
    </row>
    <row r="9536" spans="1:1" x14ac:dyDescent="0.2">
      <c r="A9536" s="341"/>
    </row>
    <row r="9537" spans="1:1" x14ac:dyDescent="0.2">
      <c r="A9537" s="341"/>
    </row>
    <row r="9538" spans="1:1" x14ac:dyDescent="0.2">
      <c r="A9538" s="341"/>
    </row>
    <row r="9539" spans="1:1" x14ac:dyDescent="0.2">
      <c r="A9539" s="341"/>
    </row>
    <row r="9540" spans="1:1" x14ac:dyDescent="0.2">
      <c r="A9540" s="341"/>
    </row>
    <row r="9541" spans="1:1" x14ac:dyDescent="0.2">
      <c r="A9541" s="341"/>
    </row>
    <row r="9542" spans="1:1" x14ac:dyDescent="0.2">
      <c r="A9542" s="341"/>
    </row>
    <row r="9543" spans="1:1" x14ac:dyDescent="0.2">
      <c r="A9543" s="341"/>
    </row>
    <row r="9544" spans="1:1" x14ac:dyDescent="0.2">
      <c r="A9544" s="341"/>
    </row>
    <row r="9545" spans="1:1" x14ac:dyDescent="0.2">
      <c r="A9545" s="341"/>
    </row>
    <row r="9546" spans="1:1" x14ac:dyDescent="0.2">
      <c r="A9546" s="341"/>
    </row>
    <row r="9547" spans="1:1" x14ac:dyDescent="0.2">
      <c r="A9547" s="341"/>
    </row>
    <row r="9548" spans="1:1" x14ac:dyDescent="0.2">
      <c r="A9548" s="341"/>
    </row>
    <row r="9549" spans="1:1" x14ac:dyDescent="0.2">
      <c r="A9549" s="341"/>
    </row>
    <row r="9550" spans="1:1" x14ac:dyDescent="0.2">
      <c r="A9550" s="341"/>
    </row>
    <row r="9551" spans="1:1" x14ac:dyDescent="0.2">
      <c r="A9551" s="341"/>
    </row>
    <row r="9552" spans="1:1" x14ac:dyDescent="0.2">
      <c r="A9552" s="341"/>
    </row>
    <row r="9553" spans="1:1" x14ac:dyDescent="0.2">
      <c r="A9553" s="341"/>
    </row>
    <row r="9554" spans="1:1" x14ac:dyDescent="0.2">
      <c r="A9554" s="341"/>
    </row>
    <row r="9555" spans="1:1" x14ac:dyDescent="0.2">
      <c r="A9555" s="341"/>
    </row>
    <row r="9556" spans="1:1" x14ac:dyDescent="0.2">
      <c r="A9556" s="341"/>
    </row>
    <row r="9557" spans="1:1" x14ac:dyDescent="0.2">
      <c r="A9557" s="341"/>
    </row>
    <row r="9558" spans="1:1" x14ac:dyDescent="0.2">
      <c r="A9558" s="341"/>
    </row>
    <row r="9559" spans="1:1" x14ac:dyDescent="0.2">
      <c r="A9559" s="341"/>
    </row>
    <row r="9560" spans="1:1" x14ac:dyDescent="0.2">
      <c r="A9560" s="341"/>
    </row>
    <row r="9561" spans="1:1" x14ac:dyDescent="0.2">
      <c r="A9561" s="341"/>
    </row>
    <row r="9562" spans="1:1" x14ac:dyDescent="0.2">
      <c r="A9562" s="341"/>
    </row>
    <row r="9563" spans="1:1" x14ac:dyDescent="0.2">
      <c r="A9563" s="341"/>
    </row>
    <row r="9564" spans="1:1" x14ac:dyDescent="0.2">
      <c r="A9564" s="341"/>
    </row>
    <row r="9565" spans="1:1" x14ac:dyDescent="0.2">
      <c r="A9565" s="341"/>
    </row>
    <row r="9566" spans="1:1" x14ac:dyDescent="0.2">
      <c r="A9566" s="341"/>
    </row>
    <row r="9567" spans="1:1" x14ac:dyDescent="0.2">
      <c r="A9567" s="341"/>
    </row>
    <row r="9568" spans="1:1" x14ac:dyDescent="0.2">
      <c r="A9568" s="341"/>
    </row>
    <row r="9569" spans="1:1" x14ac:dyDescent="0.2">
      <c r="A9569" s="341"/>
    </row>
    <row r="9570" spans="1:1" x14ac:dyDescent="0.2">
      <c r="A9570" s="341"/>
    </row>
    <row r="9571" spans="1:1" x14ac:dyDescent="0.2">
      <c r="A9571" s="341"/>
    </row>
    <row r="9572" spans="1:1" x14ac:dyDescent="0.2">
      <c r="A9572" s="341"/>
    </row>
    <row r="9573" spans="1:1" x14ac:dyDescent="0.2">
      <c r="A9573" s="341"/>
    </row>
    <row r="9574" spans="1:1" x14ac:dyDescent="0.2">
      <c r="A9574" s="341"/>
    </row>
    <row r="9575" spans="1:1" x14ac:dyDescent="0.2">
      <c r="A9575" s="341"/>
    </row>
    <row r="9576" spans="1:1" x14ac:dyDescent="0.2">
      <c r="A9576" s="341"/>
    </row>
    <row r="9577" spans="1:1" x14ac:dyDescent="0.2">
      <c r="A9577" s="341"/>
    </row>
    <row r="9578" spans="1:1" x14ac:dyDescent="0.2">
      <c r="A9578" s="341"/>
    </row>
    <row r="9579" spans="1:1" x14ac:dyDescent="0.2">
      <c r="A9579" s="341"/>
    </row>
    <row r="9580" spans="1:1" x14ac:dyDescent="0.2">
      <c r="A9580" s="341"/>
    </row>
    <row r="9581" spans="1:1" x14ac:dyDescent="0.2">
      <c r="A9581" s="341"/>
    </row>
    <row r="9582" spans="1:1" x14ac:dyDescent="0.2">
      <c r="A9582" s="341"/>
    </row>
    <row r="9583" spans="1:1" x14ac:dyDescent="0.2">
      <c r="A9583" s="341"/>
    </row>
    <row r="9584" spans="1:1" x14ac:dyDescent="0.2">
      <c r="A9584" s="341"/>
    </row>
    <row r="9585" spans="1:1" x14ac:dyDescent="0.2">
      <c r="A9585" s="341"/>
    </row>
    <row r="9586" spans="1:1" x14ac:dyDescent="0.2">
      <c r="A9586" s="341"/>
    </row>
    <row r="9587" spans="1:1" x14ac:dyDescent="0.2">
      <c r="A9587" s="341"/>
    </row>
    <row r="9588" spans="1:1" x14ac:dyDescent="0.2">
      <c r="A9588" s="341"/>
    </row>
    <row r="9589" spans="1:1" x14ac:dyDescent="0.2">
      <c r="A9589" s="341"/>
    </row>
    <row r="9590" spans="1:1" x14ac:dyDescent="0.2">
      <c r="A9590" s="341"/>
    </row>
    <row r="9591" spans="1:1" x14ac:dyDescent="0.2">
      <c r="A9591" s="341"/>
    </row>
    <row r="9592" spans="1:1" x14ac:dyDescent="0.2">
      <c r="A9592" s="341"/>
    </row>
    <row r="9593" spans="1:1" x14ac:dyDescent="0.2">
      <c r="A9593" s="341"/>
    </row>
    <row r="9594" spans="1:1" x14ac:dyDescent="0.2">
      <c r="A9594" s="341"/>
    </row>
    <row r="9595" spans="1:1" x14ac:dyDescent="0.2">
      <c r="A9595" s="341"/>
    </row>
    <row r="9596" spans="1:1" x14ac:dyDescent="0.2">
      <c r="A9596" s="341"/>
    </row>
    <row r="9597" spans="1:1" x14ac:dyDescent="0.2">
      <c r="A9597" s="341"/>
    </row>
    <row r="9598" spans="1:1" x14ac:dyDescent="0.2">
      <c r="A9598" s="341"/>
    </row>
    <row r="9599" spans="1:1" x14ac:dyDescent="0.2">
      <c r="A9599" s="341"/>
    </row>
    <row r="9600" spans="1:1" x14ac:dyDescent="0.2">
      <c r="A9600" s="341"/>
    </row>
    <row r="9601" spans="1:1" x14ac:dyDescent="0.2">
      <c r="A9601" s="341"/>
    </row>
    <row r="9602" spans="1:1" x14ac:dyDescent="0.2">
      <c r="A9602" s="341"/>
    </row>
    <row r="9603" spans="1:1" x14ac:dyDescent="0.2">
      <c r="A9603" s="341"/>
    </row>
    <row r="9604" spans="1:1" x14ac:dyDescent="0.2">
      <c r="A9604" s="341"/>
    </row>
    <row r="9605" spans="1:1" x14ac:dyDescent="0.2">
      <c r="A9605" s="341"/>
    </row>
    <row r="9606" spans="1:1" x14ac:dyDescent="0.2">
      <c r="A9606" s="341"/>
    </row>
    <row r="9607" spans="1:1" x14ac:dyDescent="0.2">
      <c r="A9607" s="341"/>
    </row>
    <row r="9608" spans="1:1" x14ac:dyDescent="0.2">
      <c r="A9608" s="341"/>
    </row>
    <row r="9609" spans="1:1" x14ac:dyDescent="0.2">
      <c r="A9609" s="341"/>
    </row>
    <row r="9610" spans="1:1" x14ac:dyDescent="0.2">
      <c r="A9610" s="341"/>
    </row>
    <row r="9611" spans="1:1" x14ac:dyDescent="0.2">
      <c r="A9611" s="341"/>
    </row>
    <row r="9612" spans="1:1" x14ac:dyDescent="0.2">
      <c r="A9612" s="341"/>
    </row>
    <row r="9613" spans="1:1" x14ac:dyDescent="0.2">
      <c r="A9613" s="341"/>
    </row>
    <row r="9614" spans="1:1" x14ac:dyDescent="0.2">
      <c r="A9614" s="341"/>
    </row>
    <row r="9615" spans="1:1" x14ac:dyDescent="0.2">
      <c r="A9615" s="341"/>
    </row>
    <row r="9616" spans="1:1" x14ac:dyDescent="0.2">
      <c r="A9616" s="341"/>
    </row>
    <row r="9617" spans="1:1" x14ac:dyDescent="0.2">
      <c r="A9617" s="341"/>
    </row>
    <row r="9618" spans="1:1" x14ac:dyDescent="0.2">
      <c r="A9618" s="341"/>
    </row>
    <row r="9619" spans="1:1" x14ac:dyDescent="0.2">
      <c r="A9619" s="341"/>
    </row>
    <row r="9620" spans="1:1" x14ac:dyDescent="0.2">
      <c r="A9620" s="341"/>
    </row>
    <row r="9621" spans="1:1" x14ac:dyDescent="0.2">
      <c r="A9621" s="341"/>
    </row>
    <row r="9622" spans="1:1" x14ac:dyDescent="0.2">
      <c r="A9622" s="341"/>
    </row>
    <row r="9623" spans="1:1" x14ac:dyDescent="0.2">
      <c r="A9623" s="341"/>
    </row>
    <row r="9624" spans="1:1" x14ac:dyDescent="0.2">
      <c r="A9624" s="341"/>
    </row>
    <row r="9625" spans="1:1" x14ac:dyDescent="0.2">
      <c r="A9625" s="341"/>
    </row>
    <row r="9626" spans="1:1" x14ac:dyDescent="0.2">
      <c r="A9626" s="341"/>
    </row>
    <row r="9627" spans="1:1" x14ac:dyDescent="0.2">
      <c r="A9627" s="341"/>
    </row>
    <row r="9628" spans="1:1" x14ac:dyDescent="0.2">
      <c r="A9628" s="341"/>
    </row>
    <row r="9629" spans="1:1" x14ac:dyDescent="0.2">
      <c r="A9629" s="341"/>
    </row>
    <row r="9630" spans="1:1" x14ac:dyDescent="0.2">
      <c r="A9630" s="341"/>
    </row>
    <row r="9631" spans="1:1" x14ac:dyDescent="0.2">
      <c r="A9631" s="341"/>
    </row>
    <row r="9632" spans="1:1" x14ac:dyDescent="0.2">
      <c r="A9632" s="341"/>
    </row>
    <row r="9633" spans="1:1" x14ac:dyDescent="0.2">
      <c r="A9633" s="341"/>
    </row>
    <row r="9634" spans="1:1" x14ac:dyDescent="0.2">
      <c r="A9634" s="341"/>
    </row>
    <row r="9635" spans="1:1" x14ac:dyDescent="0.2">
      <c r="A9635" s="341"/>
    </row>
    <row r="9636" spans="1:1" x14ac:dyDescent="0.2">
      <c r="A9636" s="341"/>
    </row>
    <row r="9637" spans="1:1" x14ac:dyDescent="0.2">
      <c r="A9637" s="341"/>
    </row>
    <row r="9638" spans="1:1" x14ac:dyDescent="0.2">
      <c r="A9638" s="341"/>
    </row>
    <row r="9639" spans="1:1" x14ac:dyDescent="0.2">
      <c r="A9639" s="341"/>
    </row>
    <row r="9640" spans="1:1" x14ac:dyDescent="0.2">
      <c r="A9640" s="341"/>
    </row>
    <row r="9641" spans="1:1" x14ac:dyDescent="0.2">
      <c r="A9641" s="341"/>
    </row>
    <row r="9642" spans="1:1" x14ac:dyDescent="0.2">
      <c r="A9642" s="341"/>
    </row>
    <row r="9643" spans="1:1" x14ac:dyDescent="0.2">
      <c r="A9643" s="341"/>
    </row>
    <row r="9644" spans="1:1" x14ac:dyDescent="0.2">
      <c r="A9644" s="341"/>
    </row>
    <row r="9645" spans="1:1" x14ac:dyDescent="0.2">
      <c r="A9645" s="341"/>
    </row>
    <row r="9646" spans="1:1" x14ac:dyDescent="0.2">
      <c r="A9646" s="341"/>
    </row>
    <row r="9647" spans="1:1" x14ac:dyDescent="0.2">
      <c r="A9647" s="341"/>
    </row>
    <row r="9648" spans="1:1" x14ac:dyDescent="0.2">
      <c r="A9648" s="341"/>
    </row>
    <row r="9649" spans="1:1" x14ac:dyDescent="0.2">
      <c r="A9649" s="341"/>
    </row>
    <row r="9650" spans="1:1" x14ac:dyDescent="0.2">
      <c r="A9650" s="341"/>
    </row>
    <row r="9651" spans="1:1" x14ac:dyDescent="0.2">
      <c r="A9651" s="341"/>
    </row>
    <row r="9652" spans="1:1" x14ac:dyDescent="0.2">
      <c r="A9652" s="341"/>
    </row>
    <row r="9653" spans="1:1" x14ac:dyDescent="0.2">
      <c r="A9653" s="341"/>
    </row>
    <row r="9654" spans="1:1" x14ac:dyDescent="0.2">
      <c r="A9654" s="341"/>
    </row>
    <row r="9655" spans="1:1" x14ac:dyDescent="0.2">
      <c r="A9655" s="341"/>
    </row>
    <row r="9656" spans="1:1" x14ac:dyDescent="0.2">
      <c r="A9656" s="341"/>
    </row>
    <row r="9657" spans="1:1" x14ac:dyDescent="0.2">
      <c r="A9657" s="341"/>
    </row>
    <row r="9658" spans="1:1" x14ac:dyDescent="0.2">
      <c r="A9658" s="341"/>
    </row>
    <row r="9659" spans="1:1" x14ac:dyDescent="0.2">
      <c r="A9659" s="341"/>
    </row>
    <row r="9660" spans="1:1" x14ac:dyDescent="0.2">
      <c r="A9660" s="341"/>
    </row>
    <row r="9661" spans="1:1" x14ac:dyDescent="0.2">
      <c r="A9661" s="341"/>
    </row>
    <row r="9662" spans="1:1" x14ac:dyDescent="0.2">
      <c r="A9662" s="341"/>
    </row>
    <row r="9663" spans="1:1" x14ac:dyDescent="0.2">
      <c r="A9663" s="341"/>
    </row>
    <row r="9664" spans="1:1" x14ac:dyDescent="0.2">
      <c r="A9664" s="341"/>
    </row>
    <row r="9665" spans="1:1" x14ac:dyDescent="0.2">
      <c r="A9665" s="341"/>
    </row>
    <row r="9666" spans="1:1" x14ac:dyDescent="0.2">
      <c r="A9666" s="341"/>
    </row>
    <row r="9667" spans="1:1" x14ac:dyDescent="0.2">
      <c r="A9667" s="341"/>
    </row>
    <row r="9668" spans="1:1" x14ac:dyDescent="0.2">
      <c r="A9668" s="341"/>
    </row>
    <row r="9669" spans="1:1" x14ac:dyDescent="0.2">
      <c r="A9669" s="341"/>
    </row>
    <row r="9670" spans="1:1" x14ac:dyDescent="0.2">
      <c r="A9670" s="341"/>
    </row>
    <row r="9671" spans="1:1" x14ac:dyDescent="0.2">
      <c r="A9671" s="341"/>
    </row>
    <row r="9672" spans="1:1" x14ac:dyDescent="0.2">
      <c r="A9672" s="341"/>
    </row>
    <row r="9673" spans="1:1" x14ac:dyDescent="0.2">
      <c r="A9673" s="341"/>
    </row>
    <row r="9674" spans="1:1" x14ac:dyDescent="0.2">
      <c r="A9674" s="341"/>
    </row>
    <row r="9675" spans="1:1" x14ac:dyDescent="0.2">
      <c r="A9675" s="341"/>
    </row>
    <row r="9676" spans="1:1" x14ac:dyDescent="0.2">
      <c r="A9676" s="341"/>
    </row>
    <row r="9677" spans="1:1" x14ac:dyDescent="0.2">
      <c r="A9677" s="341"/>
    </row>
    <row r="9678" spans="1:1" x14ac:dyDescent="0.2">
      <c r="A9678" s="341"/>
    </row>
    <row r="9679" spans="1:1" x14ac:dyDescent="0.2">
      <c r="A9679" s="341"/>
    </row>
    <row r="9680" spans="1:1" x14ac:dyDescent="0.2">
      <c r="A9680" s="341"/>
    </row>
    <row r="9681" spans="1:1" x14ac:dyDescent="0.2">
      <c r="A9681" s="341"/>
    </row>
    <row r="9682" spans="1:1" x14ac:dyDescent="0.2">
      <c r="A9682" s="341"/>
    </row>
    <row r="9683" spans="1:1" x14ac:dyDescent="0.2">
      <c r="A9683" s="341"/>
    </row>
    <row r="9684" spans="1:1" x14ac:dyDescent="0.2">
      <c r="A9684" s="341"/>
    </row>
    <row r="9685" spans="1:1" x14ac:dyDescent="0.2">
      <c r="A9685" s="341"/>
    </row>
    <row r="9686" spans="1:1" x14ac:dyDescent="0.2">
      <c r="A9686" s="341"/>
    </row>
    <row r="9687" spans="1:1" x14ac:dyDescent="0.2">
      <c r="A9687" s="341"/>
    </row>
    <row r="9688" spans="1:1" x14ac:dyDescent="0.2">
      <c r="A9688" s="341"/>
    </row>
    <row r="9689" spans="1:1" x14ac:dyDescent="0.2">
      <c r="A9689" s="341"/>
    </row>
    <row r="9690" spans="1:1" x14ac:dyDescent="0.2">
      <c r="A9690" s="341"/>
    </row>
    <row r="9691" spans="1:1" x14ac:dyDescent="0.2">
      <c r="A9691" s="341"/>
    </row>
    <row r="9692" spans="1:1" x14ac:dyDescent="0.2">
      <c r="A9692" s="341"/>
    </row>
    <row r="9693" spans="1:1" x14ac:dyDescent="0.2">
      <c r="A9693" s="341"/>
    </row>
    <row r="9694" spans="1:1" x14ac:dyDescent="0.2">
      <c r="A9694" s="341"/>
    </row>
    <row r="9695" spans="1:1" x14ac:dyDescent="0.2">
      <c r="A9695" s="341"/>
    </row>
    <row r="9696" spans="1:1" x14ac:dyDescent="0.2">
      <c r="A9696" s="341"/>
    </row>
    <row r="9697" spans="1:1" x14ac:dyDescent="0.2">
      <c r="A9697" s="341"/>
    </row>
    <row r="9698" spans="1:1" x14ac:dyDescent="0.2">
      <c r="A9698" s="341"/>
    </row>
    <row r="9699" spans="1:1" x14ac:dyDescent="0.2">
      <c r="A9699" s="341"/>
    </row>
    <row r="9700" spans="1:1" x14ac:dyDescent="0.2">
      <c r="A9700" s="341"/>
    </row>
    <row r="9701" spans="1:1" x14ac:dyDescent="0.2">
      <c r="A9701" s="341"/>
    </row>
    <row r="9702" spans="1:1" x14ac:dyDescent="0.2">
      <c r="A9702" s="341"/>
    </row>
    <row r="9703" spans="1:1" x14ac:dyDescent="0.2">
      <c r="A9703" s="341"/>
    </row>
    <row r="9704" spans="1:1" x14ac:dyDescent="0.2">
      <c r="A9704" s="341"/>
    </row>
    <row r="9705" spans="1:1" x14ac:dyDescent="0.2">
      <c r="A9705" s="341"/>
    </row>
    <row r="9706" spans="1:1" x14ac:dyDescent="0.2">
      <c r="A9706" s="341"/>
    </row>
    <row r="9707" spans="1:1" x14ac:dyDescent="0.2">
      <c r="A9707" s="341"/>
    </row>
    <row r="9708" spans="1:1" x14ac:dyDescent="0.2">
      <c r="A9708" s="341"/>
    </row>
    <row r="9709" spans="1:1" x14ac:dyDescent="0.2">
      <c r="A9709" s="341"/>
    </row>
    <row r="9710" spans="1:1" x14ac:dyDescent="0.2">
      <c r="A9710" s="341"/>
    </row>
    <row r="9711" spans="1:1" x14ac:dyDescent="0.2">
      <c r="A9711" s="341"/>
    </row>
    <row r="9712" spans="1:1" x14ac:dyDescent="0.2">
      <c r="A9712" s="341"/>
    </row>
    <row r="9713" spans="1:1" x14ac:dyDescent="0.2">
      <c r="A9713" s="341"/>
    </row>
    <row r="9714" spans="1:1" x14ac:dyDescent="0.2">
      <c r="A9714" s="341"/>
    </row>
    <row r="9715" spans="1:1" x14ac:dyDescent="0.2">
      <c r="A9715" s="341"/>
    </row>
    <row r="9716" spans="1:1" x14ac:dyDescent="0.2">
      <c r="A9716" s="341"/>
    </row>
    <row r="9717" spans="1:1" x14ac:dyDescent="0.2">
      <c r="A9717" s="341"/>
    </row>
    <row r="9718" spans="1:1" x14ac:dyDescent="0.2">
      <c r="A9718" s="341"/>
    </row>
    <row r="9719" spans="1:1" x14ac:dyDescent="0.2">
      <c r="A9719" s="341"/>
    </row>
    <row r="9720" spans="1:1" x14ac:dyDescent="0.2">
      <c r="A9720" s="341"/>
    </row>
    <row r="9721" spans="1:1" x14ac:dyDescent="0.2">
      <c r="A9721" s="341"/>
    </row>
    <row r="9722" spans="1:1" x14ac:dyDescent="0.2">
      <c r="A9722" s="341"/>
    </row>
    <row r="9723" spans="1:1" x14ac:dyDescent="0.2">
      <c r="A9723" s="341"/>
    </row>
    <row r="9724" spans="1:1" x14ac:dyDescent="0.2">
      <c r="A9724" s="341"/>
    </row>
    <row r="9725" spans="1:1" x14ac:dyDescent="0.2">
      <c r="A9725" s="341"/>
    </row>
    <row r="9726" spans="1:1" x14ac:dyDescent="0.2">
      <c r="A9726" s="341"/>
    </row>
    <row r="9727" spans="1:1" x14ac:dyDescent="0.2">
      <c r="A9727" s="341"/>
    </row>
    <row r="9728" spans="1:1" x14ac:dyDescent="0.2">
      <c r="A9728" s="341"/>
    </row>
    <row r="9729" spans="1:1" x14ac:dyDescent="0.2">
      <c r="A9729" s="341"/>
    </row>
    <row r="9730" spans="1:1" x14ac:dyDescent="0.2">
      <c r="A9730" s="341"/>
    </row>
    <row r="9731" spans="1:1" x14ac:dyDescent="0.2">
      <c r="A9731" s="341"/>
    </row>
    <row r="9732" spans="1:1" x14ac:dyDescent="0.2">
      <c r="A9732" s="341"/>
    </row>
    <row r="9733" spans="1:1" x14ac:dyDescent="0.2">
      <c r="A9733" s="341"/>
    </row>
    <row r="9734" spans="1:1" x14ac:dyDescent="0.2">
      <c r="A9734" s="341"/>
    </row>
    <row r="9735" spans="1:1" x14ac:dyDescent="0.2">
      <c r="A9735" s="341"/>
    </row>
    <row r="9736" spans="1:1" x14ac:dyDescent="0.2">
      <c r="A9736" s="341"/>
    </row>
    <row r="9737" spans="1:1" x14ac:dyDescent="0.2">
      <c r="A9737" s="341"/>
    </row>
    <row r="9738" spans="1:1" x14ac:dyDescent="0.2">
      <c r="A9738" s="341"/>
    </row>
    <row r="9739" spans="1:1" x14ac:dyDescent="0.2">
      <c r="A9739" s="341"/>
    </row>
    <row r="9740" spans="1:1" x14ac:dyDescent="0.2">
      <c r="A9740" s="341"/>
    </row>
    <row r="9741" spans="1:1" x14ac:dyDescent="0.2">
      <c r="A9741" s="341"/>
    </row>
    <row r="9742" spans="1:1" x14ac:dyDescent="0.2">
      <c r="A9742" s="341"/>
    </row>
    <row r="9743" spans="1:1" x14ac:dyDescent="0.2">
      <c r="A9743" s="341"/>
    </row>
    <row r="9744" spans="1:1" x14ac:dyDescent="0.2">
      <c r="A9744" s="341"/>
    </row>
    <row r="9745" spans="1:1" x14ac:dyDescent="0.2">
      <c r="A9745" s="341"/>
    </row>
    <row r="9746" spans="1:1" x14ac:dyDescent="0.2">
      <c r="A9746" s="341"/>
    </row>
    <row r="9747" spans="1:1" x14ac:dyDescent="0.2">
      <c r="A9747" s="341"/>
    </row>
    <row r="9748" spans="1:1" x14ac:dyDescent="0.2">
      <c r="A9748" s="341"/>
    </row>
    <row r="9749" spans="1:1" x14ac:dyDescent="0.2">
      <c r="A9749" s="341"/>
    </row>
    <row r="9750" spans="1:1" x14ac:dyDescent="0.2">
      <c r="A9750" s="341"/>
    </row>
    <row r="9751" spans="1:1" x14ac:dyDescent="0.2">
      <c r="A9751" s="341"/>
    </row>
    <row r="9752" spans="1:1" x14ac:dyDescent="0.2">
      <c r="A9752" s="341"/>
    </row>
    <row r="9753" spans="1:1" x14ac:dyDescent="0.2">
      <c r="A9753" s="341"/>
    </row>
    <row r="9754" spans="1:1" x14ac:dyDescent="0.2">
      <c r="A9754" s="341"/>
    </row>
    <row r="9755" spans="1:1" x14ac:dyDescent="0.2">
      <c r="A9755" s="341"/>
    </row>
    <row r="9756" spans="1:1" x14ac:dyDescent="0.2">
      <c r="A9756" s="341"/>
    </row>
    <row r="9757" spans="1:1" x14ac:dyDescent="0.2">
      <c r="A9757" s="341"/>
    </row>
    <row r="9758" spans="1:1" x14ac:dyDescent="0.2">
      <c r="A9758" s="341"/>
    </row>
    <row r="9759" spans="1:1" x14ac:dyDescent="0.2">
      <c r="A9759" s="341"/>
    </row>
    <row r="9760" spans="1:1" x14ac:dyDescent="0.2">
      <c r="A9760" s="341"/>
    </row>
    <row r="9761" spans="1:1" x14ac:dyDescent="0.2">
      <c r="A9761" s="341"/>
    </row>
    <row r="9762" spans="1:1" x14ac:dyDescent="0.2">
      <c r="A9762" s="341"/>
    </row>
    <row r="9763" spans="1:1" x14ac:dyDescent="0.2">
      <c r="A9763" s="341"/>
    </row>
    <row r="9764" spans="1:1" x14ac:dyDescent="0.2">
      <c r="A9764" s="341"/>
    </row>
    <row r="9765" spans="1:1" x14ac:dyDescent="0.2">
      <c r="A9765" s="341"/>
    </row>
    <row r="9766" spans="1:1" x14ac:dyDescent="0.2">
      <c r="A9766" s="341"/>
    </row>
    <row r="9767" spans="1:1" x14ac:dyDescent="0.2">
      <c r="A9767" s="341"/>
    </row>
    <row r="9768" spans="1:1" x14ac:dyDescent="0.2">
      <c r="A9768" s="341"/>
    </row>
    <row r="9769" spans="1:1" x14ac:dyDescent="0.2">
      <c r="A9769" s="341"/>
    </row>
    <row r="9770" spans="1:1" x14ac:dyDescent="0.2">
      <c r="A9770" s="341"/>
    </row>
    <row r="9771" spans="1:1" x14ac:dyDescent="0.2">
      <c r="A9771" s="341"/>
    </row>
    <row r="9772" spans="1:1" x14ac:dyDescent="0.2">
      <c r="A9772" s="341"/>
    </row>
    <row r="9773" spans="1:1" x14ac:dyDescent="0.2">
      <c r="A9773" s="341"/>
    </row>
    <row r="9774" spans="1:1" x14ac:dyDescent="0.2">
      <c r="A9774" s="341"/>
    </row>
    <row r="9775" spans="1:1" x14ac:dyDescent="0.2">
      <c r="A9775" s="341"/>
    </row>
    <row r="9776" spans="1:1" x14ac:dyDescent="0.2">
      <c r="A9776" s="341"/>
    </row>
    <row r="9777" spans="1:1" x14ac:dyDescent="0.2">
      <c r="A9777" s="341"/>
    </row>
    <row r="9778" spans="1:1" x14ac:dyDescent="0.2">
      <c r="A9778" s="341"/>
    </row>
    <row r="9779" spans="1:1" x14ac:dyDescent="0.2">
      <c r="A9779" s="341"/>
    </row>
    <row r="9780" spans="1:1" x14ac:dyDescent="0.2">
      <c r="A9780" s="341"/>
    </row>
    <row r="9781" spans="1:1" x14ac:dyDescent="0.2">
      <c r="A9781" s="341"/>
    </row>
    <row r="9782" spans="1:1" x14ac:dyDescent="0.2">
      <c r="A9782" s="341"/>
    </row>
    <row r="9783" spans="1:1" x14ac:dyDescent="0.2">
      <c r="A9783" s="341"/>
    </row>
    <row r="9784" spans="1:1" x14ac:dyDescent="0.2">
      <c r="A9784" s="341"/>
    </row>
    <row r="9785" spans="1:1" x14ac:dyDescent="0.2">
      <c r="A9785" s="341"/>
    </row>
    <row r="9786" spans="1:1" x14ac:dyDescent="0.2">
      <c r="A9786" s="341"/>
    </row>
    <row r="9787" spans="1:1" x14ac:dyDescent="0.2">
      <c r="A9787" s="341"/>
    </row>
    <row r="9788" spans="1:1" x14ac:dyDescent="0.2">
      <c r="A9788" s="341"/>
    </row>
    <row r="9789" spans="1:1" x14ac:dyDescent="0.2">
      <c r="A9789" s="341"/>
    </row>
    <row r="9790" spans="1:1" x14ac:dyDescent="0.2">
      <c r="A9790" s="341"/>
    </row>
    <row r="9791" spans="1:1" x14ac:dyDescent="0.2">
      <c r="A9791" s="341"/>
    </row>
    <row r="9792" spans="1:1" x14ac:dyDescent="0.2">
      <c r="A9792" s="341"/>
    </row>
    <row r="9793" spans="1:1" x14ac:dyDescent="0.2">
      <c r="A9793" s="341"/>
    </row>
    <row r="9794" spans="1:1" x14ac:dyDescent="0.2">
      <c r="A9794" s="341"/>
    </row>
    <row r="9795" spans="1:1" x14ac:dyDescent="0.2">
      <c r="A9795" s="341"/>
    </row>
    <row r="9796" spans="1:1" x14ac:dyDescent="0.2">
      <c r="A9796" s="341"/>
    </row>
    <row r="9797" spans="1:1" x14ac:dyDescent="0.2">
      <c r="A9797" s="341"/>
    </row>
    <row r="9798" spans="1:1" x14ac:dyDescent="0.2">
      <c r="A9798" s="341"/>
    </row>
    <row r="9799" spans="1:1" x14ac:dyDescent="0.2">
      <c r="A9799" s="341"/>
    </row>
    <row r="9800" spans="1:1" x14ac:dyDescent="0.2">
      <c r="A9800" s="341"/>
    </row>
    <row r="9801" spans="1:1" x14ac:dyDescent="0.2">
      <c r="A9801" s="341"/>
    </row>
    <row r="9802" spans="1:1" x14ac:dyDescent="0.2">
      <c r="A9802" s="341"/>
    </row>
    <row r="9803" spans="1:1" x14ac:dyDescent="0.2">
      <c r="A9803" s="341"/>
    </row>
    <row r="9804" spans="1:1" x14ac:dyDescent="0.2">
      <c r="A9804" s="341"/>
    </row>
    <row r="9805" spans="1:1" x14ac:dyDescent="0.2">
      <c r="A9805" s="341"/>
    </row>
    <row r="9806" spans="1:1" x14ac:dyDescent="0.2">
      <c r="A9806" s="341"/>
    </row>
    <row r="9807" spans="1:1" x14ac:dyDescent="0.2">
      <c r="A9807" s="341"/>
    </row>
    <row r="9808" spans="1:1" x14ac:dyDescent="0.2">
      <c r="A9808" s="341"/>
    </row>
    <row r="9809" spans="1:1" x14ac:dyDescent="0.2">
      <c r="A9809" s="341"/>
    </row>
    <row r="9810" spans="1:1" x14ac:dyDescent="0.2">
      <c r="A9810" s="341"/>
    </row>
    <row r="9811" spans="1:1" x14ac:dyDescent="0.2">
      <c r="A9811" s="341"/>
    </row>
    <row r="9812" spans="1:1" x14ac:dyDescent="0.2">
      <c r="A9812" s="341"/>
    </row>
    <row r="9813" spans="1:1" x14ac:dyDescent="0.2">
      <c r="A9813" s="341"/>
    </row>
    <row r="9814" spans="1:1" x14ac:dyDescent="0.2">
      <c r="A9814" s="341"/>
    </row>
    <row r="9815" spans="1:1" x14ac:dyDescent="0.2">
      <c r="A9815" s="341"/>
    </row>
    <row r="9816" spans="1:1" x14ac:dyDescent="0.2">
      <c r="A9816" s="341"/>
    </row>
    <row r="9817" spans="1:1" x14ac:dyDescent="0.2">
      <c r="A9817" s="341"/>
    </row>
    <row r="9818" spans="1:1" x14ac:dyDescent="0.2">
      <c r="A9818" s="341"/>
    </row>
    <row r="9819" spans="1:1" x14ac:dyDescent="0.2">
      <c r="A9819" s="341"/>
    </row>
    <row r="9820" spans="1:1" x14ac:dyDescent="0.2">
      <c r="A9820" s="341"/>
    </row>
    <row r="9821" spans="1:1" x14ac:dyDescent="0.2">
      <c r="A9821" s="341"/>
    </row>
    <row r="9822" spans="1:1" x14ac:dyDescent="0.2">
      <c r="A9822" s="341"/>
    </row>
    <row r="9823" spans="1:1" x14ac:dyDescent="0.2">
      <c r="A9823" s="341"/>
    </row>
    <row r="9824" spans="1:1" x14ac:dyDescent="0.2">
      <c r="A9824" s="341"/>
    </row>
    <row r="9825" spans="1:1" x14ac:dyDescent="0.2">
      <c r="A9825" s="341"/>
    </row>
    <row r="9826" spans="1:1" x14ac:dyDescent="0.2">
      <c r="A9826" s="341"/>
    </row>
    <row r="9827" spans="1:1" x14ac:dyDescent="0.2">
      <c r="A9827" s="341"/>
    </row>
    <row r="9828" spans="1:1" x14ac:dyDescent="0.2">
      <c r="A9828" s="341"/>
    </row>
    <row r="9829" spans="1:1" x14ac:dyDescent="0.2">
      <c r="A9829" s="341"/>
    </row>
    <row r="9830" spans="1:1" x14ac:dyDescent="0.2">
      <c r="A9830" s="341"/>
    </row>
    <row r="9831" spans="1:1" x14ac:dyDescent="0.2">
      <c r="A9831" s="341"/>
    </row>
    <row r="9832" spans="1:1" x14ac:dyDescent="0.2">
      <c r="A9832" s="341"/>
    </row>
    <row r="9833" spans="1:1" x14ac:dyDescent="0.2">
      <c r="A9833" s="341"/>
    </row>
    <row r="9834" spans="1:1" x14ac:dyDescent="0.2">
      <c r="A9834" s="341"/>
    </row>
    <row r="9835" spans="1:1" x14ac:dyDescent="0.2">
      <c r="A9835" s="341"/>
    </row>
    <row r="9836" spans="1:1" x14ac:dyDescent="0.2">
      <c r="A9836" s="341"/>
    </row>
    <row r="9837" spans="1:1" x14ac:dyDescent="0.2">
      <c r="A9837" s="341"/>
    </row>
    <row r="9838" spans="1:1" x14ac:dyDescent="0.2">
      <c r="A9838" s="341"/>
    </row>
    <row r="9839" spans="1:1" x14ac:dyDescent="0.2">
      <c r="A9839" s="341"/>
    </row>
    <row r="9840" spans="1:1" x14ac:dyDescent="0.2">
      <c r="A9840" s="341"/>
    </row>
    <row r="9841" spans="1:1" x14ac:dyDescent="0.2">
      <c r="A9841" s="341"/>
    </row>
    <row r="9842" spans="1:1" x14ac:dyDescent="0.2">
      <c r="A9842" s="341"/>
    </row>
    <row r="9843" spans="1:1" x14ac:dyDescent="0.2">
      <c r="A9843" s="341"/>
    </row>
    <row r="9844" spans="1:1" x14ac:dyDescent="0.2">
      <c r="A9844" s="341"/>
    </row>
    <row r="9845" spans="1:1" x14ac:dyDescent="0.2">
      <c r="A9845" s="341"/>
    </row>
    <row r="9846" spans="1:1" x14ac:dyDescent="0.2">
      <c r="A9846" s="341"/>
    </row>
    <row r="9847" spans="1:1" x14ac:dyDescent="0.2">
      <c r="A9847" s="341"/>
    </row>
    <row r="9848" spans="1:1" x14ac:dyDescent="0.2">
      <c r="A9848" s="341"/>
    </row>
    <row r="9849" spans="1:1" x14ac:dyDescent="0.2">
      <c r="A9849" s="341"/>
    </row>
    <row r="9850" spans="1:1" x14ac:dyDescent="0.2">
      <c r="A9850" s="341"/>
    </row>
    <row r="9851" spans="1:1" x14ac:dyDescent="0.2">
      <c r="A9851" s="341"/>
    </row>
    <row r="9852" spans="1:1" x14ac:dyDescent="0.2">
      <c r="A9852" s="341"/>
    </row>
    <row r="9853" spans="1:1" x14ac:dyDescent="0.2">
      <c r="A9853" s="341"/>
    </row>
    <row r="9854" spans="1:1" x14ac:dyDescent="0.2">
      <c r="A9854" s="341"/>
    </row>
    <row r="9855" spans="1:1" x14ac:dyDescent="0.2">
      <c r="A9855" s="341"/>
    </row>
    <row r="9856" spans="1:1" x14ac:dyDescent="0.2">
      <c r="A9856" s="341"/>
    </row>
    <row r="9857" spans="1:1" x14ac:dyDescent="0.2">
      <c r="A9857" s="341"/>
    </row>
    <row r="9858" spans="1:1" x14ac:dyDescent="0.2">
      <c r="A9858" s="341"/>
    </row>
    <row r="9859" spans="1:1" x14ac:dyDescent="0.2">
      <c r="A9859" s="341"/>
    </row>
    <row r="9860" spans="1:1" x14ac:dyDescent="0.2">
      <c r="A9860" s="341"/>
    </row>
    <row r="9861" spans="1:1" x14ac:dyDescent="0.2">
      <c r="A9861" s="341"/>
    </row>
    <row r="9862" spans="1:1" x14ac:dyDescent="0.2">
      <c r="A9862" s="341"/>
    </row>
    <row r="9863" spans="1:1" x14ac:dyDescent="0.2">
      <c r="A9863" s="341"/>
    </row>
    <row r="9864" spans="1:1" x14ac:dyDescent="0.2">
      <c r="A9864" s="341"/>
    </row>
    <row r="9865" spans="1:1" x14ac:dyDescent="0.2">
      <c r="A9865" s="341"/>
    </row>
    <row r="9866" spans="1:1" x14ac:dyDescent="0.2">
      <c r="A9866" s="341"/>
    </row>
    <row r="9867" spans="1:1" x14ac:dyDescent="0.2">
      <c r="A9867" s="341"/>
    </row>
    <row r="9868" spans="1:1" x14ac:dyDescent="0.2">
      <c r="A9868" s="341"/>
    </row>
    <row r="9869" spans="1:1" x14ac:dyDescent="0.2">
      <c r="A9869" s="341"/>
    </row>
    <row r="9870" spans="1:1" x14ac:dyDescent="0.2">
      <c r="A9870" s="341"/>
    </row>
    <row r="9871" spans="1:1" x14ac:dyDescent="0.2">
      <c r="A9871" s="341"/>
    </row>
    <row r="9872" spans="1:1" x14ac:dyDescent="0.2">
      <c r="A9872" s="341"/>
    </row>
    <row r="9873" spans="1:1" x14ac:dyDescent="0.2">
      <c r="A9873" s="341"/>
    </row>
    <row r="9874" spans="1:1" x14ac:dyDescent="0.2">
      <c r="A9874" s="341"/>
    </row>
    <row r="9875" spans="1:1" x14ac:dyDescent="0.2">
      <c r="A9875" s="341"/>
    </row>
    <row r="9876" spans="1:1" x14ac:dyDescent="0.2">
      <c r="A9876" s="341"/>
    </row>
    <row r="9877" spans="1:1" x14ac:dyDescent="0.2">
      <c r="A9877" s="341"/>
    </row>
    <row r="9878" spans="1:1" x14ac:dyDescent="0.2">
      <c r="A9878" s="341"/>
    </row>
    <row r="9879" spans="1:1" x14ac:dyDescent="0.2">
      <c r="A9879" s="341"/>
    </row>
    <row r="9880" spans="1:1" x14ac:dyDescent="0.2">
      <c r="A9880" s="341"/>
    </row>
    <row r="9881" spans="1:1" x14ac:dyDescent="0.2">
      <c r="A9881" s="341"/>
    </row>
    <row r="9882" spans="1:1" x14ac:dyDescent="0.2">
      <c r="A9882" s="341"/>
    </row>
    <row r="9883" spans="1:1" x14ac:dyDescent="0.2">
      <c r="A9883" s="341"/>
    </row>
    <row r="9884" spans="1:1" x14ac:dyDescent="0.2">
      <c r="A9884" s="341"/>
    </row>
    <row r="9885" spans="1:1" x14ac:dyDescent="0.2">
      <c r="A9885" s="341"/>
    </row>
    <row r="9886" spans="1:1" x14ac:dyDescent="0.2">
      <c r="A9886" s="341"/>
    </row>
    <row r="9887" spans="1:1" x14ac:dyDescent="0.2">
      <c r="A9887" s="341"/>
    </row>
    <row r="9888" spans="1:1" x14ac:dyDescent="0.2">
      <c r="A9888" s="341"/>
    </row>
    <row r="9889" spans="1:1" x14ac:dyDescent="0.2">
      <c r="A9889" s="341"/>
    </row>
    <row r="9890" spans="1:1" x14ac:dyDescent="0.2">
      <c r="A9890" s="341"/>
    </row>
    <row r="9891" spans="1:1" x14ac:dyDescent="0.2">
      <c r="A9891" s="341"/>
    </row>
    <row r="9892" spans="1:1" x14ac:dyDescent="0.2">
      <c r="A9892" s="341"/>
    </row>
    <row r="9893" spans="1:1" x14ac:dyDescent="0.2">
      <c r="A9893" s="341"/>
    </row>
    <row r="9894" spans="1:1" x14ac:dyDescent="0.2">
      <c r="A9894" s="341"/>
    </row>
    <row r="9895" spans="1:1" x14ac:dyDescent="0.2">
      <c r="A9895" s="341"/>
    </row>
    <row r="9896" spans="1:1" x14ac:dyDescent="0.2">
      <c r="A9896" s="341"/>
    </row>
    <row r="9897" spans="1:1" x14ac:dyDescent="0.2">
      <c r="A9897" s="341"/>
    </row>
    <row r="9898" spans="1:1" x14ac:dyDescent="0.2">
      <c r="A9898" s="341"/>
    </row>
    <row r="9899" spans="1:1" x14ac:dyDescent="0.2">
      <c r="A9899" s="341"/>
    </row>
    <row r="9900" spans="1:1" x14ac:dyDescent="0.2">
      <c r="A9900" s="341"/>
    </row>
    <row r="9901" spans="1:1" x14ac:dyDescent="0.2">
      <c r="A9901" s="341"/>
    </row>
    <row r="9902" spans="1:1" x14ac:dyDescent="0.2">
      <c r="A9902" s="341"/>
    </row>
    <row r="9903" spans="1:1" x14ac:dyDescent="0.2">
      <c r="A9903" s="341"/>
    </row>
    <row r="9904" spans="1:1" x14ac:dyDescent="0.2">
      <c r="A9904" s="341"/>
    </row>
    <row r="9905" spans="1:1" x14ac:dyDescent="0.2">
      <c r="A9905" s="341"/>
    </row>
    <row r="9906" spans="1:1" x14ac:dyDescent="0.2">
      <c r="A9906" s="341"/>
    </row>
    <row r="9907" spans="1:1" x14ac:dyDescent="0.2">
      <c r="A9907" s="341"/>
    </row>
    <row r="9908" spans="1:1" x14ac:dyDescent="0.2">
      <c r="A9908" s="341"/>
    </row>
    <row r="9909" spans="1:1" x14ac:dyDescent="0.2">
      <c r="A9909" s="341"/>
    </row>
    <row r="9910" spans="1:1" x14ac:dyDescent="0.2">
      <c r="A9910" s="341"/>
    </row>
    <row r="9911" spans="1:1" x14ac:dyDescent="0.2">
      <c r="A9911" s="341"/>
    </row>
    <row r="9912" spans="1:1" x14ac:dyDescent="0.2">
      <c r="A9912" s="341"/>
    </row>
    <row r="9913" spans="1:1" x14ac:dyDescent="0.2">
      <c r="A9913" s="341"/>
    </row>
    <row r="9914" spans="1:1" x14ac:dyDescent="0.2">
      <c r="A9914" s="341"/>
    </row>
    <row r="9915" spans="1:1" x14ac:dyDescent="0.2">
      <c r="A9915" s="341"/>
    </row>
    <row r="9916" spans="1:1" x14ac:dyDescent="0.2">
      <c r="A9916" s="341"/>
    </row>
    <row r="9917" spans="1:1" x14ac:dyDescent="0.2">
      <c r="A9917" s="341"/>
    </row>
    <row r="9918" spans="1:1" x14ac:dyDescent="0.2">
      <c r="A9918" s="341"/>
    </row>
    <row r="9919" spans="1:1" x14ac:dyDescent="0.2">
      <c r="A9919" s="341"/>
    </row>
    <row r="9920" spans="1:1" x14ac:dyDescent="0.2">
      <c r="A9920" s="341"/>
    </row>
    <row r="9921" spans="1:1" x14ac:dyDescent="0.2">
      <c r="A9921" s="341"/>
    </row>
    <row r="9922" spans="1:1" x14ac:dyDescent="0.2">
      <c r="A9922" s="341"/>
    </row>
    <row r="9923" spans="1:1" x14ac:dyDescent="0.2">
      <c r="A9923" s="341"/>
    </row>
    <row r="9924" spans="1:1" x14ac:dyDescent="0.2">
      <c r="A9924" s="341"/>
    </row>
    <row r="9925" spans="1:1" x14ac:dyDescent="0.2">
      <c r="A9925" s="341"/>
    </row>
    <row r="9926" spans="1:1" x14ac:dyDescent="0.2">
      <c r="A9926" s="341"/>
    </row>
    <row r="9927" spans="1:1" x14ac:dyDescent="0.2">
      <c r="A9927" s="341"/>
    </row>
    <row r="9928" spans="1:1" x14ac:dyDescent="0.2">
      <c r="A9928" s="341"/>
    </row>
    <row r="9929" spans="1:1" x14ac:dyDescent="0.2">
      <c r="A9929" s="341"/>
    </row>
    <row r="9930" spans="1:1" x14ac:dyDescent="0.2">
      <c r="A9930" s="341"/>
    </row>
    <row r="9931" spans="1:1" x14ac:dyDescent="0.2">
      <c r="A9931" s="341"/>
    </row>
    <row r="9932" spans="1:1" x14ac:dyDescent="0.2">
      <c r="A9932" s="341"/>
    </row>
    <row r="9933" spans="1:1" x14ac:dyDescent="0.2">
      <c r="A9933" s="341"/>
    </row>
    <row r="9934" spans="1:1" x14ac:dyDescent="0.2">
      <c r="A9934" s="341"/>
    </row>
    <row r="9935" spans="1:1" x14ac:dyDescent="0.2">
      <c r="A9935" s="341"/>
    </row>
    <row r="9936" spans="1:1" x14ac:dyDescent="0.2">
      <c r="A9936" s="341"/>
    </row>
    <row r="9937" spans="1:1" x14ac:dyDescent="0.2">
      <c r="A9937" s="341"/>
    </row>
    <row r="9938" spans="1:1" x14ac:dyDescent="0.2">
      <c r="A9938" s="341"/>
    </row>
    <row r="9939" spans="1:1" x14ac:dyDescent="0.2">
      <c r="A9939" s="341"/>
    </row>
    <row r="9940" spans="1:1" x14ac:dyDescent="0.2">
      <c r="A9940" s="341"/>
    </row>
    <row r="9941" spans="1:1" x14ac:dyDescent="0.2">
      <c r="A9941" s="341"/>
    </row>
    <row r="9942" spans="1:1" x14ac:dyDescent="0.2">
      <c r="A9942" s="341"/>
    </row>
    <row r="9943" spans="1:1" x14ac:dyDescent="0.2">
      <c r="A9943" s="341"/>
    </row>
    <row r="9944" spans="1:1" x14ac:dyDescent="0.2">
      <c r="A9944" s="341"/>
    </row>
    <row r="9945" spans="1:1" x14ac:dyDescent="0.2">
      <c r="A9945" s="341"/>
    </row>
    <row r="9946" spans="1:1" x14ac:dyDescent="0.2">
      <c r="A9946" s="341"/>
    </row>
    <row r="9947" spans="1:1" x14ac:dyDescent="0.2">
      <c r="A9947" s="341"/>
    </row>
    <row r="9948" spans="1:1" x14ac:dyDescent="0.2">
      <c r="A9948" s="341"/>
    </row>
    <row r="9949" spans="1:1" x14ac:dyDescent="0.2">
      <c r="A9949" s="341"/>
    </row>
    <row r="9950" spans="1:1" x14ac:dyDescent="0.2">
      <c r="A9950" s="341"/>
    </row>
    <row r="9951" spans="1:1" x14ac:dyDescent="0.2">
      <c r="A9951" s="341"/>
    </row>
    <row r="9952" spans="1:1" x14ac:dyDescent="0.2">
      <c r="A9952" s="341"/>
    </row>
    <row r="9953" spans="1:1" x14ac:dyDescent="0.2">
      <c r="A9953" s="341"/>
    </row>
    <row r="9954" spans="1:1" x14ac:dyDescent="0.2">
      <c r="A9954" s="341"/>
    </row>
    <row r="9955" spans="1:1" x14ac:dyDescent="0.2">
      <c r="A9955" s="341"/>
    </row>
    <row r="9956" spans="1:1" x14ac:dyDescent="0.2">
      <c r="A9956" s="341"/>
    </row>
    <row r="9957" spans="1:1" x14ac:dyDescent="0.2">
      <c r="A9957" s="341"/>
    </row>
    <row r="9958" spans="1:1" x14ac:dyDescent="0.2">
      <c r="A9958" s="341"/>
    </row>
    <row r="9959" spans="1:1" x14ac:dyDescent="0.2">
      <c r="A9959" s="341"/>
    </row>
    <row r="9960" spans="1:1" x14ac:dyDescent="0.2">
      <c r="A9960" s="341"/>
    </row>
    <row r="9961" spans="1:1" x14ac:dyDescent="0.2">
      <c r="A9961" s="341"/>
    </row>
    <row r="9962" spans="1:1" x14ac:dyDescent="0.2">
      <c r="A9962" s="341"/>
    </row>
    <row r="9963" spans="1:1" x14ac:dyDescent="0.2">
      <c r="A9963" s="341"/>
    </row>
    <row r="9964" spans="1:1" x14ac:dyDescent="0.2">
      <c r="A9964" s="341"/>
    </row>
    <row r="9965" spans="1:1" x14ac:dyDescent="0.2">
      <c r="A9965" s="341"/>
    </row>
    <row r="9966" spans="1:1" x14ac:dyDescent="0.2">
      <c r="A9966" s="341"/>
    </row>
    <row r="9967" spans="1:1" x14ac:dyDescent="0.2">
      <c r="A9967" s="341"/>
    </row>
    <row r="9968" spans="1:1" x14ac:dyDescent="0.2">
      <c r="A9968" s="341"/>
    </row>
    <row r="9969" spans="1:1" x14ac:dyDescent="0.2">
      <c r="A9969" s="341"/>
    </row>
    <row r="9970" spans="1:1" x14ac:dyDescent="0.2">
      <c r="A9970" s="341"/>
    </row>
    <row r="9971" spans="1:1" x14ac:dyDescent="0.2">
      <c r="A9971" s="341"/>
    </row>
    <row r="9972" spans="1:1" x14ac:dyDescent="0.2">
      <c r="A9972" s="341"/>
    </row>
    <row r="9973" spans="1:1" x14ac:dyDescent="0.2">
      <c r="A9973" s="341"/>
    </row>
    <row r="9974" spans="1:1" x14ac:dyDescent="0.2">
      <c r="A9974" s="341"/>
    </row>
    <row r="9975" spans="1:1" x14ac:dyDescent="0.2">
      <c r="A9975" s="341"/>
    </row>
    <row r="9976" spans="1:1" x14ac:dyDescent="0.2">
      <c r="A9976" s="341"/>
    </row>
    <row r="9977" spans="1:1" x14ac:dyDescent="0.2">
      <c r="A9977" s="341"/>
    </row>
    <row r="9978" spans="1:1" x14ac:dyDescent="0.2">
      <c r="A9978" s="341"/>
    </row>
    <row r="9979" spans="1:1" x14ac:dyDescent="0.2">
      <c r="A9979" s="341"/>
    </row>
    <row r="9980" spans="1:1" x14ac:dyDescent="0.2">
      <c r="A9980" s="341"/>
    </row>
    <row r="9981" spans="1:1" x14ac:dyDescent="0.2">
      <c r="A9981" s="341"/>
    </row>
    <row r="9982" spans="1:1" x14ac:dyDescent="0.2">
      <c r="A9982" s="341"/>
    </row>
    <row r="9983" spans="1:1" x14ac:dyDescent="0.2">
      <c r="A9983" s="341"/>
    </row>
    <row r="9984" spans="1:1" x14ac:dyDescent="0.2">
      <c r="A9984" s="341"/>
    </row>
    <row r="9985" spans="1:1" x14ac:dyDescent="0.2">
      <c r="A9985" s="341"/>
    </row>
    <row r="9986" spans="1:1" x14ac:dyDescent="0.2">
      <c r="A9986" s="341"/>
    </row>
    <row r="9987" spans="1:1" x14ac:dyDescent="0.2">
      <c r="A9987" s="341"/>
    </row>
    <row r="9988" spans="1:1" x14ac:dyDescent="0.2">
      <c r="A9988" s="341"/>
    </row>
    <row r="9989" spans="1:1" x14ac:dyDescent="0.2">
      <c r="A9989" s="341"/>
    </row>
    <row r="9990" spans="1:1" x14ac:dyDescent="0.2">
      <c r="A9990" s="341"/>
    </row>
    <row r="9991" spans="1:1" x14ac:dyDescent="0.2">
      <c r="A9991" s="341"/>
    </row>
    <row r="9992" spans="1:1" x14ac:dyDescent="0.2">
      <c r="A9992" s="341"/>
    </row>
    <row r="9993" spans="1:1" x14ac:dyDescent="0.2">
      <c r="A9993" s="341"/>
    </row>
    <row r="9994" spans="1:1" x14ac:dyDescent="0.2">
      <c r="A9994" s="341"/>
    </row>
    <row r="9995" spans="1:1" x14ac:dyDescent="0.2">
      <c r="A9995" s="341"/>
    </row>
    <row r="9996" spans="1:1" x14ac:dyDescent="0.2">
      <c r="A9996" s="341"/>
    </row>
    <row r="9997" spans="1:1" x14ac:dyDescent="0.2">
      <c r="A9997" s="341"/>
    </row>
    <row r="9998" spans="1:1" x14ac:dyDescent="0.2">
      <c r="A9998" s="341"/>
    </row>
    <row r="9999" spans="1:1" x14ac:dyDescent="0.2">
      <c r="A9999" s="341"/>
    </row>
    <row r="10000" spans="1:1" x14ac:dyDescent="0.2">
      <c r="A10000" s="341"/>
    </row>
  </sheetData>
  <phoneticPr fontId="3" type="noConversion"/>
  <pageMargins left="0.75" right="0.75" top="1" bottom="1" header="0.4921259845" footer="0.4921259845"/>
  <pageSetup paperSize="9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23BC-9056-4FC4-BB77-7630B25C3006}">
  <sheetPr codeName="Tabelle12"/>
  <dimension ref="A1:AP198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sqref="A1:C65536"/>
    </sheetView>
  </sheetViews>
  <sheetFormatPr defaultColWidth="11.42578125" defaultRowHeight="12.75" x14ac:dyDescent="0.2"/>
  <cols>
    <col min="1" max="1" width="5.42578125" style="146" customWidth="1"/>
    <col min="2" max="2" width="5.28515625" style="257" customWidth="1"/>
    <col min="3" max="3" width="27.7109375" style="258" customWidth="1"/>
    <col min="4" max="4" width="11.85546875" style="248" customWidth="1"/>
    <col min="5" max="5" width="11.85546875" style="247" customWidth="1"/>
    <col min="6" max="6" width="4.7109375" style="131" customWidth="1"/>
    <col min="7" max="10" width="3.28515625" style="131" customWidth="1"/>
    <col min="11" max="11" width="10.28515625" style="132" customWidth="1"/>
    <col min="12" max="12" width="10.28515625" style="131" customWidth="1"/>
    <col min="13" max="14" width="11.85546875" style="130" customWidth="1"/>
    <col min="15" max="16" width="6" style="136" customWidth="1"/>
    <col min="17" max="17" width="9" style="257" customWidth="1"/>
    <col min="18" max="19" width="6" style="136" customWidth="1"/>
    <col min="20" max="20" width="9" style="257" customWidth="1"/>
    <col min="21" max="23" width="6" style="137" customWidth="1"/>
    <col min="24" max="27" width="9" style="246" customWidth="1"/>
    <col min="28" max="29" width="9.140625" style="137" customWidth="1"/>
    <col min="30" max="30" width="11.42578125" style="246"/>
    <col min="31" max="31" width="8.28515625" style="153" customWidth="1"/>
    <col min="32" max="33" width="12.7109375" style="246" customWidth="1"/>
    <col min="34" max="34" width="7.140625" style="246" customWidth="1"/>
    <col min="35" max="35" width="5" style="247" customWidth="1"/>
    <col min="36" max="39" width="5" style="248" customWidth="1"/>
    <col min="40" max="41" width="5" style="249" customWidth="1"/>
    <col min="42" max="42" width="8" style="146" customWidth="1"/>
    <col min="43" max="16384" width="11.42578125" style="134"/>
  </cols>
  <sheetData>
    <row r="1" spans="1:42" x14ac:dyDescent="0.2">
      <c r="A1" s="231">
        <v>1</v>
      </c>
      <c r="B1" s="266" t="s">
        <v>1900</v>
      </c>
      <c r="C1" s="256" t="s">
        <v>1253</v>
      </c>
      <c r="D1" s="267">
        <v>12</v>
      </c>
      <c r="E1" s="268">
        <v>128.5</v>
      </c>
      <c r="F1" s="10" t="s">
        <v>2706</v>
      </c>
      <c r="G1" s="11" t="s">
        <v>2707</v>
      </c>
      <c r="H1" s="12" t="s">
        <v>743</v>
      </c>
      <c r="I1" s="12" t="s">
        <v>743</v>
      </c>
      <c r="J1" s="13" t="s">
        <v>743</v>
      </c>
      <c r="K1" s="14">
        <v>35600</v>
      </c>
      <c r="L1" s="15" t="s">
        <v>890</v>
      </c>
      <c r="M1" s="16">
        <v>354569</v>
      </c>
      <c r="N1" s="17">
        <v>6176568</v>
      </c>
      <c r="O1" s="20" t="s">
        <v>2708</v>
      </c>
      <c r="P1" s="133" t="s">
        <v>2708</v>
      </c>
      <c r="Q1" s="259">
        <v>225</v>
      </c>
      <c r="R1" s="20">
        <v>35</v>
      </c>
      <c r="S1" s="133">
        <v>16</v>
      </c>
      <c r="T1" s="259">
        <f>IF(OR(R1="ND",R1=""),S1,R1)</f>
        <v>35</v>
      </c>
      <c r="U1" s="18"/>
      <c r="V1" s="19">
        <v>209</v>
      </c>
      <c r="W1" s="19">
        <f>IF(OR(U1="ND",U1=""),V1,U1)</f>
        <v>209</v>
      </c>
      <c r="X1" s="259">
        <v>1</v>
      </c>
      <c r="Y1" s="322">
        <v>0.54</v>
      </c>
      <c r="Z1" s="322">
        <v>89172</v>
      </c>
      <c r="AA1" s="322">
        <v>1361</v>
      </c>
      <c r="AB1" s="149">
        <v>999</v>
      </c>
      <c r="AC1" s="154">
        <v>0</v>
      </c>
      <c r="AD1" s="254">
        <f t="shared" ref="AD1:AD64" si="0">IF(AC1=0,1000,IF(AC1=9999,"ND",(K1/365.25+1899)-AC1))</f>
        <v>1000</v>
      </c>
      <c r="AE1" s="150">
        <v>5</v>
      </c>
      <c r="AF1" s="251">
        <v>100</v>
      </c>
      <c r="AG1" s="238">
        <v>0</v>
      </c>
      <c r="AH1" s="238" t="s">
        <v>2252</v>
      </c>
      <c r="AI1" s="239">
        <v>7.4</v>
      </c>
      <c r="AJ1" s="240">
        <v>590</v>
      </c>
      <c r="AK1" s="240">
        <v>216</v>
      </c>
      <c r="AL1" s="240">
        <v>156</v>
      </c>
      <c r="AM1" s="240">
        <v>147</v>
      </c>
      <c r="AN1" s="241">
        <v>42.05</v>
      </c>
      <c r="AO1" s="241">
        <v>6.92</v>
      </c>
      <c r="AP1" s="232">
        <v>1</v>
      </c>
    </row>
    <row r="2" spans="1:42" x14ac:dyDescent="0.2">
      <c r="A2" s="231">
        <v>2</v>
      </c>
      <c r="B2" s="255" t="s">
        <v>1900</v>
      </c>
      <c r="C2" s="256" t="s">
        <v>1253</v>
      </c>
      <c r="D2" s="264">
        <v>12</v>
      </c>
      <c r="E2" s="265">
        <v>216.5</v>
      </c>
      <c r="F2" s="22" t="s">
        <v>2706</v>
      </c>
      <c r="G2" s="23" t="s">
        <v>2707</v>
      </c>
      <c r="H2" s="24" t="s">
        <v>743</v>
      </c>
      <c r="I2" s="24" t="s">
        <v>743</v>
      </c>
      <c r="J2" s="25" t="s">
        <v>743</v>
      </c>
      <c r="K2" s="26">
        <v>35600</v>
      </c>
      <c r="L2" s="15" t="s">
        <v>890</v>
      </c>
      <c r="M2" s="28">
        <v>354652</v>
      </c>
      <c r="N2" s="29">
        <v>6176530</v>
      </c>
      <c r="O2" s="32" t="s">
        <v>2708</v>
      </c>
      <c r="P2" s="135" t="s">
        <v>2708</v>
      </c>
      <c r="Q2" s="260">
        <v>225</v>
      </c>
      <c r="R2" s="32">
        <v>0</v>
      </c>
      <c r="S2" s="135">
        <v>10</v>
      </c>
      <c r="T2" s="260">
        <f t="shared" ref="T2:T65" si="1">IF(OR(R2="ND",R2=""),S2,R2)</f>
        <v>0</v>
      </c>
      <c r="U2" s="30"/>
      <c r="V2" s="31">
        <v>217</v>
      </c>
      <c r="W2" s="31">
        <f t="shared" ref="W2:W65" si="2">IF(OR(U2="ND",U2=""),V2,U2)</f>
        <v>217</v>
      </c>
      <c r="X2" s="260">
        <v>0</v>
      </c>
      <c r="Y2" s="323">
        <v>1.296</v>
      </c>
      <c r="Z2" s="323">
        <v>96788</v>
      </c>
      <c r="AA2" s="323">
        <v>1241</v>
      </c>
      <c r="AB2" s="151">
        <v>999</v>
      </c>
      <c r="AC2" s="155">
        <v>0</v>
      </c>
      <c r="AD2" s="254">
        <f t="shared" si="0"/>
        <v>1000</v>
      </c>
      <c r="AE2" s="152">
        <v>4</v>
      </c>
      <c r="AF2" s="252">
        <v>100</v>
      </c>
      <c r="AG2" s="242">
        <v>0</v>
      </c>
      <c r="AH2" s="242" t="s">
        <v>2252</v>
      </c>
      <c r="AI2" s="243">
        <v>7.5</v>
      </c>
      <c r="AJ2" s="244">
        <v>640</v>
      </c>
      <c r="AK2" s="244">
        <v>173</v>
      </c>
      <c r="AL2" s="244">
        <v>129</v>
      </c>
      <c r="AM2" s="244">
        <v>125</v>
      </c>
      <c r="AN2" s="245">
        <v>36.04</v>
      </c>
      <c r="AO2" s="245">
        <v>4.49</v>
      </c>
      <c r="AP2" s="232">
        <v>2</v>
      </c>
    </row>
    <row r="3" spans="1:42" x14ac:dyDescent="0.2">
      <c r="A3" s="231">
        <v>3</v>
      </c>
      <c r="B3" s="255" t="s">
        <v>1900</v>
      </c>
      <c r="C3" s="256" t="s">
        <v>1253</v>
      </c>
      <c r="D3" s="264">
        <v>13</v>
      </c>
      <c r="E3" s="265">
        <v>109</v>
      </c>
      <c r="F3" s="22" t="s">
        <v>2706</v>
      </c>
      <c r="G3" s="23" t="s">
        <v>2707</v>
      </c>
      <c r="H3" s="24" t="s">
        <v>743</v>
      </c>
      <c r="I3" s="24" t="s">
        <v>743</v>
      </c>
      <c r="J3" s="25" t="s">
        <v>743</v>
      </c>
      <c r="K3" s="26">
        <v>35601</v>
      </c>
      <c r="L3" s="15" t="s">
        <v>890</v>
      </c>
      <c r="M3" s="28">
        <v>354967</v>
      </c>
      <c r="N3" s="29">
        <v>6176375</v>
      </c>
      <c r="O3" s="32" t="s">
        <v>2708</v>
      </c>
      <c r="P3" s="135" t="s">
        <v>2708</v>
      </c>
      <c r="Q3" s="260">
        <v>233</v>
      </c>
      <c r="R3" s="32">
        <v>5</v>
      </c>
      <c r="S3" s="135">
        <v>8</v>
      </c>
      <c r="T3" s="260">
        <f t="shared" si="1"/>
        <v>5</v>
      </c>
      <c r="U3" s="30"/>
      <c r="V3" s="31">
        <v>198</v>
      </c>
      <c r="W3" s="31">
        <f t="shared" si="2"/>
        <v>198</v>
      </c>
      <c r="X3" s="260">
        <v>2</v>
      </c>
      <c r="Y3" s="323">
        <v>0.159</v>
      </c>
      <c r="Z3" s="323">
        <v>98648</v>
      </c>
      <c r="AA3" s="323">
        <v>1438</v>
      </c>
      <c r="AB3" s="151">
        <v>999</v>
      </c>
      <c r="AC3" s="155">
        <v>0</v>
      </c>
      <c r="AD3" s="254">
        <f t="shared" si="0"/>
        <v>1000</v>
      </c>
      <c r="AE3" s="152">
        <v>4</v>
      </c>
      <c r="AF3" s="252">
        <v>100</v>
      </c>
      <c r="AG3" s="242">
        <v>0</v>
      </c>
      <c r="AH3" s="242" t="s">
        <v>2252</v>
      </c>
      <c r="AI3" s="243">
        <v>7.5</v>
      </c>
      <c r="AJ3" s="244">
        <v>490</v>
      </c>
      <c r="AK3" s="244">
        <v>238</v>
      </c>
      <c r="AL3" s="244">
        <v>121</v>
      </c>
      <c r="AM3" s="244">
        <v>179</v>
      </c>
      <c r="AN3" s="245">
        <v>54.5</v>
      </c>
      <c r="AO3" s="245">
        <v>5.98</v>
      </c>
      <c r="AP3" s="232">
        <v>3</v>
      </c>
    </row>
    <row r="4" spans="1:42" x14ac:dyDescent="0.2">
      <c r="A4" s="231">
        <v>4</v>
      </c>
      <c r="B4" s="255" t="s">
        <v>1900</v>
      </c>
      <c r="C4" s="256" t="s">
        <v>2616</v>
      </c>
      <c r="D4" s="264">
        <v>18</v>
      </c>
      <c r="E4" s="265">
        <v>137</v>
      </c>
      <c r="F4" s="22" t="s">
        <v>2706</v>
      </c>
      <c r="G4" s="23" t="s">
        <v>2707</v>
      </c>
      <c r="H4" s="24" t="s">
        <v>743</v>
      </c>
      <c r="I4" s="24" t="s">
        <v>743</v>
      </c>
      <c r="J4" s="25" t="s">
        <v>743</v>
      </c>
      <c r="K4" s="26">
        <v>35601</v>
      </c>
      <c r="L4" s="15" t="s">
        <v>890</v>
      </c>
      <c r="M4" s="28">
        <v>356748</v>
      </c>
      <c r="N4" s="29">
        <v>6176730</v>
      </c>
      <c r="O4" s="32" t="s">
        <v>2708</v>
      </c>
      <c r="P4" s="135" t="s">
        <v>2708</v>
      </c>
      <c r="Q4" s="260">
        <v>332</v>
      </c>
      <c r="R4" s="32">
        <v>40</v>
      </c>
      <c r="S4" s="135">
        <v>7</v>
      </c>
      <c r="T4" s="260">
        <f t="shared" si="1"/>
        <v>40</v>
      </c>
      <c r="U4" s="30"/>
      <c r="V4" s="31">
        <v>155</v>
      </c>
      <c r="W4" s="31">
        <f t="shared" si="2"/>
        <v>155</v>
      </c>
      <c r="X4" s="260">
        <v>3</v>
      </c>
      <c r="Y4" s="323">
        <v>1.7549999999999999</v>
      </c>
      <c r="Z4" s="323">
        <v>98799</v>
      </c>
      <c r="AA4" s="323">
        <v>832</v>
      </c>
      <c r="AB4" s="151">
        <v>999</v>
      </c>
      <c r="AC4" s="155">
        <v>0</v>
      </c>
      <c r="AD4" s="254">
        <f t="shared" si="0"/>
        <v>1000</v>
      </c>
      <c r="AE4" s="152">
        <v>1</v>
      </c>
      <c r="AF4" s="252">
        <v>35</v>
      </c>
      <c r="AG4" s="242">
        <v>10</v>
      </c>
      <c r="AH4" s="242" t="s">
        <v>2252</v>
      </c>
      <c r="AI4" s="243">
        <v>6.4</v>
      </c>
      <c r="AJ4" s="244">
        <v>440</v>
      </c>
      <c r="AK4" s="244">
        <v>169</v>
      </c>
      <c r="AL4" s="244">
        <v>126</v>
      </c>
      <c r="AM4" s="244">
        <v>207</v>
      </c>
      <c r="AN4" s="245">
        <v>43.02</v>
      </c>
      <c r="AO4" s="245">
        <v>7.24</v>
      </c>
      <c r="AP4" s="232">
        <v>4</v>
      </c>
    </row>
    <row r="5" spans="1:42" x14ac:dyDescent="0.2">
      <c r="A5" s="231">
        <v>5</v>
      </c>
      <c r="B5" s="255" t="s">
        <v>1900</v>
      </c>
      <c r="C5" s="256" t="s">
        <v>2616</v>
      </c>
      <c r="D5" s="264">
        <v>16</v>
      </c>
      <c r="E5" s="265">
        <v>128.5</v>
      </c>
      <c r="F5" s="22" t="s">
        <v>2706</v>
      </c>
      <c r="G5" s="23" t="s">
        <v>2707</v>
      </c>
      <c r="H5" s="24" t="s">
        <v>743</v>
      </c>
      <c r="I5" s="24" t="s">
        <v>743</v>
      </c>
      <c r="J5" s="25" t="s">
        <v>743</v>
      </c>
      <c r="K5" s="26">
        <v>35611</v>
      </c>
      <c r="L5" s="15" t="s">
        <v>890</v>
      </c>
      <c r="M5" s="28">
        <v>356754</v>
      </c>
      <c r="N5" s="29">
        <v>6176646</v>
      </c>
      <c r="O5" s="32" t="s">
        <v>2708</v>
      </c>
      <c r="P5" s="135" t="s">
        <v>2708</v>
      </c>
      <c r="Q5" s="260">
        <v>324</v>
      </c>
      <c r="R5" s="32">
        <v>40</v>
      </c>
      <c r="S5" s="135">
        <v>15</v>
      </c>
      <c r="T5" s="260">
        <f t="shared" si="1"/>
        <v>40</v>
      </c>
      <c r="U5" s="30"/>
      <c r="V5" s="31">
        <v>179</v>
      </c>
      <c r="W5" s="31">
        <f t="shared" si="2"/>
        <v>179</v>
      </c>
      <c r="X5" s="260">
        <v>3</v>
      </c>
      <c r="Y5" s="323">
        <v>0.91300000000000003</v>
      </c>
      <c r="Z5" s="323">
        <v>88113</v>
      </c>
      <c r="AA5" s="323">
        <v>927</v>
      </c>
      <c r="AB5" s="151">
        <v>999</v>
      </c>
      <c r="AC5" s="155">
        <v>0</v>
      </c>
      <c r="AD5" s="254">
        <f t="shared" si="0"/>
        <v>1000</v>
      </c>
      <c r="AE5" s="152">
        <v>1</v>
      </c>
      <c r="AF5" s="252">
        <v>45</v>
      </c>
      <c r="AG5" s="242">
        <v>3</v>
      </c>
      <c r="AH5" s="242" t="s">
        <v>2252</v>
      </c>
      <c r="AI5" s="243">
        <v>6.1</v>
      </c>
      <c r="AJ5" s="244">
        <v>530</v>
      </c>
      <c r="AK5" s="244">
        <v>265</v>
      </c>
      <c r="AL5" s="244">
        <v>63</v>
      </c>
      <c r="AM5" s="244">
        <v>175</v>
      </c>
      <c r="AN5" s="245">
        <v>33.53</v>
      </c>
      <c r="AO5" s="245">
        <v>8.3000000000000007</v>
      </c>
      <c r="AP5" s="232">
        <v>5</v>
      </c>
    </row>
    <row r="6" spans="1:42" x14ac:dyDescent="0.2">
      <c r="A6" s="231">
        <v>6</v>
      </c>
      <c r="B6" s="255" t="s">
        <v>1900</v>
      </c>
      <c r="C6" s="256" t="s">
        <v>2616</v>
      </c>
      <c r="D6" s="264">
        <v>12</v>
      </c>
      <c r="E6" s="265">
        <v>121</v>
      </c>
      <c r="F6" s="22" t="s">
        <v>2706</v>
      </c>
      <c r="G6" s="23" t="s">
        <v>2707</v>
      </c>
      <c r="H6" s="24" t="s">
        <v>743</v>
      </c>
      <c r="I6" s="24" t="s">
        <v>743</v>
      </c>
      <c r="J6" s="25" t="s">
        <v>743</v>
      </c>
      <c r="K6" s="26">
        <v>35612</v>
      </c>
      <c r="L6" s="15" t="s">
        <v>890</v>
      </c>
      <c r="M6" s="28">
        <v>356754</v>
      </c>
      <c r="N6" s="29">
        <v>6176549</v>
      </c>
      <c r="O6" s="32" t="s">
        <v>2708</v>
      </c>
      <c r="P6" s="135" t="s">
        <v>2708</v>
      </c>
      <c r="Q6" s="260">
        <v>295</v>
      </c>
      <c r="R6" s="32">
        <v>20</v>
      </c>
      <c r="S6" s="135">
        <v>35</v>
      </c>
      <c r="T6" s="260">
        <f t="shared" si="1"/>
        <v>20</v>
      </c>
      <c r="U6" s="30"/>
      <c r="V6" s="31">
        <v>227</v>
      </c>
      <c r="W6" s="31">
        <f t="shared" si="2"/>
        <v>227</v>
      </c>
      <c r="X6" s="260">
        <v>0</v>
      </c>
      <c r="Y6" s="323">
        <v>0.66900000000000004</v>
      </c>
      <c r="Z6" s="323">
        <v>67548</v>
      </c>
      <c r="AA6" s="323">
        <v>480</v>
      </c>
      <c r="AB6" s="151">
        <v>999</v>
      </c>
      <c r="AC6" s="155">
        <v>0</v>
      </c>
      <c r="AD6" s="254">
        <f t="shared" si="0"/>
        <v>1000</v>
      </c>
      <c r="AE6" s="152">
        <v>1</v>
      </c>
      <c r="AF6" s="252">
        <v>35</v>
      </c>
      <c r="AG6" s="242">
        <v>20</v>
      </c>
      <c r="AH6" s="242" t="s">
        <v>2252</v>
      </c>
      <c r="AI6" s="243">
        <v>7.1</v>
      </c>
      <c r="AJ6" s="244">
        <v>260</v>
      </c>
      <c r="AK6" s="244">
        <v>99</v>
      </c>
      <c r="AL6" s="244">
        <v>128</v>
      </c>
      <c r="AM6" s="244">
        <v>116</v>
      </c>
      <c r="AN6" s="245">
        <v>40.07</v>
      </c>
      <c r="AO6" s="245">
        <v>4.01</v>
      </c>
      <c r="AP6" s="232">
        <v>6</v>
      </c>
    </row>
    <row r="7" spans="1:42" x14ac:dyDescent="0.2">
      <c r="A7" s="231">
        <v>7</v>
      </c>
      <c r="B7" s="255" t="s">
        <v>1900</v>
      </c>
      <c r="C7" s="256" t="s">
        <v>2616</v>
      </c>
      <c r="D7" s="264">
        <v>8</v>
      </c>
      <c r="E7" s="265">
        <v>108.5</v>
      </c>
      <c r="F7" s="22" t="s">
        <v>2706</v>
      </c>
      <c r="G7" s="23" t="s">
        <v>2707</v>
      </c>
      <c r="H7" s="24" t="s">
        <v>743</v>
      </c>
      <c r="I7" s="24" t="s">
        <v>743</v>
      </c>
      <c r="J7" s="25" t="s">
        <v>743</v>
      </c>
      <c r="K7" s="26">
        <v>35613</v>
      </c>
      <c r="L7" s="15" t="s">
        <v>890</v>
      </c>
      <c r="M7" s="28">
        <v>356783</v>
      </c>
      <c r="N7" s="29">
        <v>6176517</v>
      </c>
      <c r="O7" s="32" t="s">
        <v>2708</v>
      </c>
      <c r="P7" s="135" t="s">
        <v>2708</v>
      </c>
      <c r="Q7" s="260">
        <v>285</v>
      </c>
      <c r="R7" s="32">
        <v>40</v>
      </c>
      <c r="S7" s="135">
        <v>40</v>
      </c>
      <c r="T7" s="260">
        <f t="shared" si="1"/>
        <v>40</v>
      </c>
      <c r="U7" s="30"/>
      <c r="V7" s="31">
        <v>190</v>
      </c>
      <c r="W7" s="31">
        <f t="shared" si="2"/>
        <v>190</v>
      </c>
      <c r="X7" s="260">
        <v>0</v>
      </c>
      <c r="Y7" s="323">
        <v>7.5999999999999998E-2</v>
      </c>
      <c r="Z7" s="323">
        <v>48215</v>
      </c>
      <c r="AA7" s="323">
        <v>311</v>
      </c>
      <c r="AB7" s="151">
        <v>999</v>
      </c>
      <c r="AC7" s="155">
        <v>0</v>
      </c>
      <c r="AD7" s="254">
        <f t="shared" si="0"/>
        <v>1000</v>
      </c>
      <c r="AE7" s="152">
        <v>1</v>
      </c>
      <c r="AF7" s="252">
        <v>35</v>
      </c>
      <c r="AG7" s="242">
        <v>5</v>
      </c>
      <c r="AH7" s="242" t="s">
        <v>2252</v>
      </c>
      <c r="AI7" s="243">
        <v>7.1</v>
      </c>
      <c r="AJ7" s="244">
        <v>290</v>
      </c>
      <c r="AK7" s="244">
        <v>206</v>
      </c>
      <c r="AL7" s="244">
        <v>217</v>
      </c>
      <c r="AM7" s="244">
        <v>364</v>
      </c>
      <c r="AN7" s="245">
        <v>52.2</v>
      </c>
      <c r="AO7" s="245">
        <v>8.1300000000000008</v>
      </c>
      <c r="AP7" s="232">
        <v>7</v>
      </c>
    </row>
    <row r="8" spans="1:42" x14ac:dyDescent="0.2">
      <c r="A8" s="231">
        <v>8</v>
      </c>
      <c r="B8" s="255" t="s">
        <v>1900</v>
      </c>
      <c r="C8" s="256" t="s">
        <v>2616</v>
      </c>
      <c r="D8" s="264">
        <v>14</v>
      </c>
      <c r="E8" s="265">
        <v>126</v>
      </c>
      <c r="F8" s="22" t="s">
        <v>2706</v>
      </c>
      <c r="G8" s="23" t="s">
        <v>2707</v>
      </c>
      <c r="H8" s="24" t="s">
        <v>743</v>
      </c>
      <c r="I8" s="24" t="s">
        <v>743</v>
      </c>
      <c r="J8" s="25" t="s">
        <v>743</v>
      </c>
      <c r="K8" s="26">
        <v>35613</v>
      </c>
      <c r="L8" s="15" t="s">
        <v>890</v>
      </c>
      <c r="M8" s="28">
        <v>356829</v>
      </c>
      <c r="N8" s="29">
        <v>6176537</v>
      </c>
      <c r="O8" s="32" t="s">
        <v>2708</v>
      </c>
      <c r="P8" s="135" t="s">
        <v>2708</v>
      </c>
      <c r="Q8" s="260">
        <v>306</v>
      </c>
      <c r="R8" s="32">
        <v>45</v>
      </c>
      <c r="S8" s="135">
        <v>41</v>
      </c>
      <c r="T8" s="260">
        <f t="shared" si="1"/>
        <v>45</v>
      </c>
      <c r="U8" s="30"/>
      <c r="V8" s="31">
        <v>200</v>
      </c>
      <c r="W8" s="31">
        <f t="shared" si="2"/>
        <v>200</v>
      </c>
      <c r="X8" s="260">
        <v>0</v>
      </c>
      <c r="Y8" s="323">
        <v>0.63500000000000001</v>
      </c>
      <c r="Z8" s="323">
        <v>49015</v>
      </c>
      <c r="AA8" s="323">
        <v>539</v>
      </c>
      <c r="AB8" s="151">
        <v>999</v>
      </c>
      <c r="AC8" s="155">
        <v>0</v>
      </c>
      <c r="AD8" s="254">
        <f t="shared" si="0"/>
        <v>1000</v>
      </c>
      <c r="AE8" s="32">
        <v>1</v>
      </c>
      <c r="AF8" s="252">
        <v>35</v>
      </c>
      <c r="AG8" s="242">
        <v>15</v>
      </c>
      <c r="AH8" s="242" t="s">
        <v>2252</v>
      </c>
      <c r="AI8" s="243">
        <v>6</v>
      </c>
      <c r="AJ8" s="244">
        <v>320</v>
      </c>
      <c r="AK8" s="244">
        <v>296</v>
      </c>
      <c r="AL8" s="244">
        <v>139</v>
      </c>
      <c r="AM8" s="244">
        <v>311</v>
      </c>
      <c r="AN8" s="245">
        <v>39.799999999999997</v>
      </c>
      <c r="AO8" s="245">
        <v>7.79</v>
      </c>
      <c r="AP8" s="232">
        <v>8</v>
      </c>
    </row>
    <row r="9" spans="1:42" x14ac:dyDescent="0.2">
      <c r="A9" s="231">
        <v>9</v>
      </c>
      <c r="B9" s="255" t="s">
        <v>1900</v>
      </c>
      <c r="C9" s="256" t="s">
        <v>2617</v>
      </c>
      <c r="D9" s="264">
        <v>34</v>
      </c>
      <c r="E9" s="265">
        <v>194.5</v>
      </c>
      <c r="F9" s="22" t="s">
        <v>2706</v>
      </c>
      <c r="G9" s="23" t="s">
        <v>2707</v>
      </c>
      <c r="H9" s="24" t="s">
        <v>743</v>
      </c>
      <c r="I9" s="24" t="s">
        <v>743</v>
      </c>
      <c r="J9" s="25" t="s">
        <v>743</v>
      </c>
      <c r="K9" s="26">
        <v>35614</v>
      </c>
      <c r="L9" s="15" t="s">
        <v>890</v>
      </c>
      <c r="M9" s="28">
        <v>354471</v>
      </c>
      <c r="N9" s="29">
        <v>6176855</v>
      </c>
      <c r="O9" s="32" t="s">
        <v>2708</v>
      </c>
      <c r="P9" s="135" t="s">
        <v>2708</v>
      </c>
      <c r="Q9" s="260">
        <v>238</v>
      </c>
      <c r="R9" s="32">
        <v>2</v>
      </c>
      <c r="S9" s="135">
        <v>5</v>
      </c>
      <c r="T9" s="260">
        <f t="shared" si="1"/>
        <v>2</v>
      </c>
      <c r="U9" s="30"/>
      <c r="V9" s="31">
        <v>285</v>
      </c>
      <c r="W9" s="31">
        <f t="shared" si="2"/>
        <v>285</v>
      </c>
      <c r="X9" s="260">
        <v>3</v>
      </c>
      <c r="Y9" s="323">
        <v>1.2130000000000001</v>
      </c>
      <c r="Z9" s="323">
        <v>107814</v>
      </c>
      <c r="AA9" s="323">
        <v>917</v>
      </c>
      <c r="AB9" s="151" t="s">
        <v>2708</v>
      </c>
      <c r="AC9" s="155">
        <v>1988</v>
      </c>
      <c r="AD9" s="254">
        <f t="shared" si="0"/>
        <v>8.5058179329225823</v>
      </c>
      <c r="AE9" s="152">
        <v>3</v>
      </c>
      <c r="AF9" s="252">
        <v>100</v>
      </c>
      <c r="AG9" s="242">
        <v>0</v>
      </c>
      <c r="AH9" s="242" t="s">
        <v>2252</v>
      </c>
      <c r="AI9" s="243">
        <v>7.9</v>
      </c>
      <c r="AJ9" s="244">
        <v>2100</v>
      </c>
      <c r="AK9" s="244">
        <v>110</v>
      </c>
      <c r="AL9" s="244">
        <v>35</v>
      </c>
      <c r="AM9" s="244">
        <v>21</v>
      </c>
      <c r="AN9" s="245">
        <v>26.45</v>
      </c>
      <c r="AO9" s="245">
        <v>2.1</v>
      </c>
      <c r="AP9" s="232">
        <v>9</v>
      </c>
    </row>
    <row r="10" spans="1:42" x14ac:dyDescent="0.2">
      <c r="A10" s="231">
        <v>10</v>
      </c>
      <c r="B10" s="255" t="s">
        <v>1900</v>
      </c>
      <c r="C10" s="256" t="s">
        <v>2617</v>
      </c>
      <c r="D10" s="264">
        <v>31</v>
      </c>
      <c r="E10" s="265">
        <v>140</v>
      </c>
      <c r="F10" s="22" t="s">
        <v>2706</v>
      </c>
      <c r="G10" s="23" t="s">
        <v>2707</v>
      </c>
      <c r="H10" s="24" t="s">
        <v>743</v>
      </c>
      <c r="I10" s="24" t="s">
        <v>743</v>
      </c>
      <c r="J10" s="25" t="s">
        <v>743</v>
      </c>
      <c r="K10" s="26">
        <v>35618</v>
      </c>
      <c r="L10" s="15" t="s">
        <v>890</v>
      </c>
      <c r="M10" s="28">
        <v>354193</v>
      </c>
      <c r="N10" s="29">
        <v>6176715</v>
      </c>
      <c r="O10" s="32" t="s">
        <v>2708</v>
      </c>
      <c r="P10" s="135">
        <v>130</v>
      </c>
      <c r="Q10" s="260">
        <v>201</v>
      </c>
      <c r="R10" s="32">
        <v>2</v>
      </c>
      <c r="S10" s="135">
        <v>5</v>
      </c>
      <c r="T10" s="260">
        <f t="shared" si="1"/>
        <v>2</v>
      </c>
      <c r="U10" s="30"/>
      <c r="V10" s="31">
        <v>226</v>
      </c>
      <c r="W10" s="31">
        <f t="shared" si="2"/>
        <v>226</v>
      </c>
      <c r="X10" s="260">
        <v>3</v>
      </c>
      <c r="Y10" s="323">
        <v>1.4390000000000001</v>
      </c>
      <c r="Z10" s="323">
        <v>102326</v>
      </c>
      <c r="AA10" s="323">
        <v>1380</v>
      </c>
      <c r="AB10" s="151" t="s">
        <v>2708</v>
      </c>
      <c r="AC10" s="155">
        <v>1988</v>
      </c>
      <c r="AD10" s="254">
        <f t="shared" si="0"/>
        <v>8.5167693360710928</v>
      </c>
      <c r="AE10" s="152">
        <v>6</v>
      </c>
      <c r="AF10" s="252">
        <v>100</v>
      </c>
      <c r="AG10" s="242">
        <v>0</v>
      </c>
      <c r="AH10" s="242" t="s">
        <v>2252</v>
      </c>
      <c r="AI10" s="243">
        <v>8</v>
      </c>
      <c r="AJ10" s="244">
        <v>2460</v>
      </c>
      <c r="AK10" s="244">
        <v>104</v>
      </c>
      <c r="AL10" s="244">
        <v>36</v>
      </c>
      <c r="AM10" s="244">
        <v>11</v>
      </c>
      <c r="AN10" s="245">
        <v>29.61</v>
      </c>
      <c r="AO10" s="245">
        <v>2.4500000000000002</v>
      </c>
      <c r="AP10" s="232">
        <v>10</v>
      </c>
    </row>
    <row r="11" spans="1:42" x14ac:dyDescent="0.2">
      <c r="A11" s="231">
        <v>11</v>
      </c>
      <c r="B11" s="255" t="s">
        <v>1900</v>
      </c>
      <c r="C11" s="256" t="s">
        <v>2617</v>
      </c>
      <c r="D11" s="264">
        <v>27</v>
      </c>
      <c r="E11" s="265">
        <v>110</v>
      </c>
      <c r="F11" s="22" t="s">
        <v>2706</v>
      </c>
      <c r="G11" s="23" t="s">
        <v>2707</v>
      </c>
      <c r="H11" s="24" t="s">
        <v>743</v>
      </c>
      <c r="I11" s="24" t="s">
        <v>743</v>
      </c>
      <c r="J11" s="25" t="s">
        <v>743</v>
      </c>
      <c r="K11" s="26">
        <v>35619</v>
      </c>
      <c r="L11" s="15" t="s">
        <v>890</v>
      </c>
      <c r="M11" s="28">
        <v>354397</v>
      </c>
      <c r="N11" s="29">
        <v>6177243</v>
      </c>
      <c r="O11" s="32" t="s">
        <v>2708</v>
      </c>
      <c r="P11" s="135">
        <v>130</v>
      </c>
      <c r="Q11" s="260">
        <v>223</v>
      </c>
      <c r="R11" s="32">
        <v>2</v>
      </c>
      <c r="S11" s="135">
        <v>5</v>
      </c>
      <c r="T11" s="260">
        <f t="shared" si="1"/>
        <v>2</v>
      </c>
      <c r="U11" s="30"/>
      <c r="V11" s="31">
        <v>305</v>
      </c>
      <c r="W11" s="31">
        <f t="shared" si="2"/>
        <v>305</v>
      </c>
      <c r="X11" s="260">
        <v>3</v>
      </c>
      <c r="Y11" s="323">
        <v>1.1519999999999999</v>
      </c>
      <c r="Z11" s="323">
        <v>109535</v>
      </c>
      <c r="AA11" s="323">
        <v>1202</v>
      </c>
      <c r="AB11" s="151" t="s">
        <v>2708</v>
      </c>
      <c r="AC11" s="155">
        <v>1988</v>
      </c>
      <c r="AD11" s="254">
        <f t="shared" si="0"/>
        <v>8.5195071868583909</v>
      </c>
      <c r="AE11" s="152">
        <v>6</v>
      </c>
      <c r="AF11" s="252">
        <v>100</v>
      </c>
      <c r="AG11" s="242">
        <v>0</v>
      </c>
      <c r="AH11" s="242" t="s">
        <v>2252</v>
      </c>
      <c r="AI11" s="243">
        <v>8.1</v>
      </c>
      <c r="AJ11" s="244">
        <v>2500</v>
      </c>
      <c r="AK11" s="244">
        <v>76</v>
      </c>
      <c r="AL11" s="244">
        <v>23</v>
      </c>
      <c r="AM11" s="244">
        <v>15</v>
      </c>
      <c r="AN11" s="245">
        <v>26.88</v>
      </c>
      <c r="AO11" s="245">
        <v>1.8</v>
      </c>
      <c r="AP11" s="232">
        <v>11</v>
      </c>
    </row>
    <row r="12" spans="1:42" x14ac:dyDescent="0.2">
      <c r="A12" s="231">
        <v>12</v>
      </c>
      <c r="B12" s="255" t="s">
        <v>1900</v>
      </c>
      <c r="C12" s="256" t="s">
        <v>2617</v>
      </c>
      <c r="D12" s="264">
        <v>22</v>
      </c>
      <c r="E12" s="265">
        <v>156</v>
      </c>
      <c r="F12" s="22" t="s">
        <v>2706</v>
      </c>
      <c r="G12" s="23" t="s">
        <v>2707</v>
      </c>
      <c r="H12" s="24" t="s">
        <v>743</v>
      </c>
      <c r="I12" s="24" t="s">
        <v>743</v>
      </c>
      <c r="J12" s="25" t="s">
        <v>743</v>
      </c>
      <c r="K12" s="26">
        <v>35621</v>
      </c>
      <c r="L12" s="15" t="s">
        <v>890</v>
      </c>
      <c r="M12" s="28">
        <v>354444</v>
      </c>
      <c r="N12" s="29">
        <v>6177191</v>
      </c>
      <c r="O12" s="32" t="s">
        <v>2708</v>
      </c>
      <c r="P12" s="135">
        <v>150</v>
      </c>
      <c r="Q12" s="260">
        <v>228</v>
      </c>
      <c r="R12" s="32">
        <v>2</v>
      </c>
      <c r="S12" s="135">
        <v>4</v>
      </c>
      <c r="T12" s="260">
        <f t="shared" si="1"/>
        <v>2</v>
      </c>
      <c r="U12" s="30"/>
      <c r="V12" s="31">
        <v>311</v>
      </c>
      <c r="W12" s="31">
        <f t="shared" si="2"/>
        <v>311</v>
      </c>
      <c r="X12" s="260">
        <v>3</v>
      </c>
      <c r="Y12" s="323">
        <v>0.81799999999999995</v>
      </c>
      <c r="Z12" s="323">
        <v>109381</v>
      </c>
      <c r="AA12" s="323">
        <v>1214</v>
      </c>
      <c r="AB12" s="151" t="s">
        <v>2708</v>
      </c>
      <c r="AC12" s="155">
        <v>1988</v>
      </c>
      <c r="AD12" s="254">
        <f t="shared" si="0"/>
        <v>8.5249828884325325</v>
      </c>
      <c r="AE12" s="152">
        <v>6</v>
      </c>
      <c r="AF12" s="252">
        <v>100</v>
      </c>
      <c r="AG12" s="242">
        <v>0</v>
      </c>
      <c r="AH12" s="242" t="s">
        <v>2252</v>
      </c>
      <c r="AI12" s="243">
        <v>8</v>
      </c>
      <c r="AJ12" s="244">
        <v>2160</v>
      </c>
      <c r="AK12" s="244">
        <v>81</v>
      </c>
      <c r="AL12" s="244">
        <v>30</v>
      </c>
      <c r="AM12" s="244">
        <v>16</v>
      </c>
      <c r="AN12" s="245">
        <v>25.6</v>
      </c>
      <c r="AO12" s="245">
        <v>1.78</v>
      </c>
      <c r="AP12" s="232">
        <v>12</v>
      </c>
    </row>
    <row r="13" spans="1:42" x14ac:dyDescent="0.2">
      <c r="A13" s="231">
        <v>13</v>
      </c>
      <c r="B13" s="255" t="s">
        <v>1900</v>
      </c>
      <c r="C13" s="256" t="s">
        <v>2617</v>
      </c>
      <c r="D13" s="264">
        <v>39</v>
      </c>
      <c r="E13" s="265">
        <v>111</v>
      </c>
      <c r="F13" s="22" t="s">
        <v>2706</v>
      </c>
      <c r="G13" s="23" t="s">
        <v>2707</v>
      </c>
      <c r="H13" s="24" t="s">
        <v>743</v>
      </c>
      <c r="I13" s="24" t="s">
        <v>743</v>
      </c>
      <c r="J13" s="25" t="s">
        <v>743</v>
      </c>
      <c r="K13" s="26">
        <v>35625</v>
      </c>
      <c r="L13" s="15" t="s">
        <v>890</v>
      </c>
      <c r="M13" s="28">
        <v>354534</v>
      </c>
      <c r="N13" s="29">
        <v>6176788</v>
      </c>
      <c r="O13" s="32" t="s">
        <v>2708</v>
      </c>
      <c r="P13" s="135" t="s">
        <v>2708</v>
      </c>
      <c r="Q13" s="260">
        <v>251</v>
      </c>
      <c r="R13" s="32">
        <v>20</v>
      </c>
      <c r="S13" s="135">
        <v>16</v>
      </c>
      <c r="T13" s="260">
        <f t="shared" si="1"/>
        <v>20</v>
      </c>
      <c r="U13" s="30"/>
      <c r="V13" s="31">
        <v>310</v>
      </c>
      <c r="W13" s="31">
        <f t="shared" si="2"/>
        <v>310</v>
      </c>
      <c r="X13" s="260">
        <v>4</v>
      </c>
      <c r="Y13" s="323">
        <v>0.70499999999999996</v>
      </c>
      <c r="Z13" s="323">
        <v>113193</v>
      </c>
      <c r="AA13" s="323">
        <v>658</v>
      </c>
      <c r="AB13" s="151" t="s">
        <v>2708</v>
      </c>
      <c r="AC13" s="155">
        <v>1988</v>
      </c>
      <c r="AD13" s="254">
        <f t="shared" si="0"/>
        <v>8.535934291581043</v>
      </c>
      <c r="AE13" s="152">
        <v>2</v>
      </c>
      <c r="AF13" s="252">
        <v>0</v>
      </c>
      <c r="AG13" s="242">
        <v>25</v>
      </c>
      <c r="AH13" s="242" t="s">
        <v>2252</v>
      </c>
      <c r="AI13" s="243">
        <v>8</v>
      </c>
      <c r="AJ13" s="244">
        <v>1570</v>
      </c>
      <c r="AK13" s="244">
        <v>69</v>
      </c>
      <c r="AL13" s="244">
        <v>19</v>
      </c>
      <c r="AM13" s="244">
        <v>23</v>
      </c>
      <c r="AN13" s="245">
        <v>24.87</v>
      </c>
      <c r="AO13" s="245">
        <v>1.8</v>
      </c>
      <c r="AP13" s="232">
        <v>13</v>
      </c>
    </row>
    <row r="14" spans="1:42" x14ac:dyDescent="0.2">
      <c r="A14" s="231">
        <v>14</v>
      </c>
      <c r="B14" s="255" t="s">
        <v>1900</v>
      </c>
      <c r="C14" s="256" t="s">
        <v>2618</v>
      </c>
      <c r="D14" s="264">
        <v>36</v>
      </c>
      <c r="E14" s="265">
        <v>112</v>
      </c>
      <c r="F14" s="22" t="s">
        <v>2706</v>
      </c>
      <c r="G14" s="23" t="s">
        <v>2707</v>
      </c>
      <c r="H14" s="24" t="s">
        <v>743</v>
      </c>
      <c r="I14" s="24" t="s">
        <v>743</v>
      </c>
      <c r="J14" s="25" t="s">
        <v>743</v>
      </c>
      <c r="K14" s="26">
        <v>35632</v>
      </c>
      <c r="L14" s="15" t="s">
        <v>890</v>
      </c>
      <c r="M14" s="28">
        <v>354448</v>
      </c>
      <c r="N14" s="29">
        <v>6176758</v>
      </c>
      <c r="O14" s="32" t="s">
        <v>2708</v>
      </c>
      <c r="P14" s="135" t="s">
        <v>2708</v>
      </c>
      <c r="Q14" s="260">
        <v>240</v>
      </c>
      <c r="R14" s="32">
        <v>2</v>
      </c>
      <c r="S14" s="135">
        <v>11</v>
      </c>
      <c r="T14" s="260">
        <f t="shared" si="1"/>
        <v>2</v>
      </c>
      <c r="U14" s="30"/>
      <c r="V14" s="31">
        <v>271</v>
      </c>
      <c r="W14" s="31">
        <f t="shared" si="2"/>
        <v>271</v>
      </c>
      <c r="X14" s="260">
        <v>4</v>
      </c>
      <c r="Y14" s="323">
        <v>0.26100000000000001</v>
      </c>
      <c r="Z14" s="323">
        <v>105498</v>
      </c>
      <c r="AA14" s="323">
        <v>1062</v>
      </c>
      <c r="AB14" s="151">
        <v>10</v>
      </c>
      <c r="AC14" s="155">
        <v>1988</v>
      </c>
      <c r="AD14" s="254">
        <f t="shared" si="0"/>
        <v>8.5550992470909932</v>
      </c>
      <c r="AE14" s="152">
        <v>1</v>
      </c>
      <c r="AF14" s="252">
        <v>0</v>
      </c>
      <c r="AG14" s="242">
        <v>20</v>
      </c>
      <c r="AH14" s="242" t="s">
        <v>2252</v>
      </c>
      <c r="AI14" s="243">
        <v>7.7</v>
      </c>
      <c r="AJ14" s="244">
        <v>1240</v>
      </c>
      <c r="AK14" s="244">
        <v>134</v>
      </c>
      <c r="AL14" s="244">
        <v>55</v>
      </c>
      <c r="AM14" s="244">
        <v>55</v>
      </c>
      <c r="AN14" s="245">
        <v>46.26</v>
      </c>
      <c r="AO14" s="245">
        <v>2.64</v>
      </c>
      <c r="AP14" s="232">
        <v>14</v>
      </c>
    </row>
    <row r="15" spans="1:42" x14ac:dyDescent="0.2">
      <c r="A15" s="231">
        <v>15</v>
      </c>
      <c r="B15" s="255" t="s">
        <v>1900</v>
      </c>
      <c r="C15" s="256" t="s">
        <v>1978</v>
      </c>
      <c r="D15" s="264">
        <v>18</v>
      </c>
      <c r="E15" s="265">
        <v>130</v>
      </c>
      <c r="F15" s="22" t="s">
        <v>2706</v>
      </c>
      <c r="G15" s="23" t="s">
        <v>2707</v>
      </c>
      <c r="H15" s="24" t="s">
        <v>743</v>
      </c>
      <c r="I15" s="24" t="s">
        <v>743</v>
      </c>
      <c r="J15" s="25" t="s">
        <v>743</v>
      </c>
      <c r="K15" s="26">
        <v>35632</v>
      </c>
      <c r="L15" s="15" t="s">
        <v>890</v>
      </c>
      <c r="M15" s="28">
        <v>355364</v>
      </c>
      <c r="N15" s="29">
        <v>6176396</v>
      </c>
      <c r="O15" s="32" t="s">
        <v>2708</v>
      </c>
      <c r="P15" s="135">
        <v>150</v>
      </c>
      <c r="Q15" s="260">
        <v>241</v>
      </c>
      <c r="R15" s="32">
        <v>8</v>
      </c>
      <c r="S15" s="135">
        <v>4</v>
      </c>
      <c r="T15" s="260">
        <f t="shared" si="1"/>
        <v>8</v>
      </c>
      <c r="U15" s="30"/>
      <c r="V15" s="31">
        <v>114</v>
      </c>
      <c r="W15" s="31">
        <f t="shared" si="2"/>
        <v>114</v>
      </c>
      <c r="X15" s="260">
        <v>2</v>
      </c>
      <c r="Y15" s="323">
        <v>5.0000000000000001E-3</v>
      </c>
      <c r="Z15" s="323">
        <v>103375</v>
      </c>
      <c r="AA15" s="323">
        <v>639</v>
      </c>
      <c r="AB15" s="151" t="s">
        <v>2708</v>
      </c>
      <c r="AC15" s="155">
        <v>1990</v>
      </c>
      <c r="AD15" s="254">
        <f t="shared" si="0"/>
        <v>6.5550992470909932</v>
      </c>
      <c r="AE15" s="152">
        <v>3</v>
      </c>
      <c r="AF15" s="252">
        <v>100</v>
      </c>
      <c r="AG15" s="242">
        <v>0</v>
      </c>
      <c r="AH15" s="242" t="s">
        <v>2252</v>
      </c>
      <c r="AI15" s="243">
        <v>8</v>
      </c>
      <c r="AJ15" s="244">
        <v>2340</v>
      </c>
      <c r="AK15" s="244">
        <v>116</v>
      </c>
      <c r="AL15" s="244">
        <v>44</v>
      </c>
      <c r="AM15" s="244">
        <v>16</v>
      </c>
      <c r="AN15" s="245">
        <v>56</v>
      </c>
      <c r="AO15" s="245">
        <v>1.51</v>
      </c>
      <c r="AP15" s="232">
        <v>15</v>
      </c>
    </row>
    <row r="16" spans="1:42" x14ac:dyDescent="0.2">
      <c r="A16" s="231">
        <v>16</v>
      </c>
      <c r="B16" s="255" t="s">
        <v>1900</v>
      </c>
      <c r="C16" s="256" t="s">
        <v>2617</v>
      </c>
      <c r="D16" s="264">
        <v>33</v>
      </c>
      <c r="E16" s="265">
        <v>112.5</v>
      </c>
      <c r="F16" s="22" t="s">
        <v>2706</v>
      </c>
      <c r="G16" s="23" t="s">
        <v>2707</v>
      </c>
      <c r="H16" s="24" t="s">
        <v>743</v>
      </c>
      <c r="I16" s="24" t="s">
        <v>743</v>
      </c>
      <c r="J16" s="25" t="s">
        <v>743</v>
      </c>
      <c r="K16" s="26">
        <v>35633</v>
      </c>
      <c r="L16" s="15" t="s">
        <v>890</v>
      </c>
      <c r="M16" s="28">
        <v>355321</v>
      </c>
      <c r="N16" s="29">
        <v>6176331</v>
      </c>
      <c r="O16" s="32" t="s">
        <v>2708</v>
      </c>
      <c r="P16" s="135" t="s">
        <v>2708</v>
      </c>
      <c r="Q16" s="260">
        <v>246</v>
      </c>
      <c r="R16" s="32">
        <v>30</v>
      </c>
      <c r="S16" s="135">
        <v>14</v>
      </c>
      <c r="T16" s="260">
        <f t="shared" si="1"/>
        <v>30</v>
      </c>
      <c r="U16" s="30"/>
      <c r="V16" s="31">
        <v>318</v>
      </c>
      <c r="W16" s="31">
        <f t="shared" si="2"/>
        <v>318</v>
      </c>
      <c r="X16" s="260">
        <v>6</v>
      </c>
      <c r="Y16" s="323">
        <v>0.55200000000000005</v>
      </c>
      <c r="Z16" s="323">
        <v>113614</v>
      </c>
      <c r="AA16" s="323">
        <v>722</v>
      </c>
      <c r="AB16" s="151">
        <v>2</v>
      </c>
      <c r="AC16" s="155">
        <v>1990</v>
      </c>
      <c r="AD16" s="254">
        <f t="shared" si="0"/>
        <v>6.557837097878064</v>
      </c>
      <c r="AE16" s="152">
        <v>2</v>
      </c>
      <c r="AF16" s="252">
        <v>12</v>
      </c>
      <c r="AG16" s="242">
        <v>40</v>
      </c>
      <c r="AH16" s="242" t="s">
        <v>2252</v>
      </c>
      <c r="AI16" s="243">
        <v>8</v>
      </c>
      <c r="AJ16" s="244">
        <v>1320</v>
      </c>
      <c r="AK16" s="244">
        <v>46</v>
      </c>
      <c r="AL16" s="244">
        <v>22</v>
      </c>
      <c r="AM16" s="244">
        <v>26</v>
      </c>
      <c r="AN16" s="245">
        <v>29.3</v>
      </c>
      <c r="AO16" s="245">
        <v>2.09</v>
      </c>
      <c r="AP16" s="232">
        <v>16</v>
      </c>
    </row>
    <row r="17" spans="1:42" x14ac:dyDescent="0.2">
      <c r="A17" s="231">
        <v>17</v>
      </c>
      <c r="B17" s="255" t="s">
        <v>1900</v>
      </c>
      <c r="C17" s="256" t="s">
        <v>2617</v>
      </c>
      <c r="D17" s="264">
        <v>26</v>
      </c>
      <c r="E17" s="265">
        <v>115.5</v>
      </c>
      <c r="F17" s="22" t="s">
        <v>2706</v>
      </c>
      <c r="G17" s="23" t="s">
        <v>2707</v>
      </c>
      <c r="H17" s="24" t="s">
        <v>743</v>
      </c>
      <c r="I17" s="24" t="s">
        <v>743</v>
      </c>
      <c r="J17" s="25" t="s">
        <v>743</v>
      </c>
      <c r="K17" s="26">
        <v>35633</v>
      </c>
      <c r="L17" s="15" t="s">
        <v>890</v>
      </c>
      <c r="M17" s="28">
        <v>355065</v>
      </c>
      <c r="N17" s="29">
        <v>6177630</v>
      </c>
      <c r="O17" s="32" t="s">
        <v>2708</v>
      </c>
      <c r="P17" s="135" t="s">
        <v>2708</v>
      </c>
      <c r="Q17" s="260">
        <v>238</v>
      </c>
      <c r="R17" s="32">
        <v>2</v>
      </c>
      <c r="S17" s="135">
        <v>6</v>
      </c>
      <c r="T17" s="260">
        <f t="shared" si="1"/>
        <v>2</v>
      </c>
      <c r="U17" s="30"/>
      <c r="V17" s="31">
        <v>312</v>
      </c>
      <c r="W17" s="31">
        <f t="shared" si="2"/>
        <v>312</v>
      </c>
      <c r="X17" s="260">
        <v>3</v>
      </c>
      <c r="Y17" s="323">
        <v>1.3959999999999999</v>
      </c>
      <c r="Z17" s="323">
        <v>110763</v>
      </c>
      <c r="AA17" s="323">
        <v>1044</v>
      </c>
      <c r="AB17" s="151">
        <v>8</v>
      </c>
      <c r="AC17" s="155">
        <v>1988</v>
      </c>
      <c r="AD17" s="254">
        <f t="shared" si="0"/>
        <v>8.557837097878064</v>
      </c>
      <c r="AE17" s="152">
        <v>6</v>
      </c>
      <c r="AF17" s="252">
        <v>100</v>
      </c>
      <c r="AG17" s="242">
        <v>0</v>
      </c>
      <c r="AH17" s="242" t="s">
        <v>2252</v>
      </c>
      <c r="AI17" s="243">
        <v>8</v>
      </c>
      <c r="AJ17" s="244">
        <v>2470</v>
      </c>
      <c r="AK17" s="244">
        <v>90</v>
      </c>
      <c r="AL17" s="244">
        <v>34</v>
      </c>
      <c r="AM17" s="244">
        <v>13</v>
      </c>
      <c r="AN17" s="245">
        <v>25.56</v>
      </c>
      <c r="AO17" s="245">
        <v>1.72</v>
      </c>
      <c r="AP17" s="232">
        <v>17</v>
      </c>
    </row>
    <row r="18" spans="1:42" x14ac:dyDescent="0.2">
      <c r="A18" s="231">
        <v>18</v>
      </c>
      <c r="B18" s="255" t="s">
        <v>1900</v>
      </c>
      <c r="C18" s="256" t="s">
        <v>2617</v>
      </c>
      <c r="D18" s="264">
        <v>29</v>
      </c>
      <c r="E18" s="265">
        <v>126.5</v>
      </c>
      <c r="F18" s="22" t="s">
        <v>2706</v>
      </c>
      <c r="G18" s="23" t="s">
        <v>2707</v>
      </c>
      <c r="H18" s="24" t="s">
        <v>743</v>
      </c>
      <c r="I18" s="24" t="s">
        <v>743</v>
      </c>
      <c r="J18" s="25" t="s">
        <v>743</v>
      </c>
      <c r="K18" s="26">
        <v>35634</v>
      </c>
      <c r="L18" s="15" t="s">
        <v>890</v>
      </c>
      <c r="M18" s="28">
        <v>354834</v>
      </c>
      <c r="N18" s="29">
        <v>6177804</v>
      </c>
      <c r="O18" s="32" t="s">
        <v>2708</v>
      </c>
      <c r="P18" s="135" t="s">
        <v>2708</v>
      </c>
      <c r="Q18" s="260">
        <v>217</v>
      </c>
      <c r="R18" s="32">
        <v>2</v>
      </c>
      <c r="S18" s="135">
        <v>7</v>
      </c>
      <c r="T18" s="260">
        <f t="shared" si="1"/>
        <v>2</v>
      </c>
      <c r="U18" s="30"/>
      <c r="V18" s="31">
        <v>301</v>
      </c>
      <c r="W18" s="31">
        <f t="shared" si="2"/>
        <v>301</v>
      </c>
      <c r="X18" s="260">
        <v>3</v>
      </c>
      <c r="Y18" s="323">
        <v>0.47</v>
      </c>
      <c r="Z18" s="323">
        <v>109655</v>
      </c>
      <c r="AA18" s="323">
        <v>1057</v>
      </c>
      <c r="AB18" s="151">
        <v>8</v>
      </c>
      <c r="AC18" s="155">
        <v>1988</v>
      </c>
      <c r="AD18" s="254">
        <f t="shared" si="0"/>
        <v>8.5605749486653622</v>
      </c>
      <c r="AE18" s="152">
        <v>4</v>
      </c>
      <c r="AF18" s="252">
        <v>100</v>
      </c>
      <c r="AG18" s="242">
        <v>0</v>
      </c>
      <c r="AH18" s="242" t="s">
        <v>2252</v>
      </c>
      <c r="AI18" s="243">
        <v>8</v>
      </c>
      <c r="AJ18" s="244">
        <v>2460</v>
      </c>
      <c r="AK18" s="244">
        <v>86</v>
      </c>
      <c r="AL18" s="244">
        <v>32</v>
      </c>
      <c r="AM18" s="244">
        <v>19</v>
      </c>
      <c r="AN18" s="245">
        <v>24.82</v>
      </c>
      <c r="AO18" s="245">
        <v>2.0099999999999998</v>
      </c>
      <c r="AP18" s="232">
        <v>18</v>
      </c>
    </row>
    <row r="19" spans="1:42" x14ac:dyDescent="0.2">
      <c r="A19" s="231">
        <v>19</v>
      </c>
      <c r="B19" s="255" t="s">
        <v>1900</v>
      </c>
      <c r="C19" s="256" t="s">
        <v>2671</v>
      </c>
      <c r="D19" s="264">
        <v>18</v>
      </c>
      <c r="E19" s="265">
        <v>130</v>
      </c>
      <c r="F19" s="22" t="s">
        <v>2706</v>
      </c>
      <c r="G19" s="23" t="s">
        <v>2707</v>
      </c>
      <c r="H19" s="24" t="s">
        <v>743</v>
      </c>
      <c r="I19" s="24" t="s">
        <v>743</v>
      </c>
      <c r="J19" s="25" t="s">
        <v>743</v>
      </c>
      <c r="K19" s="26">
        <v>35636</v>
      </c>
      <c r="L19" s="15" t="s">
        <v>890</v>
      </c>
      <c r="M19" s="28">
        <v>355316</v>
      </c>
      <c r="N19" s="29">
        <v>6177042</v>
      </c>
      <c r="O19" s="32" t="s">
        <v>2708</v>
      </c>
      <c r="P19" s="135" t="s">
        <v>2708</v>
      </c>
      <c r="Q19" s="260">
        <v>340</v>
      </c>
      <c r="R19" s="32">
        <v>20</v>
      </c>
      <c r="S19" s="135">
        <v>15</v>
      </c>
      <c r="T19" s="260">
        <f t="shared" si="1"/>
        <v>20</v>
      </c>
      <c r="U19" s="30"/>
      <c r="V19" s="31">
        <v>296</v>
      </c>
      <c r="W19" s="31">
        <f t="shared" si="2"/>
        <v>296</v>
      </c>
      <c r="X19" s="260">
        <v>4</v>
      </c>
      <c r="Y19" s="323">
        <v>0.20799999999999999</v>
      </c>
      <c r="Z19" s="323">
        <v>111270</v>
      </c>
      <c r="AA19" s="323">
        <v>913</v>
      </c>
      <c r="AB19" s="151">
        <v>8</v>
      </c>
      <c r="AC19" s="155">
        <v>1990</v>
      </c>
      <c r="AD19" s="254">
        <f t="shared" si="0"/>
        <v>6.5660506502395037</v>
      </c>
      <c r="AE19" s="152">
        <v>1</v>
      </c>
      <c r="AF19" s="252">
        <v>0</v>
      </c>
      <c r="AG19" s="242">
        <v>20</v>
      </c>
      <c r="AH19" s="242" t="s">
        <v>2252</v>
      </c>
      <c r="AI19" s="243">
        <v>7.7</v>
      </c>
      <c r="AJ19" s="244">
        <v>730</v>
      </c>
      <c r="AK19" s="244">
        <v>130</v>
      </c>
      <c r="AL19" s="244">
        <v>33</v>
      </c>
      <c r="AM19" s="244">
        <v>71</v>
      </c>
      <c r="AN19" s="245">
        <v>33.07</v>
      </c>
      <c r="AO19" s="245">
        <v>2.63</v>
      </c>
      <c r="AP19" s="232">
        <v>19</v>
      </c>
    </row>
    <row r="20" spans="1:42" x14ac:dyDescent="0.2">
      <c r="A20" s="231">
        <v>20</v>
      </c>
      <c r="B20" s="255" t="s">
        <v>1900</v>
      </c>
      <c r="C20" s="256" t="s">
        <v>2671</v>
      </c>
      <c r="D20" s="264">
        <v>22</v>
      </c>
      <c r="E20" s="265">
        <v>114</v>
      </c>
      <c r="F20" s="22" t="s">
        <v>2706</v>
      </c>
      <c r="G20" s="23" t="s">
        <v>2707</v>
      </c>
      <c r="H20" s="24" t="s">
        <v>743</v>
      </c>
      <c r="I20" s="24" t="s">
        <v>743</v>
      </c>
      <c r="J20" s="25" t="s">
        <v>743</v>
      </c>
      <c r="K20" s="26">
        <v>35636</v>
      </c>
      <c r="L20" s="15" t="s">
        <v>890</v>
      </c>
      <c r="M20" s="28">
        <v>355328</v>
      </c>
      <c r="N20" s="29">
        <v>6177096</v>
      </c>
      <c r="O20" s="32" t="s">
        <v>2708</v>
      </c>
      <c r="P20" s="135" t="s">
        <v>2708</v>
      </c>
      <c r="Q20" s="260">
        <v>329</v>
      </c>
      <c r="R20" s="32">
        <v>8</v>
      </c>
      <c r="S20" s="135">
        <v>19</v>
      </c>
      <c r="T20" s="260">
        <f t="shared" si="1"/>
        <v>8</v>
      </c>
      <c r="U20" s="30"/>
      <c r="V20" s="31">
        <v>340</v>
      </c>
      <c r="W20" s="31">
        <f t="shared" si="2"/>
        <v>340</v>
      </c>
      <c r="X20" s="260">
        <v>4</v>
      </c>
      <c r="Y20" s="323">
        <v>0.63700000000000001</v>
      </c>
      <c r="Z20" s="323">
        <v>119625</v>
      </c>
      <c r="AA20" s="323">
        <v>645</v>
      </c>
      <c r="AB20" s="151" t="s">
        <v>2708</v>
      </c>
      <c r="AC20" s="155">
        <v>1990</v>
      </c>
      <c r="AD20" s="254">
        <f t="shared" si="0"/>
        <v>6.5660506502395037</v>
      </c>
      <c r="AE20" s="152">
        <v>2</v>
      </c>
      <c r="AF20" s="252">
        <v>5</v>
      </c>
      <c r="AG20" s="242">
        <v>15</v>
      </c>
      <c r="AH20" s="242" t="s">
        <v>2252</v>
      </c>
      <c r="AI20" s="243">
        <v>7.8</v>
      </c>
      <c r="AJ20" s="244">
        <v>1420</v>
      </c>
      <c r="AK20" s="244">
        <v>93</v>
      </c>
      <c r="AL20" s="244">
        <v>19</v>
      </c>
      <c r="AM20" s="244">
        <v>70</v>
      </c>
      <c r="AN20" s="245">
        <v>53.2</v>
      </c>
      <c r="AO20" s="245">
        <v>2.2000000000000002</v>
      </c>
      <c r="AP20" s="232">
        <v>20</v>
      </c>
    </row>
    <row r="21" spans="1:42" x14ac:dyDescent="0.2">
      <c r="A21" s="231">
        <v>21</v>
      </c>
      <c r="B21" s="255" t="s">
        <v>1900</v>
      </c>
      <c r="C21" s="256" t="s">
        <v>2671</v>
      </c>
      <c r="D21" s="264">
        <v>25</v>
      </c>
      <c r="E21" s="265">
        <v>118</v>
      </c>
      <c r="F21" s="22" t="s">
        <v>2706</v>
      </c>
      <c r="G21" s="23" t="s">
        <v>2707</v>
      </c>
      <c r="H21" s="24" t="s">
        <v>743</v>
      </c>
      <c r="I21" s="24" t="s">
        <v>743</v>
      </c>
      <c r="J21" s="25" t="s">
        <v>743</v>
      </c>
      <c r="K21" s="26">
        <v>35639</v>
      </c>
      <c r="L21" s="15" t="s">
        <v>890</v>
      </c>
      <c r="M21" s="28">
        <v>356254</v>
      </c>
      <c r="N21" s="29">
        <v>6177547</v>
      </c>
      <c r="O21" s="32" t="s">
        <v>2708</v>
      </c>
      <c r="P21" s="135" t="s">
        <v>2708</v>
      </c>
      <c r="Q21" s="260">
        <v>309</v>
      </c>
      <c r="R21" s="32">
        <v>5</v>
      </c>
      <c r="S21" s="135">
        <v>16</v>
      </c>
      <c r="T21" s="260">
        <f t="shared" si="1"/>
        <v>5</v>
      </c>
      <c r="U21" s="30"/>
      <c r="V21" s="31">
        <v>323</v>
      </c>
      <c r="W21" s="31">
        <f t="shared" si="2"/>
        <v>323</v>
      </c>
      <c r="X21" s="260">
        <v>6</v>
      </c>
      <c r="Y21" s="323">
        <v>0.33400000000000002</v>
      </c>
      <c r="Z21" s="323">
        <v>115284</v>
      </c>
      <c r="AA21" s="323">
        <v>589</v>
      </c>
      <c r="AB21" s="151" t="s">
        <v>2708</v>
      </c>
      <c r="AC21" s="155">
        <v>1988</v>
      </c>
      <c r="AD21" s="254">
        <f t="shared" si="0"/>
        <v>8.5742642026009435</v>
      </c>
      <c r="AE21" s="152">
        <v>2</v>
      </c>
      <c r="AF21" s="252">
        <v>0</v>
      </c>
      <c r="AG21" s="242">
        <v>20</v>
      </c>
      <c r="AH21" s="242" t="s">
        <v>2252</v>
      </c>
      <c r="AI21" s="243">
        <v>7.6</v>
      </c>
      <c r="AJ21" s="244">
        <v>350</v>
      </c>
      <c r="AK21" s="244">
        <v>211</v>
      </c>
      <c r="AL21" s="244">
        <v>74</v>
      </c>
      <c r="AM21" s="244">
        <v>132</v>
      </c>
      <c r="AN21" s="245">
        <v>43.57</v>
      </c>
      <c r="AO21" s="245">
        <v>3.25</v>
      </c>
      <c r="AP21" s="232">
        <v>21</v>
      </c>
    </row>
    <row r="22" spans="1:42" x14ac:dyDescent="0.2">
      <c r="A22" s="231">
        <v>22</v>
      </c>
      <c r="B22" s="255" t="s">
        <v>1900</v>
      </c>
      <c r="C22" s="256" t="s">
        <v>2671</v>
      </c>
      <c r="D22" s="264">
        <v>15</v>
      </c>
      <c r="E22" s="265">
        <v>87.5</v>
      </c>
      <c r="F22" s="22" t="s">
        <v>2706</v>
      </c>
      <c r="G22" s="23" t="s">
        <v>2707</v>
      </c>
      <c r="H22" s="24" t="s">
        <v>743</v>
      </c>
      <c r="I22" s="24" t="s">
        <v>743</v>
      </c>
      <c r="J22" s="25" t="s">
        <v>743</v>
      </c>
      <c r="K22" s="26">
        <v>35640</v>
      </c>
      <c r="L22" s="15" t="s">
        <v>890</v>
      </c>
      <c r="M22" s="28">
        <v>356252</v>
      </c>
      <c r="N22" s="29">
        <v>6177454</v>
      </c>
      <c r="O22" s="32" t="s">
        <v>2708</v>
      </c>
      <c r="P22" s="135" t="s">
        <v>2708</v>
      </c>
      <c r="Q22" s="260">
        <v>342</v>
      </c>
      <c r="R22" s="32">
        <v>40</v>
      </c>
      <c r="S22" s="135">
        <v>21</v>
      </c>
      <c r="T22" s="260">
        <f t="shared" si="1"/>
        <v>40</v>
      </c>
      <c r="U22" s="30"/>
      <c r="V22" s="31">
        <v>103</v>
      </c>
      <c r="W22" s="31">
        <f t="shared" si="2"/>
        <v>103</v>
      </c>
      <c r="X22" s="260">
        <v>6</v>
      </c>
      <c r="Y22" s="323">
        <v>0.46400000000000002</v>
      </c>
      <c r="Z22" s="323">
        <v>121175</v>
      </c>
      <c r="AA22" s="323">
        <v>803</v>
      </c>
      <c r="AB22" s="151" t="s">
        <v>2708</v>
      </c>
      <c r="AC22" s="155">
        <v>1990</v>
      </c>
      <c r="AD22" s="254">
        <f t="shared" si="0"/>
        <v>6.5770020533880142</v>
      </c>
      <c r="AE22" s="152">
        <v>1</v>
      </c>
      <c r="AF22" s="252">
        <v>0</v>
      </c>
      <c r="AG22" s="242">
        <v>15</v>
      </c>
      <c r="AH22" s="242" t="s">
        <v>2252</v>
      </c>
      <c r="AI22" s="243">
        <v>6.1</v>
      </c>
      <c r="AJ22" s="244">
        <v>1970</v>
      </c>
      <c r="AK22" s="244">
        <v>36</v>
      </c>
      <c r="AL22" s="244">
        <v>13</v>
      </c>
      <c r="AM22" s="244">
        <v>57</v>
      </c>
      <c r="AN22" s="245">
        <v>15.18</v>
      </c>
      <c r="AO22" s="245">
        <v>1.84</v>
      </c>
      <c r="AP22" s="232">
        <v>22</v>
      </c>
    </row>
    <row r="23" spans="1:42" x14ac:dyDescent="0.2">
      <c r="A23" s="231">
        <v>23</v>
      </c>
      <c r="B23" s="255" t="s">
        <v>1900</v>
      </c>
      <c r="C23" s="256" t="s">
        <v>2671</v>
      </c>
      <c r="D23" s="264">
        <v>19</v>
      </c>
      <c r="E23" s="265">
        <v>114.5</v>
      </c>
      <c r="F23" s="22" t="s">
        <v>2706</v>
      </c>
      <c r="G23" s="23" t="s">
        <v>2707</v>
      </c>
      <c r="H23" s="24" t="s">
        <v>743</v>
      </c>
      <c r="I23" s="24" t="s">
        <v>743</v>
      </c>
      <c r="J23" s="25" t="s">
        <v>743</v>
      </c>
      <c r="K23" s="26">
        <v>35641</v>
      </c>
      <c r="L23" s="15" t="s">
        <v>890</v>
      </c>
      <c r="M23" s="28">
        <v>356480</v>
      </c>
      <c r="N23" s="29">
        <v>6177510</v>
      </c>
      <c r="O23" s="32" t="s">
        <v>2708</v>
      </c>
      <c r="P23" s="135" t="s">
        <v>2708</v>
      </c>
      <c r="Q23" s="260">
        <v>304</v>
      </c>
      <c r="R23" s="32">
        <v>15</v>
      </c>
      <c r="S23" s="135">
        <v>12</v>
      </c>
      <c r="T23" s="260">
        <f t="shared" si="1"/>
        <v>15</v>
      </c>
      <c r="U23" s="30"/>
      <c r="V23" s="31">
        <v>305</v>
      </c>
      <c r="W23" s="31">
        <f t="shared" si="2"/>
        <v>305</v>
      </c>
      <c r="X23" s="260">
        <v>6</v>
      </c>
      <c r="Y23" s="323">
        <v>0.02</v>
      </c>
      <c r="Z23" s="323">
        <v>110807</v>
      </c>
      <c r="AA23" s="323">
        <v>702</v>
      </c>
      <c r="AB23" s="151">
        <v>10</v>
      </c>
      <c r="AC23" s="155">
        <v>1990</v>
      </c>
      <c r="AD23" s="254">
        <f t="shared" si="0"/>
        <v>6.5797399041753124</v>
      </c>
      <c r="AE23" s="152">
        <v>1</v>
      </c>
      <c r="AF23" s="252">
        <v>0</v>
      </c>
      <c r="AG23" s="242">
        <v>10</v>
      </c>
      <c r="AH23" s="242" t="s">
        <v>2252</v>
      </c>
      <c r="AI23" s="243">
        <v>6</v>
      </c>
      <c r="AJ23" s="244">
        <v>1800</v>
      </c>
      <c r="AK23" s="244">
        <v>87</v>
      </c>
      <c r="AL23" s="244">
        <v>13</v>
      </c>
      <c r="AM23" s="244">
        <v>61</v>
      </c>
      <c r="AN23" s="245">
        <v>11.56</v>
      </c>
      <c r="AO23" s="245">
        <v>1.66</v>
      </c>
      <c r="AP23" s="232">
        <v>23</v>
      </c>
    </row>
    <row r="24" spans="1:42" x14ac:dyDescent="0.2">
      <c r="A24" s="231">
        <v>24</v>
      </c>
      <c r="B24" s="255" t="s">
        <v>1900</v>
      </c>
      <c r="C24" s="256" t="s">
        <v>2671</v>
      </c>
      <c r="D24" s="264">
        <v>17</v>
      </c>
      <c r="E24" s="265">
        <v>102.5</v>
      </c>
      <c r="F24" s="22" t="s">
        <v>2706</v>
      </c>
      <c r="G24" s="23" t="s">
        <v>2707</v>
      </c>
      <c r="H24" s="24" t="s">
        <v>743</v>
      </c>
      <c r="I24" s="24" t="s">
        <v>743</v>
      </c>
      <c r="J24" s="25" t="s">
        <v>743</v>
      </c>
      <c r="K24" s="26">
        <v>35641</v>
      </c>
      <c r="L24" s="15" t="s">
        <v>890</v>
      </c>
      <c r="M24" s="28">
        <v>356020</v>
      </c>
      <c r="N24" s="29">
        <v>6177445</v>
      </c>
      <c r="O24" s="32" t="s">
        <v>2708</v>
      </c>
      <c r="P24" s="135" t="s">
        <v>2708</v>
      </c>
      <c r="Q24" s="260">
        <v>340</v>
      </c>
      <c r="R24" s="32">
        <v>20</v>
      </c>
      <c r="S24" s="135">
        <v>20</v>
      </c>
      <c r="T24" s="260">
        <f t="shared" si="1"/>
        <v>20</v>
      </c>
      <c r="U24" s="30"/>
      <c r="V24" s="31">
        <v>30</v>
      </c>
      <c r="W24" s="31">
        <f t="shared" si="2"/>
        <v>30</v>
      </c>
      <c r="X24" s="260">
        <v>6</v>
      </c>
      <c r="Y24" s="323">
        <v>0.65200000000000002</v>
      </c>
      <c r="Z24" s="323">
        <v>120932</v>
      </c>
      <c r="AA24" s="323">
        <v>720</v>
      </c>
      <c r="AB24" s="151">
        <v>8</v>
      </c>
      <c r="AC24" s="155">
        <v>1990</v>
      </c>
      <c r="AD24" s="254">
        <f t="shared" si="0"/>
        <v>6.5797399041753124</v>
      </c>
      <c r="AE24" s="152">
        <v>1</v>
      </c>
      <c r="AF24" s="252">
        <v>0</v>
      </c>
      <c r="AG24" s="242">
        <v>10</v>
      </c>
      <c r="AH24" s="242" t="s">
        <v>2252</v>
      </c>
      <c r="AI24" s="243">
        <v>7.7</v>
      </c>
      <c r="AJ24" s="244">
        <v>1640</v>
      </c>
      <c r="AK24" s="244">
        <v>76</v>
      </c>
      <c r="AL24" s="244">
        <v>22</v>
      </c>
      <c r="AM24" s="244">
        <v>45</v>
      </c>
      <c r="AN24" s="245">
        <v>35.51</v>
      </c>
      <c r="AO24" s="245">
        <v>1.83</v>
      </c>
      <c r="AP24" s="232">
        <v>24</v>
      </c>
    </row>
    <row r="25" spans="1:42" x14ac:dyDescent="0.2">
      <c r="A25" s="231">
        <v>25</v>
      </c>
      <c r="B25" s="255" t="s">
        <v>1900</v>
      </c>
      <c r="C25" s="256" t="s">
        <v>2617</v>
      </c>
      <c r="D25" s="264">
        <v>40</v>
      </c>
      <c r="E25" s="265">
        <v>121.5</v>
      </c>
      <c r="F25" s="22" t="s">
        <v>2706</v>
      </c>
      <c r="G25" s="23" t="s">
        <v>2707</v>
      </c>
      <c r="H25" s="24" t="s">
        <v>743</v>
      </c>
      <c r="I25" s="24" t="s">
        <v>743</v>
      </c>
      <c r="J25" s="25" t="s">
        <v>743</v>
      </c>
      <c r="K25" s="26">
        <v>35642</v>
      </c>
      <c r="L25" s="15" t="s">
        <v>890</v>
      </c>
      <c r="M25" s="28">
        <v>355877</v>
      </c>
      <c r="N25" s="29">
        <v>6177171</v>
      </c>
      <c r="O25" s="32" t="s">
        <v>2708</v>
      </c>
      <c r="P25" s="135" t="s">
        <v>2708</v>
      </c>
      <c r="Q25" s="260">
        <v>363</v>
      </c>
      <c r="R25" s="32">
        <v>25</v>
      </c>
      <c r="S25" s="135">
        <v>18</v>
      </c>
      <c r="T25" s="260">
        <f t="shared" si="1"/>
        <v>25</v>
      </c>
      <c r="U25" s="30"/>
      <c r="V25" s="31">
        <v>290</v>
      </c>
      <c r="W25" s="31">
        <f t="shared" si="2"/>
        <v>290</v>
      </c>
      <c r="X25" s="260">
        <v>6</v>
      </c>
      <c r="Y25" s="323">
        <v>0.33600000000000002</v>
      </c>
      <c r="Z25" s="323">
        <v>109447</v>
      </c>
      <c r="AA25" s="323">
        <v>636</v>
      </c>
      <c r="AB25" s="151">
        <v>10</v>
      </c>
      <c r="AC25" s="155">
        <v>1990</v>
      </c>
      <c r="AD25" s="254">
        <f t="shared" si="0"/>
        <v>6.5824777549623832</v>
      </c>
      <c r="AE25" s="152">
        <v>1</v>
      </c>
      <c r="AF25" s="252">
        <v>0</v>
      </c>
      <c r="AG25" s="242">
        <v>25</v>
      </c>
      <c r="AH25" s="242" t="s">
        <v>2252</v>
      </c>
      <c r="AI25" s="243">
        <v>7.5</v>
      </c>
      <c r="AJ25" s="244">
        <v>480</v>
      </c>
      <c r="AK25" s="244">
        <v>198</v>
      </c>
      <c r="AL25" s="244">
        <v>130</v>
      </c>
      <c r="AM25" s="244">
        <v>126</v>
      </c>
      <c r="AN25" s="245">
        <v>85.85</v>
      </c>
      <c r="AO25" s="245">
        <v>4.25</v>
      </c>
      <c r="AP25" s="232">
        <v>25</v>
      </c>
    </row>
    <row r="26" spans="1:42" x14ac:dyDescent="0.2">
      <c r="A26" s="231">
        <v>26</v>
      </c>
      <c r="B26" s="255" t="s">
        <v>1900</v>
      </c>
      <c r="C26" s="256" t="s">
        <v>2618</v>
      </c>
      <c r="D26" s="264">
        <v>20</v>
      </c>
      <c r="E26" s="265">
        <v>108</v>
      </c>
      <c r="F26" s="22" t="s">
        <v>2706</v>
      </c>
      <c r="G26" s="23" t="s">
        <v>2707</v>
      </c>
      <c r="H26" s="24" t="s">
        <v>743</v>
      </c>
      <c r="I26" s="24" t="s">
        <v>743</v>
      </c>
      <c r="J26" s="25" t="s">
        <v>743</v>
      </c>
      <c r="K26" s="26">
        <v>35647</v>
      </c>
      <c r="L26" s="15" t="s">
        <v>890</v>
      </c>
      <c r="M26" s="28">
        <v>356209</v>
      </c>
      <c r="N26" s="29">
        <v>6177045</v>
      </c>
      <c r="O26" s="32" t="s">
        <v>2708</v>
      </c>
      <c r="P26" s="135" t="s">
        <v>2708</v>
      </c>
      <c r="Q26" s="260">
        <v>408</v>
      </c>
      <c r="R26" s="32">
        <v>2</v>
      </c>
      <c r="S26" s="135">
        <v>1</v>
      </c>
      <c r="T26" s="260">
        <f t="shared" si="1"/>
        <v>2</v>
      </c>
      <c r="U26" s="30"/>
      <c r="V26" s="31">
        <v>313</v>
      </c>
      <c r="W26" s="31">
        <f t="shared" si="2"/>
        <v>313</v>
      </c>
      <c r="X26" s="260">
        <v>6</v>
      </c>
      <c r="Y26" s="323">
        <v>1.2E-2</v>
      </c>
      <c r="Z26" s="323">
        <v>111321</v>
      </c>
      <c r="AA26" s="323">
        <v>1686</v>
      </c>
      <c r="AB26" s="151">
        <v>8</v>
      </c>
      <c r="AC26" s="155">
        <v>1990</v>
      </c>
      <c r="AD26" s="254">
        <f t="shared" si="0"/>
        <v>6.5961670088979645</v>
      </c>
      <c r="AE26" s="152">
        <v>3</v>
      </c>
      <c r="AF26" s="252">
        <v>100</v>
      </c>
      <c r="AG26" s="242">
        <v>0</v>
      </c>
      <c r="AH26" s="242" t="s">
        <v>2252</v>
      </c>
      <c r="AI26" s="243">
        <v>5.8</v>
      </c>
      <c r="AJ26" s="244">
        <v>3040</v>
      </c>
      <c r="AK26" s="244">
        <v>6</v>
      </c>
      <c r="AL26" s="244">
        <v>6</v>
      </c>
      <c r="AM26" s="244">
        <v>8</v>
      </c>
      <c r="AN26" s="245">
        <v>6.36</v>
      </c>
      <c r="AO26" s="245">
        <v>0.61</v>
      </c>
      <c r="AP26" s="232">
        <v>26</v>
      </c>
    </row>
    <row r="27" spans="1:42" x14ac:dyDescent="0.2">
      <c r="A27" s="231">
        <v>27</v>
      </c>
      <c r="B27" s="255" t="s">
        <v>1900</v>
      </c>
      <c r="C27" s="256" t="s">
        <v>2618</v>
      </c>
      <c r="D27" s="264">
        <v>19</v>
      </c>
      <c r="E27" s="265">
        <v>109</v>
      </c>
      <c r="F27" s="22" t="s">
        <v>2706</v>
      </c>
      <c r="G27" s="23" t="s">
        <v>2707</v>
      </c>
      <c r="H27" s="24" t="s">
        <v>743</v>
      </c>
      <c r="I27" s="24" t="s">
        <v>743</v>
      </c>
      <c r="J27" s="25" t="s">
        <v>743</v>
      </c>
      <c r="K27" s="26">
        <v>35647</v>
      </c>
      <c r="L27" s="15" t="s">
        <v>890</v>
      </c>
      <c r="M27" s="28">
        <v>356975</v>
      </c>
      <c r="N27" s="29">
        <v>6176974</v>
      </c>
      <c r="O27" s="32" t="s">
        <v>2708</v>
      </c>
      <c r="P27" s="135" t="s">
        <v>2708</v>
      </c>
      <c r="Q27" s="260">
        <v>362</v>
      </c>
      <c r="R27" s="32">
        <v>16</v>
      </c>
      <c r="S27" s="135">
        <v>12</v>
      </c>
      <c r="T27" s="260">
        <f t="shared" si="1"/>
        <v>16</v>
      </c>
      <c r="U27" s="30"/>
      <c r="V27" s="31">
        <v>25</v>
      </c>
      <c r="W27" s="31">
        <f t="shared" si="2"/>
        <v>25</v>
      </c>
      <c r="X27" s="260">
        <v>4</v>
      </c>
      <c r="Y27" s="323">
        <v>0.54600000000000004</v>
      </c>
      <c r="Z27" s="323">
        <v>114271</v>
      </c>
      <c r="AA27" s="323">
        <v>745</v>
      </c>
      <c r="AB27" s="151" t="s">
        <v>2708</v>
      </c>
      <c r="AC27" s="155">
        <v>1990</v>
      </c>
      <c r="AD27" s="254">
        <f t="shared" si="0"/>
        <v>6.5961670088979645</v>
      </c>
      <c r="AE27" s="152">
        <v>1</v>
      </c>
      <c r="AF27" s="252">
        <v>10</v>
      </c>
      <c r="AG27" s="242">
        <v>10</v>
      </c>
      <c r="AH27" s="242" t="s">
        <v>2252</v>
      </c>
      <c r="AI27" s="243">
        <v>4.8</v>
      </c>
      <c r="AJ27" s="244">
        <v>4450</v>
      </c>
      <c r="AK27" s="244">
        <v>28</v>
      </c>
      <c r="AL27" s="244">
        <v>6</v>
      </c>
      <c r="AM27" s="244">
        <v>37</v>
      </c>
      <c r="AN27" s="245">
        <v>2.87</v>
      </c>
      <c r="AO27" s="245">
        <v>0.5</v>
      </c>
      <c r="AP27" s="232">
        <v>27</v>
      </c>
    </row>
    <row r="28" spans="1:42" x14ac:dyDescent="0.2">
      <c r="A28" s="231">
        <v>28</v>
      </c>
      <c r="B28" s="255" t="s">
        <v>1900</v>
      </c>
      <c r="C28" s="256" t="s">
        <v>2618</v>
      </c>
      <c r="D28" s="264">
        <v>34</v>
      </c>
      <c r="E28" s="265">
        <v>115</v>
      </c>
      <c r="F28" s="22" t="s">
        <v>2706</v>
      </c>
      <c r="G28" s="23" t="s">
        <v>2707</v>
      </c>
      <c r="H28" s="24" t="s">
        <v>743</v>
      </c>
      <c r="I28" s="24" t="s">
        <v>743</v>
      </c>
      <c r="J28" s="25" t="s">
        <v>743</v>
      </c>
      <c r="K28" s="26">
        <v>35649</v>
      </c>
      <c r="L28" s="15" t="s">
        <v>890</v>
      </c>
      <c r="M28" s="28">
        <v>357253</v>
      </c>
      <c r="N28" s="29">
        <v>6177132</v>
      </c>
      <c r="O28" s="32" t="s">
        <v>2708</v>
      </c>
      <c r="P28" s="135" t="s">
        <v>2708</v>
      </c>
      <c r="Q28" s="260">
        <v>347</v>
      </c>
      <c r="R28" s="32">
        <v>0</v>
      </c>
      <c r="S28" s="135">
        <v>8</v>
      </c>
      <c r="T28" s="260">
        <f t="shared" si="1"/>
        <v>0</v>
      </c>
      <c r="U28" s="30"/>
      <c r="V28" s="31">
        <v>243</v>
      </c>
      <c r="W28" s="31">
        <f t="shared" si="2"/>
        <v>243</v>
      </c>
      <c r="X28" s="260">
        <v>3</v>
      </c>
      <c r="Y28" s="323">
        <v>0.82899999999999996</v>
      </c>
      <c r="Z28" s="323">
        <v>102683</v>
      </c>
      <c r="AA28" s="323">
        <v>1084</v>
      </c>
      <c r="AB28" s="151">
        <v>8</v>
      </c>
      <c r="AC28" s="155">
        <v>1992</v>
      </c>
      <c r="AD28" s="254">
        <f t="shared" si="0"/>
        <v>4.6016427104723334</v>
      </c>
      <c r="AE28" s="152">
        <v>3</v>
      </c>
      <c r="AF28" s="252">
        <v>100</v>
      </c>
      <c r="AG28" s="242">
        <v>0</v>
      </c>
      <c r="AH28" s="242" t="s">
        <v>2252</v>
      </c>
      <c r="AI28" s="243">
        <v>7.8</v>
      </c>
      <c r="AJ28" s="244">
        <v>3200</v>
      </c>
      <c r="AK28" s="244">
        <v>108</v>
      </c>
      <c r="AL28" s="244">
        <v>47</v>
      </c>
      <c r="AM28" s="244">
        <v>18</v>
      </c>
      <c r="AN28" s="245">
        <v>64.650000000000006</v>
      </c>
      <c r="AO28" s="245">
        <v>1.02</v>
      </c>
      <c r="AP28" s="232">
        <v>28</v>
      </c>
    </row>
    <row r="29" spans="1:42" x14ac:dyDescent="0.2">
      <c r="A29" s="231">
        <v>29</v>
      </c>
      <c r="B29" s="255" t="s">
        <v>1900</v>
      </c>
      <c r="C29" s="256" t="s">
        <v>1252</v>
      </c>
      <c r="D29" s="264">
        <v>20</v>
      </c>
      <c r="E29" s="265">
        <v>110</v>
      </c>
      <c r="F29" s="22" t="s">
        <v>2706</v>
      </c>
      <c r="G29" s="23" t="s">
        <v>2707</v>
      </c>
      <c r="H29" s="24" t="s">
        <v>743</v>
      </c>
      <c r="I29" s="24" t="s">
        <v>743</v>
      </c>
      <c r="J29" s="25" t="s">
        <v>743</v>
      </c>
      <c r="K29" s="26">
        <v>35649</v>
      </c>
      <c r="L29" s="15" t="s">
        <v>890</v>
      </c>
      <c r="M29" s="28">
        <v>357367</v>
      </c>
      <c r="N29" s="29">
        <v>6176606</v>
      </c>
      <c r="O29" s="32" t="s">
        <v>2708</v>
      </c>
      <c r="P29" s="135" t="s">
        <v>2708</v>
      </c>
      <c r="Q29" s="260">
        <v>380</v>
      </c>
      <c r="R29" s="32">
        <v>2</v>
      </c>
      <c r="S29" s="135">
        <v>5</v>
      </c>
      <c r="T29" s="260">
        <f t="shared" si="1"/>
        <v>2</v>
      </c>
      <c r="U29" s="30"/>
      <c r="V29" s="31">
        <v>205</v>
      </c>
      <c r="W29" s="31">
        <f t="shared" si="2"/>
        <v>205</v>
      </c>
      <c r="X29" s="260">
        <v>6</v>
      </c>
      <c r="Y29" s="323">
        <v>3.3000000000000002E-2</v>
      </c>
      <c r="Z29" s="323">
        <v>104433</v>
      </c>
      <c r="AA29" s="323">
        <v>1316</v>
      </c>
      <c r="AB29" s="151" t="s">
        <v>2708</v>
      </c>
      <c r="AC29" s="155">
        <v>1990</v>
      </c>
      <c r="AD29" s="254">
        <f t="shared" si="0"/>
        <v>6.6016427104723334</v>
      </c>
      <c r="AE29" s="152">
        <v>1</v>
      </c>
      <c r="AF29" s="252">
        <v>10</v>
      </c>
      <c r="AG29" s="242">
        <v>15</v>
      </c>
      <c r="AH29" s="242" t="s">
        <v>2252</v>
      </c>
      <c r="AI29" s="243">
        <v>5.2</v>
      </c>
      <c r="AJ29" s="244">
        <v>2630</v>
      </c>
      <c r="AK29" s="244">
        <v>36</v>
      </c>
      <c r="AL29" s="244">
        <v>5</v>
      </c>
      <c r="AM29" s="244">
        <v>32</v>
      </c>
      <c r="AN29" s="245">
        <v>6.05</v>
      </c>
      <c r="AO29" s="245">
        <v>0.91</v>
      </c>
      <c r="AP29" s="232">
        <v>29</v>
      </c>
    </row>
    <row r="30" spans="1:42" x14ac:dyDescent="0.2">
      <c r="A30" s="231">
        <v>30</v>
      </c>
      <c r="B30" s="255" t="s">
        <v>1900</v>
      </c>
      <c r="C30" s="256" t="s">
        <v>1252</v>
      </c>
      <c r="D30" s="264">
        <v>18</v>
      </c>
      <c r="E30" s="265">
        <v>110</v>
      </c>
      <c r="F30" s="22" t="s">
        <v>2706</v>
      </c>
      <c r="G30" s="23" t="s">
        <v>2707</v>
      </c>
      <c r="H30" s="24" t="s">
        <v>743</v>
      </c>
      <c r="I30" s="24" t="s">
        <v>743</v>
      </c>
      <c r="J30" s="25" t="s">
        <v>743</v>
      </c>
      <c r="K30" s="26">
        <v>35651</v>
      </c>
      <c r="L30" s="15" t="s">
        <v>890</v>
      </c>
      <c r="M30" s="28">
        <v>357228</v>
      </c>
      <c r="N30" s="29">
        <v>6176698</v>
      </c>
      <c r="O30" s="32" t="s">
        <v>2708</v>
      </c>
      <c r="P30" s="135" t="s">
        <v>2708</v>
      </c>
      <c r="Q30" s="260">
        <v>377</v>
      </c>
      <c r="R30" s="32">
        <v>2</v>
      </c>
      <c r="S30" s="135">
        <v>5</v>
      </c>
      <c r="T30" s="260">
        <f t="shared" si="1"/>
        <v>2</v>
      </c>
      <c r="U30" s="30"/>
      <c r="V30" s="31">
        <v>228</v>
      </c>
      <c r="W30" s="31">
        <f t="shared" si="2"/>
        <v>228</v>
      </c>
      <c r="X30" s="260">
        <v>0</v>
      </c>
      <c r="Y30" s="323">
        <v>0.252</v>
      </c>
      <c r="Z30" s="323">
        <v>104829</v>
      </c>
      <c r="AA30" s="323">
        <v>1279</v>
      </c>
      <c r="AB30" s="151">
        <v>8</v>
      </c>
      <c r="AC30" s="155">
        <v>1990</v>
      </c>
      <c r="AD30" s="254">
        <f t="shared" si="0"/>
        <v>6.607118412046475</v>
      </c>
      <c r="AE30" s="152">
        <v>3</v>
      </c>
      <c r="AF30" s="252">
        <v>100</v>
      </c>
      <c r="AG30" s="242">
        <v>0</v>
      </c>
      <c r="AH30" s="242" t="s">
        <v>2252</v>
      </c>
      <c r="AI30" s="243">
        <v>5.3</v>
      </c>
      <c r="AJ30" s="244">
        <v>2500</v>
      </c>
      <c r="AK30" s="244">
        <v>6</v>
      </c>
      <c r="AL30" s="244">
        <v>6</v>
      </c>
      <c r="AM30" s="244">
        <v>10</v>
      </c>
      <c r="AN30" s="245">
        <v>4.25</v>
      </c>
      <c r="AO30" s="245">
        <v>0.91</v>
      </c>
      <c r="AP30" s="232">
        <v>30</v>
      </c>
    </row>
    <row r="31" spans="1:42" x14ac:dyDescent="0.2">
      <c r="A31" s="231">
        <v>31</v>
      </c>
      <c r="B31" s="255" t="s">
        <v>1900</v>
      </c>
      <c r="C31" s="256" t="s">
        <v>1251</v>
      </c>
      <c r="D31" s="264">
        <v>25</v>
      </c>
      <c r="E31" s="265">
        <v>124.5</v>
      </c>
      <c r="F31" s="22" t="s">
        <v>2706</v>
      </c>
      <c r="G31" s="23" t="s">
        <v>2707</v>
      </c>
      <c r="H31" s="24" t="s">
        <v>743</v>
      </c>
      <c r="I31" s="24" t="s">
        <v>743</v>
      </c>
      <c r="J31" s="25" t="s">
        <v>743</v>
      </c>
      <c r="K31" s="26">
        <v>35653</v>
      </c>
      <c r="L31" s="15" t="s">
        <v>890</v>
      </c>
      <c r="M31" s="28">
        <v>357234</v>
      </c>
      <c r="N31" s="29">
        <v>6176523</v>
      </c>
      <c r="O31" s="32" t="s">
        <v>2708</v>
      </c>
      <c r="P31" s="135" t="s">
        <v>2708</v>
      </c>
      <c r="Q31" s="260">
        <v>364</v>
      </c>
      <c r="R31" s="32">
        <v>5</v>
      </c>
      <c r="S31" s="135">
        <v>8</v>
      </c>
      <c r="T31" s="260">
        <f t="shared" si="1"/>
        <v>5</v>
      </c>
      <c r="U31" s="30"/>
      <c r="V31" s="31">
        <v>203</v>
      </c>
      <c r="W31" s="31">
        <f t="shared" si="2"/>
        <v>203</v>
      </c>
      <c r="X31" s="260">
        <v>0</v>
      </c>
      <c r="Y31" s="323">
        <v>1.204</v>
      </c>
      <c r="Z31" s="323">
        <v>100485</v>
      </c>
      <c r="AA31" s="323">
        <v>1151</v>
      </c>
      <c r="AB31" s="151">
        <v>9</v>
      </c>
      <c r="AC31" s="155">
        <v>1990</v>
      </c>
      <c r="AD31" s="254">
        <f t="shared" si="0"/>
        <v>6.6125941136208439</v>
      </c>
      <c r="AE31" s="152">
        <v>7</v>
      </c>
      <c r="AF31" s="252">
        <v>15</v>
      </c>
      <c r="AG31" s="242">
        <v>20</v>
      </c>
      <c r="AH31" s="242" t="s">
        <v>2252</v>
      </c>
      <c r="AI31" s="243">
        <v>5.3</v>
      </c>
      <c r="AJ31" s="244">
        <v>3100</v>
      </c>
      <c r="AK31" s="244">
        <v>16</v>
      </c>
      <c r="AL31" s="244">
        <v>4</v>
      </c>
      <c r="AM31" s="244">
        <v>27</v>
      </c>
      <c r="AN31" s="245">
        <v>3.47</v>
      </c>
      <c r="AO31" s="245">
        <v>0.79</v>
      </c>
      <c r="AP31" s="232">
        <v>31</v>
      </c>
    </row>
    <row r="32" spans="1:42" x14ac:dyDescent="0.2">
      <c r="A32" s="231">
        <v>32</v>
      </c>
      <c r="B32" s="255" t="s">
        <v>1900</v>
      </c>
      <c r="C32" s="256" t="s">
        <v>2470</v>
      </c>
      <c r="D32" s="264">
        <v>9</v>
      </c>
      <c r="E32" s="265">
        <v>94.5</v>
      </c>
      <c r="F32" s="22" t="s">
        <v>2706</v>
      </c>
      <c r="G32" s="23" t="s">
        <v>2707</v>
      </c>
      <c r="H32" s="24" t="s">
        <v>743</v>
      </c>
      <c r="I32" s="24" t="s">
        <v>743</v>
      </c>
      <c r="J32" s="25" t="s">
        <v>743</v>
      </c>
      <c r="K32" s="26">
        <v>35653</v>
      </c>
      <c r="L32" s="15" t="s">
        <v>890</v>
      </c>
      <c r="M32" s="28">
        <v>357063</v>
      </c>
      <c r="N32" s="29">
        <v>6176436</v>
      </c>
      <c r="O32" s="32" t="s">
        <v>2708</v>
      </c>
      <c r="P32" s="135" t="s">
        <v>2708</v>
      </c>
      <c r="Q32" s="260">
        <v>345</v>
      </c>
      <c r="R32" s="32">
        <v>0</v>
      </c>
      <c r="S32" s="135">
        <v>3</v>
      </c>
      <c r="T32" s="260">
        <f t="shared" si="1"/>
        <v>0</v>
      </c>
      <c r="U32" s="30"/>
      <c r="V32" s="31">
        <v>309</v>
      </c>
      <c r="W32" s="31">
        <f t="shared" si="2"/>
        <v>309</v>
      </c>
      <c r="X32" s="260">
        <v>3</v>
      </c>
      <c r="Y32" s="323">
        <v>1.28</v>
      </c>
      <c r="Z32" s="323">
        <v>109749</v>
      </c>
      <c r="AA32" s="323">
        <v>1011</v>
      </c>
      <c r="AB32" s="151" t="s">
        <v>2708</v>
      </c>
      <c r="AC32" s="155">
        <v>1990</v>
      </c>
      <c r="AD32" s="254">
        <f t="shared" si="0"/>
        <v>6.6125941136208439</v>
      </c>
      <c r="AE32" s="152">
        <v>8</v>
      </c>
      <c r="AF32" s="252">
        <v>100</v>
      </c>
      <c r="AG32" s="242">
        <v>0</v>
      </c>
      <c r="AH32" s="242" t="s">
        <v>2252</v>
      </c>
      <c r="AI32" s="243">
        <v>6.3</v>
      </c>
      <c r="AJ32" s="244">
        <v>1120</v>
      </c>
      <c r="AK32" s="244">
        <v>20</v>
      </c>
      <c r="AL32" s="244">
        <v>52</v>
      </c>
      <c r="AM32" s="244">
        <v>36</v>
      </c>
      <c r="AN32" s="245">
        <v>20.79</v>
      </c>
      <c r="AO32" s="245">
        <v>1.87</v>
      </c>
      <c r="AP32" s="232">
        <v>32</v>
      </c>
    </row>
    <row r="33" spans="1:42" x14ac:dyDescent="0.2">
      <c r="A33" s="231">
        <v>33</v>
      </c>
      <c r="B33" s="255" t="s">
        <v>1900</v>
      </c>
      <c r="C33" s="256" t="s">
        <v>1252</v>
      </c>
      <c r="D33" s="264">
        <v>38</v>
      </c>
      <c r="E33" s="265">
        <v>139.5</v>
      </c>
      <c r="F33" s="22" t="s">
        <v>2706</v>
      </c>
      <c r="G33" s="23" t="s">
        <v>2707</v>
      </c>
      <c r="H33" s="24" t="s">
        <v>743</v>
      </c>
      <c r="I33" s="24" t="s">
        <v>743</v>
      </c>
      <c r="J33" s="25" t="s">
        <v>743</v>
      </c>
      <c r="K33" s="26">
        <v>35654</v>
      </c>
      <c r="L33" s="15" t="s">
        <v>890</v>
      </c>
      <c r="M33" s="28">
        <v>357694</v>
      </c>
      <c r="N33" s="29">
        <v>6176143</v>
      </c>
      <c r="O33" s="32" t="s">
        <v>2708</v>
      </c>
      <c r="P33" s="135" t="s">
        <v>2708</v>
      </c>
      <c r="Q33" s="260">
        <v>418</v>
      </c>
      <c r="R33" s="32">
        <v>22</v>
      </c>
      <c r="S33" s="135">
        <v>21</v>
      </c>
      <c r="T33" s="260">
        <f t="shared" si="1"/>
        <v>22</v>
      </c>
      <c r="U33" s="30"/>
      <c r="V33" s="31">
        <v>57</v>
      </c>
      <c r="W33" s="31">
        <f t="shared" si="2"/>
        <v>57</v>
      </c>
      <c r="X33" s="260">
        <v>6</v>
      </c>
      <c r="Y33" s="323">
        <v>0.65</v>
      </c>
      <c r="Z33" s="323">
        <v>121627</v>
      </c>
      <c r="AA33" s="323">
        <v>557</v>
      </c>
      <c r="AB33" s="151" t="s">
        <v>2708</v>
      </c>
      <c r="AC33" s="155">
        <v>1990</v>
      </c>
      <c r="AD33" s="254">
        <f t="shared" si="0"/>
        <v>6.6153319644079147</v>
      </c>
      <c r="AE33" s="152">
        <v>1</v>
      </c>
      <c r="AF33" s="252">
        <v>10</v>
      </c>
      <c r="AG33" s="242">
        <v>20</v>
      </c>
      <c r="AH33" s="242" t="s">
        <v>2252</v>
      </c>
      <c r="AI33" s="243">
        <v>5.5</v>
      </c>
      <c r="AJ33" s="244">
        <v>1200</v>
      </c>
      <c r="AK33" s="244">
        <v>71</v>
      </c>
      <c r="AL33" s="244">
        <v>12</v>
      </c>
      <c r="AM33" s="244">
        <v>101</v>
      </c>
      <c r="AN33" s="245">
        <v>11.79</v>
      </c>
      <c r="AO33" s="245">
        <v>3.19</v>
      </c>
      <c r="AP33" s="232">
        <v>33</v>
      </c>
    </row>
    <row r="34" spans="1:42" x14ac:dyDescent="0.2">
      <c r="A34" s="231">
        <v>34</v>
      </c>
      <c r="B34" s="255" t="s">
        <v>1900</v>
      </c>
      <c r="C34" s="256" t="s">
        <v>2562</v>
      </c>
      <c r="D34" s="264">
        <v>44</v>
      </c>
      <c r="E34" s="265">
        <v>130.5</v>
      </c>
      <c r="F34" s="22" t="s">
        <v>2706</v>
      </c>
      <c r="G34" s="23" t="s">
        <v>2707</v>
      </c>
      <c r="H34" s="24" t="s">
        <v>743</v>
      </c>
      <c r="I34" s="24" t="s">
        <v>743</v>
      </c>
      <c r="J34" s="25" t="s">
        <v>743</v>
      </c>
      <c r="K34" s="26">
        <v>35655</v>
      </c>
      <c r="L34" s="15" t="s">
        <v>890</v>
      </c>
      <c r="M34" s="28">
        <v>357409</v>
      </c>
      <c r="N34" s="29">
        <v>6176060</v>
      </c>
      <c r="O34" s="32" t="s">
        <v>2708</v>
      </c>
      <c r="P34" s="135" t="s">
        <v>2708</v>
      </c>
      <c r="Q34" s="260">
        <v>375</v>
      </c>
      <c r="R34" s="32">
        <v>22</v>
      </c>
      <c r="S34" s="135">
        <v>26</v>
      </c>
      <c r="T34" s="260">
        <f t="shared" si="1"/>
        <v>22</v>
      </c>
      <c r="U34" s="30"/>
      <c r="V34" s="31">
        <v>198</v>
      </c>
      <c r="W34" s="31">
        <f t="shared" si="2"/>
        <v>198</v>
      </c>
      <c r="X34" s="260">
        <v>0</v>
      </c>
      <c r="Y34" s="323">
        <v>0.23100000000000001</v>
      </c>
      <c r="Z34" s="323">
        <v>74376</v>
      </c>
      <c r="AA34" s="323">
        <v>937</v>
      </c>
      <c r="AB34" s="151" t="s">
        <v>2708</v>
      </c>
      <c r="AC34" s="155">
        <v>1990</v>
      </c>
      <c r="AD34" s="254">
        <f t="shared" si="0"/>
        <v>6.6180698151949855</v>
      </c>
      <c r="AE34" s="152">
        <v>1</v>
      </c>
      <c r="AF34" s="252">
        <v>12</v>
      </c>
      <c r="AG34" s="242">
        <v>15</v>
      </c>
      <c r="AH34" s="242" t="s">
        <v>2252</v>
      </c>
      <c r="AI34" s="243">
        <v>5.5</v>
      </c>
      <c r="AJ34" s="244">
        <v>3200</v>
      </c>
      <c r="AK34" s="244">
        <v>29</v>
      </c>
      <c r="AL34" s="244">
        <v>6</v>
      </c>
      <c r="AM34" s="244">
        <v>52</v>
      </c>
      <c r="AN34" s="245">
        <v>8.52</v>
      </c>
      <c r="AO34" s="245">
        <v>1.49</v>
      </c>
      <c r="AP34" s="232">
        <v>34</v>
      </c>
    </row>
    <row r="35" spans="1:42" x14ac:dyDescent="0.2">
      <c r="A35" s="231">
        <v>35</v>
      </c>
      <c r="B35" s="255" t="s">
        <v>1900</v>
      </c>
      <c r="C35" s="256" t="s">
        <v>2617</v>
      </c>
      <c r="D35" s="264">
        <v>21</v>
      </c>
      <c r="E35" s="265">
        <v>94.5</v>
      </c>
      <c r="F35" s="22" t="s">
        <v>2706</v>
      </c>
      <c r="G35" s="23" t="s">
        <v>2707</v>
      </c>
      <c r="H35" s="24" t="s">
        <v>743</v>
      </c>
      <c r="I35" s="24" t="s">
        <v>743</v>
      </c>
      <c r="J35" s="25" t="s">
        <v>743</v>
      </c>
      <c r="K35" s="26">
        <v>35656</v>
      </c>
      <c r="L35" s="15" t="s">
        <v>890</v>
      </c>
      <c r="M35" s="28">
        <v>356622</v>
      </c>
      <c r="N35" s="29">
        <v>6176374</v>
      </c>
      <c r="O35" s="32" t="s">
        <v>2708</v>
      </c>
      <c r="P35" s="135" t="s">
        <v>2708</v>
      </c>
      <c r="Q35" s="260">
        <v>295</v>
      </c>
      <c r="R35" s="32">
        <v>30</v>
      </c>
      <c r="S35" s="135">
        <v>29</v>
      </c>
      <c r="T35" s="260">
        <f t="shared" si="1"/>
        <v>30</v>
      </c>
      <c r="U35" s="30"/>
      <c r="V35" s="31">
        <v>327</v>
      </c>
      <c r="W35" s="31">
        <f t="shared" si="2"/>
        <v>327</v>
      </c>
      <c r="X35" s="260">
        <v>4</v>
      </c>
      <c r="Y35" s="323">
        <v>0.86099999999999999</v>
      </c>
      <c r="Z35" s="323">
        <v>115678</v>
      </c>
      <c r="AA35" s="323">
        <v>285</v>
      </c>
      <c r="AB35" s="151">
        <v>9</v>
      </c>
      <c r="AC35" s="155">
        <v>1990</v>
      </c>
      <c r="AD35" s="254">
        <f t="shared" si="0"/>
        <v>6.6208076659822837</v>
      </c>
      <c r="AE35" s="152">
        <v>1</v>
      </c>
      <c r="AF35" s="252">
        <v>100</v>
      </c>
      <c r="AG35" s="242">
        <v>25</v>
      </c>
      <c r="AH35" s="242" t="s">
        <v>2252</v>
      </c>
      <c r="AI35" s="243">
        <v>5.9</v>
      </c>
      <c r="AJ35" s="244">
        <v>1590</v>
      </c>
      <c r="AK35" s="244">
        <v>46</v>
      </c>
      <c r="AL35" s="244">
        <v>8</v>
      </c>
      <c r="AM35" s="244">
        <v>69</v>
      </c>
      <c r="AN35" s="245">
        <v>9.48</v>
      </c>
      <c r="AO35" s="245">
        <v>1.56</v>
      </c>
      <c r="AP35" s="232">
        <v>35</v>
      </c>
    </row>
    <row r="36" spans="1:42" x14ac:dyDescent="0.2">
      <c r="A36" s="231">
        <v>36</v>
      </c>
      <c r="B36" s="255" t="s">
        <v>1900</v>
      </c>
      <c r="C36" s="256" t="s">
        <v>2618</v>
      </c>
      <c r="D36" s="264">
        <v>33</v>
      </c>
      <c r="E36" s="265">
        <v>122</v>
      </c>
      <c r="F36" s="22" t="s">
        <v>2706</v>
      </c>
      <c r="G36" s="23" t="s">
        <v>2707</v>
      </c>
      <c r="H36" s="24" t="s">
        <v>743</v>
      </c>
      <c r="I36" s="24" t="s">
        <v>743</v>
      </c>
      <c r="J36" s="25" t="s">
        <v>743</v>
      </c>
      <c r="K36" s="26">
        <v>35657</v>
      </c>
      <c r="L36" s="15" t="s">
        <v>890</v>
      </c>
      <c r="M36" s="28">
        <v>355872</v>
      </c>
      <c r="N36" s="29">
        <v>6176770</v>
      </c>
      <c r="O36" s="32" t="s">
        <v>2708</v>
      </c>
      <c r="P36" s="135" t="s">
        <v>2708</v>
      </c>
      <c r="Q36" s="260">
        <v>318</v>
      </c>
      <c r="R36" s="32">
        <v>20</v>
      </c>
      <c r="S36" s="135">
        <v>13</v>
      </c>
      <c r="T36" s="260">
        <f t="shared" si="1"/>
        <v>20</v>
      </c>
      <c r="U36" s="30"/>
      <c r="V36" s="31">
        <v>166</v>
      </c>
      <c r="W36" s="31">
        <f t="shared" si="2"/>
        <v>166</v>
      </c>
      <c r="X36" s="260">
        <v>0</v>
      </c>
      <c r="Y36" s="323">
        <v>0.61199999999999999</v>
      </c>
      <c r="Z36" s="323">
        <v>90981</v>
      </c>
      <c r="AA36" s="323">
        <v>1292</v>
      </c>
      <c r="AB36" s="151">
        <v>10</v>
      </c>
      <c r="AC36" s="155">
        <v>1988</v>
      </c>
      <c r="AD36" s="254">
        <f t="shared" si="0"/>
        <v>8.6235455167693544</v>
      </c>
      <c r="AE36" s="152">
        <v>1</v>
      </c>
      <c r="AF36" s="252">
        <v>100</v>
      </c>
      <c r="AG36" s="242">
        <v>0</v>
      </c>
      <c r="AH36" s="242" t="s">
        <v>2252</v>
      </c>
      <c r="AI36" s="243">
        <v>7.8</v>
      </c>
      <c r="AJ36" s="244">
        <v>1660</v>
      </c>
      <c r="AK36" s="244">
        <v>87</v>
      </c>
      <c r="AL36" s="244">
        <v>122</v>
      </c>
      <c r="AM36" s="244">
        <v>38</v>
      </c>
      <c r="AN36" s="245">
        <v>66</v>
      </c>
      <c r="AO36" s="245">
        <v>1.1399999999999999</v>
      </c>
      <c r="AP36" s="232">
        <v>36</v>
      </c>
    </row>
    <row r="37" spans="1:42" x14ac:dyDescent="0.2">
      <c r="A37" s="231">
        <v>37</v>
      </c>
      <c r="B37" s="255" t="s">
        <v>1900</v>
      </c>
      <c r="C37" s="256" t="s">
        <v>1251</v>
      </c>
      <c r="D37" s="264">
        <v>40</v>
      </c>
      <c r="E37" s="265">
        <v>170</v>
      </c>
      <c r="F37" s="22" t="s">
        <v>2706</v>
      </c>
      <c r="G37" s="23" t="s">
        <v>2707</v>
      </c>
      <c r="H37" s="24" t="s">
        <v>743</v>
      </c>
      <c r="I37" s="24" t="s">
        <v>743</v>
      </c>
      <c r="J37" s="25" t="s">
        <v>743</v>
      </c>
      <c r="K37" s="26">
        <v>35657</v>
      </c>
      <c r="L37" s="15" t="s">
        <v>890</v>
      </c>
      <c r="M37" s="28">
        <v>357598</v>
      </c>
      <c r="N37" s="29">
        <v>6177427</v>
      </c>
      <c r="O37" s="32" t="s">
        <v>2708</v>
      </c>
      <c r="P37" s="135" t="s">
        <v>2708</v>
      </c>
      <c r="Q37" s="260">
        <v>416</v>
      </c>
      <c r="R37" s="32">
        <v>12</v>
      </c>
      <c r="S37" s="135">
        <v>18</v>
      </c>
      <c r="T37" s="260">
        <f t="shared" si="1"/>
        <v>12</v>
      </c>
      <c r="U37" s="30"/>
      <c r="V37" s="31">
        <v>353</v>
      </c>
      <c r="W37" s="31">
        <f t="shared" si="2"/>
        <v>353</v>
      </c>
      <c r="X37" s="260">
        <v>6</v>
      </c>
      <c r="Y37" s="323">
        <v>0.98299999999999998</v>
      </c>
      <c r="Z37" s="323">
        <v>121595</v>
      </c>
      <c r="AA37" s="323">
        <v>787</v>
      </c>
      <c r="AB37" s="151" t="s">
        <v>2708</v>
      </c>
      <c r="AC37" s="155">
        <v>1992</v>
      </c>
      <c r="AD37" s="254">
        <f t="shared" si="0"/>
        <v>4.6235455167693544</v>
      </c>
      <c r="AE37" s="152">
        <v>1</v>
      </c>
      <c r="AF37" s="252">
        <v>100</v>
      </c>
      <c r="AG37" s="242">
        <v>5</v>
      </c>
      <c r="AH37" s="242" t="s">
        <v>2252</v>
      </c>
      <c r="AI37" s="243">
        <v>6</v>
      </c>
      <c r="AJ37" s="244">
        <v>1350</v>
      </c>
      <c r="AK37" s="244">
        <v>20</v>
      </c>
      <c r="AL37" s="244">
        <v>5</v>
      </c>
      <c r="AM37" s="244">
        <v>23</v>
      </c>
      <c r="AN37" s="245">
        <v>8.7100000000000009</v>
      </c>
      <c r="AO37" s="245">
        <v>1.19</v>
      </c>
      <c r="AP37" s="232">
        <v>37</v>
      </c>
    </row>
    <row r="38" spans="1:42" x14ac:dyDescent="0.2">
      <c r="A38" s="231">
        <v>38</v>
      </c>
      <c r="B38" s="255" t="s">
        <v>1900</v>
      </c>
      <c r="C38" s="256" t="s">
        <v>2618</v>
      </c>
      <c r="D38" s="264">
        <v>17</v>
      </c>
      <c r="E38" s="265">
        <v>103.5</v>
      </c>
      <c r="F38" s="22" t="s">
        <v>2706</v>
      </c>
      <c r="G38" s="23" t="s">
        <v>2707</v>
      </c>
      <c r="H38" s="24" t="s">
        <v>743</v>
      </c>
      <c r="I38" s="24" t="s">
        <v>743</v>
      </c>
      <c r="J38" s="25" t="s">
        <v>743</v>
      </c>
      <c r="K38" s="26">
        <v>35660</v>
      </c>
      <c r="L38" s="15" t="s">
        <v>890</v>
      </c>
      <c r="M38" s="28">
        <v>357196</v>
      </c>
      <c r="N38" s="29">
        <v>6177784</v>
      </c>
      <c r="O38" s="32" t="s">
        <v>2708</v>
      </c>
      <c r="P38" s="135" t="s">
        <v>2708</v>
      </c>
      <c r="Q38" s="260">
        <v>358</v>
      </c>
      <c r="R38" s="32">
        <v>5</v>
      </c>
      <c r="S38" s="135">
        <v>12</v>
      </c>
      <c r="T38" s="260">
        <f t="shared" si="1"/>
        <v>5</v>
      </c>
      <c r="U38" s="30"/>
      <c r="V38" s="31">
        <v>348</v>
      </c>
      <c r="W38" s="31">
        <f t="shared" si="2"/>
        <v>348</v>
      </c>
      <c r="X38" s="260">
        <v>6</v>
      </c>
      <c r="Y38" s="323">
        <v>0.48799999999999999</v>
      </c>
      <c r="Z38" s="323">
        <v>118142</v>
      </c>
      <c r="AA38" s="323">
        <v>968</v>
      </c>
      <c r="AB38" s="151" t="s">
        <v>2708</v>
      </c>
      <c r="AC38" s="155">
        <v>1992</v>
      </c>
      <c r="AD38" s="254">
        <f t="shared" si="0"/>
        <v>4.6317590691307942</v>
      </c>
      <c r="AE38" s="152">
        <v>1</v>
      </c>
      <c r="AF38" s="252">
        <v>0</v>
      </c>
      <c r="AG38" s="242">
        <v>10</v>
      </c>
      <c r="AH38" s="242" t="s">
        <v>2252</v>
      </c>
      <c r="AI38" s="243">
        <v>5.0999999999999996</v>
      </c>
      <c r="AJ38" s="244">
        <v>1520</v>
      </c>
      <c r="AK38" s="244">
        <v>60</v>
      </c>
      <c r="AL38" s="244">
        <v>7</v>
      </c>
      <c r="AM38" s="244">
        <v>37</v>
      </c>
      <c r="AN38" s="245">
        <v>5.79</v>
      </c>
      <c r="AO38" s="245">
        <v>0.8</v>
      </c>
      <c r="AP38" s="232">
        <v>38</v>
      </c>
    </row>
    <row r="39" spans="1:42" x14ac:dyDescent="0.2">
      <c r="A39" s="231">
        <v>39</v>
      </c>
      <c r="B39" s="255" t="s">
        <v>1900</v>
      </c>
      <c r="C39" s="256" t="s">
        <v>2620</v>
      </c>
      <c r="D39" s="264">
        <v>19</v>
      </c>
      <c r="E39" s="265">
        <v>100.5</v>
      </c>
      <c r="F39" s="22" t="s">
        <v>2706</v>
      </c>
      <c r="G39" s="23" t="s">
        <v>2707</v>
      </c>
      <c r="H39" s="24" t="s">
        <v>743</v>
      </c>
      <c r="I39" s="24" t="s">
        <v>743</v>
      </c>
      <c r="J39" s="25" t="s">
        <v>743</v>
      </c>
      <c r="K39" s="26">
        <v>35661</v>
      </c>
      <c r="L39" s="15" t="s">
        <v>890</v>
      </c>
      <c r="M39" s="28">
        <v>357309</v>
      </c>
      <c r="N39" s="29">
        <v>6177911</v>
      </c>
      <c r="O39" s="32" t="s">
        <v>2708</v>
      </c>
      <c r="P39" s="135" t="s">
        <v>2708</v>
      </c>
      <c r="Q39" s="260">
        <v>319</v>
      </c>
      <c r="R39" s="32">
        <v>2</v>
      </c>
      <c r="S39" s="135">
        <v>8</v>
      </c>
      <c r="T39" s="260">
        <f t="shared" si="1"/>
        <v>2</v>
      </c>
      <c r="U39" s="30"/>
      <c r="V39" s="31">
        <v>14</v>
      </c>
      <c r="W39" s="31">
        <f t="shared" si="2"/>
        <v>14</v>
      </c>
      <c r="X39" s="260">
        <v>6</v>
      </c>
      <c r="Y39" s="323">
        <v>0.54</v>
      </c>
      <c r="Z39" s="323">
        <v>114243</v>
      </c>
      <c r="AA39" s="323">
        <v>905</v>
      </c>
      <c r="AB39" s="151" t="s">
        <v>2708</v>
      </c>
      <c r="AC39" s="155">
        <v>1992</v>
      </c>
      <c r="AD39" s="254">
        <f t="shared" si="0"/>
        <v>4.6344969199178649</v>
      </c>
      <c r="AE39" s="152">
        <v>3</v>
      </c>
      <c r="AF39" s="252">
        <v>100</v>
      </c>
      <c r="AG39" s="242">
        <v>0</v>
      </c>
      <c r="AH39" s="242" t="s">
        <v>2252</v>
      </c>
      <c r="AI39" s="243">
        <v>6.1</v>
      </c>
      <c r="AJ39" s="244">
        <v>4350</v>
      </c>
      <c r="AK39" s="244">
        <v>10</v>
      </c>
      <c r="AL39" s="244">
        <v>48</v>
      </c>
      <c r="AM39" s="244">
        <v>32</v>
      </c>
      <c r="AN39" s="245">
        <v>5.64</v>
      </c>
      <c r="AO39" s="245">
        <v>0.65</v>
      </c>
      <c r="AP39" s="232">
        <v>39</v>
      </c>
    </row>
    <row r="40" spans="1:42" x14ac:dyDescent="0.2">
      <c r="A40" s="231">
        <v>40</v>
      </c>
      <c r="B40" s="255" t="s">
        <v>1900</v>
      </c>
      <c r="C40" s="256" t="s">
        <v>2617</v>
      </c>
      <c r="D40" s="264">
        <v>22</v>
      </c>
      <c r="E40" s="265">
        <v>94</v>
      </c>
      <c r="F40" s="22" t="s">
        <v>2706</v>
      </c>
      <c r="G40" s="23" t="s">
        <v>2707</v>
      </c>
      <c r="H40" s="24" t="s">
        <v>743</v>
      </c>
      <c r="I40" s="24" t="s">
        <v>743</v>
      </c>
      <c r="J40" s="25" t="s">
        <v>743</v>
      </c>
      <c r="K40" s="26">
        <v>35662</v>
      </c>
      <c r="L40" s="15" t="s">
        <v>890</v>
      </c>
      <c r="M40" s="28">
        <v>357798</v>
      </c>
      <c r="N40" s="29">
        <v>6177610</v>
      </c>
      <c r="O40" s="32" t="s">
        <v>2708</v>
      </c>
      <c r="P40" s="135" t="s">
        <v>2708</v>
      </c>
      <c r="Q40" s="260">
        <v>348</v>
      </c>
      <c r="R40" s="32">
        <v>2</v>
      </c>
      <c r="S40" s="135">
        <v>8</v>
      </c>
      <c r="T40" s="260">
        <f t="shared" si="1"/>
        <v>2</v>
      </c>
      <c r="U40" s="30"/>
      <c r="V40" s="31">
        <v>33</v>
      </c>
      <c r="W40" s="31">
        <f t="shared" si="2"/>
        <v>33</v>
      </c>
      <c r="X40" s="260">
        <v>6</v>
      </c>
      <c r="Y40" s="323">
        <v>0.76100000000000001</v>
      </c>
      <c r="Z40" s="323">
        <v>112760</v>
      </c>
      <c r="AA40" s="323">
        <v>1012</v>
      </c>
      <c r="AB40" s="151" t="s">
        <v>2708</v>
      </c>
      <c r="AC40" s="155">
        <v>1996</v>
      </c>
      <c r="AD40" s="254">
        <f t="shared" si="0"/>
        <v>0.63723477070493573</v>
      </c>
      <c r="AE40" s="152">
        <v>3</v>
      </c>
      <c r="AF40" s="252">
        <v>100</v>
      </c>
      <c r="AG40" s="242">
        <v>0</v>
      </c>
      <c r="AH40" s="242" t="s">
        <v>2252</v>
      </c>
      <c r="AI40" s="243">
        <v>5.9</v>
      </c>
      <c r="AJ40" s="244">
        <v>3430</v>
      </c>
      <c r="AK40" s="244">
        <v>11</v>
      </c>
      <c r="AL40" s="244">
        <v>9</v>
      </c>
      <c r="AM40" s="244">
        <v>21</v>
      </c>
      <c r="AN40" s="245">
        <v>4.07</v>
      </c>
      <c r="AO40" s="245">
        <v>0.71</v>
      </c>
      <c r="AP40" s="232">
        <v>40</v>
      </c>
    </row>
    <row r="41" spans="1:42" x14ac:dyDescent="0.2">
      <c r="A41" s="231">
        <v>41</v>
      </c>
      <c r="B41" s="255" t="s">
        <v>1900</v>
      </c>
      <c r="C41" s="256" t="s">
        <v>2617</v>
      </c>
      <c r="D41" s="264">
        <v>24</v>
      </c>
      <c r="E41" s="265">
        <v>102.5</v>
      </c>
      <c r="F41" s="22" t="s">
        <v>2706</v>
      </c>
      <c r="G41" s="23" t="s">
        <v>2707</v>
      </c>
      <c r="H41" s="24" t="s">
        <v>743</v>
      </c>
      <c r="I41" s="24" t="s">
        <v>743</v>
      </c>
      <c r="J41" s="25" t="s">
        <v>743</v>
      </c>
      <c r="K41" s="26">
        <v>35662</v>
      </c>
      <c r="L41" s="15" t="s">
        <v>890</v>
      </c>
      <c r="M41" s="28">
        <v>358341</v>
      </c>
      <c r="N41" s="29">
        <v>6177517</v>
      </c>
      <c r="O41" s="32" t="s">
        <v>2708</v>
      </c>
      <c r="P41" s="135" t="s">
        <v>2708</v>
      </c>
      <c r="Q41" s="260">
        <v>368</v>
      </c>
      <c r="R41" s="32">
        <v>2</v>
      </c>
      <c r="S41" s="135">
        <v>12</v>
      </c>
      <c r="T41" s="260">
        <f t="shared" si="1"/>
        <v>2</v>
      </c>
      <c r="U41" s="30"/>
      <c r="V41" s="31">
        <v>312</v>
      </c>
      <c r="W41" s="31">
        <f t="shared" si="2"/>
        <v>312</v>
      </c>
      <c r="X41" s="260">
        <v>4</v>
      </c>
      <c r="Y41" s="323">
        <v>1.1140000000000001</v>
      </c>
      <c r="Z41" s="323">
        <v>113012</v>
      </c>
      <c r="AA41" s="323">
        <v>627</v>
      </c>
      <c r="AB41" s="151" t="s">
        <v>2708</v>
      </c>
      <c r="AC41" s="155">
        <v>1996</v>
      </c>
      <c r="AD41" s="254">
        <f t="shared" si="0"/>
        <v>0.63723477070493573</v>
      </c>
      <c r="AE41" s="152">
        <v>1</v>
      </c>
      <c r="AF41" s="252">
        <v>100</v>
      </c>
      <c r="AG41" s="242">
        <v>0</v>
      </c>
      <c r="AH41" s="242" t="s">
        <v>2252</v>
      </c>
      <c r="AI41" s="243">
        <v>5.9</v>
      </c>
      <c r="AJ41" s="244">
        <v>2620</v>
      </c>
      <c r="AK41" s="244">
        <v>12</v>
      </c>
      <c r="AL41" s="244">
        <v>12</v>
      </c>
      <c r="AM41" s="244">
        <v>30</v>
      </c>
      <c r="AN41" s="245">
        <v>7.95</v>
      </c>
      <c r="AO41" s="245">
        <v>0.86</v>
      </c>
      <c r="AP41" s="232">
        <v>41</v>
      </c>
    </row>
    <row r="42" spans="1:42" x14ac:dyDescent="0.2">
      <c r="A42" s="231">
        <v>42</v>
      </c>
      <c r="B42" s="255" t="s">
        <v>1900</v>
      </c>
      <c r="C42" s="256" t="s">
        <v>2562</v>
      </c>
      <c r="D42" s="264">
        <v>46</v>
      </c>
      <c r="E42" s="265">
        <v>98.5</v>
      </c>
      <c r="F42" s="22" t="s">
        <v>2706</v>
      </c>
      <c r="G42" s="23" t="s">
        <v>2707</v>
      </c>
      <c r="H42" s="24" t="s">
        <v>743</v>
      </c>
      <c r="I42" s="24" t="s">
        <v>743</v>
      </c>
      <c r="J42" s="25" t="s">
        <v>743</v>
      </c>
      <c r="K42" s="26">
        <v>35674</v>
      </c>
      <c r="L42" s="15" t="s">
        <v>890</v>
      </c>
      <c r="M42" s="28">
        <v>358662</v>
      </c>
      <c r="N42" s="29">
        <v>6177808</v>
      </c>
      <c r="O42" s="32" t="s">
        <v>2708</v>
      </c>
      <c r="P42" s="135" t="s">
        <v>2708</v>
      </c>
      <c r="Q42" s="260">
        <v>381</v>
      </c>
      <c r="R42" s="32">
        <v>10</v>
      </c>
      <c r="S42" s="135">
        <v>18</v>
      </c>
      <c r="T42" s="260">
        <f t="shared" si="1"/>
        <v>10</v>
      </c>
      <c r="U42" s="30"/>
      <c r="V42" s="31">
        <v>329</v>
      </c>
      <c r="W42" s="31">
        <f t="shared" si="2"/>
        <v>329</v>
      </c>
      <c r="X42" s="260">
        <v>6</v>
      </c>
      <c r="Y42" s="323">
        <v>0.38200000000000001</v>
      </c>
      <c r="Z42" s="323">
        <v>118416</v>
      </c>
      <c r="AA42" s="323">
        <v>642</v>
      </c>
      <c r="AB42" s="151" t="s">
        <v>2708</v>
      </c>
      <c r="AC42" s="155">
        <v>1996</v>
      </c>
      <c r="AD42" s="254">
        <f t="shared" si="0"/>
        <v>0.67008898015046725</v>
      </c>
      <c r="AE42" s="152">
        <v>1</v>
      </c>
      <c r="AF42" s="252">
        <v>5</v>
      </c>
      <c r="AG42" s="242">
        <v>20</v>
      </c>
      <c r="AH42" s="242" t="s">
        <v>2252</v>
      </c>
      <c r="AI42" s="243">
        <v>5.2</v>
      </c>
      <c r="AJ42" s="244">
        <v>2440</v>
      </c>
      <c r="AK42" s="244">
        <v>56</v>
      </c>
      <c r="AL42" s="244">
        <v>10</v>
      </c>
      <c r="AM42" s="244">
        <v>77</v>
      </c>
      <c r="AN42" s="245">
        <v>11.14</v>
      </c>
      <c r="AO42" s="245">
        <v>2.54</v>
      </c>
      <c r="AP42" s="232">
        <v>42</v>
      </c>
    </row>
    <row r="43" spans="1:42" x14ac:dyDescent="0.2">
      <c r="A43" s="231">
        <v>43</v>
      </c>
      <c r="B43" s="255" t="s">
        <v>1900</v>
      </c>
      <c r="C43" s="256" t="s">
        <v>2562</v>
      </c>
      <c r="D43" s="264">
        <v>42</v>
      </c>
      <c r="E43" s="265">
        <v>92.5</v>
      </c>
      <c r="F43" s="22" t="s">
        <v>2706</v>
      </c>
      <c r="G43" s="23" t="s">
        <v>2707</v>
      </c>
      <c r="H43" s="24" t="s">
        <v>743</v>
      </c>
      <c r="I43" s="24" t="s">
        <v>743</v>
      </c>
      <c r="J43" s="25" t="s">
        <v>743</v>
      </c>
      <c r="K43" s="26">
        <v>35667</v>
      </c>
      <c r="L43" s="15" t="s">
        <v>890</v>
      </c>
      <c r="M43" s="28">
        <v>358534</v>
      </c>
      <c r="N43" s="29">
        <v>6177565</v>
      </c>
      <c r="O43" s="32" t="s">
        <v>2708</v>
      </c>
      <c r="P43" s="135" t="s">
        <v>2708</v>
      </c>
      <c r="Q43" s="260">
        <v>397</v>
      </c>
      <c r="R43" s="32">
        <v>15</v>
      </c>
      <c r="S43" s="135">
        <v>16</v>
      </c>
      <c r="T43" s="260">
        <f t="shared" si="1"/>
        <v>15</v>
      </c>
      <c r="U43" s="30"/>
      <c r="V43" s="31">
        <v>335</v>
      </c>
      <c r="W43" s="31">
        <f t="shared" si="2"/>
        <v>335</v>
      </c>
      <c r="X43" s="260">
        <v>4</v>
      </c>
      <c r="Y43" s="323">
        <v>9.5000000000000001E-2</v>
      </c>
      <c r="Z43" s="323">
        <v>118654</v>
      </c>
      <c r="AA43" s="323">
        <v>818</v>
      </c>
      <c r="AB43" s="151" t="s">
        <v>2708</v>
      </c>
      <c r="AC43" s="155">
        <v>1992</v>
      </c>
      <c r="AD43" s="254">
        <f t="shared" si="0"/>
        <v>4.6509240246407444</v>
      </c>
      <c r="AE43" s="152">
        <v>1</v>
      </c>
      <c r="AF43" s="252">
        <v>12</v>
      </c>
      <c r="AG43" s="242">
        <v>20</v>
      </c>
      <c r="AH43" s="242" t="s">
        <v>2252</v>
      </c>
      <c r="AI43" s="243">
        <v>5.6</v>
      </c>
      <c r="AJ43" s="244">
        <v>1670</v>
      </c>
      <c r="AK43" s="244">
        <v>23</v>
      </c>
      <c r="AL43" s="244">
        <v>9</v>
      </c>
      <c r="AM43" s="244">
        <v>54</v>
      </c>
      <c r="AN43" s="245">
        <v>11.68</v>
      </c>
      <c r="AO43" s="245">
        <v>1.75</v>
      </c>
      <c r="AP43" s="232">
        <v>43</v>
      </c>
    </row>
    <row r="44" spans="1:42" x14ac:dyDescent="0.2">
      <c r="A44" s="231">
        <v>44</v>
      </c>
      <c r="B44" s="255" t="s">
        <v>1900</v>
      </c>
      <c r="C44" s="256" t="s">
        <v>1251</v>
      </c>
      <c r="D44" s="264">
        <v>48</v>
      </c>
      <c r="E44" s="265">
        <v>130</v>
      </c>
      <c r="F44" s="22" t="s">
        <v>2706</v>
      </c>
      <c r="G44" s="23" t="s">
        <v>2707</v>
      </c>
      <c r="H44" s="24" t="s">
        <v>743</v>
      </c>
      <c r="I44" s="24" t="s">
        <v>743</v>
      </c>
      <c r="J44" s="25" t="s">
        <v>743</v>
      </c>
      <c r="K44" s="26">
        <v>35676</v>
      </c>
      <c r="L44" s="15" t="s">
        <v>890</v>
      </c>
      <c r="M44" s="28">
        <v>358862</v>
      </c>
      <c r="N44" s="29">
        <v>6178200</v>
      </c>
      <c r="O44" s="32" t="s">
        <v>2708</v>
      </c>
      <c r="P44" s="135" t="s">
        <v>2708</v>
      </c>
      <c r="Q44" s="260">
        <v>347</v>
      </c>
      <c r="R44" s="32">
        <v>2</v>
      </c>
      <c r="S44" s="135">
        <v>7</v>
      </c>
      <c r="T44" s="260">
        <f t="shared" si="1"/>
        <v>2</v>
      </c>
      <c r="U44" s="30"/>
      <c r="V44" s="31">
        <v>320</v>
      </c>
      <c r="W44" s="31">
        <f t="shared" si="2"/>
        <v>320</v>
      </c>
      <c r="X44" s="260">
        <v>6</v>
      </c>
      <c r="Y44" s="323">
        <v>0.125</v>
      </c>
      <c r="Z44" s="323">
        <v>113227</v>
      </c>
      <c r="AA44" s="323">
        <v>885</v>
      </c>
      <c r="AB44" s="151" t="s">
        <v>2708</v>
      </c>
      <c r="AC44" s="155">
        <v>1996</v>
      </c>
      <c r="AD44" s="254">
        <f t="shared" si="0"/>
        <v>0.67556468172483619</v>
      </c>
      <c r="AE44" s="152">
        <v>1</v>
      </c>
      <c r="AF44" s="252">
        <v>5</v>
      </c>
      <c r="AG44" s="242">
        <v>15</v>
      </c>
      <c r="AH44" s="242" t="s">
        <v>2252</v>
      </c>
      <c r="AI44" s="243">
        <v>5.6</v>
      </c>
      <c r="AJ44" s="244">
        <v>2000</v>
      </c>
      <c r="AK44" s="244">
        <v>22</v>
      </c>
      <c r="AL44" s="244">
        <v>7</v>
      </c>
      <c r="AM44" s="244">
        <v>37</v>
      </c>
      <c r="AN44" s="245">
        <v>7.61</v>
      </c>
      <c r="AO44" s="245">
        <v>1.39</v>
      </c>
      <c r="AP44" s="232">
        <v>44</v>
      </c>
    </row>
    <row r="45" spans="1:42" x14ac:dyDescent="0.2">
      <c r="A45" s="231">
        <v>45</v>
      </c>
      <c r="B45" s="255" t="s">
        <v>1900</v>
      </c>
      <c r="C45" s="256" t="s">
        <v>1253</v>
      </c>
      <c r="D45" s="264">
        <v>13</v>
      </c>
      <c r="E45" s="265">
        <v>112.5</v>
      </c>
      <c r="F45" s="22" t="s">
        <v>2706</v>
      </c>
      <c r="G45" s="23" t="s">
        <v>2707</v>
      </c>
      <c r="H45" s="24" t="s">
        <v>743</v>
      </c>
      <c r="I45" s="24" t="s">
        <v>743</v>
      </c>
      <c r="J45" s="25" t="s">
        <v>743</v>
      </c>
      <c r="K45" s="26">
        <v>35677</v>
      </c>
      <c r="L45" s="15" t="s">
        <v>890</v>
      </c>
      <c r="M45" s="28">
        <v>359057</v>
      </c>
      <c r="N45" s="29">
        <v>6178447</v>
      </c>
      <c r="O45" s="32" t="s">
        <v>2708</v>
      </c>
      <c r="P45" s="135" t="s">
        <v>2708</v>
      </c>
      <c r="Q45" s="260">
        <v>306</v>
      </c>
      <c r="R45" s="32">
        <v>5</v>
      </c>
      <c r="S45" s="135">
        <v>11</v>
      </c>
      <c r="T45" s="260">
        <f t="shared" si="1"/>
        <v>5</v>
      </c>
      <c r="U45" s="30"/>
      <c r="V45" s="31">
        <v>6</v>
      </c>
      <c r="W45" s="31">
        <f t="shared" si="2"/>
        <v>6</v>
      </c>
      <c r="X45" s="260">
        <v>6</v>
      </c>
      <c r="Y45" s="323">
        <v>0.71599999999999997</v>
      </c>
      <c r="Z45" s="323">
        <v>114994</v>
      </c>
      <c r="AA45" s="323">
        <v>629</v>
      </c>
      <c r="AB45" s="151" t="s">
        <v>2708</v>
      </c>
      <c r="AC45" s="155">
        <v>0</v>
      </c>
      <c r="AD45" s="254">
        <f t="shared" si="0"/>
        <v>1000</v>
      </c>
      <c r="AE45" s="152">
        <v>4</v>
      </c>
      <c r="AF45" s="252">
        <v>25</v>
      </c>
      <c r="AG45" s="242">
        <v>10</v>
      </c>
      <c r="AH45" s="242" t="s">
        <v>2252</v>
      </c>
      <c r="AI45" s="243">
        <v>7.4</v>
      </c>
      <c r="AJ45" s="244">
        <v>890</v>
      </c>
      <c r="AK45" s="244">
        <v>88</v>
      </c>
      <c r="AL45" s="244">
        <v>230</v>
      </c>
      <c r="AM45" s="244">
        <v>140</v>
      </c>
      <c r="AN45" s="245">
        <v>68.3</v>
      </c>
      <c r="AO45" s="245">
        <v>3.36</v>
      </c>
      <c r="AP45" s="232">
        <v>45</v>
      </c>
    </row>
    <row r="46" spans="1:42" x14ac:dyDescent="0.2">
      <c r="A46" s="231">
        <v>46</v>
      </c>
      <c r="B46" s="255" t="s">
        <v>1900</v>
      </c>
      <c r="C46" s="256" t="s">
        <v>2671</v>
      </c>
      <c r="D46" s="264">
        <v>23</v>
      </c>
      <c r="E46" s="265">
        <v>92.5</v>
      </c>
      <c r="F46" s="22" t="s">
        <v>2706</v>
      </c>
      <c r="G46" s="23" t="s">
        <v>2707</v>
      </c>
      <c r="H46" s="24" t="s">
        <v>743</v>
      </c>
      <c r="I46" s="24" t="s">
        <v>743</v>
      </c>
      <c r="J46" s="25" t="s">
        <v>743</v>
      </c>
      <c r="K46" s="26">
        <v>35677</v>
      </c>
      <c r="L46" s="15" t="s">
        <v>890</v>
      </c>
      <c r="M46" s="28">
        <v>355708</v>
      </c>
      <c r="N46" s="29">
        <v>6176283</v>
      </c>
      <c r="O46" s="32" t="s">
        <v>2708</v>
      </c>
      <c r="P46" s="135" t="s">
        <v>2708</v>
      </c>
      <c r="Q46" s="260">
        <v>300</v>
      </c>
      <c r="R46" s="32">
        <v>7</v>
      </c>
      <c r="S46" s="135">
        <v>13</v>
      </c>
      <c r="T46" s="260">
        <f t="shared" si="1"/>
        <v>7</v>
      </c>
      <c r="U46" s="30"/>
      <c r="V46" s="31">
        <v>342</v>
      </c>
      <c r="W46" s="31">
        <f t="shared" si="2"/>
        <v>342</v>
      </c>
      <c r="X46" s="260">
        <v>4</v>
      </c>
      <c r="Y46" s="323">
        <v>0.224</v>
      </c>
      <c r="Z46" s="323">
        <v>117074</v>
      </c>
      <c r="AA46" s="323">
        <v>749</v>
      </c>
      <c r="AB46" s="151" t="s">
        <v>2708</v>
      </c>
      <c r="AC46" s="155">
        <v>1990</v>
      </c>
      <c r="AD46" s="254">
        <f t="shared" si="0"/>
        <v>6.678302532511907</v>
      </c>
      <c r="AE46" s="152">
        <v>4</v>
      </c>
      <c r="AF46" s="252">
        <v>10</v>
      </c>
      <c r="AG46" s="242">
        <v>20</v>
      </c>
      <c r="AH46" s="242" t="s">
        <v>2252</v>
      </c>
      <c r="AI46" s="243">
        <v>8</v>
      </c>
      <c r="AJ46" s="244">
        <v>2180</v>
      </c>
      <c r="AK46" s="244">
        <v>78</v>
      </c>
      <c r="AL46" s="244">
        <v>24</v>
      </c>
      <c r="AM46" s="244">
        <v>25</v>
      </c>
      <c r="AN46" s="245">
        <v>58.75</v>
      </c>
      <c r="AO46" s="245">
        <v>1.34</v>
      </c>
      <c r="AP46" s="232">
        <v>46</v>
      </c>
    </row>
    <row r="47" spans="1:42" x14ac:dyDescent="0.2">
      <c r="A47" s="231">
        <v>47</v>
      </c>
      <c r="B47" s="255" t="s">
        <v>1900</v>
      </c>
      <c r="C47" s="256" t="s">
        <v>2617</v>
      </c>
      <c r="D47" s="264">
        <v>16</v>
      </c>
      <c r="E47" s="265">
        <v>103</v>
      </c>
      <c r="F47" s="22" t="s">
        <v>2706</v>
      </c>
      <c r="G47" s="23" t="s">
        <v>2707</v>
      </c>
      <c r="H47" s="24" t="s">
        <v>743</v>
      </c>
      <c r="I47" s="24" t="s">
        <v>743</v>
      </c>
      <c r="J47" s="25" t="s">
        <v>743</v>
      </c>
      <c r="K47" s="26">
        <v>35678</v>
      </c>
      <c r="L47" s="15" t="s">
        <v>890</v>
      </c>
      <c r="M47" s="28">
        <v>357165</v>
      </c>
      <c r="N47" s="29">
        <v>6178330</v>
      </c>
      <c r="O47" s="32" t="s">
        <v>2708</v>
      </c>
      <c r="P47" s="135" t="s">
        <v>2708</v>
      </c>
      <c r="Q47" s="260">
        <v>262</v>
      </c>
      <c r="R47" s="32">
        <v>5</v>
      </c>
      <c r="S47" s="135">
        <v>10</v>
      </c>
      <c r="T47" s="260">
        <f t="shared" si="1"/>
        <v>5</v>
      </c>
      <c r="U47" s="30"/>
      <c r="V47" s="31">
        <v>8</v>
      </c>
      <c r="W47" s="31">
        <f t="shared" si="2"/>
        <v>8</v>
      </c>
      <c r="X47" s="260">
        <v>6</v>
      </c>
      <c r="Y47" s="323">
        <v>1.2430000000000001</v>
      </c>
      <c r="Z47" s="323">
        <v>114940</v>
      </c>
      <c r="AA47" s="323">
        <v>960</v>
      </c>
      <c r="AB47" s="151" t="s">
        <v>2708</v>
      </c>
      <c r="AC47" s="155">
        <v>1992</v>
      </c>
      <c r="AD47" s="254">
        <f t="shared" si="0"/>
        <v>4.6810403832992051</v>
      </c>
      <c r="AE47" s="152" t="s">
        <v>2708</v>
      </c>
      <c r="AF47" s="252">
        <v>100</v>
      </c>
      <c r="AG47" s="242">
        <v>0</v>
      </c>
      <c r="AH47" s="242" t="s">
        <v>2252</v>
      </c>
      <c r="AI47" s="243">
        <v>7.9</v>
      </c>
      <c r="AJ47" s="244">
        <v>1540</v>
      </c>
      <c r="AK47" s="244">
        <v>80</v>
      </c>
      <c r="AL47" s="244">
        <v>29</v>
      </c>
      <c r="AM47" s="244">
        <v>46</v>
      </c>
      <c r="AN47" s="245">
        <v>28.8</v>
      </c>
      <c r="AO47" s="245">
        <v>1.72</v>
      </c>
      <c r="AP47" s="232">
        <v>47</v>
      </c>
    </row>
    <row r="48" spans="1:42" x14ac:dyDescent="0.2">
      <c r="A48" s="231">
        <v>48</v>
      </c>
      <c r="B48" s="255" t="s">
        <v>1900</v>
      </c>
      <c r="C48" s="256" t="s">
        <v>2616</v>
      </c>
      <c r="D48" s="264">
        <v>11</v>
      </c>
      <c r="E48" s="265">
        <v>88.5</v>
      </c>
      <c r="F48" s="22" t="s">
        <v>2706</v>
      </c>
      <c r="G48" s="23" t="s">
        <v>2707</v>
      </c>
      <c r="H48" s="24" t="s">
        <v>743</v>
      </c>
      <c r="I48" s="24" t="s">
        <v>743</v>
      </c>
      <c r="J48" s="25" t="s">
        <v>743</v>
      </c>
      <c r="K48" s="26">
        <v>35689</v>
      </c>
      <c r="L48" s="15" t="s">
        <v>890</v>
      </c>
      <c r="M48" s="28">
        <v>356545</v>
      </c>
      <c r="N48" s="29">
        <v>6176592</v>
      </c>
      <c r="O48" s="32" t="s">
        <v>2708</v>
      </c>
      <c r="P48" s="135" t="s">
        <v>2708</v>
      </c>
      <c r="Q48" s="260">
        <v>304</v>
      </c>
      <c r="R48" s="32">
        <v>10</v>
      </c>
      <c r="S48" s="135">
        <v>27</v>
      </c>
      <c r="T48" s="260">
        <f t="shared" si="1"/>
        <v>10</v>
      </c>
      <c r="U48" s="156"/>
      <c r="V48" s="31">
        <v>185</v>
      </c>
      <c r="W48" s="31">
        <f t="shared" si="2"/>
        <v>185</v>
      </c>
      <c r="X48" s="260">
        <v>0</v>
      </c>
      <c r="Y48" s="323">
        <v>1.2050000000000001</v>
      </c>
      <c r="Z48" s="323">
        <v>68928</v>
      </c>
      <c r="AA48" s="323">
        <v>856</v>
      </c>
      <c r="AB48" s="151">
        <v>999</v>
      </c>
      <c r="AC48" s="155">
        <v>0</v>
      </c>
      <c r="AD48" s="254">
        <f t="shared" si="0"/>
        <v>1000</v>
      </c>
      <c r="AE48" s="152" t="s">
        <v>2708</v>
      </c>
      <c r="AF48" s="252">
        <v>20</v>
      </c>
      <c r="AG48" s="242">
        <v>15</v>
      </c>
      <c r="AH48" s="242" t="s">
        <v>2252</v>
      </c>
      <c r="AI48" s="243">
        <v>7.4</v>
      </c>
      <c r="AJ48" s="244">
        <v>360</v>
      </c>
      <c r="AK48" s="244">
        <v>131</v>
      </c>
      <c r="AL48" s="244">
        <v>131</v>
      </c>
      <c r="AM48" s="244">
        <v>213</v>
      </c>
      <c r="AN48" s="245">
        <v>60.5</v>
      </c>
      <c r="AO48" s="245">
        <v>5.43</v>
      </c>
      <c r="AP48" s="232">
        <v>48</v>
      </c>
    </row>
    <row r="49" spans="1:42" x14ac:dyDescent="0.2">
      <c r="A49" s="231">
        <v>49</v>
      </c>
      <c r="B49" s="255" t="s">
        <v>1900</v>
      </c>
      <c r="C49" s="256" t="s">
        <v>2617</v>
      </c>
      <c r="D49" s="264">
        <v>29</v>
      </c>
      <c r="E49" s="265">
        <v>80.5</v>
      </c>
      <c r="F49" s="22" t="s">
        <v>2706</v>
      </c>
      <c r="G49" s="23" t="s">
        <v>2707</v>
      </c>
      <c r="H49" s="24" t="s">
        <v>2707</v>
      </c>
      <c r="I49" s="24" t="s">
        <v>2707</v>
      </c>
      <c r="J49" s="25" t="s">
        <v>2707</v>
      </c>
      <c r="K49" s="26">
        <v>38277</v>
      </c>
      <c r="L49" s="27" t="s">
        <v>2709</v>
      </c>
      <c r="M49" s="28">
        <v>356255</v>
      </c>
      <c r="N49" s="29">
        <v>6174980</v>
      </c>
      <c r="O49" s="32">
        <v>167</v>
      </c>
      <c r="P49" s="135" t="s">
        <v>2708</v>
      </c>
      <c r="Q49" s="260">
        <v>170</v>
      </c>
      <c r="R49" s="32">
        <v>40</v>
      </c>
      <c r="S49" s="135">
        <v>19</v>
      </c>
      <c r="T49" s="260">
        <f t="shared" si="1"/>
        <v>40</v>
      </c>
      <c r="U49" s="30">
        <v>215</v>
      </c>
      <c r="V49" s="31">
        <v>118</v>
      </c>
      <c r="W49" s="31">
        <f t="shared" si="2"/>
        <v>215</v>
      </c>
      <c r="X49" s="260">
        <f t="shared" ref="X49:X112" si="3">IF(OR(W49&lt;12,W49&gt;348),6,IF(OR(W49&lt;34,W49&gt;326),5,IF(OR(W49&lt;68,W49&gt;292),4,IF(OR(W49&lt;113,W49&gt;247),3,IF(OR(W49&lt;158,W49&gt;212),2,IF(OR(W49&lt;179,W49&gt;191),1,0))))))</f>
        <v>2</v>
      </c>
      <c r="Y49" s="323">
        <v>0.879</v>
      </c>
      <c r="Z49" s="323">
        <v>90853</v>
      </c>
      <c r="AA49" s="323">
        <v>1055</v>
      </c>
      <c r="AB49" s="151" t="s">
        <v>2708</v>
      </c>
      <c r="AC49" s="155">
        <v>1994</v>
      </c>
      <c r="AD49" s="254">
        <f t="shared" si="0"/>
        <v>9.7967145790553332</v>
      </c>
      <c r="AE49" s="152" t="s">
        <v>2708</v>
      </c>
      <c r="AF49" s="252">
        <v>100</v>
      </c>
      <c r="AG49" s="242">
        <v>15</v>
      </c>
      <c r="AH49" s="242" t="s">
        <v>2252</v>
      </c>
      <c r="AI49" s="243">
        <v>8.1999999999999993</v>
      </c>
      <c r="AJ49" s="244">
        <v>2140</v>
      </c>
      <c r="AK49" s="244">
        <v>41</v>
      </c>
      <c r="AL49" s="244">
        <v>51</v>
      </c>
      <c r="AM49" s="244">
        <v>22</v>
      </c>
      <c r="AN49" s="245">
        <v>33.75</v>
      </c>
      <c r="AO49" s="245">
        <v>1.27</v>
      </c>
      <c r="AP49" s="232">
        <v>56</v>
      </c>
    </row>
    <row r="50" spans="1:42" x14ac:dyDescent="0.2">
      <c r="A50" s="231">
        <v>50</v>
      </c>
      <c r="B50" s="255" t="s">
        <v>1900</v>
      </c>
      <c r="C50" s="256" t="s">
        <v>1253</v>
      </c>
      <c r="D50" s="264">
        <v>12</v>
      </c>
      <c r="E50" s="265">
        <v>161</v>
      </c>
      <c r="F50" s="22" t="s">
        <v>2706</v>
      </c>
      <c r="G50" s="23" t="s">
        <v>2710</v>
      </c>
      <c r="H50" s="24" t="s">
        <v>2707</v>
      </c>
      <c r="I50" s="24" t="s">
        <v>2707</v>
      </c>
      <c r="J50" s="25" t="s">
        <v>2707</v>
      </c>
      <c r="K50" s="26">
        <v>38268</v>
      </c>
      <c r="L50" s="27" t="s">
        <v>2709</v>
      </c>
      <c r="M50" s="28">
        <v>354611</v>
      </c>
      <c r="N50" s="29">
        <v>6175669</v>
      </c>
      <c r="O50" s="32">
        <v>245</v>
      </c>
      <c r="P50" s="135" t="s">
        <v>2708</v>
      </c>
      <c r="Q50" s="260">
        <v>246</v>
      </c>
      <c r="R50" s="32">
        <v>6</v>
      </c>
      <c r="S50" s="135">
        <v>7</v>
      </c>
      <c r="T50" s="260">
        <f t="shared" si="1"/>
        <v>6</v>
      </c>
      <c r="U50" s="30">
        <v>35</v>
      </c>
      <c r="V50" s="31">
        <v>344</v>
      </c>
      <c r="W50" s="31">
        <f t="shared" si="2"/>
        <v>35</v>
      </c>
      <c r="X50" s="260">
        <f t="shared" si="3"/>
        <v>4</v>
      </c>
      <c r="Y50" s="323">
        <v>0.30399999999999999</v>
      </c>
      <c r="Z50" s="323">
        <v>112652</v>
      </c>
      <c r="AA50" s="323">
        <v>860</v>
      </c>
      <c r="AB50" s="151" t="s">
        <v>2708</v>
      </c>
      <c r="AC50" s="155">
        <v>0</v>
      </c>
      <c r="AD50" s="254">
        <f t="shared" si="0"/>
        <v>1000</v>
      </c>
      <c r="AE50" s="152" t="s">
        <v>2708</v>
      </c>
      <c r="AF50" s="252">
        <v>100</v>
      </c>
      <c r="AG50" s="242">
        <v>0</v>
      </c>
      <c r="AH50" s="242" t="s">
        <v>2252</v>
      </c>
      <c r="AI50" s="243">
        <v>7.9</v>
      </c>
      <c r="AJ50" s="244">
        <v>620</v>
      </c>
      <c r="AK50" s="244">
        <v>252</v>
      </c>
      <c r="AL50" s="244">
        <v>94</v>
      </c>
      <c r="AM50" s="244">
        <v>54</v>
      </c>
      <c r="AN50" s="245">
        <v>31.59</v>
      </c>
      <c r="AO50" s="245">
        <v>2.88</v>
      </c>
      <c r="AP50" s="232">
        <v>57</v>
      </c>
    </row>
    <row r="51" spans="1:42" x14ac:dyDescent="0.2">
      <c r="A51" s="231">
        <v>51</v>
      </c>
      <c r="B51" s="255" t="s">
        <v>1900</v>
      </c>
      <c r="C51" s="256" t="s">
        <v>1253</v>
      </c>
      <c r="D51" s="264">
        <v>7</v>
      </c>
      <c r="E51" s="265">
        <v>141.5</v>
      </c>
      <c r="F51" s="22" t="s">
        <v>2687</v>
      </c>
      <c r="G51" s="23" t="s">
        <v>2710</v>
      </c>
      <c r="H51" s="24" t="s">
        <v>2707</v>
      </c>
      <c r="I51" s="24" t="s">
        <v>2707</v>
      </c>
      <c r="J51" s="25" t="s">
        <v>2707</v>
      </c>
      <c r="K51" s="26">
        <v>38268</v>
      </c>
      <c r="L51" s="27" t="s">
        <v>2709</v>
      </c>
      <c r="M51" s="28">
        <v>354499</v>
      </c>
      <c r="N51" s="29">
        <v>6175422</v>
      </c>
      <c r="O51" s="32">
        <v>269</v>
      </c>
      <c r="P51" s="135" t="s">
        <v>2708</v>
      </c>
      <c r="Q51" s="260">
        <v>269</v>
      </c>
      <c r="R51" s="32">
        <v>10</v>
      </c>
      <c r="S51" s="135">
        <v>15</v>
      </c>
      <c r="T51" s="260">
        <f t="shared" si="1"/>
        <v>10</v>
      </c>
      <c r="U51" s="30">
        <v>0</v>
      </c>
      <c r="V51" s="31">
        <v>322</v>
      </c>
      <c r="W51" s="31">
        <f t="shared" si="2"/>
        <v>0</v>
      </c>
      <c r="X51" s="260">
        <f t="shared" si="3"/>
        <v>6</v>
      </c>
      <c r="Y51" s="323">
        <v>1.036</v>
      </c>
      <c r="Z51" s="323">
        <v>115273</v>
      </c>
      <c r="AA51" s="323">
        <v>686</v>
      </c>
      <c r="AB51" s="151" t="s">
        <v>2708</v>
      </c>
      <c r="AC51" s="137">
        <v>0</v>
      </c>
      <c r="AD51" s="254">
        <f t="shared" si="0"/>
        <v>1000</v>
      </c>
      <c r="AE51" s="152" t="s">
        <v>2708</v>
      </c>
      <c r="AF51" s="252">
        <v>100</v>
      </c>
      <c r="AG51" s="242">
        <v>0</v>
      </c>
      <c r="AH51" s="242" t="s">
        <v>2252</v>
      </c>
      <c r="AI51" s="243">
        <v>7.5</v>
      </c>
      <c r="AJ51" s="244">
        <v>1080</v>
      </c>
      <c r="AK51" s="244">
        <v>141</v>
      </c>
      <c r="AL51" s="244">
        <v>79</v>
      </c>
      <c r="AM51" s="244">
        <v>47</v>
      </c>
      <c r="AN51" s="245">
        <v>57.95</v>
      </c>
      <c r="AO51" s="245">
        <v>2.73</v>
      </c>
      <c r="AP51" s="232">
        <v>58</v>
      </c>
    </row>
    <row r="52" spans="1:42" x14ac:dyDescent="0.2">
      <c r="A52" s="231">
        <v>52</v>
      </c>
      <c r="B52" s="255" t="s">
        <v>1900</v>
      </c>
      <c r="C52" s="256" t="s">
        <v>2617</v>
      </c>
      <c r="D52" s="264">
        <v>19</v>
      </c>
      <c r="E52" s="265">
        <v>158.5</v>
      </c>
      <c r="F52" s="22" t="s">
        <v>2706</v>
      </c>
      <c r="G52" s="23" t="s">
        <v>2710</v>
      </c>
      <c r="H52" s="24" t="s">
        <v>2707</v>
      </c>
      <c r="I52" s="24" t="s">
        <v>2707</v>
      </c>
      <c r="J52" s="25" t="s">
        <v>2707</v>
      </c>
      <c r="K52" s="26">
        <v>38256</v>
      </c>
      <c r="L52" s="27" t="s">
        <v>2709</v>
      </c>
      <c r="M52" s="28">
        <v>354755</v>
      </c>
      <c r="N52" s="29">
        <v>6176102</v>
      </c>
      <c r="O52" s="32">
        <v>204</v>
      </c>
      <c r="P52" s="135" t="s">
        <v>2708</v>
      </c>
      <c r="Q52" s="260">
        <v>205</v>
      </c>
      <c r="R52" s="32">
        <v>1</v>
      </c>
      <c r="S52" s="135">
        <v>3</v>
      </c>
      <c r="T52" s="260">
        <f t="shared" si="1"/>
        <v>1</v>
      </c>
      <c r="U52" s="30">
        <v>290</v>
      </c>
      <c r="V52" s="31">
        <v>348</v>
      </c>
      <c r="W52" s="31">
        <f t="shared" si="2"/>
        <v>290</v>
      </c>
      <c r="X52" s="260">
        <f t="shared" si="3"/>
        <v>3</v>
      </c>
      <c r="Y52" s="323">
        <v>5.8999999999999997E-2</v>
      </c>
      <c r="Z52" s="323">
        <v>109027</v>
      </c>
      <c r="AA52" s="323">
        <v>1052</v>
      </c>
      <c r="AB52" s="151" t="s">
        <v>2708</v>
      </c>
      <c r="AC52" s="155">
        <v>1994</v>
      </c>
      <c r="AD52" s="254">
        <f t="shared" si="0"/>
        <v>9.7392197125257098</v>
      </c>
      <c r="AE52" s="152" t="s">
        <v>2708</v>
      </c>
      <c r="AF52" s="252">
        <v>100</v>
      </c>
      <c r="AG52" s="242">
        <v>0</v>
      </c>
      <c r="AH52" s="242" t="s">
        <v>2252</v>
      </c>
      <c r="AI52" s="243">
        <v>8.1999999999999993</v>
      </c>
      <c r="AJ52" s="244">
        <v>2040</v>
      </c>
      <c r="AK52" s="244">
        <v>111</v>
      </c>
      <c r="AL52" s="244">
        <v>26</v>
      </c>
      <c r="AM52" s="244">
        <v>21</v>
      </c>
      <c r="AN52" s="245">
        <v>44.15</v>
      </c>
      <c r="AO52" s="245">
        <v>1.73</v>
      </c>
      <c r="AP52" s="232">
        <v>59</v>
      </c>
    </row>
    <row r="53" spans="1:42" x14ac:dyDescent="0.2">
      <c r="A53" s="231">
        <v>53</v>
      </c>
      <c r="B53" s="255" t="s">
        <v>1900</v>
      </c>
      <c r="C53" s="256" t="s">
        <v>2617</v>
      </c>
      <c r="D53" s="264">
        <v>30</v>
      </c>
      <c r="E53" s="265">
        <v>163</v>
      </c>
      <c r="F53" s="22" t="s">
        <v>2706</v>
      </c>
      <c r="G53" s="23" t="s">
        <v>2710</v>
      </c>
      <c r="H53" s="24" t="s">
        <v>2707</v>
      </c>
      <c r="I53" s="24" t="s">
        <v>2707</v>
      </c>
      <c r="J53" s="25" t="s">
        <v>2707</v>
      </c>
      <c r="K53" s="26">
        <v>38282</v>
      </c>
      <c r="L53" s="27" t="s">
        <v>2709</v>
      </c>
      <c r="M53" s="28">
        <v>356297</v>
      </c>
      <c r="N53" s="29">
        <v>6175012</v>
      </c>
      <c r="O53" s="32">
        <v>168</v>
      </c>
      <c r="P53" s="135" t="s">
        <v>2708</v>
      </c>
      <c r="Q53" s="260">
        <v>181</v>
      </c>
      <c r="R53" s="32">
        <v>34</v>
      </c>
      <c r="S53" s="135">
        <v>32</v>
      </c>
      <c r="T53" s="260">
        <f t="shared" si="1"/>
        <v>34</v>
      </c>
      <c r="U53" s="30">
        <v>210</v>
      </c>
      <c r="V53" s="31">
        <v>176</v>
      </c>
      <c r="W53" s="31">
        <f t="shared" si="2"/>
        <v>210</v>
      </c>
      <c r="X53" s="260">
        <f t="shared" si="3"/>
        <v>1</v>
      </c>
      <c r="Y53" s="323">
        <v>0.86099999999999999</v>
      </c>
      <c r="Z53" s="323">
        <v>60183</v>
      </c>
      <c r="AA53" s="323">
        <v>1236</v>
      </c>
      <c r="AB53" s="151" t="s">
        <v>2708</v>
      </c>
      <c r="AC53" s="155">
        <v>1994</v>
      </c>
      <c r="AD53" s="254">
        <f t="shared" si="0"/>
        <v>9.8104038329911418</v>
      </c>
      <c r="AE53" s="152" t="s">
        <v>2708</v>
      </c>
      <c r="AF53" s="252">
        <v>100</v>
      </c>
      <c r="AG53" s="242">
        <v>0</v>
      </c>
      <c r="AH53" s="242" t="s">
        <v>2252</v>
      </c>
      <c r="AI53" s="243">
        <v>8.3000000000000007</v>
      </c>
      <c r="AJ53" s="244">
        <v>2120</v>
      </c>
      <c r="AK53" s="244">
        <v>145</v>
      </c>
      <c r="AL53" s="244">
        <v>24</v>
      </c>
      <c r="AM53" s="244">
        <v>16</v>
      </c>
      <c r="AN53" s="245">
        <v>51.15</v>
      </c>
      <c r="AO53" s="245">
        <v>1.41</v>
      </c>
      <c r="AP53" s="232">
        <v>60</v>
      </c>
    </row>
    <row r="54" spans="1:42" x14ac:dyDescent="0.2">
      <c r="A54" s="231">
        <v>54</v>
      </c>
      <c r="B54" s="255" t="s">
        <v>1900</v>
      </c>
      <c r="C54" s="256" t="s">
        <v>2669</v>
      </c>
      <c r="D54" s="264">
        <v>21</v>
      </c>
      <c r="E54" s="265">
        <v>146.5</v>
      </c>
      <c r="F54" s="22" t="s">
        <v>2706</v>
      </c>
      <c r="G54" s="23" t="s">
        <v>2710</v>
      </c>
      <c r="H54" s="24" t="s">
        <v>2707</v>
      </c>
      <c r="I54" s="24" t="s">
        <v>2707</v>
      </c>
      <c r="J54" s="25" t="s">
        <v>2707</v>
      </c>
      <c r="K54" s="26">
        <v>38282</v>
      </c>
      <c r="L54" s="27" t="s">
        <v>2709</v>
      </c>
      <c r="M54" s="28">
        <v>356288</v>
      </c>
      <c r="N54" s="29">
        <v>6175082</v>
      </c>
      <c r="O54" s="32">
        <v>208</v>
      </c>
      <c r="P54" s="135" t="s">
        <v>2708</v>
      </c>
      <c r="Q54" s="260">
        <v>209</v>
      </c>
      <c r="R54" s="32">
        <v>24</v>
      </c>
      <c r="S54" s="135">
        <v>15</v>
      </c>
      <c r="T54" s="260">
        <f t="shared" si="1"/>
        <v>24</v>
      </c>
      <c r="U54" s="30">
        <v>215</v>
      </c>
      <c r="V54" s="31">
        <v>168</v>
      </c>
      <c r="W54" s="31">
        <f t="shared" si="2"/>
        <v>215</v>
      </c>
      <c r="X54" s="260">
        <f t="shared" si="3"/>
        <v>2</v>
      </c>
      <c r="Y54" s="323">
        <v>1.181</v>
      </c>
      <c r="Z54" s="323">
        <v>88467</v>
      </c>
      <c r="AA54" s="323">
        <v>1434</v>
      </c>
      <c r="AB54" s="151" t="s">
        <v>2708</v>
      </c>
      <c r="AC54" s="155">
        <v>1994</v>
      </c>
      <c r="AD54" s="254">
        <f t="shared" si="0"/>
        <v>9.8104038329911418</v>
      </c>
      <c r="AE54" s="152" t="s">
        <v>2708</v>
      </c>
      <c r="AF54" s="252">
        <v>30</v>
      </c>
      <c r="AG54" s="242">
        <v>0</v>
      </c>
      <c r="AH54" s="242" t="s">
        <v>2253</v>
      </c>
      <c r="AI54" s="243">
        <v>8</v>
      </c>
      <c r="AJ54" s="244">
        <v>1080</v>
      </c>
      <c r="AK54" s="244">
        <v>57</v>
      </c>
      <c r="AL54" s="244">
        <v>11</v>
      </c>
      <c r="AM54" s="244">
        <v>38</v>
      </c>
      <c r="AN54" s="245">
        <v>29.13</v>
      </c>
      <c r="AO54" s="245">
        <v>1.32</v>
      </c>
      <c r="AP54" s="232">
        <v>61</v>
      </c>
    </row>
    <row r="55" spans="1:42" x14ac:dyDescent="0.2">
      <c r="A55" s="231">
        <v>55</v>
      </c>
      <c r="B55" s="255" t="s">
        <v>1900</v>
      </c>
      <c r="C55" s="256" t="s">
        <v>2618</v>
      </c>
      <c r="D55" s="264">
        <v>21</v>
      </c>
      <c r="E55" s="265">
        <v>124</v>
      </c>
      <c r="F55" s="22" t="s">
        <v>2706</v>
      </c>
      <c r="G55" s="23" t="s">
        <v>2710</v>
      </c>
      <c r="H55" s="24" t="s">
        <v>2707</v>
      </c>
      <c r="I55" s="24" t="s">
        <v>2707</v>
      </c>
      <c r="J55" s="25" t="s">
        <v>2707</v>
      </c>
      <c r="K55" s="26">
        <v>38269</v>
      </c>
      <c r="L55" s="27" t="s">
        <v>2709</v>
      </c>
      <c r="M55" s="28">
        <v>355115</v>
      </c>
      <c r="N55" s="29">
        <v>6175318</v>
      </c>
      <c r="O55" s="32">
        <v>312</v>
      </c>
      <c r="P55" s="135" t="s">
        <v>2708</v>
      </c>
      <c r="Q55" s="260">
        <v>315</v>
      </c>
      <c r="R55" s="32">
        <v>4</v>
      </c>
      <c r="S55" s="135">
        <v>4</v>
      </c>
      <c r="T55" s="260">
        <f t="shared" si="1"/>
        <v>4</v>
      </c>
      <c r="U55" s="30">
        <v>60</v>
      </c>
      <c r="V55" s="31">
        <v>34</v>
      </c>
      <c r="W55" s="31">
        <f t="shared" si="2"/>
        <v>60</v>
      </c>
      <c r="X55" s="260">
        <f t="shared" si="3"/>
        <v>4</v>
      </c>
      <c r="Y55" s="323">
        <v>0.79400000000000004</v>
      </c>
      <c r="Z55" s="323">
        <v>111647</v>
      </c>
      <c r="AA55" s="323">
        <v>1519</v>
      </c>
      <c r="AB55" s="151" t="s">
        <v>2708</v>
      </c>
      <c r="AC55" s="155">
        <v>1994</v>
      </c>
      <c r="AD55" s="254">
        <f t="shared" si="0"/>
        <v>9.7748117727583121</v>
      </c>
      <c r="AE55" s="152" t="s">
        <v>2708</v>
      </c>
      <c r="AF55" s="252">
        <v>100</v>
      </c>
      <c r="AG55" s="242">
        <v>0</v>
      </c>
      <c r="AH55" s="242" t="s">
        <v>2252</v>
      </c>
      <c r="AI55" s="243">
        <v>6.8</v>
      </c>
      <c r="AJ55" s="244">
        <v>3340</v>
      </c>
      <c r="AK55" s="244">
        <v>23</v>
      </c>
      <c r="AL55" s="244">
        <v>13</v>
      </c>
      <c r="AM55" s="244">
        <v>17</v>
      </c>
      <c r="AN55" s="245">
        <v>4.59</v>
      </c>
      <c r="AO55" s="245">
        <v>0.48</v>
      </c>
      <c r="AP55" s="232">
        <v>62</v>
      </c>
    </row>
    <row r="56" spans="1:42" x14ac:dyDescent="0.2">
      <c r="A56" s="231">
        <v>56</v>
      </c>
      <c r="B56" s="255" t="s">
        <v>1900</v>
      </c>
      <c r="C56" s="256" t="s">
        <v>2620</v>
      </c>
      <c r="D56" s="264">
        <v>19</v>
      </c>
      <c r="E56" s="265">
        <v>164</v>
      </c>
      <c r="F56" s="22" t="s">
        <v>2706</v>
      </c>
      <c r="G56" s="23" t="s">
        <v>2710</v>
      </c>
      <c r="H56" s="24" t="s">
        <v>2707</v>
      </c>
      <c r="I56" s="24" t="s">
        <v>2707</v>
      </c>
      <c r="J56" s="25" t="s">
        <v>2707</v>
      </c>
      <c r="K56" s="26">
        <v>38284</v>
      </c>
      <c r="L56" s="27" t="s">
        <v>2709</v>
      </c>
      <c r="M56" s="28">
        <v>357749</v>
      </c>
      <c r="N56" s="29">
        <v>6177908</v>
      </c>
      <c r="O56" s="32">
        <v>323</v>
      </c>
      <c r="P56" s="135" t="s">
        <v>2708</v>
      </c>
      <c r="Q56" s="260">
        <v>315</v>
      </c>
      <c r="R56" s="32">
        <v>8</v>
      </c>
      <c r="S56" s="135">
        <v>7</v>
      </c>
      <c r="T56" s="260">
        <f t="shared" si="1"/>
        <v>8</v>
      </c>
      <c r="U56" s="30">
        <v>215</v>
      </c>
      <c r="V56" s="31">
        <v>183</v>
      </c>
      <c r="W56" s="31">
        <f t="shared" si="2"/>
        <v>215</v>
      </c>
      <c r="X56" s="260">
        <f t="shared" si="3"/>
        <v>2</v>
      </c>
      <c r="Y56" s="323">
        <v>1.8580000000000001</v>
      </c>
      <c r="Z56" s="323">
        <v>113325</v>
      </c>
      <c r="AA56" s="323">
        <v>1014</v>
      </c>
      <c r="AB56" s="151" t="s">
        <v>2708</v>
      </c>
      <c r="AC56" s="155">
        <v>1996</v>
      </c>
      <c r="AD56" s="254">
        <f t="shared" si="0"/>
        <v>7.8158795345652834</v>
      </c>
      <c r="AE56" s="152" t="s">
        <v>2708</v>
      </c>
      <c r="AF56" s="252">
        <v>100</v>
      </c>
      <c r="AG56" s="242">
        <v>0</v>
      </c>
      <c r="AH56" s="242" t="s">
        <v>2252</v>
      </c>
      <c r="AI56" s="243">
        <v>6.4</v>
      </c>
      <c r="AJ56" s="244">
        <v>3530</v>
      </c>
      <c r="AK56" s="244">
        <v>24</v>
      </c>
      <c r="AL56" s="244">
        <v>16</v>
      </c>
      <c r="AM56" s="244">
        <v>15</v>
      </c>
      <c r="AN56" s="245">
        <v>3.6</v>
      </c>
      <c r="AO56" s="245">
        <v>0.36</v>
      </c>
      <c r="AP56" s="232">
        <v>63</v>
      </c>
    </row>
    <row r="57" spans="1:42" x14ac:dyDescent="0.2">
      <c r="A57" s="231">
        <v>57</v>
      </c>
      <c r="B57" s="255" t="s">
        <v>1900</v>
      </c>
      <c r="C57" s="256" t="s">
        <v>2617</v>
      </c>
      <c r="D57" s="264">
        <v>30</v>
      </c>
      <c r="E57" s="265">
        <v>72</v>
      </c>
      <c r="F57" s="22" t="s">
        <v>2706</v>
      </c>
      <c r="G57" s="23" t="s">
        <v>2710</v>
      </c>
      <c r="H57" s="24" t="s">
        <v>2707</v>
      </c>
      <c r="I57" s="24" t="s">
        <v>2707</v>
      </c>
      <c r="J57" s="25" t="s">
        <v>2707</v>
      </c>
      <c r="K57" s="26">
        <v>38269</v>
      </c>
      <c r="L57" s="27" t="s">
        <v>2709</v>
      </c>
      <c r="M57" s="28">
        <v>354958</v>
      </c>
      <c r="N57" s="29">
        <v>6175491</v>
      </c>
      <c r="O57" s="32">
        <v>304</v>
      </c>
      <c r="P57" s="135" t="s">
        <v>2708</v>
      </c>
      <c r="Q57" s="260">
        <v>301</v>
      </c>
      <c r="R57" s="32">
        <v>13</v>
      </c>
      <c r="S57" s="135">
        <v>12</v>
      </c>
      <c r="T57" s="260">
        <f t="shared" si="1"/>
        <v>13</v>
      </c>
      <c r="U57" s="30">
        <v>45</v>
      </c>
      <c r="V57" s="31">
        <v>71</v>
      </c>
      <c r="W57" s="31">
        <f t="shared" si="2"/>
        <v>45</v>
      </c>
      <c r="X57" s="260">
        <f t="shared" si="3"/>
        <v>4</v>
      </c>
      <c r="Y57" s="323">
        <v>0.80700000000000005</v>
      </c>
      <c r="Z57" s="323">
        <v>117686</v>
      </c>
      <c r="AA57" s="323">
        <v>992</v>
      </c>
      <c r="AB57" s="151" t="s">
        <v>2708</v>
      </c>
      <c r="AC57" s="155">
        <v>1994</v>
      </c>
      <c r="AD57" s="254">
        <f t="shared" si="0"/>
        <v>9.7748117727583121</v>
      </c>
      <c r="AE57" s="152" t="s">
        <v>2708</v>
      </c>
      <c r="AF57" s="252">
        <v>28</v>
      </c>
      <c r="AG57" s="242">
        <v>0</v>
      </c>
      <c r="AH57" s="242" t="s">
        <v>2252</v>
      </c>
      <c r="AI57" s="243">
        <v>8.1</v>
      </c>
      <c r="AJ57" s="244">
        <v>1070</v>
      </c>
      <c r="AK57" s="244">
        <v>72</v>
      </c>
      <c r="AL57" s="244">
        <v>14</v>
      </c>
      <c r="AM57" s="244">
        <v>23</v>
      </c>
      <c r="AN57" s="245">
        <v>39.72</v>
      </c>
      <c r="AO57" s="245">
        <v>1.57</v>
      </c>
      <c r="AP57" s="232">
        <v>64</v>
      </c>
    </row>
    <row r="58" spans="1:42" x14ac:dyDescent="0.2">
      <c r="A58" s="231">
        <v>58</v>
      </c>
      <c r="B58" s="255" t="s">
        <v>1900</v>
      </c>
      <c r="C58" s="256" t="s">
        <v>2670</v>
      </c>
      <c r="D58" s="264">
        <v>6</v>
      </c>
      <c r="E58" s="265">
        <v>113</v>
      </c>
      <c r="F58" s="22" t="s">
        <v>2706</v>
      </c>
      <c r="G58" s="23" t="s">
        <v>2710</v>
      </c>
      <c r="H58" s="24" t="s">
        <v>2707</v>
      </c>
      <c r="I58" s="24" t="s">
        <v>2707</v>
      </c>
      <c r="J58" s="25" t="s">
        <v>2707</v>
      </c>
      <c r="K58" s="26">
        <v>38283</v>
      </c>
      <c r="L58" s="27" t="s">
        <v>2709</v>
      </c>
      <c r="M58" s="28">
        <v>356500</v>
      </c>
      <c r="N58" s="29">
        <v>6176447</v>
      </c>
      <c r="O58" s="32">
        <v>238</v>
      </c>
      <c r="P58" s="135" t="s">
        <v>2708</v>
      </c>
      <c r="Q58" s="260">
        <v>236</v>
      </c>
      <c r="R58" s="32">
        <v>8</v>
      </c>
      <c r="S58" s="135">
        <v>7</v>
      </c>
      <c r="T58" s="260">
        <f t="shared" si="1"/>
        <v>8</v>
      </c>
      <c r="U58" s="30">
        <v>190</v>
      </c>
      <c r="V58" s="31">
        <v>188</v>
      </c>
      <c r="W58" s="31">
        <f t="shared" si="2"/>
        <v>190</v>
      </c>
      <c r="X58" s="260">
        <f t="shared" si="3"/>
        <v>0</v>
      </c>
      <c r="Y58" s="323">
        <v>2.0470000000000002</v>
      </c>
      <c r="Z58" s="323">
        <v>93173</v>
      </c>
      <c r="AA58" s="323">
        <v>188</v>
      </c>
      <c r="AB58" s="151" t="s">
        <v>2708</v>
      </c>
      <c r="AC58" s="155">
        <v>1990</v>
      </c>
      <c r="AD58" s="254">
        <f t="shared" si="0"/>
        <v>13.813141683778213</v>
      </c>
      <c r="AE58" s="152" t="s">
        <v>2708</v>
      </c>
      <c r="AF58" s="252">
        <v>100</v>
      </c>
      <c r="AG58" s="242">
        <v>0</v>
      </c>
      <c r="AH58" s="242" t="s">
        <v>2252</v>
      </c>
      <c r="AI58" s="243">
        <v>6.1</v>
      </c>
      <c r="AJ58" s="244">
        <v>1230</v>
      </c>
      <c r="AK58" s="244">
        <v>29</v>
      </c>
      <c r="AL58" s="244">
        <v>79</v>
      </c>
      <c r="AM58" s="244">
        <v>90</v>
      </c>
      <c r="AN58" s="245">
        <v>19.5</v>
      </c>
      <c r="AO58" s="245">
        <v>1.62</v>
      </c>
      <c r="AP58" s="232">
        <v>65</v>
      </c>
    </row>
    <row r="59" spans="1:42" x14ac:dyDescent="0.2">
      <c r="A59" s="231">
        <v>59</v>
      </c>
      <c r="B59" s="255" t="s">
        <v>1900</v>
      </c>
      <c r="C59" s="256" t="s">
        <v>2470</v>
      </c>
      <c r="D59" s="264">
        <v>13</v>
      </c>
      <c r="E59" s="265">
        <v>120</v>
      </c>
      <c r="F59" s="22" t="s">
        <v>2706</v>
      </c>
      <c r="G59" s="23" t="s">
        <v>2710</v>
      </c>
      <c r="H59" s="24" t="s">
        <v>2707</v>
      </c>
      <c r="I59" s="24" t="s">
        <v>2707</v>
      </c>
      <c r="J59" s="25" t="s">
        <v>2707</v>
      </c>
      <c r="K59" s="26">
        <v>38283</v>
      </c>
      <c r="L59" s="27" t="s">
        <v>2709</v>
      </c>
      <c r="M59" s="28">
        <v>356507</v>
      </c>
      <c r="N59" s="29">
        <v>6176425</v>
      </c>
      <c r="O59" s="32">
        <v>243</v>
      </c>
      <c r="P59" s="135" t="s">
        <v>2708</v>
      </c>
      <c r="Q59" s="260">
        <v>236</v>
      </c>
      <c r="R59" s="32">
        <v>9</v>
      </c>
      <c r="S59" s="135">
        <v>9</v>
      </c>
      <c r="T59" s="260">
        <f t="shared" si="1"/>
        <v>9</v>
      </c>
      <c r="U59" s="30">
        <v>335</v>
      </c>
      <c r="V59" s="31">
        <v>305</v>
      </c>
      <c r="W59" s="31">
        <f t="shared" si="2"/>
        <v>335</v>
      </c>
      <c r="X59" s="260">
        <f t="shared" si="3"/>
        <v>5</v>
      </c>
      <c r="Y59" s="323">
        <v>1</v>
      </c>
      <c r="Z59" s="323">
        <v>106255</v>
      </c>
      <c r="AA59" s="323">
        <v>193</v>
      </c>
      <c r="AB59" s="151" t="s">
        <v>2708</v>
      </c>
      <c r="AC59" s="155">
        <v>1990</v>
      </c>
      <c r="AD59" s="254">
        <f t="shared" si="0"/>
        <v>13.813141683778213</v>
      </c>
      <c r="AE59" s="152" t="s">
        <v>2708</v>
      </c>
      <c r="AF59" s="252">
        <v>100</v>
      </c>
      <c r="AG59" s="242">
        <v>0</v>
      </c>
      <c r="AH59" s="242" t="s">
        <v>2253</v>
      </c>
      <c r="AI59" s="243">
        <v>7.9</v>
      </c>
      <c r="AJ59" s="244">
        <v>910</v>
      </c>
      <c r="AK59" s="244">
        <v>66</v>
      </c>
      <c r="AL59" s="244">
        <v>23</v>
      </c>
      <c r="AM59" s="244">
        <v>44</v>
      </c>
      <c r="AN59" s="245">
        <v>35.65</v>
      </c>
      <c r="AO59" s="245">
        <v>1.58</v>
      </c>
      <c r="AP59" s="232">
        <v>66</v>
      </c>
    </row>
    <row r="60" spans="1:42" x14ac:dyDescent="0.2">
      <c r="A60" s="231">
        <v>60</v>
      </c>
      <c r="B60" s="255" t="s">
        <v>1900</v>
      </c>
      <c r="C60" s="256" t="s">
        <v>1253</v>
      </c>
      <c r="D60" s="264">
        <v>10</v>
      </c>
      <c r="E60" s="265">
        <v>217</v>
      </c>
      <c r="F60" s="22" t="s">
        <v>2706</v>
      </c>
      <c r="G60" s="23" t="s">
        <v>2710</v>
      </c>
      <c r="H60" s="24" t="s">
        <v>2707</v>
      </c>
      <c r="I60" s="24" t="s">
        <v>2707</v>
      </c>
      <c r="J60" s="25" t="s">
        <v>2707</v>
      </c>
      <c r="K60" s="26">
        <v>38265</v>
      </c>
      <c r="L60" s="27" t="s">
        <v>2709</v>
      </c>
      <c r="M60" s="28">
        <v>357686</v>
      </c>
      <c r="N60" s="29">
        <v>6179197</v>
      </c>
      <c r="O60" s="32" t="s">
        <v>2708</v>
      </c>
      <c r="P60" s="135" t="s">
        <v>2708</v>
      </c>
      <c r="Q60" s="260">
        <v>228</v>
      </c>
      <c r="R60" s="32" t="s">
        <v>2708</v>
      </c>
      <c r="S60" s="135">
        <v>1</v>
      </c>
      <c r="T60" s="260">
        <f t="shared" si="1"/>
        <v>1</v>
      </c>
      <c r="U60" s="30" t="s">
        <v>2708</v>
      </c>
      <c r="V60" s="31">
        <v>245</v>
      </c>
      <c r="W60" s="31">
        <f t="shared" si="2"/>
        <v>245</v>
      </c>
      <c r="X60" s="260">
        <f t="shared" si="3"/>
        <v>2</v>
      </c>
      <c r="Y60" s="323">
        <v>0.29399999999999998</v>
      </c>
      <c r="Z60" s="323">
        <v>106354</v>
      </c>
      <c r="AA60" s="323">
        <v>1173</v>
      </c>
      <c r="AB60" s="151" t="s">
        <v>2708</v>
      </c>
      <c r="AC60" s="155">
        <v>0</v>
      </c>
      <c r="AD60" s="254">
        <f t="shared" si="0"/>
        <v>1000</v>
      </c>
      <c r="AE60" s="152" t="s">
        <v>2708</v>
      </c>
      <c r="AF60" s="252">
        <v>100</v>
      </c>
      <c r="AG60" s="242">
        <v>0</v>
      </c>
      <c r="AH60" s="242" t="s">
        <v>2252</v>
      </c>
      <c r="AI60" s="243">
        <v>6.3</v>
      </c>
      <c r="AJ60" s="244">
        <v>1180</v>
      </c>
      <c r="AK60" s="244">
        <v>39</v>
      </c>
      <c r="AL60" s="244">
        <v>72</v>
      </c>
      <c r="AM60" s="244">
        <v>19</v>
      </c>
      <c r="AN60" s="245">
        <v>12.9</v>
      </c>
      <c r="AO60" s="245">
        <v>0.63</v>
      </c>
      <c r="AP60" s="232">
        <v>67</v>
      </c>
    </row>
    <row r="61" spans="1:42" x14ac:dyDescent="0.2">
      <c r="A61" s="231">
        <v>61</v>
      </c>
      <c r="B61" s="255" t="s">
        <v>1900</v>
      </c>
      <c r="C61" s="256" t="s">
        <v>1253</v>
      </c>
      <c r="D61" s="264">
        <v>9</v>
      </c>
      <c r="E61" s="265">
        <v>168.5</v>
      </c>
      <c r="F61" s="22" t="s">
        <v>2706</v>
      </c>
      <c r="G61" s="23" t="s">
        <v>2710</v>
      </c>
      <c r="H61" s="24" t="s">
        <v>2707</v>
      </c>
      <c r="I61" s="24" t="s">
        <v>2707</v>
      </c>
      <c r="J61" s="25" t="s">
        <v>2707</v>
      </c>
      <c r="K61" s="26">
        <v>38259</v>
      </c>
      <c r="L61" s="27" t="s">
        <v>2709</v>
      </c>
      <c r="M61" s="28">
        <v>357904</v>
      </c>
      <c r="N61" s="29">
        <v>6179160</v>
      </c>
      <c r="O61" s="32">
        <v>247</v>
      </c>
      <c r="P61" s="135" t="s">
        <v>2708</v>
      </c>
      <c r="Q61" s="260">
        <v>237</v>
      </c>
      <c r="R61" s="32" t="s">
        <v>2708</v>
      </c>
      <c r="S61" s="135">
        <v>4</v>
      </c>
      <c r="T61" s="260">
        <f t="shared" si="1"/>
        <v>4</v>
      </c>
      <c r="U61" s="30" t="s">
        <v>2708</v>
      </c>
      <c r="V61" s="31">
        <v>264</v>
      </c>
      <c r="W61" s="31">
        <f t="shared" si="2"/>
        <v>264</v>
      </c>
      <c r="X61" s="260">
        <f t="shared" si="3"/>
        <v>3</v>
      </c>
      <c r="Y61" s="323">
        <v>1.669</v>
      </c>
      <c r="Z61" s="323">
        <v>106256</v>
      </c>
      <c r="AA61" s="323">
        <v>1113</v>
      </c>
      <c r="AB61" s="151" t="s">
        <v>2708</v>
      </c>
      <c r="AC61" s="155">
        <v>0</v>
      </c>
      <c r="AD61" s="254">
        <f t="shared" si="0"/>
        <v>1000</v>
      </c>
      <c r="AE61" s="152" t="s">
        <v>2708</v>
      </c>
      <c r="AF61" s="252">
        <v>100</v>
      </c>
      <c r="AG61" s="242">
        <v>0</v>
      </c>
      <c r="AH61" s="242" t="s">
        <v>2252</v>
      </c>
      <c r="AI61" s="243">
        <v>6.4</v>
      </c>
      <c r="AJ61" s="244">
        <v>1040</v>
      </c>
      <c r="AK61" s="244">
        <v>38</v>
      </c>
      <c r="AL61" s="244">
        <v>119</v>
      </c>
      <c r="AM61" s="244">
        <v>28</v>
      </c>
      <c r="AN61" s="245">
        <v>9.0299999999999994</v>
      </c>
      <c r="AO61" s="245">
        <v>1.35</v>
      </c>
      <c r="AP61" s="232">
        <v>68</v>
      </c>
    </row>
    <row r="62" spans="1:42" x14ac:dyDescent="0.2">
      <c r="A62" s="231">
        <v>62</v>
      </c>
      <c r="B62" s="255" t="s">
        <v>1900</v>
      </c>
      <c r="C62" s="256" t="s">
        <v>2620</v>
      </c>
      <c r="D62" s="264">
        <v>19</v>
      </c>
      <c r="E62" s="265">
        <v>141</v>
      </c>
      <c r="F62" s="22" t="s">
        <v>2706</v>
      </c>
      <c r="G62" s="23" t="s">
        <v>2710</v>
      </c>
      <c r="H62" s="24" t="s">
        <v>2707</v>
      </c>
      <c r="I62" s="24" t="s">
        <v>2707</v>
      </c>
      <c r="J62" s="25" t="s">
        <v>2707</v>
      </c>
      <c r="K62" s="26">
        <v>38284</v>
      </c>
      <c r="L62" s="27" t="s">
        <v>2709</v>
      </c>
      <c r="M62" s="28">
        <v>357939</v>
      </c>
      <c r="N62" s="29">
        <v>6177577</v>
      </c>
      <c r="O62" s="32">
        <v>349</v>
      </c>
      <c r="P62" s="135" t="s">
        <v>2708</v>
      </c>
      <c r="Q62" s="260">
        <v>343</v>
      </c>
      <c r="R62" s="32">
        <v>8</v>
      </c>
      <c r="S62" s="135">
        <v>6</v>
      </c>
      <c r="T62" s="260">
        <f t="shared" si="1"/>
        <v>8</v>
      </c>
      <c r="U62" s="30">
        <v>45</v>
      </c>
      <c r="V62" s="31">
        <v>19</v>
      </c>
      <c r="W62" s="31">
        <f t="shared" si="2"/>
        <v>45</v>
      </c>
      <c r="X62" s="260">
        <f t="shared" si="3"/>
        <v>4</v>
      </c>
      <c r="Y62" s="323">
        <v>1.768</v>
      </c>
      <c r="Z62" s="323">
        <v>112349</v>
      </c>
      <c r="AA62" s="323">
        <v>906</v>
      </c>
      <c r="AB62" s="151" t="s">
        <v>2708</v>
      </c>
      <c r="AC62" s="155">
        <v>1996</v>
      </c>
      <c r="AD62" s="254">
        <f t="shared" si="0"/>
        <v>7.8158795345652834</v>
      </c>
      <c r="AE62" s="152" t="s">
        <v>2708</v>
      </c>
      <c r="AF62" s="252">
        <v>100</v>
      </c>
      <c r="AG62" s="242">
        <v>0</v>
      </c>
      <c r="AH62" s="242" t="s">
        <v>2252</v>
      </c>
      <c r="AI62" s="243">
        <v>5.6</v>
      </c>
      <c r="AJ62" s="244">
        <v>3250</v>
      </c>
      <c r="AK62" s="244">
        <v>23</v>
      </c>
      <c r="AL62" s="244">
        <v>8</v>
      </c>
      <c r="AM62" s="244">
        <v>12</v>
      </c>
      <c r="AN62" s="245">
        <v>3.44</v>
      </c>
      <c r="AO62" s="245">
        <v>0.46</v>
      </c>
      <c r="AP62" s="232">
        <v>69</v>
      </c>
    </row>
    <row r="63" spans="1:42" x14ac:dyDescent="0.2">
      <c r="A63" s="231">
        <v>63</v>
      </c>
      <c r="B63" s="255" t="s">
        <v>1900</v>
      </c>
      <c r="C63" s="256" t="s">
        <v>2617</v>
      </c>
      <c r="D63" s="264">
        <v>22</v>
      </c>
      <c r="E63" s="265">
        <v>109.5</v>
      </c>
      <c r="F63" s="22" t="s">
        <v>2706</v>
      </c>
      <c r="G63" s="23" t="s">
        <v>2710</v>
      </c>
      <c r="H63" s="24" t="s">
        <v>2707</v>
      </c>
      <c r="I63" s="24" t="s">
        <v>2707</v>
      </c>
      <c r="J63" s="25" t="s">
        <v>2707</v>
      </c>
      <c r="K63" s="26">
        <v>38259</v>
      </c>
      <c r="L63" s="27" t="s">
        <v>2709</v>
      </c>
      <c r="M63" s="28">
        <v>356586</v>
      </c>
      <c r="N63" s="29">
        <v>6179143</v>
      </c>
      <c r="O63" s="32">
        <v>199</v>
      </c>
      <c r="P63" s="135" t="s">
        <v>2708</v>
      </c>
      <c r="Q63" s="260">
        <v>196</v>
      </c>
      <c r="R63" s="32">
        <v>0</v>
      </c>
      <c r="S63" s="135">
        <v>3</v>
      </c>
      <c r="T63" s="260">
        <f t="shared" si="1"/>
        <v>0</v>
      </c>
      <c r="U63" s="30" t="s">
        <v>2708</v>
      </c>
      <c r="V63" s="31">
        <v>225</v>
      </c>
      <c r="W63" s="31">
        <f t="shared" si="2"/>
        <v>225</v>
      </c>
      <c r="X63" s="260">
        <f t="shared" si="3"/>
        <v>2</v>
      </c>
      <c r="Y63" s="323">
        <v>0.56499999999999995</v>
      </c>
      <c r="Z63" s="323">
        <v>104583</v>
      </c>
      <c r="AA63" s="323">
        <v>1287</v>
      </c>
      <c r="AB63" s="151" t="s">
        <v>2708</v>
      </c>
      <c r="AC63" s="155">
        <v>2000</v>
      </c>
      <c r="AD63" s="254">
        <f t="shared" si="0"/>
        <v>3.7474332648871496</v>
      </c>
      <c r="AE63" s="152" t="s">
        <v>2708</v>
      </c>
      <c r="AF63" s="252">
        <v>100</v>
      </c>
      <c r="AG63" s="242">
        <v>0</v>
      </c>
      <c r="AH63" s="242" t="s">
        <v>2252</v>
      </c>
      <c r="AI63" s="243">
        <v>8.1999999999999993</v>
      </c>
      <c r="AJ63" s="244">
        <v>2150</v>
      </c>
      <c r="AK63" s="244">
        <v>115</v>
      </c>
      <c r="AL63" s="244">
        <v>20</v>
      </c>
      <c r="AM63" s="244">
        <v>15</v>
      </c>
      <c r="AN63" s="245">
        <v>32.97</v>
      </c>
      <c r="AO63" s="245">
        <v>1.47</v>
      </c>
      <c r="AP63" s="232">
        <v>70</v>
      </c>
    </row>
    <row r="64" spans="1:42" x14ac:dyDescent="0.2">
      <c r="A64" s="231">
        <v>64</v>
      </c>
      <c r="B64" s="255" t="s">
        <v>1900</v>
      </c>
      <c r="C64" s="256" t="s">
        <v>1252</v>
      </c>
      <c r="D64" s="264">
        <v>40</v>
      </c>
      <c r="E64" s="265">
        <v>120</v>
      </c>
      <c r="F64" s="22" t="s">
        <v>2706</v>
      </c>
      <c r="G64" s="23" t="s">
        <v>2707</v>
      </c>
      <c r="H64" s="24" t="s">
        <v>2707</v>
      </c>
      <c r="I64" s="24" t="s">
        <v>2707</v>
      </c>
      <c r="J64" s="25" t="s">
        <v>2707</v>
      </c>
      <c r="K64" s="26">
        <v>38261</v>
      </c>
      <c r="L64" s="27" t="s">
        <v>2709</v>
      </c>
      <c r="M64" s="28">
        <v>359444</v>
      </c>
      <c r="N64" s="29">
        <v>6179087</v>
      </c>
      <c r="O64" s="32">
        <v>390</v>
      </c>
      <c r="P64" s="135" t="s">
        <v>2708</v>
      </c>
      <c r="Q64" s="260">
        <v>388</v>
      </c>
      <c r="R64" s="32">
        <v>17</v>
      </c>
      <c r="S64" s="135">
        <v>19</v>
      </c>
      <c r="T64" s="260">
        <f t="shared" si="1"/>
        <v>17</v>
      </c>
      <c r="U64" s="30">
        <v>0</v>
      </c>
      <c r="V64" s="31">
        <v>332</v>
      </c>
      <c r="W64" s="31">
        <f t="shared" si="2"/>
        <v>0</v>
      </c>
      <c r="X64" s="260">
        <f t="shared" si="3"/>
        <v>6</v>
      </c>
      <c r="Y64" s="323">
        <v>0.41399999999999998</v>
      </c>
      <c r="Z64" s="323">
        <v>119272</v>
      </c>
      <c r="AA64" s="323">
        <v>646</v>
      </c>
      <c r="AB64" s="151" t="s">
        <v>2708</v>
      </c>
      <c r="AC64" s="155">
        <v>2000</v>
      </c>
      <c r="AD64" s="254">
        <f t="shared" si="0"/>
        <v>3.7529089664612911</v>
      </c>
      <c r="AE64" s="152" t="s">
        <v>2708</v>
      </c>
      <c r="AF64" s="252">
        <v>6</v>
      </c>
      <c r="AG64" s="242">
        <v>18</v>
      </c>
      <c r="AH64" s="242" t="s">
        <v>2252</v>
      </c>
      <c r="AI64" s="243">
        <v>5.6</v>
      </c>
      <c r="AJ64" s="244">
        <v>3120</v>
      </c>
      <c r="AK64" s="244">
        <v>39</v>
      </c>
      <c r="AL64" s="244">
        <v>4</v>
      </c>
      <c r="AM64" s="244">
        <v>54</v>
      </c>
      <c r="AN64" s="245">
        <v>13.26</v>
      </c>
      <c r="AO64" s="245">
        <v>2.27</v>
      </c>
      <c r="AP64" s="232">
        <v>73</v>
      </c>
    </row>
    <row r="65" spans="1:42" x14ac:dyDescent="0.2">
      <c r="A65" s="231">
        <v>65</v>
      </c>
      <c r="B65" s="255" t="s">
        <v>1900</v>
      </c>
      <c r="C65" s="256" t="s">
        <v>2668</v>
      </c>
      <c r="D65" s="264">
        <v>27</v>
      </c>
      <c r="E65" s="265">
        <v>104</v>
      </c>
      <c r="F65" s="22" t="s">
        <v>2706</v>
      </c>
      <c r="G65" s="23" t="s">
        <v>2710</v>
      </c>
      <c r="H65" s="24" t="s">
        <v>2707</v>
      </c>
      <c r="I65" s="24" t="s">
        <v>2707</v>
      </c>
      <c r="J65" s="25" t="s">
        <v>2707</v>
      </c>
      <c r="K65" s="26">
        <v>38265</v>
      </c>
      <c r="L65" s="27" t="s">
        <v>2709</v>
      </c>
      <c r="M65" s="28">
        <v>357999</v>
      </c>
      <c r="N65" s="29">
        <v>6179354</v>
      </c>
      <c r="O65" s="32">
        <v>252</v>
      </c>
      <c r="P65" s="135" t="s">
        <v>2708</v>
      </c>
      <c r="Q65" s="260">
        <v>247</v>
      </c>
      <c r="R65" s="32">
        <v>6</v>
      </c>
      <c r="S65" s="135">
        <v>5</v>
      </c>
      <c r="T65" s="260">
        <f t="shared" si="1"/>
        <v>6</v>
      </c>
      <c r="U65" s="30">
        <v>205</v>
      </c>
      <c r="V65" s="31">
        <v>200</v>
      </c>
      <c r="W65" s="31">
        <f t="shared" si="2"/>
        <v>205</v>
      </c>
      <c r="X65" s="260">
        <f t="shared" si="3"/>
        <v>1</v>
      </c>
      <c r="Y65" s="323">
        <v>0.25900000000000001</v>
      </c>
      <c r="Z65" s="323">
        <v>101822</v>
      </c>
      <c r="AA65" s="323">
        <v>1186</v>
      </c>
      <c r="AB65" s="151" t="s">
        <v>2708</v>
      </c>
      <c r="AC65" s="155">
        <v>2000</v>
      </c>
      <c r="AD65" s="254">
        <f t="shared" ref="AD65:AD128" si="4">IF(AC65=0,1000,IF(AC65=9999,"ND",(K65/365.25+1899)-AC65))</f>
        <v>3.7638603696098016</v>
      </c>
      <c r="AE65" s="152" t="s">
        <v>2708</v>
      </c>
      <c r="AF65" s="252">
        <v>100</v>
      </c>
      <c r="AG65" s="242">
        <v>0</v>
      </c>
      <c r="AH65" s="242" t="s">
        <v>2252</v>
      </c>
      <c r="AI65" s="243">
        <v>6.9</v>
      </c>
      <c r="AJ65" s="244">
        <v>3440</v>
      </c>
      <c r="AK65" s="244">
        <v>18</v>
      </c>
      <c r="AL65" s="244">
        <v>43</v>
      </c>
      <c r="AM65" s="244">
        <v>22</v>
      </c>
      <c r="AN65" s="245">
        <v>6.95</v>
      </c>
      <c r="AO65" s="245">
        <v>0.63</v>
      </c>
      <c r="AP65" s="232">
        <v>74</v>
      </c>
    </row>
    <row r="66" spans="1:42" x14ac:dyDescent="0.2">
      <c r="A66" s="231">
        <v>66</v>
      </c>
      <c r="B66" s="255" t="s">
        <v>1900</v>
      </c>
      <c r="C66" s="256" t="s">
        <v>2668</v>
      </c>
      <c r="D66" s="264">
        <v>25</v>
      </c>
      <c r="E66" s="265">
        <v>167.5</v>
      </c>
      <c r="F66" s="22" t="s">
        <v>2706</v>
      </c>
      <c r="G66" s="23" t="s">
        <v>2710</v>
      </c>
      <c r="H66" s="24" t="s">
        <v>2707</v>
      </c>
      <c r="I66" s="24" t="s">
        <v>2707</v>
      </c>
      <c r="J66" s="25" t="s">
        <v>2707</v>
      </c>
      <c r="K66" s="26">
        <v>38261</v>
      </c>
      <c r="L66" s="27" t="s">
        <v>2709</v>
      </c>
      <c r="M66" s="28">
        <v>358660</v>
      </c>
      <c r="N66" s="29">
        <v>6179080</v>
      </c>
      <c r="O66" s="32">
        <v>301</v>
      </c>
      <c r="P66" s="135" t="s">
        <v>2708</v>
      </c>
      <c r="Q66" s="260">
        <v>293</v>
      </c>
      <c r="R66" s="32">
        <v>2</v>
      </c>
      <c r="S66" s="135">
        <v>7</v>
      </c>
      <c r="T66" s="260">
        <f t="shared" ref="T66:T129" si="5">IF(OR(R66="ND",R66=""),S66,R66)</f>
        <v>2</v>
      </c>
      <c r="U66" s="30">
        <v>315</v>
      </c>
      <c r="V66" s="31">
        <v>258</v>
      </c>
      <c r="W66" s="31">
        <f t="shared" ref="W66:W129" si="6">IF(OR(U66="ND",U66=""),V66,U66)</f>
        <v>315</v>
      </c>
      <c r="X66" s="260">
        <f t="shared" si="3"/>
        <v>4</v>
      </c>
      <c r="Y66" s="323">
        <v>0.90600000000000003</v>
      </c>
      <c r="Z66" s="323">
        <v>105544</v>
      </c>
      <c r="AA66" s="323">
        <v>1029</v>
      </c>
      <c r="AB66" s="151" t="s">
        <v>2708</v>
      </c>
      <c r="AC66" s="155">
        <v>1996</v>
      </c>
      <c r="AD66" s="254">
        <f t="shared" si="4"/>
        <v>7.7529089664612911</v>
      </c>
      <c r="AE66" s="152" t="s">
        <v>2708</v>
      </c>
      <c r="AF66" s="252">
        <v>100</v>
      </c>
      <c r="AG66" s="242">
        <v>0</v>
      </c>
      <c r="AH66" s="242" t="s">
        <v>2252</v>
      </c>
      <c r="AI66" s="243">
        <v>8.1</v>
      </c>
      <c r="AJ66" s="244">
        <v>1830</v>
      </c>
      <c r="AK66" s="244">
        <v>94</v>
      </c>
      <c r="AL66" s="244">
        <v>23</v>
      </c>
      <c r="AM66" s="244">
        <v>27</v>
      </c>
      <c r="AN66" s="245">
        <v>62</v>
      </c>
      <c r="AO66" s="245">
        <v>1.28</v>
      </c>
      <c r="AP66" s="232">
        <v>75</v>
      </c>
    </row>
    <row r="67" spans="1:42" x14ac:dyDescent="0.2">
      <c r="A67" s="231">
        <v>67</v>
      </c>
      <c r="B67" s="255" t="s">
        <v>1900</v>
      </c>
      <c r="C67" s="256" t="s">
        <v>1083</v>
      </c>
      <c r="D67" s="264">
        <v>17</v>
      </c>
      <c r="E67" s="265">
        <v>159</v>
      </c>
      <c r="F67" s="22" t="s">
        <v>2706</v>
      </c>
      <c r="G67" s="23" t="s">
        <v>2710</v>
      </c>
      <c r="H67" s="24" t="s">
        <v>2707</v>
      </c>
      <c r="I67" s="24" t="s">
        <v>2707</v>
      </c>
      <c r="J67" s="25" t="s">
        <v>2707</v>
      </c>
      <c r="K67" s="26">
        <v>38261</v>
      </c>
      <c r="L67" s="27" t="s">
        <v>2709</v>
      </c>
      <c r="M67" s="28">
        <v>359046</v>
      </c>
      <c r="N67" s="29">
        <v>6179207</v>
      </c>
      <c r="O67" s="32">
        <v>314</v>
      </c>
      <c r="P67" s="135" t="s">
        <v>2708</v>
      </c>
      <c r="Q67" s="260">
        <v>312</v>
      </c>
      <c r="R67" s="32">
        <v>1</v>
      </c>
      <c r="S67" s="135">
        <v>5</v>
      </c>
      <c r="T67" s="260">
        <f t="shared" si="5"/>
        <v>1</v>
      </c>
      <c r="U67" s="30">
        <v>305</v>
      </c>
      <c r="V67" s="31">
        <v>260</v>
      </c>
      <c r="W67" s="31">
        <f t="shared" si="6"/>
        <v>305</v>
      </c>
      <c r="X67" s="260">
        <f t="shared" si="3"/>
        <v>4</v>
      </c>
      <c r="Y67" s="323">
        <v>0.37</v>
      </c>
      <c r="Z67" s="323">
        <v>106297</v>
      </c>
      <c r="AA67" s="323">
        <v>713</v>
      </c>
      <c r="AB67" s="151" t="s">
        <v>2708</v>
      </c>
      <c r="AC67" s="155">
        <v>2000</v>
      </c>
      <c r="AD67" s="254">
        <f t="shared" si="4"/>
        <v>3.7529089664612911</v>
      </c>
      <c r="AE67" s="152" t="s">
        <v>2708</v>
      </c>
      <c r="AF67" s="252">
        <v>100</v>
      </c>
      <c r="AG67" s="242">
        <v>0</v>
      </c>
      <c r="AH67" s="242" t="s">
        <v>2252</v>
      </c>
      <c r="AI67" s="243">
        <v>6.2</v>
      </c>
      <c r="AJ67" s="244">
        <v>4180</v>
      </c>
      <c r="AK67" s="244">
        <v>15</v>
      </c>
      <c r="AL67" s="244">
        <v>8</v>
      </c>
      <c r="AM67" s="244">
        <v>9</v>
      </c>
      <c r="AN67" s="245">
        <v>3.65</v>
      </c>
      <c r="AO67" s="245">
        <v>0.53</v>
      </c>
      <c r="AP67" s="232">
        <v>76</v>
      </c>
    </row>
    <row r="68" spans="1:42" x14ac:dyDescent="0.2">
      <c r="A68" s="231">
        <v>68</v>
      </c>
      <c r="B68" s="255" t="s">
        <v>1900</v>
      </c>
      <c r="C68" s="256" t="s">
        <v>1252</v>
      </c>
      <c r="D68" s="264">
        <v>37</v>
      </c>
      <c r="E68" s="265">
        <v>118</v>
      </c>
      <c r="F68" s="22" t="s">
        <v>2706</v>
      </c>
      <c r="G68" s="23" t="s">
        <v>2707</v>
      </c>
      <c r="H68" s="24" t="s">
        <v>2707</v>
      </c>
      <c r="I68" s="24" t="s">
        <v>2707</v>
      </c>
      <c r="J68" s="25" t="s">
        <v>2707</v>
      </c>
      <c r="K68" s="26">
        <v>38263</v>
      </c>
      <c r="L68" s="27" t="s">
        <v>2709</v>
      </c>
      <c r="M68" s="28">
        <v>359447</v>
      </c>
      <c r="N68" s="29">
        <v>6178415</v>
      </c>
      <c r="O68" s="32">
        <v>369</v>
      </c>
      <c r="P68" s="135" t="s">
        <v>2708</v>
      </c>
      <c r="Q68" s="260">
        <v>367</v>
      </c>
      <c r="R68" s="32">
        <v>14</v>
      </c>
      <c r="S68" s="135">
        <v>18</v>
      </c>
      <c r="T68" s="260">
        <f t="shared" si="5"/>
        <v>14</v>
      </c>
      <c r="U68" s="30">
        <v>0</v>
      </c>
      <c r="V68" s="31">
        <v>300</v>
      </c>
      <c r="W68" s="31">
        <f t="shared" si="6"/>
        <v>0</v>
      </c>
      <c r="X68" s="260">
        <f t="shared" si="3"/>
        <v>6</v>
      </c>
      <c r="Y68" s="323">
        <v>0.161</v>
      </c>
      <c r="Z68" s="323">
        <v>112335</v>
      </c>
      <c r="AA68" s="323">
        <v>770</v>
      </c>
      <c r="AB68" s="151" t="s">
        <v>2708</v>
      </c>
      <c r="AC68" s="155">
        <v>2001</v>
      </c>
      <c r="AD68" s="254">
        <f t="shared" si="4"/>
        <v>2.7583846680356601</v>
      </c>
      <c r="AE68" s="152" t="s">
        <v>2708</v>
      </c>
      <c r="AF68" s="252">
        <v>2</v>
      </c>
      <c r="AG68" s="242">
        <v>40</v>
      </c>
      <c r="AH68" s="242" t="s">
        <v>2252</v>
      </c>
      <c r="AI68" s="243">
        <v>5.5</v>
      </c>
      <c r="AJ68" s="244">
        <v>4360</v>
      </c>
      <c r="AK68" s="244">
        <v>18</v>
      </c>
      <c r="AL68" s="244">
        <v>1</v>
      </c>
      <c r="AM68" s="244">
        <v>10</v>
      </c>
      <c r="AN68" s="245">
        <v>2.74</v>
      </c>
      <c r="AO68" s="245">
        <v>0.55000000000000004</v>
      </c>
      <c r="AP68" s="232">
        <v>77</v>
      </c>
    </row>
    <row r="69" spans="1:42" x14ac:dyDescent="0.2">
      <c r="A69" s="231">
        <v>69</v>
      </c>
      <c r="B69" s="255" t="s">
        <v>1900</v>
      </c>
      <c r="C69" s="256" t="s">
        <v>2248</v>
      </c>
      <c r="D69" s="264">
        <v>22</v>
      </c>
      <c r="E69" s="265">
        <v>145.5</v>
      </c>
      <c r="F69" s="22" t="s">
        <v>2706</v>
      </c>
      <c r="G69" s="23" t="s">
        <v>2707</v>
      </c>
      <c r="H69" s="24" t="s">
        <v>2707</v>
      </c>
      <c r="I69" s="24" t="s">
        <v>2707</v>
      </c>
      <c r="J69" s="25" t="s">
        <v>2707</v>
      </c>
      <c r="K69" s="26">
        <v>38263</v>
      </c>
      <c r="L69" s="27" t="s">
        <v>2709</v>
      </c>
      <c r="M69" s="28">
        <v>358962</v>
      </c>
      <c r="N69" s="29">
        <v>6178591</v>
      </c>
      <c r="O69" s="32">
        <v>308</v>
      </c>
      <c r="P69" s="135" t="s">
        <v>2708</v>
      </c>
      <c r="Q69" s="260">
        <v>297</v>
      </c>
      <c r="R69" s="32">
        <v>9</v>
      </c>
      <c r="S69" s="135">
        <v>17</v>
      </c>
      <c r="T69" s="260">
        <f t="shared" si="5"/>
        <v>9</v>
      </c>
      <c r="U69" s="30">
        <v>230</v>
      </c>
      <c r="V69" s="31">
        <v>205</v>
      </c>
      <c r="W69" s="31">
        <f t="shared" si="6"/>
        <v>230</v>
      </c>
      <c r="X69" s="260">
        <f t="shared" si="3"/>
        <v>2</v>
      </c>
      <c r="Y69" s="323">
        <v>0.48499999999999999</v>
      </c>
      <c r="Z69" s="323">
        <v>86860</v>
      </c>
      <c r="AA69" s="323">
        <v>925</v>
      </c>
      <c r="AB69" s="151" t="s">
        <v>2708</v>
      </c>
      <c r="AC69" s="155">
        <v>1996</v>
      </c>
      <c r="AD69" s="254">
        <f t="shared" si="4"/>
        <v>7.7583846680356601</v>
      </c>
      <c r="AE69" s="152" t="s">
        <v>2708</v>
      </c>
      <c r="AF69" s="252">
        <v>55</v>
      </c>
      <c r="AG69" s="242">
        <v>0</v>
      </c>
      <c r="AH69" s="242" t="s">
        <v>2253</v>
      </c>
      <c r="AI69" s="243">
        <v>5.6</v>
      </c>
      <c r="AJ69" s="244">
        <v>1800</v>
      </c>
      <c r="AK69" s="244">
        <v>65</v>
      </c>
      <c r="AL69" s="244">
        <v>8</v>
      </c>
      <c r="AM69" s="244">
        <v>65</v>
      </c>
      <c r="AN69" s="245">
        <v>17.329999999999998</v>
      </c>
      <c r="AO69" s="245">
        <v>3</v>
      </c>
      <c r="AP69" s="232">
        <v>78</v>
      </c>
    </row>
    <row r="70" spans="1:42" x14ac:dyDescent="0.2">
      <c r="A70" s="231">
        <v>70</v>
      </c>
      <c r="B70" s="255" t="s">
        <v>1900</v>
      </c>
      <c r="C70" s="256" t="s">
        <v>2668</v>
      </c>
      <c r="D70" s="264">
        <v>35</v>
      </c>
      <c r="E70" s="265">
        <v>176.5</v>
      </c>
      <c r="F70" s="22" t="s">
        <v>2706</v>
      </c>
      <c r="G70" s="23" t="s">
        <v>2710</v>
      </c>
      <c r="H70" s="24" t="s">
        <v>2707</v>
      </c>
      <c r="I70" s="24" t="s">
        <v>2707</v>
      </c>
      <c r="J70" s="25" t="s">
        <v>2707</v>
      </c>
      <c r="K70" s="26">
        <v>38265</v>
      </c>
      <c r="L70" s="27" t="s">
        <v>2709</v>
      </c>
      <c r="M70" s="28">
        <v>357503</v>
      </c>
      <c r="N70" s="29">
        <v>6178735</v>
      </c>
      <c r="O70" s="32">
        <v>233</v>
      </c>
      <c r="P70" s="135" t="s">
        <v>2708</v>
      </c>
      <c r="Q70" s="260">
        <v>233</v>
      </c>
      <c r="R70" s="32">
        <v>2</v>
      </c>
      <c r="S70" s="135">
        <v>5</v>
      </c>
      <c r="T70" s="260">
        <f t="shared" si="5"/>
        <v>2</v>
      </c>
      <c r="U70" s="30">
        <v>340</v>
      </c>
      <c r="V70" s="31">
        <v>354</v>
      </c>
      <c r="W70" s="31">
        <f t="shared" si="6"/>
        <v>340</v>
      </c>
      <c r="X70" s="260">
        <f t="shared" si="3"/>
        <v>5</v>
      </c>
      <c r="Y70" s="323">
        <v>0.79100000000000004</v>
      </c>
      <c r="Z70" s="323">
        <v>110872</v>
      </c>
      <c r="AA70" s="323">
        <v>1088</v>
      </c>
      <c r="AB70" s="151" t="s">
        <v>2708</v>
      </c>
      <c r="AC70" s="155">
        <v>1996</v>
      </c>
      <c r="AD70" s="254">
        <f t="shared" si="4"/>
        <v>7.7638603696098016</v>
      </c>
      <c r="AE70" s="152" t="s">
        <v>2708</v>
      </c>
      <c r="AF70" s="252">
        <v>45</v>
      </c>
      <c r="AG70" s="242">
        <v>0</v>
      </c>
      <c r="AH70" s="242" t="s">
        <v>2252</v>
      </c>
      <c r="AI70" s="243">
        <v>8</v>
      </c>
      <c r="AJ70" s="244">
        <v>2380</v>
      </c>
      <c r="AK70" s="244">
        <v>90</v>
      </c>
      <c r="AL70" s="244">
        <v>20</v>
      </c>
      <c r="AM70" s="244">
        <v>14</v>
      </c>
      <c r="AN70" s="245">
        <v>48.44</v>
      </c>
      <c r="AO70" s="245">
        <v>1.23</v>
      </c>
      <c r="AP70" s="232">
        <v>79</v>
      </c>
    </row>
    <row r="71" spans="1:42" x14ac:dyDescent="0.2">
      <c r="A71" s="231">
        <v>71</v>
      </c>
      <c r="B71" s="255" t="s">
        <v>1900</v>
      </c>
      <c r="C71" s="256" t="s">
        <v>2617</v>
      </c>
      <c r="D71" s="264">
        <v>33</v>
      </c>
      <c r="E71" s="265">
        <v>98</v>
      </c>
      <c r="F71" s="22" t="s">
        <v>2706</v>
      </c>
      <c r="G71" s="23" t="s">
        <v>2707</v>
      </c>
      <c r="H71" s="24" t="s">
        <v>2707</v>
      </c>
      <c r="I71" s="24" t="s">
        <v>2707</v>
      </c>
      <c r="J71" s="25" t="s">
        <v>2707</v>
      </c>
      <c r="K71" s="26">
        <v>38278</v>
      </c>
      <c r="L71" s="27" t="s">
        <v>2709</v>
      </c>
      <c r="M71" s="28">
        <v>359162</v>
      </c>
      <c r="N71" s="29">
        <v>6178383</v>
      </c>
      <c r="O71" s="32">
        <v>323</v>
      </c>
      <c r="P71" s="135" t="s">
        <v>2708</v>
      </c>
      <c r="Q71" s="260">
        <v>317</v>
      </c>
      <c r="R71" s="32">
        <v>40</v>
      </c>
      <c r="S71" s="135">
        <v>12</v>
      </c>
      <c r="T71" s="260">
        <f t="shared" si="5"/>
        <v>40</v>
      </c>
      <c r="U71" s="30">
        <v>50</v>
      </c>
      <c r="V71" s="31">
        <v>53</v>
      </c>
      <c r="W71" s="31">
        <f t="shared" si="6"/>
        <v>50</v>
      </c>
      <c r="X71" s="260">
        <f t="shared" si="3"/>
        <v>4</v>
      </c>
      <c r="Y71" s="323">
        <v>0.69799999999999995</v>
      </c>
      <c r="Z71" s="323">
        <v>115471</v>
      </c>
      <c r="AA71" s="323">
        <v>713</v>
      </c>
      <c r="AB71" s="151" t="s">
        <v>2708</v>
      </c>
      <c r="AC71" s="155">
        <v>2001</v>
      </c>
      <c r="AD71" s="254">
        <f t="shared" si="4"/>
        <v>2.7994524298426313</v>
      </c>
      <c r="AE71" s="152" t="s">
        <v>2708</v>
      </c>
      <c r="AF71" s="252">
        <v>15</v>
      </c>
      <c r="AG71" s="242">
        <v>65</v>
      </c>
      <c r="AH71" s="242" t="s">
        <v>2253</v>
      </c>
      <c r="AI71" s="243">
        <v>7.9</v>
      </c>
      <c r="AJ71" s="244">
        <v>680</v>
      </c>
      <c r="AK71" s="244">
        <v>145</v>
      </c>
      <c r="AL71" s="244">
        <v>31</v>
      </c>
      <c r="AM71" s="244">
        <v>78</v>
      </c>
      <c r="AN71" s="245">
        <v>45.31</v>
      </c>
      <c r="AO71" s="245">
        <v>3.38</v>
      </c>
      <c r="AP71" s="232">
        <v>80</v>
      </c>
    </row>
    <row r="72" spans="1:42" x14ac:dyDescent="0.2">
      <c r="A72" s="269">
        <v>72</v>
      </c>
      <c r="B72" s="270" t="s">
        <v>1901</v>
      </c>
      <c r="C72" s="271" t="s">
        <v>1252</v>
      </c>
      <c r="D72" s="272" t="s">
        <v>2708</v>
      </c>
      <c r="E72" s="273" t="s">
        <v>2708</v>
      </c>
      <c r="F72" s="22" t="s">
        <v>743</v>
      </c>
      <c r="G72" s="23" t="s">
        <v>743</v>
      </c>
      <c r="H72" s="24" t="s">
        <v>743</v>
      </c>
      <c r="I72" s="24" t="s">
        <v>743</v>
      </c>
      <c r="J72" s="25" t="s">
        <v>743</v>
      </c>
      <c r="K72" s="26">
        <v>38278</v>
      </c>
      <c r="L72" s="27" t="s">
        <v>2709</v>
      </c>
      <c r="M72" s="28">
        <v>359335</v>
      </c>
      <c r="N72" s="29">
        <v>6178573</v>
      </c>
      <c r="O72" s="32" t="s">
        <v>2708</v>
      </c>
      <c r="P72" s="135"/>
      <c r="Q72" s="260">
        <v>314</v>
      </c>
      <c r="R72" s="32"/>
      <c r="S72" s="135">
        <v>9</v>
      </c>
      <c r="T72" s="260">
        <f t="shared" si="5"/>
        <v>9</v>
      </c>
      <c r="U72" s="30"/>
      <c r="V72" s="31">
        <v>227</v>
      </c>
      <c r="W72" s="31">
        <f t="shared" si="6"/>
        <v>227</v>
      </c>
      <c r="X72" s="260">
        <f t="shared" si="3"/>
        <v>2</v>
      </c>
      <c r="Y72" s="323">
        <v>2.597</v>
      </c>
      <c r="Z72" s="323">
        <v>99673</v>
      </c>
      <c r="AA72" s="323">
        <v>447</v>
      </c>
      <c r="AB72" s="151"/>
      <c r="AC72" s="155">
        <v>100</v>
      </c>
      <c r="AD72" s="254">
        <f t="shared" si="4"/>
        <v>1903.7994524298426</v>
      </c>
      <c r="AE72" s="152" t="s">
        <v>2708</v>
      </c>
      <c r="AF72" s="252" t="s">
        <v>2708</v>
      </c>
      <c r="AG72" s="242" t="s">
        <v>2708</v>
      </c>
      <c r="AH72" s="242" t="s">
        <v>2708</v>
      </c>
      <c r="AI72" s="243" t="s">
        <v>2708</v>
      </c>
      <c r="AJ72" s="244" t="s">
        <v>2708</v>
      </c>
      <c r="AK72" s="244" t="s">
        <v>2708</v>
      </c>
      <c r="AL72" s="244" t="s">
        <v>2708</v>
      </c>
      <c r="AM72" s="244" t="s">
        <v>2708</v>
      </c>
      <c r="AN72" s="245" t="s">
        <v>2708</v>
      </c>
      <c r="AO72" s="245" t="s">
        <v>2708</v>
      </c>
      <c r="AP72" s="274">
        <v>100</v>
      </c>
    </row>
    <row r="73" spans="1:42" x14ac:dyDescent="0.2">
      <c r="A73" s="269">
        <v>73</v>
      </c>
      <c r="B73" s="270" t="s">
        <v>1901</v>
      </c>
      <c r="C73" s="271" t="s">
        <v>1251</v>
      </c>
      <c r="D73" s="272" t="s">
        <v>2708</v>
      </c>
      <c r="E73" s="273" t="s">
        <v>2708</v>
      </c>
      <c r="F73" s="22" t="s">
        <v>743</v>
      </c>
      <c r="G73" s="23" t="s">
        <v>743</v>
      </c>
      <c r="H73" s="24" t="s">
        <v>743</v>
      </c>
      <c r="I73" s="24" t="s">
        <v>743</v>
      </c>
      <c r="J73" s="25" t="s">
        <v>743</v>
      </c>
      <c r="K73" s="26">
        <v>38278</v>
      </c>
      <c r="L73" s="27" t="s">
        <v>2709</v>
      </c>
      <c r="M73" s="28">
        <v>359379</v>
      </c>
      <c r="N73" s="29">
        <v>6178524</v>
      </c>
      <c r="O73" s="32" t="s">
        <v>2708</v>
      </c>
      <c r="P73" s="135"/>
      <c r="Q73" s="260">
        <v>326</v>
      </c>
      <c r="R73" s="32"/>
      <c r="S73" s="135">
        <v>17</v>
      </c>
      <c r="T73" s="260">
        <f t="shared" si="5"/>
        <v>17</v>
      </c>
      <c r="U73" s="30"/>
      <c r="V73" s="31">
        <v>333</v>
      </c>
      <c r="W73" s="31">
        <f t="shared" si="6"/>
        <v>333</v>
      </c>
      <c r="X73" s="260">
        <f t="shared" si="3"/>
        <v>5</v>
      </c>
      <c r="Y73" s="323">
        <v>0.80900000000000005</v>
      </c>
      <c r="Z73" s="323">
        <v>117226</v>
      </c>
      <c r="AA73" s="323">
        <v>447</v>
      </c>
      <c r="AB73" s="151"/>
      <c r="AC73" s="155">
        <v>1996</v>
      </c>
      <c r="AD73" s="254">
        <f t="shared" si="4"/>
        <v>7.7994524298426313</v>
      </c>
      <c r="AE73" s="152" t="s">
        <v>2708</v>
      </c>
      <c r="AF73" s="252" t="s">
        <v>2708</v>
      </c>
      <c r="AG73" s="242" t="s">
        <v>2708</v>
      </c>
      <c r="AH73" s="242" t="s">
        <v>2708</v>
      </c>
      <c r="AI73" s="243" t="s">
        <v>2708</v>
      </c>
      <c r="AJ73" s="244" t="s">
        <v>2708</v>
      </c>
      <c r="AK73" s="244" t="s">
        <v>2708</v>
      </c>
      <c r="AL73" s="244" t="s">
        <v>2708</v>
      </c>
      <c r="AM73" s="244" t="s">
        <v>2708</v>
      </c>
      <c r="AN73" s="245" t="s">
        <v>2708</v>
      </c>
      <c r="AO73" s="245" t="s">
        <v>2708</v>
      </c>
      <c r="AP73" s="274">
        <v>101</v>
      </c>
    </row>
    <row r="74" spans="1:42" x14ac:dyDescent="0.2">
      <c r="A74" s="269">
        <v>74</v>
      </c>
      <c r="B74" s="270" t="s">
        <v>1901</v>
      </c>
      <c r="C74" s="271" t="s">
        <v>2617</v>
      </c>
      <c r="D74" s="272" t="s">
        <v>2708</v>
      </c>
      <c r="E74" s="273" t="s">
        <v>2708</v>
      </c>
      <c r="F74" s="22" t="s">
        <v>743</v>
      </c>
      <c r="G74" s="23" t="s">
        <v>743</v>
      </c>
      <c r="H74" s="24" t="s">
        <v>743</v>
      </c>
      <c r="I74" s="24" t="s">
        <v>743</v>
      </c>
      <c r="J74" s="25" t="s">
        <v>743</v>
      </c>
      <c r="K74" s="26">
        <v>38282</v>
      </c>
      <c r="L74" s="27" t="s">
        <v>2709</v>
      </c>
      <c r="M74" s="28">
        <v>355800</v>
      </c>
      <c r="N74" s="29">
        <v>6175377</v>
      </c>
      <c r="O74" s="32">
        <v>233</v>
      </c>
      <c r="P74" s="135"/>
      <c r="Q74" s="260">
        <v>223</v>
      </c>
      <c r="R74" s="32"/>
      <c r="S74" s="135">
        <v>9</v>
      </c>
      <c r="T74" s="260">
        <f t="shared" si="5"/>
        <v>9</v>
      </c>
      <c r="U74" s="30"/>
      <c r="V74" s="31">
        <v>170</v>
      </c>
      <c r="W74" s="31">
        <f t="shared" si="6"/>
        <v>170</v>
      </c>
      <c r="X74" s="260">
        <f t="shared" si="3"/>
        <v>1</v>
      </c>
      <c r="Y74" s="323">
        <v>0.63</v>
      </c>
      <c r="Z74" s="323">
        <v>95688</v>
      </c>
      <c r="AA74" s="323">
        <v>1229</v>
      </c>
      <c r="AB74" s="151"/>
      <c r="AC74" s="155">
        <v>1994</v>
      </c>
      <c r="AD74" s="254">
        <f t="shared" si="4"/>
        <v>9.8104038329911418</v>
      </c>
      <c r="AE74" s="152" t="s">
        <v>2708</v>
      </c>
      <c r="AF74" s="252" t="s">
        <v>2708</v>
      </c>
      <c r="AG74" s="242" t="s">
        <v>2708</v>
      </c>
      <c r="AH74" s="242" t="s">
        <v>2708</v>
      </c>
      <c r="AI74" s="243" t="s">
        <v>2708</v>
      </c>
      <c r="AJ74" s="244" t="s">
        <v>2708</v>
      </c>
      <c r="AK74" s="244" t="s">
        <v>2708</v>
      </c>
      <c r="AL74" s="244" t="s">
        <v>2708</v>
      </c>
      <c r="AM74" s="244" t="s">
        <v>2708</v>
      </c>
      <c r="AN74" s="245" t="s">
        <v>2708</v>
      </c>
      <c r="AO74" s="245" t="s">
        <v>2708</v>
      </c>
      <c r="AP74" s="274">
        <v>104</v>
      </c>
    </row>
    <row r="75" spans="1:42" x14ac:dyDescent="0.2">
      <c r="A75" s="269">
        <v>75</v>
      </c>
      <c r="B75" s="270" t="s">
        <v>1901</v>
      </c>
      <c r="C75" s="271" t="s">
        <v>2669</v>
      </c>
      <c r="D75" s="272" t="s">
        <v>2708</v>
      </c>
      <c r="E75" s="273" t="s">
        <v>2708</v>
      </c>
      <c r="F75" s="22" t="s">
        <v>743</v>
      </c>
      <c r="G75" s="23" t="s">
        <v>743</v>
      </c>
      <c r="H75" s="24" t="s">
        <v>743</v>
      </c>
      <c r="I75" s="24" t="s">
        <v>743</v>
      </c>
      <c r="J75" s="25" t="s">
        <v>743</v>
      </c>
      <c r="K75" s="26">
        <v>38282</v>
      </c>
      <c r="L75" s="27" t="s">
        <v>2709</v>
      </c>
      <c r="M75" s="28">
        <v>355799</v>
      </c>
      <c r="N75" s="29">
        <v>6175404</v>
      </c>
      <c r="O75" s="32">
        <v>238</v>
      </c>
      <c r="P75" s="135"/>
      <c r="Q75" s="260">
        <v>226</v>
      </c>
      <c r="R75" s="32"/>
      <c r="S75" s="135">
        <v>11</v>
      </c>
      <c r="T75" s="260">
        <f t="shared" si="5"/>
        <v>11</v>
      </c>
      <c r="U75" s="30"/>
      <c r="V75" s="31">
        <v>188</v>
      </c>
      <c r="W75" s="31">
        <f t="shared" si="6"/>
        <v>188</v>
      </c>
      <c r="X75" s="260">
        <f t="shared" si="3"/>
        <v>0</v>
      </c>
      <c r="Y75" s="323">
        <v>0.623</v>
      </c>
      <c r="Z75" s="323">
        <v>92936</v>
      </c>
      <c r="AA75" s="323">
        <v>1140</v>
      </c>
      <c r="AB75" s="151"/>
      <c r="AC75" s="155">
        <v>1994</v>
      </c>
      <c r="AD75" s="254">
        <f t="shared" si="4"/>
        <v>9.8104038329911418</v>
      </c>
      <c r="AE75" s="152" t="s">
        <v>2708</v>
      </c>
      <c r="AF75" s="252" t="s">
        <v>2708</v>
      </c>
      <c r="AG75" s="242" t="s">
        <v>2708</v>
      </c>
      <c r="AH75" s="242" t="s">
        <v>2708</v>
      </c>
      <c r="AI75" s="243" t="s">
        <v>2708</v>
      </c>
      <c r="AJ75" s="244" t="s">
        <v>2708</v>
      </c>
      <c r="AK75" s="244" t="s">
        <v>2708</v>
      </c>
      <c r="AL75" s="244" t="s">
        <v>2708</v>
      </c>
      <c r="AM75" s="244" t="s">
        <v>2708</v>
      </c>
      <c r="AN75" s="245" t="s">
        <v>2708</v>
      </c>
      <c r="AO75" s="245" t="s">
        <v>2708</v>
      </c>
      <c r="AP75" s="274">
        <v>106</v>
      </c>
    </row>
    <row r="76" spans="1:42" x14ac:dyDescent="0.2">
      <c r="A76" s="269">
        <v>76</v>
      </c>
      <c r="B76" s="270" t="s">
        <v>1901</v>
      </c>
      <c r="C76" s="271" t="s">
        <v>2669</v>
      </c>
      <c r="D76" s="272" t="s">
        <v>2708</v>
      </c>
      <c r="E76" s="273" t="s">
        <v>2708</v>
      </c>
      <c r="F76" s="22" t="s">
        <v>743</v>
      </c>
      <c r="G76" s="23" t="s">
        <v>743</v>
      </c>
      <c r="H76" s="24" t="s">
        <v>743</v>
      </c>
      <c r="I76" s="24" t="s">
        <v>743</v>
      </c>
      <c r="J76" s="25" t="s">
        <v>743</v>
      </c>
      <c r="K76" s="26">
        <v>38282</v>
      </c>
      <c r="L76" s="27" t="s">
        <v>2709</v>
      </c>
      <c r="M76" s="28">
        <v>355816</v>
      </c>
      <c r="N76" s="29">
        <v>6175470</v>
      </c>
      <c r="O76" s="32">
        <v>233</v>
      </c>
      <c r="P76" s="135"/>
      <c r="Q76" s="260">
        <v>232</v>
      </c>
      <c r="R76" s="32"/>
      <c r="S76" s="135">
        <v>9</v>
      </c>
      <c r="T76" s="260">
        <f t="shared" si="5"/>
        <v>9</v>
      </c>
      <c r="U76" s="30"/>
      <c r="V76" s="31">
        <v>48</v>
      </c>
      <c r="W76" s="31">
        <f t="shared" si="6"/>
        <v>48</v>
      </c>
      <c r="X76" s="260">
        <f t="shared" si="3"/>
        <v>4</v>
      </c>
      <c r="Y76" s="323">
        <v>7.4999999999999997E-2</v>
      </c>
      <c r="Z76" s="323">
        <v>110981</v>
      </c>
      <c r="AA76" s="323">
        <v>1427</v>
      </c>
      <c r="AB76" s="151"/>
      <c r="AC76" s="155">
        <v>1994</v>
      </c>
      <c r="AD76" s="254">
        <f t="shared" si="4"/>
        <v>9.8104038329911418</v>
      </c>
      <c r="AE76" s="152" t="s">
        <v>2708</v>
      </c>
      <c r="AF76" s="252" t="s">
        <v>2708</v>
      </c>
      <c r="AG76" s="242" t="s">
        <v>2708</v>
      </c>
      <c r="AH76" s="242" t="s">
        <v>2708</v>
      </c>
      <c r="AI76" s="243" t="s">
        <v>2708</v>
      </c>
      <c r="AJ76" s="244" t="s">
        <v>2708</v>
      </c>
      <c r="AK76" s="244" t="s">
        <v>2708</v>
      </c>
      <c r="AL76" s="244" t="s">
        <v>2708</v>
      </c>
      <c r="AM76" s="244" t="s">
        <v>2708</v>
      </c>
      <c r="AN76" s="245" t="s">
        <v>2708</v>
      </c>
      <c r="AO76" s="245" t="s">
        <v>2708</v>
      </c>
      <c r="AP76" s="274">
        <v>108</v>
      </c>
    </row>
    <row r="77" spans="1:42" x14ac:dyDescent="0.2">
      <c r="A77" s="269">
        <v>77</v>
      </c>
      <c r="B77" s="270" t="s">
        <v>1901</v>
      </c>
      <c r="C77" s="271" t="s">
        <v>2618</v>
      </c>
      <c r="D77" s="272" t="s">
        <v>2708</v>
      </c>
      <c r="E77" s="273" t="s">
        <v>2708</v>
      </c>
      <c r="F77" s="22" t="s">
        <v>743</v>
      </c>
      <c r="G77" s="23" t="s">
        <v>743</v>
      </c>
      <c r="H77" s="24" t="s">
        <v>743</v>
      </c>
      <c r="I77" s="24" t="s">
        <v>743</v>
      </c>
      <c r="J77" s="25" t="s">
        <v>743</v>
      </c>
      <c r="K77" s="26">
        <v>38282</v>
      </c>
      <c r="L77" s="27" t="s">
        <v>2709</v>
      </c>
      <c r="M77" s="28">
        <v>355786</v>
      </c>
      <c r="N77" s="29">
        <v>6175364</v>
      </c>
      <c r="O77" s="32" t="s">
        <v>2708</v>
      </c>
      <c r="P77" s="135"/>
      <c r="Q77" s="260">
        <v>222</v>
      </c>
      <c r="R77" s="32"/>
      <c r="S77" s="135">
        <v>6</v>
      </c>
      <c r="T77" s="260">
        <f t="shared" si="5"/>
        <v>6</v>
      </c>
      <c r="U77" s="30"/>
      <c r="V77" s="31">
        <v>104</v>
      </c>
      <c r="W77" s="31">
        <f t="shared" si="6"/>
        <v>104</v>
      </c>
      <c r="X77" s="260">
        <f t="shared" si="3"/>
        <v>3</v>
      </c>
      <c r="Y77" s="323">
        <v>2.0569999999999999</v>
      </c>
      <c r="Z77" s="323">
        <v>103575</v>
      </c>
      <c r="AA77" s="323">
        <v>1220</v>
      </c>
      <c r="AB77" s="151"/>
      <c r="AC77" s="155">
        <v>100</v>
      </c>
      <c r="AD77" s="254">
        <f t="shared" si="4"/>
        <v>1903.8104038329911</v>
      </c>
      <c r="AE77" s="152" t="s">
        <v>2708</v>
      </c>
      <c r="AF77" s="252" t="s">
        <v>2708</v>
      </c>
      <c r="AG77" s="242" t="s">
        <v>2708</v>
      </c>
      <c r="AH77" s="242" t="s">
        <v>2708</v>
      </c>
      <c r="AI77" s="243" t="s">
        <v>2708</v>
      </c>
      <c r="AJ77" s="244" t="s">
        <v>2708</v>
      </c>
      <c r="AK77" s="244" t="s">
        <v>2708</v>
      </c>
      <c r="AL77" s="244" t="s">
        <v>2708</v>
      </c>
      <c r="AM77" s="244" t="s">
        <v>2708</v>
      </c>
      <c r="AN77" s="245" t="s">
        <v>2708</v>
      </c>
      <c r="AO77" s="245" t="s">
        <v>2708</v>
      </c>
      <c r="AP77" s="274">
        <v>111</v>
      </c>
    </row>
    <row r="78" spans="1:42" x14ac:dyDescent="0.2">
      <c r="A78" s="269">
        <v>78</v>
      </c>
      <c r="B78" s="270" t="s">
        <v>1901</v>
      </c>
      <c r="C78" s="271" t="s">
        <v>2618</v>
      </c>
      <c r="D78" s="272" t="s">
        <v>2708</v>
      </c>
      <c r="E78" s="273" t="s">
        <v>2708</v>
      </c>
      <c r="F78" s="22" t="s">
        <v>743</v>
      </c>
      <c r="G78" s="23" t="s">
        <v>743</v>
      </c>
      <c r="H78" s="24" t="s">
        <v>743</v>
      </c>
      <c r="I78" s="24" t="s">
        <v>743</v>
      </c>
      <c r="J78" s="25" t="s">
        <v>743</v>
      </c>
      <c r="K78" s="26">
        <v>38282</v>
      </c>
      <c r="L78" s="27" t="s">
        <v>2709</v>
      </c>
      <c r="M78" s="28">
        <v>355768</v>
      </c>
      <c r="N78" s="29">
        <v>6175357</v>
      </c>
      <c r="O78" s="32" t="s">
        <v>2708</v>
      </c>
      <c r="P78" s="135"/>
      <c r="Q78" s="260">
        <v>224</v>
      </c>
      <c r="R78" s="32"/>
      <c r="S78" s="135">
        <v>8</v>
      </c>
      <c r="T78" s="260">
        <f t="shared" si="5"/>
        <v>8</v>
      </c>
      <c r="U78" s="30"/>
      <c r="V78" s="31">
        <v>60</v>
      </c>
      <c r="W78" s="31">
        <f t="shared" si="6"/>
        <v>60</v>
      </c>
      <c r="X78" s="260">
        <f t="shared" si="3"/>
        <v>4</v>
      </c>
      <c r="Y78" s="323">
        <v>0.56399999999999995</v>
      </c>
      <c r="Z78" s="323">
        <v>108567</v>
      </c>
      <c r="AA78" s="323">
        <v>1251</v>
      </c>
      <c r="AB78" s="151"/>
      <c r="AC78" s="155">
        <v>1994</v>
      </c>
      <c r="AD78" s="254">
        <f t="shared" si="4"/>
        <v>9.8104038329911418</v>
      </c>
      <c r="AE78" s="152" t="s">
        <v>2708</v>
      </c>
      <c r="AF78" s="252" t="s">
        <v>2708</v>
      </c>
      <c r="AG78" s="242" t="s">
        <v>2708</v>
      </c>
      <c r="AH78" s="242" t="s">
        <v>2708</v>
      </c>
      <c r="AI78" s="243" t="s">
        <v>2708</v>
      </c>
      <c r="AJ78" s="244" t="s">
        <v>2708</v>
      </c>
      <c r="AK78" s="244" t="s">
        <v>2708</v>
      </c>
      <c r="AL78" s="244" t="s">
        <v>2708</v>
      </c>
      <c r="AM78" s="244" t="s">
        <v>2708</v>
      </c>
      <c r="AN78" s="245" t="s">
        <v>2708</v>
      </c>
      <c r="AO78" s="245" t="s">
        <v>2708</v>
      </c>
      <c r="AP78" s="274">
        <v>112</v>
      </c>
    </row>
    <row r="79" spans="1:42" x14ac:dyDescent="0.2">
      <c r="A79" s="269">
        <v>79</v>
      </c>
      <c r="B79" s="270" t="s">
        <v>1901</v>
      </c>
      <c r="C79" s="271" t="s">
        <v>2617</v>
      </c>
      <c r="D79" s="272" t="s">
        <v>2708</v>
      </c>
      <c r="E79" s="273" t="s">
        <v>2708</v>
      </c>
      <c r="F79" s="22" t="s">
        <v>743</v>
      </c>
      <c r="G79" s="23" t="s">
        <v>743</v>
      </c>
      <c r="H79" s="24" t="s">
        <v>743</v>
      </c>
      <c r="I79" s="24" t="s">
        <v>743</v>
      </c>
      <c r="J79" s="25" t="s">
        <v>743</v>
      </c>
      <c r="K79" s="26">
        <v>38282</v>
      </c>
      <c r="L79" s="27" t="s">
        <v>2709</v>
      </c>
      <c r="M79" s="28">
        <v>356296</v>
      </c>
      <c r="N79" s="29">
        <v>6175057</v>
      </c>
      <c r="O79" s="32">
        <v>206</v>
      </c>
      <c r="P79" s="135"/>
      <c r="Q79" s="260">
        <v>201</v>
      </c>
      <c r="R79" s="32"/>
      <c r="S79" s="135">
        <v>19</v>
      </c>
      <c r="T79" s="260">
        <f t="shared" si="5"/>
        <v>19</v>
      </c>
      <c r="U79" s="30"/>
      <c r="V79" s="31">
        <v>165</v>
      </c>
      <c r="W79" s="31">
        <f t="shared" si="6"/>
        <v>165</v>
      </c>
      <c r="X79" s="260">
        <f t="shared" si="3"/>
        <v>1</v>
      </c>
      <c r="Y79" s="323">
        <v>0.98599999999999999</v>
      </c>
      <c r="Z79" s="323">
        <v>82367</v>
      </c>
      <c r="AA79" s="323">
        <v>1396</v>
      </c>
      <c r="AB79" s="151"/>
      <c r="AC79" s="155">
        <v>1994</v>
      </c>
      <c r="AD79" s="254">
        <f t="shared" si="4"/>
        <v>9.8104038329911418</v>
      </c>
      <c r="AE79" s="152" t="s">
        <v>2708</v>
      </c>
      <c r="AF79" s="252" t="s">
        <v>2708</v>
      </c>
      <c r="AG79" s="242" t="s">
        <v>2708</v>
      </c>
      <c r="AH79" s="242" t="s">
        <v>2708</v>
      </c>
      <c r="AI79" s="243" t="s">
        <v>2708</v>
      </c>
      <c r="AJ79" s="244" t="s">
        <v>2708</v>
      </c>
      <c r="AK79" s="244" t="s">
        <v>2708</v>
      </c>
      <c r="AL79" s="244" t="s">
        <v>2708</v>
      </c>
      <c r="AM79" s="244" t="s">
        <v>2708</v>
      </c>
      <c r="AN79" s="245" t="s">
        <v>2708</v>
      </c>
      <c r="AO79" s="245" t="s">
        <v>2708</v>
      </c>
      <c r="AP79" s="274">
        <v>115</v>
      </c>
    </row>
    <row r="80" spans="1:42" x14ac:dyDescent="0.2">
      <c r="A80" s="269">
        <v>80</v>
      </c>
      <c r="B80" s="270" t="s">
        <v>1901</v>
      </c>
      <c r="C80" s="271" t="s">
        <v>2669</v>
      </c>
      <c r="D80" s="272" t="s">
        <v>2708</v>
      </c>
      <c r="E80" s="273" t="s">
        <v>2708</v>
      </c>
      <c r="F80" s="22" t="s">
        <v>743</v>
      </c>
      <c r="G80" s="23" t="s">
        <v>743</v>
      </c>
      <c r="H80" s="24" t="s">
        <v>743</v>
      </c>
      <c r="I80" s="24" t="s">
        <v>743</v>
      </c>
      <c r="J80" s="25" t="s">
        <v>743</v>
      </c>
      <c r="K80" s="26">
        <v>38282</v>
      </c>
      <c r="L80" s="27" t="s">
        <v>2709</v>
      </c>
      <c r="M80" s="28">
        <v>356291</v>
      </c>
      <c r="N80" s="29">
        <v>6175098</v>
      </c>
      <c r="O80" s="32">
        <v>217</v>
      </c>
      <c r="P80" s="135"/>
      <c r="Q80" s="260">
        <v>213</v>
      </c>
      <c r="R80" s="32"/>
      <c r="S80" s="135">
        <v>14</v>
      </c>
      <c r="T80" s="260">
        <f t="shared" si="5"/>
        <v>14</v>
      </c>
      <c r="U80" s="30"/>
      <c r="V80" s="31">
        <v>180</v>
      </c>
      <c r="W80" s="31">
        <f t="shared" si="6"/>
        <v>180</v>
      </c>
      <c r="X80" s="260">
        <f t="shared" si="3"/>
        <v>0</v>
      </c>
      <c r="Y80" s="323">
        <v>0.94</v>
      </c>
      <c r="Z80" s="323">
        <v>88377</v>
      </c>
      <c r="AA80" s="323">
        <v>1451</v>
      </c>
      <c r="AB80" s="151"/>
      <c r="AC80" s="155">
        <v>1994</v>
      </c>
      <c r="AD80" s="254">
        <f t="shared" si="4"/>
        <v>9.8104038329911418</v>
      </c>
      <c r="AE80" s="152" t="s">
        <v>2708</v>
      </c>
      <c r="AF80" s="252" t="s">
        <v>2708</v>
      </c>
      <c r="AG80" s="242" t="s">
        <v>2708</v>
      </c>
      <c r="AH80" s="242" t="s">
        <v>2708</v>
      </c>
      <c r="AI80" s="243" t="s">
        <v>2708</v>
      </c>
      <c r="AJ80" s="244" t="s">
        <v>2708</v>
      </c>
      <c r="AK80" s="244" t="s">
        <v>2708</v>
      </c>
      <c r="AL80" s="244" t="s">
        <v>2708</v>
      </c>
      <c r="AM80" s="244" t="s">
        <v>2708</v>
      </c>
      <c r="AN80" s="245" t="s">
        <v>2708</v>
      </c>
      <c r="AO80" s="245" t="s">
        <v>2708</v>
      </c>
      <c r="AP80" s="274">
        <v>116</v>
      </c>
    </row>
    <row r="81" spans="1:42" x14ac:dyDescent="0.2">
      <c r="A81" s="269">
        <v>81</v>
      </c>
      <c r="B81" s="270" t="s">
        <v>1901</v>
      </c>
      <c r="C81" s="271" t="s">
        <v>2618</v>
      </c>
      <c r="D81" s="272" t="s">
        <v>2708</v>
      </c>
      <c r="E81" s="273" t="s">
        <v>2708</v>
      </c>
      <c r="F81" s="22" t="s">
        <v>743</v>
      </c>
      <c r="G81" s="23" t="s">
        <v>743</v>
      </c>
      <c r="H81" s="24" t="s">
        <v>743</v>
      </c>
      <c r="I81" s="24" t="s">
        <v>743</v>
      </c>
      <c r="J81" s="25" t="s">
        <v>743</v>
      </c>
      <c r="K81" s="26">
        <v>38282</v>
      </c>
      <c r="L81" s="27" t="s">
        <v>2709</v>
      </c>
      <c r="M81" s="28">
        <v>356309</v>
      </c>
      <c r="N81" s="29">
        <v>6175154</v>
      </c>
      <c r="O81" s="32">
        <v>222</v>
      </c>
      <c r="P81" s="135"/>
      <c r="Q81" s="260">
        <v>226</v>
      </c>
      <c r="R81" s="32"/>
      <c r="S81" s="135">
        <v>8</v>
      </c>
      <c r="T81" s="260">
        <f t="shared" si="5"/>
        <v>8</v>
      </c>
      <c r="U81" s="30"/>
      <c r="V81" s="31">
        <v>183</v>
      </c>
      <c r="W81" s="31">
        <f t="shared" si="6"/>
        <v>183</v>
      </c>
      <c r="X81" s="260">
        <f t="shared" si="3"/>
        <v>0</v>
      </c>
      <c r="Y81" s="323">
        <v>0.153</v>
      </c>
      <c r="Z81" s="323">
        <v>98226</v>
      </c>
      <c r="AA81" s="323">
        <v>1596</v>
      </c>
      <c r="AB81" s="151"/>
      <c r="AC81" s="155">
        <v>1994</v>
      </c>
      <c r="AD81" s="254">
        <f t="shared" si="4"/>
        <v>9.8104038329911418</v>
      </c>
      <c r="AE81" s="152" t="s">
        <v>2708</v>
      </c>
      <c r="AF81" s="252" t="s">
        <v>2708</v>
      </c>
      <c r="AG81" s="242" t="s">
        <v>2708</v>
      </c>
      <c r="AH81" s="242" t="s">
        <v>2708</v>
      </c>
      <c r="AI81" s="243" t="s">
        <v>2708</v>
      </c>
      <c r="AJ81" s="244" t="s">
        <v>2708</v>
      </c>
      <c r="AK81" s="244" t="s">
        <v>2708</v>
      </c>
      <c r="AL81" s="244" t="s">
        <v>2708</v>
      </c>
      <c r="AM81" s="244" t="s">
        <v>2708</v>
      </c>
      <c r="AN81" s="245" t="s">
        <v>2708</v>
      </c>
      <c r="AO81" s="245" t="s">
        <v>2708</v>
      </c>
      <c r="AP81" s="274">
        <v>120</v>
      </c>
    </row>
    <row r="82" spans="1:42" x14ac:dyDescent="0.2">
      <c r="A82" s="269">
        <v>82</v>
      </c>
      <c r="B82" s="270" t="s">
        <v>1901</v>
      </c>
      <c r="C82" s="271" t="s">
        <v>2669</v>
      </c>
      <c r="D82" s="272" t="s">
        <v>2708</v>
      </c>
      <c r="E82" s="273" t="s">
        <v>2708</v>
      </c>
      <c r="F82" s="22" t="s">
        <v>743</v>
      </c>
      <c r="G82" s="23" t="s">
        <v>743</v>
      </c>
      <c r="H82" s="24" t="s">
        <v>743</v>
      </c>
      <c r="I82" s="24" t="s">
        <v>743</v>
      </c>
      <c r="J82" s="25" t="s">
        <v>743</v>
      </c>
      <c r="K82" s="26">
        <v>38282</v>
      </c>
      <c r="L82" s="27" t="s">
        <v>2709</v>
      </c>
      <c r="M82" s="28">
        <v>356264</v>
      </c>
      <c r="N82" s="29">
        <v>6175007</v>
      </c>
      <c r="O82" s="32">
        <v>183</v>
      </c>
      <c r="P82" s="135"/>
      <c r="Q82" s="260">
        <v>180</v>
      </c>
      <c r="R82" s="32"/>
      <c r="S82" s="135">
        <v>32</v>
      </c>
      <c r="T82" s="260">
        <f t="shared" si="5"/>
        <v>32</v>
      </c>
      <c r="U82" s="30"/>
      <c r="V82" s="31">
        <v>167</v>
      </c>
      <c r="W82" s="31">
        <f t="shared" si="6"/>
        <v>167</v>
      </c>
      <c r="X82" s="260">
        <f t="shared" si="3"/>
        <v>1</v>
      </c>
      <c r="Y82" s="323">
        <v>0.74099999999999999</v>
      </c>
      <c r="Z82" s="323">
        <v>61223</v>
      </c>
      <c r="AA82" s="323">
        <v>1166</v>
      </c>
      <c r="AB82" s="151"/>
      <c r="AC82" s="155">
        <v>1994</v>
      </c>
      <c r="AD82" s="254">
        <f t="shared" si="4"/>
        <v>9.8104038329911418</v>
      </c>
      <c r="AE82" s="152" t="s">
        <v>2708</v>
      </c>
      <c r="AF82" s="252" t="s">
        <v>2708</v>
      </c>
      <c r="AG82" s="242" t="s">
        <v>2708</v>
      </c>
      <c r="AH82" s="242" t="s">
        <v>2708</v>
      </c>
      <c r="AI82" s="243" t="s">
        <v>2708</v>
      </c>
      <c r="AJ82" s="244" t="s">
        <v>2708</v>
      </c>
      <c r="AK82" s="244" t="s">
        <v>2708</v>
      </c>
      <c r="AL82" s="244" t="s">
        <v>2708</v>
      </c>
      <c r="AM82" s="244" t="s">
        <v>2708</v>
      </c>
      <c r="AN82" s="245" t="s">
        <v>2708</v>
      </c>
      <c r="AO82" s="245" t="s">
        <v>2708</v>
      </c>
      <c r="AP82" s="274">
        <v>124</v>
      </c>
    </row>
    <row r="83" spans="1:42" x14ac:dyDescent="0.2">
      <c r="A83" s="269">
        <v>83</v>
      </c>
      <c r="B83" s="270" t="s">
        <v>1901</v>
      </c>
      <c r="C83" s="271" t="s">
        <v>2669</v>
      </c>
      <c r="D83" s="272" t="s">
        <v>2708</v>
      </c>
      <c r="E83" s="273" t="s">
        <v>2708</v>
      </c>
      <c r="F83" s="22" t="s">
        <v>743</v>
      </c>
      <c r="G83" s="23" t="s">
        <v>743</v>
      </c>
      <c r="H83" s="24" t="s">
        <v>743</v>
      </c>
      <c r="I83" s="24" t="s">
        <v>743</v>
      </c>
      <c r="J83" s="25" t="s">
        <v>743</v>
      </c>
      <c r="K83" s="26">
        <v>38282</v>
      </c>
      <c r="L83" s="27" t="s">
        <v>2709</v>
      </c>
      <c r="M83" s="28">
        <v>356236</v>
      </c>
      <c r="N83" s="29">
        <v>6174946</v>
      </c>
      <c r="O83" s="32">
        <v>180</v>
      </c>
      <c r="P83" s="135"/>
      <c r="Q83" s="260">
        <v>179</v>
      </c>
      <c r="R83" s="32"/>
      <c r="S83" s="135">
        <v>23</v>
      </c>
      <c r="T83" s="260">
        <f t="shared" si="5"/>
        <v>23</v>
      </c>
      <c r="U83" s="30"/>
      <c r="V83" s="31">
        <v>65</v>
      </c>
      <c r="W83" s="31">
        <f t="shared" si="6"/>
        <v>65</v>
      </c>
      <c r="X83" s="260">
        <f t="shared" si="3"/>
        <v>4</v>
      </c>
      <c r="Y83" s="323">
        <v>0.89800000000000002</v>
      </c>
      <c r="Z83" s="323">
        <v>106936</v>
      </c>
      <c r="AA83" s="323">
        <v>1180</v>
      </c>
      <c r="AB83" s="151"/>
      <c r="AC83" s="155">
        <v>1994</v>
      </c>
      <c r="AD83" s="254">
        <f t="shared" si="4"/>
        <v>9.8104038329911418</v>
      </c>
      <c r="AE83" s="152" t="s">
        <v>2708</v>
      </c>
      <c r="AF83" s="252" t="s">
        <v>2708</v>
      </c>
      <c r="AG83" s="242" t="s">
        <v>2708</v>
      </c>
      <c r="AH83" s="242" t="s">
        <v>2708</v>
      </c>
      <c r="AI83" s="243" t="s">
        <v>2708</v>
      </c>
      <c r="AJ83" s="244" t="s">
        <v>2708</v>
      </c>
      <c r="AK83" s="244" t="s">
        <v>2708</v>
      </c>
      <c r="AL83" s="244" t="s">
        <v>2708</v>
      </c>
      <c r="AM83" s="244" t="s">
        <v>2708</v>
      </c>
      <c r="AN83" s="245" t="s">
        <v>2708</v>
      </c>
      <c r="AO83" s="245" t="s">
        <v>2708</v>
      </c>
      <c r="AP83" s="274">
        <v>127</v>
      </c>
    </row>
    <row r="84" spans="1:42" x14ac:dyDescent="0.2">
      <c r="A84" s="269">
        <v>84</v>
      </c>
      <c r="B84" s="270" t="s">
        <v>1901</v>
      </c>
      <c r="C84" s="271" t="s">
        <v>2617</v>
      </c>
      <c r="D84" s="272" t="s">
        <v>2708</v>
      </c>
      <c r="E84" s="273" t="s">
        <v>2708</v>
      </c>
      <c r="F84" s="22" t="s">
        <v>743</v>
      </c>
      <c r="G84" s="23" t="s">
        <v>743</v>
      </c>
      <c r="H84" s="24" t="s">
        <v>743</v>
      </c>
      <c r="I84" s="24" t="s">
        <v>743</v>
      </c>
      <c r="J84" s="25" t="s">
        <v>743</v>
      </c>
      <c r="K84" s="26">
        <v>38282</v>
      </c>
      <c r="L84" s="27" t="s">
        <v>2709</v>
      </c>
      <c r="M84" s="28">
        <v>356153</v>
      </c>
      <c r="N84" s="29">
        <v>6174923</v>
      </c>
      <c r="O84" s="32">
        <v>198</v>
      </c>
      <c r="P84" s="135"/>
      <c r="Q84" s="260">
        <v>207</v>
      </c>
      <c r="R84" s="32"/>
      <c r="S84" s="135">
        <v>12</v>
      </c>
      <c r="T84" s="260">
        <f t="shared" si="5"/>
        <v>12</v>
      </c>
      <c r="U84" s="30"/>
      <c r="V84" s="31">
        <v>66</v>
      </c>
      <c r="W84" s="31">
        <f t="shared" si="6"/>
        <v>66</v>
      </c>
      <c r="X84" s="260">
        <f t="shared" si="3"/>
        <v>4</v>
      </c>
      <c r="Y84" s="323">
        <v>0.1</v>
      </c>
      <c r="Z84" s="323">
        <v>109085</v>
      </c>
      <c r="AA84" s="323">
        <v>1387</v>
      </c>
      <c r="AB84" s="151"/>
      <c r="AC84" s="155">
        <v>1994</v>
      </c>
      <c r="AD84" s="254">
        <f t="shared" si="4"/>
        <v>9.8104038329911418</v>
      </c>
      <c r="AE84" s="152" t="s">
        <v>2708</v>
      </c>
      <c r="AF84" s="252" t="s">
        <v>2708</v>
      </c>
      <c r="AG84" s="242" t="s">
        <v>2708</v>
      </c>
      <c r="AH84" s="242" t="s">
        <v>2708</v>
      </c>
      <c r="AI84" s="243" t="s">
        <v>2708</v>
      </c>
      <c r="AJ84" s="244" t="s">
        <v>2708</v>
      </c>
      <c r="AK84" s="244" t="s">
        <v>2708</v>
      </c>
      <c r="AL84" s="244" t="s">
        <v>2708</v>
      </c>
      <c r="AM84" s="244" t="s">
        <v>2708</v>
      </c>
      <c r="AN84" s="245" t="s">
        <v>2708</v>
      </c>
      <c r="AO84" s="245" t="s">
        <v>2708</v>
      </c>
      <c r="AP84" s="274">
        <v>129</v>
      </c>
    </row>
    <row r="85" spans="1:42" x14ac:dyDescent="0.2">
      <c r="A85" s="269">
        <v>85</v>
      </c>
      <c r="B85" s="270" t="s">
        <v>1901</v>
      </c>
      <c r="C85" s="271" t="s">
        <v>2618</v>
      </c>
      <c r="D85" s="272" t="s">
        <v>2708</v>
      </c>
      <c r="E85" s="273" t="s">
        <v>2708</v>
      </c>
      <c r="F85" s="22" t="s">
        <v>743</v>
      </c>
      <c r="G85" s="23" t="s">
        <v>743</v>
      </c>
      <c r="H85" s="24" t="s">
        <v>743</v>
      </c>
      <c r="I85" s="24" t="s">
        <v>743</v>
      </c>
      <c r="J85" s="25" t="s">
        <v>743</v>
      </c>
      <c r="K85" s="26">
        <v>38282</v>
      </c>
      <c r="L85" s="27" t="s">
        <v>2709</v>
      </c>
      <c r="M85" s="28">
        <v>355877</v>
      </c>
      <c r="N85" s="29">
        <v>6175160</v>
      </c>
      <c r="O85" s="32">
        <v>224</v>
      </c>
      <c r="P85" s="135"/>
      <c r="Q85" s="260">
        <v>227</v>
      </c>
      <c r="R85" s="32"/>
      <c r="S85" s="135">
        <v>16</v>
      </c>
      <c r="T85" s="260">
        <f t="shared" si="5"/>
        <v>16</v>
      </c>
      <c r="U85" s="30"/>
      <c r="V85" s="31">
        <v>60</v>
      </c>
      <c r="W85" s="31">
        <f t="shared" si="6"/>
        <v>60</v>
      </c>
      <c r="X85" s="260">
        <f t="shared" si="3"/>
        <v>4</v>
      </c>
      <c r="Y85" s="323">
        <v>0.79300000000000004</v>
      </c>
      <c r="Z85" s="323">
        <v>110322</v>
      </c>
      <c r="AA85" s="323">
        <v>1305</v>
      </c>
      <c r="AB85" s="151"/>
      <c r="AC85" s="155">
        <v>1994</v>
      </c>
      <c r="AD85" s="254">
        <f t="shared" si="4"/>
        <v>9.8104038329911418</v>
      </c>
      <c r="AE85" s="152" t="s">
        <v>2708</v>
      </c>
      <c r="AF85" s="252" t="s">
        <v>2708</v>
      </c>
      <c r="AG85" s="242" t="s">
        <v>2708</v>
      </c>
      <c r="AH85" s="242" t="s">
        <v>2708</v>
      </c>
      <c r="AI85" s="243" t="s">
        <v>2708</v>
      </c>
      <c r="AJ85" s="244" t="s">
        <v>2708</v>
      </c>
      <c r="AK85" s="244" t="s">
        <v>2708</v>
      </c>
      <c r="AL85" s="244" t="s">
        <v>2708</v>
      </c>
      <c r="AM85" s="244" t="s">
        <v>2708</v>
      </c>
      <c r="AN85" s="245" t="s">
        <v>2708</v>
      </c>
      <c r="AO85" s="245" t="s">
        <v>2708</v>
      </c>
      <c r="AP85" s="274">
        <v>133</v>
      </c>
    </row>
    <row r="86" spans="1:42" x14ac:dyDescent="0.2">
      <c r="A86" s="269">
        <v>86</v>
      </c>
      <c r="B86" s="270" t="s">
        <v>1901</v>
      </c>
      <c r="C86" s="271" t="s">
        <v>2247</v>
      </c>
      <c r="D86" s="272" t="s">
        <v>2708</v>
      </c>
      <c r="E86" s="273" t="s">
        <v>2708</v>
      </c>
      <c r="F86" s="22" t="s">
        <v>743</v>
      </c>
      <c r="G86" s="23" t="s">
        <v>743</v>
      </c>
      <c r="H86" s="24" t="s">
        <v>743</v>
      </c>
      <c r="I86" s="24" t="s">
        <v>743</v>
      </c>
      <c r="J86" s="25" t="s">
        <v>743</v>
      </c>
      <c r="K86" s="26">
        <v>38282</v>
      </c>
      <c r="L86" s="27" t="s">
        <v>2709</v>
      </c>
      <c r="M86" s="28">
        <v>355642</v>
      </c>
      <c r="N86" s="29">
        <v>6175184</v>
      </c>
      <c r="O86" s="32">
        <v>273</v>
      </c>
      <c r="P86" s="135"/>
      <c r="Q86" s="260">
        <v>271</v>
      </c>
      <c r="R86" s="32"/>
      <c r="S86" s="135">
        <v>14</v>
      </c>
      <c r="T86" s="260">
        <f t="shared" si="5"/>
        <v>14</v>
      </c>
      <c r="U86" s="30"/>
      <c r="V86" s="31">
        <v>54</v>
      </c>
      <c r="W86" s="31">
        <f t="shared" si="6"/>
        <v>54</v>
      </c>
      <c r="X86" s="260">
        <f t="shared" si="3"/>
        <v>4</v>
      </c>
      <c r="Y86" s="323">
        <v>0.79500000000000004</v>
      </c>
      <c r="Z86" s="323">
        <v>112176</v>
      </c>
      <c r="AA86" s="323">
        <v>1385</v>
      </c>
      <c r="AB86" s="151"/>
      <c r="AC86" s="155">
        <v>1994</v>
      </c>
      <c r="AD86" s="254">
        <f t="shared" si="4"/>
        <v>9.8104038329911418</v>
      </c>
      <c r="AE86" s="152" t="s">
        <v>2708</v>
      </c>
      <c r="AF86" s="252" t="s">
        <v>2708</v>
      </c>
      <c r="AG86" s="242" t="s">
        <v>2708</v>
      </c>
      <c r="AH86" s="242" t="s">
        <v>2708</v>
      </c>
      <c r="AI86" s="243" t="s">
        <v>2708</v>
      </c>
      <c r="AJ86" s="244" t="s">
        <v>2708</v>
      </c>
      <c r="AK86" s="244" t="s">
        <v>2708</v>
      </c>
      <c r="AL86" s="244" t="s">
        <v>2708</v>
      </c>
      <c r="AM86" s="244" t="s">
        <v>2708</v>
      </c>
      <c r="AN86" s="245" t="s">
        <v>2708</v>
      </c>
      <c r="AO86" s="245" t="s">
        <v>2708</v>
      </c>
      <c r="AP86" s="274">
        <v>134</v>
      </c>
    </row>
    <row r="87" spans="1:42" x14ac:dyDescent="0.2">
      <c r="A87" s="269">
        <v>87</v>
      </c>
      <c r="B87" s="270" t="s">
        <v>1901</v>
      </c>
      <c r="C87" s="271" t="s">
        <v>2249</v>
      </c>
      <c r="D87" s="272" t="s">
        <v>2708</v>
      </c>
      <c r="E87" s="273" t="s">
        <v>2708</v>
      </c>
      <c r="F87" s="22" t="s">
        <v>743</v>
      </c>
      <c r="G87" s="23" t="s">
        <v>743</v>
      </c>
      <c r="H87" s="24" t="s">
        <v>743</v>
      </c>
      <c r="I87" s="24" t="s">
        <v>743</v>
      </c>
      <c r="J87" s="25" t="s">
        <v>743</v>
      </c>
      <c r="K87" s="26">
        <v>38283</v>
      </c>
      <c r="L87" s="27" t="s">
        <v>2709</v>
      </c>
      <c r="M87" s="28">
        <v>356537</v>
      </c>
      <c r="N87" s="29">
        <v>6176499</v>
      </c>
      <c r="O87" s="32">
        <v>246</v>
      </c>
      <c r="P87" s="135"/>
      <c r="Q87" s="260">
        <v>252</v>
      </c>
      <c r="R87" s="32"/>
      <c r="S87" s="135">
        <v>25</v>
      </c>
      <c r="T87" s="260">
        <f t="shared" si="5"/>
        <v>25</v>
      </c>
      <c r="U87" s="30"/>
      <c r="V87" s="31">
        <v>180</v>
      </c>
      <c r="W87" s="31">
        <f t="shared" si="6"/>
        <v>180</v>
      </c>
      <c r="X87" s="260">
        <f t="shared" si="3"/>
        <v>0</v>
      </c>
      <c r="Y87" s="323">
        <v>1.6259999999999999</v>
      </c>
      <c r="Z87" s="323">
        <v>70627</v>
      </c>
      <c r="AA87" s="323">
        <v>354</v>
      </c>
      <c r="AB87" s="151"/>
      <c r="AC87" s="155">
        <v>100</v>
      </c>
      <c r="AD87" s="254">
        <f t="shared" si="4"/>
        <v>1903.8131416837782</v>
      </c>
      <c r="AE87" s="152" t="s">
        <v>2708</v>
      </c>
      <c r="AF87" s="252" t="s">
        <v>2708</v>
      </c>
      <c r="AG87" s="242" t="s">
        <v>2708</v>
      </c>
      <c r="AH87" s="242" t="s">
        <v>2708</v>
      </c>
      <c r="AI87" s="243" t="s">
        <v>2708</v>
      </c>
      <c r="AJ87" s="244" t="s">
        <v>2708</v>
      </c>
      <c r="AK87" s="244" t="s">
        <v>2708</v>
      </c>
      <c r="AL87" s="244" t="s">
        <v>2708</v>
      </c>
      <c r="AM87" s="244" t="s">
        <v>2708</v>
      </c>
      <c r="AN87" s="245" t="s">
        <v>2708</v>
      </c>
      <c r="AO87" s="245" t="s">
        <v>2708</v>
      </c>
      <c r="AP87" s="274">
        <v>137</v>
      </c>
    </row>
    <row r="88" spans="1:42" x14ac:dyDescent="0.2">
      <c r="A88" s="269">
        <v>88</v>
      </c>
      <c r="B88" s="270" t="s">
        <v>1901</v>
      </c>
      <c r="C88" s="271" t="s">
        <v>2670</v>
      </c>
      <c r="D88" s="272" t="s">
        <v>2708</v>
      </c>
      <c r="E88" s="273" t="s">
        <v>2708</v>
      </c>
      <c r="F88" s="22" t="s">
        <v>743</v>
      </c>
      <c r="G88" s="23" t="s">
        <v>743</v>
      </c>
      <c r="H88" s="24" t="s">
        <v>743</v>
      </c>
      <c r="I88" s="24" t="s">
        <v>743</v>
      </c>
      <c r="J88" s="25" t="s">
        <v>743</v>
      </c>
      <c r="K88" s="26">
        <v>38283</v>
      </c>
      <c r="L88" s="27" t="s">
        <v>2709</v>
      </c>
      <c r="M88" s="28">
        <v>356532</v>
      </c>
      <c r="N88" s="29">
        <v>6176465</v>
      </c>
      <c r="O88" s="32">
        <v>248</v>
      </c>
      <c r="P88" s="135"/>
      <c r="Q88" s="260">
        <v>239</v>
      </c>
      <c r="R88" s="32"/>
      <c r="S88" s="135">
        <v>13</v>
      </c>
      <c r="T88" s="260">
        <f t="shared" si="5"/>
        <v>13</v>
      </c>
      <c r="U88" s="30"/>
      <c r="V88" s="31">
        <v>201</v>
      </c>
      <c r="W88" s="31">
        <f t="shared" si="6"/>
        <v>201</v>
      </c>
      <c r="X88" s="260">
        <f t="shared" si="3"/>
        <v>1</v>
      </c>
      <c r="Y88" s="323">
        <v>2.1320000000000001</v>
      </c>
      <c r="Z88" s="323">
        <v>88404</v>
      </c>
      <c r="AA88" s="323">
        <v>217</v>
      </c>
      <c r="AB88" s="151"/>
      <c r="AC88" s="155">
        <v>1990</v>
      </c>
      <c r="AD88" s="254">
        <f t="shared" si="4"/>
        <v>13.813141683778213</v>
      </c>
      <c r="AE88" s="152" t="s">
        <v>2708</v>
      </c>
      <c r="AF88" s="252" t="s">
        <v>2708</v>
      </c>
      <c r="AG88" s="242" t="s">
        <v>2708</v>
      </c>
      <c r="AH88" s="242" t="s">
        <v>2708</v>
      </c>
      <c r="AI88" s="243" t="s">
        <v>2708</v>
      </c>
      <c r="AJ88" s="244" t="s">
        <v>2708</v>
      </c>
      <c r="AK88" s="244" t="s">
        <v>2708</v>
      </c>
      <c r="AL88" s="244" t="s">
        <v>2708</v>
      </c>
      <c r="AM88" s="244" t="s">
        <v>2708</v>
      </c>
      <c r="AN88" s="245" t="s">
        <v>2708</v>
      </c>
      <c r="AO88" s="245" t="s">
        <v>2708</v>
      </c>
      <c r="AP88" s="274">
        <v>138</v>
      </c>
    </row>
    <row r="89" spans="1:42" x14ac:dyDescent="0.2">
      <c r="A89" s="269">
        <v>89</v>
      </c>
      <c r="B89" s="270" t="s">
        <v>1901</v>
      </c>
      <c r="C89" s="271" t="s">
        <v>2617</v>
      </c>
      <c r="D89" s="272" t="s">
        <v>2708</v>
      </c>
      <c r="E89" s="273" t="s">
        <v>2708</v>
      </c>
      <c r="F89" s="22" t="s">
        <v>743</v>
      </c>
      <c r="G89" s="23" t="s">
        <v>743</v>
      </c>
      <c r="H89" s="24" t="s">
        <v>743</v>
      </c>
      <c r="I89" s="24" t="s">
        <v>743</v>
      </c>
      <c r="J89" s="25" t="s">
        <v>743</v>
      </c>
      <c r="K89" s="26">
        <v>38283</v>
      </c>
      <c r="L89" s="27" t="s">
        <v>2709</v>
      </c>
      <c r="M89" s="28">
        <v>356547</v>
      </c>
      <c r="N89" s="29">
        <v>6176435</v>
      </c>
      <c r="O89" s="32">
        <v>247</v>
      </c>
      <c r="P89" s="135"/>
      <c r="Q89" s="260">
        <v>243</v>
      </c>
      <c r="R89" s="32"/>
      <c r="S89" s="135">
        <v>21</v>
      </c>
      <c r="T89" s="260">
        <f t="shared" si="5"/>
        <v>21</v>
      </c>
      <c r="U89" s="30"/>
      <c r="V89" s="31">
        <v>309</v>
      </c>
      <c r="W89" s="31">
        <f t="shared" si="6"/>
        <v>309</v>
      </c>
      <c r="X89" s="260">
        <f t="shared" si="3"/>
        <v>4</v>
      </c>
      <c r="Y89" s="323">
        <v>1.107</v>
      </c>
      <c r="Z89" s="323">
        <v>108337</v>
      </c>
      <c r="AA89" s="323">
        <v>179</v>
      </c>
      <c r="AB89" s="151"/>
      <c r="AC89" s="155">
        <v>1990</v>
      </c>
      <c r="AD89" s="254">
        <f t="shared" si="4"/>
        <v>13.813141683778213</v>
      </c>
      <c r="AE89" s="152" t="s">
        <v>2708</v>
      </c>
      <c r="AF89" s="252" t="s">
        <v>2708</v>
      </c>
      <c r="AG89" s="242" t="s">
        <v>2708</v>
      </c>
      <c r="AH89" s="242" t="s">
        <v>2708</v>
      </c>
      <c r="AI89" s="243" t="s">
        <v>2708</v>
      </c>
      <c r="AJ89" s="244" t="s">
        <v>2708</v>
      </c>
      <c r="AK89" s="244" t="s">
        <v>2708</v>
      </c>
      <c r="AL89" s="244" t="s">
        <v>2708</v>
      </c>
      <c r="AM89" s="244" t="s">
        <v>2708</v>
      </c>
      <c r="AN89" s="245" t="s">
        <v>2708</v>
      </c>
      <c r="AO89" s="245" t="s">
        <v>2708</v>
      </c>
      <c r="AP89" s="274">
        <v>141</v>
      </c>
    </row>
    <row r="90" spans="1:42" x14ac:dyDescent="0.2">
      <c r="A90" s="269">
        <v>90</v>
      </c>
      <c r="B90" s="270" t="s">
        <v>1901</v>
      </c>
      <c r="C90" s="271" t="s">
        <v>2470</v>
      </c>
      <c r="D90" s="272" t="s">
        <v>2708</v>
      </c>
      <c r="E90" s="273" t="s">
        <v>2708</v>
      </c>
      <c r="F90" s="22" t="s">
        <v>743</v>
      </c>
      <c r="G90" s="23" t="s">
        <v>743</v>
      </c>
      <c r="H90" s="24" t="s">
        <v>743</v>
      </c>
      <c r="I90" s="24" t="s">
        <v>743</v>
      </c>
      <c r="J90" s="25" t="s">
        <v>743</v>
      </c>
      <c r="K90" s="26">
        <v>38283</v>
      </c>
      <c r="L90" s="27" t="s">
        <v>2709</v>
      </c>
      <c r="M90" s="28">
        <v>356571</v>
      </c>
      <c r="N90" s="29">
        <v>6176454</v>
      </c>
      <c r="O90" s="32">
        <v>244</v>
      </c>
      <c r="P90" s="135"/>
      <c r="Q90" s="260">
        <v>244</v>
      </c>
      <c r="R90" s="32"/>
      <c r="S90" s="135">
        <v>15</v>
      </c>
      <c r="T90" s="260">
        <f t="shared" si="5"/>
        <v>15</v>
      </c>
      <c r="U90" s="30"/>
      <c r="V90" s="31">
        <v>305</v>
      </c>
      <c r="W90" s="31">
        <f t="shared" si="6"/>
        <v>305</v>
      </c>
      <c r="X90" s="260">
        <f t="shared" si="3"/>
        <v>4</v>
      </c>
      <c r="Y90" s="323">
        <v>2.95</v>
      </c>
      <c r="Z90" s="323">
        <v>107251</v>
      </c>
      <c r="AA90" s="323">
        <v>159</v>
      </c>
      <c r="AB90" s="151"/>
      <c r="AC90" s="155">
        <v>1990</v>
      </c>
      <c r="AD90" s="254">
        <f t="shared" si="4"/>
        <v>13.813141683778213</v>
      </c>
      <c r="AE90" s="152" t="s">
        <v>2708</v>
      </c>
      <c r="AF90" s="252" t="s">
        <v>2708</v>
      </c>
      <c r="AG90" s="242" t="s">
        <v>2708</v>
      </c>
      <c r="AH90" s="242" t="s">
        <v>2708</v>
      </c>
      <c r="AI90" s="243" t="s">
        <v>2708</v>
      </c>
      <c r="AJ90" s="244" t="s">
        <v>2708</v>
      </c>
      <c r="AK90" s="244" t="s">
        <v>2708</v>
      </c>
      <c r="AL90" s="244" t="s">
        <v>2708</v>
      </c>
      <c r="AM90" s="244" t="s">
        <v>2708</v>
      </c>
      <c r="AN90" s="245" t="s">
        <v>2708</v>
      </c>
      <c r="AO90" s="245" t="s">
        <v>2708</v>
      </c>
      <c r="AP90" s="274">
        <v>142</v>
      </c>
    </row>
    <row r="91" spans="1:42" x14ac:dyDescent="0.2">
      <c r="A91" s="269">
        <v>91</v>
      </c>
      <c r="B91" s="270" t="s">
        <v>1901</v>
      </c>
      <c r="C91" s="271" t="s">
        <v>1251</v>
      </c>
      <c r="D91" s="272" t="s">
        <v>2708</v>
      </c>
      <c r="E91" s="273" t="s">
        <v>2708</v>
      </c>
      <c r="F91" s="22" t="s">
        <v>743</v>
      </c>
      <c r="G91" s="23" t="s">
        <v>743</v>
      </c>
      <c r="H91" s="24" t="s">
        <v>743</v>
      </c>
      <c r="I91" s="24" t="s">
        <v>743</v>
      </c>
      <c r="J91" s="25" t="s">
        <v>743</v>
      </c>
      <c r="K91" s="26">
        <v>38283</v>
      </c>
      <c r="L91" s="27" t="s">
        <v>2709</v>
      </c>
      <c r="M91" s="28">
        <v>356586</v>
      </c>
      <c r="N91" s="29">
        <v>6176401</v>
      </c>
      <c r="O91" s="32">
        <v>261</v>
      </c>
      <c r="P91" s="135"/>
      <c r="Q91" s="260">
        <v>272</v>
      </c>
      <c r="R91" s="32"/>
      <c r="S91" s="135">
        <v>32</v>
      </c>
      <c r="T91" s="260">
        <f t="shared" si="5"/>
        <v>32</v>
      </c>
      <c r="U91" s="30"/>
      <c r="V91" s="31">
        <v>320</v>
      </c>
      <c r="W91" s="31">
        <f t="shared" si="6"/>
        <v>320</v>
      </c>
      <c r="X91" s="260">
        <f t="shared" si="3"/>
        <v>4</v>
      </c>
      <c r="Y91" s="323">
        <v>1.143</v>
      </c>
      <c r="Z91" s="323">
        <v>111897</v>
      </c>
      <c r="AA91" s="323">
        <v>267</v>
      </c>
      <c r="AB91" s="151"/>
      <c r="AC91" s="155">
        <v>1990</v>
      </c>
      <c r="AD91" s="254">
        <f t="shared" si="4"/>
        <v>13.813141683778213</v>
      </c>
      <c r="AE91" s="152" t="s">
        <v>2708</v>
      </c>
      <c r="AF91" s="252" t="s">
        <v>2708</v>
      </c>
      <c r="AG91" s="242" t="s">
        <v>2708</v>
      </c>
      <c r="AH91" s="242" t="s">
        <v>2708</v>
      </c>
      <c r="AI91" s="243" t="s">
        <v>2708</v>
      </c>
      <c r="AJ91" s="244" t="s">
        <v>2708</v>
      </c>
      <c r="AK91" s="244" t="s">
        <v>2708</v>
      </c>
      <c r="AL91" s="244" t="s">
        <v>2708</v>
      </c>
      <c r="AM91" s="244" t="s">
        <v>2708</v>
      </c>
      <c r="AN91" s="245" t="s">
        <v>2708</v>
      </c>
      <c r="AO91" s="245" t="s">
        <v>2708</v>
      </c>
      <c r="AP91" s="274">
        <v>143</v>
      </c>
    </row>
    <row r="92" spans="1:42" x14ac:dyDescent="0.2">
      <c r="A92" s="269">
        <v>92</v>
      </c>
      <c r="B92" s="270" t="s">
        <v>1901</v>
      </c>
      <c r="C92" s="271" t="s">
        <v>2617</v>
      </c>
      <c r="D92" s="272" t="s">
        <v>2708</v>
      </c>
      <c r="E92" s="273" t="s">
        <v>2708</v>
      </c>
      <c r="F92" s="22" t="s">
        <v>743</v>
      </c>
      <c r="G92" s="23" t="s">
        <v>743</v>
      </c>
      <c r="H92" s="24" t="s">
        <v>743</v>
      </c>
      <c r="I92" s="24" t="s">
        <v>743</v>
      </c>
      <c r="J92" s="25" t="s">
        <v>743</v>
      </c>
      <c r="K92" s="26">
        <v>38284</v>
      </c>
      <c r="L92" s="27" t="s">
        <v>2709</v>
      </c>
      <c r="M92" s="28">
        <v>357749</v>
      </c>
      <c r="N92" s="29">
        <v>6178190</v>
      </c>
      <c r="O92" s="32">
        <v>291</v>
      </c>
      <c r="P92" s="135"/>
      <c r="Q92" s="260">
        <v>277</v>
      </c>
      <c r="R92" s="32"/>
      <c r="S92" s="135">
        <v>6</v>
      </c>
      <c r="T92" s="260">
        <f t="shared" si="5"/>
        <v>6</v>
      </c>
      <c r="U92" s="30"/>
      <c r="V92" s="31">
        <v>341</v>
      </c>
      <c r="W92" s="31">
        <f t="shared" si="6"/>
        <v>341</v>
      </c>
      <c r="X92" s="260">
        <f t="shared" si="3"/>
        <v>5</v>
      </c>
      <c r="Y92" s="323">
        <v>0.64200000000000002</v>
      </c>
      <c r="Z92" s="323">
        <v>112395</v>
      </c>
      <c r="AA92" s="323">
        <v>922</v>
      </c>
      <c r="AB92" s="151"/>
      <c r="AC92" s="155">
        <v>1996</v>
      </c>
      <c r="AD92" s="254">
        <f t="shared" si="4"/>
        <v>7.8158795345652834</v>
      </c>
      <c r="AE92" s="152" t="s">
        <v>2708</v>
      </c>
      <c r="AF92" s="252" t="s">
        <v>2708</v>
      </c>
      <c r="AG92" s="242" t="s">
        <v>2708</v>
      </c>
      <c r="AH92" s="242" t="s">
        <v>2708</v>
      </c>
      <c r="AI92" s="243" t="s">
        <v>2708</v>
      </c>
      <c r="AJ92" s="244" t="s">
        <v>2708</v>
      </c>
      <c r="AK92" s="244" t="s">
        <v>2708</v>
      </c>
      <c r="AL92" s="244" t="s">
        <v>2708</v>
      </c>
      <c r="AM92" s="244" t="s">
        <v>2708</v>
      </c>
      <c r="AN92" s="245" t="s">
        <v>2708</v>
      </c>
      <c r="AO92" s="245" t="s">
        <v>2708</v>
      </c>
      <c r="AP92" s="274">
        <v>153</v>
      </c>
    </row>
    <row r="93" spans="1:42" x14ac:dyDescent="0.2">
      <c r="A93" s="269">
        <v>93</v>
      </c>
      <c r="B93" s="270" t="s">
        <v>1901</v>
      </c>
      <c r="C93" s="271" t="s">
        <v>2617</v>
      </c>
      <c r="D93" s="272" t="s">
        <v>2708</v>
      </c>
      <c r="E93" s="273" t="s">
        <v>2708</v>
      </c>
      <c r="F93" s="22" t="s">
        <v>743</v>
      </c>
      <c r="G93" s="23" t="s">
        <v>743</v>
      </c>
      <c r="H93" s="24" t="s">
        <v>743</v>
      </c>
      <c r="I93" s="24" t="s">
        <v>743</v>
      </c>
      <c r="J93" s="25" t="s">
        <v>743</v>
      </c>
      <c r="K93" s="26">
        <v>38284</v>
      </c>
      <c r="L93" s="27" t="s">
        <v>2709</v>
      </c>
      <c r="M93" s="28">
        <v>357736</v>
      </c>
      <c r="N93" s="29">
        <v>6178276</v>
      </c>
      <c r="O93" s="32">
        <v>272</v>
      </c>
      <c r="P93" s="135"/>
      <c r="Q93" s="260">
        <v>266</v>
      </c>
      <c r="R93" s="32"/>
      <c r="S93" s="135">
        <v>7</v>
      </c>
      <c r="T93" s="260">
        <f t="shared" si="5"/>
        <v>7</v>
      </c>
      <c r="U93" s="30"/>
      <c r="V93" s="31">
        <v>342</v>
      </c>
      <c r="W93" s="31">
        <f t="shared" si="6"/>
        <v>342</v>
      </c>
      <c r="X93" s="260">
        <f t="shared" si="3"/>
        <v>5</v>
      </c>
      <c r="Y93" s="323">
        <v>0.4</v>
      </c>
      <c r="Z93" s="323">
        <v>112948</v>
      </c>
      <c r="AA93" s="323">
        <v>931</v>
      </c>
      <c r="AB93" s="151"/>
      <c r="AC93" s="155">
        <v>1996</v>
      </c>
      <c r="AD93" s="254">
        <f t="shared" si="4"/>
        <v>7.8158795345652834</v>
      </c>
      <c r="AE93" s="152" t="s">
        <v>2708</v>
      </c>
      <c r="AF93" s="252" t="s">
        <v>2708</v>
      </c>
      <c r="AG93" s="242" t="s">
        <v>2708</v>
      </c>
      <c r="AH93" s="242" t="s">
        <v>2708</v>
      </c>
      <c r="AI93" s="243" t="s">
        <v>2708</v>
      </c>
      <c r="AJ93" s="244" t="s">
        <v>2708</v>
      </c>
      <c r="AK93" s="244" t="s">
        <v>2708</v>
      </c>
      <c r="AL93" s="244" t="s">
        <v>2708</v>
      </c>
      <c r="AM93" s="244" t="s">
        <v>2708</v>
      </c>
      <c r="AN93" s="245" t="s">
        <v>2708</v>
      </c>
      <c r="AO93" s="245" t="s">
        <v>2708</v>
      </c>
      <c r="AP93" s="274">
        <v>154</v>
      </c>
    </row>
    <row r="94" spans="1:42" x14ac:dyDescent="0.2">
      <c r="A94" s="269">
        <v>94</v>
      </c>
      <c r="B94" s="270" t="s">
        <v>1901</v>
      </c>
      <c r="C94" s="271" t="s">
        <v>2618</v>
      </c>
      <c r="D94" s="272" t="s">
        <v>2708</v>
      </c>
      <c r="E94" s="273" t="s">
        <v>2708</v>
      </c>
      <c r="F94" s="22" t="s">
        <v>743</v>
      </c>
      <c r="G94" s="23" t="s">
        <v>743</v>
      </c>
      <c r="H94" s="24" t="s">
        <v>743</v>
      </c>
      <c r="I94" s="24" t="s">
        <v>743</v>
      </c>
      <c r="J94" s="25" t="s">
        <v>743</v>
      </c>
      <c r="K94" s="26">
        <v>38284</v>
      </c>
      <c r="L94" s="27" t="s">
        <v>2709</v>
      </c>
      <c r="M94" s="28">
        <v>357615</v>
      </c>
      <c r="N94" s="29">
        <v>6177812</v>
      </c>
      <c r="O94" s="32">
        <v>327</v>
      </c>
      <c r="P94" s="135"/>
      <c r="Q94" s="260">
        <v>334</v>
      </c>
      <c r="R94" s="32"/>
      <c r="S94" s="135">
        <v>10</v>
      </c>
      <c r="T94" s="260">
        <f t="shared" si="5"/>
        <v>10</v>
      </c>
      <c r="U94" s="30"/>
      <c r="V94" s="31">
        <v>20</v>
      </c>
      <c r="W94" s="31">
        <f t="shared" si="6"/>
        <v>20</v>
      </c>
      <c r="X94" s="260">
        <f t="shared" si="3"/>
        <v>5</v>
      </c>
      <c r="Y94" s="323">
        <v>0.221</v>
      </c>
      <c r="Z94" s="323">
        <v>115325</v>
      </c>
      <c r="AA94" s="323">
        <v>1151</v>
      </c>
      <c r="AB94" s="151"/>
      <c r="AC94" s="155">
        <v>1996</v>
      </c>
      <c r="AD94" s="254">
        <f t="shared" si="4"/>
        <v>7.8158795345652834</v>
      </c>
      <c r="AE94" s="152" t="s">
        <v>2708</v>
      </c>
      <c r="AF94" s="252" t="s">
        <v>2708</v>
      </c>
      <c r="AG94" s="242" t="s">
        <v>2708</v>
      </c>
      <c r="AH94" s="242" t="s">
        <v>2708</v>
      </c>
      <c r="AI94" s="243" t="s">
        <v>2708</v>
      </c>
      <c r="AJ94" s="244" t="s">
        <v>2708</v>
      </c>
      <c r="AK94" s="244" t="s">
        <v>2708</v>
      </c>
      <c r="AL94" s="244" t="s">
        <v>2708</v>
      </c>
      <c r="AM94" s="244" t="s">
        <v>2708</v>
      </c>
      <c r="AN94" s="245" t="s">
        <v>2708</v>
      </c>
      <c r="AO94" s="245" t="s">
        <v>2708</v>
      </c>
      <c r="AP94" s="274">
        <v>157</v>
      </c>
    </row>
    <row r="95" spans="1:42" x14ac:dyDescent="0.2">
      <c r="A95" s="269">
        <v>95</v>
      </c>
      <c r="B95" s="270" t="s">
        <v>1901</v>
      </c>
      <c r="C95" s="271" t="s">
        <v>2620</v>
      </c>
      <c r="D95" s="272" t="s">
        <v>2708</v>
      </c>
      <c r="E95" s="273" t="s">
        <v>2708</v>
      </c>
      <c r="F95" s="22" t="s">
        <v>743</v>
      </c>
      <c r="G95" s="23" t="s">
        <v>743</v>
      </c>
      <c r="H95" s="24" t="s">
        <v>743</v>
      </c>
      <c r="I95" s="24" t="s">
        <v>743</v>
      </c>
      <c r="J95" s="25" t="s">
        <v>743</v>
      </c>
      <c r="K95" s="26">
        <v>38284</v>
      </c>
      <c r="L95" s="27" t="s">
        <v>2709</v>
      </c>
      <c r="M95" s="28">
        <v>357437</v>
      </c>
      <c r="N95" s="29">
        <v>6177759</v>
      </c>
      <c r="O95" s="32">
        <v>329</v>
      </c>
      <c r="P95" s="135"/>
      <c r="Q95" s="260">
        <v>340</v>
      </c>
      <c r="R95" s="32"/>
      <c r="S95" s="135">
        <v>13</v>
      </c>
      <c r="T95" s="260">
        <f t="shared" si="5"/>
        <v>13</v>
      </c>
      <c r="U95" s="30"/>
      <c r="V95" s="31">
        <v>341</v>
      </c>
      <c r="W95" s="31">
        <f t="shared" si="6"/>
        <v>341</v>
      </c>
      <c r="X95" s="260">
        <f t="shared" si="3"/>
        <v>5</v>
      </c>
      <c r="Y95" s="323">
        <v>1.1870000000000001</v>
      </c>
      <c r="Z95" s="323">
        <v>115998</v>
      </c>
      <c r="AA95" s="323">
        <v>645</v>
      </c>
      <c r="AB95" s="151"/>
      <c r="AC95" s="155">
        <v>1996</v>
      </c>
      <c r="AD95" s="254">
        <f t="shared" si="4"/>
        <v>7.8158795345652834</v>
      </c>
      <c r="AE95" s="152" t="s">
        <v>2708</v>
      </c>
      <c r="AF95" s="252" t="s">
        <v>2708</v>
      </c>
      <c r="AG95" s="242" t="s">
        <v>2708</v>
      </c>
      <c r="AH95" s="242" t="s">
        <v>2708</v>
      </c>
      <c r="AI95" s="243" t="s">
        <v>2708</v>
      </c>
      <c r="AJ95" s="244" t="s">
        <v>2708</v>
      </c>
      <c r="AK95" s="244" t="s">
        <v>2708</v>
      </c>
      <c r="AL95" s="244" t="s">
        <v>2708</v>
      </c>
      <c r="AM95" s="244" t="s">
        <v>2708</v>
      </c>
      <c r="AN95" s="245" t="s">
        <v>2708</v>
      </c>
      <c r="AO95" s="245" t="s">
        <v>2708</v>
      </c>
      <c r="AP95" s="274">
        <v>158</v>
      </c>
    </row>
    <row r="96" spans="1:42" x14ac:dyDescent="0.2">
      <c r="A96" s="269">
        <v>96</v>
      </c>
      <c r="B96" s="270" t="s">
        <v>1901</v>
      </c>
      <c r="C96" s="271" t="s">
        <v>2248</v>
      </c>
      <c r="D96" s="272" t="s">
        <v>2708</v>
      </c>
      <c r="E96" s="273" t="s">
        <v>2708</v>
      </c>
      <c r="F96" s="22" t="s">
        <v>743</v>
      </c>
      <c r="G96" s="23" t="s">
        <v>743</v>
      </c>
      <c r="H96" s="24" t="s">
        <v>743</v>
      </c>
      <c r="I96" s="24" t="s">
        <v>743</v>
      </c>
      <c r="J96" s="25" t="s">
        <v>743</v>
      </c>
      <c r="K96" s="26">
        <v>38284</v>
      </c>
      <c r="L96" s="27" t="s">
        <v>2709</v>
      </c>
      <c r="M96" s="28">
        <v>357709</v>
      </c>
      <c r="N96" s="29">
        <v>6177527</v>
      </c>
      <c r="O96" s="32">
        <v>373</v>
      </c>
      <c r="P96" s="135"/>
      <c r="Q96" s="260">
        <v>375</v>
      </c>
      <c r="R96" s="32"/>
      <c r="S96" s="135">
        <v>15</v>
      </c>
      <c r="T96" s="260">
        <f t="shared" si="5"/>
        <v>15</v>
      </c>
      <c r="U96" s="30"/>
      <c r="V96" s="31">
        <v>36</v>
      </c>
      <c r="W96" s="31">
        <f t="shared" si="6"/>
        <v>36</v>
      </c>
      <c r="X96" s="260">
        <f t="shared" si="3"/>
        <v>4</v>
      </c>
      <c r="Y96" s="323">
        <v>0.66600000000000004</v>
      </c>
      <c r="Z96" s="323">
        <v>116154</v>
      </c>
      <c r="AA96" s="323">
        <v>863</v>
      </c>
      <c r="AB96" s="151"/>
      <c r="AC96" s="155">
        <v>1996</v>
      </c>
      <c r="AD96" s="254">
        <f t="shared" si="4"/>
        <v>7.8158795345652834</v>
      </c>
      <c r="AE96" s="152" t="s">
        <v>2708</v>
      </c>
      <c r="AF96" s="252" t="s">
        <v>2708</v>
      </c>
      <c r="AG96" s="242" t="s">
        <v>2708</v>
      </c>
      <c r="AH96" s="242" t="s">
        <v>2708</v>
      </c>
      <c r="AI96" s="243" t="s">
        <v>2708</v>
      </c>
      <c r="AJ96" s="244" t="s">
        <v>2708</v>
      </c>
      <c r="AK96" s="244" t="s">
        <v>2708</v>
      </c>
      <c r="AL96" s="244" t="s">
        <v>2708</v>
      </c>
      <c r="AM96" s="244" t="s">
        <v>2708</v>
      </c>
      <c r="AN96" s="245" t="s">
        <v>2708</v>
      </c>
      <c r="AO96" s="245" t="s">
        <v>2708</v>
      </c>
      <c r="AP96" s="274">
        <v>160</v>
      </c>
    </row>
    <row r="97" spans="1:42" x14ac:dyDescent="0.2">
      <c r="A97" s="269">
        <v>97</v>
      </c>
      <c r="B97" s="270" t="s">
        <v>1901</v>
      </c>
      <c r="C97" s="271" t="s">
        <v>2248</v>
      </c>
      <c r="D97" s="272" t="s">
        <v>2708</v>
      </c>
      <c r="E97" s="273" t="s">
        <v>2708</v>
      </c>
      <c r="F97" s="22" t="s">
        <v>743</v>
      </c>
      <c r="G97" s="23" t="s">
        <v>743</v>
      </c>
      <c r="H97" s="24" t="s">
        <v>743</v>
      </c>
      <c r="I97" s="24" t="s">
        <v>743</v>
      </c>
      <c r="J97" s="25" t="s">
        <v>743</v>
      </c>
      <c r="K97" s="26">
        <v>38284</v>
      </c>
      <c r="L97" s="27" t="s">
        <v>2709</v>
      </c>
      <c r="M97" s="28">
        <v>358142</v>
      </c>
      <c r="N97" s="29">
        <v>6177330</v>
      </c>
      <c r="O97" s="32">
        <v>369</v>
      </c>
      <c r="P97" s="135"/>
      <c r="Q97" s="260">
        <v>368</v>
      </c>
      <c r="R97" s="32"/>
      <c r="S97" s="135">
        <v>11</v>
      </c>
      <c r="T97" s="260">
        <f t="shared" si="5"/>
        <v>11</v>
      </c>
      <c r="U97" s="30"/>
      <c r="V97" s="31">
        <v>42</v>
      </c>
      <c r="W97" s="31">
        <f t="shared" si="6"/>
        <v>42</v>
      </c>
      <c r="X97" s="260">
        <f t="shared" si="3"/>
        <v>4</v>
      </c>
      <c r="Y97" s="323">
        <v>0.84899999999999998</v>
      </c>
      <c r="Z97" s="323">
        <v>112141</v>
      </c>
      <c r="AA97" s="323">
        <v>761</v>
      </c>
      <c r="AB97" s="151"/>
      <c r="AC97" s="155">
        <v>1996</v>
      </c>
      <c r="AD97" s="254">
        <f t="shared" si="4"/>
        <v>7.8158795345652834</v>
      </c>
      <c r="AE97" s="152" t="s">
        <v>2708</v>
      </c>
      <c r="AF97" s="252" t="s">
        <v>2708</v>
      </c>
      <c r="AG97" s="242" t="s">
        <v>2708</v>
      </c>
      <c r="AH97" s="242" t="s">
        <v>2708</v>
      </c>
      <c r="AI97" s="243" t="s">
        <v>2708</v>
      </c>
      <c r="AJ97" s="244" t="s">
        <v>2708</v>
      </c>
      <c r="AK97" s="244" t="s">
        <v>2708</v>
      </c>
      <c r="AL97" s="244" t="s">
        <v>2708</v>
      </c>
      <c r="AM97" s="244" t="s">
        <v>2708</v>
      </c>
      <c r="AN97" s="245" t="s">
        <v>2708</v>
      </c>
      <c r="AO97" s="245" t="s">
        <v>2708</v>
      </c>
      <c r="AP97" s="274">
        <v>163</v>
      </c>
    </row>
    <row r="98" spans="1:42" x14ac:dyDescent="0.2">
      <c r="A98" s="269">
        <v>98</v>
      </c>
      <c r="B98" s="270" t="s">
        <v>1901</v>
      </c>
      <c r="C98" s="271" t="s">
        <v>2618</v>
      </c>
      <c r="D98" s="272" t="s">
        <v>2708</v>
      </c>
      <c r="E98" s="273" t="s">
        <v>2708</v>
      </c>
      <c r="F98" s="22" t="s">
        <v>743</v>
      </c>
      <c r="G98" s="23" t="s">
        <v>743</v>
      </c>
      <c r="H98" s="24" t="s">
        <v>743</v>
      </c>
      <c r="I98" s="24" t="s">
        <v>743</v>
      </c>
      <c r="J98" s="25" t="s">
        <v>743</v>
      </c>
      <c r="K98" s="26">
        <v>38290</v>
      </c>
      <c r="L98" s="27" t="s">
        <v>2709</v>
      </c>
      <c r="M98" s="28">
        <v>355930</v>
      </c>
      <c r="N98" s="29">
        <v>6176390</v>
      </c>
      <c r="O98" s="32">
        <v>301</v>
      </c>
      <c r="P98" s="135"/>
      <c r="Q98" s="260">
        <v>299</v>
      </c>
      <c r="R98" s="32"/>
      <c r="S98" s="135">
        <v>8</v>
      </c>
      <c r="T98" s="260">
        <f t="shared" si="5"/>
        <v>8</v>
      </c>
      <c r="U98" s="30"/>
      <c r="V98" s="31">
        <v>322</v>
      </c>
      <c r="W98" s="31">
        <f t="shared" si="6"/>
        <v>322</v>
      </c>
      <c r="X98" s="260">
        <f t="shared" si="3"/>
        <v>4</v>
      </c>
      <c r="Y98" s="323">
        <v>0.51900000000000002</v>
      </c>
      <c r="Z98" s="323">
        <v>112783</v>
      </c>
      <c r="AA98" s="323">
        <v>862</v>
      </c>
      <c r="AB98" s="151"/>
      <c r="AC98" s="155">
        <v>1990</v>
      </c>
      <c r="AD98" s="254">
        <f t="shared" si="4"/>
        <v>13.832306639288163</v>
      </c>
      <c r="AE98" s="152" t="s">
        <v>2708</v>
      </c>
      <c r="AF98" s="252" t="s">
        <v>2708</v>
      </c>
      <c r="AG98" s="242" t="s">
        <v>2708</v>
      </c>
      <c r="AH98" s="242" t="s">
        <v>2708</v>
      </c>
      <c r="AI98" s="243" t="s">
        <v>2708</v>
      </c>
      <c r="AJ98" s="244" t="s">
        <v>2708</v>
      </c>
      <c r="AK98" s="244" t="s">
        <v>2708</v>
      </c>
      <c r="AL98" s="244" t="s">
        <v>2708</v>
      </c>
      <c r="AM98" s="244" t="s">
        <v>2708</v>
      </c>
      <c r="AN98" s="245" t="s">
        <v>2708</v>
      </c>
      <c r="AO98" s="245" t="s">
        <v>2708</v>
      </c>
      <c r="AP98" s="274">
        <v>204</v>
      </c>
    </row>
    <row r="99" spans="1:42" x14ac:dyDescent="0.2">
      <c r="A99" s="269">
        <v>99</v>
      </c>
      <c r="B99" s="270" t="s">
        <v>1901</v>
      </c>
      <c r="C99" s="271" t="s">
        <v>2618</v>
      </c>
      <c r="D99" s="272" t="s">
        <v>2708</v>
      </c>
      <c r="E99" s="273" t="s">
        <v>2708</v>
      </c>
      <c r="F99" s="22" t="s">
        <v>743</v>
      </c>
      <c r="G99" s="23" t="s">
        <v>743</v>
      </c>
      <c r="H99" s="24" t="s">
        <v>743</v>
      </c>
      <c r="I99" s="24" t="s">
        <v>743</v>
      </c>
      <c r="J99" s="25" t="s">
        <v>743</v>
      </c>
      <c r="K99" s="26">
        <v>38290</v>
      </c>
      <c r="L99" s="27" t="s">
        <v>2709</v>
      </c>
      <c r="M99" s="28">
        <v>355837</v>
      </c>
      <c r="N99" s="29">
        <v>6176315</v>
      </c>
      <c r="O99" s="32">
        <v>304</v>
      </c>
      <c r="P99" s="135"/>
      <c r="Q99" s="260">
        <v>302</v>
      </c>
      <c r="R99" s="32"/>
      <c r="S99" s="135">
        <v>6</v>
      </c>
      <c r="T99" s="260">
        <f t="shared" si="5"/>
        <v>6</v>
      </c>
      <c r="U99" s="30"/>
      <c r="V99" s="31">
        <v>336</v>
      </c>
      <c r="W99" s="31">
        <f t="shared" si="6"/>
        <v>336</v>
      </c>
      <c r="X99" s="260">
        <f t="shared" si="3"/>
        <v>5</v>
      </c>
      <c r="Y99" s="323">
        <v>0.215</v>
      </c>
      <c r="Z99" s="323">
        <v>112851</v>
      </c>
      <c r="AA99" s="323">
        <v>1162</v>
      </c>
      <c r="AB99" s="151"/>
      <c r="AC99" s="155">
        <v>1990</v>
      </c>
      <c r="AD99" s="254">
        <f t="shared" si="4"/>
        <v>13.832306639288163</v>
      </c>
      <c r="AE99" s="152" t="s">
        <v>2708</v>
      </c>
      <c r="AF99" s="252" t="s">
        <v>2708</v>
      </c>
      <c r="AG99" s="242" t="s">
        <v>2708</v>
      </c>
      <c r="AH99" s="242" t="s">
        <v>2708</v>
      </c>
      <c r="AI99" s="243" t="s">
        <v>2708</v>
      </c>
      <c r="AJ99" s="244" t="s">
        <v>2708</v>
      </c>
      <c r="AK99" s="244" t="s">
        <v>2708</v>
      </c>
      <c r="AL99" s="244" t="s">
        <v>2708</v>
      </c>
      <c r="AM99" s="244" t="s">
        <v>2708</v>
      </c>
      <c r="AN99" s="245" t="s">
        <v>2708</v>
      </c>
      <c r="AO99" s="245" t="s">
        <v>2708</v>
      </c>
      <c r="AP99" s="274">
        <v>206</v>
      </c>
    </row>
    <row r="100" spans="1:42" x14ac:dyDescent="0.2">
      <c r="A100" s="269">
        <v>100</v>
      </c>
      <c r="B100" s="270" t="s">
        <v>1901</v>
      </c>
      <c r="C100" s="271" t="s">
        <v>2471</v>
      </c>
      <c r="D100" s="272" t="s">
        <v>2708</v>
      </c>
      <c r="E100" s="273" t="s">
        <v>2708</v>
      </c>
      <c r="F100" s="22" t="s">
        <v>743</v>
      </c>
      <c r="G100" s="23" t="s">
        <v>743</v>
      </c>
      <c r="H100" s="24" t="s">
        <v>743</v>
      </c>
      <c r="I100" s="24" t="s">
        <v>743</v>
      </c>
      <c r="J100" s="25" t="s">
        <v>743</v>
      </c>
      <c r="K100" s="26">
        <v>38290</v>
      </c>
      <c r="L100" s="27" t="s">
        <v>2709</v>
      </c>
      <c r="M100" s="28">
        <v>355972</v>
      </c>
      <c r="N100" s="29">
        <v>6176155</v>
      </c>
      <c r="O100" s="32">
        <v>266</v>
      </c>
      <c r="P100" s="135"/>
      <c r="Q100" s="260">
        <v>269</v>
      </c>
      <c r="R100" s="32"/>
      <c r="S100" s="135">
        <v>31</v>
      </c>
      <c r="T100" s="260">
        <f t="shared" si="5"/>
        <v>31</v>
      </c>
      <c r="U100" s="30"/>
      <c r="V100" s="31">
        <v>106</v>
      </c>
      <c r="W100" s="31">
        <f t="shared" si="6"/>
        <v>106</v>
      </c>
      <c r="X100" s="260">
        <f t="shared" si="3"/>
        <v>3</v>
      </c>
      <c r="Y100" s="323">
        <v>1.53</v>
      </c>
      <c r="Z100" s="323">
        <v>84885</v>
      </c>
      <c r="AA100" s="323">
        <v>989</v>
      </c>
      <c r="AB100" s="151"/>
      <c r="AC100" s="155">
        <v>100</v>
      </c>
      <c r="AD100" s="254">
        <f t="shared" si="4"/>
        <v>1903.8323066392882</v>
      </c>
      <c r="AE100" s="152" t="s">
        <v>2708</v>
      </c>
      <c r="AF100" s="252" t="s">
        <v>2708</v>
      </c>
      <c r="AG100" s="242" t="s">
        <v>2708</v>
      </c>
      <c r="AH100" s="242" t="s">
        <v>2708</v>
      </c>
      <c r="AI100" s="243" t="s">
        <v>2708</v>
      </c>
      <c r="AJ100" s="244" t="s">
        <v>2708</v>
      </c>
      <c r="AK100" s="244" t="s">
        <v>2708</v>
      </c>
      <c r="AL100" s="244" t="s">
        <v>2708</v>
      </c>
      <c r="AM100" s="244" t="s">
        <v>2708</v>
      </c>
      <c r="AN100" s="245" t="s">
        <v>2708</v>
      </c>
      <c r="AO100" s="245" t="s">
        <v>2708</v>
      </c>
      <c r="AP100" s="274">
        <v>209</v>
      </c>
    </row>
    <row r="101" spans="1:42" x14ac:dyDescent="0.2">
      <c r="A101" s="269">
        <v>101</v>
      </c>
      <c r="B101" s="270" t="s">
        <v>1901</v>
      </c>
      <c r="C101" s="271" t="s">
        <v>2618</v>
      </c>
      <c r="D101" s="272" t="s">
        <v>2708</v>
      </c>
      <c r="E101" s="273" t="s">
        <v>2708</v>
      </c>
      <c r="F101" s="22" t="s">
        <v>743</v>
      </c>
      <c r="G101" s="23" t="s">
        <v>743</v>
      </c>
      <c r="H101" s="24" t="s">
        <v>743</v>
      </c>
      <c r="I101" s="24" t="s">
        <v>743</v>
      </c>
      <c r="J101" s="25" t="s">
        <v>743</v>
      </c>
      <c r="K101" s="26">
        <v>38290</v>
      </c>
      <c r="L101" s="27" t="s">
        <v>2709</v>
      </c>
      <c r="M101" s="28">
        <v>356069</v>
      </c>
      <c r="N101" s="29">
        <v>6176185</v>
      </c>
      <c r="O101" s="32">
        <v>284</v>
      </c>
      <c r="P101" s="135"/>
      <c r="Q101" s="260">
        <v>276</v>
      </c>
      <c r="R101" s="32"/>
      <c r="S101" s="135">
        <v>28</v>
      </c>
      <c r="T101" s="260">
        <f t="shared" si="5"/>
        <v>28</v>
      </c>
      <c r="U101" s="30"/>
      <c r="V101" s="31">
        <v>154</v>
      </c>
      <c r="W101" s="31">
        <f t="shared" si="6"/>
        <v>154</v>
      </c>
      <c r="X101" s="260">
        <f t="shared" si="3"/>
        <v>2</v>
      </c>
      <c r="Y101" s="323">
        <v>0.24299999999999999</v>
      </c>
      <c r="Z101" s="323">
        <v>71559</v>
      </c>
      <c r="AA101" s="323">
        <v>1335</v>
      </c>
      <c r="AB101" s="151"/>
      <c r="AC101" s="155">
        <v>1990</v>
      </c>
      <c r="AD101" s="254">
        <f t="shared" si="4"/>
        <v>13.832306639288163</v>
      </c>
      <c r="AE101" s="152" t="s">
        <v>2708</v>
      </c>
      <c r="AF101" s="252" t="s">
        <v>2708</v>
      </c>
      <c r="AG101" s="242" t="s">
        <v>2708</v>
      </c>
      <c r="AH101" s="242" t="s">
        <v>2708</v>
      </c>
      <c r="AI101" s="243" t="s">
        <v>2708</v>
      </c>
      <c r="AJ101" s="244" t="s">
        <v>2708</v>
      </c>
      <c r="AK101" s="244" t="s">
        <v>2708</v>
      </c>
      <c r="AL101" s="244" t="s">
        <v>2708</v>
      </c>
      <c r="AM101" s="244" t="s">
        <v>2708</v>
      </c>
      <c r="AN101" s="245" t="s">
        <v>2708</v>
      </c>
      <c r="AO101" s="245" t="s">
        <v>2708</v>
      </c>
      <c r="AP101" s="274">
        <v>210</v>
      </c>
    </row>
    <row r="102" spans="1:42" x14ac:dyDescent="0.2">
      <c r="A102" s="269">
        <v>102</v>
      </c>
      <c r="B102" s="270" t="s">
        <v>1901</v>
      </c>
      <c r="C102" s="271" t="s">
        <v>1251</v>
      </c>
      <c r="D102" s="272" t="s">
        <v>2708</v>
      </c>
      <c r="E102" s="273" t="s">
        <v>2708</v>
      </c>
      <c r="F102" s="22" t="s">
        <v>743</v>
      </c>
      <c r="G102" s="23" t="s">
        <v>743</v>
      </c>
      <c r="H102" s="24" t="s">
        <v>743</v>
      </c>
      <c r="I102" s="24" t="s">
        <v>743</v>
      </c>
      <c r="J102" s="25" t="s">
        <v>743</v>
      </c>
      <c r="K102" s="26">
        <v>38290</v>
      </c>
      <c r="L102" s="27" t="s">
        <v>2709</v>
      </c>
      <c r="M102" s="28">
        <v>356084</v>
      </c>
      <c r="N102" s="29">
        <v>6176262</v>
      </c>
      <c r="O102" s="32">
        <v>289</v>
      </c>
      <c r="P102" s="135"/>
      <c r="Q102" s="260">
        <v>288</v>
      </c>
      <c r="R102" s="32"/>
      <c r="S102" s="135">
        <v>29</v>
      </c>
      <c r="T102" s="260">
        <f t="shared" si="5"/>
        <v>29</v>
      </c>
      <c r="U102" s="30"/>
      <c r="V102" s="31">
        <v>109</v>
      </c>
      <c r="W102" s="31">
        <f t="shared" si="6"/>
        <v>109</v>
      </c>
      <c r="X102" s="260">
        <f t="shared" si="3"/>
        <v>3</v>
      </c>
      <c r="Y102" s="323">
        <v>0.88300000000000001</v>
      </c>
      <c r="Z102" s="323">
        <v>85318</v>
      </c>
      <c r="AA102" s="323">
        <v>1251</v>
      </c>
      <c r="AB102" s="151"/>
      <c r="AC102" s="155">
        <v>1990</v>
      </c>
      <c r="AD102" s="254">
        <f t="shared" si="4"/>
        <v>13.832306639288163</v>
      </c>
      <c r="AE102" s="152" t="s">
        <v>2708</v>
      </c>
      <c r="AF102" s="252" t="s">
        <v>2708</v>
      </c>
      <c r="AG102" s="242" t="s">
        <v>2708</v>
      </c>
      <c r="AH102" s="242" t="s">
        <v>2708</v>
      </c>
      <c r="AI102" s="243" t="s">
        <v>2708</v>
      </c>
      <c r="AJ102" s="244" t="s">
        <v>2708</v>
      </c>
      <c r="AK102" s="244" t="s">
        <v>2708</v>
      </c>
      <c r="AL102" s="244" t="s">
        <v>2708</v>
      </c>
      <c r="AM102" s="244" t="s">
        <v>2708</v>
      </c>
      <c r="AN102" s="245" t="s">
        <v>2708</v>
      </c>
      <c r="AO102" s="245" t="s">
        <v>2708</v>
      </c>
      <c r="AP102" s="274">
        <v>213</v>
      </c>
    </row>
    <row r="103" spans="1:42" x14ac:dyDescent="0.2">
      <c r="A103" s="269">
        <v>103</v>
      </c>
      <c r="B103" s="270" t="s">
        <v>1901</v>
      </c>
      <c r="C103" s="271" t="s">
        <v>2618</v>
      </c>
      <c r="D103" s="272" t="s">
        <v>2708</v>
      </c>
      <c r="E103" s="273" t="s">
        <v>2708</v>
      </c>
      <c r="F103" s="22" t="s">
        <v>743</v>
      </c>
      <c r="G103" s="23" t="s">
        <v>743</v>
      </c>
      <c r="H103" s="24" t="s">
        <v>743</v>
      </c>
      <c r="I103" s="24" t="s">
        <v>743</v>
      </c>
      <c r="J103" s="25" t="s">
        <v>743</v>
      </c>
      <c r="K103" s="26">
        <v>38290</v>
      </c>
      <c r="L103" s="27" t="s">
        <v>2709</v>
      </c>
      <c r="M103" s="28">
        <v>356101</v>
      </c>
      <c r="N103" s="29">
        <v>6176255</v>
      </c>
      <c r="O103" s="32">
        <v>273</v>
      </c>
      <c r="P103" s="135"/>
      <c r="Q103" s="260">
        <v>277</v>
      </c>
      <c r="R103" s="32"/>
      <c r="S103" s="135">
        <v>32</v>
      </c>
      <c r="T103" s="260">
        <f t="shared" si="5"/>
        <v>32</v>
      </c>
      <c r="U103" s="30"/>
      <c r="V103" s="31">
        <v>118</v>
      </c>
      <c r="W103" s="31">
        <f t="shared" si="6"/>
        <v>118</v>
      </c>
      <c r="X103" s="260">
        <f t="shared" si="3"/>
        <v>2</v>
      </c>
      <c r="Y103" s="323">
        <v>0.92</v>
      </c>
      <c r="Z103" s="323">
        <v>77829</v>
      </c>
      <c r="AA103" s="323">
        <v>1195</v>
      </c>
      <c r="AB103" s="151"/>
      <c r="AC103" s="155">
        <v>100</v>
      </c>
      <c r="AD103" s="254">
        <f t="shared" si="4"/>
        <v>1903.8323066392882</v>
      </c>
      <c r="AE103" s="152" t="s">
        <v>2708</v>
      </c>
      <c r="AF103" s="252" t="s">
        <v>2708</v>
      </c>
      <c r="AG103" s="242" t="s">
        <v>2708</v>
      </c>
      <c r="AH103" s="242" t="s">
        <v>2708</v>
      </c>
      <c r="AI103" s="243" t="s">
        <v>2708</v>
      </c>
      <c r="AJ103" s="244" t="s">
        <v>2708</v>
      </c>
      <c r="AK103" s="244" t="s">
        <v>2708</v>
      </c>
      <c r="AL103" s="244" t="s">
        <v>2708</v>
      </c>
      <c r="AM103" s="244" t="s">
        <v>2708</v>
      </c>
      <c r="AN103" s="245" t="s">
        <v>2708</v>
      </c>
      <c r="AO103" s="245" t="s">
        <v>2708</v>
      </c>
      <c r="AP103" s="274">
        <v>214</v>
      </c>
    </row>
    <row r="104" spans="1:42" x14ac:dyDescent="0.2">
      <c r="A104" s="269">
        <v>104</v>
      </c>
      <c r="B104" s="270" t="s">
        <v>1901</v>
      </c>
      <c r="C104" s="271" t="s">
        <v>2618</v>
      </c>
      <c r="D104" s="272" t="s">
        <v>2708</v>
      </c>
      <c r="E104" s="273" t="s">
        <v>2708</v>
      </c>
      <c r="F104" s="22" t="s">
        <v>743</v>
      </c>
      <c r="G104" s="23" t="s">
        <v>743</v>
      </c>
      <c r="H104" s="24" t="s">
        <v>743</v>
      </c>
      <c r="I104" s="24" t="s">
        <v>743</v>
      </c>
      <c r="J104" s="25" t="s">
        <v>743</v>
      </c>
      <c r="K104" s="26">
        <v>38290</v>
      </c>
      <c r="L104" s="27" t="s">
        <v>2709</v>
      </c>
      <c r="M104" s="28">
        <v>356112</v>
      </c>
      <c r="N104" s="29">
        <v>6176230</v>
      </c>
      <c r="O104" s="32">
        <v>260</v>
      </c>
      <c r="P104" s="135"/>
      <c r="Q104" s="260">
        <v>262</v>
      </c>
      <c r="R104" s="32"/>
      <c r="S104" s="135">
        <v>35</v>
      </c>
      <c r="T104" s="260">
        <f t="shared" si="5"/>
        <v>35</v>
      </c>
      <c r="U104" s="30"/>
      <c r="V104" s="31">
        <v>106</v>
      </c>
      <c r="W104" s="31">
        <f t="shared" si="6"/>
        <v>106</v>
      </c>
      <c r="X104" s="260">
        <f t="shared" si="3"/>
        <v>3</v>
      </c>
      <c r="Y104" s="323">
        <v>1.042</v>
      </c>
      <c r="Z104" s="323">
        <v>78673</v>
      </c>
      <c r="AA104" s="323">
        <v>1028</v>
      </c>
      <c r="AB104" s="151"/>
      <c r="AC104" s="155">
        <v>100</v>
      </c>
      <c r="AD104" s="254">
        <f t="shared" si="4"/>
        <v>1903.8323066392882</v>
      </c>
      <c r="AE104" s="152" t="s">
        <v>2708</v>
      </c>
      <c r="AF104" s="252" t="s">
        <v>2708</v>
      </c>
      <c r="AG104" s="242" t="s">
        <v>2708</v>
      </c>
      <c r="AH104" s="242" t="s">
        <v>2708</v>
      </c>
      <c r="AI104" s="243" t="s">
        <v>2708</v>
      </c>
      <c r="AJ104" s="244" t="s">
        <v>2708</v>
      </c>
      <c r="AK104" s="244" t="s">
        <v>2708</v>
      </c>
      <c r="AL104" s="244" t="s">
        <v>2708</v>
      </c>
      <c r="AM104" s="244" t="s">
        <v>2708</v>
      </c>
      <c r="AN104" s="245" t="s">
        <v>2708</v>
      </c>
      <c r="AO104" s="245" t="s">
        <v>2708</v>
      </c>
      <c r="AP104" s="274">
        <v>215</v>
      </c>
    </row>
    <row r="105" spans="1:42" x14ac:dyDescent="0.2">
      <c r="A105" s="269">
        <v>105</v>
      </c>
      <c r="B105" s="270" t="s">
        <v>1901</v>
      </c>
      <c r="C105" s="271" t="s">
        <v>2247</v>
      </c>
      <c r="D105" s="272" t="s">
        <v>2708</v>
      </c>
      <c r="E105" s="273" t="s">
        <v>2708</v>
      </c>
      <c r="F105" s="22" t="s">
        <v>743</v>
      </c>
      <c r="G105" s="23" t="s">
        <v>743</v>
      </c>
      <c r="H105" s="24" t="s">
        <v>743</v>
      </c>
      <c r="I105" s="24" t="s">
        <v>743</v>
      </c>
      <c r="J105" s="25" t="s">
        <v>743</v>
      </c>
      <c r="K105" s="26">
        <v>38290</v>
      </c>
      <c r="L105" s="27" t="s">
        <v>2709</v>
      </c>
      <c r="M105" s="28">
        <v>356114</v>
      </c>
      <c r="N105" s="29">
        <v>6176167</v>
      </c>
      <c r="O105" s="32">
        <v>250</v>
      </c>
      <c r="P105" s="135"/>
      <c r="Q105" s="260">
        <v>254</v>
      </c>
      <c r="R105" s="32"/>
      <c r="S105" s="135">
        <v>25</v>
      </c>
      <c r="T105" s="260">
        <f t="shared" si="5"/>
        <v>25</v>
      </c>
      <c r="U105" s="30"/>
      <c r="V105" s="31">
        <v>129</v>
      </c>
      <c r="W105" s="31">
        <f t="shared" si="6"/>
        <v>129</v>
      </c>
      <c r="X105" s="260">
        <f t="shared" si="3"/>
        <v>2</v>
      </c>
      <c r="Y105" s="323">
        <v>0.496</v>
      </c>
      <c r="Z105" s="323">
        <v>81392</v>
      </c>
      <c r="AA105" s="323">
        <v>1250</v>
      </c>
      <c r="AB105" s="151"/>
      <c r="AC105" s="155">
        <v>1990</v>
      </c>
      <c r="AD105" s="254">
        <f t="shared" si="4"/>
        <v>13.832306639288163</v>
      </c>
      <c r="AE105" s="152" t="s">
        <v>2708</v>
      </c>
      <c r="AF105" s="252" t="s">
        <v>2708</v>
      </c>
      <c r="AG105" s="242" t="s">
        <v>2708</v>
      </c>
      <c r="AH105" s="242" t="s">
        <v>2708</v>
      </c>
      <c r="AI105" s="243" t="s">
        <v>2708</v>
      </c>
      <c r="AJ105" s="244" t="s">
        <v>2708</v>
      </c>
      <c r="AK105" s="244" t="s">
        <v>2708</v>
      </c>
      <c r="AL105" s="244" t="s">
        <v>2708</v>
      </c>
      <c r="AM105" s="244" t="s">
        <v>2708</v>
      </c>
      <c r="AN105" s="245" t="s">
        <v>2708</v>
      </c>
      <c r="AO105" s="245" t="s">
        <v>2708</v>
      </c>
      <c r="AP105" s="274">
        <v>216</v>
      </c>
    </row>
    <row r="106" spans="1:42" x14ac:dyDescent="0.2">
      <c r="A106" s="269">
        <v>106</v>
      </c>
      <c r="B106" s="270" t="s">
        <v>1901</v>
      </c>
      <c r="C106" s="271" t="s">
        <v>2471</v>
      </c>
      <c r="D106" s="272" t="s">
        <v>2708</v>
      </c>
      <c r="E106" s="273" t="s">
        <v>2708</v>
      </c>
      <c r="F106" s="22" t="s">
        <v>743</v>
      </c>
      <c r="G106" s="23" t="s">
        <v>743</v>
      </c>
      <c r="H106" s="24" t="s">
        <v>743</v>
      </c>
      <c r="I106" s="24" t="s">
        <v>743</v>
      </c>
      <c r="J106" s="25" t="s">
        <v>743</v>
      </c>
      <c r="K106" s="26">
        <v>38290</v>
      </c>
      <c r="L106" s="27" t="s">
        <v>2709</v>
      </c>
      <c r="M106" s="28">
        <v>356144</v>
      </c>
      <c r="N106" s="29">
        <v>6176171</v>
      </c>
      <c r="O106" s="32">
        <v>227</v>
      </c>
      <c r="P106" s="135"/>
      <c r="Q106" s="260">
        <v>243</v>
      </c>
      <c r="R106" s="32"/>
      <c r="S106" s="135">
        <v>28</v>
      </c>
      <c r="T106" s="260">
        <f t="shared" si="5"/>
        <v>28</v>
      </c>
      <c r="U106" s="30"/>
      <c r="V106" s="31">
        <v>95</v>
      </c>
      <c r="W106" s="31">
        <f t="shared" si="6"/>
        <v>95</v>
      </c>
      <c r="X106" s="260">
        <f t="shared" si="3"/>
        <v>3</v>
      </c>
      <c r="Y106" s="323">
        <v>0.158</v>
      </c>
      <c r="Z106" s="323">
        <v>91282</v>
      </c>
      <c r="AA106" s="323">
        <v>1148</v>
      </c>
      <c r="AB106" s="151"/>
      <c r="AC106" s="155">
        <v>100</v>
      </c>
      <c r="AD106" s="254">
        <f t="shared" si="4"/>
        <v>1903.8323066392882</v>
      </c>
      <c r="AE106" s="152" t="s">
        <v>2708</v>
      </c>
      <c r="AF106" s="252" t="s">
        <v>2708</v>
      </c>
      <c r="AG106" s="242" t="s">
        <v>2708</v>
      </c>
      <c r="AH106" s="242" t="s">
        <v>2708</v>
      </c>
      <c r="AI106" s="243" t="s">
        <v>2708</v>
      </c>
      <c r="AJ106" s="244" t="s">
        <v>2708</v>
      </c>
      <c r="AK106" s="244" t="s">
        <v>2708</v>
      </c>
      <c r="AL106" s="244" t="s">
        <v>2708</v>
      </c>
      <c r="AM106" s="244" t="s">
        <v>2708</v>
      </c>
      <c r="AN106" s="245" t="s">
        <v>2708</v>
      </c>
      <c r="AO106" s="245" t="s">
        <v>2708</v>
      </c>
      <c r="AP106" s="274">
        <v>218</v>
      </c>
    </row>
    <row r="107" spans="1:42" x14ac:dyDescent="0.2">
      <c r="A107" s="269">
        <v>107</v>
      </c>
      <c r="B107" s="270" t="s">
        <v>1901</v>
      </c>
      <c r="C107" s="271" t="s">
        <v>2471</v>
      </c>
      <c r="D107" s="272" t="s">
        <v>2708</v>
      </c>
      <c r="E107" s="273" t="s">
        <v>2708</v>
      </c>
      <c r="F107" s="22" t="s">
        <v>743</v>
      </c>
      <c r="G107" s="23" t="s">
        <v>743</v>
      </c>
      <c r="H107" s="24" t="s">
        <v>743</v>
      </c>
      <c r="I107" s="24" t="s">
        <v>743</v>
      </c>
      <c r="J107" s="25" t="s">
        <v>743</v>
      </c>
      <c r="K107" s="26">
        <v>38290</v>
      </c>
      <c r="L107" s="27" t="s">
        <v>2709</v>
      </c>
      <c r="M107" s="28">
        <v>356198</v>
      </c>
      <c r="N107" s="29">
        <v>6176131</v>
      </c>
      <c r="O107" s="32">
        <v>230</v>
      </c>
      <c r="P107" s="135"/>
      <c r="Q107" s="260">
        <v>212</v>
      </c>
      <c r="R107" s="32"/>
      <c r="S107" s="135">
        <v>23</v>
      </c>
      <c r="T107" s="260">
        <f t="shared" si="5"/>
        <v>23</v>
      </c>
      <c r="U107" s="30"/>
      <c r="V107" s="31">
        <v>106</v>
      </c>
      <c r="W107" s="31">
        <f t="shared" si="6"/>
        <v>106</v>
      </c>
      <c r="X107" s="260">
        <f t="shared" si="3"/>
        <v>3</v>
      </c>
      <c r="Y107" s="323">
        <v>0.39</v>
      </c>
      <c r="Z107" s="323">
        <v>89375</v>
      </c>
      <c r="AA107" s="323">
        <v>486</v>
      </c>
      <c r="AB107" s="151"/>
      <c r="AC107" s="155">
        <v>100</v>
      </c>
      <c r="AD107" s="254">
        <f t="shared" si="4"/>
        <v>1903.8323066392882</v>
      </c>
      <c r="AE107" s="152" t="s">
        <v>2708</v>
      </c>
      <c r="AF107" s="252" t="s">
        <v>2708</v>
      </c>
      <c r="AG107" s="242" t="s">
        <v>2708</v>
      </c>
      <c r="AH107" s="242" t="s">
        <v>2708</v>
      </c>
      <c r="AI107" s="243" t="s">
        <v>2708</v>
      </c>
      <c r="AJ107" s="244" t="s">
        <v>2708</v>
      </c>
      <c r="AK107" s="244" t="s">
        <v>2708</v>
      </c>
      <c r="AL107" s="244" t="s">
        <v>2708</v>
      </c>
      <c r="AM107" s="244" t="s">
        <v>2708</v>
      </c>
      <c r="AN107" s="245" t="s">
        <v>2708</v>
      </c>
      <c r="AO107" s="245" t="s">
        <v>2708</v>
      </c>
      <c r="AP107" s="274">
        <v>219</v>
      </c>
    </row>
    <row r="108" spans="1:42" x14ac:dyDescent="0.2">
      <c r="A108" s="269">
        <v>108</v>
      </c>
      <c r="B108" s="270" t="s">
        <v>1901</v>
      </c>
      <c r="C108" s="271" t="s">
        <v>2470</v>
      </c>
      <c r="D108" s="272" t="s">
        <v>2708</v>
      </c>
      <c r="E108" s="273" t="s">
        <v>2708</v>
      </c>
      <c r="F108" s="22" t="s">
        <v>743</v>
      </c>
      <c r="G108" s="23" t="s">
        <v>743</v>
      </c>
      <c r="H108" s="24" t="s">
        <v>743</v>
      </c>
      <c r="I108" s="24" t="s">
        <v>743</v>
      </c>
      <c r="J108" s="25" t="s">
        <v>743</v>
      </c>
      <c r="K108" s="26">
        <v>38290</v>
      </c>
      <c r="L108" s="27" t="s">
        <v>2709</v>
      </c>
      <c r="M108" s="28">
        <v>356239</v>
      </c>
      <c r="N108" s="29">
        <v>6176129</v>
      </c>
      <c r="O108" s="32">
        <v>213</v>
      </c>
      <c r="P108" s="135"/>
      <c r="Q108" s="260">
        <v>205</v>
      </c>
      <c r="R108" s="32"/>
      <c r="S108" s="135">
        <v>3</v>
      </c>
      <c r="T108" s="260">
        <f t="shared" si="5"/>
        <v>3</v>
      </c>
      <c r="U108" s="30"/>
      <c r="V108" s="31">
        <v>247</v>
      </c>
      <c r="W108" s="31">
        <f t="shared" si="6"/>
        <v>247</v>
      </c>
      <c r="X108" s="260">
        <f t="shared" si="3"/>
        <v>2</v>
      </c>
      <c r="Y108" s="323">
        <v>0.57299999999999995</v>
      </c>
      <c r="Z108" s="323">
        <v>102063</v>
      </c>
      <c r="AA108" s="323">
        <v>414</v>
      </c>
      <c r="AB108" s="151"/>
      <c r="AC108" s="155">
        <v>1990</v>
      </c>
      <c r="AD108" s="254">
        <f t="shared" si="4"/>
        <v>13.832306639288163</v>
      </c>
      <c r="AE108" s="152" t="s">
        <v>2708</v>
      </c>
      <c r="AF108" s="252" t="s">
        <v>2708</v>
      </c>
      <c r="AG108" s="242" t="s">
        <v>2708</v>
      </c>
      <c r="AH108" s="242" t="s">
        <v>2708</v>
      </c>
      <c r="AI108" s="243" t="s">
        <v>2708</v>
      </c>
      <c r="AJ108" s="244" t="s">
        <v>2708</v>
      </c>
      <c r="AK108" s="244" t="s">
        <v>2708</v>
      </c>
      <c r="AL108" s="244" t="s">
        <v>2708</v>
      </c>
      <c r="AM108" s="244" t="s">
        <v>2708</v>
      </c>
      <c r="AN108" s="245" t="s">
        <v>2708</v>
      </c>
      <c r="AO108" s="245" t="s">
        <v>2708</v>
      </c>
      <c r="AP108" s="274">
        <v>220</v>
      </c>
    </row>
    <row r="109" spans="1:42" x14ac:dyDescent="0.2">
      <c r="A109" s="269">
        <v>109</v>
      </c>
      <c r="B109" s="270" t="s">
        <v>1901</v>
      </c>
      <c r="C109" s="271" t="s">
        <v>2617</v>
      </c>
      <c r="D109" s="272" t="s">
        <v>2708</v>
      </c>
      <c r="E109" s="273" t="s">
        <v>2708</v>
      </c>
      <c r="F109" s="22" t="s">
        <v>743</v>
      </c>
      <c r="G109" s="23" t="s">
        <v>743</v>
      </c>
      <c r="H109" s="24" t="s">
        <v>743</v>
      </c>
      <c r="I109" s="24" t="s">
        <v>743</v>
      </c>
      <c r="J109" s="25" t="s">
        <v>743</v>
      </c>
      <c r="K109" s="26">
        <v>38290</v>
      </c>
      <c r="L109" s="27" t="s">
        <v>2709</v>
      </c>
      <c r="M109" s="28">
        <v>356250</v>
      </c>
      <c r="N109" s="29">
        <v>6176128</v>
      </c>
      <c r="O109" s="32">
        <v>203</v>
      </c>
      <c r="P109" s="135"/>
      <c r="Q109" s="260">
        <v>205</v>
      </c>
      <c r="R109" s="32"/>
      <c r="S109" s="135">
        <v>7</v>
      </c>
      <c r="T109" s="260">
        <f t="shared" si="5"/>
        <v>7</v>
      </c>
      <c r="U109" s="30"/>
      <c r="V109" s="31">
        <v>288</v>
      </c>
      <c r="W109" s="31">
        <f t="shared" si="6"/>
        <v>288</v>
      </c>
      <c r="X109" s="260">
        <f t="shared" si="3"/>
        <v>3</v>
      </c>
      <c r="Y109" s="323">
        <v>0.496</v>
      </c>
      <c r="Z109" s="323">
        <v>103561</v>
      </c>
      <c r="AA109" s="323">
        <v>309</v>
      </c>
      <c r="AB109" s="151"/>
      <c r="AC109" s="155">
        <v>1990</v>
      </c>
      <c r="AD109" s="254">
        <f t="shared" si="4"/>
        <v>13.832306639288163</v>
      </c>
      <c r="AE109" s="152" t="s">
        <v>2708</v>
      </c>
      <c r="AF109" s="252" t="s">
        <v>2708</v>
      </c>
      <c r="AG109" s="242" t="s">
        <v>2708</v>
      </c>
      <c r="AH109" s="242" t="s">
        <v>2708</v>
      </c>
      <c r="AI109" s="243" t="s">
        <v>2708</v>
      </c>
      <c r="AJ109" s="244" t="s">
        <v>2708</v>
      </c>
      <c r="AK109" s="244" t="s">
        <v>2708</v>
      </c>
      <c r="AL109" s="244" t="s">
        <v>2708</v>
      </c>
      <c r="AM109" s="244" t="s">
        <v>2708</v>
      </c>
      <c r="AN109" s="245" t="s">
        <v>2708</v>
      </c>
      <c r="AO109" s="245" t="s">
        <v>2708</v>
      </c>
      <c r="AP109" s="274">
        <v>221</v>
      </c>
    </row>
    <row r="110" spans="1:42" x14ac:dyDescent="0.2">
      <c r="A110" s="269">
        <v>110</v>
      </c>
      <c r="B110" s="270" t="s">
        <v>1901</v>
      </c>
      <c r="C110" s="271" t="s">
        <v>2618</v>
      </c>
      <c r="D110" s="272" t="s">
        <v>2708</v>
      </c>
      <c r="E110" s="273" t="s">
        <v>2708</v>
      </c>
      <c r="F110" s="22" t="s">
        <v>743</v>
      </c>
      <c r="G110" s="23" t="s">
        <v>743</v>
      </c>
      <c r="H110" s="24" t="s">
        <v>743</v>
      </c>
      <c r="I110" s="24" t="s">
        <v>743</v>
      </c>
      <c r="J110" s="25" t="s">
        <v>743</v>
      </c>
      <c r="K110" s="26">
        <v>38290</v>
      </c>
      <c r="L110" s="27" t="s">
        <v>2709</v>
      </c>
      <c r="M110" s="28">
        <v>358339</v>
      </c>
      <c r="N110" s="29">
        <v>6177467</v>
      </c>
      <c r="O110" s="32">
        <v>368</v>
      </c>
      <c r="P110" s="135"/>
      <c r="Q110" s="260">
        <v>374</v>
      </c>
      <c r="R110" s="32"/>
      <c r="S110" s="135">
        <v>14</v>
      </c>
      <c r="T110" s="260">
        <f t="shared" si="5"/>
        <v>14</v>
      </c>
      <c r="U110" s="30"/>
      <c r="V110" s="31">
        <v>301</v>
      </c>
      <c r="W110" s="31">
        <f t="shared" si="6"/>
        <v>301</v>
      </c>
      <c r="X110" s="260">
        <f t="shared" si="3"/>
        <v>4</v>
      </c>
      <c r="Y110" s="323">
        <v>0.52200000000000002</v>
      </c>
      <c r="Z110" s="323">
        <v>111483</v>
      </c>
      <c r="AA110" s="323">
        <v>639</v>
      </c>
      <c r="AB110" s="151"/>
      <c r="AC110" s="155">
        <v>1996</v>
      </c>
      <c r="AD110" s="254">
        <f t="shared" si="4"/>
        <v>7.8323066392881628</v>
      </c>
      <c r="AE110" s="152" t="s">
        <v>2708</v>
      </c>
      <c r="AF110" s="252" t="s">
        <v>2708</v>
      </c>
      <c r="AG110" s="242" t="s">
        <v>2708</v>
      </c>
      <c r="AH110" s="242" t="s">
        <v>2708</v>
      </c>
      <c r="AI110" s="243" t="s">
        <v>2708</v>
      </c>
      <c r="AJ110" s="244" t="s">
        <v>2708</v>
      </c>
      <c r="AK110" s="244" t="s">
        <v>2708</v>
      </c>
      <c r="AL110" s="244" t="s">
        <v>2708</v>
      </c>
      <c r="AM110" s="244" t="s">
        <v>2708</v>
      </c>
      <c r="AN110" s="245" t="s">
        <v>2708</v>
      </c>
      <c r="AO110" s="245" t="s">
        <v>2708</v>
      </c>
      <c r="AP110" s="274">
        <v>279</v>
      </c>
    </row>
    <row r="111" spans="1:42" x14ac:dyDescent="0.2">
      <c r="A111" s="269">
        <v>111</v>
      </c>
      <c r="B111" s="270" t="s">
        <v>1901</v>
      </c>
      <c r="C111" s="271" t="s">
        <v>2620</v>
      </c>
      <c r="D111" s="272" t="s">
        <v>2708</v>
      </c>
      <c r="E111" s="273" t="s">
        <v>2708</v>
      </c>
      <c r="F111" s="22" t="s">
        <v>743</v>
      </c>
      <c r="G111" s="23" t="s">
        <v>743</v>
      </c>
      <c r="H111" s="24" t="s">
        <v>743</v>
      </c>
      <c r="I111" s="24" t="s">
        <v>743</v>
      </c>
      <c r="J111" s="25" t="s">
        <v>743</v>
      </c>
      <c r="K111" s="26">
        <v>38290</v>
      </c>
      <c r="L111" s="27" t="s">
        <v>2709</v>
      </c>
      <c r="M111" s="28">
        <v>358305</v>
      </c>
      <c r="N111" s="29">
        <v>6177796</v>
      </c>
      <c r="O111" s="32">
        <v>350</v>
      </c>
      <c r="P111" s="135"/>
      <c r="Q111" s="260">
        <v>339</v>
      </c>
      <c r="R111" s="32"/>
      <c r="S111" s="135">
        <v>5</v>
      </c>
      <c r="T111" s="260">
        <f t="shared" si="5"/>
        <v>5</v>
      </c>
      <c r="U111" s="30"/>
      <c r="V111" s="31">
        <v>299</v>
      </c>
      <c r="W111" s="31">
        <f t="shared" si="6"/>
        <v>299</v>
      </c>
      <c r="X111" s="260">
        <f t="shared" si="3"/>
        <v>4</v>
      </c>
      <c r="Y111" s="323">
        <v>0.69099999999999995</v>
      </c>
      <c r="Z111" s="323">
        <v>109851</v>
      </c>
      <c r="AA111" s="323">
        <v>843</v>
      </c>
      <c r="AB111" s="151"/>
      <c r="AC111" s="155">
        <v>1996</v>
      </c>
      <c r="AD111" s="254">
        <f t="shared" si="4"/>
        <v>7.8323066392881628</v>
      </c>
      <c r="AE111" s="152" t="s">
        <v>2708</v>
      </c>
      <c r="AF111" s="252" t="s">
        <v>2708</v>
      </c>
      <c r="AG111" s="242" t="s">
        <v>2708</v>
      </c>
      <c r="AH111" s="242" t="s">
        <v>2708</v>
      </c>
      <c r="AI111" s="243" t="s">
        <v>2708</v>
      </c>
      <c r="AJ111" s="244" t="s">
        <v>2708</v>
      </c>
      <c r="AK111" s="244" t="s">
        <v>2708</v>
      </c>
      <c r="AL111" s="244" t="s">
        <v>2708</v>
      </c>
      <c r="AM111" s="244" t="s">
        <v>2708</v>
      </c>
      <c r="AN111" s="245" t="s">
        <v>2708</v>
      </c>
      <c r="AO111" s="245" t="s">
        <v>2708</v>
      </c>
      <c r="AP111" s="274">
        <v>282</v>
      </c>
    </row>
    <row r="112" spans="1:42" x14ac:dyDescent="0.2">
      <c r="A112" s="269">
        <v>112</v>
      </c>
      <c r="B112" s="270" t="s">
        <v>1901</v>
      </c>
      <c r="C112" s="271" t="s">
        <v>2669</v>
      </c>
      <c r="D112" s="272" t="s">
        <v>2708</v>
      </c>
      <c r="E112" s="273" t="s">
        <v>2708</v>
      </c>
      <c r="F112" s="22" t="s">
        <v>743</v>
      </c>
      <c r="G112" s="23" t="s">
        <v>743</v>
      </c>
      <c r="H112" s="24" t="s">
        <v>743</v>
      </c>
      <c r="I112" s="24" t="s">
        <v>743</v>
      </c>
      <c r="J112" s="25" t="s">
        <v>743</v>
      </c>
      <c r="K112" s="26">
        <v>38290</v>
      </c>
      <c r="L112" s="27" t="s">
        <v>2709</v>
      </c>
      <c r="M112" s="28">
        <v>358243</v>
      </c>
      <c r="N112" s="29">
        <v>6177905</v>
      </c>
      <c r="O112" s="32">
        <v>342</v>
      </c>
      <c r="P112" s="135"/>
      <c r="Q112" s="260">
        <v>331</v>
      </c>
      <c r="R112" s="32"/>
      <c r="S112" s="135">
        <v>2</v>
      </c>
      <c r="T112" s="260">
        <f t="shared" si="5"/>
        <v>2</v>
      </c>
      <c r="U112" s="30"/>
      <c r="V112" s="31">
        <v>289</v>
      </c>
      <c r="W112" s="31">
        <f t="shared" si="6"/>
        <v>289</v>
      </c>
      <c r="X112" s="260">
        <f t="shared" si="3"/>
        <v>3</v>
      </c>
      <c r="Y112" s="323">
        <v>0.32800000000000001</v>
      </c>
      <c r="Z112" s="323">
        <v>108514</v>
      </c>
      <c r="AA112" s="323">
        <v>1027</v>
      </c>
      <c r="AB112" s="151"/>
      <c r="AC112" s="155">
        <v>1996</v>
      </c>
      <c r="AD112" s="254">
        <f t="shared" si="4"/>
        <v>7.8323066392881628</v>
      </c>
      <c r="AE112" s="152" t="s">
        <v>2708</v>
      </c>
      <c r="AF112" s="252" t="s">
        <v>2708</v>
      </c>
      <c r="AG112" s="242" t="s">
        <v>2708</v>
      </c>
      <c r="AH112" s="242" t="s">
        <v>2708</v>
      </c>
      <c r="AI112" s="243" t="s">
        <v>2708</v>
      </c>
      <c r="AJ112" s="244" t="s">
        <v>2708</v>
      </c>
      <c r="AK112" s="244" t="s">
        <v>2708</v>
      </c>
      <c r="AL112" s="244" t="s">
        <v>2708</v>
      </c>
      <c r="AM112" s="244" t="s">
        <v>2708</v>
      </c>
      <c r="AN112" s="245" t="s">
        <v>2708</v>
      </c>
      <c r="AO112" s="245" t="s">
        <v>2708</v>
      </c>
      <c r="AP112" s="274">
        <v>284</v>
      </c>
    </row>
    <row r="113" spans="1:42" x14ac:dyDescent="0.2">
      <c r="A113" s="269">
        <v>113</v>
      </c>
      <c r="B113" s="270" t="s">
        <v>1901</v>
      </c>
      <c r="C113" s="271" t="s">
        <v>2617</v>
      </c>
      <c r="D113" s="272" t="s">
        <v>2708</v>
      </c>
      <c r="E113" s="273" t="s">
        <v>2708</v>
      </c>
      <c r="F113" s="22" t="s">
        <v>743</v>
      </c>
      <c r="G113" s="23" t="s">
        <v>743</v>
      </c>
      <c r="H113" s="24" t="s">
        <v>743</v>
      </c>
      <c r="I113" s="24" t="s">
        <v>743</v>
      </c>
      <c r="J113" s="25" t="s">
        <v>743</v>
      </c>
      <c r="K113" s="26">
        <v>38290</v>
      </c>
      <c r="L113" s="27" t="s">
        <v>2709</v>
      </c>
      <c r="M113" s="28">
        <v>358302</v>
      </c>
      <c r="N113" s="29">
        <v>6178248</v>
      </c>
      <c r="O113" s="32">
        <v>296</v>
      </c>
      <c r="P113" s="135"/>
      <c r="Q113" s="260">
        <v>292</v>
      </c>
      <c r="R113" s="32"/>
      <c r="S113" s="135">
        <v>9</v>
      </c>
      <c r="T113" s="260">
        <f t="shared" si="5"/>
        <v>9</v>
      </c>
      <c r="U113" s="30"/>
      <c r="V113" s="31">
        <v>321</v>
      </c>
      <c r="W113" s="31">
        <f t="shared" si="6"/>
        <v>321</v>
      </c>
      <c r="X113" s="260">
        <f t="shared" ref="X113:X176" si="7">IF(OR(W113&lt;12,W113&gt;348),6,IF(OR(W113&lt;34,W113&gt;326),5,IF(OR(W113&lt;68,W113&gt;292),4,IF(OR(W113&lt;113,W113&gt;247),3,IF(OR(W113&lt;158,W113&gt;212),2,IF(OR(W113&lt;179,W113&gt;191),1,0))))))</f>
        <v>4</v>
      </c>
      <c r="Y113" s="323">
        <v>0.66300000000000003</v>
      </c>
      <c r="Z113" s="323">
        <v>112726</v>
      </c>
      <c r="AA113" s="323">
        <v>956</v>
      </c>
      <c r="AB113" s="151"/>
      <c r="AC113" s="155">
        <v>1996</v>
      </c>
      <c r="AD113" s="254">
        <f t="shared" si="4"/>
        <v>7.8323066392881628</v>
      </c>
      <c r="AE113" s="152" t="s">
        <v>2708</v>
      </c>
      <c r="AF113" s="252" t="s">
        <v>2708</v>
      </c>
      <c r="AG113" s="242" t="s">
        <v>2708</v>
      </c>
      <c r="AH113" s="242" t="s">
        <v>2708</v>
      </c>
      <c r="AI113" s="243" t="s">
        <v>2708</v>
      </c>
      <c r="AJ113" s="244" t="s">
        <v>2708</v>
      </c>
      <c r="AK113" s="244" t="s">
        <v>2708</v>
      </c>
      <c r="AL113" s="244" t="s">
        <v>2708</v>
      </c>
      <c r="AM113" s="244" t="s">
        <v>2708</v>
      </c>
      <c r="AN113" s="245" t="s">
        <v>2708</v>
      </c>
      <c r="AO113" s="245" t="s">
        <v>2708</v>
      </c>
      <c r="AP113" s="274">
        <v>287</v>
      </c>
    </row>
    <row r="114" spans="1:42" x14ac:dyDescent="0.2">
      <c r="A114" s="269">
        <v>114</v>
      </c>
      <c r="B114" s="270" t="s">
        <v>1901</v>
      </c>
      <c r="C114" s="271" t="s">
        <v>2618</v>
      </c>
      <c r="D114" s="272" t="s">
        <v>2708</v>
      </c>
      <c r="E114" s="273" t="s">
        <v>2708</v>
      </c>
      <c r="F114" s="22" t="s">
        <v>743</v>
      </c>
      <c r="G114" s="23" t="s">
        <v>743</v>
      </c>
      <c r="H114" s="24" t="s">
        <v>743</v>
      </c>
      <c r="I114" s="24" t="s">
        <v>743</v>
      </c>
      <c r="J114" s="25" t="s">
        <v>743</v>
      </c>
      <c r="K114" s="26">
        <v>38290</v>
      </c>
      <c r="L114" s="27" t="s">
        <v>2709</v>
      </c>
      <c r="M114" s="28">
        <v>358320</v>
      </c>
      <c r="N114" s="29">
        <v>6178330</v>
      </c>
      <c r="O114" s="32">
        <v>296</v>
      </c>
      <c r="P114" s="135"/>
      <c r="Q114" s="260">
        <v>285</v>
      </c>
      <c r="R114" s="32"/>
      <c r="S114" s="135">
        <v>4</v>
      </c>
      <c r="T114" s="260">
        <f t="shared" si="5"/>
        <v>4</v>
      </c>
      <c r="U114" s="30"/>
      <c r="V114" s="31">
        <v>299</v>
      </c>
      <c r="W114" s="31">
        <f t="shared" si="6"/>
        <v>299</v>
      </c>
      <c r="X114" s="260">
        <f t="shared" si="7"/>
        <v>4</v>
      </c>
      <c r="Y114" s="323">
        <v>0.86899999999999999</v>
      </c>
      <c r="Z114" s="323">
        <v>108997</v>
      </c>
      <c r="AA114" s="323">
        <v>972</v>
      </c>
      <c r="AB114" s="151"/>
      <c r="AC114" s="155">
        <v>1996</v>
      </c>
      <c r="AD114" s="254">
        <f t="shared" si="4"/>
        <v>7.8323066392881628</v>
      </c>
      <c r="AE114" s="152" t="s">
        <v>2708</v>
      </c>
      <c r="AF114" s="252" t="s">
        <v>2708</v>
      </c>
      <c r="AG114" s="242" t="s">
        <v>2708</v>
      </c>
      <c r="AH114" s="242" t="s">
        <v>2708</v>
      </c>
      <c r="AI114" s="243" t="s">
        <v>2708</v>
      </c>
      <c r="AJ114" s="244" t="s">
        <v>2708</v>
      </c>
      <c r="AK114" s="244" t="s">
        <v>2708</v>
      </c>
      <c r="AL114" s="244" t="s">
        <v>2708</v>
      </c>
      <c r="AM114" s="244" t="s">
        <v>2708</v>
      </c>
      <c r="AN114" s="245" t="s">
        <v>2708</v>
      </c>
      <c r="AO114" s="245" t="s">
        <v>2708</v>
      </c>
      <c r="AP114" s="274">
        <v>288</v>
      </c>
    </row>
    <row r="115" spans="1:42" x14ac:dyDescent="0.2">
      <c r="A115" s="269">
        <v>115</v>
      </c>
      <c r="B115" s="270" t="s">
        <v>1901</v>
      </c>
      <c r="C115" s="271" t="s">
        <v>2618</v>
      </c>
      <c r="D115" s="272" t="s">
        <v>2708</v>
      </c>
      <c r="E115" s="273" t="s">
        <v>2708</v>
      </c>
      <c r="F115" s="22" t="s">
        <v>743</v>
      </c>
      <c r="G115" s="23" t="s">
        <v>743</v>
      </c>
      <c r="H115" s="24" t="s">
        <v>743</v>
      </c>
      <c r="I115" s="24" t="s">
        <v>743</v>
      </c>
      <c r="J115" s="25" t="s">
        <v>743</v>
      </c>
      <c r="K115" s="26">
        <v>38290</v>
      </c>
      <c r="L115" s="27" t="s">
        <v>2709</v>
      </c>
      <c r="M115" s="28">
        <v>355942</v>
      </c>
      <c r="N115" s="29">
        <v>6176155</v>
      </c>
      <c r="O115" s="32">
        <v>275</v>
      </c>
      <c r="P115" s="135"/>
      <c r="Q115" s="260">
        <v>287</v>
      </c>
      <c r="R115" s="32"/>
      <c r="S115" s="135">
        <v>28</v>
      </c>
      <c r="T115" s="260">
        <f t="shared" si="5"/>
        <v>28</v>
      </c>
      <c r="U115" s="30"/>
      <c r="V115" s="31">
        <v>84</v>
      </c>
      <c r="W115" s="31">
        <f t="shared" si="6"/>
        <v>84</v>
      </c>
      <c r="X115" s="260">
        <f t="shared" si="7"/>
        <v>3</v>
      </c>
      <c r="Y115" s="323">
        <v>0.59199999999999997</v>
      </c>
      <c r="Z115" s="323">
        <v>98160</v>
      </c>
      <c r="AA115" s="323">
        <v>1094</v>
      </c>
      <c r="AB115" s="151"/>
      <c r="AC115" s="155">
        <v>1990</v>
      </c>
      <c r="AD115" s="254">
        <f t="shared" si="4"/>
        <v>13.832306639288163</v>
      </c>
      <c r="AE115" s="152" t="s">
        <v>2708</v>
      </c>
      <c r="AF115" s="252" t="s">
        <v>2708</v>
      </c>
      <c r="AG115" s="242" t="s">
        <v>2708</v>
      </c>
      <c r="AH115" s="242" t="s">
        <v>2708</v>
      </c>
      <c r="AI115" s="243" t="s">
        <v>2708</v>
      </c>
      <c r="AJ115" s="244" t="s">
        <v>2708</v>
      </c>
      <c r="AK115" s="244" t="s">
        <v>2708</v>
      </c>
      <c r="AL115" s="244" t="s">
        <v>2708</v>
      </c>
      <c r="AM115" s="244" t="s">
        <v>2708</v>
      </c>
      <c r="AN115" s="245" t="s">
        <v>2708</v>
      </c>
      <c r="AO115" s="245" t="s">
        <v>2708</v>
      </c>
      <c r="AP115" s="274">
        <v>299</v>
      </c>
    </row>
    <row r="116" spans="1:42" x14ac:dyDescent="0.2">
      <c r="A116" s="269">
        <v>116</v>
      </c>
      <c r="B116" s="270" t="s">
        <v>1901</v>
      </c>
      <c r="C116" s="271" t="s">
        <v>2620</v>
      </c>
      <c r="D116" s="272" t="s">
        <v>2708</v>
      </c>
      <c r="E116" s="273" t="s">
        <v>2708</v>
      </c>
      <c r="F116" s="22" t="s">
        <v>743</v>
      </c>
      <c r="G116" s="23" t="s">
        <v>743</v>
      </c>
      <c r="H116" s="24" t="s">
        <v>743</v>
      </c>
      <c r="I116" s="24" t="s">
        <v>743</v>
      </c>
      <c r="J116" s="25" t="s">
        <v>743</v>
      </c>
      <c r="K116" s="26">
        <v>38291</v>
      </c>
      <c r="L116" s="27" t="s">
        <v>2709</v>
      </c>
      <c r="M116" s="28">
        <v>357720</v>
      </c>
      <c r="N116" s="29">
        <v>6179069</v>
      </c>
      <c r="O116" s="32">
        <v>221</v>
      </c>
      <c r="P116" s="135"/>
      <c r="Q116" s="260">
        <v>228</v>
      </c>
      <c r="R116" s="32"/>
      <c r="S116" s="135">
        <v>1</v>
      </c>
      <c r="T116" s="260">
        <f t="shared" si="5"/>
        <v>1</v>
      </c>
      <c r="U116" s="30"/>
      <c r="V116" s="31">
        <v>51</v>
      </c>
      <c r="W116" s="31">
        <f t="shared" si="6"/>
        <v>51</v>
      </c>
      <c r="X116" s="260">
        <f t="shared" si="7"/>
        <v>4</v>
      </c>
      <c r="Y116" s="323">
        <v>0.36699999999999999</v>
      </c>
      <c r="Z116" s="323">
        <v>106634</v>
      </c>
      <c r="AA116" s="323">
        <v>1140</v>
      </c>
      <c r="AB116" s="151"/>
      <c r="AC116" s="155">
        <v>1996</v>
      </c>
      <c r="AD116" s="254">
        <f t="shared" si="4"/>
        <v>7.8350444900752336</v>
      </c>
      <c r="AE116" s="152" t="s">
        <v>2708</v>
      </c>
      <c r="AF116" s="252" t="s">
        <v>2708</v>
      </c>
      <c r="AG116" s="242" t="s">
        <v>2708</v>
      </c>
      <c r="AH116" s="242" t="s">
        <v>2252</v>
      </c>
      <c r="AI116" s="243">
        <v>6.7</v>
      </c>
      <c r="AJ116" s="244">
        <v>2870</v>
      </c>
      <c r="AK116" s="244">
        <v>26</v>
      </c>
      <c r="AL116" s="244">
        <v>55</v>
      </c>
      <c r="AM116" s="244">
        <v>22</v>
      </c>
      <c r="AN116" s="245">
        <v>5.52</v>
      </c>
      <c r="AO116" s="245">
        <v>0.82</v>
      </c>
      <c r="AP116" s="274">
        <v>301</v>
      </c>
    </row>
    <row r="117" spans="1:42" x14ac:dyDescent="0.2">
      <c r="A117" s="269">
        <v>117</v>
      </c>
      <c r="B117" s="270" t="s">
        <v>1901</v>
      </c>
      <c r="C117" s="271" t="s">
        <v>2668</v>
      </c>
      <c r="D117" s="272" t="s">
        <v>2708</v>
      </c>
      <c r="E117" s="273" t="s">
        <v>2708</v>
      </c>
      <c r="F117" s="22" t="s">
        <v>743</v>
      </c>
      <c r="G117" s="23" t="s">
        <v>743</v>
      </c>
      <c r="H117" s="24" t="s">
        <v>743</v>
      </c>
      <c r="I117" s="24" t="s">
        <v>743</v>
      </c>
      <c r="J117" s="25" t="s">
        <v>743</v>
      </c>
      <c r="K117" s="26">
        <v>38291</v>
      </c>
      <c r="L117" s="27" t="s">
        <v>2709</v>
      </c>
      <c r="M117" s="28">
        <v>357650</v>
      </c>
      <c r="N117" s="29">
        <v>6179138</v>
      </c>
      <c r="O117" s="32">
        <v>232</v>
      </c>
      <c r="P117" s="135"/>
      <c r="Q117" s="260">
        <v>228</v>
      </c>
      <c r="R117" s="32"/>
      <c r="S117" s="135">
        <v>1</v>
      </c>
      <c r="T117" s="260">
        <f t="shared" si="5"/>
        <v>1</v>
      </c>
      <c r="U117" s="30"/>
      <c r="V117" s="31">
        <v>163</v>
      </c>
      <c r="W117" s="31">
        <f t="shared" si="6"/>
        <v>163</v>
      </c>
      <c r="X117" s="260">
        <f t="shared" si="7"/>
        <v>1</v>
      </c>
      <c r="Y117" s="323">
        <v>5.1999999999999998E-2</v>
      </c>
      <c r="Z117" s="323">
        <v>104862</v>
      </c>
      <c r="AA117" s="323">
        <v>1132</v>
      </c>
      <c r="AB117" s="151"/>
      <c r="AC117" s="155">
        <v>100</v>
      </c>
      <c r="AD117" s="254">
        <f t="shared" si="4"/>
        <v>1903.8350444900752</v>
      </c>
      <c r="AE117" s="152" t="s">
        <v>2708</v>
      </c>
      <c r="AF117" s="252" t="s">
        <v>2708</v>
      </c>
      <c r="AG117" s="242" t="s">
        <v>2708</v>
      </c>
      <c r="AH117" s="242" t="s">
        <v>2708</v>
      </c>
      <c r="AI117" s="243" t="s">
        <v>2708</v>
      </c>
      <c r="AJ117" s="244" t="s">
        <v>2708</v>
      </c>
      <c r="AK117" s="244" t="s">
        <v>2708</v>
      </c>
      <c r="AL117" s="244" t="s">
        <v>2708</v>
      </c>
      <c r="AM117" s="244" t="s">
        <v>2708</v>
      </c>
      <c r="AN117" s="245" t="s">
        <v>2708</v>
      </c>
      <c r="AO117" s="245" t="s">
        <v>2708</v>
      </c>
      <c r="AP117" s="274">
        <v>304</v>
      </c>
    </row>
    <row r="118" spans="1:42" x14ac:dyDescent="0.2">
      <c r="A118" s="269">
        <v>118</v>
      </c>
      <c r="B118" s="270" t="s">
        <v>1901</v>
      </c>
      <c r="C118" s="271" t="s">
        <v>2618</v>
      </c>
      <c r="D118" s="272" t="s">
        <v>2708</v>
      </c>
      <c r="E118" s="273" t="s">
        <v>2708</v>
      </c>
      <c r="F118" s="22" t="s">
        <v>743</v>
      </c>
      <c r="G118" s="23" t="s">
        <v>743</v>
      </c>
      <c r="H118" s="24" t="s">
        <v>743</v>
      </c>
      <c r="I118" s="24" t="s">
        <v>743</v>
      </c>
      <c r="J118" s="25" t="s">
        <v>743</v>
      </c>
      <c r="K118" s="26">
        <v>38291</v>
      </c>
      <c r="L118" s="27" t="s">
        <v>2709</v>
      </c>
      <c r="M118" s="28">
        <v>357415</v>
      </c>
      <c r="N118" s="29">
        <v>6179224</v>
      </c>
      <c r="O118" s="32">
        <v>214</v>
      </c>
      <c r="P118" s="135"/>
      <c r="Q118" s="260">
        <v>216</v>
      </c>
      <c r="R118" s="32"/>
      <c r="S118" s="135">
        <v>3</v>
      </c>
      <c r="T118" s="260">
        <f t="shared" si="5"/>
        <v>3</v>
      </c>
      <c r="U118" s="30"/>
      <c r="V118" s="31">
        <v>276</v>
      </c>
      <c r="W118" s="31">
        <f t="shared" si="6"/>
        <v>276</v>
      </c>
      <c r="X118" s="260">
        <f t="shared" si="7"/>
        <v>3</v>
      </c>
      <c r="Y118" s="323">
        <v>1.3109999999999999</v>
      </c>
      <c r="Z118" s="323">
        <v>107009</v>
      </c>
      <c r="AA118" s="323">
        <v>1207</v>
      </c>
      <c r="AB118" s="151"/>
      <c r="AC118" s="155">
        <v>100</v>
      </c>
      <c r="AD118" s="254">
        <f t="shared" si="4"/>
        <v>1903.8350444900752</v>
      </c>
      <c r="AE118" s="152" t="s">
        <v>2708</v>
      </c>
      <c r="AF118" s="252" t="s">
        <v>2708</v>
      </c>
      <c r="AG118" s="242" t="s">
        <v>2708</v>
      </c>
      <c r="AH118" s="242" t="s">
        <v>2708</v>
      </c>
      <c r="AI118" s="243" t="s">
        <v>2708</v>
      </c>
      <c r="AJ118" s="244" t="s">
        <v>2708</v>
      </c>
      <c r="AK118" s="244" t="s">
        <v>2708</v>
      </c>
      <c r="AL118" s="244" t="s">
        <v>2708</v>
      </c>
      <c r="AM118" s="244" t="s">
        <v>2708</v>
      </c>
      <c r="AN118" s="245" t="s">
        <v>2708</v>
      </c>
      <c r="AO118" s="245" t="s">
        <v>2708</v>
      </c>
      <c r="AP118" s="274">
        <v>307</v>
      </c>
    </row>
    <row r="119" spans="1:42" x14ac:dyDescent="0.2">
      <c r="A119" s="269">
        <v>119</v>
      </c>
      <c r="B119" s="270" t="s">
        <v>1901</v>
      </c>
      <c r="C119" s="271" t="s">
        <v>2617</v>
      </c>
      <c r="D119" s="272" t="s">
        <v>2708</v>
      </c>
      <c r="E119" s="273" t="s">
        <v>2708</v>
      </c>
      <c r="F119" s="22" t="s">
        <v>743</v>
      </c>
      <c r="G119" s="23" t="s">
        <v>743</v>
      </c>
      <c r="H119" s="24" t="s">
        <v>743</v>
      </c>
      <c r="I119" s="24" t="s">
        <v>743</v>
      </c>
      <c r="J119" s="25" t="s">
        <v>743</v>
      </c>
      <c r="K119" s="26">
        <v>38291</v>
      </c>
      <c r="L119" s="27" t="s">
        <v>2709</v>
      </c>
      <c r="M119" s="28">
        <v>357268</v>
      </c>
      <c r="N119" s="29">
        <v>6179434</v>
      </c>
      <c r="O119" s="32">
        <v>213</v>
      </c>
      <c r="P119" s="135"/>
      <c r="Q119" s="260">
        <v>210</v>
      </c>
      <c r="R119" s="32"/>
      <c r="S119" s="135">
        <v>3</v>
      </c>
      <c r="T119" s="260">
        <f t="shared" si="5"/>
        <v>3</v>
      </c>
      <c r="U119" s="30"/>
      <c r="V119" s="31">
        <v>219</v>
      </c>
      <c r="W119" s="31">
        <f t="shared" si="6"/>
        <v>219</v>
      </c>
      <c r="X119" s="260">
        <f t="shared" si="7"/>
        <v>2</v>
      </c>
      <c r="Y119" s="323">
        <v>0.94199999999999995</v>
      </c>
      <c r="Z119" s="323">
        <v>104151</v>
      </c>
      <c r="AA119" s="323">
        <v>1156</v>
      </c>
      <c r="AB119" s="151"/>
      <c r="AC119" s="155">
        <v>2000</v>
      </c>
      <c r="AD119" s="254">
        <f t="shared" si="4"/>
        <v>3.8350444900752336</v>
      </c>
      <c r="AE119" s="152" t="s">
        <v>2708</v>
      </c>
      <c r="AF119" s="252" t="s">
        <v>2708</v>
      </c>
      <c r="AG119" s="242" t="s">
        <v>2708</v>
      </c>
      <c r="AH119" s="242" t="s">
        <v>2708</v>
      </c>
      <c r="AI119" s="243" t="s">
        <v>2708</v>
      </c>
      <c r="AJ119" s="244" t="s">
        <v>2708</v>
      </c>
      <c r="AK119" s="244" t="s">
        <v>2708</v>
      </c>
      <c r="AL119" s="244" t="s">
        <v>2708</v>
      </c>
      <c r="AM119" s="244" t="s">
        <v>2708</v>
      </c>
      <c r="AN119" s="245" t="s">
        <v>2708</v>
      </c>
      <c r="AO119" s="245" t="s">
        <v>2708</v>
      </c>
      <c r="AP119" s="274">
        <v>313</v>
      </c>
    </row>
    <row r="120" spans="1:42" x14ac:dyDescent="0.2">
      <c r="A120" s="269">
        <v>120</v>
      </c>
      <c r="B120" s="270" t="s">
        <v>1901</v>
      </c>
      <c r="C120" s="271" t="s">
        <v>2617</v>
      </c>
      <c r="D120" s="272" t="s">
        <v>2708</v>
      </c>
      <c r="E120" s="273" t="s">
        <v>2708</v>
      </c>
      <c r="F120" s="22" t="s">
        <v>743</v>
      </c>
      <c r="G120" s="23" t="s">
        <v>743</v>
      </c>
      <c r="H120" s="24" t="s">
        <v>743</v>
      </c>
      <c r="I120" s="24" t="s">
        <v>743</v>
      </c>
      <c r="J120" s="25" t="s">
        <v>743</v>
      </c>
      <c r="K120" s="26">
        <v>38291</v>
      </c>
      <c r="L120" s="27" t="s">
        <v>2709</v>
      </c>
      <c r="M120" s="28">
        <v>357421</v>
      </c>
      <c r="N120" s="29">
        <v>6179539</v>
      </c>
      <c r="O120" s="32">
        <v>231</v>
      </c>
      <c r="P120" s="135"/>
      <c r="Q120" s="260">
        <v>230</v>
      </c>
      <c r="R120" s="32"/>
      <c r="S120" s="135">
        <v>9</v>
      </c>
      <c r="T120" s="260">
        <f t="shared" si="5"/>
        <v>9</v>
      </c>
      <c r="U120" s="30"/>
      <c r="V120" s="31">
        <v>219</v>
      </c>
      <c r="W120" s="31">
        <f t="shared" si="6"/>
        <v>219</v>
      </c>
      <c r="X120" s="260">
        <f t="shared" si="7"/>
        <v>2</v>
      </c>
      <c r="Y120" s="323">
        <v>1.099</v>
      </c>
      <c r="Z120" s="323">
        <v>98316</v>
      </c>
      <c r="AA120" s="323">
        <v>1209</v>
      </c>
      <c r="AB120" s="151"/>
      <c r="AC120" s="155">
        <v>2000</v>
      </c>
      <c r="AD120" s="254">
        <f t="shared" si="4"/>
        <v>3.8350444900752336</v>
      </c>
      <c r="AE120" s="152" t="s">
        <v>2708</v>
      </c>
      <c r="AF120" s="252" t="s">
        <v>2708</v>
      </c>
      <c r="AG120" s="242" t="s">
        <v>2708</v>
      </c>
      <c r="AH120" s="242" t="s">
        <v>2708</v>
      </c>
      <c r="AI120" s="243" t="s">
        <v>2708</v>
      </c>
      <c r="AJ120" s="244" t="s">
        <v>2708</v>
      </c>
      <c r="AK120" s="244" t="s">
        <v>2708</v>
      </c>
      <c r="AL120" s="244" t="s">
        <v>2708</v>
      </c>
      <c r="AM120" s="244" t="s">
        <v>2708</v>
      </c>
      <c r="AN120" s="245" t="s">
        <v>2708</v>
      </c>
      <c r="AO120" s="245" t="s">
        <v>2708</v>
      </c>
      <c r="AP120" s="274">
        <v>315</v>
      </c>
    </row>
    <row r="121" spans="1:42" x14ac:dyDescent="0.2">
      <c r="A121" s="269">
        <v>121</v>
      </c>
      <c r="B121" s="270" t="s">
        <v>1901</v>
      </c>
      <c r="C121" s="271" t="s">
        <v>2669</v>
      </c>
      <c r="D121" s="272" t="s">
        <v>2708</v>
      </c>
      <c r="E121" s="273" t="s">
        <v>2708</v>
      </c>
      <c r="F121" s="22" t="s">
        <v>743</v>
      </c>
      <c r="G121" s="23" t="s">
        <v>743</v>
      </c>
      <c r="H121" s="24" t="s">
        <v>743</v>
      </c>
      <c r="I121" s="24" t="s">
        <v>743</v>
      </c>
      <c r="J121" s="25" t="s">
        <v>743</v>
      </c>
      <c r="K121" s="26">
        <v>38291</v>
      </c>
      <c r="L121" s="27" t="s">
        <v>2709</v>
      </c>
      <c r="M121" s="28">
        <v>357659</v>
      </c>
      <c r="N121" s="29">
        <v>6179581</v>
      </c>
      <c r="O121" s="32">
        <v>261</v>
      </c>
      <c r="P121" s="135"/>
      <c r="Q121" s="260">
        <v>254</v>
      </c>
      <c r="R121" s="32"/>
      <c r="S121" s="135">
        <v>8</v>
      </c>
      <c r="T121" s="260">
        <f t="shared" si="5"/>
        <v>8</v>
      </c>
      <c r="U121" s="30"/>
      <c r="V121" s="31">
        <v>242</v>
      </c>
      <c r="W121" s="31">
        <f t="shared" si="6"/>
        <v>242</v>
      </c>
      <c r="X121" s="260">
        <f t="shared" si="7"/>
        <v>2</v>
      </c>
      <c r="Y121" s="323">
        <v>0.60399999999999998</v>
      </c>
      <c r="Z121" s="323">
        <v>102642</v>
      </c>
      <c r="AA121" s="323">
        <v>1172</v>
      </c>
      <c r="AB121" s="151"/>
      <c r="AC121" s="155">
        <v>2000</v>
      </c>
      <c r="AD121" s="254">
        <f t="shared" si="4"/>
        <v>3.8350444900752336</v>
      </c>
      <c r="AE121" s="152" t="s">
        <v>2708</v>
      </c>
      <c r="AF121" s="252" t="s">
        <v>2708</v>
      </c>
      <c r="AG121" s="242" t="s">
        <v>2708</v>
      </c>
      <c r="AH121" s="242" t="s">
        <v>2708</v>
      </c>
      <c r="AI121" s="243" t="s">
        <v>2708</v>
      </c>
      <c r="AJ121" s="244" t="s">
        <v>2708</v>
      </c>
      <c r="AK121" s="244" t="s">
        <v>2708</v>
      </c>
      <c r="AL121" s="244" t="s">
        <v>2708</v>
      </c>
      <c r="AM121" s="244" t="s">
        <v>2708</v>
      </c>
      <c r="AN121" s="245" t="s">
        <v>2708</v>
      </c>
      <c r="AO121" s="245" t="s">
        <v>2708</v>
      </c>
      <c r="AP121" s="274">
        <v>317</v>
      </c>
    </row>
    <row r="122" spans="1:42" x14ac:dyDescent="0.2">
      <c r="A122" s="269">
        <v>122</v>
      </c>
      <c r="B122" s="270" t="s">
        <v>1901</v>
      </c>
      <c r="C122" s="271" t="s">
        <v>2618</v>
      </c>
      <c r="D122" s="272" t="s">
        <v>2708</v>
      </c>
      <c r="E122" s="273" t="s">
        <v>2708</v>
      </c>
      <c r="F122" s="22" t="s">
        <v>743</v>
      </c>
      <c r="G122" s="23" t="s">
        <v>743</v>
      </c>
      <c r="H122" s="24" t="s">
        <v>743</v>
      </c>
      <c r="I122" s="24" t="s">
        <v>743</v>
      </c>
      <c r="J122" s="25" t="s">
        <v>743</v>
      </c>
      <c r="K122" s="26">
        <v>38291</v>
      </c>
      <c r="L122" s="27" t="s">
        <v>2709</v>
      </c>
      <c r="M122" s="28">
        <v>357748</v>
      </c>
      <c r="N122" s="29">
        <v>6179542</v>
      </c>
      <c r="O122" s="32">
        <v>282</v>
      </c>
      <c r="P122" s="135"/>
      <c r="Q122" s="260">
        <v>273</v>
      </c>
      <c r="R122" s="32"/>
      <c r="S122" s="135">
        <v>23</v>
      </c>
      <c r="T122" s="260">
        <f t="shared" si="5"/>
        <v>23</v>
      </c>
      <c r="U122" s="30"/>
      <c r="V122" s="31">
        <v>249</v>
      </c>
      <c r="W122" s="31">
        <f t="shared" si="6"/>
        <v>249</v>
      </c>
      <c r="X122" s="260">
        <f t="shared" si="7"/>
        <v>3</v>
      </c>
      <c r="Y122" s="323">
        <v>0.28499999999999998</v>
      </c>
      <c r="Z122" s="323">
        <v>92498</v>
      </c>
      <c r="AA122" s="323">
        <v>904</v>
      </c>
      <c r="AB122" s="151"/>
      <c r="AC122" s="155">
        <v>2000</v>
      </c>
      <c r="AD122" s="254">
        <f t="shared" si="4"/>
        <v>3.8350444900752336</v>
      </c>
      <c r="AE122" s="152" t="s">
        <v>2708</v>
      </c>
      <c r="AF122" s="252" t="s">
        <v>2708</v>
      </c>
      <c r="AG122" s="242" t="s">
        <v>2708</v>
      </c>
      <c r="AH122" s="242" t="s">
        <v>2708</v>
      </c>
      <c r="AI122" s="243" t="s">
        <v>2708</v>
      </c>
      <c r="AJ122" s="244" t="s">
        <v>2708</v>
      </c>
      <c r="AK122" s="244" t="s">
        <v>2708</v>
      </c>
      <c r="AL122" s="244" t="s">
        <v>2708</v>
      </c>
      <c r="AM122" s="244" t="s">
        <v>2708</v>
      </c>
      <c r="AN122" s="245" t="s">
        <v>2708</v>
      </c>
      <c r="AO122" s="245" t="s">
        <v>2708</v>
      </c>
      <c r="AP122" s="274">
        <v>319</v>
      </c>
    </row>
    <row r="123" spans="1:42" x14ac:dyDescent="0.2">
      <c r="A123" s="269">
        <v>123</v>
      </c>
      <c r="B123" s="270" t="s">
        <v>1901</v>
      </c>
      <c r="C123" s="271" t="s">
        <v>2562</v>
      </c>
      <c r="D123" s="272" t="s">
        <v>2708</v>
      </c>
      <c r="E123" s="273" t="s">
        <v>2708</v>
      </c>
      <c r="F123" s="22" t="s">
        <v>743</v>
      </c>
      <c r="G123" s="23" t="s">
        <v>743</v>
      </c>
      <c r="H123" s="24" t="s">
        <v>743</v>
      </c>
      <c r="I123" s="24" t="s">
        <v>743</v>
      </c>
      <c r="J123" s="25" t="s">
        <v>743</v>
      </c>
      <c r="K123" s="26">
        <v>38291</v>
      </c>
      <c r="L123" s="27" t="s">
        <v>2709</v>
      </c>
      <c r="M123" s="28">
        <v>357796</v>
      </c>
      <c r="N123" s="29">
        <v>6179531</v>
      </c>
      <c r="O123" s="32">
        <v>285</v>
      </c>
      <c r="P123" s="135"/>
      <c r="Q123" s="260">
        <v>288</v>
      </c>
      <c r="R123" s="32"/>
      <c r="S123" s="135">
        <v>22</v>
      </c>
      <c r="T123" s="260">
        <f t="shared" si="5"/>
        <v>22</v>
      </c>
      <c r="U123" s="30"/>
      <c r="V123" s="31">
        <v>216</v>
      </c>
      <c r="W123" s="31">
        <f t="shared" si="6"/>
        <v>216</v>
      </c>
      <c r="X123" s="260">
        <f t="shared" si="7"/>
        <v>2</v>
      </c>
      <c r="Y123" s="323">
        <v>0.17</v>
      </c>
      <c r="Z123" s="323">
        <v>83184</v>
      </c>
      <c r="AA123" s="323">
        <v>1274</v>
      </c>
      <c r="AB123" s="151"/>
      <c r="AC123" s="155">
        <v>2000</v>
      </c>
      <c r="AD123" s="254">
        <f t="shared" si="4"/>
        <v>3.8350444900752336</v>
      </c>
      <c r="AE123" s="152" t="s">
        <v>2708</v>
      </c>
      <c r="AF123" s="252" t="s">
        <v>2708</v>
      </c>
      <c r="AG123" s="242" t="s">
        <v>2708</v>
      </c>
      <c r="AH123" s="242" t="s">
        <v>2708</v>
      </c>
      <c r="AI123" s="243" t="s">
        <v>2708</v>
      </c>
      <c r="AJ123" s="244" t="s">
        <v>2708</v>
      </c>
      <c r="AK123" s="244" t="s">
        <v>2708</v>
      </c>
      <c r="AL123" s="244" t="s">
        <v>2708</v>
      </c>
      <c r="AM123" s="244" t="s">
        <v>2708</v>
      </c>
      <c r="AN123" s="245" t="s">
        <v>2708</v>
      </c>
      <c r="AO123" s="245" t="s">
        <v>2708</v>
      </c>
      <c r="AP123" s="274">
        <v>320</v>
      </c>
    </row>
    <row r="124" spans="1:42" x14ac:dyDescent="0.2">
      <c r="A124" s="269">
        <v>124</v>
      </c>
      <c r="B124" s="270" t="s">
        <v>1901</v>
      </c>
      <c r="C124" s="271" t="s">
        <v>2247</v>
      </c>
      <c r="D124" s="272" t="s">
        <v>2708</v>
      </c>
      <c r="E124" s="273" t="s">
        <v>2708</v>
      </c>
      <c r="F124" s="22" t="s">
        <v>743</v>
      </c>
      <c r="G124" s="23" t="s">
        <v>743</v>
      </c>
      <c r="H124" s="24" t="s">
        <v>743</v>
      </c>
      <c r="I124" s="24" t="s">
        <v>743</v>
      </c>
      <c r="J124" s="25" t="s">
        <v>743</v>
      </c>
      <c r="K124" s="26">
        <v>38291</v>
      </c>
      <c r="L124" s="27" t="s">
        <v>2709</v>
      </c>
      <c r="M124" s="28">
        <v>357887</v>
      </c>
      <c r="N124" s="29">
        <v>6179522</v>
      </c>
      <c r="O124" s="32">
        <v>283</v>
      </c>
      <c r="P124" s="135"/>
      <c r="Q124" s="260">
        <v>275</v>
      </c>
      <c r="R124" s="32"/>
      <c r="S124" s="135">
        <v>22</v>
      </c>
      <c r="T124" s="260">
        <f t="shared" si="5"/>
        <v>22</v>
      </c>
      <c r="U124" s="30"/>
      <c r="V124" s="31">
        <v>134</v>
      </c>
      <c r="W124" s="31">
        <f t="shared" si="6"/>
        <v>134</v>
      </c>
      <c r="X124" s="260">
        <f t="shared" si="7"/>
        <v>2</v>
      </c>
      <c r="Y124" s="323">
        <v>0.48399999999999999</v>
      </c>
      <c r="Z124" s="323">
        <v>84834</v>
      </c>
      <c r="AA124" s="323">
        <v>1168</v>
      </c>
      <c r="AB124" s="151"/>
      <c r="AC124" s="155">
        <v>2000</v>
      </c>
      <c r="AD124" s="254">
        <f t="shared" si="4"/>
        <v>3.8350444900752336</v>
      </c>
      <c r="AE124" s="152" t="s">
        <v>2708</v>
      </c>
      <c r="AF124" s="252" t="s">
        <v>2708</v>
      </c>
      <c r="AG124" s="242" t="s">
        <v>2708</v>
      </c>
      <c r="AH124" s="242" t="s">
        <v>2708</v>
      </c>
      <c r="AI124" s="243" t="s">
        <v>2708</v>
      </c>
      <c r="AJ124" s="244" t="s">
        <v>2708</v>
      </c>
      <c r="AK124" s="244" t="s">
        <v>2708</v>
      </c>
      <c r="AL124" s="244" t="s">
        <v>2708</v>
      </c>
      <c r="AM124" s="244" t="s">
        <v>2708</v>
      </c>
      <c r="AN124" s="245" t="s">
        <v>2708</v>
      </c>
      <c r="AO124" s="245" t="s">
        <v>2708</v>
      </c>
      <c r="AP124" s="274">
        <v>323</v>
      </c>
    </row>
    <row r="125" spans="1:42" x14ac:dyDescent="0.2">
      <c r="A125" s="269">
        <v>125</v>
      </c>
      <c r="B125" s="270" t="s">
        <v>1901</v>
      </c>
      <c r="C125" s="271" t="s">
        <v>2617</v>
      </c>
      <c r="D125" s="272" t="s">
        <v>2708</v>
      </c>
      <c r="E125" s="273" t="s">
        <v>2708</v>
      </c>
      <c r="F125" s="22" t="s">
        <v>743</v>
      </c>
      <c r="G125" s="23" t="s">
        <v>743</v>
      </c>
      <c r="H125" s="24" t="s">
        <v>743</v>
      </c>
      <c r="I125" s="24" t="s">
        <v>743</v>
      </c>
      <c r="J125" s="25" t="s">
        <v>743</v>
      </c>
      <c r="K125" s="26">
        <v>38291</v>
      </c>
      <c r="L125" s="27" t="s">
        <v>2709</v>
      </c>
      <c r="M125" s="28">
        <v>357904</v>
      </c>
      <c r="N125" s="29">
        <v>6179508</v>
      </c>
      <c r="O125" s="32">
        <v>276</v>
      </c>
      <c r="P125" s="135"/>
      <c r="Q125" s="260">
        <v>268</v>
      </c>
      <c r="R125" s="32"/>
      <c r="S125" s="135">
        <v>16</v>
      </c>
      <c r="T125" s="260">
        <f t="shared" si="5"/>
        <v>16</v>
      </c>
      <c r="U125" s="30"/>
      <c r="V125" s="31">
        <v>137</v>
      </c>
      <c r="W125" s="31">
        <f t="shared" si="6"/>
        <v>137</v>
      </c>
      <c r="X125" s="260">
        <f t="shared" si="7"/>
        <v>2</v>
      </c>
      <c r="Y125" s="323">
        <v>0.6</v>
      </c>
      <c r="Z125" s="323">
        <v>90642</v>
      </c>
      <c r="AA125" s="323">
        <v>1177</v>
      </c>
      <c r="AB125" s="151"/>
      <c r="AC125" s="155">
        <v>2000</v>
      </c>
      <c r="AD125" s="254">
        <f t="shared" si="4"/>
        <v>3.8350444900752336</v>
      </c>
      <c r="AE125" s="152" t="s">
        <v>2708</v>
      </c>
      <c r="AF125" s="252" t="s">
        <v>2708</v>
      </c>
      <c r="AG125" s="242" t="s">
        <v>2708</v>
      </c>
      <c r="AH125" s="242" t="s">
        <v>2708</v>
      </c>
      <c r="AI125" s="243" t="s">
        <v>2708</v>
      </c>
      <c r="AJ125" s="244" t="s">
        <v>2708</v>
      </c>
      <c r="AK125" s="244" t="s">
        <v>2708</v>
      </c>
      <c r="AL125" s="244" t="s">
        <v>2708</v>
      </c>
      <c r="AM125" s="244" t="s">
        <v>2708</v>
      </c>
      <c r="AN125" s="245" t="s">
        <v>2708</v>
      </c>
      <c r="AO125" s="245" t="s">
        <v>2708</v>
      </c>
      <c r="AP125" s="274">
        <v>324</v>
      </c>
    </row>
    <row r="126" spans="1:42" x14ac:dyDescent="0.2">
      <c r="A126" s="269">
        <v>126</v>
      </c>
      <c r="B126" s="270" t="s">
        <v>1901</v>
      </c>
      <c r="C126" s="271" t="s">
        <v>2669</v>
      </c>
      <c r="D126" s="272" t="s">
        <v>2708</v>
      </c>
      <c r="E126" s="273" t="s">
        <v>2708</v>
      </c>
      <c r="F126" s="22" t="s">
        <v>743</v>
      </c>
      <c r="G126" s="23" t="s">
        <v>743</v>
      </c>
      <c r="H126" s="24" t="s">
        <v>743</v>
      </c>
      <c r="I126" s="24" t="s">
        <v>743</v>
      </c>
      <c r="J126" s="25" t="s">
        <v>743</v>
      </c>
      <c r="K126" s="26">
        <v>38291</v>
      </c>
      <c r="L126" s="27" t="s">
        <v>2709</v>
      </c>
      <c r="M126" s="28">
        <v>358016</v>
      </c>
      <c r="N126" s="29">
        <v>6179463</v>
      </c>
      <c r="O126" s="32">
        <v>270</v>
      </c>
      <c r="P126" s="135"/>
      <c r="Q126" s="260">
        <v>260</v>
      </c>
      <c r="R126" s="32"/>
      <c r="S126" s="135">
        <v>8</v>
      </c>
      <c r="T126" s="260">
        <f t="shared" si="5"/>
        <v>8</v>
      </c>
      <c r="U126" s="30"/>
      <c r="V126" s="31">
        <v>180</v>
      </c>
      <c r="W126" s="31">
        <f t="shared" si="6"/>
        <v>180</v>
      </c>
      <c r="X126" s="260">
        <f t="shared" si="7"/>
        <v>0</v>
      </c>
      <c r="Y126" s="323">
        <v>0.44400000000000001</v>
      </c>
      <c r="Z126" s="323">
        <v>96799</v>
      </c>
      <c r="AA126" s="323">
        <v>1136</v>
      </c>
      <c r="AB126" s="151"/>
      <c r="AC126" s="155">
        <v>2000</v>
      </c>
      <c r="AD126" s="254">
        <f t="shared" si="4"/>
        <v>3.8350444900752336</v>
      </c>
      <c r="AE126" s="152" t="s">
        <v>2708</v>
      </c>
      <c r="AF126" s="252" t="s">
        <v>2708</v>
      </c>
      <c r="AG126" s="242" t="s">
        <v>2708</v>
      </c>
      <c r="AH126" s="242" t="s">
        <v>2708</v>
      </c>
      <c r="AI126" s="243" t="s">
        <v>2708</v>
      </c>
      <c r="AJ126" s="244" t="s">
        <v>2708</v>
      </c>
      <c r="AK126" s="244" t="s">
        <v>2708</v>
      </c>
      <c r="AL126" s="244" t="s">
        <v>2708</v>
      </c>
      <c r="AM126" s="244" t="s">
        <v>2708</v>
      </c>
      <c r="AN126" s="245" t="s">
        <v>2708</v>
      </c>
      <c r="AO126" s="245" t="s">
        <v>2708</v>
      </c>
      <c r="AP126" s="274">
        <v>329</v>
      </c>
    </row>
    <row r="127" spans="1:42" x14ac:dyDescent="0.2">
      <c r="A127" s="269">
        <v>127</v>
      </c>
      <c r="B127" s="270" t="s">
        <v>1901</v>
      </c>
      <c r="C127" s="271" t="s">
        <v>2620</v>
      </c>
      <c r="D127" s="272" t="s">
        <v>2708</v>
      </c>
      <c r="E127" s="273" t="s">
        <v>2708</v>
      </c>
      <c r="F127" s="22" t="s">
        <v>743</v>
      </c>
      <c r="G127" s="23" t="s">
        <v>743</v>
      </c>
      <c r="H127" s="24" t="s">
        <v>743</v>
      </c>
      <c r="I127" s="24" t="s">
        <v>743</v>
      </c>
      <c r="J127" s="25" t="s">
        <v>743</v>
      </c>
      <c r="K127" s="26">
        <v>38291</v>
      </c>
      <c r="L127" s="27" t="s">
        <v>2709</v>
      </c>
      <c r="M127" s="28">
        <v>358549</v>
      </c>
      <c r="N127" s="29">
        <v>6179218</v>
      </c>
      <c r="O127" s="32">
        <v>278</v>
      </c>
      <c r="P127" s="135"/>
      <c r="Q127" s="260">
        <v>278</v>
      </c>
      <c r="R127" s="32"/>
      <c r="S127" s="135">
        <v>5</v>
      </c>
      <c r="T127" s="260">
        <f t="shared" si="5"/>
        <v>5</v>
      </c>
      <c r="U127" s="30"/>
      <c r="V127" s="31">
        <v>264</v>
      </c>
      <c r="W127" s="31">
        <f t="shared" si="6"/>
        <v>264</v>
      </c>
      <c r="X127" s="260">
        <f t="shared" si="7"/>
        <v>3</v>
      </c>
      <c r="Y127" s="323">
        <v>1.454</v>
      </c>
      <c r="Z127" s="323">
        <v>106203</v>
      </c>
      <c r="AA127" s="323">
        <v>1094</v>
      </c>
      <c r="AB127" s="151"/>
      <c r="AC127" s="155">
        <v>1999</v>
      </c>
      <c r="AD127" s="254">
        <f t="shared" si="4"/>
        <v>4.8350444900752336</v>
      </c>
      <c r="AE127" s="152" t="s">
        <v>2708</v>
      </c>
      <c r="AF127" s="252" t="s">
        <v>2708</v>
      </c>
      <c r="AG127" s="242" t="s">
        <v>2708</v>
      </c>
      <c r="AH127" s="242" t="s">
        <v>2708</v>
      </c>
      <c r="AI127" s="243" t="s">
        <v>2708</v>
      </c>
      <c r="AJ127" s="244" t="s">
        <v>2708</v>
      </c>
      <c r="AK127" s="244" t="s">
        <v>2708</v>
      </c>
      <c r="AL127" s="244" t="s">
        <v>2708</v>
      </c>
      <c r="AM127" s="244" t="s">
        <v>2708</v>
      </c>
      <c r="AN127" s="245" t="s">
        <v>2708</v>
      </c>
      <c r="AO127" s="245" t="s">
        <v>2708</v>
      </c>
      <c r="AP127" s="274">
        <v>334</v>
      </c>
    </row>
    <row r="128" spans="1:42" x14ac:dyDescent="0.2">
      <c r="A128" s="269">
        <v>128</v>
      </c>
      <c r="B128" s="270" t="s">
        <v>1901</v>
      </c>
      <c r="C128" s="271" t="s">
        <v>2620</v>
      </c>
      <c r="D128" s="272" t="s">
        <v>2708</v>
      </c>
      <c r="E128" s="273" t="s">
        <v>2708</v>
      </c>
      <c r="F128" s="22" t="s">
        <v>743</v>
      </c>
      <c r="G128" s="23" t="s">
        <v>743</v>
      </c>
      <c r="H128" s="24" t="s">
        <v>743</v>
      </c>
      <c r="I128" s="24" t="s">
        <v>743</v>
      </c>
      <c r="J128" s="25" t="s">
        <v>743</v>
      </c>
      <c r="K128" s="26">
        <v>38291</v>
      </c>
      <c r="L128" s="27" t="s">
        <v>2709</v>
      </c>
      <c r="M128" s="28">
        <v>358540</v>
      </c>
      <c r="N128" s="29">
        <v>6179225</v>
      </c>
      <c r="O128" s="32">
        <v>275</v>
      </c>
      <c r="P128" s="135"/>
      <c r="Q128" s="260">
        <v>278</v>
      </c>
      <c r="R128" s="32"/>
      <c r="S128" s="135">
        <v>5</v>
      </c>
      <c r="T128" s="260">
        <f t="shared" si="5"/>
        <v>5</v>
      </c>
      <c r="U128" s="30"/>
      <c r="V128" s="31">
        <v>259</v>
      </c>
      <c r="W128" s="31">
        <f t="shared" si="6"/>
        <v>259</v>
      </c>
      <c r="X128" s="260">
        <f t="shared" si="7"/>
        <v>3</v>
      </c>
      <c r="Y128" s="323">
        <v>2.35</v>
      </c>
      <c r="Z128" s="323">
        <v>105766</v>
      </c>
      <c r="AA128" s="323">
        <v>1082</v>
      </c>
      <c r="AB128" s="151"/>
      <c r="AC128" s="155">
        <v>2000</v>
      </c>
      <c r="AD128" s="254">
        <f t="shared" si="4"/>
        <v>3.8350444900752336</v>
      </c>
      <c r="AE128" s="152" t="s">
        <v>2708</v>
      </c>
      <c r="AF128" s="252" t="s">
        <v>2708</v>
      </c>
      <c r="AG128" s="242" t="s">
        <v>2708</v>
      </c>
      <c r="AH128" s="242" t="s">
        <v>2708</v>
      </c>
      <c r="AI128" s="243" t="s">
        <v>2708</v>
      </c>
      <c r="AJ128" s="244" t="s">
        <v>2708</v>
      </c>
      <c r="AK128" s="244" t="s">
        <v>2708</v>
      </c>
      <c r="AL128" s="244" t="s">
        <v>2708</v>
      </c>
      <c r="AM128" s="244" t="s">
        <v>2708</v>
      </c>
      <c r="AN128" s="245" t="s">
        <v>2708</v>
      </c>
      <c r="AO128" s="245" t="s">
        <v>2708</v>
      </c>
      <c r="AP128" s="274">
        <v>335</v>
      </c>
    </row>
    <row r="129" spans="1:42" x14ac:dyDescent="0.2">
      <c r="A129" s="269">
        <v>129</v>
      </c>
      <c r="B129" s="270" t="s">
        <v>1901</v>
      </c>
      <c r="C129" s="271" t="s">
        <v>1083</v>
      </c>
      <c r="D129" s="272" t="s">
        <v>2708</v>
      </c>
      <c r="E129" s="273" t="s">
        <v>2708</v>
      </c>
      <c r="F129" s="22" t="s">
        <v>743</v>
      </c>
      <c r="G129" s="23" t="s">
        <v>743</v>
      </c>
      <c r="H129" s="24" t="s">
        <v>743</v>
      </c>
      <c r="I129" s="24" t="s">
        <v>743</v>
      </c>
      <c r="J129" s="25" t="s">
        <v>743</v>
      </c>
      <c r="K129" s="26">
        <v>38291</v>
      </c>
      <c r="L129" s="27" t="s">
        <v>2709</v>
      </c>
      <c r="M129" s="28">
        <v>358590</v>
      </c>
      <c r="N129" s="29">
        <v>6179265</v>
      </c>
      <c r="O129" s="32">
        <v>282</v>
      </c>
      <c r="P129" s="135"/>
      <c r="Q129" s="260">
        <v>283</v>
      </c>
      <c r="R129" s="32"/>
      <c r="S129" s="135">
        <v>4</v>
      </c>
      <c r="T129" s="260">
        <f t="shared" si="5"/>
        <v>4</v>
      </c>
      <c r="U129" s="30"/>
      <c r="V129" s="31">
        <v>247</v>
      </c>
      <c r="W129" s="31">
        <f t="shared" si="6"/>
        <v>247</v>
      </c>
      <c r="X129" s="260">
        <f t="shared" si="7"/>
        <v>2</v>
      </c>
      <c r="Y129" s="323">
        <v>2.698</v>
      </c>
      <c r="Z129" s="323">
        <v>105302</v>
      </c>
      <c r="AA129" s="323">
        <v>1095</v>
      </c>
      <c r="AB129" s="151"/>
      <c r="AC129" s="155">
        <v>2000</v>
      </c>
      <c r="AD129" s="254">
        <f t="shared" ref="AD129:AD192" si="8">IF(AC129=0,1000,IF(AC129=9999,"ND",(K129/365.25+1899)-AC129))</f>
        <v>3.8350444900752336</v>
      </c>
      <c r="AE129" s="152" t="s">
        <v>2708</v>
      </c>
      <c r="AF129" s="252" t="s">
        <v>2708</v>
      </c>
      <c r="AG129" s="242" t="s">
        <v>2708</v>
      </c>
      <c r="AH129" s="242" t="s">
        <v>2708</v>
      </c>
      <c r="AI129" s="243" t="s">
        <v>2708</v>
      </c>
      <c r="AJ129" s="244" t="s">
        <v>2708</v>
      </c>
      <c r="AK129" s="244" t="s">
        <v>2708</v>
      </c>
      <c r="AL129" s="244" t="s">
        <v>2708</v>
      </c>
      <c r="AM129" s="244" t="s">
        <v>2708</v>
      </c>
      <c r="AN129" s="245" t="s">
        <v>2708</v>
      </c>
      <c r="AO129" s="245" t="s">
        <v>2708</v>
      </c>
      <c r="AP129" s="274">
        <v>337</v>
      </c>
    </row>
    <row r="130" spans="1:42" x14ac:dyDescent="0.2">
      <c r="A130" s="269">
        <v>130</v>
      </c>
      <c r="B130" s="270" t="s">
        <v>1901</v>
      </c>
      <c r="C130" s="271" t="s">
        <v>2562</v>
      </c>
      <c r="D130" s="272" t="s">
        <v>2708</v>
      </c>
      <c r="E130" s="273" t="s">
        <v>2708</v>
      </c>
      <c r="F130" s="22" t="s">
        <v>743</v>
      </c>
      <c r="G130" s="23" t="s">
        <v>743</v>
      </c>
      <c r="H130" s="24" t="s">
        <v>743</v>
      </c>
      <c r="I130" s="24" t="s">
        <v>743</v>
      </c>
      <c r="J130" s="25" t="s">
        <v>743</v>
      </c>
      <c r="K130" s="26">
        <v>38291</v>
      </c>
      <c r="L130" s="27" t="s">
        <v>2709</v>
      </c>
      <c r="M130" s="28">
        <v>358976</v>
      </c>
      <c r="N130" s="29">
        <v>6179311</v>
      </c>
      <c r="O130" s="32">
        <v>306</v>
      </c>
      <c r="P130" s="135"/>
      <c r="Q130" s="260">
        <v>316</v>
      </c>
      <c r="R130" s="32"/>
      <c r="S130" s="135">
        <v>20</v>
      </c>
      <c r="T130" s="260">
        <f t="shared" ref="T130:T193" si="9">IF(OR(R130="ND",R130=""),S130,R130)</f>
        <v>20</v>
      </c>
      <c r="U130" s="30"/>
      <c r="V130" s="31">
        <v>216</v>
      </c>
      <c r="W130" s="31">
        <f t="shared" ref="W130:W193" si="10">IF(OR(U130="ND",U130=""),V130,U130)</f>
        <v>216</v>
      </c>
      <c r="X130" s="260">
        <f t="shared" si="7"/>
        <v>2</v>
      </c>
      <c r="Y130" s="323">
        <v>0.91700000000000004</v>
      </c>
      <c r="Z130" s="323">
        <v>85345</v>
      </c>
      <c r="AA130" s="323">
        <v>779</v>
      </c>
      <c r="AB130" s="151"/>
      <c r="AC130" s="155">
        <v>2000</v>
      </c>
      <c r="AD130" s="254">
        <f t="shared" si="8"/>
        <v>3.8350444900752336</v>
      </c>
      <c r="AE130" s="152" t="s">
        <v>2708</v>
      </c>
      <c r="AF130" s="252" t="s">
        <v>2708</v>
      </c>
      <c r="AG130" s="242" t="s">
        <v>2708</v>
      </c>
      <c r="AH130" s="242" t="s">
        <v>2708</v>
      </c>
      <c r="AI130" s="243" t="s">
        <v>2708</v>
      </c>
      <c r="AJ130" s="244" t="s">
        <v>2708</v>
      </c>
      <c r="AK130" s="244" t="s">
        <v>2708</v>
      </c>
      <c r="AL130" s="244" t="s">
        <v>2708</v>
      </c>
      <c r="AM130" s="244" t="s">
        <v>2708</v>
      </c>
      <c r="AN130" s="245" t="s">
        <v>2708</v>
      </c>
      <c r="AO130" s="245" t="s">
        <v>2708</v>
      </c>
      <c r="AP130" s="274">
        <v>343</v>
      </c>
    </row>
    <row r="131" spans="1:42" x14ac:dyDescent="0.2">
      <c r="A131" s="269">
        <v>131</v>
      </c>
      <c r="B131" s="270" t="s">
        <v>1901</v>
      </c>
      <c r="C131" s="271" t="s">
        <v>2562</v>
      </c>
      <c r="D131" s="272" t="s">
        <v>2708</v>
      </c>
      <c r="E131" s="273" t="s">
        <v>2708</v>
      </c>
      <c r="F131" s="22" t="s">
        <v>743</v>
      </c>
      <c r="G131" s="23" t="s">
        <v>743</v>
      </c>
      <c r="H131" s="24" t="s">
        <v>743</v>
      </c>
      <c r="I131" s="24" t="s">
        <v>743</v>
      </c>
      <c r="J131" s="25" t="s">
        <v>743</v>
      </c>
      <c r="K131" s="26">
        <v>38291</v>
      </c>
      <c r="L131" s="27" t="s">
        <v>2709</v>
      </c>
      <c r="M131" s="28">
        <v>359159</v>
      </c>
      <c r="N131" s="29">
        <v>6179235</v>
      </c>
      <c r="O131" s="32">
        <v>326</v>
      </c>
      <c r="P131" s="135"/>
      <c r="Q131" s="260">
        <v>322</v>
      </c>
      <c r="R131" s="32"/>
      <c r="S131" s="135">
        <v>13</v>
      </c>
      <c r="T131" s="260">
        <f t="shared" si="9"/>
        <v>13</v>
      </c>
      <c r="U131" s="30"/>
      <c r="V131" s="31">
        <v>197</v>
      </c>
      <c r="W131" s="31">
        <f t="shared" si="10"/>
        <v>197</v>
      </c>
      <c r="X131" s="260">
        <f t="shared" si="7"/>
        <v>1</v>
      </c>
      <c r="Y131" s="323">
        <v>1.121</v>
      </c>
      <c r="Z131" s="323">
        <v>91731</v>
      </c>
      <c r="AA131" s="323">
        <v>574</v>
      </c>
      <c r="AB131" s="151"/>
      <c r="AC131" s="155">
        <v>2000</v>
      </c>
      <c r="AD131" s="254">
        <f t="shared" si="8"/>
        <v>3.8350444900752336</v>
      </c>
      <c r="AE131" s="152" t="s">
        <v>2708</v>
      </c>
      <c r="AF131" s="252" t="s">
        <v>2708</v>
      </c>
      <c r="AG131" s="242" t="s">
        <v>2708</v>
      </c>
      <c r="AH131" s="242" t="s">
        <v>2708</v>
      </c>
      <c r="AI131" s="243" t="s">
        <v>2708</v>
      </c>
      <c r="AJ131" s="244" t="s">
        <v>2708</v>
      </c>
      <c r="AK131" s="244" t="s">
        <v>2708</v>
      </c>
      <c r="AL131" s="244" t="s">
        <v>2708</v>
      </c>
      <c r="AM131" s="244" t="s">
        <v>2708</v>
      </c>
      <c r="AN131" s="245" t="s">
        <v>2708</v>
      </c>
      <c r="AO131" s="245" t="s">
        <v>2708</v>
      </c>
      <c r="AP131" s="274">
        <v>344</v>
      </c>
    </row>
    <row r="132" spans="1:42" x14ac:dyDescent="0.2">
      <c r="A132" s="269">
        <v>132</v>
      </c>
      <c r="B132" s="270" t="s">
        <v>1901</v>
      </c>
      <c r="C132" s="271" t="s">
        <v>2470</v>
      </c>
      <c r="D132" s="272" t="s">
        <v>2708</v>
      </c>
      <c r="E132" s="273" t="s">
        <v>2708</v>
      </c>
      <c r="F132" s="22" t="s">
        <v>743</v>
      </c>
      <c r="G132" s="23" t="s">
        <v>743</v>
      </c>
      <c r="H132" s="24" t="s">
        <v>743</v>
      </c>
      <c r="I132" s="24" t="s">
        <v>743</v>
      </c>
      <c r="J132" s="25" t="s">
        <v>743</v>
      </c>
      <c r="K132" s="26">
        <v>38291</v>
      </c>
      <c r="L132" s="27" t="s">
        <v>2709</v>
      </c>
      <c r="M132" s="28">
        <v>359303</v>
      </c>
      <c r="N132" s="29">
        <v>6179217</v>
      </c>
      <c r="O132" s="32">
        <v>330</v>
      </c>
      <c r="P132" s="135"/>
      <c r="Q132" s="260">
        <v>329</v>
      </c>
      <c r="R132" s="32"/>
      <c r="S132" s="135">
        <v>6</v>
      </c>
      <c r="T132" s="260">
        <f t="shared" si="9"/>
        <v>6</v>
      </c>
      <c r="U132" s="30"/>
      <c r="V132" s="31">
        <v>274</v>
      </c>
      <c r="W132" s="31">
        <f t="shared" si="10"/>
        <v>274</v>
      </c>
      <c r="X132" s="260">
        <f t="shared" si="7"/>
        <v>3</v>
      </c>
      <c r="Y132" s="323">
        <v>2.4809999999999999</v>
      </c>
      <c r="Z132" s="323">
        <v>107053</v>
      </c>
      <c r="AA132" s="323">
        <v>432</v>
      </c>
      <c r="AB132" s="151"/>
      <c r="AC132" s="155">
        <v>2000</v>
      </c>
      <c r="AD132" s="254">
        <f t="shared" si="8"/>
        <v>3.8350444900752336</v>
      </c>
      <c r="AE132" s="152" t="s">
        <v>2708</v>
      </c>
      <c r="AF132" s="252" t="s">
        <v>2708</v>
      </c>
      <c r="AG132" s="242" t="s">
        <v>2708</v>
      </c>
      <c r="AH132" s="242" t="s">
        <v>2708</v>
      </c>
      <c r="AI132" s="243" t="s">
        <v>2708</v>
      </c>
      <c r="AJ132" s="244" t="s">
        <v>2708</v>
      </c>
      <c r="AK132" s="244" t="s">
        <v>2708</v>
      </c>
      <c r="AL132" s="244" t="s">
        <v>2708</v>
      </c>
      <c r="AM132" s="244" t="s">
        <v>2708</v>
      </c>
      <c r="AN132" s="245" t="s">
        <v>2708</v>
      </c>
      <c r="AO132" s="245" t="s">
        <v>2708</v>
      </c>
      <c r="AP132" s="274">
        <v>346</v>
      </c>
    </row>
    <row r="133" spans="1:42" x14ac:dyDescent="0.2">
      <c r="A133" s="269">
        <v>133</v>
      </c>
      <c r="B133" s="270" t="s">
        <v>1901</v>
      </c>
      <c r="C133" s="271" t="s">
        <v>1252</v>
      </c>
      <c r="D133" s="272" t="s">
        <v>2708</v>
      </c>
      <c r="E133" s="273" t="s">
        <v>2708</v>
      </c>
      <c r="F133" s="22" t="s">
        <v>743</v>
      </c>
      <c r="G133" s="23" t="s">
        <v>743</v>
      </c>
      <c r="H133" s="24" t="s">
        <v>743</v>
      </c>
      <c r="I133" s="24" t="s">
        <v>743</v>
      </c>
      <c r="J133" s="25" t="s">
        <v>743</v>
      </c>
      <c r="K133" s="26">
        <v>38291</v>
      </c>
      <c r="L133" s="27" t="s">
        <v>2709</v>
      </c>
      <c r="M133" s="28">
        <v>359263</v>
      </c>
      <c r="N133" s="29">
        <v>6179111</v>
      </c>
      <c r="O133" s="32">
        <v>340</v>
      </c>
      <c r="P133" s="135"/>
      <c r="Q133" s="260">
        <v>349</v>
      </c>
      <c r="R133" s="32"/>
      <c r="S133" s="135">
        <v>17</v>
      </c>
      <c r="T133" s="260">
        <f t="shared" si="9"/>
        <v>17</v>
      </c>
      <c r="U133" s="30"/>
      <c r="V133" s="31">
        <v>330</v>
      </c>
      <c r="W133" s="31">
        <f t="shared" si="10"/>
        <v>330</v>
      </c>
      <c r="X133" s="260">
        <f t="shared" si="7"/>
        <v>5</v>
      </c>
      <c r="Y133" s="323">
        <v>0.98199999999999998</v>
      </c>
      <c r="Z133" s="323">
        <v>118145</v>
      </c>
      <c r="AA133" s="323">
        <v>546</v>
      </c>
      <c r="AB133" s="151"/>
      <c r="AC133" s="155">
        <v>1997</v>
      </c>
      <c r="AD133" s="254">
        <f t="shared" si="8"/>
        <v>6.8350444900752336</v>
      </c>
      <c r="AE133" s="152" t="s">
        <v>2708</v>
      </c>
      <c r="AF133" s="252" t="s">
        <v>2708</v>
      </c>
      <c r="AG133" s="242" t="s">
        <v>2708</v>
      </c>
      <c r="AH133" s="242" t="s">
        <v>2708</v>
      </c>
      <c r="AI133" s="243" t="s">
        <v>2708</v>
      </c>
      <c r="AJ133" s="244" t="s">
        <v>2708</v>
      </c>
      <c r="AK133" s="244" t="s">
        <v>2708</v>
      </c>
      <c r="AL133" s="244" t="s">
        <v>2708</v>
      </c>
      <c r="AM133" s="244" t="s">
        <v>2708</v>
      </c>
      <c r="AN133" s="245" t="s">
        <v>2708</v>
      </c>
      <c r="AO133" s="245" t="s">
        <v>2708</v>
      </c>
      <c r="AP133" s="274">
        <v>352</v>
      </c>
    </row>
    <row r="134" spans="1:42" x14ac:dyDescent="0.2">
      <c r="A134" s="269">
        <v>134</v>
      </c>
      <c r="B134" s="270" t="s">
        <v>1901</v>
      </c>
      <c r="C134" s="271" t="s">
        <v>1251</v>
      </c>
      <c r="D134" s="272" t="s">
        <v>2708</v>
      </c>
      <c r="E134" s="273" t="s">
        <v>2708</v>
      </c>
      <c r="F134" s="22" t="s">
        <v>743</v>
      </c>
      <c r="G134" s="23" t="s">
        <v>743</v>
      </c>
      <c r="H134" s="24" t="s">
        <v>743</v>
      </c>
      <c r="I134" s="24" t="s">
        <v>743</v>
      </c>
      <c r="J134" s="25" t="s">
        <v>743</v>
      </c>
      <c r="K134" s="26">
        <v>38291</v>
      </c>
      <c r="L134" s="27" t="s">
        <v>2709</v>
      </c>
      <c r="M134" s="28">
        <v>359261</v>
      </c>
      <c r="N134" s="29">
        <v>6179107</v>
      </c>
      <c r="O134" s="32">
        <v>349</v>
      </c>
      <c r="P134" s="135"/>
      <c r="Q134" s="260">
        <v>350</v>
      </c>
      <c r="R134" s="32"/>
      <c r="S134" s="135">
        <v>18</v>
      </c>
      <c r="T134" s="260">
        <f t="shared" si="9"/>
        <v>18</v>
      </c>
      <c r="U134" s="30"/>
      <c r="V134" s="31">
        <v>330</v>
      </c>
      <c r="W134" s="31">
        <f t="shared" si="10"/>
        <v>330</v>
      </c>
      <c r="X134" s="260">
        <f t="shared" si="7"/>
        <v>5</v>
      </c>
      <c r="Y134" s="323">
        <v>0.88700000000000001</v>
      </c>
      <c r="Z134" s="323">
        <v>118253</v>
      </c>
      <c r="AA134" s="323">
        <v>542</v>
      </c>
      <c r="AB134" s="151"/>
      <c r="AC134" s="155">
        <v>1996</v>
      </c>
      <c r="AD134" s="254">
        <f t="shared" si="8"/>
        <v>7.8350444900752336</v>
      </c>
      <c r="AE134" s="152" t="s">
        <v>2708</v>
      </c>
      <c r="AF134" s="252" t="s">
        <v>2708</v>
      </c>
      <c r="AG134" s="242" t="s">
        <v>2708</v>
      </c>
      <c r="AH134" s="242" t="s">
        <v>2708</v>
      </c>
      <c r="AI134" s="243" t="s">
        <v>2708</v>
      </c>
      <c r="AJ134" s="244" t="s">
        <v>2708</v>
      </c>
      <c r="AK134" s="244" t="s">
        <v>2708</v>
      </c>
      <c r="AL134" s="244" t="s">
        <v>2708</v>
      </c>
      <c r="AM134" s="244" t="s">
        <v>2708</v>
      </c>
      <c r="AN134" s="245" t="s">
        <v>2708</v>
      </c>
      <c r="AO134" s="245" t="s">
        <v>2708</v>
      </c>
      <c r="AP134" s="274">
        <v>353</v>
      </c>
    </row>
    <row r="135" spans="1:42" x14ac:dyDescent="0.2">
      <c r="A135" s="269">
        <v>135</v>
      </c>
      <c r="B135" s="270" t="s">
        <v>1901</v>
      </c>
      <c r="C135" s="271" t="s">
        <v>1251</v>
      </c>
      <c r="D135" s="272" t="s">
        <v>2708</v>
      </c>
      <c r="E135" s="273" t="s">
        <v>2708</v>
      </c>
      <c r="F135" s="22" t="s">
        <v>743</v>
      </c>
      <c r="G135" s="23" t="s">
        <v>743</v>
      </c>
      <c r="H135" s="24" t="s">
        <v>743</v>
      </c>
      <c r="I135" s="24" t="s">
        <v>743</v>
      </c>
      <c r="J135" s="25" t="s">
        <v>743</v>
      </c>
      <c r="K135" s="26">
        <v>38291</v>
      </c>
      <c r="L135" s="27" t="s">
        <v>2709</v>
      </c>
      <c r="M135" s="28">
        <v>359223</v>
      </c>
      <c r="N135" s="29">
        <v>6179051</v>
      </c>
      <c r="O135" s="32">
        <v>345</v>
      </c>
      <c r="P135" s="135"/>
      <c r="Q135" s="260">
        <v>357</v>
      </c>
      <c r="R135" s="32"/>
      <c r="S135" s="135">
        <v>17</v>
      </c>
      <c r="T135" s="260">
        <f t="shared" si="9"/>
        <v>17</v>
      </c>
      <c r="U135" s="30"/>
      <c r="V135" s="31">
        <v>322</v>
      </c>
      <c r="W135" s="31">
        <f t="shared" si="10"/>
        <v>322</v>
      </c>
      <c r="X135" s="260">
        <f t="shared" si="7"/>
        <v>4</v>
      </c>
      <c r="Y135" s="323">
        <v>0.91200000000000003</v>
      </c>
      <c r="Z135" s="323">
        <v>116776</v>
      </c>
      <c r="AA135" s="323">
        <v>611</v>
      </c>
      <c r="AB135" s="151"/>
      <c r="AC135" s="155">
        <v>1996</v>
      </c>
      <c r="AD135" s="254">
        <f t="shared" si="8"/>
        <v>7.8350444900752336</v>
      </c>
      <c r="AE135" s="152" t="s">
        <v>2708</v>
      </c>
      <c r="AF135" s="252" t="s">
        <v>2708</v>
      </c>
      <c r="AG135" s="242" t="s">
        <v>2708</v>
      </c>
      <c r="AH135" s="242" t="s">
        <v>2708</v>
      </c>
      <c r="AI135" s="243" t="s">
        <v>2708</v>
      </c>
      <c r="AJ135" s="244" t="s">
        <v>2708</v>
      </c>
      <c r="AK135" s="244" t="s">
        <v>2708</v>
      </c>
      <c r="AL135" s="244" t="s">
        <v>2708</v>
      </c>
      <c r="AM135" s="244" t="s">
        <v>2708</v>
      </c>
      <c r="AN135" s="245" t="s">
        <v>2708</v>
      </c>
      <c r="AO135" s="245" t="s">
        <v>2708</v>
      </c>
      <c r="AP135" s="274">
        <v>354</v>
      </c>
    </row>
    <row r="136" spans="1:42" x14ac:dyDescent="0.2">
      <c r="A136" s="269">
        <v>136</v>
      </c>
      <c r="B136" s="270" t="s">
        <v>1901</v>
      </c>
      <c r="C136" s="271" t="s">
        <v>2248</v>
      </c>
      <c r="D136" s="272" t="s">
        <v>2708</v>
      </c>
      <c r="E136" s="273" t="s">
        <v>2708</v>
      </c>
      <c r="F136" s="22" t="s">
        <v>743</v>
      </c>
      <c r="G136" s="23" t="s">
        <v>743</v>
      </c>
      <c r="H136" s="24" t="s">
        <v>743</v>
      </c>
      <c r="I136" s="24" t="s">
        <v>743</v>
      </c>
      <c r="J136" s="25" t="s">
        <v>743</v>
      </c>
      <c r="K136" s="26">
        <v>38291</v>
      </c>
      <c r="L136" s="27" t="s">
        <v>2709</v>
      </c>
      <c r="M136" s="28">
        <v>359338</v>
      </c>
      <c r="N136" s="29">
        <v>6179002</v>
      </c>
      <c r="O136" s="32">
        <v>396</v>
      </c>
      <c r="P136" s="135"/>
      <c r="Q136" s="260">
        <v>397</v>
      </c>
      <c r="R136" s="32"/>
      <c r="S136" s="135">
        <v>19</v>
      </c>
      <c r="T136" s="260">
        <f t="shared" si="9"/>
        <v>19</v>
      </c>
      <c r="U136" s="30"/>
      <c r="V136" s="31">
        <v>313</v>
      </c>
      <c r="W136" s="31">
        <f t="shared" si="10"/>
        <v>313</v>
      </c>
      <c r="X136" s="260">
        <f t="shared" si="7"/>
        <v>4</v>
      </c>
      <c r="Y136" s="323">
        <v>0.56699999999999995</v>
      </c>
      <c r="Z136" s="323">
        <v>116205</v>
      </c>
      <c r="AA136" s="323">
        <v>694</v>
      </c>
      <c r="AB136" s="151"/>
      <c r="AC136" s="155">
        <v>1996</v>
      </c>
      <c r="AD136" s="254">
        <f t="shared" si="8"/>
        <v>7.8350444900752336</v>
      </c>
      <c r="AE136" s="152" t="s">
        <v>2708</v>
      </c>
      <c r="AF136" s="252" t="s">
        <v>2708</v>
      </c>
      <c r="AG136" s="242" t="s">
        <v>2708</v>
      </c>
      <c r="AH136" s="242" t="s">
        <v>2708</v>
      </c>
      <c r="AI136" s="243" t="s">
        <v>2708</v>
      </c>
      <c r="AJ136" s="244" t="s">
        <v>2708</v>
      </c>
      <c r="AK136" s="244" t="s">
        <v>2708</v>
      </c>
      <c r="AL136" s="244" t="s">
        <v>2708</v>
      </c>
      <c r="AM136" s="244" t="s">
        <v>2708</v>
      </c>
      <c r="AN136" s="245" t="s">
        <v>2708</v>
      </c>
      <c r="AO136" s="245" t="s">
        <v>2708</v>
      </c>
      <c r="AP136" s="274">
        <v>356</v>
      </c>
    </row>
    <row r="137" spans="1:42" x14ac:dyDescent="0.2">
      <c r="A137" s="269">
        <v>137</v>
      </c>
      <c r="B137" s="270" t="s">
        <v>1901</v>
      </c>
      <c r="C137" s="271" t="s">
        <v>2248</v>
      </c>
      <c r="D137" s="272" t="s">
        <v>2708</v>
      </c>
      <c r="E137" s="273" t="s">
        <v>2708</v>
      </c>
      <c r="F137" s="22" t="s">
        <v>743</v>
      </c>
      <c r="G137" s="23" t="s">
        <v>743</v>
      </c>
      <c r="H137" s="24" t="s">
        <v>743</v>
      </c>
      <c r="I137" s="24" t="s">
        <v>743</v>
      </c>
      <c r="J137" s="25" t="s">
        <v>743</v>
      </c>
      <c r="K137" s="26">
        <v>38291</v>
      </c>
      <c r="L137" s="27" t="s">
        <v>2709</v>
      </c>
      <c r="M137" s="28">
        <v>359445</v>
      </c>
      <c r="N137" s="29">
        <v>6178775</v>
      </c>
      <c r="O137" s="32">
        <v>388</v>
      </c>
      <c r="P137" s="135"/>
      <c r="Q137" s="260">
        <v>382</v>
      </c>
      <c r="R137" s="32"/>
      <c r="S137" s="135">
        <v>17</v>
      </c>
      <c r="T137" s="260">
        <f t="shared" si="9"/>
        <v>17</v>
      </c>
      <c r="U137" s="30"/>
      <c r="V137" s="31">
        <v>198</v>
      </c>
      <c r="W137" s="31">
        <f t="shared" si="10"/>
        <v>198</v>
      </c>
      <c r="X137" s="260">
        <f t="shared" si="7"/>
        <v>1</v>
      </c>
      <c r="Y137" s="323">
        <v>0.70899999999999996</v>
      </c>
      <c r="Z137" s="323">
        <v>88058</v>
      </c>
      <c r="AA137" s="323">
        <v>1355</v>
      </c>
      <c r="AB137" s="151"/>
      <c r="AC137" s="155">
        <v>1999</v>
      </c>
      <c r="AD137" s="254">
        <f t="shared" si="8"/>
        <v>4.8350444900752336</v>
      </c>
      <c r="AE137" s="152" t="s">
        <v>2708</v>
      </c>
      <c r="AF137" s="252" t="s">
        <v>2708</v>
      </c>
      <c r="AG137" s="242" t="s">
        <v>2708</v>
      </c>
      <c r="AH137" s="242" t="s">
        <v>2708</v>
      </c>
      <c r="AI137" s="243" t="s">
        <v>2708</v>
      </c>
      <c r="AJ137" s="244" t="s">
        <v>2708</v>
      </c>
      <c r="AK137" s="244" t="s">
        <v>2708</v>
      </c>
      <c r="AL137" s="244" t="s">
        <v>2708</v>
      </c>
      <c r="AM137" s="244" t="s">
        <v>2708</v>
      </c>
      <c r="AN137" s="245" t="s">
        <v>2708</v>
      </c>
      <c r="AO137" s="245" t="s">
        <v>2708</v>
      </c>
      <c r="AP137" s="274">
        <v>382</v>
      </c>
    </row>
    <row r="138" spans="1:42" x14ac:dyDescent="0.2">
      <c r="A138" s="269">
        <v>138</v>
      </c>
      <c r="B138" s="270" t="s">
        <v>1901</v>
      </c>
      <c r="C138" s="271" t="s">
        <v>2562</v>
      </c>
      <c r="D138" s="272" t="s">
        <v>2708</v>
      </c>
      <c r="E138" s="273" t="s">
        <v>2708</v>
      </c>
      <c r="F138" s="22" t="s">
        <v>743</v>
      </c>
      <c r="G138" s="23" t="s">
        <v>743</v>
      </c>
      <c r="H138" s="24" t="s">
        <v>743</v>
      </c>
      <c r="I138" s="24" t="s">
        <v>743</v>
      </c>
      <c r="J138" s="25" t="s">
        <v>743</v>
      </c>
      <c r="K138" s="26">
        <v>38291</v>
      </c>
      <c r="L138" s="27" t="s">
        <v>2709</v>
      </c>
      <c r="M138" s="28">
        <v>359416</v>
      </c>
      <c r="N138" s="29">
        <v>6178854</v>
      </c>
      <c r="O138" s="32">
        <v>411</v>
      </c>
      <c r="P138" s="135"/>
      <c r="Q138" s="260">
        <v>404</v>
      </c>
      <c r="R138" s="32"/>
      <c r="S138" s="135">
        <v>16</v>
      </c>
      <c r="T138" s="260">
        <f t="shared" si="9"/>
        <v>16</v>
      </c>
      <c r="U138" s="30"/>
      <c r="V138" s="31">
        <v>213</v>
      </c>
      <c r="W138" s="31">
        <f t="shared" si="10"/>
        <v>213</v>
      </c>
      <c r="X138" s="260">
        <f t="shared" si="7"/>
        <v>2</v>
      </c>
      <c r="Y138" s="323">
        <v>0.57799999999999996</v>
      </c>
      <c r="Z138" s="323">
        <v>92365</v>
      </c>
      <c r="AA138" s="323">
        <v>1391</v>
      </c>
      <c r="AB138" s="151"/>
      <c r="AC138" s="155">
        <v>2001</v>
      </c>
      <c r="AD138" s="254">
        <f t="shared" si="8"/>
        <v>2.8350444900752336</v>
      </c>
      <c r="AE138" s="152" t="s">
        <v>2708</v>
      </c>
      <c r="AF138" s="252" t="s">
        <v>2708</v>
      </c>
      <c r="AG138" s="242" t="s">
        <v>2708</v>
      </c>
      <c r="AH138" s="242" t="s">
        <v>2708</v>
      </c>
      <c r="AI138" s="243" t="s">
        <v>2708</v>
      </c>
      <c r="AJ138" s="244" t="s">
        <v>2708</v>
      </c>
      <c r="AK138" s="244" t="s">
        <v>2708</v>
      </c>
      <c r="AL138" s="244" t="s">
        <v>2708</v>
      </c>
      <c r="AM138" s="244" t="s">
        <v>2708</v>
      </c>
      <c r="AN138" s="245" t="s">
        <v>2708</v>
      </c>
      <c r="AO138" s="245" t="s">
        <v>2708</v>
      </c>
      <c r="AP138" s="274">
        <v>414</v>
      </c>
    </row>
    <row r="139" spans="1:42" x14ac:dyDescent="0.2">
      <c r="A139" s="269">
        <v>139</v>
      </c>
      <c r="B139" s="270" t="s">
        <v>1901</v>
      </c>
      <c r="C139" s="271" t="s">
        <v>1251</v>
      </c>
      <c r="D139" s="272" t="s">
        <v>2708</v>
      </c>
      <c r="E139" s="273" t="s">
        <v>2708</v>
      </c>
      <c r="F139" s="22" t="s">
        <v>743</v>
      </c>
      <c r="G139" s="23" t="s">
        <v>743</v>
      </c>
      <c r="H139" s="24" t="s">
        <v>743</v>
      </c>
      <c r="I139" s="24" t="s">
        <v>743</v>
      </c>
      <c r="J139" s="25" t="s">
        <v>743</v>
      </c>
      <c r="K139" s="26">
        <v>38291</v>
      </c>
      <c r="L139" s="27" t="s">
        <v>2709</v>
      </c>
      <c r="M139" s="28">
        <v>359335</v>
      </c>
      <c r="N139" s="29">
        <v>6178624</v>
      </c>
      <c r="O139" s="32">
        <v>340</v>
      </c>
      <c r="P139" s="135"/>
      <c r="Q139" s="260">
        <v>331</v>
      </c>
      <c r="R139" s="32"/>
      <c r="S139" s="135">
        <v>21</v>
      </c>
      <c r="T139" s="260">
        <f t="shared" si="9"/>
        <v>21</v>
      </c>
      <c r="U139" s="30"/>
      <c r="V139" s="31">
        <v>178</v>
      </c>
      <c r="W139" s="31">
        <f t="shared" si="10"/>
        <v>178</v>
      </c>
      <c r="X139" s="260">
        <f t="shared" si="7"/>
        <v>1</v>
      </c>
      <c r="Y139" s="323">
        <v>0.67200000000000004</v>
      </c>
      <c r="Z139" s="323">
        <v>79949</v>
      </c>
      <c r="AA139" s="323">
        <v>798</v>
      </c>
      <c r="AB139" s="151"/>
      <c r="AC139" s="155">
        <v>1996</v>
      </c>
      <c r="AD139" s="254">
        <f t="shared" si="8"/>
        <v>7.8350444900752336</v>
      </c>
      <c r="AE139" s="152" t="s">
        <v>2708</v>
      </c>
      <c r="AF139" s="252" t="s">
        <v>2708</v>
      </c>
      <c r="AG139" s="242" t="s">
        <v>2708</v>
      </c>
      <c r="AH139" s="242" t="s">
        <v>2708</v>
      </c>
      <c r="AI139" s="243" t="s">
        <v>2708</v>
      </c>
      <c r="AJ139" s="244" t="s">
        <v>2708</v>
      </c>
      <c r="AK139" s="244" t="s">
        <v>2708</v>
      </c>
      <c r="AL139" s="244" t="s">
        <v>2708</v>
      </c>
      <c r="AM139" s="244" t="s">
        <v>2708</v>
      </c>
      <c r="AN139" s="245" t="s">
        <v>2708</v>
      </c>
      <c r="AO139" s="245" t="s">
        <v>2708</v>
      </c>
      <c r="AP139" s="274">
        <v>415</v>
      </c>
    </row>
    <row r="140" spans="1:42" x14ac:dyDescent="0.2">
      <c r="A140" s="269">
        <v>140</v>
      </c>
      <c r="B140" s="270" t="s">
        <v>1901</v>
      </c>
      <c r="C140" s="271" t="s">
        <v>1251</v>
      </c>
      <c r="D140" s="272" t="s">
        <v>2708</v>
      </c>
      <c r="E140" s="273" t="s">
        <v>2708</v>
      </c>
      <c r="F140" s="22" t="s">
        <v>743</v>
      </c>
      <c r="G140" s="23" t="s">
        <v>743</v>
      </c>
      <c r="H140" s="24" t="s">
        <v>743</v>
      </c>
      <c r="I140" s="24" t="s">
        <v>743</v>
      </c>
      <c r="J140" s="25" t="s">
        <v>743</v>
      </c>
      <c r="K140" s="26">
        <v>38291</v>
      </c>
      <c r="L140" s="27" t="s">
        <v>2709</v>
      </c>
      <c r="M140" s="28">
        <v>359083</v>
      </c>
      <c r="N140" s="29">
        <v>6178881</v>
      </c>
      <c r="O140" s="32">
        <v>357</v>
      </c>
      <c r="P140" s="135"/>
      <c r="Q140" s="260">
        <v>351</v>
      </c>
      <c r="R140" s="32"/>
      <c r="S140" s="135">
        <v>6</v>
      </c>
      <c r="T140" s="260">
        <f t="shared" si="9"/>
        <v>6</v>
      </c>
      <c r="U140" s="30"/>
      <c r="V140" s="31">
        <v>298</v>
      </c>
      <c r="W140" s="31">
        <f t="shared" si="10"/>
        <v>298</v>
      </c>
      <c r="X140" s="260">
        <f t="shared" si="7"/>
        <v>4</v>
      </c>
      <c r="Y140" s="323">
        <v>0.497</v>
      </c>
      <c r="Z140" s="323">
        <v>110352</v>
      </c>
      <c r="AA140" s="323">
        <v>1146</v>
      </c>
      <c r="AB140" s="151"/>
      <c r="AC140" s="155">
        <v>1996</v>
      </c>
      <c r="AD140" s="254">
        <f t="shared" si="8"/>
        <v>7.8350444900752336</v>
      </c>
      <c r="AE140" s="152" t="s">
        <v>2708</v>
      </c>
      <c r="AF140" s="252" t="s">
        <v>2708</v>
      </c>
      <c r="AG140" s="242" t="s">
        <v>2708</v>
      </c>
      <c r="AH140" s="242" t="s">
        <v>2708</v>
      </c>
      <c r="AI140" s="243" t="s">
        <v>2708</v>
      </c>
      <c r="AJ140" s="244" t="s">
        <v>2708</v>
      </c>
      <c r="AK140" s="244" t="s">
        <v>2708</v>
      </c>
      <c r="AL140" s="244" t="s">
        <v>2708</v>
      </c>
      <c r="AM140" s="244" t="s">
        <v>2708</v>
      </c>
      <c r="AN140" s="245" t="s">
        <v>2708</v>
      </c>
      <c r="AO140" s="245" t="s">
        <v>2708</v>
      </c>
      <c r="AP140" s="274">
        <v>419</v>
      </c>
    </row>
    <row r="141" spans="1:42" x14ac:dyDescent="0.2">
      <c r="A141" s="269">
        <v>141</v>
      </c>
      <c r="B141" s="270" t="s">
        <v>1901</v>
      </c>
      <c r="C141" s="271" t="s">
        <v>2247</v>
      </c>
      <c r="D141" s="272" t="s">
        <v>2708</v>
      </c>
      <c r="E141" s="273" t="s">
        <v>2708</v>
      </c>
      <c r="F141" s="22" t="s">
        <v>743</v>
      </c>
      <c r="G141" s="23" t="s">
        <v>743</v>
      </c>
      <c r="H141" s="24" t="s">
        <v>743</v>
      </c>
      <c r="I141" s="24" t="s">
        <v>743</v>
      </c>
      <c r="J141" s="25" t="s">
        <v>743</v>
      </c>
      <c r="K141" s="26">
        <v>38291</v>
      </c>
      <c r="L141" s="27" t="s">
        <v>2709</v>
      </c>
      <c r="M141" s="28">
        <v>358900</v>
      </c>
      <c r="N141" s="29">
        <v>6178935</v>
      </c>
      <c r="O141" s="32">
        <v>329</v>
      </c>
      <c r="P141" s="135"/>
      <c r="Q141" s="260">
        <v>323</v>
      </c>
      <c r="R141" s="32"/>
      <c r="S141" s="135">
        <v>10</v>
      </c>
      <c r="T141" s="260">
        <f t="shared" si="9"/>
        <v>10</v>
      </c>
      <c r="U141" s="30"/>
      <c r="V141" s="31">
        <v>286</v>
      </c>
      <c r="W141" s="31">
        <f t="shared" si="10"/>
        <v>286</v>
      </c>
      <c r="X141" s="260">
        <f t="shared" si="7"/>
        <v>3</v>
      </c>
      <c r="Y141" s="323">
        <v>1.496</v>
      </c>
      <c r="Z141" s="323">
        <v>109182</v>
      </c>
      <c r="AA141" s="323">
        <v>950</v>
      </c>
      <c r="AB141" s="151"/>
      <c r="AC141" s="155">
        <v>1996</v>
      </c>
      <c r="AD141" s="254">
        <f t="shared" si="8"/>
        <v>7.8350444900752336</v>
      </c>
      <c r="AE141" s="152" t="s">
        <v>2708</v>
      </c>
      <c r="AF141" s="252" t="s">
        <v>2708</v>
      </c>
      <c r="AG141" s="242" t="s">
        <v>2708</v>
      </c>
      <c r="AH141" s="242" t="s">
        <v>2708</v>
      </c>
      <c r="AI141" s="243" t="s">
        <v>2708</v>
      </c>
      <c r="AJ141" s="244" t="s">
        <v>2708</v>
      </c>
      <c r="AK141" s="244" t="s">
        <v>2708</v>
      </c>
      <c r="AL141" s="244" t="s">
        <v>2708</v>
      </c>
      <c r="AM141" s="244" t="s">
        <v>2708</v>
      </c>
      <c r="AN141" s="245" t="s">
        <v>2708</v>
      </c>
      <c r="AO141" s="245" t="s">
        <v>2708</v>
      </c>
      <c r="AP141" s="274">
        <v>421</v>
      </c>
    </row>
    <row r="142" spans="1:42" x14ac:dyDescent="0.2">
      <c r="A142" s="269">
        <v>142</v>
      </c>
      <c r="B142" s="270" t="s">
        <v>1901</v>
      </c>
      <c r="C142" s="271" t="s">
        <v>2669</v>
      </c>
      <c r="D142" s="272" t="s">
        <v>2708</v>
      </c>
      <c r="E142" s="273" t="s">
        <v>2708</v>
      </c>
      <c r="F142" s="22" t="s">
        <v>743</v>
      </c>
      <c r="G142" s="23" t="s">
        <v>743</v>
      </c>
      <c r="H142" s="24" t="s">
        <v>743</v>
      </c>
      <c r="I142" s="24" t="s">
        <v>743</v>
      </c>
      <c r="J142" s="25" t="s">
        <v>743</v>
      </c>
      <c r="K142" s="26">
        <v>38291</v>
      </c>
      <c r="L142" s="27" t="s">
        <v>2709</v>
      </c>
      <c r="M142" s="28">
        <v>358605</v>
      </c>
      <c r="N142" s="29">
        <v>6179065</v>
      </c>
      <c r="O142" s="32">
        <v>289</v>
      </c>
      <c r="P142" s="135"/>
      <c r="Q142" s="260">
        <v>287</v>
      </c>
      <c r="R142" s="32"/>
      <c r="S142" s="135">
        <v>5</v>
      </c>
      <c r="T142" s="260">
        <f t="shared" si="9"/>
        <v>5</v>
      </c>
      <c r="U142" s="30"/>
      <c r="V142" s="31">
        <v>271</v>
      </c>
      <c r="W142" s="31">
        <f t="shared" si="10"/>
        <v>271</v>
      </c>
      <c r="X142" s="260">
        <f t="shared" si="7"/>
        <v>3</v>
      </c>
      <c r="Y142" s="323">
        <v>0.63300000000000001</v>
      </c>
      <c r="Z142" s="323">
        <v>107076</v>
      </c>
      <c r="AA142" s="323">
        <v>1135</v>
      </c>
      <c r="AB142" s="151"/>
      <c r="AC142" s="155">
        <v>1996</v>
      </c>
      <c r="AD142" s="254">
        <f t="shared" si="8"/>
        <v>7.8350444900752336</v>
      </c>
      <c r="AE142" s="152" t="s">
        <v>2708</v>
      </c>
      <c r="AF142" s="252" t="s">
        <v>2708</v>
      </c>
      <c r="AG142" s="242" t="s">
        <v>2708</v>
      </c>
      <c r="AH142" s="242" t="s">
        <v>2708</v>
      </c>
      <c r="AI142" s="243" t="s">
        <v>2708</v>
      </c>
      <c r="AJ142" s="244" t="s">
        <v>2708</v>
      </c>
      <c r="AK142" s="244" t="s">
        <v>2708</v>
      </c>
      <c r="AL142" s="244" t="s">
        <v>2708</v>
      </c>
      <c r="AM142" s="244" t="s">
        <v>2708</v>
      </c>
      <c r="AN142" s="245" t="s">
        <v>2708</v>
      </c>
      <c r="AO142" s="245" t="s">
        <v>2708</v>
      </c>
      <c r="AP142" s="274">
        <v>423</v>
      </c>
    </row>
    <row r="143" spans="1:42" x14ac:dyDescent="0.2">
      <c r="A143" s="269">
        <v>143</v>
      </c>
      <c r="B143" s="270" t="s">
        <v>1901</v>
      </c>
      <c r="C143" s="271" t="s">
        <v>2618</v>
      </c>
      <c r="D143" s="272" t="s">
        <v>2708</v>
      </c>
      <c r="E143" s="273" t="s">
        <v>2708</v>
      </c>
      <c r="F143" s="22" t="s">
        <v>743</v>
      </c>
      <c r="G143" s="23" t="s">
        <v>743</v>
      </c>
      <c r="H143" s="24" t="s">
        <v>743</v>
      </c>
      <c r="I143" s="24" t="s">
        <v>743</v>
      </c>
      <c r="J143" s="25" t="s">
        <v>743</v>
      </c>
      <c r="K143" s="26">
        <v>38291</v>
      </c>
      <c r="L143" s="27" t="s">
        <v>2709</v>
      </c>
      <c r="M143" s="28">
        <v>358417</v>
      </c>
      <c r="N143" s="29">
        <v>6179015</v>
      </c>
      <c r="O143" s="32">
        <v>310</v>
      </c>
      <c r="P143" s="135"/>
      <c r="Q143" s="260">
        <v>270</v>
      </c>
      <c r="R143" s="32"/>
      <c r="S143" s="135">
        <v>6</v>
      </c>
      <c r="T143" s="260">
        <f t="shared" si="9"/>
        <v>6</v>
      </c>
      <c r="U143" s="30"/>
      <c r="V143" s="31">
        <v>261</v>
      </c>
      <c r="W143" s="31">
        <f t="shared" si="10"/>
        <v>261</v>
      </c>
      <c r="X143" s="260">
        <f t="shared" si="7"/>
        <v>3</v>
      </c>
      <c r="Y143" s="323">
        <v>0.219</v>
      </c>
      <c r="Z143" s="323">
        <v>105783</v>
      </c>
      <c r="AA143" s="323">
        <v>932</v>
      </c>
      <c r="AB143" s="151"/>
      <c r="AC143" s="155">
        <v>1996</v>
      </c>
      <c r="AD143" s="254">
        <f t="shared" si="8"/>
        <v>7.8350444900752336</v>
      </c>
      <c r="AE143" s="152" t="s">
        <v>2708</v>
      </c>
      <c r="AF143" s="252" t="s">
        <v>2708</v>
      </c>
      <c r="AG143" s="242" t="s">
        <v>2708</v>
      </c>
      <c r="AH143" s="242" t="s">
        <v>2708</v>
      </c>
      <c r="AI143" s="243" t="s">
        <v>2708</v>
      </c>
      <c r="AJ143" s="244" t="s">
        <v>2708</v>
      </c>
      <c r="AK143" s="244" t="s">
        <v>2708</v>
      </c>
      <c r="AL143" s="244" t="s">
        <v>2708</v>
      </c>
      <c r="AM143" s="244" t="s">
        <v>2708</v>
      </c>
      <c r="AN143" s="245" t="s">
        <v>2708</v>
      </c>
      <c r="AO143" s="245" t="s">
        <v>2708</v>
      </c>
      <c r="AP143" s="274">
        <v>425</v>
      </c>
    </row>
    <row r="144" spans="1:42" x14ac:dyDescent="0.2">
      <c r="A144" s="269">
        <v>144</v>
      </c>
      <c r="B144" s="270" t="s">
        <v>1901</v>
      </c>
      <c r="C144" s="271" t="s">
        <v>2620</v>
      </c>
      <c r="D144" s="272" t="s">
        <v>2708</v>
      </c>
      <c r="E144" s="273" t="s">
        <v>2708</v>
      </c>
      <c r="F144" s="22" t="s">
        <v>743</v>
      </c>
      <c r="G144" s="23" t="s">
        <v>743</v>
      </c>
      <c r="H144" s="24" t="s">
        <v>743</v>
      </c>
      <c r="I144" s="24" t="s">
        <v>743</v>
      </c>
      <c r="J144" s="25" t="s">
        <v>743</v>
      </c>
      <c r="K144" s="26">
        <v>38294</v>
      </c>
      <c r="L144" s="27" t="s">
        <v>2709</v>
      </c>
      <c r="M144" s="28">
        <v>358231</v>
      </c>
      <c r="N144" s="29">
        <v>6179133</v>
      </c>
      <c r="O144" s="32">
        <v>243</v>
      </c>
      <c r="P144" s="135"/>
      <c r="Q144" s="260">
        <v>253</v>
      </c>
      <c r="R144" s="32"/>
      <c r="S144" s="135">
        <v>3</v>
      </c>
      <c r="T144" s="260">
        <f t="shared" si="9"/>
        <v>3</v>
      </c>
      <c r="U144" s="30"/>
      <c r="V144" s="31">
        <v>286</v>
      </c>
      <c r="W144" s="31">
        <f t="shared" si="10"/>
        <v>286</v>
      </c>
      <c r="X144" s="260">
        <f t="shared" si="7"/>
        <v>3</v>
      </c>
      <c r="Y144" s="323">
        <v>1.1659999999999999</v>
      </c>
      <c r="Z144" s="323">
        <v>107575</v>
      </c>
      <c r="AA144" s="323">
        <v>1173</v>
      </c>
      <c r="AB144" s="151"/>
      <c r="AC144" s="155">
        <v>1996</v>
      </c>
      <c r="AD144" s="254">
        <f t="shared" si="8"/>
        <v>7.8432580424366733</v>
      </c>
      <c r="AE144" s="152" t="s">
        <v>2708</v>
      </c>
      <c r="AF144" s="252" t="s">
        <v>2708</v>
      </c>
      <c r="AG144" s="242" t="s">
        <v>2708</v>
      </c>
      <c r="AH144" s="242" t="s">
        <v>2252</v>
      </c>
      <c r="AI144" s="243">
        <v>6.3</v>
      </c>
      <c r="AJ144" s="244">
        <v>3190</v>
      </c>
      <c r="AK144" s="244">
        <v>24</v>
      </c>
      <c r="AL144" s="244">
        <v>18</v>
      </c>
      <c r="AM144" s="244">
        <v>14</v>
      </c>
      <c r="AN144" s="245">
        <v>3.63</v>
      </c>
      <c r="AO144" s="245">
        <v>0.35</v>
      </c>
      <c r="AP144" s="274">
        <v>433</v>
      </c>
    </row>
    <row r="145" spans="1:42" x14ac:dyDescent="0.2">
      <c r="A145" s="269">
        <v>145</v>
      </c>
      <c r="B145" s="270" t="s">
        <v>1901</v>
      </c>
      <c r="C145" s="271" t="s">
        <v>2620</v>
      </c>
      <c r="D145" s="272" t="s">
        <v>2708</v>
      </c>
      <c r="E145" s="273" t="s">
        <v>2708</v>
      </c>
      <c r="F145" s="22" t="s">
        <v>743</v>
      </c>
      <c r="G145" s="23" t="s">
        <v>743</v>
      </c>
      <c r="H145" s="24" t="s">
        <v>743</v>
      </c>
      <c r="I145" s="24" t="s">
        <v>743</v>
      </c>
      <c r="J145" s="25" t="s">
        <v>743</v>
      </c>
      <c r="K145" s="26">
        <v>38294</v>
      </c>
      <c r="L145" s="27" t="s">
        <v>2709</v>
      </c>
      <c r="M145" s="28">
        <v>358872</v>
      </c>
      <c r="N145" s="29">
        <v>6179202</v>
      </c>
      <c r="O145" s="32">
        <v>307</v>
      </c>
      <c r="P145" s="135"/>
      <c r="Q145" s="260">
        <v>301</v>
      </c>
      <c r="R145" s="32"/>
      <c r="S145" s="135">
        <v>4</v>
      </c>
      <c r="T145" s="260">
        <f t="shared" si="9"/>
        <v>4</v>
      </c>
      <c r="U145" s="30"/>
      <c r="V145" s="31">
        <v>347</v>
      </c>
      <c r="W145" s="31">
        <f t="shared" si="10"/>
        <v>347</v>
      </c>
      <c r="X145" s="260">
        <f t="shared" si="7"/>
        <v>5</v>
      </c>
      <c r="Y145" s="323">
        <v>0.80500000000000005</v>
      </c>
      <c r="Z145" s="323">
        <v>110172</v>
      </c>
      <c r="AA145" s="323">
        <v>894</v>
      </c>
      <c r="AB145" s="151"/>
      <c r="AC145" s="155">
        <v>2000</v>
      </c>
      <c r="AD145" s="254">
        <f t="shared" si="8"/>
        <v>3.8432580424366733</v>
      </c>
      <c r="AE145" s="152" t="s">
        <v>2708</v>
      </c>
      <c r="AF145" s="252" t="s">
        <v>2708</v>
      </c>
      <c r="AG145" s="242" t="s">
        <v>2708</v>
      </c>
      <c r="AH145" s="242" t="s">
        <v>2252</v>
      </c>
      <c r="AI145" s="243">
        <v>6.2</v>
      </c>
      <c r="AJ145" s="244">
        <v>5920</v>
      </c>
      <c r="AK145" s="244">
        <v>15</v>
      </c>
      <c r="AL145" s="244">
        <v>8</v>
      </c>
      <c r="AM145" s="244">
        <v>9</v>
      </c>
      <c r="AN145" s="245">
        <v>2.87</v>
      </c>
      <c r="AO145" s="245">
        <v>0.37</v>
      </c>
      <c r="AP145" s="274">
        <v>434</v>
      </c>
    </row>
    <row r="146" spans="1:42" x14ac:dyDescent="0.2">
      <c r="A146" s="269">
        <v>146</v>
      </c>
      <c r="B146" s="270" t="s">
        <v>1901</v>
      </c>
      <c r="C146" s="271" t="s">
        <v>2671</v>
      </c>
      <c r="D146" s="272" t="s">
        <v>2708</v>
      </c>
      <c r="E146" s="273" t="s">
        <v>2708</v>
      </c>
      <c r="F146" s="22" t="s">
        <v>743</v>
      </c>
      <c r="G146" s="23" t="s">
        <v>743</v>
      </c>
      <c r="H146" s="24" t="s">
        <v>743</v>
      </c>
      <c r="I146" s="24" t="s">
        <v>743</v>
      </c>
      <c r="J146" s="25" t="s">
        <v>743</v>
      </c>
      <c r="K146" s="26">
        <v>38294</v>
      </c>
      <c r="L146" s="27" t="s">
        <v>2709</v>
      </c>
      <c r="M146" s="28">
        <v>354692</v>
      </c>
      <c r="N146" s="29">
        <v>6175522</v>
      </c>
      <c r="O146" s="32">
        <v>272</v>
      </c>
      <c r="P146" s="135"/>
      <c r="Q146" s="260">
        <v>275</v>
      </c>
      <c r="R146" s="32"/>
      <c r="S146" s="135">
        <v>17</v>
      </c>
      <c r="T146" s="260">
        <f t="shared" si="9"/>
        <v>17</v>
      </c>
      <c r="U146" s="30"/>
      <c r="V146" s="31">
        <v>341</v>
      </c>
      <c r="W146" s="31">
        <f t="shared" si="10"/>
        <v>341</v>
      </c>
      <c r="X146" s="260">
        <f t="shared" si="7"/>
        <v>5</v>
      </c>
      <c r="Y146" s="323">
        <v>0.36599999999999999</v>
      </c>
      <c r="Z146" s="323">
        <v>118149</v>
      </c>
      <c r="AA146" s="323">
        <v>646</v>
      </c>
      <c r="AB146" s="151"/>
      <c r="AC146" s="155">
        <v>1994</v>
      </c>
      <c r="AD146" s="254">
        <f t="shared" si="8"/>
        <v>9.8432580424366733</v>
      </c>
      <c r="AE146" s="152" t="s">
        <v>2708</v>
      </c>
      <c r="AF146" s="252" t="s">
        <v>2708</v>
      </c>
      <c r="AG146" s="242" t="s">
        <v>2708</v>
      </c>
      <c r="AH146" s="242" t="s">
        <v>2708</v>
      </c>
      <c r="AI146" s="243" t="s">
        <v>2708</v>
      </c>
      <c r="AJ146" s="244" t="s">
        <v>2708</v>
      </c>
      <c r="AK146" s="244" t="s">
        <v>2708</v>
      </c>
      <c r="AL146" s="244" t="s">
        <v>2708</v>
      </c>
      <c r="AM146" s="244" t="s">
        <v>2708</v>
      </c>
      <c r="AN146" s="245" t="s">
        <v>2708</v>
      </c>
      <c r="AO146" s="245" t="s">
        <v>2708</v>
      </c>
      <c r="AP146" s="274">
        <v>435</v>
      </c>
    </row>
    <row r="147" spans="1:42" x14ac:dyDescent="0.2">
      <c r="A147" s="269">
        <v>147</v>
      </c>
      <c r="B147" s="270" t="s">
        <v>1901</v>
      </c>
      <c r="C147" s="271" t="s">
        <v>2671</v>
      </c>
      <c r="D147" s="272" t="s">
        <v>2708</v>
      </c>
      <c r="E147" s="273" t="s">
        <v>2708</v>
      </c>
      <c r="F147" s="22" t="s">
        <v>743</v>
      </c>
      <c r="G147" s="23" t="s">
        <v>743</v>
      </c>
      <c r="H147" s="24" t="s">
        <v>743</v>
      </c>
      <c r="I147" s="24" t="s">
        <v>743</v>
      </c>
      <c r="J147" s="25" t="s">
        <v>743</v>
      </c>
      <c r="K147" s="26">
        <v>38294</v>
      </c>
      <c r="L147" s="27" t="s">
        <v>2709</v>
      </c>
      <c r="M147" s="28">
        <v>354712</v>
      </c>
      <c r="N147" s="29">
        <v>6175495</v>
      </c>
      <c r="O147" s="32">
        <v>285</v>
      </c>
      <c r="P147" s="135"/>
      <c r="Q147" s="260">
        <v>286</v>
      </c>
      <c r="R147" s="32"/>
      <c r="S147" s="135">
        <v>19</v>
      </c>
      <c r="T147" s="260">
        <f t="shared" si="9"/>
        <v>19</v>
      </c>
      <c r="U147" s="30"/>
      <c r="V147" s="31">
        <v>342</v>
      </c>
      <c r="W147" s="31">
        <f t="shared" si="10"/>
        <v>342</v>
      </c>
      <c r="X147" s="260">
        <f t="shared" si="7"/>
        <v>5</v>
      </c>
      <c r="Y147" s="323">
        <v>0.81399999999999995</v>
      </c>
      <c r="Z147" s="323">
        <v>118873</v>
      </c>
      <c r="AA147" s="323">
        <v>633</v>
      </c>
      <c r="AB147" s="151"/>
      <c r="AC147" s="155">
        <v>1994</v>
      </c>
      <c r="AD147" s="254">
        <f t="shared" si="8"/>
        <v>9.8432580424366733</v>
      </c>
      <c r="AE147" s="152" t="s">
        <v>2708</v>
      </c>
      <c r="AF147" s="252" t="s">
        <v>2708</v>
      </c>
      <c r="AG147" s="242" t="s">
        <v>2708</v>
      </c>
      <c r="AH147" s="242" t="s">
        <v>2708</v>
      </c>
      <c r="AI147" s="243" t="s">
        <v>2708</v>
      </c>
      <c r="AJ147" s="244" t="s">
        <v>2708</v>
      </c>
      <c r="AK147" s="244" t="s">
        <v>2708</v>
      </c>
      <c r="AL147" s="244" t="s">
        <v>2708</v>
      </c>
      <c r="AM147" s="244" t="s">
        <v>2708</v>
      </c>
      <c r="AN147" s="245" t="s">
        <v>2708</v>
      </c>
      <c r="AO147" s="245" t="s">
        <v>2708</v>
      </c>
      <c r="AP147" s="274">
        <v>437</v>
      </c>
    </row>
    <row r="148" spans="1:42" x14ac:dyDescent="0.2">
      <c r="A148" s="269">
        <v>148</v>
      </c>
      <c r="B148" s="270" t="s">
        <v>1901</v>
      </c>
      <c r="C148" s="271" t="s">
        <v>2617</v>
      </c>
      <c r="D148" s="272" t="s">
        <v>2708</v>
      </c>
      <c r="E148" s="273" t="s">
        <v>2708</v>
      </c>
      <c r="F148" s="22" t="s">
        <v>743</v>
      </c>
      <c r="G148" s="23" t="s">
        <v>743</v>
      </c>
      <c r="H148" s="24" t="s">
        <v>743</v>
      </c>
      <c r="I148" s="24" t="s">
        <v>743</v>
      </c>
      <c r="J148" s="25" t="s">
        <v>743</v>
      </c>
      <c r="K148" s="26">
        <v>38294</v>
      </c>
      <c r="L148" s="27" t="s">
        <v>2709</v>
      </c>
      <c r="M148" s="28">
        <v>354682</v>
      </c>
      <c r="N148" s="29">
        <v>6175411</v>
      </c>
      <c r="O148" s="32">
        <v>303</v>
      </c>
      <c r="P148" s="135"/>
      <c r="Q148" s="260">
        <v>304</v>
      </c>
      <c r="R148" s="32"/>
      <c r="S148" s="135">
        <v>12</v>
      </c>
      <c r="T148" s="260">
        <f t="shared" si="9"/>
        <v>12</v>
      </c>
      <c r="U148" s="30"/>
      <c r="V148" s="31">
        <v>333</v>
      </c>
      <c r="W148" s="31">
        <f t="shared" si="10"/>
        <v>333</v>
      </c>
      <c r="X148" s="260">
        <f t="shared" si="7"/>
        <v>5</v>
      </c>
      <c r="Y148" s="323">
        <v>1.1319999999999999</v>
      </c>
      <c r="Z148" s="323">
        <v>115655</v>
      </c>
      <c r="AA148" s="323">
        <v>832</v>
      </c>
      <c r="AB148" s="151"/>
      <c r="AC148" s="155">
        <v>1994</v>
      </c>
      <c r="AD148" s="254">
        <f t="shared" si="8"/>
        <v>9.8432580424366733</v>
      </c>
      <c r="AE148" s="152" t="s">
        <v>2708</v>
      </c>
      <c r="AF148" s="252" t="s">
        <v>2708</v>
      </c>
      <c r="AG148" s="242" t="s">
        <v>2708</v>
      </c>
      <c r="AH148" s="242" t="s">
        <v>2708</v>
      </c>
      <c r="AI148" s="243" t="s">
        <v>2708</v>
      </c>
      <c r="AJ148" s="244" t="s">
        <v>2708</v>
      </c>
      <c r="AK148" s="244" t="s">
        <v>2708</v>
      </c>
      <c r="AL148" s="244" t="s">
        <v>2708</v>
      </c>
      <c r="AM148" s="244" t="s">
        <v>2708</v>
      </c>
      <c r="AN148" s="245" t="s">
        <v>2708</v>
      </c>
      <c r="AO148" s="245" t="s">
        <v>2708</v>
      </c>
      <c r="AP148" s="274">
        <v>440</v>
      </c>
    </row>
    <row r="149" spans="1:42" x14ac:dyDescent="0.2">
      <c r="A149" s="269">
        <v>149</v>
      </c>
      <c r="B149" s="270" t="s">
        <v>1901</v>
      </c>
      <c r="C149" s="271" t="s">
        <v>2671</v>
      </c>
      <c r="D149" s="272" t="s">
        <v>2708</v>
      </c>
      <c r="E149" s="273" t="s">
        <v>2708</v>
      </c>
      <c r="F149" s="22" t="s">
        <v>743</v>
      </c>
      <c r="G149" s="23" t="s">
        <v>743</v>
      </c>
      <c r="H149" s="24" t="s">
        <v>743</v>
      </c>
      <c r="I149" s="24" t="s">
        <v>743</v>
      </c>
      <c r="J149" s="25" t="s">
        <v>743</v>
      </c>
      <c r="K149" s="26">
        <v>38294</v>
      </c>
      <c r="L149" s="27" t="s">
        <v>2709</v>
      </c>
      <c r="M149" s="28">
        <v>354630</v>
      </c>
      <c r="N149" s="29">
        <v>6175398</v>
      </c>
      <c r="O149" s="32">
        <v>299</v>
      </c>
      <c r="P149" s="135"/>
      <c r="Q149" s="260">
        <v>301</v>
      </c>
      <c r="R149" s="32"/>
      <c r="S149" s="135">
        <v>14</v>
      </c>
      <c r="T149" s="260">
        <f t="shared" si="9"/>
        <v>14</v>
      </c>
      <c r="U149" s="30"/>
      <c r="V149" s="31">
        <v>325</v>
      </c>
      <c r="W149" s="31">
        <f t="shared" si="10"/>
        <v>325</v>
      </c>
      <c r="X149" s="260">
        <f t="shared" si="7"/>
        <v>4</v>
      </c>
      <c r="Y149" s="323">
        <v>0.88400000000000001</v>
      </c>
      <c r="Z149" s="323">
        <v>115780</v>
      </c>
      <c r="AA149" s="323">
        <v>799</v>
      </c>
      <c r="AB149" s="151"/>
      <c r="AC149" s="155">
        <v>1994</v>
      </c>
      <c r="AD149" s="254">
        <f t="shared" si="8"/>
        <v>9.8432580424366733</v>
      </c>
      <c r="AE149" s="152" t="s">
        <v>2708</v>
      </c>
      <c r="AF149" s="252" t="s">
        <v>2708</v>
      </c>
      <c r="AG149" s="242" t="s">
        <v>2708</v>
      </c>
      <c r="AH149" s="242" t="s">
        <v>2708</v>
      </c>
      <c r="AI149" s="243" t="s">
        <v>2708</v>
      </c>
      <c r="AJ149" s="244" t="s">
        <v>2708</v>
      </c>
      <c r="AK149" s="244" t="s">
        <v>2708</v>
      </c>
      <c r="AL149" s="244" t="s">
        <v>2708</v>
      </c>
      <c r="AM149" s="244" t="s">
        <v>2708</v>
      </c>
      <c r="AN149" s="245" t="s">
        <v>2708</v>
      </c>
      <c r="AO149" s="245" t="s">
        <v>2708</v>
      </c>
      <c r="AP149" s="274">
        <v>441</v>
      </c>
    </row>
    <row r="150" spans="1:42" x14ac:dyDescent="0.2">
      <c r="A150" s="269">
        <v>150</v>
      </c>
      <c r="B150" s="270" t="s">
        <v>1901</v>
      </c>
      <c r="C150" s="271" t="s">
        <v>2618</v>
      </c>
      <c r="D150" s="272" t="s">
        <v>2708</v>
      </c>
      <c r="E150" s="273" t="s">
        <v>2708</v>
      </c>
      <c r="F150" s="22" t="s">
        <v>743</v>
      </c>
      <c r="G150" s="23" t="s">
        <v>743</v>
      </c>
      <c r="H150" s="24" t="s">
        <v>743</v>
      </c>
      <c r="I150" s="24" t="s">
        <v>743</v>
      </c>
      <c r="J150" s="25" t="s">
        <v>743</v>
      </c>
      <c r="K150" s="26">
        <v>38294</v>
      </c>
      <c r="L150" s="27" t="s">
        <v>2709</v>
      </c>
      <c r="M150" s="28">
        <v>355281</v>
      </c>
      <c r="N150" s="29">
        <v>6175238</v>
      </c>
      <c r="O150" s="32">
        <v>303</v>
      </c>
      <c r="P150" s="135"/>
      <c r="Q150" s="260">
        <v>309</v>
      </c>
      <c r="R150" s="32"/>
      <c r="S150" s="135">
        <v>9</v>
      </c>
      <c r="T150" s="260">
        <f t="shared" si="9"/>
        <v>9</v>
      </c>
      <c r="U150" s="30"/>
      <c r="V150" s="31">
        <v>71</v>
      </c>
      <c r="W150" s="31">
        <f t="shared" si="10"/>
        <v>71</v>
      </c>
      <c r="X150" s="260">
        <f t="shared" si="7"/>
        <v>3</v>
      </c>
      <c r="Y150" s="323">
        <v>0.745</v>
      </c>
      <c r="Z150" s="323">
        <v>109534</v>
      </c>
      <c r="AA150" s="323">
        <v>1510</v>
      </c>
      <c r="AB150" s="151"/>
      <c r="AC150" s="155">
        <v>1994</v>
      </c>
      <c r="AD150" s="254">
        <f t="shared" si="8"/>
        <v>9.8432580424366733</v>
      </c>
      <c r="AE150" s="152" t="s">
        <v>2708</v>
      </c>
      <c r="AF150" s="252" t="s">
        <v>2708</v>
      </c>
      <c r="AG150" s="242" t="s">
        <v>2708</v>
      </c>
      <c r="AH150" s="242" t="s">
        <v>2708</v>
      </c>
      <c r="AI150" s="243" t="s">
        <v>2708</v>
      </c>
      <c r="AJ150" s="244" t="s">
        <v>2708</v>
      </c>
      <c r="AK150" s="244" t="s">
        <v>2708</v>
      </c>
      <c r="AL150" s="244" t="s">
        <v>2708</v>
      </c>
      <c r="AM150" s="244" t="s">
        <v>2708</v>
      </c>
      <c r="AN150" s="245" t="s">
        <v>2708</v>
      </c>
      <c r="AO150" s="245" t="s">
        <v>2708</v>
      </c>
      <c r="AP150" s="274">
        <v>447</v>
      </c>
    </row>
    <row r="151" spans="1:42" x14ac:dyDescent="0.2">
      <c r="A151" s="269">
        <v>151</v>
      </c>
      <c r="B151" s="270" t="s">
        <v>1901</v>
      </c>
      <c r="C151" s="271" t="s">
        <v>2618</v>
      </c>
      <c r="D151" s="272" t="s">
        <v>2708</v>
      </c>
      <c r="E151" s="273" t="s">
        <v>2708</v>
      </c>
      <c r="F151" s="22" t="s">
        <v>743</v>
      </c>
      <c r="G151" s="23" t="s">
        <v>743</v>
      </c>
      <c r="H151" s="24" t="s">
        <v>743</v>
      </c>
      <c r="I151" s="24" t="s">
        <v>743</v>
      </c>
      <c r="J151" s="25" t="s">
        <v>743</v>
      </c>
      <c r="K151" s="26">
        <v>38294</v>
      </c>
      <c r="L151" s="27" t="s">
        <v>2709</v>
      </c>
      <c r="M151" s="28">
        <v>355431</v>
      </c>
      <c r="N151" s="29">
        <v>6175319</v>
      </c>
      <c r="O151" s="32">
        <v>281</v>
      </c>
      <c r="P151" s="135"/>
      <c r="Q151" s="260">
        <v>281</v>
      </c>
      <c r="R151" s="32"/>
      <c r="S151" s="135">
        <v>10</v>
      </c>
      <c r="T151" s="260">
        <f t="shared" si="9"/>
        <v>10</v>
      </c>
      <c r="U151" s="30"/>
      <c r="V151" s="31">
        <v>121</v>
      </c>
      <c r="W151" s="31">
        <f t="shared" si="10"/>
        <v>121</v>
      </c>
      <c r="X151" s="260">
        <f t="shared" si="7"/>
        <v>2</v>
      </c>
      <c r="Y151" s="323">
        <v>0.35099999999999998</v>
      </c>
      <c r="Z151" s="323">
        <v>100578</v>
      </c>
      <c r="AA151" s="323">
        <v>1417</v>
      </c>
      <c r="AB151" s="151"/>
      <c r="AC151" s="155">
        <v>1994</v>
      </c>
      <c r="AD151" s="254">
        <f t="shared" si="8"/>
        <v>9.8432580424366733</v>
      </c>
      <c r="AE151" s="152" t="s">
        <v>2708</v>
      </c>
      <c r="AF151" s="252" t="s">
        <v>2708</v>
      </c>
      <c r="AG151" s="242" t="s">
        <v>2708</v>
      </c>
      <c r="AH151" s="242" t="s">
        <v>2708</v>
      </c>
      <c r="AI151" s="243" t="s">
        <v>2708</v>
      </c>
      <c r="AJ151" s="244" t="s">
        <v>2708</v>
      </c>
      <c r="AK151" s="244" t="s">
        <v>2708</v>
      </c>
      <c r="AL151" s="244" t="s">
        <v>2708</v>
      </c>
      <c r="AM151" s="244" t="s">
        <v>2708</v>
      </c>
      <c r="AN151" s="245" t="s">
        <v>2708</v>
      </c>
      <c r="AO151" s="245" t="s">
        <v>2708</v>
      </c>
      <c r="AP151" s="274">
        <v>448</v>
      </c>
    </row>
    <row r="152" spans="1:42" x14ac:dyDescent="0.2">
      <c r="A152" s="269">
        <v>152</v>
      </c>
      <c r="B152" s="270" t="s">
        <v>1901</v>
      </c>
      <c r="C152" s="271" t="s">
        <v>2618</v>
      </c>
      <c r="D152" s="272" t="s">
        <v>2708</v>
      </c>
      <c r="E152" s="273" t="s">
        <v>2708</v>
      </c>
      <c r="F152" s="22" t="s">
        <v>743</v>
      </c>
      <c r="G152" s="23" t="s">
        <v>743</v>
      </c>
      <c r="H152" s="24" t="s">
        <v>743</v>
      </c>
      <c r="I152" s="24" t="s">
        <v>743</v>
      </c>
      <c r="J152" s="25" t="s">
        <v>743</v>
      </c>
      <c r="K152" s="26">
        <v>38294</v>
      </c>
      <c r="L152" s="27" t="s">
        <v>2709</v>
      </c>
      <c r="M152" s="28">
        <v>355413</v>
      </c>
      <c r="N152" s="29">
        <v>6175194</v>
      </c>
      <c r="O152" s="32">
        <v>286</v>
      </c>
      <c r="P152" s="135"/>
      <c r="Q152" s="260">
        <v>288</v>
      </c>
      <c r="R152" s="32"/>
      <c r="S152" s="135">
        <v>14</v>
      </c>
      <c r="T152" s="260">
        <f t="shared" si="9"/>
        <v>14</v>
      </c>
      <c r="U152" s="30"/>
      <c r="V152" s="31">
        <v>39</v>
      </c>
      <c r="W152" s="31">
        <f t="shared" si="10"/>
        <v>39</v>
      </c>
      <c r="X152" s="260">
        <f t="shared" si="7"/>
        <v>4</v>
      </c>
      <c r="Y152" s="323">
        <v>1.202</v>
      </c>
      <c r="Z152" s="323">
        <v>114373</v>
      </c>
      <c r="AA152" s="323">
        <v>1053</v>
      </c>
      <c r="AB152" s="151"/>
      <c r="AC152" s="155">
        <v>1994</v>
      </c>
      <c r="AD152" s="254">
        <f t="shared" si="8"/>
        <v>9.8432580424366733</v>
      </c>
      <c r="AE152" s="152" t="s">
        <v>2708</v>
      </c>
      <c r="AF152" s="252" t="s">
        <v>2708</v>
      </c>
      <c r="AG152" s="242" t="s">
        <v>2708</v>
      </c>
      <c r="AH152" s="242" t="s">
        <v>2708</v>
      </c>
      <c r="AI152" s="243" t="s">
        <v>2708</v>
      </c>
      <c r="AJ152" s="244" t="s">
        <v>2708</v>
      </c>
      <c r="AK152" s="244" t="s">
        <v>2708</v>
      </c>
      <c r="AL152" s="244" t="s">
        <v>2708</v>
      </c>
      <c r="AM152" s="244" t="s">
        <v>2708</v>
      </c>
      <c r="AN152" s="245" t="s">
        <v>2708</v>
      </c>
      <c r="AO152" s="245" t="s">
        <v>2708</v>
      </c>
      <c r="AP152" s="274">
        <v>452</v>
      </c>
    </row>
    <row r="153" spans="1:42" x14ac:dyDescent="0.2">
      <c r="A153" s="269">
        <v>153</v>
      </c>
      <c r="B153" s="270" t="s">
        <v>1901</v>
      </c>
      <c r="C153" s="271" t="s">
        <v>2562</v>
      </c>
      <c r="D153" s="272" t="s">
        <v>2708</v>
      </c>
      <c r="E153" s="273" t="s">
        <v>2708</v>
      </c>
      <c r="F153" s="22" t="s">
        <v>743</v>
      </c>
      <c r="G153" s="23" t="s">
        <v>743</v>
      </c>
      <c r="H153" s="24" t="s">
        <v>743</v>
      </c>
      <c r="I153" s="24" t="s">
        <v>743</v>
      </c>
      <c r="J153" s="25" t="s">
        <v>743</v>
      </c>
      <c r="K153" s="26">
        <v>38294</v>
      </c>
      <c r="L153" s="27" t="s">
        <v>2709</v>
      </c>
      <c r="M153" s="28">
        <v>355738</v>
      </c>
      <c r="N153" s="29">
        <v>6174998</v>
      </c>
      <c r="O153" s="32">
        <v>270</v>
      </c>
      <c r="P153" s="135"/>
      <c r="Q153" s="260">
        <v>266</v>
      </c>
      <c r="R153" s="32"/>
      <c r="S153" s="135">
        <v>13</v>
      </c>
      <c r="T153" s="260">
        <f t="shared" si="9"/>
        <v>13</v>
      </c>
      <c r="U153" s="30"/>
      <c r="V153" s="31">
        <v>80</v>
      </c>
      <c r="W153" s="31">
        <f t="shared" si="10"/>
        <v>80</v>
      </c>
      <c r="X153" s="260">
        <f t="shared" si="7"/>
        <v>3</v>
      </c>
      <c r="Y153" s="323">
        <v>1.3640000000000001</v>
      </c>
      <c r="Z153" s="323">
        <v>107110</v>
      </c>
      <c r="AA153" s="323">
        <v>1380</v>
      </c>
      <c r="AB153" s="151"/>
      <c r="AC153" s="155">
        <v>1994</v>
      </c>
      <c r="AD153" s="254">
        <f t="shared" si="8"/>
        <v>9.8432580424366733</v>
      </c>
      <c r="AE153" s="152" t="s">
        <v>2708</v>
      </c>
      <c r="AF153" s="252" t="s">
        <v>2708</v>
      </c>
      <c r="AG153" s="242" t="s">
        <v>2708</v>
      </c>
      <c r="AH153" s="242" t="s">
        <v>2708</v>
      </c>
      <c r="AI153" s="243" t="s">
        <v>2708</v>
      </c>
      <c r="AJ153" s="244" t="s">
        <v>2708</v>
      </c>
      <c r="AK153" s="244" t="s">
        <v>2708</v>
      </c>
      <c r="AL153" s="244" t="s">
        <v>2708</v>
      </c>
      <c r="AM153" s="244" t="s">
        <v>2708</v>
      </c>
      <c r="AN153" s="245" t="s">
        <v>2708</v>
      </c>
      <c r="AO153" s="245" t="s">
        <v>2708</v>
      </c>
      <c r="AP153" s="274">
        <v>457</v>
      </c>
    </row>
    <row r="154" spans="1:42" x14ac:dyDescent="0.2">
      <c r="A154" s="269">
        <v>154</v>
      </c>
      <c r="B154" s="270" t="s">
        <v>1901</v>
      </c>
      <c r="C154" s="271" t="s">
        <v>2617</v>
      </c>
      <c r="D154" s="272" t="s">
        <v>2708</v>
      </c>
      <c r="E154" s="273" t="s">
        <v>2708</v>
      </c>
      <c r="F154" s="22" t="s">
        <v>743</v>
      </c>
      <c r="G154" s="23" t="s">
        <v>743</v>
      </c>
      <c r="H154" s="24" t="s">
        <v>743</v>
      </c>
      <c r="I154" s="24" t="s">
        <v>743</v>
      </c>
      <c r="J154" s="25" t="s">
        <v>743</v>
      </c>
      <c r="K154" s="26">
        <v>38294</v>
      </c>
      <c r="L154" s="27" t="s">
        <v>2709</v>
      </c>
      <c r="M154" s="28">
        <v>355904</v>
      </c>
      <c r="N154" s="29">
        <v>6175069</v>
      </c>
      <c r="O154" s="32">
        <v>232</v>
      </c>
      <c r="P154" s="135"/>
      <c r="Q154" s="260">
        <v>231</v>
      </c>
      <c r="R154" s="32"/>
      <c r="S154" s="135">
        <v>9</v>
      </c>
      <c r="T154" s="260">
        <f t="shared" si="9"/>
        <v>9</v>
      </c>
      <c r="U154" s="30"/>
      <c r="V154" s="31">
        <v>65</v>
      </c>
      <c r="W154" s="31">
        <f t="shared" si="10"/>
        <v>65</v>
      </c>
      <c r="X154" s="260">
        <f t="shared" si="7"/>
        <v>4</v>
      </c>
      <c r="Y154" s="323">
        <v>1.0960000000000001</v>
      </c>
      <c r="Z154" s="323">
        <v>109083</v>
      </c>
      <c r="AA154" s="323">
        <v>1354</v>
      </c>
      <c r="AB154" s="151"/>
      <c r="AC154" s="155">
        <v>1994</v>
      </c>
      <c r="AD154" s="254">
        <f t="shared" si="8"/>
        <v>9.8432580424366733</v>
      </c>
      <c r="AE154" s="152" t="s">
        <v>2708</v>
      </c>
      <c r="AF154" s="252" t="s">
        <v>2708</v>
      </c>
      <c r="AG154" s="242" t="s">
        <v>2708</v>
      </c>
      <c r="AH154" s="242" t="s">
        <v>2708</v>
      </c>
      <c r="AI154" s="243" t="s">
        <v>2708</v>
      </c>
      <c r="AJ154" s="244" t="s">
        <v>2708</v>
      </c>
      <c r="AK154" s="244" t="s">
        <v>2708</v>
      </c>
      <c r="AL154" s="244" t="s">
        <v>2708</v>
      </c>
      <c r="AM154" s="244" t="s">
        <v>2708</v>
      </c>
      <c r="AN154" s="245" t="s">
        <v>2708</v>
      </c>
      <c r="AO154" s="245" t="s">
        <v>2708</v>
      </c>
      <c r="AP154" s="274">
        <v>460</v>
      </c>
    </row>
    <row r="155" spans="1:42" x14ac:dyDescent="0.2">
      <c r="A155" s="269">
        <v>155</v>
      </c>
      <c r="B155" s="270" t="s">
        <v>1901</v>
      </c>
      <c r="C155" s="271" t="s">
        <v>2669</v>
      </c>
      <c r="D155" s="272" t="s">
        <v>2708</v>
      </c>
      <c r="E155" s="273" t="s">
        <v>2708</v>
      </c>
      <c r="F155" s="22" t="s">
        <v>743</v>
      </c>
      <c r="G155" s="23" t="s">
        <v>743</v>
      </c>
      <c r="H155" s="24" t="s">
        <v>743</v>
      </c>
      <c r="I155" s="24" t="s">
        <v>743</v>
      </c>
      <c r="J155" s="25" t="s">
        <v>743</v>
      </c>
      <c r="K155" s="26">
        <v>38294</v>
      </c>
      <c r="L155" s="27" t="s">
        <v>2709</v>
      </c>
      <c r="M155" s="28">
        <v>355885</v>
      </c>
      <c r="N155" s="29">
        <v>6175157</v>
      </c>
      <c r="O155" s="32">
        <v>220</v>
      </c>
      <c r="P155" s="135"/>
      <c r="Q155" s="260">
        <v>225</v>
      </c>
      <c r="R155" s="32"/>
      <c r="S155" s="135">
        <v>16</v>
      </c>
      <c r="T155" s="260">
        <f t="shared" si="9"/>
        <v>16</v>
      </c>
      <c r="U155" s="30"/>
      <c r="V155" s="31">
        <v>61</v>
      </c>
      <c r="W155" s="31">
        <f t="shared" si="10"/>
        <v>61</v>
      </c>
      <c r="X155" s="260">
        <f t="shared" si="7"/>
        <v>4</v>
      </c>
      <c r="Y155" s="323">
        <v>0.754</v>
      </c>
      <c r="Z155" s="323">
        <v>110096</v>
      </c>
      <c r="AA155" s="323">
        <v>1285</v>
      </c>
      <c r="AB155" s="151"/>
      <c r="AC155" s="155">
        <v>1994</v>
      </c>
      <c r="AD155" s="254">
        <f t="shared" si="8"/>
        <v>9.8432580424366733</v>
      </c>
      <c r="AE155" s="152" t="s">
        <v>2708</v>
      </c>
      <c r="AF155" s="252" t="s">
        <v>2708</v>
      </c>
      <c r="AG155" s="242" t="s">
        <v>2708</v>
      </c>
      <c r="AH155" s="242" t="s">
        <v>2708</v>
      </c>
      <c r="AI155" s="243" t="s">
        <v>2708</v>
      </c>
      <c r="AJ155" s="244" t="s">
        <v>2708</v>
      </c>
      <c r="AK155" s="244" t="s">
        <v>2708</v>
      </c>
      <c r="AL155" s="244" t="s">
        <v>2708</v>
      </c>
      <c r="AM155" s="244" t="s">
        <v>2708</v>
      </c>
      <c r="AN155" s="245" t="s">
        <v>2708</v>
      </c>
      <c r="AO155" s="245" t="s">
        <v>2708</v>
      </c>
      <c r="AP155" s="274">
        <v>462</v>
      </c>
    </row>
    <row r="156" spans="1:42" x14ac:dyDescent="0.2">
      <c r="A156" s="269">
        <v>156</v>
      </c>
      <c r="B156" s="270" t="s">
        <v>1901</v>
      </c>
      <c r="C156" s="271" t="s">
        <v>2618</v>
      </c>
      <c r="D156" s="272" t="s">
        <v>2708</v>
      </c>
      <c r="E156" s="273" t="s">
        <v>2708</v>
      </c>
      <c r="F156" s="22" t="s">
        <v>743</v>
      </c>
      <c r="G156" s="23" t="s">
        <v>743</v>
      </c>
      <c r="H156" s="24" t="s">
        <v>743</v>
      </c>
      <c r="I156" s="24" t="s">
        <v>743</v>
      </c>
      <c r="J156" s="25" t="s">
        <v>743</v>
      </c>
      <c r="K156" s="26">
        <v>38294</v>
      </c>
      <c r="L156" s="27" t="s">
        <v>2709</v>
      </c>
      <c r="M156" s="28">
        <v>355752</v>
      </c>
      <c r="N156" s="29">
        <v>6175225</v>
      </c>
      <c r="O156" s="32">
        <v>243</v>
      </c>
      <c r="P156" s="135"/>
      <c r="Q156" s="260">
        <v>249</v>
      </c>
      <c r="R156" s="32"/>
      <c r="S156" s="135">
        <v>12</v>
      </c>
      <c r="T156" s="260">
        <f t="shared" si="9"/>
        <v>12</v>
      </c>
      <c r="U156" s="30"/>
      <c r="V156" s="31">
        <v>59</v>
      </c>
      <c r="W156" s="31">
        <f t="shared" si="10"/>
        <v>59</v>
      </c>
      <c r="X156" s="260">
        <f t="shared" si="7"/>
        <v>4</v>
      </c>
      <c r="Y156" s="323">
        <v>0.98299999999999998</v>
      </c>
      <c r="Z156" s="323">
        <v>110650</v>
      </c>
      <c r="AA156" s="323">
        <v>1415</v>
      </c>
      <c r="AB156" s="151"/>
      <c r="AC156" s="155">
        <v>1994</v>
      </c>
      <c r="AD156" s="254">
        <f t="shared" si="8"/>
        <v>9.8432580424366733</v>
      </c>
      <c r="AE156" s="152" t="s">
        <v>2708</v>
      </c>
      <c r="AF156" s="252" t="s">
        <v>2708</v>
      </c>
      <c r="AG156" s="242" t="s">
        <v>2708</v>
      </c>
      <c r="AH156" s="242" t="s">
        <v>2708</v>
      </c>
      <c r="AI156" s="243" t="s">
        <v>2708</v>
      </c>
      <c r="AJ156" s="244" t="s">
        <v>2708</v>
      </c>
      <c r="AK156" s="244" t="s">
        <v>2708</v>
      </c>
      <c r="AL156" s="244" t="s">
        <v>2708</v>
      </c>
      <c r="AM156" s="244" t="s">
        <v>2708</v>
      </c>
      <c r="AN156" s="245" t="s">
        <v>2708</v>
      </c>
      <c r="AO156" s="245" t="s">
        <v>2708</v>
      </c>
      <c r="AP156" s="274">
        <v>464</v>
      </c>
    </row>
    <row r="157" spans="1:42" x14ac:dyDescent="0.2">
      <c r="A157" s="269">
        <v>157</v>
      </c>
      <c r="B157" s="270" t="s">
        <v>1901</v>
      </c>
      <c r="C157" s="271" t="s">
        <v>2669</v>
      </c>
      <c r="D157" s="272" t="s">
        <v>2708</v>
      </c>
      <c r="E157" s="273" t="s">
        <v>2708</v>
      </c>
      <c r="F157" s="22" t="s">
        <v>743</v>
      </c>
      <c r="G157" s="23" t="s">
        <v>743</v>
      </c>
      <c r="H157" s="24" t="s">
        <v>743</v>
      </c>
      <c r="I157" s="24" t="s">
        <v>743</v>
      </c>
      <c r="J157" s="25" t="s">
        <v>743</v>
      </c>
      <c r="K157" s="26">
        <v>38294</v>
      </c>
      <c r="L157" s="27" t="s">
        <v>2709</v>
      </c>
      <c r="M157" s="28">
        <v>355388</v>
      </c>
      <c r="N157" s="29">
        <v>6175299</v>
      </c>
      <c r="O157" s="32">
        <v>284</v>
      </c>
      <c r="P157" s="135"/>
      <c r="Q157" s="260">
        <v>287</v>
      </c>
      <c r="R157" s="32"/>
      <c r="S157" s="135">
        <v>11</v>
      </c>
      <c r="T157" s="260">
        <f t="shared" si="9"/>
        <v>11</v>
      </c>
      <c r="U157" s="30"/>
      <c r="V157" s="31">
        <v>99</v>
      </c>
      <c r="W157" s="31">
        <f t="shared" si="10"/>
        <v>99</v>
      </c>
      <c r="X157" s="260">
        <f t="shared" si="7"/>
        <v>3</v>
      </c>
      <c r="Y157" s="323">
        <v>0.84199999999999997</v>
      </c>
      <c r="Z157" s="323">
        <v>104361</v>
      </c>
      <c r="AA157" s="323">
        <v>1404</v>
      </c>
      <c r="AB157" s="151"/>
      <c r="AC157" s="155">
        <v>1994</v>
      </c>
      <c r="AD157" s="254">
        <f t="shared" si="8"/>
        <v>9.8432580424366733</v>
      </c>
      <c r="AE157" s="152" t="s">
        <v>2708</v>
      </c>
      <c r="AF157" s="252" t="s">
        <v>2708</v>
      </c>
      <c r="AG157" s="242" t="s">
        <v>2708</v>
      </c>
      <c r="AH157" s="242" t="s">
        <v>2708</v>
      </c>
      <c r="AI157" s="243" t="s">
        <v>2708</v>
      </c>
      <c r="AJ157" s="244" t="s">
        <v>2708</v>
      </c>
      <c r="AK157" s="244" t="s">
        <v>2708</v>
      </c>
      <c r="AL157" s="244" t="s">
        <v>2708</v>
      </c>
      <c r="AM157" s="244" t="s">
        <v>2708</v>
      </c>
      <c r="AN157" s="245" t="s">
        <v>2708</v>
      </c>
      <c r="AO157" s="245" t="s">
        <v>2708</v>
      </c>
      <c r="AP157" s="274">
        <v>471</v>
      </c>
    </row>
    <row r="158" spans="1:42" x14ac:dyDescent="0.2">
      <c r="A158" s="269">
        <v>158</v>
      </c>
      <c r="B158" s="270" t="s">
        <v>1901</v>
      </c>
      <c r="C158" s="271" t="s">
        <v>2669</v>
      </c>
      <c r="D158" s="272" t="s">
        <v>2708</v>
      </c>
      <c r="E158" s="273" t="s">
        <v>2708</v>
      </c>
      <c r="F158" s="22" t="s">
        <v>743</v>
      </c>
      <c r="G158" s="23" t="s">
        <v>743</v>
      </c>
      <c r="H158" s="24" t="s">
        <v>743</v>
      </c>
      <c r="I158" s="24" t="s">
        <v>743</v>
      </c>
      <c r="J158" s="25" t="s">
        <v>743</v>
      </c>
      <c r="K158" s="26">
        <v>38294</v>
      </c>
      <c r="L158" s="27" t="s">
        <v>2709</v>
      </c>
      <c r="M158" s="28">
        <v>355320</v>
      </c>
      <c r="N158" s="29">
        <v>6175418</v>
      </c>
      <c r="O158" s="32">
        <v>284</v>
      </c>
      <c r="P158" s="135"/>
      <c r="Q158" s="260">
        <v>290</v>
      </c>
      <c r="R158" s="32"/>
      <c r="S158" s="135">
        <v>9</v>
      </c>
      <c r="T158" s="260">
        <f t="shared" si="9"/>
        <v>9</v>
      </c>
      <c r="U158" s="30"/>
      <c r="V158" s="31">
        <v>27</v>
      </c>
      <c r="W158" s="31">
        <f t="shared" si="10"/>
        <v>27</v>
      </c>
      <c r="X158" s="260">
        <f t="shared" si="7"/>
        <v>5</v>
      </c>
      <c r="Y158" s="323">
        <v>0.26100000000000001</v>
      </c>
      <c r="Z158" s="323">
        <v>113994</v>
      </c>
      <c r="AA158" s="323">
        <v>1482</v>
      </c>
      <c r="AB158" s="151"/>
      <c r="AC158" s="155">
        <v>1994</v>
      </c>
      <c r="AD158" s="254">
        <f t="shared" si="8"/>
        <v>9.8432580424366733</v>
      </c>
      <c r="AE158" s="152" t="s">
        <v>2708</v>
      </c>
      <c r="AF158" s="252" t="s">
        <v>2708</v>
      </c>
      <c r="AG158" s="242" t="s">
        <v>2708</v>
      </c>
      <c r="AH158" s="242" t="s">
        <v>2708</v>
      </c>
      <c r="AI158" s="243" t="s">
        <v>2708</v>
      </c>
      <c r="AJ158" s="244" t="s">
        <v>2708</v>
      </c>
      <c r="AK158" s="244" t="s">
        <v>2708</v>
      </c>
      <c r="AL158" s="244" t="s">
        <v>2708</v>
      </c>
      <c r="AM158" s="244" t="s">
        <v>2708</v>
      </c>
      <c r="AN158" s="245" t="s">
        <v>2708</v>
      </c>
      <c r="AO158" s="245" t="s">
        <v>2708</v>
      </c>
      <c r="AP158" s="274">
        <v>474</v>
      </c>
    </row>
    <row r="159" spans="1:42" x14ac:dyDescent="0.2">
      <c r="A159" s="269">
        <v>159</v>
      </c>
      <c r="B159" s="270" t="s">
        <v>1901</v>
      </c>
      <c r="C159" s="271" t="s">
        <v>2669</v>
      </c>
      <c r="D159" s="272" t="s">
        <v>2708</v>
      </c>
      <c r="E159" s="273" t="s">
        <v>2708</v>
      </c>
      <c r="F159" s="22" t="s">
        <v>743</v>
      </c>
      <c r="G159" s="23" t="s">
        <v>743</v>
      </c>
      <c r="H159" s="24" t="s">
        <v>743</v>
      </c>
      <c r="I159" s="24" t="s">
        <v>743</v>
      </c>
      <c r="J159" s="25" t="s">
        <v>743</v>
      </c>
      <c r="K159" s="26">
        <v>38294</v>
      </c>
      <c r="L159" s="27" t="s">
        <v>2709</v>
      </c>
      <c r="M159" s="28">
        <v>355331</v>
      </c>
      <c r="N159" s="29">
        <v>6175667</v>
      </c>
      <c r="O159" s="32">
        <v>246</v>
      </c>
      <c r="P159" s="135"/>
      <c r="Q159" s="260">
        <v>247</v>
      </c>
      <c r="R159" s="32"/>
      <c r="S159" s="135">
        <v>13</v>
      </c>
      <c r="T159" s="260">
        <f t="shared" si="9"/>
        <v>13</v>
      </c>
      <c r="U159" s="30"/>
      <c r="V159" s="31">
        <v>23</v>
      </c>
      <c r="W159" s="31">
        <f t="shared" si="10"/>
        <v>23</v>
      </c>
      <c r="X159" s="260">
        <f t="shared" si="7"/>
        <v>5</v>
      </c>
      <c r="Y159" s="323">
        <v>0.83</v>
      </c>
      <c r="Z159" s="323">
        <v>114930</v>
      </c>
      <c r="AA159" s="323">
        <v>994</v>
      </c>
      <c r="AB159" s="151"/>
      <c r="AC159" s="155">
        <v>1994</v>
      </c>
      <c r="AD159" s="254">
        <f t="shared" si="8"/>
        <v>9.8432580424366733</v>
      </c>
      <c r="AE159" s="152" t="s">
        <v>2708</v>
      </c>
      <c r="AF159" s="252" t="s">
        <v>2708</v>
      </c>
      <c r="AG159" s="242" t="s">
        <v>2708</v>
      </c>
      <c r="AH159" s="242" t="s">
        <v>2708</v>
      </c>
      <c r="AI159" s="243" t="s">
        <v>2708</v>
      </c>
      <c r="AJ159" s="244" t="s">
        <v>2708</v>
      </c>
      <c r="AK159" s="244" t="s">
        <v>2708</v>
      </c>
      <c r="AL159" s="244" t="s">
        <v>2708</v>
      </c>
      <c r="AM159" s="244" t="s">
        <v>2708</v>
      </c>
      <c r="AN159" s="245" t="s">
        <v>2708</v>
      </c>
      <c r="AO159" s="245" t="s">
        <v>2708</v>
      </c>
      <c r="AP159" s="274">
        <v>475</v>
      </c>
    </row>
    <row r="160" spans="1:42" x14ac:dyDescent="0.2">
      <c r="A160" s="269">
        <v>160</v>
      </c>
      <c r="B160" s="270" t="s">
        <v>1901</v>
      </c>
      <c r="C160" s="271" t="s">
        <v>2669</v>
      </c>
      <c r="D160" s="272" t="s">
        <v>2708</v>
      </c>
      <c r="E160" s="273" t="s">
        <v>2708</v>
      </c>
      <c r="F160" s="22" t="s">
        <v>743</v>
      </c>
      <c r="G160" s="23" t="s">
        <v>743</v>
      </c>
      <c r="H160" s="24" t="s">
        <v>743</v>
      </c>
      <c r="I160" s="24" t="s">
        <v>743</v>
      </c>
      <c r="J160" s="25" t="s">
        <v>743</v>
      </c>
      <c r="K160" s="26">
        <v>38294</v>
      </c>
      <c r="L160" s="27" t="s">
        <v>2709</v>
      </c>
      <c r="M160" s="28">
        <v>354955</v>
      </c>
      <c r="N160" s="29">
        <v>6175596</v>
      </c>
      <c r="O160" s="32">
        <v>270</v>
      </c>
      <c r="P160" s="135"/>
      <c r="Q160" s="260">
        <v>273</v>
      </c>
      <c r="R160" s="32"/>
      <c r="S160" s="135">
        <v>18</v>
      </c>
      <c r="T160" s="260">
        <f t="shared" si="9"/>
        <v>18</v>
      </c>
      <c r="U160" s="30"/>
      <c r="V160" s="31">
        <v>31</v>
      </c>
      <c r="W160" s="31">
        <f t="shared" si="10"/>
        <v>31</v>
      </c>
      <c r="X160" s="260">
        <f t="shared" si="7"/>
        <v>5</v>
      </c>
      <c r="Y160" s="323">
        <v>0.74</v>
      </c>
      <c r="Z160" s="323">
        <v>116099</v>
      </c>
      <c r="AA160" s="323">
        <v>760</v>
      </c>
      <c r="AB160" s="151"/>
      <c r="AC160" s="155">
        <v>1994</v>
      </c>
      <c r="AD160" s="254">
        <f t="shared" si="8"/>
        <v>9.8432580424366733</v>
      </c>
      <c r="AE160" s="152" t="s">
        <v>2708</v>
      </c>
      <c r="AF160" s="252" t="s">
        <v>2708</v>
      </c>
      <c r="AG160" s="242" t="s">
        <v>2708</v>
      </c>
      <c r="AH160" s="242" t="s">
        <v>2708</v>
      </c>
      <c r="AI160" s="243" t="s">
        <v>2708</v>
      </c>
      <c r="AJ160" s="244" t="s">
        <v>2708</v>
      </c>
      <c r="AK160" s="244" t="s">
        <v>2708</v>
      </c>
      <c r="AL160" s="244" t="s">
        <v>2708</v>
      </c>
      <c r="AM160" s="244" t="s">
        <v>2708</v>
      </c>
      <c r="AN160" s="245" t="s">
        <v>2708</v>
      </c>
      <c r="AO160" s="245" t="s">
        <v>2708</v>
      </c>
      <c r="AP160" s="274">
        <v>478</v>
      </c>
    </row>
    <row r="161" spans="1:42" x14ac:dyDescent="0.2">
      <c r="A161" s="269">
        <v>161</v>
      </c>
      <c r="B161" s="270" t="s">
        <v>1901</v>
      </c>
      <c r="C161" s="271" t="s">
        <v>2668</v>
      </c>
      <c r="D161" s="272" t="s">
        <v>2708</v>
      </c>
      <c r="E161" s="273" t="s">
        <v>2708</v>
      </c>
      <c r="F161" s="22" t="s">
        <v>743</v>
      </c>
      <c r="G161" s="23" t="s">
        <v>743</v>
      </c>
      <c r="H161" s="24" t="s">
        <v>743</v>
      </c>
      <c r="I161" s="24" t="s">
        <v>743</v>
      </c>
      <c r="J161" s="25" t="s">
        <v>743</v>
      </c>
      <c r="K161" s="26">
        <v>38295</v>
      </c>
      <c r="L161" s="27" t="s">
        <v>2709</v>
      </c>
      <c r="M161" s="28">
        <v>358561</v>
      </c>
      <c r="N161" s="29">
        <v>6178650</v>
      </c>
      <c r="O161" s="32">
        <v>279</v>
      </c>
      <c r="P161" s="135"/>
      <c r="Q161" s="260">
        <v>278</v>
      </c>
      <c r="R161" s="32"/>
      <c r="S161" s="135">
        <v>11</v>
      </c>
      <c r="T161" s="260">
        <f t="shared" si="9"/>
        <v>11</v>
      </c>
      <c r="U161" s="30"/>
      <c r="V161" s="31">
        <v>17</v>
      </c>
      <c r="W161" s="31">
        <f t="shared" si="10"/>
        <v>17</v>
      </c>
      <c r="X161" s="260">
        <f t="shared" si="7"/>
        <v>5</v>
      </c>
      <c r="Y161" s="323">
        <v>0.60299999999999998</v>
      </c>
      <c r="Z161" s="323">
        <v>114261</v>
      </c>
      <c r="AA161" s="323">
        <v>737</v>
      </c>
      <c r="AB161" s="151"/>
      <c r="AC161" s="155">
        <v>1996</v>
      </c>
      <c r="AD161" s="254">
        <f t="shared" si="8"/>
        <v>7.8459958932237441</v>
      </c>
      <c r="AE161" s="152" t="s">
        <v>2708</v>
      </c>
      <c r="AF161" s="252" t="s">
        <v>2708</v>
      </c>
      <c r="AG161" s="242" t="s">
        <v>2708</v>
      </c>
      <c r="AH161" s="242" t="s">
        <v>2708</v>
      </c>
      <c r="AI161" s="243" t="s">
        <v>2708</v>
      </c>
      <c r="AJ161" s="244" t="s">
        <v>2708</v>
      </c>
      <c r="AK161" s="244" t="s">
        <v>2708</v>
      </c>
      <c r="AL161" s="244" t="s">
        <v>2708</v>
      </c>
      <c r="AM161" s="244" t="s">
        <v>2708</v>
      </c>
      <c r="AN161" s="245" t="s">
        <v>2708</v>
      </c>
      <c r="AO161" s="245" t="s">
        <v>2708</v>
      </c>
      <c r="AP161" s="274">
        <v>504</v>
      </c>
    </row>
    <row r="162" spans="1:42" x14ac:dyDescent="0.2">
      <c r="A162" s="269">
        <v>162</v>
      </c>
      <c r="B162" s="270" t="s">
        <v>1901</v>
      </c>
      <c r="C162" s="271" t="s">
        <v>2618</v>
      </c>
      <c r="D162" s="272" t="s">
        <v>2708</v>
      </c>
      <c r="E162" s="273" t="s">
        <v>2708</v>
      </c>
      <c r="F162" s="22" t="s">
        <v>743</v>
      </c>
      <c r="G162" s="23" t="s">
        <v>743</v>
      </c>
      <c r="H162" s="24" t="s">
        <v>743</v>
      </c>
      <c r="I162" s="24" t="s">
        <v>743</v>
      </c>
      <c r="J162" s="25" t="s">
        <v>743</v>
      </c>
      <c r="K162" s="26">
        <v>38295</v>
      </c>
      <c r="L162" s="27" t="s">
        <v>2709</v>
      </c>
      <c r="M162" s="28">
        <v>358545</v>
      </c>
      <c r="N162" s="29">
        <v>6178671</v>
      </c>
      <c r="O162" s="32">
        <v>275</v>
      </c>
      <c r="P162" s="135"/>
      <c r="Q162" s="260">
        <v>275</v>
      </c>
      <c r="R162" s="32"/>
      <c r="S162" s="135">
        <v>8</v>
      </c>
      <c r="T162" s="260">
        <f t="shared" si="9"/>
        <v>8</v>
      </c>
      <c r="U162" s="30"/>
      <c r="V162" s="31">
        <v>24</v>
      </c>
      <c r="W162" s="31">
        <f t="shared" si="10"/>
        <v>24</v>
      </c>
      <c r="X162" s="260">
        <f t="shared" si="7"/>
        <v>5</v>
      </c>
      <c r="Y162" s="323">
        <v>0.54800000000000004</v>
      </c>
      <c r="Z162" s="323">
        <v>111832</v>
      </c>
      <c r="AA162" s="323">
        <v>722</v>
      </c>
      <c r="AB162" s="151"/>
      <c r="AC162" s="155">
        <v>1996</v>
      </c>
      <c r="AD162" s="254">
        <f t="shared" si="8"/>
        <v>7.8459958932237441</v>
      </c>
      <c r="AE162" s="152" t="s">
        <v>2708</v>
      </c>
      <c r="AF162" s="252" t="s">
        <v>2708</v>
      </c>
      <c r="AG162" s="242" t="s">
        <v>2708</v>
      </c>
      <c r="AH162" s="242" t="s">
        <v>2708</v>
      </c>
      <c r="AI162" s="243" t="s">
        <v>2708</v>
      </c>
      <c r="AJ162" s="244" t="s">
        <v>2708</v>
      </c>
      <c r="AK162" s="244" t="s">
        <v>2708</v>
      </c>
      <c r="AL162" s="244" t="s">
        <v>2708</v>
      </c>
      <c r="AM162" s="244" t="s">
        <v>2708</v>
      </c>
      <c r="AN162" s="245" t="s">
        <v>2708</v>
      </c>
      <c r="AO162" s="245" t="s">
        <v>2708</v>
      </c>
      <c r="AP162" s="274">
        <v>505</v>
      </c>
    </row>
    <row r="163" spans="1:42" x14ac:dyDescent="0.2">
      <c r="A163" s="269">
        <v>163</v>
      </c>
      <c r="B163" s="270" t="s">
        <v>1901</v>
      </c>
      <c r="C163" s="271" t="s">
        <v>2247</v>
      </c>
      <c r="D163" s="272" t="s">
        <v>2708</v>
      </c>
      <c r="E163" s="273" t="s">
        <v>2708</v>
      </c>
      <c r="F163" s="22" t="s">
        <v>743</v>
      </c>
      <c r="G163" s="23" t="s">
        <v>743</v>
      </c>
      <c r="H163" s="24" t="s">
        <v>743</v>
      </c>
      <c r="I163" s="24" t="s">
        <v>743</v>
      </c>
      <c r="J163" s="25" t="s">
        <v>743</v>
      </c>
      <c r="K163" s="26">
        <v>38295</v>
      </c>
      <c r="L163" s="27" t="s">
        <v>2709</v>
      </c>
      <c r="M163" s="28">
        <v>358792</v>
      </c>
      <c r="N163" s="29">
        <v>6178578</v>
      </c>
      <c r="O163" s="32">
        <v>284</v>
      </c>
      <c r="P163" s="135"/>
      <c r="Q163" s="260">
        <v>290</v>
      </c>
      <c r="R163" s="32"/>
      <c r="S163" s="135">
        <v>11</v>
      </c>
      <c r="T163" s="260">
        <f t="shared" si="9"/>
        <v>11</v>
      </c>
      <c r="U163" s="30"/>
      <c r="V163" s="31">
        <v>347</v>
      </c>
      <c r="W163" s="31">
        <f t="shared" si="10"/>
        <v>347</v>
      </c>
      <c r="X163" s="260">
        <f t="shared" si="7"/>
        <v>5</v>
      </c>
      <c r="Y163" s="323">
        <v>1.1679999999999999</v>
      </c>
      <c r="Z163" s="323">
        <v>114832</v>
      </c>
      <c r="AA163" s="323">
        <v>582</v>
      </c>
      <c r="AB163" s="151"/>
      <c r="AC163" s="155">
        <v>100</v>
      </c>
      <c r="AD163" s="254">
        <f t="shared" si="8"/>
        <v>1903.8459958932237</v>
      </c>
      <c r="AE163" s="152" t="s">
        <v>2708</v>
      </c>
      <c r="AF163" s="252" t="s">
        <v>2708</v>
      </c>
      <c r="AG163" s="242" t="s">
        <v>2708</v>
      </c>
      <c r="AH163" s="242" t="s">
        <v>2708</v>
      </c>
      <c r="AI163" s="243" t="s">
        <v>2708</v>
      </c>
      <c r="AJ163" s="244" t="s">
        <v>2708</v>
      </c>
      <c r="AK163" s="244" t="s">
        <v>2708</v>
      </c>
      <c r="AL163" s="244" t="s">
        <v>2708</v>
      </c>
      <c r="AM163" s="244" t="s">
        <v>2708</v>
      </c>
      <c r="AN163" s="245" t="s">
        <v>2708</v>
      </c>
      <c r="AO163" s="245" t="s">
        <v>2708</v>
      </c>
      <c r="AP163" s="274">
        <v>507</v>
      </c>
    </row>
    <row r="164" spans="1:42" x14ac:dyDescent="0.2">
      <c r="A164" s="269">
        <v>164</v>
      </c>
      <c r="B164" s="270" t="s">
        <v>1901</v>
      </c>
      <c r="C164" s="271" t="s">
        <v>2470</v>
      </c>
      <c r="D164" s="272" t="s">
        <v>2708</v>
      </c>
      <c r="E164" s="273" t="s">
        <v>2708</v>
      </c>
      <c r="F164" s="22" t="s">
        <v>743</v>
      </c>
      <c r="G164" s="23" t="s">
        <v>743</v>
      </c>
      <c r="H164" s="24" t="s">
        <v>743</v>
      </c>
      <c r="I164" s="24" t="s">
        <v>743</v>
      </c>
      <c r="J164" s="25" t="s">
        <v>743</v>
      </c>
      <c r="K164" s="26">
        <v>38295</v>
      </c>
      <c r="L164" s="27" t="s">
        <v>2709</v>
      </c>
      <c r="M164" s="28">
        <v>358998</v>
      </c>
      <c r="N164" s="29">
        <v>6178504</v>
      </c>
      <c r="O164" s="32">
        <v>289</v>
      </c>
      <c r="P164" s="135"/>
      <c r="Q164" s="260">
        <v>290</v>
      </c>
      <c r="R164" s="32"/>
      <c r="S164" s="135">
        <v>7</v>
      </c>
      <c r="T164" s="260">
        <f t="shared" si="9"/>
        <v>7</v>
      </c>
      <c r="U164" s="30"/>
      <c r="V164" s="31">
        <v>304</v>
      </c>
      <c r="W164" s="31">
        <f t="shared" si="10"/>
        <v>304</v>
      </c>
      <c r="X164" s="260">
        <f t="shared" si="7"/>
        <v>4</v>
      </c>
      <c r="Y164" s="323">
        <v>1.159</v>
      </c>
      <c r="Z164" s="323">
        <v>108593</v>
      </c>
      <c r="AA164" s="323">
        <v>444</v>
      </c>
      <c r="AB164" s="151"/>
      <c r="AC164" s="155">
        <v>100</v>
      </c>
      <c r="AD164" s="254">
        <f t="shared" si="8"/>
        <v>1903.8459958932237</v>
      </c>
      <c r="AE164" s="152" t="s">
        <v>2708</v>
      </c>
      <c r="AF164" s="252" t="s">
        <v>2708</v>
      </c>
      <c r="AG164" s="242" t="s">
        <v>2708</v>
      </c>
      <c r="AH164" s="242" t="s">
        <v>2708</v>
      </c>
      <c r="AI164" s="243" t="s">
        <v>2708</v>
      </c>
      <c r="AJ164" s="244" t="s">
        <v>2708</v>
      </c>
      <c r="AK164" s="244" t="s">
        <v>2708</v>
      </c>
      <c r="AL164" s="244" t="s">
        <v>2708</v>
      </c>
      <c r="AM164" s="244" t="s">
        <v>2708</v>
      </c>
      <c r="AN164" s="245" t="s">
        <v>2708</v>
      </c>
      <c r="AO164" s="245" t="s">
        <v>2708</v>
      </c>
      <c r="AP164" s="274">
        <v>509</v>
      </c>
    </row>
    <row r="165" spans="1:42" x14ac:dyDescent="0.2">
      <c r="A165" s="269">
        <v>165</v>
      </c>
      <c r="B165" s="270" t="s">
        <v>1901</v>
      </c>
      <c r="C165" s="271" t="s">
        <v>2248</v>
      </c>
      <c r="D165" s="272" t="s">
        <v>2708</v>
      </c>
      <c r="E165" s="273" t="s">
        <v>2708</v>
      </c>
      <c r="F165" s="22" t="s">
        <v>743</v>
      </c>
      <c r="G165" s="23" t="s">
        <v>743</v>
      </c>
      <c r="H165" s="24" t="s">
        <v>743</v>
      </c>
      <c r="I165" s="24" t="s">
        <v>743</v>
      </c>
      <c r="J165" s="25" t="s">
        <v>743</v>
      </c>
      <c r="K165" s="26">
        <v>38295</v>
      </c>
      <c r="L165" s="27" t="s">
        <v>2709</v>
      </c>
      <c r="M165" s="28">
        <v>358863</v>
      </c>
      <c r="N165" s="29">
        <v>6178639</v>
      </c>
      <c r="O165" s="32">
        <v>301</v>
      </c>
      <c r="P165" s="135"/>
      <c r="Q165" s="260">
        <v>295</v>
      </c>
      <c r="R165" s="32"/>
      <c r="S165" s="135">
        <v>11</v>
      </c>
      <c r="T165" s="260">
        <f t="shared" si="9"/>
        <v>11</v>
      </c>
      <c r="U165" s="30"/>
      <c r="V165" s="31">
        <v>200</v>
      </c>
      <c r="W165" s="31">
        <f t="shared" si="10"/>
        <v>200</v>
      </c>
      <c r="X165" s="260">
        <f t="shared" si="7"/>
        <v>1</v>
      </c>
      <c r="Y165" s="323">
        <v>0.65900000000000003</v>
      </c>
      <c r="Z165" s="323">
        <v>94177</v>
      </c>
      <c r="AA165" s="323">
        <v>954</v>
      </c>
      <c r="AB165" s="151"/>
      <c r="AC165" s="155">
        <v>1996</v>
      </c>
      <c r="AD165" s="254">
        <f t="shared" si="8"/>
        <v>7.8459958932237441</v>
      </c>
      <c r="AE165" s="152" t="s">
        <v>2708</v>
      </c>
      <c r="AF165" s="252" t="s">
        <v>2708</v>
      </c>
      <c r="AG165" s="242" t="s">
        <v>2708</v>
      </c>
      <c r="AH165" s="242" t="s">
        <v>2708</v>
      </c>
      <c r="AI165" s="243" t="s">
        <v>2708</v>
      </c>
      <c r="AJ165" s="244" t="s">
        <v>2708</v>
      </c>
      <c r="AK165" s="244" t="s">
        <v>2708</v>
      </c>
      <c r="AL165" s="244" t="s">
        <v>2708</v>
      </c>
      <c r="AM165" s="244" t="s">
        <v>2708</v>
      </c>
      <c r="AN165" s="245" t="s">
        <v>2708</v>
      </c>
      <c r="AO165" s="245" t="s">
        <v>2708</v>
      </c>
      <c r="AP165" s="274">
        <v>510</v>
      </c>
    </row>
    <row r="166" spans="1:42" x14ac:dyDescent="0.2">
      <c r="A166" s="269">
        <v>166</v>
      </c>
      <c r="B166" s="270" t="s">
        <v>1901</v>
      </c>
      <c r="C166" s="271" t="s">
        <v>2248</v>
      </c>
      <c r="D166" s="272" t="s">
        <v>2708</v>
      </c>
      <c r="E166" s="273" t="s">
        <v>2708</v>
      </c>
      <c r="F166" s="22" t="s">
        <v>743</v>
      </c>
      <c r="G166" s="23" t="s">
        <v>743</v>
      </c>
      <c r="H166" s="24" t="s">
        <v>743</v>
      </c>
      <c r="I166" s="24" t="s">
        <v>743</v>
      </c>
      <c r="J166" s="25" t="s">
        <v>743</v>
      </c>
      <c r="K166" s="26">
        <v>38295</v>
      </c>
      <c r="L166" s="27" t="s">
        <v>2709</v>
      </c>
      <c r="M166" s="28">
        <v>359185</v>
      </c>
      <c r="N166" s="29">
        <v>6178446</v>
      </c>
      <c r="O166" s="32">
        <v>306</v>
      </c>
      <c r="P166" s="135"/>
      <c r="Q166" s="260">
        <v>303</v>
      </c>
      <c r="R166" s="32"/>
      <c r="S166" s="135">
        <v>12</v>
      </c>
      <c r="T166" s="260">
        <f t="shared" si="9"/>
        <v>12</v>
      </c>
      <c r="U166" s="30"/>
      <c r="V166" s="31">
        <v>303</v>
      </c>
      <c r="W166" s="31">
        <f t="shared" si="10"/>
        <v>303</v>
      </c>
      <c r="X166" s="260">
        <f t="shared" si="7"/>
        <v>4</v>
      </c>
      <c r="Y166" s="323">
        <v>1.8080000000000001</v>
      </c>
      <c r="Z166" s="323">
        <v>110278</v>
      </c>
      <c r="AA166" s="323">
        <v>501</v>
      </c>
      <c r="AB166" s="151"/>
      <c r="AC166" s="155">
        <v>481</v>
      </c>
      <c r="AD166" s="254">
        <f t="shared" si="8"/>
        <v>1522.8459958932237</v>
      </c>
      <c r="AE166" s="152" t="s">
        <v>2708</v>
      </c>
      <c r="AF166" s="252" t="s">
        <v>2708</v>
      </c>
      <c r="AG166" s="242" t="s">
        <v>2708</v>
      </c>
      <c r="AH166" s="242" t="s">
        <v>2708</v>
      </c>
      <c r="AI166" s="243" t="s">
        <v>2708</v>
      </c>
      <c r="AJ166" s="244" t="s">
        <v>2708</v>
      </c>
      <c r="AK166" s="244" t="s">
        <v>2708</v>
      </c>
      <c r="AL166" s="244" t="s">
        <v>2708</v>
      </c>
      <c r="AM166" s="244" t="s">
        <v>2708</v>
      </c>
      <c r="AN166" s="245" t="s">
        <v>2708</v>
      </c>
      <c r="AO166" s="245" t="s">
        <v>2708</v>
      </c>
      <c r="AP166" s="274">
        <v>513</v>
      </c>
    </row>
    <row r="167" spans="1:42" x14ac:dyDescent="0.2">
      <c r="A167" s="269">
        <v>167</v>
      </c>
      <c r="B167" s="270" t="s">
        <v>1901</v>
      </c>
      <c r="C167" s="271" t="s">
        <v>2247</v>
      </c>
      <c r="D167" s="272" t="s">
        <v>2708</v>
      </c>
      <c r="E167" s="273" t="s">
        <v>2708</v>
      </c>
      <c r="F167" s="22" t="s">
        <v>743</v>
      </c>
      <c r="G167" s="23" t="s">
        <v>743</v>
      </c>
      <c r="H167" s="24" t="s">
        <v>743</v>
      </c>
      <c r="I167" s="24" t="s">
        <v>743</v>
      </c>
      <c r="J167" s="25" t="s">
        <v>743</v>
      </c>
      <c r="K167" s="26">
        <v>38295</v>
      </c>
      <c r="L167" s="27" t="s">
        <v>2709</v>
      </c>
      <c r="M167" s="28">
        <v>359381</v>
      </c>
      <c r="N167" s="29">
        <v>6178461</v>
      </c>
      <c r="O167" s="32">
        <v>339</v>
      </c>
      <c r="P167" s="135"/>
      <c r="Q167" s="260">
        <v>341</v>
      </c>
      <c r="R167" s="32"/>
      <c r="S167" s="135">
        <v>14</v>
      </c>
      <c r="T167" s="260">
        <f t="shared" si="9"/>
        <v>14</v>
      </c>
      <c r="U167" s="30"/>
      <c r="V167" s="31">
        <v>313</v>
      </c>
      <c r="W167" s="31">
        <f t="shared" si="10"/>
        <v>313</v>
      </c>
      <c r="X167" s="260">
        <f t="shared" si="7"/>
        <v>4</v>
      </c>
      <c r="Y167" s="323">
        <v>0.36799999999999999</v>
      </c>
      <c r="Z167" s="323">
        <v>114181</v>
      </c>
      <c r="AA167" s="323">
        <v>572</v>
      </c>
      <c r="AB167" s="151"/>
      <c r="AC167" s="155">
        <v>1996</v>
      </c>
      <c r="AD167" s="254">
        <f t="shared" si="8"/>
        <v>7.8459958932237441</v>
      </c>
      <c r="AE167" s="152" t="s">
        <v>2708</v>
      </c>
      <c r="AF167" s="252" t="s">
        <v>2708</v>
      </c>
      <c r="AG167" s="242" t="s">
        <v>2708</v>
      </c>
      <c r="AH167" s="242" t="s">
        <v>2708</v>
      </c>
      <c r="AI167" s="243" t="s">
        <v>2708</v>
      </c>
      <c r="AJ167" s="244" t="s">
        <v>2708</v>
      </c>
      <c r="AK167" s="244" t="s">
        <v>2708</v>
      </c>
      <c r="AL167" s="244" t="s">
        <v>2708</v>
      </c>
      <c r="AM167" s="244" t="s">
        <v>2708</v>
      </c>
      <c r="AN167" s="245" t="s">
        <v>2708</v>
      </c>
      <c r="AO167" s="245" t="s">
        <v>2708</v>
      </c>
      <c r="AP167" s="274">
        <v>527</v>
      </c>
    </row>
    <row r="168" spans="1:42" x14ac:dyDescent="0.2">
      <c r="A168" s="269">
        <v>168</v>
      </c>
      <c r="B168" s="270" t="s">
        <v>1901</v>
      </c>
      <c r="C168" s="271" t="s">
        <v>1251</v>
      </c>
      <c r="D168" s="272" t="s">
        <v>2708</v>
      </c>
      <c r="E168" s="273" t="s">
        <v>2708</v>
      </c>
      <c r="F168" s="22" t="s">
        <v>743</v>
      </c>
      <c r="G168" s="23" t="s">
        <v>743</v>
      </c>
      <c r="H168" s="24" t="s">
        <v>743</v>
      </c>
      <c r="I168" s="24" t="s">
        <v>743</v>
      </c>
      <c r="J168" s="25" t="s">
        <v>743</v>
      </c>
      <c r="K168" s="26">
        <v>38295</v>
      </c>
      <c r="L168" s="27" t="s">
        <v>2709</v>
      </c>
      <c r="M168" s="28">
        <v>359518</v>
      </c>
      <c r="N168" s="29">
        <v>6178467</v>
      </c>
      <c r="O168" s="32">
        <v>353</v>
      </c>
      <c r="P168" s="135"/>
      <c r="Q168" s="260">
        <v>361</v>
      </c>
      <c r="R168" s="32"/>
      <c r="S168" s="135">
        <v>23</v>
      </c>
      <c r="T168" s="260">
        <f t="shared" si="9"/>
        <v>23</v>
      </c>
      <c r="U168" s="30"/>
      <c r="V168" s="31">
        <v>169</v>
      </c>
      <c r="W168" s="31">
        <f t="shared" si="10"/>
        <v>169</v>
      </c>
      <c r="X168" s="260">
        <f t="shared" si="7"/>
        <v>1</v>
      </c>
      <c r="Y168" s="323">
        <v>0.442</v>
      </c>
      <c r="Z168" s="323">
        <v>121830</v>
      </c>
      <c r="AA168" s="323">
        <v>593</v>
      </c>
      <c r="AB168" s="151"/>
      <c r="AC168" s="155">
        <v>1996</v>
      </c>
      <c r="AD168" s="254">
        <f t="shared" si="8"/>
        <v>7.8459958932237441</v>
      </c>
      <c r="AE168" s="152" t="s">
        <v>2708</v>
      </c>
      <c r="AF168" s="252" t="s">
        <v>2708</v>
      </c>
      <c r="AG168" s="242" t="s">
        <v>2708</v>
      </c>
      <c r="AH168" s="242" t="s">
        <v>2708</v>
      </c>
      <c r="AI168" s="243" t="s">
        <v>2708</v>
      </c>
      <c r="AJ168" s="244" t="s">
        <v>2708</v>
      </c>
      <c r="AK168" s="244" t="s">
        <v>2708</v>
      </c>
      <c r="AL168" s="244" t="s">
        <v>2708</v>
      </c>
      <c r="AM168" s="244" t="s">
        <v>2708</v>
      </c>
      <c r="AN168" s="245" t="s">
        <v>2708</v>
      </c>
      <c r="AO168" s="245" t="s">
        <v>2708</v>
      </c>
      <c r="AP168" s="274">
        <v>543</v>
      </c>
    </row>
    <row r="169" spans="1:42" x14ac:dyDescent="0.2">
      <c r="A169" s="269">
        <v>169</v>
      </c>
      <c r="B169" s="270" t="s">
        <v>1901</v>
      </c>
      <c r="C169" s="271" t="s">
        <v>1252</v>
      </c>
      <c r="D169" s="272" t="s">
        <v>2708</v>
      </c>
      <c r="E169" s="273" t="s">
        <v>2708</v>
      </c>
      <c r="F169" s="22" t="s">
        <v>743</v>
      </c>
      <c r="G169" s="23" t="s">
        <v>743</v>
      </c>
      <c r="H169" s="24" t="s">
        <v>743</v>
      </c>
      <c r="I169" s="24" t="s">
        <v>743</v>
      </c>
      <c r="J169" s="25" t="s">
        <v>743</v>
      </c>
      <c r="K169" s="26">
        <v>38295</v>
      </c>
      <c r="L169" s="27" t="s">
        <v>2709</v>
      </c>
      <c r="M169" s="28">
        <v>359509</v>
      </c>
      <c r="N169" s="29">
        <v>6178434</v>
      </c>
      <c r="O169" s="32">
        <v>370</v>
      </c>
      <c r="P169" s="135"/>
      <c r="Q169" s="260">
        <v>372</v>
      </c>
      <c r="R169" s="32"/>
      <c r="S169" s="135">
        <v>12</v>
      </c>
      <c r="T169" s="260">
        <f t="shared" si="9"/>
        <v>12</v>
      </c>
      <c r="U169" s="30"/>
      <c r="V169" s="31">
        <v>349</v>
      </c>
      <c r="W169" s="31">
        <f t="shared" si="10"/>
        <v>349</v>
      </c>
      <c r="X169" s="260">
        <f t="shared" si="7"/>
        <v>6</v>
      </c>
      <c r="Y169" s="323">
        <v>0.11799999999999999</v>
      </c>
      <c r="Z169" s="323">
        <v>118639</v>
      </c>
      <c r="AA169" s="323">
        <v>1180</v>
      </c>
      <c r="AB169" s="151"/>
      <c r="AC169" s="155">
        <v>1996</v>
      </c>
      <c r="AD169" s="254">
        <f t="shared" si="8"/>
        <v>7.8459958932237441</v>
      </c>
      <c r="AE169" s="152" t="s">
        <v>2708</v>
      </c>
      <c r="AF169" s="252" t="s">
        <v>2708</v>
      </c>
      <c r="AG169" s="242" t="s">
        <v>2708</v>
      </c>
      <c r="AH169" s="242" t="s">
        <v>2708</v>
      </c>
      <c r="AI169" s="243" t="s">
        <v>2708</v>
      </c>
      <c r="AJ169" s="244" t="s">
        <v>2708</v>
      </c>
      <c r="AK169" s="244" t="s">
        <v>2708</v>
      </c>
      <c r="AL169" s="244" t="s">
        <v>2708</v>
      </c>
      <c r="AM169" s="244" t="s">
        <v>2708</v>
      </c>
      <c r="AN169" s="245" t="s">
        <v>2708</v>
      </c>
      <c r="AO169" s="245" t="s">
        <v>2708</v>
      </c>
      <c r="AP169" s="274">
        <v>545</v>
      </c>
    </row>
    <row r="170" spans="1:42" x14ac:dyDescent="0.2">
      <c r="A170" s="269">
        <v>170</v>
      </c>
      <c r="B170" s="270" t="s">
        <v>1901</v>
      </c>
      <c r="C170" s="271" t="s">
        <v>2562</v>
      </c>
      <c r="D170" s="272" t="s">
        <v>2708</v>
      </c>
      <c r="E170" s="273" t="s">
        <v>2708</v>
      </c>
      <c r="F170" s="22" t="s">
        <v>743</v>
      </c>
      <c r="G170" s="23" t="s">
        <v>743</v>
      </c>
      <c r="H170" s="24" t="s">
        <v>743</v>
      </c>
      <c r="I170" s="24" t="s">
        <v>743</v>
      </c>
      <c r="J170" s="25" t="s">
        <v>743</v>
      </c>
      <c r="K170" s="26">
        <v>38295</v>
      </c>
      <c r="L170" s="27" t="s">
        <v>2709</v>
      </c>
      <c r="M170" s="28">
        <v>359468</v>
      </c>
      <c r="N170" s="29">
        <v>6178146</v>
      </c>
      <c r="O170" s="32">
        <v>366</v>
      </c>
      <c r="P170" s="135"/>
      <c r="Q170" s="260">
        <v>344</v>
      </c>
      <c r="R170" s="32"/>
      <c r="S170" s="135">
        <v>5</v>
      </c>
      <c r="T170" s="260">
        <f t="shared" si="9"/>
        <v>5</v>
      </c>
      <c r="U170" s="30"/>
      <c r="V170" s="31">
        <v>245</v>
      </c>
      <c r="W170" s="31">
        <f t="shared" si="10"/>
        <v>245</v>
      </c>
      <c r="X170" s="260">
        <f t="shared" si="7"/>
        <v>2</v>
      </c>
      <c r="Y170" s="323">
        <v>0.17100000000000001</v>
      </c>
      <c r="Z170" s="323">
        <v>105390</v>
      </c>
      <c r="AA170" s="323">
        <v>1535</v>
      </c>
      <c r="AB170" s="151"/>
      <c r="AC170" s="155">
        <v>2001</v>
      </c>
      <c r="AD170" s="254">
        <f t="shared" si="8"/>
        <v>2.8459958932237441</v>
      </c>
      <c r="AE170" s="152" t="s">
        <v>2708</v>
      </c>
      <c r="AF170" s="252" t="s">
        <v>2708</v>
      </c>
      <c r="AG170" s="242" t="s">
        <v>2708</v>
      </c>
      <c r="AH170" s="242" t="s">
        <v>2708</v>
      </c>
      <c r="AI170" s="243" t="s">
        <v>2708</v>
      </c>
      <c r="AJ170" s="244" t="s">
        <v>2708</v>
      </c>
      <c r="AK170" s="244" t="s">
        <v>2708</v>
      </c>
      <c r="AL170" s="244" t="s">
        <v>2708</v>
      </c>
      <c r="AM170" s="244" t="s">
        <v>2708</v>
      </c>
      <c r="AN170" s="245" t="s">
        <v>2708</v>
      </c>
      <c r="AO170" s="245" t="s">
        <v>2708</v>
      </c>
      <c r="AP170" s="274">
        <v>548</v>
      </c>
    </row>
    <row r="171" spans="1:42" x14ac:dyDescent="0.2">
      <c r="A171" s="269">
        <v>171</v>
      </c>
      <c r="B171" s="270" t="s">
        <v>1901</v>
      </c>
      <c r="C171" s="271" t="s">
        <v>1083</v>
      </c>
      <c r="D171" s="272" t="s">
        <v>2708</v>
      </c>
      <c r="E171" s="273" t="s">
        <v>2708</v>
      </c>
      <c r="F171" s="22" t="s">
        <v>743</v>
      </c>
      <c r="G171" s="23" t="s">
        <v>743</v>
      </c>
      <c r="H171" s="24" t="s">
        <v>743</v>
      </c>
      <c r="I171" s="24" t="s">
        <v>743</v>
      </c>
      <c r="J171" s="25" t="s">
        <v>743</v>
      </c>
      <c r="K171" s="26">
        <v>38295</v>
      </c>
      <c r="L171" s="27" t="s">
        <v>2709</v>
      </c>
      <c r="M171" s="28">
        <v>359426</v>
      </c>
      <c r="N171" s="29">
        <v>6178079</v>
      </c>
      <c r="O171" s="32">
        <v>340</v>
      </c>
      <c r="P171" s="135"/>
      <c r="Q171" s="260">
        <v>341</v>
      </c>
      <c r="R171" s="32"/>
      <c r="S171" s="135">
        <v>2</v>
      </c>
      <c r="T171" s="260">
        <f t="shared" si="9"/>
        <v>2</v>
      </c>
      <c r="U171" s="30"/>
      <c r="V171" s="31">
        <v>147</v>
      </c>
      <c r="W171" s="31">
        <f t="shared" si="10"/>
        <v>147</v>
      </c>
      <c r="X171" s="260">
        <f t="shared" si="7"/>
        <v>2</v>
      </c>
      <c r="Y171" s="323">
        <v>0.35</v>
      </c>
      <c r="Z171" s="323">
        <v>106325</v>
      </c>
      <c r="AA171" s="323">
        <v>1556</v>
      </c>
      <c r="AB171" s="151"/>
      <c r="AC171" s="155">
        <v>2001</v>
      </c>
      <c r="AD171" s="254">
        <f t="shared" si="8"/>
        <v>2.8459958932237441</v>
      </c>
      <c r="AE171" s="152" t="s">
        <v>2708</v>
      </c>
      <c r="AF171" s="252" t="s">
        <v>2708</v>
      </c>
      <c r="AG171" s="242" t="s">
        <v>2708</v>
      </c>
      <c r="AH171" s="242" t="s">
        <v>2708</v>
      </c>
      <c r="AI171" s="243" t="s">
        <v>2708</v>
      </c>
      <c r="AJ171" s="244" t="s">
        <v>2708</v>
      </c>
      <c r="AK171" s="244" t="s">
        <v>2708</v>
      </c>
      <c r="AL171" s="244" t="s">
        <v>2708</v>
      </c>
      <c r="AM171" s="244" t="s">
        <v>2708</v>
      </c>
      <c r="AN171" s="245" t="s">
        <v>2708</v>
      </c>
      <c r="AO171" s="245" t="s">
        <v>2708</v>
      </c>
      <c r="AP171" s="274">
        <v>550</v>
      </c>
    </row>
    <row r="172" spans="1:42" x14ac:dyDescent="0.2">
      <c r="A172" s="269">
        <v>172</v>
      </c>
      <c r="B172" s="270" t="s">
        <v>1901</v>
      </c>
      <c r="C172" s="271" t="s">
        <v>2562</v>
      </c>
      <c r="D172" s="272" t="s">
        <v>2708</v>
      </c>
      <c r="E172" s="273" t="s">
        <v>2708</v>
      </c>
      <c r="F172" s="22" t="s">
        <v>743</v>
      </c>
      <c r="G172" s="23" t="s">
        <v>743</v>
      </c>
      <c r="H172" s="24" t="s">
        <v>743</v>
      </c>
      <c r="I172" s="24" t="s">
        <v>743</v>
      </c>
      <c r="J172" s="25" t="s">
        <v>743</v>
      </c>
      <c r="K172" s="26">
        <v>38295</v>
      </c>
      <c r="L172" s="27" t="s">
        <v>2709</v>
      </c>
      <c r="M172" s="28">
        <v>358836</v>
      </c>
      <c r="N172" s="29">
        <v>6178193</v>
      </c>
      <c r="O172" s="32">
        <v>342</v>
      </c>
      <c r="P172" s="135"/>
      <c r="Q172" s="260">
        <v>344</v>
      </c>
      <c r="R172" s="32"/>
      <c r="S172" s="135">
        <v>8</v>
      </c>
      <c r="T172" s="260">
        <f t="shared" si="9"/>
        <v>8</v>
      </c>
      <c r="U172" s="30"/>
      <c r="V172" s="31">
        <v>292</v>
      </c>
      <c r="W172" s="31">
        <f t="shared" si="10"/>
        <v>292</v>
      </c>
      <c r="X172" s="260">
        <f t="shared" si="7"/>
        <v>3</v>
      </c>
      <c r="Y172" s="323">
        <v>0.85399999999999998</v>
      </c>
      <c r="Z172" s="323">
        <v>110071</v>
      </c>
      <c r="AA172" s="323">
        <v>796</v>
      </c>
      <c r="AB172" s="151"/>
      <c r="AC172" s="155">
        <v>2001</v>
      </c>
      <c r="AD172" s="254">
        <f t="shared" si="8"/>
        <v>2.8459958932237441</v>
      </c>
      <c r="AE172" s="152" t="s">
        <v>2708</v>
      </c>
      <c r="AF172" s="252" t="s">
        <v>2708</v>
      </c>
      <c r="AG172" s="242" t="s">
        <v>2708</v>
      </c>
      <c r="AH172" s="242" t="s">
        <v>2708</v>
      </c>
      <c r="AI172" s="243" t="s">
        <v>2708</v>
      </c>
      <c r="AJ172" s="244" t="s">
        <v>2708</v>
      </c>
      <c r="AK172" s="244" t="s">
        <v>2708</v>
      </c>
      <c r="AL172" s="244" t="s">
        <v>2708</v>
      </c>
      <c r="AM172" s="244" t="s">
        <v>2708</v>
      </c>
      <c r="AN172" s="245" t="s">
        <v>2708</v>
      </c>
      <c r="AO172" s="245" t="s">
        <v>2708</v>
      </c>
      <c r="AP172" s="274">
        <v>576</v>
      </c>
    </row>
    <row r="173" spans="1:42" x14ac:dyDescent="0.2">
      <c r="A173" s="269">
        <v>173</v>
      </c>
      <c r="B173" s="270" t="s">
        <v>1901</v>
      </c>
      <c r="C173" s="271" t="s">
        <v>2248</v>
      </c>
      <c r="D173" s="272" t="s">
        <v>2708</v>
      </c>
      <c r="E173" s="273" t="s">
        <v>2708</v>
      </c>
      <c r="F173" s="22" t="s">
        <v>743</v>
      </c>
      <c r="G173" s="23" t="s">
        <v>743</v>
      </c>
      <c r="H173" s="24" t="s">
        <v>743</v>
      </c>
      <c r="I173" s="24" t="s">
        <v>743</v>
      </c>
      <c r="J173" s="25" t="s">
        <v>743</v>
      </c>
      <c r="K173" s="26">
        <v>38295</v>
      </c>
      <c r="L173" s="27" t="s">
        <v>2709</v>
      </c>
      <c r="M173" s="28">
        <v>358740</v>
      </c>
      <c r="N173" s="29">
        <v>6178129</v>
      </c>
      <c r="O173" s="32">
        <v>328</v>
      </c>
      <c r="P173" s="135"/>
      <c r="Q173" s="260">
        <v>330</v>
      </c>
      <c r="R173" s="32"/>
      <c r="S173" s="135">
        <v>11</v>
      </c>
      <c r="T173" s="260">
        <f t="shared" si="9"/>
        <v>11</v>
      </c>
      <c r="U173" s="30"/>
      <c r="V173" s="31">
        <v>294</v>
      </c>
      <c r="W173" s="31">
        <f t="shared" si="10"/>
        <v>294</v>
      </c>
      <c r="X173" s="260">
        <f t="shared" si="7"/>
        <v>4</v>
      </c>
      <c r="Y173" s="323">
        <v>0.50900000000000001</v>
      </c>
      <c r="Z173" s="323">
        <v>110188</v>
      </c>
      <c r="AA173" s="323">
        <v>609</v>
      </c>
      <c r="AB173" s="151"/>
      <c r="AC173" s="155">
        <v>1997</v>
      </c>
      <c r="AD173" s="254">
        <f t="shared" si="8"/>
        <v>6.8459958932237441</v>
      </c>
      <c r="AE173" s="152" t="s">
        <v>2708</v>
      </c>
      <c r="AF173" s="252" t="s">
        <v>2708</v>
      </c>
      <c r="AG173" s="242" t="s">
        <v>2708</v>
      </c>
      <c r="AH173" s="242" t="s">
        <v>2708</v>
      </c>
      <c r="AI173" s="243" t="s">
        <v>2708</v>
      </c>
      <c r="AJ173" s="244" t="s">
        <v>2708</v>
      </c>
      <c r="AK173" s="244" t="s">
        <v>2708</v>
      </c>
      <c r="AL173" s="244" t="s">
        <v>2708</v>
      </c>
      <c r="AM173" s="244" t="s">
        <v>2708</v>
      </c>
      <c r="AN173" s="245" t="s">
        <v>2708</v>
      </c>
      <c r="AO173" s="245" t="s">
        <v>2708</v>
      </c>
      <c r="AP173" s="274">
        <v>577</v>
      </c>
    </row>
    <row r="174" spans="1:42" x14ac:dyDescent="0.2">
      <c r="A174" s="269">
        <v>174</v>
      </c>
      <c r="B174" s="270" t="s">
        <v>1901</v>
      </c>
      <c r="C174" s="271" t="s">
        <v>2618</v>
      </c>
      <c r="D174" s="272" t="s">
        <v>2708</v>
      </c>
      <c r="E174" s="273" t="s">
        <v>2708</v>
      </c>
      <c r="F174" s="22" t="s">
        <v>743</v>
      </c>
      <c r="G174" s="23" t="s">
        <v>743</v>
      </c>
      <c r="H174" s="24" t="s">
        <v>743</v>
      </c>
      <c r="I174" s="24" t="s">
        <v>743</v>
      </c>
      <c r="J174" s="25" t="s">
        <v>743</v>
      </c>
      <c r="K174" s="26">
        <v>38295</v>
      </c>
      <c r="L174" s="27" t="s">
        <v>2709</v>
      </c>
      <c r="M174" s="28">
        <v>358607</v>
      </c>
      <c r="N174" s="29">
        <v>6178106</v>
      </c>
      <c r="O174" s="32">
        <v>324</v>
      </c>
      <c r="P174" s="135"/>
      <c r="Q174" s="260">
        <v>327</v>
      </c>
      <c r="R174" s="32"/>
      <c r="S174" s="135">
        <v>9</v>
      </c>
      <c r="T174" s="260">
        <f t="shared" si="9"/>
        <v>9</v>
      </c>
      <c r="U174" s="30"/>
      <c r="V174" s="31">
        <v>10</v>
      </c>
      <c r="W174" s="31">
        <f t="shared" si="10"/>
        <v>10</v>
      </c>
      <c r="X174" s="260">
        <f t="shared" si="7"/>
        <v>6</v>
      </c>
      <c r="Y174" s="323">
        <v>0.14299999999999999</v>
      </c>
      <c r="Z174" s="323">
        <v>114446</v>
      </c>
      <c r="AA174" s="323">
        <v>849</v>
      </c>
      <c r="AB174" s="151"/>
      <c r="AC174" s="155">
        <v>1996</v>
      </c>
      <c r="AD174" s="254">
        <f t="shared" si="8"/>
        <v>7.8459958932237441</v>
      </c>
      <c r="AE174" s="152" t="s">
        <v>2708</v>
      </c>
      <c r="AF174" s="252" t="s">
        <v>2708</v>
      </c>
      <c r="AG174" s="242" t="s">
        <v>2708</v>
      </c>
      <c r="AH174" s="242" t="s">
        <v>2708</v>
      </c>
      <c r="AI174" s="243" t="s">
        <v>2708</v>
      </c>
      <c r="AJ174" s="244" t="s">
        <v>2708</v>
      </c>
      <c r="AK174" s="244" t="s">
        <v>2708</v>
      </c>
      <c r="AL174" s="244" t="s">
        <v>2708</v>
      </c>
      <c r="AM174" s="244" t="s">
        <v>2708</v>
      </c>
      <c r="AN174" s="245" t="s">
        <v>2708</v>
      </c>
      <c r="AO174" s="245" t="s">
        <v>2708</v>
      </c>
      <c r="AP174" s="274">
        <v>581</v>
      </c>
    </row>
    <row r="175" spans="1:42" x14ac:dyDescent="0.2">
      <c r="A175" s="269">
        <v>175</v>
      </c>
      <c r="B175" s="270" t="s">
        <v>1901</v>
      </c>
      <c r="C175" s="271" t="s">
        <v>2617</v>
      </c>
      <c r="D175" s="272" t="s">
        <v>2708</v>
      </c>
      <c r="E175" s="273" t="s">
        <v>2708</v>
      </c>
      <c r="F175" s="22" t="s">
        <v>743</v>
      </c>
      <c r="G175" s="23" t="s">
        <v>743</v>
      </c>
      <c r="H175" s="24" t="s">
        <v>743</v>
      </c>
      <c r="I175" s="24" t="s">
        <v>743</v>
      </c>
      <c r="J175" s="25" t="s">
        <v>743</v>
      </c>
      <c r="K175" s="26">
        <v>38295</v>
      </c>
      <c r="L175" s="27" t="s">
        <v>2709</v>
      </c>
      <c r="M175" s="28">
        <v>358541</v>
      </c>
      <c r="N175" s="29">
        <v>6178188</v>
      </c>
      <c r="O175" s="32">
        <v>309</v>
      </c>
      <c r="P175" s="135"/>
      <c r="Q175" s="260">
        <v>314</v>
      </c>
      <c r="R175" s="32"/>
      <c r="S175" s="135">
        <v>8</v>
      </c>
      <c r="T175" s="260">
        <f t="shared" si="9"/>
        <v>8</v>
      </c>
      <c r="U175" s="30"/>
      <c r="V175" s="31">
        <v>326</v>
      </c>
      <c r="W175" s="31">
        <f t="shared" si="10"/>
        <v>326</v>
      </c>
      <c r="X175" s="260">
        <f t="shared" si="7"/>
        <v>4</v>
      </c>
      <c r="Y175" s="323">
        <v>1.143</v>
      </c>
      <c r="Z175" s="323">
        <v>112943</v>
      </c>
      <c r="AA175" s="323">
        <v>908</v>
      </c>
      <c r="AB175" s="151"/>
      <c r="AC175" s="155">
        <v>2001</v>
      </c>
      <c r="AD175" s="254">
        <f t="shared" si="8"/>
        <v>2.8459958932237441</v>
      </c>
      <c r="AE175" s="152" t="s">
        <v>2708</v>
      </c>
      <c r="AF175" s="252" t="s">
        <v>2708</v>
      </c>
      <c r="AG175" s="242" t="s">
        <v>2708</v>
      </c>
      <c r="AH175" s="242" t="s">
        <v>2708</v>
      </c>
      <c r="AI175" s="243" t="s">
        <v>2708</v>
      </c>
      <c r="AJ175" s="244" t="s">
        <v>2708</v>
      </c>
      <c r="AK175" s="244" t="s">
        <v>2708</v>
      </c>
      <c r="AL175" s="244" t="s">
        <v>2708</v>
      </c>
      <c r="AM175" s="244" t="s">
        <v>2708</v>
      </c>
      <c r="AN175" s="245" t="s">
        <v>2708</v>
      </c>
      <c r="AO175" s="245" t="s">
        <v>2708</v>
      </c>
      <c r="AP175" s="274">
        <v>585</v>
      </c>
    </row>
    <row r="176" spans="1:42" x14ac:dyDescent="0.2">
      <c r="A176" s="269">
        <v>176</v>
      </c>
      <c r="B176" s="270" t="s">
        <v>1901</v>
      </c>
      <c r="C176" s="271" t="s">
        <v>2618</v>
      </c>
      <c r="D176" s="272" t="s">
        <v>2708</v>
      </c>
      <c r="E176" s="273" t="s">
        <v>2708</v>
      </c>
      <c r="F176" s="22" t="s">
        <v>743</v>
      </c>
      <c r="G176" s="23" t="s">
        <v>743</v>
      </c>
      <c r="H176" s="24" t="s">
        <v>743</v>
      </c>
      <c r="I176" s="24" t="s">
        <v>743</v>
      </c>
      <c r="J176" s="25" t="s">
        <v>743</v>
      </c>
      <c r="K176" s="26">
        <v>38295</v>
      </c>
      <c r="L176" s="27" t="s">
        <v>2709</v>
      </c>
      <c r="M176" s="28">
        <v>358607</v>
      </c>
      <c r="N176" s="29">
        <v>6178204</v>
      </c>
      <c r="O176" s="32">
        <v>314</v>
      </c>
      <c r="P176" s="135"/>
      <c r="Q176" s="260">
        <v>317</v>
      </c>
      <c r="R176" s="32"/>
      <c r="S176" s="135">
        <v>6</v>
      </c>
      <c r="T176" s="260">
        <f t="shared" si="9"/>
        <v>6</v>
      </c>
      <c r="U176" s="30"/>
      <c r="V176" s="31">
        <v>330</v>
      </c>
      <c r="W176" s="31">
        <f t="shared" si="10"/>
        <v>330</v>
      </c>
      <c r="X176" s="260">
        <f t="shared" si="7"/>
        <v>5</v>
      </c>
      <c r="Y176" s="323">
        <v>0.69599999999999995</v>
      </c>
      <c r="Z176" s="323">
        <v>112314</v>
      </c>
      <c r="AA176" s="323">
        <v>896</v>
      </c>
      <c r="AB176" s="151"/>
      <c r="AC176" s="155">
        <v>1996</v>
      </c>
      <c r="AD176" s="254">
        <f t="shared" si="8"/>
        <v>7.8459958932237441</v>
      </c>
      <c r="AE176" s="152" t="s">
        <v>2708</v>
      </c>
      <c r="AF176" s="252" t="s">
        <v>2708</v>
      </c>
      <c r="AG176" s="242" t="s">
        <v>2708</v>
      </c>
      <c r="AH176" s="242" t="s">
        <v>2708</v>
      </c>
      <c r="AI176" s="243" t="s">
        <v>2708</v>
      </c>
      <c r="AJ176" s="244" t="s">
        <v>2708</v>
      </c>
      <c r="AK176" s="244" t="s">
        <v>2708</v>
      </c>
      <c r="AL176" s="244" t="s">
        <v>2708</v>
      </c>
      <c r="AM176" s="244" t="s">
        <v>2708</v>
      </c>
      <c r="AN176" s="245" t="s">
        <v>2708</v>
      </c>
      <c r="AO176" s="245" t="s">
        <v>2708</v>
      </c>
      <c r="AP176" s="274">
        <v>589</v>
      </c>
    </row>
    <row r="177" spans="1:42" x14ac:dyDescent="0.2">
      <c r="A177" s="269">
        <v>177</v>
      </c>
      <c r="B177" s="270" t="s">
        <v>1901</v>
      </c>
      <c r="C177" s="271" t="s">
        <v>2668</v>
      </c>
      <c r="D177" s="272" t="s">
        <v>2708</v>
      </c>
      <c r="E177" s="273" t="s">
        <v>2708</v>
      </c>
      <c r="F177" s="22" t="s">
        <v>743</v>
      </c>
      <c r="G177" s="23" t="s">
        <v>743</v>
      </c>
      <c r="H177" s="24" t="s">
        <v>743</v>
      </c>
      <c r="I177" s="24" t="s">
        <v>743</v>
      </c>
      <c r="J177" s="25" t="s">
        <v>743</v>
      </c>
      <c r="K177" s="26">
        <v>38295</v>
      </c>
      <c r="L177" s="27" t="s">
        <v>2709</v>
      </c>
      <c r="M177" s="28">
        <v>358013</v>
      </c>
      <c r="N177" s="29">
        <v>6178197</v>
      </c>
      <c r="O177" s="32">
        <v>279</v>
      </c>
      <c r="P177" s="135"/>
      <c r="Q177" s="260">
        <v>282</v>
      </c>
      <c r="R177" s="32"/>
      <c r="S177" s="135">
        <v>7</v>
      </c>
      <c r="T177" s="260">
        <f t="shared" si="9"/>
        <v>7</v>
      </c>
      <c r="U177" s="30"/>
      <c r="V177" s="31">
        <v>318</v>
      </c>
      <c r="W177" s="31">
        <f t="shared" si="10"/>
        <v>318</v>
      </c>
      <c r="X177" s="260">
        <f t="shared" ref="X177:X198" si="11">IF(OR(W177&lt;12,W177&gt;348),6,IF(OR(W177&lt;34,W177&gt;326),5,IF(OR(W177&lt;68,W177&gt;292),4,IF(OR(W177&lt;113,W177&gt;247),3,IF(OR(W177&lt;158,W177&gt;212),2,IF(OR(W177&lt;179,W177&gt;191),1,0))))))</f>
        <v>4</v>
      </c>
      <c r="Y177" s="323">
        <v>1.0860000000000001</v>
      </c>
      <c r="Z177" s="323">
        <v>113502</v>
      </c>
      <c r="AA177" s="323">
        <v>896</v>
      </c>
      <c r="AB177" s="151"/>
      <c r="AC177" s="155">
        <v>1996</v>
      </c>
      <c r="AD177" s="254">
        <f t="shared" si="8"/>
        <v>7.8459958932237441</v>
      </c>
      <c r="AE177" s="152" t="s">
        <v>2708</v>
      </c>
      <c r="AF177" s="252" t="s">
        <v>2708</v>
      </c>
      <c r="AG177" s="242" t="s">
        <v>2708</v>
      </c>
      <c r="AH177" s="242" t="s">
        <v>2708</v>
      </c>
      <c r="AI177" s="243" t="s">
        <v>2708</v>
      </c>
      <c r="AJ177" s="244" t="s">
        <v>2708</v>
      </c>
      <c r="AK177" s="244" t="s">
        <v>2708</v>
      </c>
      <c r="AL177" s="244" t="s">
        <v>2708</v>
      </c>
      <c r="AM177" s="244" t="s">
        <v>2708</v>
      </c>
      <c r="AN177" s="245" t="s">
        <v>2708</v>
      </c>
      <c r="AO177" s="245" t="s">
        <v>2708</v>
      </c>
      <c r="AP177" s="274">
        <v>603</v>
      </c>
    </row>
    <row r="178" spans="1:42" x14ac:dyDescent="0.2">
      <c r="A178" s="269">
        <v>178</v>
      </c>
      <c r="B178" s="270" t="s">
        <v>1901</v>
      </c>
      <c r="C178" s="271" t="s">
        <v>2620</v>
      </c>
      <c r="D178" s="272" t="s">
        <v>2708</v>
      </c>
      <c r="E178" s="273" t="s">
        <v>2708</v>
      </c>
      <c r="F178" s="22" t="s">
        <v>743</v>
      </c>
      <c r="G178" s="23" t="s">
        <v>743</v>
      </c>
      <c r="H178" s="24" t="s">
        <v>743</v>
      </c>
      <c r="I178" s="24" t="s">
        <v>743</v>
      </c>
      <c r="J178" s="25" t="s">
        <v>743</v>
      </c>
      <c r="K178" s="26">
        <v>38295</v>
      </c>
      <c r="L178" s="27" t="s">
        <v>2709</v>
      </c>
      <c r="M178" s="28">
        <v>359057</v>
      </c>
      <c r="N178" s="29">
        <v>6178331</v>
      </c>
      <c r="O178" s="32">
        <v>324</v>
      </c>
      <c r="P178" s="135"/>
      <c r="Q178" s="260">
        <v>324</v>
      </c>
      <c r="R178" s="32"/>
      <c r="S178" s="135">
        <v>3</v>
      </c>
      <c r="T178" s="260">
        <f t="shared" si="9"/>
        <v>3</v>
      </c>
      <c r="U178" s="30"/>
      <c r="V178" s="31">
        <v>328</v>
      </c>
      <c r="W178" s="31">
        <f t="shared" si="10"/>
        <v>328</v>
      </c>
      <c r="X178" s="260">
        <f t="shared" si="11"/>
        <v>5</v>
      </c>
      <c r="Y178" s="323">
        <v>2E-3</v>
      </c>
      <c r="Z178" s="323">
        <v>109949</v>
      </c>
      <c r="AA178" s="323">
        <v>1157</v>
      </c>
      <c r="AB178" s="151"/>
      <c r="AC178" s="155">
        <v>1996</v>
      </c>
      <c r="AD178" s="254">
        <f t="shared" si="8"/>
        <v>7.8459958932237441</v>
      </c>
      <c r="AE178" s="152" t="s">
        <v>2708</v>
      </c>
      <c r="AF178" s="252" t="s">
        <v>2708</v>
      </c>
      <c r="AG178" s="242" t="s">
        <v>2708</v>
      </c>
      <c r="AH178" s="242" t="s">
        <v>2708</v>
      </c>
      <c r="AI178" s="243" t="s">
        <v>2708</v>
      </c>
      <c r="AJ178" s="244" t="s">
        <v>2708</v>
      </c>
      <c r="AK178" s="244" t="s">
        <v>2708</v>
      </c>
      <c r="AL178" s="244" t="s">
        <v>2708</v>
      </c>
      <c r="AM178" s="244" t="s">
        <v>2708</v>
      </c>
      <c r="AN178" s="245" t="s">
        <v>2708</v>
      </c>
      <c r="AO178" s="245" t="s">
        <v>2708</v>
      </c>
      <c r="AP178" s="274">
        <v>613</v>
      </c>
    </row>
    <row r="179" spans="1:42" x14ac:dyDescent="0.2">
      <c r="A179" s="269">
        <v>179</v>
      </c>
      <c r="B179" s="270" t="s">
        <v>1901</v>
      </c>
      <c r="C179" s="271" t="s">
        <v>2668</v>
      </c>
      <c r="D179" s="272" t="s">
        <v>2708</v>
      </c>
      <c r="E179" s="273" t="s">
        <v>2708</v>
      </c>
      <c r="F179" s="22" t="s">
        <v>743</v>
      </c>
      <c r="G179" s="23" t="s">
        <v>743</v>
      </c>
      <c r="H179" s="24" t="s">
        <v>743</v>
      </c>
      <c r="I179" s="24" t="s">
        <v>743</v>
      </c>
      <c r="J179" s="25" t="s">
        <v>743</v>
      </c>
      <c r="K179" s="26">
        <v>38295</v>
      </c>
      <c r="L179" s="27" t="s">
        <v>2709</v>
      </c>
      <c r="M179" s="28">
        <v>358685</v>
      </c>
      <c r="N179" s="29">
        <v>6178442</v>
      </c>
      <c r="O179" s="32">
        <v>304</v>
      </c>
      <c r="P179" s="135"/>
      <c r="Q179" s="260">
        <v>308</v>
      </c>
      <c r="R179" s="32"/>
      <c r="S179" s="135">
        <v>7</v>
      </c>
      <c r="T179" s="260">
        <f t="shared" si="9"/>
        <v>7</v>
      </c>
      <c r="U179" s="30"/>
      <c r="V179" s="31">
        <v>266</v>
      </c>
      <c r="W179" s="31">
        <f t="shared" si="10"/>
        <v>266</v>
      </c>
      <c r="X179" s="260">
        <f t="shared" si="11"/>
        <v>3</v>
      </c>
      <c r="Y179" s="323">
        <v>0.54300000000000004</v>
      </c>
      <c r="Z179" s="323">
        <v>106421</v>
      </c>
      <c r="AA179" s="323">
        <v>885</v>
      </c>
      <c r="AB179" s="151"/>
      <c r="AC179" s="155">
        <v>1996</v>
      </c>
      <c r="AD179" s="254">
        <f t="shared" si="8"/>
        <v>7.8459958932237441</v>
      </c>
      <c r="AE179" s="152" t="s">
        <v>2708</v>
      </c>
      <c r="AF179" s="252" t="s">
        <v>2708</v>
      </c>
      <c r="AG179" s="242" t="s">
        <v>2708</v>
      </c>
      <c r="AH179" s="242" t="s">
        <v>2708</v>
      </c>
      <c r="AI179" s="243" t="s">
        <v>2708</v>
      </c>
      <c r="AJ179" s="244" t="s">
        <v>2708</v>
      </c>
      <c r="AK179" s="244" t="s">
        <v>2708</v>
      </c>
      <c r="AL179" s="244" t="s">
        <v>2708</v>
      </c>
      <c r="AM179" s="244" t="s">
        <v>2708</v>
      </c>
      <c r="AN179" s="245" t="s">
        <v>2708</v>
      </c>
      <c r="AO179" s="245" t="s">
        <v>2708</v>
      </c>
      <c r="AP179" s="274">
        <v>616</v>
      </c>
    </row>
    <row r="180" spans="1:42" x14ac:dyDescent="0.2">
      <c r="A180" s="269">
        <v>180</v>
      </c>
      <c r="B180" s="270" t="s">
        <v>1901</v>
      </c>
      <c r="C180" s="271" t="s">
        <v>2669</v>
      </c>
      <c r="D180" s="272" t="s">
        <v>2708</v>
      </c>
      <c r="E180" s="273" t="s">
        <v>2708</v>
      </c>
      <c r="F180" s="22" t="s">
        <v>743</v>
      </c>
      <c r="G180" s="23" t="s">
        <v>743</v>
      </c>
      <c r="H180" s="24" t="s">
        <v>743</v>
      </c>
      <c r="I180" s="24" t="s">
        <v>743</v>
      </c>
      <c r="J180" s="25" t="s">
        <v>743</v>
      </c>
      <c r="K180" s="26">
        <v>38295</v>
      </c>
      <c r="L180" s="27" t="s">
        <v>2709</v>
      </c>
      <c r="M180" s="28">
        <v>358335</v>
      </c>
      <c r="N180" s="29">
        <v>6178475</v>
      </c>
      <c r="O180" s="32">
        <v>276</v>
      </c>
      <c r="P180" s="135"/>
      <c r="Q180" s="260">
        <v>284</v>
      </c>
      <c r="R180" s="32"/>
      <c r="S180" s="135">
        <v>4</v>
      </c>
      <c r="T180" s="260">
        <f t="shared" si="9"/>
        <v>4</v>
      </c>
      <c r="U180" s="30"/>
      <c r="V180" s="31">
        <v>276</v>
      </c>
      <c r="W180" s="31">
        <f t="shared" si="10"/>
        <v>276</v>
      </c>
      <c r="X180" s="260">
        <f t="shared" si="11"/>
        <v>3</v>
      </c>
      <c r="Y180" s="323">
        <v>0.83099999999999996</v>
      </c>
      <c r="Z180" s="323">
        <v>107632</v>
      </c>
      <c r="AA180" s="323">
        <v>1083</v>
      </c>
      <c r="AB180" s="151"/>
      <c r="AC180" s="155">
        <v>1996</v>
      </c>
      <c r="AD180" s="254">
        <f t="shared" si="8"/>
        <v>7.8459958932237441</v>
      </c>
      <c r="AE180" s="152" t="s">
        <v>2708</v>
      </c>
      <c r="AF180" s="252" t="s">
        <v>2708</v>
      </c>
      <c r="AG180" s="242" t="s">
        <v>2708</v>
      </c>
      <c r="AH180" s="242" t="s">
        <v>2708</v>
      </c>
      <c r="AI180" s="243" t="s">
        <v>2708</v>
      </c>
      <c r="AJ180" s="244" t="s">
        <v>2708</v>
      </c>
      <c r="AK180" s="244" t="s">
        <v>2708</v>
      </c>
      <c r="AL180" s="244" t="s">
        <v>2708</v>
      </c>
      <c r="AM180" s="244" t="s">
        <v>2708</v>
      </c>
      <c r="AN180" s="245" t="s">
        <v>2708</v>
      </c>
      <c r="AO180" s="245" t="s">
        <v>2708</v>
      </c>
      <c r="AP180" s="274">
        <v>618</v>
      </c>
    </row>
    <row r="181" spans="1:42" x14ac:dyDescent="0.2">
      <c r="A181" s="269">
        <v>181</v>
      </c>
      <c r="B181" s="270" t="s">
        <v>1901</v>
      </c>
      <c r="C181" s="271" t="s">
        <v>2668</v>
      </c>
      <c r="D181" s="272" t="s">
        <v>2708</v>
      </c>
      <c r="E181" s="273" t="s">
        <v>2708</v>
      </c>
      <c r="F181" s="22" t="s">
        <v>743</v>
      </c>
      <c r="G181" s="23" t="s">
        <v>743</v>
      </c>
      <c r="H181" s="24" t="s">
        <v>743</v>
      </c>
      <c r="I181" s="24" t="s">
        <v>743</v>
      </c>
      <c r="J181" s="25" t="s">
        <v>743</v>
      </c>
      <c r="K181" s="26">
        <v>38295</v>
      </c>
      <c r="L181" s="27" t="s">
        <v>2709</v>
      </c>
      <c r="M181" s="28">
        <v>357255</v>
      </c>
      <c r="N181" s="29">
        <v>6178660</v>
      </c>
      <c r="O181" s="32">
        <v>221</v>
      </c>
      <c r="P181" s="135"/>
      <c r="Q181" s="260">
        <v>230</v>
      </c>
      <c r="R181" s="32"/>
      <c r="S181" s="135">
        <v>6</v>
      </c>
      <c r="T181" s="260">
        <f t="shared" si="9"/>
        <v>6</v>
      </c>
      <c r="U181" s="30"/>
      <c r="V181" s="31">
        <v>285</v>
      </c>
      <c r="W181" s="31">
        <f t="shared" si="10"/>
        <v>285</v>
      </c>
      <c r="X181" s="260">
        <f t="shared" si="11"/>
        <v>3</v>
      </c>
      <c r="Y181" s="323">
        <v>0.51700000000000002</v>
      </c>
      <c r="Z181" s="323">
        <v>107778</v>
      </c>
      <c r="AA181" s="323">
        <v>1073</v>
      </c>
      <c r="AB181" s="151"/>
      <c r="AC181" s="155">
        <v>1996</v>
      </c>
      <c r="AD181" s="254">
        <f t="shared" si="8"/>
        <v>7.8459958932237441</v>
      </c>
      <c r="AE181" s="152" t="s">
        <v>2708</v>
      </c>
      <c r="AF181" s="252" t="s">
        <v>2708</v>
      </c>
      <c r="AG181" s="242" t="s">
        <v>2708</v>
      </c>
      <c r="AH181" s="242" t="s">
        <v>2708</v>
      </c>
      <c r="AI181" s="243" t="s">
        <v>2708</v>
      </c>
      <c r="AJ181" s="244" t="s">
        <v>2708</v>
      </c>
      <c r="AK181" s="244" t="s">
        <v>2708</v>
      </c>
      <c r="AL181" s="244" t="s">
        <v>2708</v>
      </c>
      <c r="AM181" s="244" t="s">
        <v>2708</v>
      </c>
      <c r="AN181" s="245" t="s">
        <v>2708</v>
      </c>
      <c r="AO181" s="245" t="s">
        <v>2708</v>
      </c>
      <c r="AP181" s="274">
        <v>624</v>
      </c>
    </row>
    <row r="182" spans="1:42" x14ac:dyDescent="0.2">
      <c r="A182" s="269">
        <v>182</v>
      </c>
      <c r="B182" s="270" t="s">
        <v>1901</v>
      </c>
      <c r="C182" s="271" t="s">
        <v>2617</v>
      </c>
      <c r="D182" s="272" t="s">
        <v>2708</v>
      </c>
      <c r="E182" s="273" t="s">
        <v>2708</v>
      </c>
      <c r="F182" s="22" t="s">
        <v>743</v>
      </c>
      <c r="G182" s="23" t="s">
        <v>743</v>
      </c>
      <c r="H182" s="24" t="s">
        <v>743</v>
      </c>
      <c r="I182" s="24" t="s">
        <v>743</v>
      </c>
      <c r="J182" s="25" t="s">
        <v>743</v>
      </c>
      <c r="K182" s="26">
        <v>38295</v>
      </c>
      <c r="L182" s="27" t="s">
        <v>2709</v>
      </c>
      <c r="M182" s="28">
        <v>357155</v>
      </c>
      <c r="N182" s="29">
        <v>6178282</v>
      </c>
      <c r="O182" s="32">
        <v>264</v>
      </c>
      <c r="P182" s="135"/>
      <c r="Q182" s="260">
        <v>270</v>
      </c>
      <c r="R182" s="32"/>
      <c r="S182" s="135">
        <v>11</v>
      </c>
      <c r="T182" s="260">
        <f t="shared" si="9"/>
        <v>11</v>
      </c>
      <c r="U182" s="30"/>
      <c r="V182" s="31">
        <v>5</v>
      </c>
      <c r="W182" s="31">
        <f t="shared" si="10"/>
        <v>5</v>
      </c>
      <c r="X182" s="260">
        <f t="shared" si="11"/>
        <v>6</v>
      </c>
      <c r="Y182" s="323">
        <v>1.149</v>
      </c>
      <c r="Z182" s="323">
        <v>115508</v>
      </c>
      <c r="AA182" s="323">
        <v>980</v>
      </c>
      <c r="AB182" s="151"/>
      <c r="AC182" s="155">
        <v>1992</v>
      </c>
      <c r="AD182" s="254">
        <f t="shared" si="8"/>
        <v>11.845995893223744</v>
      </c>
      <c r="AE182" s="152" t="s">
        <v>2708</v>
      </c>
      <c r="AF182" s="252" t="s">
        <v>2708</v>
      </c>
      <c r="AG182" s="242" t="s">
        <v>2708</v>
      </c>
      <c r="AH182" s="242" t="s">
        <v>2708</v>
      </c>
      <c r="AI182" s="243" t="s">
        <v>2708</v>
      </c>
      <c r="AJ182" s="244" t="s">
        <v>2708</v>
      </c>
      <c r="AK182" s="244" t="s">
        <v>2708</v>
      </c>
      <c r="AL182" s="244" t="s">
        <v>2708</v>
      </c>
      <c r="AM182" s="244" t="s">
        <v>2708</v>
      </c>
      <c r="AN182" s="245" t="s">
        <v>2708</v>
      </c>
      <c r="AO182" s="245" t="s">
        <v>2708</v>
      </c>
      <c r="AP182" s="274">
        <v>627</v>
      </c>
    </row>
    <row r="183" spans="1:42" x14ac:dyDescent="0.2">
      <c r="A183" s="269">
        <v>183</v>
      </c>
      <c r="B183" s="270" t="s">
        <v>1901</v>
      </c>
      <c r="C183" s="271" t="s">
        <v>2247</v>
      </c>
      <c r="D183" s="272" t="s">
        <v>2708</v>
      </c>
      <c r="E183" s="273" t="s">
        <v>2708</v>
      </c>
      <c r="F183" s="22" t="s">
        <v>743</v>
      </c>
      <c r="G183" s="23" t="s">
        <v>743</v>
      </c>
      <c r="H183" s="24" t="s">
        <v>743</v>
      </c>
      <c r="I183" s="24" t="s">
        <v>743</v>
      </c>
      <c r="J183" s="25" t="s">
        <v>743</v>
      </c>
      <c r="K183" s="26">
        <v>38297</v>
      </c>
      <c r="L183" s="27" t="s">
        <v>2709</v>
      </c>
      <c r="M183" s="28">
        <v>357142</v>
      </c>
      <c r="N183" s="29">
        <v>6176645</v>
      </c>
      <c r="O183" s="32">
        <v>363</v>
      </c>
      <c r="P183" s="135"/>
      <c r="Q183" s="260">
        <v>364</v>
      </c>
      <c r="R183" s="32"/>
      <c r="S183" s="135">
        <v>8</v>
      </c>
      <c r="T183" s="260">
        <f t="shared" si="9"/>
        <v>8</v>
      </c>
      <c r="U183" s="30"/>
      <c r="V183" s="31">
        <v>216</v>
      </c>
      <c r="W183" s="31">
        <f t="shared" si="10"/>
        <v>216</v>
      </c>
      <c r="X183" s="260">
        <f t="shared" si="11"/>
        <v>2</v>
      </c>
      <c r="Y183" s="323">
        <v>0.82599999999999996</v>
      </c>
      <c r="Z183" s="323">
        <v>100536</v>
      </c>
      <c r="AA183" s="323">
        <v>1178</v>
      </c>
      <c r="AB183" s="151"/>
      <c r="AC183" s="155">
        <v>1990</v>
      </c>
      <c r="AD183" s="254">
        <f t="shared" si="8"/>
        <v>13.851471594798113</v>
      </c>
      <c r="AE183" s="152" t="s">
        <v>2708</v>
      </c>
      <c r="AF183" s="252" t="s">
        <v>2708</v>
      </c>
      <c r="AG183" s="242" t="s">
        <v>2708</v>
      </c>
      <c r="AH183" s="242" t="s">
        <v>2708</v>
      </c>
      <c r="AI183" s="243" t="s">
        <v>2708</v>
      </c>
      <c r="AJ183" s="244" t="s">
        <v>2708</v>
      </c>
      <c r="AK183" s="244" t="s">
        <v>2708</v>
      </c>
      <c r="AL183" s="244" t="s">
        <v>2708</v>
      </c>
      <c r="AM183" s="244" t="s">
        <v>2708</v>
      </c>
      <c r="AN183" s="245" t="s">
        <v>2708</v>
      </c>
      <c r="AO183" s="245" t="s">
        <v>2708</v>
      </c>
      <c r="AP183" s="274">
        <v>703</v>
      </c>
    </row>
    <row r="184" spans="1:42" x14ac:dyDescent="0.2">
      <c r="A184" s="269">
        <v>184</v>
      </c>
      <c r="B184" s="270" t="s">
        <v>1901</v>
      </c>
      <c r="C184" s="271" t="s">
        <v>1251</v>
      </c>
      <c r="D184" s="272" t="s">
        <v>2708</v>
      </c>
      <c r="E184" s="273" t="s">
        <v>2708</v>
      </c>
      <c r="F184" s="22" t="s">
        <v>743</v>
      </c>
      <c r="G184" s="23" t="s">
        <v>743</v>
      </c>
      <c r="H184" s="24" t="s">
        <v>743</v>
      </c>
      <c r="I184" s="24" t="s">
        <v>743</v>
      </c>
      <c r="J184" s="25" t="s">
        <v>743</v>
      </c>
      <c r="K184" s="26">
        <v>38297</v>
      </c>
      <c r="L184" s="27" t="s">
        <v>2709</v>
      </c>
      <c r="M184" s="28">
        <v>357487</v>
      </c>
      <c r="N184" s="29">
        <v>6176460</v>
      </c>
      <c r="O184" s="32">
        <v>362</v>
      </c>
      <c r="P184" s="135"/>
      <c r="Q184" s="260">
        <v>366</v>
      </c>
      <c r="R184" s="32"/>
      <c r="S184" s="135">
        <v>2</v>
      </c>
      <c r="T184" s="260">
        <f t="shared" si="9"/>
        <v>2</v>
      </c>
      <c r="U184" s="30"/>
      <c r="V184" s="31">
        <v>48</v>
      </c>
      <c r="W184" s="31">
        <f t="shared" si="10"/>
        <v>48</v>
      </c>
      <c r="X184" s="260">
        <f t="shared" si="11"/>
        <v>4</v>
      </c>
      <c r="Y184" s="323">
        <v>0.14099999999999999</v>
      </c>
      <c r="Z184" s="323">
        <v>110603</v>
      </c>
      <c r="AA184" s="323">
        <v>1041</v>
      </c>
      <c r="AB184" s="151"/>
      <c r="AC184" s="155">
        <v>1990</v>
      </c>
      <c r="AD184" s="254">
        <f t="shared" si="8"/>
        <v>13.851471594798113</v>
      </c>
      <c r="AE184" s="152" t="s">
        <v>2708</v>
      </c>
      <c r="AF184" s="252" t="s">
        <v>2708</v>
      </c>
      <c r="AG184" s="242" t="s">
        <v>2708</v>
      </c>
      <c r="AH184" s="242" t="s">
        <v>2708</v>
      </c>
      <c r="AI184" s="243" t="s">
        <v>2708</v>
      </c>
      <c r="AJ184" s="244" t="s">
        <v>2708</v>
      </c>
      <c r="AK184" s="244" t="s">
        <v>2708</v>
      </c>
      <c r="AL184" s="244" t="s">
        <v>2708</v>
      </c>
      <c r="AM184" s="244" t="s">
        <v>2708</v>
      </c>
      <c r="AN184" s="245" t="s">
        <v>2708</v>
      </c>
      <c r="AO184" s="245" t="s">
        <v>2708</v>
      </c>
      <c r="AP184" s="274">
        <v>710</v>
      </c>
    </row>
    <row r="185" spans="1:42" x14ac:dyDescent="0.2">
      <c r="A185" s="269">
        <v>185</v>
      </c>
      <c r="B185" s="270" t="s">
        <v>1901</v>
      </c>
      <c r="C185" s="271" t="s">
        <v>1251</v>
      </c>
      <c r="D185" s="272" t="s">
        <v>2708</v>
      </c>
      <c r="E185" s="273" t="s">
        <v>2708</v>
      </c>
      <c r="F185" s="22" t="s">
        <v>743</v>
      </c>
      <c r="G185" s="23" t="s">
        <v>743</v>
      </c>
      <c r="H185" s="24" t="s">
        <v>743</v>
      </c>
      <c r="I185" s="24" t="s">
        <v>743</v>
      </c>
      <c r="J185" s="25" t="s">
        <v>743</v>
      </c>
      <c r="K185" s="26">
        <v>38297</v>
      </c>
      <c r="L185" s="27" t="s">
        <v>2709</v>
      </c>
      <c r="M185" s="28">
        <v>357370</v>
      </c>
      <c r="N185" s="29">
        <v>6176543</v>
      </c>
      <c r="O185" s="32">
        <v>370</v>
      </c>
      <c r="P185" s="135"/>
      <c r="Q185" s="260">
        <v>374</v>
      </c>
      <c r="R185" s="32"/>
      <c r="S185" s="135">
        <v>8</v>
      </c>
      <c r="T185" s="260">
        <f t="shared" si="9"/>
        <v>8</v>
      </c>
      <c r="U185" s="30"/>
      <c r="V185" s="31">
        <v>196</v>
      </c>
      <c r="W185" s="31">
        <f t="shared" si="10"/>
        <v>196</v>
      </c>
      <c r="X185" s="260">
        <f t="shared" si="11"/>
        <v>1</v>
      </c>
      <c r="Y185" s="323">
        <v>0.24299999999999999</v>
      </c>
      <c r="Z185" s="323">
        <v>100190</v>
      </c>
      <c r="AA185" s="323">
        <v>1154</v>
      </c>
      <c r="AB185" s="151"/>
      <c r="AC185" s="155">
        <v>1990</v>
      </c>
      <c r="AD185" s="254">
        <f t="shared" si="8"/>
        <v>13.851471594798113</v>
      </c>
      <c r="AE185" s="152" t="s">
        <v>2708</v>
      </c>
      <c r="AF185" s="252" t="s">
        <v>2708</v>
      </c>
      <c r="AG185" s="242" t="s">
        <v>2708</v>
      </c>
      <c r="AH185" s="242" t="s">
        <v>2708</v>
      </c>
      <c r="AI185" s="243" t="s">
        <v>2708</v>
      </c>
      <c r="AJ185" s="244" t="s">
        <v>2708</v>
      </c>
      <c r="AK185" s="244" t="s">
        <v>2708</v>
      </c>
      <c r="AL185" s="244" t="s">
        <v>2708</v>
      </c>
      <c r="AM185" s="244" t="s">
        <v>2708</v>
      </c>
      <c r="AN185" s="245" t="s">
        <v>2708</v>
      </c>
      <c r="AO185" s="245" t="s">
        <v>2708</v>
      </c>
      <c r="AP185" s="274">
        <v>713</v>
      </c>
    </row>
    <row r="186" spans="1:42" x14ac:dyDescent="0.2">
      <c r="A186" s="269">
        <v>186</v>
      </c>
      <c r="B186" s="270" t="s">
        <v>1901</v>
      </c>
      <c r="C186" s="271" t="s">
        <v>1251</v>
      </c>
      <c r="D186" s="272" t="s">
        <v>2708</v>
      </c>
      <c r="E186" s="273" t="s">
        <v>2708</v>
      </c>
      <c r="F186" s="22" t="s">
        <v>743</v>
      </c>
      <c r="G186" s="23" t="s">
        <v>743</v>
      </c>
      <c r="H186" s="24" t="s">
        <v>743</v>
      </c>
      <c r="I186" s="24" t="s">
        <v>743</v>
      </c>
      <c r="J186" s="25" t="s">
        <v>743</v>
      </c>
      <c r="K186" s="26">
        <v>38297</v>
      </c>
      <c r="L186" s="27" t="s">
        <v>2709</v>
      </c>
      <c r="M186" s="28">
        <v>357431</v>
      </c>
      <c r="N186" s="29">
        <v>6176703</v>
      </c>
      <c r="O186" s="32">
        <v>370</v>
      </c>
      <c r="P186" s="135"/>
      <c r="Q186" s="260">
        <v>379</v>
      </c>
      <c r="R186" s="32"/>
      <c r="S186" s="135">
        <v>7</v>
      </c>
      <c r="T186" s="260">
        <f t="shared" si="9"/>
        <v>7</v>
      </c>
      <c r="U186" s="30"/>
      <c r="V186" s="31">
        <v>19</v>
      </c>
      <c r="W186" s="31">
        <f t="shared" si="10"/>
        <v>19</v>
      </c>
      <c r="X186" s="260">
        <f t="shared" si="11"/>
        <v>5</v>
      </c>
      <c r="Y186" s="323">
        <v>0.38200000000000001</v>
      </c>
      <c r="Z186" s="323">
        <v>114284</v>
      </c>
      <c r="AA186" s="323">
        <v>1309</v>
      </c>
      <c r="AB186" s="151"/>
      <c r="AC186" s="155">
        <v>1990</v>
      </c>
      <c r="AD186" s="254">
        <f t="shared" si="8"/>
        <v>13.851471594798113</v>
      </c>
      <c r="AE186" s="152" t="s">
        <v>2708</v>
      </c>
      <c r="AF186" s="252" t="s">
        <v>2708</v>
      </c>
      <c r="AG186" s="242" t="s">
        <v>2708</v>
      </c>
      <c r="AH186" s="242" t="s">
        <v>2708</v>
      </c>
      <c r="AI186" s="243" t="s">
        <v>2708</v>
      </c>
      <c r="AJ186" s="244" t="s">
        <v>2708</v>
      </c>
      <c r="AK186" s="244" t="s">
        <v>2708</v>
      </c>
      <c r="AL186" s="244" t="s">
        <v>2708</v>
      </c>
      <c r="AM186" s="244" t="s">
        <v>2708</v>
      </c>
      <c r="AN186" s="245" t="s">
        <v>2708</v>
      </c>
      <c r="AO186" s="245" t="s">
        <v>2708</v>
      </c>
      <c r="AP186" s="274">
        <v>715</v>
      </c>
    </row>
    <row r="187" spans="1:42" x14ac:dyDescent="0.2">
      <c r="A187" s="269">
        <v>187</v>
      </c>
      <c r="B187" s="270" t="s">
        <v>1901</v>
      </c>
      <c r="C187" s="271" t="s">
        <v>1252</v>
      </c>
      <c r="D187" s="272" t="s">
        <v>2708</v>
      </c>
      <c r="E187" s="273" t="s">
        <v>2708</v>
      </c>
      <c r="F187" s="22" t="s">
        <v>743</v>
      </c>
      <c r="G187" s="23" t="s">
        <v>743</v>
      </c>
      <c r="H187" s="24" t="s">
        <v>743</v>
      </c>
      <c r="I187" s="24" t="s">
        <v>743</v>
      </c>
      <c r="J187" s="25" t="s">
        <v>743</v>
      </c>
      <c r="K187" s="26">
        <v>38297</v>
      </c>
      <c r="L187" s="27" t="s">
        <v>2709</v>
      </c>
      <c r="M187" s="28">
        <v>357611</v>
      </c>
      <c r="N187" s="29">
        <v>6177207</v>
      </c>
      <c r="O187" s="32">
        <v>453</v>
      </c>
      <c r="P187" s="135"/>
      <c r="Q187" s="260">
        <v>455</v>
      </c>
      <c r="R187" s="32"/>
      <c r="S187" s="135">
        <v>14</v>
      </c>
      <c r="T187" s="260">
        <f t="shared" si="9"/>
        <v>14</v>
      </c>
      <c r="U187" s="30"/>
      <c r="V187" s="31">
        <v>255</v>
      </c>
      <c r="W187" s="31">
        <f t="shared" si="10"/>
        <v>255</v>
      </c>
      <c r="X187" s="260">
        <f t="shared" si="11"/>
        <v>3</v>
      </c>
      <c r="Y187" s="323">
        <v>0.74399999999999999</v>
      </c>
      <c r="Z187" s="323">
        <v>103646</v>
      </c>
      <c r="AA187" s="323">
        <v>961</v>
      </c>
      <c r="AB187" s="151"/>
      <c r="AC187" s="155">
        <v>1992</v>
      </c>
      <c r="AD187" s="254">
        <f t="shared" si="8"/>
        <v>11.851471594798113</v>
      </c>
      <c r="AE187" s="152" t="s">
        <v>2708</v>
      </c>
      <c r="AF187" s="252" t="s">
        <v>2708</v>
      </c>
      <c r="AG187" s="242" t="s">
        <v>2708</v>
      </c>
      <c r="AH187" s="242" t="s">
        <v>2708</v>
      </c>
      <c r="AI187" s="243" t="s">
        <v>2708</v>
      </c>
      <c r="AJ187" s="244" t="s">
        <v>2708</v>
      </c>
      <c r="AK187" s="244" t="s">
        <v>2708</v>
      </c>
      <c r="AL187" s="244" t="s">
        <v>2708</v>
      </c>
      <c r="AM187" s="244" t="s">
        <v>2708</v>
      </c>
      <c r="AN187" s="245" t="s">
        <v>2708</v>
      </c>
      <c r="AO187" s="245" t="s">
        <v>2708</v>
      </c>
      <c r="AP187" s="274">
        <v>718</v>
      </c>
    </row>
    <row r="188" spans="1:42" x14ac:dyDescent="0.2">
      <c r="A188" s="269">
        <v>188</v>
      </c>
      <c r="B188" s="270" t="s">
        <v>1901</v>
      </c>
      <c r="C188" s="271" t="s">
        <v>1251</v>
      </c>
      <c r="D188" s="272" t="s">
        <v>2708</v>
      </c>
      <c r="E188" s="273" t="s">
        <v>2708</v>
      </c>
      <c r="F188" s="22" t="s">
        <v>743</v>
      </c>
      <c r="G188" s="23" t="s">
        <v>743</v>
      </c>
      <c r="H188" s="24" t="s">
        <v>743</v>
      </c>
      <c r="I188" s="24" t="s">
        <v>743</v>
      </c>
      <c r="J188" s="25" t="s">
        <v>743</v>
      </c>
      <c r="K188" s="26">
        <v>38297</v>
      </c>
      <c r="L188" s="27" t="s">
        <v>2709</v>
      </c>
      <c r="M188" s="28">
        <v>357488</v>
      </c>
      <c r="N188" s="29">
        <v>6177227</v>
      </c>
      <c r="O188" s="32">
        <v>431</v>
      </c>
      <c r="P188" s="135"/>
      <c r="Q188" s="260">
        <v>414</v>
      </c>
      <c r="R188" s="32"/>
      <c r="S188" s="135">
        <v>26</v>
      </c>
      <c r="T188" s="260">
        <f t="shared" si="9"/>
        <v>26</v>
      </c>
      <c r="U188" s="30"/>
      <c r="V188" s="31">
        <v>233</v>
      </c>
      <c r="W188" s="31">
        <f t="shared" si="10"/>
        <v>233</v>
      </c>
      <c r="X188" s="260">
        <f t="shared" si="11"/>
        <v>2</v>
      </c>
      <c r="Y188" s="323">
        <v>0.57499999999999996</v>
      </c>
      <c r="Z188" s="323">
        <v>84434</v>
      </c>
      <c r="AA188" s="323">
        <v>707</v>
      </c>
      <c r="AB188" s="151"/>
      <c r="AC188" s="155">
        <v>1992</v>
      </c>
      <c r="AD188" s="254">
        <f t="shared" si="8"/>
        <v>11.851471594798113</v>
      </c>
      <c r="AE188" s="152" t="s">
        <v>2708</v>
      </c>
      <c r="AF188" s="252" t="s">
        <v>2708</v>
      </c>
      <c r="AG188" s="242" t="s">
        <v>2708</v>
      </c>
      <c r="AH188" s="242" t="s">
        <v>2708</v>
      </c>
      <c r="AI188" s="243" t="s">
        <v>2708</v>
      </c>
      <c r="AJ188" s="244" t="s">
        <v>2708</v>
      </c>
      <c r="AK188" s="244" t="s">
        <v>2708</v>
      </c>
      <c r="AL188" s="244" t="s">
        <v>2708</v>
      </c>
      <c r="AM188" s="244" t="s">
        <v>2708</v>
      </c>
      <c r="AN188" s="245" t="s">
        <v>2708</v>
      </c>
      <c r="AO188" s="245" t="s">
        <v>2708</v>
      </c>
      <c r="AP188" s="274">
        <v>720</v>
      </c>
    </row>
    <row r="189" spans="1:42" x14ac:dyDescent="0.2">
      <c r="A189" s="269">
        <v>189</v>
      </c>
      <c r="B189" s="270" t="s">
        <v>1901</v>
      </c>
      <c r="C189" s="271" t="s">
        <v>1251</v>
      </c>
      <c r="D189" s="272" t="s">
        <v>2708</v>
      </c>
      <c r="E189" s="273" t="s">
        <v>2708</v>
      </c>
      <c r="F189" s="22" t="s">
        <v>743</v>
      </c>
      <c r="G189" s="23" t="s">
        <v>743</v>
      </c>
      <c r="H189" s="24" t="s">
        <v>743</v>
      </c>
      <c r="I189" s="24" t="s">
        <v>743</v>
      </c>
      <c r="J189" s="25" t="s">
        <v>743</v>
      </c>
      <c r="K189" s="26">
        <v>38297</v>
      </c>
      <c r="L189" s="27" t="s">
        <v>2709</v>
      </c>
      <c r="M189" s="28">
        <v>357577</v>
      </c>
      <c r="N189" s="29">
        <v>6177365</v>
      </c>
      <c r="O189" s="32">
        <v>431</v>
      </c>
      <c r="P189" s="135"/>
      <c r="Q189" s="260">
        <v>433</v>
      </c>
      <c r="R189" s="32"/>
      <c r="S189" s="135">
        <v>16</v>
      </c>
      <c r="T189" s="260">
        <f t="shared" si="9"/>
        <v>16</v>
      </c>
      <c r="U189" s="30"/>
      <c r="V189" s="31">
        <v>347</v>
      </c>
      <c r="W189" s="31">
        <f t="shared" si="10"/>
        <v>347</v>
      </c>
      <c r="X189" s="260">
        <f t="shared" si="11"/>
        <v>5</v>
      </c>
      <c r="Y189" s="323">
        <v>0.65400000000000003</v>
      </c>
      <c r="Z189" s="323">
        <v>121024</v>
      </c>
      <c r="AA189" s="323">
        <v>770</v>
      </c>
      <c r="AB189" s="151"/>
      <c r="AC189" s="155">
        <v>1992</v>
      </c>
      <c r="AD189" s="254">
        <f t="shared" si="8"/>
        <v>11.851471594798113</v>
      </c>
      <c r="AE189" s="152" t="s">
        <v>2708</v>
      </c>
      <c r="AF189" s="252" t="s">
        <v>2708</v>
      </c>
      <c r="AG189" s="242" t="s">
        <v>2708</v>
      </c>
      <c r="AH189" s="242" t="s">
        <v>2708</v>
      </c>
      <c r="AI189" s="243" t="s">
        <v>2708</v>
      </c>
      <c r="AJ189" s="244" t="s">
        <v>2708</v>
      </c>
      <c r="AK189" s="244" t="s">
        <v>2708</v>
      </c>
      <c r="AL189" s="244" t="s">
        <v>2708</v>
      </c>
      <c r="AM189" s="244" t="s">
        <v>2708</v>
      </c>
      <c r="AN189" s="245" t="s">
        <v>2708</v>
      </c>
      <c r="AO189" s="245" t="s">
        <v>2708</v>
      </c>
      <c r="AP189" s="274">
        <v>722</v>
      </c>
    </row>
    <row r="190" spans="1:42" x14ac:dyDescent="0.2">
      <c r="A190" s="269">
        <v>190</v>
      </c>
      <c r="B190" s="270" t="s">
        <v>1901</v>
      </c>
      <c r="C190" s="271" t="s">
        <v>1251</v>
      </c>
      <c r="D190" s="272" t="s">
        <v>2708</v>
      </c>
      <c r="E190" s="273" t="s">
        <v>2708</v>
      </c>
      <c r="F190" s="22" t="s">
        <v>743</v>
      </c>
      <c r="G190" s="23" t="s">
        <v>743</v>
      </c>
      <c r="H190" s="24" t="s">
        <v>743</v>
      </c>
      <c r="I190" s="24" t="s">
        <v>743</v>
      </c>
      <c r="J190" s="25" t="s">
        <v>743</v>
      </c>
      <c r="K190" s="26">
        <v>38297</v>
      </c>
      <c r="L190" s="27" t="s">
        <v>2709</v>
      </c>
      <c r="M190" s="28">
        <v>357641</v>
      </c>
      <c r="N190" s="29">
        <v>6177424</v>
      </c>
      <c r="O190" s="32">
        <v>407</v>
      </c>
      <c r="P190" s="135"/>
      <c r="Q190" s="260">
        <v>415</v>
      </c>
      <c r="R190" s="32"/>
      <c r="S190" s="135">
        <v>19</v>
      </c>
      <c r="T190" s="260">
        <f t="shared" si="9"/>
        <v>19</v>
      </c>
      <c r="U190" s="30"/>
      <c r="V190" s="31">
        <v>18</v>
      </c>
      <c r="W190" s="31">
        <f t="shared" si="10"/>
        <v>18</v>
      </c>
      <c r="X190" s="260">
        <f t="shared" si="11"/>
        <v>5</v>
      </c>
      <c r="Y190" s="323">
        <v>0.73</v>
      </c>
      <c r="Z190" s="323">
        <v>121205</v>
      </c>
      <c r="AA190" s="323">
        <v>816</v>
      </c>
      <c r="AB190" s="151"/>
      <c r="AC190" s="155">
        <v>1992</v>
      </c>
      <c r="AD190" s="254">
        <f t="shared" si="8"/>
        <v>11.851471594798113</v>
      </c>
      <c r="AE190" s="152" t="s">
        <v>2708</v>
      </c>
      <c r="AF190" s="252" t="s">
        <v>2708</v>
      </c>
      <c r="AG190" s="242" t="s">
        <v>2708</v>
      </c>
      <c r="AH190" s="242" t="s">
        <v>2708</v>
      </c>
      <c r="AI190" s="243" t="s">
        <v>2708</v>
      </c>
      <c r="AJ190" s="244" t="s">
        <v>2708</v>
      </c>
      <c r="AK190" s="244" t="s">
        <v>2708</v>
      </c>
      <c r="AL190" s="244" t="s">
        <v>2708</v>
      </c>
      <c r="AM190" s="244" t="s">
        <v>2708</v>
      </c>
      <c r="AN190" s="245" t="s">
        <v>2708</v>
      </c>
      <c r="AO190" s="245" t="s">
        <v>2708</v>
      </c>
      <c r="AP190" s="274">
        <v>724</v>
      </c>
    </row>
    <row r="191" spans="1:42" x14ac:dyDescent="0.2">
      <c r="A191" s="269">
        <v>191</v>
      </c>
      <c r="B191" s="270" t="s">
        <v>1901</v>
      </c>
      <c r="C191" s="271" t="s">
        <v>2248</v>
      </c>
      <c r="D191" s="272" t="s">
        <v>2708</v>
      </c>
      <c r="E191" s="273" t="s">
        <v>2708</v>
      </c>
      <c r="F191" s="22" t="s">
        <v>743</v>
      </c>
      <c r="G191" s="23" t="s">
        <v>743</v>
      </c>
      <c r="H191" s="24" t="s">
        <v>743</v>
      </c>
      <c r="I191" s="24" t="s">
        <v>743</v>
      </c>
      <c r="J191" s="25" t="s">
        <v>743</v>
      </c>
      <c r="K191" s="26">
        <v>38297</v>
      </c>
      <c r="L191" s="27" t="s">
        <v>2709</v>
      </c>
      <c r="M191" s="28">
        <v>358301</v>
      </c>
      <c r="N191" s="29">
        <v>6177290</v>
      </c>
      <c r="O191" s="32">
        <v>392</v>
      </c>
      <c r="P191" s="135"/>
      <c r="Q191" s="260">
        <v>379</v>
      </c>
      <c r="R191" s="32"/>
      <c r="S191" s="135">
        <v>11</v>
      </c>
      <c r="T191" s="260">
        <f t="shared" si="9"/>
        <v>11</v>
      </c>
      <c r="U191" s="30"/>
      <c r="V191" s="31">
        <v>292</v>
      </c>
      <c r="W191" s="31">
        <f t="shared" si="10"/>
        <v>292</v>
      </c>
      <c r="X191" s="260">
        <f t="shared" si="11"/>
        <v>3</v>
      </c>
      <c r="Y191" s="323">
        <v>1.5189999999999999</v>
      </c>
      <c r="Z191" s="323">
        <v>108971</v>
      </c>
      <c r="AA191" s="323">
        <v>516</v>
      </c>
      <c r="AB191" s="151"/>
      <c r="AC191" s="155">
        <v>1992</v>
      </c>
      <c r="AD191" s="254">
        <f t="shared" si="8"/>
        <v>11.851471594798113</v>
      </c>
      <c r="AE191" s="152" t="s">
        <v>2708</v>
      </c>
      <c r="AF191" s="252" t="s">
        <v>2708</v>
      </c>
      <c r="AG191" s="242" t="s">
        <v>2708</v>
      </c>
      <c r="AH191" s="242" t="s">
        <v>2708</v>
      </c>
      <c r="AI191" s="243" t="s">
        <v>2708</v>
      </c>
      <c r="AJ191" s="244" t="s">
        <v>2708</v>
      </c>
      <c r="AK191" s="244" t="s">
        <v>2708</v>
      </c>
      <c r="AL191" s="244" t="s">
        <v>2708</v>
      </c>
      <c r="AM191" s="244" t="s">
        <v>2708</v>
      </c>
      <c r="AN191" s="245" t="s">
        <v>2708</v>
      </c>
      <c r="AO191" s="245" t="s">
        <v>2708</v>
      </c>
      <c r="AP191" s="274">
        <v>726</v>
      </c>
    </row>
    <row r="192" spans="1:42" x14ac:dyDescent="0.2">
      <c r="A192" s="269">
        <v>192</v>
      </c>
      <c r="B192" s="270" t="s">
        <v>1901</v>
      </c>
      <c r="C192" s="271" t="s">
        <v>1252</v>
      </c>
      <c r="D192" s="272" t="s">
        <v>2708</v>
      </c>
      <c r="E192" s="273" t="s">
        <v>2708</v>
      </c>
      <c r="F192" s="22" t="s">
        <v>743</v>
      </c>
      <c r="G192" s="23" t="s">
        <v>743</v>
      </c>
      <c r="H192" s="24" t="s">
        <v>743</v>
      </c>
      <c r="I192" s="24" t="s">
        <v>743</v>
      </c>
      <c r="J192" s="25" t="s">
        <v>743</v>
      </c>
      <c r="K192" s="26">
        <v>38297</v>
      </c>
      <c r="L192" s="27" t="s">
        <v>2709</v>
      </c>
      <c r="M192" s="28">
        <v>358418</v>
      </c>
      <c r="N192" s="29">
        <v>6177308</v>
      </c>
      <c r="O192" s="32">
        <v>410</v>
      </c>
      <c r="P192" s="135"/>
      <c r="Q192" s="260">
        <v>408</v>
      </c>
      <c r="R192" s="32"/>
      <c r="S192" s="135">
        <v>19</v>
      </c>
      <c r="T192" s="260">
        <f t="shared" si="9"/>
        <v>19</v>
      </c>
      <c r="U192" s="30"/>
      <c r="V192" s="31">
        <v>281</v>
      </c>
      <c r="W192" s="31">
        <f t="shared" si="10"/>
        <v>281</v>
      </c>
      <c r="X192" s="260">
        <f t="shared" si="11"/>
        <v>3</v>
      </c>
      <c r="Y192" s="323">
        <v>0.83</v>
      </c>
      <c r="Z192" s="323">
        <v>106049</v>
      </c>
      <c r="AA192" s="323">
        <v>688</v>
      </c>
      <c r="AB192" s="151"/>
      <c r="AC192" s="155">
        <v>1992</v>
      </c>
      <c r="AD192" s="254">
        <f t="shared" si="8"/>
        <v>11.851471594798113</v>
      </c>
      <c r="AE192" s="152" t="s">
        <v>2708</v>
      </c>
      <c r="AF192" s="252" t="s">
        <v>2708</v>
      </c>
      <c r="AG192" s="242" t="s">
        <v>2708</v>
      </c>
      <c r="AH192" s="242" t="s">
        <v>2708</v>
      </c>
      <c r="AI192" s="243" t="s">
        <v>2708</v>
      </c>
      <c r="AJ192" s="244" t="s">
        <v>2708</v>
      </c>
      <c r="AK192" s="244" t="s">
        <v>2708</v>
      </c>
      <c r="AL192" s="244" t="s">
        <v>2708</v>
      </c>
      <c r="AM192" s="244" t="s">
        <v>2708</v>
      </c>
      <c r="AN192" s="245" t="s">
        <v>2708</v>
      </c>
      <c r="AO192" s="245" t="s">
        <v>2708</v>
      </c>
      <c r="AP192" s="274">
        <v>727</v>
      </c>
    </row>
    <row r="193" spans="1:42" x14ac:dyDescent="0.2">
      <c r="A193" s="269">
        <v>193</v>
      </c>
      <c r="B193" s="270" t="s">
        <v>1901</v>
      </c>
      <c r="C193" s="271" t="s">
        <v>2562</v>
      </c>
      <c r="D193" s="272" t="s">
        <v>2708</v>
      </c>
      <c r="E193" s="273" t="s">
        <v>2708</v>
      </c>
      <c r="F193" s="22" t="s">
        <v>743</v>
      </c>
      <c r="G193" s="23" t="s">
        <v>743</v>
      </c>
      <c r="H193" s="24" t="s">
        <v>743</v>
      </c>
      <c r="I193" s="24" t="s">
        <v>743</v>
      </c>
      <c r="J193" s="25" t="s">
        <v>743</v>
      </c>
      <c r="K193" s="26">
        <v>38297</v>
      </c>
      <c r="L193" s="27" t="s">
        <v>2709</v>
      </c>
      <c r="M193" s="28">
        <v>358501</v>
      </c>
      <c r="N193" s="29">
        <v>6177350</v>
      </c>
      <c r="O193" s="32">
        <v>424</v>
      </c>
      <c r="P193" s="135"/>
      <c r="Q193" s="260">
        <v>426</v>
      </c>
      <c r="R193" s="32"/>
      <c r="S193" s="135">
        <v>11</v>
      </c>
      <c r="T193" s="260">
        <f t="shared" si="9"/>
        <v>11</v>
      </c>
      <c r="U193" s="30"/>
      <c r="V193" s="31">
        <v>304</v>
      </c>
      <c r="W193" s="31">
        <f t="shared" si="10"/>
        <v>304</v>
      </c>
      <c r="X193" s="260">
        <f t="shared" si="11"/>
        <v>4</v>
      </c>
      <c r="Y193" s="323">
        <v>0.51600000000000001</v>
      </c>
      <c r="Z193" s="323">
        <v>112595</v>
      </c>
      <c r="AA193" s="323">
        <v>904</v>
      </c>
      <c r="AB193" s="151"/>
      <c r="AC193" s="155">
        <v>2001</v>
      </c>
      <c r="AD193" s="254">
        <f t="shared" ref="AD193:AD198" si="12">IF(AC193=0,1000,IF(AC193=9999,"ND",(K193/365.25+1899)-AC193))</f>
        <v>2.8514715947981131</v>
      </c>
      <c r="AE193" s="152" t="s">
        <v>2708</v>
      </c>
      <c r="AF193" s="252" t="s">
        <v>2708</v>
      </c>
      <c r="AG193" s="242" t="s">
        <v>2708</v>
      </c>
      <c r="AH193" s="242" t="s">
        <v>2708</v>
      </c>
      <c r="AI193" s="243" t="s">
        <v>2708</v>
      </c>
      <c r="AJ193" s="244" t="s">
        <v>2708</v>
      </c>
      <c r="AK193" s="244" t="s">
        <v>2708</v>
      </c>
      <c r="AL193" s="244" t="s">
        <v>2708</v>
      </c>
      <c r="AM193" s="244" t="s">
        <v>2708</v>
      </c>
      <c r="AN193" s="245" t="s">
        <v>2708</v>
      </c>
      <c r="AO193" s="245" t="s">
        <v>2708</v>
      </c>
      <c r="AP193" s="274">
        <v>729</v>
      </c>
    </row>
    <row r="194" spans="1:42" x14ac:dyDescent="0.2">
      <c r="A194" s="269">
        <v>194</v>
      </c>
      <c r="B194" s="270" t="s">
        <v>1901</v>
      </c>
      <c r="C194" s="271" t="s">
        <v>2247</v>
      </c>
      <c r="D194" s="272" t="s">
        <v>2708</v>
      </c>
      <c r="E194" s="273" t="s">
        <v>2708</v>
      </c>
      <c r="F194" s="22" t="s">
        <v>743</v>
      </c>
      <c r="G194" s="23" t="s">
        <v>743</v>
      </c>
      <c r="H194" s="24" t="s">
        <v>743</v>
      </c>
      <c r="I194" s="24" t="s">
        <v>743</v>
      </c>
      <c r="J194" s="25" t="s">
        <v>743</v>
      </c>
      <c r="K194" s="26">
        <v>38297</v>
      </c>
      <c r="L194" s="27" t="s">
        <v>2709</v>
      </c>
      <c r="M194" s="28">
        <v>358730</v>
      </c>
      <c r="N194" s="29">
        <v>6177518</v>
      </c>
      <c r="O194" s="32">
        <v>402</v>
      </c>
      <c r="P194" s="135"/>
      <c r="Q194" s="260">
        <v>399</v>
      </c>
      <c r="R194" s="32"/>
      <c r="S194" s="135">
        <v>5</v>
      </c>
      <c r="T194" s="260">
        <f>IF(OR(R194="ND",R194=""),S194,R194)</f>
        <v>5</v>
      </c>
      <c r="U194" s="30"/>
      <c r="V194" s="31">
        <v>66</v>
      </c>
      <c r="W194" s="31">
        <f>IF(OR(U194="ND",U194=""),V194,U194)</f>
        <v>66</v>
      </c>
      <c r="X194" s="260">
        <f t="shared" si="11"/>
        <v>4</v>
      </c>
      <c r="Y194" s="323">
        <v>0.33400000000000002</v>
      </c>
      <c r="Z194" s="323">
        <v>111170</v>
      </c>
      <c r="AA194" s="323">
        <v>1200</v>
      </c>
      <c r="AB194" s="151"/>
      <c r="AC194" s="155">
        <v>1992</v>
      </c>
      <c r="AD194" s="254">
        <f t="shared" si="12"/>
        <v>11.851471594798113</v>
      </c>
      <c r="AE194" s="152" t="s">
        <v>2708</v>
      </c>
      <c r="AF194" s="252" t="s">
        <v>2708</v>
      </c>
      <c r="AG194" s="242" t="s">
        <v>2708</v>
      </c>
      <c r="AH194" s="242" t="s">
        <v>2708</v>
      </c>
      <c r="AI194" s="243" t="s">
        <v>2708</v>
      </c>
      <c r="AJ194" s="244" t="s">
        <v>2708</v>
      </c>
      <c r="AK194" s="244" t="s">
        <v>2708</v>
      </c>
      <c r="AL194" s="244" t="s">
        <v>2708</v>
      </c>
      <c r="AM194" s="244" t="s">
        <v>2708</v>
      </c>
      <c r="AN194" s="245" t="s">
        <v>2708</v>
      </c>
      <c r="AO194" s="245" t="s">
        <v>2708</v>
      </c>
      <c r="AP194" s="274">
        <v>733</v>
      </c>
    </row>
    <row r="195" spans="1:42" x14ac:dyDescent="0.2">
      <c r="A195" s="269">
        <v>195</v>
      </c>
      <c r="B195" s="270" t="s">
        <v>1901</v>
      </c>
      <c r="C195" s="271" t="s">
        <v>2248</v>
      </c>
      <c r="D195" s="272" t="s">
        <v>2708</v>
      </c>
      <c r="E195" s="273" t="s">
        <v>2708</v>
      </c>
      <c r="F195" s="22" t="s">
        <v>743</v>
      </c>
      <c r="G195" s="23" t="s">
        <v>743</v>
      </c>
      <c r="H195" s="24" t="s">
        <v>743</v>
      </c>
      <c r="I195" s="24" t="s">
        <v>743</v>
      </c>
      <c r="J195" s="25" t="s">
        <v>743</v>
      </c>
      <c r="K195" s="26">
        <v>38297</v>
      </c>
      <c r="L195" s="27" t="s">
        <v>2709</v>
      </c>
      <c r="M195" s="28">
        <v>358756</v>
      </c>
      <c r="N195" s="29">
        <v>6177588</v>
      </c>
      <c r="O195" s="32">
        <v>403</v>
      </c>
      <c r="P195" s="135"/>
      <c r="Q195" s="260">
        <v>406</v>
      </c>
      <c r="R195" s="32"/>
      <c r="S195" s="135">
        <v>12</v>
      </c>
      <c r="T195" s="260">
        <f>IF(OR(R195="ND",R195=""),S195,R195)</f>
        <v>12</v>
      </c>
      <c r="U195" s="30"/>
      <c r="V195" s="31">
        <v>143</v>
      </c>
      <c r="W195" s="31">
        <f>IF(OR(U195="ND",U195=""),V195,U195)</f>
        <v>143</v>
      </c>
      <c r="X195" s="260">
        <f t="shared" si="11"/>
        <v>2</v>
      </c>
      <c r="Y195" s="323">
        <v>0.51600000000000001</v>
      </c>
      <c r="Z195" s="323">
        <v>98002</v>
      </c>
      <c r="AA195" s="323">
        <v>1513</v>
      </c>
      <c r="AB195" s="151"/>
      <c r="AC195" s="155">
        <v>1996</v>
      </c>
      <c r="AD195" s="254">
        <f t="shared" si="12"/>
        <v>7.8514715947981131</v>
      </c>
      <c r="AE195" s="152" t="s">
        <v>2708</v>
      </c>
      <c r="AF195" s="252" t="s">
        <v>2708</v>
      </c>
      <c r="AG195" s="242" t="s">
        <v>2708</v>
      </c>
      <c r="AH195" s="242" t="s">
        <v>2708</v>
      </c>
      <c r="AI195" s="243" t="s">
        <v>2708</v>
      </c>
      <c r="AJ195" s="244" t="s">
        <v>2708</v>
      </c>
      <c r="AK195" s="244" t="s">
        <v>2708</v>
      </c>
      <c r="AL195" s="244" t="s">
        <v>2708</v>
      </c>
      <c r="AM195" s="244" t="s">
        <v>2708</v>
      </c>
      <c r="AN195" s="245" t="s">
        <v>2708</v>
      </c>
      <c r="AO195" s="245" t="s">
        <v>2708</v>
      </c>
      <c r="AP195" s="274">
        <v>736</v>
      </c>
    </row>
    <row r="196" spans="1:42" x14ac:dyDescent="0.2">
      <c r="A196" s="269">
        <v>196</v>
      </c>
      <c r="B196" s="270" t="s">
        <v>1901</v>
      </c>
      <c r="C196" s="271" t="s">
        <v>1252</v>
      </c>
      <c r="D196" s="272" t="s">
        <v>2708</v>
      </c>
      <c r="E196" s="273" t="s">
        <v>2708</v>
      </c>
      <c r="F196" s="22" t="s">
        <v>743</v>
      </c>
      <c r="G196" s="23" t="s">
        <v>743</v>
      </c>
      <c r="H196" s="24" t="s">
        <v>743</v>
      </c>
      <c r="I196" s="24" t="s">
        <v>743</v>
      </c>
      <c r="J196" s="25" t="s">
        <v>743</v>
      </c>
      <c r="K196" s="26">
        <v>38297</v>
      </c>
      <c r="L196" s="27" t="s">
        <v>2709</v>
      </c>
      <c r="M196" s="28">
        <v>358646</v>
      </c>
      <c r="N196" s="29">
        <v>6177650</v>
      </c>
      <c r="O196" s="32">
        <v>407</v>
      </c>
      <c r="P196" s="135"/>
      <c r="Q196" s="260">
        <v>408</v>
      </c>
      <c r="R196" s="32"/>
      <c r="S196" s="135">
        <v>17</v>
      </c>
      <c r="T196" s="260">
        <f>IF(OR(R196="ND",R196=""),S196,R196)</f>
        <v>17</v>
      </c>
      <c r="U196" s="30"/>
      <c r="V196" s="31">
        <v>262</v>
      </c>
      <c r="W196" s="31">
        <f>IF(OR(U196="ND",U196=""),V196,U196)</f>
        <v>262</v>
      </c>
      <c r="X196" s="260">
        <f t="shared" si="11"/>
        <v>3</v>
      </c>
      <c r="Y196" s="323">
        <v>0.91500000000000004</v>
      </c>
      <c r="Z196" s="323">
        <v>102363</v>
      </c>
      <c r="AA196" s="323">
        <v>802</v>
      </c>
      <c r="AB196" s="151"/>
      <c r="AC196" s="155">
        <v>1996</v>
      </c>
      <c r="AD196" s="254">
        <f t="shared" si="12"/>
        <v>7.8514715947981131</v>
      </c>
      <c r="AE196" s="152" t="s">
        <v>2708</v>
      </c>
      <c r="AF196" s="252" t="s">
        <v>2708</v>
      </c>
      <c r="AG196" s="242" t="s">
        <v>2708</v>
      </c>
      <c r="AH196" s="242" t="s">
        <v>2708</v>
      </c>
      <c r="AI196" s="243" t="s">
        <v>2708</v>
      </c>
      <c r="AJ196" s="244" t="s">
        <v>2708</v>
      </c>
      <c r="AK196" s="244" t="s">
        <v>2708</v>
      </c>
      <c r="AL196" s="244" t="s">
        <v>2708</v>
      </c>
      <c r="AM196" s="244" t="s">
        <v>2708</v>
      </c>
      <c r="AN196" s="245" t="s">
        <v>2708</v>
      </c>
      <c r="AO196" s="245" t="s">
        <v>2708</v>
      </c>
      <c r="AP196" s="274">
        <v>737</v>
      </c>
    </row>
    <row r="197" spans="1:42" x14ac:dyDescent="0.2">
      <c r="A197" s="269">
        <v>197</v>
      </c>
      <c r="B197" s="270" t="s">
        <v>1901</v>
      </c>
      <c r="C197" s="271" t="s">
        <v>1251</v>
      </c>
      <c r="D197" s="272" t="s">
        <v>2708</v>
      </c>
      <c r="E197" s="273" t="s">
        <v>2708</v>
      </c>
      <c r="F197" s="22" t="s">
        <v>743</v>
      </c>
      <c r="G197" s="23" t="s">
        <v>743</v>
      </c>
      <c r="H197" s="24" t="s">
        <v>743</v>
      </c>
      <c r="I197" s="24" t="s">
        <v>743</v>
      </c>
      <c r="J197" s="25" t="s">
        <v>743</v>
      </c>
      <c r="K197" s="26">
        <v>38297</v>
      </c>
      <c r="L197" s="27" t="s">
        <v>2709</v>
      </c>
      <c r="M197" s="28">
        <v>358809</v>
      </c>
      <c r="N197" s="29">
        <v>6177767</v>
      </c>
      <c r="O197" s="32">
        <v>392</v>
      </c>
      <c r="P197" s="135"/>
      <c r="Q197" s="260">
        <v>399</v>
      </c>
      <c r="R197" s="32"/>
      <c r="S197" s="135">
        <v>13</v>
      </c>
      <c r="T197" s="260">
        <f>IF(OR(R197="ND",R197=""),S197,R197)</f>
        <v>13</v>
      </c>
      <c r="U197" s="30"/>
      <c r="V197" s="31">
        <v>24</v>
      </c>
      <c r="W197" s="31">
        <f>IF(OR(U197="ND",U197=""),V197,U197)</f>
        <v>24</v>
      </c>
      <c r="X197" s="260">
        <f t="shared" si="11"/>
        <v>5</v>
      </c>
      <c r="Y197" s="323">
        <v>0.76500000000000001</v>
      </c>
      <c r="Z197" s="323">
        <v>117901</v>
      </c>
      <c r="AA197" s="323">
        <v>1108</v>
      </c>
      <c r="AB197" s="151"/>
      <c r="AC197" s="155">
        <v>1996</v>
      </c>
      <c r="AD197" s="254">
        <f t="shared" si="12"/>
        <v>7.8514715947981131</v>
      </c>
      <c r="AE197" s="152" t="s">
        <v>2708</v>
      </c>
      <c r="AF197" s="252" t="s">
        <v>2708</v>
      </c>
      <c r="AG197" s="242" t="s">
        <v>2708</v>
      </c>
      <c r="AH197" s="242" t="s">
        <v>2708</v>
      </c>
      <c r="AI197" s="243" t="s">
        <v>2708</v>
      </c>
      <c r="AJ197" s="244" t="s">
        <v>2708</v>
      </c>
      <c r="AK197" s="244" t="s">
        <v>2708</v>
      </c>
      <c r="AL197" s="244" t="s">
        <v>2708</v>
      </c>
      <c r="AM197" s="244" t="s">
        <v>2708</v>
      </c>
      <c r="AN197" s="245" t="s">
        <v>2708</v>
      </c>
      <c r="AO197" s="245" t="s">
        <v>2708</v>
      </c>
      <c r="AP197" s="274">
        <v>741</v>
      </c>
    </row>
    <row r="198" spans="1:42" x14ac:dyDescent="0.2">
      <c r="A198" s="269">
        <v>198</v>
      </c>
      <c r="B198" s="270" t="s">
        <v>1901</v>
      </c>
      <c r="C198" s="271" t="s">
        <v>1251</v>
      </c>
      <c r="D198" s="272" t="s">
        <v>2708</v>
      </c>
      <c r="E198" s="273" t="s">
        <v>2708</v>
      </c>
      <c r="F198" s="22" t="s">
        <v>743</v>
      </c>
      <c r="G198" s="23" t="s">
        <v>743</v>
      </c>
      <c r="H198" s="24" t="s">
        <v>743</v>
      </c>
      <c r="I198" s="24" t="s">
        <v>743</v>
      </c>
      <c r="J198" s="25" t="s">
        <v>743</v>
      </c>
      <c r="K198" s="26">
        <v>38297</v>
      </c>
      <c r="L198" s="27" t="s">
        <v>2709</v>
      </c>
      <c r="M198" s="28">
        <v>358906</v>
      </c>
      <c r="N198" s="29">
        <v>6178065</v>
      </c>
      <c r="O198" s="32">
        <v>368</v>
      </c>
      <c r="P198" s="135"/>
      <c r="Q198" s="260">
        <v>369</v>
      </c>
      <c r="R198" s="32"/>
      <c r="S198" s="135">
        <v>6</v>
      </c>
      <c r="T198" s="260">
        <f>IF(OR(R198="ND",R198=""),S198,R198)</f>
        <v>6</v>
      </c>
      <c r="U198" s="30"/>
      <c r="V198" s="31">
        <v>305</v>
      </c>
      <c r="W198" s="31">
        <f>IF(OR(U198="ND",U198=""),V198,U198)</f>
        <v>305</v>
      </c>
      <c r="X198" s="260">
        <f t="shared" si="11"/>
        <v>4</v>
      </c>
      <c r="Y198" s="323">
        <v>0.505</v>
      </c>
      <c r="Z198" s="323">
        <v>111836</v>
      </c>
      <c r="AA198" s="323">
        <v>1205</v>
      </c>
      <c r="AB198" s="151"/>
      <c r="AC198" s="155">
        <v>1996</v>
      </c>
      <c r="AD198" s="254">
        <f t="shared" si="12"/>
        <v>7.8514715947981131</v>
      </c>
      <c r="AE198" s="152" t="s">
        <v>2708</v>
      </c>
      <c r="AF198" s="252" t="s">
        <v>2708</v>
      </c>
      <c r="AG198" s="242" t="s">
        <v>2708</v>
      </c>
      <c r="AH198" s="242" t="s">
        <v>2708</v>
      </c>
      <c r="AI198" s="243" t="s">
        <v>2708</v>
      </c>
      <c r="AJ198" s="244" t="s">
        <v>2708</v>
      </c>
      <c r="AK198" s="244" t="s">
        <v>2708</v>
      </c>
      <c r="AL198" s="244" t="s">
        <v>2708</v>
      </c>
      <c r="AM198" s="244" t="s">
        <v>2708</v>
      </c>
      <c r="AN198" s="245" t="s">
        <v>2708</v>
      </c>
      <c r="AO198" s="245" t="s">
        <v>2708</v>
      </c>
      <c r="AP198" s="274">
        <v>743</v>
      </c>
    </row>
  </sheetData>
  <hyperlinks>
    <hyperlink ref="AP1" location="sampling!A2" display="sampling!A2" xr:uid="{5113E824-651D-4DFA-A531-073D882D5A8F}"/>
  </hyperlinks>
  <pageMargins left="0.75" right="0.75" top="1" bottom="1" header="0.4921259845" footer="0.4921259845"/>
  <pageSetup paperSize="9" orientation="portrait" horizontalDpi="200" verticalDpi="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start</vt:lpstr>
      <vt:lpstr>flora (2)</vt:lpstr>
      <vt:lpstr>flora</vt:lpstr>
      <vt:lpstr>releves</vt:lpstr>
      <vt:lpstr>notes</vt:lpstr>
      <vt:lpstr>sampling</vt:lpstr>
      <vt:lpstr>matrix taxon</vt:lpstr>
      <vt:lpstr>matrix shape</vt:lpstr>
      <vt:lpstr>floristic statistics</vt:lpstr>
      <vt:lpstr>community statistics (1)</vt:lpstr>
      <vt:lpstr>community statistics (2)</vt:lpstr>
      <vt:lpstr>export</vt:lpstr>
      <vt:lpstr>releves (2)</vt:lpstr>
    </vt:vector>
  </TitlesOfParts>
  <Company>Overberg Computers 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Customer</dc:creator>
  <cp:lastModifiedBy>Msweli, Samukelisiwe (Ms) (George Campus)</cp:lastModifiedBy>
  <dcterms:created xsi:type="dcterms:W3CDTF">1998-06-02T12:37:45Z</dcterms:created>
  <dcterms:modified xsi:type="dcterms:W3CDTF">2025-11-04T12:58:15Z</dcterms:modified>
</cp:coreProperties>
</file>